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8405" yWindow="-16320" windowWidth="29040" windowHeight="15840"/>
  </bookViews>
  <sheets>
    <sheet name="Results" sheetId="28" r:id="rId1"/>
    <sheet name="Labor" sheetId="36" r:id="rId2"/>
    <sheet name="Final_nrj" sheetId="35" r:id="rId3"/>
    <sheet name="Primary_nrj" sheetId="34" r:id="rId4"/>
    <sheet name="Energy_Mix" sheetId="32" r:id="rId5"/>
    <sheet name="Transports" sheetId="31" r:id="rId6"/>
    <sheet name="Hybrid" sheetId="27" r:id="rId7"/>
    <sheet name="Tab-macro" sheetId="7" state="hidden" r:id="rId8"/>
    <sheet name="Tab-baseline" sheetId="12" state="hidden" r:id="rId9"/>
    <sheet name="Macro" sheetId="8" r:id="rId10"/>
    <sheet name="Baseline" sheetId="26" r:id="rId11"/>
    <sheet name="produits-secteurs V2-V3" sheetId="29" r:id="rId12"/>
    <sheet name="Sect&amp;Com_V3" sheetId="30" r:id="rId13"/>
  </sheets>
  <externalReferences>
    <externalReference r:id="rId14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53" i="28" l="1"/>
  <c r="H1053" i="28"/>
  <c r="I1053" i="28"/>
  <c r="J1053" i="28"/>
  <c r="K1053" i="28"/>
  <c r="L1053" i="28"/>
  <c r="M1053" i="28"/>
  <c r="N1053" i="28"/>
  <c r="O1053" i="28"/>
  <c r="P1053" i="28"/>
  <c r="Q1053" i="28"/>
  <c r="R1053" i="28"/>
  <c r="S1053" i="28"/>
  <c r="T1053" i="28"/>
  <c r="U1053" i="28"/>
  <c r="V1053" i="28"/>
  <c r="W1053" i="28"/>
  <c r="X1053" i="28"/>
  <c r="Y1053" i="28"/>
  <c r="Z1053" i="28"/>
  <c r="AA1053" i="28"/>
  <c r="AB1053" i="28"/>
  <c r="AC1053" i="28"/>
  <c r="AD1053" i="28"/>
  <c r="AE1053" i="28"/>
  <c r="AF1053" i="28"/>
  <c r="AG1053" i="28"/>
  <c r="AH1053" i="28"/>
  <c r="AI1053" i="28"/>
  <c r="AJ1053" i="28"/>
  <c r="AK1053" i="28"/>
  <c r="AL1053" i="28"/>
  <c r="AM1053" i="28"/>
  <c r="AN1053" i="28"/>
  <c r="AO1053" i="28"/>
  <c r="G1054" i="28"/>
  <c r="H1054" i="28"/>
  <c r="I1054" i="28"/>
  <c r="J1054" i="28"/>
  <c r="K1054" i="28"/>
  <c r="L1054" i="28"/>
  <c r="M1054" i="28"/>
  <c r="N1054" i="28"/>
  <c r="O1054" i="28"/>
  <c r="P1054" i="28"/>
  <c r="Q1054" i="28"/>
  <c r="R1054" i="28"/>
  <c r="S1054" i="28"/>
  <c r="T1054" i="28"/>
  <c r="U1054" i="28"/>
  <c r="V1054" i="28"/>
  <c r="W1054" i="28"/>
  <c r="X1054" i="28"/>
  <c r="Y1054" i="28"/>
  <c r="Z1054" i="28"/>
  <c r="AA1054" i="28"/>
  <c r="AB1054" i="28"/>
  <c r="AC1054" i="28"/>
  <c r="AD1054" i="28"/>
  <c r="AE1054" i="28"/>
  <c r="AF1054" i="28"/>
  <c r="AG1054" i="28"/>
  <c r="AH1054" i="28"/>
  <c r="AI1054" i="28"/>
  <c r="AJ1054" i="28"/>
  <c r="AK1054" i="28"/>
  <c r="AL1054" i="28"/>
  <c r="AM1054" i="28"/>
  <c r="AN1054" i="28"/>
  <c r="AO1054" i="28"/>
  <c r="G1055" i="28"/>
  <c r="H1055" i="28"/>
  <c r="I1055" i="28"/>
  <c r="J1055" i="28"/>
  <c r="K1055" i="28"/>
  <c r="L1055" i="28"/>
  <c r="M1055" i="28"/>
  <c r="N1055" i="28"/>
  <c r="O1055" i="28"/>
  <c r="P1055" i="28"/>
  <c r="Q1055" i="28"/>
  <c r="R1055" i="28"/>
  <c r="S1055" i="28"/>
  <c r="T1055" i="28"/>
  <c r="U1055" i="28"/>
  <c r="V1055" i="28"/>
  <c r="W1055" i="28"/>
  <c r="X1055" i="28"/>
  <c r="Y1055" i="28"/>
  <c r="Z1055" i="28"/>
  <c r="AA1055" i="28"/>
  <c r="AB1055" i="28"/>
  <c r="AC1055" i="28"/>
  <c r="AD1055" i="28"/>
  <c r="AE1055" i="28"/>
  <c r="AF1055" i="28"/>
  <c r="AG1055" i="28"/>
  <c r="AH1055" i="28"/>
  <c r="AI1055" i="28"/>
  <c r="AJ1055" i="28"/>
  <c r="AK1055" i="28"/>
  <c r="AL1055" i="28"/>
  <c r="AM1055" i="28"/>
  <c r="AN1055" i="28"/>
  <c r="AO1055" i="28"/>
  <c r="G1056" i="28"/>
  <c r="H1056" i="28"/>
  <c r="I1056" i="28"/>
  <c r="J1056" i="28"/>
  <c r="K1056" i="28"/>
  <c r="L1056" i="28"/>
  <c r="M1056" i="28"/>
  <c r="N1056" i="28"/>
  <c r="O1056" i="28"/>
  <c r="P1056" i="28"/>
  <c r="Q1056" i="28"/>
  <c r="R1056" i="28"/>
  <c r="S1056" i="28"/>
  <c r="T1056" i="28"/>
  <c r="U1056" i="28"/>
  <c r="V1056" i="28"/>
  <c r="W1056" i="28"/>
  <c r="X1056" i="28"/>
  <c r="Y1056" i="28"/>
  <c r="Z1056" i="28"/>
  <c r="AA1056" i="28"/>
  <c r="AB1056" i="28"/>
  <c r="AC1056" i="28"/>
  <c r="AD1056" i="28"/>
  <c r="AE1056" i="28"/>
  <c r="AF1056" i="28"/>
  <c r="AG1056" i="28"/>
  <c r="AH1056" i="28"/>
  <c r="AI1056" i="28"/>
  <c r="AJ1056" i="28"/>
  <c r="AK1056" i="28"/>
  <c r="AL1056" i="28"/>
  <c r="AM1056" i="28"/>
  <c r="AN1056" i="28"/>
  <c r="AO1056" i="28"/>
  <c r="G1057" i="28"/>
  <c r="H1057" i="28"/>
  <c r="I1057" i="28"/>
  <c r="J1057" i="28"/>
  <c r="K1057" i="28"/>
  <c r="L1057" i="28"/>
  <c r="M1057" i="28"/>
  <c r="N1057" i="28"/>
  <c r="O1057" i="28"/>
  <c r="P1057" i="28"/>
  <c r="Q1057" i="28"/>
  <c r="R1057" i="28"/>
  <c r="S1057" i="28"/>
  <c r="T1057" i="28"/>
  <c r="U1057" i="28"/>
  <c r="V1057" i="28"/>
  <c r="W1057" i="28"/>
  <c r="X1057" i="28"/>
  <c r="Y1057" i="28"/>
  <c r="Z1057" i="28"/>
  <c r="AA1057" i="28"/>
  <c r="AB1057" i="28"/>
  <c r="AC1057" i="28"/>
  <c r="AD1057" i="28"/>
  <c r="AE1057" i="28"/>
  <c r="AF1057" i="28"/>
  <c r="AG1057" i="28"/>
  <c r="AH1057" i="28"/>
  <c r="AI1057" i="28"/>
  <c r="AJ1057" i="28"/>
  <c r="AK1057" i="28"/>
  <c r="AL1057" i="28"/>
  <c r="AM1057" i="28"/>
  <c r="AN1057" i="28"/>
  <c r="AO1057" i="28"/>
  <c r="G1058" i="28"/>
  <c r="H1058" i="28"/>
  <c r="I1058" i="28"/>
  <c r="J1058" i="28"/>
  <c r="K1058" i="28"/>
  <c r="L1058" i="28"/>
  <c r="M1058" i="28"/>
  <c r="N1058" i="28"/>
  <c r="O1058" i="28"/>
  <c r="P1058" i="28"/>
  <c r="Q1058" i="28"/>
  <c r="R1058" i="28"/>
  <c r="S1058" i="28"/>
  <c r="T1058" i="28"/>
  <c r="U1058" i="28"/>
  <c r="V1058" i="28"/>
  <c r="W1058" i="28"/>
  <c r="X1058" i="28"/>
  <c r="Y1058" i="28"/>
  <c r="Z1058" i="28"/>
  <c r="AA1058" i="28"/>
  <c r="AB1058" i="28"/>
  <c r="AC1058" i="28"/>
  <c r="AD1058" i="28"/>
  <c r="AE1058" i="28"/>
  <c r="AF1058" i="28"/>
  <c r="AG1058" i="28"/>
  <c r="AH1058" i="28"/>
  <c r="AI1058" i="28"/>
  <c r="AJ1058" i="28"/>
  <c r="AK1058" i="28"/>
  <c r="AL1058" i="28"/>
  <c r="AM1058" i="28"/>
  <c r="AN1058" i="28"/>
  <c r="AO1058" i="28"/>
  <c r="G1059" i="28"/>
  <c r="H1059" i="28"/>
  <c r="I1059" i="28"/>
  <c r="J1059" i="28"/>
  <c r="K1059" i="28"/>
  <c r="L1059" i="28"/>
  <c r="M1059" i="28"/>
  <c r="N1059" i="28"/>
  <c r="O1059" i="28"/>
  <c r="P1059" i="28"/>
  <c r="Q1059" i="28"/>
  <c r="R1059" i="28"/>
  <c r="S1059" i="28"/>
  <c r="T1059" i="28"/>
  <c r="U1059" i="28"/>
  <c r="V1059" i="28"/>
  <c r="W1059" i="28"/>
  <c r="X1059" i="28"/>
  <c r="Y1059" i="28"/>
  <c r="Z1059" i="28"/>
  <c r="AA1059" i="28"/>
  <c r="AB1059" i="28"/>
  <c r="AC1059" i="28"/>
  <c r="AD1059" i="28"/>
  <c r="AE1059" i="28"/>
  <c r="AF1059" i="28"/>
  <c r="AG1059" i="28"/>
  <c r="AH1059" i="28"/>
  <c r="AI1059" i="28"/>
  <c r="AJ1059" i="28"/>
  <c r="AK1059" i="28"/>
  <c r="AL1059" i="28"/>
  <c r="AM1059" i="28"/>
  <c r="AN1059" i="28"/>
  <c r="AO1059" i="28"/>
  <c r="G1060" i="28"/>
  <c r="H1060" i="28"/>
  <c r="I1060" i="28"/>
  <c r="J1060" i="28"/>
  <c r="K1060" i="28"/>
  <c r="L1060" i="28"/>
  <c r="M1060" i="28"/>
  <c r="N1060" i="28"/>
  <c r="O1060" i="28"/>
  <c r="P1060" i="28"/>
  <c r="Q1060" i="28"/>
  <c r="R1060" i="28"/>
  <c r="S1060" i="28"/>
  <c r="T1060" i="28"/>
  <c r="U1060" i="28"/>
  <c r="V1060" i="28"/>
  <c r="W1060" i="28"/>
  <c r="X1060" i="28"/>
  <c r="Y1060" i="28"/>
  <c r="Z1060" i="28"/>
  <c r="AA1060" i="28"/>
  <c r="AB1060" i="28"/>
  <c r="AC1060" i="28"/>
  <c r="AD1060" i="28"/>
  <c r="AE1060" i="28"/>
  <c r="AF1060" i="28"/>
  <c r="AG1060" i="28"/>
  <c r="AH1060" i="28"/>
  <c r="AI1060" i="28"/>
  <c r="AJ1060" i="28"/>
  <c r="AK1060" i="28"/>
  <c r="AL1060" i="28"/>
  <c r="AM1060" i="28"/>
  <c r="AN1060" i="28"/>
  <c r="AO1060" i="28"/>
  <c r="G1061" i="28"/>
  <c r="H1061" i="28"/>
  <c r="I1061" i="28"/>
  <c r="J1061" i="28"/>
  <c r="K1061" i="28"/>
  <c r="L1061" i="28"/>
  <c r="M1061" i="28"/>
  <c r="N1061" i="28"/>
  <c r="O1061" i="28"/>
  <c r="P1061" i="28"/>
  <c r="Q1061" i="28"/>
  <c r="R1061" i="28"/>
  <c r="S1061" i="28"/>
  <c r="T1061" i="28"/>
  <c r="U1061" i="28"/>
  <c r="V1061" i="28"/>
  <c r="W1061" i="28"/>
  <c r="X1061" i="28"/>
  <c r="Y1061" i="28"/>
  <c r="Z1061" i="28"/>
  <c r="AA1061" i="28"/>
  <c r="AB1061" i="28"/>
  <c r="AC1061" i="28"/>
  <c r="AD1061" i="28"/>
  <c r="AE1061" i="28"/>
  <c r="AF1061" i="28"/>
  <c r="AG1061" i="28"/>
  <c r="AH1061" i="28"/>
  <c r="AI1061" i="28"/>
  <c r="AJ1061" i="28"/>
  <c r="AK1061" i="28"/>
  <c r="AL1061" i="28"/>
  <c r="AM1061" i="28"/>
  <c r="AN1061" i="28"/>
  <c r="AO1061" i="28"/>
  <c r="G1062" i="28"/>
  <c r="H1062" i="28"/>
  <c r="I1062" i="28"/>
  <c r="J1062" i="28"/>
  <c r="K1062" i="28"/>
  <c r="L1062" i="28"/>
  <c r="M1062" i="28"/>
  <c r="N1062" i="28"/>
  <c r="O1062" i="28"/>
  <c r="P1062" i="28"/>
  <c r="Q1062" i="28"/>
  <c r="R1062" i="28"/>
  <c r="S1062" i="28"/>
  <c r="T1062" i="28"/>
  <c r="U1062" i="28"/>
  <c r="V1062" i="28"/>
  <c r="W1062" i="28"/>
  <c r="X1062" i="28"/>
  <c r="Y1062" i="28"/>
  <c r="Z1062" i="28"/>
  <c r="AA1062" i="28"/>
  <c r="AB1062" i="28"/>
  <c r="AC1062" i="28"/>
  <c r="AD1062" i="28"/>
  <c r="AE1062" i="28"/>
  <c r="AF1062" i="28"/>
  <c r="AG1062" i="28"/>
  <c r="AH1062" i="28"/>
  <c r="AI1062" i="28"/>
  <c r="AJ1062" i="28"/>
  <c r="AK1062" i="28"/>
  <c r="AL1062" i="28"/>
  <c r="AM1062" i="28"/>
  <c r="AN1062" i="28"/>
  <c r="AO1062" i="28"/>
  <c r="G1063" i="28"/>
  <c r="H1063" i="28"/>
  <c r="I1063" i="28"/>
  <c r="J1063" i="28"/>
  <c r="K1063" i="28"/>
  <c r="L1063" i="28"/>
  <c r="M1063" i="28"/>
  <c r="N1063" i="28"/>
  <c r="O1063" i="28"/>
  <c r="P1063" i="28"/>
  <c r="Q1063" i="28"/>
  <c r="R1063" i="28"/>
  <c r="S1063" i="28"/>
  <c r="T1063" i="28"/>
  <c r="U1063" i="28"/>
  <c r="V1063" i="28"/>
  <c r="W1063" i="28"/>
  <c r="X1063" i="28"/>
  <c r="Y1063" i="28"/>
  <c r="Z1063" i="28"/>
  <c r="AA1063" i="28"/>
  <c r="AB1063" i="28"/>
  <c r="AC1063" i="28"/>
  <c r="AD1063" i="28"/>
  <c r="AE1063" i="28"/>
  <c r="AF1063" i="28"/>
  <c r="AG1063" i="28"/>
  <c r="AH1063" i="28"/>
  <c r="AI1063" i="28"/>
  <c r="AJ1063" i="28"/>
  <c r="AK1063" i="28"/>
  <c r="AL1063" i="28"/>
  <c r="AM1063" i="28"/>
  <c r="AN1063" i="28"/>
  <c r="AO1063" i="28"/>
  <c r="G1064" i="28"/>
  <c r="H1064" i="28"/>
  <c r="I1064" i="28"/>
  <c r="J1064" i="28"/>
  <c r="K1064" i="28"/>
  <c r="L1064" i="28"/>
  <c r="M1064" i="28"/>
  <c r="N1064" i="28"/>
  <c r="O1064" i="28"/>
  <c r="P1064" i="28"/>
  <c r="Q1064" i="28"/>
  <c r="R1064" i="28"/>
  <c r="S1064" i="28"/>
  <c r="T1064" i="28"/>
  <c r="U1064" i="28"/>
  <c r="V1064" i="28"/>
  <c r="W1064" i="28"/>
  <c r="X1064" i="28"/>
  <c r="Y1064" i="28"/>
  <c r="Z1064" i="28"/>
  <c r="AA1064" i="28"/>
  <c r="AB1064" i="28"/>
  <c r="AC1064" i="28"/>
  <c r="AD1064" i="28"/>
  <c r="AE1064" i="28"/>
  <c r="AF1064" i="28"/>
  <c r="AG1064" i="28"/>
  <c r="AH1064" i="28"/>
  <c r="AI1064" i="28"/>
  <c r="AJ1064" i="28"/>
  <c r="AK1064" i="28"/>
  <c r="AL1064" i="28"/>
  <c r="AM1064" i="28"/>
  <c r="AN1064" i="28"/>
  <c r="AO1064" i="28"/>
  <c r="G1065" i="28"/>
  <c r="H1065" i="28"/>
  <c r="I1065" i="28"/>
  <c r="J1065" i="28"/>
  <c r="K1065" i="28"/>
  <c r="L1065" i="28"/>
  <c r="M1065" i="28"/>
  <c r="N1065" i="28"/>
  <c r="O1065" i="28"/>
  <c r="P1065" i="28"/>
  <c r="Q1065" i="28"/>
  <c r="R1065" i="28"/>
  <c r="S1065" i="28"/>
  <c r="T1065" i="28"/>
  <c r="U1065" i="28"/>
  <c r="V1065" i="28"/>
  <c r="W1065" i="28"/>
  <c r="X1065" i="28"/>
  <c r="Y1065" i="28"/>
  <c r="Z1065" i="28"/>
  <c r="AA1065" i="28"/>
  <c r="AB1065" i="28"/>
  <c r="AC1065" i="28"/>
  <c r="AD1065" i="28"/>
  <c r="AE1065" i="28"/>
  <c r="AF1065" i="28"/>
  <c r="AG1065" i="28"/>
  <c r="AH1065" i="28"/>
  <c r="AI1065" i="28"/>
  <c r="AJ1065" i="28"/>
  <c r="AK1065" i="28"/>
  <c r="AL1065" i="28"/>
  <c r="AM1065" i="28"/>
  <c r="AN1065" i="28"/>
  <c r="AO1065" i="28"/>
  <c r="G1066" i="28"/>
  <c r="H1066" i="28"/>
  <c r="I1066" i="28"/>
  <c r="J1066" i="28"/>
  <c r="K1066" i="28"/>
  <c r="L1066" i="28"/>
  <c r="M1066" i="28"/>
  <c r="N1066" i="28"/>
  <c r="O1066" i="28"/>
  <c r="P1066" i="28"/>
  <c r="Q1066" i="28"/>
  <c r="R1066" i="28"/>
  <c r="S1066" i="28"/>
  <c r="T1066" i="28"/>
  <c r="U1066" i="28"/>
  <c r="V1066" i="28"/>
  <c r="W1066" i="28"/>
  <c r="X1066" i="28"/>
  <c r="Y1066" i="28"/>
  <c r="Z1066" i="28"/>
  <c r="AA1066" i="28"/>
  <c r="AB1066" i="28"/>
  <c r="AC1066" i="28"/>
  <c r="AD1066" i="28"/>
  <c r="AE1066" i="28"/>
  <c r="AF1066" i="28"/>
  <c r="AG1066" i="28"/>
  <c r="AH1066" i="28"/>
  <c r="AI1066" i="28"/>
  <c r="AJ1066" i="28"/>
  <c r="AK1066" i="28"/>
  <c r="AL1066" i="28"/>
  <c r="AM1066" i="28"/>
  <c r="AN1066" i="28"/>
  <c r="AO1066" i="28"/>
  <c r="G1067" i="28"/>
  <c r="H1067" i="28"/>
  <c r="I1067" i="28"/>
  <c r="J1067" i="28"/>
  <c r="K1067" i="28"/>
  <c r="L1067" i="28"/>
  <c r="M1067" i="28"/>
  <c r="N1067" i="28"/>
  <c r="O1067" i="28"/>
  <c r="P1067" i="28"/>
  <c r="Q1067" i="28"/>
  <c r="R1067" i="28"/>
  <c r="S1067" i="28"/>
  <c r="T1067" i="28"/>
  <c r="U1067" i="28"/>
  <c r="V1067" i="28"/>
  <c r="W1067" i="28"/>
  <c r="X1067" i="28"/>
  <c r="Y1067" i="28"/>
  <c r="Z1067" i="28"/>
  <c r="AA1067" i="28"/>
  <c r="AB1067" i="28"/>
  <c r="AC1067" i="28"/>
  <c r="AD1067" i="28"/>
  <c r="AE1067" i="28"/>
  <c r="AF1067" i="28"/>
  <c r="AG1067" i="28"/>
  <c r="AH1067" i="28"/>
  <c r="AI1067" i="28"/>
  <c r="AJ1067" i="28"/>
  <c r="AK1067" i="28"/>
  <c r="AL1067" i="28"/>
  <c r="AM1067" i="28"/>
  <c r="AN1067" i="28"/>
  <c r="AO1067" i="28"/>
  <c r="G1068" i="28"/>
  <c r="H1068" i="28"/>
  <c r="I1068" i="28"/>
  <c r="J1068" i="28"/>
  <c r="K1068" i="28"/>
  <c r="L1068" i="28"/>
  <c r="M1068" i="28"/>
  <c r="N1068" i="28"/>
  <c r="O1068" i="28"/>
  <c r="P1068" i="28"/>
  <c r="Q1068" i="28"/>
  <c r="R1068" i="28"/>
  <c r="S1068" i="28"/>
  <c r="T1068" i="28"/>
  <c r="U1068" i="28"/>
  <c r="V1068" i="28"/>
  <c r="W1068" i="28"/>
  <c r="X1068" i="28"/>
  <c r="Y1068" i="28"/>
  <c r="Z1068" i="28"/>
  <c r="AA1068" i="28"/>
  <c r="AB1068" i="28"/>
  <c r="AC1068" i="28"/>
  <c r="AD1068" i="28"/>
  <c r="AE1068" i="28"/>
  <c r="AF1068" i="28"/>
  <c r="AG1068" i="28"/>
  <c r="AH1068" i="28"/>
  <c r="AI1068" i="28"/>
  <c r="AJ1068" i="28"/>
  <c r="AK1068" i="28"/>
  <c r="AL1068" i="28"/>
  <c r="AM1068" i="28"/>
  <c r="AN1068" i="28"/>
  <c r="AO1068" i="28"/>
  <c r="G1069" i="28"/>
  <c r="H1069" i="28"/>
  <c r="I1069" i="28"/>
  <c r="J1069" i="28"/>
  <c r="K1069" i="28"/>
  <c r="L1069" i="28"/>
  <c r="M1069" i="28"/>
  <c r="N1069" i="28"/>
  <c r="O1069" i="28"/>
  <c r="P1069" i="28"/>
  <c r="Q1069" i="28"/>
  <c r="R1069" i="28"/>
  <c r="S1069" i="28"/>
  <c r="T1069" i="28"/>
  <c r="U1069" i="28"/>
  <c r="V1069" i="28"/>
  <c r="W1069" i="28"/>
  <c r="X1069" i="28"/>
  <c r="Y1069" i="28"/>
  <c r="Z1069" i="28"/>
  <c r="AA1069" i="28"/>
  <c r="AB1069" i="28"/>
  <c r="AC1069" i="28"/>
  <c r="AD1069" i="28"/>
  <c r="AE1069" i="28"/>
  <c r="AF1069" i="28"/>
  <c r="AG1069" i="28"/>
  <c r="AH1069" i="28"/>
  <c r="AI1069" i="28"/>
  <c r="AJ1069" i="28"/>
  <c r="AK1069" i="28"/>
  <c r="AL1069" i="28"/>
  <c r="AM1069" i="28"/>
  <c r="AN1069" i="28"/>
  <c r="AO1069" i="28"/>
  <c r="G1070" i="28"/>
  <c r="H1070" i="28"/>
  <c r="I1070" i="28"/>
  <c r="J1070" i="28"/>
  <c r="K1070" i="28"/>
  <c r="L1070" i="28"/>
  <c r="M1070" i="28"/>
  <c r="N1070" i="28"/>
  <c r="O1070" i="28"/>
  <c r="P1070" i="28"/>
  <c r="Q1070" i="28"/>
  <c r="R1070" i="28"/>
  <c r="S1070" i="28"/>
  <c r="T1070" i="28"/>
  <c r="U1070" i="28"/>
  <c r="V1070" i="28"/>
  <c r="W1070" i="28"/>
  <c r="X1070" i="28"/>
  <c r="Y1070" i="28"/>
  <c r="Z1070" i="28"/>
  <c r="AA1070" i="28"/>
  <c r="AB1070" i="28"/>
  <c r="AC1070" i="28"/>
  <c r="AD1070" i="28"/>
  <c r="AE1070" i="28"/>
  <c r="AF1070" i="28"/>
  <c r="AG1070" i="28"/>
  <c r="AH1070" i="28"/>
  <c r="AI1070" i="28"/>
  <c r="AJ1070" i="28"/>
  <c r="AK1070" i="28"/>
  <c r="AL1070" i="28"/>
  <c r="AM1070" i="28"/>
  <c r="AN1070" i="28"/>
  <c r="AO1070" i="28"/>
  <c r="G1071" i="28"/>
  <c r="H1071" i="28"/>
  <c r="I1071" i="28"/>
  <c r="J1071" i="28"/>
  <c r="K1071" i="28"/>
  <c r="L1071" i="28"/>
  <c r="M1071" i="28"/>
  <c r="N1071" i="28"/>
  <c r="O1071" i="28"/>
  <c r="P1071" i="28"/>
  <c r="Q1071" i="28"/>
  <c r="R1071" i="28"/>
  <c r="S1071" i="28"/>
  <c r="T1071" i="28"/>
  <c r="U1071" i="28"/>
  <c r="V1071" i="28"/>
  <c r="W1071" i="28"/>
  <c r="X1071" i="28"/>
  <c r="Y1071" i="28"/>
  <c r="Z1071" i="28"/>
  <c r="AA1071" i="28"/>
  <c r="AB1071" i="28"/>
  <c r="AC1071" i="28"/>
  <c r="AD1071" i="28"/>
  <c r="AE1071" i="28"/>
  <c r="AF1071" i="28"/>
  <c r="AG1071" i="28"/>
  <c r="AH1071" i="28"/>
  <c r="AI1071" i="28"/>
  <c r="AJ1071" i="28"/>
  <c r="AK1071" i="28"/>
  <c r="AL1071" i="28"/>
  <c r="AM1071" i="28"/>
  <c r="AN1071" i="28"/>
  <c r="AO1071" i="28"/>
  <c r="G1072" i="28"/>
  <c r="H1072" i="28"/>
  <c r="I1072" i="28"/>
  <c r="J1072" i="28"/>
  <c r="K1072" i="28"/>
  <c r="L1072" i="28"/>
  <c r="M1072" i="28"/>
  <c r="N1072" i="28"/>
  <c r="O1072" i="28"/>
  <c r="P1072" i="28"/>
  <c r="Q1072" i="28"/>
  <c r="R1072" i="28"/>
  <c r="S1072" i="28"/>
  <c r="T1072" i="28"/>
  <c r="U1072" i="28"/>
  <c r="V1072" i="28"/>
  <c r="W1072" i="28"/>
  <c r="X1072" i="28"/>
  <c r="Y1072" i="28"/>
  <c r="Z1072" i="28"/>
  <c r="AA1072" i="28"/>
  <c r="AB1072" i="28"/>
  <c r="AC1072" i="28"/>
  <c r="AD1072" i="28"/>
  <c r="AE1072" i="28"/>
  <c r="AF1072" i="28"/>
  <c r="AG1072" i="28"/>
  <c r="AH1072" i="28"/>
  <c r="AI1072" i="28"/>
  <c r="AJ1072" i="28"/>
  <c r="AK1072" i="28"/>
  <c r="AL1072" i="28"/>
  <c r="AM1072" i="28"/>
  <c r="AN1072" i="28"/>
  <c r="AO1072" i="28"/>
  <c r="G1073" i="28"/>
  <c r="H1073" i="28"/>
  <c r="I1073" i="28"/>
  <c r="J1073" i="28"/>
  <c r="K1073" i="28"/>
  <c r="L1073" i="28"/>
  <c r="M1073" i="28"/>
  <c r="N1073" i="28"/>
  <c r="O1073" i="28"/>
  <c r="P1073" i="28"/>
  <c r="Q1073" i="28"/>
  <c r="R1073" i="28"/>
  <c r="S1073" i="28"/>
  <c r="T1073" i="28"/>
  <c r="U1073" i="28"/>
  <c r="V1073" i="28"/>
  <c r="W1073" i="28"/>
  <c r="X1073" i="28"/>
  <c r="Y1073" i="28"/>
  <c r="Z1073" i="28"/>
  <c r="AA1073" i="28"/>
  <c r="AB1073" i="28"/>
  <c r="AC1073" i="28"/>
  <c r="AD1073" i="28"/>
  <c r="AE1073" i="28"/>
  <c r="AF1073" i="28"/>
  <c r="AG1073" i="28"/>
  <c r="AH1073" i="28"/>
  <c r="AI1073" i="28"/>
  <c r="AJ1073" i="28"/>
  <c r="AK1073" i="28"/>
  <c r="AL1073" i="28"/>
  <c r="AM1073" i="28"/>
  <c r="AN1073" i="28"/>
  <c r="AO1073" i="28"/>
  <c r="G1074" i="28"/>
  <c r="H1074" i="28"/>
  <c r="I1074" i="28"/>
  <c r="J1074" i="28"/>
  <c r="K1074" i="28"/>
  <c r="L1074" i="28"/>
  <c r="M1074" i="28"/>
  <c r="N1074" i="28"/>
  <c r="O1074" i="28"/>
  <c r="P1074" i="28"/>
  <c r="Q1074" i="28"/>
  <c r="R1074" i="28"/>
  <c r="S1074" i="28"/>
  <c r="T1074" i="28"/>
  <c r="U1074" i="28"/>
  <c r="V1074" i="28"/>
  <c r="W1074" i="28"/>
  <c r="X1074" i="28"/>
  <c r="Y1074" i="28"/>
  <c r="Z1074" i="28"/>
  <c r="AA1074" i="28"/>
  <c r="AB1074" i="28"/>
  <c r="AC1074" i="28"/>
  <c r="AD1074" i="28"/>
  <c r="AE1074" i="28"/>
  <c r="AF1074" i="28"/>
  <c r="AG1074" i="28"/>
  <c r="AH1074" i="28"/>
  <c r="AI1074" i="28"/>
  <c r="AJ1074" i="28"/>
  <c r="AK1074" i="28"/>
  <c r="AL1074" i="28"/>
  <c r="AM1074" i="28"/>
  <c r="AN1074" i="28"/>
  <c r="AO1074" i="28"/>
  <c r="G1075" i="28"/>
  <c r="H1075" i="28"/>
  <c r="I1075" i="28"/>
  <c r="J1075" i="28"/>
  <c r="K1075" i="28"/>
  <c r="L1075" i="28"/>
  <c r="M1075" i="28"/>
  <c r="N1075" i="28"/>
  <c r="O1075" i="28"/>
  <c r="P1075" i="28"/>
  <c r="Q1075" i="28"/>
  <c r="R1075" i="28"/>
  <c r="S1075" i="28"/>
  <c r="T1075" i="28"/>
  <c r="U1075" i="28"/>
  <c r="V1075" i="28"/>
  <c r="W1075" i="28"/>
  <c r="X1075" i="28"/>
  <c r="Y1075" i="28"/>
  <c r="Z1075" i="28"/>
  <c r="AA1075" i="28"/>
  <c r="AB1075" i="28"/>
  <c r="AC1075" i="28"/>
  <c r="AD1075" i="28"/>
  <c r="AE1075" i="28"/>
  <c r="AF1075" i="28"/>
  <c r="AG1075" i="28"/>
  <c r="AH1075" i="28"/>
  <c r="AI1075" i="28"/>
  <c r="AJ1075" i="28"/>
  <c r="AK1075" i="28"/>
  <c r="AL1075" i="28"/>
  <c r="AM1075" i="28"/>
  <c r="AN1075" i="28"/>
  <c r="AO1075" i="28"/>
  <c r="G1076" i="28"/>
  <c r="H1076" i="28"/>
  <c r="I1076" i="28"/>
  <c r="J1076" i="28"/>
  <c r="K1076" i="28"/>
  <c r="L1076" i="28"/>
  <c r="M1076" i="28"/>
  <c r="N1076" i="28"/>
  <c r="O1076" i="28"/>
  <c r="P1076" i="28"/>
  <c r="Q1076" i="28"/>
  <c r="R1076" i="28"/>
  <c r="S1076" i="28"/>
  <c r="T1076" i="28"/>
  <c r="U1076" i="28"/>
  <c r="V1076" i="28"/>
  <c r="W1076" i="28"/>
  <c r="X1076" i="28"/>
  <c r="Y1076" i="28"/>
  <c r="Z1076" i="28"/>
  <c r="AA1076" i="28"/>
  <c r="AB1076" i="28"/>
  <c r="AC1076" i="28"/>
  <c r="AD1076" i="28"/>
  <c r="AE1076" i="28"/>
  <c r="AF1076" i="28"/>
  <c r="AG1076" i="28"/>
  <c r="AH1076" i="28"/>
  <c r="AI1076" i="28"/>
  <c r="AJ1076" i="28"/>
  <c r="AK1076" i="28"/>
  <c r="AL1076" i="28"/>
  <c r="AM1076" i="28"/>
  <c r="AN1076" i="28"/>
  <c r="AO1076" i="28"/>
  <c r="G1077" i="28"/>
  <c r="H1077" i="28"/>
  <c r="I1077" i="28"/>
  <c r="J1077" i="28"/>
  <c r="K1077" i="28"/>
  <c r="L1077" i="28"/>
  <c r="M1077" i="28"/>
  <c r="N1077" i="28"/>
  <c r="O1077" i="28"/>
  <c r="P1077" i="28"/>
  <c r="Q1077" i="28"/>
  <c r="R1077" i="28"/>
  <c r="S1077" i="28"/>
  <c r="T1077" i="28"/>
  <c r="U1077" i="28"/>
  <c r="V1077" i="28"/>
  <c r="W1077" i="28"/>
  <c r="X1077" i="28"/>
  <c r="Y1077" i="28"/>
  <c r="Z1077" i="28"/>
  <c r="AA1077" i="28"/>
  <c r="AB1077" i="28"/>
  <c r="AC1077" i="28"/>
  <c r="AD1077" i="28"/>
  <c r="AE1077" i="28"/>
  <c r="AF1077" i="28"/>
  <c r="AG1077" i="28"/>
  <c r="AH1077" i="28"/>
  <c r="AI1077" i="28"/>
  <c r="AJ1077" i="28"/>
  <c r="AK1077" i="28"/>
  <c r="AL1077" i="28"/>
  <c r="AM1077" i="28"/>
  <c r="AN1077" i="28"/>
  <c r="AO1077" i="28"/>
  <c r="G1078" i="28"/>
  <c r="H1078" i="28"/>
  <c r="I1078" i="28"/>
  <c r="J1078" i="28"/>
  <c r="K1078" i="28"/>
  <c r="L1078" i="28"/>
  <c r="M1078" i="28"/>
  <c r="N1078" i="28"/>
  <c r="O1078" i="28"/>
  <c r="P1078" i="28"/>
  <c r="Q1078" i="28"/>
  <c r="R1078" i="28"/>
  <c r="S1078" i="28"/>
  <c r="T1078" i="28"/>
  <c r="U1078" i="28"/>
  <c r="V1078" i="28"/>
  <c r="W1078" i="28"/>
  <c r="X1078" i="28"/>
  <c r="Y1078" i="28"/>
  <c r="Z1078" i="28"/>
  <c r="AA1078" i="28"/>
  <c r="AB1078" i="28"/>
  <c r="AC1078" i="28"/>
  <c r="AD1078" i="28"/>
  <c r="AE1078" i="28"/>
  <c r="AF1078" i="28"/>
  <c r="AG1078" i="28"/>
  <c r="AH1078" i="28"/>
  <c r="AI1078" i="28"/>
  <c r="AJ1078" i="28"/>
  <c r="AK1078" i="28"/>
  <c r="AL1078" i="28"/>
  <c r="AM1078" i="28"/>
  <c r="AN1078" i="28"/>
  <c r="AO1078" i="28"/>
  <c r="G1079" i="28"/>
  <c r="H1079" i="28"/>
  <c r="I1079" i="28"/>
  <c r="J1079" i="28"/>
  <c r="K1079" i="28"/>
  <c r="L1079" i="28"/>
  <c r="M1079" i="28"/>
  <c r="N1079" i="28"/>
  <c r="O1079" i="28"/>
  <c r="P1079" i="28"/>
  <c r="Q1079" i="28"/>
  <c r="R1079" i="28"/>
  <c r="S1079" i="28"/>
  <c r="T1079" i="28"/>
  <c r="U1079" i="28"/>
  <c r="V1079" i="28"/>
  <c r="W1079" i="28"/>
  <c r="X1079" i="28"/>
  <c r="Y1079" i="28"/>
  <c r="Z1079" i="28"/>
  <c r="AA1079" i="28"/>
  <c r="AB1079" i="28"/>
  <c r="AC1079" i="28"/>
  <c r="AD1079" i="28"/>
  <c r="AE1079" i="28"/>
  <c r="AF1079" i="28"/>
  <c r="AG1079" i="28"/>
  <c r="AH1079" i="28"/>
  <c r="AI1079" i="28"/>
  <c r="AJ1079" i="28"/>
  <c r="AK1079" i="28"/>
  <c r="AL1079" i="28"/>
  <c r="AM1079" i="28"/>
  <c r="AN1079" i="28"/>
  <c r="AO1079" i="28"/>
  <c r="G1080" i="28"/>
  <c r="H1080" i="28"/>
  <c r="I1080" i="28"/>
  <c r="J1080" i="28"/>
  <c r="K1080" i="28"/>
  <c r="L1080" i="28"/>
  <c r="M1080" i="28"/>
  <c r="N1080" i="28"/>
  <c r="O1080" i="28"/>
  <c r="P1080" i="28"/>
  <c r="Q1080" i="28"/>
  <c r="R1080" i="28"/>
  <c r="S1080" i="28"/>
  <c r="T1080" i="28"/>
  <c r="U1080" i="28"/>
  <c r="V1080" i="28"/>
  <c r="W1080" i="28"/>
  <c r="X1080" i="28"/>
  <c r="Y1080" i="28"/>
  <c r="Z1080" i="28"/>
  <c r="AA1080" i="28"/>
  <c r="AB1080" i="28"/>
  <c r="AC1080" i="28"/>
  <c r="AD1080" i="28"/>
  <c r="AE1080" i="28"/>
  <c r="AF1080" i="28"/>
  <c r="AG1080" i="28"/>
  <c r="AH1080" i="28"/>
  <c r="AI1080" i="28"/>
  <c r="AJ1080" i="28"/>
  <c r="AK1080" i="28"/>
  <c r="AL1080" i="28"/>
  <c r="AM1080" i="28"/>
  <c r="AN1080" i="28"/>
  <c r="AO1080" i="28"/>
  <c r="G1081" i="28"/>
  <c r="H1081" i="28"/>
  <c r="I1081" i="28"/>
  <c r="J1081" i="28"/>
  <c r="K1081" i="28"/>
  <c r="L1081" i="28"/>
  <c r="M1081" i="28"/>
  <c r="N1081" i="28"/>
  <c r="O1081" i="28"/>
  <c r="P1081" i="28"/>
  <c r="Q1081" i="28"/>
  <c r="R1081" i="28"/>
  <c r="S1081" i="28"/>
  <c r="T1081" i="28"/>
  <c r="U1081" i="28"/>
  <c r="V1081" i="28"/>
  <c r="W1081" i="28"/>
  <c r="X1081" i="28"/>
  <c r="Y1081" i="28"/>
  <c r="Z1081" i="28"/>
  <c r="AA1081" i="28"/>
  <c r="AB1081" i="28"/>
  <c r="AC1081" i="28"/>
  <c r="AD1081" i="28"/>
  <c r="AE1081" i="28"/>
  <c r="AF1081" i="28"/>
  <c r="AG1081" i="28"/>
  <c r="AH1081" i="28"/>
  <c r="AI1081" i="28"/>
  <c r="AJ1081" i="28"/>
  <c r="AK1081" i="28"/>
  <c r="AL1081" i="28"/>
  <c r="AM1081" i="28"/>
  <c r="AN1081" i="28"/>
  <c r="AO1081" i="28"/>
  <c r="G1082" i="28"/>
  <c r="H1082" i="28"/>
  <c r="I1082" i="28"/>
  <c r="J1082" i="28"/>
  <c r="K1082" i="28"/>
  <c r="L1082" i="28"/>
  <c r="M1082" i="28"/>
  <c r="N1082" i="28"/>
  <c r="O1082" i="28"/>
  <c r="P1082" i="28"/>
  <c r="Q1082" i="28"/>
  <c r="R1082" i="28"/>
  <c r="S1082" i="28"/>
  <c r="T1082" i="28"/>
  <c r="U1082" i="28"/>
  <c r="V1082" i="28"/>
  <c r="W1082" i="28"/>
  <c r="X1082" i="28"/>
  <c r="Y1082" i="28"/>
  <c r="Z1082" i="28"/>
  <c r="AA1082" i="28"/>
  <c r="AB1082" i="28"/>
  <c r="AC1082" i="28"/>
  <c r="AD1082" i="28"/>
  <c r="AE1082" i="28"/>
  <c r="AF1082" i="28"/>
  <c r="AG1082" i="28"/>
  <c r="AH1082" i="28"/>
  <c r="AI1082" i="28"/>
  <c r="AJ1082" i="28"/>
  <c r="AK1082" i="28"/>
  <c r="AL1082" i="28"/>
  <c r="AM1082" i="28"/>
  <c r="AN1082" i="28"/>
  <c r="AO1082" i="28"/>
  <c r="G1083" i="28"/>
  <c r="H1083" i="28"/>
  <c r="I1083" i="28"/>
  <c r="J1083" i="28"/>
  <c r="K1083" i="28"/>
  <c r="L1083" i="28"/>
  <c r="M1083" i="28"/>
  <c r="N1083" i="28"/>
  <c r="O1083" i="28"/>
  <c r="P1083" i="28"/>
  <c r="Q1083" i="28"/>
  <c r="R1083" i="28"/>
  <c r="S1083" i="28"/>
  <c r="T1083" i="28"/>
  <c r="U1083" i="28"/>
  <c r="V1083" i="28"/>
  <c r="W1083" i="28"/>
  <c r="X1083" i="28"/>
  <c r="Y1083" i="28"/>
  <c r="Z1083" i="28"/>
  <c r="AA1083" i="28"/>
  <c r="AB1083" i="28"/>
  <c r="AC1083" i="28"/>
  <c r="AD1083" i="28"/>
  <c r="AE1083" i="28"/>
  <c r="AF1083" i="28"/>
  <c r="AG1083" i="28"/>
  <c r="AH1083" i="28"/>
  <c r="AI1083" i="28"/>
  <c r="AJ1083" i="28"/>
  <c r="AK1083" i="28"/>
  <c r="AL1083" i="28"/>
  <c r="AM1083" i="28"/>
  <c r="AN1083" i="28"/>
  <c r="AO1083" i="28"/>
  <c r="G1084" i="28"/>
  <c r="H1084" i="28"/>
  <c r="I1084" i="28"/>
  <c r="J1084" i="28"/>
  <c r="K1084" i="28"/>
  <c r="L1084" i="28"/>
  <c r="M1084" i="28"/>
  <c r="N1084" i="28"/>
  <c r="O1084" i="28"/>
  <c r="P1084" i="28"/>
  <c r="Q1084" i="28"/>
  <c r="R1084" i="28"/>
  <c r="S1084" i="28"/>
  <c r="T1084" i="28"/>
  <c r="U1084" i="28"/>
  <c r="V1084" i="28"/>
  <c r="W1084" i="28"/>
  <c r="X1084" i="28"/>
  <c r="Y1084" i="28"/>
  <c r="Z1084" i="28"/>
  <c r="AA1084" i="28"/>
  <c r="AB1084" i="28"/>
  <c r="AC1084" i="28"/>
  <c r="AD1084" i="28"/>
  <c r="AE1084" i="28"/>
  <c r="AF1084" i="28"/>
  <c r="AG1084" i="28"/>
  <c r="AH1084" i="28"/>
  <c r="AI1084" i="28"/>
  <c r="AJ1084" i="28"/>
  <c r="AK1084" i="28"/>
  <c r="AL1084" i="28"/>
  <c r="AM1084" i="28"/>
  <c r="AN1084" i="28"/>
  <c r="AO1084" i="28"/>
  <c r="G1085" i="28"/>
  <c r="H1085" i="28"/>
  <c r="I1085" i="28"/>
  <c r="J1085" i="28"/>
  <c r="K1085" i="28"/>
  <c r="L1085" i="28"/>
  <c r="M1085" i="28"/>
  <c r="N1085" i="28"/>
  <c r="O1085" i="28"/>
  <c r="P1085" i="28"/>
  <c r="Q1085" i="28"/>
  <c r="R1085" i="28"/>
  <c r="S1085" i="28"/>
  <c r="T1085" i="28"/>
  <c r="U1085" i="28"/>
  <c r="V1085" i="28"/>
  <c r="W1085" i="28"/>
  <c r="X1085" i="28"/>
  <c r="Y1085" i="28"/>
  <c r="Z1085" i="28"/>
  <c r="AA1085" i="28"/>
  <c r="AB1085" i="28"/>
  <c r="AC1085" i="28"/>
  <c r="AD1085" i="28"/>
  <c r="AE1085" i="28"/>
  <c r="AF1085" i="28"/>
  <c r="AG1085" i="28"/>
  <c r="AH1085" i="28"/>
  <c r="AI1085" i="28"/>
  <c r="AJ1085" i="28"/>
  <c r="AK1085" i="28"/>
  <c r="AL1085" i="28"/>
  <c r="AM1085" i="28"/>
  <c r="AN1085" i="28"/>
  <c r="AO1085" i="28"/>
  <c r="G1086" i="28"/>
  <c r="H1086" i="28"/>
  <c r="I1086" i="28"/>
  <c r="J1086" i="28"/>
  <c r="K1086" i="28"/>
  <c r="L1086" i="28"/>
  <c r="M1086" i="28"/>
  <c r="N1086" i="28"/>
  <c r="O1086" i="28"/>
  <c r="P1086" i="28"/>
  <c r="Q1086" i="28"/>
  <c r="R1086" i="28"/>
  <c r="S1086" i="28"/>
  <c r="T1086" i="28"/>
  <c r="U1086" i="28"/>
  <c r="V1086" i="28"/>
  <c r="W1086" i="28"/>
  <c r="X1086" i="28"/>
  <c r="Y1086" i="28"/>
  <c r="Z1086" i="28"/>
  <c r="AA1086" i="28"/>
  <c r="AB1086" i="28"/>
  <c r="AC1086" i="28"/>
  <c r="AD1086" i="28"/>
  <c r="AE1086" i="28"/>
  <c r="AF1086" i="28"/>
  <c r="AG1086" i="28"/>
  <c r="AH1086" i="28"/>
  <c r="AI1086" i="28"/>
  <c r="AJ1086" i="28"/>
  <c r="AK1086" i="28"/>
  <c r="AL1086" i="28"/>
  <c r="AM1086" i="28"/>
  <c r="AN1086" i="28"/>
  <c r="AO1086" i="28"/>
  <c r="G1087" i="28"/>
  <c r="H1087" i="28"/>
  <c r="I1087" i="28"/>
  <c r="J1087" i="28"/>
  <c r="K1087" i="28"/>
  <c r="L1087" i="28"/>
  <c r="M1087" i="28"/>
  <c r="N1087" i="28"/>
  <c r="O1087" i="28"/>
  <c r="P1087" i="28"/>
  <c r="Q1087" i="28"/>
  <c r="R1087" i="28"/>
  <c r="S1087" i="28"/>
  <c r="T1087" i="28"/>
  <c r="U1087" i="28"/>
  <c r="V1087" i="28"/>
  <c r="W1087" i="28"/>
  <c r="X1087" i="28"/>
  <c r="Y1087" i="28"/>
  <c r="Z1087" i="28"/>
  <c r="AA1087" i="28"/>
  <c r="AB1087" i="28"/>
  <c r="AC1087" i="28"/>
  <c r="AD1087" i="28"/>
  <c r="AE1087" i="28"/>
  <c r="AF1087" i="28"/>
  <c r="AG1087" i="28"/>
  <c r="AH1087" i="28"/>
  <c r="AI1087" i="28"/>
  <c r="AJ1087" i="28"/>
  <c r="AK1087" i="28"/>
  <c r="AL1087" i="28"/>
  <c r="AM1087" i="28"/>
  <c r="AN1087" i="28"/>
  <c r="AO1087" i="28"/>
  <c r="G1088" i="28"/>
  <c r="H1088" i="28"/>
  <c r="I1088" i="28"/>
  <c r="J1088" i="28"/>
  <c r="K1088" i="28"/>
  <c r="L1088" i="28"/>
  <c r="M1088" i="28"/>
  <c r="N1088" i="28"/>
  <c r="O1088" i="28"/>
  <c r="P1088" i="28"/>
  <c r="Q1088" i="28"/>
  <c r="R1088" i="28"/>
  <c r="S1088" i="28"/>
  <c r="T1088" i="28"/>
  <c r="U1088" i="28"/>
  <c r="V1088" i="28"/>
  <c r="W1088" i="28"/>
  <c r="X1088" i="28"/>
  <c r="Y1088" i="28"/>
  <c r="Z1088" i="28"/>
  <c r="AA1088" i="28"/>
  <c r="AB1088" i="28"/>
  <c r="AC1088" i="28"/>
  <c r="AD1088" i="28"/>
  <c r="AE1088" i="28"/>
  <c r="AF1088" i="28"/>
  <c r="AG1088" i="28"/>
  <c r="AH1088" i="28"/>
  <c r="AI1088" i="28"/>
  <c r="AJ1088" i="28"/>
  <c r="AK1088" i="28"/>
  <c r="AL1088" i="28"/>
  <c r="AM1088" i="28"/>
  <c r="AN1088" i="28"/>
  <c r="AO1088" i="28"/>
  <c r="G1089" i="28"/>
  <c r="H1089" i="28"/>
  <c r="I1089" i="28"/>
  <c r="J1089" i="28"/>
  <c r="K1089" i="28"/>
  <c r="L1089" i="28"/>
  <c r="M1089" i="28"/>
  <c r="N1089" i="28"/>
  <c r="O1089" i="28"/>
  <c r="P1089" i="28"/>
  <c r="Q1089" i="28"/>
  <c r="R1089" i="28"/>
  <c r="S1089" i="28"/>
  <c r="T1089" i="28"/>
  <c r="U1089" i="28"/>
  <c r="V1089" i="28"/>
  <c r="W1089" i="28"/>
  <c r="X1089" i="28"/>
  <c r="Y1089" i="28"/>
  <c r="Z1089" i="28"/>
  <c r="AA1089" i="28"/>
  <c r="AB1089" i="28"/>
  <c r="AC1089" i="28"/>
  <c r="AD1089" i="28"/>
  <c r="AE1089" i="28"/>
  <c r="AF1089" i="28"/>
  <c r="AG1089" i="28"/>
  <c r="AH1089" i="28"/>
  <c r="AI1089" i="28"/>
  <c r="AJ1089" i="28"/>
  <c r="AK1089" i="28"/>
  <c r="AL1089" i="28"/>
  <c r="AM1089" i="28"/>
  <c r="AN1089" i="28"/>
  <c r="AO1089" i="28"/>
  <c r="G1090" i="28"/>
  <c r="H1090" i="28"/>
  <c r="I1090" i="28"/>
  <c r="J1090" i="28"/>
  <c r="K1090" i="28"/>
  <c r="L1090" i="28"/>
  <c r="M1090" i="28"/>
  <c r="N1090" i="28"/>
  <c r="O1090" i="28"/>
  <c r="P1090" i="28"/>
  <c r="Q1090" i="28"/>
  <c r="R1090" i="28"/>
  <c r="S1090" i="28"/>
  <c r="T1090" i="28"/>
  <c r="U1090" i="28"/>
  <c r="V1090" i="28"/>
  <c r="W1090" i="28"/>
  <c r="X1090" i="28"/>
  <c r="Y1090" i="28"/>
  <c r="Z1090" i="28"/>
  <c r="AA1090" i="28"/>
  <c r="AB1090" i="28"/>
  <c r="AC1090" i="28"/>
  <c r="AD1090" i="28"/>
  <c r="AE1090" i="28"/>
  <c r="AF1090" i="28"/>
  <c r="AG1090" i="28"/>
  <c r="AH1090" i="28"/>
  <c r="AI1090" i="28"/>
  <c r="AJ1090" i="28"/>
  <c r="AK1090" i="28"/>
  <c r="AL1090" i="28"/>
  <c r="AM1090" i="28"/>
  <c r="AN1090" i="28"/>
  <c r="AO1090" i="28"/>
  <c r="G1091" i="28"/>
  <c r="H1091" i="28"/>
  <c r="I1091" i="28"/>
  <c r="J1091" i="28"/>
  <c r="K1091" i="28"/>
  <c r="L1091" i="28"/>
  <c r="M1091" i="28"/>
  <c r="N1091" i="28"/>
  <c r="O1091" i="28"/>
  <c r="P1091" i="28"/>
  <c r="Q1091" i="28"/>
  <c r="R1091" i="28"/>
  <c r="S1091" i="28"/>
  <c r="T1091" i="28"/>
  <c r="U1091" i="28"/>
  <c r="V1091" i="28"/>
  <c r="W1091" i="28"/>
  <c r="X1091" i="28"/>
  <c r="Y1091" i="28"/>
  <c r="Z1091" i="28"/>
  <c r="AA1091" i="28"/>
  <c r="AB1091" i="28"/>
  <c r="AC1091" i="28"/>
  <c r="AD1091" i="28"/>
  <c r="AE1091" i="28"/>
  <c r="AF1091" i="28"/>
  <c r="AG1091" i="28"/>
  <c r="AH1091" i="28"/>
  <c r="AI1091" i="28"/>
  <c r="AJ1091" i="28"/>
  <c r="AK1091" i="28"/>
  <c r="AL1091" i="28"/>
  <c r="AM1091" i="28"/>
  <c r="AN1091" i="28"/>
  <c r="AO1091" i="28"/>
  <c r="G1092" i="28"/>
  <c r="H1092" i="28"/>
  <c r="I1092" i="28"/>
  <c r="J1092" i="28"/>
  <c r="K1092" i="28"/>
  <c r="L1092" i="28"/>
  <c r="M1092" i="28"/>
  <c r="N1092" i="28"/>
  <c r="O1092" i="28"/>
  <c r="P1092" i="28"/>
  <c r="Q1092" i="28"/>
  <c r="R1092" i="28"/>
  <c r="S1092" i="28"/>
  <c r="T1092" i="28"/>
  <c r="U1092" i="28"/>
  <c r="V1092" i="28"/>
  <c r="W1092" i="28"/>
  <c r="X1092" i="28"/>
  <c r="Y1092" i="28"/>
  <c r="Z1092" i="28"/>
  <c r="AA1092" i="28"/>
  <c r="AB1092" i="28"/>
  <c r="AC1092" i="28"/>
  <c r="AD1092" i="28"/>
  <c r="AE1092" i="28"/>
  <c r="AF1092" i="28"/>
  <c r="AG1092" i="28"/>
  <c r="AH1092" i="28"/>
  <c r="AI1092" i="28"/>
  <c r="AJ1092" i="28"/>
  <c r="AK1092" i="28"/>
  <c r="AL1092" i="28"/>
  <c r="AM1092" i="28"/>
  <c r="AN1092" i="28"/>
  <c r="AO1092" i="28"/>
  <c r="G1093" i="28"/>
  <c r="H1093" i="28"/>
  <c r="I1093" i="28"/>
  <c r="J1093" i="28"/>
  <c r="K1093" i="28"/>
  <c r="L1093" i="28"/>
  <c r="M1093" i="28"/>
  <c r="N1093" i="28"/>
  <c r="O1093" i="28"/>
  <c r="P1093" i="28"/>
  <c r="Q1093" i="28"/>
  <c r="R1093" i="28"/>
  <c r="S1093" i="28"/>
  <c r="T1093" i="28"/>
  <c r="U1093" i="28"/>
  <c r="V1093" i="28"/>
  <c r="W1093" i="28"/>
  <c r="X1093" i="28"/>
  <c r="Y1093" i="28"/>
  <c r="Z1093" i="28"/>
  <c r="AA1093" i="28"/>
  <c r="AB1093" i="28"/>
  <c r="AC1093" i="28"/>
  <c r="AD1093" i="28"/>
  <c r="AE1093" i="28"/>
  <c r="AF1093" i="28"/>
  <c r="AG1093" i="28"/>
  <c r="AH1093" i="28"/>
  <c r="AI1093" i="28"/>
  <c r="AJ1093" i="28"/>
  <c r="AK1093" i="28"/>
  <c r="AL1093" i="28"/>
  <c r="AM1093" i="28"/>
  <c r="AN1093" i="28"/>
  <c r="AO1093" i="28"/>
  <c r="G1094" i="28"/>
  <c r="H1094" i="28"/>
  <c r="I1094" i="28"/>
  <c r="J1094" i="28"/>
  <c r="K1094" i="28"/>
  <c r="L1094" i="28"/>
  <c r="M1094" i="28"/>
  <c r="N1094" i="28"/>
  <c r="O1094" i="28"/>
  <c r="P1094" i="28"/>
  <c r="Q1094" i="28"/>
  <c r="R1094" i="28"/>
  <c r="S1094" i="28"/>
  <c r="T1094" i="28"/>
  <c r="U1094" i="28"/>
  <c r="V1094" i="28"/>
  <c r="W1094" i="28"/>
  <c r="X1094" i="28"/>
  <c r="Y1094" i="28"/>
  <c r="Z1094" i="28"/>
  <c r="AA1094" i="28"/>
  <c r="AB1094" i="28"/>
  <c r="AC1094" i="28"/>
  <c r="AD1094" i="28"/>
  <c r="AE1094" i="28"/>
  <c r="AF1094" i="28"/>
  <c r="AG1094" i="28"/>
  <c r="AH1094" i="28"/>
  <c r="AI1094" i="28"/>
  <c r="AJ1094" i="28"/>
  <c r="AK1094" i="28"/>
  <c r="AL1094" i="28"/>
  <c r="AM1094" i="28"/>
  <c r="AN1094" i="28"/>
  <c r="AO1094" i="28"/>
  <c r="G1095" i="28"/>
  <c r="H1095" i="28"/>
  <c r="I1095" i="28"/>
  <c r="J1095" i="28"/>
  <c r="K1095" i="28"/>
  <c r="L1095" i="28"/>
  <c r="M1095" i="28"/>
  <c r="N1095" i="28"/>
  <c r="O1095" i="28"/>
  <c r="P1095" i="28"/>
  <c r="Q1095" i="28"/>
  <c r="R1095" i="28"/>
  <c r="S1095" i="28"/>
  <c r="T1095" i="28"/>
  <c r="U1095" i="28"/>
  <c r="V1095" i="28"/>
  <c r="W1095" i="28"/>
  <c r="X1095" i="28"/>
  <c r="Y1095" i="28"/>
  <c r="Z1095" i="28"/>
  <c r="AA1095" i="28"/>
  <c r="AB1095" i="28"/>
  <c r="AC1095" i="28"/>
  <c r="AD1095" i="28"/>
  <c r="AE1095" i="28"/>
  <c r="AF1095" i="28"/>
  <c r="AG1095" i="28"/>
  <c r="AH1095" i="28"/>
  <c r="AI1095" i="28"/>
  <c r="AJ1095" i="28"/>
  <c r="AK1095" i="28"/>
  <c r="AL1095" i="28"/>
  <c r="AM1095" i="28"/>
  <c r="AN1095" i="28"/>
  <c r="AO1095" i="28"/>
  <c r="G1096" i="28"/>
  <c r="H1096" i="28"/>
  <c r="I1096" i="28"/>
  <c r="J1096" i="28"/>
  <c r="K1096" i="28"/>
  <c r="L1096" i="28"/>
  <c r="M1096" i="28"/>
  <c r="N1096" i="28"/>
  <c r="O1096" i="28"/>
  <c r="P1096" i="28"/>
  <c r="Q1096" i="28"/>
  <c r="R1096" i="28"/>
  <c r="S1096" i="28"/>
  <c r="T1096" i="28"/>
  <c r="U1096" i="28"/>
  <c r="V1096" i="28"/>
  <c r="W1096" i="28"/>
  <c r="X1096" i="28"/>
  <c r="Y1096" i="28"/>
  <c r="Z1096" i="28"/>
  <c r="AA1096" i="28"/>
  <c r="AB1096" i="28"/>
  <c r="AC1096" i="28"/>
  <c r="AD1096" i="28"/>
  <c r="AE1096" i="28"/>
  <c r="AF1096" i="28"/>
  <c r="AG1096" i="28"/>
  <c r="AH1096" i="28"/>
  <c r="AI1096" i="28"/>
  <c r="AJ1096" i="28"/>
  <c r="AK1096" i="28"/>
  <c r="AL1096" i="28"/>
  <c r="AM1096" i="28"/>
  <c r="AN1096" i="28"/>
  <c r="AO1096" i="28"/>
  <c r="G1097" i="28"/>
  <c r="H1097" i="28"/>
  <c r="I1097" i="28"/>
  <c r="J1097" i="28"/>
  <c r="K1097" i="28"/>
  <c r="L1097" i="28"/>
  <c r="M1097" i="28"/>
  <c r="N1097" i="28"/>
  <c r="O1097" i="28"/>
  <c r="P1097" i="28"/>
  <c r="Q1097" i="28"/>
  <c r="R1097" i="28"/>
  <c r="S1097" i="28"/>
  <c r="T1097" i="28"/>
  <c r="U1097" i="28"/>
  <c r="V1097" i="28"/>
  <c r="W1097" i="28"/>
  <c r="X1097" i="28"/>
  <c r="Y1097" i="28"/>
  <c r="Z1097" i="28"/>
  <c r="AA1097" i="28"/>
  <c r="AB1097" i="28"/>
  <c r="AC1097" i="28"/>
  <c r="AD1097" i="28"/>
  <c r="AE1097" i="28"/>
  <c r="AF1097" i="28"/>
  <c r="AG1097" i="28"/>
  <c r="AH1097" i="28"/>
  <c r="AI1097" i="28"/>
  <c r="AJ1097" i="28"/>
  <c r="AK1097" i="28"/>
  <c r="AL1097" i="28"/>
  <c r="AM1097" i="28"/>
  <c r="AN1097" i="28"/>
  <c r="AO1097" i="28"/>
  <c r="G1098" i="28"/>
  <c r="H1098" i="28"/>
  <c r="I1098" i="28"/>
  <c r="J1098" i="28"/>
  <c r="K1098" i="28"/>
  <c r="L1098" i="28"/>
  <c r="M1098" i="28"/>
  <c r="N1098" i="28"/>
  <c r="O1098" i="28"/>
  <c r="P1098" i="28"/>
  <c r="Q1098" i="28"/>
  <c r="R1098" i="28"/>
  <c r="S1098" i="28"/>
  <c r="T1098" i="28"/>
  <c r="U1098" i="28"/>
  <c r="V1098" i="28"/>
  <c r="W1098" i="28"/>
  <c r="X1098" i="28"/>
  <c r="Y1098" i="28"/>
  <c r="Z1098" i="28"/>
  <c r="AA1098" i="28"/>
  <c r="AB1098" i="28"/>
  <c r="AC1098" i="28"/>
  <c r="AD1098" i="28"/>
  <c r="AE1098" i="28"/>
  <c r="AF1098" i="28"/>
  <c r="AG1098" i="28"/>
  <c r="AH1098" i="28"/>
  <c r="AI1098" i="28"/>
  <c r="AJ1098" i="28"/>
  <c r="AK1098" i="28"/>
  <c r="AL1098" i="28"/>
  <c r="AM1098" i="28"/>
  <c r="AN1098" i="28"/>
  <c r="AO1098" i="28"/>
  <c r="G1099" i="28"/>
  <c r="H1099" i="28"/>
  <c r="I1099" i="28"/>
  <c r="J1099" i="28"/>
  <c r="K1099" i="28"/>
  <c r="L1099" i="28"/>
  <c r="M1099" i="28"/>
  <c r="N1099" i="28"/>
  <c r="O1099" i="28"/>
  <c r="P1099" i="28"/>
  <c r="Q1099" i="28"/>
  <c r="R1099" i="28"/>
  <c r="S1099" i="28"/>
  <c r="T1099" i="28"/>
  <c r="U1099" i="28"/>
  <c r="V1099" i="28"/>
  <c r="W1099" i="28"/>
  <c r="X1099" i="28"/>
  <c r="Y1099" i="28"/>
  <c r="Z1099" i="28"/>
  <c r="AA1099" i="28"/>
  <c r="AB1099" i="28"/>
  <c r="AC1099" i="28"/>
  <c r="AD1099" i="28"/>
  <c r="AE1099" i="28"/>
  <c r="AF1099" i="28"/>
  <c r="AG1099" i="28"/>
  <c r="AH1099" i="28"/>
  <c r="AI1099" i="28"/>
  <c r="AJ1099" i="28"/>
  <c r="AK1099" i="28"/>
  <c r="AL1099" i="28"/>
  <c r="AM1099" i="28"/>
  <c r="AN1099" i="28"/>
  <c r="AO1099" i="28"/>
  <c r="G1100" i="28"/>
  <c r="H1100" i="28"/>
  <c r="I1100" i="28"/>
  <c r="J1100" i="28"/>
  <c r="K1100" i="28"/>
  <c r="L1100" i="28"/>
  <c r="M1100" i="28"/>
  <c r="N1100" i="28"/>
  <c r="O1100" i="28"/>
  <c r="P1100" i="28"/>
  <c r="Q1100" i="28"/>
  <c r="R1100" i="28"/>
  <c r="S1100" i="28"/>
  <c r="T1100" i="28"/>
  <c r="U1100" i="28"/>
  <c r="V1100" i="28"/>
  <c r="W1100" i="28"/>
  <c r="X1100" i="28"/>
  <c r="Y1100" i="28"/>
  <c r="Z1100" i="28"/>
  <c r="AA1100" i="28"/>
  <c r="AB1100" i="28"/>
  <c r="AC1100" i="28"/>
  <c r="AD1100" i="28"/>
  <c r="AE1100" i="28"/>
  <c r="AF1100" i="28"/>
  <c r="AG1100" i="28"/>
  <c r="AH1100" i="28"/>
  <c r="AI1100" i="28"/>
  <c r="AJ1100" i="28"/>
  <c r="AK1100" i="28"/>
  <c r="AL1100" i="28"/>
  <c r="AM1100" i="28"/>
  <c r="AN1100" i="28"/>
  <c r="AO1100" i="28"/>
  <c r="G1101" i="28"/>
  <c r="H1101" i="28"/>
  <c r="I1101" i="28"/>
  <c r="J1101" i="28"/>
  <c r="K1101" i="28"/>
  <c r="L1101" i="28"/>
  <c r="M1101" i="28"/>
  <c r="N1101" i="28"/>
  <c r="O1101" i="28"/>
  <c r="P1101" i="28"/>
  <c r="Q1101" i="28"/>
  <c r="R1101" i="28"/>
  <c r="S1101" i="28"/>
  <c r="T1101" i="28"/>
  <c r="U1101" i="28"/>
  <c r="V1101" i="28"/>
  <c r="W1101" i="28"/>
  <c r="X1101" i="28"/>
  <c r="Y1101" i="28"/>
  <c r="Z1101" i="28"/>
  <c r="AA1101" i="28"/>
  <c r="AB1101" i="28"/>
  <c r="AC1101" i="28"/>
  <c r="AD1101" i="28"/>
  <c r="AE1101" i="28"/>
  <c r="AF1101" i="28"/>
  <c r="AG1101" i="28"/>
  <c r="AH1101" i="28"/>
  <c r="AI1101" i="28"/>
  <c r="AJ1101" i="28"/>
  <c r="AK1101" i="28"/>
  <c r="AL1101" i="28"/>
  <c r="AM1101" i="28"/>
  <c r="AN1101" i="28"/>
  <c r="AO1101" i="28"/>
  <c r="G1102" i="28"/>
  <c r="H1102" i="28"/>
  <c r="I1102" i="28"/>
  <c r="J1102" i="28"/>
  <c r="K1102" i="28"/>
  <c r="L1102" i="28"/>
  <c r="M1102" i="28"/>
  <c r="N1102" i="28"/>
  <c r="O1102" i="28"/>
  <c r="P1102" i="28"/>
  <c r="Q1102" i="28"/>
  <c r="R1102" i="28"/>
  <c r="S1102" i="28"/>
  <c r="T1102" i="28"/>
  <c r="U1102" i="28"/>
  <c r="V1102" i="28"/>
  <c r="W1102" i="28"/>
  <c r="X1102" i="28"/>
  <c r="Y1102" i="28"/>
  <c r="Z1102" i="28"/>
  <c r="AA1102" i="28"/>
  <c r="AB1102" i="28"/>
  <c r="AC1102" i="28"/>
  <c r="AD1102" i="28"/>
  <c r="AE1102" i="28"/>
  <c r="AF1102" i="28"/>
  <c r="AG1102" i="28"/>
  <c r="AH1102" i="28"/>
  <c r="AI1102" i="28"/>
  <c r="AJ1102" i="28"/>
  <c r="AK1102" i="28"/>
  <c r="AL1102" i="28"/>
  <c r="AM1102" i="28"/>
  <c r="AN1102" i="28"/>
  <c r="AO1102" i="28"/>
  <c r="G1103" i="28"/>
  <c r="H1103" i="28"/>
  <c r="I1103" i="28"/>
  <c r="J1103" i="28"/>
  <c r="K1103" i="28"/>
  <c r="L1103" i="28"/>
  <c r="M1103" i="28"/>
  <c r="N1103" i="28"/>
  <c r="O1103" i="28"/>
  <c r="P1103" i="28"/>
  <c r="Q1103" i="28"/>
  <c r="R1103" i="28"/>
  <c r="S1103" i="28"/>
  <c r="T1103" i="28"/>
  <c r="U1103" i="28"/>
  <c r="V1103" i="28"/>
  <c r="W1103" i="28"/>
  <c r="X1103" i="28"/>
  <c r="Y1103" i="28"/>
  <c r="Z1103" i="28"/>
  <c r="AA1103" i="28"/>
  <c r="AB1103" i="28"/>
  <c r="AC1103" i="28"/>
  <c r="AD1103" i="28"/>
  <c r="AE1103" i="28"/>
  <c r="AF1103" i="28"/>
  <c r="AG1103" i="28"/>
  <c r="AH1103" i="28"/>
  <c r="AI1103" i="28"/>
  <c r="AJ1103" i="28"/>
  <c r="AK1103" i="28"/>
  <c r="AL1103" i="28"/>
  <c r="AM1103" i="28"/>
  <c r="AN1103" i="28"/>
  <c r="AO1103" i="28"/>
  <c r="G1104" i="28"/>
  <c r="H1104" i="28"/>
  <c r="I1104" i="28"/>
  <c r="J1104" i="28"/>
  <c r="K1104" i="28"/>
  <c r="L1104" i="28"/>
  <c r="M1104" i="28"/>
  <c r="N1104" i="28"/>
  <c r="O1104" i="28"/>
  <c r="P1104" i="28"/>
  <c r="Q1104" i="28"/>
  <c r="R1104" i="28"/>
  <c r="S1104" i="28"/>
  <c r="T1104" i="28"/>
  <c r="U1104" i="28"/>
  <c r="V1104" i="28"/>
  <c r="W1104" i="28"/>
  <c r="X1104" i="28"/>
  <c r="Y1104" i="28"/>
  <c r="Z1104" i="28"/>
  <c r="AA1104" i="28"/>
  <c r="AB1104" i="28"/>
  <c r="AC1104" i="28"/>
  <c r="AD1104" i="28"/>
  <c r="AE1104" i="28"/>
  <c r="AF1104" i="28"/>
  <c r="AG1104" i="28"/>
  <c r="AH1104" i="28"/>
  <c r="AI1104" i="28"/>
  <c r="AJ1104" i="28"/>
  <c r="AK1104" i="28"/>
  <c r="AL1104" i="28"/>
  <c r="AM1104" i="28"/>
  <c r="AN1104" i="28"/>
  <c r="AO1104" i="28"/>
  <c r="G1105" i="28"/>
  <c r="H1105" i="28"/>
  <c r="I1105" i="28"/>
  <c r="J1105" i="28"/>
  <c r="K1105" i="28"/>
  <c r="L1105" i="28"/>
  <c r="M1105" i="28"/>
  <c r="N1105" i="28"/>
  <c r="O1105" i="28"/>
  <c r="P1105" i="28"/>
  <c r="Q1105" i="28"/>
  <c r="R1105" i="28"/>
  <c r="S1105" i="28"/>
  <c r="T1105" i="28"/>
  <c r="U1105" i="28"/>
  <c r="V1105" i="28"/>
  <c r="W1105" i="28"/>
  <c r="X1105" i="28"/>
  <c r="Y1105" i="28"/>
  <c r="Z1105" i="28"/>
  <c r="AA1105" i="28"/>
  <c r="AB1105" i="28"/>
  <c r="AC1105" i="28"/>
  <c r="AD1105" i="28"/>
  <c r="AE1105" i="28"/>
  <c r="AF1105" i="28"/>
  <c r="AG1105" i="28"/>
  <c r="AH1105" i="28"/>
  <c r="AI1105" i="28"/>
  <c r="AJ1105" i="28"/>
  <c r="AK1105" i="28"/>
  <c r="AL1105" i="28"/>
  <c r="AM1105" i="28"/>
  <c r="AN1105" i="28"/>
  <c r="AO1105" i="28"/>
  <c r="G1106" i="28"/>
  <c r="H1106" i="28"/>
  <c r="I1106" i="28"/>
  <c r="J1106" i="28"/>
  <c r="K1106" i="28"/>
  <c r="L1106" i="28"/>
  <c r="M1106" i="28"/>
  <c r="N1106" i="28"/>
  <c r="O1106" i="28"/>
  <c r="P1106" i="28"/>
  <c r="Q1106" i="28"/>
  <c r="R1106" i="28"/>
  <c r="S1106" i="28"/>
  <c r="T1106" i="28"/>
  <c r="U1106" i="28"/>
  <c r="V1106" i="28"/>
  <c r="W1106" i="28"/>
  <c r="X1106" i="28"/>
  <c r="Y1106" i="28"/>
  <c r="Z1106" i="28"/>
  <c r="AA1106" i="28"/>
  <c r="AB1106" i="28"/>
  <c r="AC1106" i="28"/>
  <c r="AD1106" i="28"/>
  <c r="AE1106" i="28"/>
  <c r="AF1106" i="28"/>
  <c r="AG1106" i="28"/>
  <c r="AH1106" i="28"/>
  <c r="AI1106" i="28"/>
  <c r="AJ1106" i="28"/>
  <c r="AK1106" i="28"/>
  <c r="AL1106" i="28"/>
  <c r="AM1106" i="28"/>
  <c r="AN1106" i="28"/>
  <c r="AO1106" i="28"/>
  <c r="G1107" i="28"/>
  <c r="H1107" i="28"/>
  <c r="I1107" i="28"/>
  <c r="J1107" i="28"/>
  <c r="K1107" i="28"/>
  <c r="L1107" i="28"/>
  <c r="M1107" i="28"/>
  <c r="N1107" i="28"/>
  <c r="O1107" i="28"/>
  <c r="P1107" i="28"/>
  <c r="Q1107" i="28"/>
  <c r="R1107" i="28"/>
  <c r="S1107" i="28"/>
  <c r="T1107" i="28"/>
  <c r="U1107" i="28"/>
  <c r="V1107" i="28"/>
  <c r="W1107" i="28"/>
  <c r="X1107" i="28"/>
  <c r="Y1107" i="28"/>
  <c r="Z1107" i="28"/>
  <c r="AA1107" i="28"/>
  <c r="AB1107" i="28"/>
  <c r="AC1107" i="28"/>
  <c r="AD1107" i="28"/>
  <c r="AE1107" i="28"/>
  <c r="AF1107" i="28"/>
  <c r="AG1107" i="28"/>
  <c r="AH1107" i="28"/>
  <c r="AI1107" i="28"/>
  <c r="AJ1107" i="28"/>
  <c r="AK1107" i="28"/>
  <c r="AL1107" i="28"/>
  <c r="AM1107" i="28"/>
  <c r="AN1107" i="28"/>
  <c r="AO1107" i="28"/>
  <c r="G1108" i="28"/>
  <c r="H1108" i="28"/>
  <c r="I1108" i="28"/>
  <c r="J1108" i="28"/>
  <c r="K1108" i="28"/>
  <c r="L1108" i="28"/>
  <c r="M1108" i="28"/>
  <c r="N1108" i="28"/>
  <c r="O1108" i="28"/>
  <c r="P1108" i="28"/>
  <c r="Q1108" i="28"/>
  <c r="R1108" i="28"/>
  <c r="S1108" i="28"/>
  <c r="T1108" i="28"/>
  <c r="U1108" i="28"/>
  <c r="V1108" i="28"/>
  <c r="W1108" i="28"/>
  <c r="X1108" i="28"/>
  <c r="Y1108" i="28"/>
  <c r="Z1108" i="28"/>
  <c r="AA1108" i="28"/>
  <c r="AB1108" i="28"/>
  <c r="AC1108" i="28"/>
  <c r="AD1108" i="28"/>
  <c r="AE1108" i="28"/>
  <c r="AF1108" i="28"/>
  <c r="AG1108" i="28"/>
  <c r="AH1108" i="28"/>
  <c r="AI1108" i="28"/>
  <c r="AJ1108" i="28"/>
  <c r="AK1108" i="28"/>
  <c r="AL1108" i="28"/>
  <c r="AM1108" i="28"/>
  <c r="AN1108" i="28"/>
  <c r="AO1108" i="28"/>
  <c r="G1109" i="28"/>
  <c r="H1109" i="28"/>
  <c r="I1109" i="28"/>
  <c r="J1109" i="28"/>
  <c r="K1109" i="28"/>
  <c r="L1109" i="28"/>
  <c r="M1109" i="28"/>
  <c r="N1109" i="28"/>
  <c r="O1109" i="28"/>
  <c r="P1109" i="28"/>
  <c r="Q1109" i="28"/>
  <c r="R1109" i="28"/>
  <c r="S1109" i="28"/>
  <c r="T1109" i="28"/>
  <c r="U1109" i="28"/>
  <c r="V1109" i="28"/>
  <c r="W1109" i="28"/>
  <c r="X1109" i="28"/>
  <c r="Y1109" i="28"/>
  <c r="Z1109" i="28"/>
  <c r="AA1109" i="28"/>
  <c r="AB1109" i="28"/>
  <c r="AC1109" i="28"/>
  <c r="AD1109" i="28"/>
  <c r="AE1109" i="28"/>
  <c r="AF1109" i="28"/>
  <c r="AG1109" i="28"/>
  <c r="AH1109" i="28"/>
  <c r="AI1109" i="28"/>
  <c r="AJ1109" i="28"/>
  <c r="AK1109" i="28"/>
  <c r="AL1109" i="28"/>
  <c r="AM1109" i="28"/>
  <c r="AN1109" i="28"/>
  <c r="AO1109" i="28"/>
  <c r="G1110" i="28"/>
  <c r="H1110" i="28"/>
  <c r="I1110" i="28"/>
  <c r="J1110" i="28"/>
  <c r="K1110" i="28"/>
  <c r="L1110" i="28"/>
  <c r="M1110" i="28"/>
  <c r="N1110" i="28"/>
  <c r="O1110" i="28"/>
  <c r="P1110" i="28"/>
  <c r="Q1110" i="28"/>
  <c r="R1110" i="28"/>
  <c r="S1110" i="28"/>
  <c r="T1110" i="28"/>
  <c r="U1110" i="28"/>
  <c r="V1110" i="28"/>
  <c r="W1110" i="28"/>
  <c r="X1110" i="28"/>
  <c r="Y1110" i="28"/>
  <c r="Z1110" i="28"/>
  <c r="AA1110" i="28"/>
  <c r="AB1110" i="28"/>
  <c r="AC1110" i="28"/>
  <c r="AD1110" i="28"/>
  <c r="AE1110" i="28"/>
  <c r="AF1110" i="28"/>
  <c r="AG1110" i="28"/>
  <c r="AH1110" i="28"/>
  <c r="AI1110" i="28"/>
  <c r="AJ1110" i="28"/>
  <c r="AK1110" i="28"/>
  <c r="AL1110" i="28"/>
  <c r="AM1110" i="28"/>
  <c r="AN1110" i="28"/>
  <c r="AO1110" i="28"/>
  <c r="G1111" i="28"/>
  <c r="H1111" i="28"/>
  <c r="I1111" i="28"/>
  <c r="J1111" i="28"/>
  <c r="K1111" i="28"/>
  <c r="L1111" i="28"/>
  <c r="M1111" i="28"/>
  <c r="N1111" i="28"/>
  <c r="O1111" i="28"/>
  <c r="P1111" i="28"/>
  <c r="Q1111" i="28"/>
  <c r="R1111" i="28"/>
  <c r="S1111" i="28"/>
  <c r="T1111" i="28"/>
  <c r="U1111" i="28"/>
  <c r="V1111" i="28"/>
  <c r="W1111" i="28"/>
  <c r="X1111" i="28"/>
  <c r="Y1111" i="28"/>
  <c r="Z1111" i="28"/>
  <c r="AA1111" i="28"/>
  <c r="AB1111" i="28"/>
  <c r="AC1111" i="28"/>
  <c r="AD1111" i="28"/>
  <c r="AE1111" i="28"/>
  <c r="AF1111" i="28"/>
  <c r="AG1111" i="28"/>
  <c r="AH1111" i="28"/>
  <c r="AI1111" i="28"/>
  <c r="AJ1111" i="28"/>
  <c r="AK1111" i="28"/>
  <c r="AL1111" i="28"/>
  <c r="AM1111" i="28"/>
  <c r="AN1111" i="28"/>
  <c r="AO1111" i="28"/>
  <c r="G1112" i="28"/>
  <c r="H1112" i="28"/>
  <c r="I1112" i="28"/>
  <c r="J1112" i="28"/>
  <c r="K1112" i="28"/>
  <c r="L1112" i="28"/>
  <c r="M1112" i="28"/>
  <c r="N1112" i="28"/>
  <c r="O1112" i="28"/>
  <c r="P1112" i="28"/>
  <c r="Q1112" i="28"/>
  <c r="R1112" i="28"/>
  <c r="S1112" i="28"/>
  <c r="T1112" i="28"/>
  <c r="U1112" i="28"/>
  <c r="V1112" i="28"/>
  <c r="W1112" i="28"/>
  <c r="X1112" i="28"/>
  <c r="Y1112" i="28"/>
  <c r="Z1112" i="28"/>
  <c r="AA1112" i="28"/>
  <c r="AB1112" i="28"/>
  <c r="AC1112" i="28"/>
  <c r="AD1112" i="28"/>
  <c r="AE1112" i="28"/>
  <c r="AF1112" i="28"/>
  <c r="AG1112" i="28"/>
  <c r="AH1112" i="28"/>
  <c r="AI1112" i="28"/>
  <c r="AJ1112" i="28"/>
  <c r="AK1112" i="28"/>
  <c r="AL1112" i="28"/>
  <c r="AM1112" i="28"/>
  <c r="AN1112" i="28"/>
  <c r="AO1112" i="28"/>
  <c r="G1113" i="28"/>
  <c r="H1113" i="28"/>
  <c r="I1113" i="28"/>
  <c r="J1113" i="28"/>
  <c r="K1113" i="28"/>
  <c r="L1113" i="28"/>
  <c r="M1113" i="28"/>
  <c r="N1113" i="28"/>
  <c r="O1113" i="28"/>
  <c r="P1113" i="28"/>
  <c r="Q1113" i="28"/>
  <c r="R1113" i="28"/>
  <c r="S1113" i="28"/>
  <c r="T1113" i="28"/>
  <c r="U1113" i="28"/>
  <c r="V1113" i="28"/>
  <c r="W1113" i="28"/>
  <c r="X1113" i="28"/>
  <c r="Y1113" i="28"/>
  <c r="Z1113" i="28"/>
  <c r="AA1113" i="28"/>
  <c r="AB1113" i="28"/>
  <c r="AC1113" i="28"/>
  <c r="AD1113" i="28"/>
  <c r="AE1113" i="28"/>
  <c r="AF1113" i="28"/>
  <c r="AG1113" i="28"/>
  <c r="AH1113" i="28"/>
  <c r="AI1113" i="28"/>
  <c r="AJ1113" i="28"/>
  <c r="AK1113" i="28"/>
  <c r="AL1113" i="28"/>
  <c r="AM1113" i="28"/>
  <c r="AN1113" i="28"/>
  <c r="AO1113" i="28"/>
  <c r="G1114" i="28"/>
  <c r="H1114" i="28"/>
  <c r="I1114" i="28"/>
  <c r="J1114" i="28"/>
  <c r="K1114" i="28"/>
  <c r="L1114" i="28"/>
  <c r="M1114" i="28"/>
  <c r="N1114" i="28"/>
  <c r="O1114" i="28"/>
  <c r="P1114" i="28"/>
  <c r="Q1114" i="28"/>
  <c r="R1114" i="28"/>
  <c r="S1114" i="28"/>
  <c r="T1114" i="28"/>
  <c r="U1114" i="28"/>
  <c r="V1114" i="28"/>
  <c r="W1114" i="28"/>
  <c r="X1114" i="28"/>
  <c r="Y1114" i="28"/>
  <c r="Z1114" i="28"/>
  <c r="AA1114" i="28"/>
  <c r="AB1114" i="28"/>
  <c r="AC1114" i="28"/>
  <c r="AD1114" i="28"/>
  <c r="AE1114" i="28"/>
  <c r="AF1114" i="28"/>
  <c r="AG1114" i="28"/>
  <c r="AH1114" i="28"/>
  <c r="AI1114" i="28"/>
  <c r="AJ1114" i="28"/>
  <c r="AK1114" i="28"/>
  <c r="AL1114" i="28"/>
  <c r="AM1114" i="28"/>
  <c r="AN1114" i="28"/>
  <c r="AO1114" i="28"/>
  <c r="G1115" i="28"/>
  <c r="H1115" i="28"/>
  <c r="I1115" i="28"/>
  <c r="J1115" i="28"/>
  <c r="K1115" i="28"/>
  <c r="L1115" i="28"/>
  <c r="M1115" i="28"/>
  <c r="N1115" i="28"/>
  <c r="O1115" i="28"/>
  <c r="P1115" i="28"/>
  <c r="Q1115" i="28"/>
  <c r="R1115" i="28"/>
  <c r="S1115" i="28"/>
  <c r="T1115" i="28"/>
  <c r="U1115" i="28"/>
  <c r="V1115" i="28"/>
  <c r="W1115" i="28"/>
  <c r="X1115" i="28"/>
  <c r="Y1115" i="28"/>
  <c r="Z1115" i="28"/>
  <c r="AA1115" i="28"/>
  <c r="AB1115" i="28"/>
  <c r="AC1115" i="28"/>
  <c r="AD1115" i="28"/>
  <c r="AE1115" i="28"/>
  <c r="AF1115" i="28"/>
  <c r="AG1115" i="28"/>
  <c r="AH1115" i="28"/>
  <c r="AI1115" i="28"/>
  <c r="AJ1115" i="28"/>
  <c r="AK1115" i="28"/>
  <c r="AL1115" i="28"/>
  <c r="AM1115" i="28"/>
  <c r="AN1115" i="28"/>
  <c r="AO1115" i="28"/>
  <c r="G1116" i="28"/>
  <c r="H1116" i="28"/>
  <c r="I1116" i="28"/>
  <c r="J1116" i="28"/>
  <c r="K1116" i="28"/>
  <c r="L1116" i="28"/>
  <c r="M1116" i="28"/>
  <c r="N1116" i="28"/>
  <c r="O1116" i="28"/>
  <c r="P1116" i="28"/>
  <c r="Q1116" i="28"/>
  <c r="R1116" i="28"/>
  <c r="S1116" i="28"/>
  <c r="T1116" i="28"/>
  <c r="U1116" i="28"/>
  <c r="V1116" i="28"/>
  <c r="W1116" i="28"/>
  <c r="X1116" i="28"/>
  <c r="Y1116" i="28"/>
  <c r="Z1116" i="28"/>
  <c r="AA1116" i="28"/>
  <c r="AB1116" i="28"/>
  <c r="AC1116" i="28"/>
  <c r="AD1116" i="28"/>
  <c r="AE1116" i="28"/>
  <c r="AF1116" i="28"/>
  <c r="AG1116" i="28"/>
  <c r="AH1116" i="28"/>
  <c r="AI1116" i="28"/>
  <c r="AJ1116" i="28"/>
  <c r="AK1116" i="28"/>
  <c r="AL1116" i="28"/>
  <c r="AM1116" i="28"/>
  <c r="AN1116" i="28"/>
  <c r="AO1116" i="28"/>
  <c r="G1117" i="28"/>
  <c r="H1117" i="28"/>
  <c r="I1117" i="28"/>
  <c r="J1117" i="28"/>
  <c r="K1117" i="28"/>
  <c r="L1117" i="28"/>
  <c r="M1117" i="28"/>
  <c r="N1117" i="28"/>
  <c r="O1117" i="28"/>
  <c r="P1117" i="28"/>
  <c r="Q1117" i="28"/>
  <c r="R1117" i="28"/>
  <c r="S1117" i="28"/>
  <c r="T1117" i="28"/>
  <c r="U1117" i="28"/>
  <c r="V1117" i="28"/>
  <c r="W1117" i="28"/>
  <c r="X1117" i="28"/>
  <c r="Y1117" i="28"/>
  <c r="Z1117" i="28"/>
  <c r="AA1117" i="28"/>
  <c r="AB1117" i="28"/>
  <c r="AC1117" i="28"/>
  <c r="AD1117" i="28"/>
  <c r="AE1117" i="28"/>
  <c r="AF1117" i="28"/>
  <c r="AG1117" i="28"/>
  <c r="AH1117" i="28"/>
  <c r="AI1117" i="28"/>
  <c r="AJ1117" i="28"/>
  <c r="AK1117" i="28"/>
  <c r="AL1117" i="28"/>
  <c r="AM1117" i="28"/>
  <c r="AN1117" i="28"/>
  <c r="AO1117" i="28"/>
  <c r="G1118" i="28"/>
  <c r="H1118" i="28"/>
  <c r="I1118" i="28"/>
  <c r="J1118" i="28"/>
  <c r="K1118" i="28"/>
  <c r="L1118" i="28"/>
  <c r="M1118" i="28"/>
  <c r="N1118" i="28"/>
  <c r="O1118" i="28"/>
  <c r="P1118" i="28"/>
  <c r="Q1118" i="28"/>
  <c r="R1118" i="28"/>
  <c r="S1118" i="28"/>
  <c r="T1118" i="28"/>
  <c r="U1118" i="28"/>
  <c r="V1118" i="28"/>
  <c r="W1118" i="28"/>
  <c r="X1118" i="28"/>
  <c r="Y1118" i="28"/>
  <c r="Z1118" i="28"/>
  <c r="AA1118" i="28"/>
  <c r="AB1118" i="28"/>
  <c r="AC1118" i="28"/>
  <c r="AD1118" i="28"/>
  <c r="AE1118" i="28"/>
  <c r="AF1118" i="28"/>
  <c r="AG1118" i="28"/>
  <c r="AH1118" i="28"/>
  <c r="AI1118" i="28"/>
  <c r="AJ1118" i="28"/>
  <c r="AK1118" i="28"/>
  <c r="AL1118" i="28"/>
  <c r="AM1118" i="28"/>
  <c r="AN1118" i="28"/>
  <c r="AO1118" i="28"/>
  <c r="G1119" i="28"/>
  <c r="H1119" i="28"/>
  <c r="I1119" i="28"/>
  <c r="J1119" i="28"/>
  <c r="K1119" i="28"/>
  <c r="L1119" i="28"/>
  <c r="M1119" i="28"/>
  <c r="N1119" i="28"/>
  <c r="O1119" i="28"/>
  <c r="P1119" i="28"/>
  <c r="Q1119" i="28"/>
  <c r="R1119" i="28"/>
  <c r="S1119" i="28"/>
  <c r="T1119" i="28"/>
  <c r="U1119" i="28"/>
  <c r="V1119" i="28"/>
  <c r="W1119" i="28"/>
  <c r="X1119" i="28"/>
  <c r="Y1119" i="28"/>
  <c r="Z1119" i="28"/>
  <c r="AA1119" i="28"/>
  <c r="AB1119" i="28"/>
  <c r="AC1119" i="28"/>
  <c r="AD1119" i="28"/>
  <c r="AE1119" i="28"/>
  <c r="AF1119" i="28"/>
  <c r="AG1119" i="28"/>
  <c r="AH1119" i="28"/>
  <c r="AI1119" i="28"/>
  <c r="AJ1119" i="28"/>
  <c r="AK1119" i="28"/>
  <c r="AL1119" i="28"/>
  <c r="AM1119" i="28"/>
  <c r="AN1119" i="28"/>
  <c r="AO1119" i="28"/>
  <c r="G1120" i="28"/>
  <c r="H1120" i="28"/>
  <c r="I1120" i="28"/>
  <c r="J1120" i="28"/>
  <c r="K1120" i="28"/>
  <c r="L1120" i="28"/>
  <c r="M1120" i="28"/>
  <c r="N1120" i="28"/>
  <c r="O1120" i="28"/>
  <c r="P1120" i="28"/>
  <c r="Q1120" i="28"/>
  <c r="R1120" i="28"/>
  <c r="S1120" i="28"/>
  <c r="T1120" i="28"/>
  <c r="U1120" i="28"/>
  <c r="V1120" i="28"/>
  <c r="W1120" i="28"/>
  <c r="X1120" i="28"/>
  <c r="Y1120" i="28"/>
  <c r="Z1120" i="28"/>
  <c r="AA1120" i="28"/>
  <c r="AB1120" i="28"/>
  <c r="AC1120" i="28"/>
  <c r="AD1120" i="28"/>
  <c r="AE1120" i="28"/>
  <c r="AF1120" i="28"/>
  <c r="AG1120" i="28"/>
  <c r="AH1120" i="28"/>
  <c r="AI1120" i="28"/>
  <c r="AJ1120" i="28"/>
  <c r="AK1120" i="28"/>
  <c r="AL1120" i="28"/>
  <c r="AM1120" i="28"/>
  <c r="AN1120" i="28"/>
  <c r="AO1120" i="28"/>
  <c r="G1121" i="28"/>
  <c r="H1121" i="28"/>
  <c r="I1121" i="28"/>
  <c r="J1121" i="28"/>
  <c r="K1121" i="28"/>
  <c r="L1121" i="28"/>
  <c r="M1121" i="28"/>
  <c r="N1121" i="28"/>
  <c r="O1121" i="28"/>
  <c r="P1121" i="28"/>
  <c r="Q1121" i="28"/>
  <c r="R1121" i="28"/>
  <c r="S1121" i="28"/>
  <c r="T1121" i="28"/>
  <c r="U1121" i="28"/>
  <c r="V1121" i="28"/>
  <c r="W1121" i="28"/>
  <c r="X1121" i="28"/>
  <c r="Y1121" i="28"/>
  <c r="Z1121" i="28"/>
  <c r="AA1121" i="28"/>
  <c r="AB1121" i="28"/>
  <c r="AC1121" i="28"/>
  <c r="AD1121" i="28"/>
  <c r="AE1121" i="28"/>
  <c r="AF1121" i="28"/>
  <c r="AG1121" i="28"/>
  <c r="AH1121" i="28"/>
  <c r="AI1121" i="28"/>
  <c r="AJ1121" i="28"/>
  <c r="AK1121" i="28"/>
  <c r="AL1121" i="28"/>
  <c r="AM1121" i="28"/>
  <c r="AN1121" i="28"/>
  <c r="AO1121" i="28"/>
  <c r="G1122" i="28"/>
  <c r="H1122" i="28"/>
  <c r="I1122" i="28"/>
  <c r="J1122" i="28"/>
  <c r="K1122" i="28"/>
  <c r="L1122" i="28"/>
  <c r="M1122" i="28"/>
  <c r="N1122" i="28"/>
  <c r="O1122" i="28"/>
  <c r="P1122" i="28"/>
  <c r="Q1122" i="28"/>
  <c r="R1122" i="28"/>
  <c r="S1122" i="28"/>
  <c r="T1122" i="28"/>
  <c r="U1122" i="28"/>
  <c r="V1122" i="28"/>
  <c r="W1122" i="28"/>
  <c r="X1122" i="28"/>
  <c r="Y1122" i="28"/>
  <c r="Z1122" i="28"/>
  <c r="AA1122" i="28"/>
  <c r="AB1122" i="28"/>
  <c r="AC1122" i="28"/>
  <c r="AD1122" i="28"/>
  <c r="AE1122" i="28"/>
  <c r="AF1122" i="28"/>
  <c r="AG1122" i="28"/>
  <c r="AH1122" i="28"/>
  <c r="AI1122" i="28"/>
  <c r="AJ1122" i="28"/>
  <c r="AK1122" i="28"/>
  <c r="AL1122" i="28"/>
  <c r="AM1122" i="28"/>
  <c r="AN1122" i="28"/>
  <c r="AO1122" i="28"/>
  <c r="G1123" i="28"/>
  <c r="H1123" i="28"/>
  <c r="I1123" i="28"/>
  <c r="J1123" i="28"/>
  <c r="K1123" i="28"/>
  <c r="L1123" i="28"/>
  <c r="M1123" i="28"/>
  <c r="N1123" i="28"/>
  <c r="O1123" i="28"/>
  <c r="P1123" i="28"/>
  <c r="Q1123" i="28"/>
  <c r="R1123" i="28"/>
  <c r="S1123" i="28"/>
  <c r="T1123" i="28"/>
  <c r="U1123" i="28"/>
  <c r="V1123" i="28"/>
  <c r="W1123" i="28"/>
  <c r="X1123" i="28"/>
  <c r="Y1123" i="28"/>
  <c r="Z1123" i="28"/>
  <c r="AA1123" i="28"/>
  <c r="AB1123" i="28"/>
  <c r="AC1123" i="28"/>
  <c r="AD1123" i="28"/>
  <c r="AE1123" i="28"/>
  <c r="AF1123" i="28"/>
  <c r="AG1123" i="28"/>
  <c r="AH1123" i="28"/>
  <c r="AI1123" i="28"/>
  <c r="AJ1123" i="28"/>
  <c r="AK1123" i="28"/>
  <c r="AL1123" i="28"/>
  <c r="AM1123" i="28"/>
  <c r="AN1123" i="28"/>
  <c r="AO1123" i="28"/>
  <c r="G1124" i="28"/>
  <c r="H1124" i="28"/>
  <c r="I1124" i="28"/>
  <c r="J1124" i="28"/>
  <c r="K1124" i="28"/>
  <c r="L1124" i="28"/>
  <c r="M1124" i="28"/>
  <c r="N1124" i="28"/>
  <c r="O1124" i="28"/>
  <c r="P1124" i="28"/>
  <c r="Q1124" i="28"/>
  <c r="R1124" i="28"/>
  <c r="S1124" i="28"/>
  <c r="T1124" i="28"/>
  <c r="U1124" i="28"/>
  <c r="V1124" i="28"/>
  <c r="W1124" i="28"/>
  <c r="X1124" i="28"/>
  <c r="Y1124" i="28"/>
  <c r="Z1124" i="28"/>
  <c r="AA1124" i="28"/>
  <c r="AB1124" i="28"/>
  <c r="AC1124" i="28"/>
  <c r="AD1124" i="28"/>
  <c r="AE1124" i="28"/>
  <c r="AF1124" i="28"/>
  <c r="AG1124" i="28"/>
  <c r="AH1124" i="28"/>
  <c r="AI1124" i="28"/>
  <c r="AJ1124" i="28"/>
  <c r="AK1124" i="28"/>
  <c r="AL1124" i="28"/>
  <c r="AM1124" i="28"/>
  <c r="AN1124" i="28"/>
  <c r="AO1124" i="28"/>
  <c r="G1125" i="28"/>
  <c r="H1125" i="28"/>
  <c r="I1125" i="28"/>
  <c r="J1125" i="28"/>
  <c r="K1125" i="28"/>
  <c r="L1125" i="28"/>
  <c r="M1125" i="28"/>
  <c r="N1125" i="28"/>
  <c r="O1125" i="28"/>
  <c r="P1125" i="28"/>
  <c r="Q1125" i="28"/>
  <c r="R1125" i="28"/>
  <c r="S1125" i="28"/>
  <c r="T1125" i="28"/>
  <c r="U1125" i="28"/>
  <c r="V1125" i="28"/>
  <c r="W1125" i="28"/>
  <c r="X1125" i="28"/>
  <c r="Y1125" i="28"/>
  <c r="Z1125" i="28"/>
  <c r="AA1125" i="28"/>
  <c r="AB1125" i="28"/>
  <c r="AC1125" i="28"/>
  <c r="AD1125" i="28"/>
  <c r="AE1125" i="28"/>
  <c r="AF1125" i="28"/>
  <c r="AG1125" i="28"/>
  <c r="AH1125" i="28"/>
  <c r="AI1125" i="28"/>
  <c r="AJ1125" i="28"/>
  <c r="AK1125" i="28"/>
  <c r="AL1125" i="28"/>
  <c r="AM1125" i="28"/>
  <c r="AN1125" i="28"/>
  <c r="AO1125" i="28"/>
  <c r="G1126" i="28"/>
  <c r="H1126" i="28"/>
  <c r="I1126" i="28"/>
  <c r="J1126" i="28"/>
  <c r="K1126" i="28"/>
  <c r="L1126" i="28"/>
  <c r="M1126" i="28"/>
  <c r="N1126" i="28"/>
  <c r="O1126" i="28"/>
  <c r="P1126" i="28"/>
  <c r="Q1126" i="28"/>
  <c r="R1126" i="28"/>
  <c r="S1126" i="28"/>
  <c r="T1126" i="28"/>
  <c r="U1126" i="28"/>
  <c r="V1126" i="28"/>
  <c r="W1126" i="28"/>
  <c r="X1126" i="28"/>
  <c r="Y1126" i="28"/>
  <c r="Z1126" i="28"/>
  <c r="AA1126" i="28"/>
  <c r="AB1126" i="28"/>
  <c r="AC1126" i="28"/>
  <c r="AD1126" i="28"/>
  <c r="AE1126" i="28"/>
  <c r="AF1126" i="28"/>
  <c r="AG1126" i="28"/>
  <c r="AH1126" i="28"/>
  <c r="AI1126" i="28"/>
  <c r="AJ1126" i="28"/>
  <c r="AK1126" i="28"/>
  <c r="AL1126" i="28"/>
  <c r="AM1126" i="28"/>
  <c r="AN1126" i="28"/>
  <c r="AO1126" i="28"/>
  <c r="G1127" i="28"/>
  <c r="H1127" i="28"/>
  <c r="I1127" i="28"/>
  <c r="J1127" i="28"/>
  <c r="K1127" i="28"/>
  <c r="L1127" i="28"/>
  <c r="M1127" i="28"/>
  <c r="N1127" i="28"/>
  <c r="O1127" i="28"/>
  <c r="P1127" i="28"/>
  <c r="Q1127" i="28"/>
  <c r="R1127" i="28"/>
  <c r="S1127" i="28"/>
  <c r="T1127" i="28"/>
  <c r="U1127" i="28"/>
  <c r="V1127" i="28"/>
  <c r="W1127" i="28"/>
  <c r="X1127" i="28"/>
  <c r="Y1127" i="28"/>
  <c r="Z1127" i="28"/>
  <c r="AA1127" i="28"/>
  <c r="AB1127" i="28"/>
  <c r="AC1127" i="28"/>
  <c r="AD1127" i="28"/>
  <c r="AE1127" i="28"/>
  <c r="AF1127" i="28"/>
  <c r="AG1127" i="28"/>
  <c r="AH1127" i="28"/>
  <c r="AI1127" i="28"/>
  <c r="AJ1127" i="28"/>
  <c r="AK1127" i="28"/>
  <c r="AL1127" i="28"/>
  <c r="AM1127" i="28"/>
  <c r="AN1127" i="28"/>
  <c r="AO1127" i="28"/>
  <c r="G1128" i="28"/>
  <c r="H1128" i="28"/>
  <c r="I1128" i="28"/>
  <c r="J1128" i="28"/>
  <c r="K1128" i="28"/>
  <c r="L1128" i="28"/>
  <c r="M1128" i="28"/>
  <c r="N1128" i="28"/>
  <c r="O1128" i="28"/>
  <c r="P1128" i="28"/>
  <c r="Q1128" i="28"/>
  <c r="R1128" i="28"/>
  <c r="S1128" i="28"/>
  <c r="T1128" i="28"/>
  <c r="U1128" i="28"/>
  <c r="V1128" i="28"/>
  <c r="W1128" i="28"/>
  <c r="X1128" i="28"/>
  <c r="Y1128" i="28"/>
  <c r="Z1128" i="28"/>
  <c r="AA1128" i="28"/>
  <c r="AB1128" i="28"/>
  <c r="AC1128" i="28"/>
  <c r="AD1128" i="28"/>
  <c r="AE1128" i="28"/>
  <c r="AF1128" i="28"/>
  <c r="AG1128" i="28"/>
  <c r="AH1128" i="28"/>
  <c r="AI1128" i="28"/>
  <c r="AJ1128" i="28"/>
  <c r="AK1128" i="28"/>
  <c r="AL1128" i="28"/>
  <c r="AM1128" i="28"/>
  <c r="AN1128" i="28"/>
  <c r="AO1128" i="28"/>
  <c r="G1129" i="28"/>
  <c r="H1129" i="28"/>
  <c r="I1129" i="28"/>
  <c r="J1129" i="28"/>
  <c r="K1129" i="28"/>
  <c r="L1129" i="28"/>
  <c r="M1129" i="28"/>
  <c r="N1129" i="28"/>
  <c r="O1129" i="28"/>
  <c r="P1129" i="28"/>
  <c r="Q1129" i="28"/>
  <c r="R1129" i="28"/>
  <c r="S1129" i="28"/>
  <c r="T1129" i="28"/>
  <c r="U1129" i="28"/>
  <c r="V1129" i="28"/>
  <c r="W1129" i="28"/>
  <c r="X1129" i="28"/>
  <c r="Y1129" i="28"/>
  <c r="Z1129" i="28"/>
  <c r="AA1129" i="28"/>
  <c r="AB1129" i="28"/>
  <c r="AC1129" i="28"/>
  <c r="AD1129" i="28"/>
  <c r="AE1129" i="28"/>
  <c r="AF1129" i="28"/>
  <c r="AG1129" i="28"/>
  <c r="AH1129" i="28"/>
  <c r="AI1129" i="28"/>
  <c r="AJ1129" i="28"/>
  <c r="AK1129" i="28"/>
  <c r="AL1129" i="28"/>
  <c r="AM1129" i="28"/>
  <c r="AN1129" i="28"/>
  <c r="AO1129" i="28"/>
  <c r="G1130" i="28"/>
  <c r="H1130" i="28"/>
  <c r="I1130" i="28"/>
  <c r="J1130" i="28"/>
  <c r="K1130" i="28"/>
  <c r="L1130" i="28"/>
  <c r="M1130" i="28"/>
  <c r="N1130" i="28"/>
  <c r="O1130" i="28"/>
  <c r="P1130" i="28"/>
  <c r="Q1130" i="28"/>
  <c r="R1130" i="28"/>
  <c r="S1130" i="28"/>
  <c r="T1130" i="28"/>
  <c r="U1130" i="28"/>
  <c r="V1130" i="28"/>
  <c r="W1130" i="28"/>
  <c r="X1130" i="28"/>
  <c r="Y1130" i="28"/>
  <c r="Z1130" i="28"/>
  <c r="AA1130" i="28"/>
  <c r="AB1130" i="28"/>
  <c r="AC1130" i="28"/>
  <c r="AD1130" i="28"/>
  <c r="AE1130" i="28"/>
  <c r="AF1130" i="28"/>
  <c r="AG1130" i="28"/>
  <c r="AH1130" i="28"/>
  <c r="AI1130" i="28"/>
  <c r="AJ1130" i="28"/>
  <c r="AK1130" i="28"/>
  <c r="AL1130" i="28"/>
  <c r="AM1130" i="28"/>
  <c r="AN1130" i="28"/>
  <c r="AO1130" i="28"/>
  <c r="F1054" i="28"/>
  <c r="F1055" i="28"/>
  <c r="F1056" i="28"/>
  <c r="F1057" i="28"/>
  <c r="F1058" i="28"/>
  <c r="F1059" i="28"/>
  <c r="F1060" i="28"/>
  <c r="F1061" i="28"/>
  <c r="F1062" i="28"/>
  <c r="F1063" i="28"/>
  <c r="F1064" i="28"/>
  <c r="F1065" i="28"/>
  <c r="F1066" i="28"/>
  <c r="F1067" i="28"/>
  <c r="F1068" i="28"/>
  <c r="F1069" i="28"/>
  <c r="F1070" i="28"/>
  <c r="F1071" i="28"/>
  <c r="F1072" i="28"/>
  <c r="F1073" i="28"/>
  <c r="F1074" i="28"/>
  <c r="F1075" i="28"/>
  <c r="F1076" i="28"/>
  <c r="F1077" i="28"/>
  <c r="F1078" i="28"/>
  <c r="F1079" i="28"/>
  <c r="F1080" i="28"/>
  <c r="F1081" i="28"/>
  <c r="F1082" i="28"/>
  <c r="F1083" i="28"/>
  <c r="F1084" i="28"/>
  <c r="F1085" i="28"/>
  <c r="F1086" i="28"/>
  <c r="F1087" i="28"/>
  <c r="F1088" i="28"/>
  <c r="F1089" i="28"/>
  <c r="F1090" i="28"/>
  <c r="F1091" i="28"/>
  <c r="F1092" i="28"/>
  <c r="F1093" i="28"/>
  <c r="F1094" i="28"/>
  <c r="F1095" i="28"/>
  <c r="F1096" i="28"/>
  <c r="F1097" i="28"/>
  <c r="F1098" i="28"/>
  <c r="F1099" i="28"/>
  <c r="F1100" i="28"/>
  <c r="F1101" i="28"/>
  <c r="F1102" i="28"/>
  <c r="F1103" i="28"/>
  <c r="F1104" i="28"/>
  <c r="F1105" i="28"/>
  <c r="F1106" i="28"/>
  <c r="F1107" i="28"/>
  <c r="F1108" i="28"/>
  <c r="F1109" i="28"/>
  <c r="F1110" i="28"/>
  <c r="F1111" i="28"/>
  <c r="F1112" i="28"/>
  <c r="F1113" i="28"/>
  <c r="F1114" i="28"/>
  <c r="F1115" i="28"/>
  <c r="F1116" i="28"/>
  <c r="F1117" i="28"/>
  <c r="F1118" i="28"/>
  <c r="F1119" i="28"/>
  <c r="F1120" i="28"/>
  <c r="F1121" i="28"/>
  <c r="F1122" i="28"/>
  <c r="F1123" i="28"/>
  <c r="F1124" i="28"/>
  <c r="F1125" i="28"/>
  <c r="F1126" i="28"/>
  <c r="F1127" i="28"/>
  <c r="F1128" i="28"/>
  <c r="F1129" i="28"/>
  <c r="F1130" i="28"/>
  <c r="F1053" i="28"/>
  <c r="G1029" i="28" l="1"/>
  <c r="H1029" i="28"/>
  <c r="I1029" i="28"/>
  <c r="J1029" i="28"/>
  <c r="K1029" i="28"/>
  <c r="L1029" i="28"/>
  <c r="M1029" i="28"/>
  <c r="N1029" i="28"/>
  <c r="O1029" i="28"/>
  <c r="P1029" i="28"/>
  <c r="Q1029" i="28"/>
  <c r="R1029" i="28"/>
  <c r="S1029" i="28"/>
  <c r="T1029" i="28"/>
  <c r="U1029" i="28"/>
  <c r="V1029" i="28"/>
  <c r="W1029" i="28"/>
  <c r="X1029" i="28"/>
  <c r="Y1029" i="28"/>
  <c r="Z1029" i="28"/>
  <c r="AA1029" i="28"/>
  <c r="AB1029" i="28"/>
  <c r="AC1029" i="28"/>
  <c r="AD1029" i="28"/>
  <c r="AE1029" i="28"/>
  <c r="AF1029" i="28"/>
  <c r="AG1029" i="28"/>
  <c r="AH1029" i="28"/>
  <c r="AI1029" i="28"/>
  <c r="AJ1029" i="28"/>
  <c r="AK1029" i="28"/>
  <c r="AL1029" i="28"/>
  <c r="AM1029" i="28"/>
  <c r="AN1029" i="28"/>
  <c r="AO1029" i="28"/>
  <c r="G1030" i="28"/>
  <c r="H1030" i="28"/>
  <c r="I1030" i="28"/>
  <c r="J1030" i="28"/>
  <c r="K1030" i="28"/>
  <c r="L1030" i="28"/>
  <c r="M1030" i="28"/>
  <c r="N1030" i="28"/>
  <c r="O1030" i="28"/>
  <c r="P1030" i="28"/>
  <c r="Q1030" i="28"/>
  <c r="R1030" i="28"/>
  <c r="S1030" i="28"/>
  <c r="T1030" i="28"/>
  <c r="U1030" i="28"/>
  <c r="V1030" i="28"/>
  <c r="W1030" i="28"/>
  <c r="X1030" i="28"/>
  <c r="Y1030" i="28"/>
  <c r="Z1030" i="28"/>
  <c r="AA1030" i="28"/>
  <c r="AB1030" i="28"/>
  <c r="AC1030" i="28"/>
  <c r="AD1030" i="28"/>
  <c r="AE1030" i="28"/>
  <c r="AF1030" i="28"/>
  <c r="AG1030" i="28"/>
  <c r="AH1030" i="28"/>
  <c r="AI1030" i="28"/>
  <c r="AJ1030" i="28"/>
  <c r="AK1030" i="28"/>
  <c r="AL1030" i="28"/>
  <c r="AM1030" i="28"/>
  <c r="AN1030" i="28"/>
  <c r="AO1030" i="28"/>
  <c r="G1031" i="28"/>
  <c r="H1031" i="28"/>
  <c r="I1031" i="28"/>
  <c r="J1031" i="28"/>
  <c r="K1031" i="28"/>
  <c r="L1031" i="28"/>
  <c r="M1031" i="28"/>
  <c r="N1031" i="28"/>
  <c r="O1031" i="28"/>
  <c r="P1031" i="28"/>
  <c r="Q1031" i="28"/>
  <c r="R1031" i="28"/>
  <c r="S1031" i="28"/>
  <c r="T1031" i="28"/>
  <c r="U1031" i="28"/>
  <c r="V1031" i="28"/>
  <c r="W1031" i="28"/>
  <c r="X1031" i="28"/>
  <c r="Y1031" i="28"/>
  <c r="Z1031" i="28"/>
  <c r="AA1031" i="28"/>
  <c r="AB1031" i="28"/>
  <c r="AC1031" i="28"/>
  <c r="AD1031" i="28"/>
  <c r="AE1031" i="28"/>
  <c r="AF1031" i="28"/>
  <c r="AG1031" i="28"/>
  <c r="AH1031" i="28"/>
  <c r="AI1031" i="28"/>
  <c r="AJ1031" i="28"/>
  <c r="AK1031" i="28"/>
  <c r="AL1031" i="28"/>
  <c r="AM1031" i="28"/>
  <c r="AN1031" i="28"/>
  <c r="AO1031" i="28"/>
  <c r="G1032" i="28"/>
  <c r="H1032" i="28"/>
  <c r="I1032" i="28"/>
  <c r="J1032" i="28"/>
  <c r="K1032" i="28"/>
  <c r="L1032" i="28"/>
  <c r="M1032" i="28"/>
  <c r="N1032" i="28"/>
  <c r="O1032" i="28"/>
  <c r="P1032" i="28"/>
  <c r="Q1032" i="28"/>
  <c r="R1032" i="28"/>
  <c r="S1032" i="28"/>
  <c r="T1032" i="28"/>
  <c r="U1032" i="28"/>
  <c r="V1032" i="28"/>
  <c r="W1032" i="28"/>
  <c r="X1032" i="28"/>
  <c r="Y1032" i="28"/>
  <c r="Z1032" i="28"/>
  <c r="AA1032" i="28"/>
  <c r="AB1032" i="28"/>
  <c r="AC1032" i="28"/>
  <c r="AD1032" i="28"/>
  <c r="AE1032" i="28"/>
  <c r="AF1032" i="28"/>
  <c r="AG1032" i="28"/>
  <c r="AH1032" i="28"/>
  <c r="AI1032" i="28"/>
  <c r="AJ1032" i="28"/>
  <c r="AK1032" i="28"/>
  <c r="AL1032" i="28"/>
  <c r="AM1032" i="28"/>
  <c r="AN1032" i="28"/>
  <c r="AO1032" i="28"/>
  <c r="G1033" i="28"/>
  <c r="H1033" i="28"/>
  <c r="I1033" i="28"/>
  <c r="J1033" i="28"/>
  <c r="K1033" i="28"/>
  <c r="L1033" i="28"/>
  <c r="M1033" i="28"/>
  <c r="N1033" i="28"/>
  <c r="O1033" i="28"/>
  <c r="P1033" i="28"/>
  <c r="Q1033" i="28"/>
  <c r="R1033" i="28"/>
  <c r="S1033" i="28"/>
  <c r="T1033" i="28"/>
  <c r="U1033" i="28"/>
  <c r="V1033" i="28"/>
  <c r="W1033" i="28"/>
  <c r="X1033" i="28"/>
  <c r="Y1033" i="28"/>
  <c r="Z1033" i="28"/>
  <c r="AA1033" i="28"/>
  <c r="AB1033" i="28"/>
  <c r="AC1033" i="28"/>
  <c r="AD1033" i="28"/>
  <c r="AE1033" i="28"/>
  <c r="AF1033" i="28"/>
  <c r="AG1033" i="28"/>
  <c r="AH1033" i="28"/>
  <c r="AI1033" i="28"/>
  <c r="AJ1033" i="28"/>
  <c r="AK1033" i="28"/>
  <c r="AL1033" i="28"/>
  <c r="AM1033" i="28"/>
  <c r="AN1033" i="28"/>
  <c r="AO1033" i="28"/>
  <c r="G1034" i="28"/>
  <c r="H1034" i="28"/>
  <c r="I1034" i="28"/>
  <c r="J1034" i="28"/>
  <c r="K1034" i="28"/>
  <c r="L1034" i="28"/>
  <c r="M1034" i="28"/>
  <c r="N1034" i="28"/>
  <c r="O1034" i="28"/>
  <c r="P1034" i="28"/>
  <c r="Q1034" i="28"/>
  <c r="R1034" i="28"/>
  <c r="S1034" i="28"/>
  <c r="T1034" i="28"/>
  <c r="U1034" i="28"/>
  <c r="V1034" i="28"/>
  <c r="W1034" i="28"/>
  <c r="X1034" i="28"/>
  <c r="Y1034" i="28"/>
  <c r="Z1034" i="28"/>
  <c r="AA1034" i="28"/>
  <c r="AB1034" i="28"/>
  <c r="AC1034" i="28"/>
  <c r="AD1034" i="28"/>
  <c r="AE1034" i="28"/>
  <c r="AF1034" i="28"/>
  <c r="AG1034" i="28"/>
  <c r="AH1034" i="28"/>
  <c r="AI1034" i="28"/>
  <c r="AJ1034" i="28"/>
  <c r="AK1034" i="28"/>
  <c r="AL1034" i="28"/>
  <c r="AM1034" i="28"/>
  <c r="AN1034" i="28"/>
  <c r="AO1034" i="28"/>
  <c r="G1035" i="28"/>
  <c r="H1035" i="28"/>
  <c r="I1035" i="28"/>
  <c r="J1035" i="28"/>
  <c r="K1035" i="28"/>
  <c r="L1035" i="28"/>
  <c r="M1035" i="28"/>
  <c r="N1035" i="28"/>
  <c r="O1035" i="28"/>
  <c r="P1035" i="28"/>
  <c r="Q1035" i="28"/>
  <c r="R1035" i="28"/>
  <c r="S1035" i="28"/>
  <c r="T1035" i="28"/>
  <c r="U1035" i="28"/>
  <c r="V1035" i="28"/>
  <c r="W1035" i="28"/>
  <c r="X1035" i="28"/>
  <c r="Y1035" i="28"/>
  <c r="Z1035" i="28"/>
  <c r="AA1035" i="28"/>
  <c r="AB1035" i="28"/>
  <c r="AC1035" i="28"/>
  <c r="AD1035" i="28"/>
  <c r="AE1035" i="28"/>
  <c r="AF1035" i="28"/>
  <c r="AG1035" i="28"/>
  <c r="AH1035" i="28"/>
  <c r="AI1035" i="28"/>
  <c r="AJ1035" i="28"/>
  <c r="AK1035" i="28"/>
  <c r="AL1035" i="28"/>
  <c r="AM1035" i="28"/>
  <c r="AN1035" i="28"/>
  <c r="AO1035" i="28"/>
  <c r="G1036" i="28"/>
  <c r="H1036" i="28"/>
  <c r="I1036" i="28"/>
  <c r="J1036" i="28"/>
  <c r="K1036" i="28"/>
  <c r="L1036" i="28"/>
  <c r="M1036" i="28"/>
  <c r="N1036" i="28"/>
  <c r="O1036" i="28"/>
  <c r="P1036" i="28"/>
  <c r="Q1036" i="28"/>
  <c r="R1036" i="28"/>
  <c r="S1036" i="28"/>
  <c r="T1036" i="28"/>
  <c r="U1036" i="28"/>
  <c r="V1036" i="28"/>
  <c r="W1036" i="28"/>
  <c r="X1036" i="28"/>
  <c r="Y1036" i="28"/>
  <c r="Z1036" i="28"/>
  <c r="AA1036" i="28"/>
  <c r="AB1036" i="28"/>
  <c r="AC1036" i="28"/>
  <c r="AD1036" i="28"/>
  <c r="AE1036" i="28"/>
  <c r="AF1036" i="28"/>
  <c r="AG1036" i="28"/>
  <c r="AH1036" i="28"/>
  <c r="AI1036" i="28"/>
  <c r="AJ1036" i="28"/>
  <c r="AK1036" i="28"/>
  <c r="AL1036" i="28"/>
  <c r="AM1036" i="28"/>
  <c r="AN1036" i="28"/>
  <c r="AO1036" i="28"/>
  <c r="G1037" i="28"/>
  <c r="H1037" i="28"/>
  <c r="I1037" i="28"/>
  <c r="J1037" i="28"/>
  <c r="K1037" i="28"/>
  <c r="L1037" i="28"/>
  <c r="M1037" i="28"/>
  <c r="N1037" i="28"/>
  <c r="O1037" i="28"/>
  <c r="P1037" i="28"/>
  <c r="Q1037" i="28"/>
  <c r="R1037" i="28"/>
  <c r="S1037" i="28"/>
  <c r="T1037" i="28"/>
  <c r="U1037" i="28"/>
  <c r="V1037" i="28"/>
  <c r="W1037" i="28"/>
  <c r="X1037" i="28"/>
  <c r="Y1037" i="28"/>
  <c r="Z1037" i="28"/>
  <c r="AA1037" i="28"/>
  <c r="AB1037" i="28"/>
  <c r="AC1037" i="28"/>
  <c r="AD1037" i="28"/>
  <c r="AE1037" i="28"/>
  <c r="AF1037" i="28"/>
  <c r="AG1037" i="28"/>
  <c r="AH1037" i="28"/>
  <c r="AI1037" i="28"/>
  <c r="AJ1037" i="28"/>
  <c r="AK1037" i="28"/>
  <c r="AL1037" i="28"/>
  <c r="AM1037" i="28"/>
  <c r="AN1037" i="28"/>
  <c r="AO1037" i="28"/>
  <c r="F1036" i="28"/>
  <c r="F1037" i="28"/>
  <c r="F1035" i="28"/>
  <c r="F1030" i="28"/>
  <c r="F1031" i="28"/>
  <c r="F1032" i="28"/>
  <c r="F1033" i="28"/>
  <c r="F1034" i="28"/>
  <c r="F1029" i="28"/>
  <c r="G984" i="28"/>
  <c r="H984" i="28"/>
  <c r="I984" i="28"/>
  <c r="J984" i="28"/>
  <c r="K984" i="28"/>
  <c r="L984" i="28"/>
  <c r="M984" i="28"/>
  <c r="N984" i="28"/>
  <c r="O984" i="28"/>
  <c r="P984" i="28"/>
  <c r="Q984" i="28"/>
  <c r="R984" i="28"/>
  <c r="S984" i="28"/>
  <c r="T984" i="28"/>
  <c r="U984" i="28"/>
  <c r="V984" i="28"/>
  <c r="W984" i="28"/>
  <c r="X984" i="28"/>
  <c r="Y984" i="28"/>
  <c r="Z984" i="28"/>
  <c r="AA984" i="28"/>
  <c r="AB984" i="28"/>
  <c r="AC984" i="28"/>
  <c r="AD984" i="28"/>
  <c r="AE984" i="28"/>
  <c r="AF984" i="28"/>
  <c r="AG984" i="28"/>
  <c r="AH984" i="28"/>
  <c r="AI984" i="28"/>
  <c r="AJ984" i="28"/>
  <c r="AK984" i="28"/>
  <c r="AL984" i="28"/>
  <c r="AM984" i="28"/>
  <c r="AN984" i="28"/>
  <c r="AO984" i="28"/>
  <c r="G985" i="28"/>
  <c r="H985" i="28"/>
  <c r="I985" i="28"/>
  <c r="J985" i="28"/>
  <c r="K985" i="28"/>
  <c r="L985" i="28"/>
  <c r="M985" i="28"/>
  <c r="N985" i="28"/>
  <c r="O985" i="28"/>
  <c r="P985" i="28"/>
  <c r="Q985" i="28"/>
  <c r="R985" i="28"/>
  <c r="S985" i="28"/>
  <c r="T985" i="28"/>
  <c r="U985" i="28"/>
  <c r="V985" i="28"/>
  <c r="W985" i="28"/>
  <c r="X985" i="28"/>
  <c r="Y985" i="28"/>
  <c r="Z985" i="28"/>
  <c r="AA985" i="28"/>
  <c r="AB985" i="28"/>
  <c r="AC985" i="28"/>
  <c r="AD985" i="28"/>
  <c r="AE985" i="28"/>
  <c r="AF985" i="28"/>
  <c r="AG985" i="28"/>
  <c r="AH985" i="28"/>
  <c r="AI985" i="28"/>
  <c r="AJ985" i="28"/>
  <c r="AK985" i="28"/>
  <c r="AL985" i="28"/>
  <c r="AM985" i="28"/>
  <c r="AN985" i="28"/>
  <c r="AO985" i="28"/>
  <c r="G986" i="28"/>
  <c r="H986" i="28"/>
  <c r="I986" i="28"/>
  <c r="J986" i="28"/>
  <c r="K986" i="28"/>
  <c r="L986" i="28"/>
  <c r="M986" i="28"/>
  <c r="N986" i="28"/>
  <c r="O986" i="28"/>
  <c r="P986" i="28"/>
  <c r="Q986" i="28"/>
  <c r="R986" i="28"/>
  <c r="S986" i="28"/>
  <c r="T986" i="28"/>
  <c r="U986" i="28"/>
  <c r="V986" i="28"/>
  <c r="W986" i="28"/>
  <c r="X986" i="28"/>
  <c r="Y986" i="28"/>
  <c r="Z986" i="28"/>
  <c r="AA986" i="28"/>
  <c r="AB986" i="28"/>
  <c r="AC986" i="28"/>
  <c r="AD986" i="28"/>
  <c r="AE986" i="28"/>
  <c r="AF986" i="28"/>
  <c r="AG986" i="28"/>
  <c r="AH986" i="28"/>
  <c r="AI986" i="28"/>
  <c r="AJ986" i="28"/>
  <c r="AK986" i="28"/>
  <c r="AL986" i="28"/>
  <c r="AM986" i="28"/>
  <c r="AN986" i="28"/>
  <c r="AO986" i="28"/>
  <c r="G987" i="28"/>
  <c r="H987" i="28"/>
  <c r="I987" i="28"/>
  <c r="J987" i="28"/>
  <c r="K987" i="28"/>
  <c r="L987" i="28"/>
  <c r="M987" i="28"/>
  <c r="N987" i="28"/>
  <c r="O987" i="28"/>
  <c r="P987" i="28"/>
  <c r="Q987" i="28"/>
  <c r="R987" i="28"/>
  <c r="S987" i="28"/>
  <c r="T987" i="28"/>
  <c r="U987" i="28"/>
  <c r="V987" i="28"/>
  <c r="W987" i="28"/>
  <c r="X987" i="28"/>
  <c r="Y987" i="28"/>
  <c r="Z987" i="28"/>
  <c r="AA987" i="28"/>
  <c r="AB987" i="28"/>
  <c r="AC987" i="28"/>
  <c r="AD987" i="28"/>
  <c r="AE987" i="28"/>
  <c r="AF987" i="28"/>
  <c r="AG987" i="28"/>
  <c r="AH987" i="28"/>
  <c r="AI987" i="28"/>
  <c r="AJ987" i="28"/>
  <c r="AK987" i="28"/>
  <c r="AL987" i="28"/>
  <c r="AM987" i="28"/>
  <c r="AN987" i="28"/>
  <c r="AO987" i="28"/>
  <c r="G988" i="28"/>
  <c r="H988" i="28"/>
  <c r="I988" i="28"/>
  <c r="J988" i="28"/>
  <c r="K988" i="28"/>
  <c r="L988" i="28"/>
  <c r="M988" i="28"/>
  <c r="N988" i="28"/>
  <c r="O988" i="28"/>
  <c r="P988" i="28"/>
  <c r="Q988" i="28"/>
  <c r="R988" i="28"/>
  <c r="S988" i="28"/>
  <c r="T988" i="28"/>
  <c r="U988" i="28"/>
  <c r="V988" i="28"/>
  <c r="W988" i="28"/>
  <c r="X988" i="28"/>
  <c r="Y988" i="28"/>
  <c r="Z988" i="28"/>
  <c r="AA988" i="28"/>
  <c r="AB988" i="28"/>
  <c r="AC988" i="28"/>
  <c r="AD988" i="28"/>
  <c r="AE988" i="28"/>
  <c r="AF988" i="28"/>
  <c r="AG988" i="28"/>
  <c r="AH988" i="28"/>
  <c r="AI988" i="28"/>
  <c r="AJ988" i="28"/>
  <c r="AK988" i="28"/>
  <c r="AL988" i="28"/>
  <c r="AM988" i="28"/>
  <c r="AN988" i="28"/>
  <c r="AO988" i="28"/>
  <c r="G989" i="28"/>
  <c r="H989" i="28"/>
  <c r="I989" i="28"/>
  <c r="J989" i="28"/>
  <c r="K989" i="28"/>
  <c r="L989" i="28"/>
  <c r="M989" i="28"/>
  <c r="N989" i="28"/>
  <c r="O989" i="28"/>
  <c r="P989" i="28"/>
  <c r="Q989" i="28"/>
  <c r="R989" i="28"/>
  <c r="S989" i="28"/>
  <c r="T989" i="28"/>
  <c r="U989" i="28"/>
  <c r="V989" i="28"/>
  <c r="W989" i="28"/>
  <c r="X989" i="28"/>
  <c r="Y989" i="28"/>
  <c r="Z989" i="28"/>
  <c r="AA989" i="28"/>
  <c r="AB989" i="28"/>
  <c r="AC989" i="28"/>
  <c r="AD989" i="28"/>
  <c r="AE989" i="28"/>
  <c r="AF989" i="28"/>
  <c r="AG989" i="28"/>
  <c r="AH989" i="28"/>
  <c r="AI989" i="28"/>
  <c r="AJ989" i="28"/>
  <c r="AK989" i="28"/>
  <c r="AL989" i="28"/>
  <c r="AM989" i="28"/>
  <c r="AN989" i="28"/>
  <c r="AO989" i="28"/>
  <c r="G990" i="28"/>
  <c r="H990" i="28"/>
  <c r="I990" i="28"/>
  <c r="J990" i="28"/>
  <c r="K990" i="28"/>
  <c r="L990" i="28"/>
  <c r="M990" i="28"/>
  <c r="N990" i="28"/>
  <c r="O990" i="28"/>
  <c r="P990" i="28"/>
  <c r="Q990" i="28"/>
  <c r="R990" i="28"/>
  <c r="S990" i="28"/>
  <c r="T990" i="28"/>
  <c r="U990" i="28"/>
  <c r="V990" i="28"/>
  <c r="W990" i="28"/>
  <c r="X990" i="28"/>
  <c r="Y990" i="28"/>
  <c r="Z990" i="28"/>
  <c r="AA990" i="28"/>
  <c r="AB990" i="28"/>
  <c r="AC990" i="28"/>
  <c r="AD990" i="28"/>
  <c r="AE990" i="28"/>
  <c r="AF990" i="28"/>
  <c r="AG990" i="28"/>
  <c r="AH990" i="28"/>
  <c r="AI990" i="28"/>
  <c r="AJ990" i="28"/>
  <c r="AK990" i="28"/>
  <c r="AL990" i="28"/>
  <c r="AM990" i="28"/>
  <c r="AN990" i="28"/>
  <c r="AO990" i="28"/>
  <c r="G991" i="28"/>
  <c r="H991" i="28"/>
  <c r="I991" i="28"/>
  <c r="J991" i="28"/>
  <c r="K991" i="28"/>
  <c r="L991" i="28"/>
  <c r="M991" i="28"/>
  <c r="N991" i="28"/>
  <c r="O991" i="28"/>
  <c r="P991" i="28"/>
  <c r="Q991" i="28"/>
  <c r="R991" i="28"/>
  <c r="S991" i="28"/>
  <c r="T991" i="28"/>
  <c r="U991" i="28"/>
  <c r="V991" i="28"/>
  <c r="W991" i="28"/>
  <c r="X991" i="28"/>
  <c r="Y991" i="28"/>
  <c r="Z991" i="28"/>
  <c r="AA991" i="28"/>
  <c r="AB991" i="28"/>
  <c r="AC991" i="28"/>
  <c r="AD991" i="28"/>
  <c r="AE991" i="28"/>
  <c r="AF991" i="28"/>
  <c r="AG991" i="28"/>
  <c r="AH991" i="28"/>
  <c r="AI991" i="28"/>
  <c r="AJ991" i="28"/>
  <c r="AK991" i="28"/>
  <c r="AL991" i="28"/>
  <c r="AM991" i="28"/>
  <c r="AN991" i="28"/>
  <c r="AO991" i="28"/>
  <c r="G992" i="28"/>
  <c r="H992" i="28"/>
  <c r="I992" i="28"/>
  <c r="J992" i="28"/>
  <c r="K992" i="28"/>
  <c r="L992" i="28"/>
  <c r="M992" i="28"/>
  <c r="N992" i="28"/>
  <c r="O992" i="28"/>
  <c r="P992" i="28"/>
  <c r="Q992" i="28"/>
  <c r="R992" i="28"/>
  <c r="S992" i="28"/>
  <c r="T992" i="28"/>
  <c r="U992" i="28"/>
  <c r="V992" i="28"/>
  <c r="W992" i="28"/>
  <c r="X992" i="28"/>
  <c r="Y992" i="28"/>
  <c r="Z992" i="28"/>
  <c r="AA992" i="28"/>
  <c r="AB992" i="28"/>
  <c r="AC992" i="28"/>
  <c r="AD992" i="28"/>
  <c r="AE992" i="28"/>
  <c r="AF992" i="28"/>
  <c r="AG992" i="28"/>
  <c r="AH992" i="28"/>
  <c r="AI992" i="28"/>
  <c r="AJ992" i="28"/>
  <c r="AK992" i="28"/>
  <c r="AL992" i="28"/>
  <c r="AM992" i="28"/>
  <c r="AN992" i="28"/>
  <c r="AO992" i="28"/>
  <c r="G993" i="28"/>
  <c r="H993" i="28"/>
  <c r="I993" i="28"/>
  <c r="J993" i="28"/>
  <c r="K993" i="28"/>
  <c r="L993" i="28"/>
  <c r="M993" i="28"/>
  <c r="N993" i="28"/>
  <c r="O993" i="28"/>
  <c r="P993" i="28"/>
  <c r="Q993" i="28"/>
  <c r="R993" i="28"/>
  <c r="S993" i="28"/>
  <c r="T993" i="28"/>
  <c r="U993" i="28"/>
  <c r="V993" i="28"/>
  <c r="W993" i="28"/>
  <c r="X993" i="28"/>
  <c r="Y993" i="28"/>
  <c r="Z993" i="28"/>
  <c r="AA993" i="28"/>
  <c r="AB993" i="28"/>
  <c r="AC993" i="28"/>
  <c r="AD993" i="28"/>
  <c r="AE993" i="28"/>
  <c r="AF993" i="28"/>
  <c r="AG993" i="28"/>
  <c r="AH993" i="28"/>
  <c r="AI993" i="28"/>
  <c r="AJ993" i="28"/>
  <c r="AK993" i="28"/>
  <c r="AL993" i="28"/>
  <c r="AM993" i="28"/>
  <c r="AN993" i="28"/>
  <c r="AO993" i="28"/>
  <c r="G994" i="28"/>
  <c r="H994" i="28"/>
  <c r="I994" i="28"/>
  <c r="J994" i="28"/>
  <c r="K994" i="28"/>
  <c r="L994" i="28"/>
  <c r="M994" i="28"/>
  <c r="N994" i="28"/>
  <c r="O994" i="28"/>
  <c r="P994" i="28"/>
  <c r="Q994" i="28"/>
  <c r="R994" i="28"/>
  <c r="S994" i="28"/>
  <c r="T994" i="28"/>
  <c r="U994" i="28"/>
  <c r="V994" i="28"/>
  <c r="W994" i="28"/>
  <c r="X994" i="28"/>
  <c r="Y994" i="28"/>
  <c r="Z994" i="28"/>
  <c r="AA994" i="28"/>
  <c r="AB994" i="28"/>
  <c r="AC994" i="28"/>
  <c r="AD994" i="28"/>
  <c r="AE994" i="28"/>
  <c r="AF994" i="28"/>
  <c r="AG994" i="28"/>
  <c r="AH994" i="28"/>
  <c r="AI994" i="28"/>
  <c r="AJ994" i="28"/>
  <c r="AK994" i="28"/>
  <c r="AL994" i="28"/>
  <c r="AM994" i="28"/>
  <c r="AN994" i="28"/>
  <c r="AO994" i="28"/>
  <c r="G995" i="28"/>
  <c r="H995" i="28"/>
  <c r="I995" i="28"/>
  <c r="J995" i="28"/>
  <c r="K995" i="28"/>
  <c r="L995" i="28"/>
  <c r="M995" i="28"/>
  <c r="N995" i="28"/>
  <c r="O995" i="28"/>
  <c r="P995" i="28"/>
  <c r="Q995" i="28"/>
  <c r="R995" i="28"/>
  <c r="S995" i="28"/>
  <c r="T995" i="28"/>
  <c r="U995" i="28"/>
  <c r="V995" i="28"/>
  <c r="W995" i="28"/>
  <c r="X995" i="28"/>
  <c r="Y995" i="28"/>
  <c r="Z995" i="28"/>
  <c r="AA995" i="28"/>
  <c r="AB995" i="28"/>
  <c r="AC995" i="28"/>
  <c r="AD995" i="28"/>
  <c r="AE995" i="28"/>
  <c r="AF995" i="28"/>
  <c r="AG995" i="28"/>
  <c r="AH995" i="28"/>
  <c r="AI995" i="28"/>
  <c r="AJ995" i="28"/>
  <c r="AK995" i="28"/>
  <c r="AL995" i="28"/>
  <c r="AM995" i="28"/>
  <c r="AN995" i="28"/>
  <c r="AO995" i="28"/>
  <c r="G996" i="28"/>
  <c r="H996" i="28"/>
  <c r="I996" i="28"/>
  <c r="J996" i="28"/>
  <c r="K996" i="28"/>
  <c r="L996" i="28"/>
  <c r="M996" i="28"/>
  <c r="N996" i="28"/>
  <c r="O996" i="28"/>
  <c r="P996" i="28"/>
  <c r="Q996" i="28"/>
  <c r="R996" i="28"/>
  <c r="S996" i="28"/>
  <c r="T996" i="28"/>
  <c r="U996" i="28"/>
  <c r="V996" i="28"/>
  <c r="W996" i="28"/>
  <c r="X996" i="28"/>
  <c r="Y996" i="28"/>
  <c r="Z996" i="28"/>
  <c r="AA996" i="28"/>
  <c r="AB996" i="28"/>
  <c r="AC996" i="28"/>
  <c r="AD996" i="28"/>
  <c r="AE996" i="28"/>
  <c r="AF996" i="28"/>
  <c r="AG996" i="28"/>
  <c r="AH996" i="28"/>
  <c r="AI996" i="28"/>
  <c r="AJ996" i="28"/>
  <c r="AK996" i="28"/>
  <c r="AL996" i="28"/>
  <c r="AM996" i="28"/>
  <c r="AN996" i="28"/>
  <c r="AO996" i="28"/>
  <c r="G997" i="28"/>
  <c r="H997" i="28"/>
  <c r="I997" i="28"/>
  <c r="J997" i="28"/>
  <c r="K997" i="28"/>
  <c r="L997" i="28"/>
  <c r="M997" i="28"/>
  <c r="N997" i="28"/>
  <c r="O997" i="28"/>
  <c r="P997" i="28"/>
  <c r="Q997" i="28"/>
  <c r="R997" i="28"/>
  <c r="S997" i="28"/>
  <c r="T997" i="28"/>
  <c r="U997" i="28"/>
  <c r="V997" i="28"/>
  <c r="W997" i="28"/>
  <c r="X997" i="28"/>
  <c r="Y997" i="28"/>
  <c r="Z997" i="28"/>
  <c r="AA997" i="28"/>
  <c r="AB997" i="28"/>
  <c r="AC997" i="28"/>
  <c r="AD997" i="28"/>
  <c r="AE997" i="28"/>
  <c r="AF997" i="28"/>
  <c r="AG997" i="28"/>
  <c r="AH997" i="28"/>
  <c r="AI997" i="28"/>
  <c r="AJ997" i="28"/>
  <c r="AK997" i="28"/>
  <c r="AL997" i="28"/>
  <c r="AM997" i="28"/>
  <c r="AN997" i="28"/>
  <c r="AO997" i="28"/>
  <c r="G998" i="28"/>
  <c r="H998" i="28"/>
  <c r="I998" i="28"/>
  <c r="J998" i="28"/>
  <c r="K998" i="28"/>
  <c r="L998" i="28"/>
  <c r="M998" i="28"/>
  <c r="N998" i="28"/>
  <c r="O998" i="28"/>
  <c r="P998" i="28"/>
  <c r="Q998" i="28"/>
  <c r="R998" i="28"/>
  <c r="S998" i="28"/>
  <c r="T998" i="28"/>
  <c r="U998" i="28"/>
  <c r="V998" i="28"/>
  <c r="W998" i="28"/>
  <c r="X998" i="28"/>
  <c r="Y998" i="28"/>
  <c r="Z998" i="28"/>
  <c r="AA998" i="28"/>
  <c r="AB998" i="28"/>
  <c r="AC998" i="28"/>
  <c r="AD998" i="28"/>
  <c r="AE998" i="28"/>
  <c r="AF998" i="28"/>
  <c r="AG998" i="28"/>
  <c r="AH998" i="28"/>
  <c r="AI998" i="28"/>
  <c r="AJ998" i="28"/>
  <c r="AK998" i="28"/>
  <c r="AL998" i="28"/>
  <c r="AM998" i="28"/>
  <c r="AN998" i="28"/>
  <c r="AO998" i="28"/>
  <c r="G999" i="28"/>
  <c r="H999" i="28"/>
  <c r="I999" i="28"/>
  <c r="J999" i="28"/>
  <c r="K999" i="28"/>
  <c r="L999" i="28"/>
  <c r="M999" i="28"/>
  <c r="N999" i="28"/>
  <c r="O999" i="28"/>
  <c r="P999" i="28"/>
  <c r="Q999" i="28"/>
  <c r="R999" i="28"/>
  <c r="S999" i="28"/>
  <c r="T999" i="28"/>
  <c r="U999" i="28"/>
  <c r="V999" i="28"/>
  <c r="W999" i="28"/>
  <c r="X999" i="28"/>
  <c r="Y999" i="28"/>
  <c r="Z999" i="28"/>
  <c r="AA999" i="28"/>
  <c r="AB999" i="28"/>
  <c r="AC999" i="28"/>
  <c r="AD999" i="28"/>
  <c r="AE999" i="28"/>
  <c r="AF999" i="28"/>
  <c r="AG999" i="28"/>
  <c r="AH999" i="28"/>
  <c r="AI999" i="28"/>
  <c r="AJ999" i="28"/>
  <c r="AK999" i="28"/>
  <c r="AL999" i="28"/>
  <c r="AM999" i="28"/>
  <c r="AN999" i="28"/>
  <c r="AO999" i="28"/>
  <c r="G1000" i="28"/>
  <c r="H1000" i="28"/>
  <c r="I1000" i="28"/>
  <c r="J1000" i="28"/>
  <c r="K1000" i="28"/>
  <c r="L1000" i="28"/>
  <c r="M1000" i="28"/>
  <c r="N1000" i="28"/>
  <c r="O1000" i="28"/>
  <c r="P1000" i="28"/>
  <c r="Q1000" i="28"/>
  <c r="R1000" i="28"/>
  <c r="S1000" i="28"/>
  <c r="T1000" i="28"/>
  <c r="U1000" i="28"/>
  <c r="V1000" i="28"/>
  <c r="W1000" i="28"/>
  <c r="X1000" i="28"/>
  <c r="Y1000" i="28"/>
  <c r="Z1000" i="28"/>
  <c r="AA1000" i="28"/>
  <c r="AB1000" i="28"/>
  <c r="AC1000" i="28"/>
  <c r="AD1000" i="28"/>
  <c r="AE1000" i="28"/>
  <c r="AF1000" i="28"/>
  <c r="AG1000" i="28"/>
  <c r="AH1000" i="28"/>
  <c r="AI1000" i="28"/>
  <c r="AJ1000" i="28"/>
  <c r="AK1000" i="28"/>
  <c r="AL1000" i="28"/>
  <c r="AM1000" i="28"/>
  <c r="AN1000" i="28"/>
  <c r="AO1000" i="28"/>
  <c r="G1001" i="28"/>
  <c r="H1001" i="28"/>
  <c r="I1001" i="28"/>
  <c r="J1001" i="28"/>
  <c r="K1001" i="28"/>
  <c r="L1001" i="28"/>
  <c r="M1001" i="28"/>
  <c r="N1001" i="28"/>
  <c r="O1001" i="28"/>
  <c r="P1001" i="28"/>
  <c r="Q1001" i="28"/>
  <c r="R1001" i="28"/>
  <c r="S1001" i="28"/>
  <c r="T1001" i="28"/>
  <c r="U1001" i="28"/>
  <c r="V1001" i="28"/>
  <c r="W1001" i="28"/>
  <c r="X1001" i="28"/>
  <c r="Y1001" i="28"/>
  <c r="Z1001" i="28"/>
  <c r="AA1001" i="28"/>
  <c r="AB1001" i="28"/>
  <c r="AC1001" i="28"/>
  <c r="AD1001" i="28"/>
  <c r="AE1001" i="28"/>
  <c r="AF1001" i="28"/>
  <c r="AG1001" i="28"/>
  <c r="AH1001" i="28"/>
  <c r="AI1001" i="28"/>
  <c r="AJ1001" i="28"/>
  <c r="AK1001" i="28"/>
  <c r="AL1001" i="28"/>
  <c r="AM1001" i="28"/>
  <c r="AN1001" i="28"/>
  <c r="AO1001" i="28"/>
  <c r="G1002" i="28"/>
  <c r="H1002" i="28"/>
  <c r="I1002" i="28"/>
  <c r="J1002" i="28"/>
  <c r="K1002" i="28"/>
  <c r="L1002" i="28"/>
  <c r="M1002" i="28"/>
  <c r="N1002" i="28"/>
  <c r="O1002" i="28"/>
  <c r="P1002" i="28"/>
  <c r="Q1002" i="28"/>
  <c r="R1002" i="28"/>
  <c r="S1002" i="28"/>
  <c r="T1002" i="28"/>
  <c r="U1002" i="28"/>
  <c r="V1002" i="28"/>
  <c r="W1002" i="28"/>
  <c r="X1002" i="28"/>
  <c r="Y1002" i="28"/>
  <c r="Z1002" i="28"/>
  <c r="AA1002" i="28"/>
  <c r="AB1002" i="28"/>
  <c r="AC1002" i="28"/>
  <c r="AD1002" i="28"/>
  <c r="AE1002" i="28"/>
  <c r="AF1002" i="28"/>
  <c r="AG1002" i="28"/>
  <c r="AH1002" i="28"/>
  <c r="AI1002" i="28"/>
  <c r="AJ1002" i="28"/>
  <c r="AK1002" i="28"/>
  <c r="AL1002" i="28"/>
  <c r="AM1002" i="28"/>
  <c r="AN1002" i="28"/>
  <c r="AO1002" i="28"/>
  <c r="G1003" i="28"/>
  <c r="H1003" i="28"/>
  <c r="I1003" i="28"/>
  <c r="J1003" i="28"/>
  <c r="K1003" i="28"/>
  <c r="L1003" i="28"/>
  <c r="M1003" i="28"/>
  <c r="N1003" i="28"/>
  <c r="O1003" i="28"/>
  <c r="P1003" i="28"/>
  <c r="Q1003" i="28"/>
  <c r="R1003" i="28"/>
  <c r="S1003" i="28"/>
  <c r="T1003" i="28"/>
  <c r="U1003" i="28"/>
  <c r="V1003" i="28"/>
  <c r="W1003" i="28"/>
  <c r="X1003" i="28"/>
  <c r="Y1003" i="28"/>
  <c r="Z1003" i="28"/>
  <c r="AA1003" i="28"/>
  <c r="AB1003" i="28"/>
  <c r="AC1003" i="28"/>
  <c r="AD1003" i="28"/>
  <c r="AE1003" i="28"/>
  <c r="AF1003" i="28"/>
  <c r="AG1003" i="28"/>
  <c r="AH1003" i="28"/>
  <c r="AI1003" i="28"/>
  <c r="AJ1003" i="28"/>
  <c r="AK1003" i="28"/>
  <c r="AL1003" i="28"/>
  <c r="AM1003" i="28"/>
  <c r="AN1003" i="28"/>
  <c r="AO1003" i="28"/>
  <c r="G1004" i="28"/>
  <c r="H1004" i="28"/>
  <c r="I1004" i="28"/>
  <c r="J1004" i="28"/>
  <c r="K1004" i="28"/>
  <c r="L1004" i="28"/>
  <c r="M1004" i="28"/>
  <c r="N1004" i="28"/>
  <c r="O1004" i="28"/>
  <c r="P1004" i="28"/>
  <c r="Q1004" i="28"/>
  <c r="R1004" i="28"/>
  <c r="S1004" i="28"/>
  <c r="T1004" i="28"/>
  <c r="U1004" i="28"/>
  <c r="V1004" i="28"/>
  <c r="W1004" i="28"/>
  <c r="X1004" i="28"/>
  <c r="Y1004" i="28"/>
  <c r="Z1004" i="28"/>
  <c r="AA1004" i="28"/>
  <c r="AB1004" i="28"/>
  <c r="AC1004" i="28"/>
  <c r="AD1004" i="28"/>
  <c r="AE1004" i="28"/>
  <c r="AF1004" i="28"/>
  <c r="AG1004" i="28"/>
  <c r="AH1004" i="28"/>
  <c r="AI1004" i="28"/>
  <c r="AJ1004" i="28"/>
  <c r="AK1004" i="28"/>
  <c r="AL1004" i="28"/>
  <c r="AM1004" i="28"/>
  <c r="AN1004" i="28"/>
  <c r="AO1004" i="28"/>
  <c r="G1005" i="28"/>
  <c r="H1005" i="28"/>
  <c r="I1005" i="28"/>
  <c r="J1005" i="28"/>
  <c r="K1005" i="28"/>
  <c r="L1005" i="28"/>
  <c r="M1005" i="28"/>
  <c r="N1005" i="28"/>
  <c r="O1005" i="28"/>
  <c r="P1005" i="28"/>
  <c r="Q1005" i="28"/>
  <c r="R1005" i="28"/>
  <c r="S1005" i="28"/>
  <c r="T1005" i="28"/>
  <c r="U1005" i="28"/>
  <c r="V1005" i="28"/>
  <c r="W1005" i="28"/>
  <c r="X1005" i="28"/>
  <c r="Y1005" i="28"/>
  <c r="Z1005" i="28"/>
  <c r="AA1005" i="28"/>
  <c r="AB1005" i="28"/>
  <c r="AC1005" i="28"/>
  <c r="AD1005" i="28"/>
  <c r="AE1005" i="28"/>
  <c r="AF1005" i="28"/>
  <c r="AG1005" i="28"/>
  <c r="AH1005" i="28"/>
  <c r="AI1005" i="28"/>
  <c r="AJ1005" i="28"/>
  <c r="AK1005" i="28"/>
  <c r="AL1005" i="28"/>
  <c r="AM1005" i="28"/>
  <c r="AN1005" i="28"/>
  <c r="AO1005" i="28"/>
  <c r="G1006" i="28"/>
  <c r="H1006" i="28"/>
  <c r="I1006" i="28"/>
  <c r="J1006" i="28"/>
  <c r="K1006" i="28"/>
  <c r="L1006" i="28"/>
  <c r="M1006" i="28"/>
  <c r="N1006" i="28"/>
  <c r="O1006" i="28"/>
  <c r="P1006" i="28"/>
  <c r="Q1006" i="28"/>
  <c r="R1006" i="28"/>
  <c r="S1006" i="28"/>
  <c r="T1006" i="28"/>
  <c r="U1006" i="28"/>
  <c r="V1006" i="28"/>
  <c r="W1006" i="28"/>
  <c r="X1006" i="28"/>
  <c r="Y1006" i="28"/>
  <c r="Z1006" i="28"/>
  <c r="AA1006" i="28"/>
  <c r="AB1006" i="28"/>
  <c r="AC1006" i="28"/>
  <c r="AD1006" i="28"/>
  <c r="AE1006" i="28"/>
  <c r="AF1006" i="28"/>
  <c r="AG1006" i="28"/>
  <c r="AH1006" i="28"/>
  <c r="AI1006" i="28"/>
  <c r="AJ1006" i="28"/>
  <c r="AK1006" i="28"/>
  <c r="AL1006" i="28"/>
  <c r="AM1006" i="28"/>
  <c r="AN1006" i="28"/>
  <c r="AO1006" i="28"/>
  <c r="G1007" i="28"/>
  <c r="H1007" i="28"/>
  <c r="I1007" i="28"/>
  <c r="J1007" i="28"/>
  <c r="K1007" i="28"/>
  <c r="L1007" i="28"/>
  <c r="M1007" i="28"/>
  <c r="N1007" i="28"/>
  <c r="O1007" i="28"/>
  <c r="P1007" i="28"/>
  <c r="Q1007" i="28"/>
  <c r="R1007" i="28"/>
  <c r="S1007" i="28"/>
  <c r="T1007" i="28"/>
  <c r="U1007" i="28"/>
  <c r="V1007" i="28"/>
  <c r="W1007" i="28"/>
  <c r="X1007" i="28"/>
  <c r="Y1007" i="28"/>
  <c r="Z1007" i="28"/>
  <c r="AA1007" i="28"/>
  <c r="AB1007" i="28"/>
  <c r="AC1007" i="28"/>
  <c r="AD1007" i="28"/>
  <c r="AE1007" i="28"/>
  <c r="AF1007" i="28"/>
  <c r="AG1007" i="28"/>
  <c r="AH1007" i="28"/>
  <c r="AI1007" i="28"/>
  <c r="AJ1007" i="28"/>
  <c r="AK1007" i="28"/>
  <c r="AL1007" i="28"/>
  <c r="AM1007" i="28"/>
  <c r="AN1007" i="28"/>
  <c r="AO1007" i="28"/>
  <c r="G1008" i="28"/>
  <c r="H1008" i="28"/>
  <c r="I1008" i="28"/>
  <c r="J1008" i="28"/>
  <c r="K1008" i="28"/>
  <c r="L1008" i="28"/>
  <c r="M1008" i="28"/>
  <c r="N1008" i="28"/>
  <c r="O1008" i="28"/>
  <c r="P1008" i="28"/>
  <c r="Q1008" i="28"/>
  <c r="R1008" i="28"/>
  <c r="S1008" i="28"/>
  <c r="T1008" i="28"/>
  <c r="U1008" i="28"/>
  <c r="V1008" i="28"/>
  <c r="W1008" i="28"/>
  <c r="X1008" i="28"/>
  <c r="Y1008" i="28"/>
  <c r="Z1008" i="28"/>
  <c r="AA1008" i="28"/>
  <c r="AB1008" i="28"/>
  <c r="AC1008" i="28"/>
  <c r="AD1008" i="28"/>
  <c r="AE1008" i="28"/>
  <c r="AF1008" i="28"/>
  <c r="AG1008" i="28"/>
  <c r="AH1008" i="28"/>
  <c r="AI1008" i="28"/>
  <c r="AJ1008" i="28"/>
  <c r="AK1008" i="28"/>
  <c r="AL1008" i="28"/>
  <c r="AM1008" i="28"/>
  <c r="AN1008" i="28"/>
  <c r="AO1008" i="28"/>
  <c r="G1009" i="28"/>
  <c r="H1009" i="28"/>
  <c r="I1009" i="28"/>
  <c r="J1009" i="28"/>
  <c r="K1009" i="28"/>
  <c r="L1009" i="28"/>
  <c r="M1009" i="28"/>
  <c r="N1009" i="28"/>
  <c r="O1009" i="28"/>
  <c r="P1009" i="28"/>
  <c r="Q1009" i="28"/>
  <c r="R1009" i="28"/>
  <c r="S1009" i="28"/>
  <c r="T1009" i="28"/>
  <c r="U1009" i="28"/>
  <c r="V1009" i="28"/>
  <c r="W1009" i="28"/>
  <c r="X1009" i="28"/>
  <c r="Y1009" i="28"/>
  <c r="Z1009" i="28"/>
  <c r="AA1009" i="28"/>
  <c r="AB1009" i="28"/>
  <c r="AC1009" i="28"/>
  <c r="AD1009" i="28"/>
  <c r="AE1009" i="28"/>
  <c r="AF1009" i="28"/>
  <c r="AG1009" i="28"/>
  <c r="AH1009" i="28"/>
  <c r="AI1009" i="28"/>
  <c r="AJ1009" i="28"/>
  <c r="AK1009" i="28"/>
  <c r="AL1009" i="28"/>
  <c r="AM1009" i="28"/>
  <c r="AN1009" i="28"/>
  <c r="AO1009" i="28"/>
  <c r="G1010" i="28"/>
  <c r="H1010" i="28"/>
  <c r="I1010" i="28"/>
  <c r="J1010" i="28"/>
  <c r="K1010" i="28"/>
  <c r="L1010" i="28"/>
  <c r="M1010" i="28"/>
  <c r="N1010" i="28"/>
  <c r="O1010" i="28"/>
  <c r="P1010" i="28"/>
  <c r="Q1010" i="28"/>
  <c r="R1010" i="28"/>
  <c r="S1010" i="28"/>
  <c r="T1010" i="28"/>
  <c r="U1010" i="28"/>
  <c r="V1010" i="28"/>
  <c r="W1010" i="28"/>
  <c r="X1010" i="28"/>
  <c r="Y1010" i="28"/>
  <c r="Z1010" i="28"/>
  <c r="AA1010" i="28"/>
  <c r="AB1010" i="28"/>
  <c r="AC1010" i="28"/>
  <c r="AD1010" i="28"/>
  <c r="AE1010" i="28"/>
  <c r="AF1010" i="28"/>
  <c r="AG1010" i="28"/>
  <c r="AH1010" i="28"/>
  <c r="AI1010" i="28"/>
  <c r="AJ1010" i="28"/>
  <c r="AK1010" i="28"/>
  <c r="AL1010" i="28"/>
  <c r="AM1010" i="28"/>
  <c r="AN1010" i="28"/>
  <c r="AO1010" i="28"/>
  <c r="G1011" i="28"/>
  <c r="H1011" i="28"/>
  <c r="I1011" i="28"/>
  <c r="J1011" i="28"/>
  <c r="K1011" i="28"/>
  <c r="L1011" i="28"/>
  <c r="M1011" i="28"/>
  <c r="N1011" i="28"/>
  <c r="O1011" i="28"/>
  <c r="P1011" i="28"/>
  <c r="Q1011" i="28"/>
  <c r="R1011" i="28"/>
  <c r="S1011" i="28"/>
  <c r="T1011" i="28"/>
  <c r="U1011" i="28"/>
  <c r="V1011" i="28"/>
  <c r="W1011" i="28"/>
  <c r="X1011" i="28"/>
  <c r="Y1011" i="28"/>
  <c r="Z1011" i="28"/>
  <c r="AA1011" i="28"/>
  <c r="AB1011" i="28"/>
  <c r="AC1011" i="28"/>
  <c r="AD1011" i="28"/>
  <c r="AE1011" i="28"/>
  <c r="AF1011" i="28"/>
  <c r="AG1011" i="28"/>
  <c r="AH1011" i="28"/>
  <c r="AI1011" i="28"/>
  <c r="AJ1011" i="28"/>
  <c r="AK1011" i="28"/>
  <c r="AL1011" i="28"/>
  <c r="AM1011" i="28"/>
  <c r="AN1011" i="28"/>
  <c r="AO1011" i="28"/>
  <c r="G1012" i="28"/>
  <c r="H1012" i="28"/>
  <c r="I1012" i="28"/>
  <c r="J1012" i="28"/>
  <c r="K1012" i="28"/>
  <c r="L1012" i="28"/>
  <c r="M1012" i="28"/>
  <c r="N1012" i="28"/>
  <c r="O1012" i="28"/>
  <c r="P1012" i="28"/>
  <c r="Q1012" i="28"/>
  <c r="R1012" i="28"/>
  <c r="S1012" i="28"/>
  <c r="T1012" i="28"/>
  <c r="U1012" i="28"/>
  <c r="V1012" i="28"/>
  <c r="W1012" i="28"/>
  <c r="X1012" i="28"/>
  <c r="Y1012" i="28"/>
  <c r="Z1012" i="28"/>
  <c r="AA1012" i="28"/>
  <c r="AB1012" i="28"/>
  <c r="AC1012" i="28"/>
  <c r="AD1012" i="28"/>
  <c r="AE1012" i="28"/>
  <c r="AF1012" i="28"/>
  <c r="AG1012" i="28"/>
  <c r="AH1012" i="28"/>
  <c r="AI1012" i="28"/>
  <c r="AJ1012" i="28"/>
  <c r="AK1012" i="28"/>
  <c r="AL1012" i="28"/>
  <c r="AM1012" i="28"/>
  <c r="AN1012" i="28"/>
  <c r="AO1012" i="28"/>
  <c r="G1013" i="28"/>
  <c r="H1013" i="28"/>
  <c r="I1013" i="28"/>
  <c r="J1013" i="28"/>
  <c r="K1013" i="28"/>
  <c r="L1013" i="28"/>
  <c r="M1013" i="28"/>
  <c r="N1013" i="28"/>
  <c r="O1013" i="28"/>
  <c r="P1013" i="28"/>
  <c r="Q1013" i="28"/>
  <c r="R1013" i="28"/>
  <c r="S1013" i="28"/>
  <c r="T1013" i="28"/>
  <c r="U1013" i="28"/>
  <c r="V1013" i="28"/>
  <c r="W1013" i="28"/>
  <c r="X1013" i="28"/>
  <c r="Y1013" i="28"/>
  <c r="Z1013" i="28"/>
  <c r="AA1013" i="28"/>
  <c r="AB1013" i="28"/>
  <c r="AC1013" i="28"/>
  <c r="AD1013" i="28"/>
  <c r="AE1013" i="28"/>
  <c r="AF1013" i="28"/>
  <c r="AG1013" i="28"/>
  <c r="AH1013" i="28"/>
  <c r="AI1013" i="28"/>
  <c r="AJ1013" i="28"/>
  <c r="AK1013" i="28"/>
  <c r="AL1013" i="28"/>
  <c r="AM1013" i="28"/>
  <c r="AN1013" i="28"/>
  <c r="AO1013" i="28"/>
  <c r="G1014" i="28"/>
  <c r="H1014" i="28"/>
  <c r="I1014" i="28"/>
  <c r="J1014" i="28"/>
  <c r="K1014" i="28"/>
  <c r="L1014" i="28"/>
  <c r="M1014" i="28"/>
  <c r="N1014" i="28"/>
  <c r="O1014" i="28"/>
  <c r="P1014" i="28"/>
  <c r="Q1014" i="28"/>
  <c r="R1014" i="28"/>
  <c r="S1014" i="28"/>
  <c r="T1014" i="28"/>
  <c r="U1014" i="28"/>
  <c r="V1014" i="28"/>
  <c r="W1014" i="28"/>
  <c r="X1014" i="28"/>
  <c r="Y1014" i="28"/>
  <c r="Z1014" i="28"/>
  <c r="AA1014" i="28"/>
  <c r="AB1014" i="28"/>
  <c r="AC1014" i="28"/>
  <c r="AD1014" i="28"/>
  <c r="AE1014" i="28"/>
  <c r="AF1014" i="28"/>
  <c r="AG1014" i="28"/>
  <c r="AH1014" i="28"/>
  <c r="AI1014" i="28"/>
  <c r="AJ1014" i="28"/>
  <c r="AK1014" i="28"/>
  <c r="AL1014" i="28"/>
  <c r="AM1014" i="28"/>
  <c r="AN1014" i="28"/>
  <c r="AO1014" i="28"/>
  <c r="G1015" i="28"/>
  <c r="H1015" i="28"/>
  <c r="I1015" i="28"/>
  <c r="J1015" i="28"/>
  <c r="K1015" i="28"/>
  <c r="L1015" i="28"/>
  <c r="M1015" i="28"/>
  <c r="N1015" i="28"/>
  <c r="O1015" i="28"/>
  <c r="P1015" i="28"/>
  <c r="Q1015" i="28"/>
  <c r="R1015" i="28"/>
  <c r="S1015" i="28"/>
  <c r="T1015" i="28"/>
  <c r="U1015" i="28"/>
  <c r="V1015" i="28"/>
  <c r="W1015" i="28"/>
  <c r="X1015" i="28"/>
  <c r="Y1015" i="28"/>
  <c r="Z1015" i="28"/>
  <c r="AA1015" i="28"/>
  <c r="AB1015" i="28"/>
  <c r="AC1015" i="28"/>
  <c r="AD1015" i="28"/>
  <c r="AE1015" i="28"/>
  <c r="AF1015" i="28"/>
  <c r="AG1015" i="28"/>
  <c r="AH1015" i="28"/>
  <c r="AI1015" i="28"/>
  <c r="AJ1015" i="28"/>
  <c r="AK1015" i="28"/>
  <c r="AL1015" i="28"/>
  <c r="AM1015" i="28"/>
  <c r="AN1015" i="28"/>
  <c r="AO1015" i="28"/>
  <c r="G1016" i="28"/>
  <c r="H1016" i="28"/>
  <c r="I1016" i="28"/>
  <c r="J1016" i="28"/>
  <c r="K1016" i="28"/>
  <c r="L1016" i="28"/>
  <c r="M1016" i="28"/>
  <c r="N1016" i="28"/>
  <c r="O1016" i="28"/>
  <c r="P1016" i="28"/>
  <c r="Q1016" i="28"/>
  <c r="R1016" i="28"/>
  <c r="S1016" i="28"/>
  <c r="T1016" i="28"/>
  <c r="U1016" i="28"/>
  <c r="V1016" i="28"/>
  <c r="W1016" i="28"/>
  <c r="X1016" i="28"/>
  <c r="Y1016" i="28"/>
  <c r="Z1016" i="28"/>
  <c r="AA1016" i="28"/>
  <c r="AB1016" i="28"/>
  <c r="AC1016" i="28"/>
  <c r="AD1016" i="28"/>
  <c r="AE1016" i="28"/>
  <c r="AF1016" i="28"/>
  <c r="AG1016" i="28"/>
  <c r="AH1016" i="28"/>
  <c r="AI1016" i="28"/>
  <c r="AJ1016" i="28"/>
  <c r="AK1016" i="28"/>
  <c r="AL1016" i="28"/>
  <c r="AM1016" i="28"/>
  <c r="AN1016" i="28"/>
  <c r="AO1016" i="28"/>
  <c r="G1017" i="28"/>
  <c r="H1017" i="28"/>
  <c r="I1017" i="28"/>
  <c r="J1017" i="28"/>
  <c r="K1017" i="28"/>
  <c r="L1017" i="28"/>
  <c r="M1017" i="28"/>
  <c r="N1017" i="28"/>
  <c r="O1017" i="28"/>
  <c r="P1017" i="28"/>
  <c r="Q1017" i="28"/>
  <c r="R1017" i="28"/>
  <c r="S1017" i="28"/>
  <c r="T1017" i="28"/>
  <c r="U1017" i="28"/>
  <c r="V1017" i="28"/>
  <c r="W1017" i="28"/>
  <c r="X1017" i="28"/>
  <c r="Y1017" i="28"/>
  <c r="Z1017" i="28"/>
  <c r="AA1017" i="28"/>
  <c r="AB1017" i="28"/>
  <c r="AC1017" i="28"/>
  <c r="AD1017" i="28"/>
  <c r="AE1017" i="28"/>
  <c r="AF1017" i="28"/>
  <c r="AG1017" i="28"/>
  <c r="AH1017" i="28"/>
  <c r="AI1017" i="28"/>
  <c r="AJ1017" i="28"/>
  <c r="AK1017" i="28"/>
  <c r="AL1017" i="28"/>
  <c r="AM1017" i="28"/>
  <c r="AN1017" i="28"/>
  <c r="AO1017" i="28"/>
  <c r="G1018" i="28"/>
  <c r="H1018" i="28"/>
  <c r="I1018" i="28"/>
  <c r="J1018" i="28"/>
  <c r="K1018" i="28"/>
  <c r="L1018" i="28"/>
  <c r="M1018" i="28"/>
  <c r="N1018" i="28"/>
  <c r="O1018" i="28"/>
  <c r="P1018" i="28"/>
  <c r="Q1018" i="28"/>
  <c r="R1018" i="28"/>
  <c r="S1018" i="28"/>
  <c r="T1018" i="28"/>
  <c r="U1018" i="28"/>
  <c r="V1018" i="28"/>
  <c r="W1018" i="28"/>
  <c r="X1018" i="28"/>
  <c r="Y1018" i="28"/>
  <c r="Z1018" i="28"/>
  <c r="AA1018" i="28"/>
  <c r="AB1018" i="28"/>
  <c r="AC1018" i="28"/>
  <c r="AD1018" i="28"/>
  <c r="AE1018" i="28"/>
  <c r="AF1018" i="28"/>
  <c r="AG1018" i="28"/>
  <c r="AH1018" i="28"/>
  <c r="AI1018" i="28"/>
  <c r="AJ1018" i="28"/>
  <c r="AK1018" i="28"/>
  <c r="AL1018" i="28"/>
  <c r="AM1018" i="28"/>
  <c r="AN1018" i="28"/>
  <c r="AO1018" i="28"/>
  <c r="G1019" i="28"/>
  <c r="H1019" i="28"/>
  <c r="I1019" i="28"/>
  <c r="J1019" i="28"/>
  <c r="K1019" i="28"/>
  <c r="L1019" i="28"/>
  <c r="M1019" i="28"/>
  <c r="N1019" i="28"/>
  <c r="O1019" i="28"/>
  <c r="P1019" i="28"/>
  <c r="Q1019" i="28"/>
  <c r="R1019" i="28"/>
  <c r="S1019" i="28"/>
  <c r="T1019" i="28"/>
  <c r="U1019" i="28"/>
  <c r="V1019" i="28"/>
  <c r="W1019" i="28"/>
  <c r="X1019" i="28"/>
  <c r="Y1019" i="28"/>
  <c r="Z1019" i="28"/>
  <c r="AA1019" i="28"/>
  <c r="AB1019" i="28"/>
  <c r="AC1019" i="28"/>
  <c r="AD1019" i="28"/>
  <c r="AE1019" i="28"/>
  <c r="AF1019" i="28"/>
  <c r="AG1019" i="28"/>
  <c r="AH1019" i="28"/>
  <c r="AI1019" i="28"/>
  <c r="AJ1019" i="28"/>
  <c r="AK1019" i="28"/>
  <c r="AL1019" i="28"/>
  <c r="AM1019" i="28"/>
  <c r="AN1019" i="28"/>
  <c r="AO1019" i="28"/>
  <c r="G1020" i="28"/>
  <c r="H1020" i="28"/>
  <c r="I1020" i="28"/>
  <c r="J1020" i="28"/>
  <c r="K1020" i="28"/>
  <c r="L1020" i="28"/>
  <c r="M1020" i="28"/>
  <c r="N1020" i="28"/>
  <c r="O1020" i="28"/>
  <c r="P1020" i="28"/>
  <c r="Q1020" i="28"/>
  <c r="R1020" i="28"/>
  <c r="S1020" i="28"/>
  <c r="T1020" i="28"/>
  <c r="U1020" i="28"/>
  <c r="V1020" i="28"/>
  <c r="W1020" i="28"/>
  <c r="X1020" i="28"/>
  <c r="Y1020" i="28"/>
  <c r="Z1020" i="28"/>
  <c r="AA1020" i="28"/>
  <c r="AB1020" i="28"/>
  <c r="AC1020" i="28"/>
  <c r="AD1020" i="28"/>
  <c r="AE1020" i="28"/>
  <c r="AF1020" i="28"/>
  <c r="AG1020" i="28"/>
  <c r="AH1020" i="28"/>
  <c r="AI1020" i="28"/>
  <c r="AJ1020" i="28"/>
  <c r="AK1020" i="28"/>
  <c r="AL1020" i="28"/>
  <c r="AM1020" i="28"/>
  <c r="AN1020" i="28"/>
  <c r="AO1020" i="28"/>
  <c r="G1021" i="28"/>
  <c r="H1021" i="28"/>
  <c r="I1021" i="28"/>
  <c r="J1021" i="28"/>
  <c r="K1021" i="28"/>
  <c r="L1021" i="28"/>
  <c r="M1021" i="28"/>
  <c r="N1021" i="28"/>
  <c r="O1021" i="28"/>
  <c r="P1021" i="28"/>
  <c r="Q1021" i="28"/>
  <c r="R1021" i="28"/>
  <c r="S1021" i="28"/>
  <c r="T1021" i="28"/>
  <c r="U1021" i="28"/>
  <c r="V1021" i="28"/>
  <c r="W1021" i="28"/>
  <c r="X1021" i="28"/>
  <c r="Y1021" i="28"/>
  <c r="Z1021" i="28"/>
  <c r="AA1021" i="28"/>
  <c r="AB1021" i="28"/>
  <c r="AC1021" i="28"/>
  <c r="AD1021" i="28"/>
  <c r="AE1021" i="28"/>
  <c r="AF1021" i="28"/>
  <c r="AG1021" i="28"/>
  <c r="AH1021" i="28"/>
  <c r="AI1021" i="28"/>
  <c r="AJ1021" i="28"/>
  <c r="AK1021" i="28"/>
  <c r="AL1021" i="28"/>
  <c r="AM1021" i="28"/>
  <c r="AN1021" i="28"/>
  <c r="AO1021" i="28"/>
  <c r="G1022" i="28"/>
  <c r="H1022" i="28"/>
  <c r="I1022" i="28"/>
  <c r="J1022" i="28"/>
  <c r="K1022" i="28"/>
  <c r="L1022" i="28"/>
  <c r="M1022" i="28"/>
  <c r="N1022" i="28"/>
  <c r="O1022" i="28"/>
  <c r="P1022" i="28"/>
  <c r="Q1022" i="28"/>
  <c r="R1022" i="28"/>
  <c r="S1022" i="28"/>
  <c r="T1022" i="28"/>
  <c r="U1022" i="28"/>
  <c r="V1022" i="28"/>
  <c r="W1022" i="28"/>
  <c r="X1022" i="28"/>
  <c r="Y1022" i="28"/>
  <c r="Z1022" i="28"/>
  <c r="AA1022" i="28"/>
  <c r="AB1022" i="28"/>
  <c r="AC1022" i="28"/>
  <c r="AD1022" i="28"/>
  <c r="AE1022" i="28"/>
  <c r="AF1022" i="28"/>
  <c r="AG1022" i="28"/>
  <c r="AH1022" i="28"/>
  <c r="AI1022" i="28"/>
  <c r="AJ1022" i="28"/>
  <c r="AK1022" i="28"/>
  <c r="AL1022" i="28"/>
  <c r="AM1022" i="28"/>
  <c r="AN1022" i="28"/>
  <c r="AO1022" i="28"/>
  <c r="G1023" i="28"/>
  <c r="H1023" i="28"/>
  <c r="I1023" i="28"/>
  <c r="J1023" i="28"/>
  <c r="K1023" i="28"/>
  <c r="L1023" i="28"/>
  <c r="M1023" i="28"/>
  <c r="N1023" i="28"/>
  <c r="O1023" i="28"/>
  <c r="P1023" i="28"/>
  <c r="Q1023" i="28"/>
  <c r="R1023" i="28"/>
  <c r="S1023" i="28"/>
  <c r="T1023" i="28"/>
  <c r="U1023" i="28"/>
  <c r="V1023" i="28"/>
  <c r="W1023" i="28"/>
  <c r="X1023" i="28"/>
  <c r="Y1023" i="28"/>
  <c r="Z1023" i="28"/>
  <c r="AA1023" i="28"/>
  <c r="AB1023" i="28"/>
  <c r="AC1023" i="28"/>
  <c r="AD1023" i="28"/>
  <c r="AE1023" i="28"/>
  <c r="AF1023" i="28"/>
  <c r="AG1023" i="28"/>
  <c r="AH1023" i="28"/>
  <c r="AI1023" i="28"/>
  <c r="AJ1023" i="28"/>
  <c r="AK1023" i="28"/>
  <c r="AL1023" i="28"/>
  <c r="AM1023" i="28"/>
  <c r="AN1023" i="28"/>
  <c r="AO1023" i="28"/>
  <c r="G1024" i="28"/>
  <c r="H1024" i="28"/>
  <c r="I1024" i="28"/>
  <c r="J1024" i="28"/>
  <c r="K1024" i="28"/>
  <c r="L1024" i="28"/>
  <c r="M1024" i="28"/>
  <c r="N1024" i="28"/>
  <c r="O1024" i="28"/>
  <c r="P1024" i="28"/>
  <c r="Q1024" i="28"/>
  <c r="R1024" i="28"/>
  <c r="S1024" i="28"/>
  <c r="T1024" i="28"/>
  <c r="U1024" i="28"/>
  <c r="V1024" i="28"/>
  <c r="W1024" i="28"/>
  <c r="X1024" i="28"/>
  <c r="Y1024" i="28"/>
  <c r="Z1024" i="28"/>
  <c r="AA1024" i="28"/>
  <c r="AB1024" i="28"/>
  <c r="AC1024" i="28"/>
  <c r="AD1024" i="28"/>
  <c r="AE1024" i="28"/>
  <c r="AF1024" i="28"/>
  <c r="AG1024" i="28"/>
  <c r="AH1024" i="28"/>
  <c r="AI1024" i="28"/>
  <c r="AJ1024" i="28"/>
  <c r="AK1024" i="28"/>
  <c r="AL1024" i="28"/>
  <c r="AM1024" i="28"/>
  <c r="AN1024" i="28"/>
  <c r="AO1024" i="28"/>
  <c r="G1025" i="28"/>
  <c r="H1025" i="28"/>
  <c r="I1025" i="28"/>
  <c r="J1025" i="28"/>
  <c r="K1025" i="28"/>
  <c r="L1025" i="28"/>
  <c r="M1025" i="28"/>
  <c r="N1025" i="28"/>
  <c r="O1025" i="28"/>
  <c r="P1025" i="28"/>
  <c r="Q1025" i="28"/>
  <c r="R1025" i="28"/>
  <c r="S1025" i="28"/>
  <c r="T1025" i="28"/>
  <c r="U1025" i="28"/>
  <c r="V1025" i="28"/>
  <c r="W1025" i="28"/>
  <c r="X1025" i="28"/>
  <c r="Y1025" i="28"/>
  <c r="Z1025" i="28"/>
  <c r="AA1025" i="28"/>
  <c r="AB1025" i="28"/>
  <c r="AC1025" i="28"/>
  <c r="AD1025" i="28"/>
  <c r="AE1025" i="28"/>
  <c r="AF1025" i="28"/>
  <c r="AG1025" i="28"/>
  <c r="AH1025" i="28"/>
  <c r="AI1025" i="28"/>
  <c r="AJ1025" i="28"/>
  <c r="AK1025" i="28"/>
  <c r="AL1025" i="28"/>
  <c r="AM1025" i="28"/>
  <c r="AN1025" i="28"/>
  <c r="AO1025" i="28"/>
  <c r="G1026" i="28"/>
  <c r="H1026" i="28"/>
  <c r="I1026" i="28"/>
  <c r="J1026" i="28"/>
  <c r="K1026" i="28"/>
  <c r="L1026" i="28"/>
  <c r="M1026" i="28"/>
  <c r="N1026" i="28"/>
  <c r="O1026" i="28"/>
  <c r="P1026" i="28"/>
  <c r="Q1026" i="28"/>
  <c r="R1026" i="28"/>
  <c r="S1026" i="28"/>
  <c r="T1026" i="28"/>
  <c r="U1026" i="28"/>
  <c r="V1026" i="28"/>
  <c r="W1026" i="28"/>
  <c r="X1026" i="28"/>
  <c r="Y1026" i="28"/>
  <c r="Z1026" i="28"/>
  <c r="AA1026" i="28"/>
  <c r="AB1026" i="28"/>
  <c r="AC1026" i="28"/>
  <c r="AD1026" i="28"/>
  <c r="AE1026" i="28"/>
  <c r="AF1026" i="28"/>
  <c r="AG1026" i="28"/>
  <c r="AH1026" i="28"/>
  <c r="AI1026" i="28"/>
  <c r="AJ1026" i="28"/>
  <c r="AK1026" i="28"/>
  <c r="AL1026" i="28"/>
  <c r="AM1026" i="28"/>
  <c r="AN1026" i="28"/>
  <c r="AO1026" i="28"/>
  <c r="G1027" i="28"/>
  <c r="H1027" i="28"/>
  <c r="I1027" i="28"/>
  <c r="J1027" i="28"/>
  <c r="K1027" i="28"/>
  <c r="L1027" i="28"/>
  <c r="M1027" i="28"/>
  <c r="N1027" i="28"/>
  <c r="O1027" i="28"/>
  <c r="P1027" i="28"/>
  <c r="Q1027" i="28"/>
  <c r="R1027" i="28"/>
  <c r="S1027" i="28"/>
  <c r="T1027" i="28"/>
  <c r="U1027" i="28"/>
  <c r="V1027" i="28"/>
  <c r="W1027" i="28"/>
  <c r="X1027" i="28"/>
  <c r="Y1027" i="28"/>
  <c r="Z1027" i="28"/>
  <c r="AA1027" i="28"/>
  <c r="AB1027" i="28"/>
  <c r="AC1027" i="28"/>
  <c r="AD1027" i="28"/>
  <c r="AE1027" i="28"/>
  <c r="AF1027" i="28"/>
  <c r="AG1027" i="28"/>
  <c r="AH1027" i="28"/>
  <c r="AI1027" i="28"/>
  <c r="AJ1027" i="28"/>
  <c r="AK1027" i="28"/>
  <c r="AL1027" i="28"/>
  <c r="AM1027" i="28"/>
  <c r="AN1027" i="28"/>
  <c r="AO1027" i="28"/>
  <c r="G1028" i="28"/>
  <c r="H1028" i="28"/>
  <c r="I1028" i="28"/>
  <c r="J1028" i="28"/>
  <c r="K1028" i="28"/>
  <c r="L1028" i="28"/>
  <c r="M1028" i="28"/>
  <c r="N1028" i="28"/>
  <c r="O1028" i="28"/>
  <c r="P1028" i="28"/>
  <c r="Q1028" i="28"/>
  <c r="R1028" i="28"/>
  <c r="S1028" i="28"/>
  <c r="T1028" i="28"/>
  <c r="U1028" i="28"/>
  <c r="V1028" i="28"/>
  <c r="W1028" i="28"/>
  <c r="X1028" i="28"/>
  <c r="Y1028" i="28"/>
  <c r="Z1028" i="28"/>
  <c r="AA1028" i="28"/>
  <c r="AB1028" i="28"/>
  <c r="AC1028" i="28"/>
  <c r="AD1028" i="28"/>
  <c r="AE1028" i="28"/>
  <c r="AF1028" i="28"/>
  <c r="AG1028" i="28"/>
  <c r="AH1028" i="28"/>
  <c r="AI1028" i="28"/>
  <c r="AJ1028" i="28"/>
  <c r="AK1028" i="28"/>
  <c r="AL1028" i="28"/>
  <c r="AM1028" i="28"/>
  <c r="AN1028" i="28"/>
  <c r="AO1028" i="28"/>
  <c r="F985" i="28" l="1"/>
  <c r="F986" i="28"/>
  <c r="F987" i="28"/>
  <c r="F988" i="28"/>
  <c r="F989" i="28"/>
  <c r="F990" i="28"/>
  <c r="F991" i="28"/>
  <c r="F992" i="28"/>
  <c r="F993" i="28"/>
  <c r="F994" i="28"/>
  <c r="F995" i="28"/>
  <c r="F996" i="28"/>
  <c r="F997" i="28"/>
  <c r="F998" i="28"/>
  <c r="F999" i="28"/>
  <c r="F1000" i="28"/>
  <c r="F1001" i="28"/>
  <c r="F1002" i="28"/>
  <c r="F1003" i="28"/>
  <c r="F1004" i="28"/>
  <c r="F1005" i="28"/>
  <c r="F1006" i="28"/>
  <c r="F1007" i="28"/>
  <c r="F1008" i="28"/>
  <c r="F1009" i="28"/>
  <c r="F1010" i="28"/>
  <c r="F1011" i="28"/>
  <c r="F1012" i="28"/>
  <c r="F1013" i="28"/>
  <c r="F1014" i="28"/>
  <c r="F1015" i="28"/>
  <c r="F1016" i="28"/>
  <c r="F1017" i="28"/>
  <c r="F1018" i="28"/>
  <c r="F1019" i="28"/>
  <c r="F1020" i="28"/>
  <c r="F1021" i="28"/>
  <c r="F1022" i="28"/>
  <c r="F1023" i="28"/>
  <c r="F1024" i="28"/>
  <c r="F1025" i="28"/>
  <c r="F1026" i="28"/>
  <c r="F1027" i="28"/>
  <c r="F1028" i="28"/>
  <c r="F984" i="28"/>
  <c r="F351" i="28" l="1"/>
  <c r="F350" i="28"/>
  <c r="F352" i="28"/>
  <c r="F353" i="28"/>
  <c r="F354" i="28"/>
  <c r="F355" i="28"/>
  <c r="F356" i="28"/>
  <c r="F357" i="28"/>
  <c r="F358" i="28"/>
  <c r="F359" i="28"/>
  <c r="F360" i="28"/>
  <c r="F361" i="28"/>
  <c r="F362" i="28"/>
  <c r="F363" i="28"/>
  <c r="F364" i="28"/>
  <c r="F365" i="28"/>
  <c r="F366" i="28"/>
  <c r="F367" i="28"/>
  <c r="F368" i="28"/>
  <c r="F369" i="28"/>
  <c r="F370" i="28"/>
  <c r="F371" i="28"/>
  <c r="F372" i="28"/>
  <c r="F373" i="28"/>
  <c r="F374" i="28"/>
  <c r="F375" i="28"/>
  <c r="F376" i="28"/>
  <c r="F377" i="28"/>
  <c r="F378" i="28"/>
  <c r="F379" i="28"/>
  <c r="F380" i="28"/>
  <c r="F381" i="28"/>
  <c r="F382" i="28"/>
  <c r="F383" i="28"/>
  <c r="F384" i="28"/>
  <c r="F385" i="28"/>
  <c r="F386" i="28"/>
  <c r="F387" i="28"/>
  <c r="F388" i="28"/>
  <c r="F389" i="28"/>
  <c r="F390" i="28"/>
  <c r="F391" i="28"/>
  <c r="F392" i="28"/>
  <c r="F393" i="28"/>
  <c r="F394" i="28"/>
  <c r="F395" i="28"/>
  <c r="F396" i="28"/>
  <c r="F397" i="28"/>
  <c r="F398" i="28"/>
  <c r="F399" i="28"/>
  <c r="F400" i="28"/>
  <c r="F401" i="28"/>
  <c r="F402" i="28"/>
  <c r="F403" i="28"/>
  <c r="F404" i="28"/>
  <c r="F405" i="28"/>
  <c r="F406" i="28"/>
  <c r="F407" i="28"/>
  <c r="F408" i="28"/>
  <c r="F409" i="28"/>
  <c r="F410" i="28"/>
  <c r="F411" i="28"/>
  <c r="F412" i="28"/>
  <c r="F413" i="28"/>
  <c r="F414" i="28"/>
  <c r="F415" i="28"/>
  <c r="F416" i="28"/>
  <c r="F417" i="28"/>
  <c r="F418" i="28"/>
  <c r="F419" i="28"/>
  <c r="F420" i="28"/>
  <c r="F421" i="28"/>
  <c r="F422" i="28"/>
  <c r="F423" i="28"/>
  <c r="F424" i="28"/>
  <c r="F425" i="28"/>
  <c r="F426" i="28"/>
  <c r="F427" i="28"/>
  <c r="F428" i="28"/>
  <c r="F429" i="28"/>
  <c r="F430" i="28"/>
  <c r="F431" i="28"/>
  <c r="F432" i="28"/>
  <c r="F433" i="28"/>
  <c r="F434" i="28"/>
  <c r="F435" i="28"/>
  <c r="F436" i="28"/>
  <c r="F437" i="28"/>
  <c r="F438" i="28"/>
  <c r="F439" i="28"/>
  <c r="F440" i="28"/>
  <c r="F441" i="28"/>
  <c r="F442" i="28"/>
  <c r="F443" i="28"/>
  <c r="F444" i="28"/>
  <c r="F445" i="28"/>
  <c r="G280" i="28"/>
  <c r="H280" i="28"/>
  <c r="I280" i="28"/>
  <c r="J280" i="28"/>
  <c r="K280" i="28"/>
  <c r="L280" i="28"/>
  <c r="M280" i="28"/>
  <c r="N280" i="28"/>
  <c r="O280" i="28"/>
  <c r="P280" i="28"/>
  <c r="Q280" i="28"/>
  <c r="R280" i="28"/>
  <c r="S280" i="28"/>
  <c r="T280" i="28"/>
  <c r="U280" i="28"/>
  <c r="V280" i="28"/>
  <c r="W280" i="28"/>
  <c r="X280" i="28"/>
  <c r="Y280" i="28"/>
  <c r="Z280" i="28"/>
  <c r="AA280" i="28"/>
  <c r="AB280" i="28"/>
  <c r="AC280" i="28"/>
  <c r="AD280" i="28"/>
  <c r="AE280" i="28"/>
  <c r="AF280" i="28"/>
  <c r="AG280" i="28"/>
  <c r="AH280" i="28"/>
  <c r="AI280" i="28"/>
  <c r="AJ280" i="28"/>
  <c r="AK280" i="28"/>
  <c r="AL280" i="28"/>
  <c r="AM280" i="28"/>
  <c r="AN280" i="28"/>
  <c r="AO280" i="28"/>
  <c r="G281" i="28"/>
  <c r="H281" i="28"/>
  <c r="I281" i="28"/>
  <c r="J281" i="28"/>
  <c r="K281" i="28"/>
  <c r="L281" i="28"/>
  <c r="M281" i="28"/>
  <c r="N281" i="28"/>
  <c r="O281" i="28"/>
  <c r="P281" i="28"/>
  <c r="Q281" i="28"/>
  <c r="R281" i="28"/>
  <c r="S281" i="28"/>
  <c r="T281" i="28"/>
  <c r="U281" i="28"/>
  <c r="V281" i="28"/>
  <c r="W281" i="28"/>
  <c r="X281" i="28"/>
  <c r="Y281" i="28"/>
  <c r="Z281" i="28"/>
  <c r="AA281" i="28"/>
  <c r="AB281" i="28"/>
  <c r="AC281" i="28"/>
  <c r="AD281" i="28"/>
  <c r="AE281" i="28"/>
  <c r="AF281" i="28"/>
  <c r="AG281" i="28"/>
  <c r="AH281" i="28"/>
  <c r="AI281" i="28"/>
  <c r="AJ281" i="28"/>
  <c r="AK281" i="28"/>
  <c r="AL281" i="28"/>
  <c r="AM281" i="28"/>
  <c r="AN281" i="28"/>
  <c r="AO281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8" i="28"/>
  <c r="H298" i="28"/>
  <c r="I298" i="28"/>
  <c r="J298" i="28"/>
  <c r="K298" i="28"/>
  <c r="L298" i="28"/>
  <c r="M298" i="28"/>
  <c r="N298" i="28"/>
  <c r="O298" i="28"/>
  <c r="P298" i="28"/>
  <c r="Q298" i="28"/>
  <c r="R298" i="28"/>
  <c r="S298" i="28"/>
  <c r="T298" i="28"/>
  <c r="U298" i="28"/>
  <c r="V298" i="28"/>
  <c r="W298" i="28"/>
  <c r="X298" i="28"/>
  <c r="Y298" i="28"/>
  <c r="Z298" i="28"/>
  <c r="AA298" i="28"/>
  <c r="AB298" i="28"/>
  <c r="AC298" i="28"/>
  <c r="AD298" i="28"/>
  <c r="AE298" i="28"/>
  <c r="AF298" i="28"/>
  <c r="AG298" i="28"/>
  <c r="AH298" i="28"/>
  <c r="AI298" i="28"/>
  <c r="AJ298" i="28"/>
  <c r="AK298" i="28"/>
  <c r="AL298" i="28"/>
  <c r="AM298" i="28"/>
  <c r="AN298" i="28"/>
  <c r="AO298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4" i="28"/>
  <c r="H334" i="28"/>
  <c r="I334" i="28"/>
  <c r="J334" i="28"/>
  <c r="K334" i="28"/>
  <c r="L334" i="28"/>
  <c r="M334" i="28"/>
  <c r="N334" i="28"/>
  <c r="O334" i="28"/>
  <c r="P334" i="28"/>
  <c r="Q334" i="28"/>
  <c r="R334" i="28"/>
  <c r="S334" i="28"/>
  <c r="T334" i="28"/>
  <c r="U334" i="28"/>
  <c r="V334" i="28"/>
  <c r="W334" i="28"/>
  <c r="X334" i="28"/>
  <c r="Y334" i="28"/>
  <c r="Z334" i="28"/>
  <c r="AA334" i="28"/>
  <c r="AB334" i="28"/>
  <c r="AC334" i="28"/>
  <c r="AD334" i="28"/>
  <c r="AE334" i="28"/>
  <c r="AF334" i="28"/>
  <c r="AG334" i="28"/>
  <c r="AH334" i="28"/>
  <c r="AI334" i="28"/>
  <c r="AJ334" i="28"/>
  <c r="AK334" i="28"/>
  <c r="AL334" i="28"/>
  <c r="AM334" i="28"/>
  <c r="AN334" i="28"/>
  <c r="AO334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7" i="28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F281" i="28"/>
  <c r="F284" i="28"/>
  <c r="F287" i="28"/>
  <c r="F288" i="28"/>
  <c r="F289" i="28"/>
  <c r="F290" i="28"/>
  <c r="F292" i="28"/>
  <c r="F293" i="28"/>
  <c r="F294" i="28"/>
  <c r="F295" i="28"/>
  <c r="F296" i="28"/>
  <c r="F297" i="28"/>
  <c r="F298" i="28"/>
  <c r="F299" i="28"/>
  <c r="F300" i="28"/>
  <c r="F301" i="28"/>
  <c r="F302" i="28"/>
  <c r="F303" i="28"/>
  <c r="F304" i="28"/>
  <c r="F305" i="28"/>
  <c r="F306" i="28"/>
  <c r="F307" i="28"/>
  <c r="F309" i="28"/>
  <c r="F310" i="28"/>
  <c r="F311" i="28"/>
  <c r="F312" i="28"/>
  <c r="F313" i="28"/>
  <c r="F314" i="28"/>
  <c r="F315" i="28"/>
  <c r="F316" i="28"/>
  <c r="F319" i="28"/>
  <c r="F322" i="28"/>
  <c r="F323" i="28"/>
  <c r="F324" i="28"/>
  <c r="F325" i="28"/>
  <c r="F327" i="28"/>
  <c r="F328" i="28"/>
  <c r="F329" i="28"/>
  <c r="F330" i="28"/>
  <c r="F331" i="28"/>
  <c r="F332" i="28"/>
  <c r="F333" i="28"/>
  <c r="F334" i="28"/>
  <c r="F335" i="28"/>
  <c r="F336" i="28"/>
  <c r="F337" i="28"/>
  <c r="F338" i="28"/>
  <c r="F339" i="28"/>
  <c r="F340" i="28"/>
  <c r="F341" i="28"/>
  <c r="F342" i="28"/>
  <c r="F344" i="28"/>
  <c r="F345" i="28"/>
  <c r="F346" i="28"/>
  <c r="F347" i="28"/>
  <c r="F348" i="28"/>
  <c r="F349" i="28"/>
  <c r="F280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8" i="28"/>
  <c r="AN258" i="28"/>
  <c r="AM258" i="28"/>
  <c r="AL258" i="28"/>
  <c r="AK258" i="28"/>
  <c r="AJ258" i="28"/>
  <c r="AI258" i="28"/>
  <c r="AH258" i="28"/>
  <c r="AG258" i="28"/>
  <c r="AF258" i="28"/>
  <c r="AE258" i="28"/>
  <c r="AD258" i="28"/>
  <c r="AC258" i="28"/>
  <c r="AB258" i="28"/>
  <c r="AA258" i="28"/>
  <c r="Z258" i="28"/>
  <c r="Y258" i="28"/>
  <c r="X258" i="28"/>
  <c r="W258" i="28"/>
  <c r="V258" i="28"/>
  <c r="U258" i="28"/>
  <c r="T258" i="28"/>
  <c r="S258" i="28"/>
  <c r="R258" i="28"/>
  <c r="Q258" i="28"/>
  <c r="P258" i="28"/>
  <c r="O258" i="28"/>
  <c r="N258" i="28"/>
  <c r="M258" i="28"/>
  <c r="L258" i="28"/>
  <c r="K258" i="28"/>
  <c r="J258" i="28"/>
  <c r="I258" i="28"/>
  <c r="H258" i="28"/>
  <c r="G258" i="28"/>
  <c r="F258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2" i="28"/>
  <c r="AN222" i="28"/>
  <c r="AM222" i="28"/>
  <c r="AL222" i="28"/>
  <c r="AK222" i="28"/>
  <c r="AJ222" i="28"/>
  <c r="AI222" i="28"/>
  <c r="AH222" i="28"/>
  <c r="AG222" i="28"/>
  <c r="AF222" i="28"/>
  <c r="AE222" i="28"/>
  <c r="AD222" i="28"/>
  <c r="AC222" i="28"/>
  <c r="AB222" i="28"/>
  <c r="AA222" i="28"/>
  <c r="Z222" i="28"/>
  <c r="Y222" i="28"/>
  <c r="X222" i="28"/>
  <c r="W222" i="28"/>
  <c r="V222" i="28"/>
  <c r="U222" i="28"/>
  <c r="T222" i="28"/>
  <c r="S222" i="28"/>
  <c r="R222" i="28"/>
  <c r="Q222" i="28"/>
  <c r="P222" i="28"/>
  <c r="O222" i="28"/>
  <c r="N222" i="28"/>
  <c r="M222" i="28"/>
  <c r="L222" i="28"/>
  <c r="K222" i="28"/>
  <c r="J222" i="28"/>
  <c r="I222" i="28"/>
  <c r="H222" i="28"/>
  <c r="G222" i="28"/>
  <c r="F222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F3" i="28"/>
  <c r="G3" i="28"/>
  <c r="H3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M3" i="28"/>
  <c r="AN3" i="28"/>
  <c r="AO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= CF_toe_cfut_2 * PhiY_cfut_soil_2 ? 
(approcimation car on applique un coeff de prod primaire sur une conso finale ?) 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activer, en respectant ces noms de variables
essayer de mimer ce qu'on fait sur les entreprises (pour lesquelles la calibration impose que ca soit [c ; s] et non pas [s ; c]</t>
        </r>
      </text>
    </comment>
    <comment ref="E35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= sum(CH_toe_auto[cea] on cea) ? Ou CH_toe_trsp (à activer) ? </t>
        </r>
      </text>
    </comment>
    <comment ref="B7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D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l'instant, il n'y a pas d'émissions par vecteur énergétique dans la V3
on a des émissions par gaz à effet de serre, ou par comodité (les 28)
--&gt; je propose ici des sorties dans la lignée de ce qu'on faisait avec la V2, à voir si c'est possible ?
--&gt; est-ce que la définition proposée de EMS_nrj[ce] englobe bien (et uniquement celles là) les émissions énergétiques ? 
--&gt; si oui, le faire pour toutes les comodités énergétiques ? (je l'ai juste fait pour coal et crude oil ici)</t>
        </r>
      </text>
    </comment>
    <comment ref="I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validé avec Gissela</t>
        </r>
      </text>
    </comment>
    <comment ref="C81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(concrètement, il ne devrait y avori que du CO2 ?)</t>
        </r>
      </text>
    </comment>
    <comment ref="E89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 pas viser l'exhaustivité ici ? Mais liste de secteurs à valider ? + choisir pour chaque secteur entre EMS_Y et EMS_MAT ?</t>
        </r>
      </text>
    </comment>
    <comment ref="E94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E98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99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sharedStrings.xml><?xml version="1.0" encoding="utf-8"?>
<sst xmlns="http://schemas.openxmlformats.org/spreadsheetml/2006/main" count="3816" uniqueCount="2293">
  <si>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</si>
  <si>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</si>
  <si>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</si>
  <si>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</si>
  <si>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</si>
  <si>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</si>
  <si>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</si>
  <si>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</si>
  <si>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</si>
  <si>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</si>
  <si>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</si>
  <si>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</si>
  <si>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</si>
  <si>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</si>
  <si>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</si>
  <si>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</si>
  <si>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</si>
  <si>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</si>
  <si>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</si>
  <si>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</si>
  <si>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</si>
  <si>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</si>
  <si>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</si>
  <si>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</si>
  <si>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</si>
  <si>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</si>
  <si>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</si>
  <si>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</si>
  <si>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</si>
  <si>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</si>
  <si>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</si>
  <si>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</si>
  <si>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</si>
  <si>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</si>
  <si>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</si>
  <si>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</si>
  <si>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</si>
  <si>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</si>
  <si>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</si>
  <si>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</si>
  <si>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</si>
  <si>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</si>
  <si>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</si>
  <si>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</si>
  <si>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</si>
  <si>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</si>
  <si>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</si>
  <si>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</si>
  <si>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</si>
  <si>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</si>
  <si>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</si>
  <si>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</si>
  <si>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</si>
  <si>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</si>
  <si>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</si>
  <si>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</si>
  <si>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</si>
  <si>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</si>
  <si>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</si>
  <si>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</si>
  <si>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</si>
  <si>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</si>
  <si>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</si>
  <si>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</si>
  <si>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</si>
  <si>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</si>
  <si>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</si>
  <si>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</si>
  <si>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</si>
  <si>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</si>
  <si>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</si>
  <si>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</si>
  <si>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</si>
  <si>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</si>
  <si>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</si>
  <si>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</si>
  <si>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</si>
  <si>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</si>
  <si>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</si>
  <si>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</si>
  <si>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</si>
  <si>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</si>
  <si>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</si>
  <si>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</si>
  <si>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</si>
  <si>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</si>
  <si>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</si>
  <si>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</si>
  <si>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</si>
  <si>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</si>
  <si>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</si>
  <si>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</si>
  <si>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</si>
  <si>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</si>
  <si>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</si>
  <si>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</si>
  <si>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</si>
  <si>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</si>
  <si>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</si>
  <si>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</si>
  <si>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</si>
  <si>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</si>
  <si>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</si>
  <si>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</si>
  <si>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</si>
  <si>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</si>
  <si>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</si>
  <si>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</si>
  <si>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</si>
  <si>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</si>
  <si>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</si>
  <si>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</si>
  <si>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</si>
  <si>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</si>
  <si>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</si>
  <si>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</si>
  <si>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</si>
  <si>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</si>
  <si>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</si>
  <si>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</si>
  <si>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</si>
  <si>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</si>
  <si>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</si>
  <si>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</si>
  <si>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</si>
  <si>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</si>
  <si>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</si>
  <si>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</si>
  <si>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</si>
  <si>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</si>
  <si>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</si>
  <si>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</si>
  <si>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</si>
  <si>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</si>
  <si>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</si>
  <si>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</si>
  <si>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</si>
  <si>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</si>
  <si>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</si>
  <si>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</si>
  <si>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</si>
  <si>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</si>
  <si>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</si>
  <si>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</si>
  <si>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</si>
  <si>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 xml:space="preserve">NB : on crée ici une liste :
- globale, qui fusionne les reportings 1, 2 et 3 (même si seules les valeurs du scénario de choc présentées ici)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</si>
  <si>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</si>
  <si>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</si>
  <si>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</si>
  <si>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</si>
  <si>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</si>
  <si>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</si>
  <si>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</si>
  <si>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</si>
  <si>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</si>
  <si>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</si>
  <si>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</si>
  <si>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</si>
  <si>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</si>
  <si>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</si>
  <si>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</si>
  <si>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</si>
  <si>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</si>
  <si>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</si>
  <si>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</si>
  <si>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</si>
  <si>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</si>
  <si>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</si>
  <si>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</si>
  <si>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</si>
  <si>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EMS_NETS=EMS_SEC-EMS_ETS</t>
  </si>
  <si>
    <t>agri-forêt</t>
  </si>
  <si>
    <t>industrie hors ETS</t>
  </si>
  <si>
    <t>transport hors ETS</t>
  </si>
  <si>
    <t xml:space="preserve">EMS_Y[s] ? Ou EMS_MAT[s] ? 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</si>
  <si>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</si>
  <si>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</si>
  <si>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</si>
  <si>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</si>
  <si>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</si>
  <si>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</si>
  <si>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</si>
  <si>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</si>
  <si>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</si>
  <si>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</si>
  <si>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</si>
  <si>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</si>
  <si>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</si>
  <si>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</si>
  <si>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</si>
  <si>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</si>
  <si>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</si>
  <si>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</si>
  <si>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</si>
  <si>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</si>
  <si>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</si>
  <si>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</si>
  <si>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</si>
  <si>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</si>
  <si>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</si>
  <si>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</si>
  <si>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</si>
  <si>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</si>
  <si>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</si>
  <si>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</si>
  <si>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</si>
  <si>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</si>
  <si>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</si>
  <si>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</si>
  <si>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</si>
  <si>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</si>
  <si>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</si>
  <si>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</si>
  <si>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</si>
  <si>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</si>
  <si>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</si>
  <si>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</si>
  <si>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</si>
  <si>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</si>
  <si>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</si>
  <si>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</si>
  <si>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</si>
  <si>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</si>
  <si>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</si>
  <si>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</si>
  <si>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</si>
  <si>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</si>
  <si>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</si>
  <si>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</si>
  <si>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</si>
  <si>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</si>
  <si>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</si>
  <si>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</si>
  <si>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</si>
  <si>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</si>
  <si>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</si>
  <si>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</si>
  <si>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</si>
  <si>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</si>
  <si>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</si>
  <si>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</si>
  <si>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</si>
  <si>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</si>
  <si>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</si>
  <si>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</si>
  <si>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</si>
  <si>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</si>
  <si>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</si>
  <si>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</si>
  <si>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</si>
  <si>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</si>
  <si>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</si>
  <si>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</si>
  <si>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</si>
  <si>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</si>
  <si>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</si>
  <si>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</si>
  <si>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</si>
  <si>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</si>
  <si>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</si>
  <si>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</si>
  <si>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</si>
  <si>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</si>
  <si>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</si>
  <si>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</si>
  <si>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</si>
  <si>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</si>
  <si>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</si>
  <si>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</si>
  <si>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</si>
  <si>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</si>
  <si>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</si>
  <si>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</si>
  <si>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</si>
  <si>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</si>
  <si>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</si>
  <si>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</si>
  <si>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</si>
  <si>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</si>
  <si>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</si>
  <si>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</si>
  <si>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</si>
  <si>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</si>
  <si>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</si>
  <si>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</si>
  <si>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</si>
  <si>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</si>
  <si>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</si>
  <si>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</si>
  <si>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</si>
  <si>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</si>
  <si>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</si>
  <si>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</si>
  <si>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</si>
  <si>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</si>
  <si>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</si>
  <si>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</si>
  <si>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</si>
  <si>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</si>
  <si>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</si>
  <si>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</si>
  <si>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</si>
  <si>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</si>
  <si>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</si>
  <si>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</si>
  <si>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</si>
  <si>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</si>
  <si>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</si>
  <si>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</si>
  <si>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</si>
  <si>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</si>
  <si>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</si>
  <si>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</si>
  <si>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</si>
  <si>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</si>
  <si>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</si>
  <si>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</si>
  <si>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</si>
  <si>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</si>
  <si>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</si>
  <si>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</si>
  <si>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</si>
  <si>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</si>
  <si>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</si>
  <si>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</si>
  <si>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</si>
  <si>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</si>
  <si>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</si>
  <si>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</si>
  <si>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</si>
  <si>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</si>
  <si>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</si>
  <si>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</si>
  <si>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</si>
  <si>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</si>
  <si>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</si>
  <si>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</si>
  <si>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</si>
  <si>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</si>
  <si>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</si>
  <si>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</si>
  <si>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</si>
  <si>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</si>
  <si>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</si>
  <si>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</si>
  <si>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</si>
  <si>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</si>
  <si>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</si>
  <si>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</si>
  <si>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</si>
  <si>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</si>
  <si>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</si>
  <si>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</si>
  <si>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</si>
  <si>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</si>
  <si>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</si>
  <si>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</si>
  <si>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</si>
  <si>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</si>
  <si>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</si>
  <si>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</si>
  <si>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</si>
  <si>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</si>
  <si>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</si>
  <si>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</si>
  <si>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</si>
  <si>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</si>
  <si>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</si>
  <si>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</si>
  <si>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</si>
  <si>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</si>
  <si>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</si>
  <si>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</si>
  <si>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</si>
  <si>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</si>
  <si>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</si>
  <si>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</si>
  <si>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</si>
  <si>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</si>
  <si>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</si>
  <si>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</si>
  <si>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</si>
  <si>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</si>
  <si>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</si>
  <si>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</si>
  <si>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</si>
  <si>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</si>
  <si>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</si>
  <si>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</si>
  <si>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</si>
  <si>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</si>
  <si>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</si>
  <si>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</si>
  <si>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</si>
  <si>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</si>
  <si>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</si>
  <si>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</si>
  <si>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</si>
  <si>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</si>
  <si>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</si>
  <si>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</si>
  <si>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</si>
  <si>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</si>
  <si>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</si>
  <si>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</si>
  <si>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</si>
  <si>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</si>
  <si>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</si>
  <si>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</si>
  <si>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</si>
  <si>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</si>
  <si>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</si>
  <si>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</si>
  <si>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</si>
  <si>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</si>
  <si>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</si>
  <si>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</si>
  <si>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</si>
  <si>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</si>
  <si>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</si>
  <si>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</si>
  <si>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</si>
  <si>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</si>
  <si>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</si>
  <si>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</si>
  <si>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</si>
  <si>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</si>
  <si>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</si>
  <si>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</si>
  <si>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</si>
  <si>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</si>
  <si>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</si>
  <si>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</si>
  <si>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</si>
  <si>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</si>
  <si>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</si>
  <si>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</si>
  <si>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</si>
  <si>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</si>
  <si>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</si>
  <si>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</si>
  <si>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</si>
  <si>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</si>
  <si>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</si>
  <si>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</si>
  <si>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</si>
  <si>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</si>
  <si>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</si>
  <si>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</si>
  <si>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</si>
  <si>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</si>
  <si>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</si>
  <si>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</si>
  <si>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</si>
  <si>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</si>
  <si>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</si>
  <si>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</si>
  <si>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</si>
  <si>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</si>
  <si>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</si>
  <si>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</si>
  <si>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</si>
  <si>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</si>
  <si>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</si>
  <si>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</si>
  <si>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</si>
  <si>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</si>
  <si>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</si>
  <si>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</si>
  <si>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</si>
  <si>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</si>
  <si>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</si>
  <si>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</si>
  <si>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</si>
  <si>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</si>
  <si>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</si>
  <si>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</si>
  <si>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</si>
  <si>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</si>
  <si>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</si>
  <si>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</si>
  <si>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</si>
  <si>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</si>
  <si>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</si>
  <si>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</si>
  <si>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</si>
  <si>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</si>
  <si>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</si>
  <si>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</si>
  <si>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</si>
  <si>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</si>
  <si>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</si>
  <si>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</si>
  <si>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</si>
  <si>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</si>
  <si>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</si>
  <si>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</si>
  <si>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</si>
  <si>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</si>
  <si>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</si>
  <si>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</si>
  <si>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</si>
  <si>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</si>
  <si>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</si>
  <si>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</si>
  <si>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</si>
  <si>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</si>
  <si>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</si>
  <si>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</si>
  <si>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</si>
  <si>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</si>
  <si>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</si>
  <si>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</si>
  <si>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</si>
  <si>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</si>
  <si>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</si>
  <si>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</si>
  <si>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</si>
  <si>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</si>
  <si>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</si>
  <si>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</si>
  <si>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</si>
  <si>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</si>
  <si>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</si>
  <si>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</si>
  <si>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</si>
  <si>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</si>
  <si>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</si>
  <si>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</si>
  <si>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</si>
  <si>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</si>
  <si>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</si>
  <si>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</si>
  <si>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</si>
  <si>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</si>
  <si>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</si>
  <si>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</si>
  <si>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AUTOMOBILES
(unit)</t>
  </si>
  <si>
    <t>HOUSING
(m²)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</si>
  <si>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</si>
  <si>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</si>
  <si>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</si>
  <si>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</si>
  <si>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</si>
  <si>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</si>
  <si>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</si>
  <si>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</si>
  <si>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</si>
  <si>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</si>
  <si>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</si>
  <si>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</si>
  <si>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</si>
  <si>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</si>
  <si>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</si>
  <si>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</si>
  <si>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</si>
  <si>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</si>
  <si>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</si>
  <si>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</si>
  <si>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</si>
  <si>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</si>
  <si>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</si>
  <si>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</si>
  <si>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</si>
  <si>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</si>
  <si>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</si>
  <si>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</si>
  <si>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</si>
  <si>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</si>
  <si>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</si>
  <si>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</si>
  <si>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</si>
  <si>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</si>
  <si>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</si>
  <si>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</si>
  <si>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</si>
  <si>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PRIMARY ENERGY
(TEP)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</si>
  <si>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</si>
  <si>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</si>
  <si>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</si>
  <si>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</si>
  <si>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</si>
  <si>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</si>
  <si>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</si>
  <si>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</si>
  <si>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</si>
  <si>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</si>
  <si>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</si>
  <si>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</si>
  <si>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</si>
  <si>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</si>
  <si>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</si>
  <si>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</si>
  <si>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</si>
  <si>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</si>
  <si>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</si>
  <si>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</si>
  <si>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</si>
  <si>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</si>
  <si>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</si>
  <si>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</si>
  <si>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</si>
  <si>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</si>
  <si>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</si>
  <si>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</si>
  <si>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</si>
  <si>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</si>
  <si>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</si>
  <si>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</si>
  <si>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</si>
  <si>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</si>
  <si>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</si>
  <si>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</si>
  <si>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</si>
  <si>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</si>
  <si>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</si>
  <si>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</si>
  <si>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</si>
  <si>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</si>
  <si>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</si>
  <si>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</si>
  <si>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</si>
  <si>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</si>
  <si>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</si>
  <si>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</si>
  <si>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</si>
  <si>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</si>
  <si>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</si>
  <si>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</si>
  <si>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</si>
  <si>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</si>
  <si>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</si>
  <si>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</si>
  <si>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</si>
  <si>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</si>
  <si>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</si>
  <si>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</si>
  <si>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</si>
  <si>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</si>
  <si>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</si>
  <si>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</si>
  <si>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</si>
  <si>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</si>
  <si>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</si>
  <si>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</si>
  <si>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</si>
  <si>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</si>
  <si>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</si>
  <si>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</si>
  <si>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</si>
  <si>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</si>
  <si>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</si>
  <si>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</si>
  <si>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</si>
  <si>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</si>
  <si>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</si>
  <si>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</si>
  <si>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</si>
  <si>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</si>
  <si>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</si>
  <si>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</si>
  <si>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</si>
  <si>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</si>
  <si>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</si>
  <si>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</si>
  <si>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</si>
  <si>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</si>
  <si>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</si>
  <si>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</si>
  <si>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</si>
  <si>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</si>
  <si>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</si>
  <si>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</si>
  <si>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</si>
  <si>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</si>
  <si>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</si>
  <si>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</si>
  <si>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</si>
  <si>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</si>
  <si>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</si>
  <si>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</si>
  <si>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</si>
  <si>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</si>
  <si>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</si>
  <si>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</si>
  <si>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</si>
  <si>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</si>
  <si>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</si>
  <si>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</si>
  <si>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</si>
  <si>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</si>
  <si>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</si>
  <si>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</si>
  <si>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</si>
  <si>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</si>
  <si>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</si>
  <si>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</si>
  <si>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</si>
  <si>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</si>
  <si>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</si>
  <si>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</si>
  <si>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</si>
  <si>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</si>
  <si>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</si>
  <si>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</si>
  <si>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</si>
  <si>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</si>
  <si>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</si>
  <si>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</si>
  <si>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</si>
  <si>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</si>
  <si>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</si>
  <si>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</si>
  <si>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</si>
  <si>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</si>
  <si>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</si>
  <si>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</si>
  <si>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</si>
  <si>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</si>
  <si>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</si>
  <si>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</si>
  <si>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</si>
  <si>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</si>
  <si>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</si>
  <si>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</si>
  <si>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</si>
  <si>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</si>
  <si>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</si>
  <si>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</si>
  <si>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</si>
  <si>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</si>
  <si>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</si>
  <si>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</si>
  <si>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</si>
  <si>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</si>
  <si>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</si>
  <si>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</si>
  <si>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</si>
  <si>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</si>
  <si>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</si>
  <si>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</si>
  <si>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</si>
  <si>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</si>
  <si>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</si>
  <si>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</si>
  <si>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</si>
  <si>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</si>
  <si>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</si>
  <si>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</si>
  <si>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</si>
  <si>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</si>
  <si>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</si>
  <si>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</si>
  <si>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</si>
  <si>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</si>
  <si>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</si>
  <si>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</si>
  <si>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</si>
  <si>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</si>
  <si>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</si>
  <si>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</si>
  <si>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</si>
  <si>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</si>
  <si>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</si>
  <si>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</si>
  <si>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</si>
  <si>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</si>
  <si>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</si>
  <si>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</si>
  <si>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</si>
  <si>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</si>
  <si>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</si>
  <si>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</si>
  <si>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</si>
  <si>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</si>
  <si>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</si>
  <si>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</si>
  <si>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</si>
  <si>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</si>
  <si>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</si>
  <si>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</si>
  <si>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</si>
  <si>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</si>
  <si>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</si>
  <si>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</si>
  <si>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</si>
  <si>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</si>
  <si>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</si>
  <si>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</si>
  <si>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</si>
  <si>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</si>
  <si>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</si>
  <si>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</si>
  <si>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</si>
  <si>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</si>
  <si>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</si>
  <si>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</si>
  <si>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</si>
  <si>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</si>
  <si>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</si>
  <si>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</si>
  <si>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</si>
  <si>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</si>
  <si>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</si>
  <si>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</si>
  <si>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</si>
  <si>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</si>
  <si>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</si>
  <si>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</si>
  <si>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</si>
  <si>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</si>
  <si>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</si>
  <si>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</si>
  <si>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</si>
  <si>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</si>
  <si>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</si>
  <si>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</si>
  <si>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</si>
  <si>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</si>
  <si>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</si>
  <si>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</si>
  <si>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</si>
  <si>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</si>
  <si>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</si>
  <si>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</si>
  <si>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</si>
  <si>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</si>
  <si>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</si>
  <si>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</si>
  <si>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</si>
  <si>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</si>
  <si>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</si>
  <si>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</si>
  <si>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</si>
  <si>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</si>
  <si>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</si>
  <si>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</si>
  <si>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</si>
  <si>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</si>
  <si>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</si>
  <si>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</si>
  <si>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</si>
  <si>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</si>
  <si>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</si>
  <si>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</si>
  <si>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</si>
  <si>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</si>
  <si>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</si>
  <si>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</si>
  <si>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</si>
  <si>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</si>
  <si>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</si>
  <si>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</si>
  <si>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</si>
  <si>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</si>
  <si>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</si>
  <si>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</si>
  <si>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</si>
  <si>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</si>
  <si>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</si>
  <si>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</si>
  <si>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</si>
  <si>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</si>
  <si>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</si>
  <si>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</si>
  <si>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</si>
  <si>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</si>
  <si>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</si>
  <si>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</si>
  <si>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</si>
  <si>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</si>
  <si>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</si>
  <si>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</si>
  <si>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</si>
  <si>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</si>
  <si>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</si>
  <si>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</si>
  <si>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</si>
  <si>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</si>
  <si>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</si>
  <si>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</si>
  <si>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</si>
  <si>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</si>
  <si>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</si>
  <si>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</si>
  <si>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</si>
  <si>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</si>
  <si>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</si>
  <si>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</si>
  <si>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</si>
  <si>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</si>
  <si>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</si>
  <si>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</si>
  <si>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</si>
  <si>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</si>
  <si>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</si>
  <si>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</si>
  <si>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</si>
  <si>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</si>
  <si>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</si>
  <si>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</si>
  <si>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</si>
  <si>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</si>
  <si>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</si>
  <si>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</si>
  <si>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</si>
  <si>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</si>
  <si>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</si>
  <si>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</si>
  <si>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</si>
  <si>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</si>
  <si>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</si>
  <si>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</si>
  <si>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</si>
  <si>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</si>
  <si>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</si>
  <si>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</si>
  <si>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</si>
  <si>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</si>
  <si>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</si>
  <si>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</si>
  <si>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</si>
  <si>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</si>
  <si>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</si>
  <si>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</si>
  <si>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</si>
  <si>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</si>
  <si>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</si>
  <si>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</si>
  <si>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</si>
  <si>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</si>
  <si>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</si>
  <si>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</si>
  <si>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</si>
  <si>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</si>
  <si>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</si>
  <si>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</si>
  <si>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</si>
  <si>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</si>
  <si>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</si>
  <si>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</si>
  <si>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</si>
  <si>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</si>
  <si>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</si>
  <si>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</si>
  <si>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</si>
  <si>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</si>
  <si>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</si>
  <si>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</si>
  <si>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</si>
  <si>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</si>
  <si>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</si>
  <si>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</si>
  <si>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</si>
  <si>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</si>
  <si>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</si>
  <si>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</si>
  <si>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</si>
  <si>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</si>
  <si>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</si>
  <si>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</si>
  <si>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</si>
  <si>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</si>
  <si>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</si>
  <si>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</si>
  <si>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</si>
  <si>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</si>
  <si>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</si>
  <si>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</si>
  <si>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</si>
  <si>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</si>
  <si>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</si>
  <si>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</si>
  <si>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</si>
  <si>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</si>
  <si>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</si>
  <si>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</si>
  <si>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</si>
  <si>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</si>
  <si>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</si>
  <si>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</si>
  <si>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</si>
  <si>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</si>
  <si>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</si>
  <si>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</si>
  <si>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</si>
  <si>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</si>
  <si>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</si>
  <si>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</si>
  <si>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</si>
  <si>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</si>
  <si>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</si>
  <si>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</si>
  <si>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</si>
  <si>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</si>
  <si>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</si>
  <si>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</si>
  <si>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</si>
  <si>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</si>
  <si>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</si>
  <si>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</si>
  <si>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</si>
  <si>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</si>
  <si>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</si>
  <si>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</si>
  <si>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</si>
  <si>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</si>
  <si>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</si>
  <si>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</si>
  <si>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</si>
  <si>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</si>
  <si>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</si>
  <si>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</si>
  <si>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</si>
  <si>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</si>
  <si>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</si>
  <si>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</si>
  <si>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</si>
  <si>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</si>
  <si>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</si>
  <si>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</si>
  <si>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</si>
  <si>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</si>
  <si>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</si>
  <si>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</si>
  <si>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</si>
  <si>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</si>
  <si>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</si>
  <si>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</si>
  <si>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</si>
  <si>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</si>
  <si>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</si>
  <si>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</si>
  <si>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</si>
  <si>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CF_toe_chea_sech_2 </t>
  </si>
  <si>
    <t>CF_toe_chea_2</t>
  </si>
  <si>
    <t>CF_toe_cbio_2</t>
  </si>
  <si>
    <t>CF_toe_cote_2</t>
  </si>
  <si>
    <t>FINAL ENERGY CONSUMPTION, BY COMODITY
 (TEP)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</si>
  <si>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</si>
  <si>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</si>
  <si>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</si>
  <si>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</si>
  <si>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</si>
  <si>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</si>
  <si>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</si>
  <si>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</si>
  <si>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</si>
  <si>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</si>
  <si>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</si>
  <si>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</si>
  <si>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</si>
  <si>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</si>
  <si>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</si>
  <si>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</si>
  <si>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</si>
  <si>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</si>
  <si>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</si>
  <si>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</si>
  <si>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</si>
  <si>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</si>
  <si>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</si>
  <si>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</si>
  <si>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</si>
  <si>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</si>
  <si>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</si>
  <si>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</si>
  <si>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</si>
  <si>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</si>
  <si>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</si>
  <si>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</si>
  <si>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</si>
  <si>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</si>
  <si>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</si>
  <si>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</si>
  <si>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</si>
  <si>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</si>
  <si>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</si>
  <si>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</si>
  <si>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</si>
  <si>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</si>
  <si>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</si>
  <si>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</si>
  <si>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</si>
  <si>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</si>
  <si>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</si>
  <si>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</si>
  <si>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</si>
  <si>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</si>
  <si>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</si>
  <si>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</si>
  <si>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</si>
  <si>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</si>
  <si>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</si>
  <si>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</si>
  <si>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</si>
  <si>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</si>
  <si>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</si>
  <si>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</si>
  <si>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</si>
  <si>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</si>
  <si>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</si>
  <si>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</si>
  <si>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</si>
  <si>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</si>
  <si>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</si>
  <si>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</si>
  <si>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</si>
  <si>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</si>
  <si>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</si>
  <si>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</si>
  <si>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</si>
  <si>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</si>
  <si>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</si>
  <si>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</si>
  <si>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</si>
  <si>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</si>
  <si>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</si>
  <si>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</si>
  <si>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</si>
  <si>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</si>
  <si>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</si>
  <si>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</si>
  <si>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</si>
  <si>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</si>
  <si>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</si>
  <si>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</si>
  <si>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</si>
  <si>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</si>
  <si>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</si>
  <si>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</si>
  <si>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</si>
  <si>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</si>
  <si>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</si>
  <si>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</si>
  <si>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</si>
  <si>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</si>
  <si>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</si>
  <si>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</si>
  <si>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</si>
  <si>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</si>
  <si>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</si>
  <si>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</si>
  <si>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</si>
  <si>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</si>
  <si>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</si>
  <si>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</si>
  <si>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</si>
  <si>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</si>
  <si>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</si>
  <si>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</si>
  <si>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</si>
  <si>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</si>
  <si>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</si>
  <si>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</si>
  <si>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</si>
  <si>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</si>
  <si>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</si>
  <si>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</si>
  <si>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</si>
  <si>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</si>
  <si>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</si>
  <si>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</si>
  <si>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</si>
  <si>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</si>
  <si>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</si>
  <si>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</si>
  <si>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</si>
  <si>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</si>
  <si>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</si>
  <si>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</si>
  <si>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</si>
  <si>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</si>
  <si>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</si>
  <si>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</si>
  <si>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</si>
  <si>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</si>
  <si>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</si>
  <si>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</si>
  <si>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</si>
  <si>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</si>
  <si>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</si>
  <si>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</si>
  <si>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</si>
  <si>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</si>
  <si>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</si>
  <si>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</si>
  <si>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</si>
  <si>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</si>
  <si>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</si>
  <si>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</si>
  <si>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</si>
  <si>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</si>
  <si>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</si>
  <si>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</si>
  <si>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</si>
  <si>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</si>
  <si>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</si>
  <si>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</si>
  <si>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</si>
  <si>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</si>
  <si>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</si>
  <si>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</si>
  <si>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</si>
  <si>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</si>
  <si>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</si>
  <si>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</si>
  <si>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</si>
  <si>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</si>
  <si>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</si>
  <si>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</si>
  <si>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</si>
  <si>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</si>
  <si>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</si>
  <si>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</si>
  <si>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</si>
  <si>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</si>
  <si>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</si>
  <si>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</si>
  <si>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</si>
  <si>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</si>
  <si>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</si>
  <si>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</si>
  <si>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</si>
  <si>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</si>
  <si>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</si>
  <si>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</si>
  <si>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</si>
  <si>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</si>
  <si>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</si>
  <si>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</si>
  <si>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</si>
  <si>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</si>
  <si>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</si>
  <si>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</si>
  <si>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</si>
  <si>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</si>
  <si>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</si>
  <si>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</si>
  <si>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</si>
  <si>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</si>
  <si>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</si>
  <si>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</si>
  <si>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</si>
  <si>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</si>
  <si>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</si>
  <si>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</si>
  <si>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</si>
  <si>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</si>
  <si>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</si>
  <si>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</si>
  <si>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</si>
  <si>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</si>
  <si>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</si>
  <si>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</si>
  <si>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</si>
  <si>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</si>
  <si>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</si>
  <si>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</si>
  <si>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</si>
  <si>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</si>
  <si>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</si>
  <si>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</si>
  <si>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</si>
  <si>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</si>
  <si>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</si>
  <si>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</si>
  <si>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</si>
  <si>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</si>
  <si>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</si>
  <si>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</si>
  <si>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</si>
  <si>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</si>
  <si>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</si>
  <si>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</si>
  <si>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</si>
  <si>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</si>
  <si>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</si>
  <si>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</si>
  <si>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</si>
  <si>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</si>
  <si>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</si>
  <si>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</si>
  <si>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</si>
  <si>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</si>
  <si>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</si>
  <si>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</si>
  <si>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</si>
  <si>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</si>
  <si>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</si>
  <si>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</si>
  <si>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</si>
  <si>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</si>
  <si>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</si>
  <si>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</si>
  <si>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</si>
  <si>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</si>
  <si>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</si>
  <si>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</si>
  <si>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</si>
  <si>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</si>
  <si>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</si>
  <si>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</si>
  <si>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</si>
  <si>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</si>
  <si>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</si>
  <si>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</si>
  <si>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</si>
  <si>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</si>
  <si>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</si>
  <si>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</si>
  <si>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</si>
  <si>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</si>
  <si>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</si>
  <si>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</si>
  <si>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</si>
  <si>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</si>
  <si>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</si>
  <si>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</si>
  <si>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</si>
  <si>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</si>
  <si>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</si>
  <si>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</si>
  <si>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</si>
  <si>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</si>
  <si>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</si>
  <si>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</si>
  <si>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</si>
  <si>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</si>
  <si>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</si>
  <si>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</si>
  <si>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</si>
  <si>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</si>
  <si>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</si>
  <si>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</si>
  <si>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</si>
  <si>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</si>
  <si>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</si>
  <si>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</si>
  <si>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</si>
  <si>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</si>
  <si>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</si>
  <si>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</si>
  <si>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</si>
  <si>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</si>
  <si>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</si>
  <si>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</si>
  <si>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</si>
  <si>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</si>
  <si>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</si>
  <si>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</si>
  <si>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</si>
  <si>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</si>
  <si>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</si>
  <si>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</si>
  <si>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</si>
  <si>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</si>
  <si>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</si>
  <si>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</si>
  <si>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</si>
  <si>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</si>
  <si>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</si>
  <si>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</si>
  <si>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</si>
  <si>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</si>
  <si>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</si>
  <si>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</si>
  <si>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</si>
  <si>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</si>
  <si>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</si>
  <si>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</si>
  <si>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</si>
  <si>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</si>
  <si>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</si>
  <si>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</si>
  <si>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</si>
  <si>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</si>
  <si>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</si>
  <si>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</si>
  <si>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</si>
  <si>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</si>
  <si>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</si>
  <si>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</si>
  <si>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</si>
  <si>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</si>
  <si>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</si>
  <si>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</si>
  <si>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</si>
  <si>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</si>
  <si>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</si>
  <si>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</si>
  <si>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</si>
  <si>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</si>
  <si>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</si>
  <si>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</si>
  <si>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</si>
  <si>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</si>
  <si>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</si>
  <si>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</si>
  <si>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</si>
  <si>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</si>
  <si>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</si>
  <si>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</si>
  <si>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</si>
  <si>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</si>
  <si>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</si>
  <si>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</si>
  <si>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</si>
  <si>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</si>
  <si>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</si>
  <si>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</si>
  <si>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</si>
  <si>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</si>
  <si>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</si>
  <si>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</si>
  <si>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</si>
  <si>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</si>
  <si>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</si>
  <si>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</si>
  <si>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</si>
  <si>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</si>
  <si>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</si>
  <si>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</si>
  <si>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</si>
  <si>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</si>
  <si>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</si>
  <si>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</si>
  <si>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</si>
  <si>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</si>
  <si>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EMS_CH_ccoi_2</t>
  </si>
  <si>
    <t>EMS_CH_cfut_2</t>
  </si>
  <si>
    <t>EMS_CH_cfuh_2</t>
  </si>
  <si>
    <t>EMS_CH_cele_2</t>
  </si>
  <si>
    <t>EMS_CH_chea_2</t>
  </si>
  <si>
    <t>EMS_CH_cbio_2</t>
  </si>
  <si>
    <t>EMS_CH_cote_2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</si>
  <si>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</si>
  <si>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</si>
  <si>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</si>
  <si>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</si>
  <si>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</si>
  <si>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</si>
  <si>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</si>
  <si>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</si>
  <si>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</si>
  <si>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</si>
  <si>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</si>
  <si>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</si>
  <si>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</si>
  <si>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</si>
  <si>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</si>
  <si>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</si>
  <si>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</si>
  <si>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</si>
  <si>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</si>
  <si>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</si>
  <si>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</si>
  <si>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</si>
  <si>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</si>
  <si>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</si>
  <si>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</si>
  <si>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</si>
  <si>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</si>
  <si>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</si>
  <si>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</si>
  <si>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</si>
  <si>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</si>
  <si>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</si>
  <si>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EMS_CI_sfor_ccoa_2</t>
  </si>
  <si>
    <t>EMS_CI_ind_ccoa_2</t>
  </si>
  <si>
    <t>EMS_CI_sfoo_ccoa_2</t>
  </si>
  <si>
    <t>EMS_CI_sveh_ccoa_2</t>
  </si>
  <si>
    <t>EMS_CI_sgla_ccoa_2</t>
  </si>
  <si>
    <t>EMS_CI_spap_ccoa_2</t>
  </si>
  <si>
    <t>EMS_CI_sche_ccoa_2</t>
  </si>
  <si>
    <t>EMS_CI_spla_ccoa_2</t>
  </si>
  <si>
    <t>EMS_CI_smet_ccoa_2</t>
  </si>
  <si>
    <t>EMS_CI_sigo_ccoa_2</t>
  </si>
  <si>
    <t>EMS_CI_scgo_ccoa_2</t>
  </si>
  <si>
    <t>EMS_CI_scon_ccoa_2</t>
  </si>
  <si>
    <t>EMS_CI_smin_ccoa_2</t>
  </si>
  <si>
    <t>EMS_CI_trsp_ccoa_2</t>
  </si>
  <si>
    <t>EMS_CI_srai_ccoa_2</t>
  </si>
  <si>
    <t>EMS_CI_sroa_ccoa_2</t>
  </si>
  <si>
    <t>EMS_CI_swat_ccoa_2</t>
  </si>
  <si>
    <t>EMS_CI_sair_ccoa_2</t>
  </si>
  <si>
    <t>EMS_CI_ser_ccoa_2</t>
  </si>
  <si>
    <t>EMS_CI_spri_ccoa_2</t>
  </si>
  <si>
    <t>EMS_CI_spub_ccoa_2</t>
  </si>
  <si>
    <t>EMS_CI_trsf_ccoa_2</t>
  </si>
  <si>
    <t>EMS_CI_soil_ccoa_2</t>
  </si>
  <si>
    <t>EMS_CI_sbfu_ccoa_2</t>
  </si>
  <si>
    <t>EMS_CI_sgas_ccoa_2</t>
  </si>
  <si>
    <t>EMS_CI_sbga_ccoa_2</t>
  </si>
  <si>
    <t>EMS_CI_ele_ccoa_2</t>
  </si>
  <si>
    <t>EMS_CI_senu_ccoa_2</t>
  </si>
  <si>
    <t>EMS_CI_seoi_ccoa_2</t>
  </si>
  <si>
    <t>EMS_CI_sega_ccoa_2</t>
  </si>
  <si>
    <t>EMS_CI_seco_ccoa_2</t>
  </si>
  <si>
    <t>EMS_CI_sewi_ccoa_2</t>
  </si>
  <si>
    <t>EMS_CI_seso_ccoa_2</t>
  </si>
  <si>
    <t>EMS_CI_sehy_ccoa_2</t>
  </si>
  <si>
    <t>EMS_CI_sech_ccoa_2</t>
  </si>
  <si>
    <t>EMS_CI_seot_ccoa_2</t>
  </si>
  <si>
    <t>coil</t>
  </si>
  <si>
    <t>EMS_CI_sfor_coil_2</t>
  </si>
  <si>
    <t>EMS_CI_ind_coil_2</t>
  </si>
  <si>
    <t>EMS_CI_sfoo_coil_2</t>
  </si>
  <si>
    <t>EMS_CI_sveh_coil_2</t>
  </si>
  <si>
    <t>EMS_CI_sgla_coil_2</t>
  </si>
  <si>
    <t>EMS_CI_spap_coil_2</t>
  </si>
  <si>
    <t>EMS_CI_sche_coil_2</t>
  </si>
  <si>
    <t>EMS_CI_spla_coil_2</t>
  </si>
  <si>
    <t>EMS_CI_smet_coil_2</t>
  </si>
  <si>
    <t>EMS_CI_sigo_coil_2</t>
  </si>
  <si>
    <t>EMS_CI_scgo_coil_2</t>
  </si>
  <si>
    <t>EMS_CI_scon_coil_2</t>
  </si>
  <si>
    <t>EMS_CI_smin_coil_2</t>
  </si>
  <si>
    <t>EMS_CI_trsp_coil_2</t>
  </si>
  <si>
    <t>EMS_CI_srai_coil_2</t>
  </si>
  <si>
    <t>EMS_CI_sroa_coil_2</t>
  </si>
  <si>
    <t>EMS_CI_swat_coil_2</t>
  </si>
  <si>
    <t>EMS_CI_sair_coil_2</t>
  </si>
  <si>
    <t>EMS_CI_ser_coil_2</t>
  </si>
  <si>
    <t>EMS_CI_spri_coil_2</t>
  </si>
  <si>
    <t>EMS_CI_spub_coil_2</t>
  </si>
  <si>
    <t>EMS_CI_trsf_coil_2</t>
  </si>
  <si>
    <t>EMS_CI_soil_coil_2</t>
  </si>
  <si>
    <t>EMS_CI_sbfu_coil_2</t>
  </si>
  <si>
    <t>EMS_CI_sgas_coil_2</t>
  </si>
  <si>
    <t>EMS_CI_sbga_coil_2</t>
  </si>
  <si>
    <t>EMS_CI_ele_coil_2</t>
  </si>
  <si>
    <t>EMS_CI_senu_coil_2</t>
  </si>
  <si>
    <t>EMS_CI_seoi_coil_2</t>
  </si>
  <si>
    <t>EMS_CI_sega_coil_2</t>
  </si>
  <si>
    <t>EMS_CI_seco_coil_2</t>
  </si>
  <si>
    <t>EMS_CI_sewi_coil_2</t>
  </si>
  <si>
    <t>EMS_CI_seso_coil_2</t>
  </si>
  <si>
    <t>EMS_CI_sehy_coil_2</t>
  </si>
  <si>
    <t>EMS_CI_sech_coil_2</t>
  </si>
  <si>
    <t>EMS_CI_seot_coil_2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</si>
  <si>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</si>
  <si>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</si>
  <si>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</si>
  <si>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</si>
  <si>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</si>
  <si>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</si>
  <si>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</si>
  <si>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</si>
  <si>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</si>
  <si>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</si>
  <si>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NON ENERGY EMISSIONS SHOCK</t>
  </si>
  <si>
    <t>ETS EMISSIONS SHOCK</t>
  </si>
  <si>
    <t>NON-ETS EMISSIONS SHOCK</t>
  </si>
  <si>
    <t>EMS_SEC_2</t>
  </si>
  <si>
    <t>EMS_sagr_2</t>
  </si>
  <si>
    <t>EMS_SEC=sum(EMS[s] on s)</t>
  </si>
  <si>
    <t>EMS[s]=EMS_CI[s] + EMS_MAT[s] + EMS_Y[s]</t>
  </si>
  <si>
    <t xml:space="preserve">EMS_ETS=sum (EMS[sets] on sets) </t>
  </si>
  <si>
    <t>EMS_ETS_2</t>
  </si>
  <si>
    <t>EMS_NETS_2</t>
  </si>
  <si>
    <t>EMS_AGRF_2</t>
  </si>
  <si>
    <t>EMS_NETSI_2</t>
  </si>
  <si>
    <t>EMS_TRSP_2</t>
  </si>
  <si>
    <t>EMS_TRSP_2-EMS_sair_2</t>
  </si>
  <si>
    <t xml:space="preserve">EMS_NETSI=sum (EMS[snesti] on snetsi) </t>
  </si>
  <si>
    <t xml:space="preserve">EMS_TRSP=sum (EMS[strsp] on strsp) </t>
  </si>
  <si>
    <t>EMS_IND_2</t>
  </si>
  <si>
    <t>EMS_SER_2</t>
  </si>
  <si>
    <t>EMS_TRSF_2</t>
  </si>
  <si>
    <t>EMS_ELE_2</t>
  </si>
  <si>
    <t xml:space="preserve">EMS_IND=sum (EMS[sind] on sind) </t>
  </si>
  <si>
    <t xml:space="preserve">EMS_SER=sum (EMS[sser] on sser) </t>
  </si>
  <si>
    <t xml:space="preserve">EMS_TRSF=sum (EMS[strsf] on strsf) </t>
  </si>
  <si>
    <t xml:space="preserve">EMS_ELE=sum (EMS[sele] on sele) </t>
  </si>
  <si>
    <t>EMS_CI_sagr_ccoa_2</t>
  </si>
  <si>
    <t>possible de le créer ?</t>
  </si>
  <si>
    <t>EMS_CH_BUIL</t>
  </si>
  <si>
    <t>EMS_CH_AUTO</t>
  </si>
  <si>
    <t>EMS_CI_sagr_coil_2</t>
  </si>
  <si>
    <t>ENERGY TOTAL EMISSIONS SHOCK</t>
  </si>
  <si>
    <t>ENERGY HOUSEHOLD EMISSIONS SHOCK</t>
  </si>
  <si>
    <t>EMS_CI_coil_2</t>
  </si>
  <si>
    <t>EMS_CI_agrf_coil_2</t>
  </si>
  <si>
    <t>EMS_CI_ccoa_2</t>
  </si>
  <si>
    <t>EMS_CI_agrf_ccoa_2</t>
  </si>
  <si>
    <t>EMS_nrj_ccoa_2</t>
  </si>
  <si>
    <t>EMS_nrj_ccoi_2</t>
  </si>
  <si>
    <t>EMS_nrj_cfut_2</t>
  </si>
  <si>
    <t>EMS_nrj_cfuh_2</t>
  </si>
  <si>
    <t>EMS_nrj_cele_2</t>
  </si>
  <si>
    <t>EMS_nrj_chea_2</t>
  </si>
  <si>
    <t>EMS_nrj_cbio_2</t>
  </si>
  <si>
    <t>EMS_nrj_cote_2</t>
  </si>
  <si>
    <t>EMS_nrj[ce]=EMS_CH[ce]+EMS_CI[ce]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</si>
  <si>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</si>
  <si>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</si>
  <si>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</si>
  <si>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</si>
  <si>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</si>
  <si>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</si>
  <si>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</si>
  <si>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</si>
  <si>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</si>
  <si>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</si>
  <si>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</si>
  <si>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</si>
  <si>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</si>
  <si>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</si>
  <si>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</si>
  <si>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</si>
  <si>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</si>
  <si>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</si>
  <si>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</si>
  <si>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</si>
  <si>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</si>
  <si>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</si>
  <si>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</si>
  <si>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</si>
  <si>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</si>
  <si>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</si>
  <si>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</si>
  <si>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</si>
  <si>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</si>
  <si>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</si>
  <si>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</si>
  <si>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</si>
  <si>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</si>
  <si>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</si>
  <si>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</si>
  <si>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</si>
  <si>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</si>
  <si>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</si>
  <si>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</si>
  <si>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</si>
  <si>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</si>
  <si>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</si>
  <si>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</si>
  <si>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</si>
  <si>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</si>
  <si>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</si>
  <si>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</si>
  <si>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</si>
  <si>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</si>
  <si>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</si>
  <si>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</si>
  <si>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</si>
  <si>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</si>
  <si>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</si>
  <si>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</si>
  <si>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</si>
  <si>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</si>
  <si>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</si>
  <si>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</si>
  <si>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</si>
  <si>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</si>
  <si>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</si>
  <si>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</si>
  <si>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</si>
  <si>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</si>
  <si>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</si>
  <si>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</si>
  <si>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</si>
  <si>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</si>
  <si>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</si>
  <si>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</si>
  <si>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</si>
  <si>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</si>
  <si>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</si>
  <si>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</si>
  <si>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</si>
  <si>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</si>
  <si>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</si>
  <si>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</si>
  <si>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</si>
  <si>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</si>
  <si>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</si>
  <si>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</si>
  <si>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</si>
  <si>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</si>
  <si>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</si>
  <si>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</si>
  <si>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</si>
  <si>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</si>
  <si>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</si>
  <si>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</si>
  <si>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</si>
  <si>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</si>
  <si>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</si>
  <si>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</si>
  <si>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</si>
  <si>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</si>
  <si>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</si>
  <si>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</si>
  <si>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</si>
  <si>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</si>
  <si>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</si>
  <si>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</si>
  <si>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</si>
  <si>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</si>
  <si>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</si>
  <si>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</si>
  <si>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</si>
  <si>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</si>
  <si>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</si>
  <si>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</si>
  <si>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</si>
  <si>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</si>
  <si>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</si>
  <si>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</si>
  <si>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</si>
  <si>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</si>
  <si>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</si>
  <si>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</si>
  <si>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</si>
  <si>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</si>
  <si>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</si>
  <si>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</si>
  <si>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</si>
  <si>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</si>
  <si>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</si>
  <si>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</si>
  <si>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</si>
  <si>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</si>
  <si>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</si>
  <si>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</si>
  <si>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</si>
  <si>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</si>
  <si>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</si>
  <si>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</si>
  <si>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</si>
  <si>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</si>
  <si>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</si>
  <si>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</si>
  <si>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</si>
  <si>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</si>
  <si>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</si>
  <si>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</si>
  <si>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</si>
  <si>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</si>
  <si>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</si>
  <si>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</si>
  <si>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</si>
  <si>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</si>
  <si>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</si>
  <si>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</si>
  <si>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EMS_CI[ce]=sum(EMS_CI[s;ce] on s)</t>
  </si>
  <si>
    <t>EMS_CI[s,ce]=sum(EMS_CI[ghg,ce,s] on ghg)</t>
  </si>
  <si>
    <t>EMS_CI[sagrf,ce]=sum(EMS_CI[s;ce] on sagrf)</t>
  </si>
  <si>
    <t xml:space="preserve">EMS_AGRF=sum (EMS[s] on sagrf) </t>
  </si>
  <si>
    <t>EMS_CH[ce]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</si>
  <si>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</si>
  <si>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</si>
  <si>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</si>
  <si>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</si>
  <si>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</si>
  <si>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</si>
  <si>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</si>
  <si>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</si>
  <si>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</si>
  <si>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</si>
  <si>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</si>
  <si>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</si>
  <si>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</si>
  <si>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</si>
  <si>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</si>
  <si>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</si>
  <si>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</si>
  <si>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</si>
  <si>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</si>
  <si>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</si>
  <si>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</si>
  <si>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</si>
  <si>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</si>
  <si>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</si>
  <si>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</si>
  <si>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</si>
  <si>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</si>
  <si>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</si>
  <si>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</si>
  <si>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</si>
  <si>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</si>
  <si>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</si>
  <si>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</si>
  <si>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</si>
  <si>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</si>
  <si>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</si>
  <si>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</si>
  <si>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</si>
  <si>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</si>
  <si>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</si>
  <si>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</si>
  <si>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</si>
  <si>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</si>
  <si>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</si>
  <si>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</si>
  <si>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</si>
  <si>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</si>
  <si>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</si>
  <si>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</si>
  <si>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</si>
  <si>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</si>
  <si>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</si>
  <si>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</si>
  <si>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</si>
  <si>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</si>
  <si>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</si>
  <si>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</si>
  <si>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</si>
  <si>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</si>
  <si>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</si>
  <si>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</si>
  <si>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</si>
  <si>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</si>
  <si>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</si>
  <si>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</si>
  <si>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</si>
  <si>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</si>
  <si>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</si>
  <si>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</si>
  <si>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</si>
  <si>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</si>
  <si>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</si>
  <si>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</si>
  <si>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</si>
  <si>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</si>
  <si>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</si>
  <si>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</si>
  <si>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</si>
  <si>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</si>
  <si>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</si>
  <si>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</si>
  <si>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</si>
  <si>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</si>
  <si>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</si>
  <si>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</si>
  <si>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</si>
  <si>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</si>
  <si>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</si>
  <si>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</si>
  <si>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</si>
  <si>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</si>
  <si>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</si>
  <si>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</si>
  <si>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</si>
  <si>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</si>
  <si>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</si>
  <si>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</si>
  <si>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</si>
  <si>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</si>
  <si>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</si>
  <si>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</si>
  <si>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</si>
  <si>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</si>
  <si>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</si>
  <si>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</si>
  <si>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</si>
  <si>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</si>
  <si>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</si>
  <si>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</si>
  <si>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</si>
  <si>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</si>
  <si>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</si>
  <si>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</si>
  <si>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</si>
  <si>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</si>
  <si>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</si>
  <si>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</si>
  <si>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</si>
  <si>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</si>
  <si>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</si>
  <si>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</si>
  <si>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</si>
  <si>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</si>
  <si>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</si>
  <si>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</si>
  <si>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</si>
  <si>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</si>
  <si>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</si>
  <si>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</si>
  <si>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</si>
  <si>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</si>
  <si>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</si>
  <si>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</si>
  <si>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</si>
  <si>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</si>
  <si>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</si>
  <si>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</si>
  <si>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</si>
  <si>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</si>
  <si>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</si>
  <si>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</si>
  <si>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</si>
  <si>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</si>
  <si>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</si>
  <si>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</si>
  <si>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</si>
  <si>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</si>
  <si>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</si>
  <si>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</si>
  <si>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</si>
  <si>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</si>
  <si>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</si>
  <si>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</si>
  <si>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</si>
  <si>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</si>
  <si>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</si>
  <si>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</si>
  <si>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</si>
  <si>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</si>
  <si>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</si>
  <si>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</si>
  <si>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</si>
  <si>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</si>
  <si>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</si>
  <si>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</si>
  <si>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</si>
  <si>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</si>
  <si>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</si>
  <si>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</si>
  <si>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</si>
  <si>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</si>
  <si>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</si>
  <si>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</si>
  <si>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</si>
  <si>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</si>
  <si>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</si>
  <si>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</si>
  <si>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</si>
  <si>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</si>
  <si>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</si>
  <si>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</si>
  <si>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</si>
  <si>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</si>
  <si>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</si>
  <si>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</si>
  <si>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</si>
  <si>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</si>
  <si>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</si>
  <si>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</si>
  <si>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</si>
  <si>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</si>
  <si>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</si>
  <si>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</si>
  <si>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</si>
  <si>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</si>
  <si>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</si>
  <si>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</si>
  <si>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</si>
  <si>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</si>
  <si>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</si>
  <si>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</si>
  <si>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</si>
  <si>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</si>
  <si>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</si>
  <si>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</si>
  <si>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</si>
  <si>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</si>
  <si>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</si>
  <si>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</si>
  <si>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</si>
  <si>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</si>
  <si>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</si>
  <si>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</si>
  <si>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</si>
  <si>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</si>
  <si>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</si>
  <si>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</si>
  <si>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</si>
  <si>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</si>
  <si>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</si>
  <si>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</si>
  <si>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</si>
  <si>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</si>
  <si>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</si>
  <si>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</si>
  <si>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</si>
  <si>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</si>
  <si>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</si>
  <si>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</si>
  <si>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</si>
  <si>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</si>
  <si>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</si>
  <si>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</si>
  <si>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</si>
  <si>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</si>
  <si>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</si>
  <si>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</si>
  <si>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</si>
  <si>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</si>
  <si>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</si>
  <si>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</si>
  <si>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</si>
  <si>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</si>
  <si>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</si>
  <si>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</si>
  <si>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</si>
  <si>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</si>
  <si>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</si>
  <si>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</si>
  <si>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</si>
  <si>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</si>
  <si>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 xml:space="preserve">CF_toe_cbio_sfor_2 </t>
  </si>
  <si>
    <t xml:space="preserve">CF_toe_cbio_spub_2 </t>
  </si>
  <si>
    <t xml:space="preserve">CF_toe_cote_soil_2 </t>
  </si>
  <si>
    <t xml:space="preserve">CF_toe_cote_spub_2 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</si>
  <si>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</si>
  <si>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</si>
  <si>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</si>
  <si>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</si>
  <si>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</si>
  <si>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</si>
  <si>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</si>
  <si>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</si>
  <si>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</si>
  <si>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</si>
  <si>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</si>
  <si>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</si>
  <si>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</si>
  <si>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</si>
  <si>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</si>
  <si>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</si>
  <si>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</si>
  <si>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</si>
  <si>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</si>
  <si>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</si>
  <si>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</si>
  <si>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</si>
  <si>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</si>
  <si>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</si>
  <si>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</si>
  <si>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</si>
  <si>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</si>
  <si>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</si>
  <si>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</si>
  <si>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</si>
  <si>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</si>
  <si>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</si>
  <si>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</si>
  <si>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</si>
  <si>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</si>
  <si>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</si>
  <si>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</si>
  <si>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</si>
  <si>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</si>
  <si>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</si>
  <si>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</si>
  <si>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</si>
  <si>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</si>
  <si>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</si>
  <si>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</si>
  <si>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</si>
  <si>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</si>
  <si>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</si>
  <si>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</si>
  <si>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</si>
  <si>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</si>
  <si>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</si>
  <si>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</si>
  <si>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</si>
  <si>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</si>
  <si>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</si>
  <si>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</si>
  <si>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</si>
  <si>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</si>
  <si>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</si>
  <si>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</si>
  <si>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</si>
  <si>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</si>
  <si>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</si>
  <si>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</si>
  <si>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</si>
  <si>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</si>
  <si>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</si>
  <si>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</si>
  <si>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</si>
  <si>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</si>
  <si>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</si>
  <si>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</si>
  <si>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</si>
  <si>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</si>
  <si>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</si>
  <si>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</si>
  <si>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</si>
  <si>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</si>
  <si>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</si>
  <si>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</si>
  <si>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</si>
  <si>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</si>
  <si>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</si>
  <si>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</si>
  <si>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</si>
  <si>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</si>
  <si>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</si>
  <si>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</si>
  <si>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</si>
  <si>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</si>
  <si>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</si>
  <si>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</si>
  <si>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</si>
  <si>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</si>
  <si>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</si>
  <si>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</si>
  <si>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</si>
  <si>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</si>
  <si>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</si>
  <si>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</si>
  <si>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</si>
  <si>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</si>
  <si>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</si>
  <si>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</si>
  <si>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</si>
  <si>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</si>
  <si>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</si>
  <si>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</si>
  <si>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</si>
  <si>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</si>
  <si>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</si>
  <si>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</si>
  <si>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</si>
  <si>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</si>
  <si>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</si>
  <si>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</si>
  <si>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</si>
  <si>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</si>
  <si>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</si>
  <si>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</si>
  <si>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</si>
  <si>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</si>
  <si>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</si>
  <si>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</si>
  <si>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</si>
  <si>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</si>
  <si>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</si>
  <si>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</si>
  <si>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</si>
  <si>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</si>
  <si>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</si>
  <si>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</si>
  <si>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</si>
  <si>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</si>
  <si>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</si>
  <si>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</si>
  <si>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</si>
  <si>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</si>
  <si>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</si>
  <si>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</si>
  <si>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</si>
  <si>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</si>
  <si>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</si>
  <si>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</si>
  <si>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CH_toe_ccoa_HOUS_2</t>
  </si>
  <si>
    <t>CH_toe_cfuh_HOUS_2</t>
  </si>
  <si>
    <t>CH_toe_cgas_HOUS_2</t>
  </si>
  <si>
    <t>CH_toe_cele_HOUS_2</t>
  </si>
  <si>
    <t>CH_toe_chea_HOUS_2</t>
  </si>
  <si>
    <t>CH_toe_cbio_HOUS_2</t>
  </si>
  <si>
    <t>CH_toe_HOUS_2</t>
  </si>
  <si>
    <t>CH_toe_AUTO_2</t>
  </si>
  <si>
    <t>CH_toe_cfut_AUTO_2</t>
  </si>
  <si>
    <t>CH_toe_cgas_AUTO_2</t>
  </si>
  <si>
    <t>CH_toe_cele_AUTO_2</t>
  </si>
  <si>
    <t>TRANSPORTS (firms) SHOCK</t>
  </si>
  <si>
    <t>HOUSEHOLDS BASELINE</t>
  </si>
  <si>
    <t>CH_toe_0</t>
  </si>
  <si>
    <t>CH_toe_HOUS_0</t>
  </si>
  <si>
    <t>CH_toe_ccoa_HOUS_0</t>
  </si>
  <si>
    <t>CH_toe_cfuh_HOUS_0</t>
  </si>
  <si>
    <t>CH_toe_cgas_HOUS_0</t>
  </si>
  <si>
    <t>CH_toe_cele_HOUS_0</t>
  </si>
  <si>
    <t>CH_toe_chea_HOUS_0</t>
  </si>
  <si>
    <t>CH_toe_cbio_HOUS_0</t>
  </si>
  <si>
    <t>CH_toe_AUTO_0</t>
  </si>
  <si>
    <t>CH_toe_cfut_AUTO_0</t>
  </si>
  <si>
    <t>CH_toe_cgas_AUTO_0</t>
  </si>
  <si>
    <t>CH_toe_cele_AUTO_0</t>
  </si>
  <si>
    <t>²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</si>
  <si>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</si>
  <si>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</si>
  <si>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</si>
  <si>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</si>
  <si>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</si>
  <si>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</si>
  <si>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</si>
  <si>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</si>
  <si>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</si>
  <si>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</si>
  <si>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</si>
  <si>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</si>
  <si>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</si>
  <si>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</si>
  <si>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</si>
  <si>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</si>
  <si>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</si>
  <si>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</si>
  <si>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</si>
  <si>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</si>
  <si>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</si>
  <si>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</si>
  <si>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</si>
  <si>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</si>
  <si>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</si>
  <si>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</si>
  <si>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</si>
  <si>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</si>
  <si>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</si>
  <si>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</si>
  <si>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</si>
  <si>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</si>
  <si>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</si>
  <si>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</si>
  <si>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</si>
  <si>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ener_bill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</si>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</sst>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</cellStyleXfs>
  <cellXfs count="432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12" borderId="0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0" borderId="0" xfId="0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1" fontId="11" fillId="16" borderId="0" xfId="2" applyNumberFormat="1" applyFont="1" applyFill="1" applyBorder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7" fillId="4" borderId="0" xfId="2" applyNumberFormat="1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20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21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21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21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2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21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3" fillId="3" borderId="20" xfId="0" applyFont="1" applyFill="1" applyBorder="1"/>
    <xf numFmtId="0" fontId="23" fillId="3" borderId="21" xfId="0" applyFont="1" applyFill="1" applyBorder="1"/>
    <xf numFmtId="0" fontId="23" fillId="3" borderId="22" xfId="0" applyFont="1" applyFill="1" applyBorder="1"/>
    <xf numFmtId="0" fontId="23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9" borderId="2" xfId="2" applyNumberFormat="1" applyFont="1" applyFill="1" applyBorder="1"/>
    <xf numFmtId="1" fontId="11" fillId="24" borderId="0" xfId="2" applyNumberFormat="1" applyFont="1" applyFill="1" applyBorder="1"/>
    <xf numFmtId="0" fontId="1" fillId="6" borderId="0" xfId="0" applyFont="1" applyFill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1" fillId="5" borderId="0" xfId="0" applyNumberFormat="1" applyFont="1" applyFill="1"/>
    <xf numFmtId="1" fontId="0" fillId="5" borderId="0" xfId="0" applyNumberFormat="1" applyFill="1"/>
    <xf numFmtId="1" fontId="0" fillId="5" borderId="5" xfId="0" applyNumberFormat="1" applyFill="1" applyBorder="1"/>
    <xf numFmtId="1" fontId="1" fillId="6" borderId="0" xfId="0" applyNumberFormat="1" applyFont="1" applyFill="1"/>
    <xf numFmtId="1" fontId="0" fillId="6" borderId="0" xfId="0" applyNumberFormat="1" applyFill="1"/>
    <xf numFmtId="1" fontId="0" fillId="6" borderId="5" xfId="0" applyNumberFormat="1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4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2" xfId="2" applyNumberFormat="1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1" fontId="1" fillId="24" borderId="0" xfId="0" applyNumberFormat="1" applyFont="1" applyFill="1" applyBorder="1"/>
    <xf numFmtId="1" fontId="0" fillId="24" borderId="0" xfId="0" applyNumberFormat="1" applyFill="1"/>
    <xf numFmtId="1" fontId="1" fillId="24" borderId="0" xfId="0" applyNumberFormat="1" applyFont="1" applyFill="1"/>
    <xf numFmtId="1" fontId="0" fillId="24" borderId="5" xfId="0" applyNumberFormat="1" applyFill="1" applyBorder="1"/>
    <xf numFmtId="1" fontId="0" fillId="24" borderId="0" xfId="0" applyNumberFormat="1" applyFill="1" applyBorder="1"/>
    <xf numFmtId="1" fontId="0" fillId="8" borderId="0" xfId="0" applyNumberFormat="1" applyFill="1" applyBorder="1"/>
    <xf numFmtId="1" fontId="0" fillId="8" borderId="0" xfId="0" applyNumberFormat="1" applyFill="1"/>
    <xf numFmtId="1" fontId="0" fillId="6" borderId="0" xfId="0" applyNumberFormat="1" applyFont="1" applyFill="1"/>
    <xf numFmtId="1" fontId="0" fillId="6" borderId="5" xfId="0" applyNumberFormat="1" applyFont="1" applyFill="1" applyBorder="1"/>
    <xf numFmtId="0" fontId="1" fillId="14" borderId="0" xfId="0" applyFont="1" applyFill="1"/>
    <xf numFmtId="0" fontId="0" fillId="14" borderId="0" xfId="0" applyFont="1" applyFill="1"/>
    <xf numFmtId="0" fontId="0" fillId="14" borderId="0" xfId="0" applyFill="1"/>
    <xf numFmtId="0" fontId="0" fillId="14" borderId="5" xfId="0" applyFont="1" applyFill="1" applyBorder="1"/>
    <xf numFmtId="0" fontId="0" fillId="14" borderId="5" xfId="0" applyFill="1" applyBorder="1"/>
    <xf numFmtId="0" fontId="0" fillId="11" borderId="0" xfId="0" applyFill="1"/>
    <xf numFmtId="0" fontId="1" fillId="10" borderId="0" xfId="0" applyFont="1" applyFill="1"/>
    <xf numFmtId="0" fontId="0" fillId="10" borderId="0" xfId="0" applyFill="1"/>
    <xf numFmtId="0" fontId="1" fillId="10" borderId="0" xfId="0" applyFont="1" applyFill="1" applyBorder="1"/>
    <xf numFmtId="0" fontId="0" fillId="12" borderId="0" xfId="0" applyFill="1"/>
    <xf numFmtId="0" fontId="1" fillId="12" borderId="0" xfId="0" applyFont="1" applyFill="1"/>
    <xf numFmtId="0" fontId="0" fillId="12" borderId="5" xfId="0" applyFill="1" applyBorder="1"/>
    <xf numFmtId="0" fontId="0" fillId="18" borderId="0" xfId="0" applyFill="1" applyBorder="1"/>
    <xf numFmtId="1" fontId="11" fillId="25" borderId="0" xfId="2" applyNumberFormat="1" applyFont="1" applyFill="1" applyBorder="1"/>
    <xf numFmtId="0" fontId="16" fillId="25" borderId="0" xfId="0" applyFont="1" applyFill="1" applyBorder="1" applyAlignment="1">
      <alignment wrapText="1"/>
    </xf>
    <xf numFmtId="0" fontId="1" fillId="25" borderId="0" xfId="0" applyFont="1" applyFill="1"/>
    <xf numFmtId="0" fontId="0" fillId="25" borderId="0" xfId="0" applyFill="1"/>
    <xf numFmtId="0" fontId="16" fillId="25" borderId="5" xfId="0" applyFont="1" applyFill="1" applyBorder="1" applyAlignment="1">
      <alignment wrapText="1"/>
    </xf>
    <xf numFmtId="0" fontId="0" fillId="25" borderId="5" xfId="0" applyFill="1" applyBorder="1"/>
    <xf numFmtId="1" fontId="11" fillId="26" borderId="0" xfId="2" applyNumberFormat="1" applyFont="1" applyFill="1" applyBorder="1"/>
    <xf numFmtId="0" fontId="16" fillId="26" borderId="0" xfId="0" applyFont="1" applyFill="1" applyBorder="1" applyAlignment="1">
      <alignment wrapText="1"/>
    </xf>
    <xf numFmtId="0" fontId="1" fillId="26" borderId="0" xfId="0" applyFont="1" applyFill="1"/>
    <xf numFmtId="0" fontId="0" fillId="26" borderId="0" xfId="0" applyFill="1"/>
    <xf numFmtId="0" fontId="16" fillId="26" borderId="5" xfId="0" applyFont="1" applyFill="1" applyBorder="1" applyAlignment="1">
      <alignment wrapText="1"/>
    </xf>
    <xf numFmtId="0" fontId="0" fillId="26" borderId="5" xfId="0" applyFill="1" applyBorder="1"/>
    <xf numFmtId="167" fontId="0" fillId="10" borderId="0" xfId="0" applyNumberFormat="1" applyFill="1"/>
    <xf numFmtId="167" fontId="0" fillId="10" borderId="5" xfId="0" applyNumberFormat="1" applyFill="1" applyBorder="1"/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1" fontId="1" fillId="14" borderId="0" xfId="0" applyNumberFormat="1" applyFont="1" applyFill="1"/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437"/>
  <sheetViews>
    <sheetView tabSelected="1" topLeftCell="A431" zoomScale="80" zoomScaleNormal="80" workbookViewId="0">
      <selection activeCell="H456" sqref="H456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  <col min="6" max="6" width="11.7109375" style="73" customWidth="1"/>
    <col min="7" max="8" width="11.42578125" style="73"/>
  </cols>
  <sheetData>
    <row r="1" spans="1:41" ht="80.25" customHeight="1" x14ac:dyDescent="0.25">
      <c r="A1" s="381" t="s">
        <v>145</v>
      </c>
      <c r="B1" s="381"/>
      <c r="C1" s="381"/>
      <c r="D1" s="381"/>
    </row>
    <row r="2" spans="1:41" x14ac:dyDescent="0.25">
      <c r="E2" s="45" t="s">
        <v>148</v>
      </c>
      <c r="F2" s="72">
        <v>2</v>
      </c>
      <c r="G2" s="72">
        <v>3</v>
      </c>
      <c r="H2" s="72">
        <v>4</v>
      </c>
      <c r="I2" s="72">
        <v>5</v>
      </c>
      <c r="J2" s="72">
        <v>6</v>
      </c>
      <c r="K2" s="72">
        <v>7</v>
      </c>
      <c r="L2" s="72">
        <v>8</v>
      </c>
      <c r="M2" s="72">
        <v>9</v>
      </c>
      <c r="N2" s="72">
        <v>10</v>
      </c>
      <c r="O2" s="72">
        <v>11</v>
      </c>
      <c r="P2" s="72">
        <v>12</v>
      </c>
      <c r="Q2" s="72">
        <v>13</v>
      </c>
      <c r="R2" s="72">
        <v>14</v>
      </c>
      <c r="S2" s="72">
        <v>15</v>
      </c>
      <c r="T2" s="72">
        <v>16</v>
      </c>
      <c r="U2" s="72">
        <v>17</v>
      </c>
      <c r="V2" s="72">
        <v>18</v>
      </c>
      <c r="W2" s="72">
        <v>19</v>
      </c>
      <c r="X2" s="72">
        <v>20</v>
      </c>
      <c r="Y2" s="72">
        <v>21</v>
      </c>
      <c r="Z2" s="72">
        <v>22</v>
      </c>
      <c r="AA2" s="72">
        <v>23</v>
      </c>
      <c r="AB2" s="72">
        <v>24</v>
      </c>
      <c r="AC2" s="72">
        <v>25</v>
      </c>
      <c r="AD2" s="72">
        <v>26</v>
      </c>
      <c r="AE2" s="72">
        <v>27</v>
      </c>
      <c r="AF2" s="72">
        <v>28</v>
      </c>
      <c r="AG2" s="72">
        <v>29</v>
      </c>
      <c r="AH2" s="72">
        <v>30</v>
      </c>
      <c r="AI2" s="72">
        <v>31</v>
      </c>
      <c r="AJ2" s="72">
        <v>32</v>
      </c>
      <c r="AK2" s="72">
        <v>33</v>
      </c>
      <c r="AL2" s="72">
        <v>34</v>
      </c>
      <c r="AM2" s="72">
        <v>35</v>
      </c>
      <c r="AN2" s="72">
        <v>36</v>
      </c>
      <c r="AO2" s="72">
        <v>37</v>
      </c>
    </row>
    <row r="3" spans="1:41" s="14" customFormat="1" ht="76.5" customHeight="1" x14ac:dyDescent="0.25">
      <c r="A3" s="302" t="s">
        <v>146</v>
      </c>
      <c r="B3" s="303" t="s">
        <v>147</v>
      </c>
      <c r="C3" s="304"/>
      <c r="D3" s="304"/>
      <c r="E3" s="305" t="s">
        <v>381</v>
      </c>
      <c r="F3" s="14">
        <f>Hybrid!B1</f>
        <v>42005</v>
      </c>
      <c r="G3" s="14">
        <f>Hybrid!C1</f>
        <v>42370</v>
      </c>
      <c r="H3" s="14">
        <f>Hybrid!D1</f>
        <v>42736</v>
      </c>
      <c r="I3" s="14">
        <f>Hybrid!E1</f>
        <v>43101</v>
      </c>
      <c r="J3" s="14">
        <f>Hybrid!F1</f>
        <v>43466</v>
      </c>
      <c r="K3" s="14">
        <f>Hybrid!G1</f>
        <v>43831</v>
      </c>
      <c r="L3" s="14">
        <f>Hybrid!H1</f>
        <v>44197</v>
      </c>
      <c r="M3" s="14">
        <f>Hybrid!I1</f>
        <v>44562</v>
      </c>
      <c r="N3" s="14">
        <f>Hybrid!J1</f>
        <v>44927</v>
      </c>
      <c r="O3" s="14">
        <f>Hybrid!K1</f>
        <v>45292</v>
      </c>
      <c r="P3" s="14">
        <f>Hybrid!L1</f>
        <v>45658</v>
      </c>
      <c r="Q3" s="14">
        <f>Hybrid!M1</f>
        <v>46023</v>
      </c>
      <c r="R3" s="14">
        <f>Hybrid!N1</f>
        <v>46388</v>
      </c>
      <c r="S3" s="14">
        <f>Hybrid!O1</f>
        <v>46753</v>
      </c>
      <c r="T3" s="14">
        <f>Hybrid!P1</f>
        <v>47119</v>
      </c>
      <c r="U3" s="14">
        <f>Hybrid!Q1</f>
        <v>47484</v>
      </c>
      <c r="V3" s="14">
        <f>Hybrid!R1</f>
        <v>47849</v>
      </c>
      <c r="W3" s="14">
        <f>Hybrid!S1</f>
        <v>48214</v>
      </c>
      <c r="X3" s="14">
        <f>Hybrid!T1</f>
        <v>48580</v>
      </c>
      <c r="Y3" s="14">
        <f>Hybrid!U1</f>
        <v>48945</v>
      </c>
      <c r="Z3" s="14">
        <f>Hybrid!V1</f>
        <v>49310</v>
      </c>
      <c r="AA3" s="14">
        <f>Hybrid!W1</f>
        <v>49675</v>
      </c>
      <c r="AB3" s="14">
        <f>Hybrid!X1</f>
        <v>50041</v>
      </c>
      <c r="AC3" s="14">
        <f>Hybrid!Y1</f>
        <v>50406</v>
      </c>
      <c r="AD3" s="14">
        <f>Hybrid!Z1</f>
        <v>50771</v>
      </c>
      <c r="AE3" s="14">
        <f>Hybrid!AA1</f>
        <v>51136</v>
      </c>
      <c r="AF3" s="14">
        <f>Hybrid!AB1</f>
        <v>51502</v>
      </c>
      <c r="AG3" s="14">
        <f>Hybrid!AC1</f>
        <v>51867</v>
      </c>
      <c r="AH3" s="14">
        <f>Hybrid!AD1</f>
        <v>52232</v>
      </c>
      <c r="AI3" s="14">
        <f>Hybrid!AE1</f>
        <v>52597</v>
      </c>
      <c r="AJ3" s="14">
        <f>Hybrid!AF1</f>
        <v>52963</v>
      </c>
      <c r="AK3" s="14">
        <f>Hybrid!AG1</f>
        <v>53328</v>
      </c>
      <c r="AL3" s="14">
        <f>Hybrid!AH1</f>
        <v>53693</v>
      </c>
      <c r="AM3" s="14">
        <f>Hybrid!AI1</f>
        <v>54058</v>
      </c>
      <c r="AN3" s="14">
        <f>Hybrid!AJ1</f>
        <v>54424</v>
      </c>
      <c r="AO3" s="14">
        <f>Hybrid!AK1</f>
        <v>54789</v>
      </c>
    </row>
    <row r="4" spans="1:41" s="108" customFormat="1" ht="15" customHeight="1" x14ac:dyDescent="0.25">
      <c r="A4" s="384" t="s">
        <v>149</v>
      </c>
      <c r="B4" s="383" t="s">
        <v>537</v>
      </c>
      <c r="C4" s="118" t="s">
        <v>528</v>
      </c>
      <c r="D4" s="118"/>
      <c r="E4" s="92" t="s">
        <v>331</v>
      </c>
      <c r="F4" s="319">
        <f>+VLOOKUP($E4,Hybrid!$1:$1048576,F$2,FALSE)</f>
        <v>32317.940999999999</v>
      </c>
      <c r="G4" s="319">
        <f>+VLOOKUP($E4,Hybrid!$1:$1048576,G$2,FALSE)</f>
        <v>31926.454819999999</v>
      </c>
      <c r="H4" s="319">
        <f>+VLOOKUP($E4,Hybrid!$1:$1048576,H$2,FALSE)</f>
        <v>31730.400539999999</v>
      </c>
      <c r="I4" s="319">
        <f>+VLOOKUP($E4,Hybrid!$1:$1048576,I$2,FALSE)</f>
        <v>31664.732889999999</v>
      </c>
      <c r="J4" s="319">
        <f>+VLOOKUP($E4,Hybrid!$1:$1048576,J$2,FALSE)</f>
        <v>31685.151559999998</v>
      </c>
      <c r="K4" s="319">
        <f>+VLOOKUP($E4,Hybrid!$1:$1048576,K$2,FALSE)</f>
        <v>31761.773590000001</v>
      </c>
      <c r="L4" s="319">
        <f>+VLOOKUP($E4,Hybrid!$1:$1048576,L$2,FALSE)</f>
        <v>31876.819759999998</v>
      </c>
      <c r="M4" s="319">
        <f>+VLOOKUP($E4,Hybrid!$1:$1048576,M$2,FALSE)</f>
        <v>32020.398109999998</v>
      </c>
      <c r="N4" s="319">
        <f>+VLOOKUP($E4,Hybrid!$1:$1048576,N$2,FALSE)</f>
        <v>32185.055550000001</v>
      </c>
      <c r="O4" s="319">
        <f>+VLOOKUP($E4,Hybrid!$1:$1048576,O$2,FALSE)</f>
        <v>32364.878639999999</v>
      </c>
      <c r="P4" s="319">
        <f>+VLOOKUP($E4,Hybrid!$1:$1048576,P$2,FALSE)</f>
        <v>32555.008150000001</v>
      </c>
      <c r="Q4" s="319">
        <f>+VLOOKUP($E4,Hybrid!$1:$1048576,Q$2,FALSE)</f>
        <v>32751.304230000002</v>
      </c>
      <c r="R4" s="319">
        <f>+VLOOKUP($E4,Hybrid!$1:$1048576,R$2,FALSE)</f>
        <v>32950.115619999997</v>
      </c>
      <c r="S4" s="319">
        <f>+VLOOKUP($E4,Hybrid!$1:$1048576,S$2,FALSE)</f>
        <v>33148.123549999997</v>
      </c>
      <c r="T4" s="319">
        <f>+VLOOKUP($E4,Hybrid!$1:$1048576,T$2,FALSE)</f>
        <v>33342.23833</v>
      </c>
      <c r="U4" s="319">
        <f>+VLOOKUP($E4,Hybrid!$1:$1048576,U$2,FALSE)</f>
        <v>33529.533100000001</v>
      </c>
      <c r="V4" s="319">
        <f>+VLOOKUP($E4,Hybrid!$1:$1048576,V$2,FALSE)</f>
        <v>33709.687819999999</v>
      </c>
      <c r="W4" s="319">
        <f>+VLOOKUP($E4,Hybrid!$1:$1048576,W$2,FALSE)</f>
        <v>33884.612249999998</v>
      </c>
      <c r="X4" s="319">
        <f>+VLOOKUP($E4,Hybrid!$1:$1048576,X$2,FALSE)</f>
        <v>34055.314740000002</v>
      </c>
      <c r="Y4" s="319">
        <f>+VLOOKUP($E4,Hybrid!$1:$1048576,Y$2,FALSE)</f>
        <v>34222.258249999999</v>
      </c>
      <c r="Z4" s="319">
        <f>+VLOOKUP($E4,Hybrid!$1:$1048576,Z$2,FALSE)</f>
        <v>34385.651189999997</v>
      </c>
      <c r="AA4" s="319">
        <f>+VLOOKUP($E4,Hybrid!$1:$1048576,AA$2,FALSE)</f>
        <v>34545.60383</v>
      </c>
      <c r="AB4" s="319">
        <f>+VLOOKUP($E4,Hybrid!$1:$1048576,AB$2,FALSE)</f>
        <v>34702.207130000003</v>
      </c>
      <c r="AC4" s="319">
        <f>+VLOOKUP($E4,Hybrid!$1:$1048576,AC$2,FALSE)</f>
        <v>34855.571329999999</v>
      </c>
      <c r="AD4" s="319">
        <f>+VLOOKUP($E4,Hybrid!$1:$1048576,AD$2,FALSE)</f>
        <v>35005.844879999997</v>
      </c>
      <c r="AE4" s="319">
        <f>+VLOOKUP($E4,Hybrid!$1:$1048576,AE$2,FALSE)</f>
        <v>35153.224249999999</v>
      </c>
      <c r="AF4" s="319">
        <f>+VLOOKUP($E4,Hybrid!$1:$1048576,AF$2,FALSE)</f>
        <v>35297.960070000001</v>
      </c>
      <c r="AG4" s="319">
        <f>+VLOOKUP($E4,Hybrid!$1:$1048576,AG$2,FALSE)</f>
        <v>35440.36174</v>
      </c>
      <c r="AH4" s="319">
        <f>+VLOOKUP($E4,Hybrid!$1:$1048576,AH$2,FALSE)</f>
        <v>35580.801769999998</v>
      </c>
      <c r="AI4" s="319">
        <f>+VLOOKUP($E4,Hybrid!$1:$1048576,AI$2,FALSE)</f>
        <v>35719.719770000003</v>
      </c>
      <c r="AJ4" s="319">
        <f>+VLOOKUP($E4,Hybrid!$1:$1048576,AJ$2,FALSE)</f>
        <v>35857.62601</v>
      </c>
      <c r="AK4" s="319">
        <f>+VLOOKUP($E4,Hybrid!$1:$1048576,AK$2,FALSE)</f>
        <v>35995.104010000003</v>
      </c>
      <c r="AL4" s="319">
        <f>+VLOOKUP($E4,Hybrid!$1:$1048576,AL$2,FALSE)</f>
        <v>36132.811670000003</v>
      </c>
      <c r="AM4" s="319">
        <f>+VLOOKUP($E4,Hybrid!$1:$1048576,AM$2,FALSE)</f>
        <v>36271.480450000003</v>
      </c>
      <c r="AN4" s="319">
        <f>+VLOOKUP($E4,Hybrid!$1:$1048576,AN$2,FALSE)</f>
        <v>36411.911959999998</v>
      </c>
      <c r="AO4" s="319">
        <f>+VLOOKUP($E4,Hybrid!$1:$1048576,AO$2,FALSE)</f>
        <v>36554.971879999997</v>
      </c>
    </row>
    <row r="5" spans="1:41" s="108" customFormat="1" ht="15" customHeight="1" x14ac:dyDescent="0.25">
      <c r="A5" s="384"/>
      <c r="B5" s="383"/>
      <c r="C5" s="118" t="s">
        <v>527</v>
      </c>
      <c r="D5" s="119"/>
      <c r="E5" s="88" t="s">
        <v>332</v>
      </c>
      <c r="F5" s="319">
        <f>+VLOOKUP($E5,Hybrid!$1:$1048576,F$2,FALSE)</f>
        <v>32271.24</v>
      </c>
      <c r="G5" s="319">
        <f>+VLOOKUP($E5,Hybrid!$1:$1048576,G$2,FALSE)</f>
        <v>31862.031640000001</v>
      </c>
      <c r="H5" s="319">
        <f>+VLOOKUP($E5,Hybrid!$1:$1048576,H$2,FALSE)</f>
        <v>31647.329440000001</v>
      </c>
      <c r="I5" s="319">
        <f>+VLOOKUP($E5,Hybrid!$1:$1048576,I$2,FALSE)</f>
        <v>31562.481319999999</v>
      </c>
      <c r="J5" s="319">
        <f>+VLOOKUP($E5,Hybrid!$1:$1048576,J$2,FALSE)</f>
        <v>31563.391670000001</v>
      </c>
      <c r="K5" s="319">
        <f>+VLOOKUP($E5,Hybrid!$1:$1048576,K$2,FALSE)</f>
        <v>31620.228930000001</v>
      </c>
      <c r="L5" s="319">
        <f>+VLOOKUP($E5,Hybrid!$1:$1048576,L$2,FALSE)</f>
        <v>31715.127369999998</v>
      </c>
      <c r="M5" s="319">
        <f>+VLOOKUP($E5,Hybrid!$1:$1048576,M$2,FALSE)</f>
        <v>31838.038369999998</v>
      </c>
      <c r="N5" s="319">
        <f>+VLOOKUP($E5,Hybrid!$1:$1048576,N$2,FALSE)</f>
        <v>31981.34908</v>
      </c>
      <c r="O5" s="319">
        <f>+VLOOKUP($E5,Hybrid!$1:$1048576,O$2,FALSE)</f>
        <v>32138.97392</v>
      </c>
      <c r="P5" s="319">
        <f>+VLOOKUP($E5,Hybrid!$1:$1048576,P$2,FALSE)</f>
        <v>32305.853879999999</v>
      </c>
      <c r="Q5" s="319">
        <f>+VLOOKUP($E5,Hybrid!$1:$1048576,Q$2,FALSE)</f>
        <v>32477.603520000001</v>
      </c>
      <c r="R5" s="319">
        <f>+VLOOKUP($E5,Hybrid!$1:$1048576,R$2,FALSE)</f>
        <v>32650.258519999999</v>
      </c>
      <c r="S5" s="319">
        <f>+VLOOKUP($E5,Hybrid!$1:$1048576,S$2,FALSE)</f>
        <v>32820.092669999998</v>
      </c>
      <c r="T5" s="319">
        <f>+VLOOKUP($E5,Hybrid!$1:$1048576,T$2,FALSE)</f>
        <v>32983.479639999998</v>
      </c>
      <c r="U5" s="319">
        <f>+VLOOKUP($E5,Hybrid!$1:$1048576,U$2,FALSE)</f>
        <v>33136.779049999997</v>
      </c>
      <c r="V5" s="319">
        <f>+VLOOKUP($E5,Hybrid!$1:$1048576,V$2,FALSE)</f>
        <v>33278.705000000002</v>
      </c>
      <c r="W5" s="319">
        <f>+VLOOKUP($E5,Hybrid!$1:$1048576,W$2,FALSE)</f>
        <v>33409.974479999997</v>
      </c>
      <c r="X5" s="319">
        <f>+VLOOKUP($E5,Hybrid!$1:$1048576,X$2,FALSE)</f>
        <v>33530.266199999998</v>
      </c>
      <c r="Y5" s="319">
        <f>+VLOOKUP($E5,Hybrid!$1:$1048576,Y$2,FALSE)</f>
        <v>33638.562089999999</v>
      </c>
      <c r="Z5" s="319">
        <f>+VLOOKUP($E5,Hybrid!$1:$1048576,Z$2,FALSE)</f>
        <v>33733.42353</v>
      </c>
      <c r="AA5" s="319">
        <f>+VLOOKUP($E5,Hybrid!$1:$1048576,AA$2,FALSE)</f>
        <v>33813.135219999996</v>
      </c>
      <c r="AB5" s="319">
        <f>+VLOOKUP($E5,Hybrid!$1:$1048576,AB$2,FALSE)</f>
        <v>33875.774189999996</v>
      </c>
      <c r="AC5" s="319">
        <f>+VLOOKUP($E5,Hybrid!$1:$1048576,AC$2,FALSE)</f>
        <v>33919.241320000001</v>
      </c>
      <c r="AD5" s="319">
        <f>+VLOOKUP($E5,Hybrid!$1:$1048576,AD$2,FALSE)</f>
        <v>33941.276899999997</v>
      </c>
      <c r="AE5" s="319">
        <f>+VLOOKUP($E5,Hybrid!$1:$1048576,AE$2,FALSE)</f>
        <v>33939.47163</v>
      </c>
      <c r="AF5" s="319">
        <f>+VLOOKUP($E5,Hybrid!$1:$1048576,AF$2,FALSE)</f>
        <v>33911.279459999998</v>
      </c>
      <c r="AG5" s="319">
        <f>+VLOOKUP($E5,Hybrid!$1:$1048576,AG$2,FALSE)</f>
        <v>33854.035799999998</v>
      </c>
      <c r="AH5" s="319">
        <f>+VLOOKUP($E5,Hybrid!$1:$1048576,AH$2,FALSE)</f>
        <v>33764.983189999999</v>
      </c>
      <c r="AI5" s="319">
        <f>+VLOOKUP($E5,Hybrid!$1:$1048576,AI$2,FALSE)</f>
        <v>33641.30573</v>
      </c>
      <c r="AJ5" s="319">
        <f>+VLOOKUP($E5,Hybrid!$1:$1048576,AJ$2,FALSE)</f>
        <v>33480.172939999997</v>
      </c>
      <c r="AK5" s="319">
        <f>+VLOOKUP($E5,Hybrid!$1:$1048576,AK$2,FALSE)</f>
        <v>33278.793189999997</v>
      </c>
      <c r="AL5" s="319">
        <f>+VLOOKUP($E5,Hybrid!$1:$1048576,AL$2,FALSE)</f>
        <v>33034.47653</v>
      </c>
      <c r="AM5" s="319">
        <f>+VLOOKUP($E5,Hybrid!$1:$1048576,AM$2,FALSE)</f>
        <v>32744.70595</v>
      </c>
      <c r="AN5" s="319">
        <f>+VLOOKUP($E5,Hybrid!$1:$1048576,AN$2,FALSE)</f>
        <v>32407.21574</v>
      </c>
      <c r="AO5" s="319">
        <f>+VLOOKUP($E5,Hybrid!$1:$1048576,AO$2,FALSE)</f>
        <v>32020.074850000001</v>
      </c>
    </row>
    <row r="6" spans="1:41" ht="15" customHeight="1" x14ac:dyDescent="0.25">
      <c r="A6" s="384"/>
      <c r="B6" s="383"/>
      <c r="C6" s="164"/>
      <c r="D6" s="120" t="s">
        <v>519</v>
      </c>
      <c r="E6" s="46" t="s">
        <v>333</v>
      </c>
      <c r="F6" s="320">
        <f>+VLOOKUP($E6,Hybrid!$1:$1048576,F$2,FALSE)</f>
        <v>7095.7005250000002</v>
      </c>
      <c r="G6" s="320">
        <f>+VLOOKUP($E6,Hybrid!$1:$1048576,G$2,FALSE)</f>
        <v>7141.7439880000002</v>
      </c>
      <c r="H6" s="320">
        <f>+VLOOKUP($E6,Hybrid!$1:$1048576,H$2,FALSE)</f>
        <v>7236.2108500000004</v>
      </c>
      <c r="I6" s="320">
        <f>+VLOOKUP($E6,Hybrid!$1:$1048576,I$2,FALSE)</f>
        <v>7362.7565290000002</v>
      </c>
      <c r="J6" s="320">
        <f>+VLOOKUP($E6,Hybrid!$1:$1048576,J$2,FALSE)</f>
        <v>7510.0299349999996</v>
      </c>
      <c r="K6" s="320">
        <f>+VLOOKUP($E6,Hybrid!$1:$1048576,K$2,FALSE)</f>
        <v>7670.2472029999999</v>
      </c>
      <c r="L6" s="320">
        <f>+VLOOKUP($E6,Hybrid!$1:$1048576,L$2,FALSE)</f>
        <v>7838.7850349999999</v>
      </c>
      <c r="M6" s="320">
        <f>+VLOOKUP($E6,Hybrid!$1:$1048576,M$2,FALSE)</f>
        <v>8013.1055109999998</v>
      </c>
      <c r="N6" s="320">
        <f>+VLOOKUP($E6,Hybrid!$1:$1048576,N$2,FALSE)</f>
        <v>8191.2469520000004</v>
      </c>
      <c r="O6" s="320">
        <f>+VLOOKUP($E6,Hybrid!$1:$1048576,O$2,FALSE)</f>
        <v>8371.6255729999993</v>
      </c>
      <c r="P6" s="320">
        <f>+VLOOKUP($E6,Hybrid!$1:$1048576,P$2,FALSE)</f>
        <v>8552.9218550000005</v>
      </c>
      <c r="Q6" s="320">
        <f>+VLOOKUP($E6,Hybrid!$1:$1048576,Q$2,FALSE)</f>
        <v>8733.9921400000003</v>
      </c>
      <c r="R6" s="320">
        <f>+VLOOKUP($E6,Hybrid!$1:$1048576,R$2,FALSE)</f>
        <v>8913.8008030000001</v>
      </c>
      <c r="S6" s="320">
        <f>+VLOOKUP($E6,Hybrid!$1:$1048576,S$2,FALSE)</f>
        <v>9091.3683889999993</v>
      </c>
      <c r="T6" s="320">
        <f>+VLOOKUP($E6,Hybrid!$1:$1048576,T$2,FALSE)</f>
        <v>9265.7305400000005</v>
      </c>
      <c r="U6" s="320">
        <f>+VLOOKUP($E6,Hybrid!$1:$1048576,U$2,FALSE)</f>
        <v>9435.9022650000006</v>
      </c>
      <c r="V6" s="320">
        <f>+VLOOKUP($E6,Hybrid!$1:$1048576,V$2,FALSE)</f>
        <v>9601.6398969999991</v>
      </c>
      <c r="W6" s="320">
        <f>+VLOOKUP($E6,Hybrid!$1:$1048576,W$2,FALSE)</f>
        <v>9763.3043679999992</v>
      </c>
      <c r="X6" s="320">
        <f>+VLOOKUP($E6,Hybrid!$1:$1048576,X$2,FALSE)</f>
        <v>9920.8512179999998</v>
      </c>
      <c r="Y6" s="320">
        <f>+VLOOKUP($E6,Hybrid!$1:$1048576,Y$2,FALSE)</f>
        <v>10073.96235</v>
      </c>
      <c r="Z6" s="320">
        <f>+VLOOKUP($E6,Hybrid!$1:$1048576,Z$2,FALSE)</f>
        <v>10222.14596</v>
      </c>
      <c r="AA6" s="320">
        <f>+VLOOKUP($E6,Hybrid!$1:$1048576,AA$2,FALSE)</f>
        <v>10364.787990000001</v>
      </c>
      <c r="AB6" s="320">
        <f>+VLOOKUP($E6,Hybrid!$1:$1048576,AB$2,FALSE)</f>
        <v>10501.17597</v>
      </c>
      <c r="AC6" s="320">
        <f>+VLOOKUP($E6,Hybrid!$1:$1048576,AC$2,FALSE)</f>
        <v>10630.50922</v>
      </c>
      <c r="AD6" s="320">
        <f>+VLOOKUP($E6,Hybrid!$1:$1048576,AD$2,FALSE)</f>
        <v>10751.902609999999</v>
      </c>
      <c r="AE6" s="320">
        <f>+VLOOKUP($E6,Hybrid!$1:$1048576,AE$2,FALSE)</f>
        <v>10864.38847</v>
      </c>
      <c r="AF6" s="320">
        <f>+VLOOKUP($E6,Hybrid!$1:$1048576,AF$2,FALSE)</f>
        <v>10966.918830000001</v>
      </c>
      <c r="AG6" s="320">
        <f>+VLOOKUP($E6,Hybrid!$1:$1048576,AG$2,FALSE)</f>
        <v>11058.36961</v>
      </c>
      <c r="AH6" s="320">
        <f>+VLOOKUP($E6,Hybrid!$1:$1048576,AH$2,FALSE)</f>
        <v>11137.54775</v>
      </c>
      <c r="AI6" s="320">
        <f>+VLOOKUP($E6,Hybrid!$1:$1048576,AI$2,FALSE)</f>
        <v>11203.201940000001</v>
      </c>
      <c r="AJ6" s="320">
        <f>+VLOOKUP($E6,Hybrid!$1:$1048576,AJ$2,FALSE)</f>
        <v>11254.03751</v>
      </c>
      <c r="AK6" s="320">
        <f>+VLOOKUP($E6,Hybrid!$1:$1048576,AK$2,FALSE)</f>
        <v>11288.73596</v>
      </c>
      <c r="AL6" s="320">
        <f>+VLOOKUP($E6,Hybrid!$1:$1048576,AL$2,FALSE)</f>
        <v>11305.979009999999</v>
      </c>
      <c r="AM6" s="320">
        <f>+VLOOKUP($E6,Hybrid!$1:$1048576,AM$2,FALSE)</f>
        <v>11304.4774</v>
      </c>
      <c r="AN6" s="320">
        <f>+VLOOKUP($E6,Hybrid!$1:$1048576,AN$2,FALSE)</f>
        <v>11283.00395</v>
      </c>
      <c r="AO6" s="320">
        <f>+VLOOKUP($E6,Hybrid!$1:$1048576,AO$2,FALSE)</f>
        <v>11240.43024</v>
      </c>
    </row>
    <row r="7" spans="1:41" ht="15" customHeight="1" x14ac:dyDescent="0.25">
      <c r="A7" s="384"/>
      <c r="B7" s="383"/>
      <c r="C7" s="164"/>
      <c r="D7" s="120" t="s">
        <v>520</v>
      </c>
      <c r="E7" s="46" t="s">
        <v>334</v>
      </c>
      <c r="F7" s="320">
        <f>+VLOOKUP($E7,Hybrid!$1:$1048576,F$2,FALSE)</f>
        <v>8251.256421</v>
      </c>
      <c r="G7" s="320">
        <f>+VLOOKUP($E7,Hybrid!$1:$1048576,G$2,FALSE)</f>
        <v>8182.7844539999996</v>
      </c>
      <c r="H7" s="320">
        <f>+VLOOKUP($E7,Hybrid!$1:$1048576,H$2,FALSE)</f>
        <v>8168.3355730000003</v>
      </c>
      <c r="I7" s="320">
        <f>+VLOOKUP($E7,Hybrid!$1:$1048576,I$2,FALSE)</f>
        <v>8191.2663309999998</v>
      </c>
      <c r="J7" s="320">
        <f>+VLOOKUP($E7,Hybrid!$1:$1048576,J$2,FALSE)</f>
        <v>8239.9130120000009</v>
      </c>
      <c r="K7" s="320">
        <f>+VLOOKUP($E7,Hybrid!$1:$1048576,K$2,FALSE)</f>
        <v>8306.1530999999995</v>
      </c>
      <c r="L7" s="320">
        <f>+VLOOKUP($E7,Hybrid!$1:$1048576,L$2,FALSE)</f>
        <v>8384.9727180000009</v>
      </c>
      <c r="M7" s="320">
        <f>+VLOOKUP($E7,Hybrid!$1:$1048576,M$2,FALSE)</f>
        <v>8473.4298299999991</v>
      </c>
      <c r="N7" s="320">
        <f>+VLOOKUP($E7,Hybrid!$1:$1048576,N$2,FALSE)</f>
        <v>8569.2031970000007</v>
      </c>
      <c r="O7" s="320">
        <f>+VLOOKUP($E7,Hybrid!$1:$1048576,O$2,FALSE)</f>
        <v>8670.3748560000004</v>
      </c>
      <c r="P7" s="320">
        <f>+VLOOKUP($E7,Hybrid!$1:$1048576,P$2,FALSE)</f>
        <v>8775.3060330000008</v>
      </c>
      <c r="Q7" s="320">
        <f>+VLOOKUP($E7,Hybrid!$1:$1048576,Q$2,FALSE)</f>
        <v>8882.5442230000008</v>
      </c>
      <c r="R7" s="320">
        <f>+VLOOKUP($E7,Hybrid!$1:$1048576,R$2,FALSE)</f>
        <v>8990.7536220000002</v>
      </c>
      <c r="S7" s="320">
        <f>+VLOOKUP($E7,Hybrid!$1:$1048576,S$2,FALSE)</f>
        <v>9098.6627050000006</v>
      </c>
      <c r="T7" s="320">
        <f>+VLOOKUP($E7,Hybrid!$1:$1048576,T$2,FALSE)</f>
        <v>9205.0230439999996</v>
      </c>
      <c r="U7" s="320">
        <f>+VLOOKUP($E7,Hybrid!$1:$1048576,U$2,FALSE)</f>
        <v>9308.5738020000008</v>
      </c>
      <c r="V7" s="320">
        <f>+VLOOKUP($E7,Hybrid!$1:$1048576,V$2,FALSE)</f>
        <v>9408.7536359999995</v>
      </c>
      <c r="W7" s="320">
        <f>+VLOOKUP($E7,Hybrid!$1:$1048576,W$2,FALSE)</f>
        <v>9505.5997970000008</v>
      </c>
      <c r="X7" s="320">
        <f>+VLOOKUP($E7,Hybrid!$1:$1048576,X$2,FALSE)</f>
        <v>9598.8301439999996</v>
      </c>
      <c r="Y7" s="320">
        <f>+VLOOKUP($E7,Hybrid!$1:$1048576,Y$2,FALSE)</f>
        <v>9687.9491309999994</v>
      </c>
      <c r="Z7" s="320">
        <f>+VLOOKUP($E7,Hybrid!$1:$1048576,Z$2,FALSE)</f>
        <v>9772.3322900000003</v>
      </c>
      <c r="AA7" s="320">
        <f>+VLOOKUP($E7,Hybrid!$1:$1048576,AA$2,FALSE)</f>
        <v>9851.2702169999993</v>
      </c>
      <c r="AB7" s="320">
        <f>+VLOOKUP($E7,Hybrid!$1:$1048576,AB$2,FALSE)</f>
        <v>9923.9897560000009</v>
      </c>
      <c r="AC7" s="320">
        <f>+VLOOKUP($E7,Hybrid!$1:$1048576,AC$2,FALSE)</f>
        <v>9989.6639109999996</v>
      </c>
      <c r="AD7" s="320">
        <f>+VLOOKUP($E7,Hybrid!$1:$1048576,AD$2,FALSE)</f>
        <v>10047.417020000001</v>
      </c>
      <c r="AE7" s="320">
        <f>+VLOOKUP($E7,Hybrid!$1:$1048576,AE$2,FALSE)</f>
        <v>10096.328729999999</v>
      </c>
      <c r="AF7" s="320">
        <f>+VLOOKUP($E7,Hybrid!$1:$1048576,AF$2,FALSE)</f>
        <v>10135.43887</v>
      </c>
      <c r="AG7" s="320">
        <f>+VLOOKUP($E7,Hybrid!$1:$1048576,AG$2,FALSE)</f>
        <v>10163.754150000001</v>
      </c>
      <c r="AH7" s="320">
        <f>+VLOOKUP($E7,Hybrid!$1:$1048576,AH$2,FALSE)</f>
        <v>10180.257680000001</v>
      </c>
      <c r="AI7" s="320">
        <f>+VLOOKUP($E7,Hybrid!$1:$1048576,AI$2,FALSE)</f>
        <v>10183.92152</v>
      </c>
      <c r="AJ7" s="320">
        <f>+VLOOKUP($E7,Hybrid!$1:$1048576,AJ$2,FALSE)</f>
        <v>10173.722529999999</v>
      </c>
      <c r="AK7" s="320">
        <f>+VLOOKUP($E7,Hybrid!$1:$1048576,AK$2,FALSE)</f>
        <v>10148.661630000001</v>
      </c>
      <c r="AL7" s="320">
        <f>+VLOOKUP($E7,Hybrid!$1:$1048576,AL$2,FALSE)</f>
        <v>10107.786260000001</v>
      </c>
      <c r="AM7" s="320">
        <f>+VLOOKUP($E7,Hybrid!$1:$1048576,AM$2,FALSE)</f>
        <v>10050.215630000001</v>
      </c>
      <c r="AN7" s="320">
        <f>+VLOOKUP($E7,Hybrid!$1:$1048576,AN$2,FALSE)</f>
        <v>9975.1682849999997</v>
      </c>
      <c r="AO7" s="320">
        <f>+VLOOKUP($E7,Hybrid!$1:$1048576,AO$2,FALSE)</f>
        <v>9881.9910660000005</v>
      </c>
    </row>
    <row r="8" spans="1:41" ht="15" customHeight="1" x14ac:dyDescent="0.25">
      <c r="A8" s="384"/>
      <c r="B8" s="383"/>
      <c r="C8" s="164"/>
      <c r="D8" s="120" t="s">
        <v>521</v>
      </c>
      <c r="E8" s="46" t="s">
        <v>335</v>
      </c>
      <c r="F8" s="320">
        <f>+VLOOKUP($E8,Hybrid!$1:$1048576,F$2,FALSE)</f>
        <v>6777.6024520000001</v>
      </c>
      <c r="G8" s="320">
        <f>+VLOOKUP($E8,Hybrid!$1:$1048576,G$2,FALSE)</f>
        <v>6646.7628590000004</v>
      </c>
      <c r="H8" s="320">
        <f>+VLOOKUP($E8,Hybrid!$1:$1048576,H$2,FALSE)</f>
        <v>6558.9663870000004</v>
      </c>
      <c r="I8" s="320">
        <f>+VLOOKUP($E8,Hybrid!$1:$1048576,I$2,FALSE)</f>
        <v>6502.0081840000003</v>
      </c>
      <c r="J8" s="320">
        <f>+VLOOKUP($E8,Hybrid!$1:$1048576,J$2,FALSE)</f>
        <v>6467.26224</v>
      </c>
      <c r="K8" s="320">
        <f>+VLOOKUP($E8,Hybrid!$1:$1048576,K$2,FALSE)</f>
        <v>6448.6372609999999</v>
      </c>
      <c r="L8" s="320">
        <f>+VLOOKUP($E8,Hybrid!$1:$1048576,L$2,FALSE)</f>
        <v>6442.2478430000001</v>
      </c>
      <c r="M8" s="320">
        <f>+VLOOKUP($E8,Hybrid!$1:$1048576,M$2,FALSE)</f>
        <v>6445.6930149999998</v>
      </c>
      <c r="N8" s="320">
        <f>+VLOOKUP($E8,Hybrid!$1:$1048576,N$2,FALSE)</f>
        <v>6457.0498120000002</v>
      </c>
      <c r="O8" s="320">
        <f>+VLOOKUP($E8,Hybrid!$1:$1048576,O$2,FALSE)</f>
        <v>6474.7042330000004</v>
      </c>
      <c r="P8" s="320">
        <f>+VLOOKUP($E8,Hybrid!$1:$1048576,P$2,FALSE)</f>
        <v>6497.2552610000002</v>
      </c>
      <c r="Q8" s="320">
        <f>+VLOOKUP($E8,Hybrid!$1:$1048576,Q$2,FALSE)</f>
        <v>6523.4452289999999</v>
      </c>
      <c r="R8" s="320">
        <f>+VLOOKUP($E8,Hybrid!$1:$1048576,R$2,FALSE)</f>
        <v>6552.1088769999997</v>
      </c>
      <c r="S8" s="320">
        <f>+VLOOKUP($E8,Hybrid!$1:$1048576,S$2,FALSE)</f>
        <v>6582.1355510000003</v>
      </c>
      <c r="T8" s="320">
        <f>+VLOOKUP($E8,Hybrid!$1:$1048576,T$2,FALSE)</f>
        <v>6612.4398520000004</v>
      </c>
      <c r="U8" s="320">
        <f>+VLOOKUP($E8,Hybrid!$1:$1048576,U$2,FALSE)</f>
        <v>6641.9366570000002</v>
      </c>
      <c r="V8" s="320">
        <f>+VLOOKUP($E8,Hybrid!$1:$1048576,V$2,FALSE)</f>
        <v>6670.0211129999998</v>
      </c>
      <c r="W8" s="320">
        <f>+VLOOKUP($E8,Hybrid!$1:$1048576,W$2,FALSE)</f>
        <v>6696.5179209999997</v>
      </c>
      <c r="X8" s="320">
        <f>+VLOOKUP($E8,Hybrid!$1:$1048576,X$2,FALSE)</f>
        <v>6721.0788030000003</v>
      </c>
      <c r="Y8" s="320">
        <f>+VLOOKUP($E8,Hybrid!$1:$1048576,Y$2,FALSE)</f>
        <v>6743.242346</v>
      </c>
      <c r="Z8" s="320">
        <f>+VLOOKUP($E8,Hybrid!$1:$1048576,Z$2,FALSE)</f>
        <v>6762.4847749999999</v>
      </c>
      <c r="AA8" s="320">
        <f>+VLOOKUP($E8,Hybrid!$1:$1048576,AA$2,FALSE)</f>
        <v>6778.2466480000003</v>
      </c>
      <c r="AB8" s="320">
        <f>+VLOOKUP($E8,Hybrid!$1:$1048576,AB$2,FALSE)</f>
        <v>6789.9460079999999</v>
      </c>
      <c r="AC8" s="320">
        <f>+VLOOKUP($E8,Hybrid!$1:$1048576,AC$2,FALSE)</f>
        <v>6796.9849889999996</v>
      </c>
      <c r="AD8" s="320">
        <f>+VLOOKUP($E8,Hybrid!$1:$1048576,AD$2,FALSE)</f>
        <v>6798.7538560000003</v>
      </c>
      <c r="AE8" s="320">
        <f>+VLOOKUP($E8,Hybrid!$1:$1048576,AE$2,FALSE)</f>
        <v>6794.6346009999997</v>
      </c>
      <c r="AF8" s="320">
        <f>+VLOOKUP($E8,Hybrid!$1:$1048576,AF$2,FALSE)</f>
        <v>6784.0052619999997</v>
      </c>
      <c r="AG8" s="320">
        <f>+VLOOKUP($E8,Hybrid!$1:$1048576,AG$2,FALSE)</f>
        <v>6766.2455490000002</v>
      </c>
      <c r="AH8" s="320">
        <f>+VLOOKUP($E8,Hybrid!$1:$1048576,AH$2,FALSE)</f>
        <v>6740.7441310000004</v>
      </c>
      <c r="AI8" s="320">
        <f>+VLOOKUP($E8,Hybrid!$1:$1048576,AI$2,FALSE)</f>
        <v>6706.9076919999998</v>
      </c>
      <c r="AJ8" s="320">
        <f>+VLOOKUP($E8,Hybrid!$1:$1048576,AJ$2,FALSE)</f>
        <v>6664.1717500000004</v>
      </c>
      <c r="AK8" s="320">
        <f>+VLOOKUP($E8,Hybrid!$1:$1048576,AK$2,FALSE)</f>
        <v>6612.0131240000001</v>
      </c>
      <c r="AL8" s="320">
        <f>+VLOOKUP($E8,Hybrid!$1:$1048576,AL$2,FALSE)</f>
        <v>6549.9637679999996</v>
      </c>
      <c r="AM8" s="320">
        <f>+VLOOKUP($E8,Hybrid!$1:$1048576,AM$2,FALSE)</f>
        <v>6477.6256270000003</v>
      </c>
      <c r="AN8" s="320">
        <f>+VLOOKUP($E8,Hybrid!$1:$1048576,AN$2,FALSE)</f>
        <v>6394.6860070000002</v>
      </c>
      <c r="AO8" s="320">
        <f>+VLOOKUP($E8,Hybrid!$1:$1048576,AO$2,FALSE)</f>
        <v>6300.9328379999997</v>
      </c>
    </row>
    <row r="9" spans="1:41" ht="15" customHeight="1" x14ac:dyDescent="0.25">
      <c r="A9" s="384"/>
      <c r="B9" s="383"/>
      <c r="C9" s="164"/>
      <c r="D9" s="120" t="s">
        <v>522</v>
      </c>
      <c r="E9" s="46" t="s">
        <v>336</v>
      </c>
      <c r="F9" s="320">
        <f>+VLOOKUP($E9,Hybrid!$1:$1048576,F$2,FALSE)</f>
        <v>4159.6639080000004</v>
      </c>
      <c r="G9" s="320">
        <f>+VLOOKUP($E9,Hybrid!$1:$1048576,G$2,FALSE)</f>
        <v>4054.5797419999999</v>
      </c>
      <c r="H9" s="320">
        <f>+VLOOKUP($E9,Hybrid!$1:$1048576,H$2,FALSE)</f>
        <v>3973.8284979999999</v>
      </c>
      <c r="I9" s="320">
        <f>+VLOOKUP($E9,Hybrid!$1:$1048576,I$2,FALSE)</f>
        <v>3910.0598810000001</v>
      </c>
      <c r="J9" s="320">
        <f>+VLOOKUP($E9,Hybrid!$1:$1048576,J$2,FALSE)</f>
        <v>3858.1675019999998</v>
      </c>
      <c r="K9" s="320">
        <f>+VLOOKUP($E9,Hybrid!$1:$1048576,K$2,FALSE)</f>
        <v>3814.603525</v>
      </c>
      <c r="L9" s="320">
        <f>+VLOOKUP($E9,Hybrid!$1:$1048576,L$2,FALSE)</f>
        <v>3777.1169620000001</v>
      </c>
      <c r="M9" s="320">
        <f>+VLOOKUP($E9,Hybrid!$1:$1048576,M$2,FALSE)</f>
        <v>3744.3155849999998</v>
      </c>
      <c r="N9" s="320">
        <f>+VLOOKUP($E9,Hybrid!$1:$1048576,N$2,FALSE)</f>
        <v>3715.1046860000001</v>
      </c>
      <c r="O9" s="320">
        <f>+VLOOKUP($E9,Hybrid!$1:$1048576,O$2,FALSE)</f>
        <v>3688.5794689999998</v>
      </c>
      <c r="P9" s="320">
        <f>+VLOOKUP($E9,Hybrid!$1:$1048576,P$2,FALSE)</f>
        <v>3663.966539</v>
      </c>
      <c r="Q9" s="320">
        <f>+VLOOKUP($E9,Hybrid!$1:$1048576,Q$2,FALSE)</f>
        <v>3640.5846419999998</v>
      </c>
      <c r="R9" s="320">
        <f>+VLOOKUP($E9,Hybrid!$1:$1048576,R$2,FALSE)</f>
        <v>3617.8179610000002</v>
      </c>
      <c r="S9" s="320">
        <f>+VLOOKUP($E9,Hybrid!$1:$1048576,S$2,FALSE)</f>
        <v>3595.0978479999999</v>
      </c>
      <c r="T9" s="320">
        <f>+VLOOKUP($E9,Hybrid!$1:$1048576,T$2,FALSE)</f>
        <v>3571.8900829999998</v>
      </c>
      <c r="U9" s="320">
        <f>+VLOOKUP($E9,Hybrid!$1:$1048576,U$2,FALSE)</f>
        <v>3547.6856480000001</v>
      </c>
      <c r="V9" s="320">
        <f>+VLOOKUP($E9,Hybrid!$1:$1048576,V$2,FALSE)</f>
        <v>3522.2278809999998</v>
      </c>
      <c r="W9" s="320">
        <f>+VLOOKUP($E9,Hybrid!$1:$1048576,W$2,FALSE)</f>
        <v>3495.4858749999999</v>
      </c>
      <c r="X9" s="320">
        <f>+VLOOKUP($E9,Hybrid!$1:$1048576,X$2,FALSE)</f>
        <v>3467.3739759999999</v>
      </c>
      <c r="Y9" s="320">
        <f>+VLOOKUP($E9,Hybrid!$1:$1048576,Y$2,FALSE)</f>
        <v>3437.7763599999998</v>
      </c>
      <c r="Z9" s="320">
        <f>+VLOOKUP($E9,Hybrid!$1:$1048576,Z$2,FALSE)</f>
        <v>3406.5692130000002</v>
      </c>
      <c r="AA9" s="320">
        <f>+VLOOKUP($E9,Hybrid!$1:$1048576,AA$2,FALSE)</f>
        <v>3373.63229</v>
      </c>
      <c r="AB9" s="320">
        <f>+VLOOKUP($E9,Hybrid!$1:$1048576,AB$2,FALSE)</f>
        <v>3338.854241</v>
      </c>
      <c r="AC9" s="320">
        <f>+VLOOKUP($E9,Hybrid!$1:$1048576,AC$2,FALSE)</f>
        <v>3302.1347110000002</v>
      </c>
      <c r="AD9" s="320">
        <f>+VLOOKUP($E9,Hybrid!$1:$1048576,AD$2,FALSE)</f>
        <v>3263.3849359999999</v>
      </c>
      <c r="AE9" s="320">
        <f>+VLOOKUP($E9,Hybrid!$1:$1048576,AE$2,FALSE)</f>
        <v>3222.5277270000001</v>
      </c>
      <c r="AF9" s="320">
        <f>+VLOOKUP($E9,Hybrid!$1:$1048576,AF$2,FALSE)</f>
        <v>3179.4972859999998</v>
      </c>
      <c r="AG9" s="320">
        <f>+VLOOKUP($E9,Hybrid!$1:$1048576,AG$2,FALSE)</f>
        <v>3134.2390569999998</v>
      </c>
      <c r="AH9" s="320">
        <f>+VLOOKUP($E9,Hybrid!$1:$1048576,AH$2,FALSE)</f>
        <v>3086.7097010000002</v>
      </c>
      <c r="AI9" s="320">
        <f>+VLOOKUP($E9,Hybrid!$1:$1048576,AI$2,FALSE)</f>
        <v>3036.8772060000001</v>
      </c>
      <c r="AJ9" s="320">
        <f>+VLOOKUP($E9,Hybrid!$1:$1048576,AJ$2,FALSE)</f>
        <v>2984.7211400000001</v>
      </c>
      <c r="AK9" s="320">
        <f>+VLOOKUP($E9,Hybrid!$1:$1048576,AK$2,FALSE)</f>
        <v>2930.233025</v>
      </c>
      <c r="AL9" s="320">
        <f>+VLOOKUP($E9,Hybrid!$1:$1048576,AL$2,FALSE)</f>
        <v>2873.4168239999999</v>
      </c>
      <c r="AM9" s="320">
        <f>+VLOOKUP($E9,Hybrid!$1:$1048576,AM$2,FALSE)</f>
        <v>2814.28955</v>
      </c>
      <c r="AN9" s="320">
        <f>+VLOOKUP($E9,Hybrid!$1:$1048576,AN$2,FALSE)</f>
        <v>2752.881969</v>
      </c>
      <c r="AO9" s="320">
        <f>+VLOOKUP($E9,Hybrid!$1:$1048576,AO$2,FALSE)</f>
        <v>2689.239435</v>
      </c>
    </row>
    <row r="10" spans="1:41" ht="15" customHeight="1" x14ac:dyDescent="0.25">
      <c r="A10" s="384"/>
      <c r="B10" s="383"/>
      <c r="C10" s="164"/>
      <c r="D10" s="120" t="s">
        <v>523</v>
      </c>
      <c r="E10" s="46" t="s">
        <v>337</v>
      </c>
      <c r="F10" s="320">
        <f>+VLOOKUP($E10,Hybrid!$1:$1048576,F$2,FALSE)</f>
        <v>2503.7292430000002</v>
      </c>
      <c r="G10" s="320">
        <f>+VLOOKUP($E10,Hybrid!$1:$1048576,G$2,FALSE)</f>
        <v>2442.716915</v>
      </c>
      <c r="H10" s="320">
        <f>+VLOOKUP($E10,Hybrid!$1:$1048576,H$2,FALSE)</f>
        <v>2395.2654680000001</v>
      </c>
      <c r="I10" s="320">
        <f>+VLOOKUP($E10,Hybrid!$1:$1048576,I$2,FALSE)</f>
        <v>2356.683145</v>
      </c>
      <c r="J10" s="320">
        <f>+VLOOKUP($E10,Hybrid!$1:$1048576,J$2,FALSE)</f>
        <v>2323.7961850000002</v>
      </c>
      <c r="K10" s="320">
        <f>+VLOOKUP($E10,Hybrid!$1:$1048576,K$2,FALSE)</f>
        <v>2294.4653119999998</v>
      </c>
      <c r="L10" s="320">
        <f>+VLOOKUP($E10,Hybrid!$1:$1048576,L$2,FALSE)</f>
        <v>2267.380537</v>
      </c>
      <c r="M10" s="320">
        <f>+VLOOKUP($E10,Hybrid!$1:$1048576,M$2,FALSE)</f>
        <v>2241.7722570000001</v>
      </c>
      <c r="N10" s="320">
        <f>+VLOOKUP($E10,Hybrid!$1:$1048576,N$2,FALSE)</f>
        <v>2217.0646809999998</v>
      </c>
      <c r="O10" s="320">
        <f>+VLOOKUP($E10,Hybrid!$1:$1048576,O$2,FALSE)</f>
        <v>2192.8016640000001</v>
      </c>
      <c r="P10" s="320">
        <f>+VLOOKUP($E10,Hybrid!$1:$1048576,P$2,FALSE)</f>
        <v>2168.607501</v>
      </c>
      <c r="Q10" s="320">
        <f>+VLOOKUP($E10,Hybrid!$1:$1048576,Q$2,FALSE)</f>
        <v>2144.1620480000001</v>
      </c>
      <c r="R10" s="320">
        <f>+VLOOKUP($E10,Hybrid!$1:$1048576,R$2,FALSE)</f>
        <v>2119.1846540000001</v>
      </c>
      <c r="S10" s="320">
        <f>+VLOOKUP($E10,Hybrid!$1:$1048576,S$2,FALSE)</f>
        <v>2093.42371</v>
      </c>
      <c r="T10" s="320">
        <f>+VLOOKUP($E10,Hybrid!$1:$1048576,T$2,FALSE)</f>
        <v>2066.649754</v>
      </c>
      <c r="U10" s="320">
        <f>+VLOOKUP($E10,Hybrid!$1:$1048576,U$2,FALSE)</f>
        <v>2038.6508260000001</v>
      </c>
      <c r="V10" s="320">
        <f>+VLOOKUP($E10,Hybrid!$1:$1048576,V$2,FALSE)</f>
        <v>2009.35256</v>
      </c>
      <c r="W10" s="320">
        <f>+VLOOKUP($E10,Hybrid!$1:$1048576,W$2,FALSE)</f>
        <v>1978.8037879999999</v>
      </c>
      <c r="X10" s="320">
        <f>+VLOOKUP($E10,Hybrid!$1:$1048576,X$2,FALSE)</f>
        <v>1947.0308769999999</v>
      </c>
      <c r="Y10" s="320">
        <f>+VLOOKUP($E10,Hybrid!$1:$1048576,Y$2,FALSE)</f>
        <v>1914.048667</v>
      </c>
      <c r="Z10" s="320">
        <f>+VLOOKUP($E10,Hybrid!$1:$1048576,Z$2,FALSE)</f>
        <v>1879.8711149999999</v>
      </c>
      <c r="AA10" s="320">
        <f>+VLOOKUP($E10,Hybrid!$1:$1048576,AA$2,FALSE)</f>
        <v>1844.5167650000001</v>
      </c>
      <c r="AB10" s="320">
        <f>+VLOOKUP($E10,Hybrid!$1:$1048576,AB$2,FALSE)</f>
        <v>1808.011115</v>
      </c>
      <c r="AC10" s="320">
        <f>+VLOOKUP($E10,Hybrid!$1:$1048576,AC$2,FALSE)</f>
        <v>1770.3873530000001</v>
      </c>
      <c r="AD10" s="320">
        <f>+VLOOKUP($E10,Hybrid!$1:$1048576,AD$2,FALSE)</f>
        <v>1731.6863330000001</v>
      </c>
      <c r="AE10" s="320">
        <f>+VLOOKUP($E10,Hybrid!$1:$1048576,AE$2,FALSE)</f>
        <v>1691.9562410000001</v>
      </c>
      <c r="AF10" s="320">
        <f>+VLOOKUP($E10,Hybrid!$1:$1048576,AF$2,FALSE)</f>
        <v>1651.2521509999999</v>
      </c>
      <c r="AG10" s="320">
        <f>+VLOOKUP($E10,Hybrid!$1:$1048576,AG$2,FALSE)</f>
        <v>1609.6355759999999</v>
      </c>
      <c r="AH10" s="320">
        <f>+VLOOKUP($E10,Hybrid!$1:$1048576,AH$2,FALSE)</f>
        <v>1567.174037</v>
      </c>
      <c r="AI10" s="320">
        <f>+VLOOKUP($E10,Hybrid!$1:$1048576,AI$2,FALSE)</f>
        <v>1523.9406530000001</v>
      </c>
      <c r="AJ10" s="320">
        <f>+VLOOKUP($E10,Hybrid!$1:$1048576,AJ$2,FALSE)</f>
        <v>1480.013733</v>
      </c>
      <c r="AK10" s="320">
        <f>+VLOOKUP($E10,Hybrid!$1:$1048576,AK$2,FALSE)</f>
        <v>1435.476369</v>
      </c>
      <c r="AL10" s="320">
        <f>+VLOOKUP($E10,Hybrid!$1:$1048576,AL$2,FALSE)</f>
        <v>1390.416017</v>
      </c>
      <c r="AM10" s="320">
        <f>+VLOOKUP($E10,Hybrid!$1:$1048576,AM$2,FALSE)</f>
        <v>1344.9240589999999</v>
      </c>
      <c r="AN10" s="320">
        <f>+VLOOKUP($E10,Hybrid!$1:$1048576,AN$2,FALSE)</f>
        <v>1299.095358</v>
      </c>
      <c r="AO10" s="320">
        <f>+VLOOKUP($E10,Hybrid!$1:$1048576,AO$2,FALSE)</f>
        <v>1253.0278020000001</v>
      </c>
    </row>
    <row r="11" spans="1:41" ht="15" customHeight="1" x14ac:dyDescent="0.25">
      <c r="A11" s="384"/>
      <c r="B11" s="383"/>
      <c r="C11" s="164"/>
      <c r="D11" s="120" t="s">
        <v>524</v>
      </c>
      <c r="E11" s="46" t="s">
        <v>338</v>
      </c>
      <c r="F11" s="320">
        <f>+VLOOKUP($E11,Hybrid!$1:$1048576,F$2,FALSE)</f>
        <v>1243.6668460000001</v>
      </c>
      <c r="G11" s="320">
        <f>+VLOOKUP($E11,Hybrid!$1:$1048576,G$2,FALSE)</f>
        <v>1210.492495</v>
      </c>
      <c r="H11" s="320">
        <f>+VLOOKUP($E11,Hybrid!$1:$1048576,H$2,FALSE)</f>
        <v>1182.323858</v>
      </c>
      <c r="I11" s="320">
        <f>+VLOOKUP($E11,Hybrid!$1:$1048576,I$2,FALSE)</f>
        <v>1156.636193</v>
      </c>
      <c r="J11" s="320">
        <f>+VLOOKUP($E11,Hybrid!$1:$1048576,J$2,FALSE)</f>
        <v>1131.8888010000001</v>
      </c>
      <c r="K11" s="320">
        <f>+VLOOKUP($E11,Hybrid!$1:$1048576,K$2,FALSE)</f>
        <v>1107.1769650000001</v>
      </c>
      <c r="L11" s="320">
        <f>+VLOOKUP($E11,Hybrid!$1:$1048576,L$2,FALSE)</f>
        <v>1082.050888</v>
      </c>
      <c r="M11" s="320">
        <f>+VLOOKUP($E11,Hybrid!$1:$1048576,M$2,FALSE)</f>
        <v>1056.334942</v>
      </c>
      <c r="N11" s="320">
        <f>+VLOOKUP($E11,Hybrid!$1:$1048576,N$2,FALSE)</f>
        <v>1029.955195</v>
      </c>
      <c r="O11" s="320">
        <f>+VLOOKUP($E11,Hybrid!$1:$1048576,O$2,FALSE)</f>
        <v>1002.894758</v>
      </c>
      <c r="P11" s="320">
        <f>+VLOOKUP($E11,Hybrid!$1:$1048576,P$2,FALSE)</f>
        <v>975.17131440000003</v>
      </c>
      <c r="Q11" s="320">
        <f>+VLOOKUP($E11,Hybrid!$1:$1048576,Q$2,FALSE)</f>
        <v>946.82415349999997</v>
      </c>
      <c r="R11" s="320">
        <f>+VLOOKUP($E11,Hybrid!$1:$1048576,R$2,FALSE)</f>
        <v>917.90639620000002</v>
      </c>
      <c r="S11" s="320">
        <f>+VLOOKUP($E11,Hybrid!$1:$1048576,S$2,FALSE)</f>
        <v>888.48020250000002</v>
      </c>
      <c r="T11" s="320">
        <f>+VLOOKUP($E11,Hybrid!$1:$1048576,T$2,FALSE)</f>
        <v>858.61372919999997</v>
      </c>
      <c r="U11" s="320">
        <f>+VLOOKUP($E11,Hybrid!$1:$1048576,U$2,FALSE)</f>
        <v>828.37916280000002</v>
      </c>
      <c r="V11" s="320">
        <f>+VLOOKUP($E11,Hybrid!$1:$1048576,V$2,FALSE)</f>
        <v>797.88431449999996</v>
      </c>
      <c r="W11" s="320">
        <f>+VLOOKUP($E11,Hybrid!$1:$1048576,W$2,FALSE)</f>
        <v>767.26368239999999</v>
      </c>
      <c r="X11" s="320">
        <f>+VLOOKUP($E11,Hybrid!$1:$1048576,X$2,FALSE)</f>
        <v>736.63803399999995</v>
      </c>
      <c r="Y11" s="320">
        <f>+VLOOKUP($E11,Hybrid!$1:$1048576,Y$2,FALSE)</f>
        <v>706.11730850000004</v>
      </c>
      <c r="Z11" s="320">
        <f>+VLOOKUP($E11,Hybrid!$1:$1048576,Z$2,FALSE)</f>
        <v>675.80339600000002</v>
      </c>
      <c r="AA11" s="320">
        <f>+VLOOKUP($E11,Hybrid!$1:$1048576,AA$2,FALSE)</f>
        <v>645.79139239999995</v>
      </c>
      <c r="AB11" s="320">
        <f>+VLOOKUP($E11,Hybrid!$1:$1048576,AB$2,FALSE)</f>
        <v>616.1699539</v>
      </c>
      <c r="AC11" s="320">
        <f>+VLOOKUP($E11,Hybrid!$1:$1048576,AC$2,FALSE)</f>
        <v>587.02122580000002</v>
      </c>
      <c r="AD11" s="320">
        <f>+VLOOKUP($E11,Hybrid!$1:$1048576,AD$2,FALSE)</f>
        <v>558.42062080000005</v>
      </c>
      <c r="AE11" s="320">
        <f>+VLOOKUP($E11,Hybrid!$1:$1048576,AE$2,FALSE)</f>
        <v>530.43659400000001</v>
      </c>
      <c r="AF11" s="320">
        <f>+VLOOKUP($E11,Hybrid!$1:$1048576,AF$2,FALSE)</f>
        <v>503.13047640000002</v>
      </c>
      <c r="AG11" s="320">
        <f>+VLOOKUP($E11,Hybrid!$1:$1048576,AG$2,FALSE)</f>
        <v>476.55638979999998</v>
      </c>
      <c r="AH11" s="320">
        <f>+VLOOKUP($E11,Hybrid!$1:$1048576,AH$2,FALSE)</f>
        <v>450.76124620000002</v>
      </c>
      <c r="AI11" s="320">
        <f>+VLOOKUP($E11,Hybrid!$1:$1048576,AI$2,FALSE)</f>
        <v>425.78482250000002</v>
      </c>
      <c r="AJ11" s="320">
        <f>+VLOOKUP($E11,Hybrid!$1:$1048576,AJ$2,FALSE)</f>
        <v>401.65990470000003</v>
      </c>
      <c r="AK11" s="320">
        <f>+VLOOKUP($E11,Hybrid!$1:$1048576,AK$2,FALSE)</f>
        <v>378.41249169999998</v>
      </c>
      <c r="AL11" s="320">
        <f>+VLOOKUP($E11,Hybrid!$1:$1048576,AL$2,FALSE)</f>
        <v>356.06205340000002</v>
      </c>
      <c r="AM11" s="320">
        <f>+VLOOKUP($E11,Hybrid!$1:$1048576,AM$2,FALSE)</f>
        <v>334.62183520000002</v>
      </c>
      <c r="AN11" s="320">
        <f>+VLOOKUP($E11,Hybrid!$1:$1048576,AN$2,FALSE)</f>
        <v>314.09920460000001</v>
      </c>
      <c r="AO11" s="320">
        <f>+VLOOKUP($E11,Hybrid!$1:$1048576,AO$2,FALSE)</f>
        <v>294.49603300000001</v>
      </c>
    </row>
    <row r="12" spans="1:41" ht="15" customHeight="1" x14ac:dyDescent="0.25">
      <c r="A12" s="384"/>
      <c r="B12" s="383"/>
      <c r="C12" s="164"/>
      <c r="D12" s="120" t="s">
        <v>525</v>
      </c>
      <c r="E12" s="46" t="s">
        <v>339</v>
      </c>
      <c r="F12" s="320">
        <f>+VLOOKUP($E12,Hybrid!$1:$1048576,F$2,FALSE)</f>
        <v>2239.620606</v>
      </c>
      <c r="G12" s="320">
        <f>+VLOOKUP($E12,Hybrid!$1:$1048576,G$2,FALSE)</f>
        <v>2182.9511900000002</v>
      </c>
      <c r="H12" s="320">
        <f>+VLOOKUP($E12,Hybrid!$1:$1048576,H$2,FALSE)</f>
        <v>2132.3988039999999</v>
      </c>
      <c r="I12" s="320">
        <f>+VLOOKUP($E12,Hybrid!$1:$1048576,I$2,FALSE)</f>
        <v>2083.0710549999999</v>
      </c>
      <c r="J12" s="320">
        <f>+VLOOKUP($E12,Hybrid!$1:$1048576,J$2,FALSE)</f>
        <v>2032.3339940000001</v>
      </c>
      <c r="K12" s="320">
        <f>+VLOOKUP($E12,Hybrid!$1:$1048576,K$2,FALSE)</f>
        <v>1978.9455640000001</v>
      </c>
      <c r="L12" s="320">
        <f>+VLOOKUP($E12,Hybrid!$1:$1048576,L$2,FALSE)</f>
        <v>1922.5733849999999</v>
      </c>
      <c r="M12" s="320">
        <f>+VLOOKUP($E12,Hybrid!$1:$1048576,M$2,FALSE)</f>
        <v>1863.38723</v>
      </c>
      <c r="N12" s="320">
        <f>+VLOOKUP($E12,Hybrid!$1:$1048576,N$2,FALSE)</f>
        <v>1801.724555</v>
      </c>
      <c r="O12" s="320">
        <f>+VLOOKUP($E12,Hybrid!$1:$1048576,O$2,FALSE)</f>
        <v>1737.993365</v>
      </c>
      <c r="P12" s="320">
        <f>+VLOOKUP($E12,Hybrid!$1:$1048576,P$2,FALSE)</f>
        <v>1672.625378</v>
      </c>
      <c r="Q12" s="320">
        <f>+VLOOKUP($E12,Hybrid!$1:$1048576,Q$2,FALSE)</f>
        <v>1606.0510870000001</v>
      </c>
      <c r="R12" s="320">
        <f>+VLOOKUP($E12,Hybrid!$1:$1048576,R$2,FALSE)</f>
        <v>1538.6862080000001</v>
      </c>
      <c r="S12" s="320">
        <f>+VLOOKUP($E12,Hybrid!$1:$1048576,S$2,FALSE)</f>
        <v>1470.924264</v>
      </c>
      <c r="T12" s="320">
        <f>+VLOOKUP($E12,Hybrid!$1:$1048576,T$2,FALSE)</f>
        <v>1403.132642</v>
      </c>
      <c r="U12" s="320">
        <f>+VLOOKUP($E12,Hybrid!$1:$1048576,U$2,FALSE)</f>
        <v>1335.6506919999999</v>
      </c>
      <c r="V12" s="320">
        <f>+VLOOKUP($E12,Hybrid!$1:$1048576,V$2,FALSE)</f>
        <v>1268.8255959999999</v>
      </c>
      <c r="W12" s="320">
        <f>+VLOOKUP($E12,Hybrid!$1:$1048576,W$2,FALSE)</f>
        <v>1202.999047</v>
      </c>
      <c r="X12" s="320">
        <f>+VLOOKUP($E12,Hybrid!$1:$1048576,X$2,FALSE)</f>
        <v>1138.4631440000001</v>
      </c>
      <c r="Y12" s="320">
        <f>+VLOOKUP($E12,Hybrid!$1:$1048576,Y$2,FALSE)</f>
        <v>1075.4659320000001</v>
      </c>
      <c r="Z12" s="320">
        <f>+VLOOKUP($E12,Hybrid!$1:$1048576,Z$2,FALSE)</f>
        <v>1014.216772</v>
      </c>
      <c r="AA12" s="320">
        <f>+VLOOKUP($E12,Hybrid!$1:$1048576,AA$2,FALSE)</f>
        <v>954.88991929999997</v>
      </c>
      <c r="AB12" s="320">
        <f>+VLOOKUP($E12,Hybrid!$1:$1048576,AB$2,FALSE)</f>
        <v>897.62713929999995</v>
      </c>
      <c r="AC12" s="320">
        <f>+VLOOKUP($E12,Hybrid!$1:$1048576,AC$2,FALSE)</f>
        <v>842.53990799999997</v>
      </c>
      <c r="AD12" s="320">
        <f>+VLOOKUP($E12,Hybrid!$1:$1048576,AD$2,FALSE)</f>
        <v>789.71152359999996</v>
      </c>
      <c r="AE12" s="320">
        <f>+VLOOKUP($E12,Hybrid!$1:$1048576,AE$2,FALSE)</f>
        <v>739.19925909999995</v>
      </c>
      <c r="AF12" s="320">
        <f>+VLOOKUP($E12,Hybrid!$1:$1048576,AF$2,FALSE)</f>
        <v>691.03658819999998</v>
      </c>
      <c r="AG12" s="320">
        <f>+VLOOKUP($E12,Hybrid!$1:$1048576,AG$2,FALSE)</f>
        <v>645.23546690000001</v>
      </c>
      <c r="AH12" s="320">
        <f>+VLOOKUP($E12,Hybrid!$1:$1048576,AH$2,FALSE)</f>
        <v>601.78863509999996</v>
      </c>
      <c r="AI12" s="320">
        <f>+VLOOKUP($E12,Hybrid!$1:$1048576,AI$2,FALSE)</f>
        <v>560.67190059999996</v>
      </c>
      <c r="AJ12" s="320">
        <f>+VLOOKUP($E12,Hybrid!$1:$1048576,AJ$2,FALSE)</f>
        <v>521.84636839999996</v>
      </c>
      <c r="AK12" s="320">
        <f>+VLOOKUP($E12,Hybrid!$1:$1048576,AK$2,FALSE)</f>
        <v>485.26058890000002</v>
      </c>
      <c r="AL12" s="320">
        <f>+VLOOKUP($E12,Hybrid!$1:$1048576,AL$2,FALSE)</f>
        <v>450.85260019999998</v>
      </c>
      <c r="AM12" s="320">
        <f>+VLOOKUP($E12,Hybrid!$1:$1048576,AM$2,FALSE)</f>
        <v>418.55184789999998</v>
      </c>
      <c r="AN12" s="320">
        <f>+VLOOKUP($E12,Hybrid!$1:$1048576,AN$2,FALSE)</f>
        <v>388.28096840000001</v>
      </c>
      <c r="AO12" s="320">
        <f>+VLOOKUP($E12,Hybrid!$1:$1048576,AO$2,FALSE)</f>
        <v>359.95742710000002</v>
      </c>
    </row>
    <row r="13" spans="1:41" s="108" customFormat="1" ht="15" customHeight="1" x14ac:dyDescent="0.25">
      <c r="A13" s="384"/>
      <c r="B13" s="383"/>
      <c r="C13" s="118" t="s">
        <v>802</v>
      </c>
      <c r="D13" s="119"/>
      <c r="E13" s="88" t="s">
        <v>340</v>
      </c>
      <c r="F13" s="319">
        <f>+VLOOKUP($E13,Hybrid!$1:$1048576,F$2,FALSE)</f>
        <v>44.765000000000001</v>
      </c>
      <c r="G13" s="319">
        <f>+VLOOKUP($E13,Hybrid!$1:$1048576,G$2,FALSE)</f>
        <v>62.431569170000003</v>
      </c>
      <c r="H13" s="319">
        <f>+VLOOKUP($E13,Hybrid!$1:$1048576,H$2,FALSE)</f>
        <v>81.013695760000004</v>
      </c>
      <c r="I13" s="319">
        <f>+VLOOKUP($E13,Hybrid!$1:$1048576,I$2,FALSE)</f>
        <v>100.1229845</v>
      </c>
      <c r="J13" s="319">
        <f>+VLOOKUP($E13,Hybrid!$1:$1048576,J$2,FALSE)</f>
        <v>119.557911</v>
      </c>
      <c r="K13" s="319">
        <f>+VLOOKUP($E13,Hybrid!$1:$1048576,K$2,FALSE)</f>
        <v>139.26916840000001</v>
      </c>
      <c r="L13" s="319">
        <f>+VLOOKUP($E13,Hybrid!$1:$1048576,L$2,FALSE)</f>
        <v>159.34439639999999</v>
      </c>
      <c r="M13" s="319">
        <f>+VLOOKUP($E13,Hybrid!$1:$1048576,M$2,FALSE)</f>
        <v>179.9408076</v>
      </c>
      <c r="N13" s="319">
        <f>+VLOOKUP($E13,Hybrid!$1:$1048576,N$2,FALSE)</f>
        <v>201.21851140000001</v>
      </c>
      <c r="O13" s="319">
        <f>+VLOOKUP($E13,Hybrid!$1:$1048576,O$2,FALSE)</f>
        <v>223.34990759999999</v>
      </c>
      <c r="P13" s="319">
        <f>+VLOOKUP($E13,Hybrid!$1:$1048576,P$2,FALSE)</f>
        <v>246.5349597</v>
      </c>
      <c r="Q13" s="319">
        <f>+VLOOKUP($E13,Hybrid!$1:$1048576,Q$2,FALSE)</f>
        <v>271.01943679999999</v>
      </c>
      <c r="R13" s="319">
        <f>+VLOOKUP($E13,Hybrid!$1:$1048576,R$2,FALSE)</f>
        <v>297.11657760000003</v>
      </c>
      <c r="S13" s="319">
        <f>+VLOOKUP($E13,Hybrid!$1:$1048576,S$2,FALSE)</f>
        <v>325.23391279999998</v>
      </c>
      <c r="T13" s="319">
        <f>+VLOOKUP($E13,Hybrid!$1:$1048576,T$2,FALSE)</f>
        <v>355.90822200000002</v>
      </c>
      <c r="U13" s="319">
        <f>+VLOOKUP($E13,Hybrid!$1:$1048576,U$2,FALSE)</f>
        <v>389.85320739999997</v>
      </c>
      <c r="V13" s="319">
        <f>+VLOOKUP($E13,Hybrid!$1:$1048576,V$2,FALSE)</f>
        <v>428.0347132</v>
      </c>
      <c r="W13" s="319">
        <f>+VLOOKUP($E13,Hybrid!$1:$1048576,W$2,FALSE)</f>
        <v>471.6453156</v>
      </c>
      <c r="X13" s="319">
        <f>+VLOOKUP($E13,Hybrid!$1:$1048576,X$2,FALSE)</f>
        <v>522.01457679999999</v>
      </c>
      <c r="Y13" s="319">
        <f>+VLOOKUP($E13,Hybrid!$1:$1048576,Y$2,FALSE)</f>
        <v>580.62349040000004</v>
      </c>
      <c r="Z13" s="319">
        <f>+VLOOKUP($E13,Hybrid!$1:$1048576,Z$2,FALSE)</f>
        <v>649.11914290000004</v>
      </c>
      <c r="AA13" s="319">
        <f>+VLOOKUP($E13,Hybrid!$1:$1048576,AA$2,FALSE)</f>
        <v>729.32712479999998</v>
      </c>
      <c r="AB13" s="319">
        <f>+VLOOKUP($E13,Hybrid!$1:$1048576,AB$2,FALSE)</f>
        <v>823.26146000000006</v>
      </c>
      <c r="AC13" s="319">
        <f>+VLOOKUP($E13,Hybrid!$1:$1048576,AC$2,FALSE)</f>
        <v>933.13161100000002</v>
      </c>
      <c r="AD13" s="319">
        <f>+VLOOKUP($E13,Hybrid!$1:$1048576,AD$2,FALSE)</f>
        <v>1061.3458559999999</v>
      </c>
      <c r="AE13" s="319">
        <f>+VLOOKUP($E13,Hybrid!$1:$1048576,AE$2,FALSE)</f>
        <v>1210.5101259999999</v>
      </c>
      <c r="AF13" s="319">
        <f>+VLOOKUP($E13,Hybrid!$1:$1048576,AF$2,FALSE)</f>
        <v>1383.4212379999999</v>
      </c>
      <c r="AG13" s="319">
        <f>+VLOOKUP($E13,Hybrid!$1:$1048576,AG$2,FALSE)</f>
        <v>1583.0533829999999</v>
      </c>
      <c r="AH13" s="319">
        <f>+VLOOKUP($E13,Hybrid!$1:$1048576,AH$2,FALSE)</f>
        <v>1812.536709</v>
      </c>
      <c r="AI13" s="319">
        <f>+VLOOKUP($E13,Hybrid!$1:$1048576,AI$2,FALSE)</f>
        <v>2075.126925</v>
      </c>
      <c r="AJ13" s="319">
        <f>+VLOOKUP($E13,Hybrid!$1:$1048576,AJ$2,FALSE)</f>
        <v>2374.164992</v>
      </c>
      <c r="AK13" s="319">
        <f>+VLOOKUP($E13,Hybrid!$1:$1048576,AK$2,FALSE)</f>
        <v>2713.0262630000002</v>
      </c>
      <c r="AL13" s="319">
        <f>+VLOOKUP($E13,Hybrid!$1:$1048576,AL$2,FALSE)</f>
        <v>3095.0588210000001</v>
      </c>
      <c r="AM13" s="319">
        <f>+VLOOKUP($E13,Hybrid!$1:$1048576,AM$2,FALSE)</f>
        <v>3523.511317</v>
      </c>
      <c r="AN13" s="319">
        <f>+VLOOKUP($E13,Hybrid!$1:$1048576,AN$2,FALSE)</f>
        <v>4001.4512589999999</v>
      </c>
      <c r="AO13" s="319">
        <f>+VLOOKUP($E13,Hybrid!$1:$1048576,AO$2,FALSE)</f>
        <v>4531.6755290000001</v>
      </c>
    </row>
    <row r="14" spans="1:41" ht="15" customHeight="1" x14ac:dyDescent="0.25">
      <c r="A14" s="384"/>
      <c r="B14" s="383"/>
      <c r="C14" s="164"/>
      <c r="D14" s="120" t="s">
        <v>519</v>
      </c>
      <c r="E14" s="46" t="s">
        <v>341</v>
      </c>
      <c r="F14" s="320">
        <f>+VLOOKUP($E14,Hybrid!$1:$1048576,F$2,FALSE)</f>
        <v>9.8427898650000003</v>
      </c>
      <c r="G14" s="320">
        <f>+VLOOKUP($E14,Hybrid!$1:$1048576,G$2,FALSE)</f>
        <v>14.98677562</v>
      </c>
      <c r="H14" s="320">
        <f>+VLOOKUP($E14,Hybrid!$1:$1048576,H$2,FALSE)</f>
        <v>20.44188892</v>
      </c>
      <c r="I14" s="320">
        <f>+VLOOKUP($E14,Hybrid!$1:$1048576,I$2,FALSE)</f>
        <v>26.112449139999999</v>
      </c>
      <c r="J14" s="320">
        <f>+VLOOKUP($E14,Hybrid!$1:$1048576,J$2,FALSE)</f>
        <v>31.950416000000001</v>
      </c>
      <c r="K14" s="320">
        <f>+VLOOKUP($E14,Hybrid!$1:$1048576,K$2,FALSE)</f>
        <v>37.949261730000003</v>
      </c>
      <c r="L14" s="320">
        <f>+VLOOKUP($E14,Hybrid!$1:$1048576,L$2,FALSE)</f>
        <v>44.142141090000003</v>
      </c>
      <c r="M14" s="320">
        <f>+VLOOKUP($E14,Hybrid!$1:$1048576,M$2,FALSE)</f>
        <v>50.582779780000003</v>
      </c>
      <c r="N14" s="320">
        <f>+VLOOKUP($E14,Hybrid!$1:$1048576,N$2,FALSE)</f>
        <v>57.325872269999998</v>
      </c>
      <c r="O14" s="320">
        <f>+VLOOKUP($E14,Hybrid!$1:$1048576,O$2,FALSE)</f>
        <v>64.430769369999993</v>
      </c>
      <c r="P14" s="320">
        <f>+VLOOKUP($E14,Hybrid!$1:$1048576,P$2,FALSE)</f>
        <v>71.966934690000002</v>
      </c>
      <c r="Q14" s="320">
        <f>+VLOOKUP($E14,Hybrid!$1:$1048576,Q$2,FALSE)</f>
        <v>80.020459020000004</v>
      </c>
      <c r="R14" s="320">
        <f>+VLOOKUP($E14,Hybrid!$1:$1048576,R$2,FALSE)</f>
        <v>88.701914599999995</v>
      </c>
      <c r="S14" s="320">
        <f>+VLOOKUP($E14,Hybrid!$1:$1048576,S$2,FALSE)</f>
        <v>98.156257339999996</v>
      </c>
      <c r="T14" s="320">
        <f>+VLOOKUP($E14,Hybrid!$1:$1048576,T$2,FALSE)</f>
        <v>108.57594520000001</v>
      </c>
      <c r="U14" s="320">
        <f>+VLOOKUP($E14,Hybrid!$1:$1048576,U$2,FALSE)</f>
        <v>120.2190784</v>
      </c>
      <c r="V14" s="320">
        <f>+VLOOKUP($E14,Hybrid!$1:$1048576,V$2,FALSE)</f>
        <v>133.4370993</v>
      </c>
      <c r="W14" s="320">
        <f>+VLOOKUP($E14,Hybrid!$1:$1048576,W$2,FALSE)</f>
        <v>148.6682544</v>
      </c>
      <c r="X14" s="320">
        <f>+VLOOKUP($E14,Hybrid!$1:$1048576,X$2,FALSE)</f>
        <v>166.4089108</v>
      </c>
      <c r="Y14" s="320">
        <f>+VLOOKUP($E14,Hybrid!$1:$1048576,Y$2,FALSE)</f>
        <v>187.22067989999999</v>
      </c>
      <c r="Z14" s="320">
        <f>+VLOOKUP($E14,Hybrid!$1:$1048576,Z$2,FALSE)</f>
        <v>211.73773399999999</v>
      </c>
      <c r="AA14" s="320">
        <f>+VLOOKUP($E14,Hybrid!$1:$1048576,AA$2,FALSE)</f>
        <v>240.67353679999999</v>
      </c>
      <c r="AB14" s="320">
        <f>+VLOOKUP($E14,Hybrid!$1:$1048576,AB$2,FALSE)</f>
        <v>274.82690589999999</v>
      </c>
      <c r="AC14" s="320">
        <f>+VLOOKUP($E14,Hybrid!$1:$1048576,AC$2,FALSE)</f>
        <v>315.08722010000002</v>
      </c>
      <c r="AD14" s="320">
        <f>+VLOOKUP($E14,Hybrid!$1:$1048576,AD$2,FALSE)</f>
        <v>362.4384718</v>
      </c>
      <c r="AE14" s="320">
        <f>+VLOOKUP($E14,Hybrid!$1:$1048576,AE$2,FALSE)</f>
        <v>417.9617619</v>
      </c>
      <c r="AF14" s="320">
        <f>+VLOOKUP($E14,Hybrid!$1:$1048576,AF$2,FALSE)</f>
        <v>482.83575330000002</v>
      </c>
      <c r="AG14" s="320">
        <f>+VLOOKUP($E14,Hybrid!$1:$1048576,AG$2,FALSE)</f>
        <v>558.33453750000001</v>
      </c>
      <c r="AH14" s="320">
        <f>+VLOOKUP($E14,Hybrid!$1:$1048576,AH$2,FALSE)</f>
        <v>645.82233480000002</v>
      </c>
      <c r="AI14" s="320">
        <f>+VLOOKUP($E14,Hybrid!$1:$1048576,AI$2,FALSE)</f>
        <v>746.74444080000001</v>
      </c>
      <c r="AJ14" s="320">
        <f>+VLOOKUP($E14,Hybrid!$1:$1048576,AJ$2,FALSE)</f>
        <v>862.61385929999994</v>
      </c>
      <c r="AK14" s="320">
        <f>+VLOOKUP($E14,Hybrid!$1:$1048576,AK$2,FALSE)</f>
        <v>994.99314949999996</v>
      </c>
      <c r="AL14" s="320">
        <f>+VLOOKUP($E14,Hybrid!$1:$1048576,AL$2,FALSE)</f>
        <v>1145.4711460000001</v>
      </c>
      <c r="AM14" s="320">
        <f>+VLOOKUP($E14,Hybrid!$1:$1048576,AM$2,FALSE)</f>
        <v>1315.634419</v>
      </c>
      <c r="AN14" s="320">
        <f>+VLOOKUP($E14,Hybrid!$1:$1048576,AN$2,FALSE)</f>
        <v>1507.033623</v>
      </c>
      <c r="AO14" s="320">
        <f>+VLOOKUP($E14,Hybrid!$1:$1048576,AO$2,FALSE)</f>
        <v>1721.1452220000001</v>
      </c>
    </row>
    <row r="15" spans="1:41" ht="15" customHeight="1" x14ac:dyDescent="0.25">
      <c r="A15" s="384"/>
      <c r="B15" s="383"/>
      <c r="C15" s="164"/>
      <c r="D15" s="120" t="s">
        <v>520</v>
      </c>
      <c r="E15" s="46" t="s">
        <v>342</v>
      </c>
      <c r="F15" s="320">
        <f>+VLOOKUP($E15,Hybrid!$1:$1048576,F$2,FALSE)</f>
        <v>11.44571741</v>
      </c>
      <c r="G15" s="320">
        <f>+VLOOKUP($E15,Hybrid!$1:$1048576,G$2,FALSE)</f>
        <v>16.298725730000001</v>
      </c>
      <c r="H15" s="320">
        <f>+VLOOKUP($E15,Hybrid!$1:$1048576,H$2,FALSE)</f>
        <v>21.445142629999999</v>
      </c>
      <c r="I15" s="320">
        <f>+VLOOKUP($E15,Hybrid!$1:$1048576,I$2,FALSE)</f>
        <v>26.792131120000001</v>
      </c>
      <c r="J15" s="320">
        <f>+VLOOKUP($E15,Hybrid!$1:$1048576,J$2,FALSE)</f>
        <v>32.294000230000002</v>
      </c>
      <c r="K15" s="320">
        <f>+VLOOKUP($E15,Hybrid!$1:$1048576,K$2,FALSE)</f>
        <v>37.945945260000002</v>
      </c>
      <c r="L15" s="320">
        <f>+VLOOKUP($E15,Hybrid!$1:$1048576,L$2,FALSE)</f>
        <v>43.781767790000004</v>
      </c>
      <c r="M15" s="320">
        <f>+VLOOKUP($E15,Hybrid!$1:$1048576,M$2,FALSE)</f>
        <v>49.854747240000002</v>
      </c>
      <c r="N15" s="320">
        <f>+VLOOKUP($E15,Hybrid!$1:$1048576,N$2,FALSE)</f>
        <v>56.21847236</v>
      </c>
      <c r="O15" s="320">
        <f>+VLOOKUP($E15,Hybrid!$1:$1048576,O$2,FALSE)</f>
        <v>62.930440470000001</v>
      </c>
      <c r="P15" s="320">
        <f>+VLOOKUP($E15,Hybrid!$1:$1048576,P$2,FALSE)</f>
        <v>70.057372700000002</v>
      </c>
      <c r="Q15" s="320">
        <f>+VLOOKUP($E15,Hybrid!$1:$1048576,Q$2,FALSE)</f>
        <v>77.681484060000003</v>
      </c>
      <c r="R15" s="320">
        <f>+VLOOKUP($E15,Hybrid!$1:$1048576,R$2,FALSE)</f>
        <v>85.907924730000005</v>
      </c>
      <c r="S15" s="320">
        <f>+VLOOKUP($E15,Hybrid!$1:$1048576,S$2,FALSE)</f>
        <v>94.874013860000005</v>
      </c>
      <c r="T15" s="320">
        <f>+VLOOKUP($E15,Hybrid!$1:$1048576,T$2,FALSE)</f>
        <v>104.76130120000001</v>
      </c>
      <c r="U15" s="320">
        <f>+VLOOKUP($E15,Hybrid!$1:$1048576,U$2,FALSE)</f>
        <v>115.8120426</v>
      </c>
      <c r="V15" s="320">
        <f>+VLOOKUP($E15,Hybrid!$1:$1048576,V$2,FALSE)</f>
        <v>128.35424190000001</v>
      </c>
      <c r="W15" s="320">
        <f>+VLOOKUP($E15,Hybrid!$1:$1048576,W$2,FALSE)</f>
        <v>142.7937646</v>
      </c>
      <c r="X15" s="320">
        <f>+VLOOKUP($E15,Hybrid!$1:$1048576,X$2,FALSE)</f>
        <v>159.58537770000001</v>
      </c>
      <c r="Y15" s="320">
        <f>+VLOOKUP($E15,Hybrid!$1:$1048576,Y$2,FALSE)</f>
        <v>179.2376491</v>
      </c>
      <c r="Z15" s="320">
        <f>+VLOOKUP($E15,Hybrid!$1:$1048576,Z$2,FALSE)</f>
        <v>202.3178685</v>
      </c>
      <c r="AA15" s="320">
        <f>+VLOOKUP($E15,Hybrid!$1:$1048576,AA$2,FALSE)</f>
        <v>229.45618899999999</v>
      </c>
      <c r="AB15" s="320">
        <f>+VLOOKUP($E15,Hybrid!$1:$1048576,AB$2,FALSE)</f>
        <v>261.34888030000002</v>
      </c>
      <c r="AC15" s="320">
        <f>+VLOOKUP($E15,Hybrid!$1:$1048576,AC$2,FALSE)</f>
        <v>298.76051790000002</v>
      </c>
      <c r="AD15" s="320">
        <f>+VLOOKUP($E15,Hybrid!$1:$1048576,AD$2,FALSE)</f>
        <v>342.52484459999999</v>
      </c>
      <c r="AE15" s="320">
        <f>+VLOOKUP($E15,Hybrid!$1:$1048576,AE$2,FALSE)</f>
        <v>393.54397510000001</v>
      </c>
      <c r="AF15" s="320">
        <f>+VLOOKUP($E15,Hybrid!$1:$1048576,AF$2,FALSE)</f>
        <v>452.78556479999997</v>
      </c>
      <c r="AG15" s="320">
        <f>+VLOOKUP($E15,Hybrid!$1:$1048576,AG$2,FALSE)</f>
        <v>521.27754449999998</v>
      </c>
      <c r="AH15" s="320">
        <f>+VLOOKUP($E15,Hybrid!$1:$1048576,AH$2,FALSE)</f>
        <v>600.1000229</v>
      </c>
      <c r="AI15" s="320">
        <f>+VLOOKUP($E15,Hybrid!$1:$1048576,AI$2,FALSE)</f>
        <v>690.37399719999996</v>
      </c>
      <c r="AJ15" s="320">
        <f>+VLOOKUP($E15,Hybrid!$1:$1048576,AJ$2,FALSE)</f>
        <v>793.2465737</v>
      </c>
      <c r="AK15" s="320">
        <f>+VLOOKUP($E15,Hybrid!$1:$1048576,AK$2,FALSE)</f>
        <v>909.87251289999995</v>
      </c>
      <c r="AL15" s="320">
        <f>+VLOOKUP($E15,Hybrid!$1:$1048576,AL$2,FALSE)</f>
        <v>1041.3920660000001</v>
      </c>
      <c r="AM15" s="320">
        <f>+VLOOKUP($E15,Hybrid!$1:$1048576,AM$2,FALSE)</f>
        <v>1188.9052670000001</v>
      </c>
      <c r="AN15" s="320">
        <f>+VLOOKUP($E15,Hybrid!$1:$1048576,AN$2,FALSE)</f>
        <v>1353.4430850000001</v>
      </c>
      <c r="AO15" s="320">
        <f>+VLOOKUP($E15,Hybrid!$1:$1048576,AO$2,FALSE)</f>
        <v>1535.9361309999999</v>
      </c>
    </row>
    <row r="16" spans="1:41" ht="15" customHeight="1" x14ac:dyDescent="0.25">
      <c r="A16" s="384"/>
      <c r="B16" s="383"/>
      <c r="C16" s="164"/>
      <c r="D16" s="120" t="s">
        <v>521</v>
      </c>
      <c r="E16" s="46" t="s">
        <v>343</v>
      </c>
      <c r="F16" s="320">
        <f>+VLOOKUP($E16,Hybrid!$1:$1048576,F$2,FALSE)</f>
        <v>9.4015406210000005</v>
      </c>
      <c r="G16" s="320">
        <f>+VLOOKUP($E16,Hybrid!$1:$1048576,G$2,FALSE)</f>
        <v>12.69768285</v>
      </c>
      <c r="H16" s="320">
        <f>+VLOOKUP($E16,Hybrid!$1:$1048576,H$2,FALSE)</f>
        <v>16.19335895</v>
      </c>
      <c r="I16" s="320">
        <f>+VLOOKUP($E16,Hybrid!$1:$1048576,I$2,FALSE)</f>
        <v>19.823554609999999</v>
      </c>
      <c r="J16" s="320">
        <f>+VLOOKUP($E16,Hybrid!$1:$1048576,J$2,FALSE)</f>
        <v>23.556821750000001</v>
      </c>
      <c r="K16" s="320">
        <f>+VLOOKUP($E16,Hybrid!$1:$1048576,K$2,FALSE)</f>
        <v>27.39065647</v>
      </c>
      <c r="L16" s="320">
        <f>+VLOOKUP($E16,Hybrid!$1:$1048576,L$2,FALSE)</f>
        <v>31.34954905</v>
      </c>
      <c r="M16" s="320">
        <f>+VLOOKUP($E16,Hybrid!$1:$1048576,M$2,FALSE)</f>
        <v>35.47124152</v>
      </c>
      <c r="N16" s="320">
        <f>+VLOOKUP($E16,Hybrid!$1:$1048576,N$2,FALSE)</f>
        <v>39.793247970000003</v>
      </c>
      <c r="O16" s="320">
        <f>+VLOOKUP($E16,Hybrid!$1:$1048576,O$2,FALSE)</f>
        <v>44.35537171</v>
      </c>
      <c r="P16" s="320">
        <f>+VLOOKUP($E16,Hybrid!$1:$1048576,P$2,FALSE)</f>
        <v>49.203413930000004</v>
      </c>
      <c r="Q16" s="320">
        <f>+VLOOKUP($E16,Hybrid!$1:$1048576,Q$2,FALSE)</f>
        <v>54.393495029999997</v>
      </c>
      <c r="R16" s="320">
        <f>+VLOOKUP($E16,Hybrid!$1:$1048576,R$2,FALSE)</f>
        <v>59.99710151</v>
      </c>
      <c r="S16" s="320">
        <f>+VLOOKUP($E16,Hybrid!$1:$1048576,S$2,FALSE)</f>
        <v>66.107249269999997</v>
      </c>
      <c r="T16" s="320">
        <f>+VLOOKUP($E16,Hybrid!$1:$1048576,T$2,FALSE)</f>
        <v>72.846419979999993</v>
      </c>
      <c r="U16" s="320">
        <f>+VLOOKUP($E16,Hybrid!$1:$1048576,U$2,FALSE)</f>
        <v>80.377270300000006</v>
      </c>
      <c r="V16" s="320">
        <f>+VLOOKUP($E16,Hybrid!$1:$1048576,V$2,FALSE)</f>
        <v>88.91887423</v>
      </c>
      <c r="W16" s="320">
        <f>+VLOOKUP($E16,Hybrid!$1:$1048576,W$2,FALSE)</f>
        <v>98.740275030000006</v>
      </c>
      <c r="X16" s="320">
        <f>+VLOOKUP($E16,Hybrid!$1:$1048576,X$2,FALSE)</f>
        <v>110.1396676</v>
      </c>
      <c r="Y16" s="320">
        <f>+VLOOKUP($E16,Hybrid!$1:$1048576,Y$2,FALSE)</f>
        <v>123.4465984</v>
      </c>
      <c r="Z16" s="320">
        <f>+VLOOKUP($E16,Hybrid!$1:$1048576,Z$2,FALSE)</f>
        <v>139.024114</v>
      </c>
      <c r="AA16" s="320">
        <f>+VLOOKUP($E16,Hybrid!$1:$1048576,AA$2,FALSE)</f>
        <v>157.27027609999999</v>
      </c>
      <c r="AB16" s="320">
        <f>+VLOOKUP($E16,Hybrid!$1:$1048576,AB$2,FALSE)</f>
        <v>178.61896239999999</v>
      </c>
      <c r="AC16" s="320">
        <f>+VLOOKUP($E16,Hybrid!$1:$1048576,AC$2,FALSE)</f>
        <v>203.53984109999999</v>
      </c>
      <c r="AD16" s="320">
        <f>+VLOOKUP($E16,Hybrid!$1:$1048576,AD$2,FALSE)</f>
        <v>232.53736660000001</v>
      </c>
      <c r="AE16" s="320">
        <f>+VLOOKUP($E16,Hybrid!$1:$1048576,AE$2,FALSE)</f>
        <v>266.14861280000002</v>
      </c>
      <c r="AF16" s="320">
        <f>+VLOOKUP($E16,Hybrid!$1:$1048576,AF$2,FALSE)</f>
        <v>304.93974739999999</v>
      </c>
      <c r="AG16" s="320">
        <f>+VLOOKUP($E16,Hybrid!$1:$1048576,AG$2,FALSE)</f>
        <v>349.50095399999998</v>
      </c>
      <c r="AH16" s="320">
        <f>+VLOOKUP($E16,Hybrid!$1:$1048576,AH$2,FALSE)</f>
        <v>400.43962970000001</v>
      </c>
      <c r="AI16" s="320">
        <f>+VLOOKUP($E16,Hybrid!$1:$1048576,AI$2,FALSE)</f>
        <v>458.3717302</v>
      </c>
      <c r="AJ16" s="320">
        <f>+VLOOKUP($E16,Hybrid!$1:$1048576,AJ$2,FALSE)</f>
        <v>523.9111881</v>
      </c>
      <c r="AK16" s="320">
        <f>+VLOOKUP($E16,Hybrid!$1:$1048576,AK$2,FALSE)</f>
        <v>597.65742379999995</v>
      </c>
      <c r="AL16" s="320">
        <f>+VLOOKUP($E16,Hybrid!$1:$1048576,AL$2,FALSE)</f>
        <v>680.18106290000003</v>
      </c>
      <c r="AM16" s="320">
        <f>+VLOOKUP($E16,Hybrid!$1:$1048576,AM$2,FALSE)</f>
        <v>772.00810660000002</v>
      </c>
      <c r="AN16" s="320">
        <f>+VLOOKUP($E16,Hybrid!$1:$1048576,AN$2,FALSE)</f>
        <v>873.60293979999994</v>
      </c>
      <c r="AO16" s="320">
        <f>+VLOOKUP($E16,Hybrid!$1:$1048576,AO$2,FALSE)</f>
        <v>985.35070729999995</v>
      </c>
    </row>
    <row r="17" spans="1:41" ht="15" customHeight="1" x14ac:dyDescent="0.25">
      <c r="A17" s="384"/>
      <c r="B17" s="383"/>
      <c r="C17" s="164"/>
      <c r="D17" s="120" t="s">
        <v>522</v>
      </c>
      <c r="E17" s="46" t="s">
        <v>344</v>
      </c>
      <c r="F17" s="320">
        <f>+VLOOKUP($E17,Hybrid!$1:$1048576,F$2,FALSE)</f>
        <v>5.770071272</v>
      </c>
      <c r="G17" s="320">
        <f>+VLOOKUP($E17,Hybrid!$1:$1048576,G$2,FALSE)</f>
        <v>7.5615054730000004</v>
      </c>
      <c r="H17" s="320">
        <f>+VLOOKUP($E17,Hybrid!$1:$1048576,H$2,FALSE)</f>
        <v>9.4379838589999991</v>
      </c>
      <c r="I17" s="320">
        <f>+VLOOKUP($E17,Hybrid!$1:$1048576,I$2,FALSE)</f>
        <v>11.35207945</v>
      </c>
      <c r="J17" s="320">
        <f>+VLOOKUP($E17,Hybrid!$1:$1048576,J$2,FALSE)</f>
        <v>13.275194150000001</v>
      </c>
      <c r="K17" s="320">
        <f>+VLOOKUP($E17,Hybrid!$1:$1048576,K$2,FALSE)</f>
        <v>15.19295917</v>
      </c>
      <c r="L17" s="320">
        <f>+VLOOKUP($E17,Hybrid!$1:$1048576,L$2,FALSE)</f>
        <v>17.10332404</v>
      </c>
      <c r="M17" s="320">
        <f>+VLOOKUP($E17,Hybrid!$1:$1048576,M$2,FALSE)</f>
        <v>19.010938110000001</v>
      </c>
      <c r="N17" s="320">
        <f>+VLOOKUP($E17,Hybrid!$1:$1048576,N$2,FALSE)</f>
        <v>20.921141630000001</v>
      </c>
      <c r="O17" s="320">
        <f>+VLOOKUP($E17,Hybrid!$1:$1048576,O$2,FALSE)</f>
        <v>22.840063820000001</v>
      </c>
      <c r="P17" s="320">
        <f>+VLOOKUP($E17,Hybrid!$1:$1048576,P$2,FALSE)</f>
        <v>24.775194509999999</v>
      </c>
      <c r="Q17" s="320">
        <f>+VLOOKUP($E17,Hybrid!$1:$1048576,Q$2,FALSE)</f>
        <v>26.73612</v>
      </c>
      <c r="R17" s="320">
        <f>+VLOOKUP($E17,Hybrid!$1:$1048576,R$2,FALSE)</f>
        <v>28.735392220000001</v>
      </c>
      <c r="S17" s="320">
        <f>+VLOOKUP($E17,Hybrid!$1:$1048576,S$2,FALSE)</f>
        <v>30.789568280000001</v>
      </c>
      <c r="T17" s="320">
        <f>+VLOOKUP($E17,Hybrid!$1:$1048576,T$2,FALSE)</f>
        <v>32.920506150000001</v>
      </c>
      <c r="U17" s="320">
        <f>+VLOOKUP($E17,Hybrid!$1:$1048576,U$2,FALSE)</f>
        <v>35.157052210000003</v>
      </c>
      <c r="V17" s="320">
        <f>+VLOOKUP($E17,Hybrid!$1:$1048576,V$2,FALSE)</f>
        <v>37.538923269999998</v>
      </c>
      <c r="W17" s="320">
        <f>+VLOOKUP($E17,Hybrid!$1:$1048576,W$2,FALSE)</f>
        <v>40.114565859999999</v>
      </c>
      <c r="X17" s="320">
        <f>+VLOOKUP($E17,Hybrid!$1:$1048576,X$2,FALSE)</f>
        <v>42.934930999999999</v>
      </c>
      <c r="Y17" s="320">
        <f>+VLOOKUP($E17,Hybrid!$1:$1048576,Y$2,FALSE)</f>
        <v>46.053606670000001</v>
      </c>
      <c r="Z17" s="320">
        <f>+VLOOKUP($E17,Hybrid!$1:$1048576,Z$2,FALSE)</f>
        <v>49.526958950000001</v>
      </c>
      <c r="AA17" s="320">
        <f>+VLOOKUP($E17,Hybrid!$1:$1048576,AA$2,FALSE)</f>
        <v>53.41412141</v>
      </c>
      <c r="AB17" s="320">
        <f>+VLOOKUP($E17,Hybrid!$1:$1048576,AB$2,FALSE)</f>
        <v>57.776851649999998</v>
      </c>
      <c r="AC17" s="320">
        <f>+VLOOKUP($E17,Hybrid!$1:$1048576,AC$2,FALSE)</f>
        <v>62.679266990000002</v>
      </c>
      <c r="AD17" s="320">
        <f>+VLOOKUP($E17,Hybrid!$1:$1048576,AD$2,FALSE)</f>
        <v>68.187461170000006</v>
      </c>
      <c r="AE17" s="320">
        <f>+VLOOKUP($E17,Hybrid!$1:$1048576,AE$2,FALSE)</f>
        <v>74.368996670000001</v>
      </c>
      <c r="AF17" s="320">
        <f>+VLOOKUP($E17,Hybrid!$1:$1048576,AF$2,FALSE)</f>
        <v>81.292263750000004</v>
      </c>
      <c r="AG17" s="320">
        <f>+VLOOKUP($E17,Hybrid!$1:$1048576,AG$2,FALSE)</f>
        <v>89.025695900000002</v>
      </c>
      <c r="AH17" s="320">
        <f>+VLOOKUP($E17,Hybrid!$1:$1048576,AH$2,FALSE)</f>
        <v>97.636831959999995</v>
      </c>
      <c r="AI17" s="320">
        <f>+VLOOKUP($E17,Hybrid!$1:$1048576,AI$2,FALSE)</f>
        <v>107.191216</v>
      </c>
      <c r="AJ17" s="320">
        <f>+VLOOKUP($E17,Hybrid!$1:$1048576,AJ$2,FALSE)</f>
        <v>117.7511284</v>
      </c>
      <c r="AK17" s="320">
        <f>+VLOOKUP($E17,Hybrid!$1:$1048576,AK$2,FALSE)</f>
        <v>129.37414480000001</v>
      </c>
      <c r="AL17" s="320">
        <f>+VLOOKUP($E17,Hybrid!$1:$1048576,AL$2,FALSE)</f>
        <v>142.1115246</v>
      </c>
      <c r="AM17" s="320">
        <f>+VLOOKUP($E17,Hybrid!$1:$1048576,AM$2,FALSE)</f>
        <v>156.0064361</v>
      </c>
      <c r="AN17" s="320">
        <f>+VLOOKUP($E17,Hybrid!$1:$1048576,AN$2,FALSE)</f>
        <v>171.09203640000001</v>
      </c>
      <c r="AO17" s="320">
        <f>+VLOOKUP($E17,Hybrid!$1:$1048576,AO$2,FALSE)</f>
        <v>187.38943420000001</v>
      </c>
    </row>
    <row r="18" spans="1:41" ht="15" customHeight="1" x14ac:dyDescent="0.25">
      <c r="A18" s="384"/>
      <c r="B18" s="383"/>
      <c r="C18" s="164"/>
      <c r="D18" s="120" t="s">
        <v>523</v>
      </c>
      <c r="E18" s="46" t="s">
        <v>345</v>
      </c>
      <c r="F18" s="320">
        <f>+VLOOKUP($E18,Hybrid!$1:$1048576,F$2,FALSE)</f>
        <v>3.4730440960000002</v>
      </c>
      <c r="G18" s="320">
        <f>+VLOOKUP($E18,Hybrid!$1:$1048576,G$2,FALSE)</f>
        <v>4.5722154760000002</v>
      </c>
      <c r="H18" s="320">
        <f>+VLOOKUP($E18,Hybrid!$1:$1048576,H$2,FALSE)</f>
        <v>5.7140433249999996</v>
      </c>
      <c r="I18" s="320">
        <f>+VLOOKUP($E18,Hybrid!$1:$1048576,I$2,FALSE)</f>
        <v>6.8675525430000004</v>
      </c>
      <c r="J18" s="320">
        <f>+VLOOKUP($E18,Hybrid!$1:$1048576,J$2,FALSE)</f>
        <v>8.0145189620000004</v>
      </c>
      <c r="K18" s="320">
        <f>+VLOOKUP($E18,Hybrid!$1:$1048576,K$2,FALSE)</f>
        <v>9.1461110110000003</v>
      </c>
      <c r="L18" s="320">
        <f>+VLOOKUP($E18,Hybrid!$1:$1048576,L$2,FALSE)</f>
        <v>10.261243759999999</v>
      </c>
      <c r="M18" s="320">
        <f>+VLOOKUP($E18,Hybrid!$1:$1048576,M$2,FALSE)</f>
        <v>11.362807200000001</v>
      </c>
      <c r="N18" s="320">
        <f>+VLOOKUP($E18,Hybrid!$1:$1048576,N$2,FALSE)</f>
        <v>12.45393795</v>
      </c>
      <c r="O18" s="320">
        <f>+VLOOKUP($E18,Hybrid!$1:$1048576,O$2,FALSE)</f>
        <v>13.538066860000001</v>
      </c>
      <c r="P18" s="320">
        <f>+VLOOKUP($E18,Hybrid!$1:$1048576,P$2,FALSE)</f>
        <v>14.619250660000001</v>
      </c>
      <c r="Q18" s="320">
        <f>+VLOOKUP($E18,Hybrid!$1:$1048576,Q$2,FALSE)</f>
        <v>15.70257655</v>
      </c>
      <c r="R18" s="320">
        <f>+VLOOKUP($E18,Hybrid!$1:$1048576,R$2,FALSE)</f>
        <v>16.794605059999999</v>
      </c>
      <c r="S18" s="320">
        <f>+VLOOKUP($E18,Hybrid!$1:$1048576,S$2,FALSE)</f>
        <v>17.903858849999999</v>
      </c>
      <c r="T18" s="320">
        <f>+VLOOKUP($E18,Hybrid!$1:$1048576,T$2,FALSE)</f>
        <v>19.04138876</v>
      </c>
      <c r="U18" s="320">
        <f>+VLOOKUP($E18,Hybrid!$1:$1048576,U$2,FALSE)</f>
        <v>20.221467619999999</v>
      </c>
      <c r="V18" s="320">
        <f>+VLOOKUP($E18,Hybrid!$1:$1048576,V$2,FALSE)</f>
        <v>21.463368240000001</v>
      </c>
      <c r="W18" s="320">
        <f>+VLOOKUP($E18,Hybrid!$1:$1048576,W$2,FALSE)</f>
        <v>22.789836999999999</v>
      </c>
      <c r="X18" s="320">
        <f>+VLOOKUP($E18,Hybrid!$1:$1048576,X$2,FALSE)</f>
        <v>24.223509069999999</v>
      </c>
      <c r="Y18" s="320">
        <f>+VLOOKUP($E18,Hybrid!$1:$1048576,Y$2,FALSE)</f>
        <v>25.786814570000001</v>
      </c>
      <c r="Z18" s="320">
        <f>+VLOOKUP($E18,Hybrid!$1:$1048576,Z$2,FALSE)</f>
        <v>27.50190834</v>
      </c>
      <c r="AA18" s="320">
        <f>+VLOOKUP($E18,Hybrid!$1:$1048576,AA$2,FALSE)</f>
        <v>29.390532260000001</v>
      </c>
      <c r="AB18" s="320">
        <f>+VLOOKUP($E18,Hybrid!$1:$1048576,AB$2,FALSE)</f>
        <v>31.473822670000001</v>
      </c>
      <c r="AC18" s="320">
        <f>+VLOOKUP($E18,Hybrid!$1:$1048576,AC$2,FALSE)</f>
        <v>33.772074310000001</v>
      </c>
      <c r="AD18" s="320">
        <f>+VLOOKUP($E18,Hybrid!$1:$1048576,AD$2,FALSE)</f>
        <v>36.304468649999997</v>
      </c>
      <c r="AE18" s="320">
        <f>+VLOOKUP($E18,Hybrid!$1:$1048576,AE$2,FALSE)</f>
        <v>39.088771960000003</v>
      </c>
      <c r="AF18" s="320">
        <f>+VLOOKUP($E18,Hybrid!$1:$1048576,AF$2,FALSE)</f>
        <v>42.141007449999996</v>
      </c>
      <c r="AG18" s="320">
        <f>+VLOOKUP($E18,Hybrid!$1:$1048576,AG$2,FALSE)</f>
        <v>45.475105829999997</v>
      </c>
      <c r="AH18" s="320">
        <f>+VLOOKUP($E18,Hybrid!$1:$1048576,AH$2,FALSE)</f>
        <v>49.102538780000003</v>
      </c>
      <c r="AI18" s="320">
        <f>+VLOOKUP($E18,Hybrid!$1:$1048576,AI$2,FALSE)</f>
        <v>53.031940990000003</v>
      </c>
      <c r="AJ18" s="320">
        <f>+VLOOKUP($E18,Hybrid!$1:$1048576,AJ$2,FALSE)</f>
        <v>57.268726450000003</v>
      </c>
      <c r="AK18" s="320">
        <f>+VLOOKUP($E18,Hybrid!$1:$1048576,AK$2,FALSE)</f>
        <v>61.814705940000003</v>
      </c>
      <c r="AL18" s="320">
        <f>+VLOOKUP($E18,Hybrid!$1:$1048576,AL$2,FALSE)</f>
        <v>66.667713710000001</v>
      </c>
      <c r="AM18" s="320">
        <f>+VLOOKUP($E18,Hybrid!$1:$1048576,AM$2,FALSE)</f>
        <v>71.821252290000004</v>
      </c>
      <c r="AN18" s="320">
        <f>+VLOOKUP($E18,Hybrid!$1:$1048576,AN$2,FALSE)</f>
        <v>77.264166209999999</v>
      </c>
      <c r="AO18" s="320">
        <f>+VLOOKUP($E18,Hybrid!$1:$1048576,AO$2,FALSE)</f>
        <v>82.980357240000004</v>
      </c>
    </row>
    <row r="19" spans="1:41" ht="15" customHeight="1" x14ac:dyDescent="0.25">
      <c r="A19" s="384"/>
      <c r="B19" s="383"/>
      <c r="C19" s="164"/>
      <c r="D19" s="120" t="s">
        <v>524</v>
      </c>
      <c r="E19" s="46" t="s">
        <v>346</v>
      </c>
      <c r="F19" s="320">
        <f>+VLOOKUP($E19,Hybrid!$1:$1048576,F$2,FALSE)</f>
        <v>1.7251505170000001</v>
      </c>
      <c r="G19" s="320">
        <f>+VLOOKUP($E19,Hybrid!$1:$1048576,G$2,FALSE)</f>
        <v>2.244394497</v>
      </c>
      <c r="H19" s="320">
        <f>+VLOOKUP($E19,Hybrid!$1:$1048576,H$2,FALSE)</f>
        <v>2.7668950890000001</v>
      </c>
      <c r="I19" s="320">
        <f>+VLOOKUP($E19,Hybrid!$1:$1048576,I$2,FALSE)</f>
        <v>3.2740041689999999</v>
      </c>
      <c r="J19" s="320">
        <f>+VLOOKUP($E19,Hybrid!$1:$1048576,J$2,FALSE)</f>
        <v>3.7551965630000002</v>
      </c>
      <c r="K19" s="320">
        <f>+VLOOKUP($E19,Hybrid!$1:$1048576,K$2,FALSE)</f>
        <v>4.2053456369999997</v>
      </c>
      <c r="L19" s="320">
        <f>+VLOOKUP($E19,Hybrid!$1:$1048576,L$2,FALSE)</f>
        <v>4.6232034869999996</v>
      </c>
      <c r="M19" s="320">
        <f>+VLOOKUP($E19,Hybrid!$1:$1048576,M$2,FALSE)</f>
        <v>5.0095093979999996</v>
      </c>
      <c r="N19" s="320">
        <f>+VLOOKUP($E19,Hybrid!$1:$1048576,N$2,FALSE)</f>
        <v>5.3653540150000003</v>
      </c>
      <c r="O19" s="320">
        <f>+VLOOKUP($E19,Hybrid!$1:$1048576,O$2,FALSE)</f>
        <v>5.6920121210000003</v>
      </c>
      <c r="P19" s="320">
        <f>+VLOOKUP($E19,Hybrid!$1:$1048576,P$2,FALSE)</f>
        <v>5.9909231490000003</v>
      </c>
      <c r="Q19" s="320">
        <f>+VLOOKUP($E19,Hybrid!$1:$1048576,Q$2,FALSE)</f>
        <v>6.2637074889999997</v>
      </c>
      <c r="R19" s="320">
        <f>+VLOOKUP($E19,Hybrid!$1:$1048576,R$2,FALSE)</f>
        <v>6.5121891439999997</v>
      </c>
      <c r="S19" s="320">
        <f>+VLOOKUP($E19,Hybrid!$1:$1048576,S$2,FALSE)</f>
        <v>6.738415045</v>
      </c>
      <c r="T19" s="320">
        <f>+VLOOKUP($E19,Hybrid!$1:$1048576,T$2,FALSE)</f>
        <v>6.9446695040000002</v>
      </c>
      <c r="U19" s="320">
        <f>+VLOOKUP($E19,Hybrid!$1:$1048576,U$2,FALSE)</f>
        <v>7.1334857420000004</v>
      </c>
      <c r="V19" s="320">
        <f>+VLOOKUP($E19,Hybrid!$1:$1048576,V$2,FALSE)</f>
        <v>7.3079419129999996</v>
      </c>
      <c r="W19" s="320">
        <f>+VLOOKUP($E19,Hybrid!$1:$1048576,W$2,FALSE)</f>
        <v>7.4712815580000003</v>
      </c>
      <c r="X19" s="320">
        <f>+VLOOKUP($E19,Hybrid!$1:$1048576,X$2,FALSE)</f>
        <v>7.6261899179999997</v>
      </c>
      <c r="Y19" s="320">
        <f>+VLOOKUP($E19,Hybrid!$1:$1048576,Y$2,FALSE)</f>
        <v>7.7748277469999998</v>
      </c>
      <c r="Z19" s="320">
        <f>+VLOOKUP($E19,Hybrid!$1:$1048576,Z$2,FALSE)</f>
        <v>7.9188780850000002</v>
      </c>
      <c r="AA19" s="320">
        <f>+VLOOKUP($E19,Hybrid!$1:$1048576,AA$2,FALSE)</f>
        <v>8.0595840780000003</v>
      </c>
      <c r="AB19" s="320">
        <f>+VLOOKUP($E19,Hybrid!$1:$1048576,AB$2,FALSE)</f>
        <v>8.1977818669999998</v>
      </c>
      <c r="AC19" s="320">
        <f>+VLOOKUP($E19,Hybrid!$1:$1048576,AC$2,FALSE)</f>
        <v>8.333932055</v>
      </c>
      <c r="AD19" s="320">
        <f>+VLOOKUP($E19,Hybrid!$1:$1048576,AD$2,FALSE)</f>
        <v>8.4681519220000006</v>
      </c>
      <c r="AE19" s="320">
        <f>+VLOOKUP($E19,Hybrid!$1:$1048576,AE$2,FALSE)</f>
        <v>8.6002494380000005</v>
      </c>
      <c r="AF19" s="320">
        <f>+VLOOKUP($E19,Hybrid!$1:$1048576,AF$2,FALSE)</f>
        <v>8.7297594230000009</v>
      </c>
      <c r="AG19" s="320">
        <f>+VLOOKUP($E19,Hybrid!$1:$1048576,AG$2,FALSE)</f>
        <v>8.8559816930000004</v>
      </c>
      <c r="AH19" s="320">
        <f>+VLOOKUP($E19,Hybrid!$1:$1048576,AH$2,FALSE)</f>
        <v>8.9780207720000007</v>
      </c>
      <c r="AI19" s="320">
        <f>+VLOOKUP($E19,Hybrid!$1:$1048576,AI$2,FALSE)</f>
        <v>9.0948264979999998</v>
      </c>
      <c r="AJ19" s="320">
        <f>+VLOOKUP($E19,Hybrid!$1:$1048576,AJ$2,FALSE)</f>
        <v>9.2052348070000001</v>
      </c>
      <c r="AK19" s="320">
        <f>+VLOOKUP($E19,Hybrid!$1:$1048576,AK$2,FALSE)</f>
        <v>9.3080078709999992</v>
      </c>
      <c r="AL19" s="320">
        <f>+VLOOKUP($E19,Hybrid!$1:$1048576,AL$2,FALSE)</f>
        <v>9.4018728300000003</v>
      </c>
      <c r="AM19" s="320">
        <f>+VLOOKUP($E19,Hybrid!$1:$1048576,AM$2,FALSE)</f>
        <v>9.4855584250000007</v>
      </c>
      <c r="AN19" s="320">
        <f>+VLOOKUP($E19,Hybrid!$1:$1048576,AN$2,FALSE)</f>
        <v>9.5578289190000003</v>
      </c>
      <c r="AO19" s="320">
        <f>+VLOOKUP($E19,Hybrid!$1:$1048576,AO$2,FALSE)</f>
        <v>9.6175148539999995</v>
      </c>
    </row>
    <row r="20" spans="1:41" ht="15" customHeight="1" x14ac:dyDescent="0.25">
      <c r="A20" s="384"/>
      <c r="B20" s="383"/>
      <c r="C20" s="164"/>
      <c r="D20" s="120" t="s">
        <v>525</v>
      </c>
      <c r="E20" s="46" t="s">
        <v>347</v>
      </c>
      <c r="F20" s="320">
        <f>+VLOOKUP($E20,Hybrid!$1:$1048576,F$2,FALSE)</f>
        <v>3.1066862139999998</v>
      </c>
      <c r="G20" s="320">
        <f>+VLOOKUP($E20,Hybrid!$1:$1048576,G$2,FALSE)</f>
        <v>4.0702695269999998</v>
      </c>
      <c r="H20" s="320">
        <f>+VLOOKUP($E20,Hybrid!$1:$1048576,H$2,FALSE)</f>
        <v>5.0143829850000001</v>
      </c>
      <c r="I20" s="320">
        <f>+VLOOKUP($E20,Hybrid!$1:$1048576,I$2,FALSE)</f>
        <v>5.9012134720000002</v>
      </c>
      <c r="J20" s="320">
        <f>+VLOOKUP($E20,Hybrid!$1:$1048576,J$2,FALSE)</f>
        <v>6.711763382</v>
      </c>
      <c r="K20" s="320">
        <f>+VLOOKUP($E20,Hybrid!$1:$1048576,K$2,FALSE)</f>
        <v>7.4388891170000004</v>
      </c>
      <c r="L20" s="320">
        <f>+VLOOKUP($E20,Hybrid!$1:$1048576,L$2,FALSE)</f>
        <v>8.0831671870000008</v>
      </c>
      <c r="M20" s="320">
        <f>+VLOOKUP($E20,Hybrid!$1:$1048576,M$2,FALSE)</f>
        <v>8.6487843669999993</v>
      </c>
      <c r="N20" s="320">
        <f>+VLOOKUP($E20,Hybrid!$1:$1048576,N$2,FALSE)</f>
        <v>9.1404852200000004</v>
      </c>
      <c r="O20" s="320">
        <f>+VLOOKUP($E20,Hybrid!$1:$1048576,O$2,FALSE)</f>
        <v>9.5631832140000004</v>
      </c>
      <c r="P20" s="320">
        <f>+VLOOKUP($E20,Hybrid!$1:$1048576,P$2,FALSE)</f>
        <v>9.9218700230000003</v>
      </c>
      <c r="Q20" s="320">
        <f>+VLOOKUP($E20,Hybrid!$1:$1048576,Q$2,FALSE)</f>
        <v>10.221594680000001</v>
      </c>
      <c r="R20" s="320">
        <f>+VLOOKUP($E20,Hybrid!$1:$1048576,R$2,FALSE)</f>
        <v>10.467450299999999</v>
      </c>
      <c r="S20" s="320">
        <f>+VLOOKUP($E20,Hybrid!$1:$1048576,S$2,FALSE)</f>
        <v>10.66455011</v>
      </c>
      <c r="T20" s="320">
        <f>+VLOOKUP($E20,Hybrid!$1:$1048576,T$2,FALSE)</f>
        <v>10.81799124</v>
      </c>
      <c r="U20" s="320">
        <f>+VLOOKUP($E20,Hybrid!$1:$1048576,U$2,FALSE)</f>
        <v>10.932810529999999</v>
      </c>
      <c r="V20" s="320">
        <f>+VLOOKUP($E20,Hybrid!$1:$1048576,V$2,FALSE)</f>
        <v>11.014264259999999</v>
      </c>
      <c r="W20" s="320">
        <f>+VLOOKUP($E20,Hybrid!$1:$1048576,W$2,FALSE)</f>
        <v>11.06733715</v>
      </c>
      <c r="X20" s="320">
        <f>+VLOOKUP($E20,Hybrid!$1:$1048576,X$2,FALSE)</f>
        <v>11.09599064</v>
      </c>
      <c r="Y20" s="320">
        <f>+VLOOKUP($E20,Hybrid!$1:$1048576,Y$2,FALSE)</f>
        <v>11.103313999999999</v>
      </c>
      <c r="Z20" s="320">
        <f>+VLOOKUP($E20,Hybrid!$1:$1048576,Z$2,FALSE)</f>
        <v>11.09168113</v>
      </c>
      <c r="AA20" s="320">
        <f>+VLOOKUP($E20,Hybrid!$1:$1048576,AA$2,FALSE)</f>
        <v>11.062885189999999</v>
      </c>
      <c r="AB20" s="320">
        <f>+VLOOKUP($E20,Hybrid!$1:$1048576,AB$2,FALSE)</f>
        <v>11.01825519</v>
      </c>
      <c r="AC20" s="320">
        <f>+VLOOKUP($E20,Hybrid!$1:$1048576,AC$2,FALSE)</f>
        <v>10.958758449999999</v>
      </c>
      <c r="AD20" s="320">
        <f>+VLOOKUP($E20,Hybrid!$1:$1048576,AD$2,FALSE)</f>
        <v>10.885091149999999</v>
      </c>
      <c r="AE20" s="320">
        <f>+VLOOKUP($E20,Hybrid!$1:$1048576,AE$2,FALSE)</f>
        <v>10.797758099999999</v>
      </c>
      <c r="AF20" s="320">
        <f>+VLOOKUP($E20,Hybrid!$1:$1048576,AF$2,FALSE)</f>
        <v>10.697142210000001</v>
      </c>
      <c r="AG20" s="320">
        <f>+VLOOKUP($E20,Hybrid!$1:$1048576,AG$2,FALSE)</f>
        <v>10.583563829999999</v>
      </c>
      <c r="AH20" s="320">
        <f>+VLOOKUP($E20,Hybrid!$1:$1048576,AH$2,FALSE)</f>
        <v>10.457329830000001</v>
      </c>
      <c r="AI20" s="320">
        <f>+VLOOKUP($E20,Hybrid!$1:$1048576,AI$2,FALSE)</f>
        <v>10.31877289</v>
      </c>
      <c r="AJ20" s="320">
        <f>+VLOOKUP($E20,Hybrid!$1:$1048576,AJ$2,FALSE)</f>
        <v>10.168281</v>
      </c>
      <c r="AK20" s="320">
        <f>+VLOOKUP($E20,Hybrid!$1:$1048576,AK$2,FALSE)</f>
        <v>10.006317960000001</v>
      </c>
      <c r="AL20" s="320">
        <f>+VLOOKUP($E20,Hybrid!$1:$1048576,AL$2,FALSE)</f>
        <v>9.8334354479999995</v>
      </c>
      <c r="AM20" s="320">
        <f>+VLOOKUP($E20,Hybrid!$1:$1048576,AM$2,FALSE)</f>
        <v>9.6502777650000002</v>
      </c>
      <c r="AN20" s="320">
        <f>+VLOOKUP($E20,Hybrid!$1:$1048576,AN$2,FALSE)</f>
        <v>9.4575801429999995</v>
      </c>
      <c r="AO20" s="320">
        <f>+VLOOKUP($E20,Hybrid!$1:$1048576,AO$2,FALSE)</f>
        <v>9.2561619079999993</v>
      </c>
    </row>
    <row r="21" spans="1:41" s="108" customFormat="1" ht="15" customHeight="1" x14ac:dyDescent="0.25">
      <c r="A21" s="384"/>
      <c r="B21" s="383"/>
      <c r="C21" s="118" t="s">
        <v>803</v>
      </c>
      <c r="D21" s="119"/>
      <c r="E21" s="88" t="s">
        <v>348</v>
      </c>
      <c r="F21" s="319">
        <f>+VLOOKUP($E21,Hybrid!$1:$1048576,F$2,FALSE)</f>
        <v>1.9359999999999999</v>
      </c>
      <c r="G21" s="319">
        <f>+VLOOKUP($E21,Hybrid!$1:$1048576,G$2,FALSE)</f>
        <v>1.9916055779999999</v>
      </c>
      <c r="H21" s="319">
        <f>+VLOOKUP($E21,Hybrid!$1:$1048576,H$2,FALSE)</f>
        <v>2.0574011310000002</v>
      </c>
      <c r="I21" s="319">
        <f>+VLOOKUP($E21,Hybrid!$1:$1048576,I$2,FALSE)</f>
        <v>2.1285899490000002</v>
      </c>
      <c r="J21" s="319">
        <f>+VLOOKUP($E21,Hybrid!$1:$1048576,J$2,FALSE)</f>
        <v>2.2019793989999998</v>
      </c>
      <c r="K21" s="319">
        <f>+VLOOKUP($E21,Hybrid!$1:$1048576,K$2,FALSE)</f>
        <v>2.2754864349999999</v>
      </c>
      <c r="L21" s="319">
        <f>+VLOOKUP($E21,Hybrid!$1:$1048576,L$2,FALSE)</f>
        <v>2.347968431</v>
      </c>
      <c r="M21" s="319">
        <f>+VLOOKUP($E21,Hybrid!$1:$1048576,M$2,FALSE)</f>
        <v>2.4188940940000001</v>
      </c>
      <c r="N21" s="319">
        <f>+VLOOKUP($E21,Hybrid!$1:$1048576,N$2,FALSE)</f>
        <v>2.4879042729999998</v>
      </c>
      <c r="O21" s="319">
        <f>+VLOOKUP($E21,Hybrid!$1:$1048576,O$2,FALSE)</f>
        <v>2.5547407990000002</v>
      </c>
      <c r="P21" s="319">
        <f>+VLOOKUP($E21,Hybrid!$1:$1048576,P$2,FALSE)</f>
        <v>2.6192080980000001</v>
      </c>
      <c r="Q21" s="319">
        <f>+VLOOKUP($E21,Hybrid!$1:$1048576,Q$2,FALSE)</f>
        <v>2.6811463290000002</v>
      </c>
      <c r="R21" s="319">
        <f>+VLOOKUP($E21,Hybrid!$1:$1048576,R$2,FALSE)</f>
        <v>2.7404123490000001</v>
      </c>
      <c r="S21" s="319">
        <f>+VLOOKUP($E21,Hybrid!$1:$1048576,S$2,FALSE)</f>
        <v>2.796866047</v>
      </c>
      <c r="T21" s="319">
        <f>+VLOOKUP($E21,Hybrid!$1:$1048576,T$2,FALSE)</f>
        <v>2.8503601010000001</v>
      </c>
      <c r="U21" s="319">
        <f>+VLOOKUP($E21,Hybrid!$1:$1048576,U$2,FALSE)</f>
        <v>2.9007315039999999</v>
      </c>
      <c r="V21" s="319">
        <f>+VLOOKUP($E21,Hybrid!$1:$1048576,V$2,FALSE)</f>
        <v>2.9480014429999999</v>
      </c>
      <c r="W21" s="319">
        <f>+VLOOKUP($E21,Hybrid!$1:$1048576,W$2,FALSE)</f>
        <v>2.9923496369999998</v>
      </c>
      <c r="X21" s="319">
        <f>+VLOOKUP($E21,Hybrid!$1:$1048576,X$2,FALSE)</f>
        <v>3.0338620330000001</v>
      </c>
      <c r="Y21" s="319">
        <f>+VLOOKUP($E21,Hybrid!$1:$1048576,Y$2,FALSE)</f>
        <v>3.0725585679999998</v>
      </c>
      <c r="Z21" s="319">
        <f>+VLOOKUP($E21,Hybrid!$1:$1048576,Z$2,FALSE)</f>
        <v>3.1084159470000001</v>
      </c>
      <c r="AA21" s="319">
        <f>+VLOOKUP($E21,Hybrid!$1:$1048576,AA$2,FALSE)</f>
        <v>3.1413796810000001</v>
      </c>
      <c r="AB21" s="319">
        <f>+VLOOKUP($E21,Hybrid!$1:$1048576,AB$2,FALSE)</f>
        <v>3.171370027</v>
      </c>
      <c r="AC21" s="319">
        <f>+VLOOKUP($E21,Hybrid!$1:$1048576,AC$2,FALSE)</f>
        <v>3.1982848530000001</v>
      </c>
      <c r="AD21" s="319">
        <f>+VLOOKUP($E21,Hybrid!$1:$1048576,AD$2,FALSE)</f>
        <v>3.222001197</v>
      </c>
      <c r="AE21" s="319">
        <f>+VLOOKUP($E21,Hybrid!$1:$1048576,AE$2,FALSE)</f>
        <v>3.2423764400000001</v>
      </c>
      <c r="AF21" s="319">
        <f>+VLOOKUP($E21,Hybrid!$1:$1048576,AF$2,FALSE)</f>
        <v>3.2592496390000001</v>
      </c>
      <c r="AG21" s="319">
        <f>+VLOOKUP($E21,Hybrid!$1:$1048576,AG$2,FALSE)</f>
        <v>3.2724433030000002</v>
      </c>
      <c r="AH21" s="319">
        <f>+VLOOKUP($E21,Hybrid!$1:$1048576,AH$2,FALSE)</f>
        <v>3.2817658120000002</v>
      </c>
      <c r="AI21" s="319">
        <f>+VLOOKUP($E21,Hybrid!$1:$1048576,AI$2,FALSE)</f>
        <v>3.2870145860000002</v>
      </c>
      <c r="AJ21" s="319">
        <f>+VLOOKUP($E21,Hybrid!$1:$1048576,AJ$2,FALSE)</f>
        <v>3.2879800709999998</v>
      </c>
      <c r="AK21" s="319">
        <f>+VLOOKUP($E21,Hybrid!$1:$1048576,AK$2,FALSE)</f>
        <v>3.2844505700000002</v>
      </c>
      <c r="AL21" s="319">
        <f>+VLOOKUP($E21,Hybrid!$1:$1048576,AL$2,FALSE)</f>
        <v>3.2762179050000002</v>
      </c>
      <c r="AM21" s="319">
        <f>+VLOOKUP($E21,Hybrid!$1:$1048576,AM$2,FALSE)</f>
        <v>3.2630838529999999</v>
      </c>
      <c r="AN21" s="319">
        <f>+VLOOKUP($E21,Hybrid!$1:$1048576,AN$2,FALSE)</f>
        <v>3.2448672379999999</v>
      </c>
      <c r="AO21" s="319">
        <f>+VLOOKUP($E21,Hybrid!$1:$1048576,AO$2,FALSE)</f>
        <v>3.2214115080000001</v>
      </c>
    </row>
    <row r="22" spans="1:41" ht="15" customHeight="1" x14ac:dyDescent="0.25">
      <c r="A22" s="384"/>
      <c r="B22" s="383"/>
      <c r="C22" s="164"/>
      <c r="D22" s="120" t="s">
        <v>519</v>
      </c>
      <c r="E22" s="46" t="s">
        <v>349</v>
      </c>
      <c r="F22" s="320">
        <f>+VLOOKUP($E22,Hybrid!$1:$1048576,F$2,FALSE)</f>
        <v>0.42568169729999999</v>
      </c>
      <c r="G22" s="320">
        <f>+VLOOKUP($E22,Hybrid!$1:$1048576,G$2,FALSE)</f>
        <v>0.44933516569999998</v>
      </c>
      <c r="H22" s="320">
        <f>+VLOOKUP($E22,Hybrid!$1:$1048576,H$2,FALSE)</f>
        <v>0.47587941420000002</v>
      </c>
      <c r="I22" s="320">
        <f>+VLOOKUP($E22,Hybrid!$1:$1048576,I$2,FALSE)</f>
        <v>0.50407722799999999</v>
      </c>
      <c r="J22" s="320">
        <f>+VLOOKUP($E22,Hybrid!$1:$1048576,J$2,FALSE)</f>
        <v>0.53308136819999996</v>
      </c>
      <c r="K22" s="320">
        <f>+VLOOKUP($E22,Hybrid!$1:$1048576,K$2,FALSE)</f>
        <v>0.56232302369999998</v>
      </c>
      <c r="L22" s="320">
        <f>+VLOOKUP($E22,Hybrid!$1:$1048576,L$2,FALSE)</f>
        <v>0.59148356609999997</v>
      </c>
      <c r="M22" s="320">
        <f>+VLOOKUP($E22,Hybrid!$1:$1048576,M$2,FALSE)</f>
        <v>0.62040925059999996</v>
      </c>
      <c r="N22" s="320">
        <f>+VLOOKUP($E22,Hybrid!$1:$1048576,N$2,FALSE)</f>
        <v>0.64898775880000004</v>
      </c>
      <c r="O22" s="320">
        <f>+VLOOKUP($E22,Hybrid!$1:$1048576,O$2,FALSE)</f>
        <v>0.67713271480000004</v>
      </c>
      <c r="P22" s="320">
        <f>+VLOOKUP($E22,Hybrid!$1:$1048576,P$2,FALSE)</f>
        <v>0.70477498770000002</v>
      </c>
      <c r="Q22" s="320">
        <f>+VLOOKUP($E22,Hybrid!$1:$1048576,Q$2,FALSE)</f>
        <v>0.73185591490000002</v>
      </c>
      <c r="R22" s="320">
        <f>+VLOOKUP($E22,Hybrid!$1:$1048576,R$2,FALSE)</f>
        <v>0.75832209910000004</v>
      </c>
      <c r="S22" s="320">
        <f>+VLOOKUP($E22,Hybrid!$1:$1048576,S$2,FALSE)</f>
        <v>0.78412142839999999</v>
      </c>
      <c r="T22" s="320">
        <f>+VLOOKUP($E22,Hybrid!$1:$1048576,T$2,FALSE)</f>
        <v>0.80919991300000005</v>
      </c>
      <c r="U22" s="320">
        <f>+VLOOKUP($E22,Hybrid!$1:$1048576,U$2,FALSE)</f>
        <v>0.83349889870000005</v>
      </c>
      <c r="V22" s="320">
        <f>+VLOOKUP($E22,Hybrid!$1:$1048576,V$2,FALSE)</f>
        <v>0.85701923759999998</v>
      </c>
      <c r="W22" s="320">
        <f>+VLOOKUP($E22,Hybrid!$1:$1048576,W$2,FALSE)</f>
        <v>0.87981092790000004</v>
      </c>
      <c r="X22" s="320">
        <f>+VLOOKUP($E22,Hybrid!$1:$1048576,X$2,FALSE)</f>
        <v>0.90188914539999998</v>
      </c>
      <c r="Y22" s="320">
        <f>+VLOOKUP($E22,Hybrid!$1:$1048576,Y$2,FALSE)</f>
        <v>0.9232448379</v>
      </c>
      <c r="Z22" s="320">
        <f>+VLOOKUP($E22,Hybrid!$1:$1048576,Z$2,FALSE)</f>
        <v>0.94385284790000001</v>
      </c>
      <c r="AA22" s="320">
        <f>+VLOOKUP($E22,Hybrid!$1:$1048576,AA$2,FALSE)</f>
        <v>0.96367609990000003</v>
      </c>
      <c r="AB22" s="320">
        <f>+VLOOKUP($E22,Hybrid!$1:$1048576,AB$2,FALSE)</f>
        <v>0.98266755900000002</v>
      </c>
      <c r="AC22" s="320">
        <f>+VLOOKUP($E22,Hybrid!$1:$1048576,AC$2,FALSE)</f>
        <v>1.0007710569999999</v>
      </c>
      <c r="AD22" s="320">
        <f>+VLOOKUP($E22,Hybrid!$1:$1048576,AD$2,FALSE)</f>
        <v>1.017921608</v>
      </c>
      <c r="AE22" s="320">
        <f>+VLOOKUP($E22,Hybrid!$1:$1048576,AE$2,FALSE)</f>
        <v>1.0340455669999999</v>
      </c>
      <c r="AF22" s="320">
        <f>+VLOOKUP($E22,Hybrid!$1:$1048576,AF$2,FALSE)</f>
        <v>1.04906082</v>
      </c>
      <c r="AG22" s="320">
        <f>+VLOOKUP($E22,Hybrid!$1:$1048576,AG$2,FALSE)</f>
        <v>1.0628771379999999</v>
      </c>
      <c r="AH22" s="320">
        <f>+VLOOKUP($E22,Hybrid!$1:$1048576,AH$2,FALSE)</f>
        <v>1.075396789</v>
      </c>
      <c r="AI22" s="320">
        <f>+VLOOKUP($E22,Hybrid!$1:$1048576,AI$2,FALSE)</f>
        <v>1.086515452</v>
      </c>
      <c r="AJ22" s="320">
        <f>+VLOOKUP($E22,Hybrid!$1:$1048576,AJ$2,FALSE)</f>
        <v>1.0961235090000001</v>
      </c>
      <c r="AK22" s="320">
        <f>+VLOOKUP($E22,Hybrid!$1:$1048576,AK$2,FALSE)</f>
        <v>1.1041077189999999</v>
      </c>
      <c r="AL22" s="320">
        <f>+VLOOKUP($E22,Hybrid!$1:$1048576,AL$2,FALSE)</f>
        <v>1.110353323</v>
      </c>
      <c r="AM22" s="320">
        <f>+VLOOKUP($E22,Hybrid!$1:$1048576,AM$2,FALSE)</f>
        <v>1.1147465519999999</v>
      </c>
      <c r="AN22" s="320">
        <f>+VLOOKUP($E22,Hybrid!$1:$1048576,AN$2,FALSE)</f>
        <v>1.1171775319999999</v>
      </c>
      <c r="AO22" s="320">
        <f>+VLOOKUP($E22,Hybrid!$1:$1048576,AO$2,FALSE)</f>
        <v>1.1175435330000001</v>
      </c>
    </row>
    <row r="23" spans="1:41" ht="15" customHeight="1" x14ac:dyDescent="0.25">
      <c r="A23" s="384"/>
      <c r="B23" s="383"/>
      <c r="C23" s="164"/>
      <c r="D23" s="120" t="s">
        <v>520</v>
      </c>
      <c r="E23" s="46" t="s">
        <v>350</v>
      </c>
      <c r="F23" s="320">
        <f>+VLOOKUP($E23,Hybrid!$1:$1048576,F$2,FALSE)</f>
        <v>0.49500522540000003</v>
      </c>
      <c r="G23" s="320">
        <f>+VLOOKUP($E23,Hybrid!$1:$1048576,G$2,FALSE)</f>
        <v>0.51226023529999998</v>
      </c>
      <c r="H23" s="320">
        <f>+VLOOKUP($E23,Hybrid!$1:$1048576,H$2,FALSE)</f>
        <v>0.53252768289999997</v>
      </c>
      <c r="I23" s="320">
        <f>+VLOOKUP($E23,Hybrid!$1:$1048576,I$2,FALSE)</f>
        <v>0.55457425149999995</v>
      </c>
      <c r="J23" s="320">
        <f>+VLOOKUP($E23,Hybrid!$1:$1048576,J$2,FALSE)</f>
        <v>0.57755324689999998</v>
      </c>
      <c r="K23" s="320">
        <f>+VLOOKUP($E23,Hybrid!$1:$1048576,K$2,FALSE)</f>
        <v>0.60089213809999997</v>
      </c>
      <c r="L23" s="320">
        <f>+VLOOKUP($E23,Hybrid!$1:$1048576,L$2,FALSE)</f>
        <v>0.62426223319999996</v>
      </c>
      <c r="M23" s="320">
        <f>+VLOOKUP($E23,Hybrid!$1:$1048576,M$2,FALSE)</f>
        <v>0.64749666139999995</v>
      </c>
      <c r="N23" s="320">
        <f>+VLOOKUP($E23,Hybrid!$1:$1048576,N$2,FALSE)</f>
        <v>0.67047190050000005</v>
      </c>
      <c r="O23" s="320">
        <f>+VLOOKUP($E23,Hybrid!$1:$1048576,O$2,FALSE)</f>
        <v>0.69309085189999997</v>
      </c>
      <c r="P23" s="320">
        <f>+VLOOKUP($E23,Hybrid!$1:$1048576,P$2,FALSE)</f>
        <v>0.71527340210000001</v>
      </c>
      <c r="Q23" s="320">
        <f>+VLOOKUP($E23,Hybrid!$1:$1048576,Q$2,FALSE)</f>
        <v>0.73694937849999997</v>
      </c>
      <c r="R23" s="320">
        <f>+VLOOKUP($E23,Hybrid!$1:$1048576,R$2,FALSE)</f>
        <v>0.75805330260000003</v>
      </c>
      <c r="S23" s="320">
        <f>+VLOOKUP($E23,Hybrid!$1:$1048576,S$2,FALSE)</f>
        <v>0.77852045520000002</v>
      </c>
      <c r="T23" s="320">
        <f>+VLOOKUP($E23,Hybrid!$1:$1048576,T$2,FALSE)</f>
        <v>0.79828378960000002</v>
      </c>
      <c r="U23" s="320">
        <f>+VLOOKUP($E23,Hybrid!$1:$1048576,U$2,FALSE)</f>
        <v>0.81727124470000001</v>
      </c>
      <c r="V23" s="320">
        <f>+VLOOKUP($E23,Hybrid!$1:$1048576,V$2,FALSE)</f>
        <v>0.83546578540000005</v>
      </c>
      <c r="W23" s="320">
        <f>+VLOOKUP($E23,Hybrid!$1:$1048576,W$2,FALSE)</f>
        <v>0.85289806000000001</v>
      </c>
      <c r="X23" s="320">
        <f>+VLOOKUP($E23,Hybrid!$1:$1048576,X$2,FALSE)</f>
        <v>0.86957021209999996</v>
      </c>
      <c r="Y23" s="320">
        <f>+VLOOKUP($E23,Hybrid!$1:$1048576,Y$2,FALSE)</f>
        <v>0.88546447849999999</v>
      </c>
      <c r="Z23" s="320">
        <f>+VLOOKUP($E23,Hybrid!$1:$1048576,Z$2,FALSE)</f>
        <v>0.90055013559999997</v>
      </c>
      <c r="AA23" s="320">
        <f>+VLOOKUP($E23,Hybrid!$1:$1048576,AA$2,FALSE)</f>
        <v>0.91478716169999996</v>
      </c>
      <c r="AB23" s="320">
        <f>+VLOOKUP($E23,Hybrid!$1:$1048576,AB$2,FALSE)</f>
        <v>0.92812804270000004</v>
      </c>
      <c r="AC23" s="320">
        <f>+VLOOKUP($E23,Hybrid!$1:$1048576,AC$2,FALSE)</f>
        <v>0.94051865629999998</v>
      </c>
      <c r="AD23" s="320">
        <f>+VLOOKUP($E23,Hybrid!$1:$1048576,AD$2,FALSE)</f>
        <v>0.95189876699999998</v>
      </c>
      <c r="AE23" s="320">
        <f>+VLOOKUP($E23,Hybrid!$1:$1048576,AE$2,FALSE)</f>
        <v>0.96220242659999999</v>
      </c>
      <c r="AF23" s="320">
        <f>+VLOOKUP($E23,Hybrid!$1:$1048576,AF$2,FALSE)</f>
        <v>0.97135844280000005</v>
      </c>
      <c r="AG23" s="320">
        <f>+VLOOKUP($E23,Hybrid!$1:$1048576,AG$2,FALSE)</f>
        <v>0.97929101659999995</v>
      </c>
      <c r="AH23" s="320">
        <f>+VLOOKUP($E23,Hybrid!$1:$1048576,AH$2,FALSE)</f>
        <v>0.98592060800000003</v>
      </c>
      <c r="AI23" s="320">
        <f>+VLOOKUP($E23,Hybrid!$1:$1048576,AI$2,FALSE)</f>
        <v>0.99116507129999998</v>
      </c>
      <c r="AJ23" s="320">
        <f>+VLOOKUP($E23,Hybrid!$1:$1048576,AJ$2,FALSE)</f>
        <v>0.99494107899999995</v>
      </c>
      <c r="AK23" s="320">
        <f>+VLOOKUP($E23,Hybrid!$1:$1048576,AK$2,FALSE)</f>
        <v>0.99716584399999997</v>
      </c>
      <c r="AL23" s="320">
        <f>+VLOOKUP($E23,Hybrid!$1:$1048576,AL$2,FALSE)</f>
        <v>0.99775912789999999</v>
      </c>
      <c r="AM23" s="320">
        <f>+VLOOKUP($E23,Hybrid!$1:$1048576,AM$2,FALSE)</f>
        <v>0.99664551010000002</v>
      </c>
      <c r="AN23" s="320">
        <f>+VLOOKUP($E23,Hybrid!$1:$1048576,AN$2,FALSE)</f>
        <v>0.99375687069999996</v>
      </c>
      <c r="AO23" s="320">
        <f>+VLOOKUP($E23,Hybrid!$1:$1048576,AO$2,FALSE)</f>
        <v>0.98903501650000003</v>
      </c>
    </row>
    <row r="24" spans="1:41" ht="15" customHeight="1" x14ac:dyDescent="0.25">
      <c r="A24" s="384"/>
      <c r="B24" s="383"/>
      <c r="C24" s="164"/>
      <c r="D24" s="120" t="s">
        <v>521</v>
      </c>
      <c r="E24" s="46" t="s">
        <v>351</v>
      </c>
      <c r="F24" s="320">
        <f>+VLOOKUP($E24,Hybrid!$1:$1048576,F$2,FALSE)</f>
        <v>0.40659851759999999</v>
      </c>
      <c r="G24" s="320">
        <f>+VLOOKUP($E24,Hybrid!$1:$1048576,G$2,FALSE)</f>
        <v>0.41450489509999999</v>
      </c>
      <c r="H24" s="320">
        <f>+VLOOKUP($E24,Hybrid!$1:$1048576,H$2,FALSE)</f>
        <v>0.42467781360000001</v>
      </c>
      <c r="I24" s="320">
        <f>+VLOOKUP($E24,Hybrid!$1:$1048576,I$2,FALSE)</f>
        <v>0.43623168080000002</v>
      </c>
      <c r="J24" s="320">
        <f>+VLOOKUP($E24,Hybrid!$1:$1048576,J$2,FALSE)</f>
        <v>0.44855712269999998</v>
      </c>
      <c r="K24" s="320">
        <f>+VLOOKUP($E24,Hybrid!$1:$1048576,K$2,FALSE)</f>
        <v>0.46123940009999997</v>
      </c>
      <c r="L24" s="320">
        <f>+VLOOKUP($E24,Hybrid!$1:$1048576,L$2,FALSE)</f>
        <v>0.47403519</v>
      </c>
      <c r="M24" s="320">
        <f>+VLOOKUP($E24,Hybrid!$1:$1048576,M$2,FALSE)</f>
        <v>0.48681568390000002</v>
      </c>
      <c r="N24" s="320">
        <f>+VLOOKUP($E24,Hybrid!$1:$1048576,N$2,FALSE)</f>
        <v>0.49948458439999999</v>
      </c>
      <c r="O24" s="320">
        <f>+VLOOKUP($E24,Hybrid!$1:$1048576,O$2,FALSE)</f>
        <v>0.51196499689999997</v>
      </c>
      <c r="P24" s="320">
        <f>+VLOOKUP($E24,Hybrid!$1:$1048576,P$2,FALSE)</f>
        <v>0.52419217389999995</v>
      </c>
      <c r="Q24" s="320">
        <f>+VLOOKUP($E24,Hybrid!$1:$1048576,Q$2,FALSE)</f>
        <v>0.53610829790000003</v>
      </c>
      <c r="R24" s="320">
        <f>+VLOOKUP($E24,Hybrid!$1:$1048576,R$2,FALSE)</f>
        <v>0.54765870569999997</v>
      </c>
      <c r="S24" s="320">
        <f>+VLOOKUP($E24,Hybrid!$1:$1048576,S$2,FALSE)</f>
        <v>0.55878912010000004</v>
      </c>
      <c r="T24" s="320">
        <f>+VLOOKUP($E24,Hybrid!$1:$1048576,T$2,FALSE)</f>
        <v>0.5694435162</v>
      </c>
      <c r="U24" s="320">
        <f>+VLOOKUP($E24,Hybrid!$1:$1048576,U$2,FALSE)</f>
        <v>0.57956229820000005</v>
      </c>
      <c r="V24" s="320">
        <f>+VLOOKUP($E24,Hybrid!$1:$1048576,V$2,FALSE)</f>
        <v>0.58912284820000005</v>
      </c>
      <c r="W24" s="320">
        <f>+VLOOKUP($E24,Hybrid!$1:$1048576,W$2,FALSE)</f>
        <v>0.5981360952</v>
      </c>
      <c r="X24" s="320">
        <f>+VLOOKUP($E24,Hybrid!$1:$1048576,X$2,FALSE)</f>
        <v>0.60659660650000002</v>
      </c>
      <c r="Y24" s="320">
        <f>+VLOOKUP($E24,Hybrid!$1:$1048576,Y$2,FALSE)</f>
        <v>0.61448750770000005</v>
      </c>
      <c r="Z24" s="320">
        <f>+VLOOKUP($E24,Hybrid!$1:$1048576,Z$2,FALSE)</f>
        <v>0.62178472299999998</v>
      </c>
      <c r="AA24" s="320">
        <f>+VLOOKUP($E24,Hybrid!$1:$1048576,AA$2,FALSE)</f>
        <v>0.62845926100000005</v>
      </c>
      <c r="AB24" s="320">
        <f>+VLOOKUP($E24,Hybrid!$1:$1048576,AB$2,FALSE)</f>
        <v>0.63447839289999997</v>
      </c>
      <c r="AC24" s="320">
        <f>+VLOOKUP($E24,Hybrid!$1:$1048576,AC$2,FALSE)</f>
        <v>0.63980629440000003</v>
      </c>
      <c r="AD24" s="320">
        <f>+VLOOKUP($E24,Hybrid!$1:$1048576,AD$2,FALSE)</f>
        <v>0.644404474</v>
      </c>
      <c r="AE24" s="320">
        <f>+VLOOKUP($E24,Hybrid!$1:$1048576,AE$2,FALSE)</f>
        <v>0.64823216500000003</v>
      </c>
      <c r="AF24" s="320">
        <f>+VLOOKUP($E24,Hybrid!$1:$1048576,AF$2,FALSE)</f>
        <v>0.6512467757</v>
      </c>
      <c r="AG24" s="320">
        <f>+VLOOKUP($E24,Hybrid!$1:$1048576,AG$2,FALSE)</f>
        <v>0.65340445079999998</v>
      </c>
      <c r="AH24" s="320">
        <f>+VLOOKUP($E24,Hybrid!$1:$1048576,AH$2,FALSE)</f>
        <v>0.65466077290000002</v>
      </c>
      <c r="AI24" s="320">
        <f>+VLOOKUP($E24,Hybrid!$1:$1048576,AI$2,FALSE)</f>
        <v>0.65497161780000002</v>
      </c>
      <c r="AJ24" s="320">
        <f>+VLOOKUP($E24,Hybrid!$1:$1048576,AJ$2,FALSE)</f>
        <v>0.65429416220000003</v>
      </c>
      <c r="AK24" s="320">
        <f>+VLOOKUP($E24,Hybrid!$1:$1048576,AK$2,FALSE)</f>
        <v>0.65258803860000003</v>
      </c>
      <c r="AL24" s="320">
        <f>+VLOOKUP($E24,Hybrid!$1:$1048576,AL$2,FALSE)</f>
        <v>0.64981661390000001</v>
      </c>
      <c r="AM24" s="320">
        <f>+VLOOKUP($E24,Hybrid!$1:$1048576,AM$2,FALSE)</f>
        <v>0.64594836470000006</v>
      </c>
      <c r="AN24" s="320">
        <f>+VLOOKUP($E24,Hybrid!$1:$1048576,AN$2,FALSE)</f>
        <v>0.64095830639999996</v>
      </c>
      <c r="AO24" s="320">
        <f>+VLOOKUP($E24,Hybrid!$1:$1048576,AO$2,FALSE)</f>
        <v>0.63482942539999998</v>
      </c>
    </row>
    <row r="25" spans="1:41" ht="15" customHeight="1" x14ac:dyDescent="0.25">
      <c r="A25" s="384"/>
      <c r="B25" s="383"/>
      <c r="C25" s="164"/>
      <c r="D25" s="120" t="s">
        <v>522</v>
      </c>
      <c r="E25" s="46" t="s">
        <v>352</v>
      </c>
      <c r="F25" s="320">
        <f>+VLOOKUP($E25,Hybrid!$1:$1048576,F$2,FALSE)</f>
        <v>0.2495444651</v>
      </c>
      <c r="G25" s="320">
        <f>+VLOOKUP($E25,Hybrid!$1:$1048576,G$2,FALSE)</f>
        <v>0.25231484729999998</v>
      </c>
      <c r="H25" s="320">
        <f>+VLOOKUP($E25,Hybrid!$1:$1048576,H$2,FALSE)</f>
        <v>0.25626929209999999</v>
      </c>
      <c r="I25" s="320">
        <f>+VLOOKUP($E25,Hybrid!$1:$1048576,I$2,FALSE)</f>
        <v>0.26087537430000002</v>
      </c>
      <c r="J25" s="320">
        <f>+VLOOKUP($E25,Hybrid!$1:$1048576,J$2,FALSE)</f>
        <v>0.26577440320000001</v>
      </c>
      <c r="K25" s="320">
        <f>+VLOOKUP($E25,Hybrid!$1:$1048576,K$2,FALSE)</f>
        <v>0.27072765720000003</v>
      </c>
      <c r="L25" s="320">
        <f>+VLOOKUP($E25,Hybrid!$1:$1048576,L$2,FALSE)</f>
        <v>0.2755970888</v>
      </c>
      <c r="M25" s="320">
        <f>+VLOOKUP($E25,Hybrid!$1:$1048576,M$2,FALSE)</f>
        <v>0.28031070759999999</v>
      </c>
      <c r="N25" s="320">
        <f>+VLOOKUP($E25,Hybrid!$1:$1048576,N$2,FALSE)</f>
        <v>0.28481691539999998</v>
      </c>
      <c r="O25" s="320">
        <f>+VLOOKUP($E25,Hybrid!$1:$1048576,O$2,FALSE)</f>
        <v>0.28907613640000002</v>
      </c>
      <c r="P25" s="320">
        <f>+VLOOKUP($E25,Hybrid!$1:$1048576,P$2,FALSE)</f>
        <v>0.29305639220000002</v>
      </c>
      <c r="Q25" s="320">
        <f>+VLOOKUP($E25,Hybrid!$1:$1048576,Q$2,FALSE)</f>
        <v>0.29673038730000001</v>
      </c>
      <c r="R25" s="320">
        <f>+VLOOKUP($E25,Hybrid!$1:$1048576,R$2,FALSE)</f>
        <v>0.30007357600000001</v>
      </c>
      <c r="S25" s="320">
        <f>+VLOOKUP($E25,Hybrid!$1:$1048576,S$2,FALSE)</f>
        <v>0.30306288310000001</v>
      </c>
      <c r="T25" s="320">
        <f>+VLOOKUP($E25,Hybrid!$1:$1048576,T$2,FALSE)</f>
        <v>0.30567585050000001</v>
      </c>
      <c r="U25" s="320">
        <f>+VLOOKUP($E25,Hybrid!$1:$1048576,U$2,FALSE)</f>
        <v>0.30789004790000002</v>
      </c>
      <c r="V25" s="320">
        <f>+VLOOKUP($E25,Hybrid!$1:$1048576,V$2,FALSE)</f>
        <v>0.30970231990000002</v>
      </c>
      <c r="W25" s="320">
        <f>+VLOOKUP($E25,Hybrid!$1:$1048576,W$2,FALSE)</f>
        <v>0.31112699659999998</v>
      </c>
      <c r="X25" s="320">
        <f>+VLOOKUP($E25,Hybrid!$1:$1048576,X$2,FALSE)</f>
        <v>0.3121727104</v>
      </c>
      <c r="Y25" s="320">
        <f>+VLOOKUP($E25,Hybrid!$1:$1048576,Y$2,FALSE)</f>
        <v>0.31284445999999999</v>
      </c>
      <c r="Z25" s="320">
        <f>+VLOOKUP($E25,Hybrid!$1:$1048576,Z$2,FALSE)</f>
        <v>0.31314550299999999</v>
      </c>
      <c r="AA25" s="320">
        <f>+VLOOKUP($E25,Hybrid!$1:$1048576,AA$2,FALSE)</f>
        <v>0.31307838389999998</v>
      </c>
      <c r="AB25" s="320">
        <f>+VLOOKUP($E25,Hybrid!$1:$1048576,AB$2,FALSE)</f>
        <v>0.31264544919999998</v>
      </c>
      <c r="AC25" s="320">
        <f>+VLOOKUP($E25,Hybrid!$1:$1048576,AC$2,FALSE)</f>
        <v>0.31184909459999999</v>
      </c>
      <c r="AD25" s="320">
        <f>+VLOOKUP($E25,Hybrid!$1:$1048576,AD$2,FALSE)</f>
        <v>0.31069188349999999</v>
      </c>
      <c r="AE25" s="320">
        <f>+VLOOKUP($E25,Hybrid!$1:$1048576,AE$2,FALSE)</f>
        <v>0.30917661140000002</v>
      </c>
      <c r="AF25" s="320">
        <f>+VLOOKUP($E25,Hybrid!$1:$1048576,AF$2,FALSE)</f>
        <v>0.3073063513</v>
      </c>
      <c r="AG25" s="320">
        <f>+VLOOKUP($E25,Hybrid!$1:$1048576,AG$2,FALSE)</f>
        <v>0.30508449850000002</v>
      </c>
      <c r="AH25" s="320">
        <f>+VLOOKUP($E25,Hybrid!$1:$1048576,AH$2,FALSE)</f>
        <v>0.30251482159999998</v>
      </c>
      <c r="AI25" s="320">
        <f>+VLOOKUP($E25,Hybrid!$1:$1048576,AI$2,FALSE)</f>
        <v>0.29960152220000003</v>
      </c>
      <c r="AJ25" s="320">
        <f>+VLOOKUP($E25,Hybrid!$1:$1048576,AJ$2,FALSE)</f>
        <v>0.29634930250000002</v>
      </c>
      <c r="AK25" s="320">
        <f>+VLOOKUP($E25,Hybrid!$1:$1048576,AK$2,FALSE)</f>
        <v>0.29276344180000002</v>
      </c>
      <c r="AL25" s="320">
        <f>+VLOOKUP($E25,Hybrid!$1:$1048576,AL$2,FALSE)</f>
        <v>0.28884987909999998</v>
      </c>
      <c r="AM25" s="320">
        <f>+VLOOKUP($E25,Hybrid!$1:$1048576,AM$2,FALSE)</f>
        <v>0.28461530429999998</v>
      </c>
      <c r="AN25" s="320">
        <f>+VLOOKUP($E25,Hybrid!$1:$1048576,AN$2,FALSE)</f>
        <v>0.28006725609999999</v>
      </c>
      <c r="AO25" s="320">
        <f>+VLOOKUP($E25,Hybrid!$1:$1048576,AO$2,FALSE)</f>
        <v>0.2752142286</v>
      </c>
    </row>
    <row r="26" spans="1:41" ht="15" customHeight="1" x14ac:dyDescent="0.25">
      <c r="A26" s="384"/>
      <c r="B26" s="383"/>
      <c r="C26" s="164"/>
      <c r="D26" s="120" t="s">
        <v>523</v>
      </c>
      <c r="E26" s="46" t="s">
        <v>353</v>
      </c>
      <c r="F26" s="320">
        <f>+VLOOKUP($E26,Hybrid!$1:$1048576,F$2,FALSE)</f>
        <v>0.15020246549999999</v>
      </c>
      <c r="G26" s="320">
        <f>+VLOOKUP($E26,Hybrid!$1:$1048576,G$2,FALSE)</f>
        <v>0.15205803779999999</v>
      </c>
      <c r="H26" s="320">
        <f>+VLOOKUP($E26,Hybrid!$1:$1048576,H$2,FALSE)</f>
        <v>0.15453801219999999</v>
      </c>
      <c r="I26" s="320">
        <f>+VLOOKUP($E26,Hybrid!$1:$1048576,I$2,FALSE)</f>
        <v>0.15729786309999999</v>
      </c>
      <c r="J26" s="320">
        <f>+VLOOKUP($E26,Hybrid!$1:$1048576,J$2,FALSE)</f>
        <v>0.1601114521</v>
      </c>
      <c r="K26" s="320">
        <f>+VLOOKUP($E26,Hybrid!$1:$1048576,K$2,FALSE)</f>
        <v>0.1628329332</v>
      </c>
      <c r="L26" s="320">
        <f>+VLOOKUP($E26,Hybrid!$1:$1048576,L$2,FALSE)</f>
        <v>0.16538125870000001</v>
      </c>
      <c r="M26" s="320">
        <f>+VLOOKUP($E26,Hybrid!$1:$1048576,M$2,FALSE)</f>
        <v>0.16771728020000001</v>
      </c>
      <c r="N26" s="320">
        <f>+VLOOKUP($E26,Hybrid!$1:$1048576,N$2,FALSE)</f>
        <v>0.16981554709999999</v>
      </c>
      <c r="O26" s="320">
        <f>+VLOOKUP($E26,Hybrid!$1:$1048576,O$2,FALSE)</f>
        <v>0.1716584864</v>
      </c>
      <c r="P26" s="320">
        <f>+VLOOKUP($E26,Hybrid!$1:$1048576,P$2,FALSE)</f>
        <v>0.17323339930000001</v>
      </c>
      <c r="Q26" s="320">
        <f>+VLOOKUP($E26,Hybrid!$1:$1048576,Q$2,FALSE)</f>
        <v>0.1745305919</v>
      </c>
      <c r="R26" s="320">
        <f>+VLOOKUP($E26,Hybrid!$1:$1048576,R$2,FALSE)</f>
        <v>0.17554220109999999</v>
      </c>
      <c r="S26" s="320">
        <f>+VLOOKUP($E26,Hybrid!$1:$1048576,S$2,FALSE)</f>
        <v>0.17626146009999999</v>
      </c>
      <c r="T26" s="320">
        <f>+VLOOKUP($E26,Hybrid!$1:$1048576,T$2,FALSE)</f>
        <v>0.17668224090000001</v>
      </c>
      <c r="U26" s="320">
        <f>+VLOOKUP($E26,Hybrid!$1:$1048576,U$2,FALSE)</f>
        <v>0.17679876850000001</v>
      </c>
      <c r="V26" s="320">
        <f>+VLOOKUP($E26,Hybrid!$1:$1048576,V$2,FALSE)</f>
        <v>0.17661580239999999</v>
      </c>
      <c r="W26" s="320">
        <f>+VLOOKUP($E26,Hybrid!$1:$1048576,W$2,FALSE)</f>
        <v>0.17614766870000001</v>
      </c>
      <c r="X26" s="320">
        <f>+VLOOKUP($E26,Hybrid!$1:$1048576,X$2,FALSE)</f>
        <v>0.17540622980000001</v>
      </c>
      <c r="Y26" s="320">
        <f>+VLOOKUP($E26,Hybrid!$1:$1048576,Y$2,FALSE)</f>
        <v>0.1744018108</v>
      </c>
      <c r="Z26" s="320">
        <f>+VLOOKUP($E26,Hybrid!$1:$1048576,Z$2,FALSE)</f>
        <v>0.17314411430000001</v>
      </c>
      <c r="AA26" s="320">
        <f>+VLOOKUP($E26,Hybrid!$1:$1048576,AA$2,FALSE)</f>
        <v>0.1716427133</v>
      </c>
      <c r="AB26" s="320">
        <f>+VLOOKUP($E26,Hybrid!$1:$1048576,AB$2,FALSE)</f>
        <v>0.1699072875</v>
      </c>
      <c r="AC26" s="320">
        <f>+VLOOKUP($E26,Hybrid!$1:$1048576,AC$2,FALSE)</f>
        <v>0.1679477247</v>
      </c>
      <c r="AD26" s="320">
        <f>+VLOOKUP($E26,Hybrid!$1:$1048576,AD$2,FALSE)</f>
        <v>0.16577415570000001</v>
      </c>
      <c r="AE26" s="320">
        <f>+VLOOKUP($E26,Hybrid!$1:$1048576,AE$2,FALSE)</f>
        <v>0.16339696109999999</v>
      </c>
      <c r="AF26" s="320">
        <f>+VLOOKUP($E26,Hybrid!$1:$1048576,AF$2,FALSE)</f>
        <v>0.16082676630000001</v>
      </c>
      <c r="AG26" s="320">
        <f>+VLOOKUP($E26,Hybrid!$1:$1048576,AG$2,FALSE)</f>
        <v>0.15807443390000001</v>
      </c>
      <c r="AH26" s="320">
        <f>+VLOOKUP($E26,Hybrid!$1:$1048576,AH$2,FALSE)</f>
        <v>0.15515105439999999</v>
      </c>
      <c r="AI26" s="320">
        <f>+VLOOKUP($E26,Hybrid!$1:$1048576,AI$2,FALSE)</f>
        <v>0.15206793660000001</v>
      </c>
      <c r="AJ26" s="320">
        <f>+VLOOKUP($E26,Hybrid!$1:$1048576,AJ$2,FALSE)</f>
        <v>0.14883659690000001</v>
      </c>
      <c r="AK26" s="320">
        <f>+VLOOKUP($E26,Hybrid!$1:$1048576,AK$2,FALSE)</f>
        <v>0.14546874570000001</v>
      </c>
      <c r="AL26" s="320">
        <f>+VLOOKUP($E26,Hybrid!$1:$1048576,AL$2,FALSE)</f>
        <v>0.1419762712</v>
      </c>
      <c r="AM26" s="320">
        <f>+VLOOKUP($E26,Hybrid!$1:$1048576,AM$2,FALSE)</f>
        <v>0.1383712201</v>
      </c>
      <c r="AN26" s="320">
        <f>+VLOOKUP($E26,Hybrid!$1:$1048576,AN$2,FALSE)</f>
        <v>0.13466577630000001</v>
      </c>
      <c r="AO26" s="320">
        <f>+VLOOKUP($E26,Hybrid!$1:$1048576,AO$2,FALSE)</f>
        <v>0.13087223649999999</v>
      </c>
    </row>
    <row r="27" spans="1:41" ht="15" customHeight="1" x14ac:dyDescent="0.25">
      <c r="A27" s="384"/>
      <c r="B27" s="383"/>
      <c r="C27" s="164"/>
      <c r="D27" s="120" t="s">
        <v>524</v>
      </c>
      <c r="E27" s="46" t="s">
        <v>354</v>
      </c>
      <c r="F27" s="320">
        <f>+VLOOKUP($E27,Hybrid!$1:$1048576,F$2,FALSE)</f>
        <v>7.4609436000000001E-2</v>
      </c>
      <c r="G27" s="320">
        <f>+VLOOKUP($E27,Hybrid!$1:$1048576,G$2,FALSE)</f>
        <v>7.5290206700000001E-2</v>
      </c>
      <c r="H27" s="320">
        <f>+VLOOKUP($E27,Hybrid!$1:$1048576,H$2,FALSE)</f>
        <v>7.6132076399999998E-2</v>
      </c>
      <c r="I27" s="320">
        <f>+VLOOKUP($E27,Hybrid!$1:$1048576,I$2,FALSE)</f>
        <v>7.6945596599999999E-2</v>
      </c>
      <c r="J27" s="320">
        <f>+VLOOKUP($E27,Hybrid!$1:$1048576,J$2,FALSE)</f>
        <v>7.7619323800000001E-2</v>
      </c>
      <c r="K27" s="320">
        <f>+VLOOKUP($E27,Hybrid!$1:$1048576,K$2,FALSE)</f>
        <v>7.8092136100000001E-2</v>
      </c>
      <c r="L27" s="320">
        <f>+VLOOKUP($E27,Hybrid!$1:$1048576,L$2,FALSE)</f>
        <v>7.8339035299999998E-2</v>
      </c>
      <c r="M27" s="320">
        <f>+VLOOKUP($E27,Hybrid!$1:$1048576,M$2,FALSE)</f>
        <v>7.8356677999999999E-2</v>
      </c>
      <c r="N27" s="320">
        <f>+VLOOKUP($E27,Hybrid!$1:$1048576,N$2,FALSE)</f>
        <v>7.8149325199999994E-2</v>
      </c>
      <c r="O27" s="320">
        <f>+VLOOKUP($E27,Hybrid!$1:$1048576,O$2,FALSE)</f>
        <v>7.7725280399999999E-2</v>
      </c>
      <c r="P27" s="320">
        <f>+VLOOKUP($E27,Hybrid!$1:$1048576,P$2,FALSE)</f>
        <v>7.7095122399999994E-2</v>
      </c>
      <c r="Q27" s="320">
        <f>+VLOOKUP($E27,Hybrid!$1:$1048576,Q$2,FALSE)</f>
        <v>7.62706992E-2</v>
      </c>
      <c r="R27" s="320">
        <f>+VLOOKUP($E27,Hybrid!$1:$1048576,R$2,FALSE)</f>
        <v>7.5264537399999998E-2</v>
      </c>
      <c r="S27" s="320">
        <f>+VLOOKUP($E27,Hybrid!$1:$1048576,S$2,FALSE)</f>
        <v>7.4089487400000001E-2</v>
      </c>
      <c r="T27" s="320">
        <f>+VLOOKUP($E27,Hybrid!$1:$1048576,T$2,FALSE)</f>
        <v>7.27585065E-2</v>
      </c>
      <c r="U27" s="320">
        <f>+VLOOKUP($E27,Hybrid!$1:$1048576,U$2,FALSE)</f>
        <v>7.1284526400000006E-2</v>
      </c>
      <c r="V27" s="320">
        <f>+VLOOKUP($E27,Hybrid!$1:$1048576,V$2,FALSE)</f>
        <v>6.9683135300000004E-2</v>
      </c>
      <c r="W27" s="320">
        <f>+VLOOKUP($E27,Hybrid!$1:$1048576,W$2,FALSE)</f>
        <v>6.7971894099999999E-2</v>
      </c>
      <c r="X27" s="320">
        <f>+VLOOKUP($E27,Hybrid!$1:$1048576,X$2,FALSE)</f>
        <v>6.61669919E-2</v>
      </c>
      <c r="Y27" s="320">
        <f>+VLOOKUP($E27,Hybrid!$1:$1048576,Y$2,FALSE)</f>
        <v>6.4283485700000004E-2</v>
      </c>
      <c r="Z27" s="320">
        <f>+VLOOKUP($E27,Hybrid!$1:$1048576,Z$2,FALSE)</f>
        <v>6.2335534200000001E-2</v>
      </c>
      <c r="AA27" s="320">
        <f>+VLOOKUP($E27,Hybrid!$1:$1048576,AA$2,FALSE)</f>
        <v>6.0336506400000003E-2</v>
      </c>
      <c r="AB27" s="320">
        <f>+VLOOKUP($E27,Hybrid!$1:$1048576,AB$2,FALSE)</f>
        <v>5.8299016600000003E-2</v>
      </c>
      <c r="AC27" s="320">
        <f>+VLOOKUP($E27,Hybrid!$1:$1048576,AC$2,FALSE)</f>
        <v>5.6234922999999999E-2</v>
      </c>
      <c r="AD27" s="320">
        <f>+VLOOKUP($E27,Hybrid!$1:$1048576,AD$2,FALSE)</f>
        <v>5.4155314500000003E-2</v>
      </c>
      <c r="AE27" s="320">
        <f>+VLOOKUP($E27,Hybrid!$1:$1048576,AE$2,FALSE)</f>
        <v>5.2070495299999998E-2</v>
      </c>
      <c r="AF27" s="320">
        <f>+VLOOKUP($E27,Hybrid!$1:$1048576,AF$2,FALSE)</f>
        <v>4.9989974499999999E-2</v>
      </c>
      <c r="AG27" s="320">
        <f>+VLOOKUP($E27,Hybrid!$1:$1048576,AG$2,FALSE)</f>
        <v>4.7922462499999999E-2</v>
      </c>
      <c r="AH27" s="320">
        <f>+VLOOKUP($E27,Hybrid!$1:$1048576,AH$2,FALSE)</f>
        <v>4.5875873099999999E-2</v>
      </c>
      <c r="AI27" s="320">
        <f>+VLOOKUP($E27,Hybrid!$1:$1048576,AI$2,FALSE)</f>
        <v>4.3857332999999998E-2</v>
      </c>
      <c r="AJ27" s="320">
        <f>+VLOOKUP($E27,Hybrid!$1:$1048576,AJ$2,FALSE)</f>
        <v>4.1873196100000003E-2</v>
      </c>
      <c r="AK27" s="320">
        <f>+VLOOKUP($E27,Hybrid!$1:$1048576,AK$2,FALSE)</f>
        <v>3.99290635E-2</v>
      </c>
      <c r="AL27" s="320">
        <f>+VLOOKUP($E27,Hybrid!$1:$1048576,AL$2,FALSE)</f>
        <v>3.8029807399999997E-2</v>
      </c>
      <c r="AM27" s="320">
        <f>+VLOOKUP($E27,Hybrid!$1:$1048576,AM$2,FALSE)</f>
        <v>3.6179600200000002E-2</v>
      </c>
      <c r="AN27" s="320">
        <f>+VLOOKUP($E27,Hybrid!$1:$1048576,AN$2,FALSE)</f>
        <v>3.4381946099999998E-2</v>
      </c>
      <c r="AO27" s="320">
        <f>+VLOOKUP($E27,Hybrid!$1:$1048576,AO$2,FALSE)</f>
        <v>3.2639716800000003E-2</v>
      </c>
    </row>
    <row r="28" spans="1:41" ht="15" customHeight="1" x14ac:dyDescent="0.25">
      <c r="A28" s="384"/>
      <c r="B28" s="383"/>
      <c r="C28" s="165"/>
      <c r="D28" s="121" t="s">
        <v>525</v>
      </c>
      <c r="E28" s="301" t="s">
        <v>355</v>
      </c>
      <c r="F28" s="321">
        <f>+VLOOKUP($E28,Hybrid!$1:$1048576,F$2,FALSE)</f>
        <v>0.13435819299999999</v>
      </c>
      <c r="G28" s="321">
        <f>+VLOOKUP($E28,Hybrid!$1:$1048576,G$2,FALSE)</f>
        <v>0.13584218980000001</v>
      </c>
      <c r="H28" s="321">
        <f>+VLOOKUP($E28,Hybrid!$1:$1048576,H$2,FALSE)</f>
        <v>0.13737684</v>
      </c>
      <c r="I28" s="321">
        <f>+VLOOKUP($E28,Hybrid!$1:$1048576,I$2,FALSE)</f>
        <v>0.1385879552</v>
      </c>
      <c r="J28" s="321">
        <f>+VLOOKUP($E28,Hybrid!$1:$1048576,J$2,FALSE)</f>
        <v>0.1392824819</v>
      </c>
      <c r="K28" s="321">
        <f>+VLOOKUP($E28,Hybrid!$1:$1048576,K$2,FALSE)</f>
        <v>0.13937914670000001</v>
      </c>
      <c r="L28" s="321">
        <f>+VLOOKUP($E28,Hybrid!$1:$1048576,L$2,FALSE)</f>
        <v>0.1388700584</v>
      </c>
      <c r="M28" s="321">
        <f>+VLOOKUP($E28,Hybrid!$1:$1048576,M$2,FALSE)</f>
        <v>0.13778783189999999</v>
      </c>
      <c r="N28" s="321">
        <f>+VLOOKUP($E28,Hybrid!$1:$1048576,N$2,FALSE)</f>
        <v>0.13617824119999999</v>
      </c>
      <c r="O28" s="321">
        <f>+VLOOKUP($E28,Hybrid!$1:$1048576,O$2,FALSE)</f>
        <v>0.13409233240000001</v>
      </c>
      <c r="P28" s="321">
        <f>+VLOOKUP($E28,Hybrid!$1:$1048576,P$2,FALSE)</f>
        <v>0.1315826209</v>
      </c>
      <c r="Q28" s="321">
        <f>+VLOOKUP($E28,Hybrid!$1:$1048576,Q$2,FALSE)</f>
        <v>0.12870105940000001</v>
      </c>
      <c r="R28" s="321">
        <f>+VLOOKUP($E28,Hybrid!$1:$1048576,R$2,FALSE)</f>
        <v>0.1254979266</v>
      </c>
      <c r="S28" s="321">
        <f>+VLOOKUP($E28,Hybrid!$1:$1048576,S$2,FALSE)</f>
        <v>0.1220212123</v>
      </c>
      <c r="T28" s="321">
        <f>+VLOOKUP($E28,Hybrid!$1:$1048576,T$2,FALSE)</f>
        <v>0.1183162839</v>
      </c>
      <c r="U28" s="321">
        <f>+VLOOKUP($E28,Hybrid!$1:$1048576,U$2,FALSE)</f>
        <v>0.1144257199</v>
      </c>
      <c r="V28" s="321">
        <f>+VLOOKUP($E28,Hybrid!$1:$1048576,V$2,FALSE)</f>
        <v>0.1103923143</v>
      </c>
      <c r="W28" s="321">
        <f>+VLOOKUP($E28,Hybrid!$1:$1048576,W$2,FALSE)</f>
        <v>0.1062579949</v>
      </c>
      <c r="X28" s="321">
        <f>+VLOOKUP($E28,Hybrid!$1:$1048576,X$2,FALSE)</f>
        <v>0.10206013680000001</v>
      </c>
      <c r="Y28" s="321">
        <f>+VLOOKUP($E28,Hybrid!$1:$1048576,Y$2,FALSE)</f>
        <v>9.7831987600000003E-2</v>
      </c>
      <c r="Z28" s="321">
        <f>+VLOOKUP($E28,Hybrid!$1:$1048576,Z$2,FALSE)</f>
        <v>9.3603088900000006E-2</v>
      </c>
      <c r="AA28" s="321">
        <f>+VLOOKUP($E28,Hybrid!$1:$1048576,AA$2,FALSE)</f>
        <v>8.9399555199999994E-2</v>
      </c>
      <c r="AB28" s="321">
        <f>+VLOOKUP($E28,Hybrid!$1:$1048576,AB$2,FALSE)</f>
        <v>8.5244278899999998E-2</v>
      </c>
      <c r="AC28" s="321">
        <f>+VLOOKUP($E28,Hybrid!$1:$1048576,AC$2,FALSE)</f>
        <v>8.1157103600000002E-2</v>
      </c>
      <c r="AD28" s="321">
        <f>+VLOOKUP($E28,Hybrid!$1:$1048576,AD$2,FALSE)</f>
        <v>7.7154994300000002E-2</v>
      </c>
      <c r="AE28" s="321">
        <f>+VLOOKUP($E28,Hybrid!$1:$1048576,AE$2,FALSE)</f>
        <v>7.3252213799999993E-2</v>
      </c>
      <c r="AF28" s="321">
        <f>+VLOOKUP($E28,Hybrid!$1:$1048576,AF$2,FALSE)</f>
        <v>6.9460508700000007E-2</v>
      </c>
      <c r="AG28" s="321">
        <f>+VLOOKUP($E28,Hybrid!$1:$1048576,AG$2,FALSE)</f>
        <v>6.5789302399999999E-2</v>
      </c>
      <c r="AH28" s="321">
        <f>+VLOOKUP($E28,Hybrid!$1:$1048576,AH$2,FALSE)</f>
        <v>6.2245893199999999E-2</v>
      </c>
      <c r="AI28" s="321">
        <f>+VLOOKUP($E28,Hybrid!$1:$1048576,AI$2,FALSE)</f>
        <v>5.8835653199999997E-2</v>
      </c>
      <c r="AJ28" s="321">
        <f>+VLOOKUP($E28,Hybrid!$1:$1048576,AJ$2,FALSE)</f>
        <v>5.5562225600000001E-2</v>
      </c>
      <c r="AK28" s="321">
        <f>+VLOOKUP($E28,Hybrid!$1:$1048576,AK$2,FALSE)</f>
        <v>5.2427716700000002E-2</v>
      </c>
      <c r="AL28" s="321">
        <f>+VLOOKUP($E28,Hybrid!$1:$1048576,AL$2,FALSE)</f>
        <v>4.9432881800000002E-2</v>
      </c>
      <c r="AM28" s="321">
        <f>+VLOOKUP($E28,Hybrid!$1:$1048576,AM$2,FALSE)</f>
        <v>4.6577301699999997E-2</v>
      </c>
      <c r="AN28" s="321">
        <f>+VLOOKUP($E28,Hybrid!$1:$1048576,AN$2,FALSE)</f>
        <v>4.3859550599999998E-2</v>
      </c>
      <c r="AO28" s="321">
        <f>+VLOOKUP($E28,Hybrid!$1:$1048576,AO$2,FALSE)</f>
        <v>4.1277351099999998E-2</v>
      </c>
    </row>
    <row r="29" spans="1:41" s="108" customFormat="1" ht="15" customHeight="1" x14ac:dyDescent="0.25">
      <c r="A29" s="384"/>
      <c r="B29" s="383"/>
      <c r="C29" s="118" t="s">
        <v>526</v>
      </c>
      <c r="D29" s="118"/>
      <c r="E29" s="88" t="s">
        <v>356</v>
      </c>
      <c r="F29" s="319">
        <f>+VLOOKUP($E29,Hybrid!$1:$1048576,F$2,FALSE)</f>
        <v>32317.940999999999</v>
      </c>
      <c r="G29" s="319">
        <f>+VLOOKUP($E29,Hybrid!$1:$1048576,G$2,FALSE)</f>
        <v>31931.6253</v>
      </c>
      <c r="H29" s="319">
        <f>+VLOOKUP($E29,Hybrid!$1:$1048576,H$2,FALSE)</f>
        <v>31743.508249999999</v>
      </c>
      <c r="I29" s="319">
        <f>+VLOOKUP($E29,Hybrid!$1:$1048576,I$2,FALSE)</f>
        <v>31687.79249</v>
      </c>
      <c r="J29" s="319">
        <f>+VLOOKUP($E29,Hybrid!$1:$1048576,J$2,FALSE)</f>
        <v>31720.643349999998</v>
      </c>
      <c r="K29" s="319">
        <f>+VLOOKUP($E29,Hybrid!$1:$1048576,K$2,FALSE)</f>
        <v>31813.33711</v>
      </c>
      <c r="L29" s="319">
        <f>+VLOOKUP($E29,Hybrid!$1:$1048576,L$2,FALSE)</f>
        <v>31947.162380000002</v>
      </c>
      <c r="M29" s="319">
        <f>+VLOOKUP($E29,Hybrid!$1:$1048576,M$2,FALSE)</f>
        <v>32109.87729</v>
      </c>
      <c r="N29" s="319">
        <f>+VLOOKUP($E29,Hybrid!$1:$1048576,N$2,FALSE)</f>
        <v>32293.361379999998</v>
      </c>
      <c r="O29" s="319">
        <f>+VLOOKUP($E29,Hybrid!$1:$1048576,O$2,FALSE)</f>
        <v>32492.108840000001</v>
      </c>
      <c r="P29" s="319">
        <f>+VLOOKUP($E29,Hybrid!$1:$1048576,P$2,FALSE)</f>
        <v>32702.282360000001</v>
      </c>
      <c r="Q29" s="319">
        <f>+VLOOKUP($E29,Hybrid!$1:$1048576,Q$2,FALSE)</f>
        <v>32921.126179999999</v>
      </c>
      <c r="R29" s="319">
        <f>+VLOOKUP($E29,Hybrid!$1:$1048576,R$2,FALSE)</f>
        <v>33146.603029999998</v>
      </c>
      <c r="S29" s="319">
        <f>+VLOOKUP($E29,Hybrid!$1:$1048576,S$2,FALSE)</f>
        <v>33377.167979999998</v>
      </c>
      <c r="T29" s="319">
        <f>+VLOOKUP($E29,Hybrid!$1:$1048576,T$2,FALSE)</f>
        <v>33611.625030000003</v>
      </c>
      <c r="U29" s="319">
        <f>+VLOOKUP($E29,Hybrid!$1:$1048576,U$2,FALSE)</f>
        <v>33849.033629999998</v>
      </c>
      <c r="V29" s="319">
        <f>+VLOOKUP($E29,Hybrid!$1:$1048576,V$2,FALSE)</f>
        <v>34088.645530000002</v>
      </c>
      <c r="W29" s="319">
        <f>+VLOOKUP($E29,Hybrid!$1:$1048576,W$2,FALSE)</f>
        <v>34329.860690000001</v>
      </c>
      <c r="X29" s="319">
        <f>+VLOOKUP($E29,Hybrid!$1:$1048576,X$2,FALSE)</f>
        <v>34572.195419999996</v>
      </c>
      <c r="Y29" s="319">
        <f>+VLOOKUP($E29,Hybrid!$1:$1048576,Y$2,FALSE)</f>
        <v>34815.258710000002</v>
      </c>
      <c r="Z29" s="319">
        <f>+VLOOKUP($E29,Hybrid!$1:$1048576,Z$2,FALSE)</f>
        <v>35058.734510000002</v>
      </c>
      <c r="AA29" s="319">
        <f>+VLOOKUP($E29,Hybrid!$1:$1048576,AA$2,FALSE)</f>
        <v>35302.36808</v>
      </c>
      <c r="AB29" s="319">
        <f>+VLOOKUP($E29,Hybrid!$1:$1048576,AB$2,FALSE)</f>
        <v>35545.95566</v>
      </c>
      <c r="AC29" s="319">
        <f>+VLOOKUP($E29,Hybrid!$1:$1048576,AC$2,FALSE)</f>
        <v>35789.336340000002</v>
      </c>
      <c r="AD29" s="319">
        <f>+VLOOKUP($E29,Hybrid!$1:$1048576,AD$2,FALSE)</f>
        <v>36032.385739999998</v>
      </c>
      <c r="AE29" s="319">
        <f>+VLOOKUP($E29,Hybrid!$1:$1048576,AE$2,FALSE)</f>
        <v>36275.010999999999</v>
      </c>
      <c r="AF29" s="319">
        <f>+VLOOKUP($E29,Hybrid!$1:$1048576,AF$2,FALSE)</f>
        <v>36517.146650000002</v>
      </c>
      <c r="AG29" s="319">
        <f>+VLOOKUP($E29,Hybrid!$1:$1048576,AG$2,FALSE)</f>
        <v>36758.751190000003</v>
      </c>
      <c r="AH29" s="319">
        <f>+VLOOKUP($E29,Hybrid!$1:$1048576,AH$2,FALSE)</f>
        <v>36999.804109999997</v>
      </c>
      <c r="AI29" s="319">
        <f>+VLOOKUP($E29,Hybrid!$1:$1048576,AI$2,FALSE)</f>
        <v>37240.303260000001</v>
      </c>
      <c r="AJ29" s="319">
        <f>+VLOOKUP($E29,Hybrid!$1:$1048576,AJ$2,FALSE)</f>
        <v>37480.262430000002</v>
      </c>
      <c r="AK29" s="319">
        <f>+VLOOKUP($E29,Hybrid!$1:$1048576,AK$2,FALSE)</f>
        <v>37719.709159999999</v>
      </c>
      <c r="AL29" s="319">
        <f>+VLOOKUP($E29,Hybrid!$1:$1048576,AL$2,FALSE)</f>
        <v>37958.682679999998</v>
      </c>
      <c r="AM29" s="319">
        <f>+VLOOKUP($E29,Hybrid!$1:$1048576,AM$2,FALSE)</f>
        <v>38197.23199</v>
      </c>
      <c r="AN29" s="319">
        <f>+VLOOKUP($E29,Hybrid!$1:$1048576,AN$2,FALSE)</f>
        <v>38435.414069999999</v>
      </c>
      <c r="AO29" s="319">
        <f>+VLOOKUP($E29,Hybrid!$1:$1048576,AO$2,FALSE)</f>
        <v>38673.292269999998</v>
      </c>
    </row>
    <row r="30" spans="1:41" s="108" customFormat="1" ht="15" customHeight="1" x14ac:dyDescent="0.25">
      <c r="A30" s="384"/>
      <c r="B30" s="383"/>
      <c r="C30" s="118" t="s">
        <v>527</v>
      </c>
      <c r="D30" s="119"/>
      <c r="E30" s="88" t="s">
        <v>357</v>
      </c>
      <c r="F30" s="319">
        <f>+VLOOKUP($E30,Hybrid!$1:$1048576,F$2,FALSE)</f>
        <v>32271.24</v>
      </c>
      <c r="G30" s="319">
        <f>+VLOOKUP($E30,Hybrid!$1:$1048576,G$2,FALSE)</f>
        <v>31867.184539999998</v>
      </c>
      <c r="H30" s="319">
        <f>+VLOOKUP($E30,Hybrid!$1:$1048576,H$2,FALSE)</f>
        <v>31660.485769999999</v>
      </c>
      <c r="I30" s="319">
        <f>+VLOOKUP($E30,Hybrid!$1:$1048576,I$2,FALSE)</f>
        <v>31585.837940000001</v>
      </c>
      <c r="J30" s="319">
        <f>+VLOOKUP($E30,Hybrid!$1:$1048576,J$2,FALSE)</f>
        <v>31599.720549999998</v>
      </c>
      <c r="K30" s="319">
        <f>+VLOOKUP($E30,Hybrid!$1:$1048576,K$2,FALSE)</f>
        <v>31673.60284</v>
      </c>
      <c r="L30" s="319">
        <f>+VLOOKUP($E30,Hybrid!$1:$1048576,L$2,FALSE)</f>
        <v>31788.887490000001</v>
      </c>
      <c r="M30" s="319">
        <f>+VLOOKUP($E30,Hybrid!$1:$1048576,M$2,FALSE)</f>
        <v>31933.39687</v>
      </c>
      <c r="N30" s="319">
        <f>+VLOOKUP($E30,Hybrid!$1:$1048576,N$2,FALSE)</f>
        <v>32099.043880000001</v>
      </c>
      <c r="O30" s="319">
        <f>+VLOOKUP($E30,Hybrid!$1:$1048576,O$2,FALSE)</f>
        <v>32280.33711</v>
      </c>
      <c r="P30" s="319">
        <f>+VLOOKUP($E30,Hybrid!$1:$1048576,P$2,FALSE)</f>
        <v>32473.442050000001</v>
      </c>
      <c r="Q30" s="319">
        <f>+VLOOKUP($E30,Hybrid!$1:$1048576,Q$2,FALSE)</f>
        <v>32675.5985</v>
      </c>
      <c r="R30" s="319">
        <f>+VLOOKUP($E30,Hybrid!$1:$1048576,R$2,FALSE)</f>
        <v>32884.760260000003</v>
      </c>
      <c r="S30" s="319">
        <f>+VLOOKUP($E30,Hybrid!$1:$1048576,S$2,FALSE)</f>
        <v>33099.37055</v>
      </c>
      <c r="T30" s="319">
        <f>+VLOOKUP($E30,Hybrid!$1:$1048576,T$2,FALSE)</f>
        <v>33318.219720000001</v>
      </c>
      <c r="U30" s="319">
        <f>+VLOOKUP($E30,Hybrid!$1:$1048576,U$2,FALSE)</f>
        <v>33540.352330000002</v>
      </c>
      <c r="V30" s="319">
        <f>+VLOOKUP($E30,Hybrid!$1:$1048576,V$2,FALSE)</f>
        <v>33765.004459999996</v>
      </c>
      <c r="W30" s="319">
        <f>+VLOOKUP($E30,Hybrid!$1:$1048576,W$2,FALSE)</f>
        <v>33991.559860000001</v>
      </c>
      <c r="X30" s="319">
        <f>+VLOOKUP($E30,Hybrid!$1:$1048576,X$2,FALSE)</f>
        <v>34219.518219999998</v>
      </c>
      <c r="Y30" s="319">
        <f>+VLOOKUP($E30,Hybrid!$1:$1048576,Y$2,FALSE)</f>
        <v>34448.471680000002</v>
      </c>
      <c r="Z30" s="319">
        <f>+VLOOKUP($E30,Hybrid!$1:$1048576,Z$2,FALSE)</f>
        <v>34678.087050000002</v>
      </c>
      <c r="AA30" s="319">
        <f>+VLOOKUP($E30,Hybrid!$1:$1048576,AA$2,FALSE)</f>
        <v>34908.092270000001</v>
      </c>
      <c r="AB30" s="319">
        <f>+VLOOKUP($E30,Hybrid!$1:$1048576,AB$2,FALSE)</f>
        <v>35138.265950000001</v>
      </c>
      <c r="AC30" s="319">
        <f>+VLOOKUP($E30,Hybrid!$1:$1048576,AC$2,FALSE)</f>
        <v>35368.429279999997</v>
      </c>
      <c r="AD30" s="319">
        <f>+VLOOKUP($E30,Hybrid!$1:$1048576,AD$2,FALSE)</f>
        <v>35598.439659999996</v>
      </c>
      <c r="AE30" s="319">
        <f>+VLOOKUP($E30,Hybrid!$1:$1048576,AE$2,FALSE)</f>
        <v>35828.185579999998</v>
      </c>
      <c r="AF30" s="319">
        <f>+VLOOKUP($E30,Hybrid!$1:$1048576,AF$2,FALSE)</f>
        <v>36057.582459999998</v>
      </c>
      <c r="AG30" s="319">
        <f>+VLOOKUP($E30,Hybrid!$1:$1048576,AG$2,FALSE)</f>
        <v>36286.56912</v>
      </c>
      <c r="AH30" s="319">
        <f>+VLOOKUP($E30,Hybrid!$1:$1048576,AH$2,FALSE)</f>
        <v>36515.104740000002</v>
      </c>
      <c r="AI30" s="319">
        <f>+VLOOKUP($E30,Hybrid!$1:$1048576,AI$2,FALSE)</f>
        <v>36743.166120000002</v>
      </c>
      <c r="AJ30" s="319">
        <f>+VLOOKUP($E30,Hybrid!$1:$1048576,AJ$2,FALSE)</f>
        <v>36970.745210000001</v>
      </c>
      <c r="AK30" s="319">
        <f>+VLOOKUP($E30,Hybrid!$1:$1048576,AK$2,FALSE)</f>
        <v>37197.846769999996</v>
      </c>
      <c r="AL30" s="319">
        <f>+VLOOKUP($E30,Hybrid!$1:$1048576,AL$2,FALSE)</f>
        <v>37424.486270000001</v>
      </c>
      <c r="AM30" s="319">
        <f>+VLOOKUP($E30,Hybrid!$1:$1048576,AM$2,FALSE)</f>
        <v>37650.6878</v>
      </c>
      <c r="AN30" s="319">
        <f>+VLOOKUP($E30,Hybrid!$1:$1048576,AN$2,FALSE)</f>
        <v>37876.482239999998</v>
      </c>
      <c r="AO30" s="319">
        <f>+VLOOKUP($E30,Hybrid!$1:$1048576,AO$2,FALSE)</f>
        <v>38101.905460000002</v>
      </c>
    </row>
    <row r="31" spans="1:41" ht="15" customHeight="1" x14ac:dyDescent="0.25">
      <c r="A31" s="384"/>
      <c r="B31" s="383"/>
      <c r="C31" s="164"/>
      <c r="D31" s="120" t="s">
        <v>519</v>
      </c>
      <c r="E31" s="46" t="s">
        <v>358</v>
      </c>
      <c r="F31" s="320">
        <f>+VLOOKUP($E31,Hybrid!$1:$1048576,F$2,FALSE)</f>
        <v>7095.7005250000002</v>
      </c>
      <c r="G31" s="320">
        <f>+VLOOKUP($E31,Hybrid!$1:$1048576,G$2,FALSE)</f>
        <v>7143.1787640000002</v>
      </c>
      <c r="H31" s="320">
        <f>+VLOOKUP($E31,Hybrid!$1:$1048576,H$2,FALSE)</f>
        <v>7239.8100320000003</v>
      </c>
      <c r="I31" s="320">
        <f>+VLOOKUP($E31,Hybrid!$1:$1048576,I$2,FALSE)</f>
        <v>7369.0432149999997</v>
      </c>
      <c r="J31" s="320">
        <f>+VLOOKUP($E31,Hybrid!$1:$1048576,J$2,FALSE)</f>
        <v>7519.6803529999997</v>
      </c>
      <c r="K31" s="320">
        <f>+VLOOKUP($E31,Hybrid!$1:$1048576,K$2,FALSE)</f>
        <v>7684.2985710000003</v>
      </c>
      <c r="L31" s="320">
        <f>+VLOOKUP($E31,Hybrid!$1:$1048576,L$2,FALSE)</f>
        <v>7858.0379009999997</v>
      </c>
      <c r="M31" s="320">
        <f>+VLOOKUP($E31,Hybrid!$1:$1048576,M$2,FALSE)</f>
        <v>8037.7298559999999</v>
      </c>
      <c r="N31" s="320">
        <f>+VLOOKUP($E31,Hybrid!$1:$1048576,N$2,FALSE)</f>
        <v>8221.3015240000004</v>
      </c>
      <c r="O31" s="320">
        <f>+VLOOKUP($E31,Hybrid!$1:$1048576,O$2,FALSE)</f>
        <v>8407.3826119999994</v>
      </c>
      <c r="P31" s="320">
        <f>+VLOOKUP($E31,Hybrid!$1:$1048576,P$2,FALSE)</f>
        <v>8595.0529569999999</v>
      </c>
      <c r="Q31" s="320">
        <f>+VLOOKUP($E31,Hybrid!$1:$1048576,Q$2,FALSE)</f>
        <v>8783.6831230000007</v>
      </c>
      <c r="R31" s="320">
        <f>+VLOOKUP($E31,Hybrid!$1:$1048576,R$2,FALSE)</f>
        <v>8972.8346920000004</v>
      </c>
      <c r="S31" s="320">
        <f>+VLOOKUP($E31,Hybrid!$1:$1048576,S$2,FALSE)</f>
        <v>9162.1979510000001</v>
      </c>
      <c r="T31" s="320">
        <f>+VLOOKUP($E31,Hybrid!$1:$1048576,T$2,FALSE)</f>
        <v>9351.5526379999992</v>
      </c>
      <c r="U31" s="320">
        <f>+VLOOKUP($E31,Hybrid!$1:$1048576,U$2,FALSE)</f>
        <v>9540.7427050000006</v>
      </c>
      <c r="V31" s="320">
        <f>+VLOOKUP($E31,Hybrid!$1:$1048576,V$2,FALSE)</f>
        <v>9729.6596580000005</v>
      </c>
      <c r="W31" s="320">
        <f>+VLOOKUP($E31,Hybrid!$1:$1048576,W$2,FALSE)</f>
        <v>9918.2312120000006</v>
      </c>
      <c r="X31" s="320">
        <f>+VLOOKUP($E31,Hybrid!$1:$1048576,X$2,FALSE)</f>
        <v>10106.41331</v>
      </c>
      <c r="Y31" s="320">
        <f>+VLOOKUP($E31,Hybrid!$1:$1048576,Y$2,FALSE)</f>
        <v>10294.18433</v>
      </c>
      <c r="Z31" s="320">
        <f>+VLOOKUP($E31,Hybrid!$1:$1048576,Z$2,FALSE)</f>
        <v>10481.540859999999</v>
      </c>
      <c r="AA31" s="320">
        <f>+VLOOKUP($E31,Hybrid!$1:$1048576,AA$2,FALSE)</f>
        <v>10668.49447</v>
      </c>
      <c r="AB31" s="320">
        <f>+VLOOKUP($E31,Hybrid!$1:$1048576,AB$2,FALSE)</f>
        <v>10855.069320000001</v>
      </c>
      <c r="AC31" s="320">
        <f>+VLOOKUP($E31,Hybrid!$1:$1048576,AC$2,FALSE)</f>
        <v>11041.30032</v>
      </c>
      <c r="AD31" s="320">
        <f>+VLOOKUP($E31,Hybrid!$1:$1048576,AD$2,FALSE)</f>
        <v>11227.23172</v>
      </c>
      <c r="AE31" s="320">
        <f>+VLOOKUP($E31,Hybrid!$1:$1048576,AE$2,FALSE)</f>
        <v>11412.9159</v>
      </c>
      <c r="AF31" s="320">
        <f>+VLOOKUP($E31,Hybrid!$1:$1048576,AF$2,FALSE)</f>
        <v>11598.41252</v>
      </c>
      <c r="AG31" s="320">
        <f>+VLOOKUP($E31,Hybrid!$1:$1048576,AG$2,FALSE)</f>
        <v>11783.787609999999</v>
      </c>
      <c r="AH31" s="320">
        <f>+VLOOKUP($E31,Hybrid!$1:$1048576,AH$2,FALSE)</f>
        <v>11969.11292</v>
      </c>
      <c r="AI31" s="320">
        <f>+VLOOKUP($E31,Hybrid!$1:$1048576,AI$2,FALSE)</f>
        <v>12154.46516</v>
      </c>
      <c r="AJ31" s="320">
        <f>+VLOOKUP($E31,Hybrid!$1:$1048576,AJ$2,FALSE)</f>
        <v>12339.92534</v>
      </c>
      <c r="AK31" s="320">
        <f>+VLOOKUP($E31,Hybrid!$1:$1048576,AK$2,FALSE)</f>
        <v>12525.57812</v>
      </c>
      <c r="AL31" s="320">
        <f>+VLOOKUP($E31,Hybrid!$1:$1048576,AL$2,FALSE)</f>
        <v>12711.51116</v>
      </c>
      <c r="AM31" s="320">
        <f>+VLOOKUP($E31,Hybrid!$1:$1048576,AM$2,FALSE)</f>
        <v>12897.81444</v>
      </c>
      <c r="AN31" s="320">
        <f>+VLOOKUP($E31,Hybrid!$1:$1048576,AN$2,FALSE)</f>
        <v>13084.579680000001</v>
      </c>
      <c r="AO31" s="320">
        <f>+VLOOKUP($E31,Hybrid!$1:$1048576,AO$2,FALSE)</f>
        <v>13271.899649999999</v>
      </c>
    </row>
    <row r="32" spans="1:41" ht="15" customHeight="1" x14ac:dyDescent="0.25">
      <c r="A32" s="384"/>
      <c r="B32" s="383"/>
      <c r="C32" s="164"/>
      <c r="D32" s="120" t="s">
        <v>520</v>
      </c>
      <c r="E32" s="46" t="s">
        <v>359</v>
      </c>
      <c r="F32" s="320">
        <f>+VLOOKUP($E32,Hybrid!$1:$1048576,F$2,FALSE)</f>
        <v>8251.256421</v>
      </c>
      <c r="G32" s="320">
        <f>+VLOOKUP($E32,Hybrid!$1:$1048576,G$2,FALSE)</f>
        <v>8184.178527</v>
      </c>
      <c r="H32" s="320">
        <f>+VLOOKUP($E32,Hybrid!$1:$1048576,H$2,FALSE)</f>
        <v>8171.8778769999999</v>
      </c>
      <c r="I32" s="320">
        <f>+VLOOKUP($E32,Hybrid!$1:$1048576,I$2,FALSE)</f>
        <v>8197.5342110000001</v>
      </c>
      <c r="J32" s="320">
        <f>+VLOOKUP($E32,Hybrid!$1:$1048576,J$2,FALSE)</f>
        <v>8249.6491499999993</v>
      </c>
      <c r="K32" s="320">
        <f>+VLOOKUP($E32,Hybrid!$1:$1048576,K$2,FALSE)</f>
        <v>8320.4704320000001</v>
      </c>
      <c r="L32" s="320">
        <f>+VLOOKUP($E32,Hybrid!$1:$1048576,L$2,FALSE)</f>
        <v>8404.7877079999998</v>
      </c>
      <c r="M32" s="320">
        <f>+VLOOKUP($E32,Hybrid!$1:$1048576,M$2,FALSE)</f>
        <v>8499.0715280000004</v>
      </c>
      <c r="N32" s="320">
        <f>+VLOOKUP($E32,Hybrid!$1:$1048576,N$2,FALSE)</f>
        <v>8600.8872150000007</v>
      </c>
      <c r="O32" s="320">
        <f>+VLOOKUP($E32,Hybrid!$1:$1048576,O$2,FALSE)</f>
        <v>8708.5096250000006</v>
      </c>
      <c r="P32" s="320">
        <f>+VLOOKUP($E32,Hybrid!$1:$1048576,P$2,FALSE)</f>
        <v>8820.6760479999994</v>
      </c>
      <c r="Q32" s="320">
        <f>+VLOOKUP($E32,Hybrid!$1:$1048576,Q$2,FALSE)</f>
        <v>8936.4301090000008</v>
      </c>
      <c r="R32" s="320">
        <f>+VLOOKUP($E32,Hybrid!$1:$1048576,R$2,FALSE)</f>
        <v>9055.0237899999993</v>
      </c>
      <c r="S32" s="320">
        <f>+VLOOKUP($E32,Hybrid!$1:$1048576,S$2,FALSE)</f>
        <v>9175.8556850000004</v>
      </c>
      <c r="T32" s="320">
        <f>+VLOOKUP($E32,Hybrid!$1:$1048576,T$2,FALSE)</f>
        <v>9298.4315650000008</v>
      </c>
      <c r="U32" s="320">
        <f>+VLOOKUP($E32,Hybrid!$1:$1048576,U$2,FALSE)</f>
        <v>9422.3384829999995</v>
      </c>
      <c r="V32" s="320">
        <f>+VLOOKUP($E32,Hybrid!$1:$1048576,V$2,FALSE)</f>
        <v>9547.2271970000002</v>
      </c>
      <c r="W32" s="320">
        <f>+VLOOKUP($E32,Hybrid!$1:$1048576,W$2,FALSE)</f>
        <v>9672.7997749999995</v>
      </c>
      <c r="X32" s="320">
        <f>+VLOOKUP($E32,Hybrid!$1:$1048576,X$2,FALSE)</f>
        <v>9798.8005140000005</v>
      </c>
      <c r="Y32" s="320">
        <f>+VLOOKUP($E32,Hybrid!$1:$1048576,Y$2,FALSE)</f>
        <v>9925.0090739999996</v>
      </c>
      <c r="Z32" s="320">
        <f>+VLOOKUP($E32,Hybrid!$1:$1048576,Z$2,FALSE)</f>
        <v>10051.23516</v>
      </c>
      <c r="AA32" s="320">
        <f>+VLOOKUP($E32,Hybrid!$1:$1048576,AA$2,FALSE)</f>
        <v>10177.31431</v>
      </c>
      <c r="AB32" s="320">
        <f>+VLOOKUP($E32,Hybrid!$1:$1048576,AB$2,FALSE)</f>
        <v>10303.10454</v>
      </c>
      <c r="AC32" s="320">
        <f>+VLOOKUP($E32,Hybrid!$1:$1048576,AC$2,FALSE)</f>
        <v>10428.483620000001</v>
      </c>
      <c r="AD32" s="320">
        <f>+VLOOKUP($E32,Hybrid!$1:$1048576,AD$2,FALSE)</f>
        <v>10553.34671</v>
      </c>
      <c r="AE32" s="320">
        <f>+VLOOKUP($E32,Hybrid!$1:$1048576,AE$2,FALSE)</f>
        <v>10677.604530000001</v>
      </c>
      <c r="AF32" s="320">
        <f>+VLOOKUP($E32,Hybrid!$1:$1048576,AF$2,FALSE)</f>
        <v>10801.181570000001</v>
      </c>
      <c r="AG32" s="320">
        <f>+VLOOKUP($E32,Hybrid!$1:$1048576,AG$2,FALSE)</f>
        <v>10924.014639999999</v>
      </c>
      <c r="AH32" s="320">
        <f>+VLOOKUP($E32,Hybrid!$1:$1048576,AH$2,FALSE)</f>
        <v>11046.05148</v>
      </c>
      <c r="AI32" s="320">
        <f>+VLOOKUP($E32,Hybrid!$1:$1048576,AI$2,FALSE)</f>
        <v>11167.24944</v>
      </c>
      <c r="AJ32" s="320">
        <f>+VLOOKUP($E32,Hybrid!$1:$1048576,AJ$2,FALSE)</f>
        <v>11287.574280000001</v>
      </c>
      <c r="AK32" s="320">
        <f>+VLOOKUP($E32,Hybrid!$1:$1048576,AK$2,FALSE)</f>
        <v>11406.99901</v>
      </c>
      <c r="AL32" s="320">
        <f>+VLOOKUP($E32,Hybrid!$1:$1048576,AL$2,FALSE)</f>
        <v>11525.50275</v>
      </c>
      <c r="AM32" s="320">
        <f>+VLOOKUP($E32,Hybrid!$1:$1048576,AM$2,FALSE)</f>
        <v>11643.06969</v>
      </c>
      <c r="AN32" s="320">
        <f>+VLOOKUP($E32,Hybrid!$1:$1048576,AN$2,FALSE)</f>
        <v>11759.68808</v>
      </c>
      <c r="AO32" s="320">
        <f>+VLOOKUP($E32,Hybrid!$1:$1048576,AO$2,FALSE)</f>
        <v>11875.349249999999</v>
      </c>
    </row>
    <row r="33" spans="1:41" ht="15" customHeight="1" x14ac:dyDescent="0.25">
      <c r="A33" s="384"/>
      <c r="B33" s="383"/>
      <c r="C33" s="164"/>
      <c r="D33" s="120" t="s">
        <v>521</v>
      </c>
      <c r="E33" s="46" t="s">
        <v>360</v>
      </c>
      <c r="F33" s="320">
        <f>+VLOOKUP($E33,Hybrid!$1:$1048576,F$2,FALSE)</f>
        <v>6777.6024520000001</v>
      </c>
      <c r="G33" s="320">
        <f>+VLOOKUP($E33,Hybrid!$1:$1048576,G$2,FALSE)</f>
        <v>6647.7392339999997</v>
      </c>
      <c r="H33" s="320">
        <f>+VLOOKUP($E33,Hybrid!$1:$1048576,H$2,FALSE)</f>
        <v>6561.4777880000001</v>
      </c>
      <c r="I33" s="320">
        <f>+VLOOKUP($E33,Hybrid!$1:$1048576,I$2,FALSE)</f>
        <v>6506.5051000000003</v>
      </c>
      <c r="J33" s="320">
        <f>+VLOOKUP($E33,Hybrid!$1:$1048576,J$2,FALSE)</f>
        <v>6474.3213969999997</v>
      </c>
      <c r="K33" s="320">
        <f>+VLOOKUP($E33,Hybrid!$1:$1048576,K$2,FALSE)</f>
        <v>6459.1067370000001</v>
      </c>
      <c r="L33" s="320">
        <f>+VLOOKUP($E33,Hybrid!$1:$1048576,L$2,FALSE)</f>
        <v>6456.8591409999999</v>
      </c>
      <c r="M33" s="320">
        <f>+VLOOKUP($E33,Hybrid!$1:$1048576,M$2,FALSE)</f>
        <v>6464.7815380000002</v>
      </c>
      <c r="N33" s="320">
        <f>+VLOOKUP($E33,Hybrid!$1:$1048576,N$2,FALSE)</f>
        <v>6480.8662649999997</v>
      </c>
      <c r="O33" s="320">
        <f>+VLOOKUP($E33,Hybrid!$1:$1048576,O$2,FALSE)</f>
        <v>6503.6228220000003</v>
      </c>
      <c r="P33" s="320">
        <f>+VLOOKUP($E33,Hybrid!$1:$1048576,P$2,FALSE)</f>
        <v>6531.9035240000003</v>
      </c>
      <c r="Q33" s="320">
        <f>+VLOOKUP($E33,Hybrid!$1:$1048576,Q$2,FALSE)</f>
        <v>6564.7932879999998</v>
      </c>
      <c r="R33" s="320">
        <f>+VLOOKUP($E33,Hybrid!$1:$1048576,R$2,FALSE)</f>
        <v>6601.5401860000002</v>
      </c>
      <c r="S33" s="320">
        <f>+VLOOKUP($E33,Hybrid!$1:$1048576,S$2,FALSE)</f>
        <v>6641.5113270000002</v>
      </c>
      <c r="T33" s="320">
        <f>+VLOOKUP($E33,Hybrid!$1:$1048576,T$2,FALSE)</f>
        <v>6684.1642849999998</v>
      </c>
      <c r="U33" s="320">
        <f>+VLOOKUP($E33,Hybrid!$1:$1048576,U$2,FALSE)</f>
        <v>6729.0279730000002</v>
      </c>
      <c r="V33" s="320">
        <f>+VLOOKUP($E33,Hybrid!$1:$1048576,V$2,FALSE)</f>
        <v>6775.6893330000003</v>
      </c>
      <c r="W33" s="320">
        <f>+VLOOKUP($E33,Hybrid!$1:$1048576,W$2,FALSE)</f>
        <v>6823.7836639999996</v>
      </c>
      <c r="X33" s="320">
        <f>+VLOOKUP($E33,Hybrid!$1:$1048576,X$2,FALSE)</f>
        <v>6872.9873250000001</v>
      </c>
      <c r="Y33" s="320">
        <f>+VLOOKUP($E33,Hybrid!$1:$1048576,Y$2,FALSE)</f>
        <v>6923.012025</v>
      </c>
      <c r="Z33" s="320">
        <f>+VLOOKUP($E33,Hybrid!$1:$1048576,Z$2,FALSE)</f>
        <v>6973.600265</v>
      </c>
      <c r="AA33" s="320">
        <f>+VLOOKUP($E33,Hybrid!$1:$1048576,AA$2,FALSE)</f>
        <v>7024.5216149999997</v>
      </c>
      <c r="AB33" s="320">
        <f>+VLOOKUP($E33,Hybrid!$1:$1048576,AB$2,FALSE)</f>
        <v>7075.56963</v>
      </c>
      <c r="AC33" s="320">
        <f>+VLOOKUP($E33,Hybrid!$1:$1048576,AC$2,FALSE)</f>
        <v>7126.559252</v>
      </c>
      <c r="AD33" s="320">
        <f>+VLOOKUP($E33,Hybrid!$1:$1048576,AD$2,FALSE)</f>
        <v>7177.324595</v>
      </c>
      <c r="AE33" s="320">
        <f>+VLOOKUP($E33,Hybrid!$1:$1048576,AE$2,FALSE)</f>
        <v>7227.7170050000004</v>
      </c>
      <c r="AF33" s="320">
        <f>+VLOOKUP($E33,Hybrid!$1:$1048576,AF$2,FALSE)</f>
        <v>7277.6033479999996</v>
      </c>
      <c r="AG33" s="320">
        <f>+VLOOKUP($E33,Hybrid!$1:$1048576,AG$2,FALSE)</f>
        <v>7326.8644670000003</v>
      </c>
      <c r="AH33" s="320">
        <f>+VLOOKUP($E33,Hybrid!$1:$1048576,AH$2,FALSE)</f>
        <v>7375.3937619999997</v>
      </c>
      <c r="AI33" s="320">
        <f>+VLOOKUP($E33,Hybrid!$1:$1048576,AI$2,FALSE)</f>
        <v>7423.0958760000003</v>
      </c>
      <c r="AJ33" s="320">
        <f>+VLOOKUP($E33,Hybrid!$1:$1048576,AJ$2,FALSE)</f>
        <v>7469.8854730000003</v>
      </c>
      <c r="AK33" s="320">
        <f>+VLOOKUP($E33,Hybrid!$1:$1048576,AK$2,FALSE)</f>
        <v>7515.6860820000002</v>
      </c>
      <c r="AL33" s="320">
        <f>+VLOOKUP($E33,Hybrid!$1:$1048576,AL$2,FALSE)</f>
        <v>7560.4290179999998</v>
      </c>
      <c r="AM33" s="320">
        <f>+VLOOKUP($E33,Hybrid!$1:$1048576,AM$2,FALSE)</f>
        <v>7604.0523620000004</v>
      </c>
      <c r="AN33" s="320">
        <f>+VLOOKUP($E33,Hybrid!$1:$1048576,AN$2,FALSE)</f>
        <v>7646.5000209999998</v>
      </c>
      <c r="AO33" s="320">
        <f>+VLOOKUP($E33,Hybrid!$1:$1048576,AO$2,FALSE)</f>
        <v>7687.7208369999998</v>
      </c>
    </row>
    <row r="34" spans="1:41" ht="15" customHeight="1" x14ac:dyDescent="0.25">
      <c r="A34" s="384"/>
      <c r="B34" s="383"/>
      <c r="C34" s="164"/>
      <c r="D34" s="120" t="s">
        <v>522</v>
      </c>
      <c r="E34" s="46" t="s">
        <v>361</v>
      </c>
      <c r="F34" s="320">
        <f>+VLOOKUP($E34,Hybrid!$1:$1048576,F$2,FALSE)</f>
        <v>4159.6639080000004</v>
      </c>
      <c r="G34" s="320">
        <f>+VLOOKUP($E34,Hybrid!$1:$1048576,G$2,FALSE)</f>
        <v>4055.1231299999999</v>
      </c>
      <c r="H34" s="320">
        <f>+VLOOKUP($E34,Hybrid!$1:$1048576,H$2,FALSE)</f>
        <v>3975.232931</v>
      </c>
      <c r="I34" s="320">
        <f>+VLOOKUP($E34,Hybrid!$1:$1048576,I$2,FALSE)</f>
        <v>3912.580833</v>
      </c>
      <c r="J34" s="320">
        <f>+VLOOKUP($E34,Hybrid!$1:$1048576,J$2,FALSE)</f>
        <v>3862.1234340000001</v>
      </c>
      <c r="K34" s="320">
        <f>+VLOOKUP($E34,Hybrid!$1:$1048576,K$2,FALSE)</f>
        <v>3820.4515780000002</v>
      </c>
      <c r="L34" s="320">
        <f>+VLOOKUP($E34,Hybrid!$1:$1048576,L$2,FALSE)</f>
        <v>3785.243532</v>
      </c>
      <c r="M34" s="320">
        <f>+VLOOKUP($E34,Hybrid!$1:$1048576,M$2,FALSE)</f>
        <v>3754.885698</v>
      </c>
      <c r="N34" s="320">
        <f>+VLOOKUP($E34,Hybrid!$1:$1048576,N$2,FALSE)</f>
        <v>3728.221814</v>
      </c>
      <c r="O34" s="320">
        <f>+VLOOKUP($E34,Hybrid!$1:$1048576,O$2,FALSE)</f>
        <v>3704.392398</v>
      </c>
      <c r="P34" s="320">
        <f>+VLOOKUP($E34,Hybrid!$1:$1048576,P$2,FALSE)</f>
        <v>3682.7340829999998</v>
      </c>
      <c r="Q34" s="320">
        <f>+VLOOKUP($E34,Hybrid!$1:$1048576,Q$2,FALSE)</f>
        <v>3662.7171469999998</v>
      </c>
      <c r="R34" s="320">
        <f>+VLOOKUP($E34,Hybrid!$1:$1048576,R$2,FALSE)</f>
        <v>3643.9066910000001</v>
      </c>
      <c r="S34" s="320">
        <f>+VLOOKUP($E34,Hybrid!$1:$1048576,S$2,FALSE)</f>
        <v>3625.9381819999999</v>
      </c>
      <c r="T34" s="320">
        <f>+VLOOKUP($E34,Hybrid!$1:$1048576,T$2,FALSE)</f>
        <v>3608.501608</v>
      </c>
      <c r="U34" s="320">
        <f>+VLOOKUP($E34,Hybrid!$1:$1048576,U$2,FALSE)</f>
        <v>3591.3308040000002</v>
      </c>
      <c r="V34" s="320">
        <f>+VLOOKUP($E34,Hybrid!$1:$1048576,V$2,FALSE)</f>
        <v>3574.1959099999999</v>
      </c>
      <c r="W34" s="320">
        <f>+VLOOKUP($E34,Hybrid!$1:$1048576,W$2,FALSE)</f>
        <v>3556.897802</v>
      </c>
      <c r="X34" s="320">
        <f>+VLOOKUP($E34,Hybrid!$1:$1048576,X$2,FALSE)</f>
        <v>3539.263817</v>
      </c>
      <c r="Y34" s="320">
        <f>+VLOOKUP($E34,Hybrid!$1:$1048576,Y$2,FALSE)</f>
        <v>3521.1443530000001</v>
      </c>
      <c r="Z34" s="320">
        <f>+VLOOKUP($E34,Hybrid!$1:$1048576,Z$2,FALSE)</f>
        <v>3502.4101219999998</v>
      </c>
      <c r="AA34" s="320">
        <f>+VLOOKUP($E34,Hybrid!$1:$1048576,AA$2,FALSE)</f>
        <v>3482.9498749999998</v>
      </c>
      <c r="AB34" s="320">
        <f>+VLOOKUP($E34,Hybrid!$1:$1048576,AB$2,FALSE)</f>
        <v>3462.668494</v>
      </c>
      <c r="AC34" s="320">
        <f>+VLOOKUP($E34,Hybrid!$1:$1048576,AC$2,FALSE)</f>
        <v>3441.4853720000001</v>
      </c>
      <c r="AD34" s="320">
        <f>+VLOOKUP($E34,Hybrid!$1:$1048576,AD$2,FALSE)</f>
        <v>3419.3330099999998</v>
      </c>
      <c r="AE34" s="320">
        <f>+VLOOKUP($E34,Hybrid!$1:$1048576,AE$2,FALSE)</f>
        <v>3396.1557819999998</v>
      </c>
      <c r="AF34" s="320">
        <f>+VLOOKUP($E34,Hybrid!$1:$1048576,AF$2,FALSE)</f>
        <v>3371.9088350000002</v>
      </c>
      <c r="AG34" s="320">
        <f>+VLOOKUP($E34,Hybrid!$1:$1048576,AG$2,FALSE)</f>
        <v>3346.5571</v>
      </c>
      <c r="AH34" s="320">
        <f>+VLOOKUP($E34,Hybrid!$1:$1048576,AH$2,FALSE)</f>
        <v>3320.0743790000001</v>
      </c>
      <c r="AI34" s="320">
        <f>+VLOOKUP($E34,Hybrid!$1:$1048576,AI$2,FALSE)</f>
        <v>3292.4425150000002</v>
      </c>
      <c r="AJ34" s="320">
        <f>+VLOOKUP($E34,Hybrid!$1:$1048576,AJ$2,FALSE)</f>
        <v>3263.6506209999998</v>
      </c>
      <c r="AK34" s="320">
        <f>+VLOOKUP($E34,Hybrid!$1:$1048576,AK$2,FALSE)</f>
        <v>3233.6943660000002</v>
      </c>
      <c r="AL34" s="320">
        <f>+VLOOKUP($E34,Hybrid!$1:$1048576,AL$2,FALSE)</f>
        <v>3202.5753220000001</v>
      </c>
      <c r="AM34" s="320">
        <f>+VLOOKUP($E34,Hybrid!$1:$1048576,AM$2,FALSE)</f>
        <v>3170.300358</v>
      </c>
      <c r="AN34" s="320">
        <f>+VLOOKUP($E34,Hybrid!$1:$1048576,AN$2,FALSE)</f>
        <v>3136.8810910000002</v>
      </c>
      <c r="AO34" s="320">
        <f>+VLOOKUP($E34,Hybrid!$1:$1048576,AO$2,FALSE)</f>
        <v>3102.3333859999998</v>
      </c>
    </row>
    <row r="35" spans="1:41" ht="15" customHeight="1" x14ac:dyDescent="0.25">
      <c r="A35" s="384"/>
      <c r="B35" s="383"/>
      <c r="C35" s="164"/>
      <c r="D35" s="120" t="s">
        <v>523</v>
      </c>
      <c r="E35" s="46" t="s">
        <v>362</v>
      </c>
      <c r="F35" s="320">
        <f>+VLOOKUP($E35,Hybrid!$1:$1048576,F$2,FALSE)</f>
        <v>2503.7292430000002</v>
      </c>
      <c r="G35" s="320">
        <f>+VLOOKUP($E35,Hybrid!$1:$1048576,G$2,FALSE)</f>
        <v>2443.05404</v>
      </c>
      <c r="H35" s="320">
        <f>+VLOOKUP($E35,Hybrid!$1:$1048576,H$2,FALSE)</f>
        <v>2396.1449859999998</v>
      </c>
      <c r="I35" s="320">
        <f>+VLOOKUP($E35,Hybrid!$1:$1048576,I$2,FALSE)</f>
        <v>2358.2744779999998</v>
      </c>
      <c r="J35" s="320">
        <f>+VLOOKUP($E35,Hybrid!$1:$1048576,J$2,FALSE)</f>
        <v>2326.3078700000001</v>
      </c>
      <c r="K35" s="320">
        <f>+VLOOKUP($E35,Hybrid!$1:$1048576,K$2,FALSE)</f>
        <v>2298.1903590000002</v>
      </c>
      <c r="L35" s="320">
        <f>+VLOOKUP($E35,Hybrid!$1:$1048576,L$2,FALSE)</f>
        <v>2272.5717709999999</v>
      </c>
      <c r="M35" s="320">
        <f>+VLOOKUP($E35,Hybrid!$1:$1048576,M$2,FALSE)</f>
        <v>2248.5515999999998</v>
      </c>
      <c r="N35" s="320">
        <f>+VLOOKUP($E35,Hybrid!$1:$1048576,N$2,FALSE)</f>
        <v>2225.5139140000001</v>
      </c>
      <c r="O35" s="320">
        <f>+VLOOKUP($E35,Hybrid!$1:$1048576,O$2,FALSE)</f>
        <v>2203.023839</v>
      </c>
      <c r="P35" s="320">
        <f>+VLOOKUP($E35,Hybrid!$1:$1048576,P$2,FALSE)</f>
        <v>2180.7639549999999</v>
      </c>
      <c r="Q35" s="320">
        <f>+VLOOKUP($E35,Hybrid!$1:$1048576,Q$2,FALSE)</f>
        <v>2158.4955650000002</v>
      </c>
      <c r="R35" s="320">
        <f>+VLOOKUP($E35,Hybrid!$1:$1048576,R$2,FALSE)</f>
        <v>2136.0350469999998</v>
      </c>
      <c r="S35" s="320">
        <f>+VLOOKUP($E35,Hybrid!$1:$1048576,S$2,FALSE)</f>
        <v>2113.2391520000001</v>
      </c>
      <c r="T35" s="320">
        <f>+VLOOKUP($E35,Hybrid!$1:$1048576,T$2,FALSE)</f>
        <v>2089.9955719999998</v>
      </c>
      <c r="U35" s="320">
        <f>+VLOOKUP($E35,Hybrid!$1:$1048576,U$2,FALSE)</f>
        <v>2066.2166120000002</v>
      </c>
      <c r="V35" s="320">
        <f>+VLOOKUP($E35,Hybrid!$1:$1048576,V$2,FALSE)</f>
        <v>2041.834726</v>
      </c>
      <c r="W35" s="320">
        <f>+VLOOKUP($E35,Hybrid!$1:$1048576,W$2,FALSE)</f>
        <v>2016.799209</v>
      </c>
      <c r="X35" s="320">
        <f>+VLOOKUP($E35,Hybrid!$1:$1048576,X$2,FALSE)</f>
        <v>1991.0736569999999</v>
      </c>
      <c r="Y35" s="320">
        <f>+VLOOKUP($E35,Hybrid!$1:$1048576,Y$2,FALSE)</f>
        <v>1964.6339390000001</v>
      </c>
      <c r="Z35" s="320">
        <f>+VLOOKUP($E35,Hybrid!$1:$1048576,Z$2,FALSE)</f>
        <v>1937.4665560000001</v>
      </c>
      <c r="AA35" s="320">
        <f>+VLOOKUP($E35,Hybrid!$1:$1048576,AA$2,FALSE)</f>
        <v>1909.5672770000001</v>
      </c>
      <c r="AB35" s="320">
        <f>+VLOOKUP($E35,Hybrid!$1:$1048576,AB$2,FALSE)</f>
        <v>1880.9399940000001</v>
      </c>
      <c r="AC35" s="320">
        <f>+VLOOKUP($E35,Hybrid!$1:$1048576,AC$2,FALSE)</f>
        <v>1851.595738</v>
      </c>
      <c r="AD35" s="320">
        <f>+VLOOKUP($E35,Hybrid!$1:$1048576,AD$2,FALSE)</f>
        <v>1821.5518219999999</v>
      </c>
      <c r="AE35" s="320">
        <f>+VLOOKUP($E35,Hybrid!$1:$1048576,AE$2,FALSE)</f>
        <v>1790.8310879999999</v>
      </c>
      <c r="AF35" s="320">
        <f>+VLOOKUP($E35,Hybrid!$1:$1048576,AF$2,FALSE)</f>
        <v>1759.4612159999999</v>
      </c>
      <c r="AG35" s="320">
        <f>+VLOOKUP($E35,Hybrid!$1:$1048576,AG$2,FALSE)</f>
        <v>1727.4741120000001</v>
      </c>
      <c r="AH35" s="320">
        <f>+VLOOKUP($E35,Hybrid!$1:$1048576,AH$2,FALSE)</f>
        <v>1694.9053369999999</v>
      </c>
      <c r="AI35" s="320">
        <f>+VLOOKUP($E35,Hybrid!$1:$1048576,AI$2,FALSE)</f>
        <v>1661.7935769999999</v>
      </c>
      <c r="AJ35" s="320">
        <f>+VLOOKUP($E35,Hybrid!$1:$1048576,AJ$2,FALSE)</f>
        <v>1628.1801620000001</v>
      </c>
      <c r="AK35" s="320">
        <f>+VLOOKUP($E35,Hybrid!$1:$1048576,AK$2,FALSE)</f>
        <v>1594.1086150000001</v>
      </c>
      <c r="AL35" s="320">
        <f>+VLOOKUP($E35,Hybrid!$1:$1048576,AL$2,FALSE)</f>
        <v>1559.624239</v>
      </c>
      <c r="AM35" s="320">
        <f>+VLOOKUP($E35,Hybrid!$1:$1048576,AM$2,FALSE)</f>
        <v>1524.773735</v>
      </c>
      <c r="AN35" s="320">
        <f>+VLOOKUP($E35,Hybrid!$1:$1048576,AN$2,FALSE)</f>
        <v>1489.604855</v>
      </c>
      <c r="AO35" s="320">
        <f>+VLOOKUP($E35,Hybrid!$1:$1048576,AO$2,FALSE)</f>
        <v>1454.1660850000001</v>
      </c>
    </row>
    <row r="36" spans="1:41" ht="15" customHeight="1" x14ac:dyDescent="0.25">
      <c r="A36" s="384"/>
      <c r="B36" s="383"/>
      <c r="C36" s="164"/>
      <c r="D36" s="120" t="s">
        <v>524</v>
      </c>
      <c r="E36" s="46" t="s">
        <v>363</v>
      </c>
      <c r="F36" s="320">
        <f>+VLOOKUP($E36,Hybrid!$1:$1048576,F$2,FALSE)</f>
        <v>1243.6668460000001</v>
      </c>
      <c r="G36" s="320">
        <f>+VLOOKUP($E36,Hybrid!$1:$1048576,G$2,FALSE)</f>
        <v>1210.6549419999999</v>
      </c>
      <c r="H36" s="320">
        <f>+VLOOKUP($E36,Hybrid!$1:$1048576,H$2,FALSE)</f>
        <v>1182.747584</v>
      </c>
      <c r="I36" s="320">
        <f>+VLOOKUP($E36,Hybrid!$1:$1048576,I$2,FALSE)</f>
        <v>1157.3994600000001</v>
      </c>
      <c r="J36" s="320">
        <f>+VLOOKUP($E36,Hybrid!$1:$1048576,J$2,FALSE)</f>
        <v>1133.082864</v>
      </c>
      <c r="K36" s="320">
        <f>+VLOOKUP($E36,Hybrid!$1:$1048576,K$2,FALSE)</f>
        <v>1108.924158</v>
      </c>
      <c r="L36" s="320">
        <f>+VLOOKUP($E36,Hybrid!$1:$1048576,L$2,FALSE)</f>
        <v>1084.4505790000001</v>
      </c>
      <c r="M36" s="320">
        <f>+VLOOKUP($E36,Hybrid!$1:$1048576,M$2,FALSE)</f>
        <v>1059.4277460000001</v>
      </c>
      <c r="N36" s="320">
        <f>+VLOOKUP($E36,Hybrid!$1:$1048576,N$2,FALSE)</f>
        <v>1033.760544</v>
      </c>
      <c r="O36" s="320">
        <f>+VLOOKUP($E36,Hybrid!$1:$1048576,O$2,FALSE)</f>
        <v>1007.434588</v>
      </c>
      <c r="P36" s="320">
        <f>+VLOOKUP($E36,Hybrid!$1:$1048576,P$2,FALSE)</f>
        <v>980.48231669999996</v>
      </c>
      <c r="Q36" s="320">
        <f>+VLOOKUP($E36,Hybrid!$1:$1048576,Q$2,FALSE)</f>
        <v>952.96343330000002</v>
      </c>
      <c r="R36" s="320">
        <f>+VLOOKUP($E36,Hybrid!$1:$1048576,R$2,FALSE)</f>
        <v>924.95350269999994</v>
      </c>
      <c r="S36" s="320">
        <f>+VLOOKUP($E36,Hybrid!$1:$1048576,S$2,FALSE)</f>
        <v>896.53710699999999</v>
      </c>
      <c r="T36" s="320">
        <f>+VLOOKUP($E36,Hybrid!$1:$1048576,T$2,FALSE)</f>
        <v>867.80354409999995</v>
      </c>
      <c r="U36" s="320">
        <f>+VLOOKUP($E36,Hybrid!$1:$1048576,U$2,FALSE)</f>
        <v>838.84397420000005</v>
      </c>
      <c r="V36" s="320">
        <f>+VLOOKUP($E36,Hybrid!$1:$1048576,V$2,FALSE)</f>
        <v>809.74942620000002</v>
      </c>
      <c r="W36" s="320">
        <f>+VLOOKUP($E36,Hybrid!$1:$1048576,W$2,FALSE)</f>
        <v>780.60934850000001</v>
      </c>
      <c r="X36" s="320">
        <f>+VLOOKUP($E36,Hybrid!$1:$1048576,X$2,FALSE)</f>
        <v>751.51053019999995</v>
      </c>
      <c r="Y36" s="320">
        <f>+VLOOKUP($E36,Hybrid!$1:$1048576,Y$2,FALSE)</f>
        <v>722.53628949999995</v>
      </c>
      <c r="Z36" s="320">
        <f>+VLOOKUP($E36,Hybrid!$1:$1048576,Z$2,FALSE)</f>
        <v>693.76586459999999</v>
      </c>
      <c r="AA36" s="320">
        <f>+VLOOKUP($E36,Hybrid!$1:$1048576,AA$2,FALSE)</f>
        <v>665.27396150000004</v>
      </c>
      <c r="AB36" s="320">
        <f>+VLOOKUP($E36,Hybrid!$1:$1048576,AB$2,FALSE)</f>
        <v>637.13042619999999</v>
      </c>
      <c r="AC36" s="320">
        <f>+VLOOKUP($E36,Hybrid!$1:$1048576,AC$2,FALSE)</f>
        <v>609.40001570000004</v>
      </c>
      <c r="AD36" s="320">
        <f>+VLOOKUP($E36,Hybrid!$1:$1048576,AD$2,FALSE)</f>
        <v>582.14224999999999</v>
      </c>
      <c r="AE36" s="320">
        <f>+VLOOKUP($E36,Hybrid!$1:$1048576,AE$2,FALSE)</f>
        <v>555.41133009999999</v>
      </c>
      <c r="AF36" s="320">
        <f>+VLOOKUP($E36,Hybrid!$1:$1048576,AF$2,FALSE)</f>
        <v>529.25611179999999</v>
      </c>
      <c r="AG36" s="320">
        <f>+VLOOKUP($E36,Hybrid!$1:$1048576,AG$2,FALSE)</f>
        <v>503.72012810000001</v>
      </c>
      <c r="AH36" s="320">
        <f>+VLOOKUP($E36,Hybrid!$1:$1048576,AH$2,FALSE)</f>
        <v>478.8416527</v>
      </c>
      <c r="AI36" s="320">
        <f>+VLOOKUP($E36,Hybrid!$1:$1048576,AI$2,FALSE)</f>
        <v>454.6538008</v>
      </c>
      <c r="AJ36" s="320">
        <f>+VLOOKUP($E36,Hybrid!$1:$1048576,AJ$2,FALSE)</f>
        <v>431.184662</v>
      </c>
      <c r="AK36" s="320">
        <f>+VLOOKUP($E36,Hybrid!$1:$1048576,AK$2,FALSE)</f>
        <v>408.4574624</v>
      </c>
      <c r="AL36" s="320">
        <f>+VLOOKUP($E36,Hybrid!$1:$1048576,AL$2,FALSE)</f>
        <v>386.49075110000001</v>
      </c>
      <c r="AM36" s="320">
        <f>+VLOOKUP($E36,Hybrid!$1:$1048576,AM$2,FALSE)</f>
        <v>365.2986085</v>
      </c>
      <c r="AN36" s="320">
        <f>+VLOOKUP($E36,Hybrid!$1:$1048576,AN$2,FALSE)</f>
        <v>344.89087239999998</v>
      </c>
      <c r="AO36" s="320">
        <f>+VLOOKUP($E36,Hybrid!$1:$1048576,AO$2,FALSE)</f>
        <v>325.27337849999998</v>
      </c>
    </row>
    <row r="37" spans="1:41" ht="15" customHeight="1" x14ac:dyDescent="0.25">
      <c r="A37" s="384"/>
      <c r="B37" s="383"/>
      <c r="C37" s="164"/>
      <c r="D37" s="120" t="s">
        <v>525</v>
      </c>
      <c r="E37" s="46" t="s">
        <v>364</v>
      </c>
      <c r="F37" s="320">
        <f>+VLOOKUP($E37,Hybrid!$1:$1048576,F$2,FALSE)</f>
        <v>2239.620606</v>
      </c>
      <c r="G37" s="320">
        <f>+VLOOKUP($E37,Hybrid!$1:$1048576,G$2,FALSE)</f>
        <v>2183.255905</v>
      </c>
      <c r="H37" s="320">
        <f>+VLOOKUP($E37,Hybrid!$1:$1048576,H$2,FALSE)</f>
        <v>2133.1945719999999</v>
      </c>
      <c r="I37" s="320">
        <f>+VLOOKUP($E37,Hybrid!$1:$1048576,I$2,FALSE)</f>
        <v>2084.5006480000002</v>
      </c>
      <c r="J37" s="320">
        <f>+VLOOKUP($E37,Hybrid!$1:$1048576,J$2,FALSE)</f>
        <v>2034.5554790000001</v>
      </c>
      <c r="K37" s="320">
        <f>+VLOOKUP($E37,Hybrid!$1:$1048576,K$2,FALSE)</f>
        <v>1982.1610049999999</v>
      </c>
      <c r="L37" s="320">
        <f>+VLOOKUP($E37,Hybrid!$1:$1048576,L$2,FALSE)</f>
        <v>1926.93686</v>
      </c>
      <c r="M37" s="320">
        <f>+VLOOKUP($E37,Hybrid!$1:$1048576,M$2,FALSE)</f>
        <v>1868.9489080000001</v>
      </c>
      <c r="N37" s="320">
        <f>+VLOOKUP($E37,Hybrid!$1:$1048576,N$2,FALSE)</f>
        <v>1808.492602</v>
      </c>
      <c r="O37" s="320">
        <f>+VLOOKUP($E37,Hybrid!$1:$1048576,O$2,FALSE)</f>
        <v>1745.9712300000001</v>
      </c>
      <c r="P37" s="320">
        <f>+VLOOKUP($E37,Hybrid!$1:$1048576,P$2,FALSE)</f>
        <v>1681.829168</v>
      </c>
      <c r="Q37" s="320">
        <f>+VLOOKUP($E37,Hybrid!$1:$1048576,Q$2,FALSE)</f>
        <v>1616.515836</v>
      </c>
      <c r="R37" s="320">
        <f>+VLOOKUP($E37,Hybrid!$1:$1048576,R$2,FALSE)</f>
        <v>1550.466347</v>
      </c>
      <c r="S37" s="320">
        <f>+VLOOKUP($E37,Hybrid!$1:$1048576,S$2,FALSE)</f>
        <v>1484.0911450000001</v>
      </c>
      <c r="T37" s="320">
        <f>+VLOOKUP($E37,Hybrid!$1:$1048576,T$2,FALSE)</f>
        <v>1417.7705080000001</v>
      </c>
      <c r="U37" s="320">
        <f>+VLOOKUP($E37,Hybrid!$1:$1048576,U$2,FALSE)</f>
        <v>1351.8517790000001</v>
      </c>
      <c r="V37" s="320">
        <f>+VLOOKUP($E37,Hybrid!$1:$1048576,V$2,FALSE)</f>
        <v>1286.6482120000001</v>
      </c>
      <c r="W37" s="320">
        <f>+VLOOKUP($E37,Hybrid!$1:$1048576,W$2,FALSE)</f>
        <v>1222.4388469999999</v>
      </c>
      <c r="X37" s="320">
        <f>+VLOOKUP($E37,Hybrid!$1:$1048576,X$2,FALSE)</f>
        <v>1159.4690720000001</v>
      </c>
      <c r="Y37" s="320">
        <f>+VLOOKUP($E37,Hybrid!$1:$1048576,Y$2,FALSE)</f>
        <v>1097.951673</v>
      </c>
      <c r="Z37" s="320">
        <f>+VLOOKUP($E37,Hybrid!$1:$1048576,Z$2,FALSE)</f>
        <v>1038.0682320000001</v>
      </c>
      <c r="AA37" s="320">
        <f>+VLOOKUP($E37,Hybrid!$1:$1048576,AA$2,FALSE)</f>
        <v>979.97076800000002</v>
      </c>
      <c r="AB37" s="320">
        <f>+VLOOKUP($E37,Hybrid!$1:$1048576,AB$2,FALSE)</f>
        <v>923.78353949999996</v>
      </c>
      <c r="AC37" s="320">
        <f>+VLOOKUP($E37,Hybrid!$1:$1048576,AC$2,FALSE)</f>
        <v>869.6049567</v>
      </c>
      <c r="AD37" s="320">
        <f>+VLOOKUP($E37,Hybrid!$1:$1048576,AD$2,FALSE)</f>
        <v>817.50954709999996</v>
      </c>
      <c r="AE37" s="320">
        <f>+VLOOKUP($E37,Hybrid!$1:$1048576,AE$2,FALSE)</f>
        <v>767.54994399999998</v>
      </c>
      <c r="AF37" s="320">
        <f>+VLOOKUP($E37,Hybrid!$1:$1048576,AF$2,FALSE)</f>
        <v>719.75886479999997</v>
      </c>
      <c r="AG37" s="320">
        <f>+VLOOKUP($E37,Hybrid!$1:$1048576,AG$2,FALSE)</f>
        <v>674.1510591</v>
      </c>
      <c r="AH37" s="320">
        <f>+VLOOKUP($E37,Hybrid!$1:$1048576,AH$2,FALSE)</f>
        <v>630.72520759999998</v>
      </c>
      <c r="AI37" s="320">
        <f>+VLOOKUP($E37,Hybrid!$1:$1048576,AI$2,FALSE)</f>
        <v>589.4657555</v>
      </c>
      <c r="AJ37" s="320">
        <f>+VLOOKUP($E37,Hybrid!$1:$1048576,AJ$2,FALSE)</f>
        <v>550.34467140000004</v>
      </c>
      <c r="AK37" s="320">
        <f>+VLOOKUP($E37,Hybrid!$1:$1048576,AK$2,FALSE)</f>
        <v>513.32311849999996</v>
      </c>
      <c r="AL37" s="320">
        <f>+VLOOKUP($E37,Hybrid!$1:$1048576,AL$2,FALSE)</f>
        <v>478.3530331</v>
      </c>
      <c r="AM37" s="320">
        <f>+VLOOKUP($E37,Hybrid!$1:$1048576,AM$2,FALSE)</f>
        <v>445.37860369999999</v>
      </c>
      <c r="AN37" s="320">
        <f>+VLOOKUP($E37,Hybrid!$1:$1048576,AN$2,FALSE)</f>
        <v>414.33764600000001</v>
      </c>
      <c r="AO37" s="320">
        <f>+VLOOKUP($E37,Hybrid!$1:$1048576,AO$2,FALSE)</f>
        <v>385.16287219999998</v>
      </c>
    </row>
    <row r="38" spans="1:41" s="108" customFormat="1" ht="15" customHeight="1" x14ac:dyDescent="0.25">
      <c r="A38" s="384"/>
      <c r="B38" s="383"/>
      <c r="C38" s="118" t="s">
        <v>802</v>
      </c>
      <c r="D38" s="119"/>
      <c r="E38" s="88" t="s">
        <v>365</v>
      </c>
      <c r="F38" s="319">
        <f>+VLOOKUP($E38,Hybrid!$1:$1048576,F$2,FALSE)</f>
        <v>44.765000000000001</v>
      </c>
      <c r="G38" s="319">
        <f>+VLOOKUP($E38,Hybrid!$1:$1048576,G$2,FALSE)</f>
        <v>62.448716269999998</v>
      </c>
      <c r="H38" s="319">
        <f>+VLOOKUP($E38,Hybrid!$1:$1048576,H$2,FALSE)</f>
        <v>80.96397125</v>
      </c>
      <c r="I38" s="319">
        <f>+VLOOKUP($E38,Hybrid!$1:$1048576,I$2,FALSE)</f>
        <v>99.823967240000002</v>
      </c>
      <c r="J38" s="319">
        <f>+VLOOKUP($E38,Hybrid!$1:$1048576,J$2,FALSE)</f>
        <v>118.71771630000001</v>
      </c>
      <c r="K38" s="319">
        <f>+VLOOKUP($E38,Hybrid!$1:$1048576,K$2,FALSE)</f>
        <v>137.45419670000001</v>
      </c>
      <c r="L38" s="319">
        <f>+VLOOKUP($E38,Hybrid!$1:$1048576,L$2,FALSE)</f>
        <v>155.92054479999999</v>
      </c>
      <c r="M38" s="319">
        <f>+VLOOKUP($E38,Hybrid!$1:$1048576,M$2,FALSE)</f>
        <v>174.05323809999999</v>
      </c>
      <c r="N38" s="319">
        <f>+VLOOKUP($E38,Hybrid!$1:$1048576,N$2,FALSE)</f>
        <v>191.819312</v>
      </c>
      <c r="O38" s="319">
        <f>+VLOOKUP($E38,Hybrid!$1:$1048576,O$2,FALSE)</f>
        <v>209.20456300000001</v>
      </c>
      <c r="P38" s="319">
        <f>+VLOOKUP($E38,Hybrid!$1:$1048576,P$2,FALSE)</f>
        <v>226.20631040000001</v>
      </c>
      <c r="Q38" s="319">
        <f>+VLOOKUP($E38,Hybrid!$1:$1048576,Q$2,FALSE)</f>
        <v>242.8290054</v>
      </c>
      <c r="R38" s="319">
        <f>+VLOOKUP($E38,Hybrid!$1:$1048576,R$2,FALSE)</f>
        <v>259.08157080000001</v>
      </c>
      <c r="S38" s="319">
        <f>+VLOOKUP($E38,Hybrid!$1:$1048576,S$2,FALSE)</f>
        <v>274.9757745</v>
      </c>
      <c r="T38" s="319">
        <f>+VLOOKUP($E38,Hybrid!$1:$1048576,T$2,FALSE)</f>
        <v>290.52522199999999</v>
      </c>
      <c r="U38" s="319">
        <f>+VLOOKUP($E38,Hybrid!$1:$1048576,U$2,FALSE)</f>
        <v>305.74471920000002</v>
      </c>
      <c r="V38" s="319">
        <f>+VLOOKUP($E38,Hybrid!$1:$1048576,V$2,FALSE)</f>
        <v>320.64986579999999</v>
      </c>
      <c r="W38" s="319">
        <f>+VLOOKUP($E38,Hybrid!$1:$1048576,W$2,FALSE)</f>
        <v>335.25679709999997</v>
      </c>
      <c r="X38" s="319">
        <f>+VLOOKUP($E38,Hybrid!$1:$1048576,X$2,FALSE)</f>
        <v>349.58202449999999</v>
      </c>
      <c r="Y38" s="319">
        <f>+VLOOKUP($E38,Hybrid!$1:$1048576,Y$2,FALSE)</f>
        <v>363.64234420000003</v>
      </c>
      <c r="Z38" s="319">
        <f>+VLOOKUP($E38,Hybrid!$1:$1048576,Z$2,FALSE)</f>
        <v>377.45479499999999</v>
      </c>
      <c r="AA38" s="319">
        <f>+VLOOKUP($E38,Hybrid!$1:$1048576,AA$2,FALSE)</f>
        <v>391.03665089999998</v>
      </c>
      <c r="AB38" s="319">
        <f>+VLOOKUP($E38,Hybrid!$1:$1048576,AB$2,FALSE)</f>
        <v>404.40544</v>
      </c>
      <c r="AC38" s="319">
        <f>+VLOOKUP($E38,Hybrid!$1:$1048576,AC$2,FALSE)</f>
        <v>417.57898280000001</v>
      </c>
      <c r="AD38" s="319">
        <f>+VLOOKUP($E38,Hybrid!$1:$1048576,AD$2,FALSE)</f>
        <v>430.57544489999998</v>
      </c>
      <c r="AE38" s="319">
        <f>+VLOOKUP($E38,Hybrid!$1:$1048576,AE$2,FALSE)</f>
        <v>443.41340109999999</v>
      </c>
      <c r="AF38" s="319">
        <f>+VLOOKUP($E38,Hybrid!$1:$1048576,AF$2,FALSE)</f>
        <v>456.11190629999999</v>
      </c>
      <c r="AG38" s="319">
        <f>+VLOOKUP($E38,Hybrid!$1:$1048576,AG$2,FALSE)</f>
        <v>468.69057370000002</v>
      </c>
      <c r="AH38" s="319">
        <f>+VLOOKUP($E38,Hybrid!$1:$1048576,AH$2,FALSE)</f>
        <v>481.16965679999998</v>
      </c>
      <c r="AI38" s="319">
        <f>+VLOOKUP($E38,Hybrid!$1:$1048576,AI$2,FALSE)</f>
        <v>493.57013669999998</v>
      </c>
      <c r="AJ38" s="319">
        <f>+VLOOKUP($E38,Hybrid!$1:$1048576,AJ$2,FALSE)</f>
        <v>505.91381250000001</v>
      </c>
      <c r="AK38" s="319">
        <f>+VLOOKUP($E38,Hybrid!$1:$1048576,AK$2,FALSE)</f>
        <v>518.22339710000006</v>
      </c>
      <c r="AL38" s="319">
        <f>+VLOOKUP($E38,Hybrid!$1:$1048576,AL$2,FALSE)</f>
        <v>530.5226169</v>
      </c>
      <c r="AM38" s="319">
        <f>+VLOOKUP($E38,Hybrid!$1:$1048576,AM$2,FALSE)</f>
        <v>542.83631739999998</v>
      </c>
      <c r="AN38" s="319">
        <f>+VLOOKUP($E38,Hybrid!$1:$1048576,AN$2,FALSE)</f>
        <v>555.19057529999998</v>
      </c>
      <c r="AO38" s="319">
        <f>+VLOOKUP($E38,Hybrid!$1:$1048576,AO$2,FALSE)</f>
        <v>567.61281750000001</v>
      </c>
    </row>
    <row r="39" spans="1:41" ht="15" customHeight="1" x14ac:dyDescent="0.25">
      <c r="A39" s="384"/>
      <c r="B39" s="383"/>
      <c r="C39" s="164"/>
      <c r="D39" s="120" t="s">
        <v>519</v>
      </c>
      <c r="E39" s="46" t="s">
        <v>366</v>
      </c>
      <c r="F39" s="320">
        <f>+VLOOKUP($E39,Hybrid!$1:$1048576,F$2,FALSE)</f>
        <v>9.8427898650000003</v>
      </c>
      <c r="G39" s="320">
        <f>+VLOOKUP($E39,Hybrid!$1:$1048576,G$2,FALSE)</f>
        <v>14.99081578</v>
      </c>
      <c r="H39" s="320">
        <f>+VLOOKUP($E39,Hybrid!$1:$1048576,H$2,FALSE)</f>
        <v>20.42298388</v>
      </c>
      <c r="I39" s="320">
        <f>+VLOOKUP($E39,Hybrid!$1:$1048576,I$2,FALSE)</f>
        <v>26.012772640000001</v>
      </c>
      <c r="J39" s="320">
        <f>+VLOOKUP($E39,Hybrid!$1:$1048576,J$2,FALSE)</f>
        <v>31.67694968</v>
      </c>
      <c r="K39" s="320">
        <f>+VLOOKUP($E39,Hybrid!$1:$1048576,K$2,FALSE)</f>
        <v>37.362607220000001</v>
      </c>
      <c r="L39" s="320">
        <f>+VLOOKUP($E39,Hybrid!$1:$1048576,L$2,FALSE)</f>
        <v>43.037132409999998</v>
      </c>
      <c r="M39" s="320">
        <f>+VLOOKUP($E39,Hybrid!$1:$1048576,M$2,FALSE)</f>
        <v>48.681062070000003</v>
      </c>
      <c r="N39" s="320">
        <f>+VLOOKUP($E39,Hybrid!$1:$1048576,N$2,FALSE)</f>
        <v>54.283284770000002</v>
      </c>
      <c r="O39" s="320">
        <f>+VLOOKUP($E39,Hybrid!$1:$1048576,O$2,FALSE)</f>
        <v>59.837947139999997</v>
      </c>
      <c r="P39" s="320">
        <f>+VLOOKUP($E39,Hybrid!$1:$1048576,P$2,FALSE)</f>
        <v>65.342511110000004</v>
      </c>
      <c r="Q39" s="320">
        <f>+VLOOKUP($E39,Hybrid!$1:$1048576,Q$2,FALSE)</f>
        <v>70.796552160000005</v>
      </c>
      <c r="R39" s="320">
        <f>+VLOOKUP($E39,Hybrid!$1:$1048576,R$2,FALSE)</f>
        <v>76.201020200000002</v>
      </c>
      <c r="S39" s="320">
        <f>+VLOOKUP($E39,Hybrid!$1:$1048576,S$2,FALSE)</f>
        <v>81.557783619999995</v>
      </c>
      <c r="T39" s="320">
        <f>+VLOOKUP($E39,Hybrid!$1:$1048576,T$2,FALSE)</f>
        <v>86.869346559999997</v>
      </c>
      <c r="U39" s="320">
        <f>+VLOOKUP($E39,Hybrid!$1:$1048576,U$2,FALSE)</f>
        <v>92.138671560000006</v>
      </c>
      <c r="V39" s="320">
        <f>+VLOOKUP($E39,Hybrid!$1:$1048576,V$2,FALSE)</f>
        <v>97.369068650000003</v>
      </c>
      <c r="W39" s="320">
        <f>+VLOOKUP($E39,Hybrid!$1:$1048576,W$2,FALSE)</f>
        <v>102.5641272</v>
      </c>
      <c r="X39" s="320">
        <f>+VLOOKUP($E39,Hybrid!$1:$1048576,X$2,FALSE)</f>
        <v>107.7276766</v>
      </c>
      <c r="Y39" s="320">
        <f>+VLOOKUP($E39,Hybrid!$1:$1048576,Y$2,FALSE)</f>
        <v>112.8637671</v>
      </c>
      <c r="Z39" s="320">
        <f>+VLOOKUP($E39,Hybrid!$1:$1048576,Z$2,FALSE)</f>
        <v>117.9766642</v>
      </c>
      <c r="AA39" s="320">
        <f>+VLOOKUP($E39,Hybrid!$1:$1048576,AA$2,FALSE)</f>
        <v>123.0708537</v>
      </c>
      <c r="AB39" s="320">
        <f>+VLOOKUP($E39,Hybrid!$1:$1048576,AB$2,FALSE)</f>
        <v>128.1510553</v>
      </c>
      <c r="AC39" s="320">
        <f>+VLOOKUP($E39,Hybrid!$1:$1048576,AC$2,FALSE)</f>
        <v>133.22224080000001</v>
      </c>
      <c r="AD39" s="320">
        <f>+VLOOKUP($E39,Hybrid!$1:$1048576,AD$2,FALSE)</f>
        <v>138.2896585</v>
      </c>
      <c r="AE39" s="320">
        <f>+VLOOKUP($E39,Hybrid!$1:$1048576,AE$2,FALSE)</f>
        <v>143.3588603</v>
      </c>
      <c r="AF39" s="320">
        <f>+VLOOKUP($E39,Hybrid!$1:$1048576,AF$2,FALSE)</f>
        <v>148.43573280000001</v>
      </c>
      <c r="AG39" s="320">
        <f>+VLOOKUP($E39,Hybrid!$1:$1048576,AG$2,FALSE)</f>
        <v>153.52652990000001</v>
      </c>
      <c r="AH39" s="320">
        <f>+VLOOKUP($E39,Hybrid!$1:$1048576,AH$2,FALSE)</f>
        <v>158.63790850000001</v>
      </c>
      <c r="AI39" s="320">
        <f>+VLOOKUP($E39,Hybrid!$1:$1048576,AI$2,FALSE)</f>
        <v>163.7769668</v>
      </c>
      <c r="AJ39" s="320">
        <f>+VLOOKUP($E39,Hybrid!$1:$1048576,AJ$2,FALSE)</f>
        <v>168.95128389999999</v>
      </c>
      <c r="AK39" s="320">
        <f>+VLOOKUP($E39,Hybrid!$1:$1048576,AK$2,FALSE)</f>
        <v>174.1689633</v>
      </c>
      <c r="AL39" s="320">
        <f>+VLOOKUP($E39,Hybrid!$1:$1048576,AL$2,FALSE)</f>
        <v>179.43867850000001</v>
      </c>
      <c r="AM39" s="320">
        <f>+VLOOKUP($E39,Hybrid!$1:$1048576,AM$2,FALSE)</f>
        <v>184.7697221</v>
      </c>
      <c r="AN39" s="320">
        <f>+VLOOKUP($E39,Hybrid!$1:$1048576,AN$2,FALSE)</f>
        <v>190.1720593</v>
      </c>
      <c r="AO39" s="320">
        <f>+VLOOKUP($E39,Hybrid!$1:$1048576,AO$2,FALSE)</f>
        <v>195.65638519999999</v>
      </c>
    </row>
    <row r="40" spans="1:41" ht="15" customHeight="1" x14ac:dyDescent="0.25">
      <c r="A40" s="384"/>
      <c r="B40" s="383"/>
      <c r="C40" s="164"/>
      <c r="D40" s="120" t="s">
        <v>520</v>
      </c>
      <c r="E40" s="46" t="s">
        <v>367</v>
      </c>
      <c r="F40" s="320">
        <f>+VLOOKUP($E40,Hybrid!$1:$1048576,F$2,FALSE)</f>
        <v>11.44571741</v>
      </c>
      <c r="G40" s="320">
        <f>+VLOOKUP($E40,Hybrid!$1:$1048576,G$2,FALSE)</f>
        <v>16.302055960000001</v>
      </c>
      <c r="H40" s="320">
        <f>+VLOOKUP($E40,Hybrid!$1:$1048576,H$2,FALSE)</f>
        <v>21.42389696</v>
      </c>
      <c r="I40" s="320">
        <f>+VLOOKUP($E40,Hybrid!$1:$1048576,I$2,FALSE)</f>
        <v>26.687145130000001</v>
      </c>
      <c r="J40" s="320">
        <f>+VLOOKUP($E40,Hybrid!$1:$1048576,J$2,FALSE)</f>
        <v>32.010429279999997</v>
      </c>
      <c r="K40" s="320">
        <f>+VLOOKUP($E40,Hybrid!$1:$1048576,K$2,FALSE)</f>
        <v>37.342129300000003</v>
      </c>
      <c r="L40" s="320">
        <f>+VLOOKUP($E40,Hybrid!$1:$1048576,L$2,FALSE)</f>
        <v>42.650406009999998</v>
      </c>
      <c r="M40" s="320">
        <f>+VLOOKUP($E40,Hybrid!$1:$1048576,M$2,FALSE)</f>
        <v>47.916153549999997</v>
      </c>
      <c r="N40" s="320">
        <f>+VLOOKUP($E40,Hybrid!$1:$1048576,N$2,FALSE)</f>
        <v>53.128303359999997</v>
      </c>
      <c r="O40" s="320">
        <f>+VLOOKUP($E40,Hybrid!$1:$1048576,O$2,FALSE)</f>
        <v>58.280818070000002</v>
      </c>
      <c r="P40" s="320">
        <f>+VLOOKUP($E40,Hybrid!$1:$1048576,P$2,FALSE)</f>
        <v>63.370816159999997</v>
      </c>
      <c r="Q40" s="320">
        <f>+VLOOKUP($E40,Hybrid!$1:$1048576,Q$2,FALSE)</f>
        <v>68.397418049999999</v>
      </c>
      <c r="R40" s="320">
        <f>+VLOOKUP($E40,Hybrid!$1:$1048576,R$2,FALSE)</f>
        <v>73.361038930000007</v>
      </c>
      <c r="S40" s="320">
        <f>+VLOOKUP($E40,Hybrid!$1:$1048576,S$2,FALSE)</f>
        <v>78.262953139999993</v>
      </c>
      <c r="T40" s="320">
        <f>+VLOOKUP($E40,Hybrid!$1:$1048576,T$2,FALSE)</f>
        <v>83.105023459999998</v>
      </c>
      <c r="U40" s="320">
        <f>+VLOOKUP($E40,Hybrid!$1:$1048576,U$2,FALSE)</f>
        <v>87.889530539999996</v>
      </c>
      <c r="V40" s="320">
        <f>+VLOOKUP($E40,Hybrid!$1:$1048576,V$2,FALSE)</f>
        <v>92.619065109999994</v>
      </c>
      <c r="W40" s="320">
        <f>+VLOOKUP($E40,Hybrid!$1:$1048576,W$2,FALSE)</f>
        <v>97.296460890000006</v>
      </c>
      <c r="X40" s="320">
        <f>+VLOOKUP($E40,Hybrid!$1:$1048576,X$2,FALSE)</f>
        <v>101.9247546</v>
      </c>
      <c r="Y40" s="320">
        <f>+VLOOKUP($E40,Hybrid!$1:$1048576,Y$2,FALSE)</f>
        <v>106.507165</v>
      </c>
      <c r="Z40" s="320">
        <f>+VLOOKUP($E40,Hybrid!$1:$1048576,Z$2,FALSE)</f>
        <v>111.0470847</v>
      </c>
      <c r="AA40" s="320">
        <f>+VLOOKUP($E40,Hybrid!$1:$1048576,AA$2,FALSE)</f>
        <v>115.5480821</v>
      </c>
      <c r="AB40" s="320">
        <f>+VLOOKUP($E40,Hybrid!$1:$1048576,AB$2,FALSE)</f>
        <v>120.0139095</v>
      </c>
      <c r="AC40" s="320">
        <f>+VLOOKUP($E40,Hybrid!$1:$1048576,AC$2,FALSE)</f>
        <v>124.4485177</v>
      </c>
      <c r="AD40" s="320">
        <f>+VLOOKUP($E40,Hybrid!$1:$1048576,AD$2,FALSE)</f>
        <v>128.85607329999999</v>
      </c>
      <c r="AE40" s="320">
        <f>+VLOOKUP($E40,Hybrid!$1:$1048576,AE$2,FALSE)</f>
        <v>133.2409796</v>
      </c>
      <c r="AF40" s="320">
        <f>+VLOOKUP($E40,Hybrid!$1:$1048576,AF$2,FALSE)</f>
        <v>137.607899</v>
      </c>
      <c r="AG40" s="320">
        <f>+VLOOKUP($E40,Hybrid!$1:$1048576,AG$2,FALSE)</f>
        <v>141.96177779999999</v>
      </c>
      <c r="AH40" s="320">
        <f>+VLOOKUP($E40,Hybrid!$1:$1048576,AH$2,FALSE)</f>
        <v>146.30787179999999</v>
      </c>
      <c r="AI40" s="320">
        <f>+VLOOKUP($E40,Hybrid!$1:$1048576,AI$2,FALSE)</f>
        <v>150.6517728</v>
      </c>
      <c r="AJ40" s="320">
        <f>+VLOOKUP($E40,Hybrid!$1:$1048576,AJ$2,FALSE)</f>
        <v>154.999437</v>
      </c>
      <c r="AK40" s="320">
        <f>+VLOOKUP($E40,Hybrid!$1:$1048576,AK$2,FALSE)</f>
        <v>159.35721409999999</v>
      </c>
      <c r="AL40" s="320">
        <f>+VLOOKUP($E40,Hybrid!$1:$1048576,AL$2,FALSE)</f>
        <v>163.7318784</v>
      </c>
      <c r="AM40" s="320">
        <f>+VLOOKUP($E40,Hybrid!$1:$1048576,AM$2,FALSE)</f>
        <v>168.13066079999999</v>
      </c>
      <c r="AN40" s="320">
        <f>+VLOOKUP($E40,Hybrid!$1:$1048576,AN$2,FALSE)</f>
        <v>172.5612836</v>
      </c>
      <c r="AO40" s="320">
        <f>+VLOOKUP($E40,Hybrid!$1:$1048576,AO$2,FALSE)</f>
        <v>177.03199749999999</v>
      </c>
    </row>
    <row r="41" spans="1:41" ht="15" customHeight="1" x14ac:dyDescent="0.25">
      <c r="A41" s="384"/>
      <c r="B41" s="383"/>
      <c r="C41" s="164"/>
      <c r="D41" s="120" t="s">
        <v>521</v>
      </c>
      <c r="E41" s="46" t="s">
        <v>368</v>
      </c>
      <c r="F41" s="320">
        <f>+VLOOKUP($E41,Hybrid!$1:$1048576,F$2,FALSE)</f>
        <v>9.4015406210000005</v>
      </c>
      <c r="G41" s="320">
        <f>+VLOOKUP($E41,Hybrid!$1:$1048576,G$2,FALSE)</f>
        <v>12.69963972</v>
      </c>
      <c r="H41" s="320">
        <f>+VLOOKUP($E41,Hybrid!$1:$1048576,H$2,FALSE)</f>
        <v>16.176694980000001</v>
      </c>
      <c r="I41" s="320">
        <f>+VLOOKUP($E41,Hybrid!$1:$1048576,I$2,FALSE)</f>
        <v>19.745033970000001</v>
      </c>
      <c r="J41" s="320">
        <f>+VLOOKUP($E41,Hybrid!$1:$1048576,J$2,FALSE)</f>
        <v>23.347366480000002</v>
      </c>
      <c r="K41" s="320">
        <f>+VLOOKUP($E41,Hybrid!$1:$1048576,K$2,FALSE)</f>
        <v>26.947438290000001</v>
      </c>
      <c r="L41" s="320">
        <f>+VLOOKUP($E41,Hybrid!$1:$1048576,L$2,FALSE)</f>
        <v>30.522893849999999</v>
      </c>
      <c r="M41" s="320">
        <f>+VLOOKUP($E41,Hybrid!$1:$1048576,M$2,FALSE)</f>
        <v>34.060268610000001</v>
      </c>
      <c r="N41" s="320">
        <f>+VLOOKUP($E41,Hybrid!$1:$1048576,N$2,FALSE)</f>
        <v>37.551677079999997</v>
      </c>
      <c r="O41" s="320">
        <f>+VLOOKUP($E41,Hybrid!$1:$1048576,O$2,FALSE)</f>
        <v>40.992707719999999</v>
      </c>
      <c r="P41" s="320">
        <f>+VLOOKUP($E41,Hybrid!$1:$1048576,P$2,FALSE)</f>
        <v>44.381118090000001</v>
      </c>
      <c r="Q41" s="320">
        <f>+VLOOKUP($E41,Hybrid!$1:$1048576,Q$2,FALSE)</f>
        <v>47.716036359999997</v>
      </c>
      <c r="R41" s="320">
        <f>+VLOOKUP($E41,Hybrid!$1:$1048576,R$2,FALSE)</f>
        <v>50.997473849999999</v>
      </c>
      <c r="S41" s="320">
        <f>+VLOOKUP($E41,Hybrid!$1:$1048576,S$2,FALSE)</f>
        <v>54.226025239999998</v>
      </c>
      <c r="T41" s="320">
        <f>+VLOOKUP($E41,Hybrid!$1:$1048576,T$2,FALSE)</f>
        <v>57.402682130000002</v>
      </c>
      <c r="U41" s="320">
        <f>+VLOOKUP($E41,Hybrid!$1:$1048576,U$2,FALSE)</f>
        <v>60.528715060000003</v>
      </c>
      <c r="V41" s="320">
        <f>+VLOOKUP($E41,Hybrid!$1:$1048576,V$2,FALSE)</f>
        <v>63.605598559999997</v>
      </c>
      <c r="W41" s="320">
        <f>+VLOOKUP($E41,Hybrid!$1:$1048576,W$2,FALSE)</f>
        <v>66.634963760000005</v>
      </c>
      <c r="X41" s="320">
        <f>+VLOOKUP($E41,Hybrid!$1:$1048576,X$2,FALSE)</f>
        <v>69.618569719999996</v>
      </c>
      <c r="Y41" s="320">
        <f>+VLOOKUP($E41,Hybrid!$1:$1048576,Y$2,FALSE)</f>
        <v>72.558287469999996</v>
      </c>
      <c r="Z41" s="320">
        <f>+VLOOKUP($E41,Hybrid!$1:$1048576,Z$2,FALSE)</f>
        <v>75.456092889999994</v>
      </c>
      <c r="AA41" s="320">
        <f>+VLOOKUP($E41,Hybrid!$1:$1048576,AA$2,FALSE)</f>
        <v>78.314065979999995</v>
      </c>
      <c r="AB41" s="320">
        <f>+VLOOKUP($E41,Hybrid!$1:$1048576,AB$2,FALSE)</f>
        <v>81.13439468</v>
      </c>
      <c r="AC41" s="320">
        <f>+VLOOKUP($E41,Hybrid!$1:$1048576,AC$2,FALSE)</f>
        <v>83.919381950000002</v>
      </c>
      <c r="AD41" s="320">
        <f>+VLOOKUP($E41,Hybrid!$1:$1048576,AD$2,FALSE)</f>
        <v>86.671455140000006</v>
      </c>
      <c r="AE41" s="320">
        <f>+VLOOKUP($E41,Hybrid!$1:$1048576,AE$2,FALSE)</f>
        <v>89.393176929999996</v>
      </c>
      <c r="AF41" s="320">
        <f>+VLOOKUP($E41,Hybrid!$1:$1048576,AF$2,FALSE)</f>
        <v>92.087257199999996</v>
      </c>
      <c r="AG41" s="320">
        <f>+VLOOKUP($E41,Hybrid!$1:$1048576,AG$2,FALSE)</f>
        <v>94.756565589999994</v>
      </c>
      <c r="AH41" s="320">
        <f>+VLOOKUP($E41,Hybrid!$1:$1048576,AH$2,FALSE)</f>
        <v>97.404144360000004</v>
      </c>
      <c r="AI41" s="320">
        <f>+VLOOKUP($E41,Hybrid!$1:$1048576,AI$2,FALSE)</f>
        <v>100.0332216</v>
      </c>
      <c r="AJ41" s="320">
        <f>+VLOOKUP($E41,Hybrid!$1:$1048576,AJ$2,FALSE)</f>
        <v>102.6472243</v>
      </c>
      <c r="AK41" s="320">
        <f>+VLOOKUP($E41,Hybrid!$1:$1048576,AK$2,FALSE)</f>
        <v>105.2497925</v>
      </c>
      <c r="AL41" s="320">
        <f>+VLOOKUP($E41,Hybrid!$1:$1048576,AL$2,FALSE)</f>
        <v>107.8447925</v>
      </c>
      <c r="AM41" s="320">
        <f>+VLOOKUP($E41,Hybrid!$1:$1048576,AM$2,FALSE)</f>
        <v>110.43633149999999</v>
      </c>
      <c r="AN41" s="320">
        <f>+VLOOKUP($E41,Hybrid!$1:$1048576,AN$2,FALSE)</f>
        <v>113.0287725</v>
      </c>
      <c r="AO41" s="320">
        <f>+VLOOKUP($E41,Hybrid!$1:$1048576,AO$2,FALSE)</f>
        <v>115.6267496</v>
      </c>
    </row>
    <row r="42" spans="1:41" ht="15" customHeight="1" x14ac:dyDescent="0.25">
      <c r="A42" s="384"/>
      <c r="B42" s="383"/>
      <c r="C42" s="164"/>
      <c r="D42" s="120" t="s">
        <v>522</v>
      </c>
      <c r="E42" s="46" t="s">
        <v>369</v>
      </c>
      <c r="F42" s="320">
        <f>+VLOOKUP($E42,Hybrid!$1:$1048576,F$2,FALSE)</f>
        <v>5.770071272</v>
      </c>
      <c r="G42" s="320">
        <f>+VLOOKUP($E42,Hybrid!$1:$1048576,G$2,FALSE)</f>
        <v>7.5646068240000002</v>
      </c>
      <c r="H42" s="320">
        <f>+VLOOKUP($E42,Hybrid!$1:$1048576,H$2,FALSE)</f>
        <v>9.4403133399999994</v>
      </c>
      <c r="I42" s="320">
        <f>+VLOOKUP($E42,Hybrid!$1:$1048576,I$2,FALSE)</f>
        <v>11.343636529999999</v>
      </c>
      <c r="J42" s="320">
        <f>+VLOOKUP($E42,Hybrid!$1:$1048576,J$2,FALSE)</f>
        <v>13.239824179999999</v>
      </c>
      <c r="K42" s="320">
        <f>+VLOOKUP($E42,Hybrid!$1:$1048576,K$2,FALSE)</f>
        <v>15.10698481</v>
      </c>
      <c r="L42" s="320">
        <f>+VLOOKUP($E42,Hybrid!$1:$1048576,L$2,FALSE)</f>
        <v>16.931633550000001</v>
      </c>
      <c r="M42" s="320">
        <f>+VLOOKUP($E42,Hybrid!$1:$1048576,M$2,FALSE)</f>
        <v>18.70561438</v>
      </c>
      <c r="N42" s="320">
        <f>+VLOOKUP($E42,Hybrid!$1:$1048576,N$2,FALSE)</f>
        <v>20.42408696</v>
      </c>
      <c r="O42" s="320">
        <f>+VLOOKUP($E42,Hybrid!$1:$1048576,O$2,FALSE)</f>
        <v>22.084258550000001</v>
      </c>
      <c r="P42" s="320">
        <f>+VLOOKUP($E42,Hybrid!$1:$1048576,P$2,FALSE)</f>
        <v>23.684604849999999</v>
      </c>
      <c r="Q42" s="320">
        <f>+VLOOKUP($E42,Hybrid!$1:$1048576,Q$2,FALSE)</f>
        <v>25.224398170000001</v>
      </c>
      <c r="R42" s="320">
        <f>+VLOOKUP($E42,Hybrid!$1:$1048576,R$2,FALSE)</f>
        <v>26.703422979999999</v>
      </c>
      <c r="S42" s="320">
        <f>+VLOOKUP($E42,Hybrid!$1:$1048576,S$2,FALSE)</f>
        <v>28.121803239999998</v>
      </c>
      <c r="T42" s="320">
        <f>+VLOOKUP($E42,Hybrid!$1:$1048576,T$2,FALSE)</f>
        <v>29.479895930000001</v>
      </c>
      <c r="U42" s="320">
        <f>+VLOOKUP($E42,Hybrid!$1:$1048576,U$2,FALSE)</f>
        <v>30.778223629999999</v>
      </c>
      <c r="V42" s="320">
        <f>+VLOOKUP($E42,Hybrid!$1:$1048576,V$2,FALSE)</f>
        <v>32.017430560000001</v>
      </c>
      <c r="W42" s="320">
        <f>+VLOOKUP($E42,Hybrid!$1:$1048576,W$2,FALSE)</f>
        <v>33.198253119999997</v>
      </c>
      <c r="X42" s="320">
        <f>+VLOOKUP($E42,Hybrid!$1:$1048576,X$2,FALSE)</f>
        <v>34.321499789999997</v>
      </c>
      <c r="Y42" s="320">
        <f>+VLOOKUP($E42,Hybrid!$1:$1048576,Y$2,FALSE)</f>
        <v>35.388037150000002</v>
      </c>
      <c r="Z42" s="320">
        <f>+VLOOKUP($E42,Hybrid!$1:$1048576,Z$2,FALSE)</f>
        <v>36.398780209999998</v>
      </c>
      <c r="AA42" s="320">
        <f>+VLOOKUP($E42,Hybrid!$1:$1048576,AA$2,FALSE)</f>
        <v>37.354685549999999</v>
      </c>
      <c r="AB42" s="320">
        <f>+VLOOKUP($E42,Hybrid!$1:$1048576,AB$2,FALSE)</f>
        <v>38.256746649999997</v>
      </c>
      <c r="AC42" s="320">
        <f>+VLOOKUP($E42,Hybrid!$1:$1048576,AC$2,FALSE)</f>
        <v>39.105990560000002</v>
      </c>
      <c r="AD42" s="320">
        <f>+VLOOKUP($E42,Hybrid!$1:$1048576,AD$2,FALSE)</f>
        <v>39.903475469999997</v>
      </c>
      <c r="AE42" s="320">
        <f>+VLOOKUP($E42,Hybrid!$1:$1048576,AE$2,FALSE)</f>
        <v>40.650288830000001</v>
      </c>
      <c r="AF42" s="320">
        <f>+VLOOKUP($E42,Hybrid!$1:$1048576,AF$2,FALSE)</f>
        <v>41.347545820000001</v>
      </c>
      <c r="AG42" s="320">
        <f>+VLOOKUP($E42,Hybrid!$1:$1048576,AG$2,FALSE)</f>
        <v>41.996387830000003</v>
      </c>
      <c r="AH42" s="320">
        <f>+VLOOKUP($E42,Hybrid!$1:$1048576,AH$2,FALSE)</f>
        <v>42.597980939999999</v>
      </c>
      <c r="AI42" s="320">
        <f>+VLOOKUP($E42,Hybrid!$1:$1048576,AI$2,FALSE)</f>
        <v>43.153514319999999</v>
      </c>
      <c r="AJ42" s="320">
        <f>+VLOOKUP($E42,Hybrid!$1:$1048576,AJ$2,FALSE)</f>
        <v>43.664198550000002</v>
      </c>
      <c r="AK42" s="320">
        <f>+VLOOKUP($E42,Hybrid!$1:$1048576,AK$2,FALSE)</f>
        <v>44.13126372</v>
      </c>
      <c r="AL42" s="320">
        <f>+VLOOKUP($E42,Hybrid!$1:$1048576,AL$2,FALSE)</f>
        <v>44.555957579999998</v>
      </c>
      <c r="AM42" s="320">
        <f>+VLOOKUP($E42,Hybrid!$1:$1048576,AM$2,FALSE)</f>
        <v>44.939543489999998</v>
      </c>
      <c r="AN42" s="320">
        <f>+VLOOKUP($E42,Hybrid!$1:$1048576,AN$2,FALSE)</f>
        <v>45.283298440000003</v>
      </c>
      <c r="AO42" s="320">
        <f>+VLOOKUP($E42,Hybrid!$1:$1048576,AO$2,FALSE)</f>
        <v>45.588511019999999</v>
      </c>
    </row>
    <row r="43" spans="1:41" ht="15" customHeight="1" x14ac:dyDescent="0.25">
      <c r="A43" s="384"/>
      <c r="B43" s="383"/>
      <c r="C43" s="164"/>
      <c r="D43" s="120" t="s">
        <v>523</v>
      </c>
      <c r="E43" s="46" t="s">
        <v>370</v>
      </c>
      <c r="F43" s="320">
        <f>+VLOOKUP($E43,Hybrid!$1:$1048576,F$2,FALSE)</f>
        <v>3.4730440960000002</v>
      </c>
      <c r="G43" s="320">
        <f>+VLOOKUP($E43,Hybrid!$1:$1048576,G$2,FALSE)</f>
        <v>4.5739757470000004</v>
      </c>
      <c r="H43" s="320">
        <f>+VLOOKUP($E43,Hybrid!$1:$1048576,H$2,FALSE)</f>
        <v>5.7146976629999999</v>
      </c>
      <c r="I43" s="320">
        <f>+VLOOKUP($E43,Hybrid!$1:$1048576,I$2,FALSE)</f>
        <v>6.8601644190000002</v>
      </c>
      <c r="J43" s="320">
        <f>+VLOOKUP($E43,Hybrid!$1:$1048576,J$2,FALSE)</f>
        <v>7.9881131219999997</v>
      </c>
      <c r="K43" s="320">
        <f>+VLOOKUP($E43,Hybrid!$1:$1048576,K$2,FALSE)</f>
        <v>9.0848797099999992</v>
      </c>
      <c r="L43" s="320">
        <f>+VLOOKUP($E43,Hybrid!$1:$1048576,L$2,FALSE)</f>
        <v>10.142320809999999</v>
      </c>
      <c r="M43" s="320">
        <f>+VLOOKUP($E43,Hybrid!$1:$1048576,M$2,FALSE)</f>
        <v>11.15573262</v>
      </c>
      <c r="N43" s="320">
        <f>+VLOOKUP($E43,Hybrid!$1:$1048576,N$2,FALSE)</f>
        <v>12.12251932</v>
      </c>
      <c r="O43" s="320">
        <f>+VLOOKUP($E43,Hybrid!$1:$1048576,O$2,FALSE)</f>
        <v>13.04137214</v>
      </c>
      <c r="P43" s="320">
        <f>+VLOOKUP($E43,Hybrid!$1:$1048576,P$2,FALSE)</f>
        <v>13.911774960000001</v>
      </c>
      <c r="Q43" s="320">
        <f>+VLOOKUP($E43,Hybrid!$1:$1048576,Q$2,FALSE)</f>
        <v>14.733710289999999</v>
      </c>
      <c r="R43" s="320">
        <f>+VLOOKUP($E43,Hybrid!$1:$1048576,R$2,FALSE)</f>
        <v>15.507484460000001</v>
      </c>
      <c r="S43" s="320">
        <f>+VLOOKUP($E43,Hybrid!$1:$1048576,S$2,FALSE)</f>
        <v>16.233622449999999</v>
      </c>
      <c r="T43" s="320">
        <f>+VLOOKUP($E43,Hybrid!$1:$1048576,T$2,FALSE)</f>
        <v>16.912803</v>
      </c>
      <c r="U43" s="320">
        <f>+VLOOKUP($E43,Hybrid!$1:$1048576,U$2,FALSE)</f>
        <v>17.545817230000001</v>
      </c>
      <c r="V43" s="320">
        <f>+VLOOKUP($E43,Hybrid!$1:$1048576,V$2,FALSE)</f>
        <v>18.133541059999999</v>
      </c>
      <c r="W43" s="320">
        <f>+VLOOKUP($E43,Hybrid!$1:$1048576,W$2,FALSE)</f>
        <v>18.676916420000001</v>
      </c>
      <c r="X43" s="320">
        <f>+VLOOKUP($E43,Hybrid!$1:$1048576,X$2,FALSE)</f>
        <v>19.17693775</v>
      </c>
      <c r="Y43" s="320">
        <f>+VLOOKUP($E43,Hybrid!$1:$1048576,Y$2,FALSE)</f>
        <v>19.634642320000001</v>
      </c>
      <c r="Z43" s="320">
        <f>+VLOOKUP($E43,Hybrid!$1:$1048576,Z$2,FALSE)</f>
        <v>20.05110298</v>
      </c>
      <c r="AA43" s="320">
        <f>+VLOOKUP($E43,Hybrid!$1:$1048576,AA$2,FALSE)</f>
        <v>20.427422589999999</v>
      </c>
      <c r="AB43" s="320">
        <f>+VLOOKUP($E43,Hybrid!$1:$1048576,AB$2,FALSE)</f>
        <v>20.764729679999999</v>
      </c>
      <c r="AC43" s="320">
        <f>+VLOOKUP($E43,Hybrid!$1:$1048576,AC$2,FALSE)</f>
        <v>21.064174909999998</v>
      </c>
      <c r="AD43" s="320">
        <f>+VLOOKUP($E43,Hybrid!$1:$1048576,AD$2,FALSE)</f>
        <v>21.326927950000002</v>
      </c>
      <c r="AE43" s="320">
        <f>+VLOOKUP($E43,Hybrid!$1:$1048576,AE$2,FALSE)</f>
        <v>21.554174740000001</v>
      </c>
      <c r="AF43" s="320">
        <f>+VLOOKUP($E43,Hybrid!$1:$1048576,AF$2,FALSE)</f>
        <v>21.74711482</v>
      </c>
      <c r="AG43" s="320">
        <f>+VLOOKUP($E43,Hybrid!$1:$1048576,AG$2,FALSE)</f>
        <v>21.90695874</v>
      </c>
      <c r="AH43" s="320">
        <f>+VLOOKUP($E43,Hybrid!$1:$1048576,AH$2,FALSE)</f>
        <v>22.034925470000001</v>
      </c>
      <c r="AI43" s="320">
        <f>+VLOOKUP($E43,Hybrid!$1:$1048576,AI$2,FALSE)</f>
        <v>22.132239760000001</v>
      </c>
      <c r="AJ43" s="320">
        <f>+VLOOKUP($E43,Hybrid!$1:$1048576,AJ$2,FALSE)</f>
        <v>22.200129520000001</v>
      </c>
      <c r="AK43" s="320">
        <f>+VLOOKUP($E43,Hybrid!$1:$1048576,AK$2,FALSE)</f>
        <v>22.239823130000001</v>
      </c>
      <c r="AL43" s="320">
        <f>+VLOOKUP($E43,Hybrid!$1:$1048576,AL$2,FALSE)</f>
        <v>22.25254687</v>
      </c>
      <c r="AM43" s="320">
        <f>+VLOOKUP($E43,Hybrid!$1:$1048576,AM$2,FALSE)</f>
        <v>22.239522260000001</v>
      </c>
      <c r="AN43" s="320">
        <f>+VLOOKUP($E43,Hybrid!$1:$1048576,AN$2,FALSE)</f>
        <v>22.201963559999999</v>
      </c>
      <c r="AO43" s="320">
        <f>+VLOOKUP($E43,Hybrid!$1:$1048576,AO$2,FALSE)</f>
        <v>22.141075310000002</v>
      </c>
    </row>
    <row r="44" spans="1:41" ht="15" customHeight="1" x14ac:dyDescent="0.25">
      <c r="A44" s="384"/>
      <c r="B44" s="383"/>
      <c r="C44" s="164"/>
      <c r="D44" s="120" t="s">
        <v>524</v>
      </c>
      <c r="E44" s="46" t="s">
        <v>371</v>
      </c>
      <c r="F44" s="320">
        <f>+VLOOKUP($E44,Hybrid!$1:$1048576,F$2,FALSE)</f>
        <v>1.7251505170000001</v>
      </c>
      <c r="G44" s="320">
        <f>+VLOOKUP($E44,Hybrid!$1:$1048576,G$2,FALSE)</f>
        <v>2.2454555790000001</v>
      </c>
      <c r="H44" s="320">
        <f>+VLOOKUP($E44,Hybrid!$1:$1048576,H$2,FALSE)</f>
        <v>2.7684617760000001</v>
      </c>
      <c r="I44" s="320">
        <f>+VLOOKUP($E44,Hybrid!$1:$1048576,I$2,FALSE)</f>
        <v>3.2743104380000001</v>
      </c>
      <c r="J44" s="320">
        <f>+VLOOKUP($E44,Hybrid!$1:$1048576,J$2,FALSE)</f>
        <v>3.7515155080000002</v>
      </c>
      <c r="K44" s="320">
        <f>+VLOOKUP($E44,Hybrid!$1:$1048576,K$2,FALSE)</f>
        <v>4.1939767000000003</v>
      </c>
      <c r="L44" s="320">
        <f>+VLOOKUP($E44,Hybrid!$1:$1048576,L$2,FALSE)</f>
        <v>4.5988845530000004</v>
      </c>
      <c r="M44" s="320">
        <f>+VLOOKUP($E44,Hybrid!$1:$1048576,M$2,FALSE)</f>
        <v>4.9653764230000004</v>
      </c>
      <c r="N44" s="320">
        <f>+VLOOKUP($E44,Hybrid!$1:$1048576,N$2,FALSE)</f>
        <v>5.2937201649999999</v>
      </c>
      <c r="O44" s="320">
        <f>+VLOOKUP($E44,Hybrid!$1:$1048576,O$2,FALSE)</f>
        <v>5.5848351840000001</v>
      </c>
      <c r="P44" s="320">
        <f>+VLOOKUP($E44,Hybrid!$1:$1048576,P$2,FALSE)</f>
        <v>5.8400167859999996</v>
      </c>
      <c r="Q44" s="320">
        <f>+VLOOKUP($E44,Hybrid!$1:$1048576,Q$2,FALSE)</f>
        <v>6.0607780770000002</v>
      </c>
      <c r="R44" s="320">
        <f>+VLOOKUP($E44,Hybrid!$1:$1048576,R$2,FALSE)</f>
        <v>6.2487579389999999</v>
      </c>
      <c r="S44" s="320">
        <f>+VLOOKUP($E44,Hybrid!$1:$1048576,S$2,FALSE)</f>
        <v>6.4056655600000001</v>
      </c>
      <c r="T44" s="320">
        <f>+VLOOKUP($E44,Hybrid!$1:$1048576,T$2,FALSE)</f>
        <v>6.5332451259999997</v>
      </c>
      <c r="U44" s="320">
        <f>+VLOOKUP($E44,Hybrid!$1:$1048576,U$2,FALSE)</f>
        <v>6.6332519220000004</v>
      </c>
      <c r="V44" s="320">
        <f>+VLOOKUP($E44,Hybrid!$1:$1048576,V$2,FALSE)</f>
        <v>6.707435147</v>
      </c>
      <c r="W44" s="320">
        <f>+VLOOKUP($E44,Hybrid!$1:$1048576,W$2,FALSE)</f>
        <v>6.7575249700000004</v>
      </c>
      <c r="X44" s="320">
        <f>+VLOOKUP($E44,Hybrid!$1:$1048576,X$2,FALSE)</f>
        <v>6.7852224879999996</v>
      </c>
      <c r="Y44" s="320">
        <f>+VLOOKUP($E44,Hybrid!$1:$1048576,Y$2,FALSE)</f>
        <v>6.7921917440000001</v>
      </c>
      <c r="Z44" s="320">
        <f>+VLOOKUP($E44,Hybrid!$1:$1048576,Z$2,FALSE)</f>
        <v>6.7800533420000004</v>
      </c>
      <c r="AA44" s="320">
        <f>+VLOOKUP($E44,Hybrid!$1:$1048576,AA$2,FALSE)</f>
        <v>6.750379283</v>
      </c>
      <c r="AB44" s="320">
        <f>+VLOOKUP($E44,Hybrid!$1:$1048576,AB$2,FALSE)</f>
        <v>6.7046887870000003</v>
      </c>
      <c r="AC44" s="320">
        <f>+VLOOKUP($E44,Hybrid!$1:$1048576,AC$2,FALSE)</f>
        <v>6.6444449319999999</v>
      </c>
      <c r="AD44" s="320">
        <f>+VLOOKUP($E44,Hybrid!$1:$1048576,AD$2,FALSE)</f>
        <v>6.5710519559999998</v>
      </c>
      <c r="AE44" s="320">
        <f>+VLOOKUP($E44,Hybrid!$1:$1048576,AE$2,FALSE)</f>
        <v>6.485853144</v>
      </c>
      <c r="AF44" s="320">
        <f>+VLOOKUP($E44,Hybrid!$1:$1048576,AF$2,FALSE)</f>
        <v>6.3901292239999998</v>
      </c>
      <c r="AG44" s="320">
        <f>+VLOOKUP($E44,Hybrid!$1:$1048576,AG$2,FALSE)</f>
        <v>6.285097232</v>
      </c>
      <c r="AH44" s="320">
        <f>+VLOOKUP($E44,Hybrid!$1:$1048576,AH$2,FALSE)</f>
        <v>6.1719097989999998</v>
      </c>
      <c r="AI44" s="320">
        <f>+VLOOKUP($E44,Hybrid!$1:$1048576,AI$2,FALSE)</f>
        <v>6.0516548429999997</v>
      </c>
      <c r="AJ44" s="320">
        <f>+VLOOKUP($E44,Hybrid!$1:$1048576,AJ$2,FALSE)</f>
        <v>5.925355637</v>
      </c>
      <c r="AK44" s="320">
        <f>+VLOOKUP($E44,Hybrid!$1:$1048576,AK$2,FALSE)</f>
        <v>5.7939712219999997</v>
      </c>
      <c r="AL44" s="320">
        <f>+VLOOKUP($E44,Hybrid!$1:$1048576,AL$2,FALSE)</f>
        <v>5.6583971609999999</v>
      </c>
      <c r="AM44" s="320">
        <f>+VLOOKUP($E44,Hybrid!$1:$1048576,AM$2,FALSE)</f>
        <v>5.5194665799999996</v>
      </c>
      <c r="AN44" s="320">
        <f>+VLOOKUP($E44,Hybrid!$1:$1048576,AN$2,FALSE)</f>
        <v>5.3779514920000002</v>
      </c>
      <c r="AO44" s="320">
        <f>+VLOOKUP($E44,Hybrid!$1:$1048576,AO$2,FALSE)</f>
        <v>5.2345643639999997</v>
      </c>
    </row>
    <row r="45" spans="1:41" ht="15" customHeight="1" x14ac:dyDescent="0.25">
      <c r="A45" s="384"/>
      <c r="B45" s="383"/>
      <c r="C45" s="164"/>
      <c r="D45" s="120" t="s">
        <v>525</v>
      </c>
      <c r="E45" s="46" t="s">
        <v>372</v>
      </c>
      <c r="F45" s="320">
        <f>+VLOOKUP($E45,Hybrid!$1:$1048576,F$2,FALSE)</f>
        <v>3.1066862139999998</v>
      </c>
      <c r="G45" s="320">
        <f>+VLOOKUP($E45,Hybrid!$1:$1048576,G$2,FALSE)</f>
        <v>4.0721666550000002</v>
      </c>
      <c r="H45" s="320">
        <f>+VLOOKUP($E45,Hybrid!$1:$1048576,H$2,FALSE)</f>
        <v>5.0169226489999996</v>
      </c>
      <c r="I45" s="320">
        <f>+VLOOKUP($E45,Hybrid!$1:$1048576,I$2,FALSE)</f>
        <v>5.9009041160000004</v>
      </c>
      <c r="J45" s="320">
        <f>+VLOOKUP($E45,Hybrid!$1:$1048576,J$2,FALSE)</f>
        <v>6.7035180270000003</v>
      </c>
      <c r="K45" s="320">
        <f>+VLOOKUP($E45,Hybrid!$1:$1048576,K$2,FALSE)</f>
        <v>7.4161806490000002</v>
      </c>
      <c r="L45" s="320">
        <f>+VLOOKUP($E45,Hybrid!$1:$1048576,L$2,FALSE)</f>
        <v>8.0372735639999995</v>
      </c>
      <c r="M45" s="320">
        <f>+VLOOKUP($E45,Hybrid!$1:$1048576,M$2,FALSE)</f>
        <v>8.5690304140000002</v>
      </c>
      <c r="N45" s="320">
        <f>+VLOOKUP($E45,Hybrid!$1:$1048576,N$2,FALSE)</f>
        <v>9.0157203080000006</v>
      </c>
      <c r="O45" s="320">
        <f>+VLOOKUP($E45,Hybrid!$1:$1048576,O$2,FALSE)</f>
        <v>9.3826241629999991</v>
      </c>
      <c r="P45" s="320">
        <f>+VLOOKUP($E45,Hybrid!$1:$1048576,P$2,FALSE)</f>
        <v>9.6754684019999999</v>
      </c>
      <c r="Q45" s="320">
        <f>+VLOOKUP($E45,Hybrid!$1:$1048576,Q$2,FALSE)</f>
        <v>9.9001122630000005</v>
      </c>
      <c r="R45" s="320">
        <f>+VLOOKUP($E45,Hybrid!$1:$1048576,R$2,FALSE)</f>
        <v>10.062372399999999</v>
      </c>
      <c r="S45" s="320">
        <f>+VLOOKUP($E45,Hybrid!$1:$1048576,S$2,FALSE)</f>
        <v>10.16792128</v>
      </c>
      <c r="T45" s="320">
        <f>+VLOOKUP($E45,Hybrid!$1:$1048576,T$2,FALSE)</f>
        <v>10.222225849999999</v>
      </c>
      <c r="U45" s="320">
        <f>+VLOOKUP($E45,Hybrid!$1:$1048576,U$2,FALSE)</f>
        <v>10.230509250000001</v>
      </c>
      <c r="V45" s="320">
        <f>+VLOOKUP($E45,Hybrid!$1:$1048576,V$2,FALSE)</f>
        <v>10.19772671</v>
      </c>
      <c r="W45" s="320">
        <f>+VLOOKUP($E45,Hybrid!$1:$1048576,W$2,FALSE)</f>
        <v>10.128550779999999</v>
      </c>
      <c r="X45" s="320">
        <f>+VLOOKUP($E45,Hybrid!$1:$1048576,X$2,FALSE)</f>
        <v>10.027363449999999</v>
      </c>
      <c r="Y45" s="320">
        <f>+VLOOKUP($E45,Hybrid!$1:$1048576,Y$2,FALSE)</f>
        <v>9.8982532929999998</v>
      </c>
      <c r="Z45" s="320">
        <f>+VLOOKUP($E45,Hybrid!$1:$1048576,Z$2,FALSE)</f>
        <v>9.7450166239999998</v>
      </c>
      <c r="AA45" s="320">
        <f>+VLOOKUP($E45,Hybrid!$1:$1048576,AA$2,FALSE)</f>
        <v>9.5711617039999997</v>
      </c>
      <c r="AB45" s="320">
        <f>+VLOOKUP($E45,Hybrid!$1:$1048576,AB$2,FALSE)</f>
        <v>9.3799154290000004</v>
      </c>
      <c r="AC45" s="320">
        <f>+VLOOKUP($E45,Hybrid!$1:$1048576,AC$2,FALSE)</f>
        <v>9.1742319200000004</v>
      </c>
      <c r="AD45" s="320">
        <f>+VLOOKUP($E45,Hybrid!$1:$1048576,AD$2,FALSE)</f>
        <v>8.9568026209999996</v>
      </c>
      <c r="AE45" s="320">
        <f>+VLOOKUP($E45,Hybrid!$1:$1048576,AE$2,FALSE)</f>
        <v>8.7300675600000002</v>
      </c>
      <c r="AF45" s="320">
        <f>+VLOOKUP($E45,Hybrid!$1:$1048576,AF$2,FALSE)</f>
        <v>8.4962274789999999</v>
      </c>
      <c r="AG45" s="320">
        <f>+VLOOKUP($E45,Hybrid!$1:$1048576,AG$2,FALSE)</f>
        <v>8.2572566250000001</v>
      </c>
      <c r="AH45" s="320">
        <f>+VLOOKUP($E45,Hybrid!$1:$1048576,AH$2,FALSE)</f>
        <v>8.0149159619999999</v>
      </c>
      <c r="AI45" s="320">
        <f>+VLOOKUP($E45,Hybrid!$1:$1048576,AI$2,FALSE)</f>
        <v>7.7707666499999997</v>
      </c>
      <c r="AJ45" s="320">
        <f>+VLOOKUP($E45,Hybrid!$1:$1048576,AJ$2,FALSE)</f>
        <v>7.5261836180000001</v>
      </c>
      <c r="AK45" s="320">
        <f>+VLOOKUP($E45,Hybrid!$1:$1048576,AK$2,FALSE)</f>
        <v>7.2823690880000003</v>
      </c>
      <c r="AL45" s="320">
        <f>+VLOOKUP($E45,Hybrid!$1:$1048576,AL$2,FALSE)</f>
        <v>7.0403659259999998</v>
      </c>
      <c r="AM45" s="320">
        <f>+VLOOKUP($E45,Hybrid!$1:$1048576,AM$2,FALSE)</f>
        <v>6.8010707049999999</v>
      </c>
      <c r="AN45" s="320">
        <f>+VLOOKUP($E45,Hybrid!$1:$1048576,AN$2,FALSE)</f>
        <v>6.5652463799999996</v>
      </c>
      <c r="AO45" s="320">
        <f>+VLOOKUP($E45,Hybrid!$1:$1048576,AO$2,FALSE)</f>
        <v>6.3335344979999997</v>
      </c>
    </row>
    <row r="46" spans="1:41" s="108" customFormat="1" ht="15" customHeight="1" x14ac:dyDescent="0.25">
      <c r="A46" s="384"/>
      <c r="B46" s="383"/>
      <c r="C46" s="118" t="s">
        <v>803</v>
      </c>
      <c r="D46" s="119"/>
      <c r="E46" s="88" t="s">
        <v>373</v>
      </c>
      <c r="F46" s="319">
        <f>+VLOOKUP($E46,Hybrid!$1:$1048576,F$2,FALSE)</f>
        <v>1.9359999999999999</v>
      </c>
      <c r="G46" s="319">
        <f>+VLOOKUP($E46,Hybrid!$1:$1048576,G$2,FALSE)</f>
        <v>1.992038478</v>
      </c>
      <c r="H46" s="319">
        <f>+VLOOKUP($E46,Hybrid!$1:$1048576,H$2,FALSE)</f>
        <v>2.0585130399999998</v>
      </c>
      <c r="I46" s="319">
        <f>+VLOOKUP($E46,Hybrid!$1:$1048576,I$2,FALSE)</f>
        <v>2.1305753150000002</v>
      </c>
      <c r="J46" s="319">
        <f>+VLOOKUP($E46,Hybrid!$1:$1048576,J$2,FALSE)</f>
        <v>2.205083192</v>
      </c>
      <c r="K46" s="319">
        <f>+VLOOKUP($E46,Hybrid!$1:$1048576,K$2,FALSE)</f>
        <v>2.2800657229999999</v>
      </c>
      <c r="L46" s="319">
        <f>+VLOOKUP($E46,Hybrid!$1:$1048576,L$2,FALSE)</f>
        <v>2.3543231279999999</v>
      </c>
      <c r="M46" s="319">
        <f>+VLOOKUP($E46,Hybrid!$1:$1048576,M$2,FALSE)</f>
        <v>2.4271483549999999</v>
      </c>
      <c r="N46" s="319">
        <f>+VLOOKUP($E46,Hybrid!$1:$1048576,N$2,FALSE)</f>
        <v>2.498142573</v>
      </c>
      <c r="O46" s="319">
        <f>+VLOOKUP($E46,Hybrid!$1:$1048576,O$2,FALSE)</f>
        <v>2.5670970789999998</v>
      </c>
      <c r="P46" s="319">
        <f>+VLOOKUP($E46,Hybrid!$1:$1048576,P$2,FALSE)</f>
        <v>2.6339195040000001</v>
      </c>
      <c r="Q46" s="319">
        <f>+VLOOKUP($E46,Hybrid!$1:$1048576,Q$2,FALSE)</f>
        <v>2.69858844</v>
      </c>
      <c r="R46" s="319">
        <f>+VLOOKUP($E46,Hybrid!$1:$1048576,R$2,FALSE)</f>
        <v>2.7611257519999999</v>
      </c>
      <c r="S46" s="319">
        <f>+VLOOKUP($E46,Hybrid!$1:$1048576,S$2,FALSE)</f>
        <v>2.8215796809999998</v>
      </c>
      <c r="T46" s="319">
        <f>+VLOOKUP($E46,Hybrid!$1:$1048576,T$2,FALSE)</f>
        <v>2.8800144360000002</v>
      </c>
      <c r="U46" s="319">
        <f>+VLOOKUP($E46,Hybrid!$1:$1048576,U$2,FALSE)</f>
        <v>2.9365036600000001</v>
      </c>
      <c r="V46" s="319">
        <f>+VLOOKUP($E46,Hybrid!$1:$1048576,V$2,FALSE)</f>
        <v>2.9911262380000001</v>
      </c>
      <c r="W46" s="319">
        <f>+VLOOKUP($E46,Hybrid!$1:$1048576,W$2,FALSE)</f>
        <v>3.0439635360000001</v>
      </c>
      <c r="X46" s="319">
        <f>+VLOOKUP($E46,Hybrid!$1:$1048576,X$2,FALSE)</f>
        <v>3.0950975459999999</v>
      </c>
      <c r="Y46" s="319">
        <f>+VLOOKUP($E46,Hybrid!$1:$1048576,Y$2,FALSE)</f>
        <v>3.1446096300000002</v>
      </c>
      <c r="Z46" s="319">
        <f>+VLOOKUP($E46,Hybrid!$1:$1048576,Z$2,FALSE)</f>
        <v>3.192579673</v>
      </c>
      <c r="AA46" s="319">
        <f>+VLOOKUP($E46,Hybrid!$1:$1048576,AA$2,FALSE)</f>
        <v>3.239085524</v>
      </c>
      <c r="AB46" s="319">
        <f>+VLOOKUP($E46,Hybrid!$1:$1048576,AB$2,FALSE)</f>
        <v>3.2842026450000001</v>
      </c>
      <c r="AC46" s="319">
        <f>+VLOOKUP($E46,Hybrid!$1:$1048576,AC$2,FALSE)</f>
        <v>3.3280039100000001</v>
      </c>
      <c r="AD46" s="319">
        <f>+VLOOKUP($E46,Hybrid!$1:$1048576,AD$2,FALSE)</f>
        <v>3.370559514</v>
      </c>
      <c r="AE46" s="319">
        <f>+VLOOKUP($E46,Hybrid!$1:$1048576,AE$2,FALSE)</f>
        <v>3.4119369420000001</v>
      </c>
      <c r="AF46" s="319">
        <f>+VLOOKUP($E46,Hybrid!$1:$1048576,AF$2,FALSE)</f>
        <v>3.452200994</v>
      </c>
      <c r="AG46" s="319">
        <f>+VLOOKUP($E46,Hybrid!$1:$1048576,AG$2,FALSE)</f>
        <v>3.4914138370000001</v>
      </c>
      <c r="AH46" s="319">
        <f>+VLOOKUP($E46,Hybrid!$1:$1048576,AH$2,FALSE)</f>
        <v>3.5296350570000001</v>
      </c>
      <c r="AI46" s="319">
        <f>+VLOOKUP($E46,Hybrid!$1:$1048576,AI$2,FALSE)</f>
        <v>3.5669217350000002</v>
      </c>
      <c r="AJ46" s="319">
        <f>+VLOOKUP($E46,Hybrid!$1:$1048576,AJ$2,FALSE)</f>
        <v>3.6033285020000001</v>
      </c>
      <c r="AK46" s="319">
        <f>+VLOOKUP($E46,Hybrid!$1:$1048576,AK$2,FALSE)</f>
        <v>3.6389076010000001</v>
      </c>
      <c r="AL46" s="319">
        <f>+VLOOKUP($E46,Hybrid!$1:$1048576,AL$2,FALSE)</f>
        <v>3.6737089360000001</v>
      </c>
      <c r="AM46" s="319">
        <f>+VLOOKUP($E46,Hybrid!$1:$1048576,AM$2,FALSE)</f>
        <v>3.707780122</v>
      </c>
      <c r="AN46" s="319">
        <f>+VLOOKUP($E46,Hybrid!$1:$1048576,AN$2,FALSE)</f>
        <v>3.741166524</v>
      </c>
      <c r="AO46" s="319">
        <f>+VLOOKUP($E46,Hybrid!$1:$1048576,AO$2,FALSE)</f>
        <v>3.7739112929999998</v>
      </c>
    </row>
    <row r="47" spans="1:41" ht="15" customHeight="1" x14ac:dyDescent="0.25">
      <c r="A47" s="384"/>
      <c r="B47" s="383"/>
      <c r="C47" s="164"/>
      <c r="D47" s="120" t="s">
        <v>519</v>
      </c>
      <c r="E47" s="46" t="s">
        <v>374</v>
      </c>
      <c r="F47" s="320">
        <f>+VLOOKUP($E47,Hybrid!$1:$1048576,F$2,FALSE)</f>
        <v>0.42568169729999999</v>
      </c>
      <c r="G47" s="320">
        <f>+VLOOKUP($E47,Hybrid!$1:$1048576,G$2,FALSE)</f>
        <v>0.44945570270000001</v>
      </c>
      <c r="H47" s="320">
        <f>+VLOOKUP($E47,Hybrid!$1:$1048576,H$2,FALSE)</f>
        <v>0.47618363180000001</v>
      </c>
      <c r="I47" s="320">
        <f>+VLOOKUP($E47,Hybrid!$1:$1048576,I$2,FALSE)</f>
        <v>0.50461174259999997</v>
      </c>
      <c r="J47" s="320">
        <f>+VLOOKUP($E47,Hybrid!$1:$1048576,J$2,FALSE)</f>
        <v>0.53390616749999997</v>
      </c>
      <c r="K47" s="320">
        <f>+VLOOKUP($E47,Hybrid!$1:$1048576,K$2,FALSE)</f>
        <v>0.56352909380000005</v>
      </c>
      <c r="L47" s="320">
        <f>+VLOOKUP($E47,Hybrid!$1:$1048576,L$2,FALSE)</f>
        <v>0.59314310530000003</v>
      </c>
      <c r="M47" s="320">
        <f>+VLOOKUP($E47,Hybrid!$1:$1048576,M$2,FALSE)</f>
        <v>0.62254220360000001</v>
      </c>
      <c r="N47" s="320">
        <f>+VLOOKUP($E47,Hybrid!$1:$1048576,N$2,FALSE)</f>
        <v>0.65160459059999998</v>
      </c>
      <c r="O47" s="320">
        <f>+VLOOKUP($E47,Hybrid!$1:$1048576,O$2,FALSE)</f>
        <v>0.68026155590000004</v>
      </c>
      <c r="P47" s="320">
        <f>+VLOOKUP($E47,Hybrid!$1:$1048576,P$2,FALSE)</f>
        <v>0.70847754080000003</v>
      </c>
      <c r="Q47" s="320">
        <f>+VLOOKUP($E47,Hybrid!$1:$1048576,Q$2,FALSE)</f>
        <v>0.73623761710000002</v>
      </c>
      <c r="R47" s="320">
        <f>+VLOOKUP($E47,Hybrid!$1:$1048576,R$2,FALSE)</f>
        <v>0.76353972240000001</v>
      </c>
      <c r="S47" s="320">
        <f>+VLOOKUP($E47,Hybrid!$1:$1048576,S$2,FALSE)</f>
        <v>0.79038986950000001</v>
      </c>
      <c r="T47" s="320">
        <f>+VLOOKUP($E47,Hybrid!$1:$1048576,T$2,FALSE)</f>
        <v>0.81679918529999995</v>
      </c>
      <c r="U47" s="320">
        <f>+VLOOKUP($E47,Hybrid!$1:$1048576,U$2,FALSE)</f>
        <v>0.84278205589999999</v>
      </c>
      <c r="V47" s="320">
        <f>+VLOOKUP($E47,Hybrid!$1:$1048576,V$2,FALSE)</f>
        <v>0.86835494329999996</v>
      </c>
      <c r="W47" s="320">
        <f>+VLOOKUP($E47,Hybrid!$1:$1048576,W$2,FALSE)</f>
        <v>0.89353561299999995</v>
      </c>
      <c r="X47" s="320">
        <f>+VLOOKUP($E47,Hybrid!$1:$1048576,X$2,FALSE)</f>
        <v>0.91834261910000003</v>
      </c>
      <c r="Y47" s="320">
        <f>+VLOOKUP($E47,Hybrid!$1:$1048576,Y$2,FALSE)</f>
        <v>0.94279495359999999</v>
      </c>
      <c r="Z47" s="320">
        <f>+VLOOKUP($E47,Hybrid!$1:$1048576,Z$2,FALSE)</f>
        <v>0.9669118082</v>
      </c>
      <c r="AA47" s="320">
        <f>+VLOOKUP($E47,Hybrid!$1:$1048576,AA$2,FALSE)</f>
        <v>0.99071241300000001</v>
      </c>
      <c r="AB47" s="320">
        <f>+VLOOKUP($E47,Hybrid!$1:$1048576,AB$2,FALSE)</f>
        <v>1.01421593</v>
      </c>
      <c r="AC47" s="320">
        <f>+VLOOKUP($E47,Hybrid!$1:$1048576,AC$2,FALSE)</f>
        <v>1.0374413819999999</v>
      </c>
      <c r="AD47" s="320">
        <f>+VLOOKUP($E47,Hybrid!$1:$1048576,AD$2,FALSE)</f>
        <v>1.060407619</v>
      </c>
      <c r="AE47" s="320">
        <f>+VLOOKUP($E47,Hybrid!$1:$1048576,AE$2,FALSE)</f>
        <v>1.083133283</v>
      </c>
      <c r="AF47" s="320">
        <f>+VLOOKUP($E47,Hybrid!$1:$1048576,AF$2,FALSE)</f>
        <v>1.1056368050000001</v>
      </c>
      <c r="AG47" s="320">
        <f>+VLOOKUP($E47,Hybrid!$1:$1048576,AG$2,FALSE)</f>
        <v>1.1279363920000001</v>
      </c>
      <c r="AH47" s="320">
        <f>+VLOOKUP($E47,Hybrid!$1:$1048576,AH$2,FALSE)</f>
        <v>1.150050021</v>
      </c>
      <c r="AI47" s="320">
        <f>+VLOOKUP($E47,Hybrid!$1:$1048576,AI$2,FALSE)</f>
        <v>1.1719954340000001</v>
      </c>
      <c r="AJ47" s="320">
        <f>+VLOOKUP($E47,Hybrid!$1:$1048576,AJ$2,FALSE)</f>
        <v>1.193790127</v>
      </c>
      <c r="AK47" s="320">
        <f>+VLOOKUP($E47,Hybrid!$1:$1048576,AK$2,FALSE)</f>
        <v>1.215451337</v>
      </c>
      <c r="AL47" s="320">
        <f>+VLOOKUP($E47,Hybrid!$1:$1048576,AL$2,FALSE)</f>
        <v>1.236996032</v>
      </c>
      <c r="AM47" s="320">
        <f>+VLOOKUP($E47,Hybrid!$1:$1048576,AM$2,FALSE)</f>
        <v>1.2584408840000001</v>
      </c>
      <c r="AN47" s="320">
        <f>+VLOOKUP($E47,Hybrid!$1:$1048576,AN$2,FALSE)</f>
        <v>1.2798022600000001</v>
      </c>
      <c r="AO47" s="320">
        <f>+VLOOKUP($E47,Hybrid!$1:$1048576,AO$2,FALSE)</f>
        <v>1.3010961910000001</v>
      </c>
    </row>
    <row r="48" spans="1:41" ht="15" customHeight="1" x14ac:dyDescent="0.25">
      <c r="A48" s="384"/>
      <c r="B48" s="383"/>
      <c r="C48" s="164"/>
      <c r="D48" s="120" t="s">
        <v>520</v>
      </c>
      <c r="E48" s="46" t="s">
        <v>375</v>
      </c>
      <c r="F48" s="320">
        <f>+VLOOKUP($E48,Hybrid!$1:$1048576,F$2,FALSE)</f>
        <v>0.49500522540000003</v>
      </c>
      <c r="G48" s="320">
        <f>+VLOOKUP($E48,Hybrid!$1:$1048576,G$2,FALSE)</f>
        <v>0.51237735269999996</v>
      </c>
      <c r="H48" s="320">
        <f>+VLOOKUP($E48,Hybrid!$1:$1048576,H$2,FALSE)</f>
        <v>0.53282706970000004</v>
      </c>
      <c r="I48" s="320">
        <f>+VLOOKUP($E48,Hybrid!$1:$1048576,I$2,FALSE)</f>
        <v>0.55510706389999998</v>
      </c>
      <c r="J48" s="320">
        <f>+VLOOKUP($E48,Hybrid!$1:$1048576,J$2,FALSE)</f>
        <v>0.57838510870000004</v>
      </c>
      <c r="K48" s="320">
        <f>+VLOOKUP($E48,Hybrid!$1:$1048576,K$2,FALSE)</f>
        <v>0.60212053229999996</v>
      </c>
      <c r="L48" s="320">
        <f>+VLOOKUP($E48,Hybrid!$1:$1048576,L$2,FALSE)</f>
        <v>0.6259693207</v>
      </c>
      <c r="M48" s="320">
        <f>+VLOOKUP($E48,Hybrid!$1:$1048576,M$2,FALSE)</f>
        <v>0.64971611019999997</v>
      </c>
      <c r="N48" s="320">
        <f>+VLOOKUP($E48,Hybrid!$1:$1048576,N$2,FALSE)</f>
        <v>0.67322789579999998</v>
      </c>
      <c r="O48" s="320">
        <f>+VLOOKUP($E48,Hybrid!$1:$1048576,O$2,FALSE)</f>
        <v>0.69642367620000001</v>
      </c>
      <c r="P48" s="320">
        <f>+VLOOKUP($E48,Hybrid!$1:$1048576,P$2,FALSE)</f>
        <v>0.71925508319999998</v>
      </c>
      <c r="Q48" s="320">
        <f>+VLOOKUP($E48,Hybrid!$1:$1048576,Q$2,FALSE)</f>
        <v>0.74169425229999997</v>
      </c>
      <c r="R48" s="320">
        <f>+VLOOKUP($E48,Hybrid!$1:$1048576,R$2,FALSE)</f>
        <v>0.76372631199999996</v>
      </c>
      <c r="S48" s="320">
        <f>+VLOOKUP($E48,Hybrid!$1:$1048576,S$2,FALSE)</f>
        <v>0.78534474669999998</v>
      </c>
      <c r="T48" s="320">
        <f>+VLOOKUP($E48,Hybrid!$1:$1048576,T$2,FALSE)</f>
        <v>0.80654852040000002</v>
      </c>
      <c r="U48" s="320">
        <f>+VLOOKUP($E48,Hybrid!$1:$1048576,U$2,FALSE)</f>
        <v>0.82734025919999998</v>
      </c>
      <c r="V48" s="320">
        <f>+VLOOKUP($E48,Hybrid!$1:$1048576,V$2,FALSE)</f>
        <v>0.84772507720000001</v>
      </c>
      <c r="W48" s="320">
        <f>+VLOOKUP($E48,Hybrid!$1:$1048576,W$2,FALSE)</f>
        <v>0.86770979619999999</v>
      </c>
      <c r="X48" s="320">
        <f>+VLOOKUP($E48,Hybrid!$1:$1048576,X$2,FALSE)</f>
        <v>0.8873024115</v>
      </c>
      <c r="Y48" s="320">
        <f>+VLOOKUP($E48,Hybrid!$1:$1048576,Y$2,FALSE)</f>
        <v>0.90651171779999995</v>
      </c>
      <c r="Z48" s="320">
        <f>+VLOOKUP($E48,Hybrid!$1:$1048576,Z$2,FALSE)</f>
        <v>0.92534704339999996</v>
      </c>
      <c r="AA48" s="320">
        <f>+VLOOKUP($E48,Hybrid!$1:$1048576,AA$2,FALSE)</f>
        <v>0.94381806079999997</v>
      </c>
      <c r="AB48" s="320">
        <f>+VLOOKUP($E48,Hybrid!$1:$1048576,AB$2,FALSE)</f>
        <v>0.96193465069999995</v>
      </c>
      <c r="AC48" s="320">
        <f>+VLOOKUP($E48,Hybrid!$1:$1048576,AC$2,FALSE)</f>
        <v>0.97970680529999998</v>
      </c>
      <c r="AD48" s="320">
        <f>+VLOOKUP($E48,Hybrid!$1:$1048576,AD$2,FALSE)</f>
        <v>0.99714455849999994</v>
      </c>
      <c r="AE48" s="320">
        <f>+VLOOKUP($E48,Hybrid!$1:$1048576,AE$2,FALSE)</f>
        <v>1.014257934</v>
      </c>
      <c r="AF48" s="320">
        <f>+VLOOKUP($E48,Hybrid!$1:$1048576,AF$2,FALSE)</f>
        <v>1.031056907</v>
      </c>
      <c r="AG48" s="320">
        <f>+VLOOKUP($E48,Hybrid!$1:$1048576,AG$2,FALSE)</f>
        <v>1.0475513670000001</v>
      </c>
      <c r="AH48" s="320">
        <f>+VLOOKUP($E48,Hybrid!$1:$1048576,AH$2,FALSE)</f>
        <v>1.0637510910000001</v>
      </c>
      <c r="AI48" s="320">
        <f>+VLOOKUP($E48,Hybrid!$1:$1048576,AI$2,FALSE)</f>
        <v>1.0796657119999999</v>
      </c>
      <c r="AJ48" s="320">
        <f>+VLOOKUP($E48,Hybrid!$1:$1048576,AJ$2,FALSE)</f>
        <v>1.095304689</v>
      </c>
      <c r="AK48" s="320">
        <f>+VLOOKUP($E48,Hybrid!$1:$1048576,AK$2,FALSE)</f>
        <v>1.110677272</v>
      </c>
      <c r="AL48" s="320">
        <f>+VLOOKUP($E48,Hybrid!$1:$1048576,AL$2,FALSE)</f>
        <v>1.125792473</v>
      </c>
      <c r="AM48" s="320">
        <f>+VLOOKUP($E48,Hybrid!$1:$1048576,AM$2,FALSE)</f>
        <v>1.1406590299999999</v>
      </c>
      <c r="AN48" s="320">
        <f>+VLOOKUP($E48,Hybrid!$1:$1048576,AN$2,FALSE)</f>
        <v>1.155285369</v>
      </c>
      <c r="AO48" s="320">
        <f>+VLOOKUP($E48,Hybrid!$1:$1048576,AO$2,FALSE)</f>
        <v>1.169679575</v>
      </c>
    </row>
    <row r="49" spans="1:43" ht="15" customHeight="1" x14ac:dyDescent="0.25">
      <c r="A49" s="384"/>
      <c r="B49" s="383"/>
      <c r="C49" s="164"/>
      <c r="D49" s="120" t="s">
        <v>521</v>
      </c>
      <c r="E49" s="46" t="s">
        <v>376</v>
      </c>
      <c r="F49" s="320">
        <f>+VLOOKUP($E49,Hybrid!$1:$1048576,F$2,FALSE)</f>
        <v>0.40659851759999999</v>
      </c>
      <c r="G49" s="320">
        <f>+VLOOKUP($E49,Hybrid!$1:$1048576,G$2,FALSE)</f>
        <v>0.41458692130000002</v>
      </c>
      <c r="H49" s="320">
        <f>+VLOOKUP($E49,Hybrid!$1:$1048576,H$2,FALSE)</f>
        <v>0.42489005559999998</v>
      </c>
      <c r="I49" s="320">
        <f>+VLOOKUP($E49,Hybrid!$1:$1048576,I$2,FALSE)</f>
        <v>0.4366138819</v>
      </c>
      <c r="J49" s="320">
        <f>+VLOOKUP($E49,Hybrid!$1:$1048576,J$2,FALSE)</f>
        <v>0.44916009270000001</v>
      </c>
      <c r="K49" s="320">
        <f>+VLOOKUP($E49,Hybrid!$1:$1048576,K$2,FALSE)</f>
        <v>0.46213734029999998</v>
      </c>
      <c r="L49" s="320">
        <f>+VLOOKUP($E49,Hybrid!$1:$1048576,L$2,FALSE)</f>
        <v>0.475293415</v>
      </c>
      <c r="M49" s="320">
        <f>+VLOOKUP($E49,Hybrid!$1:$1048576,M$2,FALSE)</f>
        <v>0.48846693209999997</v>
      </c>
      <c r="N49" s="320">
        <f>+VLOOKUP($E49,Hybrid!$1:$1048576,N$2,FALSE)</f>
        <v>0.50155462500000003</v>
      </c>
      <c r="O49" s="320">
        <f>+VLOOKUP($E49,Hybrid!$1:$1048576,O$2,FALSE)</f>
        <v>0.51449000320000005</v>
      </c>
      <c r="P49" s="320">
        <f>+VLOOKUP($E49,Hybrid!$1:$1048576,P$2,FALSE)</f>
        <v>0.52722978740000004</v>
      </c>
      <c r="Q49" s="320">
        <f>+VLOOKUP($E49,Hybrid!$1:$1048576,Q$2,FALSE)</f>
        <v>0.53974544120000001</v>
      </c>
      <c r="R49" s="320">
        <f>+VLOOKUP($E49,Hybrid!$1:$1048576,R$2,FALSE)</f>
        <v>0.55201793570000002</v>
      </c>
      <c r="S49" s="320">
        <f>+VLOOKUP($E49,Hybrid!$1:$1048576,S$2,FALSE)</f>
        <v>0.56403451579999997</v>
      </c>
      <c r="T49" s="320">
        <f>+VLOOKUP($E49,Hybrid!$1:$1048576,T$2,FALSE)</f>
        <v>0.57578668580000003</v>
      </c>
      <c r="U49" s="320">
        <f>+VLOOKUP($E49,Hybrid!$1:$1048576,U$2,FALSE)</f>
        <v>0.58726892829999999</v>
      </c>
      <c r="V49" s="320">
        <f>+VLOOKUP($E49,Hybrid!$1:$1048576,V$2,FALSE)</f>
        <v>0.59847786550000004</v>
      </c>
      <c r="W49" s="320">
        <f>+VLOOKUP($E49,Hybrid!$1:$1048576,W$2,FALSE)</f>
        <v>0.60941169319999999</v>
      </c>
      <c r="X49" s="320">
        <f>+VLOOKUP($E49,Hybrid!$1:$1048576,X$2,FALSE)</f>
        <v>0.62006978459999995</v>
      </c>
      <c r="Y49" s="320">
        <f>+VLOOKUP($E49,Hybrid!$1:$1048576,Y$2,FALSE)</f>
        <v>0.63045240629999999</v>
      </c>
      <c r="Z49" s="320">
        <f>+VLOOKUP($E49,Hybrid!$1:$1048576,Z$2,FALSE)</f>
        <v>0.64056051030000005</v>
      </c>
      <c r="AA49" s="320">
        <f>+VLOOKUP($E49,Hybrid!$1:$1048576,AA$2,FALSE)</f>
        <v>0.65039557940000003</v>
      </c>
      <c r="AB49" s="320">
        <f>+VLOOKUP($E49,Hybrid!$1:$1048576,AB$2,FALSE)</f>
        <v>0.65995951269999997</v>
      </c>
      <c r="AC49" s="320">
        <f>+VLOOKUP($E49,Hybrid!$1:$1048576,AC$2,FALSE)</f>
        <v>0.66925453729999995</v>
      </c>
      <c r="AD49" s="320">
        <f>+VLOOKUP($E49,Hybrid!$1:$1048576,AD$2,FALSE)</f>
        <v>0.67828314190000005</v>
      </c>
      <c r="AE49" s="320">
        <f>+VLOOKUP($E49,Hybrid!$1:$1048576,AE$2,FALSE)</f>
        <v>0.6870480229</v>
      </c>
      <c r="AF49" s="320">
        <f>+VLOOKUP($E49,Hybrid!$1:$1048576,AF$2,FALSE)</f>
        <v>0.69555204020000005</v>
      </c>
      <c r="AG49" s="320">
        <f>+VLOOKUP($E49,Hybrid!$1:$1048576,AG$2,FALSE)</f>
        <v>0.70379817879999995</v>
      </c>
      <c r="AH49" s="320">
        <f>+VLOOKUP($E49,Hybrid!$1:$1048576,AH$2,FALSE)</f>
        <v>0.71178951270000002</v>
      </c>
      <c r="AI49" s="320">
        <f>+VLOOKUP($E49,Hybrid!$1:$1048576,AI$2,FALSE)</f>
        <v>0.71952917179999998</v>
      </c>
      <c r="AJ49" s="320">
        <f>+VLOOKUP($E49,Hybrid!$1:$1048576,AJ$2,FALSE)</f>
        <v>0.72702030870000001</v>
      </c>
      <c r="AK49" s="320">
        <f>+VLOOKUP($E49,Hybrid!$1:$1048576,AK$2,FALSE)</f>
        <v>0.73426606559999996</v>
      </c>
      <c r="AL49" s="320">
        <f>+VLOOKUP($E49,Hybrid!$1:$1048576,AL$2,FALSE)</f>
        <v>0.74126954270000001</v>
      </c>
      <c r="AM49" s="320">
        <f>+VLOOKUP($E49,Hybrid!$1:$1048576,AM$2,FALSE)</f>
        <v>0.74803376580000003</v>
      </c>
      <c r="AN49" s="320">
        <f>+VLOOKUP($E49,Hybrid!$1:$1048576,AN$2,FALSE)</f>
        <v>0.75456165590000002</v>
      </c>
      <c r="AO49" s="320">
        <f>+VLOOKUP($E49,Hybrid!$1:$1048576,AO$2,FALSE)</f>
        <v>0.76085599989999997</v>
      </c>
    </row>
    <row r="50" spans="1:43" ht="15" customHeight="1" x14ac:dyDescent="0.25">
      <c r="A50" s="384"/>
      <c r="B50" s="383"/>
      <c r="C50" s="164"/>
      <c r="D50" s="120" t="s">
        <v>522</v>
      </c>
      <c r="E50" s="46" t="s">
        <v>377</v>
      </c>
      <c r="F50" s="320">
        <f>+VLOOKUP($E50,Hybrid!$1:$1048576,F$2,FALSE)</f>
        <v>0.2495444651</v>
      </c>
      <c r="G50" s="320">
        <f>+VLOOKUP($E50,Hybrid!$1:$1048576,G$2,FALSE)</f>
        <v>0.25236049780000003</v>
      </c>
      <c r="H50" s="320">
        <f>+VLOOKUP($E50,Hybrid!$1:$1048576,H$2,FALSE)</f>
        <v>0.25638797930000001</v>
      </c>
      <c r="I50" s="320">
        <f>+VLOOKUP($E50,Hybrid!$1:$1048576,I$2,FALSE)</f>
        <v>0.26108962549999998</v>
      </c>
      <c r="J50" s="320">
        <f>+VLOOKUP($E50,Hybrid!$1:$1048576,J$2,FALSE)</f>
        <v>0.26611229930000002</v>
      </c>
      <c r="K50" s="320">
        <f>+VLOOKUP($E50,Hybrid!$1:$1048576,K$2,FALSE)</f>
        <v>0.27122925679999998</v>
      </c>
      <c r="L50" s="320">
        <f>+VLOOKUP($E50,Hybrid!$1:$1048576,L$2,FALSE)</f>
        <v>0.2762969924</v>
      </c>
      <c r="M50" s="320">
        <f>+VLOOKUP($E50,Hybrid!$1:$1048576,M$2,FALSE)</f>
        <v>0.28122528190000001</v>
      </c>
      <c r="N50" s="320">
        <f>+VLOOKUP($E50,Hybrid!$1:$1048576,N$2,FALSE)</f>
        <v>0.28595741159999999</v>
      </c>
      <c r="O50" s="320">
        <f>+VLOOKUP($E50,Hybrid!$1:$1048576,O$2,FALSE)</f>
        <v>0.29045758589999998</v>
      </c>
      <c r="P50" s="320">
        <f>+VLOOKUP($E50,Hybrid!$1:$1048576,P$2,FALSE)</f>
        <v>0.29470310329999999</v>
      </c>
      <c r="Q50" s="320">
        <f>+VLOOKUP($E50,Hybrid!$1:$1048576,Q$2,FALSE)</f>
        <v>0.29867957150000002</v>
      </c>
      <c r="R50" s="320">
        <f>+VLOOKUP($E50,Hybrid!$1:$1048576,R$2,FALSE)</f>
        <v>0.30237800100000001</v>
      </c>
      <c r="S50" s="320">
        <f>+VLOOKUP($E50,Hybrid!$1:$1048576,S$2,FALSE)</f>
        <v>0.30579303190000001</v>
      </c>
      <c r="T50" s="320">
        <f>+VLOOKUP($E50,Hybrid!$1:$1048576,T$2,FALSE)</f>
        <v>0.30892183699999998</v>
      </c>
      <c r="U50" s="320">
        <f>+VLOOKUP($E50,Hybrid!$1:$1048576,U$2,FALSE)</f>
        <v>0.31176342219999997</v>
      </c>
      <c r="V50" s="320">
        <f>+VLOOKUP($E50,Hybrid!$1:$1048576,V$2,FALSE)</f>
        <v>0.31431816540000002</v>
      </c>
      <c r="W50" s="320">
        <f>+VLOOKUP($E50,Hybrid!$1:$1048576,W$2,FALSE)</f>
        <v>0.31658750070000002</v>
      </c>
      <c r="X50" s="320">
        <f>+VLOOKUP($E50,Hybrid!$1:$1048576,X$2,FALSE)</f>
        <v>0.3185736931</v>
      </c>
      <c r="Y50" s="320">
        <f>+VLOOKUP($E50,Hybrid!$1:$1048576,Y$2,FALSE)</f>
        <v>0.32027967509999999</v>
      </c>
      <c r="Z50" s="320">
        <f>+VLOOKUP($E50,Hybrid!$1:$1048576,Z$2,FALSE)</f>
        <v>0.32170892429999998</v>
      </c>
      <c r="AA50" s="320">
        <f>+VLOOKUP($E50,Hybrid!$1:$1048576,AA$2,FALSE)</f>
        <v>0.32286537100000001</v>
      </c>
      <c r="AB50" s="320">
        <f>+VLOOKUP($E50,Hybrid!$1:$1048576,AB$2,FALSE)</f>
        <v>0.3237533279</v>
      </c>
      <c r="AC50" s="320">
        <f>+VLOOKUP($E50,Hybrid!$1:$1048576,AC$2,FALSE)</f>
        <v>0.32437743530000002</v>
      </c>
      <c r="AD50" s="320">
        <f>+VLOOKUP($E50,Hybrid!$1:$1048576,AD$2,FALSE)</f>
        <v>0.32474261780000002</v>
      </c>
      <c r="AE50" s="320">
        <f>+VLOOKUP($E50,Hybrid!$1:$1048576,AE$2,FALSE)</f>
        <v>0.32485404810000001</v>
      </c>
      <c r="AF50" s="320">
        <f>+VLOOKUP($E50,Hybrid!$1:$1048576,AF$2,FALSE)</f>
        <v>0.32471711730000002</v>
      </c>
      <c r="AG50" s="320">
        <f>+VLOOKUP($E50,Hybrid!$1:$1048576,AG$2,FALSE)</f>
        <v>0.32433740820000001</v>
      </c>
      <c r="AH50" s="320">
        <f>+VLOOKUP($E50,Hybrid!$1:$1048576,AH$2,FALSE)</f>
        <v>0.32372067049999997</v>
      </c>
      <c r="AI50" s="320">
        <f>+VLOOKUP($E50,Hybrid!$1:$1048576,AI$2,FALSE)</f>
        <v>0.32287279899999999</v>
      </c>
      <c r="AJ50" s="320">
        <f>+VLOOKUP($E50,Hybrid!$1:$1048576,AJ$2,FALSE)</f>
        <v>0.32179981210000003</v>
      </c>
      <c r="AK50" s="320">
        <f>+VLOOKUP($E50,Hybrid!$1:$1048576,AK$2,FALSE)</f>
        <v>0.3205078314</v>
      </c>
      <c r="AL50" s="320">
        <f>+VLOOKUP($E50,Hybrid!$1:$1048576,AL$2,FALSE)</f>
        <v>0.31900306379999999</v>
      </c>
      <c r="AM50" s="320">
        <f>+VLOOKUP($E50,Hybrid!$1:$1048576,AM$2,FALSE)</f>
        <v>0.31729178359999999</v>
      </c>
      <c r="AN50" s="320">
        <f>+VLOOKUP($E50,Hybrid!$1:$1048576,AN$2,FALSE)</f>
        <v>0.31538031640000003</v>
      </c>
      <c r="AO50" s="320">
        <f>+VLOOKUP($E50,Hybrid!$1:$1048576,AO$2,FALSE)</f>
        <v>0.31327502540000002</v>
      </c>
    </row>
    <row r="51" spans="1:43" ht="15" customHeight="1" x14ac:dyDescent="0.25">
      <c r="A51" s="384"/>
      <c r="B51" s="383"/>
      <c r="C51" s="164"/>
      <c r="D51" s="120" t="s">
        <v>523</v>
      </c>
      <c r="E51" s="46" t="s">
        <v>378</v>
      </c>
      <c r="F51" s="320">
        <f>+VLOOKUP($E51,Hybrid!$1:$1048576,F$2,FALSE)</f>
        <v>0.15020246549999999</v>
      </c>
      <c r="G51" s="320">
        <f>+VLOOKUP($E51,Hybrid!$1:$1048576,G$2,FALSE)</f>
        <v>0.15208636</v>
      </c>
      <c r="H51" s="320">
        <f>+VLOOKUP($E51,Hybrid!$1:$1048576,H$2,FALSE)</f>
        <v>0.15461233529999999</v>
      </c>
      <c r="I51" s="320">
        <f>+VLOOKUP($E51,Hybrid!$1:$1048576,I$2,FALSE)</f>
        <v>0.1574330914</v>
      </c>
      <c r="J51" s="320">
        <f>+VLOOKUP($E51,Hybrid!$1:$1048576,J$2,FALSE)</f>
        <v>0.16032595220000001</v>
      </c>
      <c r="K51" s="320">
        <f>+VLOOKUP($E51,Hybrid!$1:$1048576,K$2,FALSE)</f>
        <v>0.16315238379999999</v>
      </c>
      <c r="L51" s="320">
        <f>+VLOOKUP($E51,Hybrid!$1:$1048576,L$2,FALSE)</f>
        <v>0.16582827310000001</v>
      </c>
      <c r="M51" s="320">
        <f>+VLOOKUP($E51,Hybrid!$1:$1048576,M$2,FALSE)</f>
        <v>0.16830371420000001</v>
      </c>
      <c r="N51" s="320">
        <f>+VLOOKUP($E51,Hybrid!$1:$1048576,N$2,FALSE)</f>
        <v>0.1705499402</v>
      </c>
      <c r="O51" s="320">
        <f>+VLOOKUP($E51,Hybrid!$1:$1048576,O$2,FALSE)</f>
        <v>0.17255116619999999</v>
      </c>
      <c r="P51" s="320">
        <f>+VLOOKUP($E51,Hybrid!$1:$1048576,P$2,FALSE)</f>
        <v>0.17429961799999999</v>
      </c>
      <c r="Q51" s="320">
        <f>+VLOOKUP($E51,Hybrid!$1:$1048576,Q$2,FALSE)</f>
        <v>0.17579254590000001</v>
      </c>
      <c r="R51" s="320">
        <f>+VLOOKUP($E51,Hybrid!$1:$1048576,R$2,FALSE)</f>
        <v>0.1770304382</v>
      </c>
      <c r="S51" s="320">
        <f>+VLOOKUP($E51,Hybrid!$1:$1048576,S$2,FALSE)</f>
        <v>0.17801594400000001</v>
      </c>
      <c r="T51" s="320">
        <f>+VLOOKUP($E51,Hybrid!$1:$1048576,T$2,FALSE)</f>
        <v>0.1787532097</v>
      </c>
      <c r="U51" s="320">
        <f>+VLOOKUP($E51,Hybrid!$1:$1048576,U$2,FALSE)</f>
        <v>0.17924745619999999</v>
      </c>
      <c r="V51" s="320">
        <f>+VLOOKUP($E51,Hybrid!$1:$1048576,V$2,FALSE)</f>
        <v>0.17950469729999999</v>
      </c>
      <c r="W51" s="320">
        <f>+VLOOKUP($E51,Hybrid!$1:$1048576,W$2,FALSE)</f>
        <v>0.1795315442</v>
      </c>
      <c r="X51" s="320">
        <f>+VLOOKUP($E51,Hybrid!$1:$1048576,X$2,FALSE)</f>
        <v>0.17933506499999999</v>
      </c>
      <c r="Y51" s="320">
        <f>+VLOOKUP($E51,Hybrid!$1:$1048576,Y$2,FALSE)</f>
        <v>0.17892267889999999</v>
      </c>
      <c r="Z51" s="320">
        <f>+VLOOKUP($E51,Hybrid!$1:$1048576,Z$2,FALSE)</f>
        <v>0.17830207689999999</v>
      </c>
      <c r="AA51" s="320">
        <f>+VLOOKUP($E51,Hybrid!$1:$1048576,AA$2,FALSE)</f>
        <v>0.1774811597</v>
      </c>
      <c r="AB51" s="320">
        <f>+VLOOKUP($E51,Hybrid!$1:$1048576,AB$2,FALSE)</f>
        <v>0.1764679891</v>
      </c>
      <c r="AC51" s="320">
        <f>+VLOOKUP($E51,Hybrid!$1:$1048576,AC$2,FALSE)</f>
        <v>0.1752707479</v>
      </c>
      <c r="AD51" s="320">
        <f>+VLOOKUP($E51,Hybrid!$1:$1048576,AD$2,FALSE)</f>
        <v>0.1738977078</v>
      </c>
      <c r="AE51" s="320">
        <f>+VLOOKUP($E51,Hybrid!$1:$1048576,AE$2,FALSE)</f>
        <v>0.17235720060000001</v>
      </c>
      <c r="AF51" s="320">
        <f>+VLOOKUP($E51,Hybrid!$1:$1048576,AF$2,FALSE)</f>
        <v>0.17065759389999999</v>
      </c>
      <c r="AG51" s="320">
        <f>+VLOOKUP($E51,Hybrid!$1:$1048576,AG$2,FALSE)</f>
        <v>0.16880726770000001</v>
      </c>
      <c r="AH51" s="320">
        <f>+VLOOKUP($E51,Hybrid!$1:$1048576,AH$2,FALSE)</f>
        <v>0.1668145942</v>
      </c>
      <c r="AI51" s="320">
        <f>+VLOOKUP($E51,Hybrid!$1:$1048576,AI$2,FALSE)</f>
        <v>0.16468791720000001</v>
      </c>
      <c r="AJ51" s="320">
        <f>+VLOOKUP($E51,Hybrid!$1:$1048576,AJ$2,FALSE)</f>
        <v>0.16243553429999999</v>
      </c>
      <c r="AK51" s="320">
        <f>+VLOOKUP($E51,Hybrid!$1:$1048576,AK$2,FALSE)</f>
        <v>0.16006567869999999</v>
      </c>
      <c r="AL51" s="320">
        <f>+VLOOKUP($E51,Hybrid!$1:$1048576,AL$2,FALSE)</f>
        <v>0.15758650330000001</v>
      </c>
      <c r="AM51" s="320">
        <f>+VLOOKUP($E51,Hybrid!$1:$1048576,AM$2,FALSE)</f>
        <v>0.15500606480000001</v>
      </c>
      <c r="AN51" s="320">
        <f>+VLOOKUP($E51,Hybrid!$1:$1048576,AN$2,FALSE)</f>
        <v>0.1523323103</v>
      </c>
      <c r="AO51" s="320">
        <f>+VLOOKUP($E51,Hybrid!$1:$1048576,AO$2,FALSE)</f>
        <v>0.14957306400000001</v>
      </c>
    </row>
    <row r="52" spans="1:43" ht="15" customHeight="1" x14ac:dyDescent="0.25">
      <c r="A52" s="384"/>
      <c r="B52" s="383"/>
      <c r="C52" s="164"/>
      <c r="D52" s="120" t="s">
        <v>524</v>
      </c>
      <c r="E52" s="46" t="s">
        <v>379</v>
      </c>
      <c r="F52" s="320">
        <f>+VLOOKUP($E52,Hybrid!$1:$1048576,F$2,FALSE)</f>
        <v>7.4609436000000001E-2</v>
      </c>
      <c r="G52" s="320">
        <f>+VLOOKUP($E52,Hybrid!$1:$1048576,G$2,FALSE)</f>
        <v>7.5303854000000003E-2</v>
      </c>
      <c r="H52" s="320">
        <f>+VLOOKUP($E52,Hybrid!$1:$1048576,H$2,FALSE)</f>
        <v>7.61678831E-2</v>
      </c>
      <c r="I52" s="320">
        <f>+VLOOKUP($E52,Hybrid!$1:$1048576,I$2,FALSE)</f>
        <v>7.70104608E-2</v>
      </c>
      <c r="J52" s="320">
        <f>+VLOOKUP($E52,Hybrid!$1:$1048576,J$2,FALSE)</f>
        <v>7.7721315700000002E-2</v>
      </c>
      <c r="K52" s="320">
        <f>+VLOOKUP($E52,Hybrid!$1:$1048576,K$2,FALSE)</f>
        <v>7.8242029099999999E-2</v>
      </c>
      <c r="L52" s="320">
        <f>+VLOOKUP($E52,Hybrid!$1:$1048576,L$2,FALSE)</f>
        <v>7.8545799799999996E-2</v>
      </c>
      <c r="M52" s="320">
        <f>+VLOOKUP($E52,Hybrid!$1:$1048576,M$2,FALSE)</f>
        <v>7.8624437599999999E-2</v>
      </c>
      <c r="N52" s="320">
        <f>+VLOOKUP($E52,Hybrid!$1:$1048576,N$2,FALSE)</f>
        <v>7.8480431599999997E-2</v>
      </c>
      <c r="O52" s="320">
        <f>+VLOOKUP($E52,Hybrid!$1:$1048576,O$2,FALSE)</f>
        <v>7.8122275899999996E-2</v>
      </c>
      <c r="P52" s="320">
        <f>+VLOOKUP($E52,Hybrid!$1:$1048576,P$2,FALSE)</f>
        <v>7.7561773200000003E-2</v>
      </c>
      <c r="Q52" s="320">
        <f>+VLOOKUP($E52,Hybrid!$1:$1048576,Q$2,FALSE)</f>
        <v>7.6812491100000005E-2</v>
      </c>
      <c r="R52" s="320">
        <f>+VLOOKUP($E52,Hybrid!$1:$1048576,R$2,FALSE)</f>
        <v>7.5888872299999993E-2</v>
      </c>
      <c r="S52" s="320">
        <f>+VLOOKUP($E52,Hybrid!$1:$1048576,S$2,FALSE)</f>
        <v>7.4805708200000001E-2</v>
      </c>
      <c r="T52" s="320">
        <f>+VLOOKUP($E52,Hybrid!$1:$1048576,T$2,FALSE)</f>
        <v>7.3577815000000005E-2</v>
      </c>
      <c r="U52" s="320">
        <f>+VLOOKUP($E52,Hybrid!$1:$1048576,U$2,FALSE)</f>
        <v>7.2219823200000005E-2</v>
      </c>
      <c r="V52" s="320">
        <f>+VLOOKUP($E52,Hybrid!$1:$1048576,V$2,FALSE)</f>
        <v>7.0746033799999997E-2</v>
      </c>
      <c r="W52" s="320">
        <f>+VLOOKUP($E52,Hybrid!$1:$1048576,W$2,FALSE)</f>
        <v>6.9170316300000007E-2</v>
      </c>
      <c r="X52" s="320">
        <f>+VLOOKUP($E52,Hybrid!$1:$1048576,X$2,FALSE)</f>
        <v>6.7506034699999995E-2</v>
      </c>
      <c r="Y52" s="320">
        <f>+VLOOKUP($E52,Hybrid!$1:$1048576,Y$2,FALSE)</f>
        <v>6.5765993800000005E-2</v>
      </c>
      <c r="Z52" s="320">
        <f>+VLOOKUP($E52,Hybrid!$1:$1048576,Z$2,FALSE)</f>
        <v>6.39623998E-2</v>
      </c>
      <c r="AA52" s="320">
        <f>+VLOOKUP($E52,Hybrid!$1:$1048576,AA$2,FALSE)</f>
        <v>6.21068335E-2</v>
      </c>
      <c r="AB52" s="320">
        <f>+VLOOKUP($E52,Hybrid!$1:$1048576,AB$2,FALSE)</f>
        <v>6.02102318E-2</v>
      </c>
      <c r="AC52" s="320">
        <f>+VLOOKUP($E52,Hybrid!$1:$1048576,AC$2,FALSE)</f>
        <v>5.8282877400000002E-2</v>
      </c>
      <c r="AD52" s="320">
        <f>+VLOOKUP($E52,Hybrid!$1:$1048576,AD$2,FALSE)</f>
        <v>5.6334393500000003E-2</v>
      </c>
      <c r="AE52" s="320">
        <f>+VLOOKUP($E52,Hybrid!$1:$1048576,AE$2,FALSE)</f>
        <v>5.43737444E-2</v>
      </c>
      <c r="AF52" s="320">
        <f>+VLOOKUP($E52,Hybrid!$1:$1048576,AF$2,FALSE)</f>
        <v>5.2409239099999998E-2</v>
      </c>
      <c r="AG52" s="320">
        <f>+VLOOKUP($E52,Hybrid!$1:$1048576,AG$2,FALSE)</f>
        <v>5.0448539799999997E-2</v>
      </c>
      <c r="AH52" s="320">
        <f>+VLOOKUP($E52,Hybrid!$1:$1048576,AH$2,FALSE)</f>
        <v>4.8498672399999998E-2</v>
      </c>
      <c r="AI52" s="320">
        <f>+VLOOKUP($E52,Hybrid!$1:$1048576,AI$2,FALSE)</f>
        <v>4.6566040699999998E-2</v>
      </c>
      <c r="AJ52" s="320">
        <f>+VLOOKUP($E52,Hybrid!$1:$1048576,AJ$2,FALSE)</f>
        <v>4.4656442499999997E-2</v>
      </c>
      <c r="AK52" s="320">
        <f>+VLOOKUP($E52,Hybrid!$1:$1048576,AK$2,FALSE)</f>
        <v>4.2775088099999997E-2</v>
      </c>
      <c r="AL52" s="320">
        <f>+VLOOKUP($E52,Hybrid!$1:$1048576,AL$2,FALSE)</f>
        <v>4.0926621500000003E-2</v>
      </c>
      <c r="AM52" s="320">
        <f>+VLOOKUP($E52,Hybrid!$1:$1048576,AM$2,FALSE)</f>
        <v>3.9115141899999997E-2</v>
      </c>
      <c r="AN52" s="320">
        <f>+VLOOKUP($E52,Hybrid!$1:$1048576,AN$2,FALSE)</f>
        <v>3.7344228100000001E-2</v>
      </c>
      <c r="AO52" s="320">
        <f>+VLOOKUP($E52,Hybrid!$1:$1048576,AO$2,FALSE)</f>
        <v>3.5616963299999999E-2</v>
      </c>
    </row>
    <row r="53" spans="1:43" ht="15" customHeight="1" x14ac:dyDescent="0.25">
      <c r="A53" s="384"/>
      <c r="B53" s="383"/>
      <c r="C53" s="165"/>
      <c r="D53" s="121" t="s">
        <v>525</v>
      </c>
      <c r="E53" s="91" t="s">
        <v>380</v>
      </c>
      <c r="F53" s="321">
        <f>+VLOOKUP($E53,Hybrid!$1:$1048576,F$2,FALSE)</f>
        <v>0.13435819299999999</v>
      </c>
      <c r="G53" s="321">
        <f>+VLOOKUP($E53,Hybrid!$1:$1048576,G$2,FALSE)</f>
        <v>0.13586778920000001</v>
      </c>
      <c r="H53" s="321">
        <f>+VLOOKUP($E53,Hybrid!$1:$1048576,H$2,FALSE)</f>
        <v>0.1374440854</v>
      </c>
      <c r="I53" s="321">
        <f>+VLOOKUP($E53,Hybrid!$1:$1048576,I$2,FALSE)</f>
        <v>0.13870944860000001</v>
      </c>
      <c r="J53" s="321">
        <f>+VLOOKUP($E53,Hybrid!$1:$1048576,J$2,FALSE)</f>
        <v>0.1394722561</v>
      </c>
      <c r="K53" s="321">
        <f>+VLOOKUP($E53,Hybrid!$1:$1048576,K$2,FALSE)</f>
        <v>0.13965508700000001</v>
      </c>
      <c r="L53" s="321">
        <f>+VLOOKUP($E53,Hybrid!$1:$1048576,L$2,FALSE)</f>
        <v>0.13924622179999999</v>
      </c>
      <c r="M53" s="321">
        <f>+VLOOKUP($E53,Hybrid!$1:$1048576,M$2,FALSE)</f>
        <v>0.1382696749</v>
      </c>
      <c r="N53" s="321">
        <f>+VLOOKUP($E53,Hybrid!$1:$1048576,N$2,FALSE)</f>
        <v>0.1367676786</v>
      </c>
      <c r="O53" s="321">
        <f>+VLOOKUP($E53,Hybrid!$1:$1048576,O$2,FALSE)</f>
        <v>0.1347908163</v>
      </c>
      <c r="P53" s="321">
        <f>+VLOOKUP($E53,Hybrid!$1:$1048576,P$2,FALSE)</f>
        <v>0.13239259850000001</v>
      </c>
      <c r="Q53" s="321">
        <f>+VLOOKUP($E53,Hybrid!$1:$1048576,Q$2,FALSE)</f>
        <v>0.12962652050000001</v>
      </c>
      <c r="R53" s="321">
        <f>+VLOOKUP($E53,Hybrid!$1:$1048576,R$2,FALSE)</f>
        <v>0.12654447029999999</v>
      </c>
      <c r="S53" s="321">
        <f>+VLOOKUP($E53,Hybrid!$1:$1048576,S$2,FALSE)</f>
        <v>0.123195865</v>
      </c>
      <c r="T53" s="321">
        <f>+VLOOKUP($E53,Hybrid!$1:$1048576,T$2,FALSE)</f>
        <v>0.1196271825</v>
      </c>
      <c r="U53" s="321">
        <f>+VLOOKUP($E53,Hybrid!$1:$1048576,U$2,FALSE)</f>
        <v>0.11588171479999999</v>
      </c>
      <c r="V53" s="321">
        <f>+VLOOKUP($E53,Hybrid!$1:$1048576,V$2,FALSE)</f>
        <v>0.1119994555</v>
      </c>
      <c r="W53" s="321">
        <f>+VLOOKUP($E53,Hybrid!$1:$1048576,W$2,FALSE)</f>
        <v>0.10801707219999999</v>
      </c>
      <c r="X53" s="321">
        <f>+VLOOKUP($E53,Hybrid!$1:$1048576,X$2,FALSE)</f>
        <v>0.1039679376</v>
      </c>
      <c r="Y53" s="321">
        <f>+VLOOKUP($E53,Hybrid!$1:$1048576,Y$2,FALSE)</f>
        <v>9.9882204399999994E-2</v>
      </c>
      <c r="Z53" s="321">
        <f>+VLOOKUP($E53,Hybrid!$1:$1048576,Z$2,FALSE)</f>
        <v>9.57869103E-2</v>
      </c>
      <c r="AA53" s="321">
        <f>+VLOOKUP($E53,Hybrid!$1:$1048576,AA$2,FALSE)</f>
        <v>9.1706106499999995E-2</v>
      </c>
      <c r="AB53" s="321">
        <f>+VLOOKUP($E53,Hybrid!$1:$1048576,AB$2,FALSE)</f>
        <v>8.7661003000000001E-2</v>
      </c>
      <c r="AC53" s="321">
        <f>+VLOOKUP($E53,Hybrid!$1:$1048576,AC$2,FALSE)</f>
        <v>8.3670124799999995E-2</v>
      </c>
      <c r="AD53" s="321">
        <f>+VLOOKUP($E53,Hybrid!$1:$1048576,AD$2,FALSE)</f>
        <v>7.9749476E-2</v>
      </c>
      <c r="AE53" s="321">
        <f>+VLOOKUP($E53,Hybrid!$1:$1048576,AE$2,FALSE)</f>
        <v>7.5912708600000003E-2</v>
      </c>
      <c r="AF53" s="321">
        <f>+VLOOKUP($E53,Hybrid!$1:$1048576,AF$2,FALSE)</f>
        <v>7.2171291999999998E-2</v>
      </c>
      <c r="AG53" s="321">
        <f>+VLOOKUP($E53,Hybrid!$1:$1048576,AG$2,FALSE)</f>
        <v>6.8534683499999999E-2</v>
      </c>
      <c r="AH53" s="321">
        <f>+VLOOKUP($E53,Hybrid!$1:$1048576,AH$2,FALSE)</f>
        <v>6.5010495500000001E-2</v>
      </c>
      <c r="AI53" s="321">
        <f>+VLOOKUP($E53,Hybrid!$1:$1048576,AI$2,FALSE)</f>
        <v>6.16046601E-2</v>
      </c>
      <c r="AJ53" s="321">
        <f>+VLOOKUP($E53,Hybrid!$1:$1048576,AJ$2,FALSE)</f>
        <v>5.8321589100000001E-2</v>
      </c>
      <c r="AK53" s="321">
        <f>+VLOOKUP($E53,Hybrid!$1:$1048576,AK$2,FALSE)</f>
        <v>5.5164326999999999E-2</v>
      </c>
      <c r="AL53" s="321">
        <f>+VLOOKUP($E53,Hybrid!$1:$1048576,AL$2,FALSE)</f>
        <v>5.2134699399999998E-2</v>
      </c>
      <c r="AM53" s="321">
        <f>+VLOOKUP($E53,Hybrid!$1:$1048576,AM$2,FALSE)</f>
        <v>4.9233452300000001E-2</v>
      </c>
      <c r="AN53" s="321">
        <f>+VLOOKUP($E53,Hybrid!$1:$1048576,AN$2,FALSE)</f>
        <v>4.6460385299999997E-2</v>
      </c>
      <c r="AO53" s="321">
        <f>+VLOOKUP($E53,Hybrid!$1:$1048576,AO$2,FALSE)</f>
        <v>4.38144746E-2</v>
      </c>
    </row>
    <row r="54" spans="1:43" s="108" customFormat="1" ht="15" customHeight="1" x14ac:dyDescent="0.25">
      <c r="A54" s="384"/>
      <c r="B54" s="383"/>
      <c r="C54" s="118" t="s">
        <v>529</v>
      </c>
      <c r="D54" s="119"/>
      <c r="E54" s="88" t="s">
        <v>382</v>
      </c>
      <c r="F54" s="319">
        <f>+VLOOKUP($E54,Hybrid!$1:$1048576,F$2,FALSE)</f>
        <v>1886.229</v>
      </c>
      <c r="G54" s="319">
        <f>+VLOOKUP($E54,Hybrid!$1:$1048576,G$2,FALSE)</f>
        <v>2121.8059619999999</v>
      </c>
      <c r="H54" s="319">
        <f>+VLOOKUP($E54,Hybrid!$1:$1048576,H$2,FALSE)</f>
        <v>2286.102993</v>
      </c>
      <c r="I54" s="319">
        <f>+VLOOKUP($E54,Hybrid!$1:$1048576,I$2,FALSE)</f>
        <v>2400.528687</v>
      </c>
      <c r="J54" s="319">
        <f>+VLOOKUP($E54,Hybrid!$1:$1048576,J$2,FALSE)</f>
        <v>2480.7808479999999</v>
      </c>
      <c r="K54" s="319">
        <f>+VLOOKUP($E54,Hybrid!$1:$1048576,K$2,FALSE)</f>
        <v>2537.837047</v>
      </c>
      <c r="L54" s="319">
        <f>+VLOOKUP($E54,Hybrid!$1:$1048576,L$2,FALSE)</f>
        <v>2581.477351</v>
      </c>
      <c r="M54" s="319">
        <f>+VLOOKUP($E54,Hybrid!$1:$1048576,M$2,FALSE)</f>
        <v>2618.2021749999999</v>
      </c>
      <c r="N54" s="319">
        <f>+VLOOKUP($E54,Hybrid!$1:$1048576,N$2,FALSE)</f>
        <v>2649.6746109999999</v>
      </c>
      <c r="O54" s="319">
        <f>+VLOOKUP($E54,Hybrid!$1:$1048576,O$2,FALSE)</f>
        <v>2676.8482650000001</v>
      </c>
      <c r="P54" s="319">
        <f>+VLOOKUP($E54,Hybrid!$1:$1048576,P$2,FALSE)</f>
        <v>2700.3106360000002</v>
      </c>
      <c r="Q54" s="319">
        <f>+VLOOKUP($E54,Hybrid!$1:$1048576,Q$2,FALSE)</f>
        <v>2720.3954100000001</v>
      </c>
      <c r="R54" s="319">
        <f>+VLOOKUP($E54,Hybrid!$1:$1048576,R$2,FALSE)</f>
        <v>2737.259708</v>
      </c>
      <c r="S54" s="319">
        <f>+VLOOKUP($E54,Hybrid!$1:$1048576,S$2,FALSE)</f>
        <v>2750.9400209999999</v>
      </c>
      <c r="T54" s="319">
        <f>+VLOOKUP($E54,Hybrid!$1:$1048576,T$2,FALSE)</f>
        <v>2761.391752</v>
      </c>
      <c r="U54" s="319">
        <f>+VLOOKUP($E54,Hybrid!$1:$1048576,U$2,FALSE)</f>
        <v>2768.516995</v>
      </c>
      <c r="V54" s="319">
        <f>+VLOOKUP($E54,Hybrid!$1:$1048576,V$2,FALSE)</f>
        <v>2774.6678139999999</v>
      </c>
      <c r="W54" s="319">
        <f>+VLOOKUP($E54,Hybrid!$1:$1048576,W$2,FALSE)</f>
        <v>2782.0125619999999</v>
      </c>
      <c r="X54" s="319">
        <f>+VLOOKUP($E54,Hybrid!$1:$1048576,X$2,FALSE)</f>
        <v>2789.753342</v>
      </c>
      <c r="Y54" s="319">
        <f>+VLOOKUP($E54,Hybrid!$1:$1048576,Y$2,FALSE)</f>
        <v>2797.372942</v>
      </c>
      <c r="Z54" s="319">
        <f>+VLOOKUP($E54,Hybrid!$1:$1048576,Z$2,FALSE)</f>
        <v>2804.5968539999999</v>
      </c>
      <c r="AA54" s="319">
        <f>+VLOOKUP($E54,Hybrid!$1:$1048576,AA$2,FALSE)</f>
        <v>2811.280827</v>
      </c>
      <c r="AB54" s="319">
        <f>+VLOOKUP($E54,Hybrid!$1:$1048576,AB$2,FALSE)</f>
        <v>2817.345108</v>
      </c>
      <c r="AC54" s="319">
        <f>+VLOOKUP($E54,Hybrid!$1:$1048576,AC$2,FALSE)</f>
        <v>2822.7398899999998</v>
      </c>
      <c r="AD54" s="319">
        <f>+VLOOKUP($E54,Hybrid!$1:$1048576,AD$2,FALSE)</f>
        <v>2827.4283770000002</v>
      </c>
      <c r="AE54" s="319">
        <f>+VLOOKUP($E54,Hybrid!$1:$1048576,AE$2,FALSE)</f>
        <v>2831.3790909999998</v>
      </c>
      <c r="AF54" s="319">
        <f>+VLOOKUP($E54,Hybrid!$1:$1048576,AF$2,FALSE)</f>
        <v>2834.5628860000002</v>
      </c>
      <c r="AG54" s="319">
        <f>+VLOOKUP($E54,Hybrid!$1:$1048576,AG$2,FALSE)</f>
        <v>2836.952299</v>
      </c>
      <c r="AH54" s="319">
        <f>+VLOOKUP($E54,Hybrid!$1:$1048576,AH$2,FALSE)</f>
        <v>2838.522011</v>
      </c>
      <c r="AI54" s="319">
        <f>+VLOOKUP($E54,Hybrid!$1:$1048576,AI$2,FALSE)</f>
        <v>2839.24973</v>
      </c>
      <c r="AJ54" s="319">
        <f>+VLOOKUP($E54,Hybrid!$1:$1048576,AJ$2,FALSE)</f>
        <v>2839.1171979999999</v>
      </c>
      <c r="AK54" s="319">
        <f>+VLOOKUP($E54,Hybrid!$1:$1048576,AK$2,FALSE)</f>
        <v>2838.111022</v>
      </c>
      <c r="AL54" s="319">
        <f>+VLOOKUP($E54,Hybrid!$1:$1048576,AL$2,FALSE)</f>
        <v>2836.223348</v>
      </c>
      <c r="AM54" s="319">
        <f>+VLOOKUP($E54,Hybrid!$1:$1048576,AM$2,FALSE)</f>
        <v>2833.4522750000001</v>
      </c>
      <c r="AN54" s="319">
        <f>+VLOOKUP($E54,Hybrid!$1:$1048576,AN$2,FALSE)</f>
        <v>2829.8020540000002</v>
      </c>
      <c r="AO54" s="319">
        <f>+VLOOKUP($E54,Hybrid!$1:$1048576,AO$2,FALSE)</f>
        <v>2825.2830899999999</v>
      </c>
    </row>
    <row r="55" spans="1:43" s="108" customFormat="1" ht="15" customHeight="1" x14ac:dyDescent="0.25">
      <c r="A55" s="384"/>
      <c r="B55" s="383"/>
      <c r="C55" s="118" t="s">
        <v>527</v>
      </c>
      <c r="D55" s="119"/>
      <c r="E55" s="88" t="s">
        <v>383</v>
      </c>
      <c r="F55" s="319">
        <f>+VLOOKUP($E55,Hybrid!$1:$1048576,F$2,FALSE)</f>
        <v>1868.8030000000001</v>
      </c>
      <c r="G55" s="319">
        <f>+VLOOKUP($E55,Hybrid!$1:$1048576,G$2,FALSE)</f>
        <v>2102.1721870000001</v>
      </c>
      <c r="H55" s="319">
        <f>+VLOOKUP($E55,Hybrid!$1:$1048576,H$2,FALSE)</f>
        <v>2264.8333320000002</v>
      </c>
      <c r="I55" s="319">
        <f>+VLOOKUP($E55,Hybrid!$1:$1048576,I$2,FALSE)</f>
        <v>2377.9790739999999</v>
      </c>
      <c r="J55" s="319">
        <f>+VLOOKUP($E55,Hybrid!$1:$1048576,J$2,FALSE)</f>
        <v>2457.1345759999999</v>
      </c>
      <c r="K55" s="319">
        <f>+VLOOKUP($E55,Hybrid!$1:$1048576,K$2,FALSE)</f>
        <v>2513.1323339999999</v>
      </c>
      <c r="L55" s="319">
        <f>+VLOOKUP($E55,Hybrid!$1:$1048576,L$2,FALSE)</f>
        <v>2555.616642</v>
      </c>
      <c r="M55" s="319">
        <f>+VLOOKUP($E55,Hybrid!$1:$1048576,M$2,FALSE)</f>
        <v>2591.0142970000002</v>
      </c>
      <c r="N55" s="319">
        <f>+VLOOKUP($E55,Hybrid!$1:$1048576,N$2,FALSE)</f>
        <v>2620.9790659999999</v>
      </c>
      <c r="O55" s="319">
        <f>+VLOOKUP($E55,Hybrid!$1:$1048576,O$2,FALSE)</f>
        <v>2646.4457790000001</v>
      </c>
      <c r="P55" s="319">
        <f>+VLOOKUP($E55,Hybrid!$1:$1048576,P$2,FALSE)</f>
        <v>2667.9674279999999</v>
      </c>
      <c r="Q55" s="319">
        <f>+VLOOKUP($E55,Hybrid!$1:$1048576,Q$2,FALSE)</f>
        <v>2685.8238729999998</v>
      </c>
      <c r="R55" s="319">
        <f>+VLOOKUP($E55,Hybrid!$1:$1048576,R$2,FALSE)</f>
        <v>2700.0949620000001</v>
      </c>
      <c r="S55" s="319">
        <f>+VLOOKUP($E55,Hybrid!$1:$1048576,S$2,FALSE)</f>
        <v>2710.710298</v>
      </c>
      <c r="T55" s="319">
        <f>+VLOOKUP($E55,Hybrid!$1:$1048576,T$2,FALSE)</f>
        <v>2717.4797899999999</v>
      </c>
      <c r="U55" s="319">
        <f>+VLOOKUP($E55,Hybrid!$1:$1048576,U$2,FALSE)</f>
        <v>2720.1071619999998</v>
      </c>
      <c r="V55" s="319">
        <f>+VLOOKUP($E55,Hybrid!$1:$1048576,V$2,FALSE)</f>
        <v>2720.6636140000001</v>
      </c>
      <c r="W55" s="319">
        <f>+VLOOKUP($E55,Hybrid!$1:$1048576,W$2,FALSE)</f>
        <v>2721.0519720000002</v>
      </c>
      <c r="X55" s="319">
        <f>+VLOOKUP($E55,Hybrid!$1:$1048576,X$2,FALSE)</f>
        <v>2720.2897320000002</v>
      </c>
      <c r="Y55" s="319">
        <f>+VLOOKUP($E55,Hybrid!$1:$1048576,Y$2,FALSE)</f>
        <v>2717.655131</v>
      </c>
      <c r="Z55" s="319">
        <f>+VLOOKUP($E55,Hybrid!$1:$1048576,Z$2,FALSE)</f>
        <v>2712.6483680000001</v>
      </c>
      <c r="AA55" s="319">
        <f>+VLOOKUP($E55,Hybrid!$1:$1048576,AA$2,FALSE)</f>
        <v>2704.880838</v>
      </c>
      <c r="AB55" s="319">
        <f>+VLOOKUP($E55,Hybrid!$1:$1048576,AB$2,FALSE)</f>
        <v>2694.0113590000001</v>
      </c>
      <c r="AC55" s="319">
        <f>+VLOOKUP($E55,Hybrid!$1:$1048576,AC$2,FALSE)</f>
        <v>2679.714152</v>
      </c>
      <c r="AD55" s="319">
        <f>+VLOOKUP($E55,Hybrid!$1:$1048576,AD$2,FALSE)</f>
        <v>2661.6652549999999</v>
      </c>
      <c r="AE55" s="319">
        <f>+VLOOKUP($E55,Hybrid!$1:$1048576,AE$2,FALSE)</f>
        <v>2639.5392350000002</v>
      </c>
      <c r="AF55" s="319">
        <f>+VLOOKUP($E55,Hybrid!$1:$1048576,AF$2,FALSE)</f>
        <v>2613.0118499999999</v>
      </c>
      <c r="AG55" s="319">
        <f>+VLOOKUP($E55,Hybrid!$1:$1048576,AG$2,FALSE)</f>
        <v>2581.7664169999998</v>
      </c>
      <c r="AH55" s="319">
        <f>+VLOOKUP($E55,Hybrid!$1:$1048576,AH$2,FALSE)</f>
        <v>2545.5027</v>
      </c>
      <c r="AI55" s="319">
        <f>+VLOOKUP($E55,Hybrid!$1:$1048576,AI$2,FALSE)</f>
        <v>2503.9476909999998</v>
      </c>
      <c r="AJ55" s="319">
        <f>+VLOOKUP($E55,Hybrid!$1:$1048576,AJ$2,FALSE)</f>
        <v>2456.8676519999999</v>
      </c>
      <c r="AK55" s="319">
        <f>+VLOOKUP($E55,Hybrid!$1:$1048576,AK$2,FALSE)</f>
        <v>2404.0811840000001</v>
      </c>
      <c r="AL55" s="319">
        <f>+VLOOKUP($E55,Hybrid!$1:$1048576,AL$2,FALSE)</f>
        <v>2345.4726949999999</v>
      </c>
      <c r="AM55" s="319">
        <f>+VLOOKUP($E55,Hybrid!$1:$1048576,AM$2,FALSE)</f>
        <v>2281.005799</v>
      </c>
      <c r="AN55" s="319">
        <f>+VLOOKUP($E55,Hybrid!$1:$1048576,AN$2,FALSE)</f>
        <v>2210.7359339999998</v>
      </c>
      <c r="AO55" s="319">
        <f>+VLOOKUP($E55,Hybrid!$1:$1048576,AO$2,FALSE)</f>
        <v>2134.8214229999999</v>
      </c>
    </row>
    <row r="56" spans="1:43" ht="15" customHeight="1" x14ac:dyDescent="0.25">
      <c r="A56" s="384"/>
      <c r="B56" s="383"/>
      <c r="C56" s="164"/>
      <c r="D56" s="120" t="s">
        <v>519</v>
      </c>
      <c r="E56" s="46" t="s">
        <v>384</v>
      </c>
      <c r="F56" s="320">
        <f>+VLOOKUP($E56,Hybrid!$1:$1048576,F$2,FALSE)</f>
        <v>528.68436870000005</v>
      </c>
      <c r="G56" s="320">
        <f>+VLOOKUP($E56,Hybrid!$1:$1048576,G$2,FALSE)</f>
        <v>598.23805579999998</v>
      </c>
      <c r="H56" s="320">
        <f>+VLOOKUP($E56,Hybrid!$1:$1048576,H$2,FALSE)</f>
        <v>650.24460480000005</v>
      </c>
      <c r="I56" s="320">
        <f>+VLOOKUP($E56,Hybrid!$1:$1048576,I$2,FALSE)</f>
        <v>689.67492819999995</v>
      </c>
      <c r="J56" s="320">
        <f>+VLOOKUP($E56,Hybrid!$1:$1048576,J$2,FALSE)</f>
        <v>720.25056719999998</v>
      </c>
      <c r="K56" s="320">
        <f>+VLOOKUP($E56,Hybrid!$1:$1048576,K$2,FALSE)</f>
        <v>744.65539590000003</v>
      </c>
      <c r="L56" s="320">
        <f>+VLOOKUP($E56,Hybrid!$1:$1048576,L$2,FALSE)</f>
        <v>765.44422840000004</v>
      </c>
      <c r="M56" s="320">
        <f>+VLOOKUP($E56,Hybrid!$1:$1048576,M$2,FALSE)</f>
        <v>784.34265800000003</v>
      </c>
      <c r="N56" s="320">
        <f>+VLOOKUP($E56,Hybrid!$1:$1048576,N$2,FALSE)</f>
        <v>801.72941860000003</v>
      </c>
      <c r="O56" s="320">
        <f>+VLOOKUP($E56,Hybrid!$1:$1048576,O$2,FALSE)</f>
        <v>817.82974609999997</v>
      </c>
      <c r="P56" s="320">
        <f>+VLOOKUP($E56,Hybrid!$1:$1048576,P$2,FALSE)</f>
        <v>832.7846528</v>
      </c>
      <c r="Q56" s="320">
        <f>+VLOOKUP($E56,Hybrid!$1:$1048576,Q$2,FALSE)</f>
        <v>846.66731630000004</v>
      </c>
      <c r="R56" s="320">
        <f>+VLOOKUP($E56,Hybrid!$1:$1048576,R$2,FALSE)</f>
        <v>859.4967676</v>
      </c>
      <c r="S56" s="320">
        <f>+VLOOKUP($E56,Hybrid!$1:$1048576,S$2,FALSE)</f>
        <v>871.24858270000004</v>
      </c>
      <c r="T56" s="320">
        <f>+VLOOKUP($E56,Hybrid!$1:$1048576,T$2,FALSE)</f>
        <v>881.8616366</v>
      </c>
      <c r="U56" s="320">
        <f>+VLOOKUP($E56,Hybrid!$1:$1048576,U$2,FALSE)</f>
        <v>891.24024899999995</v>
      </c>
      <c r="V56" s="320">
        <f>+VLOOKUP($E56,Hybrid!$1:$1048576,V$2,FALSE)</f>
        <v>900.04909250000003</v>
      </c>
      <c r="W56" s="320">
        <f>+VLOOKUP($E56,Hybrid!$1:$1048576,W$2,FALSE)</f>
        <v>908.87380159999998</v>
      </c>
      <c r="X56" s="320">
        <f>+VLOOKUP($E56,Hybrid!$1:$1048576,X$2,FALSE)</f>
        <v>917.33707300000003</v>
      </c>
      <c r="Y56" s="320">
        <f>+VLOOKUP($E56,Hybrid!$1:$1048576,Y$2,FALSE)</f>
        <v>925.16180569999995</v>
      </c>
      <c r="Z56" s="320">
        <f>+VLOOKUP($E56,Hybrid!$1:$1048576,Z$2,FALSE)</f>
        <v>932.14956099999995</v>
      </c>
      <c r="AA56" s="320">
        <f>+VLOOKUP($E56,Hybrid!$1:$1048576,AA$2,FALSE)</f>
        <v>938.13976090000006</v>
      </c>
      <c r="AB56" s="320">
        <f>+VLOOKUP($E56,Hybrid!$1:$1048576,AB$2,FALSE)</f>
        <v>942.98627309999995</v>
      </c>
      <c r="AC56" s="320">
        <f>+VLOOKUP($E56,Hybrid!$1:$1048576,AC$2,FALSE)</f>
        <v>946.54538720000005</v>
      </c>
      <c r="AD56" s="320">
        <f>+VLOOKUP($E56,Hybrid!$1:$1048576,AD$2,FALSE)</f>
        <v>948.67037560000006</v>
      </c>
      <c r="AE56" s="320">
        <f>+VLOOKUP($E56,Hybrid!$1:$1048576,AE$2,FALSE)</f>
        <v>949.20979680000005</v>
      </c>
      <c r="AF56" s="320">
        <f>+VLOOKUP($E56,Hybrid!$1:$1048576,AF$2,FALSE)</f>
        <v>948.00805839999998</v>
      </c>
      <c r="AG56" s="320">
        <f>+VLOOKUP($E56,Hybrid!$1:$1048576,AG$2,FALSE)</f>
        <v>944.90750270000001</v>
      </c>
      <c r="AH56" s="320">
        <f>+VLOOKUP($E56,Hybrid!$1:$1048576,AH$2,FALSE)</f>
        <v>939.75165130000005</v>
      </c>
      <c r="AI56" s="320">
        <f>+VLOOKUP($E56,Hybrid!$1:$1048576,AI$2,FALSE)</f>
        <v>932.38941580000005</v>
      </c>
      <c r="AJ56" s="320">
        <f>+VLOOKUP($E56,Hybrid!$1:$1048576,AJ$2,FALSE)</f>
        <v>922.68008650000002</v>
      </c>
      <c r="AK56" s="320">
        <f>+VLOOKUP($E56,Hybrid!$1:$1048576,AK$2,FALSE)</f>
        <v>910.49903270000004</v>
      </c>
      <c r="AL56" s="320">
        <f>+VLOOKUP($E56,Hybrid!$1:$1048576,AL$2,FALSE)</f>
        <v>895.74389910000002</v>
      </c>
      <c r="AM56" s="320">
        <f>+VLOOKUP($E56,Hybrid!$1:$1048576,AM$2,FALSE)</f>
        <v>878.34111270000005</v>
      </c>
      <c r="AN56" s="320">
        <f>+VLOOKUP($E56,Hybrid!$1:$1048576,AN$2,FALSE)</f>
        <v>858.25241679999999</v>
      </c>
      <c r="AO56" s="320">
        <f>+VLOOKUP($E56,Hybrid!$1:$1048576,AO$2,FALSE)</f>
        <v>835.48108079999997</v>
      </c>
      <c r="AP56" s="73"/>
      <c r="AQ56" s="73"/>
    </row>
    <row r="57" spans="1:43" ht="15" customHeight="1" x14ac:dyDescent="0.25">
      <c r="A57" s="384"/>
      <c r="B57" s="383"/>
      <c r="C57" s="164"/>
      <c r="D57" s="120" t="s">
        <v>520</v>
      </c>
      <c r="E57" s="46" t="s">
        <v>387</v>
      </c>
      <c r="F57" s="320">
        <f>+VLOOKUP($E57,Hybrid!$1:$1048576,F$2,FALSE)</f>
        <v>507.5668948</v>
      </c>
      <c r="G57" s="320">
        <f>+VLOOKUP($E57,Hybrid!$1:$1048576,G$2,FALSE)</f>
        <v>573.64915540000004</v>
      </c>
      <c r="H57" s="320">
        <f>+VLOOKUP($E57,Hybrid!$1:$1048576,H$2,FALSE)</f>
        <v>622.34368410000002</v>
      </c>
      <c r="I57" s="320">
        <f>+VLOOKUP($E57,Hybrid!$1:$1048576,I$2,FALSE)</f>
        <v>658.59889599999997</v>
      </c>
      <c r="J57" s="320">
        <f>+VLOOKUP($E57,Hybrid!$1:$1048576,J$2,FALSE)</f>
        <v>686.09931349999999</v>
      </c>
      <c r="K57" s="320">
        <f>+VLOOKUP($E57,Hybrid!$1:$1048576,K$2,FALSE)</f>
        <v>707.47845489999997</v>
      </c>
      <c r="L57" s="320">
        <f>+VLOOKUP($E57,Hybrid!$1:$1048576,L$2,FALSE)</f>
        <v>725.2128553</v>
      </c>
      <c r="M57" s="320">
        <f>+VLOOKUP($E57,Hybrid!$1:$1048576,M$2,FALSE)</f>
        <v>740.98417119999999</v>
      </c>
      <c r="N57" s="320">
        <f>+VLOOKUP($E57,Hybrid!$1:$1048576,N$2,FALSE)</f>
        <v>755.18424949999996</v>
      </c>
      <c r="O57" s="320">
        <f>+VLOOKUP($E57,Hybrid!$1:$1048576,O$2,FALSE)</f>
        <v>768.03572029999998</v>
      </c>
      <c r="P57" s="320">
        <f>+VLOOKUP($E57,Hybrid!$1:$1048576,P$2,FALSE)</f>
        <v>779.66852029999995</v>
      </c>
      <c r="Q57" s="320">
        <f>+VLOOKUP($E57,Hybrid!$1:$1048576,Q$2,FALSE)</f>
        <v>790.14138330000003</v>
      </c>
      <c r="R57" s="320">
        <f>+VLOOKUP($E57,Hybrid!$1:$1048576,R$2,FALSE)</f>
        <v>799.45797630000004</v>
      </c>
      <c r="S57" s="320">
        <f>+VLOOKUP($E57,Hybrid!$1:$1048576,S$2,FALSE)</f>
        <v>807.5786253</v>
      </c>
      <c r="T57" s="320">
        <f>+VLOOKUP($E57,Hybrid!$1:$1048576,T$2,FALSE)</f>
        <v>814.42747629999997</v>
      </c>
      <c r="U57" s="320">
        <f>+VLOOKUP($E57,Hybrid!$1:$1048576,U$2,FALSE)</f>
        <v>819.89496350000002</v>
      </c>
      <c r="V57" s="320">
        <f>+VLOOKUP($E57,Hybrid!$1:$1048576,V$2,FALSE)</f>
        <v>824.58246410000004</v>
      </c>
      <c r="W57" s="320">
        <f>+VLOOKUP($E57,Hybrid!$1:$1048576,W$2,FALSE)</f>
        <v>829.04488790000005</v>
      </c>
      <c r="X57" s="320">
        <f>+VLOOKUP($E57,Hybrid!$1:$1048576,X$2,FALSE)</f>
        <v>832.96574009999995</v>
      </c>
      <c r="Y57" s="320">
        <f>+VLOOKUP($E57,Hybrid!$1:$1048576,Y$2,FALSE)</f>
        <v>836.10965940000006</v>
      </c>
      <c r="Z57" s="320">
        <f>+VLOOKUP($E57,Hybrid!$1:$1048576,Z$2,FALSE)</f>
        <v>838.30916149999996</v>
      </c>
      <c r="AA57" s="320">
        <f>+VLOOKUP($E57,Hybrid!$1:$1048576,AA$2,FALSE)</f>
        <v>839.43071210000005</v>
      </c>
      <c r="AB57" s="320">
        <f>+VLOOKUP($E57,Hybrid!$1:$1048576,AB$2,FALSE)</f>
        <v>839.35535370000002</v>
      </c>
      <c r="AC57" s="320">
        <f>+VLOOKUP($E57,Hybrid!$1:$1048576,AC$2,FALSE)</f>
        <v>837.96907780000004</v>
      </c>
      <c r="AD57" s="320">
        <f>+VLOOKUP($E57,Hybrid!$1:$1048576,AD$2,FALSE)</f>
        <v>835.15885649999996</v>
      </c>
      <c r="AE57" s="320">
        <f>+VLOOKUP($E57,Hybrid!$1:$1048576,AE$2,FALSE)</f>
        <v>830.81187460000001</v>
      </c>
      <c r="AF57" s="320">
        <f>+VLOOKUP($E57,Hybrid!$1:$1048576,AF$2,FALSE)</f>
        <v>824.81665220000002</v>
      </c>
      <c r="AG57" s="320">
        <f>+VLOOKUP($E57,Hybrid!$1:$1048576,AG$2,FALSE)</f>
        <v>817.06538850000004</v>
      </c>
      <c r="AH57" s="320">
        <f>+VLOOKUP($E57,Hybrid!$1:$1048576,AH$2,FALSE)</f>
        <v>807.45716349999998</v>
      </c>
      <c r="AI57" s="320">
        <f>+VLOOKUP($E57,Hybrid!$1:$1048576,AI$2,FALSE)</f>
        <v>795.90178719999994</v>
      </c>
      <c r="AJ57" s="320">
        <f>+VLOOKUP($E57,Hybrid!$1:$1048576,AJ$2,FALSE)</f>
        <v>782.3240816</v>
      </c>
      <c r="AK57" s="320">
        <f>+VLOOKUP($E57,Hybrid!$1:$1048576,AK$2,FALSE)</f>
        <v>766.66848449999998</v>
      </c>
      <c r="AL57" s="320">
        <f>+VLOOKUP($E57,Hybrid!$1:$1048576,AL$2,FALSE)</f>
        <v>748.90374629999997</v>
      </c>
      <c r="AM57" s="320">
        <f>+VLOOKUP($E57,Hybrid!$1:$1048576,AM$2,FALSE)</f>
        <v>729.0275226</v>
      </c>
      <c r="AN57" s="320">
        <f>+VLOOKUP($E57,Hybrid!$1:$1048576,AN$2,FALSE)</f>
        <v>707.07060109999998</v>
      </c>
      <c r="AO57" s="320">
        <f>+VLOOKUP($E57,Hybrid!$1:$1048576,AO$2,FALSE)</f>
        <v>683.10046839999995</v>
      </c>
      <c r="AP57" s="73"/>
      <c r="AQ57" s="73"/>
    </row>
    <row r="58" spans="1:43" ht="15" customHeight="1" x14ac:dyDescent="0.25">
      <c r="A58" s="384"/>
      <c r="B58" s="383"/>
      <c r="C58" s="164"/>
      <c r="D58" s="120" t="s">
        <v>521</v>
      </c>
      <c r="E58" s="46" t="s">
        <v>388</v>
      </c>
      <c r="F58" s="320">
        <f>+VLOOKUP($E58,Hybrid!$1:$1048576,F$2,FALSE)</f>
        <v>351.33496400000001</v>
      </c>
      <c r="G58" s="320">
        <f>+VLOOKUP($E58,Hybrid!$1:$1048576,G$2,FALSE)</f>
        <v>396.60028699999998</v>
      </c>
      <c r="H58" s="320">
        <f>+VLOOKUP($E58,Hybrid!$1:$1048576,H$2,FALSE)</f>
        <v>429.46133750000001</v>
      </c>
      <c r="I58" s="320">
        <f>+VLOOKUP($E58,Hybrid!$1:$1048576,I$2,FALSE)</f>
        <v>453.467197</v>
      </c>
      <c r="J58" s="320">
        <f>+VLOOKUP($E58,Hybrid!$1:$1048576,J$2,FALSE)</f>
        <v>471.24691050000001</v>
      </c>
      <c r="K58" s="320">
        <f>+VLOOKUP($E58,Hybrid!$1:$1048576,K$2,FALSE)</f>
        <v>484.66391160000001</v>
      </c>
      <c r="L58" s="320">
        <f>+VLOOKUP($E58,Hybrid!$1:$1048576,L$2,FALSE)</f>
        <v>495.45005730000003</v>
      </c>
      <c r="M58" s="320">
        <f>+VLOOKUP($E58,Hybrid!$1:$1048576,M$2,FALSE)</f>
        <v>504.78741650000001</v>
      </c>
      <c r="N58" s="320">
        <f>+VLOOKUP($E58,Hybrid!$1:$1048576,N$2,FALSE)</f>
        <v>512.96714889999998</v>
      </c>
      <c r="O58" s="320">
        <f>+VLOOKUP($E58,Hybrid!$1:$1048576,O$2,FALSE)</f>
        <v>520.14856959999997</v>
      </c>
      <c r="P58" s="320">
        <f>+VLOOKUP($E58,Hybrid!$1:$1048576,P$2,FALSE)</f>
        <v>526.41906159999996</v>
      </c>
      <c r="Q58" s="320">
        <f>+VLOOKUP($E58,Hybrid!$1:$1048576,Q$2,FALSE)</f>
        <v>531.81294579999997</v>
      </c>
      <c r="R58" s="320">
        <f>+VLOOKUP($E58,Hybrid!$1:$1048576,R$2,FALSE)</f>
        <v>536.32475509999995</v>
      </c>
      <c r="S58" s="320">
        <f>+VLOOKUP($E58,Hybrid!$1:$1048576,S$2,FALSE)</f>
        <v>539.91841529999999</v>
      </c>
      <c r="T58" s="320">
        <f>+VLOOKUP($E58,Hybrid!$1:$1048576,T$2,FALSE)</f>
        <v>542.53274820000001</v>
      </c>
      <c r="U58" s="320">
        <f>+VLOOKUP($E58,Hybrid!$1:$1048576,U$2,FALSE)</f>
        <v>544.08356460000005</v>
      </c>
      <c r="V58" s="320">
        <f>+VLOOKUP($E58,Hybrid!$1:$1048576,V$2,FALSE)</f>
        <v>544.96668590000002</v>
      </c>
      <c r="W58" s="320">
        <f>+VLOOKUP($E58,Hybrid!$1:$1048576,W$2,FALSE)</f>
        <v>545.56459859999995</v>
      </c>
      <c r="X58" s="320">
        <f>+VLOOKUP($E58,Hybrid!$1:$1048576,X$2,FALSE)</f>
        <v>545.69068200000004</v>
      </c>
      <c r="Y58" s="320">
        <f>+VLOOKUP($E58,Hybrid!$1:$1048576,Y$2,FALSE)</f>
        <v>545.20469500000002</v>
      </c>
      <c r="Z58" s="320">
        <f>+VLOOKUP($E58,Hybrid!$1:$1048576,Z$2,FALSE)</f>
        <v>544.00836979999997</v>
      </c>
      <c r="AA58" s="320">
        <f>+VLOOKUP($E58,Hybrid!$1:$1048576,AA$2,FALSE)</f>
        <v>542.02527940000004</v>
      </c>
      <c r="AB58" s="320">
        <f>+VLOOKUP($E58,Hybrid!$1:$1048576,AB$2,FALSE)</f>
        <v>539.18937149999999</v>
      </c>
      <c r="AC58" s="320">
        <f>+VLOOKUP($E58,Hybrid!$1:$1048576,AC$2,FALSE)</f>
        <v>535.43944929999998</v>
      </c>
      <c r="AD58" s="320">
        <f>+VLOOKUP($E58,Hybrid!$1:$1048576,AD$2,FALSE)</f>
        <v>530.71711479999999</v>
      </c>
      <c r="AE58" s="320">
        <f>+VLOOKUP($E58,Hybrid!$1:$1048576,AE$2,FALSE)</f>
        <v>524.96664859999998</v>
      </c>
      <c r="AF58" s="320">
        <f>+VLOOKUP($E58,Hybrid!$1:$1048576,AF$2,FALSE)</f>
        <v>518.13599910000005</v>
      </c>
      <c r="AG58" s="320">
        <f>+VLOOKUP($E58,Hybrid!$1:$1048576,AG$2,FALSE)</f>
        <v>510.17844029999998</v>
      </c>
      <c r="AH58" s="320">
        <f>+VLOOKUP($E58,Hybrid!$1:$1048576,AH$2,FALSE)</f>
        <v>501.05465579999998</v>
      </c>
      <c r="AI58" s="320">
        <f>+VLOOKUP($E58,Hybrid!$1:$1048576,AI$2,FALSE)</f>
        <v>490.7350879</v>
      </c>
      <c r="AJ58" s="320">
        <f>+VLOOKUP($E58,Hybrid!$1:$1048576,AJ$2,FALSE)</f>
        <v>479.20240030000002</v>
      </c>
      <c r="AK58" s="320">
        <f>+VLOOKUP($E58,Hybrid!$1:$1048576,AK$2,FALSE)</f>
        <v>466.4539613</v>
      </c>
      <c r="AL58" s="320">
        <f>+VLOOKUP($E58,Hybrid!$1:$1048576,AL$2,FALSE)</f>
        <v>452.50419429999999</v>
      </c>
      <c r="AM58" s="320">
        <f>+VLOOKUP($E58,Hybrid!$1:$1048576,AM$2,FALSE)</f>
        <v>437.38666640000002</v>
      </c>
      <c r="AN58" s="320">
        <f>+VLOOKUP($E58,Hybrid!$1:$1048576,AN$2,FALSE)</f>
        <v>421.15575919999998</v>
      </c>
      <c r="AO58" s="320">
        <f>+VLOOKUP($E58,Hybrid!$1:$1048576,AO$2,FALSE)</f>
        <v>403.8877655</v>
      </c>
      <c r="AP58" s="73"/>
      <c r="AQ58" s="73"/>
    </row>
    <row r="59" spans="1:43" ht="15" customHeight="1" x14ac:dyDescent="0.25">
      <c r="A59" s="384"/>
      <c r="B59" s="383"/>
      <c r="C59" s="164"/>
      <c r="D59" s="120" t="s">
        <v>522</v>
      </c>
      <c r="E59" s="46" t="s">
        <v>389</v>
      </c>
      <c r="F59" s="320">
        <f>+VLOOKUP($E59,Hybrid!$1:$1048576,F$2,FALSE)</f>
        <v>194.7292726</v>
      </c>
      <c r="G59" s="320">
        <f>+VLOOKUP($E59,Hybrid!$1:$1048576,G$2,FALSE)</f>
        <v>218.62508769999999</v>
      </c>
      <c r="H59" s="320">
        <f>+VLOOKUP($E59,Hybrid!$1:$1048576,H$2,FALSE)</f>
        <v>234.78025410000001</v>
      </c>
      <c r="I59" s="320">
        <f>+VLOOKUP($E59,Hybrid!$1:$1048576,I$2,FALSE)</f>
        <v>245.4787365</v>
      </c>
      <c r="J59" s="320">
        <f>+VLOOKUP($E59,Hybrid!$1:$1048576,J$2,FALSE)</f>
        <v>252.3924366</v>
      </c>
      <c r="K59" s="320">
        <f>+VLOOKUP($E59,Hybrid!$1:$1048576,K$2,FALSE)</f>
        <v>256.6825217</v>
      </c>
      <c r="L59" s="320">
        <f>+VLOOKUP($E59,Hybrid!$1:$1048576,L$2,FALSE)</f>
        <v>259.36974249999997</v>
      </c>
      <c r="M59" s="320">
        <f>+VLOOKUP($E59,Hybrid!$1:$1048576,M$2,FALSE)</f>
        <v>261.13768549999998</v>
      </c>
      <c r="N59" s="320">
        <f>+VLOOKUP($E59,Hybrid!$1:$1048576,N$2,FALSE)</f>
        <v>262.17552810000001</v>
      </c>
      <c r="O59" s="320">
        <f>+VLOOKUP($E59,Hybrid!$1:$1048576,O$2,FALSE)</f>
        <v>262.587988</v>
      </c>
      <c r="P59" s="320">
        <f>+VLOOKUP($E59,Hybrid!$1:$1048576,P$2,FALSE)</f>
        <v>262.43605609999997</v>
      </c>
      <c r="Q59" s="320">
        <f>+VLOOKUP($E59,Hybrid!$1:$1048576,Q$2,FALSE)</f>
        <v>261.75168550000001</v>
      </c>
      <c r="R59" s="320">
        <f>+VLOOKUP($E59,Hybrid!$1:$1048576,R$2,FALSE)</f>
        <v>260.54729939999999</v>
      </c>
      <c r="S59" s="320">
        <f>+VLOOKUP($E59,Hybrid!$1:$1048576,S$2,FALSE)</f>
        <v>258.8221403</v>
      </c>
      <c r="T59" s="320">
        <f>+VLOOKUP($E59,Hybrid!$1:$1048576,T$2,FALSE)</f>
        <v>256.56638720000001</v>
      </c>
      <c r="U59" s="320">
        <f>+VLOOKUP($E59,Hybrid!$1:$1048576,U$2,FALSE)</f>
        <v>253.76366490000001</v>
      </c>
      <c r="V59" s="320">
        <f>+VLOOKUP($E59,Hybrid!$1:$1048576,V$2,FALSE)</f>
        <v>250.62671839999999</v>
      </c>
      <c r="W59" s="320">
        <f>+VLOOKUP($E59,Hybrid!$1:$1048576,W$2,FALSE)</f>
        <v>247.3613312</v>
      </c>
      <c r="X59" s="320">
        <f>+VLOOKUP($E59,Hybrid!$1:$1048576,X$2,FALSE)</f>
        <v>243.91034859999999</v>
      </c>
      <c r="Y59" s="320">
        <f>+VLOOKUP($E59,Hybrid!$1:$1048576,Y$2,FALSE)</f>
        <v>240.23693470000001</v>
      </c>
      <c r="Z59" s="320">
        <f>+VLOOKUP($E59,Hybrid!$1:$1048576,Z$2,FALSE)</f>
        <v>236.3240868</v>
      </c>
      <c r="AA59" s="320">
        <f>+VLOOKUP($E59,Hybrid!$1:$1048576,AA$2,FALSE)</f>
        <v>232.1657395</v>
      </c>
      <c r="AB59" s="320">
        <f>+VLOOKUP($E59,Hybrid!$1:$1048576,AB$2,FALSE)</f>
        <v>227.7614289</v>
      </c>
      <c r="AC59" s="320">
        <f>+VLOOKUP($E59,Hybrid!$1:$1048576,AC$2,FALSE)</f>
        <v>223.113485</v>
      </c>
      <c r="AD59" s="320">
        <f>+VLOOKUP($E59,Hybrid!$1:$1048576,AD$2,FALSE)</f>
        <v>218.22568899999999</v>
      </c>
      <c r="AE59" s="320">
        <f>+VLOOKUP($E59,Hybrid!$1:$1048576,AE$2,FALSE)</f>
        <v>213.1027082</v>
      </c>
      <c r="AF59" s="320">
        <f>+VLOOKUP($E59,Hybrid!$1:$1048576,AF$2,FALSE)</f>
        <v>207.74992639999999</v>
      </c>
      <c r="AG59" s="320">
        <f>+VLOOKUP($E59,Hybrid!$1:$1048576,AG$2,FALSE)</f>
        <v>202.17346649999999</v>
      </c>
      <c r="AH59" s="320">
        <f>+VLOOKUP($E59,Hybrid!$1:$1048576,AH$2,FALSE)</f>
        <v>196.38029789999999</v>
      </c>
      <c r="AI59" s="320">
        <f>+VLOOKUP($E59,Hybrid!$1:$1048576,AI$2,FALSE)</f>
        <v>190.37837690000001</v>
      </c>
      <c r="AJ59" s="320">
        <f>+VLOOKUP($E59,Hybrid!$1:$1048576,AJ$2,FALSE)</f>
        <v>184.1767907</v>
      </c>
      <c r="AK59" s="320">
        <f>+VLOOKUP($E59,Hybrid!$1:$1048576,AK$2,FALSE)</f>
        <v>177.78590320000001</v>
      </c>
      <c r="AL59" s="320">
        <f>+VLOOKUP($E59,Hybrid!$1:$1048576,AL$2,FALSE)</f>
        <v>171.21749840000001</v>
      </c>
      <c r="AM59" s="320">
        <f>+VLOOKUP($E59,Hybrid!$1:$1048576,AM$2,FALSE)</f>
        <v>164.4849298</v>
      </c>
      <c r="AN59" s="320">
        <f>+VLOOKUP($E59,Hybrid!$1:$1048576,AN$2,FALSE)</f>
        <v>157.60327910000001</v>
      </c>
      <c r="AO59" s="320">
        <f>+VLOOKUP($E59,Hybrid!$1:$1048576,AO$2,FALSE)</f>
        <v>150.5895261</v>
      </c>
      <c r="AP59" s="73"/>
      <c r="AQ59" s="73"/>
    </row>
    <row r="60" spans="1:43" ht="15" customHeight="1" x14ac:dyDescent="0.25">
      <c r="A60" s="384"/>
      <c r="B60" s="383"/>
      <c r="C60" s="164"/>
      <c r="D60" s="120" t="s">
        <v>523</v>
      </c>
      <c r="E60" s="46" t="s">
        <v>390</v>
      </c>
      <c r="F60" s="320">
        <f>+VLOOKUP($E60,Hybrid!$1:$1048576,F$2,FALSE)</f>
        <v>119.7902723</v>
      </c>
      <c r="G60" s="320">
        <f>+VLOOKUP($E60,Hybrid!$1:$1048576,G$2,FALSE)</f>
        <v>133.83041510000001</v>
      </c>
      <c r="H60" s="320">
        <f>+VLOOKUP($E60,Hybrid!$1:$1048576,H$2,FALSE)</f>
        <v>142.6432543</v>
      </c>
      <c r="I60" s="320">
        <f>+VLOOKUP($E60,Hybrid!$1:$1048576,I$2,FALSE)</f>
        <v>147.81965880000001</v>
      </c>
      <c r="J60" s="320">
        <f>+VLOOKUP($E60,Hybrid!$1:$1048576,J$2,FALSE)</f>
        <v>150.51250619999999</v>
      </c>
      <c r="K60" s="320">
        <f>+VLOOKUP($E60,Hybrid!$1:$1048576,K$2,FALSE)</f>
        <v>151.5092975</v>
      </c>
      <c r="L60" s="320">
        <f>+VLOOKUP($E60,Hybrid!$1:$1048576,L$2,FALSE)</f>
        <v>151.47283669999999</v>
      </c>
      <c r="M60" s="320">
        <f>+VLOOKUP($E60,Hybrid!$1:$1048576,M$2,FALSE)</f>
        <v>150.84156730000001</v>
      </c>
      <c r="N60" s="320">
        <f>+VLOOKUP($E60,Hybrid!$1:$1048576,N$2,FALSE)</f>
        <v>149.74940889999999</v>
      </c>
      <c r="O60" s="320">
        <f>+VLOOKUP($E60,Hybrid!$1:$1048576,O$2,FALSE)</f>
        <v>148.27119930000001</v>
      </c>
      <c r="P60" s="320">
        <f>+VLOOKUP($E60,Hybrid!$1:$1048576,P$2,FALSE)</f>
        <v>146.4518812</v>
      </c>
      <c r="Q60" s="320">
        <f>+VLOOKUP($E60,Hybrid!$1:$1048576,Q$2,FALSE)</f>
        <v>144.31777629999999</v>
      </c>
      <c r="R60" s="320">
        <f>+VLOOKUP($E60,Hybrid!$1:$1048576,R$2,FALSE)</f>
        <v>141.8834659</v>
      </c>
      <c r="S60" s="320">
        <f>+VLOOKUP($E60,Hybrid!$1:$1048576,S$2,FALSE)</f>
        <v>139.15614969999999</v>
      </c>
      <c r="T60" s="320">
        <f>+VLOOKUP($E60,Hybrid!$1:$1048576,T$2,FALSE)</f>
        <v>136.13839469999999</v>
      </c>
      <c r="U60" s="320">
        <f>+VLOOKUP($E60,Hybrid!$1:$1048576,U$2,FALSE)</f>
        <v>132.82984640000001</v>
      </c>
      <c r="V60" s="320">
        <f>+VLOOKUP($E60,Hybrid!$1:$1048576,V$2,FALSE)</f>
        <v>129.3516041</v>
      </c>
      <c r="W60" s="320">
        <f>+VLOOKUP($E60,Hybrid!$1:$1048576,W$2,FALSE)</f>
        <v>125.82107689999999</v>
      </c>
      <c r="X60" s="320">
        <f>+VLOOKUP($E60,Hybrid!$1:$1048576,X$2,FALSE)</f>
        <v>122.21960180000001</v>
      </c>
      <c r="Y60" s="320">
        <f>+VLOOKUP($E60,Hybrid!$1:$1048576,Y$2,FALSE)</f>
        <v>118.53770249999999</v>
      </c>
      <c r="Z60" s="320">
        <f>+VLOOKUP($E60,Hybrid!$1:$1048576,Z$2,FALSE)</f>
        <v>114.77565130000001</v>
      </c>
      <c r="AA60" s="320">
        <f>+VLOOKUP($E60,Hybrid!$1:$1048576,AA$2,FALSE)</f>
        <v>110.9391227</v>
      </c>
      <c r="AB60" s="320">
        <f>+VLOOKUP($E60,Hybrid!$1:$1048576,AB$2,FALSE)</f>
        <v>107.0365108</v>
      </c>
      <c r="AC60" s="320">
        <f>+VLOOKUP($E60,Hybrid!$1:$1048576,AC$2,FALSE)</f>
        <v>103.0774914</v>
      </c>
      <c r="AD60" s="320">
        <f>+VLOOKUP($E60,Hybrid!$1:$1048576,AD$2,FALSE)</f>
        <v>99.072315219999993</v>
      </c>
      <c r="AE60" s="320">
        <f>+VLOOKUP($E60,Hybrid!$1:$1048576,AE$2,FALSE)</f>
        <v>95.03149062</v>
      </c>
      <c r="AF60" s="320">
        <f>+VLOOKUP($E60,Hybrid!$1:$1048576,AF$2,FALSE)</f>
        <v>90.965656339999995</v>
      </c>
      <c r="AG60" s="320">
        <f>+VLOOKUP($E60,Hybrid!$1:$1048576,AG$2,FALSE)</f>
        <v>86.885537630000002</v>
      </c>
      <c r="AH60" s="320">
        <f>+VLOOKUP($E60,Hybrid!$1:$1048576,AH$2,FALSE)</f>
        <v>82.801930029999994</v>
      </c>
      <c r="AI60" s="320">
        <f>+VLOOKUP($E60,Hybrid!$1:$1048576,AI$2,FALSE)</f>
        <v>78.725684670000007</v>
      </c>
      <c r="AJ60" s="320">
        <f>+VLOOKUP($E60,Hybrid!$1:$1048576,AJ$2,FALSE)</f>
        <v>74.667683229999994</v>
      </c>
      <c r="AK60" s="320">
        <f>+VLOOKUP($E60,Hybrid!$1:$1048576,AK$2,FALSE)</f>
        <v>70.638802609999999</v>
      </c>
      <c r="AL60" s="320">
        <f>+VLOOKUP($E60,Hybrid!$1:$1048576,AL$2,FALSE)</f>
        <v>66.649871430000005</v>
      </c>
      <c r="AM60" s="320">
        <f>+VLOOKUP($E60,Hybrid!$1:$1048576,AM$2,FALSE)</f>
        <v>62.711623080000003</v>
      </c>
      <c r="AN60" s="320">
        <f>+VLOOKUP($E60,Hybrid!$1:$1048576,AN$2,FALSE)</f>
        <v>58.83464961</v>
      </c>
      <c r="AO60" s="320">
        <f>+VLOOKUP($E60,Hybrid!$1:$1048576,AO$2,FALSE)</f>
        <v>55.02935918</v>
      </c>
      <c r="AP60" s="73"/>
      <c r="AQ60" s="73"/>
    </row>
    <row r="61" spans="1:43" ht="15" customHeight="1" x14ac:dyDescent="0.25">
      <c r="A61" s="384"/>
      <c r="B61" s="383"/>
      <c r="C61" s="164"/>
      <c r="D61" s="120" t="s">
        <v>524</v>
      </c>
      <c r="E61" s="46" t="s">
        <v>391</v>
      </c>
      <c r="F61" s="320">
        <f>+VLOOKUP($E61,Hybrid!$1:$1048576,F$2,FALSE)</f>
        <v>57.932893</v>
      </c>
      <c r="G61" s="320">
        <f>+VLOOKUP($E61,Hybrid!$1:$1048576,G$2,FALSE)</f>
        <v>63.609060390000003</v>
      </c>
      <c r="H61" s="320">
        <f>+VLOOKUP($E61,Hybrid!$1:$1048576,H$2,FALSE)</f>
        <v>66.033113589999999</v>
      </c>
      <c r="I61" s="320">
        <f>+VLOOKUP($E61,Hybrid!$1:$1048576,I$2,FALSE)</f>
        <v>66.321973819999997</v>
      </c>
      <c r="J61" s="320">
        <f>+VLOOKUP($E61,Hybrid!$1:$1048576,J$2,FALSE)</f>
        <v>65.263206890000006</v>
      </c>
      <c r="K61" s="320">
        <f>+VLOOKUP($E61,Hybrid!$1:$1048576,K$2,FALSE)</f>
        <v>63.372895249999999</v>
      </c>
      <c r="L61" s="320">
        <f>+VLOOKUP($E61,Hybrid!$1:$1048576,L$2,FALSE)</f>
        <v>61.035555250000002</v>
      </c>
      <c r="M61" s="320">
        <f>+VLOOKUP($E61,Hybrid!$1:$1048576,M$2,FALSE)</f>
        <v>58.490347980000003</v>
      </c>
      <c r="N61" s="320">
        <f>+VLOOKUP($E61,Hybrid!$1:$1048576,N$2,FALSE)</f>
        <v>55.825307479999999</v>
      </c>
      <c r="O61" s="320">
        <f>+VLOOKUP($E61,Hybrid!$1:$1048576,O$2,FALSE)</f>
        <v>53.091717719999998</v>
      </c>
      <c r="P61" s="320">
        <f>+VLOOKUP($E61,Hybrid!$1:$1048576,P$2,FALSE)</f>
        <v>50.322841390000001</v>
      </c>
      <c r="Q61" s="320">
        <f>+VLOOKUP($E61,Hybrid!$1:$1048576,Q$2,FALSE)</f>
        <v>47.541657270000002</v>
      </c>
      <c r="R61" s="320">
        <f>+VLOOKUP($E61,Hybrid!$1:$1048576,R$2,FALSE)</f>
        <v>44.765056190000003</v>
      </c>
      <c r="S61" s="320">
        <f>+VLOOKUP($E61,Hybrid!$1:$1048576,S$2,FALSE)</f>
        <v>42.006210750000001</v>
      </c>
      <c r="T61" s="320">
        <f>+VLOOKUP($E61,Hybrid!$1:$1048576,T$2,FALSE)</f>
        <v>39.275954890000001</v>
      </c>
      <c r="U61" s="320">
        <f>+VLOOKUP($E61,Hybrid!$1:$1048576,U$2,FALSE)</f>
        <v>36.583622660000003</v>
      </c>
      <c r="V61" s="320">
        <f>+VLOOKUP($E61,Hybrid!$1:$1048576,V$2,FALSE)</f>
        <v>33.970456220000003</v>
      </c>
      <c r="W61" s="320">
        <f>+VLOOKUP($E61,Hybrid!$1:$1048576,W$2,FALSE)</f>
        <v>31.471532419999999</v>
      </c>
      <c r="X61" s="320">
        <f>+VLOOKUP($E61,Hybrid!$1:$1048576,X$2,FALSE)</f>
        <v>29.083587609999999</v>
      </c>
      <c r="Y61" s="320">
        <f>+VLOOKUP($E61,Hybrid!$1:$1048576,Y$2,FALSE)</f>
        <v>26.805191499999999</v>
      </c>
      <c r="Z61" s="320">
        <f>+VLOOKUP($E61,Hybrid!$1:$1048576,Z$2,FALSE)</f>
        <v>24.63685087</v>
      </c>
      <c r="AA61" s="320">
        <f>+VLOOKUP($E61,Hybrid!$1:$1048576,AA$2,FALSE)</f>
        <v>22.579700330000001</v>
      </c>
      <c r="AB61" s="320">
        <f>+VLOOKUP($E61,Hybrid!$1:$1048576,AB$2,FALSE)</f>
        <v>20.634701039999999</v>
      </c>
      <c r="AC61" s="320">
        <f>+VLOOKUP($E61,Hybrid!$1:$1048576,AC$2,FALSE)</f>
        <v>18.802240999999999</v>
      </c>
      <c r="AD61" s="320">
        <f>+VLOOKUP($E61,Hybrid!$1:$1048576,AD$2,FALSE)</f>
        <v>17.081980690000002</v>
      </c>
      <c r="AE61" s="320">
        <f>+VLOOKUP($E61,Hybrid!$1:$1048576,AE$2,FALSE)</f>
        <v>15.472830889999999</v>
      </c>
      <c r="AF61" s="320">
        <f>+VLOOKUP($E61,Hybrid!$1:$1048576,AF$2,FALSE)</f>
        <v>13.972994699999999</v>
      </c>
      <c r="AG61" s="320">
        <f>+VLOOKUP($E61,Hybrid!$1:$1048576,AG$2,FALSE)</f>
        <v>12.580036140000001</v>
      </c>
      <c r="AH61" s="320">
        <f>+VLOOKUP($E61,Hybrid!$1:$1048576,AH$2,FALSE)</f>
        <v>11.290956789999999</v>
      </c>
      <c r="AI61" s="320">
        <f>+VLOOKUP($E61,Hybrid!$1:$1048576,AI$2,FALSE)</f>
        <v>10.10227252</v>
      </c>
      <c r="AJ61" s="320">
        <f>+VLOOKUP($E61,Hybrid!$1:$1048576,AJ$2,FALSE)</f>
        <v>9.0100877809999993</v>
      </c>
      <c r="AK61" s="320">
        <f>+VLOOKUP($E61,Hybrid!$1:$1048576,AK$2,FALSE)</f>
        <v>8.0101671400000001</v>
      </c>
      <c r="AL61" s="320">
        <f>+VLOOKUP($E61,Hybrid!$1:$1048576,AL$2,FALSE)</f>
        <v>7.0980046200000002</v>
      </c>
      <c r="AM61" s="320">
        <f>+VLOOKUP($E61,Hybrid!$1:$1048576,AM$2,FALSE)</f>
        <v>6.2688910360000003</v>
      </c>
      <c r="AN61" s="320">
        <f>+VLOOKUP($E61,Hybrid!$1:$1048576,AN$2,FALSE)</f>
        <v>5.5179791749999998</v>
      </c>
      <c r="AO61" s="320">
        <f>+VLOOKUP($E61,Hybrid!$1:$1048576,AO$2,FALSE)</f>
        <v>4.8403462140000002</v>
      </c>
      <c r="AP61" s="73"/>
      <c r="AQ61" s="73"/>
    </row>
    <row r="62" spans="1:43" ht="15" customHeight="1" x14ac:dyDescent="0.25">
      <c r="A62" s="384"/>
      <c r="B62" s="383"/>
      <c r="C62" s="164"/>
      <c r="D62" s="120" t="s">
        <v>525</v>
      </c>
      <c r="E62" s="46" t="s">
        <v>392</v>
      </c>
      <c r="F62" s="320">
        <f>+VLOOKUP($E62,Hybrid!$1:$1048576,F$2,FALSE)</f>
        <v>108.7643346</v>
      </c>
      <c r="G62" s="320">
        <f>+VLOOKUP($E62,Hybrid!$1:$1048576,G$2,FALSE)</f>
        <v>117.6201255</v>
      </c>
      <c r="H62" s="320">
        <f>+VLOOKUP($E62,Hybrid!$1:$1048576,H$2,FALSE)</f>
        <v>119.3270837</v>
      </c>
      <c r="I62" s="320">
        <f>+VLOOKUP($E62,Hybrid!$1:$1048576,I$2,FALSE)</f>
        <v>116.6176839</v>
      </c>
      <c r="J62" s="320">
        <f>+VLOOKUP($E62,Hybrid!$1:$1048576,J$2,FALSE)</f>
        <v>111.3696352</v>
      </c>
      <c r="K62" s="320">
        <f>+VLOOKUP($E62,Hybrid!$1:$1048576,K$2,FALSE)</f>
        <v>104.7698573</v>
      </c>
      <c r="L62" s="320">
        <f>+VLOOKUP($E62,Hybrid!$1:$1048576,L$2,FALSE)</f>
        <v>97.631366979999996</v>
      </c>
      <c r="M62" s="320">
        <f>+VLOOKUP($E62,Hybrid!$1:$1048576,M$2,FALSE)</f>
        <v>90.430450919999998</v>
      </c>
      <c r="N62" s="320">
        <f>+VLOOKUP($E62,Hybrid!$1:$1048576,N$2,FALSE)</f>
        <v>83.348004200000005</v>
      </c>
      <c r="O62" s="320">
        <f>+VLOOKUP($E62,Hybrid!$1:$1048576,O$2,FALSE)</f>
        <v>76.480837870000002</v>
      </c>
      <c r="P62" s="320">
        <f>+VLOOKUP($E62,Hybrid!$1:$1048576,P$2,FALSE)</f>
        <v>69.884414770000006</v>
      </c>
      <c r="Q62" s="320">
        <f>+VLOOKUP($E62,Hybrid!$1:$1048576,Q$2,FALSE)</f>
        <v>63.591108460000001</v>
      </c>
      <c r="R62" s="320">
        <f>+VLOOKUP($E62,Hybrid!$1:$1048576,R$2,FALSE)</f>
        <v>57.619641219999998</v>
      </c>
      <c r="S62" s="320">
        <f>+VLOOKUP($E62,Hybrid!$1:$1048576,S$2,FALSE)</f>
        <v>51.980173739999998</v>
      </c>
      <c r="T62" s="320">
        <f>+VLOOKUP($E62,Hybrid!$1:$1048576,T$2,FALSE)</f>
        <v>46.677191929999999</v>
      </c>
      <c r="U62" s="320">
        <f>+VLOOKUP($E62,Hybrid!$1:$1048576,U$2,FALSE)</f>
        <v>41.711251279999999</v>
      </c>
      <c r="V62" s="320">
        <f>+VLOOKUP($E62,Hybrid!$1:$1048576,V$2,FALSE)</f>
        <v>37.11659246</v>
      </c>
      <c r="W62" s="320">
        <f>+VLOOKUP($E62,Hybrid!$1:$1048576,W$2,FALSE)</f>
        <v>32.914743020000003</v>
      </c>
      <c r="X62" s="320">
        <f>+VLOOKUP($E62,Hybrid!$1:$1048576,X$2,FALSE)</f>
        <v>29.082699059999999</v>
      </c>
      <c r="Y62" s="320">
        <f>+VLOOKUP($E62,Hybrid!$1:$1048576,Y$2,FALSE)</f>
        <v>25.599142400000002</v>
      </c>
      <c r="Z62" s="320">
        <f>+VLOOKUP($E62,Hybrid!$1:$1048576,Z$2,FALSE)</f>
        <v>22.444686390000001</v>
      </c>
      <c r="AA62" s="320">
        <f>+VLOOKUP($E62,Hybrid!$1:$1048576,AA$2,FALSE)</f>
        <v>19.60052258</v>
      </c>
      <c r="AB62" s="320">
        <f>+VLOOKUP($E62,Hybrid!$1:$1048576,AB$2,FALSE)</f>
        <v>17.04771959</v>
      </c>
      <c r="AC62" s="320">
        <f>+VLOOKUP($E62,Hybrid!$1:$1048576,AC$2,FALSE)</f>
        <v>14.767020779999999</v>
      </c>
      <c r="AD62" s="320">
        <f>+VLOOKUP($E62,Hybrid!$1:$1048576,AD$2,FALSE)</f>
        <v>12.738923590000001</v>
      </c>
      <c r="AE62" s="320">
        <f>+VLOOKUP($E62,Hybrid!$1:$1048576,AE$2,FALSE)</f>
        <v>10.943885229999999</v>
      </c>
      <c r="AF62" s="320">
        <f>+VLOOKUP($E62,Hybrid!$1:$1048576,AF$2,FALSE)</f>
        <v>9.3625632949999993</v>
      </c>
      <c r="AG62" s="320">
        <f>+VLOOKUP($E62,Hybrid!$1:$1048576,AG$2,FALSE)</f>
        <v>7.9760450389999997</v>
      </c>
      <c r="AH62" s="320">
        <f>+VLOOKUP($E62,Hybrid!$1:$1048576,AH$2,FALSE)</f>
        <v>6.7660450579999996</v>
      </c>
      <c r="AI62" s="320">
        <f>+VLOOKUP($E62,Hybrid!$1:$1048576,AI$2,FALSE)</f>
        <v>5.715065879</v>
      </c>
      <c r="AJ62" s="320">
        <f>+VLOOKUP($E62,Hybrid!$1:$1048576,AJ$2,FALSE)</f>
        <v>4.8065223379999997</v>
      </c>
      <c r="AK62" s="320">
        <f>+VLOOKUP($E62,Hybrid!$1:$1048576,AK$2,FALSE)</f>
        <v>4.0248328249999998</v>
      </c>
      <c r="AL62" s="320">
        <f>+VLOOKUP($E62,Hybrid!$1:$1048576,AL$2,FALSE)</f>
        <v>3.3554812570000001</v>
      </c>
      <c r="AM62" s="320">
        <f>+VLOOKUP($E62,Hybrid!$1:$1048576,AM$2,FALSE)</f>
        <v>2.785053129</v>
      </c>
      <c r="AN62" s="320">
        <f>+VLOOKUP($E62,Hybrid!$1:$1048576,AN$2,FALSE)</f>
        <v>2.3012487500000001</v>
      </c>
      <c r="AO62" s="320">
        <f>+VLOOKUP($E62,Hybrid!$1:$1048576,AO$2,FALSE)</f>
        <v>1.8928764760000001</v>
      </c>
      <c r="AP62" s="73"/>
      <c r="AQ62" s="73"/>
    </row>
    <row r="63" spans="1:43" s="108" customFormat="1" ht="15" customHeight="1" x14ac:dyDescent="0.25">
      <c r="A63" s="384"/>
      <c r="B63" s="383"/>
      <c r="C63" s="118" t="s">
        <v>802</v>
      </c>
      <c r="D63" s="119"/>
      <c r="E63" s="88" t="s">
        <v>385</v>
      </c>
      <c r="F63" s="319">
        <f>+VLOOKUP($E63,Hybrid!$1:$1048576,F$2,FALSE)</f>
        <v>17.268999999999998</v>
      </c>
      <c r="G63" s="319">
        <f>+VLOOKUP($E63,Hybrid!$1:$1048576,G$2,FALSE)</f>
        <v>19.45716917</v>
      </c>
      <c r="H63" s="319">
        <f>+VLOOKUP($E63,Hybrid!$1:$1048576,H$2,FALSE)</f>
        <v>21.07938936</v>
      </c>
      <c r="I63" s="319">
        <f>+VLOOKUP($E63,Hybrid!$1:$1048576,I$2,FALSE)</f>
        <v>22.349836580000002</v>
      </c>
      <c r="J63" s="319">
        <f>+VLOOKUP($E63,Hybrid!$1:$1048576,J$2,FALSE)</f>
        <v>23.43984592</v>
      </c>
      <c r="K63" s="319">
        <f>+VLOOKUP($E63,Hybrid!$1:$1048576,K$2,FALSE)</f>
        <v>24.4935738</v>
      </c>
      <c r="L63" s="319">
        <f>+VLOOKUP($E63,Hybrid!$1:$1048576,L$2,FALSE)</f>
        <v>25.645994730000002</v>
      </c>
      <c r="M63" s="319">
        <f>+VLOOKUP($E63,Hybrid!$1:$1048576,M$2,FALSE)</f>
        <v>26.970187079999999</v>
      </c>
      <c r="N63" s="319">
        <f>+VLOOKUP($E63,Hybrid!$1:$1048576,N$2,FALSE)</f>
        <v>28.475336110000001</v>
      </c>
      <c r="O63" s="319">
        <f>+VLOOKUP($E63,Hybrid!$1:$1048576,O$2,FALSE)</f>
        <v>30.180136610000002</v>
      </c>
      <c r="P63" s="319">
        <f>+VLOOKUP($E63,Hybrid!$1:$1048576,P$2,FALSE)</f>
        <v>32.119048390000003</v>
      </c>
      <c r="Q63" s="319">
        <f>+VLOOKUP($E63,Hybrid!$1:$1048576,Q$2,FALSE)</f>
        <v>34.345875560000003</v>
      </c>
      <c r="R63" s="319">
        <f>+VLOOKUP($E63,Hybrid!$1:$1048576,R$2,FALSE)</f>
        <v>36.937918199999999</v>
      </c>
      <c r="S63" s="319">
        <f>+VLOOKUP($E63,Hybrid!$1:$1048576,S$2,FALSE)</f>
        <v>40.001998290000003</v>
      </c>
      <c r="T63" s="319">
        <f>+VLOOKUP($E63,Hybrid!$1:$1048576,T$2,FALSE)</f>
        <v>43.683665779999998</v>
      </c>
      <c r="U63" s="319">
        <f>+VLOOKUP($E63,Hybrid!$1:$1048576,U$2,FALSE)</f>
        <v>48.181314209999996</v>
      </c>
      <c r="V63" s="319">
        <f>+VLOOKUP($E63,Hybrid!$1:$1048576,V$2,FALSE)</f>
        <v>53.775634099999998</v>
      </c>
      <c r="W63" s="319">
        <f>+VLOOKUP($E63,Hybrid!$1:$1048576,W$2,FALSE)</f>
        <v>60.731990940000003</v>
      </c>
      <c r="X63" s="319">
        <f>+VLOOKUP($E63,Hybrid!$1:$1048576,X$2,FALSE)</f>
        <v>69.235073839999998</v>
      </c>
      <c r="Y63" s="319">
        <f>+VLOOKUP($E63,Hybrid!$1:$1048576,Y$2,FALSE)</f>
        <v>79.489496700000004</v>
      </c>
      <c r="Z63" s="319">
        <f>+VLOOKUP($E63,Hybrid!$1:$1048576,Z$2,FALSE)</f>
        <v>91.720592139999994</v>
      </c>
      <c r="AA63" s="319">
        <f>+VLOOKUP($E63,Hybrid!$1:$1048576,AA$2,FALSE)</f>
        <v>106.17274759999999</v>
      </c>
      <c r="AB63" s="319">
        <f>+VLOOKUP($E63,Hybrid!$1:$1048576,AB$2,FALSE)</f>
        <v>123.10742020000001</v>
      </c>
      <c r="AC63" s="319">
        <f>+VLOOKUP($E63,Hybrid!$1:$1048576,AC$2,FALSE)</f>
        <v>142.80060929999999</v>
      </c>
      <c r="AD63" s="319">
        <f>+VLOOKUP($E63,Hybrid!$1:$1048576,AD$2,FALSE)</f>
        <v>165.53950939999999</v>
      </c>
      <c r="AE63" s="319">
        <f>+VLOOKUP($E63,Hybrid!$1:$1048576,AE$2,FALSE)</f>
        <v>191.6181043</v>
      </c>
      <c r="AF63" s="319">
        <f>+VLOOKUP($E63,Hybrid!$1:$1048576,AF$2,FALSE)</f>
        <v>221.3315174</v>
      </c>
      <c r="AG63" s="319">
        <f>+VLOOKUP($E63,Hybrid!$1:$1048576,AG$2,FALSE)</f>
        <v>254.96899440000001</v>
      </c>
      <c r="AH63" s="319">
        <f>+VLOOKUP($E63,Hybrid!$1:$1048576,AH$2,FALSE)</f>
        <v>292.80546079999999</v>
      </c>
      <c r="AI63" s="319">
        <f>+VLOOKUP($E63,Hybrid!$1:$1048576,AI$2,FALSE)</f>
        <v>335.09168419999997</v>
      </c>
      <c r="AJ63" s="319">
        <f>+VLOOKUP($E63,Hybrid!$1:$1048576,AJ$2,FALSE)</f>
        <v>382.04314419999997</v>
      </c>
      <c r="AK63" s="319">
        <f>+VLOOKUP($E63,Hybrid!$1:$1048576,AK$2,FALSE)</f>
        <v>433.82787080000003</v>
      </c>
      <c r="AL63" s="319">
        <f>+VLOOKUP($E63,Hybrid!$1:$1048576,AL$2,FALSE)</f>
        <v>490.55360910000002</v>
      </c>
      <c r="AM63" s="319">
        <f>+VLOOKUP($E63,Hybrid!$1:$1048576,AM$2,FALSE)</f>
        <v>552.25484800000004</v>
      </c>
      <c r="AN63" s="319">
        <f>+VLOOKUP($E63,Hybrid!$1:$1048576,AN$2,FALSE)</f>
        <v>618.88039509999999</v>
      </c>
      <c r="AO63" s="319">
        <f>+VLOOKUP($E63,Hybrid!$1:$1048576,AO$2,FALSE)</f>
        <v>690.28232000000003</v>
      </c>
    </row>
    <row r="64" spans="1:43" ht="15" customHeight="1" x14ac:dyDescent="0.25">
      <c r="A64" s="384"/>
      <c r="B64" s="383"/>
      <c r="C64" s="164"/>
      <c r="D64" s="120" t="s">
        <v>519</v>
      </c>
      <c r="E64" s="46" t="s">
        <v>386</v>
      </c>
      <c r="F64" s="320">
        <f>+VLOOKUP($E64,Hybrid!$1:$1048576,F$2,FALSE)</f>
        <v>4.8854001</v>
      </c>
      <c r="G64" s="320">
        <f>+VLOOKUP($E64,Hybrid!$1:$1048576,G$2,FALSE)</f>
        <v>5.537697348</v>
      </c>
      <c r="H64" s="320">
        <f>+VLOOKUP($E64,Hybrid!$1:$1048576,H$2,FALSE)</f>
        <v>6.0545843220000002</v>
      </c>
      <c r="I64" s="320">
        <f>+VLOOKUP($E64,Hybrid!$1:$1048576,I$2,FALSE)</f>
        <v>6.488235779</v>
      </c>
      <c r="J64" s="320">
        <f>+VLOOKUP($E64,Hybrid!$1:$1048576,J$2,FALSE)</f>
        <v>6.8824648310000001</v>
      </c>
      <c r="K64" s="320">
        <f>+VLOOKUP($E64,Hybrid!$1:$1048576,K$2,FALSE)</f>
        <v>7.2768623689999998</v>
      </c>
      <c r="L64" s="320">
        <f>+VLOOKUP($E64,Hybrid!$1:$1048576,L$2,FALSE)</f>
        <v>7.710849821</v>
      </c>
      <c r="M64" s="320">
        <f>+VLOOKUP($E64,Hybrid!$1:$1048576,M$2,FALSE)</f>
        <v>8.2063243430000004</v>
      </c>
      <c r="N64" s="320">
        <f>+VLOOKUP($E64,Hybrid!$1:$1048576,N$2,FALSE)</f>
        <v>8.7664036779999996</v>
      </c>
      <c r="O64" s="320">
        <f>+VLOOKUP($E64,Hybrid!$1:$1048576,O$2,FALSE)</f>
        <v>9.3979319879999998</v>
      </c>
      <c r="P64" s="320">
        <f>+VLOOKUP($E64,Hybrid!$1:$1048576,P$2,FALSE)</f>
        <v>10.113396099999999</v>
      </c>
      <c r="Q64" s="320">
        <f>+VLOOKUP($E64,Hybrid!$1:$1048576,Q$2,FALSE)</f>
        <v>10.932201709999999</v>
      </c>
      <c r="R64" s="320">
        <f>+VLOOKUP($E64,Hybrid!$1:$1048576,R$2,FALSE)</f>
        <v>11.88227395</v>
      </c>
      <c r="S64" s="320">
        <f>+VLOOKUP($E64,Hybrid!$1:$1048576,S$2,FALSE)</f>
        <v>13.00241933</v>
      </c>
      <c r="T64" s="320">
        <f>+VLOOKUP($E64,Hybrid!$1:$1048576,T$2,FALSE)</f>
        <v>14.345938139999999</v>
      </c>
      <c r="U64" s="320">
        <f>+VLOOKUP($E64,Hybrid!$1:$1048576,U$2,FALSE)</f>
        <v>15.98617099</v>
      </c>
      <c r="V64" s="320">
        <f>+VLOOKUP($E64,Hybrid!$1:$1048576,V$2,FALSE)</f>
        <v>18.026784060000001</v>
      </c>
      <c r="W64" s="320">
        <f>+VLOOKUP($E64,Hybrid!$1:$1048576,W$2,FALSE)</f>
        <v>20.568639050000002</v>
      </c>
      <c r="X64" s="320">
        <f>+VLOOKUP($E64,Hybrid!$1:$1048576,X$2,FALSE)</f>
        <v>23.687386579999998</v>
      </c>
      <c r="Y64" s="320">
        <f>+VLOOKUP($E64,Hybrid!$1:$1048576,Y$2,FALSE)</f>
        <v>27.468125560000001</v>
      </c>
      <c r="Z64" s="320">
        <f>+VLOOKUP($E64,Hybrid!$1:$1048576,Z$2,FALSE)</f>
        <v>32.005881260000002</v>
      </c>
      <c r="AA64" s="320">
        <f>+VLOOKUP($E64,Hybrid!$1:$1048576,AA$2,FALSE)</f>
        <v>37.405312199999997</v>
      </c>
      <c r="AB64" s="320">
        <f>+VLOOKUP($E64,Hybrid!$1:$1048576,AB$2,FALSE)</f>
        <v>43.780310579999998</v>
      </c>
      <c r="AC64" s="320">
        <f>+VLOOKUP($E64,Hybrid!$1:$1048576,AC$2,FALSE)</f>
        <v>51.253390410000002</v>
      </c>
      <c r="AD64" s="320">
        <f>+VLOOKUP($E64,Hybrid!$1:$1048576,AD$2,FALSE)</f>
        <v>59.954740479999998</v>
      </c>
      <c r="AE64" s="320">
        <f>+VLOOKUP($E64,Hybrid!$1:$1048576,AE$2,FALSE)</f>
        <v>70.02082901</v>
      </c>
      <c r="AF64" s="320">
        <f>+VLOOKUP($E64,Hybrid!$1:$1048576,AF$2,FALSE)</f>
        <v>81.592461839999999</v>
      </c>
      <c r="AG64" s="320">
        <f>+VLOOKUP($E64,Hybrid!$1:$1048576,AG$2,FALSE)</f>
        <v>94.812214350000005</v>
      </c>
      <c r="AH64" s="320">
        <f>+VLOOKUP($E64,Hybrid!$1:$1048576,AH$2,FALSE)</f>
        <v>109.8211788</v>
      </c>
      <c r="AI64" s="320">
        <f>+VLOOKUP($E64,Hybrid!$1:$1048576,AI$2,FALSE)</f>
        <v>126.7549994</v>
      </c>
      <c r="AJ64" s="320">
        <f>+VLOOKUP($E64,Hybrid!$1:$1048576,AJ$2,FALSE)</f>
        <v>145.73919620000001</v>
      </c>
      <c r="AK64" s="320">
        <f>+VLOOKUP($E64,Hybrid!$1:$1048576,AK$2,FALSE)</f>
        <v>166.8838446</v>
      </c>
      <c r="AL64" s="320">
        <f>+VLOOKUP($E64,Hybrid!$1:$1048576,AL$2,FALSE)</f>
        <v>190.2777222</v>
      </c>
      <c r="AM64" s="320">
        <f>+VLOOKUP($E64,Hybrid!$1:$1048576,AM$2,FALSE)</f>
        <v>215.98211860000001</v>
      </c>
      <c r="AN64" s="320">
        <f>+VLOOKUP($E64,Hybrid!$1:$1048576,AN$2,FALSE)</f>
        <v>244.0245807</v>
      </c>
      <c r="AO64" s="320">
        <f>+VLOOKUP($E64,Hybrid!$1:$1048576,AO$2,FALSE)</f>
        <v>274.39294439999998</v>
      </c>
      <c r="AP64" s="73"/>
      <c r="AQ64" s="73"/>
    </row>
    <row r="65" spans="1:43" ht="15" customHeight="1" x14ac:dyDescent="0.25">
      <c r="A65" s="384"/>
      <c r="B65" s="383"/>
      <c r="C65" s="164"/>
      <c r="D65" s="120" t="s">
        <v>520</v>
      </c>
      <c r="E65" s="46" t="s">
        <v>393</v>
      </c>
      <c r="F65" s="320">
        <f>+VLOOKUP($E65,Hybrid!$1:$1048576,F$2,FALSE)</f>
        <v>4.6902603999999997</v>
      </c>
      <c r="G65" s="320">
        <f>+VLOOKUP($E65,Hybrid!$1:$1048576,G$2,FALSE)</f>
        <v>5.3108370069999999</v>
      </c>
      <c r="H65" s="320">
        <f>+VLOOKUP($E65,Hybrid!$1:$1048576,H$2,FALSE)</f>
        <v>5.7983659379999999</v>
      </c>
      <c r="I65" s="320">
        <f>+VLOOKUP($E65,Hybrid!$1:$1048576,I$2,FALSE)</f>
        <v>6.2047941919999996</v>
      </c>
      <c r="J65" s="320">
        <f>+VLOOKUP($E65,Hybrid!$1:$1048576,J$2,FALSE)</f>
        <v>6.5735543559999998</v>
      </c>
      <c r="K65" s="320">
        <f>+VLOOKUP($E65,Hybrid!$1:$1048576,K$2,FALSE)</f>
        <v>6.9437050390000001</v>
      </c>
      <c r="L65" s="320">
        <f>+VLOOKUP($E65,Hybrid!$1:$1048576,L$2,FALSE)</f>
        <v>7.3536603349999998</v>
      </c>
      <c r="M65" s="320">
        <f>+VLOOKUP($E65,Hybrid!$1:$1048576,M$2,FALSE)</f>
        <v>7.8242501600000001</v>
      </c>
      <c r="N65" s="320">
        <f>+VLOOKUP($E65,Hybrid!$1:$1048576,N$2,FALSE)</f>
        <v>8.3579150099999993</v>
      </c>
      <c r="O65" s="320">
        <f>+VLOOKUP($E65,Hybrid!$1:$1048576,O$2,FALSE)</f>
        <v>8.9607070130000004</v>
      </c>
      <c r="P65" s="320">
        <f>+VLOOKUP($E65,Hybrid!$1:$1048576,P$2,FALSE)</f>
        <v>9.6441498410000008</v>
      </c>
      <c r="Q65" s="320">
        <f>+VLOOKUP($E65,Hybrid!$1:$1048576,Q$2,FALSE)</f>
        <v>10.426406269999999</v>
      </c>
      <c r="R65" s="320">
        <f>+VLOOKUP($E65,Hybrid!$1:$1048576,R$2,FALSE)</f>
        <v>11.33370002</v>
      </c>
      <c r="S65" s="320">
        <f>+VLOOKUP($E65,Hybrid!$1:$1048576,S$2,FALSE)</f>
        <v>12.40240612</v>
      </c>
      <c r="T65" s="320">
        <f>+VLOOKUP($E65,Hybrid!$1:$1048576,T$2,FALSE)</f>
        <v>13.682247889999999</v>
      </c>
      <c r="U65" s="320">
        <f>+VLOOKUP($E65,Hybrid!$1:$1048576,U$2,FALSE)</f>
        <v>15.241193429999999</v>
      </c>
      <c r="V65" s="320">
        <f>+VLOOKUP($E65,Hybrid!$1:$1048576,V$2,FALSE)</f>
        <v>17.174681069999998</v>
      </c>
      <c r="W65" s="320">
        <f>+VLOOKUP($E65,Hybrid!$1:$1048576,W$2,FALSE)</f>
        <v>19.573692319999999</v>
      </c>
      <c r="X65" s="320">
        <f>+VLOOKUP($E65,Hybrid!$1:$1048576,X$2,FALSE)</f>
        <v>22.503363749999998</v>
      </c>
      <c r="Y65" s="320">
        <f>+VLOOKUP($E65,Hybrid!$1:$1048576,Y$2,FALSE)</f>
        <v>26.03568645</v>
      </c>
      <c r="Z65" s="320">
        <f>+VLOOKUP($E65,Hybrid!$1:$1048576,Z$2,FALSE)</f>
        <v>30.249725349999999</v>
      </c>
      <c r="AA65" s="320">
        <f>+VLOOKUP($E65,Hybrid!$1:$1048576,AA$2,FALSE)</f>
        <v>35.231035210000002</v>
      </c>
      <c r="AB65" s="320">
        <f>+VLOOKUP($E65,Hybrid!$1:$1048576,AB$2,FALSE)</f>
        <v>41.070938920000003</v>
      </c>
      <c r="AC65" s="320">
        <f>+VLOOKUP($E65,Hybrid!$1:$1048576,AC$2,FALSE)</f>
        <v>47.865592820000003</v>
      </c>
      <c r="AD65" s="320">
        <f>+VLOOKUP($E65,Hybrid!$1:$1048576,AD$2,FALSE)</f>
        <v>55.714747420000002</v>
      </c>
      <c r="AE65" s="320">
        <f>+VLOOKUP($E65,Hybrid!$1:$1048576,AE$2,FALSE)</f>
        <v>64.720124220000002</v>
      </c>
      <c r="AF65" s="320">
        <f>+VLOOKUP($E65,Hybrid!$1:$1048576,AF$2,FALSE)</f>
        <v>74.983348739999997</v>
      </c>
      <c r="AG65" s="320">
        <f>+VLOOKUP($E65,Hybrid!$1:$1048576,AG$2,FALSE)</f>
        <v>86.603402299999999</v>
      </c>
      <c r="AH65" s="320">
        <f>+VLOOKUP($E65,Hybrid!$1:$1048576,AH$2,FALSE)</f>
        <v>99.673580119999997</v>
      </c>
      <c r="AI65" s="320">
        <f>+VLOOKUP($E65,Hybrid!$1:$1048576,AI$2,FALSE)</f>
        <v>114.27797529999999</v>
      </c>
      <c r="AJ65" s="320">
        <f>+VLOOKUP($E65,Hybrid!$1:$1048576,AJ$2,FALSE)</f>
        <v>130.48753629999999</v>
      </c>
      <c r="AK65" s="320">
        <f>+VLOOKUP($E65,Hybrid!$1:$1048576,AK$2,FALSE)</f>
        <v>148.3558022</v>
      </c>
      <c r="AL65" s="320">
        <f>+VLOOKUP($E65,Hybrid!$1:$1048576,AL$2,FALSE)</f>
        <v>167.91445379999999</v>
      </c>
      <c r="AM65" s="320">
        <f>+VLOOKUP($E65,Hybrid!$1:$1048576,AM$2,FALSE)</f>
        <v>189.1688833</v>
      </c>
      <c r="AN65" s="320">
        <f>+VLOOKUP($E65,Hybrid!$1:$1048576,AN$2,FALSE)</f>
        <v>212.09402879999999</v>
      </c>
      <c r="AO65" s="320">
        <f>+VLOOKUP($E65,Hybrid!$1:$1048576,AO$2,FALSE)</f>
        <v>236.63076960000001</v>
      </c>
      <c r="AP65" s="73"/>
      <c r="AQ65" s="73"/>
    </row>
    <row r="66" spans="1:43" ht="15" customHeight="1" x14ac:dyDescent="0.25">
      <c r="A66" s="384"/>
      <c r="B66" s="383"/>
      <c r="C66" s="164"/>
      <c r="D66" s="120" t="s">
        <v>521</v>
      </c>
      <c r="E66" s="46" t="s">
        <v>394</v>
      </c>
      <c r="F66" s="320">
        <f>+VLOOKUP($E66,Hybrid!$1:$1048576,F$2,FALSE)</f>
        <v>3.246572</v>
      </c>
      <c r="G66" s="320">
        <f>+VLOOKUP($E66,Hybrid!$1:$1048576,G$2,FALSE)</f>
        <v>3.6722038530000001</v>
      </c>
      <c r="H66" s="320">
        <f>+VLOOKUP($E66,Hybrid!$1:$1048576,H$2,FALSE)</f>
        <v>4.0035834159999997</v>
      </c>
      <c r="I66" s="320">
        <f>+VLOOKUP($E66,Hybrid!$1:$1048576,I$2,FALSE)</f>
        <v>4.2779300180000002</v>
      </c>
      <c r="J66" s="320">
        <f>+VLOOKUP($E66,Hybrid!$1:$1048576,J$2,FALSE)</f>
        <v>4.5262093229999998</v>
      </c>
      <c r="K66" s="320">
        <f>+VLOOKUP($E66,Hybrid!$1:$1048576,K$2,FALSE)</f>
        <v>4.7761075890000004</v>
      </c>
      <c r="L66" s="320">
        <f>+VLOOKUP($E66,Hybrid!$1:$1048576,L$2,FALSE)</f>
        <v>5.0545188359999997</v>
      </c>
      <c r="M66" s="320">
        <f>+VLOOKUP($E66,Hybrid!$1:$1048576,M$2,FALSE)</f>
        <v>5.3756744359999997</v>
      </c>
      <c r="N66" s="320">
        <f>+VLOOKUP($E66,Hybrid!$1:$1048576,N$2,FALSE)</f>
        <v>5.7408561110000003</v>
      </c>
      <c r="O66" s="320">
        <f>+VLOOKUP($E66,Hybrid!$1:$1048576,O$2,FALSE)</f>
        <v>6.1538536610000003</v>
      </c>
      <c r="P66" s="320">
        <f>+VLOOKUP($E66,Hybrid!$1:$1048576,P$2,FALSE)</f>
        <v>6.6222570870000004</v>
      </c>
      <c r="Q66" s="320">
        <f>+VLOOKUP($E66,Hybrid!$1:$1048576,Q$2,FALSE)</f>
        <v>7.1582176579999999</v>
      </c>
      <c r="R66" s="320">
        <f>+VLOOKUP($E66,Hybrid!$1:$1048576,R$2,FALSE)</f>
        <v>7.7793462819999997</v>
      </c>
      <c r="S66" s="320">
        <f>+VLOOKUP($E66,Hybrid!$1:$1048576,S$2,FALSE)</f>
        <v>8.5100318149999996</v>
      </c>
      <c r="T66" s="320">
        <f>+VLOOKUP($E66,Hybrid!$1:$1048576,T$2,FALSE)</f>
        <v>9.3834606889999996</v>
      </c>
      <c r="U66" s="320">
        <f>+VLOOKUP($E66,Hybrid!$1:$1048576,U$2,FALSE)</f>
        <v>10.44470711</v>
      </c>
      <c r="V66" s="320">
        <f>+VLOOKUP($E66,Hybrid!$1:$1048576,V$2,FALSE)</f>
        <v>11.756694749999999</v>
      </c>
      <c r="W66" s="320">
        <f>+VLOOKUP($E66,Hybrid!$1:$1048576,W$2,FALSE)</f>
        <v>13.378155769999999</v>
      </c>
      <c r="X66" s="320">
        <f>+VLOOKUP($E66,Hybrid!$1:$1048576,X$2,FALSE)</f>
        <v>15.3490036</v>
      </c>
      <c r="Y66" s="320">
        <f>+VLOOKUP($E66,Hybrid!$1:$1048576,Y$2,FALSE)</f>
        <v>17.712517510000001</v>
      </c>
      <c r="Z66" s="320">
        <f>+VLOOKUP($E66,Hybrid!$1:$1048576,Z$2,FALSE)</f>
        <v>20.515379490000001</v>
      </c>
      <c r="AA66" s="320">
        <f>+VLOOKUP($E66,Hybrid!$1:$1048576,AA$2,FALSE)</f>
        <v>23.807126650000001</v>
      </c>
      <c r="AB66" s="320">
        <f>+VLOOKUP($E66,Hybrid!$1:$1048576,AB$2,FALSE)</f>
        <v>27.63949736</v>
      </c>
      <c r="AC66" s="320">
        <f>+VLOOKUP($E66,Hybrid!$1:$1048576,AC$2,FALSE)</f>
        <v>32.065637240000001</v>
      </c>
      <c r="AD66" s="320">
        <f>+VLOOKUP($E66,Hybrid!$1:$1048576,AD$2,FALSE)</f>
        <v>37.13911916</v>
      </c>
      <c r="AE66" s="320">
        <f>+VLOOKUP($E66,Hybrid!$1:$1048576,AE$2,FALSE)</f>
        <v>42.912740839999998</v>
      </c>
      <c r="AF66" s="320">
        <f>+VLOOKUP($E66,Hybrid!$1:$1048576,AF$2,FALSE)</f>
        <v>49.437079109999999</v>
      </c>
      <c r="AG66" s="320">
        <f>+VLOOKUP($E66,Hybrid!$1:$1048576,AG$2,FALSE)</f>
        <v>56.758796429999997</v>
      </c>
      <c r="AH66" s="320">
        <f>+VLOOKUP($E66,Hybrid!$1:$1048576,AH$2,FALSE)</f>
        <v>64.918713949999997</v>
      </c>
      <c r="AI66" s="320">
        <f>+VLOOKUP($E66,Hybrid!$1:$1048576,AI$2,FALSE)</f>
        <v>73.949685619999997</v>
      </c>
      <c r="AJ66" s="320">
        <f>+VLOOKUP($E66,Hybrid!$1:$1048576,AJ$2,FALSE)</f>
        <v>83.874327170000001</v>
      </c>
      <c r="AK66" s="320">
        <f>+VLOOKUP($E66,Hybrid!$1:$1048576,AK$2,FALSE)</f>
        <v>94.702683230000005</v>
      </c>
      <c r="AL66" s="320">
        <f>+VLOOKUP($E66,Hybrid!$1:$1048576,AL$2,FALSE)</f>
        <v>106.429936</v>
      </c>
      <c r="AM66" s="320">
        <f>+VLOOKUP($E66,Hybrid!$1:$1048576,AM$2,FALSE)</f>
        <v>119.0342862</v>
      </c>
      <c r="AN66" s="320">
        <f>+VLOOKUP($E66,Hybrid!$1:$1048576,AN$2,FALSE)</f>
        <v>132.47515749999999</v>
      </c>
      <c r="AO66" s="320">
        <f>+VLOOKUP($E66,Hybrid!$1:$1048576,AO$2,FALSE)</f>
        <v>146.69188510000001</v>
      </c>
      <c r="AP66" s="73"/>
      <c r="AQ66" s="73"/>
    </row>
    <row r="67" spans="1:43" ht="15" customHeight="1" x14ac:dyDescent="0.25">
      <c r="A67" s="384"/>
      <c r="B67" s="383"/>
      <c r="C67" s="164"/>
      <c r="D67" s="120" t="s">
        <v>522</v>
      </c>
      <c r="E67" s="46" t="s">
        <v>395</v>
      </c>
      <c r="F67" s="320">
        <f>+VLOOKUP($E67,Hybrid!$1:$1048576,F$2,FALSE)</f>
        <v>1.7994298</v>
      </c>
      <c r="G67" s="320">
        <f>+VLOOKUP($E67,Hybrid!$1:$1048576,G$2,FALSE)</f>
        <v>2.0222370519999999</v>
      </c>
      <c r="H67" s="320">
        <f>+VLOOKUP($E67,Hybrid!$1:$1048576,H$2,FALSE)</f>
        <v>2.1789386049999999</v>
      </c>
      <c r="I67" s="320">
        <f>+VLOOKUP($E67,Hybrid!$1:$1048576,I$2,FALSE)</f>
        <v>2.2916149479999999</v>
      </c>
      <c r="J67" s="320">
        <f>+VLOOKUP($E67,Hybrid!$1:$1048576,J$2,FALSE)</f>
        <v>2.3771978759999999</v>
      </c>
      <c r="K67" s="320">
        <f>+VLOOKUP($E67,Hybrid!$1:$1048576,K$2,FALSE)</f>
        <v>2.4487727850000001</v>
      </c>
      <c r="L67" s="320">
        <f>+VLOOKUP($E67,Hybrid!$1:$1048576,L$2,FALSE)</f>
        <v>2.5180832369999999</v>
      </c>
      <c r="M67" s="320">
        <f>+VLOOKUP($E67,Hybrid!$1:$1048576,M$2,FALSE)</f>
        <v>2.5917470310000001</v>
      </c>
      <c r="N67" s="320">
        <f>+VLOOKUP($E67,Hybrid!$1:$1048576,N$2,FALSE)</f>
        <v>2.67064105</v>
      </c>
      <c r="O67" s="320">
        <f>+VLOOKUP($E67,Hybrid!$1:$1048576,O$2,FALSE)</f>
        <v>2.7557678540000001</v>
      </c>
      <c r="P67" s="320">
        <f>+VLOOKUP($E67,Hybrid!$1:$1048576,P$2,FALSE)</f>
        <v>2.8487332400000001</v>
      </c>
      <c r="Q67" s="320">
        <f>+VLOOKUP($E67,Hybrid!$1:$1048576,Q$2,FALSE)</f>
        <v>2.9519332739999999</v>
      </c>
      <c r="R67" s="320">
        <f>+VLOOKUP($E67,Hybrid!$1:$1048576,R$2,FALSE)</f>
        <v>3.0687170130000001</v>
      </c>
      <c r="S67" s="320">
        <f>+VLOOKUP($E67,Hybrid!$1:$1048576,S$2,FALSE)</f>
        <v>3.2035917519999999</v>
      </c>
      <c r="T67" s="320">
        <f>+VLOOKUP($E67,Hybrid!$1:$1048576,T$2,FALSE)</f>
        <v>3.3625205990000002</v>
      </c>
      <c r="U67" s="320">
        <f>+VLOOKUP($E67,Hybrid!$1:$1048576,U$2,FALSE)</f>
        <v>3.553366311</v>
      </c>
      <c r="V67" s="320">
        <f>+VLOOKUP($E67,Hybrid!$1:$1048576,V$2,FALSE)</f>
        <v>3.7881531449999999</v>
      </c>
      <c r="W67" s="320">
        <f>+VLOOKUP($E67,Hybrid!$1:$1048576,W$2,FALSE)</f>
        <v>4.0771995209999998</v>
      </c>
      <c r="X67" s="320">
        <f>+VLOOKUP($E67,Hybrid!$1:$1048576,X$2,FALSE)</f>
        <v>4.4249477769999999</v>
      </c>
      <c r="Y67" s="320">
        <f>+VLOOKUP($E67,Hybrid!$1:$1048576,Y$2,FALSE)</f>
        <v>4.836072905</v>
      </c>
      <c r="Z67" s="320">
        <f>+VLOOKUP($E67,Hybrid!$1:$1048576,Z$2,FALSE)</f>
        <v>5.3154965440000002</v>
      </c>
      <c r="AA67" s="320">
        <f>+VLOOKUP($E67,Hybrid!$1:$1048576,AA$2,FALSE)</f>
        <v>5.868240825</v>
      </c>
      <c r="AB67" s="320">
        <f>+VLOOKUP($E67,Hybrid!$1:$1048576,AB$2,FALSE)</f>
        <v>6.4992950970000001</v>
      </c>
      <c r="AC67" s="320">
        <f>+VLOOKUP($E67,Hybrid!$1:$1048576,AC$2,FALSE)</f>
        <v>7.2134894029999996</v>
      </c>
      <c r="AD67" s="320">
        <f>+VLOOKUP($E67,Hybrid!$1:$1048576,AD$2,FALSE)</f>
        <v>8.0153648569999998</v>
      </c>
      <c r="AE67" s="320">
        <f>+VLOOKUP($E67,Hybrid!$1:$1048576,AE$2,FALSE)</f>
        <v>8.9090339509999996</v>
      </c>
      <c r="AF67" s="320">
        <f>+VLOOKUP($E67,Hybrid!$1:$1048576,AF$2,FALSE)</f>
        <v>9.8980269429999996</v>
      </c>
      <c r="AG67" s="320">
        <f>+VLOOKUP($E67,Hybrid!$1:$1048576,AG$2,FALSE)</f>
        <v>10.985122710000001</v>
      </c>
      <c r="AH67" s="320">
        <f>+VLOOKUP($E67,Hybrid!$1:$1048576,AH$2,FALSE)</f>
        <v>12.17216389</v>
      </c>
      <c r="AI67" s="320">
        <f>+VLOOKUP($E67,Hybrid!$1:$1048576,AI$2,FALSE)</f>
        <v>13.45985731</v>
      </c>
      <c r="AJ67" s="320">
        <f>+VLOOKUP($E67,Hybrid!$1:$1048576,AJ$2,FALSE)</f>
        <v>14.84756103</v>
      </c>
      <c r="AK67" s="320">
        <f>+VLOOKUP($E67,Hybrid!$1:$1048576,AK$2,FALSE)</f>
        <v>16.33306159</v>
      </c>
      <c r="AL67" s="320">
        <f>+VLOOKUP($E67,Hybrid!$1:$1048576,AL$2,FALSE)</f>
        <v>17.912345590000001</v>
      </c>
      <c r="AM67" s="320">
        <f>+VLOOKUP($E67,Hybrid!$1:$1048576,AM$2,FALSE)</f>
        <v>19.579372469999999</v>
      </c>
      <c r="AN67" s="320">
        <f>+VLOOKUP($E67,Hybrid!$1:$1048576,AN$2,FALSE)</f>
        <v>21.325857769999999</v>
      </c>
      <c r="AO67" s="320">
        <f>+VLOOKUP($E67,Hybrid!$1:$1048576,AO$2,FALSE)</f>
        <v>23.141079250000001</v>
      </c>
      <c r="AP67" s="73"/>
      <c r="AQ67" s="73"/>
    </row>
    <row r="68" spans="1:43" ht="15" customHeight="1" x14ac:dyDescent="0.25">
      <c r="A68" s="384"/>
      <c r="B68" s="383"/>
      <c r="C68" s="164"/>
      <c r="D68" s="120" t="s">
        <v>523</v>
      </c>
      <c r="E68" s="46" t="s">
        <v>396</v>
      </c>
      <c r="F68" s="320">
        <f>+VLOOKUP($E68,Hybrid!$1:$1048576,F$2,FALSE)</f>
        <v>1.1069429</v>
      </c>
      <c r="G68" s="320">
        <f>+VLOOKUP($E68,Hybrid!$1:$1048576,G$2,FALSE)</f>
        <v>1.238093144</v>
      </c>
      <c r="H68" s="320">
        <f>+VLOOKUP($E68,Hybrid!$1:$1048576,H$2,FALSE)</f>
        <v>1.3247164680000001</v>
      </c>
      <c r="I68" s="320">
        <f>+VLOOKUP($E68,Hybrid!$1:$1048576,I$2,FALSE)</f>
        <v>1.382070951</v>
      </c>
      <c r="J68" s="320">
        <f>+VLOOKUP($E68,Hybrid!$1:$1048576,J$2,FALSE)</f>
        <v>1.421668521</v>
      </c>
      <c r="K68" s="320">
        <f>+VLOOKUP($E68,Hybrid!$1:$1048576,K$2,FALSE)</f>
        <v>1.452172808</v>
      </c>
      <c r="L68" s="320">
        <f>+VLOOKUP($E68,Hybrid!$1:$1048576,L$2,FALSE)</f>
        <v>1.480977188</v>
      </c>
      <c r="M68" s="320">
        <f>+VLOOKUP($E68,Hybrid!$1:$1048576,M$2,FALSE)</f>
        <v>1.5120131889999999</v>
      </c>
      <c r="N68" s="320">
        <f>+VLOOKUP($E68,Hybrid!$1:$1048576,N$2,FALSE)</f>
        <v>1.545643044</v>
      </c>
      <c r="O68" s="320">
        <f>+VLOOKUP($E68,Hybrid!$1:$1048576,O$2,FALSE)</f>
        <v>1.5822864210000001</v>
      </c>
      <c r="P68" s="320">
        <f>+VLOOKUP($E68,Hybrid!$1:$1048576,P$2,FALSE)</f>
        <v>1.6227064739999999</v>
      </c>
      <c r="Q68" s="320">
        <f>+VLOOKUP($E68,Hybrid!$1:$1048576,Q$2,FALSE)</f>
        <v>1.6680959230000001</v>
      </c>
      <c r="R68" s="320">
        <f>+VLOOKUP($E68,Hybrid!$1:$1048576,R$2,FALSE)</f>
        <v>1.7201315720000001</v>
      </c>
      <c r="S68" s="320">
        <f>+VLOOKUP($E68,Hybrid!$1:$1048576,S$2,FALSE)</f>
        <v>1.781037988</v>
      </c>
      <c r="T68" s="320">
        <f>+VLOOKUP($E68,Hybrid!$1:$1048576,T$2,FALSE)</f>
        <v>1.8536842650000001</v>
      </c>
      <c r="U68" s="320">
        <f>+VLOOKUP($E68,Hybrid!$1:$1048576,U$2,FALSE)</f>
        <v>1.9417344080000001</v>
      </c>
      <c r="V68" s="320">
        <f>+VLOOKUP($E68,Hybrid!$1:$1048576,V$2,FALSE)</f>
        <v>2.0507593279999998</v>
      </c>
      <c r="W68" s="320">
        <f>+VLOOKUP($E68,Hybrid!$1:$1048576,W$2,FALSE)</f>
        <v>2.185003494</v>
      </c>
      <c r="X68" s="320">
        <f>+VLOOKUP($E68,Hybrid!$1:$1048576,X$2,FALSE)</f>
        <v>2.345265543</v>
      </c>
      <c r="Y68" s="320">
        <f>+VLOOKUP($E68,Hybrid!$1:$1048576,Y$2,FALSE)</f>
        <v>2.5322458640000001</v>
      </c>
      <c r="Z68" s="320">
        <f>+VLOOKUP($E68,Hybrid!$1:$1048576,Z$2,FALSE)</f>
        <v>2.7465663500000002</v>
      </c>
      <c r="AA68" s="320">
        <f>+VLOOKUP($E68,Hybrid!$1:$1048576,AA$2,FALSE)</f>
        <v>2.9887002549999999</v>
      </c>
      <c r="AB68" s="320">
        <f>+VLOOKUP($E68,Hybrid!$1:$1048576,AB$2,FALSE)</f>
        <v>3.2589117019999998</v>
      </c>
      <c r="AC68" s="320">
        <f>+VLOOKUP($E68,Hybrid!$1:$1048576,AC$2,FALSE)</f>
        <v>3.557204547</v>
      </c>
      <c r="AD68" s="320">
        <f>+VLOOKUP($E68,Hybrid!$1:$1048576,AD$2,FALSE)</f>
        <v>3.8832773110000001</v>
      </c>
      <c r="AE68" s="320">
        <f>+VLOOKUP($E68,Hybrid!$1:$1048576,AE$2,FALSE)</f>
        <v>4.2364820539999997</v>
      </c>
      <c r="AF68" s="320">
        <f>+VLOOKUP($E68,Hybrid!$1:$1048576,AF$2,FALSE)</f>
        <v>4.6157863770000001</v>
      </c>
      <c r="AG68" s="320">
        <f>+VLOOKUP($E68,Hybrid!$1:$1048576,AG$2,FALSE)</f>
        <v>5.0197386689999997</v>
      </c>
      <c r="AH68" s="320">
        <f>+VLOOKUP($E68,Hybrid!$1:$1048576,AH$2,FALSE)</f>
        <v>5.4464371849999997</v>
      </c>
      <c r="AI68" s="320">
        <f>+VLOOKUP($E68,Hybrid!$1:$1048576,AI$2,FALSE)</f>
        <v>5.8935037680000004</v>
      </c>
      <c r="AJ68" s="320">
        <f>+VLOOKUP($E68,Hybrid!$1:$1048576,AJ$2,FALSE)</f>
        <v>6.3580630930000002</v>
      </c>
      <c r="AK68" s="320">
        <f>+VLOOKUP($E68,Hybrid!$1:$1048576,AK$2,FALSE)</f>
        <v>6.8367285459999998</v>
      </c>
      <c r="AL68" s="320">
        <f>+VLOOKUP($E68,Hybrid!$1:$1048576,AL$2,FALSE)</f>
        <v>7.325596011</v>
      </c>
      <c r="AM68" s="320">
        <f>+VLOOKUP($E68,Hybrid!$1:$1048576,AM$2,FALSE)</f>
        <v>7.8202471310000004</v>
      </c>
      <c r="AN68" s="320">
        <f>+VLOOKUP($E68,Hybrid!$1:$1048576,AN$2,FALSE)</f>
        <v>8.3157640130000008</v>
      </c>
      <c r="AO68" s="320">
        <f>+VLOOKUP($E68,Hybrid!$1:$1048576,AO$2,FALSE)</f>
        <v>8.8067576790000004</v>
      </c>
      <c r="AP68" s="73"/>
      <c r="AQ68" s="73"/>
    </row>
    <row r="69" spans="1:43" ht="15" customHeight="1" x14ac:dyDescent="0.25">
      <c r="A69" s="384"/>
      <c r="B69" s="383"/>
      <c r="C69" s="164"/>
      <c r="D69" s="120" t="s">
        <v>524</v>
      </c>
      <c r="E69" s="46" t="s">
        <v>397</v>
      </c>
      <c r="F69" s="320">
        <f>+VLOOKUP($E69,Hybrid!$1:$1048576,F$2,FALSE)</f>
        <v>0.53533900000000001</v>
      </c>
      <c r="G69" s="320">
        <f>+VLOOKUP($E69,Hybrid!$1:$1048576,G$2,FALSE)</f>
        <v>0.5882500007</v>
      </c>
      <c r="H69" s="320">
        <f>+VLOOKUP($E69,Hybrid!$1:$1048576,H$2,FALSE)</f>
        <v>0.61227637170000004</v>
      </c>
      <c r="I69" s="320">
        <f>+VLOOKUP($E69,Hybrid!$1:$1048576,I$2,FALSE)</f>
        <v>0.6177848829</v>
      </c>
      <c r="J69" s="320">
        <f>+VLOOKUP($E69,Hybrid!$1:$1048576,J$2,FALSE)</f>
        <v>0.61215256149999997</v>
      </c>
      <c r="K69" s="320">
        <f>+VLOOKUP($E69,Hybrid!$1:$1048576,K$2,FALSE)</f>
        <v>0.60035693590000005</v>
      </c>
      <c r="L69" s="320">
        <f>+VLOOKUP($E69,Hybrid!$1:$1048576,L$2,FALSE)</f>
        <v>0.58607167540000005</v>
      </c>
      <c r="M69" s="320">
        <f>+VLOOKUP($E69,Hybrid!$1:$1048576,M$2,FALSE)</f>
        <v>0.5712340508</v>
      </c>
      <c r="N69" s="320">
        <f>+VLOOKUP($E69,Hybrid!$1:$1048576,N$2,FALSE)</f>
        <v>0.55622499280000004</v>
      </c>
      <c r="O69" s="320">
        <f>+VLOOKUP($E69,Hybrid!$1:$1048576,O$2,FALSE)</f>
        <v>0.54127226650000004</v>
      </c>
      <c r="P69" s="320">
        <f>+VLOOKUP($E69,Hybrid!$1:$1048576,P$2,FALSE)</f>
        <v>0.5265915135</v>
      </c>
      <c r="Q69" s="320">
        <f>+VLOOKUP($E69,Hybrid!$1:$1048576,Q$2,FALSE)</f>
        <v>0.51242126529999998</v>
      </c>
      <c r="R69" s="320">
        <f>+VLOOKUP($E69,Hybrid!$1:$1048576,R$2,FALSE)</f>
        <v>0.49902995439999998</v>
      </c>
      <c r="S69" s="320">
        <f>+VLOOKUP($E69,Hybrid!$1:$1048576,S$2,FALSE)</f>
        <v>0.48671346720000003</v>
      </c>
      <c r="T69" s="320">
        <f>+VLOOKUP($E69,Hybrid!$1:$1048576,T$2,FALSE)</f>
        <v>0.47579106030000001</v>
      </c>
      <c r="U69" s="320">
        <f>+VLOOKUP($E69,Hybrid!$1:$1048576,U$2,FALSE)</f>
        <v>0.46660301840000001</v>
      </c>
      <c r="V69" s="320">
        <f>+VLOOKUP($E69,Hybrid!$1:$1048576,V$2,FALSE)</f>
        <v>0.4597956004</v>
      </c>
      <c r="W69" s="320">
        <f>+VLOOKUP($E69,Hybrid!$1:$1048576,W$2,FALSE)</f>
        <v>0.45565732240000001</v>
      </c>
      <c r="X69" s="320">
        <f>+VLOOKUP($E69,Hybrid!$1:$1048576,X$2,FALSE)</f>
        <v>0.45375962139999998</v>
      </c>
      <c r="Y69" s="320">
        <f>+VLOOKUP($E69,Hybrid!$1:$1048576,Y$2,FALSE)</f>
        <v>0.45368542620000002</v>
      </c>
      <c r="Z69" s="320">
        <f>+VLOOKUP($E69,Hybrid!$1:$1048576,Z$2,FALSE)</f>
        <v>0.4550434478</v>
      </c>
      <c r="AA69" s="320">
        <f>+VLOOKUP($E69,Hybrid!$1:$1048576,AA$2,FALSE)</f>
        <v>0.45746111649999999</v>
      </c>
      <c r="AB69" s="320">
        <f>+VLOOKUP($E69,Hybrid!$1:$1048576,AB$2,FALSE)</f>
        <v>0.46058115189999999</v>
      </c>
      <c r="AC69" s="320">
        <f>+VLOOKUP($E69,Hybrid!$1:$1048576,AC$2,FALSE)</f>
        <v>0.46406146279999999</v>
      </c>
      <c r="AD69" s="320">
        <f>+VLOOKUP($E69,Hybrid!$1:$1048576,AD$2,FALSE)</f>
        <v>0.46757714880000001</v>
      </c>
      <c r="AE69" s="320">
        <f>+VLOOKUP($E69,Hybrid!$1:$1048576,AE$2,FALSE)</f>
        <v>0.47082359350000003</v>
      </c>
      <c r="AF69" s="320">
        <f>+VLOOKUP($E69,Hybrid!$1:$1048576,AF$2,FALSE)</f>
        <v>0.47351996229999999</v>
      </c>
      <c r="AG69" s="320">
        <f>+VLOOKUP($E69,Hybrid!$1:$1048576,AG$2,FALSE)</f>
        <v>0.47541264750000001</v>
      </c>
      <c r="AH69" s="320">
        <f>+VLOOKUP($E69,Hybrid!$1:$1048576,AH$2,FALSE)</f>
        <v>0.4762783458</v>
      </c>
      <c r="AI69" s="320">
        <f>+VLOOKUP($E69,Hybrid!$1:$1048576,AI$2,FALSE)</f>
        <v>0.47592655699999997</v>
      </c>
      <c r="AJ69" s="320">
        <f>+VLOOKUP($E69,Hybrid!$1:$1048576,AJ$2,FALSE)</f>
        <v>0.47420136940000002</v>
      </c>
      <c r="AK69" s="320">
        <f>+VLOOKUP($E69,Hybrid!$1:$1048576,AK$2,FALSE)</f>
        <v>0.47098245570000002</v>
      </c>
      <c r="AL69" s="320">
        <f>+VLOOKUP($E69,Hybrid!$1:$1048576,AL$2,FALSE)</f>
        <v>0.46618527389999997</v>
      </c>
      <c r="AM69" s="320">
        <f>+VLOOKUP($E69,Hybrid!$1:$1048576,AM$2,FALSE)</f>
        <v>0.4597605085</v>
      </c>
      <c r="AN69" s="320">
        <f>+VLOOKUP($E69,Hybrid!$1:$1048576,AN$2,FALSE)</f>
        <v>0.45169283139999999</v>
      </c>
      <c r="AO69" s="320">
        <f>+VLOOKUP($E69,Hybrid!$1:$1048576,AO$2,FALSE)</f>
        <v>0.44199909129999998</v>
      </c>
      <c r="AP69" s="73"/>
      <c r="AQ69" s="73"/>
    </row>
    <row r="70" spans="1:43" ht="15" customHeight="1" x14ac:dyDescent="0.25">
      <c r="A70" s="384"/>
      <c r="B70" s="383"/>
      <c r="C70" s="164"/>
      <c r="D70" s="120" t="s">
        <v>525</v>
      </c>
      <c r="E70" s="46" t="s">
        <v>398</v>
      </c>
      <c r="F70" s="320">
        <f>+VLOOKUP($E70,Hybrid!$1:$1048576,F$2,FALSE)</f>
        <v>1.0050558000000001</v>
      </c>
      <c r="G70" s="320">
        <f>+VLOOKUP($E70,Hybrid!$1:$1048576,G$2,FALSE)</f>
        <v>1.0878507610000001</v>
      </c>
      <c r="H70" s="320">
        <f>+VLOOKUP($E70,Hybrid!$1:$1048576,H$2,FALSE)</f>
        <v>1.1069242399999999</v>
      </c>
      <c r="I70" s="320">
        <f>+VLOOKUP($E70,Hybrid!$1:$1048576,I$2,FALSE)</f>
        <v>1.087405806</v>
      </c>
      <c r="J70" s="320">
        <f>+VLOOKUP($E70,Hybrid!$1:$1048576,J$2,FALSE)</f>
        <v>1.046598449</v>
      </c>
      <c r="K70" s="320">
        <f>+VLOOKUP($E70,Hybrid!$1:$1048576,K$2,FALSE)</f>
        <v>0.99559627019999997</v>
      </c>
      <c r="L70" s="320">
        <f>+VLOOKUP($E70,Hybrid!$1:$1048576,L$2,FALSE)</f>
        <v>0.94183363399999998</v>
      </c>
      <c r="M70" s="320">
        <f>+VLOOKUP($E70,Hybrid!$1:$1048576,M$2,FALSE)</f>
        <v>0.88894386800000003</v>
      </c>
      <c r="N70" s="320">
        <f>+VLOOKUP($E70,Hybrid!$1:$1048576,N$2,FALSE)</f>
        <v>0.83765222800000005</v>
      </c>
      <c r="O70" s="320">
        <f>+VLOOKUP($E70,Hybrid!$1:$1048576,O$2,FALSE)</f>
        <v>0.78831740279999996</v>
      </c>
      <c r="P70" s="320">
        <f>+VLOOKUP($E70,Hybrid!$1:$1048576,P$2,FALSE)</f>
        <v>0.74121413719999996</v>
      </c>
      <c r="Q70" s="320">
        <f>+VLOOKUP($E70,Hybrid!$1:$1048576,Q$2,FALSE)</f>
        <v>0.6965994539</v>
      </c>
      <c r="R70" s="320">
        <f>+VLOOKUP($E70,Hybrid!$1:$1048576,R$2,FALSE)</f>
        <v>0.65471940939999995</v>
      </c>
      <c r="S70" s="320">
        <f>+VLOOKUP($E70,Hybrid!$1:$1048576,S$2,FALSE)</f>
        <v>0.61579782189999999</v>
      </c>
      <c r="T70" s="320">
        <f>+VLOOKUP($E70,Hybrid!$1:$1048576,T$2,FALSE)</f>
        <v>0.58002313719999998</v>
      </c>
      <c r="U70" s="320">
        <f>+VLOOKUP($E70,Hybrid!$1:$1048576,U$2,FALSE)</f>
        <v>0.54753893360000006</v>
      </c>
      <c r="V70" s="320">
        <f>+VLOOKUP($E70,Hybrid!$1:$1048576,V$2,FALSE)</f>
        <v>0.51876615270000004</v>
      </c>
      <c r="W70" s="320">
        <f>+VLOOKUP($E70,Hybrid!$1:$1048576,W$2,FALSE)</f>
        <v>0.4936434677</v>
      </c>
      <c r="X70" s="320">
        <f>+VLOOKUP($E70,Hybrid!$1:$1048576,X$2,FALSE)</f>
        <v>0.47134696850000002</v>
      </c>
      <c r="Y70" s="320">
        <f>+VLOOKUP($E70,Hybrid!$1:$1048576,Y$2,FALSE)</f>
        <v>0.45116298529999999</v>
      </c>
      <c r="Z70" s="320">
        <f>+VLOOKUP($E70,Hybrid!$1:$1048576,Z$2,FALSE)</f>
        <v>0.43249969630000001</v>
      </c>
      <c r="AA70" s="320">
        <f>+VLOOKUP($E70,Hybrid!$1:$1048576,AA$2,FALSE)</f>
        <v>0.41487130430000002</v>
      </c>
      <c r="AB70" s="320">
        <f>+VLOOKUP($E70,Hybrid!$1:$1048576,AB$2,FALSE)</f>
        <v>0.39788540729999999</v>
      </c>
      <c r="AC70" s="320">
        <f>+VLOOKUP($E70,Hybrid!$1:$1048576,AC$2,FALSE)</f>
        <v>0.38123347000000002</v>
      </c>
      <c r="AD70" s="320">
        <f>+VLOOKUP($E70,Hybrid!$1:$1048576,AD$2,FALSE)</f>
        <v>0.3646830358</v>
      </c>
      <c r="AE70" s="320">
        <f>+VLOOKUP($E70,Hybrid!$1:$1048576,AE$2,FALSE)</f>
        <v>0.34807059099999998</v>
      </c>
      <c r="AF70" s="320">
        <f>+VLOOKUP($E70,Hybrid!$1:$1048576,AF$2,FALSE)</f>
        <v>0.33129444060000002</v>
      </c>
      <c r="AG70" s="320">
        <f>+VLOOKUP($E70,Hybrid!$1:$1048576,AG$2,FALSE)</f>
        <v>0.31430730220000003</v>
      </c>
      <c r="AH70" s="320">
        <f>+VLOOKUP($E70,Hybrid!$1:$1048576,AH$2,FALSE)</f>
        <v>0.29710855809999998</v>
      </c>
      <c r="AI70" s="320">
        <f>+VLOOKUP($E70,Hybrid!$1:$1048576,AI$2,FALSE)</f>
        <v>0.27973625369999999</v>
      </c>
      <c r="AJ70" s="320">
        <f>+VLOOKUP($E70,Hybrid!$1:$1048576,AJ$2,FALSE)</f>
        <v>0.26225902800000001</v>
      </c>
      <c r="AK70" s="320">
        <f>+VLOOKUP($E70,Hybrid!$1:$1048576,AK$2,FALSE)</f>
        <v>0.2447681941</v>
      </c>
      <c r="AL70" s="320">
        <f>+VLOOKUP($E70,Hybrid!$1:$1048576,AL$2,FALSE)</f>
        <v>0.22737020790000001</v>
      </c>
      <c r="AM70" s="320">
        <f>+VLOOKUP($E70,Hybrid!$1:$1048576,AM$2,FALSE)</f>
        <v>0.21017973449999999</v>
      </c>
      <c r="AN70" s="320">
        <f>+VLOOKUP($E70,Hybrid!$1:$1048576,AN$2,FALSE)</f>
        <v>0.19331348840000001</v>
      </c>
      <c r="AO70" s="320">
        <f>+VLOOKUP($E70,Hybrid!$1:$1048576,AO$2,FALSE)</f>
        <v>0.17688497149999999</v>
      </c>
      <c r="AP70" s="73"/>
      <c r="AQ70" s="73"/>
    </row>
    <row r="71" spans="1:43" s="108" customFormat="1" ht="15" customHeight="1" x14ac:dyDescent="0.25">
      <c r="A71" s="384"/>
      <c r="B71" s="383"/>
      <c r="C71" s="118" t="s">
        <v>803</v>
      </c>
      <c r="D71" s="118"/>
      <c r="E71" s="88" t="s">
        <v>399</v>
      </c>
      <c r="F71" s="319">
        <f>+VLOOKUP($E71,Hybrid!$1:$1048576,F$2,FALSE)</f>
        <v>0.157</v>
      </c>
      <c r="G71" s="319">
        <f>+VLOOKUP($E71,Hybrid!$1:$1048576,G$2,FALSE)</f>
        <v>0.17660557769999999</v>
      </c>
      <c r="H71" s="319">
        <f>+VLOOKUP($E71,Hybrid!$1:$1048576,H$2,FALSE)</f>
        <v>0.1902709024</v>
      </c>
      <c r="I71" s="319">
        <f>+VLOOKUP($E71,Hybrid!$1:$1048576,I$2,FALSE)</f>
        <v>0.19977638880000001</v>
      </c>
      <c r="J71" s="319">
        <f>+VLOOKUP($E71,Hybrid!$1:$1048576,J$2,FALSE)</f>
        <v>0.20642632129999999</v>
      </c>
      <c r="K71" s="319">
        <f>+VLOOKUP($E71,Hybrid!$1:$1048576,K$2,FALSE)</f>
        <v>0.2111307486</v>
      </c>
      <c r="L71" s="319">
        <f>+VLOOKUP($E71,Hybrid!$1:$1048576,L$2,FALSE)</f>
        <v>0.2146998977</v>
      </c>
      <c r="M71" s="319">
        <f>+VLOOKUP($E71,Hybrid!$1:$1048576,M$2,FALSE)</f>
        <v>0.21767368989999999</v>
      </c>
      <c r="N71" s="319">
        <f>+VLOOKUP($E71,Hybrid!$1:$1048576,N$2,FALSE)</f>
        <v>0.22019105990000001</v>
      </c>
      <c r="O71" s="319">
        <f>+VLOOKUP($E71,Hybrid!$1:$1048576,O$2,FALSE)</f>
        <v>0.2223305438</v>
      </c>
      <c r="P71" s="319">
        <f>+VLOOKUP($E71,Hybrid!$1:$1048576,P$2,FALSE)</f>
        <v>0.22413859899999999</v>
      </c>
      <c r="Q71" s="319">
        <f>+VLOOKUP($E71,Hybrid!$1:$1048576,Q$2,FALSE)</f>
        <v>0.22563873670000001</v>
      </c>
      <c r="R71" s="319">
        <f>+VLOOKUP($E71,Hybrid!$1:$1048576,R$2,FALSE)</f>
        <v>0.2268376651</v>
      </c>
      <c r="S71" s="319">
        <f>+VLOOKUP($E71,Hybrid!$1:$1048576,S$2,FALSE)</f>
        <v>0.22772946999999999</v>
      </c>
      <c r="T71" s="319">
        <f>+VLOOKUP($E71,Hybrid!$1:$1048576,T$2,FALSE)</f>
        <v>0.2282981818</v>
      </c>
      <c r="U71" s="319">
        <f>+VLOOKUP($E71,Hybrid!$1:$1048576,U$2,FALSE)</f>
        <v>0.22851890999999999</v>
      </c>
      <c r="V71" s="319">
        <f>+VLOOKUP($E71,Hybrid!$1:$1048576,V$2,FALSE)</f>
        <v>0.228565658</v>
      </c>
      <c r="W71" s="319">
        <f>+VLOOKUP($E71,Hybrid!$1:$1048576,W$2,FALSE)</f>
        <v>0.22859828430000001</v>
      </c>
      <c r="X71" s="319">
        <f>+VLOOKUP($E71,Hybrid!$1:$1048576,X$2,FALSE)</f>
        <v>0.22853424780000001</v>
      </c>
      <c r="Y71" s="319">
        <f>+VLOOKUP($E71,Hybrid!$1:$1048576,Y$2,FALSE)</f>
        <v>0.22831291240000001</v>
      </c>
      <c r="Z71" s="319">
        <f>+VLOOKUP($E71,Hybrid!$1:$1048576,Z$2,FALSE)</f>
        <v>0.22789228919999999</v>
      </c>
      <c r="AA71" s="319">
        <f>+VLOOKUP($E71,Hybrid!$1:$1048576,AA$2,FALSE)</f>
        <v>0.2272397313</v>
      </c>
      <c r="AB71" s="319">
        <f>+VLOOKUP($E71,Hybrid!$1:$1048576,AB$2,FALSE)</f>
        <v>0.22632657549999999</v>
      </c>
      <c r="AC71" s="319">
        <f>+VLOOKUP($E71,Hybrid!$1:$1048576,AC$2,FALSE)</f>
        <v>0.225125453</v>
      </c>
      <c r="AD71" s="319">
        <f>+VLOOKUP($E71,Hybrid!$1:$1048576,AD$2,FALSE)</f>
        <v>0.2236091472</v>
      </c>
      <c r="AE71" s="319">
        <f>+VLOOKUP($E71,Hybrid!$1:$1048576,AE$2,FALSE)</f>
        <v>0.22175031819999999</v>
      </c>
      <c r="AF71" s="319">
        <f>+VLOOKUP($E71,Hybrid!$1:$1048576,AF$2,FALSE)</f>
        <v>0.21952172619999999</v>
      </c>
      <c r="AG71" s="319">
        <f>+VLOOKUP($E71,Hybrid!$1:$1048576,AG$2,FALSE)</f>
        <v>0.21689676620000001</v>
      </c>
      <c r="AH71" s="319">
        <f>+VLOOKUP($E71,Hybrid!$1:$1048576,AH$2,FALSE)</f>
        <v>0.21385021530000001</v>
      </c>
      <c r="AI71" s="319">
        <f>+VLOOKUP($E71,Hybrid!$1:$1048576,AI$2,FALSE)</f>
        <v>0.2103591376</v>
      </c>
      <c r="AJ71" s="319">
        <f>+VLOOKUP($E71,Hybrid!$1:$1048576,AJ$2,FALSE)</f>
        <v>0.20640389670000001</v>
      </c>
      <c r="AK71" s="319">
        <f>+VLOOKUP($E71,Hybrid!$1:$1048576,AK$2,FALSE)</f>
        <v>0.20196925299999999</v>
      </c>
      <c r="AL71" s="319">
        <f>+VLOOKUP($E71,Hybrid!$1:$1048576,AL$2,FALSE)</f>
        <v>0.1970454955</v>
      </c>
      <c r="AM71" s="319">
        <f>+VLOOKUP($E71,Hybrid!$1:$1048576,AM$2,FALSE)</f>
        <v>0.19162956740000001</v>
      </c>
      <c r="AN71" s="319">
        <f>+VLOOKUP($E71,Hybrid!$1:$1048576,AN$2,FALSE)</f>
        <v>0.1857261261</v>
      </c>
      <c r="AO71" s="319">
        <f>+VLOOKUP($E71,Hybrid!$1:$1048576,AO$2,FALSE)</f>
        <v>0.17934847239999999</v>
      </c>
    </row>
    <row r="72" spans="1:43" ht="15" customHeight="1" x14ac:dyDescent="0.25">
      <c r="A72" s="384"/>
      <c r="B72" s="383"/>
      <c r="C72" s="164"/>
      <c r="D72" s="120" t="s">
        <v>519</v>
      </c>
      <c r="E72" s="46" t="s">
        <v>400</v>
      </c>
      <c r="F72" s="320">
        <f>+VLOOKUP($E72,Hybrid!$1:$1048576,F$2,FALSE)</f>
        <v>4.4415299999999998E-2</v>
      </c>
      <c r="G72" s="320">
        <f>+VLOOKUP($E72,Hybrid!$1:$1048576,G$2,FALSE)</f>
        <v>5.02585745E-2</v>
      </c>
      <c r="H72" s="320">
        <f>+VLOOKUP($E72,Hybrid!$1:$1048576,H$2,FALSE)</f>
        <v>5.4627696400000002E-2</v>
      </c>
      <c r="I72" s="320">
        <f>+VLOOKUP($E72,Hybrid!$1:$1048576,I$2,FALSE)</f>
        <v>5.79402771E-2</v>
      </c>
      <c r="J72" s="320">
        <f>+VLOOKUP($E72,Hybrid!$1:$1048576,J$2,FALSE)</f>
        <v>6.0508966999999997E-2</v>
      </c>
      <c r="K72" s="320">
        <f>+VLOOKUP($E72,Hybrid!$1:$1048576,K$2,FALSE)</f>
        <v>6.2559240899999993E-2</v>
      </c>
      <c r="L72" s="320">
        <f>+VLOOKUP($E72,Hybrid!$1:$1048576,L$2,FALSE)</f>
        <v>6.4305731500000005E-2</v>
      </c>
      <c r="M72" s="320">
        <f>+VLOOKUP($E72,Hybrid!$1:$1048576,M$2,FALSE)</f>
        <v>6.5893407299999998E-2</v>
      </c>
      <c r="N72" s="320">
        <f>+VLOOKUP($E72,Hybrid!$1:$1048576,N$2,FALSE)</f>
        <v>6.7354086399999999E-2</v>
      </c>
      <c r="O72" s="320">
        <f>+VLOOKUP($E72,Hybrid!$1:$1048576,O$2,FALSE)</f>
        <v>6.8706690900000006E-2</v>
      </c>
      <c r="P72" s="320">
        <f>+VLOOKUP($E72,Hybrid!$1:$1048576,P$2,FALSE)</f>
        <v>6.9963067500000004E-2</v>
      </c>
      <c r="Q72" s="320">
        <f>+VLOOKUP($E72,Hybrid!$1:$1048576,Q$2,FALSE)</f>
        <v>7.1129363900000006E-2</v>
      </c>
      <c r="R72" s="320">
        <f>+VLOOKUP($E72,Hybrid!$1:$1048576,R$2,FALSE)</f>
        <v>7.2207178900000002E-2</v>
      </c>
      <c r="S72" s="320">
        <f>+VLOOKUP($E72,Hybrid!$1:$1048576,S$2,FALSE)</f>
        <v>7.3194460599999997E-2</v>
      </c>
      <c r="T72" s="320">
        <f>+VLOOKUP($E72,Hybrid!$1:$1048576,T$2,FALSE)</f>
        <v>7.4086073799999999E-2</v>
      </c>
      <c r="U72" s="320">
        <f>+VLOOKUP($E72,Hybrid!$1:$1048576,U$2,FALSE)</f>
        <v>7.4873980300000004E-2</v>
      </c>
      <c r="V72" s="320">
        <f>+VLOOKUP($E72,Hybrid!$1:$1048576,V$2,FALSE)</f>
        <v>7.5614020099999998E-2</v>
      </c>
      <c r="W72" s="320">
        <f>+VLOOKUP($E72,Hybrid!$1:$1048576,W$2,FALSE)</f>
        <v>7.6355392600000002E-2</v>
      </c>
      <c r="X72" s="320">
        <f>+VLOOKUP($E72,Hybrid!$1:$1048576,X$2,FALSE)</f>
        <v>7.7066400500000007E-2</v>
      </c>
      <c r="Y72" s="320">
        <f>+VLOOKUP($E72,Hybrid!$1:$1048576,Y$2,FALSE)</f>
        <v>7.7723764099999995E-2</v>
      </c>
      <c r="Z72" s="320">
        <f>+VLOOKUP($E72,Hybrid!$1:$1048576,Z$2,FALSE)</f>
        <v>7.8310812399999999E-2</v>
      </c>
      <c r="AA72" s="320">
        <f>+VLOOKUP($E72,Hybrid!$1:$1048576,AA$2,FALSE)</f>
        <v>7.8814054999999994E-2</v>
      </c>
      <c r="AB72" s="320">
        <f>+VLOOKUP($E72,Hybrid!$1:$1048576,AB$2,FALSE)</f>
        <v>7.9221215299999995E-2</v>
      </c>
      <c r="AC72" s="320">
        <f>+VLOOKUP($E72,Hybrid!$1:$1048576,AC$2,FALSE)</f>
        <v>7.9520220000000003E-2</v>
      </c>
      <c r="AD72" s="320">
        <f>+VLOOKUP($E72,Hybrid!$1:$1048576,AD$2,FALSE)</f>
        <v>7.9698742399999994E-2</v>
      </c>
      <c r="AE72" s="320">
        <f>+VLOOKUP($E72,Hybrid!$1:$1048576,AE$2,FALSE)</f>
        <v>7.9744059800000003E-2</v>
      </c>
      <c r="AF72" s="320">
        <f>+VLOOKUP($E72,Hybrid!$1:$1048576,AF$2,FALSE)</f>
        <v>7.9643100499999994E-2</v>
      </c>
      <c r="AG72" s="320">
        <f>+VLOOKUP($E72,Hybrid!$1:$1048576,AG$2,FALSE)</f>
        <v>7.9382619700000004E-2</v>
      </c>
      <c r="AH72" s="320">
        <f>+VLOOKUP($E72,Hybrid!$1:$1048576,AH$2,FALSE)</f>
        <v>7.8949471500000007E-2</v>
      </c>
      <c r="AI72" s="320">
        <f>+VLOOKUP($E72,Hybrid!$1:$1048576,AI$2,FALSE)</f>
        <v>7.8330962800000001E-2</v>
      </c>
      <c r="AJ72" s="320">
        <f>+VLOOKUP($E72,Hybrid!$1:$1048576,AJ$2,FALSE)</f>
        <v>7.7515272400000002E-2</v>
      </c>
      <c r="AK72" s="320">
        <f>+VLOOKUP($E72,Hybrid!$1:$1048576,AK$2,FALSE)</f>
        <v>7.6491929900000005E-2</v>
      </c>
      <c r="AL72" s="320">
        <f>+VLOOKUP($E72,Hybrid!$1:$1048576,AL$2,FALSE)</f>
        <v>7.5252336500000003E-2</v>
      </c>
      <c r="AM72" s="320">
        <f>+VLOOKUP($E72,Hybrid!$1:$1048576,AM$2,FALSE)</f>
        <v>7.3790311100000006E-2</v>
      </c>
      <c r="AN72" s="320">
        <f>+VLOOKUP($E72,Hybrid!$1:$1048576,AN$2,FALSE)</f>
        <v>7.2102639699999999E-2</v>
      </c>
      <c r="AO72" s="320">
        <f>+VLOOKUP($E72,Hybrid!$1:$1048576,AO$2,FALSE)</f>
        <v>7.0189597100000001E-2</v>
      </c>
      <c r="AP72" s="73"/>
      <c r="AQ72" s="73"/>
    </row>
    <row r="73" spans="1:43" ht="15" customHeight="1" x14ac:dyDescent="0.25">
      <c r="A73" s="384"/>
      <c r="B73" s="383"/>
      <c r="C73" s="164"/>
      <c r="D73" s="120" t="s">
        <v>520</v>
      </c>
      <c r="E73" s="46" t="s">
        <v>401</v>
      </c>
      <c r="F73" s="320">
        <f>+VLOOKUP($E73,Hybrid!$1:$1048576,F$2,FALSE)</f>
        <v>4.2641199999999997E-2</v>
      </c>
      <c r="G73" s="320">
        <f>+VLOOKUP($E73,Hybrid!$1:$1048576,G$2,FALSE)</f>
        <v>4.8192836500000003E-2</v>
      </c>
      <c r="H73" s="320">
        <f>+VLOOKUP($E73,Hybrid!$1:$1048576,H$2,FALSE)</f>
        <v>5.22837123E-2</v>
      </c>
      <c r="I73" s="320">
        <f>+VLOOKUP($E73,Hybrid!$1:$1048576,I$2,FALSE)</f>
        <v>5.5329548700000002E-2</v>
      </c>
      <c r="J73" s="320">
        <f>+VLOOKUP($E73,Hybrid!$1:$1048576,J$2,FALSE)</f>
        <v>5.7639886199999997E-2</v>
      </c>
      <c r="K73" s="320">
        <f>+VLOOKUP($E73,Hybrid!$1:$1048576,K$2,FALSE)</f>
        <v>5.94359691E-2</v>
      </c>
      <c r="L73" s="320">
        <f>+VLOOKUP($E73,Hybrid!$1:$1048576,L$2,FALSE)</f>
        <v>6.0925853799999999E-2</v>
      </c>
      <c r="M73" s="320">
        <f>+VLOOKUP($E73,Hybrid!$1:$1048576,M$2,FALSE)</f>
        <v>6.2250817700000002E-2</v>
      </c>
      <c r="N73" s="320">
        <f>+VLOOKUP($E73,Hybrid!$1:$1048576,N$2,FALSE)</f>
        <v>6.3443780399999997E-2</v>
      </c>
      <c r="O73" s="320">
        <f>+VLOOKUP($E73,Hybrid!$1:$1048576,O$2,FALSE)</f>
        <v>6.4523445299999996E-2</v>
      </c>
      <c r="P73" s="320">
        <f>+VLOOKUP($E73,Hybrid!$1:$1048576,P$2,FALSE)</f>
        <v>6.55007284E-2</v>
      </c>
      <c r="Q73" s="320">
        <f>+VLOOKUP($E73,Hybrid!$1:$1048576,Q$2,FALSE)</f>
        <v>6.6380564000000003E-2</v>
      </c>
      <c r="R73" s="320">
        <f>+VLOOKUP($E73,Hybrid!$1:$1048576,R$2,FALSE)</f>
        <v>6.7163260299999999E-2</v>
      </c>
      <c r="S73" s="320">
        <f>+VLOOKUP($E73,Hybrid!$1:$1048576,S$2,FALSE)</f>
        <v>6.7845484100000006E-2</v>
      </c>
      <c r="T73" s="320">
        <f>+VLOOKUP($E73,Hybrid!$1:$1048576,T$2,FALSE)</f>
        <v>6.8420862900000004E-2</v>
      </c>
      <c r="U73" s="320">
        <f>+VLOOKUP($E73,Hybrid!$1:$1048576,U$2,FALSE)</f>
        <v>6.8880191899999998E-2</v>
      </c>
      <c r="V73" s="320">
        <f>+VLOOKUP($E73,Hybrid!$1:$1048576,V$2,FALSE)</f>
        <v>6.9273993500000006E-2</v>
      </c>
      <c r="W73" s="320">
        <f>+VLOOKUP($E73,Hybrid!$1:$1048576,W$2,FALSE)</f>
        <v>6.9648886199999996E-2</v>
      </c>
      <c r="X73" s="320">
        <f>+VLOOKUP($E73,Hybrid!$1:$1048576,X$2,FALSE)</f>
        <v>6.9978280899999995E-2</v>
      </c>
      <c r="Y73" s="320">
        <f>+VLOOKUP($E73,Hybrid!$1:$1048576,Y$2,FALSE)</f>
        <v>7.0242404600000002E-2</v>
      </c>
      <c r="Z73" s="320">
        <f>+VLOOKUP($E73,Hybrid!$1:$1048576,Z$2,FALSE)</f>
        <v>7.0427187000000002E-2</v>
      </c>
      <c r="AA73" s="320">
        <f>+VLOOKUP($E73,Hybrid!$1:$1048576,AA$2,FALSE)</f>
        <v>7.0521409600000001E-2</v>
      </c>
      <c r="AB73" s="320">
        <f>+VLOOKUP($E73,Hybrid!$1:$1048576,AB$2,FALSE)</f>
        <v>7.0515078699999997E-2</v>
      </c>
      <c r="AC73" s="320">
        <f>+VLOOKUP($E73,Hybrid!$1:$1048576,AC$2,FALSE)</f>
        <v>7.03986162E-2</v>
      </c>
      <c r="AD73" s="320">
        <f>+VLOOKUP($E73,Hybrid!$1:$1048576,AD$2,FALSE)</f>
        <v>7.0162526700000005E-2</v>
      </c>
      <c r="AE73" s="320">
        <f>+VLOOKUP($E73,Hybrid!$1:$1048576,AE$2,FALSE)</f>
        <v>6.9797332500000003E-2</v>
      </c>
      <c r="AF73" s="320">
        <f>+VLOOKUP($E73,Hybrid!$1:$1048576,AF$2,FALSE)</f>
        <v>6.9293667899999994E-2</v>
      </c>
      <c r="AG73" s="320">
        <f>+VLOOKUP($E73,Hybrid!$1:$1048576,AG$2,FALSE)</f>
        <v>6.8642476499999994E-2</v>
      </c>
      <c r="AH73" s="320">
        <f>+VLOOKUP($E73,Hybrid!$1:$1048576,AH$2,FALSE)</f>
        <v>6.7835279900000003E-2</v>
      </c>
      <c r="AI73" s="320">
        <f>+VLOOKUP($E73,Hybrid!$1:$1048576,AI$2,FALSE)</f>
        <v>6.6864501300000004E-2</v>
      </c>
      <c r="AJ73" s="320">
        <f>+VLOOKUP($E73,Hybrid!$1:$1048576,AJ$2,FALSE)</f>
        <v>6.5723824700000003E-2</v>
      </c>
      <c r="AK73" s="320">
        <f>+VLOOKUP($E73,Hybrid!$1:$1048576,AK$2,FALSE)</f>
        <v>6.4408582399999997E-2</v>
      </c>
      <c r="AL73" s="320">
        <f>+VLOOKUP($E73,Hybrid!$1:$1048576,AL$2,FALSE)</f>
        <v>6.2916149099999999E-2</v>
      </c>
      <c r="AM73" s="320">
        <f>+VLOOKUP($E73,Hybrid!$1:$1048576,AM$2,FALSE)</f>
        <v>6.12463278E-2</v>
      </c>
      <c r="AN73" s="320">
        <f>+VLOOKUP($E73,Hybrid!$1:$1048576,AN$2,FALSE)</f>
        <v>5.9401704899999998E-2</v>
      </c>
      <c r="AO73" s="320">
        <f>+VLOOKUP($E73,Hybrid!$1:$1048576,AO$2,FALSE)</f>
        <v>5.7387950200000003E-2</v>
      </c>
      <c r="AP73" s="73"/>
      <c r="AQ73" s="73"/>
    </row>
    <row r="74" spans="1:43" ht="15" customHeight="1" x14ac:dyDescent="0.25">
      <c r="A74" s="384"/>
      <c r="B74" s="383"/>
      <c r="C74" s="164"/>
      <c r="D74" s="120" t="s">
        <v>521</v>
      </c>
      <c r="E74" s="46" t="s">
        <v>402</v>
      </c>
      <c r="F74" s="320">
        <f>+VLOOKUP($E74,Hybrid!$1:$1048576,F$2,FALSE)</f>
        <v>2.9516000000000001E-2</v>
      </c>
      <c r="G74" s="320">
        <f>+VLOOKUP($E74,Hybrid!$1:$1048576,G$2,FALSE)</f>
        <v>3.3318784800000001E-2</v>
      </c>
      <c r="H74" s="320">
        <f>+VLOOKUP($E74,Hybrid!$1:$1048576,H$2,FALSE)</f>
        <v>3.6079474399999999E-2</v>
      </c>
      <c r="I74" s="320">
        <f>+VLOOKUP($E74,Hybrid!$1:$1048576,I$2,FALSE)</f>
        <v>3.8096230500000001E-2</v>
      </c>
      <c r="J74" s="320">
        <f>+VLOOKUP($E74,Hybrid!$1:$1048576,J$2,FALSE)</f>
        <v>3.9589922E-2</v>
      </c>
      <c r="K74" s="320">
        <f>+VLOOKUP($E74,Hybrid!$1:$1048576,K$2,FALSE)</f>
        <v>4.0717097600000002E-2</v>
      </c>
      <c r="L74" s="320">
        <f>+VLOOKUP($E74,Hybrid!$1:$1048576,L$2,FALSE)</f>
        <v>4.1623252399999998E-2</v>
      </c>
      <c r="M74" s="320">
        <f>+VLOOKUP($E74,Hybrid!$1:$1048576,M$2,FALSE)</f>
        <v>4.24076933E-2</v>
      </c>
      <c r="N74" s="320">
        <f>+VLOOKUP($E74,Hybrid!$1:$1048576,N$2,FALSE)</f>
        <v>4.3094880699999998E-2</v>
      </c>
      <c r="O74" s="320">
        <f>+VLOOKUP($E74,Hybrid!$1:$1048576,O$2,FALSE)</f>
        <v>4.3698199E-2</v>
      </c>
      <c r="P74" s="320">
        <f>+VLOOKUP($E74,Hybrid!$1:$1048576,P$2,FALSE)</f>
        <v>4.4224989300000003E-2</v>
      </c>
      <c r="Q74" s="320">
        <f>+VLOOKUP($E74,Hybrid!$1:$1048576,Q$2,FALSE)</f>
        <v>4.4678134899999999E-2</v>
      </c>
      <c r="R74" s="320">
        <f>+VLOOKUP($E74,Hybrid!$1:$1048576,R$2,FALSE)</f>
        <v>4.5057176499999997E-2</v>
      </c>
      <c r="S74" s="320">
        <f>+VLOOKUP($E74,Hybrid!$1:$1048576,S$2,FALSE)</f>
        <v>4.53590834E-2</v>
      </c>
      <c r="T74" s="320">
        <f>+VLOOKUP($E74,Hybrid!$1:$1048576,T$2,FALSE)</f>
        <v>4.55787161E-2</v>
      </c>
      <c r="U74" s="320">
        <f>+VLOOKUP($E74,Hybrid!$1:$1048576,U$2,FALSE)</f>
        <v>4.5709001800000003E-2</v>
      </c>
      <c r="V74" s="320">
        <f>+VLOOKUP($E74,Hybrid!$1:$1048576,V$2,FALSE)</f>
        <v>4.5783193700000002E-2</v>
      </c>
      <c r="W74" s="320">
        <f>+VLOOKUP($E74,Hybrid!$1:$1048576,W$2,FALSE)</f>
        <v>4.5833424900000003E-2</v>
      </c>
      <c r="X74" s="320">
        <f>+VLOOKUP($E74,Hybrid!$1:$1048576,X$2,FALSE)</f>
        <v>4.5844017299999998E-2</v>
      </c>
      <c r="Y74" s="320">
        <f>+VLOOKUP($E74,Hybrid!$1:$1048576,Y$2,FALSE)</f>
        <v>4.5803189100000002E-2</v>
      </c>
      <c r="Z74" s="320">
        <f>+VLOOKUP($E74,Hybrid!$1:$1048576,Z$2,FALSE)</f>
        <v>4.5702684600000001E-2</v>
      </c>
      <c r="AA74" s="320">
        <f>+VLOOKUP($E74,Hybrid!$1:$1048576,AA$2,FALSE)</f>
        <v>4.5536083200000001E-2</v>
      </c>
      <c r="AB74" s="320">
        <f>+VLOOKUP($E74,Hybrid!$1:$1048576,AB$2,FALSE)</f>
        <v>4.5297835699999997E-2</v>
      </c>
      <c r="AC74" s="320">
        <f>+VLOOKUP($E74,Hybrid!$1:$1048576,AC$2,FALSE)</f>
        <v>4.4982801000000003E-2</v>
      </c>
      <c r="AD74" s="320">
        <f>+VLOOKUP($E74,Hybrid!$1:$1048576,AD$2,FALSE)</f>
        <v>4.4586072999999997E-2</v>
      </c>
      <c r="AE74" s="320">
        <f>+VLOOKUP($E74,Hybrid!$1:$1048576,AE$2,FALSE)</f>
        <v>4.4102970599999999E-2</v>
      </c>
      <c r="AF74" s="320">
        <f>+VLOOKUP($E74,Hybrid!$1:$1048576,AF$2,FALSE)</f>
        <v>4.3529120999999997E-2</v>
      </c>
      <c r="AG74" s="320">
        <f>+VLOOKUP($E74,Hybrid!$1:$1048576,AG$2,FALSE)</f>
        <v>4.2860598499999999E-2</v>
      </c>
      <c r="AH74" s="320">
        <f>+VLOOKUP($E74,Hybrid!$1:$1048576,AH$2,FALSE)</f>
        <v>4.2094100299999999E-2</v>
      </c>
      <c r="AI74" s="320">
        <f>+VLOOKUP($E74,Hybrid!$1:$1048576,AI$2,FALSE)</f>
        <v>4.1227143199999997E-2</v>
      </c>
      <c r="AJ74" s="320">
        <f>+VLOOKUP($E74,Hybrid!$1:$1048576,AJ$2,FALSE)</f>
        <v>4.02582706E-2</v>
      </c>
      <c r="AK74" s="320">
        <f>+VLOOKUP($E74,Hybrid!$1:$1048576,AK$2,FALSE)</f>
        <v>3.9187261500000001E-2</v>
      </c>
      <c r="AL74" s="320">
        <f>+VLOOKUP($E74,Hybrid!$1:$1048576,AL$2,FALSE)</f>
        <v>3.8015327699999997E-2</v>
      </c>
      <c r="AM74" s="320">
        <f>+VLOOKUP($E74,Hybrid!$1:$1048576,AM$2,FALSE)</f>
        <v>3.6745289200000003E-2</v>
      </c>
      <c r="AN74" s="320">
        <f>+VLOOKUP($E74,Hybrid!$1:$1048576,AN$2,FALSE)</f>
        <v>3.5381714500000001E-2</v>
      </c>
      <c r="AO74" s="320">
        <f>+VLOOKUP($E74,Hybrid!$1:$1048576,AO$2,FALSE)</f>
        <v>3.3931013199999999E-2</v>
      </c>
      <c r="AP74" s="73"/>
      <c r="AQ74" s="73"/>
    </row>
    <row r="75" spans="1:43" ht="15" customHeight="1" x14ac:dyDescent="0.25">
      <c r="A75" s="384"/>
      <c r="B75" s="383"/>
      <c r="C75" s="164"/>
      <c r="D75" s="120" t="s">
        <v>522</v>
      </c>
      <c r="E75" s="46" t="s">
        <v>403</v>
      </c>
      <c r="F75" s="320">
        <f>+VLOOKUP($E75,Hybrid!$1:$1048576,F$2,FALSE)</f>
        <v>1.63594E-2</v>
      </c>
      <c r="G75" s="320">
        <f>+VLOOKUP($E75,Hybrid!$1:$1048576,G$2,FALSE)</f>
        <v>1.8366911199999999E-2</v>
      </c>
      <c r="H75" s="320">
        <f>+VLOOKUP($E75,Hybrid!$1:$1048576,H$2,FALSE)</f>
        <v>1.97241228E-2</v>
      </c>
      <c r="I75" s="320">
        <f>+VLOOKUP($E75,Hybrid!$1:$1048576,I$2,FALSE)</f>
        <v>2.0622913E-2</v>
      </c>
      <c r="J75" s="320">
        <f>+VLOOKUP($E75,Hybrid!$1:$1048576,J$2,FALSE)</f>
        <v>2.1203739799999999E-2</v>
      </c>
      <c r="K75" s="320">
        <f>+VLOOKUP($E75,Hybrid!$1:$1048576,K$2,FALSE)</f>
        <v>2.15641541E-2</v>
      </c>
      <c r="L75" s="320">
        <f>+VLOOKUP($E75,Hybrid!$1:$1048576,L$2,FALSE)</f>
        <v>2.1789910199999998E-2</v>
      </c>
      <c r="M75" s="320">
        <f>+VLOOKUP($E75,Hybrid!$1:$1048576,M$2,FALSE)</f>
        <v>2.19384369E-2</v>
      </c>
      <c r="N75" s="320">
        <f>+VLOOKUP($E75,Hybrid!$1:$1048576,N$2,FALSE)</f>
        <v>2.20256271E-2</v>
      </c>
      <c r="O75" s="320">
        <f>+VLOOKUP($E75,Hybrid!$1:$1048576,O$2,FALSE)</f>
        <v>2.2060278199999998E-2</v>
      </c>
      <c r="P75" s="320">
        <f>+VLOOKUP($E75,Hybrid!$1:$1048576,P$2,FALSE)</f>
        <v>2.2047514300000001E-2</v>
      </c>
      <c r="Q75" s="320">
        <f>+VLOOKUP($E75,Hybrid!$1:$1048576,Q$2,FALSE)</f>
        <v>2.1990019600000001E-2</v>
      </c>
      <c r="R75" s="320">
        <f>+VLOOKUP($E75,Hybrid!$1:$1048576,R$2,FALSE)</f>
        <v>2.1888837899999999E-2</v>
      </c>
      <c r="S75" s="320">
        <f>+VLOOKUP($E75,Hybrid!$1:$1048576,S$2,FALSE)</f>
        <v>2.1743905599999998E-2</v>
      </c>
      <c r="T75" s="320">
        <f>+VLOOKUP($E75,Hybrid!$1:$1048576,T$2,FALSE)</f>
        <v>2.1554397499999999E-2</v>
      </c>
      <c r="U75" s="320">
        <f>+VLOOKUP($E75,Hybrid!$1:$1048576,U$2,FALSE)</f>
        <v>2.13189381E-2</v>
      </c>
      <c r="V75" s="320">
        <f>+VLOOKUP($E75,Hybrid!$1:$1048576,V$2,FALSE)</f>
        <v>2.10554001E-2</v>
      </c>
      <c r="W75" s="320">
        <f>+VLOOKUP($E75,Hybrid!$1:$1048576,W$2,FALSE)</f>
        <v>2.0781071599999999E-2</v>
      </c>
      <c r="X75" s="320">
        <f>+VLOOKUP($E75,Hybrid!$1:$1048576,X$2,FALSE)</f>
        <v>2.04911511E-2</v>
      </c>
      <c r="Y75" s="320">
        <f>+VLOOKUP($E75,Hybrid!$1:$1048576,Y$2,FALSE)</f>
        <v>2.0182544E-2</v>
      </c>
      <c r="Z75" s="320">
        <f>+VLOOKUP($E75,Hybrid!$1:$1048576,Z$2,FALSE)</f>
        <v>1.98538217E-2</v>
      </c>
      <c r="AA75" s="320">
        <f>+VLOOKUP($E75,Hybrid!$1:$1048576,AA$2,FALSE)</f>
        <v>1.9504474800000001E-2</v>
      </c>
      <c r="AB75" s="320">
        <f>+VLOOKUP($E75,Hybrid!$1:$1048576,AB$2,FALSE)</f>
        <v>1.9134464300000001E-2</v>
      </c>
      <c r="AC75" s="320">
        <f>+VLOOKUP($E75,Hybrid!$1:$1048576,AC$2,FALSE)</f>
        <v>1.8743985899999999E-2</v>
      </c>
      <c r="AD75" s="320">
        <f>+VLOOKUP($E75,Hybrid!$1:$1048576,AD$2,FALSE)</f>
        <v>1.8333357299999999E-2</v>
      </c>
      <c r="AE75" s="320">
        <f>+VLOOKUP($E75,Hybrid!$1:$1048576,AE$2,FALSE)</f>
        <v>1.7902970599999998E-2</v>
      </c>
      <c r="AF75" s="320">
        <f>+VLOOKUP($E75,Hybrid!$1:$1048576,AF$2,FALSE)</f>
        <v>1.74532781E-2</v>
      </c>
      <c r="AG75" s="320">
        <f>+VLOOKUP($E75,Hybrid!$1:$1048576,AG$2,FALSE)</f>
        <v>1.6984794099999999E-2</v>
      </c>
      <c r="AH75" s="320">
        <f>+VLOOKUP($E75,Hybrid!$1:$1048576,AH$2,FALSE)</f>
        <v>1.64981043E-2</v>
      </c>
      <c r="AI75" s="320">
        <f>+VLOOKUP($E75,Hybrid!$1:$1048576,AI$2,FALSE)</f>
        <v>1.5993876899999999E-2</v>
      </c>
      <c r="AJ75" s="320">
        <f>+VLOOKUP($E75,Hybrid!$1:$1048576,AJ$2,FALSE)</f>
        <v>1.54728755E-2</v>
      </c>
      <c r="AK75" s="320">
        <f>+VLOOKUP($E75,Hybrid!$1:$1048576,AK$2,FALSE)</f>
        <v>1.49359707E-2</v>
      </c>
      <c r="AL75" s="320">
        <f>+VLOOKUP($E75,Hybrid!$1:$1048576,AL$2,FALSE)</f>
        <v>1.4384152399999999E-2</v>
      </c>
      <c r="AM75" s="320">
        <f>+VLOOKUP($E75,Hybrid!$1:$1048576,AM$2,FALSE)</f>
        <v>1.38185427E-2</v>
      </c>
      <c r="AN75" s="320">
        <f>+VLOOKUP($E75,Hybrid!$1:$1048576,AN$2,FALSE)</f>
        <v>1.3240408299999999E-2</v>
      </c>
      <c r="AO75" s="320">
        <f>+VLOOKUP($E75,Hybrid!$1:$1048576,AO$2,FALSE)</f>
        <v>1.2651176E-2</v>
      </c>
      <c r="AP75" s="73"/>
      <c r="AQ75" s="73"/>
    </row>
    <row r="76" spans="1:43" ht="15" customHeight="1" x14ac:dyDescent="0.25">
      <c r="A76" s="384"/>
      <c r="B76" s="383"/>
      <c r="C76" s="164"/>
      <c r="D76" s="120" t="s">
        <v>523</v>
      </c>
      <c r="E76" s="46" t="s">
        <v>404</v>
      </c>
      <c r="F76" s="320">
        <f>+VLOOKUP($E76,Hybrid!$1:$1048576,F$2,FALSE)</f>
        <v>1.00637E-2</v>
      </c>
      <c r="G76" s="320">
        <f>+VLOOKUP($E76,Hybrid!$1:$1048576,G$2,FALSE)</f>
        <v>1.12432264E-2</v>
      </c>
      <c r="H76" s="320">
        <f>+VLOOKUP($E76,Hybrid!$1:$1048576,H$2,FALSE)</f>
        <v>1.19836018E-2</v>
      </c>
      <c r="I76" s="320">
        <f>+VLOOKUP($E76,Hybrid!$1:$1048576,I$2,FALSE)</f>
        <v>1.24184767E-2</v>
      </c>
      <c r="J76" s="320">
        <f>+VLOOKUP($E76,Hybrid!$1:$1048576,J$2,FALSE)</f>
        <v>1.2644705399999999E-2</v>
      </c>
      <c r="K76" s="320">
        <f>+VLOOKUP($E76,Hybrid!$1:$1048576,K$2,FALSE)</f>
        <v>1.2728446900000001E-2</v>
      </c>
      <c r="L76" s="320">
        <f>+VLOOKUP($E76,Hybrid!$1:$1048576,L$2,FALSE)</f>
        <v>1.27253838E-2</v>
      </c>
      <c r="M76" s="320">
        <f>+VLOOKUP($E76,Hybrid!$1:$1048576,M$2,FALSE)</f>
        <v>1.26723502E-2</v>
      </c>
      <c r="N76" s="320">
        <f>+VLOOKUP($E76,Hybrid!$1:$1048576,N$2,FALSE)</f>
        <v>1.2580596899999999E-2</v>
      </c>
      <c r="O76" s="320">
        <f>+VLOOKUP($E76,Hybrid!$1:$1048576,O$2,FALSE)</f>
        <v>1.2456411000000001E-2</v>
      </c>
      <c r="P76" s="320">
        <f>+VLOOKUP($E76,Hybrid!$1:$1048576,P$2,FALSE)</f>
        <v>1.23035683E-2</v>
      </c>
      <c r="Q76" s="320">
        <f>+VLOOKUP($E76,Hybrid!$1:$1048576,Q$2,FALSE)</f>
        <v>1.2124279999999999E-2</v>
      </c>
      <c r="R76" s="320">
        <f>+VLOOKUP($E76,Hybrid!$1:$1048576,R$2,FALSE)</f>
        <v>1.19197712E-2</v>
      </c>
      <c r="S76" s="320">
        <f>+VLOOKUP($E76,Hybrid!$1:$1048576,S$2,FALSE)</f>
        <v>1.16906466E-2</v>
      </c>
      <c r="T76" s="320">
        <f>+VLOOKUP($E76,Hybrid!$1:$1048576,T$2,FALSE)</f>
        <v>1.1437121999999999E-2</v>
      </c>
      <c r="U76" s="320">
        <f>+VLOOKUP($E76,Hybrid!$1:$1048576,U$2,FALSE)</f>
        <v>1.11591676E-2</v>
      </c>
      <c r="V76" s="320">
        <f>+VLOOKUP($E76,Hybrid!$1:$1048576,V$2,FALSE)</f>
        <v>1.0866957E-2</v>
      </c>
      <c r="W76" s="320">
        <f>+VLOOKUP($E76,Hybrid!$1:$1048576,W$2,FALSE)</f>
        <v>1.0570353899999999E-2</v>
      </c>
      <c r="X76" s="320">
        <f>+VLOOKUP($E76,Hybrid!$1:$1048576,X$2,FALSE)</f>
        <v>1.0267790400000001E-2</v>
      </c>
      <c r="Y76" s="320">
        <f>+VLOOKUP($E76,Hybrid!$1:$1048576,Y$2,FALSE)</f>
        <v>9.9584703699999999E-3</v>
      </c>
      <c r="Z76" s="320">
        <f>+VLOOKUP($E76,Hybrid!$1:$1048576,Z$2,FALSE)</f>
        <v>9.6424166999999998E-3</v>
      </c>
      <c r="AA76" s="320">
        <f>+VLOOKUP($E76,Hybrid!$1:$1048576,AA$2,FALSE)</f>
        <v>9.3201061100000003E-3</v>
      </c>
      <c r="AB76" s="320">
        <f>+VLOOKUP($E76,Hybrid!$1:$1048576,AB$2,FALSE)</f>
        <v>8.9922438099999998E-3</v>
      </c>
      <c r="AC76" s="320">
        <f>+VLOOKUP($E76,Hybrid!$1:$1048576,AC$2,FALSE)</f>
        <v>8.6596426399999996E-3</v>
      </c>
      <c r="AD76" s="320">
        <f>+VLOOKUP($E76,Hybrid!$1:$1048576,AD$2,FALSE)</f>
        <v>8.3231638100000008E-3</v>
      </c>
      <c r="AE76" s="320">
        <f>+VLOOKUP($E76,Hybrid!$1:$1048576,AE$2,FALSE)</f>
        <v>7.9836901100000003E-3</v>
      </c>
      <c r="AF76" s="320">
        <f>+VLOOKUP($E76,Hybrid!$1:$1048576,AF$2,FALSE)</f>
        <v>7.6421153300000001E-3</v>
      </c>
      <c r="AG76" s="320">
        <f>+VLOOKUP($E76,Hybrid!$1:$1048576,AG$2,FALSE)</f>
        <v>7.2993404900000003E-3</v>
      </c>
      <c r="AH76" s="320">
        <f>+VLOOKUP($E76,Hybrid!$1:$1048576,AH$2,FALSE)</f>
        <v>6.9562725499999999E-3</v>
      </c>
      <c r="AI76" s="320">
        <f>+VLOOKUP($E76,Hybrid!$1:$1048576,AI$2,FALSE)</f>
        <v>6.61382312E-3</v>
      </c>
      <c r="AJ76" s="320">
        <f>+VLOOKUP($E76,Hybrid!$1:$1048576,AJ$2,FALSE)</f>
        <v>6.2729063800000002E-3</v>
      </c>
      <c r="AK76" s="320">
        <f>+VLOOKUP($E76,Hybrid!$1:$1048576,AK$2,FALSE)</f>
        <v>5.93443611E-3</v>
      </c>
      <c r="AL76" s="320">
        <f>+VLOOKUP($E76,Hybrid!$1:$1048576,AL$2,FALSE)</f>
        <v>5.5993220300000002E-3</v>
      </c>
      <c r="AM76" s="320">
        <f>+VLOOKUP($E76,Hybrid!$1:$1048576,AM$2,FALSE)</f>
        <v>5.2684658699999999E-3</v>
      </c>
      <c r="AN76" s="320">
        <f>+VLOOKUP($E76,Hybrid!$1:$1048576,AN$2,FALSE)</f>
        <v>4.9427574699999997E-3</v>
      </c>
      <c r="AO76" s="320">
        <f>+VLOOKUP($E76,Hybrid!$1:$1048576,AO$2,FALSE)</f>
        <v>4.6230712300000002E-3</v>
      </c>
      <c r="AP76" s="73"/>
      <c r="AQ76" s="73"/>
    </row>
    <row r="77" spans="1:43" ht="15" customHeight="1" x14ac:dyDescent="0.25">
      <c r="A77" s="384"/>
      <c r="B77" s="383"/>
      <c r="C77" s="164"/>
      <c r="D77" s="120" t="s">
        <v>524</v>
      </c>
      <c r="E77" s="46" t="s">
        <v>405</v>
      </c>
      <c r="F77" s="320">
        <f>+VLOOKUP($E77,Hybrid!$1:$1048576,F$2,FALSE)</f>
        <v>4.8669999999999998E-3</v>
      </c>
      <c r="G77" s="320">
        <f>+VLOOKUP($E77,Hybrid!$1:$1048576,G$2,FALSE)</f>
        <v>5.3438604699999996E-3</v>
      </c>
      <c r="H77" s="320">
        <f>+VLOOKUP($E77,Hybrid!$1:$1048576,H$2,FALSE)</f>
        <v>5.5475075900000004E-3</v>
      </c>
      <c r="I77" s="320">
        <f>+VLOOKUP($E77,Hybrid!$1:$1048576,I$2,FALSE)</f>
        <v>5.57177503E-3</v>
      </c>
      <c r="J77" s="320">
        <f>+VLOOKUP($E77,Hybrid!$1:$1048576,J$2,FALSE)</f>
        <v>5.4828269700000001E-3</v>
      </c>
      <c r="K77" s="320">
        <f>+VLOOKUP($E77,Hybrid!$1:$1048576,K$2,FALSE)</f>
        <v>5.3240199999999996E-3</v>
      </c>
      <c r="L77" s="320">
        <f>+VLOOKUP($E77,Hybrid!$1:$1048576,L$2,FALSE)</f>
        <v>5.1276577400000004E-3</v>
      </c>
      <c r="M77" s="320">
        <f>+VLOOKUP($E77,Hybrid!$1:$1048576,M$2,FALSE)</f>
        <v>4.9138323500000003E-3</v>
      </c>
      <c r="N77" s="320">
        <f>+VLOOKUP($E77,Hybrid!$1:$1048576,N$2,FALSE)</f>
        <v>4.6899396399999998E-3</v>
      </c>
      <c r="O77" s="320">
        <f>+VLOOKUP($E77,Hybrid!$1:$1048576,O$2,FALSE)</f>
        <v>4.4602880500000004E-3</v>
      </c>
      <c r="P77" s="320">
        <f>+VLOOKUP($E77,Hybrid!$1:$1048576,P$2,FALSE)</f>
        <v>4.2276719900000001E-3</v>
      </c>
      <c r="Q77" s="320">
        <f>+VLOOKUP($E77,Hybrid!$1:$1048576,Q$2,FALSE)</f>
        <v>3.9940219400000001E-3</v>
      </c>
      <c r="R77" s="320">
        <f>+VLOOKUP($E77,Hybrid!$1:$1048576,R$2,FALSE)</f>
        <v>3.7607569199999999E-3</v>
      </c>
      <c r="S77" s="320">
        <f>+VLOOKUP($E77,Hybrid!$1:$1048576,S$2,FALSE)</f>
        <v>3.5289835700000002E-3</v>
      </c>
      <c r="T77" s="320">
        <f>+VLOOKUP($E77,Hybrid!$1:$1048576,T$2,FALSE)</f>
        <v>3.2996120600000001E-3</v>
      </c>
      <c r="U77" s="320">
        <f>+VLOOKUP($E77,Hybrid!$1:$1048576,U$2,FALSE)</f>
        <v>3.0734265500000002E-3</v>
      </c>
      <c r="V77" s="320">
        <f>+VLOOKUP($E77,Hybrid!$1:$1048576,V$2,FALSE)</f>
        <v>2.85389184E-3</v>
      </c>
      <c r="W77" s="320">
        <f>+VLOOKUP($E77,Hybrid!$1:$1048576,W$2,FALSE)</f>
        <v>2.64395476E-3</v>
      </c>
      <c r="X77" s="320">
        <f>+VLOOKUP($E77,Hybrid!$1:$1048576,X$2,FALSE)</f>
        <v>2.4433411399999998E-3</v>
      </c>
      <c r="Y77" s="320">
        <f>+VLOOKUP($E77,Hybrid!$1:$1048576,Y$2,FALSE)</f>
        <v>2.2519308199999998E-3</v>
      </c>
      <c r="Z77" s="320">
        <f>+VLOOKUP($E77,Hybrid!$1:$1048576,Z$2,FALSE)</f>
        <v>2.0697663600000001E-3</v>
      </c>
      <c r="AA77" s="320">
        <f>+VLOOKUP($E77,Hybrid!$1:$1048576,AA$2,FALSE)</f>
        <v>1.8969430999999999E-3</v>
      </c>
      <c r="AB77" s="320">
        <f>+VLOOKUP($E77,Hybrid!$1:$1048576,AB$2,FALSE)</f>
        <v>1.7335417700000001E-3</v>
      </c>
      <c r="AC77" s="320">
        <f>+VLOOKUP($E77,Hybrid!$1:$1048576,AC$2,FALSE)</f>
        <v>1.5795949799999999E-3</v>
      </c>
      <c r="AD77" s="320">
        <f>+VLOOKUP($E77,Hybrid!$1:$1048576,AD$2,FALSE)</f>
        <v>1.4350742E-3</v>
      </c>
      <c r="AE77" s="320">
        <f>+VLOOKUP($E77,Hybrid!$1:$1048576,AE$2,FALSE)</f>
        <v>1.29988792E-3</v>
      </c>
      <c r="AF77" s="320">
        <f>+VLOOKUP($E77,Hybrid!$1:$1048576,AF$2,FALSE)</f>
        <v>1.1738851900000001E-3</v>
      </c>
      <c r="AG77" s="320">
        <f>+VLOOKUP($E77,Hybrid!$1:$1048576,AG$2,FALSE)</f>
        <v>1.0568613599999999E-3</v>
      </c>
      <c r="AH77" s="320">
        <f>+VLOOKUP($E77,Hybrid!$1:$1048576,AH$2,FALSE)</f>
        <v>9.4856451800000004E-4</v>
      </c>
      <c r="AI77" s="320">
        <f>+VLOOKUP($E77,Hybrid!$1:$1048576,AI$2,FALSE)</f>
        <v>8.4870196900000002E-4</v>
      </c>
      <c r="AJ77" s="320">
        <f>+VLOOKUP($E77,Hybrid!$1:$1048576,AJ$2,FALSE)</f>
        <v>7.5694644199999995E-4</v>
      </c>
      <c r="AK77" s="320">
        <f>+VLOOKUP($E77,Hybrid!$1:$1048576,AK$2,FALSE)</f>
        <v>6.7294211400000003E-4</v>
      </c>
      <c r="AL77" s="320">
        <f>+VLOOKUP($E77,Hybrid!$1:$1048576,AL$2,FALSE)</f>
        <v>5.9631043299999997E-4</v>
      </c>
      <c r="AM77" s="320">
        <f>+VLOOKUP($E77,Hybrid!$1:$1048576,AM$2,FALSE)</f>
        <v>5.2665577500000005E-4</v>
      </c>
      <c r="AN77" s="320">
        <f>+VLOOKUP($E77,Hybrid!$1:$1048576,AN$2,FALSE)</f>
        <v>4.6357092200000001E-4</v>
      </c>
      <c r="AO77" s="320">
        <f>+VLOOKUP($E77,Hybrid!$1:$1048576,AO$2,FALSE)</f>
        <v>4.0664230300000001E-4</v>
      </c>
      <c r="AP77" s="73"/>
      <c r="AQ77" s="73"/>
    </row>
    <row r="78" spans="1:43" ht="15" customHeight="1" x14ac:dyDescent="0.25">
      <c r="A78" s="384"/>
      <c r="B78" s="383"/>
      <c r="C78" s="165"/>
      <c r="D78" s="121" t="s">
        <v>525</v>
      </c>
      <c r="E78" s="91" t="s">
        <v>406</v>
      </c>
      <c r="F78" s="321">
        <f>+VLOOKUP($E78,Hybrid!$1:$1048576,F$2,FALSE)</f>
        <v>9.1374000000000004E-3</v>
      </c>
      <c r="G78" s="321">
        <f>+VLOOKUP($E78,Hybrid!$1:$1048576,G$2,FALSE)</f>
        <v>9.8813838099999999E-3</v>
      </c>
      <c r="H78" s="321">
        <f>+VLOOKUP($E78,Hybrid!$1:$1048576,H$2,FALSE)</f>
        <v>1.00247871E-2</v>
      </c>
      <c r="I78" s="321">
        <f>+VLOOKUP($E78,Hybrid!$1:$1048576,I$2,FALSE)</f>
        <v>9.7971676900000006E-3</v>
      </c>
      <c r="J78" s="321">
        <f>+VLOOKUP($E78,Hybrid!$1:$1048576,J$2,FALSE)</f>
        <v>9.3562738999999999E-3</v>
      </c>
      <c r="K78" s="321">
        <f>+VLOOKUP($E78,Hybrid!$1:$1048576,K$2,FALSE)</f>
        <v>8.8018199899999993E-3</v>
      </c>
      <c r="L78" s="321">
        <f>+VLOOKUP($E78,Hybrid!$1:$1048576,L$2,FALSE)</f>
        <v>8.2021083099999992E-3</v>
      </c>
      <c r="M78" s="321">
        <f>+VLOOKUP($E78,Hybrid!$1:$1048576,M$2,FALSE)</f>
        <v>7.5971521900000004E-3</v>
      </c>
      <c r="N78" s="321">
        <f>+VLOOKUP($E78,Hybrid!$1:$1048576,N$2,FALSE)</f>
        <v>7.00214879E-3</v>
      </c>
      <c r="O78" s="321">
        <f>+VLOOKUP($E78,Hybrid!$1:$1048576,O$2,FALSE)</f>
        <v>6.4252313099999996E-3</v>
      </c>
      <c r="P78" s="321">
        <f>+VLOOKUP($E78,Hybrid!$1:$1048576,P$2,FALSE)</f>
        <v>5.8710592400000004E-3</v>
      </c>
      <c r="Q78" s="321">
        <f>+VLOOKUP($E78,Hybrid!$1:$1048576,Q$2,FALSE)</f>
        <v>5.3423523100000004E-3</v>
      </c>
      <c r="R78" s="321">
        <f>+VLOOKUP($E78,Hybrid!$1:$1048576,R$2,FALSE)</f>
        <v>4.8406834100000002E-3</v>
      </c>
      <c r="S78" s="321">
        <f>+VLOOKUP($E78,Hybrid!$1:$1048576,S$2,FALSE)</f>
        <v>4.3669061299999997E-3</v>
      </c>
      <c r="T78" s="321">
        <f>+VLOOKUP($E78,Hybrid!$1:$1048576,T$2,FALSE)</f>
        <v>3.9213973500000004E-3</v>
      </c>
      <c r="U78" s="321">
        <f>+VLOOKUP($E78,Hybrid!$1:$1048576,U$2,FALSE)</f>
        <v>3.5042037300000001E-3</v>
      </c>
      <c r="V78" s="321">
        <f>+VLOOKUP($E78,Hybrid!$1:$1048576,V$2,FALSE)</f>
        <v>3.1182018700000001E-3</v>
      </c>
      <c r="W78" s="321">
        <f>+VLOOKUP($E78,Hybrid!$1:$1048576,W$2,FALSE)</f>
        <v>2.7652003199999998E-3</v>
      </c>
      <c r="X78" s="321">
        <f>+VLOOKUP($E78,Hybrid!$1:$1048576,X$2,FALSE)</f>
        <v>2.4432664900000001E-3</v>
      </c>
      <c r="Y78" s="321">
        <f>+VLOOKUP($E78,Hybrid!$1:$1048576,Y$2,FALSE)</f>
        <v>2.15060943E-3</v>
      </c>
      <c r="Z78" s="321">
        <f>+VLOOKUP($E78,Hybrid!$1:$1048576,Z$2,FALSE)</f>
        <v>1.8856004400000001E-3</v>
      </c>
      <c r="AA78" s="321">
        <f>+VLOOKUP($E78,Hybrid!$1:$1048576,AA$2,FALSE)</f>
        <v>1.6466594100000001E-3</v>
      </c>
      <c r="AB78" s="321">
        <f>+VLOOKUP($E78,Hybrid!$1:$1048576,AB$2,FALSE)</f>
        <v>1.43219589E-3</v>
      </c>
      <c r="AC78" s="321">
        <f>+VLOOKUP($E78,Hybrid!$1:$1048576,AC$2,FALSE)</f>
        <v>1.24059211E-3</v>
      </c>
      <c r="AD78" s="321">
        <f>+VLOOKUP($E78,Hybrid!$1:$1048576,AD$2,FALSE)</f>
        <v>1.0702096499999999E-3</v>
      </c>
      <c r="AE78" s="321">
        <f>+VLOOKUP($E78,Hybrid!$1:$1048576,AE$2,FALSE)</f>
        <v>9.1940668999999995E-4</v>
      </c>
      <c r="AF78" s="321">
        <f>+VLOOKUP($E78,Hybrid!$1:$1048576,AF$2,FALSE)</f>
        <v>7.8655826099999996E-4</v>
      </c>
      <c r="AG78" s="321">
        <f>+VLOOKUP($E78,Hybrid!$1:$1048576,AG$2,FALSE)</f>
        <v>6.7007548200000004E-4</v>
      </c>
      <c r="AH78" s="321">
        <f>+VLOOKUP($E78,Hybrid!$1:$1048576,AH$2,FALSE)</f>
        <v>5.68422179E-4</v>
      </c>
      <c r="AI78" s="321">
        <f>+VLOOKUP($E78,Hybrid!$1:$1048576,AI$2,FALSE)</f>
        <v>4.80128373E-4</v>
      </c>
      <c r="AJ78" s="321">
        <f>+VLOOKUP($E78,Hybrid!$1:$1048576,AJ$2,FALSE)</f>
        <v>4.0380072499999998E-4</v>
      </c>
      <c r="AK78" s="321">
        <f>+VLOOKUP($E78,Hybrid!$1:$1048576,AK$2,FALSE)</f>
        <v>3.3813021099999999E-4</v>
      </c>
      <c r="AL78" s="321">
        <f>+VLOOKUP($E78,Hybrid!$1:$1048576,AL$2,FALSE)</f>
        <v>2.8189732E-4</v>
      </c>
      <c r="AM78" s="321">
        <f>+VLOOKUP($E78,Hybrid!$1:$1048576,AM$2,FALSE)</f>
        <v>2.3397508499999999E-4</v>
      </c>
      <c r="AN78" s="321">
        <f>+VLOOKUP($E78,Hybrid!$1:$1048576,AN$2,FALSE)</f>
        <v>1.9333019799999999E-4</v>
      </c>
      <c r="AO78" s="321">
        <f>+VLOOKUP($E78,Hybrid!$1:$1048576,AO$2,FALSE)</f>
        <v>1.59022437E-4</v>
      </c>
      <c r="AP78" s="73"/>
      <c r="AQ78" s="73"/>
    </row>
    <row r="79" spans="1:43" s="108" customFormat="1" ht="15" customHeight="1" x14ac:dyDescent="0.25">
      <c r="A79" s="384"/>
      <c r="B79" s="383"/>
      <c r="C79" s="118" t="s">
        <v>530</v>
      </c>
      <c r="D79" s="119"/>
      <c r="E79" s="88" t="s">
        <v>407</v>
      </c>
      <c r="F79" s="319">
        <f>+VLOOKUP($E79,Hybrid!$1:$1048576,F$2,FALSE)</f>
        <v>1886.229</v>
      </c>
      <c r="G79" s="319">
        <f>+VLOOKUP($E79,Hybrid!$1:$1048576,G$2,FALSE)</f>
        <v>2126.9764409999998</v>
      </c>
      <c r="H79" s="319">
        <f>+VLOOKUP($E79,Hybrid!$1:$1048576,H$2,FALSE)</f>
        <v>2294.441949</v>
      </c>
      <c r="I79" s="319">
        <f>+VLOOKUP($E79,Hybrid!$1:$1048576,I$2,FALSE)</f>
        <v>2411.5024819999999</v>
      </c>
      <c r="J79" s="319">
        <f>+VLOOKUP($E79,Hybrid!$1:$1048576,J$2,FALSE)</f>
        <v>2495.0188450000001</v>
      </c>
      <c r="K79" s="319">
        <f>+VLOOKUP($E79,Hybrid!$1:$1048576,K$2,FALSE)</f>
        <v>2556.7025119999998</v>
      </c>
      <c r="L79" s="319">
        <f>+VLOOKUP($E79,Hybrid!$1:$1048576,L$2,FALSE)</f>
        <v>2604.3377540000001</v>
      </c>
      <c r="M79" s="319">
        <f>+VLOOKUP($E79,Hybrid!$1:$1048576,M$2,FALSE)</f>
        <v>2642.9422650000001</v>
      </c>
      <c r="N79" s="319">
        <f>+VLOOKUP($E79,Hybrid!$1:$1048576,N$2,FALSE)</f>
        <v>2675.6871630000001</v>
      </c>
      <c r="O79" s="319">
        <f>+VLOOKUP($E79,Hybrid!$1:$1048576,O$2,FALSE)</f>
        <v>2704.556431</v>
      </c>
      <c r="P79" s="319">
        <f>+VLOOKUP($E79,Hybrid!$1:$1048576,P$2,FALSE)</f>
        <v>2730.7906400000002</v>
      </c>
      <c r="Q79" s="319">
        <f>+VLOOKUP($E79,Hybrid!$1:$1048576,Q$2,FALSE)</f>
        <v>2755.1728119999998</v>
      </c>
      <c r="R79" s="319">
        <f>+VLOOKUP($E79,Hybrid!$1:$1048576,R$2,FALSE)</f>
        <v>2778.2068039999999</v>
      </c>
      <c r="S79" s="319">
        <f>+VLOOKUP($E79,Hybrid!$1:$1048576,S$2,FALSE)</f>
        <v>2800.226091</v>
      </c>
      <c r="T79" s="319">
        <f>+VLOOKUP($E79,Hybrid!$1:$1048576,T$2,FALSE)</f>
        <v>2821.4589340000002</v>
      </c>
      <c r="U79" s="319">
        <f>+VLOOKUP($E79,Hybrid!$1:$1048576,U$2,FALSE)</f>
        <v>2842.0671710000001</v>
      </c>
      <c r="V79" s="319">
        <f>+VLOOKUP($E79,Hybrid!$1:$1048576,V$2,FALSE)</f>
        <v>2862.1693700000001</v>
      </c>
      <c r="W79" s="319">
        <f>+VLOOKUP($E79,Hybrid!$1:$1048576,W$2,FALSE)</f>
        <v>2881.8549119999998</v>
      </c>
      <c r="X79" s="319">
        <f>+VLOOKUP($E79,Hybrid!$1:$1048576,X$2,FALSE)</f>
        <v>2901.192822</v>
      </c>
      <c r="Y79" s="319">
        <f>+VLOOKUP($E79,Hybrid!$1:$1048576,Y$2,FALSE)</f>
        <v>2920.2375459999998</v>
      </c>
      <c r="Z79" s="319">
        <f>+VLOOKUP($E79,Hybrid!$1:$1048576,Z$2,FALSE)</f>
        <v>2939.0329419999998</v>
      </c>
      <c r="AA79" s="319">
        <f>+VLOOKUP($E79,Hybrid!$1:$1048576,AA$2,FALSE)</f>
        <v>2957.6151220000002</v>
      </c>
      <c r="AB79" s="319">
        <f>+VLOOKUP($E79,Hybrid!$1:$1048576,AB$2,FALSE)</f>
        <v>2976.0145470000002</v>
      </c>
      <c r="AC79" s="319">
        <f>+VLOOKUP($E79,Hybrid!$1:$1048576,AC$2,FALSE)</f>
        <v>2994.25756</v>
      </c>
      <c r="AD79" s="319">
        <f>+VLOOKUP($E79,Hybrid!$1:$1048576,AD$2,FALSE)</f>
        <v>3012.367506</v>
      </c>
      <c r="AE79" s="319">
        <f>+VLOOKUP($E79,Hybrid!$1:$1048576,AE$2,FALSE)</f>
        <v>3030.3655220000001</v>
      </c>
      <c r="AF79" s="319">
        <f>+VLOOKUP($E79,Hybrid!$1:$1048576,AF$2,FALSE)</f>
        <v>3048.2710809999999</v>
      </c>
      <c r="AG79" s="319">
        <f>+VLOOKUP($E79,Hybrid!$1:$1048576,AG$2,FALSE)</f>
        <v>3066.1023279999999</v>
      </c>
      <c r="AH79" s="319">
        <f>+VLOOKUP($E79,Hybrid!$1:$1048576,AH$2,FALSE)</f>
        <v>3083.87628</v>
      </c>
      <c r="AI79" s="319">
        <f>+VLOOKUP($E79,Hybrid!$1:$1048576,AI$2,FALSE)</f>
        <v>3101.6089280000001</v>
      </c>
      <c r="AJ79" s="319">
        <f>+VLOOKUP($E79,Hybrid!$1:$1048576,AJ$2,FALSE)</f>
        <v>3119.3152650000002</v>
      </c>
      <c r="AK79" s="319">
        <f>+VLOOKUP($E79,Hybrid!$1:$1048576,AK$2,FALSE)</f>
        <v>3137.0092840000002</v>
      </c>
      <c r="AL79" s="319">
        <f>+VLOOKUP($E79,Hybrid!$1:$1048576,AL$2,FALSE)</f>
        <v>3154.703955</v>
      </c>
      <c r="AM79" s="319">
        <f>+VLOOKUP($E79,Hybrid!$1:$1048576,AM$2,FALSE)</f>
        <v>3172.4112030000001</v>
      </c>
      <c r="AN79" s="319">
        <f>+VLOOKUP($E79,Hybrid!$1:$1048576,AN$2,FALSE)</f>
        <v>3190.1418899999999</v>
      </c>
      <c r="AO79" s="319">
        <f>+VLOOKUP($E79,Hybrid!$1:$1048576,AO$2,FALSE)</f>
        <v>3207.9058129999999</v>
      </c>
    </row>
    <row r="80" spans="1:43" s="108" customFormat="1" ht="15" customHeight="1" x14ac:dyDescent="0.25">
      <c r="A80" s="384"/>
      <c r="B80" s="383"/>
      <c r="C80" s="118" t="s">
        <v>527</v>
      </c>
      <c r="D80" s="119"/>
      <c r="E80" s="88" t="s">
        <v>408</v>
      </c>
      <c r="F80" s="319">
        <f>+VLOOKUP($E80,Hybrid!$1:$1048576,F$2,FALSE)</f>
        <v>1868.8030000000001</v>
      </c>
      <c r="G80" s="319">
        <f>+VLOOKUP($E80,Hybrid!$1:$1048576,G$2,FALSE)</f>
        <v>2107.3250859999998</v>
      </c>
      <c r="H80" s="319">
        <f>+VLOOKUP($E80,Hybrid!$1:$1048576,H$2,FALSE)</f>
        <v>2273.237768</v>
      </c>
      <c r="I80" s="319">
        <f>+VLOOKUP($E80,Hybrid!$1:$1048576,I$2,FALSE)</f>
        <v>2389.2032079999999</v>
      </c>
      <c r="J80" s="319">
        <f>+VLOOKUP($E80,Hybrid!$1:$1048576,J$2,FALSE)</f>
        <v>2471.9244659999999</v>
      </c>
      <c r="K80" s="319">
        <f>+VLOOKUP($E80,Hybrid!$1:$1048576,K$2,FALSE)</f>
        <v>2533.004516</v>
      </c>
      <c r="L80" s="319">
        <f>+VLOOKUP($E80,Hybrid!$1:$1048576,L$2,FALSE)</f>
        <v>2580.1564659999999</v>
      </c>
      <c r="M80" s="319">
        <f>+VLOOKUP($E80,Hybrid!$1:$1048576,M$2,FALSE)</f>
        <v>2618.3527669999999</v>
      </c>
      <c r="N80" s="319">
        <f>+VLOOKUP($E80,Hybrid!$1:$1048576,N$2,FALSE)</f>
        <v>2650.7362549999998</v>
      </c>
      <c r="O80" s="319">
        <f>+VLOOKUP($E80,Hybrid!$1:$1048576,O$2,FALSE)</f>
        <v>2679.2733050000002</v>
      </c>
      <c r="P80" s="319">
        <f>+VLOOKUP($E80,Hybrid!$1:$1048576,P$2,FALSE)</f>
        <v>2705.1934289999999</v>
      </c>
      <c r="Q80" s="319">
        <f>+VLOOKUP($E80,Hybrid!$1:$1048576,Q$2,FALSE)</f>
        <v>2729.2725620000001</v>
      </c>
      <c r="R80" s="319">
        <f>+VLOOKUP($E80,Hybrid!$1:$1048576,R$2,FALSE)</f>
        <v>2752.009888</v>
      </c>
      <c r="S80" s="319">
        <f>+VLOOKUP($E80,Hybrid!$1:$1048576,S$2,FALSE)</f>
        <v>2773.735604</v>
      </c>
      <c r="T80" s="319">
        <f>+VLOOKUP($E80,Hybrid!$1:$1048576,T$2,FALSE)</f>
        <v>2794.6756730000002</v>
      </c>
      <c r="U80" s="319">
        <f>+VLOOKUP($E80,Hybrid!$1:$1048576,U$2,FALSE)</f>
        <v>2814.9901749999999</v>
      </c>
      <c r="V80" s="319">
        <f>+VLOOKUP($E80,Hybrid!$1:$1048576,V$2,FALSE)</f>
        <v>2834.79628</v>
      </c>
      <c r="W80" s="319">
        <f>+VLOOKUP($E80,Hybrid!$1:$1048576,W$2,FALSE)</f>
        <v>2854.1822029999998</v>
      </c>
      <c r="X80" s="319">
        <f>+VLOOKUP($E80,Hybrid!$1:$1048576,X$2,FALSE)</f>
        <v>2873.21594</v>
      </c>
      <c r="Y80" s="319">
        <f>+VLOOKUP($E80,Hybrid!$1:$1048576,Y$2,FALSE)</f>
        <v>2891.9509889999999</v>
      </c>
      <c r="Z80" s="319">
        <f>+VLOOKUP($E80,Hybrid!$1:$1048576,Z$2,FALSE)</f>
        <v>2910.430288</v>
      </c>
      <c r="AA80" s="319">
        <f>+VLOOKUP($E80,Hybrid!$1:$1048576,AA$2,FALSE)</f>
        <v>2928.6890320000002</v>
      </c>
      <c r="AB80" s="319">
        <f>+VLOOKUP($E80,Hybrid!$1:$1048576,AB$2,FALSE)</f>
        <v>2946.7567319999998</v>
      </c>
      <c r="AC80" s="319">
        <f>+VLOOKUP($E80,Hybrid!$1:$1048576,AC$2,FALSE)</f>
        <v>2964.658735</v>
      </c>
      <c r="AD80" s="319">
        <f>+VLOOKUP($E80,Hybrid!$1:$1048576,AD$2,FALSE)</f>
        <v>2982.417328</v>
      </c>
      <c r="AE80" s="319">
        <f>+VLOOKUP($E80,Hybrid!$1:$1048576,AE$2,FALSE)</f>
        <v>3000.05251</v>
      </c>
      <c r="AF80" s="319">
        <f>+VLOOKUP($E80,Hybrid!$1:$1048576,AF$2,FALSE)</f>
        <v>3017.5825289999998</v>
      </c>
      <c r="AG80" s="319">
        <f>+VLOOKUP($E80,Hybrid!$1:$1048576,AG$2,FALSE)</f>
        <v>3035.0242079999998</v>
      </c>
      <c r="AH80" s="319">
        <f>+VLOOKUP($E80,Hybrid!$1:$1048576,AH$2,FALSE)</f>
        <v>3052.3931389999998</v>
      </c>
      <c r="AI80" s="319">
        <f>+VLOOKUP($E80,Hybrid!$1:$1048576,AI$2,FALSE)</f>
        <v>3069.7037719999998</v>
      </c>
      <c r="AJ80" s="319">
        <f>+VLOOKUP($E80,Hybrid!$1:$1048576,AJ$2,FALSE)</f>
        <v>3086.969443</v>
      </c>
      <c r="AK80" s="319">
        <f>+VLOOKUP($E80,Hybrid!$1:$1048576,AK$2,FALSE)</f>
        <v>3104.2023589999999</v>
      </c>
      <c r="AL80" s="319">
        <f>+VLOOKUP($E80,Hybrid!$1:$1048576,AL$2,FALSE)</f>
        <v>3121.4135649999998</v>
      </c>
      <c r="AM80" s="319">
        <f>+VLOOKUP($E80,Hybrid!$1:$1048576,AM$2,FALSE)</f>
        <v>3138.6129190000001</v>
      </c>
      <c r="AN80" s="319">
        <f>+VLOOKUP($E80,Hybrid!$1:$1048576,AN$2,FALSE)</f>
        <v>3155.8090560000001</v>
      </c>
      <c r="AO80" s="319">
        <f>+VLOOKUP($E80,Hybrid!$1:$1048576,AO$2,FALSE)</f>
        <v>3173.00938</v>
      </c>
    </row>
    <row r="81" spans="1:43" ht="15" customHeight="1" x14ac:dyDescent="0.25">
      <c r="A81" s="384"/>
      <c r="B81" s="383"/>
      <c r="C81" s="164"/>
      <c r="D81" s="120" t="s">
        <v>519</v>
      </c>
      <c r="E81" s="46" t="s">
        <v>409</v>
      </c>
      <c r="F81" s="320">
        <f>+VLOOKUP($E81,Hybrid!$1:$1048576,F$2,FALSE)</f>
        <v>528.68436870000005</v>
      </c>
      <c r="G81" s="320">
        <f>+VLOOKUP($E81,Hybrid!$1:$1048576,G$2,FALSE)</f>
        <v>599.67283199999997</v>
      </c>
      <c r="H81" s="320">
        <f>+VLOOKUP($E81,Hybrid!$1:$1048576,H$2,FALSE)</f>
        <v>652.52066590000004</v>
      </c>
      <c r="I81" s="320">
        <f>+VLOOKUP($E81,Hybrid!$1:$1048576,I$2,FALSE)</f>
        <v>692.64252380000005</v>
      </c>
      <c r="J81" s="320">
        <f>+VLOOKUP($E81,Hybrid!$1:$1048576,J$2,FALSE)</f>
        <v>724.10353659999998</v>
      </c>
      <c r="K81" s="320">
        <f>+VLOOKUP($E81,Hybrid!$1:$1048576,K$2,FALSE)</f>
        <v>749.80735089999996</v>
      </c>
      <c r="L81" s="320">
        <f>+VLOOKUP($E81,Hybrid!$1:$1048576,L$2,FALSE)</f>
        <v>771.7392188</v>
      </c>
      <c r="M81" s="320">
        <f>+VLOOKUP($E81,Hybrid!$1:$1048576,M$2,FALSE)</f>
        <v>791.21241399999997</v>
      </c>
      <c r="N81" s="320">
        <f>+VLOOKUP($E81,Hybrid!$1:$1048576,N$2,FALSE)</f>
        <v>809.0759372</v>
      </c>
      <c r="O81" s="320">
        <f>+VLOOKUP($E81,Hybrid!$1:$1048576,O$2,FALSE)</f>
        <v>825.87108920000003</v>
      </c>
      <c r="P81" s="320">
        <f>+VLOOKUP($E81,Hybrid!$1:$1048576,P$2,FALSE)</f>
        <v>841.94136619999995</v>
      </c>
      <c r="Q81" s="320">
        <f>+VLOOKUP($E81,Hybrid!$1:$1048576,Q$2,FALSE)</f>
        <v>857.50588200000004</v>
      </c>
      <c r="R81" s="320">
        <f>+VLOOKUP($E81,Hybrid!$1:$1048576,R$2,FALSE)</f>
        <v>872.70667600000002</v>
      </c>
      <c r="S81" s="320">
        <f>+VLOOKUP($E81,Hybrid!$1:$1048576,S$2,FALSE)</f>
        <v>887.63833199999999</v>
      </c>
      <c r="T81" s="320">
        <f>+VLOOKUP($E81,Hybrid!$1:$1048576,T$2,FALSE)</f>
        <v>902.36620100000005</v>
      </c>
      <c r="U81" s="320">
        <f>+VLOOKUP($E81,Hybrid!$1:$1048576,U$2,FALSE)</f>
        <v>916.93735379999998</v>
      </c>
      <c r="V81" s="320">
        <f>+VLOOKUP($E81,Hybrid!$1:$1048576,V$2,FALSE)</f>
        <v>931.38720209999997</v>
      </c>
      <c r="W81" s="320">
        <f>+VLOOKUP($E81,Hybrid!$1:$1048576,W$2,FALSE)</f>
        <v>945.74351190000004</v>
      </c>
      <c r="X81" s="320">
        <f>+VLOOKUP($E81,Hybrid!$1:$1048576,X$2,FALSE)</f>
        <v>960.02888189999999</v>
      </c>
      <c r="Y81" s="320">
        <f>+VLOOKUP($E81,Hybrid!$1:$1048576,Y$2,FALSE)</f>
        <v>974.26233200000001</v>
      </c>
      <c r="Z81" s="320">
        <f>+VLOOKUP($E81,Hybrid!$1:$1048576,Z$2,FALSE)</f>
        <v>988.46036749999996</v>
      </c>
      <c r="AA81" s="320">
        <f>+VLOOKUP($E81,Hybrid!$1:$1048576,AA$2,FALSE)</f>
        <v>1002.6377210000001</v>
      </c>
      <c r="AB81" s="320">
        <f>+VLOOKUP($E81,Hybrid!$1:$1048576,AB$2,FALSE)</f>
        <v>1016.8078829999999</v>
      </c>
      <c r="AC81" s="320">
        <f>+VLOOKUP($E81,Hybrid!$1:$1048576,AC$2,FALSE)</f>
        <v>1030.983483</v>
      </c>
      <c r="AD81" s="320">
        <f>+VLOOKUP($E81,Hybrid!$1:$1048576,AD$2,FALSE)</f>
        <v>1045.1765539999999</v>
      </c>
      <c r="AE81" s="320">
        <f>+VLOOKUP($E81,Hybrid!$1:$1048576,AE$2,FALSE)</f>
        <v>1059.398715</v>
      </c>
      <c r="AF81" s="320">
        <f>+VLOOKUP($E81,Hybrid!$1:$1048576,AF$2,FALSE)</f>
        <v>1073.661276</v>
      </c>
      <c r="AG81" s="320">
        <f>+VLOOKUP($E81,Hybrid!$1:$1048576,AG$2,FALSE)</f>
        <v>1087.975293</v>
      </c>
      <c r="AH81" s="320">
        <f>+VLOOKUP($E81,Hybrid!$1:$1048576,AH$2,FALSE)</f>
        <v>1102.351584</v>
      </c>
      <c r="AI81" s="320">
        <f>+VLOOKUP($E81,Hybrid!$1:$1048576,AI$2,FALSE)</f>
        <v>1116.8007110000001</v>
      </c>
      <c r="AJ81" s="320">
        <f>+VLOOKUP($E81,Hybrid!$1:$1048576,AJ$2,FALSE)</f>
        <v>1131.332952</v>
      </c>
      <c r="AK81" s="320">
        <f>+VLOOKUP($E81,Hybrid!$1:$1048576,AK$2,FALSE)</f>
        <v>1145.9582559999999</v>
      </c>
      <c r="AL81" s="320">
        <f>+VLOOKUP($E81,Hybrid!$1:$1048576,AL$2,FALSE)</f>
        <v>1160.6862000000001</v>
      </c>
      <c r="AM81" s="320">
        <f>+VLOOKUP($E81,Hybrid!$1:$1048576,AM$2,FALSE)</f>
        <v>1175.5259450000001</v>
      </c>
      <c r="AN81" s="320">
        <f>+VLOOKUP($E81,Hybrid!$1:$1048576,AN$2,FALSE)</f>
        <v>1190.4862009999999</v>
      </c>
      <c r="AO81" s="320">
        <f>+VLOOKUP($E81,Hybrid!$1:$1048576,AO$2,FALSE)</f>
        <v>1205.575198</v>
      </c>
      <c r="AP81" s="73"/>
      <c r="AQ81" s="73"/>
    </row>
    <row r="82" spans="1:43" ht="15" customHeight="1" x14ac:dyDescent="0.25">
      <c r="A82" s="384"/>
      <c r="B82" s="383"/>
      <c r="C82" s="164"/>
      <c r="D82" s="120" t="s">
        <v>520</v>
      </c>
      <c r="E82" s="46" t="s">
        <v>410</v>
      </c>
      <c r="F82" s="320">
        <f>+VLOOKUP($E82,Hybrid!$1:$1048576,F$2,FALSE)</f>
        <v>507.5668948</v>
      </c>
      <c r="G82" s="320">
        <f>+VLOOKUP($E82,Hybrid!$1:$1048576,G$2,FALSE)</f>
        <v>575.04322830000001</v>
      </c>
      <c r="H82" s="320">
        <f>+VLOOKUP($E82,Hybrid!$1:$1048576,H$2,FALSE)</f>
        <v>624.60040319999996</v>
      </c>
      <c r="I82" s="320">
        <f>+VLOOKUP($E82,Hybrid!$1:$1048576,I$2,FALSE)</f>
        <v>661.60013719999995</v>
      </c>
      <c r="J82" s="320">
        <f>+VLOOKUP($E82,Hybrid!$1:$1048576,J$2,FALSE)</f>
        <v>690.0553453</v>
      </c>
      <c r="K82" s="320">
        <f>+VLOOKUP($E82,Hybrid!$1:$1048576,K$2,FALSE)</f>
        <v>712.81732480000005</v>
      </c>
      <c r="L82" s="320">
        <f>+VLOOKUP($E82,Hybrid!$1:$1048576,L$2,FALSE)</f>
        <v>731.82470220000005</v>
      </c>
      <c r="M82" s="320">
        <f>+VLOOKUP($E82,Hybrid!$1:$1048576,M$2,FALSE)</f>
        <v>748.35290199999997</v>
      </c>
      <c r="N82" s="320">
        <f>+VLOOKUP($E82,Hybrid!$1:$1048576,N$2,FALSE)</f>
        <v>763.22203139999999</v>
      </c>
      <c r="O82" s="320">
        <f>+VLOOKUP($E82,Hybrid!$1:$1048576,O$2,FALSE)</f>
        <v>776.95215510000003</v>
      </c>
      <c r="P82" s="320">
        <f>+VLOOKUP($E82,Hybrid!$1:$1048576,P$2,FALSE)</f>
        <v>789.87145199999998</v>
      </c>
      <c r="Q82" s="320">
        <f>+VLOOKUP($E82,Hybrid!$1:$1048576,Q$2,FALSE)</f>
        <v>802.18799460000002</v>
      </c>
      <c r="R82" s="320">
        <f>+VLOOKUP($E82,Hybrid!$1:$1048576,R$2,FALSE)</f>
        <v>814.03571250000005</v>
      </c>
      <c r="S82" s="320">
        <f>+VLOOKUP($E82,Hybrid!$1:$1048576,S$2,FALSE)</f>
        <v>825.50300719999996</v>
      </c>
      <c r="T82" s="320">
        <f>+VLOOKUP($E82,Hybrid!$1:$1048576,T$2,FALSE)</f>
        <v>836.65025249999997</v>
      </c>
      <c r="U82" s="320">
        <f>+VLOOKUP($E82,Hybrid!$1:$1048576,U$2,FALSE)</f>
        <v>847.52026899999998</v>
      </c>
      <c r="V82" s="320">
        <f>+VLOOKUP($E82,Hybrid!$1:$1048576,V$2,FALSE)</f>
        <v>858.14462700000001</v>
      </c>
      <c r="W82" s="320">
        <f>+VLOOKUP($E82,Hybrid!$1:$1048576,W$2,FALSE)</f>
        <v>868.54745739999998</v>
      </c>
      <c r="X82" s="320">
        <f>+VLOOKUP($E82,Hybrid!$1:$1048576,X$2,FALSE)</f>
        <v>878.74780350000003</v>
      </c>
      <c r="Y82" s="320">
        <f>+VLOOKUP($E82,Hybrid!$1:$1048576,Y$2,FALSE)</f>
        <v>888.76112880000005</v>
      </c>
      <c r="Z82" s="320">
        <f>+VLOOKUP($E82,Hybrid!$1:$1048576,Z$2,FALSE)</f>
        <v>898.60032920000003</v>
      </c>
      <c r="AA82" s="320">
        <f>+VLOOKUP($E82,Hybrid!$1:$1048576,AA$2,FALSE)</f>
        <v>908.27643880000005</v>
      </c>
      <c r="AB82" s="320">
        <f>+VLOOKUP($E82,Hybrid!$1:$1048576,AB$2,FALSE)</f>
        <v>917.79913380000005</v>
      </c>
      <c r="AC82" s="320">
        <f>+VLOOKUP($E82,Hybrid!$1:$1048576,AC$2,FALSE)</f>
        <v>927.17709160000004</v>
      </c>
      <c r="AD82" s="320">
        <f>+VLOOKUP($E82,Hybrid!$1:$1048576,AD$2,FALSE)</f>
        <v>936.41824199999996</v>
      </c>
      <c r="AE82" s="320">
        <f>+VLOOKUP($E82,Hybrid!$1:$1048576,AE$2,FALSE)</f>
        <v>945.52993240000001</v>
      </c>
      <c r="AF82" s="320">
        <f>+VLOOKUP($E82,Hybrid!$1:$1048576,AF$2,FALSE)</f>
        <v>954.51902640000003</v>
      </c>
      <c r="AG82" s="320">
        <f>+VLOOKUP($E82,Hybrid!$1:$1048576,AG$2,FALSE)</f>
        <v>963.39195159999997</v>
      </c>
      <c r="AH82" s="320">
        <f>+VLOOKUP($E82,Hybrid!$1:$1048576,AH$2,FALSE)</f>
        <v>972.15470949999997</v>
      </c>
      <c r="AI82" s="320">
        <f>+VLOOKUP($E82,Hybrid!$1:$1048576,AI$2,FALSE)</f>
        <v>980.81285990000003</v>
      </c>
      <c r="AJ82" s="320">
        <f>+VLOOKUP($E82,Hybrid!$1:$1048576,AJ$2,FALSE)</f>
        <v>989.37149009999996</v>
      </c>
      <c r="AK82" s="320">
        <f>+VLOOKUP($E82,Hybrid!$1:$1048576,AK$2,FALSE)</f>
        <v>997.83517610000001</v>
      </c>
      <c r="AL82" s="320">
        <f>+VLOOKUP($E82,Hybrid!$1:$1048576,AL$2,FALSE)</f>
        <v>1006.207943</v>
      </c>
      <c r="AM82" s="320">
        <f>+VLOOKUP($E82,Hybrid!$1:$1048576,AM$2,FALSE)</f>
        <v>1014.493229</v>
      </c>
      <c r="AN82" s="320">
        <f>+VLOOKUP($E82,Hybrid!$1:$1048576,AN$2,FALSE)</f>
        <v>1022.693853</v>
      </c>
      <c r="AO82" s="320">
        <f>+VLOOKUP($E82,Hybrid!$1:$1048576,AO$2,FALSE)</f>
        <v>1030.811993</v>
      </c>
      <c r="AP82" s="73"/>
      <c r="AQ82" s="73"/>
    </row>
    <row r="83" spans="1:43" ht="15" customHeight="1" x14ac:dyDescent="0.25">
      <c r="A83" s="384"/>
      <c r="B83" s="383"/>
      <c r="C83" s="164"/>
      <c r="D83" s="120" t="s">
        <v>521</v>
      </c>
      <c r="E83" s="46" t="s">
        <v>411</v>
      </c>
      <c r="F83" s="320">
        <f>+VLOOKUP($E83,Hybrid!$1:$1048576,F$2,FALSE)</f>
        <v>351.33496400000001</v>
      </c>
      <c r="G83" s="320">
        <f>+VLOOKUP($E83,Hybrid!$1:$1048576,G$2,FALSE)</f>
        <v>397.57666180000001</v>
      </c>
      <c r="H83" s="320">
        <f>+VLOOKUP($E83,Hybrid!$1:$1048576,H$2,FALSE)</f>
        <v>431.07234629999999</v>
      </c>
      <c r="I83" s="320">
        <f>+VLOOKUP($E83,Hybrid!$1:$1048576,I$2,FALSE)</f>
        <v>455.64815199999998</v>
      </c>
      <c r="J83" s="320">
        <f>+VLOOKUP($E83,Hybrid!$1:$1048576,J$2,FALSE)</f>
        <v>474.15910630000002</v>
      </c>
      <c r="K83" s="320">
        <f>+VLOOKUP($E83,Hybrid!$1:$1048576,K$2,FALSE)</f>
        <v>488.62358130000001</v>
      </c>
      <c r="L83" s="320">
        <f>+VLOOKUP($E83,Hybrid!$1:$1048576,L$2,FALSE)</f>
        <v>500.40662400000002</v>
      </c>
      <c r="M83" s="320">
        <f>+VLOOKUP($E83,Hybrid!$1:$1048576,M$2,FALSE)</f>
        <v>510.40170810000001</v>
      </c>
      <c r="N83" s="320">
        <f>+VLOOKUP($E83,Hybrid!$1:$1048576,N$2,FALSE)</f>
        <v>519.18056669999999</v>
      </c>
      <c r="O83" s="320">
        <f>+VLOOKUP($E83,Hybrid!$1:$1048576,O$2,FALSE)</f>
        <v>527.10412640000004</v>
      </c>
      <c r="P83" s="320">
        <f>+VLOOKUP($E83,Hybrid!$1:$1048576,P$2,FALSE)</f>
        <v>534.39920930000005</v>
      </c>
      <c r="Q83" s="320">
        <f>+VLOOKUP($E83,Hybrid!$1:$1048576,Q$2,FALSE)</f>
        <v>541.20910419999996</v>
      </c>
      <c r="R83" s="320">
        <f>+VLOOKUP($E83,Hybrid!$1:$1048576,R$2,FALSE)</f>
        <v>547.62575330000004</v>
      </c>
      <c r="S83" s="320">
        <f>+VLOOKUP($E83,Hybrid!$1:$1048576,S$2,FALSE)</f>
        <v>553.70967680000001</v>
      </c>
      <c r="T83" s="320">
        <f>+VLOOKUP($E83,Hybrid!$1:$1048576,T$2,FALSE)</f>
        <v>559.50208840000005</v>
      </c>
      <c r="U83" s="320">
        <f>+VLOOKUP($E83,Hybrid!$1:$1048576,U$2,FALSE)</f>
        <v>565.03211510000006</v>
      </c>
      <c r="V83" s="320">
        <f>+VLOOKUP($E83,Hybrid!$1:$1048576,V$2,FALSE)</f>
        <v>570.32112389999998</v>
      </c>
      <c r="W83" s="320">
        <f>+VLOOKUP($E83,Hybrid!$1:$1048576,W$2,FALSE)</f>
        <v>575.38533029999996</v>
      </c>
      <c r="X83" s="320">
        <f>+VLOOKUP($E83,Hybrid!$1:$1048576,X$2,FALSE)</f>
        <v>580.23740889999999</v>
      </c>
      <c r="Y83" s="320">
        <f>+VLOOKUP($E83,Hybrid!$1:$1048576,Y$2,FALSE)</f>
        <v>584.88752699999998</v>
      </c>
      <c r="Z83" s="320">
        <f>+VLOOKUP($E83,Hybrid!$1:$1048576,Z$2,FALSE)</f>
        <v>589.34403980000002</v>
      </c>
      <c r="AA83" s="320">
        <f>+VLOOKUP($E83,Hybrid!$1:$1048576,AA$2,FALSE)</f>
        <v>593.6139776</v>
      </c>
      <c r="AB83" s="320">
        <f>+VLOOKUP($E83,Hybrid!$1:$1048576,AB$2,FALSE)</f>
        <v>597.70339309999997</v>
      </c>
      <c r="AC83" s="320">
        <f>+VLOOKUP($E83,Hybrid!$1:$1048576,AC$2,FALSE)</f>
        <v>601.61760939999999</v>
      </c>
      <c r="AD83" s="320">
        <f>+VLOOKUP($E83,Hybrid!$1:$1048576,AD$2,FALSE)</f>
        <v>605.36139349999996</v>
      </c>
      <c r="AE83" s="320">
        <f>+VLOOKUP($E83,Hybrid!$1:$1048576,AE$2,FALSE)</f>
        <v>608.93907060000004</v>
      </c>
      <c r="AF83" s="320">
        <f>+VLOOKUP($E83,Hybrid!$1:$1048576,AF$2,FALSE)</f>
        <v>612.35459289999994</v>
      </c>
      <c r="AG83" s="320">
        <f>+VLOOKUP($E83,Hybrid!$1:$1048576,AG$2,FALSE)</f>
        <v>615.61157419999995</v>
      </c>
      <c r="AH83" s="320">
        <f>+VLOOKUP($E83,Hybrid!$1:$1048576,AH$2,FALSE)</f>
        <v>618.71329960000003</v>
      </c>
      <c r="AI83" s="320">
        <f>+VLOOKUP($E83,Hybrid!$1:$1048576,AI$2,FALSE)</f>
        <v>621.66271830000005</v>
      </c>
      <c r="AJ83" s="320">
        <f>+VLOOKUP($E83,Hybrid!$1:$1048576,AJ$2,FALSE)</f>
        <v>624.46242789999997</v>
      </c>
      <c r="AK83" s="320">
        <f>+VLOOKUP($E83,Hybrid!$1:$1048576,AK$2,FALSE)</f>
        <v>627.11465399999997</v>
      </c>
      <c r="AL83" s="320">
        <f>+VLOOKUP($E83,Hybrid!$1:$1048576,AL$2,FALSE)</f>
        <v>629.62122980000004</v>
      </c>
      <c r="AM83" s="320">
        <f>+VLOOKUP($E83,Hybrid!$1:$1048576,AM$2,FALSE)</f>
        <v>631.98357950000002</v>
      </c>
      <c r="AN83" s="320">
        <f>+VLOOKUP($E83,Hybrid!$1:$1048576,AN$2,FALSE)</f>
        <v>634.20270600000003</v>
      </c>
      <c r="AO83" s="320">
        <f>+VLOOKUP($E83,Hybrid!$1:$1048576,AO$2,FALSE)</f>
        <v>636.27918380000006</v>
      </c>
      <c r="AP83" s="73"/>
      <c r="AQ83" s="73"/>
    </row>
    <row r="84" spans="1:43" ht="15" customHeight="1" x14ac:dyDescent="0.25">
      <c r="A84" s="384"/>
      <c r="B84" s="383"/>
      <c r="C84" s="164"/>
      <c r="D84" s="120" t="s">
        <v>522</v>
      </c>
      <c r="E84" s="46" t="s">
        <v>412</v>
      </c>
      <c r="F84" s="320">
        <f>+VLOOKUP($E84,Hybrid!$1:$1048576,F$2,FALSE)</f>
        <v>194.7292726</v>
      </c>
      <c r="G84" s="320">
        <f>+VLOOKUP($E84,Hybrid!$1:$1048576,G$2,FALSE)</f>
        <v>219.16847580000001</v>
      </c>
      <c r="H84" s="320">
        <f>+VLOOKUP($E84,Hybrid!$1:$1048576,H$2,FALSE)</f>
        <v>235.6835853</v>
      </c>
      <c r="I84" s="320">
        <f>+VLOOKUP($E84,Hybrid!$1:$1048576,I$2,FALSE)</f>
        <v>246.70455079999999</v>
      </c>
      <c r="J84" s="320">
        <f>+VLOOKUP($E84,Hybrid!$1:$1048576,J$2,FALSE)</f>
        <v>254.02359989999999</v>
      </c>
      <c r="K84" s="320">
        <f>+VLOOKUP($E84,Hybrid!$1:$1048576,K$2,FALSE)</f>
        <v>258.88249669999999</v>
      </c>
      <c r="L84" s="320">
        <f>+VLOOKUP($E84,Hybrid!$1:$1048576,L$2,FALSE)</f>
        <v>262.1033602</v>
      </c>
      <c r="M84" s="320">
        <f>+VLOOKUP($E84,Hybrid!$1:$1048576,M$2,FALSE)</f>
        <v>264.21364740000001</v>
      </c>
      <c r="N84" s="320">
        <f>+VLOOKUP($E84,Hybrid!$1:$1048576,N$2,FALSE)</f>
        <v>265.54511989999997</v>
      </c>
      <c r="O84" s="320">
        <f>+VLOOKUP($E84,Hybrid!$1:$1048576,O$2,FALSE)</f>
        <v>266.30457689999997</v>
      </c>
      <c r="P84" s="320">
        <f>+VLOOKUP($E84,Hybrid!$1:$1048576,P$2,FALSE)</f>
        <v>266.62124929999999</v>
      </c>
      <c r="Q84" s="320">
        <f>+VLOOKUP($E84,Hybrid!$1:$1048576,Q$2,FALSE)</f>
        <v>266.57715610000002</v>
      </c>
      <c r="R84" s="320">
        <f>+VLOOKUP($E84,Hybrid!$1:$1048576,R$2,FALSE)</f>
        <v>266.22589820000002</v>
      </c>
      <c r="S84" s="320">
        <f>+VLOOKUP($E84,Hybrid!$1:$1048576,S$2,FALSE)</f>
        <v>265.60399560000002</v>
      </c>
      <c r="T84" s="320">
        <f>+VLOOKUP($E84,Hybrid!$1:$1048576,T$2,FALSE)</f>
        <v>264.73760390000001</v>
      </c>
      <c r="U84" s="320">
        <f>+VLOOKUP($E84,Hybrid!$1:$1048576,U$2,FALSE)</f>
        <v>263.64644179999999</v>
      </c>
      <c r="V84" s="320">
        <f>+VLOOKUP($E84,Hybrid!$1:$1048576,V$2,FALSE)</f>
        <v>262.34610190000001</v>
      </c>
      <c r="W84" s="320">
        <f>+VLOOKUP($E84,Hybrid!$1:$1048576,W$2,FALSE)</f>
        <v>260.84943399999997</v>
      </c>
      <c r="X84" s="320">
        <f>+VLOOKUP($E84,Hybrid!$1:$1048576,X$2,FALSE)</f>
        <v>259.16739999999999</v>
      </c>
      <c r="Y84" s="320">
        <f>+VLOOKUP($E84,Hybrid!$1:$1048576,Y$2,FALSE)</f>
        <v>257.3096271</v>
      </c>
      <c r="Z84" s="320">
        <f>+VLOOKUP($E84,Hybrid!$1:$1048576,Z$2,FALSE)</f>
        <v>255.28478509999999</v>
      </c>
      <c r="AA84" s="320">
        <f>+VLOOKUP($E84,Hybrid!$1:$1048576,AA$2,FALSE)</f>
        <v>253.1008515</v>
      </c>
      <c r="AB84" s="320">
        <f>+VLOOKUP($E84,Hybrid!$1:$1048576,AB$2,FALSE)</f>
        <v>250.76530170000001</v>
      </c>
      <c r="AC84" s="320">
        <f>+VLOOKUP($E84,Hybrid!$1:$1048576,AC$2,FALSE)</f>
        <v>248.28524379999999</v>
      </c>
      <c r="AD84" s="320">
        <f>+VLOOKUP($E84,Hybrid!$1:$1048576,AD$2,FALSE)</f>
        <v>245.6675114</v>
      </c>
      <c r="AE84" s="320">
        <f>+VLOOKUP($E84,Hybrid!$1:$1048576,AE$2,FALSE)</f>
        <v>242.91872570000001</v>
      </c>
      <c r="AF84" s="320">
        <f>+VLOOKUP($E84,Hybrid!$1:$1048576,AF$2,FALSE)</f>
        <v>240.0453321</v>
      </c>
      <c r="AG84" s="320">
        <f>+VLOOKUP($E84,Hybrid!$1:$1048576,AG$2,FALSE)</f>
        <v>237.0536214</v>
      </c>
      <c r="AH84" s="320">
        <f>+VLOOKUP($E84,Hybrid!$1:$1048576,AH$2,FALSE)</f>
        <v>233.94973820000001</v>
      </c>
      <c r="AI84" s="320">
        <f>+VLOOKUP($E84,Hybrid!$1:$1048576,AI$2,FALSE)</f>
        <v>230.73968339999999</v>
      </c>
      <c r="AJ84" s="320">
        <f>+VLOOKUP($E84,Hybrid!$1:$1048576,AJ$2,FALSE)</f>
        <v>227.4293132</v>
      </c>
      <c r="AK84" s="320">
        <f>+VLOOKUP($E84,Hybrid!$1:$1048576,AK$2,FALSE)</f>
        <v>224.02433819999999</v>
      </c>
      <c r="AL84" s="320">
        <f>+VLOOKUP($E84,Hybrid!$1:$1048576,AL$2,FALSE)</f>
        <v>220.53032260000001</v>
      </c>
      <c r="AM84" s="320">
        <f>+VLOOKUP($E84,Hybrid!$1:$1048576,AM$2,FALSE)</f>
        <v>216.9526874</v>
      </c>
      <c r="AN84" s="320">
        <f>+VLOOKUP($E84,Hybrid!$1:$1048576,AN$2,FALSE)</f>
        <v>213.29671450000001</v>
      </c>
      <c r="AO84" s="320">
        <f>+VLOOKUP($E84,Hybrid!$1:$1048576,AO$2,FALSE)</f>
        <v>209.56755469999999</v>
      </c>
      <c r="AP84" s="73"/>
      <c r="AQ84" s="73"/>
    </row>
    <row r="85" spans="1:43" ht="15" customHeight="1" x14ac:dyDescent="0.25">
      <c r="A85" s="384"/>
      <c r="B85" s="383"/>
      <c r="C85" s="164"/>
      <c r="D85" s="120" t="s">
        <v>523</v>
      </c>
      <c r="E85" s="46" t="s">
        <v>413</v>
      </c>
      <c r="F85" s="320">
        <f>+VLOOKUP($E85,Hybrid!$1:$1048576,F$2,FALSE)</f>
        <v>119.7902723</v>
      </c>
      <c r="G85" s="320">
        <f>+VLOOKUP($E85,Hybrid!$1:$1048576,G$2,FALSE)</f>
        <v>134.1675396</v>
      </c>
      <c r="H85" s="320">
        <f>+VLOOKUP($E85,Hybrid!$1:$1048576,H$2,FALSE)</f>
        <v>143.21188309999999</v>
      </c>
      <c r="I85" s="320">
        <f>+VLOOKUP($E85,Hybrid!$1:$1048576,I$2,FALSE)</f>
        <v>148.599919</v>
      </c>
      <c r="J85" s="320">
        <f>+VLOOKUP($E85,Hybrid!$1:$1048576,J$2,FALSE)</f>
        <v>151.55669750000001</v>
      </c>
      <c r="K85" s="320">
        <f>+VLOOKUP($E85,Hybrid!$1:$1048576,K$2,FALSE)</f>
        <v>152.91812100000001</v>
      </c>
      <c r="L85" s="320">
        <f>+VLOOKUP($E85,Hybrid!$1:$1048576,L$2,FALSE)</f>
        <v>153.2289107</v>
      </c>
      <c r="M85" s="320">
        <f>+VLOOKUP($E85,Hybrid!$1:$1048576,M$2,FALSE)</f>
        <v>152.83366319999999</v>
      </c>
      <c r="N85" s="320">
        <f>+VLOOKUP($E85,Hybrid!$1:$1048576,N$2,FALSE)</f>
        <v>151.94687450000001</v>
      </c>
      <c r="O85" s="320">
        <f>+VLOOKUP($E85,Hybrid!$1:$1048576,O$2,FALSE)</f>
        <v>150.7016697</v>
      </c>
      <c r="P85" s="320">
        <f>+VLOOKUP($E85,Hybrid!$1:$1048576,P$2,FALSE)</f>
        <v>149.1816594</v>
      </c>
      <c r="Q85" s="320">
        <f>+VLOOKUP($E85,Hybrid!$1:$1048576,Q$2,FALSE)</f>
        <v>147.4408675</v>
      </c>
      <c r="R85" s="320">
        <f>+VLOOKUP($E85,Hybrid!$1:$1048576,R$2,FALSE)</f>
        <v>145.51579079999999</v>
      </c>
      <c r="S85" s="320">
        <f>+VLOOKUP($E85,Hybrid!$1:$1048576,S$2,FALSE)</f>
        <v>143.43251309999999</v>
      </c>
      <c r="T85" s="320">
        <f>+VLOOKUP($E85,Hybrid!$1:$1048576,T$2,FALSE)</f>
        <v>141.21082860000001</v>
      </c>
      <c r="U85" s="320">
        <f>+VLOOKUP($E85,Hybrid!$1:$1048576,U$2,FALSE)</f>
        <v>138.86661000000001</v>
      </c>
      <c r="V85" s="320">
        <f>+VLOOKUP($E85,Hybrid!$1:$1048576,V$2,FALSE)</f>
        <v>136.41318050000001</v>
      </c>
      <c r="W85" s="320">
        <f>+VLOOKUP($E85,Hybrid!$1:$1048576,W$2,FALSE)</f>
        <v>133.86212739999999</v>
      </c>
      <c r="X85" s="320">
        <f>+VLOOKUP($E85,Hybrid!$1:$1048576,X$2,FALSE)</f>
        <v>131.2238026</v>
      </c>
      <c r="Y85" s="320">
        <f>+VLOOKUP($E85,Hybrid!$1:$1048576,Y$2,FALSE)</f>
        <v>128.5076483</v>
      </c>
      <c r="Z85" s="320">
        <f>+VLOOKUP($E85,Hybrid!$1:$1048576,Z$2,FALSE)</f>
        <v>125.72241750000001</v>
      </c>
      <c r="AA85" s="320">
        <f>+VLOOKUP($E85,Hybrid!$1:$1048576,AA$2,FALSE)</f>
        <v>122.87632859999999</v>
      </c>
      <c r="AB85" s="320">
        <f>+VLOOKUP($E85,Hybrid!$1:$1048576,AB$2,FALSE)</f>
        <v>119.9771744</v>
      </c>
      <c r="AC85" s="320">
        <f>+VLOOKUP($E85,Hybrid!$1:$1048576,AC$2,FALSE)</f>
        <v>117.032397</v>
      </c>
      <c r="AD85" s="320">
        <f>+VLOOKUP($E85,Hybrid!$1:$1048576,AD$2,FALSE)</f>
        <v>114.0491384</v>
      </c>
      <c r="AE85" s="320">
        <f>+VLOOKUP($E85,Hybrid!$1:$1048576,AE$2,FALSE)</f>
        <v>111.0342708</v>
      </c>
      <c r="AF85" s="320">
        <f>+VLOOKUP($E85,Hybrid!$1:$1048576,AF$2,FALSE)</f>
        <v>107.994415</v>
      </c>
      <c r="AG85" s="320">
        <f>+VLOOKUP($E85,Hybrid!$1:$1048576,AG$2,FALSE)</f>
        <v>104.9359484</v>
      </c>
      <c r="AH85" s="320">
        <f>+VLOOKUP($E85,Hybrid!$1:$1048576,AH$2,FALSE)</f>
        <v>101.8650075</v>
      </c>
      <c r="AI85" s="320">
        <f>+VLOOKUP($E85,Hybrid!$1:$1048576,AI$2,FALSE)</f>
        <v>98.787487870000007</v>
      </c>
      <c r="AJ85" s="320">
        <f>+VLOOKUP($E85,Hybrid!$1:$1048576,AJ$2,FALSE)</f>
        <v>95.709042499999995</v>
      </c>
      <c r="AK85" s="320">
        <f>+VLOOKUP($E85,Hybrid!$1:$1048576,AK$2,FALSE)</f>
        <v>92.635080930000001</v>
      </c>
      <c r="AL85" s="320">
        <f>+VLOOKUP($E85,Hybrid!$1:$1048576,AL$2,FALSE)</f>
        <v>89.570769299999995</v>
      </c>
      <c r="AM85" s="320">
        <f>+VLOOKUP($E85,Hybrid!$1:$1048576,AM$2,FALSE)</f>
        <v>86.521031890000003</v>
      </c>
      <c r="AN85" s="320">
        <f>+VLOOKUP($E85,Hybrid!$1:$1048576,AN$2,FALSE)</f>
        <v>83.490554119999999</v>
      </c>
      <c r="AO85" s="320">
        <f>+VLOOKUP($E85,Hybrid!$1:$1048576,AO$2,FALSE)</f>
        <v>80.483786749999993</v>
      </c>
      <c r="AP85" s="73"/>
      <c r="AQ85" s="73"/>
    </row>
    <row r="86" spans="1:43" ht="15" customHeight="1" x14ac:dyDescent="0.25">
      <c r="A86" s="384"/>
      <c r="B86" s="383"/>
      <c r="C86" s="164"/>
      <c r="D86" s="120" t="s">
        <v>524</v>
      </c>
      <c r="E86" s="46" t="s">
        <v>414</v>
      </c>
      <c r="F86" s="320">
        <f>+VLOOKUP($E86,Hybrid!$1:$1048576,F$2,FALSE)</f>
        <v>57.932893</v>
      </c>
      <c r="G86" s="320">
        <f>+VLOOKUP($E86,Hybrid!$1:$1048576,G$2,FALSE)</f>
        <v>63.771507409999998</v>
      </c>
      <c r="H86" s="320">
        <f>+VLOOKUP($E86,Hybrid!$1:$1048576,H$2,FALSE)</f>
        <v>66.307034189999996</v>
      </c>
      <c r="I86" s="320">
        <f>+VLOOKUP($E86,Hybrid!$1:$1048576,I$2,FALSE)</f>
        <v>66.694489480000001</v>
      </c>
      <c r="J86" s="320">
        <f>+VLOOKUP($E86,Hybrid!$1:$1048576,J$2,FALSE)</f>
        <v>65.753401089999997</v>
      </c>
      <c r="K86" s="320">
        <f>+VLOOKUP($E86,Hybrid!$1:$1048576,K$2,FALSE)</f>
        <v>64.018948850000001</v>
      </c>
      <c r="L86" s="320">
        <f>+VLOOKUP($E86,Hybrid!$1:$1048576,L$2,FALSE)</f>
        <v>61.82402055</v>
      </c>
      <c r="M86" s="320">
        <f>+VLOOKUP($E86,Hybrid!$1:$1048576,M$2,FALSE)</f>
        <v>59.370208980000001</v>
      </c>
      <c r="N86" s="320">
        <f>+VLOOKUP($E86,Hybrid!$1:$1048576,N$2,FALSE)</f>
        <v>56.778536289999998</v>
      </c>
      <c r="O86" s="320">
        <f>+VLOOKUP($E86,Hybrid!$1:$1048576,O$2,FALSE)</f>
        <v>54.122335409999998</v>
      </c>
      <c r="P86" s="320">
        <f>+VLOOKUP($E86,Hybrid!$1:$1048576,P$2,FALSE)</f>
        <v>51.447307709999997</v>
      </c>
      <c r="Q86" s="320">
        <f>+VLOOKUP($E86,Hybrid!$1:$1048576,Q$2,FALSE)</f>
        <v>48.783242450000003</v>
      </c>
      <c r="R86" s="320">
        <f>+VLOOKUP($E86,Hybrid!$1:$1048576,R$2,FALSE)</f>
        <v>46.150647849999999</v>
      </c>
      <c r="S86" s="320">
        <f>+VLOOKUP($E86,Hybrid!$1:$1048576,S$2,FALSE)</f>
        <v>43.564421629999998</v>
      </c>
      <c r="T86" s="320">
        <f>+VLOOKUP($E86,Hybrid!$1:$1048576,T$2,FALSE)</f>
        <v>41.035861779999998</v>
      </c>
      <c r="U86" s="320">
        <f>+VLOOKUP($E86,Hybrid!$1:$1048576,U$2,FALSE)</f>
        <v>38.573779870000003</v>
      </c>
      <c r="V86" s="320">
        <f>+VLOOKUP($E86,Hybrid!$1:$1048576,V$2,FALSE)</f>
        <v>36.185138690000002</v>
      </c>
      <c r="W86" s="320">
        <f>+VLOOKUP($E86,Hybrid!$1:$1048576,W$2,FALSE)</f>
        <v>33.875441850000001</v>
      </c>
      <c r="X86" s="320">
        <f>+VLOOKUP($E86,Hybrid!$1:$1048576,X$2,FALSE)</f>
        <v>31.64899093</v>
      </c>
      <c r="Y86" s="320">
        <f>+VLOOKUP($E86,Hybrid!$1:$1048576,Y$2,FALSE)</f>
        <v>29.509069069999999</v>
      </c>
      <c r="Z86" s="320">
        <f>+VLOOKUP($E86,Hybrid!$1:$1048576,Z$2,FALSE)</f>
        <v>27.4580801</v>
      </c>
      <c r="AA86" s="320">
        <f>+VLOOKUP($E86,Hybrid!$1:$1048576,AA$2,FALSE)</f>
        <v>25.497658340000001</v>
      </c>
      <c r="AB86" s="320">
        <f>+VLOOKUP($E86,Hybrid!$1:$1048576,AB$2,FALSE)</f>
        <v>23.62875738</v>
      </c>
      <c r="AC86" s="320">
        <f>+VLOOKUP($E86,Hybrid!$1:$1048576,AC$2,FALSE)</f>
        <v>21.85172386</v>
      </c>
      <c r="AD86" s="320">
        <f>+VLOOKUP($E86,Hybrid!$1:$1048576,AD$2,FALSE)</f>
        <v>20.16636008</v>
      </c>
      <c r="AE86" s="320">
        <f>+VLOOKUP($E86,Hybrid!$1:$1048576,AE$2,FALSE)</f>
        <v>18.571978900000001</v>
      </c>
      <c r="AF86" s="320">
        <f>+VLOOKUP($E86,Hybrid!$1:$1048576,AF$2,FALSE)</f>
        <v>17.067453319999998</v>
      </c>
      <c r="AG86" s="320">
        <f>+VLOOKUP($E86,Hybrid!$1:$1048576,AG$2,FALSE)</f>
        <v>15.65126236</v>
      </c>
      <c r="AH86" s="320">
        <f>+VLOOKUP($E86,Hybrid!$1:$1048576,AH$2,FALSE)</f>
        <v>14.321534590000001</v>
      </c>
      <c r="AI86" s="320">
        <f>+VLOOKUP($E86,Hybrid!$1:$1048576,AI$2,FALSE)</f>
        <v>13.07608991</v>
      </c>
      <c r="AJ86" s="320">
        <f>+VLOOKUP($E86,Hybrid!$1:$1048576,AJ$2,FALSE)</f>
        <v>11.912479940000001</v>
      </c>
      <c r="AK86" s="320">
        <f>+VLOOKUP($E86,Hybrid!$1:$1048576,AK$2,FALSE)</f>
        <v>10.82802699</v>
      </c>
      <c r="AL86" s="320">
        <f>+VLOOKUP($E86,Hybrid!$1:$1048576,AL$2,FALSE)</f>
        <v>9.8198616390000009</v>
      </c>
      <c r="AM86" s="320">
        <f>+VLOOKUP($E86,Hybrid!$1:$1048576,AM$2,FALSE)</f>
        <v>8.8849586869999992</v>
      </c>
      <c r="AN86" s="320">
        <f>+VLOOKUP($E86,Hybrid!$1:$1048576,AN$2,FALSE)</f>
        <v>8.0201712119999993</v>
      </c>
      <c r="AO86" s="320">
        <f>+VLOOKUP($E86,Hybrid!$1:$1048576,AO$2,FALSE)</f>
        <v>7.2222626459999999</v>
      </c>
      <c r="AP86" s="73"/>
      <c r="AQ86" s="73"/>
    </row>
    <row r="87" spans="1:43" ht="15" customHeight="1" x14ac:dyDescent="0.25">
      <c r="A87" s="384"/>
      <c r="B87" s="383"/>
      <c r="C87" s="164"/>
      <c r="D87" s="120" t="s">
        <v>525</v>
      </c>
      <c r="E87" s="46" t="s">
        <v>415</v>
      </c>
      <c r="F87" s="320">
        <f>+VLOOKUP($E87,Hybrid!$1:$1048576,F$2,FALSE)</f>
        <v>108.7643346</v>
      </c>
      <c r="G87" s="320">
        <f>+VLOOKUP($E87,Hybrid!$1:$1048576,G$2,FALSE)</f>
        <v>117.9248407</v>
      </c>
      <c r="H87" s="320">
        <f>+VLOOKUP($E87,Hybrid!$1:$1048576,H$2,FALSE)</f>
        <v>119.84184980000001</v>
      </c>
      <c r="I87" s="320">
        <f>+VLOOKUP($E87,Hybrid!$1:$1048576,I$2,FALSE)</f>
        <v>117.313436</v>
      </c>
      <c r="J87" s="320">
        <f>+VLOOKUP($E87,Hybrid!$1:$1048576,J$2,FALSE)</f>
        <v>112.2727798</v>
      </c>
      <c r="K87" s="320">
        <f>+VLOOKUP($E87,Hybrid!$1:$1048576,K$2,FALSE)</f>
        <v>105.9366924</v>
      </c>
      <c r="L87" s="320">
        <f>+VLOOKUP($E87,Hybrid!$1:$1048576,L$2,FALSE)</f>
        <v>99.029629439999994</v>
      </c>
      <c r="M87" s="320">
        <f>+VLOOKUP($E87,Hybrid!$1:$1048576,M$2,FALSE)</f>
        <v>91.968223469999998</v>
      </c>
      <c r="N87" s="320">
        <f>+VLOOKUP($E87,Hybrid!$1:$1048576,N$2,FALSE)</f>
        <v>84.987189270000002</v>
      </c>
      <c r="O87" s="320">
        <f>+VLOOKUP($E87,Hybrid!$1:$1048576,O$2,FALSE)</f>
        <v>78.217351899999997</v>
      </c>
      <c r="P87" s="320">
        <f>+VLOOKUP($E87,Hybrid!$1:$1048576,P$2,FALSE)</f>
        <v>71.731185400000001</v>
      </c>
      <c r="Q87" s="320">
        <f>+VLOOKUP($E87,Hybrid!$1:$1048576,Q$2,FALSE)</f>
        <v>65.568314740000005</v>
      </c>
      <c r="R87" s="320">
        <f>+VLOOKUP($E87,Hybrid!$1:$1048576,R$2,FALSE)</f>
        <v>59.74940891</v>
      </c>
      <c r="S87" s="320">
        <f>+VLOOKUP($E87,Hybrid!$1:$1048576,S$2,FALSE)</f>
        <v>54.283658080000002</v>
      </c>
      <c r="T87" s="320">
        <f>+VLOOKUP($E87,Hybrid!$1:$1048576,T$2,FALSE)</f>
        <v>49.17283733</v>
      </c>
      <c r="U87" s="320">
        <f>+VLOOKUP($E87,Hybrid!$1:$1048576,U$2,FALSE)</f>
        <v>44.413605799999999</v>
      </c>
      <c r="V87" s="320">
        <f>+VLOOKUP($E87,Hybrid!$1:$1048576,V$2,FALSE)</f>
        <v>39.998906210000001</v>
      </c>
      <c r="W87" s="320">
        <f>+VLOOKUP($E87,Hybrid!$1:$1048576,W$2,FALSE)</f>
        <v>35.91890059</v>
      </c>
      <c r="X87" s="320">
        <f>+VLOOKUP($E87,Hybrid!$1:$1048576,X$2,FALSE)</f>
        <v>32.161652500000002</v>
      </c>
      <c r="Y87" s="320">
        <f>+VLOOKUP($E87,Hybrid!$1:$1048576,Y$2,FALSE)</f>
        <v>28.713657130000001</v>
      </c>
      <c r="Z87" s="320">
        <f>+VLOOKUP($E87,Hybrid!$1:$1048576,Z$2,FALSE)</f>
        <v>25.560269380000001</v>
      </c>
      <c r="AA87" s="320">
        <f>+VLOOKUP($E87,Hybrid!$1:$1048576,AA$2,FALSE)</f>
        <v>22.68605595</v>
      </c>
      <c r="AB87" s="320">
        <f>+VLOOKUP($E87,Hybrid!$1:$1048576,AB$2,FALSE)</f>
        <v>20.075088130000001</v>
      </c>
      <c r="AC87" s="320">
        <f>+VLOOKUP($E87,Hybrid!$1:$1048576,AC$2,FALSE)</f>
        <v>17.711186730000001</v>
      </c>
      <c r="AD87" s="320">
        <f>+VLOOKUP($E87,Hybrid!$1:$1048576,AD$2,FALSE)</f>
        <v>15.578127950000001</v>
      </c>
      <c r="AE87" s="320">
        <f>+VLOOKUP($E87,Hybrid!$1:$1048576,AE$2,FALSE)</f>
        <v>13.65981689</v>
      </c>
      <c r="AF87" s="320">
        <f>+VLOOKUP($E87,Hybrid!$1:$1048576,AF$2,FALSE)</f>
        <v>11.9404339</v>
      </c>
      <c r="AG87" s="320">
        <f>+VLOOKUP($E87,Hybrid!$1:$1048576,AG$2,FALSE)</f>
        <v>10.404557369999999</v>
      </c>
      <c r="AH87" s="320">
        <f>+VLOOKUP($E87,Hybrid!$1:$1048576,AH$2,FALSE)</f>
        <v>9.0372658829999999</v>
      </c>
      <c r="AI87" s="320">
        <f>+VLOOKUP($E87,Hybrid!$1:$1048576,AI$2,FALSE)</f>
        <v>7.8242217280000004</v>
      </c>
      <c r="AJ87" s="320">
        <f>+VLOOKUP($E87,Hybrid!$1:$1048576,AJ$2,FALSE)</f>
        <v>6.7517373369999998</v>
      </c>
      <c r="AK87" s="320">
        <f>+VLOOKUP($E87,Hybrid!$1:$1048576,AK$2,FALSE)</f>
        <v>5.8068261330000004</v>
      </c>
      <c r="AL87" s="320">
        <f>+VLOOKUP($E87,Hybrid!$1:$1048576,AL$2,FALSE)</f>
        <v>4.9772389869999998</v>
      </c>
      <c r="AM87" s="320">
        <f>+VLOOKUP($E87,Hybrid!$1:$1048576,AM$2,FALSE)</f>
        <v>4.2514875679999999</v>
      </c>
      <c r="AN87" s="320">
        <f>+VLOOKUP($E87,Hybrid!$1:$1048576,AN$2,FALSE)</f>
        <v>3.6188558409999998</v>
      </c>
      <c r="AO87" s="320">
        <f>+VLOOKUP($E87,Hybrid!$1:$1048576,AO$2,FALSE)</f>
        <v>3.0694010230000002</v>
      </c>
      <c r="AP87" s="73"/>
      <c r="AQ87" s="73"/>
    </row>
    <row r="88" spans="1:43" s="108" customFormat="1" ht="15" customHeight="1" x14ac:dyDescent="0.25">
      <c r="A88" s="384"/>
      <c r="B88" s="383"/>
      <c r="C88" s="118" t="s">
        <v>802</v>
      </c>
      <c r="D88" s="119"/>
      <c r="E88" s="88" t="s">
        <v>416</v>
      </c>
      <c r="F88" s="319">
        <f>+VLOOKUP($E88,Hybrid!$1:$1048576,F$2,FALSE)</f>
        <v>17.268999999999998</v>
      </c>
      <c r="G88" s="319">
        <f>+VLOOKUP($E88,Hybrid!$1:$1048576,G$2,FALSE)</f>
        <v>19.474316269999999</v>
      </c>
      <c r="H88" s="319">
        <f>+VLOOKUP($E88,Hybrid!$1:$1048576,H$2,FALSE)</f>
        <v>21.01320363</v>
      </c>
      <c r="I88" s="319">
        <f>+VLOOKUP($E88,Hybrid!$1:$1048576,I$2,FALSE)</f>
        <v>22.098554849999999</v>
      </c>
      <c r="J88" s="319">
        <f>+VLOOKUP($E88,Hybrid!$1:$1048576,J$2,FALSE)</f>
        <v>22.886707730000001</v>
      </c>
      <c r="K88" s="319">
        <f>+VLOOKUP($E88,Hybrid!$1:$1048576,K$2,FALSE)</f>
        <v>23.485189049999999</v>
      </c>
      <c r="L88" s="319">
        <f>+VLOOKUP($E88,Hybrid!$1:$1048576,L$2,FALSE)</f>
        <v>23.964515939999998</v>
      </c>
      <c r="M88" s="319">
        <f>+VLOOKUP($E88,Hybrid!$1:$1048576,M$2,FALSE)</f>
        <v>24.36951509</v>
      </c>
      <c r="N88" s="319">
        <f>+VLOOKUP($E88,Hybrid!$1:$1048576,N$2,FALSE)</f>
        <v>24.72820342</v>
      </c>
      <c r="O88" s="319">
        <f>+VLOOKUP($E88,Hybrid!$1:$1048576,O$2,FALSE)</f>
        <v>25.058023500000001</v>
      </c>
      <c r="P88" s="319">
        <f>+VLOOKUP($E88,Hybrid!$1:$1048576,P$2,FALSE)</f>
        <v>25.369929899999999</v>
      </c>
      <c r="Q88" s="319">
        <f>+VLOOKUP($E88,Hybrid!$1:$1048576,Q$2,FALSE)</f>
        <v>25.670947420000001</v>
      </c>
      <c r="R88" s="319">
        <f>+VLOOKUP($E88,Hybrid!$1:$1048576,R$2,FALSE)</f>
        <v>25.96572561</v>
      </c>
      <c r="S88" s="319">
        <f>+VLOOKUP($E88,Hybrid!$1:$1048576,S$2,FALSE)</f>
        <v>26.257466600000001</v>
      </c>
      <c r="T88" s="319">
        <f>+VLOOKUP($E88,Hybrid!$1:$1048576,T$2,FALSE)</f>
        <v>26.548478500000002</v>
      </c>
      <c r="U88" s="319">
        <f>+VLOOKUP($E88,Hybrid!$1:$1048576,U$2,FALSE)</f>
        <v>26.84050603</v>
      </c>
      <c r="V88" s="319">
        <f>+VLOOKUP($E88,Hybrid!$1:$1048576,V$2,FALSE)</f>
        <v>27.134935380000002</v>
      </c>
      <c r="W88" s="319">
        <f>+VLOOKUP($E88,Hybrid!$1:$1048576,W$2,FALSE)</f>
        <v>27.432925959999999</v>
      </c>
      <c r="X88" s="319">
        <f>+VLOOKUP($E88,Hybrid!$1:$1048576,X$2,FALSE)</f>
        <v>27.735499220000001</v>
      </c>
      <c r="Y88" s="319">
        <f>+VLOOKUP($E88,Hybrid!$1:$1048576,Y$2,FALSE)</f>
        <v>28.043600659999999</v>
      </c>
      <c r="Z88" s="319">
        <f>+VLOOKUP($E88,Hybrid!$1:$1048576,Z$2,FALSE)</f>
        <v>28.358144589999998</v>
      </c>
      <c r="AA88" s="319">
        <f>+VLOOKUP($E88,Hybrid!$1:$1048576,AA$2,FALSE)</f>
        <v>28.680047739999999</v>
      </c>
      <c r="AB88" s="319">
        <f>+VLOOKUP($E88,Hybrid!$1:$1048576,AB$2,FALSE)</f>
        <v>29.010255140000002</v>
      </c>
      <c r="AC88" s="319">
        <f>+VLOOKUP($E88,Hybrid!$1:$1048576,AC$2,FALSE)</f>
        <v>29.34976035</v>
      </c>
      <c r="AD88" s="319">
        <f>+VLOOKUP($E88,Hybrid!$1:$1048576,AD$2,FALSE)</f>
        <v>29.69962147</v>
      </c>
      <c r="AE88" s="319">
        <f>+VLOOKUP($E88,Hybrid!$1:$1048576,AE$2,FALSE)</f>
        <v>30.06097398</v>
      </c>
      <c r="AF88" s="319">
        <f>+VLOOKUP($E88,Hybrid!$1:$1048576,AF$2,FALSE)</f>
        <v>30.43504128</v>
      </c>
      <c r="AG88" s="319">
        <f>+VLOOKUP($E88,Hybrid!$1:$1048576,AG$2,FALSE)</f>
        <v>30.82314362</v>
      </c>
      <c r="AH88" s="319">
        <f>+VLOOKUP($E88,Hybrid!$1:$1048576,AH$2,FALSE)</f>
        <v>31.226706069999999</v>
      </c>
      <c r="AI88" s="319">
        <f>+VLOOKUP($E88,Hybrid!$1:$1048576,AI$2,FALSE)</f>
        <v>31.647266129999998</v>
      </c>
      <c r="AJ88" s="319">
        <f>+VLOOKUP($E88,Hybrid!$1:$1048576,AJ$2,FALSE)</f>
        <v>32.086481310000003</v>
      </c>
      <c r="AK88" s="319">
        <f>+VLOOKUP($E88,Hybrid!$1:$1048576,AK$2,FALSE)</f>
        <v>32.546137109999997</v>
      </c>
      <c r="AL88" s="319">
        <f>+VLOOKUP($E88,Hybrid!$1:$1048576,AL$2,FALSE)</f>
        <v>33.028155650000002</v>
      </c>
      <c r="AM88" s="319">
        <f>+VLOOKUP($E88,Hybrid!$1:$1048576,AM$2,FALSE)</f>
        <v>33.534605169999999</v>
      </c>
      <c r="AN88" s="319">
        <f>+VLOOKUP($E88,Hybrid!$1:$1048576,AN$2,FALSE)</f>
        <v>34.067710599999998</v>
      </c>
      <c r="AO88" s="319">
        <f>+VLOOKUP($E88,Hybrid!$1:$1048576,AO$2,FALSE)</f>
        <v>34.629865250000002</v>
      </c>
    </row>
    <row r="89" spans="1:43" ht="15" customHeight="1" x14ac:dyDescent="0.25">
      <c r="A89" s="384"/>
      <c r="B89" s="383"/>
      <c r="C89" s="164"/>
      <c r="D89" s="120" t="s">
        <v>519</v>
      </c>
      <c r="E89" s="46" t="s">
        <v>417</v>
      </c>
      <c r="F89" s="320">
        <f>+VLOOKUP($E89,Hybrid!$1:$1048576,F$2,FALSE)</f>
        <v>4.8854001</v>
      </c>
      <c r="G89" s="320">
        <f>+VLOOKUP($E89,Hybrid!$1:$1048576,G$2,FALSE)</f>
        <v>5.5417375089999998</v>
      </c>
      <c r="H89" s="320">
        <f>+VLOOKUP($E89,Hybrid!$1:$1048576,H$2,FALSE)</f>
        <v>6.0318007280000003</v>
      </c>
      <c r="I89" s="320">
        <f>+VLOOKUP($E89,Hybrid!$1:$1048576,I$2,FALSE)</f>
        <v>6.4067081200000002</v>
      </c>
      <c r="J89" s="320">
        <f>+VLOOKUP($E89,Hybrid!$1:$1048576,J$2,FALSE)</f>
        <v>6.704687946</v>
      </c>
      <c r="K89" s="320">
        <f>+VLOOKUP($E89,Hybrid!$1:$1048576,K$2,FALSE)</f>
        <v>6.95273553</v>
      </c>
      <c r="L89" s="320">
        <f>+VLOOKUP($E89,Hybrid!$1:$1048576,L$2,FALSE)</f>
        <v>7.1690294769999996</v>
      </c>
      <c r="M89" s="320">
        <f>+VLOOKUP($E89,Hybrid!$1:$1048576,M$2,FALSE)</f>
        <v>7.365414951</v>
      </c>
      <c r="N89" s="320">
        <f>+VLOOKUP($E89,Hybrid!$1:$1048576,N$2,FALSE)</f>
        <v>7.5494651829999997</v>
      </c>
      <c r="O89" s="320">
        <f>+VLOOKUP($E89,Hybrid!$1:$1048576,O$2,FALSE)</f>
        <v>7.7259937680000004</v>
      </c>
      <c r="P89" s="320">
        <f>+VLOOKUP($E89,Hybrid!$1:$1048576,P$2,FALSE)</f>
        <v>7.8980818519999998</v>
      </c>
      <c r="Q89" s="320">
        <f>+VLOOKUP($E89,Hybrid!$1:$1048576,Q$2,FALSE)</f>
        <v>8.0677414909999996</v>
      </c>
      <c r="R89" s="320">
        <f>+VLOOKUP($E89,Hybrid!$1:$1048576,R$2,FALSE)</f>
        <v>8.2363301260000004</v>
      </c>
      <c r="S89" s="320">
        <f>+VLOOKUP($E89,Hybrid!$1:$1048576,S$2,FALSE)</f>
        <v>8.404804231</v>
      </c>
      <c r="T89" s="320">
        <f>+VLOOKUP($E89,Hybrid!$1:$1048576,T$2,FALSE)</f>
        <v>8.5738742800000001</v>
      </c>
      <c r="U89" s="320">
        <f>+VLOOKUP($E89,Hybrid!$1:$1048576,U$2,FALSE)</f>
        <v>8.744098868</v>
      </c>
      <c r="V89" s="320">
        <f>+VLOOKUP($E89,Hybrid!$1:$1048576,V$2,FALSE)</f>
        <v>8.9159439500000008</v>
      </c>
      <c r="W89" s="320">
        <f>+VLOOKUP($E89,Hybrid!$1:$1048576,W$2,FALSE)</f>
        <v>9.0898212899999997</v>
      </c>
      <c r="X89" s="320">
        <f>+VLOOKUP($E89,Hybrid!$1:$1048576,X$2,FALSE)</f>
        <v>9.2661145440000006</v>
      </c>
      <c r="Y89" s="320">
        <f>+VLOOKUP($E89,Hybrid!$1:$1048576,Y$2,FALSE)</f>
        <v>9.4451975600000004</v>
      </c>
      <c r="Z89" s="320">
        <f>+VLOOKUP($E89,Hybrid!$1:$1048576,Z$2,FALSE)</f>
        <v>9.6274477199999993</v>
      </c>
      <c r="AA89" s="320">
        <f>+VLOOKUP($E89,Hybrid!$1:$1048576,AA$2,FALSE)</f>
        <v>9.8132561319999994</v>
      </c>
      <c r="AB89" s="320">
        <f>+VLOOKUP($E89,Hybrid!$1:$1048576,AB$2,FALSE)</f>
        <v>10.0030357</v>
      </c>
      <c r="AC89" s="320">
        <f>+VLOOKUP($E89,Hybrid!$1:$1048576,AC$2,FALSE)</f>
        <v>10.19722771</v>
      </c>
      <c r="AD89" s="320">
        <f>+VLOOKUP($E89,Hybrid!$1:$1048576,AD$2,FALSE)</f>
        <v>10.3963073</v>
      </c>
      <c r="AE89" s="320">
        <f>+VLOOKUP($E89,Hybrid!$1:$1048576,AE$2,FALSE)</f>
        <v>10.60078822</v>
      </c>
      <c r="AF89" s="320">
        <f>+VLOOKUP($E89,Hybrid!$1:$1048576,AF$2,FALSE)</f>
        <v>10.811226899999999</v>
      </c>
      <c r="AG89" s="320">
        <f>+VLOOKUP($E89,Hybrid!$1:$1048576,AG$2,FALSE)</f>
        <v>11.02822636</v>
      </c>
      <c r="AH89" s="320">
        <f>+VLOOKUP($E89,Hybrid!$1:$1048576,AH$2,FALSE)</f>
        <v>11.25243985</v>
      </c>
      <c r="AI89" s="320">
        <f>+VLOOKUP($E89,Hybrid!$1:$1048576,AI$2,FALSE)</f>
        <v>11.484574609999999</v>
      </c>
      <c r="AJ89" s="320">
        <f>+VLOOKUP($E89,Hybrid!$1:$1048576,AJ$2,FALSE)</f>
        <v>11.72539581</v>
      </c>
      <c r="AK89" s="320">
        <f>+VLOOKUP($E89,Hybrid!$1:$1048576,AK$2,FALSE)</f>
        <v>11.97573077</v>
      </c>
      <c r="AL89" s="320">
        <f>+VLOOKUP($E89,Hybrid!$1:$1048576,AL$2,FALSE)</f>
        <v>12.236473670000001</v>
      </c>
      <c r="AM89" s="320">
        <f>+VLOOKUP($E89,Hybrid!$1:$1048576,AM$2,FALSE)</f>
        <v>12.50859075</v>
      </c>
      <c r="AN89" s="320">
        <f>+VLOOKUP($E89,Hybrid!$1:$1048576,AN$2,FALSE)</f>
        <v>12.79312612</v>
      </c>
      <c r="AO89" s="320">
        <f>+VLOOKUP($E89,Hybrid!$1:$1048576,AO$2,FALSE)</f>
        <v>13.091208290000001</v>
      </c>
      <c r="AP89" s="73"/>
      <c r="AQ89" s="73"/>
    </row>
    <row r="90" spans="1:43" ht="15" customHeight="1" x14ac:dyDescent="0.25">
      <c r="A90" s="384"/>
      <c r="B90" s="383"/>
      <c r="C90" s="164"/>
      <c r="D90" s="120" t="s">
        <v>520</v>
      </c>
      <c r="E90" s="46" t="s">
        <v>418</v>
      </c>
      <c r="F90" s="320">
        <f>+VLOOKUP($E90,Hybrid!$1:$1048576,F$2,FALSE)</f>
        <v>4.6902603999999997</v>
      </c>
      <c r="G90" s="320">
        <f>+VLOOKUP($E90,Hybrid!$1:$1048576,G$2,FALSE)</f>
        <v>5.3141672460000002</v>
      </c>
      <c r="H90" s="320">
        <f>+VLOOKUP($E90,Hybrid!$1:$1048576,H$2,FALSE)</f>
        <v>5.7739232359999999</v>
      </c>
      <c r="I90" s="320">
        <f>+VLOOKUP($E90,Hybrid!$1:$1048576,I$2,FALSE)</f>
        <v>6.1202040450000004</v>
      </c>
      <c r="J90" s="320">
        <f>+VLOOKUP($E90,Hybrid!$1:$1048576,J$2,FALSE)</f>
        <v>6.390769959</v>
      </c>
      <c r="K90" s="320">
        <f>+VLOOKUP($E90,Hybrid!$1:$1048576,K$2,FALSE)</f>
        <v>6.612117188</v>
      </c>
      <c r="L90" s="320">
        <f>+VLOOKUP($E90,Hybrid!$1:$1048576,L$2,FALSE)</f>
        <v>6.8019618810000004</v>
      </c>
      <c r="M90" s="320">
        <f>+VLOOKUP($E90,Hybrid!$1:$1048576,M$2,FALSE)</f>
        <v>6.9717637840000002</v>
      </c>
      <c r="N90" s="320">
        <f>+VLOOKUP($E90,Hybrid!$1:$1048576,N$2,FALSE)</f>
        <v>7.1287959460000003</v>
      </c>
      <c r="O90" s="320">
        <f>+VLOOKUP($E90,Hybrid!$1:$1048576,O$2,FALSE)</f>
        <v>7.2776468520000002</v>
      </c>
      <c r="P90" s="320">
        <f>+VLOOKUP($E90,Hybrid!$1:$1048576,P$2,FALSE)</f>
        <v>7.4212308120000001</v>
      </c>
      <c r="Q90" s="320">
        <f>+VLOOKUP($E90,Hybrid!$1:$1048576,Q$2,FALSE)</f>
        <v>7.5614345289999996</v>
      </c>
      <c r="R90" s="320">
        <f>+VLOOKUP($E90,Hybrid!$1:$1048576,R$2,FALSE)</f>
        <v>7.6995176040000004</v>
      </c>
      <c r="S90" s="320">
        <f>+VLOOKUP($E90,Hybrid!$1:$1048576,S$2,FALSE)</f>
        <v>7.8363557679999998</v>
      </c>
      <c r="T90" s="320">
        <f>+VLOOKUP($E90,Hybrid!$1:$1048576,T$2,FALSE)</f>
        <v>7.9725884459999996</v>
      </c>
      <c r="U90" s="320">
        <f>+VLOOKUP($E90,Hybrid!$1:$1048576,U$2,FALSE)</f>
        <v>8.1087080149999995</v>
      </c>
      <c r="V90" s="320">
        <f>+VLOOKUP($E90,Hybrid!$1:$1048576,V$2,FALSE)</f>
        <v>8.2451158000000007</v>
      </c>
      <c r="W90" s="320">
        <f>+VLOOKUP($E90,Hybrid!$1:$1048576,W$2,FALSE)</f>
        <v>8.3821583799999999</v>
      </c>
      <c r="X90" s="320">
        <f>+VLOOKUP($E90,Hybrid!$1:$1048576,X$2,FALSE)</f>
        <v>8.5201521739999997</v>
      </c>
      <c r="Y90" s="320">
        <f>+VLOOKUP($E90,Hybrid!$1:$1048576,Y$2,FALSE)</f>
        <v>8.6594005809999999</v>
      </c>
      <c r="Z90" s="320">
        <f>+VLOOKUP($E90,Hybrid!$1:$1048576,Z$2,FALSE)</f>
        <v>8.8002063249999996</v>
      </c>
      <c r="AA90" s="320">
        <f>+VLOOKUP($E90,Hybrid!$1:$1048576,AA$2,FALSE)</f>
        <v>8.9428807050000003</v>
      </c>
      <c r="AB90" s="320">
        <f>+VLOOKUP($E90,Hybrid!$1:$1048576,AB$2,FALSE)</f>
        <v>9.0877507069999997</v>
      </c>
      <c r="AC90" s="320">
        <f>+VLOOKUP($E90,Hybrid!$1:$1048576,AC$2,FALSE)</f>
        <v>9.2351645930000004</v>
      </c>
      <c r="AD90" s="320">
        <f>+VLOOKUP($E90,Hybrid!$1:$1048576,AD$2,FALSE)</f>
        <v>9.3854963310000006</v>
      </c>
      <c r="AE90" s="320">
        <f>+VLOOKUP($E90,Hybrid!$1:$1048576,AE$2,FALSE)</f>
        <v>9.5391491730000002</v>
      </c>
      <c r="AF90" s="320">
        <f>+VLOOKUP($E90,Hybrid!$1:$1048576,AF$2,FALSE)</f>
        <v>9.6965585920000006</v>
      </c>
      <c r="AG90" s="320">
        <f>+VLOOKUP($E90,Hybrid!$1:$1048576,AG$2,FALSE)</f>
        <v>9.8581948090000004</v>
      </c>
      <c r="AH90" s="320">
        <f>+VLOOKUP($E90,Hybrid!$1:$1048576,AH$2,FALSE)</f>
        <v>10.02456507</v>
      </c>
      <c r="AI90" s="320">
        <f>+VLOOKUP($E90,Hybrid!$1:$1048576,AI$2,FALSE)</f>
        <v>10.19621585</v>
      </c>
      <c r="AJ90" s="320">
        <f>+VLOOKUP($E90,Hybrid!$1:$1048576,AJ$2,FALSE)</f>
        <v>10.373735099999999</v>
      </c>
      <c r="AK90" s="320">
        <f>+VLOOKUP($E90,Hybrid!$1:$1048576,AK$2,FALSE)</f>
        <v>10.55775465</v>
      </c>
      <c r="AL90" s="320">
        <f>+VLOOKUP($E90,Hybrid!$1:$1048576,AL$2,FALSE)</f>
        <v>10.74895285</v>
      </c>
      <c r="AM90" s="320">
        <f>+VLOOKUP($E90,Hybrid!$1:$1048576,AM$2,FALSE)</f>
        <v>10.948057520000001</v>
      </c>
      <c r="AN90" s="320">
        <f>+VLOOKUP($E90,Hybrid!$1:$1048576,AN$2,FALSE)</f>
        <v>11.15584928</v>
      </c>
      <c r="AO90" s="320">
        <f>+VLOOKUP($E90,Hybrid!$1:$1048576,AO$2,FALSE)</f>
        <v>11.37316521</v>
      </c>
      <c r="AP90" s="73"/>
      <c r="AQ90" s="73"/>
    </row>
    <row r="91" spans="1:43" ht="15" customHeight="1" x14ac:dyDescent="0.25">
      <c r="A91" s="384"/>
      <c r="B91" s="383"/>
      <c r="C91" s="164"/>
      <c r="D91" s="120" t="s">
        <v>521</v>
      </c>
      <c r="E91" s="46" t="s">
        <v>419</v>
      </c>
      <c r="F91" s="320">
        <f>+VLOOKUP($E91,Hybrid!$1:$1048576,F$2,FALSE)</f>
        <v>3.246572</v>
      </c>
      <c r="G91" s="320">
        <f>+VLOOKUP($E91,Hybrid!$1:$1048576,G$2,FALSE)</f>
        <v>3.6741607209999998</v>
      </c>
      <c r="H91" s="320">
        <f>+VLOOKUP($E91,Hybrid!$1:$1048576,H$2,FALSE)</f>
        <v>3.985040852</v>
      </c>
      <c r="I91" s="320">
        <f>+VLOOKUP($E91,Hybrid!$1:$1048576,I$2,FALSE)</f>
        <v>4.215406786</v>
      </c>
      <c r="J91" s="320">
        <f>+VLOOKUP($E91,Hybrid!$1:$1048576,J$2,FALSE)</f>
        <v>4.3921338710000004</v>
      </c>
      <c r="K91" s="320">
        <f>+VLOOKUP($E91,Hybrid!$1:$1048576,K$2,FALSE)</f>
        <v>4.5339664730000004</v>
      </c>
      <c r="L91" s="320">
        <f>+VLOOKUP($E91,Hybrid!$1:$1048576,L$2,FALSE)</f>
        <v>4.6533530870000002</v>
      </c>
      <c r="M91" s="320">
        <f>+VLOOKUP($E91,Hybrid!$1:$1048576,M$2,FALSE)</f>
        <v>4.7582905110000002</v>
      </c>
      <c r="N91" s="320">
        <f>+VLOOKUP($E91,Hybrid!$1:$1048576,N$2,FALSE)</f>
        <v>4.8538192130000004</v>
      </c>
      <c r="O91" s="320">
        <f>+VLOOKUP($E91,Hybrid!$1:$1048576,O$2,FALSE)</f>
        <v>4.9430977260000004</v>
      </c>
      <c r="P91" s="320">
        <f>+VLOOKUP($E91,Hybrid!$1:$1048576,P$2,FALSE)</f>
        <v>5.0281186770000001</v>
      </c>
      <c r="Q91" s="320">
        <f>+VLOOKUP($E91,Hybrid!$1:$1048576,Q$2,FALSE)</f>
        <v>5.1101629969999998</v>
      </c>
      <c r="R91" s="320">
        <f>+VLOOKUP($E91,Hybrid!$1:$1048576,R$2,FALSE)</f>
        <v>5.1900789439999997</v>
      </c>
      <c r="S91" s="320">
        <f>+VLOOKUP($E91,Hybrid!$1:$1048576,S$2,FALSE)</f>
        <v>5.268450348</v>
      </c>
      <c r="T91" s="320">
        <f>+VLOOKUP($E91,Hybrid!$1:$1048576,T$2,FALSE)</f>
        <v>5.3456978929999996</v>
      </c>
      <c r="U91" s="320">
        <f>+VLOOKUP($E91,Hybrid!$1:$1048576,U$2,FALSE)</f>
        <v>5.4221402220000003</v>
      </c>
      <c r="V91" s="320">
        <f>+VLOOKUP($E91,Hybrid!$1:$1048576,V$2,FALSE)</f>
        <v>5.4980320989999996</v>
      </c>
      <c r="W91" s="320">
        <f>+VLOOKUP($E91,Hybrid!$1:$1048576,W$2,FALSE)</f>
        <v>5.5735891390000001</v>
      </c>
      <c r="X91" s="320">
        <f>+VLOOKUP($E91,Hybrid!$1:$1048576,X$2,FALSE)</f>
        <v>5.6490045139999996</v>
      </c>
      <c r="Y91" s="320">
        <f>+VLOOKUP($E91,Hybrid!$1:$1048576,Y$2,FALSE)</f>
        <v>5.7244605389999998</v>
      </c>
      <c r="Z91" s="320">
        <f>+VLOOKUP($E91,Hybrid!$1:$1048576,Z$2,FALSE)</f>
        <v>5.8001369179999998</v>
      </c>
      <c r="AA91" s="320">
        <f>+VLOOKUP($E91,Hybrid!$1:$1048576,AA$2,FALSE)</f>
        <v>5.8762168060000004</v>
      </c>
      <c r="AB91" s="320">
        <f>+VLOOKUP($E91,Hybrid!$1:$1048576,AB$2,FALSE)</f>
        <v>5.9528913379999997</v>
      </c>
      <c r="AC91" s="320">
        <f>+VLOOKUP($E91,Hybrid!$1:$1048576,AC$2,FALSE)</f>
        <v>6.0303630559999997</v>
      </c>
      <c r="AD91" s="320">
        <f>+VLOOKUP($E91,Hybrid!$1:$1048576,AD$2,FALSE)</f>
        <v>6.1088484730000001</v>
      </c>
      <c r="AE91" s="320">
        <f>+VLOOKUP($E91,Hybrid!$1:$1048576,AE$2,FALSE)</f>
        <v>6.1885799949999996</v>
      </c>
      <c r="AF91" s="320">
        <f>+VLOOKUP($E91,Hybrid!$1:$1048576,AF$2,FALSE)</f>
        <v>6.2698073489999997</v>
      </c>
      <c r="AG91" s="320">
        <f>+VLOOKUP($E91,Hybrid!$1:$1048576,AG$2,FALSE)</f>
        <v>6.3527986749999998</v>
      </c>
      <c r="AH91" s="320">
        <f>+VLOOKUP($E91,Hybrid!$1:$1048576,AH$2,FALSE)</f>
        <v>6.4378413950000004</v>
      </c>
      <c r="AI91" s="320">
        <f>+VLOOKUP($E91,Hybrid!$1:$1048576,AI$2,FALSE)</f>
        <v>6.5252429709999999</v>
      </c>
      <c r="AJ91" s="320">
        <f>+VLOOKUP($E91,Hybrid!$1:$1048576,AJ$2,FALSE)</f>
        <v>6.6153316350000004</v>
      </c>
      <c r="AK91" s="320">
        <f>+VLOOKUP($E91,Hybrid!$1:$1048576,AK$2,FALSE)</f>
        <v>6.7084571510000002</v>
      </c>
      <c r="AL91" s="320">
        <f>+VLOOKUP($E91,Hybrid!$1:$1048576,AL$2,FALSE)</f>
        <v>6.8049916709999998</v>
      </c>
      <c r="AM91" s="320">
        <f>+VLOOKUP($E91,Hybrid!$1:$1048576,AM$2,FALSE)</f>
        <v>6.9053307029999997</v>
      </c>
      <c r="AN91" s="320">
        <f>+VLOOKUP($E91,Hybrid!$1:$1048576,AN$2,FALSE)</f>
        <v>7.0098942400000004</v>
      </c>
      <c r="AO91" s="320">
        <f>+VLOOKUP($E91,Hybrid!$1:$1048576,AO$2,FALSE)</f>
        <v>7.1191280270000004</v>
      </c>
      <c r="AP91" s="73"/>
      <c r="AQ91" s="73"/>
    </row>
    <row r="92" spans="1:43" ht="15" customHeight="1" x14ac:dyDescent="0.25">
      <c r="A92" s="384"/>
      <c r="B92" s="383"/>
      <c r="C92" s="164"/>
      <c r="D92" s="120" t="s">
        <v>522</v>
      </c>
      <c r="E92" s="46" t="s">
        <v>420</v>
      </c>
      <c r="F92" s="320">
        <f>+VLOOKUP($E92,Hybrid!$1:$1048576,F$2,FALSE)</f>
        <v>1.7994298</v>
      </c>
      <c r="G92" s="320">
        <f>+VLOOKUP($E92,Hybrid!$1:$1048576,G$2,FALSE)</f>
        <v>2.0253384040000002</v>
      </c>
      <c r="H92" s="320">
        <f>+VLOOKUP($E92,Hybrid!$1:$1048576,H$2,FALSE)</f>
        <v>2.1782907890000001</v>
      </c>
      <c r="I92" s="320">
        <f>+VLOOKUP($E92,Hybrid!$1:$1048576,I$2,FALSE)</f>
        <v>2.2809357260000001</v>
      </c>
      <c r="J92" s="320">
        <f>+VLOOKUP($E92,Hybrid!$1:$1048576,J$2,FALSE)</f>
        <v>2.349933112</v>
      </c>
      <c r="K92" s="320">
        <f>+VLOOKUP($E92,Hybrid!$1:$1048576,K$2,FALSE)</f>
        <v>2.3967535899999999</v>
      </c>
      <c r="L92" s="320">
        <f>+VLOOKUP($E92,Hybrid!$1:$1048576,L$2,FALSE)</f>
        <v>2.4289281410000001</v>
      </c>
      <c r="M92" s="320">
        <f>+VLOOKUP($E92,Hybrid!$1:$1048576,M$2,FALSE)</f>
        <v>2.451246169</v>
      </c>
      <c r="N92" s="320">
        <f>+VLOOKUP($E92,Hybrid!$1:$1048576,N$2,FALSE)</f>
        <v>2.4666971549999999</v>
      </c>
      <c r="O92" s="320">
        <f>+VLOOKUP($E92,Hybrid!$1:$1048576,O$2,FALSE)</f>
        <v>2.4771350679999999</v>
      </c>
      <c r="P92" s="320">
        <f>+VLOOKUP($E92,Hybrid!$1:$1048576,P$2,FALSE)</f>
        <v>2.4837166389999998</v>
      </c>
      <c r="Q92" s="320">
        <f>+VLOOKUP($E92,Hybrid!$1:$1048576,Q$2,FALSE)</f>
        <v>2.4871775180000002</v>
      </c>
      <c r="R92" s="320">
        <f>+VLOOKUP($E92,Hybrid!$1:$1048576,R$2,FALSE)</f>
        <v>2.4880007370000001</v>
      </c>
      <c r="S92" s="320">
        <f>+VLOOKUP($E92,Hybrid!$1:$1048576,S$2,FALSE)</f>
        <v>2.4865171739999998</v>
      </c>
      <c r="T92" s="320">
        <f>+VLOOKUP($E92,Hybrid!$1:$1048576,T$2,FALSE)</f>
        <v>2.4829648199999999</v>
      </c>
      <c r="U92" s="320">
        <f>+VLOOKUP($E92,Hybrid!$1:$1048576,U$2,FALSE)</f>
        <v>2.4775235430000002</v>
      </c>
      <c r="V92" s="320">
        <f>+VLOOKUP($E92,Hybrid!$1:$1048576,V$2,FALSE)</f>
        <v>2.470335876</v>
      </c>
      <c r="W92" s="320">
        <f>+VLOOKUP($E92,Hybrid!$1:$1048576,W$2,FALSE)</f>
        <v>2.461519784</v>
      </c>
      <c r="X92" s="320">
        <f>+VLOOKUP($E92,Hybrid!$1:$1048576,X$2,FALSE)</f>
        <v>2.4511767899999999</v>
      </c>
      <c r="Y92" s="320">
        <f>+VLOOKUP($E92,Hybrid!$1:$1048576,Y$2,FALSE)</f>
        <v>2.4393973569999998</v>
      </c>
      <c r="Z92" s="320">
        <f>+VLOOKUP($E92,Hybrid!$1:$1048576,Z$2,FALSE)</f>
        <v>2.4262645389999999</v>
      </c>
      <c r="AA92" s="320">
        <f>+VLOOKUP($E92,Hybrid!$1:$1048576,AA$2,FALSE)</f>
        <v>2.4118565479999998</v>
      </c>
      <c r="AB92" s="320">
        <f>+VLOOKUP($E92,Hybrid!$1:$1048576,AB$2,FALSE)</f>
        <v>2.3962485290000002</v>
      </c>
      <c r="AC92" s="320">
        <f>+VLOOKUP($E92,Hybrid!$1:$1048576,AC$2,FALSE)</f>
        <v>2.3795137770000001</v>
      </c>
      <c r="AD92" s="320">
        <f>+VLOOKUP($E92,Hybrid!$1:$1048576,AD$2,FALSE)</f>
        <v>2.3617245229999999</v>
      </c>
      <c r="AE92" s="320">
        <f>+VLOOKUP($E92,Hybrid!$1:$1048576,AE$2,FALSE)</f>
        <v>2.3429523790000002</v>
      </c>
      <c r="AF92" s="320">
        <f>+VLOOKUP($E92,Hybrid!$1:$1048576,AF$2,FALSE)</f>
        <v>2.3232685449999999</v>
      </c>
      <c r="AG92" s="320">
        <f>+VLOOKUP($E92,Hybrid!$1:$1048576,AG$2,FALSE)</f>
        <v>2.3027438409999998</v>
      </c>
      <c r="AH92" s="320">
        <f>+VLOOKUP($E92,Hybrid!$1:$1048576,AH$2,FALSE)</f>
        <v>2.281448621</v>
      </c>
      <c r="AI92" s="320">
        <f>+VLOOKUP($E92,Hybrid!$1:$1048576,AI$2,FALSE)</f>
        <v>2.2594526250000002</v>
      </c>
      <c r="AJ92" s="320">
        <f>+VLOOKUP($E92,Hybrid!$1:$1048576,AJ$2,FALSE)</f>
        <v>2.2368247979999998</v>
      </c>
      <c r="AK92" s="320">
        <f>+VLOOKUP($E92,Hybrid!$1:$1048576,AK$2,FALSE)</f>
        <v>2.2136331149999999</v>
      </c>
      <c r="AL92" s="320">
        <f>+VLOOKUP($E92,Hybrid!$1:$1048576,AL$2,FALSE)</f>
        <v>2.1899444039999998</v>
      </c>
      <c r="AM92" s="320">
        <f>+VLOOKUP($E92,Hybrid!$1:$1048576,AM$2,FALSE)</f>
        <v>2.1658242140000001</v>
      </c>
      <c r="AN92" s="320">
        <f>+VLOOKUP($E92,Hybrid!$1:$1048576,AN$2,FALSE)</f>
        <v>2.1413366960000002</v>
      </c>
      <c r="AO92" s="320">
        <f>+VLOOKUP($E92,Hybrid!$1:$1048576,AO$2,FALSE)</f>
        <v>2.1165445169999999</v>
      </c>
      <c r="AP92" s="73"/>
      <c r="AQ92" s="73"/>
    </row>
    <row r="93" spans="1:43" ht="15" customHeight="1" x14ac:dyDescent="0.25">
      <c r="A93" s="384"/>
      <c r="B93" s="383"/>
      <c r="C93" s="164"/>
      <c r="D93" s="120" t="s">
        <v>523</v>
      </c>
      <c r="E93" s="46" t="s">
        <v>421</v>
      </c>
      <c r="F93" s="320">
        <f>+VLOOKUP($E93,Hybrid!$1:$1048576,F$2,FALSE)</f>
        <v>1.1069429</v>
      </c>
      <c r="G93" s="320">
        <f>+VLOOKUP($E93,Hybrid!$1:$1048576,G$2,FALSE)</f>
        <v>1.239853415</v>
      </c>
      <c r="H93" s="320">
        <f>+VLOOKUP($E93,Hybrid!$1:$1048576,H$2,FALSE)</f>
        <v>1.323680945</v>
      </c>
      <c r="I93" s="320">
        <f>+VLOOKUP($E93,Hybrid!$1:$1048576,I$2,FALSE)</f>
        <v>1.3740546629999999</v>
      </c>
      <c r="J93" s="320">
        <f>+VLOOKUP($E93,Hybrid!$1:$1048576,J$2,FALSE)</f>
        <v>1.4023552800000001</v>
      </c>
      <c r="K93" s="320">
        <f>+VLOOKUP($E93,Hybrid!$1:$1048576,K$2,FALSE)</f>
        <v>1.416291113</v>
      </c>
      <c r="L93" s="320">
        <f>+VLOOKUP($E93,Hybrid!$1:$1048576,L$2,FALSE)</f>
        <v>1.4208362919999999</v>
      </c>
      <c r="M93" s="320">
        <f>+VLOOKUP($E93,Hybrid!$1:$1048576,M$2,FALSE)</f>
        <v>1.4191046329999999</v>
      </c>
      <c r="N93" s="320">
        <f>+VLOOKUP($E93,Hybrid!$1:$1048576,N$2,FALSE)</f>
        <v>1.4130160089999999</v>
      </c>
      <c r="O93" s="320">
        <f>+VLOOKUP($E93,Hybrid!$1:$1048576,O$2,FALSE)</f>
        <v>1.4037535969999999</v>
      </c>
      <c r="P93" s="320">
        <f>+VLOOKUP($E93,Hybrid!$1:$1048576,P$2,FALSE)</f>
        <v>1.392057707</v>
      </c>
      <c r="Q93" s="320">
        <f>+VLOOKUP($E93,Hybrid!$1:$1048576,Q$2,FALSE)</f>
        <v>1.378406325</v>
      </c>
      <c r="R93" s="320">
        <f>+VLOOKUP($E93,Hybrid!$1:$1048576,R$2,FALSE)</f>
        <v>1.36312258</v>
      </c>
      <c r="S93" s="320">
        <f>+VLOOKUP($E93,Hybrid!$1:$1048576,S$2,FALSE)</f>
        <v>1.346437366</v>
      </c>
      <c r="T93" s="320">
        <f>+VLOOKUP($E93,Hybrid!$1:$1048576,T$2,FALSE)</f>
        <v>1.3285254550000001</v>
      </c>
      <c r="U93" s="320">
        <f>+VLOOKUP($E93,Hybrid!$1:$1048576,U$2,FALSE)</f>
        <v>1.3095263420000001</v>
      </c>
      <c r="V93" s="320">
        <f>+VLOOKUP($E93,Hybrid!$1:$1048576,V$2,FALSE)</f>
        <v>1.2895565259999999</v>
      </c>
      <c r="W93" s="320">
        <f>+VLOOKUP($E93,Hybrid!$1:$1048576,W$2,FALSE)</f>
        <v>1.268716996</v>
      </c>
      <c r="X93" s="320">
        <f>+VLOOKUP($E93,Hybrid!$1:$1048576,X$2,FALSE)</f>
        <v>1.247097986</v>
      </c>
      <c r="Y93" s="320">
        <f>+VLOOKUP($E93,Hybrid!$1:$1048576,Y$2,FALSE)</f>
        <v>1.2247820869999999</v>
      </c>
      <c r="Z93" s="320">
        <f>+VLOOKUP($E93,Hybrid!$1:$1048576,Z$2,FALSE)</f>
        <v>1.2018463530000001</v>
      </c>
      <c r="AA93" s="320">
        <f>+VLOOKUP($E93,Hybrid!$1:$1048576,AA$2,FALSE)</f>
        <v>1.1783637259999999</v>
      </c>
      <c r="AB93" s="320">
        <f>+VLOOKUP($E93,Hybrid!$1:$1048576,AB$2,FALSE)</f>
        <v>1.1544039960000001</v>
      </c>
      <c r="AC93" s="320">
        <f>+VLOOKUP($E93,Hybrid!$1:$1048576,AC$2,FALSE)</f>
        <v>1.130034411</v>
      </c>
      <c r="AD93" s="320">
        <f>+VLOOKUP($E93,Hybrid!$1:$1048576,AD$2,FALSE)</f>
        <v>1.105320036</v>
      </c>
      <c r="AE93" s="320">
        <f>+VLOOKUP($E93,Hybrid!$1:$1048576,AE$2,FALSE)</f>
        <v>1.0803239069999999</v>
      </c>
      <c r="AF93" s="320">
        <f>+VLOOKUP($E93,Hybrid!$1:$1048576,AF$2,FALSE)</f>
        <v>1.05510707</v>
      </c>
      <c r="AG93" s="320">
        <f>+VLOOKUP($E93,Hybrid!$1:$1048576,AG$2,FALSE)</f>
        <v>1.029728516</v>
      </c>
      <c r="AH93" s="320">
        <f>+VLOOKUP($E93,Hybrid!$1:$1048576,AH$2,FALSE)</f>
        <v>1.00424508</v>
      </c>
      <c r="AI93" s="320">
        <f>+VLOOKUP($E93,Hybrid!$1:$1048576,AI$2,FALSE)</f>
        <v>0.97871131050000004</v>
      </c>
      <c r="AJ93" s="320">
        <f>+VLOOKUP($E93,Hybrid!$1:$1048576,AJ$2,FALSE)</f>
        <v>0.95317934530000004</v>
      </c>
      <c r="AK93" s="320">
        <f>+VLOOKUP($E93,Hybrid!$1:$1048576,AK$2,FALSE)</f>
        <v>0.92769879769999997</v>
      </c>
      <c r="AL93" s="320">
        <f>+VLOOKUP($E93,Hybrid!$1:$1048576,AL$2,FALSE)</f>
        <v>0.90231666529999999</v>
      </c>
      <c r="AM93" s="320">
        <f>+VLOOKUP($E93,Hybrid!$1:$1048576,AM$2,FALSE)</f>
        <v>0.8770772644</v>
      </c>
      <c r="AN93" s="320">
        <f>+VLOOKUP($E93,Hybrid!$1:$1048576,AN$2,FALSE)</f>
        <v>0.85202218900000004</v>
      </c>
      <c r="AO93" s="320">
        <f>+VLOOKUP($E93,Hybrid!$1:$1048576,AO$2,FALSE)</f>
        <v>0.8271902927</v>
      </c>
      <c r="AP93" s="73"/>
      <c r="AQ93" s="73"/>
    </row>
    <row r="94" spans="1:43" ht="15" customHeight="1" x14ac:dyDescent="0.25">
      <c r="A94" s="384"/>
      <c r="B94" s="383"/>
      <c r="C94" s="164"/>
      <c r="D94" s="120" t="s">
        <v>524</v>
      </c>
      <c r="E94" s="46" t="s">
        <v>422</v>
      </c>
      <c r="F94" s="320">
        <f>+VLOOKUP($E94,Hybrid!$1:$1048576,F$2,FALSE)</f>
        <v>0.53533900000000001</v>
      </c>
      <c r="G94" s="320">
        <f>+VLOOKUP($E94,Hybrid!$1:$1048576,G$2,FALSE)</f>
        <v>0.5893110828</v>
      </c>
      <c r="H94" s="320">
        <f>+VLOOKUP($E94,Hybrid!$1:$1048576,H$2,FALSE)</f>
        <v>0.61282441980000002</v>
      </c>
      <c r="I94" s="320">
        <f>+VLOOKUP($E94,Hybrid!$1:$1048576,I$2,FALSE)</f>
        <v>0.61658713320000003</v>
      </c>
      <c r="J94" s="320">
        <f>+VLOOKUP($E94,Hybrid!$1:$1048576,J$2,FALSE)</f>
        <v>0.6081774875</v>
      </c>
      <c r="K94" s="320">
        <f>+VLOOKUP($E94,Hybrid!$1:$1048576,K$2,FALSE)</f>
        <v>0.59252181169999996</v>
      </c>
      <c r="L94" s="320">
        <f>+VLOOKUP($E94,Hybrid!$1:$1048576,L$2,FALSE)</f>
        <v>0.57266692090000004</v>
      </c>
      <c r="M94" s="320">
        <f>+VLOOKUP($E94,Hybrid!$1:$1048576,M$2,FALSE)</f>
        <v>0.55044725279999995</v>
      </c>
      <c r="N94" s="320">
        <f>+VLOOKUP($E94,Hybrid!$1:$1048576,N$2,FALSE)</f>
        <v>0.52695879830000003</v>
      </c>
      <c r="O94" s="320">
        <f>+VLOOKUP($E94,Hybrid!$1:$1048576,O$2,FALSE)</f>
        <v>0.50286382620000003</v>
      </c>
      <c r="P94" s="320">
        <f>+VLOOKUP($E94,Hybrid!$1:$1048576,P$2,FALSE)</f>
        <v>0.47857500949999998</v>
      </c>
      <c r="Q94" s="320">
        <f>+VLOOKUP($E94,Hybrid!$1:$1048576,Q$2,FALSE)</f>
        <v>0.45436196159999998</v>
      </c>
      <c r="R94" s="320">
        <f>+VLOOKUP($E94,Hybrid!$1:$1048576,R$2,FALSE)</f>
        <v>0.430410986</v>
      </c>
      <c r="S94" s="320">
        <f>+VLOOKUP($E94,Hybrid!$1:$1048576,S$2,FALSE)</f>
        <v>0.40685793790000002</v>
      </c>
      <c r="T94" s="320">
        <f>+VLOOKUP($E94,Hybrid!$1:$1048576,T$2,FALSE)</f>
        <v>0.38380618840000003</v>
      </c>
      <c r="U94" s="320">
        <f>+VLOOKUP($E94,Hybrid!$1:$1048576,U$2,FALSE)</f>
        <v>0.36133660169999998</v>
      </c>
      <c r="V94" s="320">
        <f>+VLOOKUP($E94,Hybrid!$1:$1048576,V$2,FALSE)</f>
        <v>0.3395133011</v>
      </c>
      <c r="W94" s="320">
        <f>+VLOOKUP($E94,Hybrid!$1:$1048576,W$2,FALSE)</f>
        <v>0.31838722959999999</v>
      </c>
      <c r="X94" s="320">
        <f>+VLOOKUP($E94,Hybrid!$1:$1048576,X$2,FALSE)</f>
        <v>0.29799851620000001</v>
      </c>
      <c r="Y94" s="320">
        <f>+VLOOKUP($E94,Hybrid!$1:$1048576,Y$2,FALSE)</f>
        <v>0.27837815589999998</v>
      </c>
      <c r="Z94" s="320">
        <f>+VLOOKUP($E94,Hybrid!$1:$1048576,Z$2,FALSE)</f>
        <v>0.25954926810000001</v>
      </c>
      <c r="AA94" s="320">
        <f>+VLOOKUP($E94,Hybrid!$1:$1048576,AA$2,FALSE)</f>
        <v>0.24152807370000001</v>
      </c>
      <c r="AB94" s="320">
        <f>+VLOOKUP($E94,Hybrid!$1:$1048576,AB$2,FALSE)</f>
        <v>0.22432467549999999</v>
      </c>
      <c r="AC94" s="320">
        <f>+VLOOKUP($E94,Hybrid!$1:$1048576,AC$2,FALSE)</f>
        <v>0.20794369679999999</v>
      </c>
      <c r="AD94" s="320">
        <f>+VLOOKUP($E94,Hybrid!$1:$1048576,AD$2,FALSE)</f>
        <v>0.19238482160000001</v>
      </c>
      <c r="AE94" s="320">
        <f>+VLOOKUP($E94,Hybrid!$1:$1048576,AE$2,FALSE)</f>
        <v>0.17764326599999999</v>
      </c>
      <c r="AF94" s="320">
        <f>+VLOOKUP($E94,Hybrid!$1:$1048576,AF$2,FALSE)</f>
        <v>0.163710206</v>
      </c>
      <c r="AG94" s="320">
        <f>+VLOOKUP($E94,Hybrid!$1:$1048576,AG$2,FALSE)</f>
        <v>0.15057317680000001</v>
      </c>
      <c r="AH94" s="320">
        <f>+VLOOKUP($E94,Hybrid!$1:$1048576,AH$2,FALSE)</f>
        <v>0.1382164562</v>
      </c>
      <c r="AI94" s="320">
        <f>+VLOOKUP($E94,Hybrid!$1:$1048576,AI$2,FALSE)</f>
        <v>0.1266214363</v>
      </c>
      <c r="AJ94" s="320">
        <f>+VLOOKUP($E94,Hybrid!$1:$1048576,AJ$2,FALSE)</f>
        <v>0.1157669871</v>
      </c>
      <c r="AK94" s="320">
        <f>+VLOOKUP($E94,Hybrid!$1:$1048576,AK$2,FALSE)</f>
        <v>0.1056298111</v>
      </c>
      <c r="AL94" s="320">
        <f>+VLOOKUP($E94,Hybrid!$1:$1048576,AL$2,FALSE)</f>
        <v>9.6184787899999999E-2</v>
      </c>
      <c r="AM94" s="320">
        <f>+VLOOKUP($E94,Hybrid!$1:$1048576,AM$2,FALSE)</f>
        <v>8.7405305000000003E-2</v>
      </c>
      <c r="AN94" s="320">
        <f>+VLOOKUP($E94,Hybrid!$1:$1048576,AN$2,FALSE)</f>
        <v>7.9263574899999995E-2</v>
      </c>
      <c r="AO94" s="320">
        <f>+VLOOKUP($E94,Hybrid!$1:$1048576,AO$2,FALSE)</f>
        <v>7.1730932400000003E-2</v>
      </c>
      <c r="AP94" s="73"/>
      <c r="AQ94" s="73"/>
    </row>
    <row r="95" spans="1:43" ht="15" customHeight="1" x14ac:dyDescent="0.25">
      <c r="A95" s="384"/>
      <c r="B95" s="383"/>
      <c r="C95" s="164"/>
      <c r="D95" s="120" t="s">
        <v>525</v>
      </c>
      <c r="E95" s="46" t="s">
        <v>423</v>
      </c>
      <c r="F95" s="320">
        <f>+VLOOKUP($E95,Hybrid!$1:$1048576,F$2,FALSE)</f>
        <v>1.0050558000000001</v>
      </c>
      <c r="G95" s="320">
        <f>+VLOOKUP($E95,Hybrid!$1:$1048576,G$2,FALSE)</f>
        <v>1.0897478890000001</v>
      </c>
      <c r="H95" s="320">
        <f>+VLOOKUP($E95,Hybrid!$1:$1048576,H$2,FALSE)</f>
        <v>1.10764266</v>
      </c>
      <c r="I95" s="320">
        <f>+VLOOKUP($E95,Hybrid!$1:$1048576,I$2,FALSE)</f>
        <v>1.084658374</v>
      </c>
      <c r="J95" s="320">
        <f>+VLOOKUP($E95,Hybrid!$1:$1048576,J$2,FALSE)</f>
        <v>1.0386500750000001</v>
      </c>
      <c r="K95" s="320">
        <f>+VLOOKUP($E95,Hybrid!$1:$1048576,K$2,FALSE)</f>
        <v>0.98080334359999999</v>
      </c>
      <c r="L95" s="320">
        <f>+VLOOKUP($E95,Hybrid!$1:$1048576,L$2,FALSE)</f>
        <v>0.91774014049999997</v>
      </c>
      <c r="M95" s="320">
        <f>+VLOOKUP($E95,Hybrid!$1:$1048576,M$2,FALSE)</f>
        <v>0.85324779309999998</v>
      </c>
      <c r="N95" s="320">
        <f>+VLOOKUP($E95,Hybrid!$1:$1048576,N$2,FALSE)</f>
        <v>0.78945111030000004</v>
      </c>
      <c r="O95" s="320">
        <f>+VLOOKUP($E95,Hybrid!$1:$1048576,O$2,FALSE)</f>
        <v>0.72753266760000002</v>
      </c>
      <c r="P95" s="320">
        <f>+VLOOKUP($E95,Hybrid!$1:$1048576,P$2,FALSE)</f>
        <v>0.66814920509999998</v>
      </c>
      <c r="Q95" s="320">
        <f>+VLOOKUP($E95,Hybrid!$1:$1048576,Q$2,FALSE)</f>
        <v>0.61166259769999998</v>
      </c>
      <c r="R95" s="320">
        <f>+VLOOKUP($E95,Hybrid!$1:$1048576,R$2,FALSE)</f>
        <v>0.55826463120000003</v>
      </c>
      <c r="S95" s="320">
        <f>+VLOOKUP($E95,Hybrid!$1:$1048576,S$2,FALSE)</f>
        <v>0.50804377440000004</v>
      </c>
      <c r="T95" s="320">
        <f>+VLOOKUP($E95,Hybrid!$1:$1048576,T$2,FALSE)</f>
        <v>0.4610214165</v>
      </c>
      <c r="U95" s="320">
        <f>+VLOOKUP($E95,Hybrid!$1:$1048576,U$2,FALSE)</f>
        <v>0.41717243970000001</v>
      </c>
      <c r="V95" s="320">
        <f>+VLOOKUP($E95,Hybrid!$1:$1048576,V$2,FALSE)</f>
        <v>0.37643782679999999</v>
      </c>
      <c r="W95" s="320">
        <f>+VLOOKUP($E95,Hybrid!$1:$1048576,W$2,FALSE)</f>
        <v>0.33873313820000001</v>
      </c>
      <c r="X95" s="320">
        <f>+VLOOKUP($E95,Hybrid!$1:$1048576,X$2,FALSE)</f>
        <v>0.3039546984</v>
      </c>
      <c r="Y95" s="320">
        <f>+VLOOKUP($E95,Hybrid!$1:$1048576,Y$2,FALSE)</f>
        <v>0.27198438349999998</v>
      </c>
      <c r="Z95" s="320">
        <f>+VLOOKUP($E95,Hybrid!$1:$1048576,Z$2,FALSE)</f>
        <v>0.2426934627</v>
      </c>
      <c r="AA95" s="320">
        <f>+VLOOKUP($E95,Hybrid!$1:$1048576,AA$2,FALSE)</f>
        <v>0.2159457451</v>
      </c>
      <c r="AB95" s="320">
        <f>+VLOOKUP($E95,Hybrid!$1:$1048576,AB$2,FALSE)</f>
        <v>0.19160019289999999</v>
      </c>
      <c r="AC95" s="320">
        <f>+VLOOKUP($E95,Hybrid!$1:$1048576,AC$2,FALSE)</f>
        <v>0.1695131081</v>
      </c>
      <c r="AD95" s="320">
        <f>+VLOOKUP($E95,Hybrid!$1:$1048576,AD$2,FALSE)</f>
        <v>0.14953997860000001</v>
      </c>
      <c r="AE95" s="320">
        <f>+VLOOKUP($E95,Hybrid!$1:$1048576,AE$2,FALSE)</f>
        <v>0.1315370431</v>
      </c>
      <c r="AF95" s="320">
        <f>+VLOOKUP($E95,Hybrid!$1:$1048576,AF$2,FALSE)</f>
        <v>0.1153626219</v>
      </c>
      <c r="AG95" s="320">
        <f>+VLOOKUP($E95,Hybrid!$1:$1048576,AG$2,FALSE)</f>
        <v>0.10087824519999999</v>
      </c>
      <c r="AH95" s="320">
        <f>+VLOOKUP($E95,Hybrid!$1:$1048576,AH$2,FALSE)</f>
        <v>8.7949602000000002E-2</v>
      </c>
      <c r="AI95" s="320">
        <f>+VLOOKUP($E95,Hybrid!$1:$1048576,AI$2,FALSE)</f>
        <v>7.6447326699999998E-2</v>
      </c>
      <c r="AJ95" s="320">
        <f>+VLOOKUP($E95,Hybrid!$1:$1048576,AJ$2,FALSE)</f>
        <v>6.6247633700000003E-2</v>
      </c>
      <c r="AK95" s="320">
        <f>+VLOOKUP($E95,Hybrid!$1:$1048576,AK$2,FALSE)</f>
        <v>5.7232814399999998E-2</v>
      </c>
      <c r="AL95" s="320">
        <f>+VLOOKUP($E95,Hybrid!$1:$1048576,AL$2,FALSE)</f>
        <v>4.9291601499999997E-2</v>
      </c>
      <c r="AM95" s="320">
        <f>+VLOOKUP($E95,Hybrid!$1:$1048576,AM$2,FALSE)</f>
        <v>4.2319416200000001E-2</v>
      </c>
      <c r="AN95" s="320">
        <f>+VLOOKUP($E95,Hybrid!$1:$1048576,AN$2,FALSE)</f>
        <v>3.6218503700000002E-2</v>
      </c>
      <c r="AO95" s="320">
        <f>+VLOOKUP($E95,Hybrid!$1:$1048576,AO$2,FALSE)</f>
        <v>3.0897972499999999E-2</v>
      </c>
      <c r="AP95" s="73"/>
      <c r="AQ95" s="73"/>
    </row>
    <row r="96" spans="1:43" s="108" customFormat="1" ht="15" customHeight="1" x14ac:dyDescent="0.25">
      <c r="A96" s="384"/>
      <c r="B96" s="383"/>
      <c r="C96" s="118" t="s">
        <v>803</v>
      </c>
      <c r="D96" s="118"/>
      <c r="E96" s="88" t="s">
        <v>424</v>
      </c>
      <c r="F96" s="319">
        <f>+VLOOKUP($E96,Hybrid!$1:$1048576,F$2,FALSE)</f>
        <v>0.157</v>
      </c>
      <c r="G96" s="319">
        <f>+VLOOKUP($E96,Hybrid!$1:$1048576,G$2,FALSE)</f>
        <v>0.17703847780000001</v>
      </c>
      <c r="H96" s="319">
        <f>+VLOOKUP($E96,Hybrid!$1:$1048576,H$2,FALSE)</f>
        <v>0.1909769674</v>
      </c>
      <c r="I96" s="319">
        <f>+VLOOKUP($E96,Hybrid!$1:$1048576,I$2,FALSE)</f>
        <v>0.2007193394</v>
      </c>
      <c r="J96" s="319">
        <f>+VLOOKUP($E96,Hybrid!$1:$1048576,J$2,FALSE)</f>
        <v>0.2076688347</v>
      </c>
      <c r="K96" s="319">
        <f>+VLOOKUP($E96,Hybrid!$1:$1048576,K$2,FALSE)</f>
        <v>0.21280023040000001</v>
      </c>
      <c r="L96" s="319">
        <f>+VLOOKUP($E96,Hybrid!$1:$1048576,L$2,FALSE)</f>
        <v>0.21676151269999999</v>
      </c>
      <c r="M96" s="319">
        <f>+VLOOKUP($E96,Hybrid!$1:$1048576,M$2,FALSE)</f>
        <v>0.219970422</v>
      </c>
      <c r="N96" s="319">
        <f>+VLOOKUP($E96,Hybrid!$1:$1048576,N$2,FALSE)</f>
        <v>0.222690991</v>
      </c>
      <c r="O96" s="319">
        <f>+VLOOKUP($E96,Hybrid!$1:$1048576,O$2,FALSE)</f>
        <v>0.2250884169</v>
      </c>
      <c r="P96" s="319">
        <f>+VLOOKUP($E96,Hybrid!$1:$1048576,P$2,FALSE)</f>
        <v>0.22726599240000001</v>
      </c>
      <c r="Q96" s="319">
        <f>+VLOOKUP($E96,Hybrid!$1:$1048576,Q$2,FALSE)</f>
        <v>0.22928890430000001</v>
      </c>
      <c r="R96" s="319">
        <f>+VLOOKUP($E96,Hybrid!$1:$1048576,R$2,FALSE)</f>
        <v>0.2311990897</v>
      </c>
      <c r="S96" s="319">
        <f>+VLOOKUP($E96,Hybrid!$1:$1048576,S$2,FALSE)</f>
        <v>0.23302428880000001</v>
      </c>
      <c r="T96" s="319">
        <f>+VLOOKUP($E96,Hybrid!$1:$1048576,T$2,FALSE)</f>
        <v>0.2347834848</v>
      </c>
      <c r="U96" s="319">
        <f>+VLOOKUP($E96,Hybrid!$1:$1048576,U$2,FALSE)</f>
        <v>0.23649012629999999</v>
      </c>
      <c r="V96" s="319">
        <f>+VLOOKUP($E96,Hybrid!$1:$1048576,V$2,FALSE)</f>
        <v>0.23815405689999999</v>
      </c>
      <c r="W96" s="319">
        <f>+VLOOKUP($E96,Hybrid!$1:$1048576,W$2,FALSE)</f>
        <v>0.23978268759999999</v>
      </c>
      <c r="X96" s="319">
        <f>+VLOOKUP($E96,Hybrid!$1:$1048576,X$2,FALSE)</f>
        <v>0.2413817308</v>
      </c>
      <c r="Y96" s="319">
        <f>+VLOOKUP($E96,Hybrid!$1:$1048576,Y$2,FALSE)</f>
        <v>0.2429556809</v>
      </c>
      <c r="Z96" s="319">
        <f>+VLOOKUP($E96,Hybrid!$1:$1048576,Z$2,FALSE)</f>
        <v>0.2445081452</v>
      </c>
      <c r="AA96" s="319">
        <f>+VLOOKUP($E96,Hybrid!$1:$1048576,AA$2,FALSE)</f>
        <v>0.2460420804</v>
      </c>
      <c r="AB96" s="319">
        <f>+VLOOKUP($E96,Hybrid!$1:$1048576,AB$2,FALSE)</f>
        <v>0.24755996590000001</v>
      </c>
      <c r="AC96" s="319">
        <f>+VLOOKUP($E96,Hybrid!$1:$1048576,AC$2,FALSE)</f>
        <v>0.24906393099999999</v>
      </c>
      <c r="AD96" s="319">
        <f>+VLOOKUP($E96,Hybrid!$1:$1048576,AD$2,FALSE)</f>
        <v>0.25055584800000003</v>
      </c>
      <c r="AE96" s="319">
        <f>+VLOOKUP($E96,Hybrid!$1:$1048576,AE$2,FALSE)</f>
        <v>0.25203739730000002</v>
      </c>
      <c r="AF96" s="319">
        <f>+VLOOKUP($E96,Hybrid!$1:$1048576,AF$2,FALSE)</f>
        <v>0.25351011159999998</v>
      </c>
      <c r="AG96" s="319">
        <f>+VLOOKUP($E96,Hybrid!$1:$1048576,AG$2,FALSE)</f>
        <v>0.25497540439999999</v>
      </c>
      <c r="AH96" s="319">
        <f>+VLOOKUP($E96,Hybrid!$1:$1048576,AH$2,FALSE)</f>
        <v>0.25643458559999999</v>
      </c>
      <c r="AI96" s="319">
        <f>+VLOOKUP($E96,Hybrid!$1:$1048576,AI$2,FALSE)</f>
        <v>0.25788886909999997</v>
      </c>
      <c r="AJ96" s="319">
        <f>+VLOOKUP($E96,Hybrid!$1:$1048576,AJ$2,FALSE)</f>
        <v>0.25933937530000001</v>
      </c>
      <c r="AK96" s="319">
        <f>+VLOOKUP($E96,Hybrid!$1:$1048576,AK$2,FALSE)</f>
        <v>0.26078712970000001</v>
      </c>
      <c r="AL96" s="319">
        <f>+VLOOKUP($E96,Hybrid!$1:$1048576,AL$2,FALSE)</f>
        <v>0.26223306029999999</v>
      </c>
      <c r="AM96" s="319">
        <f>+VLOOKUP($E96,Hybrid!$1:$1048576,AM$2,FALSE)</f>
        <v>0.26367799510000001</v>
      </c>
      <c r="AN96" s="319">
        <f>+VLOOKUP($E96,Hybrid!$1:$1048576,AN$2,FALSE)</f>
        <v>0.26512265969999999</v>
      </c>
      <c r="AO96" s="319">
        <f>+VLOOKUP($E96,Hybrid!$1:$1048576,AO$2,FALSE)</f>
        <v>0.26656767599999998</v>
      </c>
    </row>
    <row r="97" spans="1:43" ht="15" customHeight="1" x14ac:dyDescent="0.25">
      <c r="A97" s="384"/>
      <c r="B97" s="383"/>
      <c r="C97" s="164"/>
      <c r="D97" s="120" t="s">
        <v>519</v>
      </c>
      <c r="E97" s="46" t="s">
        <v>425</v>
      </c>
      <c r="F97" s="320">
        <f>+VLOOKUP($E97,Hybrid!$1:$1048576,F$2,FALSE)</f>
        <v>4.4415299999999998E-2</v>
      </c>
      <c r="G97" s="320">
        <f>+VLOOKUP($E97,Hybrid!$1:$1048576,G$2,FALSE)</f>
        <v>5.0379111499999997E-2</v>
      </c>
      <c r="H97" s="320">
        <f>+VLOOKUP($E97,Hybrid!$1:$1048576,H$2,FALSE)</f>
        <v>5.48189106E-2</v>
      </c>
      <c r="I97" s="320">
        <f>+VLOOKUP($E97,Hybrid!$1:$1048576,I$2,FALSE)</f>
        <v>5.8189587799999998E-2</v>
      </c>
      <c r="J97" s="320">
        <f>+VLOOKUP($E97,Hybrid!$1:$1048576,J$2,FALSE)</f>
        <v>6.0832658800000002E-2</v>
      </c>
      <c r="K97" s="320">
        <f>+VLOOKUP($E97,Hybrid!$1:$1048576,K$2,FALSE)</f>
        <v>6.2992061799999999E-2</v>
      </c>
      <c r="L97" s="320">
        <f>+VLOOKUP($E97,Hybrid!$1:$1048576,L$2,FALSE)</f>
        <v>6.4834579899999994E-2</v>
      </c>
      <c r="M97" s="320">
        <f>+VLOOKUP($E97,Hybrid!$1:$1048576,M$2,FALSE)</f>
        <v>6.6470542399999999E-2</v>
      </c>
      <c r="N97" s="320">
        <f>+VLOOKUP($E97,Hybrid!$1:$1048576,N$2,FALSE)</f>
        <v>6.7971274700000001E-2</v>
      </c>
      <c r="O97" s="320">
        <f>+VLOOKUP($E97,Hybrid!$1:$1048576,O$2,FALSE)</f>
        <v>6.9382252199999994E-2</v>
      </c>
      <c r="P97" s="320">
        <f>+VLOOKUP($E97,Hybrid!$1:$1048576,P$2,FALSE)</f>
        <v>7.0732332100000003E-2</v>
      </c>
      <c r="Q97" s="320">
        <f>+VLOOKUP($E97,Hybrid!$1:$1048576,Q$2,FALSE)</f>
        <v>7.20399226E-2</v>
      </c>
      <c r="R97" s="320">
        <f>+VLOOKUP($E97,Hybrid!$1:$1048576,R$2,FALSE)</f>
        <v>7.3316956399999994E-2</v>
      </c>
      <c r="S97" s="320">
        <f>+VLOOKUP($E97,Hybrid!$1:$1048576,S$2,FALSE)</f>
        <v>7.4571379699999996E-2</v>
      </c>
      <c r="T97" s="320">
        <f>+VLOOKUP($E97,Hybrid!$1:$1048576,T$2,FALSE)</f>
        <v>7.5808682700000005E-2</v>
      </c>
      <c r="U97" s="320">
        <f>+VLOOKUP($E97,Hybrid!$1:$1048576,U$2,FALSE)</f>
        <v>7.7032819700000005E-2</v>
      </c>
      <c r="V97" s="320">
        <f>+VLOOKUP($E97,Hybrid!$1:$1048576,V$2,FALSE)</f>
        <v>7.8246765800000007E-2</v>
      </c>
      <c r="W97" s="320">
        <f>+VLOOKUP($E97,Hybrid!$1:$1048576,W$2,FALSE)</f>
        <v>7.9452853700000006E-2</v>
      </c>
      <c r="X97" s="320">
        <f>+VLOOKUP($E97,Hybrid!$1:$1048576,X$2,FALSE)</f>
        <v>8.0652981900000004E-2</v>
      </c>
      <c r="Y97" s="320">
        <f>+VLOOKUP($E97,Hybrid!$1:$1048576,Y$2,FALSE)</f>
        <v>8.1848748200000002E-2</v>
      </c>
      <c r="Z97" s="320">
        <f>+VLOOKUP($E97,Hybrid!$1:$1048576,Z$2,FALSE)</f>
        <v>8.3041539299999995E-2</v>
      </c>
      <c r="AA97" s="320">
        <f>+VLOOKUP($E97,Hybrid!$1:$1048576,AA$2,FALSE)</f>
        <v>8.4232592800000006E-2</v>
      </c>
      <c r="AB97" s="320">
        <f>+VLOOKUP($E97,Hybrid!$1:$1048576,AB$2,FALSE)</f>
        <v>8.5423042300000002E-2</v>
      </c>
      <c r="AC97" s="320">
        <f>+VLOOKUP($E97,Hybrid!$1:$1048576,AC$2,FALSE)</f>
        <v>8.6613948499999996E-2</v>
      </c>
      <c r="AD97" s="320">
        <f>+VLOOKUP($E97,Hybrid!$1:$1048576,AD$2,FALSE)</f>
        <v>8.78063226E-2</v>
      </c>
      <c r="AE97" s="320">
        <f>+VLOOKUP($E97,Hybrid!$1:$1048576,AE$2,FALSE)</f>
        <v>8.9001140500000006E-2</v>
      </c>
      <c r="AF97" s="320">
        <f>+VLOOKUP($E97,Hybrid!$1:$1048576,AF$2,FALSE)</f>
        <v>9.0199352400000002E-2</v>
      </c>
      <c r="AG97" s="320">
        <f>+VLOOKUP($E97,Hybrid!$1:$1048576,AG$2,FALSE)</f>
        <v>9.1401887200000004E-2</v>
      </c>
      <c r="AH97" s="320">
        <f>+VLOOKUP($E97,Hybrid!$1:$1048576,AH$2,FALSE)</f>
        <v>9.2609653700000003E-2</v>
      </c>
      <c r="AI97" s="320">
        <f>+VLOOKUP($E97,Hybrid!$1:$1048576,AI$2,FALSE)</f>
        <v>9.3823539299999995E-2</v>
      </c>
      <c r="AJ97" s="320">
        <f>+VLOOKUP($E97,Hybrid!$1:$1048576,AJ$2,FALSE)</f>
        <v>9.5044407299999994E-2</v>
      </c>
      <c r="AK97" s="320">
        <f>+VLOOKUP($E97,Hybrid!$1:$1048576,AK$2,FALSE)</f>
        <v>9.6273093700000006E-2</v>
      </c>
      <c r="AL97" s="320">
        <f>+VLOOKUP($E97,Hybrid!$1:$1048576,AL$2,FALSE)</f>
        <v>9.7510402800000007E-2</v>
      </c>
      <c r="AM97" s="320">
        <f>+VLOOKUP($E97,Hybrid!$1:$1048576,AM$2,FALSE)</f>
        <v>9.8757104600000006E-2</v>
      </c>
      <c r="AN97" s="320">
        <f>+VLOOKUP($E97,Hybrid!$1:$1048576,AN$2,FALSE)</f>
        <v>0.1000139306</v>
      </c>
      <c r="AO97" s="320">
        <f>+VLOOKUP($E97,Hybrid!$1:$1048576,AO$2,FALSE)</f>
        <v>0.1012815723</v>
      </c>
      <c r="AP97" s="73"/>
      <c r="AQ97" s="73"/>
    </row>
    <row r="98" spans="1:43" ht="15" customHeight="1" x14ac:dyDescent="0.25">
      <c r="A98" s="384"/>
      <c r="B98" s="383"/>
      <c r="C98" s="164"/>
      <c r="D98" s="120" t="s">
        <v>520</v>
      </c>
      <c r="E98" s="46" t="s">
        <v>426</v>
      </c>
      <c r="F98" s="320">
        <f>+VLOOKUP($E98,Hybrid!$1:$1048576,F$2,FALSE)</f>
        <v>4.2641199999999997E-2</v>
      </c>
      <c r="G98" s="320">
        <f>+VLOOKUP($E98,Hybrid!$1:$1048576,G$2,FALSE)</f>
        <v>4.8309953900000001E-2</v>
      </c>
      <c r="H98" s="320">
        <f>+VLOOKUP($E98,Hybrid!$1:$1048576,H$2,FALSE)</f>
        <v>5.24733015E-2</v>
      </c>
      <c r="I98" s="320">
        <f>+VLOOKUP($E98,Hybrid!$1:$1048576,I$2,FALSE)</f>
        <v>5.5581685999999998E-2</v>
      </c>
      <c r="J98" s="320">
        <f>+VLOOKUP($E98,Hybrid!$1:$1048576,J$2,FALSE)</f>
        <v>5.7972236400000002E-2</v>
      </c>
      <c r="K98" s="320">
        <f>+VLOOKUP($E98,Hybrid!$1:$1048576,K$2,FALSE)</f>
        <v>5.9884492900000003E-2</v>
      </c>
      <c r="L98" s="320">
        <f>+VLOOKUP($E98,Hybrid!$1:$1048576,L$2,FALSE)</f>
        <v>6.14813216E-2</v>
      </c>
      <c r="M98" s="320">
        <f>+VLOOKUP($E98,Hybrid!$1:$1048576,M$2,FALSE)</f>
        <v>6.2869872100000002E-2</v>
      </c>
      <c r="N98" s="320">
        <f>+VLOOKUP($E98,Hybrid!$1:$1048576,N$2,FALSE)</f>
        <v>6.4119042500000001E-2</v>
      </c>
      <c r="O98" s="320">
        <f>+VLOOKUP($E98,Hybrid!$1:$1048576,O$2,FALSE)</f>
        <v>6.5272523799999996E-2</v>
      </c>
      <c r="P98" s="320">
        <f>+VLOOKUP($E98,Hybrid!$1:$1048576,P$2,FALSE)</f>
        <v>6.6357886800000002E-2</v>
      </c>
      <c r="Q98" s="320">
        <f>+VLOOKUP($E98,Hybrid!$1:$1048576,Q$2,FALSE)</f>
        <v>6.7392611800000002E-2</v>
      </c>
      <c r="R98" s="320">
        <f>+VLOOKUP($E98,Hybrid!$1:$1048576,R$2,FALSE)</f>
        <v>6.8387950399999994E-2</v>
      </c>
      <c r="S98" s="320">
        <f>+VLOOKUP($E98,Hybrid!$1:$1048576,S$2,FALSE)</f>
        <v>6.9351329200000006E-2</v>
      </c>
      <c r="T98" s="320">
        <f>+VLOOKUP($E98,Hybrid!$1:$1048576,T$2,FALSE)</f>
        <v>7.0287820400000006E-2</v>
      </c>
      <c r="U98" s="320">
        <f>+VLOOKUP($E98,Hybrid!$1:$1048576,U$2,FALSE)</f>
        <v>7.12010213E-2</v>
      </c>
      <c r="V98" s="320">
        <f>+VLOOKUP($E98,Hybrid!$1:$1048576,V$2,FALSE)</f>
        <v>7.2093584200000005E-2</v>
      </c>
      <c r="W98" s="320">
        <f>+VLOOKUP($E98,Hybrid!$1:$1048576,W$2,FALSE)</f>
        <v>7.2967536299999997E-2</v>
      </c>
      <c r="X98" s="320">
        <f>+VLOOKUP($E98,Hybrid!$1:$1048576,X$2,FALSE)</f>
        <v>7.3824477599999994E-2</v>
      </c>
      <c r="Y98" s="320">
        <f>+VLOOKUP($E98,Hybrid!$1:$1048576,Y$2,FALSE)</f>
        <v>7.4665706999999998E-2</v>
      </c>
      <c r="Z98" s="320">
        <f>+VLOOKUP($E98,Hybrid!$1:$1048576,Z$2,FALSE)</f>
        <v>7.5492307999999994E-2</v>
      </c>
      <c r="AA98" s="320">
        <f>+VLOOKUP($E98,Hybrid!$1:$1048576,AA$2,FALSE)</f>
        <v>7.6305207599999994E-2</v>
      </c>
      <c r="AB98" s="320">
        <f>+VLOOKUP($E98,Hybrid!$1:$1048576,AB$2,FALSE)</f>
        <v>7.7105218700000006E-2</v>
      </c>
      <c r="AC98" s="320">
        <f>+VLOOKUP($E98,Hybrid!$1:$1048576,AC$2,FALSE)</f>
        <v>7.7893070300000006E-2</v>
      </c>
      <c r="AD98" s="320">
        <f>+VLOOKUP($E98,Hybrid!$1:$1048576,AD$2,FALSE)</f>
        <v>7.8669428499999999E-2</v>
      </c>
      <c r="AE98" s="320">
        <f>+VLOOKUP($E98,Hybrid!$1:$1048576,AE$2,FALSE)</f>
        <v>7.94349107E-2</v>
      </c>
      <c r="AF98" s="320">
        <f>+VLOOKUP($E98,Hybrid!$1:$1048576,AF$2,FALSE)</f>
        <v>8.0190093399999995E-2</v>
      </c>
      <c r="AG98" s="320">
        <f>+VLOOKUP($E98,Hybrid!$1:$1048576,AG$2,FALSE)</f>
        <v>8.0935516700000001E-2</v>
      </c>
      <c r="AH98" s="320">
        <f>+VLOOKUP($E98,Hybrid!$1:$1048576,AH$2,FALSE)</f>
        <v>8.1671684699999997E-2</v>
      </c>
      <c r="AI98" s="320">
        <f>+VLOOKUP($E98,Hybrid!$1:$1048576,AI$2,FALSE)</f>
        <v>8.2399064499999994E-2</v>
      </c>
      <c r="AJ98" s="320">
        <f>+VLOOKUP($E98,Hybrid!$1:$1048576,AJ$2,FALSE)</f>
        <v>8.3118083600000003E-2</v>
      </c>
      <c r="AK98" s="320">
        <f>+VLOOKUP($E98,Hybrid!$1:$1048576,AK$2,FALSE)</f>
        <v>8.3829126300000001E-2</v>
      </c>
      <c r="AL98" s="320">
        <f>+VLOOKUP($E98,Hybrid!$1:$1048576,AL$2,FALSE)</f>
        <v>8.4532530800000005E-2</v>
      </c>
      <c r="AM98" s="320">
        <f>+VLOOKUP($E98,Hybrid!$1:$1048576,AM$2,FALSE)</f>
        <v>8.5228585900000001E-2</v>
      </c>
      <c r="AN98" s="320">
        <f>+VLOOKUP($E98,Hybrid!$1:$1048576,AN$2,FALSE)</f>
        <v>8.5917528399999998E-2</v>
      </c>
      <c r="AO98" s="320">
        <f>+VLOOKUP($E98,Hybrid!$1:$1048576,AO$2,FALSE)</f>
        <v>8.6599541399999994E-2</v>
      </c>
      <c r="AP98" s="73"/>
      <c r="AQ98" s="73"/>
    </row>
    <row r="99" spans="1:43" ht="15" customHeight="1" x14ac:dyDescent="0.25">
      <c r="A99" s="384"/>
      <c r="B99" s="383"/>
      <c r="C99" s="164"/>
      <c r="D99" s="120" t="s">
        <v>521</v>
      </c>
      <c r="E99" s="46" t="s">
        <v>427</v>
      </c>
      <c r="F99" s="320">
        <f>+VLOOKUP($E99,Hybrid!$1:$1048576,F$2,FALSE)</f>
        <v>2.9516000000000001E-2</v>
      </c>
      <c r="G99" s="320">
        <f>+VLOOKUP($E99,Hybrid!$1:$1048576,G$2,FALSE)</f>
        <v>3.3400811099999997E-2</v>
      </c>
      <c r="H99" s="320">
        <f>+VLOOKUP($E99,Hybrid!$1:$1048576,H$2,FALSE)</f>
        <v>3.6214816900000002E-2</v>
      </c>
      <c r="I99" s="320">
        <f>+VLOOKUP($E99,Hybrid!$1:$1048576,I$2,FALSE)</f>
        <v>3.82794547E-2</v>
      </c>
      <c r="J99" s="320">
        <f>+VLOOKUP($E99,Hybrid!$1:$1048576,J$2,FALSE)</f>
        <v>3.9834578400000001E-2</v>
      </c>
      <c r="K99" s="320">
        <f>+VLOOKUP($E99,Hybrid!$1:$1048576,K$2,FALSE)</f>
        <v>4.10497534E-2</v>
      </c>
      <c r="L99" s="320">
        <f>+VLOOKUP($E99,Hybrid!$1:$1048576,L$2,FALSE)</f>
        <v>4.20396585E-2</v>
      </c>
      <c r="M99" s="320">
        <f>+VLOOKUP($E99,Hybrid!$1:$1048576,M$2,FALSE)</f>
        <v>4.2879355500000001E-2</v>
      </c>
      <c r="N99" s="320">
        <f>+VLOOKUP($E99,Hybrid!$1:$1048576,N$2,FALSE)</f>
        <v>4.36168761E-2</v>
      </c>
      <c r="O99" s="320">
        <f>+VLOOKUP($E99,Hybrid!$1:$1048576,O$2,FALSE)</f>
        <v>4.4282542299999998E-2</v>
      </c>
      <c r="P99" s="320">
        <f>+VLOOKUP($E99,Hybrid!$1:$1048576,P$2,FALSE)</f>
        <v>4.4895409400000003E-2</v>
      </c>
      <c r="Q99" s="320">
        <f>+VLOOKUP($E99,Hybrid!$1:$1048576,Q$2,FALSE)</f>
        <v>4.54675155E-2</v>
      </c>
      <c r="R99" s="320">
        <f>+VLOOKUP($E99,Hybrid!$1:$1048576,R$2,FALSE)</f>
        <v>4.6006584599999997E-2</v>
      </c>
      <c r="S99" s="320">
        <f>+VLOOKUP($E99,Hybrid!$1:$1048576,S$2,FALSE)</f>
        <v>4.6517701000000002E-2</v>
      </c>
      <c r="T99" s="320">
        <f>+VLOOKUP($E99,Hybrid!$1:$1048576,T$2,FALSE)</f>
        <v>4.7004327300000003E-2</v>
      </c>
      <c r="U99" s="320">
        <f>+VLOOKUP($E99,Hybrid!$1:$1048576,U$2,FALSE)</f>
        <v>4.7468910400000001E-2</v>
      </c>
      <c r="V99" s="320">
        <f>+VLOOKUP($E99,Hybrid!$1:$1048576,V$2,FALSE)</f>
        <v>4.7913245200000003E-2</v>
      </c>
      <c r="W99" s="320">
        <f>+VLOOKUP($E99,Hybrid!$1:$1048576,W$2,FALSE)</f>
        <v>4.8338694299999999E-2</v>
      </c>
      <c r="X99" s="320">
        <f>+VLOOKUP($E99,Hybrid!$1:$1048576,X$2,FALSE)</f>
        <v>4.8746322199999997E-2</v>
      </c>
      <c r="Y99" s="320">
        <f>+VLOOKUP($E99,Hybrid!$1:$1048576,Y$2,FALSE)</f>
        <v>4.9136983299999999E-2</v>
      </c>
      <c r="Z99" s="320">
        <f>+VLOOKUP($E99,Hybrid!$1:$1048576,Z$2,FALSE)</f>
        <v>4.9511379299999998E-2</v>
      </c>
      <c r="AA99" s="320">
        <f>+VLOOKUP($E99,Hybrid!$1:$1048576,AA$2,FALSE)</f>
        <v>4.9870101100000001E-2</v>
      </c>
      <c r="AB99" s="320">
        <f>+VLOOKUP($E99,Hybrid!$1:$1048576,AB$2,FALSE)</f>
        <v>5.02136569E-2</v>
      </c>
      <c r="AC99" s="320">
        <f>+VLOOKUP($E99,Hybrid!$1:$1048576,AC$2,FALSE)</f>
        <v>5.0542494100000002E-2</v>
      </c>
      <c r="AD99" s="320">
        <f>+VLOOKUP($E99,Hybrid!$1:$1048576,AD$2,FALSE)</f>
        <v>5.0857013200000002E-2</v>
      </c>
      <c r="AE99" s="320">
        <f>+VLOOKUP($E99,Hybrid!$1:$1048576,AE$2,FALSE)</f>
        <v>5.1157577400000001E-2</v>
      </c>
      <c r="AF99" s="320">
        <f>+VLOOKUP($E99,Hybrid!$1:$1048576,AF$2,FALSE)</f>
        <v>5.1444518799999998E-2</v>
      </c>
      <c r="AG99" s="320">
        <f>+VLOOKUP($E99,Hybrid!$1:$1048576,AG$2,FALSE)</f>
        <v>5.1718141099999997E-2</v>
      </c>
      <c r="AH99" s="320">
        <f>+VLOOKUP($E99,Hybrid!$1:$1048576,AH$2,FALSE)</f>
        <v>5.19787201E-2</v>
      </c>
      <c r="AI99" s="320">
        <f>+VLOOKUP($E99,Hybrid!$1:$1048576,AI$2,FALSE)</f>
        <v>5.2226503700000003E-2</v>
      </c>
      <c r="AJ99" s="320">
        <f>+VLOOKUP($E99,Hybrid!$1:$1048576,AJ$2,FALSE)</f>
        <v>5.2461710100000003E-2</v>
      </c>
      <c r="AK99" s="320">
        <f>+VLOOKUP($E99,Hybrid!$1:$1048576,AK$2,FALSE)</f>
        <v>5.2684526199999998E-2</v>
      </c>
      <c r="AL99" s="320">
        <f>+VLOOKUP($E99,Hybrid!$1:$1048576,AL$2,FALSE)</f>
        <v>5.28951062E-2</v>
      </c>
      <c r="AM99" s="320">
        <f>+VLOOKUP($E99,Hybrid!$1:$1048576,AM$2,FALSE)</f>
        <v>5.30935695E-2</v>
      </c>
      <c r="AN99" s="320">
        <f>+VLOOKUP($E99,Hybrid!$1:$1048576,AN$2,FALSE)</f>
        <v>5.3280000500000001E-2</v>
      </c>
      <c r="AO99" s="320">
        <f>+VLOOKUP($E99,Hybrid!$1:$1048576,AO$2,FALSE)</f>
        <v>5.3454447500000002E-2</v>
      </c>
      <c r="AP99" s="73"/>
      <c r="AQ99" s="73"/>
    </row>
    <row r="100" spans="1:43" ht="15" customHeight="1" x14ac:dyDescent="0.25">
      <c r="A100" s="384"/>
      <c r="B100" s="383"/>
      <c r="C100" s="164"/>
      <c r="D100" s="120" t="s">
        <v>522</v>
      </c>
      <c r="E100" s="46" t="s">
        <v>428</v>
      </c>
      <c r="F100" s="320">
        <f>+VLOOKUP($E100,Hybrid!$1:$1048576,F$2,FALSE)</f>
        <v>1.63594E-2</v>
      </c>
      <c r="G100" s="320">
        <f>+VLOOKUP($E100,Hybrid!$1:$1048576,G$2,FALSE)</f>
        <v>1.8412561800000001E-2</v>
      </c>
      <c r="H100" s="320">
        <f>+VLOOKUP($E100,Hybrid!$1:$1048576,H$2,FALSE)</f>
        <v>1.98000126E-2</v>
      </c>
      <c r="I100" s="320">
        <f>+VLOOKUP($E100,Hybrid!$1:$1048576,I$2,FALSE)</f>
        <v>2.07258949E-2</v>
      </c>
      <c r="J100" s="320">
        <f>+VLOOKUP($E100,Hybrid!$1:$1048576,J$2,FALSE)</f>
        <v>2.1340775499999999E-2</v>
      </c>
      <c r="K100" s="320">
        <f>+VLOOKUP($E100,Hybrid!$1:$1048576,K$2,FALSE)</f>
        <v>2.1748976199999999E-2</v>
      </c>
      <c r="L100" s="320">
        <f>+VLOOKUP($E100,Hybrid!$1:$1048576,L$2,FALSE)</f>
        <v>2.2019564200000001E-2</v>
      </c>
      <c r="M100" s="320">
        <f>+VLOOKUP($E100,Hybrid!$1:$1048576,M$2,FALSE)</f>
        <v>2.21968515E-2</v>
      </c>
      <c r="N100" s="320">
        <f>+VLOOKUP($E100,Hybrid!$1:$1048576,N$2,FALSE)</f>
        <v>2.23087098E-2</v>
      </c>
      <c r="O100" s="320">
        <f>+VLOOKUP($E100,Hybrid!$1:$1048576,O$2,FALSE)</f>
        <v>2.23725125E-2</v>
      </c>
      <c r="P100" s="320">
        <f>+VLOOKUP($E100,Hybrid!$1:$1048576,P$2,FALSE)</f>
        <v>2.23991165E-2</v>
      </c>
      <c r="Q100" s="320">
        <f>+VLOOKUP($E100,Hybrid!$1:$1048576,Q$2,FALSE)</f>
        <v>2.2395412199999999E-2</v>
      </c>
      <c r="R100" s="320">
        <f>+VLOOKUP($E100,Hybrid!$1:$1048576,R$2,FALSE)</f>
        <v>2.2365902699999999E-2</v>
      </c>
      <c r="S100" s="320">
        <f>+VLOOKUP($E100,Hybrid!$1:$1048576,S$2,FALSE)</f>
        <v>2.2313656000000001E-2</v>
      </c>
      <c r="T100" s="320">
        <f>+VLOOKUP($E100,Hybrid!$1:$1048576,T$2,FALSE)</f>
        <v>2.2240869600000001E-2</v>
      </c>
      <c r="U100" s="320">
        <f>+VLOOKUP($E100,Hybrid!$1:$1048576,U$2,FALSE)</f>
        <v>2.2149200000000001E-2</v>
      </c>
      <c r="V100" s="320">
        <f>+VLOOKUP($E100,Hybrid!$1:$1048576,V$2,FALSE)</f>
        <v>2.20399571E-2</v>
      </c>
      <c r="W100" s="320">
        <f>+VLOOKUP($E100,Hybrid!$1:$1048576,W$2,FALSE)</f>
        <v>2.1914220599999999E-2</v>
      </c>
      <c r="X100" s="320">
        <f>+VLOOKUP($E100,Hybrid!$1:$1048576,X$2,FALSE)</f>
        <v>2.1772911200000002E-2</v>
      </c>
      <c r="Y100" s="320">
        <f>+VLOOKUP($E100,Hybrid!$1:$1048576,Y$2,FALSE)</f>
        <v>2.1616837900000001E-2</v>
      </c>
      <c r="Z100" s="320">
        <f>+VLOOKUP($E100,Hybrid!$1:$1048576,Z$2,FALSE)</f>
        <v>2.14467289E-2</v>
      </c>
      <c r="AA100" s="320">
        <f>+VLOOKUP($E100,Hybrid!$1:$1048576,AA$2,FALSE)</f>
        <v>2.1263254400000001E-2</v>
      </c>
      <c r="AB100" s="320">
        <f>+VLOOKUP($E100,Hybrid!$1:$1048576,AB$2,FALSE)</f>
        <v>2.1067042599999999E-2</v>
      </c>
      <c r="AC100" s="320">
        <f>+VLOOKUP($E100,Hybrid!$1:$1048576,AC$2,FALSE)</f>
        <v>2.0858690400000001E-2</v>
      </c>
      <c r="AD100" s="320">
        <f>+VLOOKUP($E100,Hybrid!$1:$1048576,AD$2,FALSE)</f>
        <v>2.0638772100000001E-2</v>
      </c>
      <c r="AE100" s="320">
        <f>+VLOOKUP($E100,Hybrid!$1:$1048576,AE$2,FALSE)</f>
        <v>2.04078439E-2</v>
      </c>
      <c r="AF100" s="320">
        <f>+VLOOKUP($E100,Hybrid!$1:$1048576,AF$2,FALSE)</f>
        <v>2.0166447300000001E-2</v>
      </c>
      <c r="AG100" s="320">
        <f>+VLOOKUP($E100,Hybrid!$1:$1048576,AG$2,FALSE)</f>
        <v>1.9915110699999999E-2</v>
      </c>
      <c r="AH100" s="320">
        <f>+VLOOKUP($E100,Hybrid!$1:$1048576,AH$2,FALSE)</f>
        <v>1.9654350399999999E-2</v>
      </c>
      <c r="AI100" s="320">
        <f>+VLOOKUP($E100,Hybrid!$1:$1048576,AI$2,FALSE)</f>
        <v>1.9384670499999999E-2</v>
      </c>
      <c r="AJ100" s="320">
        <f>+VLOOKUP($E100,Hybrid!$1:$1048576,AJ$2,FALSE)</f>
        <v>1.9106563E-2</v>
      </c>
      <c r="AK100" s="320">
        <f>+VLOOKUP($E100,Hybrid!$1:$1048576,AK$2,FALSE)</f>
        <v>1.8820507600000001E-2</v>
      </c>
      <c r="AL100" s="320">
        <f>+VLOOKUP($E100,Hybrid!$1:$1048576,AL$2,FALSE)</f>
        <v>1.8526971900000001E-2</v>
      </c>
      <c r="AM100" s="320">
        <f>+VLOOKUP($E100,Hybrid!$1:$1048576,AM$2,FALSE)</f>
        <v>1.8226411200000001E-2</v>
      </c>
      <c r="AN100" s="320">
        <f>+VLOOKUP($E100,Hybrid!$1:$1048576,AN$2,FALSE)</f>
        <v>1.7919269299999999E-2</v>
      </c>
      <c r="AO100" s="320">
        <f>+VLOOKUP($E100,Hybrid!$1:$1048576,AO$2,FALSE)</f>
        <v>1.7605978800000002E-2</v>
      </c>
      <c r="AP100" s="73"/>
      <c r="AQ100" s="73"/>
    </row>
    <row r="101" spans="1:43" ht="15" customHeight="1" x14ac:dyDescent="0.25">
      <c r="A101" s="384"/>
      <c r="B101" s="383"/>
      <c r="C101" s="164"/>
      <c r="D101" s="120" t="s">
        <v>523</v>
      </c>
      <c r="E101" s="46" t="s">
        <v>429</v>
      </c>
      <c r="F101" s="320">
        <f>+VLOOKUP($E101,Hybrid!$1:$1048576,F$2,FALSE)</f>
        <v>1.00637E-2</v>
      </c>
      <c r="G101" s="320">
        <f>+VLOOKUP($E101,Hybrid!$1:$1048576,G$2,FALSE)</f>
        <v>1.1271548500000001E-2</v>
      </c>
      <c r="H101" s="320">
        <f>+VLOOKUP($E101,Hybrid!$1:$1048576,H$2,FALSE)</f>
        <v>1.2031372800000001E-2</v>
      </c>
      <c r="I101" s="320">
        <f>+VLOOKUP($E101,Hybrid!$1:$1048576,I$2,FALSE)</f>
        <v>1.24840271E-2</v>
      </c>
      <c r="J101" s="320">
        <f>+VLOOKUP($E101,Hybrid!$1:$1048576,J$2,FALSE)</f>
        <v>1.2732429E-2</v>
      </c>
      <c r="K101" s="320">
        <f>+VLOOKUP($E101,Hybrid!$1:$1048576,K$2,FALSE)</f>
        <v>1.28468035E-2</v>
      </c>
      <c r="L101" s="320">
        <f>+VLOOKUP($E101,Hybrid!$1:$1048576,L$2,FALSE)</f>
        <v>1.28729133E-2</v>
      </c>
      <c r="M101" s="320">
        <f>+VLOOKUP($E101,Hybrid!$1:$1048576,M$2,FALSE)</f>
        <v>1.2839708199999999E-2</v>
      </c>
      <c r="N101" s="320">
        <f>+VLOOKUP($E101,Hybrid!$1:$1048576,N$2,FALSE)</f>
        <v>1.2765208199999999E-2</v>
      </c>
      <c r="O101" s="320">
        <f>+VLOOKUP($E101,Hybrid!$1:$1048576,O$2,FALSE)</f>
        <v>1.26605973E-2</v>
      </c>
      <c r="P101" s="320">
        <f>+VLOOKUP($E101,Hybrid!$1:$1048576,P$2,FALSE)</f>
        <v>1.2532899700000001E-2</v>
      </c>
      <c r="Q101" s="320">
        <f>+VLOOKUP($E101,Hybrid!$1:$1048576,Q$2,FALSE)</f>
        <v>1.2386654E-2</v>
      </c>
      <c r="R101" s="320">
        <f>+VLOOKUP($E101,Hybrid!$1:$1048576,R$2,FALSE)</f>
        <v>1.2224926400000001E-2</v>
      </c>
      <c r="S101" s="320">
        <f>+VLOOKUP($E101,Hybrid!$1:$1048576,S$2,FALSE)</f>
        <v>1.2049908200000001E-2</v>
      </c>
      <c r="T101" s="320">
        <f>+VLOOKUP($E101,Hybrid!$1:$1048576,T$2,FALSE)</f>
        <v>1.18632623E-2</v>
      </c>
      <c r="U101" s="320">
        <f>+VLOOKUP($E101,Hybrid!$1:$1048576,U$2,FALSE)</f>
        <v>1.1666322099999999E-2</v>
      </c>
      <c r="V101" s="320">
        <f>+VLOOKUP($E101,Hybrid!$1:$1048576,V$2,FALSE)</f>
        <v>1.14602071E-2</v>
      </c>
      <c r="W101" s="320">
        <f>+VLOOKUP($E101,Hybrid!$1:$1048576,W$2,FALSE)</f>
        <v>1.1245890499999999E-2</v>
      </c>
      <c r="X101" s="320">
        <f>+VLOOKUP($E101,Hybrid!$1:$1048576,X$2,FALSE)</f>
        <v>1.1024242300000001E-2</v>
      </c>
      <c r="Y101" s="320">
        <f>+VLOOKUP($E101,Hybrid!$1:$1048576,Y$2,FALSE)</f>
        <v>1.0796055400000001E-2</v>
      </c>
      <c r="Z101" s="320">
        <f>+VLOOKUP($E101,Hybrid!$1:$1048576,Z$2,FALSE)</f>
        <v>1.0562065400000001E-2</v>
      </c>
      <c r="AA101" s="320">
        <f>+VLOOKUP($E101,Hybrid!$1:$1048576,AA$2,FALSE)</f>
        <v>1.03229627E-2</v>
      </c>
      <c r="AB101" s="320">
        <f>+VLOOKUP($E101,Hybrid!$1:$1048576,AB$2,FALSE)</f>
        <v>1.00794018E-2</v>
      </c>
      <c r="AC101" s="320">
        <f>+VLOOKUP($E101,Hybrid!$1:$1048576,AC$2,FALSE)</f>
        <v>9.8320081600000008E-3</v>
      </c>
      <c r="AD101" s="320">
        <f>+VLOOKUP($E101,Hybrid!$1:$1048576,AD$2,FALSE)</f>
        <v>9.5813816199999992E-3</v>
      </c>
      <c r="AE101" s="320">
        <f>+VLOOKUP($E101,Hybrid!$1:$1048576,AE$2,FALSE)</f>
        <v>9.3280996000000005E-3</v>
      </c>
      <c r="AF101" s="320">
        <f>+VLOOKUP($E101,Hybrid!$1:$1048576,AF$2,FALSE)</f>
        <v>9.0727182900000002E-3</v>
      </c>
      <c r="AG101" s="320">
        <f>+VLOOKUP($E101,Hybrid!$1:$1048576,AG$2,FALSE)</f>
        <v>8.8157734600000006E-3</v>
      </c>
      <c r="AH101" s="320">
        <f>+VLOOKUP($E101,Hybrid!$1:$1048576,AH$2,FALSE)</f>
        <v>8.55778066E-3</v>
      </c>
      <c r="AI101" s="320">
        <f>+VLOOKUP($E101,Hybrid!$1:$1048576,AI$2,FALSE)</f>
        <v>8.2992351799999996E-3</v>
      </c>
      <c r="AJ101" s="320">
        <f>+VLOOKUP($E101,Hybrid!$1:$1048576,AJ$2,FALSE)</f>
        <v>8.0406119199999994E-3</v>
      </c>
      <c r="AK101" s="320">
        <f>+VLOOKUP($E101,Hybrid!$1:$1048576,AK$2,FALSE)</f>
        <v>7.7823653499999998E-3</v>
      </c>
      <c r="AL101" s="320">
        <f>+VLOOKUP($E101,Hybrid!$1:$1048576,AL$2,FALSE)</f>
        <v>7.5249294800000003E-3</v>
      </c>
      <c r="AM101" s="320">
        <f>+VLOOKUP($E101,Hybrid!$1:$1048576,AM$2,FALSE)</f>
        <v>7.2687180000000004E-3</v>
      </c>
      <c r="AN101" s="320">
        <f>+VLOOKUP($E101,Hybrid!$1:$1048576,AN$2,FALSE)</f>
        <v>7.0141245499999996E-3</v>
      </c>
      <c r="AO101" s="320">
        <f>+VLOOKUP($E101,Hybrid!$1:$1048576,AO$2,FALSE)</f>
        <v>6.7615230300000001E-3</v>
      </c>
      <c r="AP101" s="73"/>
      <c r="AQ101" s="73"/>
    </row>
    <row r="102" spans="1:43" ht="15" customHeight="1" x14ac:dyDescent="0.25">
      <c r="A102" s="384"/>
      <c r="B102" s="383"/>
      <c r="C102" s="164"/>
      <c r="D102" s="120" t="s">
        <v>524</v>
      </c>
      <c r="E102" s="46" t="s">
        <v>430</v>
      </c>
      <c r="F102" s="320">
        <f>+VLOOKUP($E102,Hybrid!$1:$1048576,F$2,FALSE)</f>
        <v>4.8669999999999998E-3</v>
      </c>
      <c r="G102" s="320">
        <f>+VLOOKUP($E102,Hybrid!$1:$1048576,G$2,FALSE)</f>
        <v>5.3575078100000003E-3</v>
      </c>
      <c r="H102" s="320">
        <f>+VLOOKUP($E102,Hybrid!$1:$1048576,H$2,FALSE)</f>
        <v>5.5705199400000001E-3</v>
      </c>
      <c r="I102" s="320">
        <f>+VLOOKUP($E102,Hybrid!$1:$1048576,I$2,FALSE)</f>
        <v>5.6030704399999999E-3</v>
      </c>
      <c r="J102" s="320">
        <f>+VLOOKUP($E102,Hybrid!$1:$1048576,J$2,FALSE)</f>
        <v>5.5240086700000003E-3</v>
      </c>
      <c r="K102" s="320">
        <f>+VLOOKUP($E102,Hybrid!$1:$1048576,K$2,FALSE)</f>
        <v>5.3782956100000001E-3</v>
      </c>
      <c r="L102" s="320">
        <f>+VLOOKUP($E102,Hybrid!$1:$1048576,L$2,FALSE)</f>
        <v>5.1938975E-3</v>
      </c>
      <c r="M102" s="320">
        <f>+VLOOKUP($E102,Hybrid!$1:$1048576,M$2,FALSE)</f>
        <v>4.9877503500000003E-3</v>
      </c>
      <c r="N102" s="320">
        <f>+VLOOKUP($E102,Hybrid!$1:$1048576,N$2,FALSE)</f>
        <v>4.7700213399999997E-3</v>
      </c>
      <c r="O102" s="320">
        <f>+VLOOKUP($E102,Hybrid!$1:$1048576,O$2,FALSE)</f>
        <v>4.5468712599999999E-3</v>
      </c>
      <c r="P102" s="320">
        <f>+VLOOKUP($E102,Hybrid!$1:$1048576,P$2,FALSE)</f>
        <v>4.3221395299999996E-3</v>
      </c>
      <c r="Q102" s="320">
        <f>+VLOOKUP($E102,Hybrid!$1:$1048576,Q$2,FALSE)</f>
        <v>4.0983287499999996E-3</v>
      </c>
      <c r="R102" s="320">
        <f>+VLOOKUP($E102,Hybrid!$1:$1048576,R$2,FALSE)</f>
        <v>3.8771618600000001E-3</v>
      </c>
      <c r="S102" s="320">
        <f>+VLOOKUP($E102,Hybrid!$1:$1048576,S$2,FALSE)</f>
        <v>3.6598904199999999E-3</v>
      </c>
      <c r="T102" s="320">
        <f>+VLOOKUP($E102,Hybrid!$1:$1048576,T$2,FALSE)</f>
        <v>3.4474635899999998E-3</v>
      </c>
      <c r="U102" s="320">
        <f>+VLOOKUP($E102,Hybrid!$1:$1048576,U$2,FALSE)</f>
        <v>3.24062164E-3</v>
      </c>
      <c r="V102" s="320">
        <f>+VLOOKUP($E102,Hybrid!$1:$1048576,V$2,FALSE)</f>
        <v>3.0399495200000002E-3</v>
      </c>
      <c r="W102" s="320">
        <f>+VLOOKUP($E102,Hybrid!$1:$1048576,W$2,FALSE)</f>
        <v>2.84590959E-3</v>
      </c>
      <c r="X102" s="320">
        <f>+VLOOKUP($E102,Hybrid!$1:$1048576,X$2,FALSE)</f>
        <v>2.65886323E-3</v>
      </c>
      <c r="Y102" s="320">
        <f>+VLOOKUP($E102,Hybrid!$1:$1048576,Y$2,FALSE)</f>
        <v>2.47908626E-3</v>
      </c>
      <c r="Z102" s="320">
        <f>+VLOOKUP($E102,Hybrid!$1:$1048576,Z$2,FALSE)</f>
        <v>2.3067806400000001E-3</v>
      </c>
      <c r="AA102" s="320">
        <f>+VLOOKUP($E102,Hybrid!$1:$1048576,AA$2,FALSE)</f>
        <v>2.1420836499999999E-3</v>
      </c>
      <c r="AB102" s="320">
        <f>+VLOOKUP($E102,Hybrid!$1:$1048576,AB$2,FALSE)</f>
        <v>1.9850754199999998E-3</v>
      </c>
      <c r="AC102" s="320">
        <f>+VLOOKUP($E102,Hybrid!$1:$1048576,AC$2,FALSE)</f>
        <v>1.8357850700000001E-3</v>
      </c>
      <c r="AD102" s="320">
        <f>+VLOOKUP($E102,Hybrid!$1:$1048576,AD$2,FALSE)</f>
        <v>1.6941959800000001E-3</v>
      </c>
      <c r="AE102" s="320">
        <f>+VLOOKUP($E102,Hybrid!$1:$1048576,AE$2,FALSE)</f>
        <v>1.56025043E-3</v>
      </c>
      <c r="AF102" s="320">
        <f>+VLOOKUP($E102,Hybrid!$1:$1048576,AF$2,FALSE)</f>
        <v>1.43385374E-3</v>
      </c>
      <c r="AG102" s="320">
        <f>+VLOOKUP($E102,Hybrid!$1:$1048576,AG$2,FALSE)</f>
        <v>1.3148781299999999E-3</v>
      </c>
      <c r="AH102" s="320">
        <f>+VLOOKUP($E102,Hybrid!$1:$1048576,AH$2,FALSE)</f>
        <v>1.2031663699999999E-3</v>
      </c>
      <c r="AI102" s="320">
        <f>+VLOOKUP($E102,Hybrid!$1:$1048576,AI$2,FALSE)</f>
        <v>1.0985353300000001E-3</v>
      </c>
      <c r="AJ102" s="320">
        <f>+VLOOKUP($E102,Hybrid!$1:$1048576,AJ$2,FALSE)</f>
        <v>1.0007792999999999E-3</v>
      </c>
      <c r="AK102" s="320">
        <f>+VLOOKUP($E102,Hybrid!$1:$1048576,AK$2,FALSE)</f>
        <v>9.0967332399999996E-4</v>
      </c>
      <c r="AL102" s="320">
        <f>+VLOOKUP($E102,Hybrid!$1:$1048576,AL$2,FALSE)</f>
        <v>8.2497634999999995E-4</v>
      </c>
      <c r="AM102" s="320">
        <f>+VLOOKUP($E102,Hybrid!$1:$1048576,AM$2,FALSE)</f>
        <v>7.4643422200000001E-4</v>
      </c>
      <c r="AN102" s="320">
        <f>+VLOOKUP($E102,Hybrid!$1:$1048576,AN$2,FALSE)</f>
        <v>6.7378256599999996E-4</v>
      </c>
      <c r="AO102" s="320">
        <f>+VLOOKUP($E102,Hybrid!$1:$1048576,AO$2,FALSE)</f>
        <v>6.0674947300000002E-4</v>
      </c>
      <c r="AP102" s="73"/>
      <c r="AQ102" s="73"/>
    </row>
    <row r="103" spans="1:43" ht="15" customHeight="1" x14ac:dyDescent="0.25">
      <c r="A103" s="384"/>
      <c r="B103" s="383"/>
      <c r="C103" s="164"/>
      <c r="D103" s="120" t="s">
        <v>525</v>
      </c>
      <c r="E103" s="46" t="s">
        <v>431</v>
      </c>
      <c r="F103" s="320">
        <f>+VLOOKUP($E103,Hybrid!$1:$1048576,F$2,FALSE)</f>
        <v>9.1374000000000004E-3</v>
      </c>
      <c r="G103" s="320">
        <f>+VLOOKUP($E103,Hybrid!$1:$1048576,G$2,FALSE)</f>
        <v>9.9069832299999994E-3</v>
      </c>
      <c r="H103" s="320">
        <f>+VLOOKUP($E103,Hybrid!$1:$1048576,H$2,FALSE)</f>
        <v>1.00680331E-2</v>
      </c>
      <c r="I103" s="320">
        <f>+VLOOKUP($E103,Hybrid!$1:$1048576,I$2,FALSE)</f>
        <v>9.8556185199999997E-3</v>
      </c>
      <c r="J103" s="320">
        <f>+VLOOKUP($E103,Hybrid!$1:$1048576,J$2,FALSE)</f>
        <v>9.4321479799999997E-3</v>
      </c>
      <c r="K103" s="320">
        <f>+VLOOKUP($E103,Hybrid!$1:$1048576,K$2,FALSE)</f>
        <v>8.8998469600000008E-3</v>
      </c>
      <c r="L103" s="320">
        <f>+VLOOKUP($E103,Hybrid!$1:$1048576,L$2,FALSE)</f>
        <v>8.3195777299999996E-3</v>
      </c>
      <c r="M103" s="320">
        <f>+VLOOKUP($E103,Hybrid!$1:$1048576,M$2,FALSE)</f>
        <v>7.7263419899999998E-3</v>
      </c>
      <c r="N103" s="320">
        <f>+VLOOKUP($E103,Hybrid!$1:$1048576,N$2,FALSE)</f>
        <v>7.1398583600000001E-3</v>
      </c>
      <c r="O103" s="320">
        <f>+VLOOKUP($E103,Hybrid!$1:$1048576,O$2,FALSE)</f>
        <v>6.5711175799999999E-3</v>
      </c>
      <c r="P103" s="320">
        <f>+VLOOKUP($E103,Hybrid!$1:$1048576,P$2,FALSE)</f>
        <v>6.0262082799999997E-3</v>
      </c>
      <c r="Q103" s="320">
        <f>+VLOOKUP($E103,Hybrid!$1:$1048576,Q$2,FALSE)</f>
        <v>5.5084593799999996E-3</v>
      </c>
      <c r="R103" s="320">
        <f>+VLOOKUP($E103,Hybrid!$1:$1048576,R$2,FALSE)</f>
        <v>5.0196073100000002E-3</v>
      </c>
      <c r="S103" s="320">
        <f>+VLOOKUP($E103,Hybrid!$1:$1048576,S$2,FALSE)</f>
        <v>4.5604241399999999E-3</v>
      </c>
      <c r="T103" s="320">
        <f>+VLOOKUP($E103,Hybrid!$1:$1048576,T$2,FALSE)</f>
        <v>4.1310590000000003E-3</v>
      </c>
      <c r="U103" s="320">
        <f>+VLOOKUP($E103,Hybrid!$1:$1048576,U$2,FALSE)</f>
        <v>3.7312312300000002E-3</v>
      </c>
      <c r="V103" s="320">
        <f>+VLOOKUP($E103,Hybrid!$1:$1048576,V$2,FALSE)</f>
        <v>3.3603479199999999E-3</v>
      </c>
      <c r="W103" s="320">
        <f>+VLOOKUP($E103,Hybrid!$1:$1048576,W$2,FALSE)</f>
        <v>3.0175825899999998E-3</v>
      </c>
      <c r="X103" s="320">
        <f>+VLOOKUP($E103,Hybrid!$1:$1048576,X$2,FALSE)</f>
        <v>2.7019324400000002E-3</v>
      </c>
      <c r="Y103" s="320">
        <f>+VLOOKUP($E103,Hybrid!$1:$1048576,Y$2,FALSE)</f>
        <v>2.4122629099999999E-3</v>
      </c>
      <c r="Z103" s="320">
        <f>+VLOOKUP($E103,Hybrid!$1:$1048576,Z$2,FALSE)</f>
        <v>2.1473436699999998E-3</v>
      </c>
      <c r="AA103" s="320">
        <f>+VLOOKUP($E103,Hybrid!$1:$1048576,AA$2,FALSE)</f>
        <v>1.90587814E-3</v>
      </c>
      <c r="AB103" s="320">
        <f>+VLOOKUP($E103,Hybrid!$1:$1048576,AB$2,FALSE)</f>
        <v>1.68652813E-3</v>
      </c>
      <c r="AC103" s="320">
        <f>+VLOOKUP($E103,Hybrid!$1:$1048576,AC$2,FALSE)</f>
        <v>1.4879344200000001E-3</v>
      </c>
      <c r="AD103" s="320">
        <f>+VLOOKUP($E103,Hybrid!$1:$1048576,AD$2,FALSE)</f>
        <v>1.3087340300000001E-3</v>
      </c>
      <c r="AE103" s="320">
        <f>+VLOOKUP($E103,Hybrid!$1:$1048576,AE$2,FALSE)</f>
        <v>1.14757481E-3</v>
      </c>
      <c r="AF103" s="320">
        <f>+VLOOKUP($E103,Hybrid!$1:$1048576,AF$2,FALSE)</f>
        <v>1.00312774E-3</v>
      </c>
      <c r="AG103" s="320">
        <f>+VLOOKUP($E103,Hybrid!$1:$1048576,AG$2,FALSE)</f>
        <v>8.7409721999999999E-4</v>
      </c>
      <c r="AH103" s="320">
        <f>+VLOOKUP($E103,Hybrid!$1:$1048576,AH$2,FALSE)</f>
        <v>7.5922970099999995E-4</v>
      </c>
      <c r="AI103" s="320">
        <f>+VLOOKUP($E103,Hybrid!$1:$1048576,AI$2,FALSE)</f>
        <v>6.5732065499999996E-4</v>
      </c>
      <c r="AJ103" s="320">
        <f>+VLOOKUP($E103,Hybrid!$1:$1048576,AJ$2,FALSE)</f>
        <v>5.6722017399999996E-4</v>
      </c>
      <c r="AK103" s="320">
        <f>+VLOOKUP($E103,Hybrid!$1:$1048576,AK$2,FALSE)</f>
        <v>4.8783724299999998E-4</v>
      </c>
      <c r="AL103" s="320">
        <f>+VLOOKUP($E103,Hybrid!$1:$1048576,AL$2,FALSE)</f>
        <v>4.1814280099999998E-4</v>
      </c>
      <c r="AM103" s="320">
        <f>+VLOOKUP($E103,Hybrid!$1:$1048576,AM$2,FALSE)</f>
        <v>3.57171702E-4</v>
      </c>
      <c r="AN103" s="320">
        <f>+VLOOKUP($E103,Hybrid!$1:$1048576,AN$2,FALSE)</f>
        <v>3.0402368099999999E-4</v>
      </c>
      <c r="AO103" s="320">
        <f>+VLOOKUP($E103,Hybrid!$1:$1048576,AO$2,FALSE)</f>
        <v>2.5786343499999999E-4</v>
      </c>
      <c r="AP103" s="73"/>
      <c r="AQ103" s="73"/>
    </row>
    <row r="104" spans="1:43" s="108" customFormat="1" ht="15" customHeight="1" x14ac:dyDescent="0.25">
      <c r="A104" s="384"/>
      <c r="B104" s="382" t="s">
        <v>538</v>
      </c>
      <c r="C104" s="122" t="s">
        <v>528</v>
      </c>
      <c r="D104" s="122"/>
      <c r="E104" s="89" t="s">
        <v>432</v>
      </c>
      <c r="F104" s="322">
        <f>+VLOOKUP($E104,Hybrid!$1:$1048576,F$2,FALSE)</f>
        <v>2457.4699179999998</v>
      </c>
      <c r="G104" s="322">
        <f>+VLOOKUP($E104,Hybrid!$1:$1048576,G$2,FALSE)</f>
        <v>2463.613593</v>
      </c>
      <c r="H104" s="322">
        <f>+VLOOKUP($E104,Hybrid!$1:$1048576,H$2,FALSE)</f>
        <v>2469.7726269999998</v>
      </c>
      <c r="I104" s="322">
        <f>+VLOOKUP($E104,Hybrid!$1:$1048576,I$2,FALSE)</f>
        <v>2475.9470590000001</v>
      </c>
      <c r="J104" s="322">
        <f>+VLOOKUP($E104,Hybrid!$1:$1048576,J$2,FALSE)</f>
        <v>2482.1369260000001</v>
      </c>
      <c r="K104" s="322">
        <f>+VLOOKUP($E104,Hybrid!$1:$1048576,K$2,FALSE)</f>
        <v>2488.3422690000002</v>
      </c>
      <c r="L104" s="322">
        <f>+VLOOKUP($E104,Hybrid!$1:$1048576,L$2,FALSE)</f>
        <v>2494.5631239999998</v>
      </c>
      <c r="M104" s="322">
        <f>+VLOOKUP($E104,Hybrid!$1:$1048576,M$2,FALSE)</f>
        <v>2500.799532</v>
      </c>
      <c r="N104" s="322">
        <f>+VLOOKUP($E104,Hybrid!$1:$1048576,N$2,FALSE)</f>
        <v>2507.0515310000001</v>
      </c>
      <c r="O104" s="322">
        <f>+VLOOKUP($E104,Hybrid!$1:$1048576,O$2,FALSE)</f>
        <v>2513.31916</v>
      </c>
      <c r="P104" s="322">
        <f>+VLOOKUP($E104,Hybrid!$1:$1048576,P$2,FALSE)</f>
        <v>2519.6024579999998</v>
      </c>
      <c r="Q104" s="322">
        <f>+VLOOKUP($E104,Hybrid!$1:$1048576,Q$2,FALSE)</f>
        <v>2525.901464</v>
      </c>
      <c r="R104" s="322">
        <f>+VLOOKUP($E104,Hybrid!$1:$1048576,R$2,FALSE)</f>
        <v>2532.2162170000001</v>
      </c>
      <c r="S104" s="322">
        <f>+VLOOKUP($E104,Hybrid!$1:$1048576,S$2,FALSE)</f>
        <v>2538.546758</v>
      </c>
      <c r="T104" s="322">
        <f>+VLOOKUP($E104,Hybrid!$1:$1048576,T$2,FALSE)</f>
        <v>2544.8931250000001</v>
      </c>
      <c r="U104" s="322">
        <f>+VLOOKUP($E104,Hybrid!$1:$1048576,U$2,FALSE)</f>
        <v>2551.2553579999999</v>
      </c>
      <c r="V104" s="322">
        <f>+VLOOKUP($E104,Hybrid!$1:$1048576,V$2,FALSE)</f>
        <v>2557.6334959999999</v>
      </c>
      <c r="W104" s="322">
        <f>+VLOOKUP($E104,Hybrid!$1:$1048576,W$2,FALSE)</f>
        <v>2564.0275799999999</v>
      </c>
      <c r="X104" s="322">
        <f>+VLOOKUP($E104,Hybrid!$1:$1048576,X$2,FALSE)</f>
        <v>2570.437649</v>
      </c>
      <c r="Y104" s="322">
        <f>+VLOOKUP($E104,Hybrid!$1:$1048576,Y$2,FALSE)</f>
        <v>2576.8637429999999</v>
      </c>
      <c r="Z104" s="322">
        <f>+VLOOKUP($E104,Hybrid!$1:$1048576,Z$2,FALSE)</f>
        <v>2583.3059020000001</v>
      </c>
      <c r="AA104" s="322">
        <f>+VLOOKUP($E104,Hybrid!$1:$1048576,AA$2,FALSE)</f>
        <v>2589.7641669999998</v>
      </c>
      <c r="AB104" s="322">
        <f>+VLOOKUP($E104,Hybrid!$1:$1048576,AB$2,FALSE)</f>
        <v>2596.2385770000001</v>
      </c>
      <c r="AC104" s="322">
        <f>+VLOOKUP($E104,Hybrid!$1:$1048576,AC$2,FALSE)</f>
        <v>2602.7291740000001</v>
      </c>
      <c r="AD104" s="322">
        <f>+VLOOKUP($E104,Hybrid!$1:$1048576,AD$2,FALSE)</f>
        <v>2609.2359970000002</v>
      </c>
      <c r="AE104" s="322">
        <f>+VLOOKUP($E104,Hybrid!$1:$1048576,AE$2,FALSE)</f>
        <v>2615.7590869999999</v>
      </c>
      <c r="AF104" s="322">
        <f>+VLOOKUP($E104,Hybrid!$1:$1048576,AF$2,FALSE)</f>
        <v>2622.2984839999999</v>
      </c>
      <c r="AG104" s="322">
        <f>+VLOOKUP($E104,Hybrid!$1:$1048576,AG$2,FALSE)</f>
        <v>2628.8542309999998</v>
      </c>
      <c r="AH104" s="322">
        <f>+VLOOKUP($E104,Hybrid!$1:$1048576,AH$2,FALSE)</f>
        <v>2635.4263660000001</v>
      </c>
      <c r="AI104" s="322">
        <f>+VLOOKUP($E104,Hybrid!$1:$1048576,AI$2,FALSE)</f>
        <v>2642.014932</v>
      </c>
      <c r="AJ104" s="322">
        <f>+VLOOKUP($E104,Hybrid!$1:$1048576,AJ$2,FALSE)</f>
        <v>2648.6199700000002</v>
      </c>
      <c r="AK104" s="322">
        <f>+VLOOKUP($E104,Hybrid!$1:$1048576,AK$2,FALSE)</f>
        <v>2655.2415190000002</v>
      </c>
      <c r="AL104" s="322">
        <f>+VLOOKUP($E104,Hybrid!$1:$1048576,AL$2,FALSE)</f>
        <v>2661.8796229999998</v>
      </c>
      <c r="AM104" s="322">
        <f>+VLOOKUP($E104,Hybrid!$1:$1048576,AM$2,FALSE)</f>
        <v>2668.534322</v>
      </c>
      <c r="AN104" s="322">
        <f>+VLOOKUP($E104,Hybrid!$1:$1048576,AN$2,FALSE)</f>
        <v>2675.2056579999999</v>
      </c>
      <c r="AO104" s="322">
        <f>+VLOOKUP($E104,Hybrid!$1:$1048576,AO$2,FALSE)</f>
        <v>2681.8936720000002</v>
      </c>
    </row>
    <row r="105" spans="1:43" ht="15" customHeight="1" x14ac:dyDescent="0.25">
      <c r="A105" s="384"/>
      <c r="B105" s="382"/>
      <c r="C105" s="123"/>
      <c r="D105" s="123" t="s">
        <v>519</v>
      </c>
      <c r="E105" s="47" t="s">
        <v>433</v>
      </c>
      <c r="F105" s="323">
        <f>+VLOOKUP($E105,Hybrid!$1:$1048576,F$2,FALSE)</f>
        <v>3.476542051</v>
      </c>
      <c r="G105" s="323">
        <f>+VLOOKUP($E105,Hybrid!$1:$1048576,G$2,FALSE)</f>
        <v>5.5991122850000004</v>
      </c>
      <c r="H105" s="323">
        <f>+VLOOKUP($E105,Hybrid!$1:$1048576,H$2,FALSE)</f>
        <v>7.7010989729999997</v>
      </c>
      <c r="I105" s="323">
        <f>+VLOOKUP($E105,Hybrid!$1:$1048576,I$2,FALSE)</f>
        <v>9.7827382830000005</v>
      </c>
      <c r="J105" s="323">
        <f>+VLOOKUP($E105,Hybrid!$1:$1048576,J$2,FALSE)</f>
        <v>11.844296630000001</v>
      </c>
      <c r="K105" s="323">
        <f>+VLOOKUP($E105,Hybrid!$1:$1048576,K$2,FALSE)</f>
        <v>13.88576879</v>
      </c>
      <c r="L105" s="323">
        <f>+VLOOKUP($E105,Hybrid!$1:$1048576,L$2,FALSE)</f>
        <v>15.907078820000001</v>
      </c>
      <c r="M105" s="323">
        <f>+VLOOKUP($E105,Hybrid!$1:$1048576,M$2,FALSE)</f>
        <v>17.908692800000001</v>
      </c>
      <c r="N105" s="323">
        <f>+VLOOKUP($E105,Hybrid!$1:$1048576,N$2,FALSE)</f>
        <v>19.891430660000001</v>
      </c>
      <c r="O105" s="323">
        <f>+VLOOKUP($E105,Hybrid!$1:$1048576,O$2,FALSE)</f>
        <v>21.8558187</v>
      </c>
      <c r="P105" s="323">
        <f>+VLOOKUP($E105,Hybrid!$1:$1048576,P$2,FALSE)</f>
        <v>23.80203586</v>
      </c>
      <c r="Q105" s="323">
        <f>+VLOOKUP($E105,Hybrid!$1:$1048576,Q$2,FALSE)</f>
        <v>25.730014489999999</v>
      </c>
      <c r="R105" s="323">
        <f>+VLOOKUP($E105,Hybrid!$1:$1048576,R$2,FALSE)</f>
        <v>27.63954713</v>
      </c>
      <c r="S105" s="323">
        <f>+VLOOKUP($E105,Hybrid!$1:$1048576,S$2,FALSE)</f>
        <v>29.530363739999999</v>
      </c>
      <c r="T105" s="323">
        <f>+VLOOKUP($E105,Hybrid!$1:$1048576,T$2,FALSE)</f>
        <v>31.40218136</v>
      </c>
      <c r="U105" s="323">
        <f>+VLOOKUP($E105,Hybrid!$1:$1048576,U$2,FALSE)</f>
        <v>33.254736979999997</v>
      </c>
      <c r="V105" s="323">
        <f>+VLOOKUP($E105,Hybrid!$1:$1048576,V$2,FALSE)</f>
        <v>35.087920879999999</v>
      </c>
      <c r="W105" s="323">
        <f>+VLOOKUP($E105,Hybrid!$1:$1048576,W$2,FALSE)</f>
        <v>36.902126979999998</v>
      </c>
      <c r="X105" s="323">
        <f>+VLOOKUP($E105,Hybrid!$1:$1048576,X$2,FALSE)</f>
        <v>38.698126350000003</v>
      </c>
      <c r="Y105" s="323">
        <f>+VLOOKUP($E105,Hybrid!$1:$1048576,Y$2,FALSE)</f>
        <v>40.47661849</v>
      </c>
      <c r="Z105" s="323">
        <f>+VLOOKUP($E105,Hybrid!$1:$1048576,Z$2,FALSE)</f>
        <v>42.23814359</v>
      </c>
      <c r="AA105" s="323">
        <f>+VLOOKUP($E105,Hybrid!$1:$1048576,AA$2,FALSE)</f>
        <v>43.983107779999997</v>
      </c>
      <c r="AB105" s="323">
        <f>+VLOOKUP($E105,Hybrid!$1:$1048576,AB$2,FALSE)</f>
        <v>45.711828650000001</v>
      </c>
      <c r="AC105" s="323">
        <f>+VLOOKUP($E105,Hybrid!$1:$1048576,AC$2,FALSE)</f>
        <v>47.424571929999999</v>
      </c>
      <c r="AD105" s="323">
        <f>+VLOOKUP($E105,Hybrid!$1:$1048576,AD$2,FALSE)</f>
        <v>49.121574750000001</v>
      </c>
      <c r="AE105" s="323">
        <f>+VLOOKUP($E105,Hybrid!$1:$1048576,AE$2,FALSE)</f>
        <v>50.803058020000002</v>
      </c>
      <c r="AF105" s="323">
        <f>+VLOOKUP($E105,Hybrid!$1:$1048576,AF$2,FALSE)</f>
        <v>52.469232040000001</v>
      </c>
      <c r="AG105" s="323">
        <f>+VLOOKUP($E105,Hybrid!$1:$1048576,AG$2,FALSE)</f>
        <v>54.120298419999997</v>
      </c>
      <c r="AH105" s="323">
        <f>+VLOOKUP($E105,Hybrid!$1:$1048576,AH$2,FALSE)</f>
        <v>55.756450430000001</v>
      </c>
      <c r="AI105" s="323">
        <f>+VLOOKUP($E105,Hybrid!$1:$1048576,AI$2,FALSE)</f>
        <v>57.377872850000003</v>
      </c>
      <c r="AJ105" s="323">
        <f>+VLOOKUP($E105,Hybrid!$1:$1048576,AJ$2,FALSE)</f>
        <v>58.98474186</v>
      </c>
      <c r="AK105" s="323">
        <f>+VLOOKUP($E105,Hybrid!$1:$1048576,AK$2,FALSE)</f>
        <v>60.577225300000002</v>
      </c>
      <c r="AL105" s="323">
        <f>+VLOOKUP($E105,Hybrid!$1:$1048576,AL$2,FALSE)</f>
        <v>62.155483089999997</v>
      </c>
      <c r="AM105" s="323">
        <f>+VLOOKUP($E105,Hybrid!$1:$1048576,AM$2,FALSE)</f>
        <v>63.719667899999997</v>
      </c>
      <c r="AN105" s="323">
        <f>+VLOOKUP($E105,Hybrid!$1:$1048576,AN$2,FALSE)</f>
        <v>65.269925990000004</v>
      </c>
      <c r="AO105" s="323">
        <f>+VLOOKUP($E105,Hybrid!$1:$1048576,AO$2,FALSE)</f>
        <v>66.80639798</v>
      </c>
      <c r="AP105" s="73"/>
      <c r="AQ105" s="73"/>
    </row>
    <row r="106" spans="1:43" ht="15" customHeight="1" x14ac:dyDescent="0.25">
      <c r="A106" s="384"/>
      <c r="B106" s="382"/>
      <c r="C106" s="123"/>
      <c r="D106" s="123" t="s">
        <v>520</v>
      </c>
      <c r="E106" s="47" t="s">
        <v>434</v>
      </c>
      <c r="F106" s="323">
        <f>+VLOOKUP($E106,Hybrid!$1:$1048576,F$2,FALSE)</f>
        <v>68.80476281</v>
      </c>
      <c r="G106" s="323">
        <f>+VLOOKUP($E106,Hybrid!$1:$1048576,G$2,FALSE)</f>
        <v>76.774266659999995</v>
      </c>
      <c r="H106" s="323">
        <f>+VLOOKUP($E106,Hybrid!$1:$1048576,H$2,FALSE)</f>
        <v>84.695532490000005</v>
      </c>
      <c r="I106" s="323">
        <f>+VLOOKUP($E106,Hybrid!$1:$1048576,I$2,FALSE)</f>
        <v>92.573301439999994</v>
      </c>
      <c r="J106" s="323">
        <f>+VLOOKUP($E106,Hybrid!$1:$1048576,J$2,FALSE)</f>
        <v>100.41090509999999</v>
      </c>
      <c r="K106" s="323">
        <f>+VLOOKUP($E106,Hybrid!$1:$1048576,K$2,FALSE)</f>
        <v>108.21146330000001</v>
      </c>
      <c r="L106" s="323">
        <f>+VLOOKUP($E106,Hybrid!$1:$1048576,L$2,FALSE)</f>
        <v>115.978041</v>
      </c>
      <c r="M106" s="323">
        <f>+VLOOKUP($E106,Hybrid!$1:$1048576,M$2,FALSE)</f>
        <v>123.711482</v>
      </c>
      <c r="N106" s="323">
        <f>+VLOOKUP($E106,Hybrid!$1:$1048576,N$2,FALSE)</f>
        <v>131.40979899999999</v>
      </c>
      <c r="O106" s="323">
        <f>+VLOOKUP($E106,Hybrid!$1:$1048576,O$2,FALSE)</f>
        <v>139.07021180000001</v>
      </c>
      <c r="P106" s="323">
        <f>+VLOOKUP($E106,Hybrid!$1:$1048576,P$2,FALSE)</f>
        <v>146.69061629999999</v>
      </c>
      <c r="Q106" s="323">
        <f>+VLOOKUP($E106,Hybrid!$1:$1048576,Q$2,FALSE)</f>
        <v>154.27034810000001</v>
      </c>
      <c r="R106" s="323">
        <f>+VLOOKUP($E106,Hybrid!$1:$1048576,R$2,FALSE)</f>
        <v>161.81041200000001</v>
      </c>
      <c r="S106" s="323">
        <f>+VLOOKUP($E106,Hybrid!$1:$1048576,S$2,FALSE)</f>
        <v>169.3133837</v>
      </c>
      <c r="T106" s="323">
        <f>+VLOOKUP($E106,Hybrid!$1:$1048576,T$2,FALSE)</f>
        <v>176.7831362</v>
      </c>
      <c r="U106" s="323">
        <f>+VLOOKUP($E106,Hybrid!$1:$1048576,U$2,FALSE)</f>
        <v>184.22448549999999</v>
      </c>
      <c r="V106" s="323">
        <f>+VLOOKUP($E106,Hybrid!$1:$1048576,V$2,FALSE)</f>
        <v>191.6423815</v>
      </c>
      <c r="W106" s="323">
        <f>+VLOOKUP($E106,Hybrid!$1:$1048576,W$2,FALSE)</f>
        <v>199.0398658</v>
      </c>
      <c r="X106" s="323">
        <f>+VLOOKUP($E106,Hybrid!$1:$1048576,X$2,FALSE)</f>
        <v>206.4170641</v>
      </c>
      <c r="Y106" s="323">
        <f>+VLOOKUP($E106,Hybrid!$1:$1048576,Y$2,FALSE)</f>
        <v>213.77217139999999</v>
      </c>
      <c r="Z106" s="323">
        <f>+VLOOKUP($E106,Hybrid!$1:$1048576,Z$2,FALSE)</f>
        <v>221.10242210000001</v>
      </c>
      <c r="AA106" s="323">
        <f>+VLOOKUP($E106,Hybrid!$1:$1048576,AA$2,FALSE)</f>
        <v>228.40478490000001</v>
      </c>
      <c r="AB106" s="323">
        <f>+VLOOKUP($E106,Hybrid!$1:$1048576,AB$2,FALSE)</f>
        <v>235.6763771</v>
      </c>
      <c r="AC106" s="323">
        <f>+VLOOKUP($E106,Hybrid!$1:$1048576,AC$2,FALSE)</f>
        <v>242.9146686</v>
      </c>
      <c r="AD106" s="323">
        <f>+VLOOKUP($E106,Hybrid!$1:$1048576,AD$2,FALSE)</f>
        <v>250.11755109999999</v>
      </c>
      <c r="AE106" s="323">
        <f>+VLOOKUP($E106,Hybrid!$1:$1048576,AE$2,FALSE)</f>
        <v>257.28333149999997</v>
      </c>
      <c r="AF106" s="323">
        <f>+VLOOKUP($E106,Hybrid!$1:$1048576,AF$2,FALSE)</f>
        <v>264.41068860000001</v>
      </c>
      <c r="AG106" s="323">
        <f>+VLOOKUP($E106,Hybrid!$1:$1048576,AG$2,FALSE)</f>
        <v>271.49861659999999</v>
      </c>
      <c r="AH106" s="323">
        <f>+VLOOKUP($E106,Hybrid!$1:$1048576,AH$2,FALSE)</f>
        <v>278.5463694</v>
      </c>
      <c r="AI106" s="323">
        <f>+VLOOKUP($E106,Hybrid!$1:$1048576,AI$2,FALSE)</f>
        <v>285.55341060000001</v>
      </c>
      <c r="AJ106" s="323">
        <f>+VLOOKUP($E106,Hybrid!$1:$1048576,AJ$2,FALSE)</f>
        <v>292.51937099999998</v>
      </c>
      <c r="AK106" s="323">
        <f>+VLOOKUP($E106,Hybrid!$1:$1048576,AK$2,FALSE)</f>
        <v>299.44401499999998</v>
      </c>
      <c r="AL106" s="323">
        <f>+VLOOKUP($E106,Hybrid!$1:$1048576,AL$2,FALSE)</f>
        <v>306.32721379999998</v>
      </c>
      <c r="AM106" s="323">
        <f>+VLOOKUP($E106,Hybrid!$1:$1048576,AM$2,FALSE)</f>
        <v>313.16892410000003</v>
      </c>
      <c r="AN106" s="323">
        <f>+VLOOKUP($E106,Hybrid!$1:$1048576,AN$2,FALSE)</f>
        <v>319.96917189999999</v>
      </c>
      <c r="AO106" s="323">
        <f>+VLOOKUP($E106,Hybrid!$1:$1048576,AO$2,FALSE)</f>
        <v>326.72803959999999</v>
      </c>
      <c r="AP106" s="73"/>
      <c r="AQ106" s="73"/>
    </row>
    <row r="107" spans="1:43" ht="15" customHeight="1" x14ac:dyDescent="0.25">
      <c r="A107" s="384"/>
      <c r="B107" s="382"/>
      <c r="C107" s="123"/>
      <c r="D107" s="123" t="s">
        <v>521</v>
      </c>
      <c r="E107" s="47" t="s">
        <v>435</v>
      </c>
      <c r="F107" s="323">
        <f>+VLOOKUP($E107,Hybrid!$1:$1048576,F$2,FALSE)</f>
        <v>408.28039699999999</v>
      </c>
      <c r="G107" s="323">
        <f>+VLOOKUP($E107,Hybrid!$1:$1048576,G$2,FALSE)</f>
        <v>424.07498500000003</v>
      </c>
      <c r="H107" s="323">
        <f>+VLOOKUP($E107,Hybrid!$1:$1048576,H$2,FALSE)</f>
        <v>439.74758329999997</v>
      </c>
      <c r="I107" s="323">
        <f>+VLOOKUP($E107,Hybrid!$1:$1048576,I$2,FALSE)</f>
        <v>455.29549209999999</v>
      </c>
      <c r="J107" s="323">
        <f>+VLOOKUP($E107,Hybrid!$1:$1048576,J$2,FALSE)</f>
        <v>470.7172668</v>
      </c>
      <c r="K107" s="323">
        <f>+VLOOKUP($E107,Hybrid!$1:$1048576,K$2,FALSE)</f>
        <v>486.01122820000001</v>
      </c>
      <c r="L107" s="323">
        <f>+VLOOKUP($E107,Hybrid!$1:$1048576,L$2,FALSE)</f>
        <v>501.17559139999997</v>
      </c>
      <c r="M107" s="323">
        <f>+VLOOKUP($E107,Hybrid!$1:$1048576,M$2,FALSE)</f>
        <v>516.21132750000004</v>
      </c>
      <c r="N107" s="323">
        <f>+VLOOKUP($E107,Hybrid!$1:$1048576,N$2,FALSE)</f>
        <v>531.12268700000004</v>
      </c>
      <c r="O107" s="323">
        <f>+VLOOKUP($E107,Hybrid!$1:$1048576,O$2,FALSE)</f>
        <v>545.91460459999996</v>
      </c>
      <c r="P107" s="323">
        <f>+VLOOKUP($E107,Hybrid!$1:$1048576,P$2,FALSE)</f>
        <v>560.59113139999999</v>
      </c>
      <c r="Q107" s="323">
        <f>+VLOOKUP($E107,Hybrid!$1:$1048576,Q$2,FALSE)</f>
        <v>575.15469880000001</v>
      </c>
      <c r="R107" s="323">
        <f>+VLOOKUP($E107,Hybrid!$1:$1048576,R$2,FALSE)</f>
        <v>589.60593510000001</v>
      </c>
      <c r="S107" s="323">
        <f>+VLOOKUP($E107,Hybrid!$1:$1048576,S$2,FALSE)</f>
        <v>603.94380850000005</v>
      </c>
      <c r="T107" s="323">
        <f>+VLOOKUP($E107,Hybrid!$1:$1048576,T$2,FALSE)</f>
        <v>618.16594840000005</v>
      </c>
      <c r="U107" s="323">
        <f>+VLOOKUP($E107,Hybrid!$1:$1048576,U$2,FALSE)</f>
        <v>632.26905490000001</v>
      </c>
      <c r="V107" s="323">
        <f>+VLOOKUP($E107,Hybrid!$1:$1048576,V$2,FALSE)</f>
        <v>646.24983699999996</v>
      </c>
      <c r="W107" s="323">
        <f>+VLOOKUP($E107,Hybrid!$1:$1048576,W$2,FALSE)</f>
        <v>660.10727789999999</v>
      </c>
      <c r="X107" s="323">
        <f>+VLOOKUP($E107,Hybrid!$1:$1048576,X$2,FALSE)</f>
        <v>673.84350810000001</v>
      </c>
      <c r="Y107" s="323">
        <f>+VLOOKUP($E107,Hybrid!$1:$1048576,Y$2,FALSE)</f>
        <v>687.46254429999999</v>
      </c>
      <c r="Z107" s="323">
        <f>+VLOOKUP($E107,Hybrid!$1:$1048576,Z$2,FALSE)</f>
        <v>700.96926359999998</v>
      </c>
      <c r="AA107" s="323">
        <f>+VLOOKUP($E107,Hybrid!$1:$1048576,AA$2,FALSE)</f>
        <v>714.36871559999997</v>
      </c>
      <c r="AB107" s="323">
        <f>+VLOOKUP($E107,Hybrid!$1:$1048576,AB$2,FALSE)</f>
        <v>727.66572540000004</v>
      </c>
      <c r="AC107" s="323">
        <f>+VLOOKUP($E107,Hybrid!$1:$1048576,AC$2,FALSE)</f>
        <v>740.86469980000004</v>
      </c>
      <c r="AD107" s="323">
        <f>+VLOOKUP($E107,Hybrid!$1:$1048576,AD$2,FALSE)</f>
        <v>753.96956339999997</v>
      </c>
      <c r="AE107" s="323">
        <f>+VLOOKUP($E107,Hybrid!$1:$1048576,AE$2,FALSE)</f>
        <v>766.98376840000003</v>
      </c>
      <c r="AF107" s="323">
        <f>+VLOOKUP($E107,Hybrid!$1:$1048576,AF$2,FALSE)</f>
        <v>779.91034030000003</v>
      </c>
      <c r="AG107" s="323">
        <f>+VLOOKUP($E107,Hybrid!$1:$1048576,AG$2,FALSE)</f>
        <v>792.75193660000002</v>
      </c>
      <c r="AH107" s="323">
        <f>+VLOOKUP($E107,Hybrid!$1:$1048576,AH$2,FALSE)</f>
        <v>805.51090739999995</v>
      </c>
      <c r="AI107" s="323">
        <f>+VLOOKUP($E107,Hybrid!$1:$1048576,AI$2,FALSE)</f>
        <v>818.18934939999997</v>
      </c>
      <c r="AJ107" s="323">
        <f>+VLOOKUP($E107,Hybrid!$1:$1048576,AJ$2,FALSE)</f>
        <v>830.78915229999996</v>
      </c>
      <c r="AK107" s="323">
        <f>+VLOOKUP($E107,Hybrid!$1:$1048576,AK$2,FALSE)</f>
        <v>843.31203719999996</v>
      </c>
      <c r="AL107" s="323">
        <f>+VLOOKUP($E107,Hybrid!$1:$1048576,AL$2,FALSE)</f>
        <v>855.75958709999998</v>
      </c>
      <c r="AM107" s="323">
        <f>+VLOOKUP($E107,Hybrid!$1:$1048576,AM$2,FALSE)</f>
        <v>868.13327179999999</v>
      </c>
      <c r="AN107" s="323">
        <f>+VLOOKUP($E107,Hybrid!$1:$1048576,AN$2,FALSE)</f>
        <v>880.43446630000005</v>
      </c>
      <c r="AO107" s="323">
        <f>+VLOOKUP($E107,Hybrid!$1:$1048576,AO$2,FALSE)</f>
        <v>892.66446659999997</v>
      </c>
      <c r="AP107" s="73"/>
      <c r="AQ107" s="73"/>
    </row>
    <row r="108" spans="1:43" ht="15" customHeight="1" x14ac:dyDescent="0.25">
      <c r="A108" s="384"/>
      <c r="B108" s="382"/>
      <c r="C108" s="123"/>
      <c r="D108" s="123" t="s">
        <v>522</v>
      </c>
      <c r="E108" s="47" t="s">
        <v>436</v>
      </c>
      <c r="F108" s="323">
        <f>+VLOOKUP($E108,Hybrid!$1:$1048576,F$2,FALSE)</f>
        <v>954.38155940000001</v>
      </c>
      <c r="G108" s="323">
        <f>+VLOOKUP($E108,Hybrid!$1:$1048576,G$2,FALSE)</f>
        <v>947.51893399999994</v>
      </c>
      <c r="H108" s="323">
        <f>+VLOOKUP($E108,Hybrid!$1:$1048576,H$2,FALSE)</f>
        <v>940.69733710000003</v>
      </c>
      <c r="I108" s="323">
        <f>+VLOOKUP($E108,Hybrid!$1:$1048576,I$2,FALSE)</f>
        <v>933.91695400000003</v>
      </c>
      <c r="J108" s="323">
        <f>+VLOOKUP($E108,Hybrid!$1:$1048576,J$2,FALSE)</f>
        <v>927.17797680000001</v>
      </c>
      <c r="K108" s="323">
        <f>+VLOOKUP($E108,Hybrid!$1:$1048576,K$2,FALSE)</f>
        <v>920.48142849999999</v>
      </c>
      <c r="L108" s="323">
        <f>+VLOOKUP($E108,Hybrid!$1:$1048576,L$2,FALSE)</f>
        <v>913.82859499999995</v>
      </c>
      <c r="M108" s="323">
        <f>+VLOOKUP($E108,Hybrid!$1:$1048576,M$2,FALSE)</f>
        <v>907.21924000000001</v>
      </c>
      <c r="N108" s="323">
        <f>+VLOOKUP($E108,Hybrid!$1:$1048576,N$2,FALSE)</f>
        <v>900.6518777</v>
      </c>
      <c r="O108" s="323">
        <f>+VLOOKUP($E108,Hybrid!$1:$1048576,O$2,FALSE)</f>
        <v>894.12545239999997</v>
      </c>
      <c r="P108" s="323">
        <f>+VLOOKUP($E108,Hybrid!$1:$1048576,P$2,FALSE)</f>
        <v>887.63965089999999</v>
      </c>
      <c r="Q108" s="323">
        <f>+VLOOKUP($E108,Hybrid!$1:$1048576,Q$2,FALSE)</f>
        <v>881.19480429999999</v>
      </c>
      <c r="R108" s="323">
        <f>+VLOOKUP($E108,Hybrid!$1:$1048576,R$2,FALSE)</f>
        <v>874.79171540000004</v>
      </c>
      <c r="S108" s="323">
        <f>+VLOOKUP($E108,Hybrid!$1:$1048576,S$2,FALSE)</f>
        <v>868.43150879999996</v>
      </c>
      <c r="T108" s="323">
        <f>+VLOOKUP($E108,Hybrid!$1:$1048576,T$2,FALSE)</f>
        <v>862.11551029999998</v>
      </c>
      <c r="U108" s="323">
        <f>+VLOOKUP($E108,Hybrid!$1:$1048576,U$2,FALSE)</f>
        <v>855.84514200000001</v>
      </c>
      <c r="V108" s="323">
        <f>+VLOOKUP($E108,Hybrid!$1:$1048576,V$2,FALSE)</f>
        <v>849.62153020000005</v>
      </c>
      <c r="W108" s="323">
        <f>+VLOOKUP($E108,Hybrid!$1:$1048576,W$2,FALSE)</f>
        <v>843.44448</v>
      </c>
      <c r="X108" s="323">
        <f>+VLOOKUP($E108,Hybrid!$1:$1048576,X$2,FALSE)</f>
        <v>837.31260759999998</v>
      </c>
      <c r="Y108" s="323">
        <f>+VLOOKUP($E108,Hybrid!$1:$1048576,Y$2,FALSE)</f>
        <v>831.22440719999997</v>
      </c>
      <c r="Z108" s="323">
        <f>+VLOOKUP($E108,Hybrid!$1:$1048576,Z$2,FALSE)</f>
        <v>825.17854239999997</v>
      </c>
      <c r="AA108" s="323">
        <f>+VLOOKUP($E108,Hybrid!$1:$1048576,AA$2,FALSE)</f>
        <v>819.1738742</v>
      </c>
      <c r="AB108" s="323">
        <f>+VLOOKUP($E108,Hybrid!$1:$1048576,AB$2,FALSE)</f>
        <v>813.20942190000005</v>
      </c>
      <c r="AC108" s="323">
        <f>+VLOOKUP($E108,Hybrid!$1:$1048576,AC$2,FALSE)</f>
        <v>807.28432439999995</v>
      </c>
      <c r="AD108" s="323">
        <f>+VLOOKUP($E108,Hybrid!$1:$1048576,AD$2,FALSE)</f>
        <v>801.39781479999999</v>
      </c>
      <c r="AE108" s="323">
        <f>+VLOOKUP($E108,Hybrid!$1:$1048576,AE$2,FALSE)</f>
        <v>795.54920609999999</v>
      </c>
      <c r="AF108" s="323">
        <f>+VLOOKUP($E108,Hybrid!$1:$1048576,AF$2,FALSE)</f>
        <v>789.73788449999995</v>
      </c>
      <c r="AG108" s="323">
        <f>+VLOOKUP($E108,Hybrid!$1:$1048576,AG$2,FALSE)</f>
        <v>783.96330330000001</v>
      </c>
      <c r="AH108" s="323">
        <f>+VLOOKUP($E108,Hybrid!$1:$1048576,AH$2,FALSE)</f>
        <v>778.22497920000001</v>
      </c>
      <c r="AI108" s="323">
        <f>+VLOOKUP($E108,Hybrid!$1:$1048576,AI$2,FALSE)</f>
        <v>772.52248669999994</v>
      </c>
      <c r="AJ108" s="323">
        <f>+VLOOKUP($E108,Hybrid!$1:$1048576,AJ$2,FALSE)</f>
        <v>766.85545290000005</v>
      </c>
      <c r="AK108" s="323">
        <f>+VLOOKUP($E108,Hybrid!$1:$1048576,AK$2,FALSE)</f>
        <v>761.22355149999999</v>
      </c>
      <c r="AL108" s="323">
        <f>+VLOOKUP($E108,Hybrid!$1:$1048576,AL$2,FALSE)</f>
        <v>755.62649739999995</v>
      </c>
      <c r="AM108" s="323">
        <f>+VLOOKUP($E108,Hybrid!$1:$1048576,AM$2,FALSE)</f>
        <v>750.06404090000001</v>
      </c>
      <c r="AN108" s="323">
        <f>+VLOOKUP($E108,Hybrid!$1:$1048576,AN$2,FALSE)</f>
        <v>744.53596289999996</v>
      </c>
      <c r="AO108" s="323">
        <f>+VLOOKUP($E108,Hybrid!$1:$1048576,AO$2,FALSE)</f>
        <v>739.04207029999998</v>
      </c>
      <c r="AP108" s="73"/>
      <c r="AQ108" s="73"/>
    </row>
    <row r="109" spans="1:43" ht="15" customHeight="1" x14ac:dyDescent="0.25">
      <c r="A109" s="384"/>
      <c r="B109" s="382"/>
      <c r="C109" s="123"/>
      <c r="D109" s="123" t="s">
        <v>523</v>
      </c>
      <c r="E109" s="47" t="s">
        <v>437</v>
      </c>
      <c r="F109" s="323">
        <f>+VLOOKUP($E109,Hybrid!$1:$1048576,F$2,FALSE)</f>
        <v>878.79999729999997</v>
      </c>
      <c r="G109" s="323">
        <f>+VLOOKUP($E109,Hybrid!$1:$1048576,G$2,FALSE)</f>
        <v>867.96668339999997</v>
      </c>
      <c r="H109" s="323">
        <f>+VLOOKUP($E109,Hybrid!$1:$1048576,H$2,FALSE)</f>
        <v>857.2679263</v>
      </c>
      <c r="I109" s="323">
        <f>+VLOOKUP($E109,Hybrid!$1:$1048576,I$2,FALSE)</f>
        <v>846.70180649999998</v>
      </c>
      <c r="J109" s="323">
        <f>+VLOOKUP($E109,Hybrid!$1:$1048576,J$2,FALSE)</f>
        <v>836.26651449999997</v>
      </c>
      <c r="K109" s="323">
        <f>+VLOOKUP($E109,Hybrid!$1:$1048576,K$2,FALSE)</f>
        <v>825.96011910000004</v>
      </c>
      <c r="L109" s="323">
        <f>+VLOOKUP($E109,Hybrid!$1:$1048576,L$2,FALSE)</f>
        <v>815.78064810000001</v>
      </c>
      <c r="M109" s="323">
        <f>+VLOOKUP($E109,Hybrid!$1:$1048576,M$2,FALSE)</f>
        <v>805.72656859999995</v>
      </c>
      <c r="N109" s="323">
        <f>+VLOOKUP($E109,Hybrid!$1:$1048576,N$2,FALSE)</f>
        <v>795.79679020000003</v>
      </c>
      <c r="O109" s="323">
        <f>+VLOOKUP($E109,Hybrid!$1:$1048576,O$2,FALSE)</f>
        <v>785.99018530000001</v>
      </c>
      <c r="P109" s="323">
        <f>+VLOOKUP($E109,Hybrid!$1:$1048576,P$2,FALSE)</f>
        <v>776.30542609999998</v>
      </c>
      <c r="Q109" s="323">
        <f>+VLOOKUP($E109,Hybrid!$1:$1048576,Q$2,FALSE)</f>
        <v>766.74095650000004</v>
      </c>
      <c r="R109" s="323">
        <f>+VLOOKUP($E109,Hybrid!$1:$1048576,R$2,FALSE)</f>
        <v>757.29501049999999</v>
      </c>
      <c r="S109" s="323">
        <f>+VLOOKUP($E109,Hybrid!$1:$1048576,S$2,FALSE)</f>
        <v>747.96564130000002</v>
      </c>
      <c r="T109" s="323">
        <f>+VLOOKUP($E109,Hybrid!$1:$1048576,T$2,FALSE)</f>
        <v>738.75074529999995</v>
      </c>
      <c r="U109" s="323">
        <f>+VLOOKUP($E109,Hybrid!$1:$1048576,U$2,FALSE)</f>
        <v>729.6480798</v>
      </c>
      <c r="V109" s="323">
        <f>+VLOOKUP($E109,Hybrid!$1:$1048576,V$2,FALSE)</f>
        <v>720.65539249999995</v>
      </c>
      <c r="W109" s="323">
        <f>+VLOOKUP($E109,Hybrid!$1:$1048576,W$2,FALSE)</f>
        <v>711.77088049999998</v>
      </c>
      <c r="X109" s="323">
        <f>+VLOOKUP($E109,Hybrid!$1:$1048576,X$2,FALSE)</f>
        <v>702.99332049999998</v>
      </c>
      <c r="Y109" s="323">
        <f>+VLOOKUP($E109,Hybrid!$1:$1048576,Y$2,FALSE)</f>
        <v>694.32172379999997</v>
      </c>
      <c r="Z109" s="323">
        <f>+VLOOKUP($E109,Hybrid!$1:$1048576,Z$2,FALSE)</f>
        <v>685.75518629999999</v>
      </c>
      <c r="AA109" s="323">
        <f>+VLOOKUP($E109,Hybrid!$1:$1048576,AA$2,FALSE)</f>
        <v>677.29282720000003</v>
      </c>
      <c r="AB109" s="323">
        <f>+VLOOKUP($E109,Hybrid!$1:$1048576,AB$2,FALSE)</f>
        <v>668.93376469999998</v>
      </c>
      <c r="AC109" s="323">
        <f>+VLOOKUP($E109,Hybrid!$1:$1048576,AC$2,FALSE)</f>
        <v>660.67710790000001</v>
      </c>
      <c r="AD109" s="323">
        <f>+VLOOKUP($E109,Hybrid!$1:$1048576,AD$2,FALSE)</f>
        <v>652.52195340000003</v>
      </c>
      <c r="AE109" s="323">
        <f>+VLOOKUP($E109,Hybrid!$1:$1048576,AE$2,FALSE)</f>
        <v>644.46738440000001</v>
      </c>
      <c r="AF109" s="323">
        <f>+VLOOKUP($E109,Hybrid!$1:$1048576,AF$2,FALSE)</f>
        <v>636.51247020000005</v>
      </c>
      <c r="AG109" s="323">
        <f>+VLOOKUP($E109,Hybrid!$1:$1048576,AG$2,FALSE)</f>
        <v>628.65626669999995</v>
      </c>
      <c r="AH109" s="323">
        <f>+VLOOKUP($E109,Hybrid!$1:$1048576,AH$2,FALSE)</f>
        <v>620.89781700000003</v>
      </c>
      <c r="AI109" s="323">
        <f>+VLOOKUP($E109,Hybrid!$1:$1048576,AI$2,FALSE)</f>
        <v>613.23615270000005</v>
      </c>
      <c r="AJ109" s="323">
        <f>+VLOOKUP($E109,Hybrid!$1:$1048576,AJ$2,FALSE)</f>
        <v>605.67029490000004</v>
      </c>
      <c r="AK109" s="323">
        <f>+VLOOKUP($E109,Hybrid!$1:$1048576,AK$2,FALSE)</f>
        <v>598.19925590000003</v>
      </c>
      <c r="AL109" s="323">
        <f>+VLOOKUP($E109,Hybrid!$1:$1048576,AL$2,FALSE)</f>
        <v>590.82204079999997</v>
      </c>
      <c r="AM109" s="323">
        <f>+VLOOKUP($E109,Hybrid!$1:$1048576,AM$2,FALSE)</f>
        <v>583.53764899999999</v>
      </c>
      <c r="AN109" s="323">
        <f>+VLOOKUP($E109,Hybrid!$1:$1048576,AN$2,FALSE)</f>
        <v>576.34507589999998</v>
      </c>
      <c r="AO109" s="323">
        <f>+VLOOKUP($E109,Hybrid!$1:$1048576,AO$2,FALSE)</f>
        <v>569.24331419999999</v>
      </c>
      <c r="AP109" s="73"/>
      <c r="AQ109" s="73"/>
    </row>
    <row r="110" spans="1:43" ht="15" customHeight="1" x14ac:dyDescent="0.25">
      <c r="A110" s="384"/>
      <c r="B110" s="382"/>
      <c r="C110" s="123"/>
      <c r="D110" s="123" t="s">
        <v>524</v>
      </c>
      <c r="E110" s="47" t="s">
        <v>438</v>
      </c>
      <c r="F110" s="323">
        <f>+VLOOKUP($E110,Hybrid!$1:$1048576,F$2,FALSE)</f>
        <v>139.85209269999999</v>
      </c>
      <c r="G110" s="323">
        <f>+VLOOKUP($E110,Hybrid!$1:$1048576,G$2,FALSE)</f>
        <v>137.9553411</v>
      </c>
      <c r="H110" s="323">
        <f>+VLOOKUP($E110,Hybrid!$1:$1048576,H$2,FALSE)</f>
        <v>136.0829918</v>
      </c>
      <c r="I110" s="323">
        <f>+VLOOKUP($E110,Hybrid!$1:$1048576,I$2,FALSE)</f>
        <v>134.23479950000001</v>
      </c>
      <c r="J110" s="323">
        <f>+VLOOKUP($E110,Hybrid!$1:$1048576,J$2,FALSE)</f>
        <v>132.4105155</v>
      </c>
      <c r="K110" s="323">
        <f>+VLOOKUP($E110,Hybrid!$1:$1048576,K$2,FALSE)</f>
        <v>130.60988939999999</v>
      </c>
      <c r="L110" s="323">
        <f>+VLOOKUP($E110,Hybrid!$1:$1048576,L$2,FALSE)</f>
        <v>128.83267029999999</v>
      </c>
      <c r="M110" s="323">
        <f>+VLOOKUP($E110,Hybrid!$1:$1048576,M$2,FALSE)</f>
        <v>127.07860340000001</v>
      </c>
      <c r="N110" s="323">
        <f>+VLOOKUP($E110,Hybrid!$1:$1048576,N$2,FALSE)</f>
        <v>125.34743</v>
      </c>
      <c r="O110" s="323">
        <f>+VLOOKUP($E110,Hybrid!$1:$1048576,O$2,FALSE)</f>
        <v>123.63889229999999</v>
      </c>
      <c r="P110" s="323">
        <f>+VLOOKUP($E110,Hybrid!$1:$1048576,P$2,FALSE)</f>
        <v>121.9527358</v>
      </c>
      <c r="Q110" s="323">
        <f>+VLOOKUP($E110,Hybrid!$1:$1048576,Q$2,FALSE)</f>
        <v>120.2887096</v>
      </c>
      <c r="R110" s="323">
        <f>+VLOOKUP($E110,Hybrid!$1:$1048576,R$2,FALSE)</f>
        <v>118.6465664</v>
      </c>
      <c r="S110" s="323">
        <f>+VLOOKUP($E110,Hybrid!$1:$1048576,S$2,FALSE)</f>
        <v>117.0260626</v>
      </c>
      <c r="T110" s="323">
        <f>+VLOOKUP($E110,Hybrid!$1:$1048576,T$2,FALSE)</f>
        <v>115.4269571</v>
      </c>
      <c r="U110" s="323">
        <f>+VLOOKUP($E110,Hybrid!$1:$1048576,U$2,FALSE)</f>
        <v>113.8490123</v>
      </c>
      <c r="V110" s="323">
        <f>+VLOOKUP($E110,Hybrid!$1:$1048576,V$2,FALSE)</f>
        <v>112.2919923</v>
      </c>
      <c r="W110" s="323">
        <f>+VLOOKUP($E110,Hybrid!$1:$1048576,W$2,FALSE)</f>
        <v>110.75565810000001</v>
      </c>
      <c r="X110" s="323">
        <f>+VLOOKUP($E110,Hybrid!$1:$1048576,X$2,FALSE)</f>
        <v>109.23976519999999</v>
      </c>
      <c r="Y110" s="323">
        <f>+VLOOKUP($E110,Hybrid!$1:$1048576,Y$2,FALSE)</f>
        <v>107.74406690000001</v>
      </c>
      <c r="Z110" s="323">
        <f>+VLOOKUP($E110,Hybrid!$1:$1048576,Z$2,FALSE)</f>
        <v>106.2683167</v>
      </c>
      <c r="AA110" s="323">
        <f>+VLOOKUP($E110,Hybrid!$1:$1048576,AA$2,FALSE)</f>
        <v>104.8122697</v>
      </c>
      <c r="AB110" s="323">
        <f>+VLOOKUP($E110,Hybrid!$1:$1048576,AB$2,FALSE)</f>
        <v>103.375683</v>
      </c>
      <c r="AC110" s="323">
        <f>+VLOOKUP($E110,Hybrid!$1:$1048576,AC$2,FALSE)</f>
        <v>101.958316</v>
      </c>
      <c r="AD110" s="323">
        <f>+VLOOKUP($E110,Hybrid!$1:$1048576,AD$2,FALSE)</f>
        <v>100.5599309</v>
      </c>
      <c r="AE110" s="323">
        <f>+VLOOKUP($E110,Hybrid!$1:$1048576,AE$2,FALSE)</f>
        <v>99.180292399999999</v>
      </c>
      <c r="AF110" s="323">
        <f>+VLOOKUP($E110,Hybrid!$1:$1048576,AF$2,FALSE)</f>
        <v>97.819167820000004</v>
      </c>
      <c r="AG110" s="323">
        <f>+VLOOKUP($E110,Hybrid!$1:$1048576,AG$2,FALSE)</f>
        <v>96.476326990000004</v>
      </c>
      <c r="AH110" s="323">
        <f>+VLOOKUP($E110,Hybrid!$1:$1048576,AH$2,FALSE)</f>
        <v>95.151542190000001</v>
      </c>
      <c r="AI110" s="323">
        <f>+VLOOKUP($E110,Hybrid!$1:$1048576,AI$2,FALSE)</f>
        <v>93.844588099999996</v>
      </c>
      <c r="AJ110" s="323">
        <f>+VLOOKUP($E110,Hybrid!$1:$1048576,AJ$2,FALSE)</f>
        <v>92.555241769999995</v>
      </c>
      <c r="AK110" s="323">
        <f>+VLOOKUP($E110,Hybrid!$1:$1048576,AK$2,FALSE)</f>
        <v>91.28328252</v>
      </c>
      <c r="AL110" s="323">
        <f>+VLOOKUP($E110,Hybrid!$1:$1048576,AL$2,FALSE)</f>
        <v>90.028491939999995</v>
      </c>
      <c r="AM110" s="323">
        <f>+VLOOKUP($E110,Hybrid!$1:$1048576,AM$2,FALSE)</f>
        <v>88.790653840000004</v>
      </c>
      <c r="AN110" s="323">
        <f>+VLOOKUP($E110,Hybrid!$1:$1048576,AN$2,FALSE)</f>
        <v>87.569554240000002</v>
      </c>
      <c r="AO110" s="323">
        <f>+VLOOKUP($E110,Hybrid!$1:$1048576,AO$2,FALSE)</f>
        <v>86.364981290000003</v>
      </c>
      <c r="AP110" s="73"/>
      <c r="AQ110" s="73"/>
    </row>
    <row r="111" spans="1:43" ht="15" customHeight="1" x14ac:dyDescent="0.25">
      <c r="A111" s="384"/>
      <c r="B111" s="382"/>
      <c r="C111" s="166"/>
      <c r="D111" s="124" t="s">
        <v>525</v>
      </c>
      <c r="E111" s="52" t="s">
        <v>439</v>
      </c>
      <c r="F111" s="324">
        <f>+VLOOKUP($E111,Hybrid!$1:$1048576,F$2,FALSE)</f>
        <v>3.874567114</v>
      </c>
      <c r="G111" s="324">
        <f>+VLOOKUP($E111,Hybrid!$1:$1048576,G$2,FALSE)</f>
        <v>3.7242706779999999</v>
      </c>
      <c r="H111" s="324">
        <f>+VLOOKUP($E111,Hybrid!$1:$1048576,H$2,FALSE)</f>
        <v>3.5801571349999999</v>
      </c>
      <c r="I111" s="324">
        <f>+VLOOKUP($E111,Hybrid!$1:$1048576,I$2,FALSE)</f>
        <v>3.4419667719999998</v>
      </c>
      <c r="J111" s="324">
        <f>+VLOOKUP($E111,Hybrid!$1:$1048576,J$2,FALSE)</f>
        <v>3.3094508610000002</v>
      </c>
      <c r="K111" s="324">
        <f>+VLOOKUP($E111,Hybrid!$1:$1048576,K$2,FALSE)</f>
        <v>3.1823711970000002</v>
      </c>
      <c r="L111" s="324">
        <f>+VLOOKUP($E111,Hybrid!$1:$1048576,L$2,FALSE)</f>
        <v>3.0604996469999999</v>
      </c>
      <c r="M111" s="324">
        <f>+VLOOKUP($E111,Hybrid!$1:$1048576,M$2,FALSE)</f>
        <v>2.9436177290000001</v>
      </c>
      <c r="N111" s="324">
        <f>+VLOOKUP($E111,Hybrid!$1:$1048576,N$2,FALSE)</f>
        <v>2.8315161980000001</v>
      </c>
      <c r="O111" s="324">
        <f>+VLOOKUP($E111,Hybrid!$1:$1048576,O$2,FALSE)</f>
        <v>2.7239946530000001</v>
      </c>
      <c r="P111" s="324">
        <f>+VLOOKUP($E111,Hybrid!$1:$1048576,P$2,FALSE)</f>
        <v>2.6208611679999998</v>
      </c>
      <c r="Q111" s="324">
        <f>+VLOOKUP($E111,Hybrid!$1:$1048576,Q$2,FALSE)</f>
        <v>2.5219319269999998</v>
      </c>
      <c r="R111" s="324">
        <f>+VLOOKUP($E111,Hybrid!$1:$1048576,R$2,FALSE)</f>
        <v>2.427030883</v>
      </c>
      <c r="S111" s="324">
        <f>+VLOOKUP($E111,Hybrid!$1:$1048576,S$2,FALSE)</f>
        <v>2.3359894290000001</v>
      </c>
      <c r="T111" s="324">
        <f>+VLOOKUP($E111,Hybrid!$1:$1048576,T$2,FALSE)</f>
        <v>2.248646082</v>
      </c>
      <c r="U111" s="324">
        <f>+VLOOKUP($E111,Hybrid!$1:$1048576,U$2,FALSE)</f>
        <v>2.1648461810000001</v>
      </c>
      <c r="V111" s="324">
        <f>+VLOOKUP($E111,Hybrid!$1:$1048576,V$2,FALSE)</f>
        <v>2.0844416020000001</v>
      </c>
      <c r="W111" s="324">
        <f>+VLOOKUP($E111,Hybrid!$1:$1048576,W$2,FALSE)</f>
        <v>2.0072904739999999</v>
      </c>
      <c r="X111" s="324">
        <f>+VLOOKUP($E111,Hybrid!$1:$1048576,X$2,FALSE)</f>
        <v>1.9332569209999999</v>
      </c>
      <c r="Y111" s="324">
        <f>+VLOOKUP($E111,Hybrid!$1:$1048576,Y$2,FALSE)</f>
        <v>1.8622107999999999</v>
      </c>
      <c r="Z111" s="324">
        <f>+VLOOKUP($E111,Hybrid!$1:$1048576,Z$2,FALSE)</f>
        <v>1.7940274650000001</v>
      </c>
      <c r="AA111" s="324">
        <f>+VLOOKUP($E111,Hybrid!$1:$1048576,AA$2,FALSE)</f>
        <v>1.728587528</v>
      </c>
      <c r="AB111" s="324">
        <f>+VLOOKUP($E111,Hybrid!$1:$1048576,AB$2,FALSE)</f>
        <v>1.6657766389999999</v>
      </c>
      <c r="AC111" s="324">
        <f>+VLOOKUP($E111,Hybrid!$1:$1048576,AC$2,FALSE)</f>
        <v>1.6054852719999999</v>
      </c>
      <c r="AD111" s="324">
        <f>+VLOOKUP($E111,Hybrid!$1:$1048576,AD$2,FALSE)</f>
        <v>1.5476085230000001</v>
      </c>
      <c r="AE111" s="324">
        <f>+VLOOKUP($E111,Hybrid!$1:$1048576,AE$2,FALSE)</f>
        <v>1.492045909</v>
      </c>
      <c r="AF111" s="324">
        <f>+VLOOKUP($E111,Hybrid!$1:$1048576,AF$2,FALSE)</f>
        <v>1.438701185</v>
      </c>
      <c r="AG111" s="324">
        <f>+VLOOKUP($E111,Hybrid!$1:$1048576,AG$2,FALSE)</f>
        <v>1.3874821660000001</v>
      </c>
      <c r="AH111" s="324">
        <f>+VLOOKUP($E111,Hybrid!$1:$1048576,AH$2,FALSE)</f>
        <v>1.3383005480000001</v>
      </c>
      <c r="AI111" s="324">
        <f>+VLOOKUP($E111,Hybrid!$1:$1048576,AI$2,FALSE)</f>
        <v>1.2910717519999999</v>
      </c>
      <c r="AJ111" s="324">
        <f>+VLOOKUP($E111,Hybrid!$1:$1048576,AJ$2,FALSE)</f>
        <v>1.245714762</v>
      </c>
      <c r="AK111" s="324">
        <f>+VLOOKUP($E111,Hybrid!$1:$1048576,AK$2,FALSE)</f>
        <v>1.202151974</v>
      </c>
      <c r="AL111" s="324">
        <f>+VLOOKUP($E111,Hybrid!$1:$1048576,AL$2,FALSE)</f>
        <v>1.160309051</v>
      </c>
      <c r="AM111" s="324">
        <f>+VLOOKUP($E111,Hybrid!$1:$1048576,AM$2,FALSE)</f>
        <v>1.1201147899999999</v>
      </c>
      <c r="AN111" s="324">
        <f>+VLOOKUP($E111,Hybrid!$1:$1048576,AN$2,FALSE)</f>
        <v>1.081500981</v>
      </c>
      <c r="AO111" s="324">
        <f>+VLOOKUP($E111,Hybrid!$1:$1048576,AO$2,FALSE)</f>
        <v>1.0444022879999999</v>
      </c>
      <c r="AP111" s="73"/>
      <c r="AQ111" s="73"/>
    </row>
    <row r="112" spans="1:43" s="108" customFormat="1" ht="15" customHeight="1" x14ac:dyDescent="0.25">
      <c r="A112" s="384"/>
      <c r="B112" s="382"/>
      <c r="C112" s="122" t="s">
        <v>526</v>
      </c>
      <c r="D112" s="122"/>
      <c r="E112" s="89" t="s">
        <v>440</v>
      </c>
      <c r="F112" s="322">
        <f>+VLOOKUP($E112,Hybrid!$1:$1048576,F$2,FALSE)</f>
        <v>2457.4699179999998</v>
      </c>
      <c r="G112" s="322">
        <f>+VLOOKUP($E112,Hybrid!$1:$1048576,G$2,FALSE)</f>
        <v>2463.613593</v>
      </c>
      <c r="H112" s="322">
        <f>+VLOOKUP($E112,Hybrid!$1:$1048576,H$2,FALSE)</f>
        <v>2469.7726269999998</v>
      </c>
      <c r="I112" s="322">
        <f>+VLOOKUP($E112,Hybrid!$1:$1048576,I$2,FALSE)</f>
        <v>2475.9470590000001</v>
      </c>
      <c r="J112" s="322">
        <f>+VLOOKUP($E112,Hybrid!$1:$1048576,J$2,FALSE)</f>
        <v>2482.1369260000001</v>
      </c>
      <c r="K112" s="322">
        <f>+VLOOKUP($E112,Hybrid!$1:$1048576,K$2,FALSE)</f>
        <v>2488.3422690000002</v>
      </c>
      <c r="L112" s="322">
        <f>+VLOOKUP($E112,Hybrid!$1:$1048576,L$2,FALSE)</f>
        <v>2494.5631239999998</v>
      </c>
      <c r="M112" s="322">
        <f>+VLOOKUP($E112,Hybrid!$1:$1048576,M$2,FALSE)</f>
        <v>2500.799532</v>
      </c>
      <c r="N112" s="322">
        <f>+VLOOKUP($E112,Hybrid!$1:$1048576,N$2,FALSE)</f>
        <v>2507.0515310000001</v>
      </c>
      <c r="O112" s="322">
        <f>+VLOOKUP($E112,Hybrid!$1:$1048576,O$2,FALSE)</f>
        <v>2513.31916</v>
      </c>
      <c r="P112" s="322">
        <f>+VLOOKUP($E112,Hybrid!$1:$1048576,P$2,FALSE)</f>
        <v>2519.6024579999998</v>
      </c>
      <c r="Q112" s="322">
        <f>+VLOOKUP($E112,Hybrid!$1:$1048576,Q$2,FALSE)</f>
        <v>2525.901464</v>
      </c>
      <c r="R112" s="322">
        <f>+VLOOKUP($E112,Hybrid!$1:$1048576,R$2,FALSE)</f>
        <v>2532.2162170000001</v>
      </c>
      <c r="S112" s="322">
        <f>+VLOOKUP($E112,Hybrid!$1:$1048576,S$2,FALSE)</f>
        <v>2538.546758</v>
      </c>
      <c r="T112" s="322">
        <f>+VLOOKUP($E112,Hybrid!$1:$1048576,T$2,FALSE)</f>
        <v>2544.8931250000001</v>
      </c>
      <c r="U112" s="322">
        <f>+VLOOKUP($E112,Hybrid!$1:$1048576,U$2,FALSE)</f>
        <v>2551.2553579999999</v>
      </c>
      <c r="V112" s="322">
        <f>+VLOOKUP($E112,Hybrid!$1:$1048576,V$2,FALSE)</f>
        <v>2557.6334959999999</v>
      </c>
      <c r="W112" s="322">
        <f>+VLOOKUP($E112,Hybrid!$1:$1048576,W$2,FALSE)</f>
        <v>2564.0275799999999</v>
      </c>
      <c r="X112" s="322">
        <f>+VLOOKUP($E112,Hybrid!$1:$1048576,X$2,FALSE)</f>
        <v>2570.437649</v>
      </c>
      <c r="Y112" s="322">
        <f>+VLOOKUP($E112,Hybrid!$1:$1048576,Y$2,FALSE)</f>
        <v>2576.8637429999999</v>
      </c>
      <c r="Z112" s="322">
        <f>+VLOOKUP($E112,Hybrid!$1:$1048576,Z$2,FALSE)</f>
        <v>2583.3059020000001</v>
      </c>
      <c r="AA112" s="322">
        <f>+VLOOKUP($E112,Hybrid!$1:$1048576,AA$2,FALSE)</f>
        <v>2589.7641669999998</v>
      </c>
      <c r="AB112" s="322">
        <f>+VLOOKUP($E112,Hybrid!$1:$1048576,AB$2,FALSE)</f>
        <v>2596.2385770000001</v>
      </c>
      <c r="AC112" s="322">
        <f>+VLOOKUP($E112,Hybrid!$1:$1048576,AC$2,FALSE)</f>
        <v>2602.7291740000001</v>
      </c>
      <c r="AD112" s="322">
        <f>+VLOOKUP($E112,Hybrid!$1:$1048576,AD$2,FALSE)</f>
        <v>2609.2359970000002</v>
      </c>
      <c r="AE112" s="322">
        <f>+VLOOKUP($E112,Hybrid!$1:$1048576,AE$2,FALSE)</f>
        <v>2615.7590869999999</v>
      </c>
      <c r="AF112" s="322">
        <f>+VLOOKUP($E112,Hybrid!$1:$1048576,AF$2,FALSE)</f>
        <v>2622.2984839999999</v>
      </c>
      <c r="AG112" s="322">
        <f>+VLOOKUP($E112,Hybrid!$1:$1048576,AG$2,FALSE)</f>
        <v>2628.8542309999998</v>
      </c>
      <c r="AH112" s="322">
        <f>+VLOOKUP($E112,Hybrid!$1:$1048576,AH$2,FALSE)</f>
        <v>2635.4263660000001</v>
      </c>
      <c r="AI112" s="322">
        <f>+VLOOKUP($E112,Hybrid!$1:$1048576,AI$2,FALSE)</f>
        <v>2642.014932</v>
      </c>
      <c r="AJ112" s="322">
        <f>+VLOOKUP($E112,Hybrid!$1:$1048576,AJ$2,FALSE)</f>
        <v>2648.6199700000002</v>
      </c>
      <c r="AK112" s="322">
        <f>+VLOOKUP($E112,Hybrid!$1:$1048576,AK$2,FALSE)</f>
        <v>2655.2415190000002</v>
      </c>
      <c r="AL112" s="322">
        <f>+VLOOKUP($E112,Hybrid!$1:$1048576,AL$2,FALSE)</f>
        <v>2661.8796229999998</v>
      </c>
      <c r="AM112" s="322">
        <f>+VLOOKUP($E112,Hybrid!$1:$1048576,AM$2,FALSE)</f>
        <v>2668.534322</v>
      </c>
      <c r="AN112" s="322">
        <f>+VLOOKUP($E112,Hybrid!$1:$1048576,AN$2,FALSE)</f>
        <v>2675.2056579999999</v>
      </c>
      <c r="AO112" s="322">
        <f>+VLOOKUP($E112,Hybrid!$1:$1048576,AO$2,FALSE)</f>
        <v>2681.8936720000002</v>
      </c>
    </row>
    <row r="113" spans="1:41" ht="15" customHeight="1" x14ac:dyDescent="0.25">
      <c r="A113" s="384"/>
      <c r="B113" s="382"/>
      <c r="C113" s="123"/>
      <c r="D113" s="123" t="s">
        <v>519</v>
      </c>
      <c r="E113" s="47" t="s">
        <v>441</v>
      </c>
      <c r="F113" s="323">
        <f>+VLOOKUP($E113,Hybrid!$1:$1048576,F$2,FALSE)</f>
        <v>3.476542051</v>
      </c>
      <c r="G113" s="323">
        <f>+VLOOKUP($E113,Hybrid!$1:$1048576,G$2,FALSE)</f>
        <v>5.5995510140000002</v>
      </c>
      <c r="H113" s="323">
        <f>+VLOOKUP($E113,Hybrid!$1:$1048576,H$2,FALSE)</f>
        <v>7.7036304580000001</v>
      </c>
      <c r="I113" s="323">
        <f>+VLOOKUP($E113,Hybrid!$1:$1048576,I$2,FALSE)</f>
        <v>9.7889277490000008</v>
      </c>
      <c r="J113" s="323">
        <f>+VLOOKUP($E113,Hybrid!$1:$1048576,J$2,FALSE)</f>
        <v>11.855592209999999</v>
      </c>
      <c r="K113" s="323">
        <f>+VLOOKUP($E113,Hybrid!$1:$1048576,K$2,FALSE)</f>
        <v>13.903781560000001</v>
      </c>
      <c r="L113" s="323">
        <f>+VLOOKUP($E113,Hybrid!$1:$1048576,L$2,FALSE)</f>
        <v>15.93366241</v>
      </c>
      <c r="M113" s="323">
        <f>+VLOOKUP($E113,Hybrid!$1:$1048576,M$2,FALSE)</f>
        <v>17.945406779999999</v>
      </c>
      <c r="N113" s="323">
        <f>+VLOOKUP($E113,Hybrid!$1:$1048576,N$2,FALSE)</f>
        <v>19.9391876</v>
      </c>
      <c r="O113" s="323">
        <f>+VLOOKUP($E113,Hybrid!$1:$1048576,O$2,FALSE)</f>
        <v>21.915175250000001</v>
      </c>
      <c r="P113" s="323">
        <f>+VLOOKUP($E113,Hybrid!$1:$1048576,P$2,FALSE)</f>
        <v>23.873535950000001</v>
      </c>
      <c r="Q113" s="323">
        <f>+VLOOKUP($E113,Hybrid!$1:$1048576,Q$2,FALSE)</f>
        <v>25.814431509999999</v>
      </c>
      <c r="R113" s="323">
        <f>+VLOOKUP($E113,Hybrid!$1:$1048576,R$2,FALSE)</f>
        <v>27.738020110000001</v>
      </c>
      <c r="S113" s="323">
        <f>+VLOOKUP($E113,Hybrid!$1:$1048576,S$2,FALSE)</f>
        <v>29.644457370000001</v>
      </c>
      <c r="T113" s="323">
        <f>+VLOOKUP($E113,Hybrid!$1:$1048576,T$2,FALSE)</f>
        <v>31.533898010000001</v>
      </c>
      <c r="U113" s="323">
        <f>+VLOOKUP($E113,Hybrid!$1:$1048576,U$2,FALSE)</f>
        <v>33.406496990000001</v>
      </c>
      <c r="V113" s="323">
        <f>+VLOOKUP($E113,Hybrid!$1:$1048576,V$2,FALSE)</f>
        <v>35.26240859</v>
      </c>
      <c r="W113" s="323">
        <f>+VLOOKUP($E113,Hybrid!$1:$1048576,W$2,FALSE)</f>
        <v>37.101786199999999</v>
      </c>
      <c r="X113" s="323">
        <f>+VLOOKUP($E113,Hybrid!$1:$1048576,X$2,FALSE)</f>
        <v>38.924782499999999</v>
      </c>
      <c r="Y113" s="323">
        <f>+VLOOKUP($E113,Hybrid!$1:$1048576,Y$2,FALSE)</f>
        <v>40.731549020000003</v>
      </c>
      <c r="Z113" s="323">
        <f>+VLOOKUP($E113,Hybrid!$1:$1048576,Z$2,FALSE)</f>
        <v>42.522235340000002</v>
      </c>
      <c r="AA113" s="323">
        <f>+VLOOKUP($E113,Hybrid!$1:$1048576,AA$2,FALSE)</f>
        <v>44.296988949999999</v>
      </c>
      <c r="AB113" s="323">
        <f>+VLOOKUP($E113,Hybrid!$1:$1048576,AB$2,FALSE)</f>
        <v>46.055955099999998</v>
      </c>
      <c r="AC113" s="323">
        <f>+VLOOKUP($E113,Hybrid!$1:$1048576,AC$2,FALSE)</f>
        <v>47.799276929999998</v>
      </c>
      <c r="AD113" s="323">
        <f>+VLOOKUP($E113,Hybrid!$1:$1048576,AD$2,FALSE)</f>
        <v>49.52709548</v>
      </c>
      <c r="AE113" s="323">
        <f>+VLOOKUP($E113,Hybrid!$1:$1048576,AE$2,FALSE)</f>
        <v>51.239549889999999</v>
      </c>
      <c r="AF113" s="323">
        <f>+VLOOKUP($E113,Hybrid!$1:$1048576,AF$2,FALSE)</f>
        <v>52.93677752</v>
      </c>
      <c r="AG113" s="323">
        <f>+VLOOKUP($E113,Hybrid!$1:$1048576,AG$2,FALSE)</f>
        <v>54.61891404</v>
      </c>
      <c r="AH113" s="323">
        <f>+VLOOKUP($E113,Hybrid!$1:$1048576,AH$2,FALSE)</f>
        <v>56.286093610000002</v>
      </c>
      <c r="AI113" s="323">
        <f>+VLOOKUP($E113,Hybrid!$1:$1048576,AI$2,FALSE)</f>
        <v>57.938448979999997</v>
      </c>
      <c r="AJ113" s="323">
        <f>+VLOOKUP($E113,Hybrid!$1:$1048576,AJ$2,FALSE)</f>
        <v>59.57611146</v>
      </c>
      <c r="AK113" s="323">
        <f>+VLOOKUP($E113,Hybrid!$1:$1048576,AK$2,FALSE)</f>
        <v>61.199210839999999</v>
      </c>
      <c r="AL113" s="323">
        <f>+VLOOKUP($E113,Hybrid!$1:$1048576,AL$2,FALSE)</f>
        <v>62.807875680000002</v>
      </c>
      <c r="AM113" s="323">
        <f>+VLOOKUP($E113,Hybrid!$1:$1048576,AM$2,FALSE)</f>
        <v>64.402233449999997</v>
      </c>
      <c r="AN113" s="323">
        <f>+VLOOKUP($E113,Hybrid!$1:$1048576,AN$2,FALSE)</f>
        <v>65.982410700000003</v>
      </c>
      <c r="AO113" s="323">
        <f>+VLOOKUP($E113,Hybrid!$1:$1048576,AO$2,FALSE)</f>
        <v>67.548533039999995</v>
      </c>
    </row>
    <row r="114" spans="1:41" ht="15" customHeight="1" x14ac:dyDescent="0.25">
      <c r="A114" s="384"/>
      <c r="B114" s="382"/>
      <c r="C114" s="123"/>
      <c r="D114" s="123" t="s">
        <v>520</v>
      </c>
      <c r="E114" s="47" t="s">
        <v>442</v>
      </c>
      <c r="F114" s="323">
        <f>+VLOOKUP($E114,Hybrid!$1:$1048576,F$2,FALSE)</f>
        <v>68.80476281</v>
      </c>
      <c r="G114" s="323">
        <f>+VLOOKUP($E114,Hybrid!$1:$1048576,G$2,FALSE)</f>
        <v>76.772546509999998</v>
      </c>
      <c r="H114" s="323">
        <f>+VLOOKUP($E114,Hybrid!$1:$1048576,H$2,FALSE)</f>
        <v>84.684486320000005</v>
      </c>
      <c r="I114" s="323">
        <f>+VLOOKUP($E114,Hybrid!$1:$1048576,I$2,FALSE)</f>
        <v>92.541697170000006</v>
      </c>
      <c r="J114" s="323">
        <f>+VLOOKUP($E114,Hybrid!$1:$1048576,J$2,FALSE)</f>
        <v>100.3450521</v>
      </c>
      <c r="K114" s="323">
        <f>+VLOOKUP($E114,Hybrid!$1:$1048576,K$2,FALSE)</f>
        <v>108.09510280000001</v>
      </c>
      <c r="L114" s="323">
        <f>+VLOOKUP($E114,Hybrid!$1:$1048576,L$2,FALSE)</f>
        <v>115.7921578</v>
      </c>
      <c r="M114" s="323">
        <f>+VLOOKUP($E114,Hybrid!$1:$1048576,M$2,FALSE)</f>
        <v>123.4364073</v>
      </c>
      <c r="N114" s="323">
        <f>+VLOOKUP($E114,Hybrid!$1:$1048576,N$2,FALSE)</f>
        <v>131.02802560000001</v>
      </c>
      <c r="O114" s="323">
        <f>+VLOOKUP($E114,Hybrid!$1:$1048576,O$2,FALSE)</f>
        <v>138.5672289</v>
      </c>
      <c r="P114" s="323">
        <f>+VLOOKUP($E114,Hybrid!$1:$1048576,P$2,FALSE)</f>
        <v>146.0542963</v>
      </c>
      <c r="Q114" s="323">
        <f>+VLOOKUP($E114,Hybrid!$1:$1048576,Q$2,FALSE)</f>
        <v>153.48956680000001</v>
      </c>
      <c r="R114" s="323">
        <f>+VLOOKUP($E114,Hybrid!$1:$1048576,R$2,FALSE)</f>
        <v>160.87342670000001</v>
      </c>
      <c r="S114" s="323">
        <f>+VLOOKUP($E114,Hybrid!$1:$1048576,S$2,FALSE)</f>
        <v>168.20629550000001</v>
      </c>
      <c r="T114" s="323">
        <f>+VLOOKUP($E114,Hybrid!$1:$1048576,T$2,FALSE)</f>
        <v>175.48861400000001</v>
      </c>
      <c r="U114" s="323">
        <f>+VLOOKUP($E114,Hybrid!$1:$1048576,U$2,FALSE)</f>
        <v>182.72083570000001</v>
      </c>
      <c r="V114" s="323">
        <f>+VLOOKUP($E114,Hybrid!$1:$1048576,V$2,FALSE)</f>
        <v>189.90342269999999</v>
      </c>
      <c r="W114" s="323">
        <f>+VLOOKUP($E114,Hybrid!$1:$1048576,W$2,FALSE)</f>
        <v>197.0368454</v>
      </c>
      <c r="X114" s="323">
        <f>+VLOOKUP($E114,Hybrid!$1:$1048576,X$2,FALSE)</f>
        <v>204.1215871</v>
      </c>
      <c r="Y114" s="323">
        <f>+VLOOKUP($E114,Hybrid!$1:$1048576,Y$2,FALSE)</f>
        <v>211.1581401</v>
      </c>
      <c r="Z114" s="323">
        <f>+VLOOKUP($E114,Hybrid!$1:$1048576,Z$2,FALSE)</f>
        <v>218.14699970000001</v>
      </c>
      <c r="AA114" s="323">
        <f>+VLOOKUP($E114,Hybrid!$1:$1048576,AA$2,FALSE)</f>
        <v>225.08866190000001</v>
      </c>
      <c r="AB114" s="323">
        <f>+VLOOKUP($E114,Hybrid!$1:$1048576,AB$2,FALSE)</f>
        <v>231.9836214</v>
      </c>
      <c r="AC114" s="323">
        <f>+VLOOKUP($E114,Hybrid!$1:$1048576,AC$2,FALSE)</f>
        <v>238.83237120000001</v>
      </c>
      <c r="AD114" s="323">
        <f>+VLOOKUP($E114,Hybrid!$1:$1048576,AD$2,FALSE)</f>
        <v>245.63540169999999</v>
      </c>
      <c r="AE114" s="323">
        <f>+VLOOKUP($E114,Hybrid!$1:$1048576,AE$2,FALSE)</f>
        <v>252.39320029999999</v>
      </c>
      <c r="AF114" s="323">
        <f>+VLOOKUP($E114,Hybrid!$1:$1048576,AF$2,FALSE)</f>
        <v>259.10625149999998</v>
      </c>
      <c r="AG114" s="323">
        <f>+VLOOKUP($E114,Hybrid!$1:$1048576,AG$2,FALSE)</f>
        <v>265.775036</v>
      </c>
      <c r="AH114" s="323">
        <f>+VLOOKUP($E114,Hybrid!$1:$1048576,AH$2,FALSE)</f>
        <v>272.40003080000002</v>
      </c>
      <c r="AI114" s="323">
        <f>+VLOOKUP($E114,Hybrid!$1:$1048576,AI$2,FALSE)</f>
        <v>278.98170900000002</v>
      </c>
      <c r="AJ114" s="323">
        <f>+VLOOKUP($E114,Hybrid!$1:$1048576,AJ$2,FALSE)</f>
        <v>285.5205388</v>
      </c>
      <c r="AK114" s="323">
        <f>+VLOOKUP($E114,Hybrid!$1:$1048576,AK$2,FALSE)</f>
        <v>292.01698290000002</v>
      </c>
      <c r="AL114" s="323">
        <f>+VLOOKUP($E114,Hybrid!$1:$1048576,AL$2,FALSE)</f>
        <v>298.47149880000001</v>
      </c>
      <c r="AM114" s="323">
        <f>+VLOOKUP($E114,Hybrid!$1:$1048576,AM$2,FALSE)</f>
        <v>304.8845397</v>
      </c>
      <c r="AN114" s="323">
        <f>+VLOOKUP($E114,Hybrid!$1:$1048576,AN$2,FALSE)</f>
        <v>311.25655410000002</v>
      </c>
      <c r="AO114" s="323">
        <f>+VLOOKUP($E114,Hybrid!$1:$1048576,AO$2,FALSE)</f>
        <v>317.58798589999998</v>
      </c>
    </row>
    <row r="115" spans="1:41" ht="15" customHeight="1" x14ac:dyDescent="0.25">
      <c r="A115" s="384"/>
      <c r="B115" s="382"/>
      <c r="C115" s="123"/>
      <c r="D115" s="123" t="s">
        <v>521</v>
      </c>
      <c r="E115" s="47" t="s">
        <v>443</v>
      </c>
      <c r="F115" s="323">
        <f>+VLOOKUP($E115,Hybrid!$1:$1048576,F$2,FALSE)</f>
        <v>408.28039699999999</v>
      </c>
      <c r="G115" s="323">
        <f>+VLOOKUP($E115,Hybrid!$1:$1048576,G$2,FALSE)</f>
        <v>424.0771919</v>
      </c>
      <c r="H115" s="323">
        <f>+VLOOKUP($E115,Hybrid!$1:$1048576,H$2,FALSE)</f>
        <v>439.76150250000001</v>
      </c>
      <c r="I115" s="323">
        <f>+VLOOKUP($E115,Hybrid!$1:$1048576,I$2,FALSE)</f>
        <v>455.33442889999998</v>
      </c>
      <c r="J115" s="323">
        <f>+VLOOKUP($E115,Hybrid!$1:$1048576,J$2,FALSE)</f>
        <v>470.79706290000001</v>
      </c>
      <c r="K115" s="323">
        <f>+VLOOKUP($E115,Hybrid!$1:$1048576,K$2,FALSE)</f>
        <v>486.15058540000001</v>
      </c>
      <c r="L115" s="323">
        <f>+VLOOKUP($E115,Hybrid!$1:$1048576,L$2,FALSE)</f>
        <v>501.39630249999999</v>
      </c>
      <c r="M115" s="323">
        <f>+VLOOKUP($E115,Hybrid!$1:$1048576,M$2,FALSE)</f>
        <v>516.53563210000004</v>
      </c>
      <c r="N115" s="323">
        <f>+VLOOKUP($E115,Hybrid!$1:$1048576,N$2,FALSE)</f>
        <v>531.57006420000005</v>
      </c>
      <c r="O115" s="323">
        <f>+VLOOKUP($E115,Hybrid!$1:$1048576,O$2,FALSE)</f>
        <v>546.5011174</v>
      </c>
      <c r="P115" s="323">
        <f>+VLOOKUP($E115,Hybrid!$1:$1048576,P$2,FALSE)</f>
        <v>561.33030229999997</v>
      </c>
      <c r="Q115" s="323">
        <f>+VLOOKUP($E115,Hybrid!$1:$1048576,Q$2,FALSE)</f>
        <v>576.05909640000004</v>
      </c>
      <c r="R115" s="323">
        <f>+VLOOKUP($E115,Hybrid!$1:$1048576,R$2,FALSE)</f>
        <v>590.68893000000003</v>
      </c>
      <c r="S115" s="323">
        <f>+VLOOKUP($E115,Hybrid!$1:$1048576,S$2,FALSE)</f>
        <v>605.22118149999994</v>
      </c>
      <c r="T115" s="323">
        <f>+VLOOKUP($E115,Hybrid!$1:$1048576,T$2,FALSE)</f>
        <v>619.65717710000001</v>
      </c>
      <c r="U115" s="323">
        <f>+VLOOKUP($E115,Hybrid!$1:$1048576,U$2,FALSE)</f>
        <v>633.99819590000004</v>
      </c>
      <c r="V115" s="323">
        <f>+VLOOKUP($E115,Hybrid!$1:$1048576,V$2,FALSE)</f>
        <v>648.24547680000001</v>
      </c>
      <c r="W115" s="323">
        <f>+VLOOKUP($E115,Hybrid!$1:$1048576,W$2,FALSE)</f>
        <v>662.40022380000005</v>
      </c>
      <c r="X115" s="323">
        <f>+VLOOKUP($E115,Hybrid!$1:$1048576,X$2,FALSE)</f>
        <v>676.46360470000002</v>
      </c>
      <c r="Y115" s="323">
        <f>+VLOOKUP($E115,Hybrid!$1:$1048576,Y$2,FALSE)</f>
        <v>690.43676049999999</v>
      </c>
      <c r="Z115" s="323">
        <f>+VLOOKUP($E115,Hybrid!$1:$1048576,Z$2,FALSE)</f>
        <v>704.32081589999996</v>
      </c>
      <c r="AA115" s="323">
        <f>+VLOOKUP($E115,Hybrid!$1:$1048576,AA$2,FALSE)</f>
        <v>718.11688260000005</v>
      </c>
      <c r="AB115" s="323">
        <f>+VLOOKUP($E115,Hybrid!$1:$1048576,AB$2,FALSE)</f>
        <v>731.82606129999999</v>
      </c>
      <c r="AC115" s="323">
        <f>+VLOOKUP($E115,Hybrid!$1:$1048576,AC$2,FALSE)</f>
        <v>745.4494426</v>
      </c>
      <c r="AD115" s="323">
        <f>+VLOOKUP($E115,Hybrid!$1:$1048576,AD$2,FALSE)</f>
        <v>758.98810730000002</v>
      </c>
      <c r="AE115" s="323">
        <f>+VLOOKUP($E115,Hybrid!$1:$1048576,AE$2,FALSE)</f>
        <v>772.44312639999998</v>
      </c>
      <c r="AF115" s="323">
        <f>+VLOOKUP($E115,Hybrid!$1:$1048576,AF$2,FALSE)</f>
        <v>785.815561</v>
      </c>
      <c r="AG115" s="323">
        <f>+VLOOKUP($E115,Hybrid!$1:$1048576,AG$2,FALSE)</f>
        <v>799.10646199999996</v>
      </c>
      <c r="AH115" s="323">
        <f>+VLOOKUP($E115,Hybrid!$1:$1048576,AH$2,FALSE)</f>
        <v>812.31687030000001</v>
      </c>
      <c r="AI115" s="323">
        <f>+VLOOKUP($E115,Hybrid!$1:$1048576,AI$2,FALSE)</f>
        <v>825.44781650000004</v>
      </c>
      <c r="AJ115" s="323">
        <f>+VLOOKUP($E115,Hybrid!$1:$1048576,AJ$2,FALSE)</f>
        <v>838.50032099999999</v>
      </c>
      <c r="AK115" s="323">
        <f>+VLOOKUP($E115,Hybrid!$1:$1048576,AK$2,FALSE)</f>
        <v>851.47539549999999</v>
      </c>
      <c r="AL115" s="323">
        <f>+VLOOKUP($E115,Hybrid!$1:$1048576,AL$2,FALSE)</f>
        <v>864.37404149999998</v>
      </c>
      <c r="AM115" s="323">
        <f>+VLOOKUP($E115,Hybrid!$1:$1048576,AM$2,FALSE)</f>
        <v>877.19725010000002</v>
      </c>
      <c r="AN115" s="323">
        <f>+VLOOKUP($E115,Hybrid!$1:$1048576,AN$2,FALSE)</f>
        <v>889.94600209999999</v>
      </c>
      <c r="AO115" s="323">
        <f>+VLOOKUP($E115,Hybrid!$1:$1048576,AO$2,FALSE)</f>
        <v>902.62126769999998</v>
      </c>
    </row>
    <row r="116" spans="1:41" ht="15" customHeight="1" x14ac:dyDescent="0.25">
      <c r="A116" s="384"/>
      <c r="B116" s="382"/>
      <c r="C116" s="123"/>
      <c r="D116" s="123" t="s">
        <v>522</v>
      </c>
      <c r="E116" s="47" t="s">
        <v>444</v>
      </c>
      <c r="F116" s="323">
        <f>+VLOOKUP($E116,Hybrid!$1:$1048576,F$2,FALSE)</f>
        <v>954.38155940000001</v>
      </c>
      <c r="G116" s="323">
        <f>+VLOOKUP($E116,Hybrid!$1:$1048576,G$2,FALSE)</f>
        <v>947.51768939999999</v>
      </c>
      <c r="H116" s="323">
        <f>+VLOOKUP($E116,Hybrid!$1:$1048576,H$2,FALSE)</f>
        <v>940.69002</v>
      </c>
      <c r="I116" s="323">
        <f>+VLOOKUP($E116,Hybrid!$1:$1048576,I$2,FALSE)</f>
        <v>933.89841869999998</v>
      </c>
      <c r="J116" s="323">
        <f>+VLOOKUP($E116,Hybrid!$1:$1048576,J$2,FALSE)</f>
        <v>927.14297429999999</v>
      </c>
      <c r="K116" s="323">
        <f>+VLOOKUP($E116,Hybrid!$1:$1048576,K$2,FALSE)</f>
        <v>920.42396410000003</v>
      </c>
      <c r="L116" s="323">
        <f>+VLOOKUP($E116,Hybrid!$1:$1048576,L$2,FALSE)</f>
        <v>913.74173489999998</v>
      </c>
      <c r="M116" s="323">
        <f>+VLOOKUP($E116,Hybrid!$1:$1048576,M$2,FALSE)</f>
        <v>907.09659669999996</v>
      </c>
      <c r="N116" s="323">
        <f>+VLOOKUP($E116,Hybrid!$1:$1048576,N$2,FALSE)</f>
        <v>900.48876670000004</v>
      </c>
      <c r="O116" s="323">
        <f>+VLOOKUP($E116,Hybrid!$1:$1048576,O$2,FALSE)</f>
        <v>893.91836279999995</v>
      </c>
      <c r="P116" s="323">
        <f>+VLOOKUP($E116,Hybrid!$1:$1048576,P$2,FALSE)</f>
        <v>887.38542459999996</v>
      </c>
      <c r="Q116" s="323">
        <f>+VLOOKUP($E116,Hybrid!$1:$1048576,Q$2,FALSE)</f>
        <v>880.88994439999999</v>
      </c>
      <c r="R116" s="323">
        <f>+VLOOKUP($E116,Hybrid!$1:$1048576,R$2,FALSE)</f>
        <v>874.43189410000002</v>
      </c>
      <c r="S116" s="323">
        <f>+VLOOKUP($E116,Hybrid!$1:$1048576,S$2,FALSE)</f>
        <v>868.01124470000002</v>
      </c>
      <c r="T116" s="323">
        <f>+VLOOKUP($E116,Hybrid!$1:$1048576,T$2,FALSE)</f>
        <v>861.62797569999998</v>
      </c>
      <c r="U116" s="323">
        <f>+VLOOKUP($E116,Hybrid!$1:$1048576,U$2,FALSE)</f>
        <v>855.28207850000001</v>
      </c>
      <c r="V116" s="323">
        <f>+VLOOKUP($E116,Hybrid!$1:$1048576,V$2,FALSE)</f>
        <v>848.97355319999997</v>
      </c>
      <c r="W116" s="323">
        <f>+VLOOKUP($E116,Hybrid!$1:$1048576,W$2,FALSE)</f>
        <v>842.70240520000004</v>
      </c>
      <c r="X116" s="323">
        <f>+VLOOKUP($E116,Hybrid!$1:$1048576,X$2,FALSE)</f>
        <v>836.46864100000005</v>
      </c>
      <c r="Y116" s="323">
        <f>+VLOOKUP($E116,Hybrid!$1:$1048576,Y$2,FALSE)</f>
        <v>830.27226359999997</v>
      </c>
      <c r="Z116" s="323">
        <f>+VLOOKUP($E116,Hybrid!$1:$1048576,Z$2,FALSE)</f>
        <v>824.11326819999999</v>
      </c>
      <c r="AA116" s="323">
        <f>+VLOOKUP($E116,Hybrid!$1:$1048576,AA$2,FALSE)</f>
        <v>817.99164189999999</v>
      </c>
      <c r="AB116" s="323">
        <f>+VLOOKUP($E116,Hybrid!$1:$1048576,AB$2,FALSE)</f>
        <v>811.90736370000002</v>
      </c>
      <c r="AC116" s="323">
        <f>+VLOOKUP($E116,Hybrid!$1:$1048576,AC$2,FALSE)</f>
        <v>805.8604047</v>
      </c>
      <c r="AD116" s="323">
        <f>+VLOOKUP($E116,Hybrid!$1:$1048576,AD$2,FALSE)</f>
        <v>799.85072809999997</v>
      </c>
      <c r="AE116" s="323">
        <f>+VLOOKUP($E116,Hybrid!$1:$1048576,AE$2,FALSE)</f>
        <v>793.87829050000005</v>
      </c>
      <c r="AF116" s="323">
        <f>+VLOOKUP($E116,Hybrid!$1:$1048576,AF$2,FALSE)</f>
        <v>787.94304190000003</v>
      </c>
      <c r="AG116" s="323">
        <f>+VLOOKUP($E116,Hybrid!$1:$1048576,AG$2,FALSE)</f>
        <v>782.04492660000005</v>
      </c>
      <c r="AH116" s="323">
        <f>+VLOOKUP($E116,Hybrid!$1:$1048576,AH$2,FALSE)</f>
        <v>776.18388370000002</v>
      </c>
      <c r="AI116" s="323">
        <f>+VLOOKUP($E116,Hybrid!$1:$1048576,AI$2,FALSE)</f>
        <v>770.35984770000005</v>
      </c>
      <c r="AJ116" s="323">
        <f>+VLOOKUP($E116,Hybrid!$1:$1048576,AJ$2,FALSE)</f>
        <v>764.57274889999997</v>
      </c>
      <c r="AK116" s="323">
        <f>+VLOOKUP($E116,Hybrid!$1:$1048576,AK$2,FALSE)</f>
        <v>758.82251399999996</v>
      </c>
      <c r="AL116" s="323">
        <f>+VLOOKUP($E116,Hybrid!$1:$1048576,AL$2,FALSE)</f>
        <v>753.10906660000001</v>
      </c>
      <c r="AM116" s="323">
        <f>+VLOOKUP($E116,Hybrid!$1:$1048576,AM$2,FALSE)</f>
        <v>747.43232669999998</v>
      </c>
      <c r="AN116" s="323">
        <f>+VLOOKUP($E116,Hybrid!$1:$1048576,AN$2,FALSE)</f>
        <v>741.79221129999996</v>
      </c>
      <c r="AO116" s="323">
        <f>+VLOOKUP($E116,Hybrid!$1:$1048576,AO$2,FALSE)</f>
        <v>736.18863480000005</v>
      </c>
    </row>
    <row r="117" spans="1:41" ht="15" customHeight="1" x14ac:dyDescent="0.25">
      <c r="A117" s="384"/>
      <c r="B117" s="382"/>
      <c r="C117" s="123"/>
      <c r="D117" s="123" t="s">
        <v>523</v>
      </c>
      <c r="E117" s="47" t="s">
        <v>445</v>
      </c>
      <c r="F117" s="323">
        <f>+VLOOKUP($E117,Hybrid!$1:$1048576,F$2,FALSE)</f>
        <v>878.79999729999997</v>
      </c>
      <c r="G117" s="323">
        <f>+VLOOKUP($E117,Hybrid!$1:$1048576,G$2,FALSE)</f>
        <v>867.96700399999997</v>
      </c>
      <c r="H117" s="323">
        <f>+VLOOKUP($E117,Hybrid!$1:$1048576,H$2,FALSE)</f>
        <v>857.26984870000001</v>
      </c>
      <c r="I117" s="323">
        <f>+VLOOKUP($E117,Hybrid!$1:$1048576,I$2,FALSE)</f>
        <v>846.70684649999998</v>
      </c>
      <c r="J117" s="323">
        <f>+VLOOKUP($E117,Hybrid!$1:$1048576,J$2,FALSE)</f>
        <v>836.27633149999997</v>
      </c>
      <c r="K117" s="323">
        <f>+VLOOKUP($E117,Hybrid!$1:$1048576,K$2,FALSE)</f>
        <v>825.97666589999994</v>
      </c>
      <c r="L117" s="323">
        <f>+VLOOKUP($E117,Hybrid!$1:$1048576,L$2,FALSE)</f>
        <v>815.80624269999998</v>
      </c>
      <c r="M117" s="323">
        <f>+VLOOKUP($E117,Hybrid!$1:$1048576,M$2,FALSE)</f>
        <v>805.76348440000004</v>
      </c>
      <c r="N117" s="323">
        <f>+VLOOKUP($E117,Hybrid!$1:$1048576,N$2,FALSE)</f>
        <v>795.84683889999997</v>
      </c>
      <c r="O117" s="323">
        <f>+VLOOKUP($E117,Hybrid!$1:$1048576,O$2,FALSE)</f>
        <v>786.05477559999997</v>
      </c>
      <c r="P117" s="323">
        <f>+VLOOKUP($E117,Hybrid!$1:$1048576,P$2,FALSE)</f>
        <v>776.38578150000001</v>
      </c>
      <c r="Q117" s="323">
        <f>+VLOOKUP($E117,Hybrid!$1:$1048576,Q$2,FALSE)</f>
        <v>766.83835950000002</v>
      </c>
      <c r="R117" s="323">
        <f>+VLOOKUP($E117,Hybrid!$1:$1048576,R$2,FALSE)</f>
        <v>757.41102720000004</v>
      </c>
      <c r="S117" s="323">
        <f>+VLOOKUP($E117,Hybrid!$1:$1048576,S$2,FALSE)</f>
        <v>748.10231620000002</v>
      </c>
      <c r="T117" s="323">
        <f>+VLOOKUP($E117,Hybrid!$1:$1048576,T$2,FALSE)</f>
        <v>738.91077310000003</v>
      </c>
      <c r="U117" s="323">
        <f>+VLOOKUP($E117,Hybrid!$1:$1048576,U$2,FALSE)</f>
        <v>729.83495949999997</v>
      </c>
      <c r="V117" s="323">
        <f>+VLOOKUP($E117,Hybrid!$1:$1048576,V$2,FALSE)</f>
        <v>720.87345200000004</v>
      </c>
      <c r="W117" s="323">
        <f>+VLOOKUP($E117,Hybrid!$1:$1048576,W$2,FALSE)</f>
        <v>712.02484279999999</v>
      </c>
      <c r="X117" s="323">
        <f>+VLOOKUP($E117,Hybrid!$1:$1048576,X$2,FALSE)</f>
        <v>703.2877393</v>
      </c>
      <c r="Y117" s="323">
        <f>+VLOOKUP($E117,Hybrid!$1:$1048576,Y$2,FALSE)</f>
        <v>694.66076459999999</v>
      </c>
      <c r="Z117" s="323">
        <f>+VLOOKUP($E117,Hybrid!$1:$1048576,Z$2,FALSE)</f>
        <v>686.14255760000003</v>
      </c>
      <c r="AA117" s="323">
        <f>+VLOOKUP($E117,Hybrid!$1:$1048576,AA$2,FALSE)</f>
        <v>677.73177350000003</v>
      </c>
      <c r="AB117" s="323">
        <f>+VLOOKUP($E117,Hybrid!$1:$1048576,AB$2,FALSE)</f>
        <v>669.42708300000004</v>
      </c>
      <c r="AC117" s="323">
        <f>+VLOOKUP($E117,Hybrid!$1:$1048576,AC$2,FALSE)</f>
        <v>661.22717290000003</v>
      </c>
      <c r="AD117" s="323">
        <f>+VLOOKUP($E117,Hybrid!$1:$1048576,AD$2,FALSE)</f>
        <v>653.13074559999995</v>
      </c>
      <c r="AE117" s="323">
        <f>+VLOOKUP($E117,Hybrid!$1:$1048576,AE$2,FALSE)</f>
        <v>645.13651900000002</v>
      </c>
      <c r="AF117" s="323">
        <f>+VLOOKUP($E117,Hybrid!$1:$1048576,AF$2,FALSE)</f>
        <v>637.24322640000003</v>
      </c>
      <c r="AG117" s="323">
        <f>+VLOOKUP($E117,Hybrid!$1:$1048576,AG$2,FALSE)</f>
        <v>629.44961650000005</v>
      </c>
      <c r="AH117" s="323">
        <f>+VLOOKUP($E117,Hybrid!$1:$1048576,AH$2,FALSE)</f>
        <v>621.75445279999997</v>
      </c>
      <c r="AI117" s="323">
        <f>+VLOOKUP($E117,Hybrid!$1:$1048576,AI$2,FALSE)</f>
        <v>614.15651409999998</v>
      </c>
      <c r="AJ117" s="323">
        <f>+VLOOKUP($E117,Hybrid!$1:$1048576,AJ$2,FALSE)</f>
        <v>606.65459369999996</v>
      </c>
      <c r="AK117" s="323">
        <f>+VLOOKUP($E117,Hybrid!$1:$1048576,AK$2,FALSE)</f>
        <v>599.24749970000005</v>
      </c>
      <c r="AL117" s="323">
        <f>+VLOOKUP($E117,Hybrid!$1:$1048576,AL$2,FALSE)</f>
        <v>591.93405440000004</v>
      </c>
      <c r="AM117" s="323">
        <f>+VLOOKUP($E117,Hybrid!$1:$1048576,AM$2,FALSE)</f>
        <v>584.71309480000002</v>
      </c>
      <c r="AN117" s="323">
        <f>+VLOOKUP($E117,Hybrid!$1:$1048576,AN$2,FALSE)</f>
        <v>577.58347170000002</v>
      </c>
      <c r="AO117" s="323">
        <f>+VLOOKUP($E117,Hybrid!$1:$1048576,AO$2,FALSE)</f>
        <v>570.54405020000002</v>
      </c>
    </row>
    <row r="118" spans="1:41" ht="15" customHeight="1" x14ac:dyDescent="0.25">
      <c r="A118" s="384"/>
      <c r="B118" s="382"/>
      <c r="C118" s="123"/>
      <c r="D118" s="123" t="s">
        <v>524</v>
      </c>
      <c r="E118" s="47" t="s">
        <v>446</v>
      </c>
      <c r="F118" s="323">
        <f>+VLOOKUP($E118,Hybrid!$1:$1048576,F$2,FALSE)</f>
        <v>139.85209269999999</v>
      </c>
      <c r="G118" s="323">
        <f>+VLOOKUP($E118,Hybrid!$1:$1048576,G$2,FALSE)</f>
        <v>137.9553396</v>
      </c>
      <c r="H118" s="323">
        <f>+VLOOKUP($E118,Hybrid!$1:$1048576,H$2,FALSE)</f>
        <v>136.08298189999999</v>
      </c>
      <c r="I118" s="323">
        <f>+VLOOKUP($E118,Hybrid!$1:$1048576,I$2,FALSE)</f>
        <v>134.2347728</v>
      </c>
      <c r="J118" s="323">
        <f>+VLOOKUP($E118,Hybrid!$1:$1048576,J$2,FALSE)</f>
        <v>132.4104624</v>
      </c>
      <c r="K118" s="323">
        <f>+VLOOKUP($E118,Hybrid!$1:$1048576,K$2,FALSE)</f>
        <v>130.6097977</v>
      </c>
      <c r="L118" s="323">
        <f>+VLOOKUP($E118,Hybrid!$1:$1048576,L$2,FALSE)</f>
        <v>128.83252429999999</v>
      </c>
      <c r="M118" s="323">
        <f>+VLOOKUP($E118,Hybrid!$1:$1048576,M$2,FALSE)</f>
        <v>127.07838700000001</v>
      </c>
      <c r="N118" s="323">
        <f>+VLOOKUP($E118,Hybrid!$1:$1048576,N$2,FALSE)</f>
        <v>125.34713170000001</v>
      </c>
      <c r="O118" s="323">
        <f>+VLOOKUP($E118,Hybrid!$1:$1048576,O$2,FALSE)</f>
        <v>123.6385052</v>
      </c>
      <c r="P118" s="323">
        <f>+VLOOKUP($E118,Hybrid!$1:$1048576,P$2,FALSE)</f>
        <v>121.9522559</v>
      </c>
      <c r="Q118" s="323">
        <f>+VLOOKUP($E118,Hybrid!$1:$1048576,Q$2,FALSE)</f>
        <v>120.28813340000001</v>
      </c>
      <c r="R118" s="323">
        <f>+VLOOKUP($E118,Hybrid!$1:$1048576,R$2,FALSE)</f>
        <v>118.64588860000001</v>
      </c>
      <c r="S118" s="323">
        <f>+VLOOKUP($E118,Hybrid!$1:$1048576,S$2,FALSE)</f>
        <v>117.0252735</v>
      </c>
      <c r="T118" s="323">
        <f>+VLOOKUP($E118,Hybrid!$1:$1048576,T$2,FALSE)</f>
        <v>115.426041</v>
      </c>
      <c r="U118" s="323">
        <f>+VLOOKUP($E118,Hybrid!$1:$1048576,U$2,FALSE)</f>
        <v>113.84794530000001</v>
      </c>
      <c r="V118" s="323">
        <f>+VLOOKUP($E118,Hybrid!$1:$1048576,V$2,FALSE)</f>
        <v>112.2907416</v>
      </c>
      <c r="W118" s="323">
        <f>+VLOOKUP($E118,Hybrid!$1:$1048576,W$2,FALSE)</f>
        <v>110.7541866</v>
      </c>
      <c r="X118" s="323">
        <f>+VLOOKUP($E118,Hybrid!$1:$1048576,X$2,FALSE)</f>
        <v>109.238038</v>
      </c>
      <c r="Y118" s="323">
        <f>+VLOOKUP($E118,Hybrid!$1:$1048576,Y$2,FALSE)</f>
        <v>107.7420552</v>
      </c>
      <c r="Z118" s="323">
        <f>+VLOOKUP($E118,Hybrid!$1:$1048576,Z$2,FALSE)</f>
        <v>106.26599899999999</v>
      </c>
      <c r="AA118" s="323">
        <f>+VLOOKUP($E118,Hybrid!$1:$1048576,AA$2,FALSE)</f>
        <v>104.80963180000001</v>
      </c>
      <c r="AB118" s="323">
        <f>+VLOOKUP($E118,Hybrid!$1:$1048576,AB$2,FALSE)</f>
        <v>103.3727176</v>
      </c>
      <c r="AC118" s="323">
        <f>+VLOOKUP($E118,Hybrid!$1:$1048576,AC$2,FALSE)</f>
        <v>101.95502190000001</v>
      </c>
      <c r="AD118" s="323">
        <f>+VLOOKUP($E118,Hybrid!$1:$1048576,AD$2,FALSE)</f>
        <v>100.55631200000001</v>
      </c>
      <c r="AE118" s="323">
        <f>+VLOOKUP($E118,Hybrid!$1:$1048576,AE$2,FALSE)</f>
        <v>99.176356949999999</v>
      </c>
      <c r="AF118" s="323">
        <f>+VLOOKUP($E118,Hybrid!$1:$1048576,AF$2,FALSE)</f>
        <v>97.814927499999996</v>
      </c>
      <c r="AG118" s="323">
        <f>+VLOOKUP($E118,Hybrid!$1:$1048576,AG$2,FALSE)</f>
        <v>96.471796229999995</v>
      </c>
      <c r="AH118" s="323">
        <f>+VLOOKUP($E118,Hybrid!$1:$1048576,AH$2,FALSE)</f>
        <v>95.146737509999994</v>
      </c>
      <c r="AI118" s="323">
        <f>+VLOOKUP($E118,Hybrid!$1:$1048576,AI$2,FALSE)</f>
        <v>93.839527610000005</v>
      </c>
      <c r="AJ118" s="323">
        <f>+VLOOKUP($E118,Hybrid!$1:$1048576,AJ$2,FALSE)</f>
        <v>92.54994465</v>
      </c>
      <c r="AK118" s="323">
        <f>+VLOOKUP($E118,Hybrid!$1:$1048576,AK$2,FALSE)</f>
        <v>91.277768699999996</v>
      </c>
      <c r="AL118" s="323">
        <f>+VLOOKUP($E118,Hybrid!$1:$1048576,AL$2,FALSE)</f>
        <v>90.022781739999999</v>
      </c>
      <c r="AM118" s="323">
        <f>+VLOOKUP($E118,Hybrid!$1:$1048576,AM$2,FALSE)</f>
        <v>88.784767689999995</v>
      </c>
      <c r="AN118" s="323">
        <f>+VLOOKUP($E118,Hybrid!$1:$1048576,AN$2,FALSE)</f>
        <v>87.56351248</v>
      </c>
      <c r="AO118" s="323">
        <f>+VLOOKUP($E118,Hybrid!$1:$1048576,AO$2,FALSE)</f>
        <v>86.35880401</v>
      </c>
    </row>
    <row r="119" spans="1:41" ht="15" customHeight="1" x14ac:dyDescent="0.25">
      <c r="A119" s="384"/>
      <c r="B119" s="382"/>
      <c r="C119" s="123"/>
      <c r="D119" s="125" t="s">
        <v>525</v>
      </c>
      <c r="E119" s="47" t="s">
        <v>447</v>
      </c>
      <c r="F119" s="323">
        <f>+VLOOKUP($E119,Hybrid!$1:$1048576,F$2,FALSE)</f>
        <v>3.874567114</v>
      </c>
      <c r="G119" s="323">
        <f>+VLOOKUP($E119,Hybrid!$1:$1048576,G$2,FALSE)</f>
        <v>3.7242706779999999</v>
      </c>
      <c r="H119" s="323">
        <f>+VLOOKUP($E119,Hybrid!$1:$1048576,H$2,FALSE)</f>
        <v>3.5801571349999999</v>
      </c>
      <c r="I119" s="323">
        <f>+VLOOKUP($E119,Hybrid!$1:$1048576,I$2,FALSE)</f>
        <v>3.4419667710000001</v>
      </c>
      <c r="J119" s="323">
        <f>+VLOOKUP($E119,Hybrid!$1:$1048576,J$2,FALSE)</f>
        <v>3.3094508579999999</v>
      </c>
      <c r="K119" s="323">
        <f>+VLOOKUP($E119,Hybrid!$1:$1048576,K$2,FALSE)</f>
        <v>3.1823711889999999</v>
      </c>
      <c r="L119" s="323">
        <f>+VLOOKUP($E119,Hybrid!$1:$1048576,L$2,FALSE)</f>
        <v>3.060499632</v>
      </c>
      <c r="M119" s="323">
        <f>+VLOOKUP($E119,Hybrid!$1:$1048576,M$2,FALSE)</f>
        <v>2.9436177020000001</v>
      </c>
      <c r="N119" s="323">
        <f>+VLOOKUP($E119,Hybrid!$1:$1048576,N$2,FALSE)</f>
        <v>2.8315161519999998</v>
      </c>
      <c r="O119" s="323">
        <f>+VLOOKUP($E119,Hybrid!$1:$1048576,O$2,FALSE)</f>
        <v>2.723994582</v>
      </c>
      <c r="P119" s="323">
        <f>+VLOOKUP($E119,Hybrid!$1:$1048576,P$2,FALSE)</f>
        <v>2.6208610640000001</v>
      </c>
      <c r="Q119" s="323">
        <f>+VLOOKUP($E119,Hybrid!$1:$1048576,Q$2,FALSE)</f>
        <v>2.5219317819999998</v>
      </c>
      <c r="R119" s="323">
        <f>+VLOOKUP($E119,Hybrid!$1:$1048576,R$2,FALSE)</f>
        <v>2.427030689</v>
      </c>
      <c r="S119" s="323">
        <f>+VLOOKUP($E119,Hybrid!$1:$1048576,S$2,FALSE)</f>
        <v>2.3359891780000002</v>
      </c>
      <c r="T119" s="323">
        <f>+VLOOKUP($E119,Hybrid!$1:$1048576,T$2,FALSE)</f>
        <v>2.2486457660000001</v>
      </c>
      <c r="U119" s="323">
        <f>+VLOOKUP($E119,Hybrid!$1:$1048576,U$2,FALSE)</f>
        <v>2.1648457909999999</v>
      </c>
      <c r="V119" s="323">
        <f>+VLOOKUP($E119,Hybrid!$1:$1048576,V$2,FALSE)</f>
        <v>2.0844411250000001</v>
      </c>
      <c r="W119" s="323">
        <f>+VLOOKUP($E119,Hybrid!$1:$1048576,W$2,FALSE)</f>
        <v>2.0072898960000001</v>
      </c>
      <c r="X119" s="323">
        <f>+VLOOKUP($E119,Hybrid!$1:$1048576,X$2,FALSE)</f>
        <v>1.933256224</v>
      </c>
      <c r="Y119" s="323">
        <f>+VLOOKUP($E119,Hybrid!$1:$1048576,Y$2,FALSE)</f>
        <v>1.8622099649999999</v>
      </c>
      <c r="Z119" s="323">
        <f>+VLOOKUP($E119,Hybrid!$1:$1048576,Z$2,FALSE)</f>
        <v>1.794026468</v>
      </c>
      <c r="AA119" s="323">
        <f>+VLOOKUP($E119,Hybrid!$1:$1048576,AA$2,FALSE)</f>
        <v>1.728586347</v>
      </c>
      <c r="AB119" s="323">
        <f>+VLOOKUP($E119,Hybrid!$1:$1048576,AB$2,FALSE)</f>
        <v>1.665775249</v>
      </c>
      <c r="AC119" s="323">
        <f>+VLOOKUP($E119,Hybrid!$1:$1048576,AC$2,FALSE)</f>
        <v>1.6054836509999999</v>
      </c>
      <c r="AD119" s="323">
        <f>+VLOOKUP($E119,Hybrid!$1:$1048576,AD$2,FALSE)</f>
        <v>1.5476066470000001</v>
      </c>
      <c r="AE119" s="323">
        <f>+VLOOKUP($E119,Hybrid!$1:$1048576,AE$2,FALSE)</f>
        <v>1.4920437559999999</v>
      </c>
      <c r="AF119" s="323">
        <f>+VLOOKUP($E119,Hybrid!$1:$1048576,AF$2,FALSE)</f>
        <v>1.4386987369999999</v>
      </c>
      <c r="AG119" s="323">
        <f>+VLOOKUP($E119,Hybrid!$1:$1048576,AG$2,FALSE)</f>
        <v>1.387479404</v>
      </c>
      <c r="AH119" s="323">
        <f>+VLOOKUP($E119,Hybrid!$1:$1048576,AH$2,FALSE)</f>
        <v>1.3382974569999999</v>
      </c>
      <c r="AI119" s="323">
        <f>+VLOOKUP($E119,Hybrid!$1:$1048576,AI$2,FALSE)</f>
        <v>1.291068318</v>
      </c>
      <c r="AJ119" s="323">
        <f>+VLOOKUP($E119,Hybrid!$1:$1048576,AJ$2,FALSE)</f>
        <v>1.2457109749999999</v>
      </c>
      <c r="AK119" s="323">
        <f>+VLOOKUP($E119,Hybrid!$1:$1048576,AK$2,FALSE)</f>
        <v>1.2021478240000001</v>
      </c>
      <c r="AL119" s="323">
        <f>+VLOOKUP($E119,Hybrid!$1:$1048576,AL$2,FALSE)</f>
        <v>1.1603045329999999</v>
      </c>
      <c r="AM119" s="323">
        <f>+VLOOKUP($E119,Hybrid!$1:$1048576,AM$2,FALSE)</f>
        <v>1.120109899</v>
      </c>
      <c r="AN119" s="323">
        <f>+VLOOKUP($E119,Hybrid!$1:$1048576,AN$2,FALSE)</f>
        <v>1.0814957160000001</v>
      </c>
      <c r="AO119" s="323">
        <f>+VLOOKUP($E119,Hybrid!$1:$1048576,AO$2,FALSE)</f>
        <v>1.0443966490000001</v>
      </c>
    </row>
    <row r="120" spans="1:41" ht="15" customHeight="1" x14ac:dyDescent="0.25">
      <c r="A120" s="384"/>
      <c r="B120" s="389" t="s">
        <v>539</v>
      </c>
      <c r="C120" s="167" t="s">
        <v>531</v>
      </c>
      <c r="D120" s="126"/>
      <c r="E120" s="48"/>
      <c r="F120" s="325"/>
      <c r="G120" s="325"/>
      <c r="H120" s="325"/>
      <c r="I120" s="325"/>
      <c r="J120" s="325"/>
      <c r="K120" s="325"/>
      <c r="L120" s="325"/>
      <c r="M120" s="325"/>
      <c r="N120" s="325"/>
      <c r="O120" s="325"/>
      <c r="P120" s="325"/>
      <c r="Q120" s="325"/>
      <c r="R120" s="325"/>
      <c r="S120" s="325"/>
      <c r="T120" s="325"/>
      <c r="U120" s="325"/>
      <c r="V120" s="325"/>
      <c r="W120" s="325"/>
      <c r="X120" s="325"/>
      <c r="Y120" s="325"/>
      <c r="Z120" s="325"/>
      <c r="AA120" s="325"/>
      <c r="AB120" s="325"/>
      <c r="AC120" s="325"/>
      <c r="AD120" s="325"/>
      <c r="AE120" s="325"/>
      <c r="AF120" s="325"/>
      <c r="AG120" s="325"/>
      <c r="AH120" s="325"/>
      <c r="AI120" s="325"/>
      <c r="AJ120" s="325"/>
      <c r="AK120" s="325"/>
      <c r="AL120" s="325"/>
      <c r="AM120" s="325"/>
      <c r="AN120" s="325"/>
      <c r="AO120" s="325"/>
    </row>
    <row r="121" spans="1:41" ht="15" customHeight="1" x14ac:dyDescent="0.25">
      <c r="A121" s="384"/>
      <c r="B121" s="389"/>
      <c r="C121" s="126" t="s">
        <v>532</v>
      </c>
      <c r="D121" s="126"/>
      <c r="E121" s="48" t="s">
        <v>448</v>
      </c>
      <c r="F121" s="325">
        <f>+VLOOKUP($E121,Transports!$1:$1048576,F$2,FALSE)</f>
        <v>291099.78360000002</v>
      </c>
      <c r="G121" s="325">
        <f>+VLOOKUP($E121,Transports!$1:$1048576,G$2,FALSE)</f>
        <v>295820.9878</v>
      </c>
      <c r="H121" s="325">
        <f>+VLOOKUP($E121,Transports!$1:$1048576,H$2,FALSE)</f>
        <v>300398.3077</v>
      </c>
      <c r="I121" s="325">
        <f>+VLOOKUP($E121,Transports!$1:$1048576,I$2,FALSE)</f>
        <v>304939.29479999997</v>
      </c>
      <c r="J121" s="325">
        <f>+VLOOKUP($E121,Transports!$1:$1048576,J$2,FALSE)</f>
        <v>309486.94099999999</v>
      </c>
      <c r="K121" s="325">
        <f>+VLOOKUP($E121,Transports!$1:$1048576,K$2,FALSE)</f>
        <v>314040.24489999999</v>
      </c>
      <c r="L121" s="325">
        <f>+VLOOKUP($E121,Transports!$1:$1048576,L$2,FALSE)</f>
        <v>318658.45140000002</v>
      </c>
      <c r="M121" s="325">
        <f>+VLOOKUP($E121,Transports!$1:$1048576,M$2,FALSE)</f>
        <v>323442.26579999999</v>
      </c>
      <c r="N121" s="325">
        <f>+VLOOKUP($E121,Transports!$1:$1048576,N$2,FALSE)</f>
        <v>328421.13270000002</v>
      </c>
      <c r="O121" s="325">
        <f>+VLOOKUP($E121,Transports!$1:$1048576,O$2,FALSE)</f>
        <v>333574.54950000002</v>
      </c>
      <c r="P121" s="325">
        <f>+VLOOKUP($E121,Transports!$1:$1048576,P$2,FALSE)</f>
        <v>338859.978</v>
      </c>
      <c r="Q121" s="325">
        <f>+VLOOKUP($E121,Transports!$1:$1048576,Q$2,FALSE)</f>
        <v>344226.6899</v>
      </c>
      <c r="R121" s="325">
        <f>+VLOOKUP($E121,Transports!$1:$1048576,R$2,FALSE)</f>
        <v>349622.81410000002</v>
      </c>
      <c r="S121" s="325">
        <f>+VLOOKUP($E121,Transports!$1:$1048576,S$2,FALSE)</f>
        <v>354999.01899999997</v>
      </c>
      <c r="T121" s="325">
        <f>+VLOOKUP($E121,Transports!$1:$1048576,T$2,FALSE)</f>
        <v>360310.57549999998</v>
      </c>
      <c r="U121" s="325">
        <f>+VLOOKUP($E121,Transports!$1:$1048576,U$2,FALSE)</f>
        <v>365518.71629999997</v>
      </c>
      <c r="V121" s="325">
        <f>+VLOOKUP($E121,Transports!$1:$1048576,V$2,FALSE)</f>
        <v>370661.37839999999</v>
      </c>
      <c r="W121" s="325">
        <f>+VLOOKUP($E121,Transports!$1:$1048576,W$2,FALSE)</f>
        <v>375836.59259999997</v>
      </c>
      <c r="X121" s="325">
        <f>+VLOOKUP($E121,Transports!$1:$1048576,X$2,FALSE)</f>
        <v>381104.41200000001</v>
      </c>
      <c r="Y121" s="325">
        <f>+VLOOKUP($E121,Transports!$1:$1048576,Y$2,FALSE)</f>
        <v>386493.00099999999</v>
      </c>
      <c r="Z121" s="325">
        <f>+VLOOKUP($E121,Transports!$1:$1048576,Z$2,FALSE)</f>
        <v>392014.58510000003</v>
      </c>
      <c r="AA121" s="325">
        <f>+VLOOKUP($E121,Transports!$1:$1048576,AA$2,FALSE)</f>
        <v>397673.37530000001</v>
      </c>
      <c r="AB121" s="325">
        <f>+VLOOKUP($E121,Transports!$1:$1048576,AB$2,FALSE)</f>
        <v>403469.62199999997</v>
      </c>
      <c r="AC121" s="325">
        <f>+VLOOKUP($E121,Transports!$1:$1048576,AC$2,FALSE)</f>
        <v>409401.63660000003</v>
      </c>
      <c r="AD121" s="325">
        <f>+VLOOKUP($E121,Transports!$1:$1048576,AD$2,FALSE)</f>
        <v>415466.73379999999</v>
      </c>
      <c r="AE121" s="325">
        <f>+VLOOKUP($E121,Transports!$1:$1048576,AE$2,FALSE)</f>
        <v>421661.63250000001</v>
      </c>
      <c r="AF121" s="325">
        <f>+VLOOKUP($E121,Transports!$1:$1048576,AF$2,FALSE)</f>
        <v>427982.61619999999</v>
      </c>
      <c r="AG121" s="325">
        <f>+VLOOKUP($E121,Transports!$1:$1048576,AG$2,FALSE)</f>
        <v>434425.6116</v>
      </c>
      <c r="AH121" s="325">
        <f>+VLOOKUP($E121,Transports!$1:$1048576,AH$2,FALSE)</f>
        <v>440986.2562</v>
      </c>
      <c r="AI121" s="325">
        <f>+VLOOKUP($E121,Transports!$1:$1048576,AI$2,FALSE)</f>
        <v>447659.98239999998</v>
      </c>
      <c r="AJ121" s="325">
        <f>+VLOOKUP($E121,Transports!$1:$1048576,AJ$2,FALSE)</f>
        <v>454442.11249999999</v>
      </c>
      <c r="AK121" s="325">
        <f>+VLOOKUP($E121,Transports!$1:$1048576,AK$2,FALSE)</f>
        <v>461327.96309999999</v>
      </c>
      <c r="AL121" s="325">
        <f>+VLOOKUP($E121,Transports!$1:$1048576,AL$2,FALSE)</f>
        <v>468312.94559999998</v>
      </c>
      <c r="AM121" s="325">
        <f>+VLOOKUP($E121,Transports!$1:$1048576,AM$2,FALSE)</f>
        <v>475392.6568</v>
      </c>
      <c r="AN121" s="325">
        <f>+VLOOKUP($E121,Transports!$1:$1048576,AN$2,FALSE)</f>
        <v>482562.95480000001</v>
      </c>
      <c r="AO121" s="325">
        <f>+VLOOKUP($E121,Transports!$1:$1048576,AO$2,FALSE)</f>
        <v>489820.02059999999</v>
      </c>
    </row>
    <row r="122" spans="1:41" ht="15" customHeight="1" x14ac:dyDescent="0.25">
      <c r="A122" s="384"/>
      <c r="B122" s="389"/>
      <c r="C122" s="126" t="s">
        <v>465</v>
      </c>
      <c r="D122" s="126"/>
      <c r="E122" s="48" t="s">
        <v>449</v>
      </c>
      <c r="F122" s="325">
        <f>+VLOOKUP($E122,Transports!$1:$1048576,F$2,FALSE)</f>
        <v>724102.94209999999</v>
      </c>
      <c r="G122" s="325">
        <f>+VLOOKUP($E122,Transports!$1:$1048576,G$2,FALSE)</f>
        <v>715355.48509999993</v>
      </c>
      <c r="H122" s="325">
        <f>+VLOOKUP($E122,Transports!$1:$1048576,H$2,FALSE)</f>
        <v>710971.41559999995</v>
      </c>
      <c r="I122" s="325">
        <f>+VLOOKUP($E122,Transports!$1:$1048576,I$2,FALSE)</f>
        <v>709498.47699999996</v>
      </c>
      <c r="J122" s="325">
        <f>+VLOOKUP($E122,Transports!$1:$1048576,J$2,FALSE)</f>
        <v>709947.49209999992</v>
      </c>
      <c r="K122" s="325">
        <f>+VLOOKUP($E122,Transports!$1:$1048576,K$2,FALSE)</f>
        <v>711651.17420000001</v>
      </c>
      <c r="L122" s="325">
        <f>+VLOOKUP($E122,Transports!$1:$1048576,L$2,FALSE)</f>
        <v>714212.50600000005</v>
      </c>
      <c r="M122" s="325">
        <f>+VLOOKUP($E122,Transports!$1:$1048576,M$2,FALSE)</f>
        <v>717410.59720000008</v>
      </c>
      <c r="N122" s="325">
        <f>+VLOOKUP($E122,Transports!$1:$1048576,N$2,FALSE)</f>
        <v>721079.02309999999</v>
      </c>
      <c r="O122" s="325">
        <f>+VLOOKUP($E122,Transports!$1:$1048576,O$2,FALSE)</f>
        <v>725085.74430000002</v>
      </c>
      <c r="P122" s="325">
        <f>+VLOOKUP($E122,Transports!$1:$1048576,P$2,FALSE)</f>
        <v>729322.26419999998</v>
      </c>
      <c r="Q122" s="325">
        <f>+VLOOKUP($E122,Transports!$1:$1048576,Q$2,FALSE)</f>
        <v>733696.15500000003</v>
      </c>
      <c r="R122" s="325">
        <f>+VLOOKUP($E122,Transports!$1:$1048576,R$2,FALSE)</f>
        <v>738125.90430000005</v>
      </c>
      <c r="S122" s="325">
        <f>+VLOOKUP($E122,Transports!$1:$1048576,S$2,FALSE)</f>
        <v>742537.43129999994</v>
      </c>
      <c r="T122" s="325">
        <f>+VLOOKUP($E122,Transports!$1:$1048576,T$2,FALSE)</f>
        <v>746861.77770000009</v>
      </c>
      <c r="U122" s="325">
        <f>+VLOOKUP($E122,Transports!$1:$1048576,U$2,FALSE)</f>
        <v>751033.62899999996</v>
      </c>
      <c r="V122" s="325">
        <f>+VLOOKUP($E122,Transports!$1:$1048576,V$2,FALSE)</f>
        <v>755045.86499999999</v>
      </c>
      <c r="W122" s="325">
        <f>+VLOOKUP($E122,Transports!$1:$1048576,W$2,FALSE)</f>
        <v>758941.1361</v>
      </c>
      <c r="X122" s="325">
        <f>+VLOOKUP($E122,Transports!$1:$1048576,X$2,FALSE)</f>
        <v>762741.97089999996</v>
      </c>
      <c r="Y122" s="325">
        <f>+VLOOKUP($E122,Transports!$1:$1048576,Y$2,FALSE)</f>
        <v>766458.72139999992</v>
      </c>
      <c r="Z122" s="325">
        <f>+VLOOKUP($E122,Transports!$1:$1048576,Z$2,FALSE)</f>
        <v>770096.054</v>
      </c>
      <c r="AA122" s="325">
        <f>+VLOOKUP($E122,Transports!$1:$1048576,AA$2,FALSE)</f>
        <v>773656.44149999996</v>
      </c>
      <c r="AB122" s="325">
        <f>+VLOOKUP($E122,Transports!$1:$1048576,AB$2,FALSE)</f>
        <v>777141.92430000007</v>
      </c>
      <c r="AC122" s="325">
        <f>+VLOOKUP($E122,Transports!$1:$1048576,AC$2,FALSE)</f>
        <v>780554.97270000004</v>
      </c>
      <c r="AD122" s="325">
        <f>+VLOOKUP($E122,Transports!$1:$1048576,AD$2,FALSE)</f>
        <v>783898.90880000009</v>
      </c>
      <c r="AE122" s="325">
        <f>+VLOOKUP($E122,Transports!$1:$1048576,AE$2,FALSE)</f>
        <v>787178.12680000009</v>
      </c>
      <c r="AF122" s="325">
        <f>+VLOOKUP($E122,Transports!$1:$1048576,AF$2,FALSE)</f>
        <v>790398.22849999997</v>
      </c>
      <c r="AG122" s="325">
        <f>+VLOOKUP($E122,Transports!$1:$1048576,AG$2,FALSE)</f>
        <v>793566.12740000011</v>
      </c>
      <c r="AH122" s="325">
        <f>+VLOOKUP($E122,Transports!$1:$1048576,AH$2,FALSE)</f>
        <v>796690.14370000002</v>
      </c>
      <c r="AI122" s="325">
        <f>+VLOOKUP($E122,Transports!$1:$1048576,AI$2,FALSE)</f>
        <v>799780.09400000004</v>
      </c>
      <c r="AJ122" s="325">
        <f>+VLOOKUP($E122,Transports!$1:$1048576,AJ$2,FALSE)</f>
        <v>802847.36979999999</v>
      </c>
      <c r="AK122" s="325">
        <f>+VLOOKUP($E122,Transports!$1:$1048576,AK$2,FALSE)</f>
        <v>805904.995</v>
      </c>
      <c r="AL122" s="325">
        <f>+VLOOKUP($E122,Transports!$1:$1048576,AL$2,FALSE)</f>
        <v>808967.65130000003</v>
      </c>
      <c r="AM122" s="325">
        <f>+VLOOKUP($E122,Transports!$1:$1048576,AM$2,FALSE)</f>
        <v>812051.65810000012</v>
      </c>
      <c r="AN122" s="325">
        <f>+VLOOKUP($E122,Transports!$1:$1048576,AN$2,FALSE)</f>
        <v>815174.89819999994</v>
      </c>
      <c r="AO122" s="325">
        <f>+VLOOKUP($E122,Transports!$1:$1048576,AO$2,FALSE)</f>
        <v>818356.68</v>
      </c>
    </row>
    <row r="123" spans="1:41" ht="15" customHeight="1" x14ac:dyDescent="0.25">
      <c r="A123" s="384"/>
      <c r="B123" s="389"/>
      <c r="C123" s="126" t="s">
        <v>534</v>
      </c>
      <c r="D123" s="126"/>
      <c r="E123" s="48" t="s">
        <v>450</v>
      </c>
      <c r="F123" s="325">
        <f>+VLOOKUP($E123,Transports!$1:$1048576,F$2,FALSE)</f>
        <v>624600.3419</v>
      </c>
      <c r="G123" s="325">
        <f>+VLOOKUP($E123,Transports!$1:$1048576,G$2,FALSE)</f>
        <v>618861.96189999999</v>
      </c>
      <c r="H123" s="325">
        <f>+VLOOKUP($E123,Transports!$1:$1048576,H$2,FALSE)</f>
        <v>616086.93689999997</v>
      </c>
      <c r="I123" s="325">
        <f>+VLOOKUP($E123,Transports!$1:$1048576,I$2,FALSE)</f>
        <v>615320.54669999995</v>
      </c>
      <c r="J123" s="325">
        <f>+VLOOKUP($E123,Transports!$1:$1048576,J$2,FALSE)</f>
        <v>615893.36690000002</v>
      </c>
      <c r="K123" s="325">
        <f>+VLOOKUP($E123,Transports!$1:$1048576,K$2,FALSE)</f>
        <v>617345.72360000003</v>
      </c>
      <c r="L123" s="325">
        <f>+VLOOKUP($E123,Transports!$1:$1048576,L$2,FALSE)</f>
        <v>619400.72259999998</v>
      </c>
      <c r="M123" s="325">
        <f>+VLOOKUP($E123,Transports!$1:$1048576,M$2,FALSE)</f>
        <v>621904.13670000003</v>
      </c>
      <c r="N123" s="325">
        <f>+VLOOKUP($E123,Transports!$1:$1048576,N$2,FALSE)</f>
        <v>624740.22400000005</v>
      </c>
      <c r="O123" s="325">
        <f>+VLOOKUP($E123,Transports!$1:$1048576,O$2,FALSE)</f>
        <v>627815.98160000006</v>
      </c>
      <c r="P123" s="325">
        <f>+VLOOKUP($E123,Transports!$1:$1048576,P$2,FALSE)</f>
        <v>631054.33169999998</v>
      </c>
      <c r="Q123" s="325">
        <f>+VLOOKUP($E123,Transports!$1:$1048576,Q$2,FALSE)</f>
        <v>634389.26899999997</v>
      </c>
      <c r="R123" s="325">
        <f>+VLOOKUP($E123,Transports!$1:$1048576,R$2,FALSE)</f>
        <v>637762.4621</v>
      </c>
      <c r="S123" s="325">
        <f>+VLOOKUP($E123,Transports!$1:$1048576,S$2,FALSE)</f>
        <v>641120.92130000005</v>
      </c>
      <c r="T123" s="325">
        <f>+VLOOKUP($E123,Transports!$1:$1048576,T$2,FALSE)</f>
        <v>644415.42070000002</v>
      </c>
      <c r="U123" s="325">
        <f>+VLOOKUP($E123,Transports!$1:$1048576,U$2,FALSE)</f>
        <v>647599.45519999997</v>
      </c>
      <c r="V123" s="325">
        <f>+VLOOKUP($E123,Transports!$1:$1048576,V$2,FALSE)</f>
        <v>650667.15260000003</v>
      </c>
      <c r="W123" s="325">
        <f>+VLOOKUP($E123,Transports!$1:$1048576,W$2,FALSE)</f>
        <v>653648.66249999998</v>
      </c>
      <c r="X123" s="325">
        <f>+VLOOKUP($E123,Transports!$1:$1048576,X$2,FALSE)</f>
        <v>656561.12890000001</v>
      </c>
      <c r="Y123" s="325">
        <f>+VLOOKUP($E123,Transports!$1:$1048576,Y$2,FALSE)</f>
        <v>659412.598</v>
      </c>
      <c r="Z123" s="325">
        <f>+VLOOKUP($E123,Transports!$1:$1048576,Z$2,FALSE)</f>
        <v>662206.8088</v>
      </c>
      <c r="AA123" s="325">
        <f>+VLOOKUP($E123,Transports!$1:$1048576,AA$2,FALSE)</f>
        <v>664945.7463</v>
      </c>
      <c r="AB123" s="325">
        <f>+VLOOKUP($E123,Transports!$1:$1048576,AB$2,FALSE)</f>
        <v>667630.94429999997</v>
      </c>
      <c r="AC123" s="325">
        <f>+VLOOKUP($E123,Transports!$1:$1048576,AC$2,FALSE)</f>
        <v>670264.13899999997</v>
      </c>
      <c r="AD123" s="325">
        <f>+VLOOKUP($E123,Transports!$1:$1048576,AD$2,FALSE)</f>
        <v>672847.59730000002</v>
      </c>
      <c r="AE123" s="325">
        <f>+VLOOKUP($E123,Transports!$1:$1048576,AE$2,FALSE)</f>
        <v>675384.29240000003</v>
      </c>
      <c r="AF123" s="325">
        <f>+VLOOKUP($E123,Transports!$1:$1048576,AF$2,FALSE)</f>
        <v>677878.0111</v>
      </c>
      <c r="AG123" s="325">
        <f>+VLOOKUP($E123,Transports!$1:$1048576,AG$2,FALSE)</f>
        <v>680333.43480000005</v>
      </c>
      <c r="AH123" s="325">
        <f>+VLOOKUP($E123,Transports!$1:$1048576,AH$2,FALSE)</f>
        <v>682756.21230000001</v>
      </c>
      <c r="AI123" s="325">
        <f>+VLOOKUP($E123,Transports!$1:$1048576,AI$2,FALSE)</f>
        <v>685153.02679999999</v>
      </c>
      <c r="AJ123" s="325">
        <f>+VLOOKUP($E123,Transports!$1:$1048576,AJ$2,FALSE)</f>
        <v>687531.65610000002</v>
      </c>
      <c r="AK123" s="325">
        <f>+VLOOKUP($E123,Transports!$1:$1048576,AK$2,FALSE)</f>
        <v>689901.01630000002</v>
      </c>
      <c r="AL123" s="325">
        <f>+VLOOKUP($E123,Transports!$1:$1048576,AL$2,FALSE)</f>
        <v>692271.18229999999</v>
      </c>
      <c r="AM123" s="325">
        <f>+VLOOKUP($E123,Transports!$1:$1048576,AM$2,FALSE)</f>
        <v>694653.37569999998</v>
      </c>
      <c r="AN123" s="325">
        <f>+VLOOKUP($E123,Transports!$1:$1048576,AN$2,FALSE)</f>
        <v>697059.91249999998</v>
      </c>
      <c r="AO123" s="325">
        <f>+VLOOKUP($E123,Transports!$1:$1048576,AO$2,FALSE)</f>
        <v>699504.10530000005</v>
      </c>
    </row>
    <row r="124" spans="1:41" ht="15" customHeight="1" x14ac:dyDescent="0.25">
      <c r="A124" s="384"/>
      <c r="B124" s="389"/>
      <c r="C124" s="126"/>
      <c r="D124" s="126" t="s">
        <v>533</v>
      </c>
      <c r="E124" s="48" t="s">
        <v>451</v>
      </c>
      <c r="F124" s="325">
        <f>+VLOOKUP($E124,Transports!$1:$1048576,F$2,FALSE)</f>
        <v>554271.6422</v>
      </c>
      <c r="G124" s="325">
        <f>+VLOOKUP($E124,Transports!$1:$1048576,G$2,FALSE)</f>
        <v>547921.7966</v>
      </c>
      <c r="H124" s="325">
        <f>+VLOOKUP($E124,Transports!$1:$1048576,H$2,FALSE)</f>
        <v>544690.45169999998</v>
      </c>
      <c r="I124" s="325">
        <f>+VLOOKUP($E124,Transports!$1:$1048576,I$2,FALSE)</f>
        <v>543539.71470000001</v>
      </c>
      <c r="J124" s="325">
        <f>+VLOOKUP($E124,Transports!$1:$1048576,J$2,FALSE)</f>
        <v>543761.34439999994</v>
      </c>
      <c r="K124" s="325">
        <f>+VLOOKUP($E124,Transports!$1:$1048576,K$2,FALSE)</f>
        <v>544877.08310000005</v>
      </c>
      <c r="L124" s="325">
        <f>+VLOOKUP($E124,Transports!$1:$1048576,L$2,FALSE)</f>
        <v>546602.28870000003</v>
      </c>
      <c r="M124" s="325">
        <f>+VLOOKUP($E124,Transports!$1:$1048576,M$2,FALSE)</f>
        <v>548778.59900000005</v>
      </c>
      <c r="N124" s="325">
        <f>+VLOOKUP($E124,Transports!$1:$1048576,N$2,FALSE)</f>
        <v>551286.77989999996</v>
      </c>
      <c r="O124" s="325">
        <f>+VLOOKUP($E124,Transports!$1:$1048576,O$2,FALSE)</f>
        <v>554032.30870000005</v>
      </c>
      <c r="P124" s="325">
        <f>+VLOOKUP($E124,Transports!$1:$1048576,P$2,FALSE)</f>
        <v>556937.57389999996</v>
      </c>
      <c r="Q124" s="325">
        <f>+VLOOKUP($E124,Transports!$1:$1048576,Q$2,FALSE)</f>
        <v>559936.54229999997</v>
      </c>
      <c r="R124" s="325">
        <f>+VLOOKUP($E124,Transports!$1:$1048576,R$2,FALSE)</f>
        <v>562971.08909999998</v>
      </c>
      <c r="S124" s="325">
        <f>+VLOOKUP($E124,Transports!$1:$1048576,S$2,FALSE)</f>
        <v>565988.51489999995</v>
      </c>
      <c r="T124" s="325">
        <f>+VLOOKUP($E124,Transports!$1:$1048576,T$2,FALSE)</f>
        <v>568939.89820000005</v>
      </c>
      <c r="U124" s="325">
        <f>+VLOOKUP($E124,Transports!$1:$1048576,U$2,FALSE)</f>
        <v>571779.03599999996</v>
      </c>
      <c r="V124" s="325">
        <f>+VLOOKUP($E124,Transports!$1:$1048576,V$2,FALSE)</f>
        <v>574501.20299999998</v>
      </c>
      <c r="W124" s="325">
        <f>+VLOOKUP($E124,Transports!$1:$1048576,W$2,FALSE)</f>
        <v>577137.04790000001</v>
      </c>
      <c r="X124" s="325">
        <f>+VLOOKUP($E124,Transports!$1:$1048576,X$2,FALSE)</f>
        <v>579702.89159999997</v>
      </c>
      <c r="Y124" s="325">
        <f>+VLOOKUP($E124,Transports!$1:$1048576,Y$2,FALSE)</f>
        <v>582206.35889999999</v>
      </c>
      <c r="Z124" s="325">
        <f>+VLOOKUP($E124,Transports!$1:$1048576,Z$2,FALSE)</f>
        <v>584650.97450000001</v>
      </c>
      <c r="AA124" s="325">
        <f>+VLOOKUP($E124,Transports!$1:$1048576,AA$2,FALSE)</f>
        <v>587038.66399999999</v>
      </c>
      <c r="AB124" s="325">
        <f>+VLOOKUP($E124,Transports!$1:$1048576,AB$2,FALSE)</f>
        <v>589371.02410000004</v>
      </c>
      <c r="AC124" s="325">
        <f>+VLOOKUP($E124,Transports!$1:$1048576,AC$2,FALSE)</f>
        <v>591649.946</v>
      </c>
      <c r="AD124" s="325">
        <f>+VLOOKUP($E124,Transports!$1:$1048576,AD$2,FALSE)</f>
        <v>593877.92000000004</v>
      </c>
      <c r="AE124" s="325">
        <f>+VLOOKUP($E124,Transports!$1:$1048576,AE$2,FALSE)</f>
        <v>596058.19220000005</v>
      </c>
      <c r="AF124" s="325">
        <f>+VLOOKUP($E124,Transports!$1:$1048576,AF$2,FALSE)</f>
        <v>598194.85829999996</v>
      </c>
      <c r="AG124" s="325">
        <f>+VLOOKUP($E124,Transports!$1:$1048576,AG$2,FALSE)</f>
        <v>600292.93370000005</v>
      </c>
      <c r="AH124" s="325">
        <f>+VLOOKUP($E124,Transports!$1:$1048576,AH$2,FALSE)</f>
        <v>602358.41509999998</v>
      </c>
      <c r="AI124" s="325">
        <f>+VLOOKUP($E124,Transports!$1:$1048576,AI$2,FALSE)</f>
        <v>604398.3382</v>
      </c>
      <c r="AJ124" s="325">
        <f>+VLOOKUP($E124,Transports!$1:$1048576,AJ$2,FALSE)</f>
        <v>606420.8273</v>
      </c>
      <c r="AK124" s="325">
        <f>+VLOOKUP($E124,Transports!$1:$1048576,AK$2,FALSE)</f>
        <v>608435.13029999996</v>
      </c>
      <c r="AL124" s="325">
        <f>+VLOOKUP($E124,Transports!$1:$1048576,AL$2,FALSE)</f>
        <v>610451.63080000004</v>
      </c>
      <c r="AM124" s="325">
        <f>+VLOOKUP($E124,Transports!$1:$1048576,AM$2,FALSE)</f>
        <v>612481.82940000005</v>
      </c>
      <c r="AN124" s="325">
        <f>+VLOOKUP($E124,Transports!$1:$1048576,AN$2,FALSE)</f>
        <v>614538.28729999997</v>
      </c>
      <c r="AO124" s="325">
        <f>+VLOOKUP($E124,Transports!$1:$1048576,AO$2,FALSE)</f>
        <v>616634.52540000004</v>
      </c>
    </row>
    <row r="125" spans="1:41" ht="15" customHeight="1" x14ac:dyDescent="0.25">
      <c r="A125" s="384"/>
      <c r="B125" s="389"/>
      <c r="C125" s="126"/>
      <c r="D125" s="126" t="s">
        <v>154</v>
      </c>
      <c r="E125" s="48" t="s">
        <v>452</v>
      </c>
      <c r="F125" s="325">
        <f>+VLOOKUP($E125,Transports!$1:$1048576,F$2,FALSE)</f>
        <v>70328.699649999995</v>
      </c>
      <c r="G125" s="325">
        <f>+VLOOKUP($E125,Transports!$1:$1048576,G$2,FALSE)</f>
        <v>70321.713780000005</v>
      </c>
      <c r="H125" s="325">
        <f>+VLOOKUP($E125,Transports!$1:$1048576,H$2,FALSE)</f>
        <v>70422.251279999997</v>
      </c>
      <c r="I125" s="325">
        <f>+VLOOKUP($E125,Transports!$1:$1048576,I$2,FALSE)</f>
        <v>70597.879260000002</v>
      </c>
      <c r="J125" s="325">
        <f>+VLOOKUP($E125,Transports!$1:$1048576,J$2,FALSE)</f>
        <v>70825.341199999995</v>
      </c>
      <c r="K125" s="325">
        <f>+VLOOKUP($E125,Transports!$1:$1048576,K$2,FALSE)</f>
        <v>71088.353579999995</v>
      </c>
      <c r="L125" s="325">
        <f>+VLOOKUP($E125,Transports!$1:$1048576,L$2,FALSE)</f>
        <v>71376.449590000004</v>
      </c>
      <c r="M125" s="325">
        <f>+VLOOKUP($E125,Transports!$1:$1048576,M$2,FALSE)</f>
        <v>71684.112040000007</v>
      </c>
      <c r="N125" s="325">
        <f>+VLOOKUP($E125,Transports!$1:$1048576,N$2,FALSE)</f>
        <v>72007.760439999998</v>
      </c>
      <c r="O125" s="325">
        <f>+VLOOKUP($E125,Transports!$1:$1048576,O$2,FALSE)</f>
        <v>72343.932499999995</v>
      </c>
      <c r="P125" s="325">
        <f>+VLOOKUP($E125,Transports!$1:$1048576,P$2,FALSE)</f>
        <v>72689.392810000005</v>
      </c>
      <c r="Q125" s="325">
        <f>+VLOOKUP($E125,Transports!$1:$1048576,Q$2,FALSE)</f>
        <v>73041.122340000002</v>
      </c>
      <c r="R125" s="325">
        <f>+VLOOKUP($E125,Transports!$1:$1048576,R$2,FALSE)</f>
        <v>73396.292589999997</v>
      </c>
      <c r="S125" s="325">
        <f>+VLOOKUP($E125,Transports!$1:$1048576,S$2,FALSE)</f>
        <v>73752.238639999996</v>
      </c>
      <c r="T125" s="325">
        <f>+VLOOKUP($E125,Transports!$1:$1048576,T$2,FALSE)</f>
        <v>74106.43045</v>
      </c>
      <c r="U125" s="325">
        <f>+VLOOKUP($E125,Transports!$1:$1048576,U$2,FALSE)</f>
        <v>74456.445430000007</v>
      </c>
      <c r="V125" s="325">
        <f>+VLOOKUP($E125,Transports!$1:$1048576,V$2,FALSE)</f>
        <v>74801.305129999993</v>
      </c>
      <c r="W125" s="325">
        <f>+VLOOKUP($E125,Transports!$1:$1048576,W$2,FALSE)</f>
        <v>75142.139009999999</v>
      </c>
      <c r="X125" s="325">
        <f>+VLOOKUP($E125,Transports!$1:$1048576,X$2,FALSE)</f>
        <v>75480.232430000004</v>
      </c>
      <c r="Y125" s="325">
        <f>+VLOOKUP($E125,Transports!$1:$1048576,Y$2,FALSE)</f>
        <v>75816.213440000007</v>
      </c>
      <c r="Z125" s="325">
        <f>+VLOOKUP($E125,Transports!$1:$1048576,Z$2,FALSE)</f>
        <v>76150.391459999999</v>
      </c>
      <c r="AA125" s="325">
        <f>+VLOOKUP($E125,Transports!$1:$1048576,AA$2,FALSE)</f>
        <v>76482.908320000002</v>
      </c>
      <c r="AB125" s="325">
        <f>+VLOOKUP($E125,Transports!$1:$1048576,AB$2,FALSE)</f>
        <v>76813.818719999996</v>
      </c>
      <c r="AC125" s="325">
        <f>+VLOOKUP($E125,Transports!$1:$1048576,AC$2,FALSE)</f>
        <v>77143.137499999997</v>
      </c>
      <c r="AD125" s="325">
        <f>+VLOOKUP($E125,Transports!$1:$1048576,AD$2,FALSE)</f>
        <v>77470.867970000007</v>
      </c>
      <c r="AE125" s="325">
        <f>+VLOOKUP($E125,Transports!$1:$1048576,AE$2,FALSE)</f>
        <v>77797.01917</v>
      </c>
      <c r="AF125" s="325">
        <f>+VLOOKUP($E125,Transports!$1:$1048576,AF$2,FALSE)</f>
        <v>78121.616959999999</v>
      </c>
      <c r="AG125" s="325">
        <f>+VLOOKUP($E125,Transports!$1:$1048576,AG$2,FALSE)</f>
        <v>78444.71226</v>
      </c>
      <c r="AH125" s="325">
        <f>+VLOOKUP($E125,Transports!$1:$1048576,AH$2,FALSE)</f>
        <v>78766.388210000005</v>
      </c>
      <c r="AI125" s="325">
        <f>+VLOOKUP($E125,Transports!$1:$1048576,AI$2,FALSE)</f>
        <v>79086.767009999996</v>
      </c>
      <c r="AJ125" s="325">
        <f>+VLOOKUP($E125,Transports!$1:$1048576,AJ$2,FALSE)</f>
        <v>79406.016260000004</v>
      </c>
      <c r="AK125" s="325">
        <f>+VLOOKUP($E125,Transports!$1:$1048576,AK$2,FALSE)</f>
        <v>79724.35454</v>
      </c>
      <c r="AL125" s="325">
        <f>+VLOOKUP($E125,Transports!$1:$1048576,AL$2,FALSE)</f>
        <v>80042.055619999999</v>
      </c>
      <c r="AM125" s="325">
        <f>+VLOOKUP($E125,Transports!$1:$1048576,AM$2,FALSE)</f>
        <v>80359.450830000002</v>
      </c>
      <c r="AN125" s="325">
        <f>+VLOOKUP($E125,Transports!$1:$1048576,AN$2,FALSE)</f>
        <v>80676.929210000002</v>
      </c>
      <c r="AO125" s="325">
        <f>+VLOOKUP($E125,Transports!$1:$1048576,AO$2,FALSE)</f>
        <v>80994.935169999997</v>
      </c>
    </row>
    <row r="126" spans="1:41" ht="15" customHeight="1" x14ac:dyDescent="0.25">
      <c r="A126" s="384"/>
      <c r="B126" s="389"/>
      <c r="C126" s="126" t="s">
        <v>535</v>
      </c>
      <c r="D126" s="126"/>
      <c r="E126" s="48" t="s">
        <v>453</v>
      </c>
      <c r="F126" s="325">
        <f>+VLOOKUP($E126,Transports!$1:$1048576,F$2,FALSE)</f>
        <v>275159.80609999999</v>
      </c>
      <c r="G126" s="325">
        <f>+VLOOKUP($E126,Transports!$1:$1048576,G$2,FALSE)</f>
        <v>270792.35190000001</v>
      </c>
      <c r="H126" s="325">
        <f>+VLOOKUP($E126,Transports!$1:$1048576,H$2,FALSE)</f>
        <v>268629.34490000003</v>
      </c>
      <c r="I126" s="325">
        <f>+VLOOKUP($E126,Transports!$1:$1048576,I$2,FALSE)</f>
        <v>267925.60129999998</v>
      </c>
      <c r="J126" s="325">
        <f>+VLOOKUP($E126,Transports!$1:$1048576,J$2,FALSE)</f>
        <v>268182.20030000003</v>
      </c>
      <c r="K126" s="325">
        <f>+VLOOKUP($E126,Transports!$1:$1048576,K$2,FALSE)</f>
        <v>269066.09120000002</v>
      </c>
      <c r="L126" s="325">
        <f>+VLOOKUP($E126,Transports!$1:$1048576,L$2,FALSE)</f>
        <v>270380.44839999999</v>
      </c>
      <c r="M126" s="325">
        <f>+VLOOKUP($E126,Transports!$1:$1048576,M$2,FALSE)</f>
        <v>272015.85159999999</v>
      </c>
      <c r="N126" s="325">
        <f>+VLOOKUP($E126,Transports!$1:$1048576,N$2,FALSE)</f>
        <v>273889.6005</v>
      </c>
      <c r="O126" s="325">
        <f>+VLOOKUP($E126,Transports!$1:$1048576,O$2,FALSE)</f>
        <v>275936.37920000002</v>
      </c>
      <c r="P126" s="325">
        <f>+VLOOKUP($E126,Transports!$1:$1048576,P$2,FALSE)</f>
        <v>278102.65539999999</v>
      </c>
      <c r="Q126" s="325">
        <f>+VLOOKUP($E126,Transports!$1:$1048576,Q$2,FALSE)</f>
        <v>280342.81929999997</v>
      </c>
      <c r="R126" s="325">
        <f>+VLOOKUP($E126,Transports!$1:$1048576,R$2,FALSE)</f>
        <v>282616.53149999998</v>
      </c>
      <c r="S126" s="325">
        <f>+VLOOKUP($E126,Transports!$1:$1048576,S$2,FALSE)</f>
        <v>284886.9436</v>
      </c>
      <c r="T126" s="325">
        <f>+VLOOKUP($E126,Transports!$1:$1048576,T$2,FALSE)</f>
        <v>287119.53370000003</v>
      </c>
      <c r="U126" s="325">
        <f>+VLOOKUP($E126,Transports!$1:$1048576,U$2,FALSE)</f>
        <v>289281.37699999998</v>
      </c>
      <c r="V126" s="325">
        <f>+VLOOKUP($E126,Transports!$1:$1048576,V$2,FALSE)</f>
        <v>291368.74900000001</v>
      </c>
      <c r="W126" s="325">
        <f>+VLOOKUP($E126,Transports!$1:$1048576,W$2,FALSE)</f>
        <v>293402.5932</v>
      </c>
      <c r="X126" s="325">
        <f>+VLOOKUP($E126,Transports!$1:$1048576,X$2,FALSE)</f>
        <v>295393.37459999998</v>
      </c>
      <c r="Y126" s="325">
        <f>+VLOOKUP($E126,Transports!$1:$1048576,Y$2,FALSE)</f>
        <v>297345.67910000001</v>
      </c>
      <c r="Z126" s="325">
        <f>+VLOOKUP($E126,Transports!$1:$1048576,Z$2,FALSE)</f>
        <v>299261.41629999998</v>
      </c>
      <c r="AA126" s="325">
        <f>+VLOOKUP($E126,Transports!$1:$1048576,AA$2,FALSE)</f>
        <v>301141.51659999997</v>
      </c>
      <c r="AB126" s="325">
        <f>+VLOOKUP($E126,Transports!$1:$1048576,AB$2,FALSE)</f>
        <v>302986.77299999999</v>
      </c>
      <c r="AC126" s="325">
        <f>+VLOOKUP($E126,Transports!$1:$1048576,AC$2,FALSE)</f>
        <v>304798.2451</v>
      </c>
      <c r="AD126" s="325">
        <f>+VLOOKUP($E126,Transports!$1:$1048576,AD$2,FALSE)</f>
        <v>306577.45500000002</v>
      </c>
      <c r="AE126" s="325">
        <f>+VLOOKUP($E126,Transports!$1:$1048576,AE$2,FALSE)</f>
        <v>308326.4915</v>
      </c>
      <c r="AF126" s="325">
        <f>+VLOOKUP($E126,Transports!$1:$1048576,AF$2,FALSE)</f>
        <v>310048.07659999997</v>
      </c>
      <c r="AG126" s="325">
        <f>+VLOOKUP($E126,Transports!$1:$1048576,AG$2,FALSE)</f>
        <v>311745.6214</v>
      </c>
      <c r="AH126" s="325">
        <f>+VLOOKUP($E126,Transports!$1:$1048576,AH$2,FALSE)</f>
        <v>313423.27899999998</v>
      </c>
      <c r="AI126" s="325">
        <f>+VLOOKUP($E126,Transports!$1:$1048576,AI$2,FALSE)</f>
        <v>315085.9952</v>
      </c>
      <c r="AJ126" s="325">
        <f>+VLOOKUP($E126,Transports!$1:$1048576,AJ$2,FALSE)</f>
        <v>316739.5551</v>
      </c>
      <c r="AK126" s="325">
        <f>+VLOOKUP($E126,Transports!$1:$1048576,AK$2,FALSE)</f>
        <v>318390.61820000003</v>
      </c>
      <c r="AL126" s="325">
        <f>+VLOOKUP($E126,Transports!$1:$1048576,AL$2,FALSE)</f>
        <v>320046.73719999997</v>
      </c>
      <c r="AM126" s="325">
        <f>+VLOOKUP($E126,Transports!$1:$1048576,AM$2,FALSE)</f>
        <v>321716.35340000002</v>
      </c>
      <c r="AN126" s="325">
        <f>+VLOOKUP($E126,Transports!$1:$1048576,AN$2,FALSE)</f>
        <v>323408.76360000001</v>
      </c>
      <c r="AO126" s="325">
        <f>+VLOOKUP($E126,Transports!$1:$1048576,AO$2,FALSE)</f>
        <v>325134.0552</v>
      </c>
    </row>
    <row r="127" spans="1:41" ht="15" customHeight="1" x14ac:dyDescent="0.25">
      <c r="A127" s="384"/>
      <c r="B127" s="389"/>
      <c r="C127" s="126"/>
      <c r="D127" s="126" t="s">
        <v>155</v>
      </c>
      <c r="E127" s="48" t="s">
        <v>454</v>
      </c>
      <c r="F127" s="325">
        <f>+VLOOKUP($E127,Transports!$1:$1048576,F$2,FALSE)</f>
        <v>169831.29990000001</v>
      </c>
      <c r="G127" s="325">
        <f>+VLOOKUP($E127,Transports!$1:$1048576,G$2,FALSE)</f>
        <v>167433.68849999999</v>
      </c>
      <c r="H127" s="325">
        <f>+VLOOKUP($E127,Transports!$1:$1048576,H$2,FALSE)</f>
        <v>166280.9639</v>
      </c>
      <c r="I127" s="325">
        <f>+VLOOKUP($E127,Transports!$1:$1048576,I$2,FALSE)</f>
        <v>165958.7623</v>
      </c>
      <c r="J127" s="325">
        <f>+VLOOKUP($E127,Transports!$1:$1048576,J$2,FALSE)</f>
        <v>166186.1477</v>
      </c>
      <c r="K127" s="325">
        <f>+VLOOKUP($E127,Transports!$1:$1048576,K$2,FALSE)</f>
        <v>166774.09109999999</v>
      </c>
      <c r="L127" s="325">
        <f>+VLOOKUP($E127,Transports!$1:$1048576,L$2,FALSE)</f>
        <v>167610.21729999999</v>
      </c>
      <c r="M127" s="325">
        <f>+VLOOKUP($E127,Transports!$1:$1048576,M$2,FALSE)</f>
        <v>168631.9982</v>
      </c>
      <c r="N127" s="325">
        <f>+VLOOKUP($E127,Transports!$1:$1048576,N$2,FALSE)</f>
        <v>169792.2432</v>
      </c>
      <c r="O127" s="325">
        <f>+VLOOKUP($E127,Transports!$1:$1048576,O$2,FALSE)</f>
        <v>171053.4356</v>
      </c>
      <c r="P127" s="325">
        <f>+VLOOKUP($E127,Transports!$1:$1048576,P$2,FALSE)</f>
        <v>172384.69029999999</v>
      </c>
      <c r="Q127" s="325">
        <f>+VLOOKUP($E127,Transports!$1:$1048576,Q$2,FALSE)</f>
        <v>173759.6127</v>
      </c>
      <c r="R127" s="325">
        <f>+VLOOKUP($E127,Transports!$1:$1048576,R$2,FALSE)</f>
        <v>175154.81520000001</v>
      </c>
      <c r="S127" s="325">
        <f>+VLOOKUP($E127,Transports!$1:$1048576,S$2,FALSE)</f>
        <v>176548.91639999999</v>
      </c>
      <c r="T127" s="325">
        <f>+VLOOKUP($E127,Transports!$1:$1048576,T$2,FALSE)</f>
        <v>177921.87950000001</v>
      </c>
      <c r="U127" s="325">
        <f>+VLOOKUP($E127,Transports!$1:$1048576,U$2,FALSE)</f>
        <v>179254.59299999999</v>
      </c>
      <c r="V127" s="325">
        <f>+VLOOKUP($E127,Transports!$1:$1048576,V$2,FALSE)</f>
        <v>180544.66200000001</v>
      </c>
      <c r="W127" s="325">
        <f>+VLOOKUP($E127,Transports!$1:$1048576,W$2,FALSE)</f>
        <v>181804.0882</v>
      </c>
      <c r="X127" s="325">
        <f>+VLOOKUP($E127,Transports!$1:$1048576,X$2,FALSE)</f>
        <v>183039.07930000001</v>
      </c>
      <c r="Y127" s="325">
        <f>+VLOOKUP($E127,Transports!$1:$1048576,Y$2,FALSE)</f>
        <v>184252.36249999999</v>
      </c>
      <c r="Z127" s="325">
        <f>+VLOOKUP($E127,Transports!$1:$1048576,Z$2,FALSE)</f>
        <v>185445.07949999999</v>
      </c>
      <c r="AA127" s="325">
        <f>+VLOOKUP($E127,Transports!$1:$1048576,AA$2,FALSE)</f>
        <v>186617.7775</v>
      </c>
      <c r="AB127" s="325">
        <f>+VLOOKUP($E127,Transports!$1:$1048576,AB$2,FALSE)</f>
        <v>187770.9002</v>
      </c>
      <c r="AC127" s="325">
        <f>+VLOOKUP($E127,Transports!$1:$1048576,AC$2,FALSE)</f>
        <v>188905.02669999999</v>
      </c>
      <c r="AD127" s="325">
        <f>+VLOOKUP($E127,Transports!$1:$1048576,AD$2,FALSE)</f>
        <v>190020.98879999999</v>
      </c>
      <c r="AE127" s="325">
        <f>+VLOOKUP($E127,Transports!$1:$1048576,AE$2,FALSE)</f>
        <v>191119.93460000001</v>
      </c>
      <c r="AF127" s="325">
        <f>+VLOOKUP($E127,Transports!$1:$1048576,AF$2,FALSE)</f>
        <v>192203.3702</v>
      </c>
      <c r="AG127" s="325">
        <f>+VLOOKUP($E127,Transports!$1:$1048576,AG$2,FALSE)</f>
        <v>193273.1937</v>
      </c>
      <c r="AH127" s="325">
        <f>+VLOOKUP($E127,Transports!$1:$1048576,AH$2,FALSE)</f>
        <v>194331.7286</v>
      </c>
      <c r="AI127" s="325">
        <f>+VLOOKUP($E127,Transports!$1:$1048576,AI$2,FALSE)</f>
        <v>195381.75580000001</v>
      </c>
      <c r="AJ127" s="325">
        <f>+VLOOKUP($E127,Transports!$1:$1048576,AJ$2,FALSE)</f>
        <v>196426.54250000001</v>
      </c>
      <c r="AK127" s="325">
        <f>+VLOOKUP($E127,Transports!$1:$1048576,AK$2,FALSE)</f>
        <v>197469.86470000001</v>
      </c>
      <c r="AL127" s="325">
        <f>+VLOOKUP($E127,Transports!$1:$1048576,AL$2,FALSE)</f>
        <v>198516.02050000001</v>
      </c>
      <c r="AM127" s="325">
        <f>+VLOOKUP($E127,Transports!$1:$1048576,AM$2,FALSE)</f>
        <v>199569.82870000001</v>
      </c>
      <c r="AN127" s="325">
        <f>+VLOOKUP($E127,Transports!$1:$1048576,AN$2,FALSE)</f>
        <v>200636.6109</v>
      </c>
      <c r="AO127" s="325">
        <f>+VLOOKUP($E127,Transports!$1:$1048576,AO$2,FALSE)</f>
        <v>201722.15460000001</v>
      </c>
    </row>
    <row r="128" spans="1:41" ht="15" customHeight="1" x14ac:dyDescent="0.25">
      <c r="A128" s="384"/>
      <c r="B128" s="389"/>
      <c r="C128" s="127"/>
      <c r="D128" s="127" t="s">
        <v>536</v>
      </c>
      <c r="E128" s="93" t="s">
        <v>455</v>
      </c>
      <c r="F128" s="326">
        <f>+VLOOKUP($E128,Transports!$1:$1048576,F$2,FALSE)</f>
        <v>105328.5062</v>
      </c>
      <c r="G128" s="326">
        <f>+VLOOKUP($E128,Transports!$1:$1048576,G$2,FALSE)</f>
        <v>106469.6841</v>
      </c>
      <c r="H128" s="326">
        <f>+VLOOKUP($E128,Transports!$1:$1048576,H$2,FALSE)</f>
        <v>107456.71950000001</v>
      </c>
      <c r="I128" s="326">
        <f>+VLOOKUP($E128,Transports!$1:$1048576,I$2,FALSE)</f>
        <v>108342.2931</v>
      </c>
      <c r="J128" s="326">
        <f>+VLOOKUP($E128,Transports!$1:$1048576,J$2,FALSE)</f>
        <v>109165.3447</v>
      </c>
      <c r="K128" s="326">
        <f>+VLOOKUP($E128,Transports!$1:$1048576,K$2,FALSE)</f>
        <v>109953.23</v>
      </c>
      <c r="L128" s="326">
        <f>+VLOOKUP($E128,Transports!$1:$1048576,L$2,FALSE)</f>
        <v>110720.406</v>
      </c>
      <c r="M128" s="326">
        <f>+VLOOKUP($E128,Transports!$1:$1048576,M$2,FALSE)</f>
        <v>111476.07030000001</v>
      </c>
      <c r="N128" s="326">
        <f>+VLOOKUP($E128,Transports!$1:$1048576,N$2,FALSE)</f>
        <v>112229.3395</v>
      </c>
      <c r="O128" s="326">
        <f>+VLOOKUP($E128,Transports!$1:$1048576,O$2,FALSE)</f>
        <v>112985.4523</v>
      </c>
      <c r="P128" s="326">
        <f>+VLOOKUP($E128,Transports!$1:$1048576,P$2,FALSE)</f>
        <v>113747.46859999999</v>
      </c>
      <c r="Q128" s="326">
        <f>+VLOOKUP($E128,Transports!$1:$1048576,Q$2,FALSE)</f>
        <v>114517.1305</v>
      </c>
      <c r="R128" s="326">
        <f>+VLOOKUP($E128,Transports!$1:$1048576,R$2,FALSE)</f>
        <v>115295.3995</v>
      </c>
      <c r="S128" s="326">
        <f>+VLOOKUP($E128,Transports!$1:$1048576,S$2,FALSE)</f>
        <v>116082.798</v>
      </c>
      <c r="T128" s="326">
        <f>+VLOOKUP($E128,Transports!$1:$1048576,T$2,FALSE)</f>
        <v>116879.60769999999</v>
      </c>
      <c r="U128" s="326">
        <f>+VLOOKUP($E128,Transports!$1:$1048576,U$2,FALSE)</f>
        <v>117685.973</v>
      </c>
      <c r="V128" s="326">
        <f>+VLOOKUP($E128,Transports!$1:$1048576,V$2,FALSE)</f>
        <v>118499.287</v>
      </c>
      <c r="W128" s="326">
        <f>+VLOOKUP($E128,Transports!$1:$1048576,W$2,FALSE)</f>
        <v>119317.6311</v>
      </c>
      <c r="X128" s="326">
        <f>+VLOOKUP($E128,Transports!$1:$1048576,X$2,FALSE)</f>
        <v>120142.30469999999</v>
      </c>
      <c r="Y128" s="326">
        <f>+VLOOKUP($E128,Transports!$1:$1048576,Y$2,FALSE)</f>
        <v>120973.9725</v>
      </c>
      <c r="Z128" s="326">
        <f>+VLOOKUP($E128,Transports!$1:$1048576,Z$2,FALSE)</f>
        <v>121813.011</v>
      </c>
      <c r="AA128" s="326">
        <f>+VLOOKUP($E128,Transports!$1:$1048576,AA$2,FALSE)</f>
        <v>122659.5482</v>
      </c>
      <c r="AB128" s="326">
        <f>+VLOOKUP($E128,Transports!$1:$1048576,AB$2,FALSE)</f>
        <v>123513.4868</v>
      </c>
      <c r="AC128" s="326">
        <f>+VLOOKUP($E128,Transports!$1:$1048576,AC$2,FALSE)</f>
        <v>124374.5373</v>
      </c>
      <c r="AD128" s="326">
        <f>+VLOOKUP($E128,Transports!$1:$1048576,AD$2,FALSE)</f>
        <v>125242.2507</v>
      </c>
      <c r="AE128" s="326">
        <f>+VLOOKUP($E128,Transports!$1:$1048576,AE$2,FALSE)</f>
        <v>126116.0436</v>
      </c>
      <c r="AF128" s="326">
        <f>+VLOOKUP($E128,Transports!$1:$1048576,AF$2,FALSE)</f>
        <v>126995.2167</v>
      </c>
      <c r="AG128" s="326">
        <f>+VLOOKUP($E128,Transports!$1:$1048576,AG$2,FALSE)</f>
        <v>127878.9681</v>
      </c>
      <c r="AH128" s="326">
        <f>+VLOOKUP($E128,Transports!$1:$1048576,AH$2,FALSE)</f>
        <v>128766.4071</v>
      </c>
      <c r="AI128" s="326">
        <f>+VLOOKUP($E128,Transports!$1:$1048576,AI$2,FALSE)</f>
        <v>129656.56660000001</v>
      </c>
      <c r="AJ128" s="326">
        <f>+VLOOKUP($E128,Transports!$1:$1048576,AJ$2,FALSE)</f>
        <v>130548.4167</v>
      </c>
      <c r="AK128" s="326">
        <f>+VLOOKUP($E128,Transports!$1:$1048576,AK$2,FALSE)</f>
        <v>131440.87839999999</v>
      </c>
      <c r="AL128" s="326">
        <f>+VLOOKUP($E128,Transports!$1:$1048576,AL$2,FALSE)</f>
        <v>132332.83660000001</v>
      </c>
      <c r="AM128" s="326">
        <f>+VLOOKUP($E128,Transports!$1:$1048576,AM$2,FALSE)</f>
        <v>133223.1532</v>
      </c>
      <c r="AN128" s="326">
        <f>+VLOOKUP($E128,Transports!$1:$1048576,AN$2,FALSE)</f>
        <v>134110.67970000001</v>
      </c>
      <c r="AO128" s="326">
        <f>+VLOOKUP($E128,Transports!$1:$1048576,AO$2,FALSE)</f>
        <v>134994.26980000001</v>
      </c>
    </row>
    <row r="129" spans="1:41" ht="15" customHeight="1" x14ac:dyDescent="0.25">
      <c r="A129" s="384"/>
      <c r="B129" s="389"/>
      <c r="C129" s="167" t="s">
        <v>456</v>
      </c>
      <c r="D129" s="126"/>
      <c r="E129" s="48"/>
      <c r="F129" s="325"/>
      <c r="G129" s="325"/>
      <c r="H129" s="325"/>
      <c r="I129" s="325"/>
      <c r="J129" s="325"/>
      <c r="K129" s="325"/>
      <c r="L129" s="325"/>
      <c r="M129" s="325"/>
      <c r="N129" s="325"/>
      <c r="O129" s="325"/>
      <c r="P129" s="325"/>
      <c r="Q129" s="325"/>
      <c r="R129" s="325"/>
      <c r="S129" s="325"/>
      <c r="T129" s="325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25"/>
      <c r="AE129" s="325"/>
      <c r="AF129" s="325"/>
      <c r="AG129" s="325"/>
      <c r="AH129" s="325"/>
      <c r="AI129" s="325"/>
      <c r="AJ129" s="325"/>
      <c r="AK129" s="325"/>
      <c r="AL129" s="325"/>
      <c r="AM129" s="325"/>
      <c r="AN129" s="325"/>
      <c r="AO129" s="325"/>
    </row>
    <row r="130" spans="1:41" ht="15" customHeight="1" x14ac:dyDescent="0.25">
      <c r="A130" s="384"/>
      <c r="B130" s="389"/>
      <c r="C130" s="126" t="s">
        <v>532</v>
      </c>
      <c r="D130" s="126"/>
      <c r="E130" s="48" t="s">
        <v>457</v>
      </c>
      <c r="F130" s="325">
        <f>+VLOOKUP($E130,Transports!$1:$1048576,F$2,FALSE)</f>
        <v>291099.78360000002</v>
      </c>
      <c r="G130" s="325">
        <f>+VLOOKUP($E130,Transports!$1:$1048576,G$2,FALSE)</f>
        <v>295997.44150000002</v>
      </c>
      <c r="H130" s="325">
        <f>+VLOOKUP($E130,Transports!$1:$1048576,H$2,FALSE)</f>
        <v>300860.60800000001</v>
      </c>
      <c r="I130" s="325">
        <f>+VLOOKUP($E130,Transports!$1:$1048576,I$2,FALSE)</f>
        <v>305754.87800000003</v>
      </c>
      <c r="J130" s="325">
        <f>+VLOOKUP($E130,Transports!$1:$1048576,J$2,FALSE)</f>
        <v>310735.6605</v>
      </c>
      <c r="K130" s="325">
        <f>+VLOOKUP($E130,Transports!$1:$1048576,K$2,FALSE)</f>
        <v>315838.9644</v>
      </c>
      <c r="L130" s="325">
        <f>+VLOOKUP($E130,Transports!$1:$1048576,L$2,FALSE)</f>
        <v>321084.30790000001</v>
      </c>
      <c r="M130" s="325">
        <f>+VLOOKUP($E130,Transports!$1:$1048576,M$2,FALSE)</f>
        <v>326479.86459999997</v>
      </c>
      <c r="N130" s="325">
        <f>+VLOOKUP($E130,Transports!$1:$1048576,N$2,FALSE)</f>
        <v>332026.96090000001</v>
      </c>
      <c r="O130" s="325">
        <f>+VLOOKUP($E130,Transports!$1:$1048576,O$2,FALSE)</f>
        <v>337723.35519999999</v>
      </c>
      <c r="P130" s="325">
        <f>+VLOOKUP($E130,Transports!$1:$1048576,P$2,FALSE)</f>
        <v>343565.3982</v>
      </c>
      <c r="Q130" s="325">
        <f>+VLOOKUP($E130,Transports!$1:$1048576,Q$2,FALSE)</f>
        <v>349549.32539999997</v>
      </c>
      <c r="R130" s="325">
        <f>+VLOOKUP($E130,Transports!$1:$1048576,R$2,FALSE)</f>
        <v>355671.92719999998</v>
      </c>
      <c r="S130" s="325">
        <f>+VLOOKUP($E130,Transports!$1:$1048576,S$2,FALSE)</f>
        <v>361930.81599999999</v>
      </c>
      <c r="T130" s="325">
        <f>+VLOOKUP($E130,Transports!$1:$1048576,T$2,FALSE)</f>
        <v>368324.43609999999</v>
      </c>
      <c r="U130" s="325">
        <f>+VLOOKUP($E130,Transports!$1:$1048576,U$2,FALSE)</f>
        <v>374851.94339999999</v>
      </c>
      <c r="V130" s="325">
        <f>+VLOOKUP($E130,Transports!$1:$1048576,V$2,FALSE)</f>
        <v>381513.0306</v>
      </c>
      <c r="W130" s="325">
        <f>+VLOOKUP($E130,Transports!$1:$1048576,W$2,FALSE)</f>
        <v>388307.75079999998</v>
      </c>
      <c r="X130" s="325">
        <f>+VLOOKUP($E130,Transports!$1:$1048576,X$2,FALSE)</f>
        <v>395236.36489999999</v>
      </c>
      <c r="Y130" s="325">
        <f>+VLOOKUP($E130,Transports!$1:$1048576,Y$2,FALSE)</f>
        <v>402299.2279</v>
      </c>
      <c r="Z130" s="325">
        <f>+VLOOKUP($E130,Transports!$1:$1048576,Z$2,FALSE)</f>
        <v>409496.71620000002</v>
      </c>
      <c r="AA130" s="325">
        <f>+VLOOKUP($E130,Transports!$1:$1048576,AA$2,FALSE)</f>
        <v>416829.1923</v>
      </c>
      <c r="AB130" s="325">
        <f>+VLOOKUP($E130,Transports!$1:$1048576,AB$2,FALSE)</f>
        <v>424297.00069999998</v>
      </c>
      <c r="AC130" s="325">
        <f>+VLOOKUP($E130,Transports!$1:$1048576,AC$2,FALSE)</f>
        <v>431900.48469999997</v>
      </c>
      <c r="AD130" s="325">
        <f>+VLOOKUP($E130,Transports!$1:$1048576,AD$2,FALSE)</f>
        <v>439640.01760000002</v>
      </c>
      <c r="AE130" s="325">
        <f>+VLOOKUP($E130,Transports!$1:$1048576,AE$2,FALSE)</f>
        <v>447516.04100000003</v>
      </c>
      <c r="AF130" s="325">
        <f>+VLOOKUP($E130,Transports!$1:$1048576,AF$2,FALSE)</f>
        <v>455529.103</v>
      </c>
      <c r="AG130" s="325">
        <f>+VLOOKUP($E130,Transports!$1:$1048576,AG$2,FALSE)</f>
        <v>463679.89429999999</v>
      </c>
      <c r="AH130" s="325">
        <f>+VLOOKUP($E130,Transports!$1:$1048576,AH$2,FALSE)</f>
        <v>471969.27830000001</v>
      </c>
      <c r="AI130" s="325">
        <f>+VLOOKUP($E130,Transports!$1:$1048576,AI$2,FALSE)</f>
        <v>480398.31359999999</v>
      </c>
      <c r="AJ130" s="325">
        <f>+VLOOKUP($E130,Transports!$1:$1048576,AJ$2,FALSE)</f>
        <v>488968.27010000002</v>
      </c>
      <c r="AK130" s="325">
        <f>+VLOOKUP($E130,Transports!$1:$1048576,AK$2,FALSE)</f>
        <v>497680.63689999998</v>
      </c>
      <c r="AL130" s="325">
        <f>+VLOOKUP($E130,Transports!$1:$1048576,AL$2,FALSE)</f>
        <v>506537.12449999998</v>
      </c>
      <c r="AM130" s="325">
        <f>+VLOOKUP($E130,Transports!$1:$1048576,AM$2,FALSE)</f>
        <v>515539.66230000003</v>
      </c>
      <c r="AN130" s="325">
        <f>+VLOOKUP($E130,Transports!$1:$1048576,AN$2,FALSE)</f>
        <v>524690.39119999995</v>
      </c>
      <c r="AO130" s="325">
        <f>+VLOOKUP($E130,Transports!$1:$1048576,AO$2,FALSE)</f>
        <v>533991.65390000003</v>
      </c>
    </row>
    <row r="131" spans="1:41" ht="15" customHeight="1" x14ac:dyDescent="0.25">
      <c r="A131" s="384"/>
      <c r="B131" s="389"/>
      <c r="C131" s="126" t="s">
        <v>465</v>
      </c>
      <c r="D131" s="126"/>
      <c r="E131" s="48" t="s">
        <v>458</v>
      </c>
      <c r="F131" s="325">
        <f>+VLOOKUP($E131,Transports!$1:$1048576,F$2,FALSE)</f>
        <v>724102.94209999999</v>
      </c>
      <c r="G131" s="325">
        <f>+VLOOKUP($E131,Transports!$1:$1048576,G$2,FALSE)</f>
        <v>715470.96420000005</v>
      </c>
      <c r="H131" s="325">
        <f>+VLOOKUP($E131,Transports!$1:$1048576,H$2,FALSE)</f>
        <v>711264.17420000001</v>
      </c>
      <c r="I131" s="325">
        <f>+VLOOKUP($E131,Transports!$1:$1048576,I$2,FALSE)</f>
        <v>710013.51729999995</v>
      </c>
      <c r="J131" s="325">
        <f>+VLOOKUP($E131,Transports!$1:$1048576,J$2,FALSE)</f>
        <v>710740.20549999992</v>
      </c>
      <c r="K131" s="325">
        <f>+VLOOKUP($E131,Transports!$1:$1048576,K$2,FALSE)</f>
        <v>712802.83059999999</v>
      </c>
      <c r="L131" s="325">
        <f>+VLOOKUP($E131,Transports!$1:$1048576,L$2,FALSE)</f>
        <v>715783.55300000007</v>
      </c>
      <c r="M131" s="325">
        <f>+VLOOKUP($E131,Transports!$1:$1048576,M$2,FALSE)</f>
        <v>719409.00319999992</v>
      </c>
      <c r="N131" s="325">
        <f>+VLOOKUP($E131,Transports!$1:$1048576,N$2,FALSE)</f>
        <v>723497.84840000002</v>
      </c>
      <c r="O131" s="325">
        <f>+VLOOKUP($E131,Transports!$1:$1048576,O$2,FALSE)</f>
        <v>727927.14669999992</v>
      </c>
      <c r="P131" s="325">
        <f>+VLOOKUP($E131,Transports!$1:$1048576,P$2,FALSE)</f>
        <v>732611.2169</v>
      </c>
      <c r="Q131" s="325">
        <f>+VLOOKUP($E131,Transports!$1:$1048576,Q$2,FALSE)</f>
        <v>737488.53029999998</v>
      </c>
      <c r="R131" s="325">
        <f>+VLOOKUP($E131,Transports!$1:$1048576,R$2,FALSE)</f>
        <v>742513.60239999997</v>
      </c>
      <c r="S131" s="325">
        <f>+VLOOKUP($E131,Transports!$1:$1048576,S$2,FALSE)</f>
        <v>747651.94299999997</v>
      </c>
      <c r="T131" s="325">
        <f>+VLOOKUP($E131,Transports!$1:$1048576,T$2,FALSE)</f>
        <v>752876.85309999995</v>
      </c>
      <c r="U131" s="325">
        <f>+VLOOKUP($E131,Transports!$1:$1048576,U$2,FALSE)</f>
        <v>758167.33740000008</v>
      </c>
      <c r="V131" s="325">
        <f>+VLOOKUP($E131,Transports!$1:$1048576,V$2,FALSE)</f>
        <v>763506.69459999993</v>
      </c>
      <c r="W131" s="325">
        <f>+VLOOKUP($E131,Transports!$1:$1048576,W$2,FALSE)</f>
        <v>768881.53280000004</v>
      </c>
      <c r="X131" s="325">
        <f>+VLOOKUP($E131,Transports!$1:$1048576,X$2,FALSE)</f>
        <v>774281.05739999993</v>
      </c>
      <c r="Y131" s="325">
        <f>+VLOOKUP($E131,Transports!$1:$1048576,Y$2,FALSE)</f>
        <v>779696.54409999994</v>
      </c>
      <c r="Z131" s="325">
        <f>+VLOOKUP($E131,Transports!$1:$1048576,Z$2,FALSE)</f>
        <v>785120.94160000002</v>
      </c>
      <c r="AA131" s="325">
        <f>+VLOOKUP($E131,Transports!$1:$1048576,AA$2,FALSE)</f>
        <v>790548.56869999995</v>
      </c>
      <c r="AB131" s="325">
        <f>+VLOOKUP($E131,Transports!$1:$1048576,AB$2,FALSE)</f>
        <v>795974.88120000006</v>
      </c>
      <c r="AC131" s="325">
        <f>+VLOOKUP($E131,Transports!$1:$1048576,AC$2,FALSE)</f>
        <v>801396.29200000002</v>
      </c>
      <c r="AD131" s="325">
        <f>+VLOOKUP($E131,Transports!$1:$1048576,AD$2,FALSE)</f>
        <v>806810.02989999996</v>
      </c>
      <c r="AE131" s="325">
        <f>+VLOOKUP($E131,Transports!$1:$1048576,AE$2,FALSE)</f>
        <v>812214.02650000004</v>
      </c>
      <c r="AF131" s="325">
        <f>+VLOOKUP($E131,Transports!$1:$1048576,AF$2,FALSE)</f>
        <v>817606.82510000002</v>
      </c>
      <c r="AG131" s="325">
        <f>+VLOOKUP($E131,Transports!$1:$1048576,AG$2,FALSE)</f>
        <v>822987.50319999992</v>
      </c>
      <c r="AH131" s="325">
        <f>+VLOOKUP($E131,Transports!$1:$1048576,AH$2,FALSE)</f>
        <v>828355.60679999995</v>
      </c>
      <c r="AI131" s="325">
        <f>+VLOOKUP($E131,Transports!$1:$1048576,AI$2,FALSE)</f>
        <v>833711.09100000001</v>
      </c>
      <c r="AJ131" s="325">
        <f>+VLOOKUP($E131,Transports!$1:$1048576,AJ$2,FALSE)</f>
        <v>839054.26630000002</v>
      </c>
      <c r="AK131" s="325">
        <f>+VLOOKUP($E131,Transports!$1:$1048576,AK$2,FALSE)</f>
        <v>844385.74970000004</v>
      </c>
      <c r="AL131" s="325">
        <f>+VLOOKUP($E131,Transports!$1:$1048576,AL$2,FALSE)</f>
        <v>849706.41840000008</v>
      </c>
      <c r="AM131" s="325">
        <f>+VLOOKUP($E131,Transports!$1:$1048576,AM$2,FALSE)</f>
        <v>855017.3674000001</v>
      </c>
      <c r="AN131" s="325">
        <f>+VLOOKUP($E131,Transports!$1:$1048576,AN$2,FALSE)</f>
        <v>860319.86919999996</v>
      </c>
      <c r="AO131" s="325">
        <f>+VLOOKUP($E131,Transports!$1:$1048576,AO$2,FALSE)</f>
        <v>865615.33759999997</v>
      </c>
    </row>
    <row r="132" spans="1:41" ht="15" customHeight="1" x14ac:dyDescent="0.25">
      <c r="A132" s="384"/>
      <c r="B132" s="389"/>
      <c r="C132" s="126" t="s">
        <v>534</v>
      </c>
      <c r="D132" s="126"/>
      <c r="E132" s="48" t="s">
        <v>459</v>
      </c>
      <c r="F132" s="325">
        <f>+VLOOKUP($E132,Transports!$1:$1048576,F$2,FALSE)</f>
        <v>624600.3419</v>
      </c>
      <c r="G132" s="325">
        <f>+VLOOKUP($E132,Transports!$1:$1048576,G$2,FALSE)</f>
        <v>618939.61120000004</v>
      </c>
      <c r="H132" s="325">
        <f>+VLOOKUP($E132,Transports!$1:$1048576,H$2,FALSE)</f>
        <v>616289.43500000006</v>
      </c>
      <c r="I132" s="325">
        <f>+VLOOKUP($E132,Transports!$1:$1048576,I$2,FALSE)</f>
        <v>615681.22320000001</v>
      </c>
      <c r="J132" s="325">
        <f>+VLOOKUP($E132,Transports!$1:$1048576,J$2,FALSE)</f>
        <v>616451.95389999996</v>
      </c>
      <c r="K132" s="325">
        <f>+VLOOKUP($E132,Transports!$1:$1048576,K$2,FALSE)</f>
        <v>618159.90930000006</v>
      </c>
      <c r="L132" s="325">
        <f>+VLOOKUP($E132,Transports!$1:$1048576,L$2,FALSE)</f>
        <v>620514.29520000005</v>
      </c>
      <c r="M132" s="325">
        <f>+VLOOKUP($E132,Transports!$1:$1048576,M$2,FALSE)</f>
        <v>623323.46100000001</v>
      </c>
      <c r="N132" s="325">
        <f>+VLOOKUP($E132,Transports!$1:$1048576,N$2,FALSE)</f>
        <v>626459.5368</v>
      </c>
      <c r="O132" s="325">
        <f>+VLOOKUP($E132,Transports!$1:$1048576,O$2,FALSE)</f>
        <v>629835.38020000001</v>
      </c>
      <c r="P132" s="325">
        <f>+VLOOKUP($E132,Transports!$1:$1048576,P$2,FALSE)</f>
        <v>633389.97979999997</v>
      </c>
      <c r="Q132" s="325">
        <f>+VLOOKUP($E132,Transports!$1:$1048576,Q$2,FALSE)</f>
        <v>637079.35979999998</v>
      </c>
      <c r="R132" s="325">
        <f>+VLOOKUP($E132,Transports!$1:$1048576,R$2,FALSE)</f>
        <v>640870.9351</v>
      </c>
      <c r="S132" s="325">
        <f>+VLOOKUP($E132,Transports!$1:$1048576,S$2,FALSE)</f>
        <v>644739.98120000004</v>
      </c>
      <c r="T132" s="325">
        <f>+VLOOKUP($E132,Transports!$1:$1048576,T$2,FALSE)</f>
        <v>648667.38100000005</v>
      </c>
      <c r="U132" s="325">
        <f>+VLOOKUP($E132,Transports!$1:$1048576,U$2,FALSE)</f>
        <v>652638.14320000005</v>
      </c>
      <c r="V132" s="325">
        <f>+VLOOKUP($E132,Transports!$1:$1048576,V$2,FALSE)</f>
        <v>656640.39099999995</v>
      </c>
      <c r="W132" s="325">
        <f>+VLOOKUP($E132,Transports!$1:$1048576,W$2,FALSE)</f>
        <v>660664.64899999998</v>
      </c>
      <c r="X132" s="325">
        <f>+VLOOKUP($E132,Transports!$1:$1048576,X$2,FALSE)</f>
        <v>664703.32200000004</v>
      </c>
      <c r="Y132" s="325">
        <f>+VLOOKUP($E132,Transports!$1:$1048576,Y$2,FALSE)</f>
        <v>668750.30799999996</v>
      </c>
      <c r="Z132" s="325">
        <f>+VLOOKUP($E132,Transports!$1:$1048576,Z$2,FALSE)</f>
        <v>672800.70490000001</v>
      </c>
      <c r="AA132" s="325">
        <f>+VLOOKUP($E132,Transports!$1:$1048576,AA$2,FALSE)</f>
        <v>676850.58810000005</v>
      </c>
      <c r="AB132" s="325">
        <f>+VLOOKUP($E132,Transports!$1:$1048576,AB$2,FALSE)</f>
        <v>680896.83929999999</v>
      </c>
      <c r="AC132" s="325">
        <f>+VLOOKUP($E132,Transports!$1:$1048576,AC$2,FALSE)</f>
        <v>684937.01569999999</v>
      </c>
      <c r="AD132" s="325">
        <f>+VLOOKUP($E132,Transports!$1:$1048576,AD$2,FALSE)</f>
        <v>688969.24739999999</v>
      </c>
      <c r="AE132" s="325">
        <f>+VLOOKUP($E132,Transports!$1:$1048576,AE$2,FALSE)</f>
        <v>692992.15709999995</v>
      </c>
      <c r="AF132" s="325">
        <f>+VLOOKUP($E132,Transports!$1:$1048576,AF$2,FALSE)</f>
        <v>697004.7942</v>
      </c>
      <c r="AG132" s="325">
        <f>+VLOOKUP($E132,Transports!$1:$1048576,AG$2,FALSE)</f>
        <v>701006.58039999998</v>
      </c>
      <c r="AH132" s="325">
        <f>+VLOOKUP($E132,Transports!$1:$1048576,AH$2,FALSE)</f>
        <v>704997.26289999997</v>
      </c>
      <c r="AI132" s="325">
        <f>+VLOOKUP($E132,Transports!$1:$1048576,AI$2,FALSE)</f>
        <v>708976.87219999998</v>
      </c>
      <c r="AJ132" s="325">
        <f>+VLOOKUP($E132,Transports!$1:$1048576,AJ$2,FALSE)</f>
        <v>712945.68489999999</v>
      </c>
      <c r="AK132" s="325">
        <f>+VLOOKUP($E132,Transports!$1:$1048576,AK$2,FALSE)</f>
        <v>716904.18790000002</v>
      </c>
      <c r="AL132" s="325">
        <f>+VLOOKUP($E132,Transports!$1:$1048576,AL$2,FALSE)</f>
        <v>720853.0466</v>
      </c>
      <c r="AM132" s="325">
        <f>+VLOOKUP($E132,Transports!$1:$1048576,AM$2,FALSE)</f>
        <v>724793.07429999998</v>
      </c>
      <c r="AN132" s="325">
        <f>+VLOOKUP($E132,Transports!$1:$1048576,AN$2,FALSE)</f>
        <v>728725.20369999995</v>
      </c>
      <c r="AO132" s="325">
        <f>+VLOOKUP($E132,Transports!$1:$1048576,AO$2,FALSE)</f>
        <v>732650.46189999999</v>
      </c>
    </row>
    <row r="133" spans="1:41" ht="15" customHeight="1" x14ac:dyDescent="0.25">
      <c r="A133" s="384"/>
      <c r="B133" s="389"/>
      <c r="C133" s="126"/>
      <c r="D133" s="126" t="s">
        <v>153</v>
      </c>
      <c r="E133" s="48" t="s">
        <v>460</v>
      </c>
      <c r="F133" s="325">
        <f>+VLOOKUP($E133,Transports!$1:$1048576,F$2,FALSE)</f>
        <v>554271.6422</v>
      </c>
      <c r="G133" s="325">
        <f>+VLOOKUP($E133,Transports!$1:$1048576,G$2,FALSE)</f>
        <v>548004.88430000003</v>
      </c>
      <c r="H133" s="325">
        <f>+VLOOKUP($E133,Transports!$1:$1048576,H$2,FALSE)</f>
        <v>544901.18830000004</v>
      </c>
      <c r="I133" s="325">
        <f>+VLOOKUP($E133,Transports!$1:$1048576,I$2,FALSE)</f>
        <v>543910.57479999994</v>
      </c>
      <c r="J133" s="325">
        <f>+VLOOKUP($E133,Transports!$1:$1048576,J$2,FALSE)</f>
        <v>544332.11219999997</v>
      </c>
      <c r="K133" s="325">
        <f>+VLOOKUP($E133,Transports!$1:$1048576,K$2,FALSE)</f>
        <v>545705.99380000005</v>
      </c>
      <c r="L133" s="325">
        <f>+VLOOKUP($E133,Transports!$1:$1048576,L$2,FALSE)</f>
        <v>547732.54890000005</v>
      </c>
      <c r="M133" s="325">
        <f>+VLOOKUP($E133,Transports!$1:$1048576,M$2,FALSE)</f>
        <v>550215.72129999998</v>
      </c>
      <c r="N133" s="325">
        <f>+VLOOKUP($E133,Transports!$1:$1048576,N$2,FALSE)</f>
        <v>553025.51289999997</v>
      </c>
      <c r="O133" s="325">
        <f>+VLOOKUP($E133,Transports!$1:$1048576,O$2,FALSE)</f>
        <v>556073.84849999996</v>
      </c>
      <c r="P133" s="325">
        <f>+VLOOKUP($E133,Transports!$1:$1048576,P$2,FALSE)</f>
        <v>559299.40390000003</v>
      </c>
      <c r="Q133" s="325">
        <f>+VLOOKUP($E133,Transports!$1:$1048576,Q$2,FALSE)</f>
        <v>562658.18850000005</v>
      </c>
      <c r="R133" s="325">
        <f>+VLOOKUP($E133,Transports!$1:$1048576,R$2,FALSE)</f>
        <v>566117.71869999997</v>
      </c>
      <c r="S133" s="325">
        <f>+VLOOKUP($E133,Transports!$1:$1048576,S$2,FALSE)</f>
        <v>569653.39020000002</v>
      </c>
      <c r="T133" s="325">
        <f>+VLOOKUP($E133,Transports!$1:$1048576,T$2,FALSE)</f>
        <v>573246.17810000002</v>
      </c>
      <c r="U133" s="325">
        <f>+VLOOKUP($E133,Transports!$1:$1048576,U$2,FALSE)</f>
        <v>576881.14040000003</v>
      </c>
      <c r="V133" s="325">
        <f>+VLOOKUP($E133,Transports!$1:$1048576,V$2,FALSE)</f>
        <v>580546.40819999995</v>
      </c>
      <c r="W133" s="325">
        <f>+VLOOKUP($E133,Transports!$1:$1048576,W$2,FALSE)</f>
        <v>584232.48140000005</v>
      </c>
      <c r="X133" s="325">
        <f>+VLOOKUP($E133,Transports!$1:$1048576,X$2,FALSE)</f>
        <v>587931.71959999995</v>
      </c>
      <c r="Y133" s="325">
        <f>+VLOOKUP($E133,Transports!$1:$1048576,Y$2,FALSE)</f>
        <v>591637.96519999998</v>
      </c>
      <c r="Z133" s="325">
        <f>+VLOOKUP($E133,Transports!$1:$1048576,Z$2,FALSE)</f>
        <v>595346.25890000002</v>
      </c>
      <c r="AA133" s="325">
        <f>+VLOOKUP($E133,Transports!$1:$1048576,AA$2,FALSE)</f>
        <v>599052.62199999997</v>
      </c>
      <c r="AB133" s="325">
        <f>+VLOOKUP($E133,Transports!$1:$1048576,AB$2,FALSE)</f>
        <v>602753.88890000002</v>
      </c>
      <c r="AC133" s="325">
        <f>+VLOOKUP($E133,Transports!$1:$1048576,AC$2,FALSE)</f>
        <v>606447.57700000005</v>
      </c>
      <c r="AD133" s="325">
        <f>+VLOOKUP($E133,Transports!$1:$1048576,AD$2,FALSE)</f>
        <v>610131.78419999999</v>
      </c>
      <c r="AE133" s="325">
        <f>+VLOOKUP($E133,Transports!$1:$1048576,AE$2,FALSE)</f>
        <v>613805.10640000005</v>
      </c>
      <c r="AF133" s="325">
        <f>+VLOOKUP($E133,Transports!$1:$1048576,AF$2,FALSE)</f>
        <v>617466.57149999996</v>
      </c>
      <c r="AG133" s="325">
        <f>+VLOOKUP($E133,Transports!$1:$1048576,AG$2,FALSE)</f>
        <v>621115.58239999996</v>
      </c>
      <c r="AH133" s="325">
        <f>+VLOOKUP($E133,Transports!$1:$1048576,AH$2,FALSE)</f>
        <v>624751.86930000002</v>
      </c>
      <c r="AI133" s="325">
        <f>+VLOOKUP($E133,Transports!$1:$1048576,AI$2,FALSE)</f>
        <v>628375.44669999997</v>
      </c>
      <c r="AJ133" s="325">
        <f>+VLOOKUP($E133,Transports!$1:$1048576,AJ$2,FALSE)</f>
        <v>631986.57440000004</v>
      </c>
      <c r="AK133" s="325">
        <f>+VLOOKUP($E133,Transports!$1:$1048576,AK$2,FALSE)</f>
        <v>635585.72259999998</v>
      </c>
      <c r="AL133" s="325">
        <f>+VLOOKUP($E133,Transports!$1:$1048576,AL$2,FALSE)</f>
        <v>639173.53870000003</v>
      </c>
      <c r="AM133" s="325">
        <f>+VLOOKUP($E133,Transports!$1:$1048576,AM$2,FALSE)</f>
        <v>642750.81740000006</v>
      </c>
      <c r="AN133" s="325">
        <f>+VLOOKUP($E133,Transports!$1:$1048576,AN$2,FALSE)</f>
        <v>646318.47199999995</v>
      </c>
      <c r="AO133" s="325">
        <f>+VLOOKUP($E133,Transports!$1:$1048576,AO$2,FALSE)</f>
        <v>649877.50930000003</v>
      </c>
    </row>
    <row r="134" spans="1:41" ht="15" customHeight="1" x14ac:dyDescent="0.25">
      <c r="A134" s="384"/>
      <c r="B134" s="389"/>
      <c r="C134" s="126"/>
      <c r="D134" s="126" t="s">
        <v>154</v>
      </c>
      <c r="E134" s="48" t="s">
        <v>461</v>
      </c>
      <c r="F134" s="325">
        <f>+VLOOKUP($E134,Transports!$1:$1048576,F$2,FALSE)</f>
        <v>70328.699649999995</v>
      </c>
      <c r="G134" s="325">
        <f>+VLOOKUP($E134,Transports!$1:$1048576,G$2,FALSE)</f>
        <v>70323.208249999996</v>
      </c>
      <c r="H134" s="325">
        <f>+VLOOKUP($E134,Transports!$1:$1048576,H$2,FALSE)</f>
        <v>70428.442630000005</v>
      </c>
      <c r="I134" s="325">
        <f>+VLOOKUP($E134,Transports!$1:$1048576,I$2,FALSE)</f>
        <v>70610.468630000003</v>
      </c>
      <c r="J134" s="325">
        <f>+VLOOKUP($E134,Transports!$1:$1048576,J$2,FALSE)</f>
        <v>70845.981490000006</v>
      </c>
      <c r="K134" s="325">
        <f>+VLOOKUP($E134,Transports!$1:$1048576,K$2,FALSE)</f>
        <v>71119.360780000003</v>
      </c>
      <c r="L134" s="325">
        <f>+VLOOKUP($E134,Transports!$1:$1048576,L$2,FALSE)</f>
        <v>71420.207190000001</v>
      </c>
      <c r="M134" s="325">
        <f>+VLOOKUP($E134,Transports!$1:$1048576,M$2,FALSE)</f>
        <v>71741.510139999999</v>
      </c>
      <c r="N134" s="325">
        <f>+VLOOKUP($E134,Transports!$1:$1048576,N$2,FALSE)</f>
        <v>72078.410480000006</v>
      </c>
      <c r="O134" s="325">
        <f>+VLOOKUP($E134,Transports!$1:$1048576,O$2,FALSE)</f>
        <v>72427.420570000002</v>
      </c>
      <c r="P134" s="325">
        <f>+VLOOKUP($E134,Transports!$1:$1048576,P$2,FALSE)</f>
        <v>72785.952990000005</v>
      </c>
      <c r="Q134" s="325">
        <f>+VLOOKUP($E134,Transports!$1:$1048576,Q$2,FALSE)</f>
        <v>73152.039210000003</v>
      </c>
      <c r="R134" s="325">
        <f>+VLOOKUP($E134,Transports!$1:$1048576,R$2,FALSE)</f>
        <v>73524.157879999999</v>
      </c>
      <c r="S134" s="325">
        <f>+VLOOKUP($E134,Transports!$1:$1048576,S$2,FALSE)</f>
        <v>73901.124209999994</v>
      </c>
      <c r="T134" s="325">
        <f>+VLOOKUP($E134,Transports!$1:$1048576,T$2,FALSE)</f>
        <v>74282.012549999999</v>
      </c>
      <c r="U134" s="325">
        <f>+VLOOKUP($E134,Transports!$1:$1048576,U$2,FALSE)</f>
        <v>74666.098540000006</v>
      </c>
      <c r="V134" s="325">
        <f>+VLOOKUP($E134,Transports!$1:$1048576,V$2,FALSE)</f>
        <v>75052.813810000007</v>
      </c>
      <c r="W134" s="325">
        <f>+VLOOKUP($E134,Transports!$1:$1048576,W$2,FALSE)</f>
        <v>75441.709959999993</v>
      </c>
      <c r="X134" s="325">
        <f>+VLOOKUP($E134,Transports!$1:$1048576,X$2,FALSE)</f>
        <v>75832.430250000005</v>
      </c>
      <c r="Y134" s="325">
        <f>+VLOOKUP($E134,Transports!$1:$1048576,Y$2,FALSE)</f>
        <v>76224.687680000003</v>
      </c>
      <c r="Z134" s="325">
        <f>+VLOOKUP($E134,Transports!$1:$1048576,Z$2,FALSE)</f>
        <v>76618.248619999998</v>
      </c>
      <c r="AA134" s="325">
        <f>+VLOOKUP($E134,Transports!$1:$1048576,AA$2,FALSE)</f>
        <v>77012.920989999999</v>
      </c>
      <c r="AB134" s="325">
        <f>+VLOOKUP($E134,Transports!$1:$1048576,AB$2,FALSE)</f>
        <v>77408.546000000002</v>
      </c>
      <c r="AC134" s="325">
        <f>+VLOOKUP($E134,Transports!$1:$1048576,AC$2,FALSE)</f>
        <v>77804.992589999994</v>
      </c>
      <c r="AD134" s="325">
        <f>+VLOOKUP($E134,Transports!$1:$1048576,AD$2,FALSE)</f>
        <v>78202.153720000002</v>
      </c>
      <c r="AE134" s="325">
        <f>+VLOOKUP($E134,Transports!$1:$1048576,AE$2,FALSE)</f>
        <v>78599.943920000005</v>
      </c>
      <c r="AF134" s="325">
        <f>+VLOOKUP($E134,Transports!$1:$1048576,AF$2,FALSE)</f>
        <v>78998.297560000006</v>
      </c>
      <c r="AG134" s="325">
        <f>+VLOOKUP($E134,Transports!$1:$1048576,AG$2,FALSE)</f>
        <v>79397.16747</v>
      </c>
      <c r="AH134" s="325">
        <f>+VLOOKUP($E134,Transports!$1:$1048576,AH$2,FALSE)</f>
        <v>79796.523700000005</v>
      </c>
      <c r="AI134" s="325">
        <f>+VLOOKUP($E134,Transports!$1:$1048576,AI$2,FALSE)</f>
        <v>80196.352270000003</v>
      </c>
      <c r="AJ134" s="325">
        <f>+VLOOKUP($E134,Transports!$1:$1048576,AJ$2,FALSE)</f>
        <v>80596.653820000007</v>
      </c>
      <c r="AK134" s="325">
        <f>+VLOOKUP($E134,Transports!$1:$1048576,AK$2,FALSE)</f>
        <v>80997.442150000003</v>
      </c>
      <c r="AL134" s="325">
        <f>+VLOOKUP($E134,Transports!$1:$1048576,AL$2,FALSE)</f>
        <v>81398.742719999995</v>
      </c>
      <c r="AM134" s="325">
        <f>+VLOOKUP($E134,Transports!$1:$1048576,AM$2,FALSE)</f>
        <v>81800.591079999998</v>
      </c>
      <c r="AN134" s="325">
        <f>+VLOOKUP($E134,Transports!$1:$1048576,AN$2,FALSE)</f>
        <v>82203.031289999999</v>
      </c>
      <c r="AO134" s="325">
        <f>+VLOOKUP($E134,Transports!$1:$1048576,AO$2,FALSE)</f>
        <v>82606.114419999998</v>
      </c>
    </row>
    <row r="135" spans="1:41" ht="15" customHeight="1" x14ac:dyDescent="0.25">
      <c r="A135" s="384"/>
      <c r="B135" s="389"/>
      <c r="C135" s="126" t="s">
        <v>535</v>
      </c>
      <c r="D135" s="126"/>
      <c r="E135" s="48" t="s">
        <v>462</v>
      </c>
      <c r="F135" s="325">
        <f>+VLOOKUP($E135,Transports!$1:$1048576,F$2,FALSE)</f>
        <v>275159.80609999999</v>
      </c>
      <c r="G135" s="325">
        <f>+VLOOKUP($E135,Transports!$1:$1048576,G$2,FALSE)</f>
        <v>270850.2463</v>
      </c>
      <c r="H135" s="325">
        <f>+VLOOKUP($E135,Transports!$1:$1048576,H$2,FALSE)</f>
        <v>268774.07169999997</v>
      </c>
      <c r="I135" s="325">
        <f>+VLOOKUP($E135,Transports!$1:$1048576,I$2,FALSE)</f>
        <v>268178.57520000002</v>
      </c>
      <c r="J135" s="325">
        <f>+VLOOKUP($E135,Transports!$1:$1048576,J$2,FALSE)</f>
        <v>268570.46889999998</v>
      </c>
      <c r="K135" s="325">
        <f>+VLOOKUP($E135,Transports!$1:$1048576,K$2,FALSE)</f>
        <v>269629.71960000001</v>
      </c>
      <c r="L135" s="325">
        <f>+VLOOKUP($E135,Transports!$1:$1048576,L$2,FALSE)</f>
        <v>271149.10080000001</v>
      </c>
      <c r="M135" s="325">
        <f>+VLOOKUP($E135,Transports!$1:$1048576,M$2,FALSE)</f>
        <v>272993.52980000002</v>
      </c>
      <c r="N135" s="325">
        <f>+VLOOKUP($E135,Transports!$1:$1048576,N$2,FALSE)</f>
        <v>275073.60190000001</v>
      </c>
      <c r="O135" s="325">
        <f>+VLOOKUP($E135,Transports!$1:$1048576,O$2,FALSE)</f>
        <v>277328.78029999998</v>
      </c>
      <c r="P135" s="325">
        <f>+VLOOKUP($E135,Transports!$1:$1048576,P$2,FALSE)</f>
        <v>279716.90110000002</v>
      </c>
      <c r="Q135" s="325">
        <f>+VLOOKUP($E135,Transports!$1:$1048576,Q$2,FALSE)</f>
        <v>282207.6827</v>
      </c>
      <c r="R135" s="325">
        <f>+VLOOKUP($E135,Transports!$1:$1048576,R$2,FALSE)</f>
        <v>284778.71970000002</v>
      </c>
      <c r="S135" s="325">
        <f>+VLOOKUP($E135,Transports!$1:$1048576,S$2,FALSE)</f>
        <v>287412.99119999999</v>
      </c>
      <c r="T135" s="325">
        <f>+VLOOKUP($E135,Transports!$1:$1048576,T$2,FALSE)</f>
        <v>290097.28389999998</v>
      </c>
      <c r="U135" s="325">
        <f>+VLOOKUP($E135,Transports!$1:$1048576,U$2,FALSE)</f>
        <v>292821.16639999999</v>
      </c>
      <c r="V135" s="325">
        <f>+VLOOKUP($E135,Transports!$1:$1048576,V$2,FALSE)</f>
        <v>295576.2991</v>
      </c>
      <c r="W135" s="325">
        <f>+VLOOKUP($E135,Transports!$1:$1048576,W$2,FALSE)</f>
        <v>298355.95409999997</v>
      </c>
      <c r="X135" s="325">
        <f>+VLOOKUP($E135,Transports!$1:$1048576,X$2,FALSE)</f>
        <v>301154.66859999998</v>
      </c>
      <c r="Y135" s="325">
        <f>+VLOOKUP($E135,Transports!$1:$1048576,Y$2,FALSE)</f>
        <v>303967.99050000001</v>
      </c>
      <c r="Z135" s="325">
        <f>+VLOOKUP($E135,Transports!$1:$1048576,Z$2,FALSE)</f>
        <v>306792.28629999998</v>
      </c>
      <c r="AA135" s="325">
        <f>+VLOOKUP($E135,Transports!$1:$1048576,AA$2,FALSE)</f>
        <v>309624.59539999999</v>
      </c>
      <c r="AB135" s="325">
        <f>+VLOOKUP($E135,Transports!$1:$1048576,AB$2,FALSE)</f>
        <v>312462.51929999999</v>
      </c>
      <c r="AC135" s="325">
        <f>+VLOOKUP($E135,Transports!$1:$1048576,AC$2,FALSE)</f>
        <v>315304.13540000003</v>
      </c>
      <c r="AD135" s="325">
        <f>+VLOOKUP($E135,Transports!$1:$1048576,AD$2,FALSE)</f>
        <v>318147.92969999998</v>
      </c>
      <c r="AE135" s="325">
        <f>+VLOOKUP($E135,Transports!$1:$1048576,AE$2,FALSE)</f>
        <v>320992.74369999999</v>
      </c>
      <c r="AF135" s="325">
        <f>+VLOOKUP($E135,Transports!$1:$1048576,AF$2,FALSE)</f>
        <v>323837.73109999998</v>
      </c>
      <c r="AG135" s="325">
        <f>+VLOOKUP($E135,Transports!$1:$1048576,AG$2,FALSE)</f>
        <v>326682.32089999999</v>
      </c>
      <c r="AH135" s="325">
        <f>+VLOOKUP($E135,Transports!$1:$1048576,AH$2,FALSE)</f>
        <v>329526.1862</v>
      </c>
      <c r="AI135" s="325">
        <f>+VLOOKUP($E135,Transports!$1:$1048576,AI$2,FALSE)</f>
        <v>332369.2156</v>
      </c>
      <c r="AJ135" s="325">
        <f>+VLOOKUP($E135,Transports!$1:$1048576,AJ$2,FALSE)</f>
        <v>335211.48749999999</v>
      </c>
      <c r="AK135" s="325">
        <f>+VLOOKUP($E135,Transports!$1:$1048576,AK$2,FALSE)</f>
        <v>338053.24550000002</v>
      </c>
      <c r="AL135" s="325">
        <f>+VLOOKUP($E135,Transports!$1:$1048576,AL$2,FALSE)</f>
        <v>340894.87589999998</v>
      </c>
      <c r="AM135" s="325">
        <f>+VLOOKUP($E135,Transports!$1:$1048576,AM$2,FALSE)</f>
        <v>343736.886</v>
      </c>
      <c r="AN135" s="325">
        <f>+VLOOKUP($E135,Transports!$1:$1048576,AN$2,FALSE)</f>
        <v>346579.88439999998</v>
      </c>
      <c r="AO135" s="325">
        <f>+VLOOKUP($E135,Transports!$1:$1048576,AO$2,FALSE)</f>
        <v>349424.56170000002</v>
      </c>
    </row>
    <row r="136" spans="1:41" ht="15" customHeight="1" x14ac:dyDescent="0.25">
      <c r="A136" s="384"/>
      <c r="B136" s="389"/>
      <c r="C136" s="126"/>
      <c r="D136" s="126" t="s">
        <v>155</v>
      </c>
      <c r="E136" s="48" t="s">
        <v>463</v>
      </c>
      <c r="F136" s="325">
        <f>+VLOOKUP($E136,Transports!$1:$1048576,F$2,FALSE)</f>
        <v>169831.29990000001</v>
      </c>
      <c r="G136" s="325">
        <f>+VLOOKUP($E136,Transports!$1:$1048576,G$2,FALSE)</f>
        <v>167466.07990000001</v>
      </c>
      <c r="H136" s="325">
        <f>+VLOOKUP($E136,Transports!$1:$1048576,H$2,FALSE)</f>
        <v>166362.9859</v>
      </c>
      <c r="I136" s="325">
        <f>+VLOOKUP($E136,Transports!$1:$1048576,I$2,FALSE)</f>
        <v>166102.9425</v>
      </c>
      <c r="J136" s="325">
        <f>+VLOOKUP($E136,Transports!$1:$1048576,J$2,FALSE)</f>
        <v>166408.09330000001</v>
      </c>
      <c r="K136" s="325">
        <f>+VLOOKUP($E136,Transports!$1:$1048576,K$2,FALSE)</f>
        <v>167096.83679999999</v>
      </c>
      <c r="L136" s="325">
        <f>+VLOOKUP($E136,Transports!$1:$1048576,L$2,FALSE)</f>
        <v>168051.00409999999</v>
      </c>
      <c r="M136" s="325">
        <f>+VLOOKUP($E136,Transports!$1:$1048576,M$2,FALSE)</f>
        <v>169193.2819</v>
      </c>
      <c r="N136" s="325">
        <f>+VLOOKUP($E136,Transports!$1:$1048576,N$2,FALSE)</f>
        <v>170472.33549999999</v>
      </c>
      <c r="O136" s="325">
        <f>+VLOOKUP($E136,Transports!$1:$1048576,O$2,FALSE)</f>
        <v>171853.29819999999</v>
      </c>
      <c r="P136" s="325">
        <f>+VLOOKUP($E136,Transports!$1:$1048576,P$2,FALSE)</f>
        <v>173311.81299999999</v>
      </c>
      <c r="Q136" s="325">
        <f>+VLOOKUP($E136,Transports!$1:$1048576,Q$2,FALSE)</f>
        <v>174830.34179999999</v>
      </c>
      <c r="R136" s="325">
        <f>+VLOOKUP($E136,Transports!$1:$1048576,R$2,FALSE)</f>
        <v>176395.88370000001</v>
      </c>
      <c r="S136" s="325">
        <f>+VLOOKUP($E136,Transports!$1:$1048576,S$2,FALSE)</f>
        <v>177998.5528</v>
      </c>
      <c r="T136" s="325">
        <f>+VLOOKUP($E136,Transports!$1:$1048576,T$2,FALSE)</f>
        <v>179630.67499999999</v>
      </c>
      <c r="U136" s="325">
        <f>+VLOOKUP($E136,Transports!$1:$1048576,U$2,FALSE)</f>
        <v>181286.19699999999</v>
      </c>
      <c r="V136" s="325">
        <f>+VLOOKUP($E136,Transports!$1:$1048576,V$2,FALSE)</f>
        <v>182960.28640000001</v>
      </c>
      <c r="W136" s="325">
        <f>+VLOOKUP($E136,Transports!$1:$1048576,W$2,FALSE)</f>
        <v>184649.0514</v>
      </c>
      <c r="X136" s="325">
        <f>+VLOOKUP($E136,Transports!$1:$1048576,X$2,FALSE)</f>
        <v>186349.33780000001</v>
      </c>
      <c r="Y136" s="325">
        <f>+VLOOKUP($E136,Transports!$1:$1048576,Y$2,FALSE)</f>
        <v>188058.57889999999</v>
      </c>
      <c r="Z136" s="325">
        <f>+VLOOKUP($E136,Transports!$1:$1048576,Z$2,FALSE)</f>
        <v>189774.6827</v>
      </c>
      <c r="AA136" s="325">
        <f>+VLOOKUP($E136,Transports!$1:$1048576,AA$2,FALSE)</f>
        <v>191495.9467</v>
      </c>
      <c r="AB136" s="325">
        <f>+VLOOKUP($E136,Transports!$1:$1048576,AB$2,FALSE)</f>
        <v>193220.99230000001</v>
      </c>
      <c r="AC136" s="325">
        <f>+VLOOKUP($E136,Transports!$1:$1048576,AC$2,FALSE)</f>
        <v>194948.715</v>
      </c>
      <c r="AD136" s="325">
        <f>+VLOOKUP($E136,Transports!$1:$1048576,AD$2,FALSE)</f>
        <v>196678.2457</v>
      </c>
      <c r="AE136" s="325">
        <f>+VLOOKUP($E136,Transports!$1:$1048576,AE$2,FALSE)</f>
        <v>198408.92009999999</v>
      </c>
      <c r="AF136" s="325">
        <f>+VLOOKUP($E136,Transports!$1:$1048576,AF$2,FALSE)</f>
        <v>200140.2536</v>
      </c>
      <c r="AG136" s="325">
        <f>+VLOOKUP($E136,Transports!$1:$1048576,AG$2,FALSE)</f>
        <v>201871.92079999999</v>
      </c>
      <c r="AH136" s="325">
        <f>+VLOOKUP($E136,Transports!$1:$1048576,AH$2,FALSE)</f>
        <v>203603.73749999999</v>
      </c>
      <c r="AI136" s="325">
        <f>+VLOOKUP($E136,Transports!$1:$1048576,AI$2,FALSE)</f>
        <v>205335.64430000001</v>
      </c>
      <c r="AJ136" s="325">
        <f>+VLOOKUP($E136,Transports!$1:$1048576,AJ$2,FALSE)</f>
        <v>207067.69190000001</v>
      </c>
      <c r="AK136" s="325">
        <f>+VLOOKUP($E136,Transports!$1:$1048576,AK$2,FALSE)</f>
        <v>208800.02710000001</v>
      </c>
      <c r="AL136" s="325">
        <f>+VLOOKUP($E136,Transports!$1:$1048576,AL$2,FALSE)</f>
        <v>210532.87969999999</v>
      </c>
      <c r="AM136" s="325">
        <f>+VLOOKUP($E136,Transports!$1:$1048576,AM$2,FALSE)</f>
        <v>212266.55</v>
      </c>
      <c r="AN136" s="325">
        <f>+VLOOKUP($E136,Transports!$1:$1048576,AN$2,FALSE)</f>
        <v>214001.39720000001</v>
      </c>
      <c r="AO136" s="325">
        <f>+VLOOKUP($E136,Transports!$1:$1048576,AO$2,FALSE)</f>
        <v>215737.82829999999</v>
      </c>
    </row>
    <row r="137" spans="1:41" ht="15" customHeight="1" x14ac:dyDescent="0.25">
      <c r="A137" s="385"/>
      <c r="B137" s="390"/>
      <c r="C137" s="127"/>
      <c r="D137" s="127" t="s">
        <v>536</v>
      </c>
      <c r="E137" s="49" t="s">
        <v>464</v>
      </c>
      <c r="F137" s="326">
        <f>+VLOOKUP($E137,Transports!$1:$1048576,F$2,FALSE)</f>
        <v>105328.5062</v>
      </c>
      <c r="G137" s="326">
        <f>+VLOOKUP($E137,Transports!$1:$1048576,G$2,FALSE)</f>
        <v>106459.9066</v>
      </c>
      <c r="H137" s="326">
        <f>+VLOOKUP($E137,Transports!$1:$1048576,H$2,FALSE)</f>
        <v>107439.18580000001</v>
      </c>
      <c r="I137" s="326">
        <f>+VLOOKUP($E137,Transports!$1:$1048576,I$2,FALSE)</f>
        <v>108316.2608</v>
      </c>
      <c r="J137" s="326">
        <f>+VLOOKUP($E137,Transports!$1:$1048576,J$2,FALSE)</f>
        <v>109128.7254</v>
      </c>
      <c r="K137" s="326">
        <f>+VLOOKUP($E137,Transports!$1:$1048576,K$2,FALSE)</f>
        <v>109902.8466</v>
      </c>
      <c r="L137" s="326">
        <f>+VLOOKUP($E137,Transports!$1:$1048576,L$2,FALSE)</f>
        <v>110656.1265</v>
      </c>
      <c r="M137" s="326">
        <f>+VLOOKUP($E137,Transports!$1:$1048576,M$2,FALSE)</f>
        <v>111399.75569999999</v>
      </c>
      <c r="N137" s="326">
        <f>+VLOOKUP($E137,Transports!$1:$1048576,N$2,FALSE)</f>
        <v>112140.5931</v>
      </c>
      <c r="O137" s="326">
        <f>+VLOOKUP($E137,Transports!$1:$1048576,O$2,FALSE)</f>
        <v>112882.6581</v>
      </c>
      <c r="P137" s="326">
        <f>+VLOOKUP($E137,Transports!$1:$1048576,P$2,FALSE)</f>
        <v>113628.20299999999</v>
      </c>
      <c r="Q137" s="326">
        <f>+VLOOKUP($E137,Transports!$1:$1048576,Q$2,FALSE)</f>
        <v>114378.4454</v>
      </c>
      <c r="R137" s="326">
        <f>+VLOOKUP($E137,Transports!$1:$1048576,R$2,FALSE)</f>
        <v>115134.0402</v>
      </c>
      <c r="S137" s="326">
        <f>+VLOOKUP($E137,Transports!$1:$1048576,S$2,FALSE)</f>
        <v>115895.36350000001</v>
      </c>
      <c r="T137" s="326">
        <f>+VLOOKUP($E137,Transports!$1:$1048576,T$2,FALSE)</f>
        <v>116662.6682</v>
      </c>
      <c r="U137" s="326">
        <f>+VLOOKUP($E137,Transports!$1:$1048576,U$2,FALSE)</f>
        <v>117436.1584</v>
      </c>
      <c r="V137" s="326">
        <f>+VLOOKUP($E137,Transports!$1:$1048576,V$2,FALSE)</f>
        <v>118216.0166</v>
      </c>
      <c r="W137" s="326">
        <f>+VLOOKUP($E137,Transports!$1:$1048576,W$2,FALSE)</f>
        <v>119002.40730000001</v>
      </c>
      <c r="X137" s="326">
        <f>+VLOOKUP($E137,Transports!$1:$1048576,X$2,FALSE)</f>
        <v>119795.4715</v>
      </c>
      <c r="Y137" s="326">
        <f>+VLOOKUP($E137,Transports!$1:$1048576,Y$2,FALSE)</f>
        <v>120595.31879999999</v>
      </c>
      <c r="Z137" s="326">
        <f>+VLOOKUP($E137,Transports!$1:$1048576,Z$2,FALSE)</f>
        <v>121402.0232</v>
      </c>
      <c r="AA137" s="326">
        <f>+VLOOKUP($E137,Transports!$1:$1048576,AA$2,FALSE)</f>
        <v>122215.62209999999</v>
      </c>
      <c r="AB137" s="326">
        <f>+VLOOKUP($E137,Transports!$1:$1048576,AB$2,FALSE)</f>
        <v>123036.1188</v>
      </c>
      <c r="AC137" s="326">
        <f>+VLOOKUP($E137,Transports!$1:$1048576,AC$2,FALSE)</f>
        <v>123863.4883</v>
      </c>
      <c r="AD137" s="326">
        <f>+VLOOKUP($E137,Transports!$1:$1048576,AD$2,FALSE)</f>
        <v>124697.68369999999</v>
      </c>
      <c r="AE137" s="326">
        <f>+VLOOKUP($E137,Transports!$1:$1048576,AE$2,FALSE)</f>
        <v>125538.6441</v>
      </c>
      <c r="AF137" s="326">
        <f>+VLOOKUP($E137,Transports!$1:$1048576,AF$2,FALSE)</f>
        <v>126386.3012</v>
      </c>
      <c r="AG137" s="326">
        <f>+VLOOKUP($E137,Transports!$1:$1048576,AG$2,FALSE)</f>
        <v>127240.5858</v>
      </c>
      <c r="AH137" s="326">
        <f>+VLOOKUP($E137,Transports!$1:$1048576,AH$2,FALSE)</f>
        <v>128101.4329</v>
      </c>
      <c r="AI137" s="326">
        <f>+VLOOKUP($E137,Transports!$1:$1048576,AI$2,FALSE)</f>
        <v>128968.7853</v>
      </c>
      <c r="AJ137" s="326">
        <f>+VLOOKUP($E137,Transports!$1:$1048576,AJ$2,FALSE)</f>
        <v>129842.5966</v>
      </c>
      <c r="AK137" s="326">
        <f>+VLOOKUP($E137,Transports!$1:$1048576,AK$2,FALSE)</f>
        <v>130722.83229999999</v>
      </c>
      <c r="AL137" s="326">
        <f>+VLOOKUP($E137,Transports!$1:$1048576,AL$2,FALSE)</f>
        <v>131609.47029999999</v>
      </c>
      <c r="AM137" s="326">
        <f>+VLOOKUP($E137,Transports!$1:$1048576,AM$2,FALSE)</f>
        <v>132502.50159999999</v>
      </c>
      <c r="AN137" s="326">
        <f>+VLOOKUP($E137,Transports!$1:$1048576,AN$2,FALSE)</f>
        <v>133401.929</v>
      </c>
      <c r="AO137" s="326">
        <f>+VLOOKUP($E137,Transports!$1:$1048576,AO$2,FALSE)</f>
        <v>134307.76620000001</v>
      </c>
    </row>
    <row r="138" spans="1:41" s="331" customFormat="1" ht="15" customHeight="1" x14ac:dyDescent="0.25">
      <c r="A138" s="391" t="s">
        <v>577</v>
      </c>
      <c r="B138" s="387" t="s">
        <v>545</v>
      </c>
      <c r="C138" s="328" t="s">
        <v>550</v>
      </c>
      <c r="D138" s="329"/>
      <c r="E138" s="330"/>
      <c r="F138" s="327">
        <f>SUM(F139:F140)</f>
        <v>1</v>
      </c>
      <c r="G138" s="327">
        <f t="shared" ref="G138:N138" si="0">SUM(G139:G140)</f>
        <v>1</v>
      </c>
      <c r="H138" s="327">
        <f t="shared" si="0"/>
        <v>1</v>
      </c>
      <c r="I138" s="327">
        <f t="shared" si="0"/>
        <v>1</v>
      </c>
      <c r="J138" s="327">
        <f t="shared" si="0"/>
        <v>1</v>
      </c>
      <c r="K138" s="327">
        <f t="shared" si="0"/>
        <v>1</v>
      </c>
      <c r="L138" s="327">
        <f t="shared" si="0"/>
        <v>1</v>
      </c>
      <c r="M138" s="327">
        <f t="shared" si="0"/>
        <v>1</v>
      </c>
      <c r="N138" s="327">
        <f t="shared" si="0"/>
        <v>1</v>
      </c>
      <c r="O138" s="327">
        <f t="shared" ref="O138" si="1">SUM(O139:O140)</f>
        <v>1</v>
      </c>
      <c r="P138" s="327">
        <f t="shared" ref="P138" si="2">SUM(P139:P140)</f>
        <v>1</v>
      </c>
      <c r="Q138" s="327">
        <f t="shared" ref="Q138" si="3">SUM(Q139:Q140)</f>
        <v>1</v>
      </c>
      <c r="R138" s="327">
        <f t="shared" ref="R138" si="4">SUM(R139:R140)</f>
        <v>1</v>
      </c>
      <c r="S138" s="327">
        <f t="shared" ref="S138" si="5">SUM(S139:S140)</f>
        <v>1</v>
      </c>
      <c r="T138" s="327">
        <f t="shared" ref="T138" si="6">SUM(T139:T140)</f>
        <v>1</v>
      </c>
      <c r="U138" s="327">
        <f t="shared" ref="U138" si="7">SUM(U139:U140)</f>
        <v>1</v>
      </c>
      <c r="V138" s="327">
        <f t="shared" ref="V138" si="8">SUM(V139:V140)</f>
        <v>1</v>
      </c>
      <c r="W138" s="327">
        <f t="shared" ref="W138" si="9">SUM(W139:W140)</f>
        <v>1</v>
      </c>
      <c r="X138" s="327">
        <f t="shared" ref="X138" si="10">SUM(X139:X140)</f>
        <v>1</v>
      </c>
      <c r="Y138" s="327">
        <f t="shared" ref="Y138" si="11">SUM(Y139:Y140)</f>
        <v>1</v>
      </c>
      <c r="Z138" s="327">
        <f t="shared" ref="Z138" si="12">SUM(Z139:Z140)</f>
        <v>1</v>
      </c>
      <c r="AA138" s="327">
        <f t="shared" ref="AA138" si="13">SUM(AA139:AA140)</f>
        <v>1</v>
      </c>
      <c r="AB138" s="327">
        <f t="shared" ref="AB138" si="14">SUM(AB139:AB140)</f>
        <v>1</v>
      </c>
      <c r="AC138" s="327">
        <f t="shared" ref="AC138" si="15">SUM(AC139:AC140)</f>
        <v>1</v>
      </c>
      <c r="AD138" s="327">
        <f t="shared" ref="AD138" si="16">SUM(AD139:AD140)</f>
        <v>1</v>
      </c>
      <c r="AE138" s="327">
        <f t="shared" ref="AE138" si="17">SUM(AE139:AE140)</f>
        <v>1</v>
      </c>
      <c r="AF138" s="327">
        <f t="shared" ref="AF138" si="18">SUM(AF139:AF140)</f>
        <v>1</v>
      </c>
      <c r="AG138" s="327">
        <f t="shared" ref="AG138" si="19">SUM(AG139:AG140)</f>
        <v>1</v>
      </c>
      <c r="AH138" s="327">
        <f t="shared" ref="AH138" si="20">SUM(AH139:AH140)</f>
        <v>1</v>
      </c>
      <c r="AI138" s="327">
        <f t="shared" ref="AI138" si="21">SUM(AI139:AI140)</f>
        <v>1</v>
      </c>
      <c r="AJ138" s="327">
        <f t="shared" ref="AJ138" si="22">SUM(AJ139:AJ140)</f>
        <v>1</v>
      </c>
      <c r="AK138" s="327">
        <f t="shared" ref="AK138" si="23">SUM(AK139:AK140)</f>
        <v>1</v>
      </c>
      <c r="AL138" s="327">
        <f t="shared" ref="AL138" si="24">SUM(AL139:AL140)</f>
        <v>1</v>
      </c>
      <c r="AM138" s="327">
        <f t="shared" ref="AM138" si="25">SUM(AM139:AM140)</f>
        <v>1</v>
      </c>
      <c r="AN138" s="327">
        <f t="shared" ref="AN138" si="26">SUM(AN139:AN140)</f>
        <v>1</v>
      </c>
      <c r="AO138" s="327">
        <f t="shared" ref="AO138" si="27">SUM(AO139:AO140)</f>
        <v>1</v>
      </c>
    </row>
    <row r="139" spans="1:41" s="73" customFormat="1" ht="15" customHeight="1" x14ac:dyDescent="0.25">
      <c r="A139" s="392"/>
      <c r="B139" s="388"/>
      <c r="C139" s="168"/>
      <c r="D139" s="128" t="s">
        <v>1064</v>
      </c>
      <c r="E139" s="84" t="s">
        <v>1998</v>
      </c>
      <c r="F139" s="332">
        <f>+VLOOKUP($E139,Energy_Mix!$1:$1048576,F$2,FALSE)</f>
        <v>0.2006908916</v>
      </c>
      <c r="G139" s="332">
        <f>+VLOOKUP($E139,Energy_Mix!$1:$1048576,G$2,FALSE)</f>
        <v>0.2006908916</v>
      </c>
      <c r="H139" s="332">
        <f>+VLOOKUP($E139,Energy_Mix!$1:$1048576,H$2,FALSE)</f>
        <v>0.2006908916</v>
      </c>
      <c r="I139" s="332">
        <f>+VLOOKUP($E139,Energy_Mix!$1:$1048576,I$2,FALSE)</f>
        <v>0.2006908916</v>
      </c>
      <c r="J139" s="332">
        <f>+VLOOKUP($E139,Energy_Mix!$1:$1048576,J$2,FALSE)</f>
        <v>0.2006908916</v>
      </c>
      <c r="K139" s="332">
        <f>+VLOOKUP($E139,Energy_Mix!$1:$1048576,K$2,FALSE)</f>
        <v>0.2006908916</v>
      </c>
      <c r="L139" s="332">
        <f>+VLOOKUP($E139,Energy_Mix!$1:$1048576,L$2,FALSE)</f>
        <v>0.2006908916</v>
      </c>
      <c r="M139" s="332">
        <f>+VLOOKUP($E139,Energy_Mix!$1:$1048576,M$2,FALSE)</f>
        <v>0.2006908916</v>
      </c>
      <c r="N139" s="332">
        <f>+VLOOKUP($E139,Energy_Mix!$1:$1048576,N$2,FALSE)</f>
        <v>0.2006908916</v>
      </c>
      <c r="O139" s="332">
        <f>+VLOOKUP($E139,Energy_Mix!$1:$1048576,O$2,FALSE)</f>
        <v>0.2006908916</v>
      </c>
      <c r="P139" s="332">
        <f>+VLOOKUP($E139,Energy_Mix!$1:$1048576,P$2,FALSE)</f>
        <v>0.2006908916</v>
      </c>
      <c r="Q139" s="332">
        <f>+VLOOKUP($E139,Energy_Mix!$1:$1048576,Q$2,FALSE)</f>
        <v>0.2006908916</v>
      </c>
      <c r="R139" s="332">
        <f>+VLOOKUP($E139,Energy_Mix!$1:$1048576,R$2,FALSE)</f>
        <v>0.2006908916</v>
      </c>
      <c r="S139" s="332">
        <f>+VLOOKUP($E139,Energy_Mix!$1:$1048576,S$2,FALSE)</f>
        <v>0.2006908916</v>
      </c>
      <c r="T139" s="332">
        <f>+VLOOKUP($E139,Energy_Mix!$1:$1048576,T$2,FALSE)</f>
        <v>0.2006908916</v>
      </c>
      <c r="U139" s="332">
        <f>+VLOOKUP($E139,Energy_Mix!$1:$1048576,U$2,FALSE)</f>
        <v>0.2006908916</v>
      </c>
      <c r="V139" s="332">
        <f>+VLOOKUP($E139,Energy_Mix!$1:$1048576,V$2,FALSE)</f>
        <v>0.2006908916</v>
      </c>
      <c r="W139" s="332">
        <f>+VLOOKUP($E139,Energy_Mix!$1:$1048576,W$2,FALSE)</f>
        <v>0.2006908916</v>
      </c>
      <c r="X139" s="332">
        <f>+VLOOKUP($E139,Energy_Mix!$1:$1048576,X$2,FALSE)</f>
        <v>0.2006908916</v>
      </c>
      <c r="Y139" s="332">
        <f>+VLOOKUP($E139,Energy_Mix!$1:$1048576,Y$2,FALSE)</f>
        <v>0.2006908916</v>
      </c>
      <c r="Z139" s="332">
        <f>+VLOOKUP($E139,Energy_Mix!$1:$1048576,Z$2,FALSE)</f>
        <v>0.2006908916</v>
      </c>
      <c r="AA139" s="332">
        <f>+VLOOKUP($E139,Energy_Mix!$1:$1048576,AA$2,FALSE)</f>
        <v>0.2006908916</v>
      </c>
      <c r="AB139" s="332">
        <f>+VLOOKUP($E139,Energy_Mix!$1:$1048576,AB$2,FALSE)</f>
        <v>0.2006908916</v>
      </c>
      <c r="AC139" s="332">
        <f>+VLOOKUP($E139,Energy_Mix!$1:$1048576,AC$2,FALSE)</f>
        <v>0.2006908916</v>
      </c>
      <c r="AD139" s="332">
        <f>+VLOOKUP($E139,Energy_Mix!$1:$1048576,AD$2,FALSE)</f>
        <v>0.2006908916</v>
      </c>
      <c r="AE139" s="332">
        <f>+VLOOKUP($E139,Energy_Mix!$1:$1048576,AE$2,FALSE)</f>
        <v>0.2006908916</v>
      </c>
      <c r="AF139" s="332">
        <f>+VLOOKUP($E139,Energy_Mix!$1:$1048576,AF$2,FALSE)</f>
        <v>0.2006908916</v>
      </c>
      <c r="AG139" s="332">
        <f>+VLOOKUP($E139,Energy_Mix!$1:$1048576,AG$2,FALSE)</f>
        <v>0.2006908916</v>
      </c>
      <c r="AH139" s="332">
        <f>+VLOOKUP($E139,Energy_Mix!$1:$1048576,AH$2,FALSE)</f>
        <v>0.2006908916</v>
      </c>
      <c r="AI139" s="332">
        <f>+VLOOKUP($E139,Energy_Mix!$1:$1048576,AI$2,FALSE)</f>
        <v>0.2006908916</v>
      </c>
      <c r="AJ139" s="332">
        <f>+VLOOKUP($E139,Energy_Mix!$1:$1048576,AJ$2,FALSE)</f>
        <v>0.2006908916</v>
      </c>
      <c r="AK139" s="332">
        <f>+VLOOKUP($E139,Energy_Mix!$1:$1048576,AK$2,FALSE)</f>
        <v>0.2006908916</v>
      </c>
      <c r="AL139" s="332">
        <f>+VLOOKUP($E139,Energy_Mix!$1:$1048576,AL$2,FALSE)</f>
        <v>0.2006908916</v>
      </c>
      <c r="AM139" s="332">
        <f>+VLOOKUP($E139,Energy_Mix!$1:$1048576,AM$2,FALSE)</f>
        <v>0.2006908916</v>
      </c>
      <c r="AN139" s="332">
        <f>+VLOOKUP($E139,Energy_Mix!$1:$1048576,AN$2,FALSE)</f>
        <v>0.2006908916</v>
      </c>
      <c r="AO139" s="332">
        <f>+VLOOKUP($E139,Energy_Mix!$1:$1048576,AO$2,FALSE)</f>
        <v>0.2006908916</v>
      </c>
    </row>
    <row r="140" spans="1:41" s="73" customFormat="1" ht="15" customHeight="1" x14ac:dyDescent="0.25">
      <c r="A140" s="392"/>
      <c r="B140" s="388"/>
      <c r="C140" s="168"/>
      <c r="D140" s="128" t="s">
        <v>1064</v>
      </c>
      <c r="E140" s="84" t="s">
        <v>1999</v>
      </c>
      <c r="F140" s="332">
        <f>+VLOOKUP($E140,Energy_Mix!$1:$1048576,F$2,FALSE)</f>
        <v>0.79930910840000002</v>
      </c>
      <c r="G140" s="332">
        <f>+VLOOKUP($E140,Energy_Mix!$1:$1048576,G$2,FALSE)</f>
        <v>0.79930910840000002</v>
      </c>
      <c r="H140" s="332">
        <f>+VLOOKUP($E140,Energy_Mix!$1:$1048576,H$2,FALSE)</f>
        <v>0.79930910840000002</v>
      </c>
      <c r="I140" s="332">
        <f>+VLOOKUP($E140,Energy_Mix!$1:$1048576,I$2,FALSE)</f>
        <v>0.79930910840000002</v>
      </c>
      <c r="J140" s="332">
        <f>+VLOOKUP($E140,Energy_Mix!$1:$1048576,J$2,FALSE)</f>
        <v>0.79930910840000002</v>
      </c>
      <c r="K140" s="332">
        <f>+VLOOKUP($E140,Energy_Mix!$1:$1048576,K$2,FALSE)</f>
        <v>0.79930910840000002</v>
      </c>
      <c r="L140" s="332">
        <f>+VLOOKUP($E140,Energy_Mix!$1:$1048576,L$2,FALSE)</f>
        <v>0.79930910840000002</v>
      </c>
      <c r="M140" s="332">
        <f>+VLOOKUP($E140,Energy_Mix!$1:$1048576,M$2,FALSE)</f>
        <v>0.79930910840000002</v>
      </c>
      <c r="N140" s="332">
        <f>+VLOOKUP($E140,Energy_Mix!$1:$1048576,N$2,FALSE)</f>
        <v>0.79930910840000002</v>
      </c>
      <c r="O140" s="332">
        <f>+VLOOKUP($E140,Energy_Mix!$1:$1048576,O$2,FALSE)</f>
        <v>0.79930910840000002</v>
      </c>
      <c r="P140" s="332">
        <f>+VLOOKUP($E140,Energy_Mix!$1:$1048576,P$2,FALSE)</f>
        <v>0.79930910840000002</v>
      </c>
      <c r="Q140" s="332">
        <f>+VLOOKUP($E140,Energy_Mix!$1:$1048576,Q$2,FALSE)</f>
        <v>0.79930910840000002</v>
      </c>
      <c r="R140" s="332">
        <f>+VLOOKUP($E140,Energy_Mix!$1:$1048576,R$2,FALSE)</f>
        <v>0.79930910840000002</v>
      </c>
      <c r="S140" s="332">
        <f>+VLOOKUP($E140,Energy_Mix!$1:$1048576,S$2,FALSE)</f>
        <v>0.79930910840000002</v>
      </c>
      <c r="T140" s="332">
        <f>+VLOOKUP($E140,Energy_Mix!$1:$1048576,T$2,FALSE)</f>
        <v>0.79930910840000002</v>
      </c>
      <c r="U140" s="332">
        <f>+VLOOKUP($E140,Energy_Mix!$1:$1048576,U$2,FALSE)</f>
        <v>0.79930910840000002</v>
      </c>
      <c r="V140" s="332">
        <f>+VLOOKUP($E140,Energy_Mix!$1:$1048576,V$2,FALSE)</f>
        <v>0.79930910840000002</v>
      </c>
      <c r="W140" s="332">
        <f>+VLOOKUP($E140,Energy_Mix!$1:$1048576,W$2,FALSE)</f>
        <v>0.79930910840000002</v>
      </c>
      <c r="X140" s="332">
        <f>+VLOOKUP($E140,Energy_Mix!$1:$1048576,X$2,FALSE)</f>
        <v>0.79930910840000002</v>
      </c>
      <c r="Y140" s="332">
        <f>+VLOOKUP($E140,Energy_Mix!$1:$1048576,Y$2,FALSE)</f>
        <v>0.79930910840000002</v>
      </c>
      <c r="Z140" s="332">
        <f>+VLOOKUP($E140,Energy_Mix!$1:$1048576,Z$2,FALSE)</f>
        <v>0.79930910840000002</v>
      </c>
      <c r="AA140" s="332">
        <f>+VLOOKUP($E140,Energy_Mix!$1:$1048576,AA$2,FALSE)</f>
        <v>0.79930910840000002</v>
      </c>
      <c r="AB140" s="332">
        <f>+VLOOKUP($E140,Energy_Mix!$1:$1048576,AB$2,FALSE)</f>
        <v>0.79930910840000002</v>
      </c>
      <c r="AC140" s="332">
        <f>+VLOOKUP($E140,Energy_Mix!$1:$1048576,AC$2,FALSE)</f>
        <v>0.79930910840000002</v>
      </c>
      <c r="AD140" s="332">
        <f>+VLOOKUP($E140,Energy_Mix!$1:$1048576,AD$2,FALSE)</f>
        <v>0.79930910840000002</v>
      </c>
      <c r="AE140" s="332">
        <f>+VLOOKUP($E140,Energy_Mix!$1:$1048576,AE$2,FALSE)</f>
        <v>0.79930910840000002</v>
      </c>
      <c r="AF140" s="332">
        <f>+VLOOKUP($E140,Energy_Mix!$1:$1048576,AF$2,FALSE)</f>
        <v>0.79930910840000002</v>
      </c>
      <c r="AG140" s="332">
        <f>+VLOOKUP($E140,Energy_Mix!$1:$1048576,AG$2,FALSE)</f>
        <v>0.79930910840000002</v>
      </c>
      <c r="AH140" s="332">
        <f>+VLOOKUP($E140,Energy_Mix!$1:$1048576,AH$2,FALSE)</f>
        <v>0.79930910840000002</v>
      </c>
      <c r="AI140" s="332">
        <f>+VLOOKUP($E140,Energy_Mix!$1:$1048576,AI$2,FALSE)</f>
        <v>0.79930910840000002</v>
      </c>
      <c r="AJ140" s="332">
        <f>+VLOOKUP($E140,Energy_Mix!$1:$1048576,AJ$2,FALSE)</f>
        <v>0.79930910840000002</v>
      </c>
      <c r="AK140" s="332">
        <f>+VLOOKUP($E140,Energy_Mix!$1:$1048576,AK$2,FALSE)</f>
        <v>0.79930910840000002</v>
      </c>
      <c r="AL140" s="332">
        <f>+VLOOKUP($E140,Energy_Mix!$1:$1048576,AL$2,FALSE)</f>
        <v>0.79930910840000002</v>
      </c>
      <c r="AM140" s="332">
        <f>+VLOOKUP($E140,Energy_Mix!$1:$1048576,AM$2,FALSE)</f>
        <v>0.79930910840000002</v>
      </c>
      <c r="AN140" s="332">
        <f>+VLOOKUP($E140,Energy_Mix!$1:$1048576,AN$2,FALSE)</f>
        <v>0.79930910840000002</v>
      </c>
      <c r="AO140" s="332">
        <f>+VLOOKUP($E140,Energy_Mix!$1:$1048576,AO$2,FALSE)</f>
        <v>0.79930910840000002</v>
      </c>
    </row>
    <row r="141" spans="1:41" s="73" customFormat="1" ht="15" customHeight="1" x14ac:dyDescent="0.25">
      <c r="A141" s="392"/>
      <c r="B141" s="388"/>
      <c r="C141" s="168" t="s">
        <v>551</v>
      </c>
      <c r="D141" s="128"/>
      <c r="E141" s="84"/>
      <c r="F141" s="327">
        <f>SUM(F142:F143)</f>
        <v>1</v>
      </c>
      <c r="G141" s="327">
        <f t="shared" ref="G141:AO141" si="28">SUM(G142:G143)</f>
        <v>1</v>
      </c>
      <c r="H141" s="327">
        <f t="shared" si="28"/>
        <v>1</v>
      </c>
      <c r="I141" s="327">
        <f t="shared" si="28"/>
        <v>1</v>
      </c>
      <c r="J141" s="327">
        <f t="shared" si="28"/>
        <v>1</v>
      </c>
      <c r="K141" s="327">
        <f t="shared" si="28"/>
        <v>1</v>
      </c>
      <c r="L141" s="327">
        <f t="shared" si="28"/>
        <v>1</v>
      </c>
      <c r="M141" s="327">
        <f t="shared" si="28"/>
        <v>1</v>
      </c>
      <c r="N141" s="327">
        <f t="shared" si="28"/>
        <v>1</v>
      </c>
      <c r="O141" s="327">
        <f t="shared" si="28"/>
        <v>1</v>
      </c>
      <c r="P141" s="327">
        <f t="shared" si="28"/>
        <v>1</v>
      </c>
      <c r="Q141" s="327">
        <f t="shared" si="28"/>
        <v>1</v>
      </c>
      <c r="R141" s="327">
        <f t="shared" si="28"/>
        <v>1</v>
      </c>
      <c r="S141" s="327">
        <f t="shared" si="28"/>
        <v>1</v>
      </c>
      <c r="T141" s="327">
        <f t="shared" si="28"/>
        <v>1</v>
      </c>
      <c r="U141" s="327">
        <f t="shared" si="28"/>
        <v>1</v>
      </c>
      <c r="V141" s="327">
        <f t="shared" si="28"/>
        <v>1</v>
      </c>
      <c r="W141" s="327">
        <f t="shared" si="28"/>
        <v>1</v>
      </c>
      <c r="X141" s="327">
        <f t="shared" si="28"/>
        <v>1</v>
      </c>
      <c r="Y141" s="327">
        <f t="shared" si="28"/>
        <v>1</v>
      </c>
      <c r="Z141" s="327">
        <f t="shared" si="28"/>
        <v>1</v>
      </c>
      <c r="AA141" s="327">
        <f t="shared" si="28"/>
        <v>1</v>
      </c>
      <c r="AB141" s="327">
        <f t="shared" si="28"/>
        <v>1</v>
      </c>
      <c r="AC141" s="327">
        <f t="shared" si="28"/>
        <v>1</v>
      </c>
      <c r="AD141" s="327">
        <f t="shared" si="28"/>
        <v>1</v>
      </c>
      <c r="AE141" s="327">
        <f t="shared" si="28"/>
        <v>1</v>
      </c>
      <c r="AF141" s="327">
        <f t="shared" si="28"/>
        <v>1</v>
      </c>
      <c r="AG141" s="327">
        <f t="shared" si="28"/>
        <v>1</v>
      </c>
      <c r="AH141" s="327">
        <f t="shared" si="28"/>
        <v>1</v>
      </c>
      <c r="AI141" s="327">
        <f t="shared" si="28"/>
        <v>1</v>
      </c>
      <c r="AJ141" s="327">
        <f t="shared" si="28"/>
        <v>1</v>
      </c>
      <c r="AK141" s="327">
        <f t="shared" si="28"/>
        <v>1</v>
      </c>
      <c r="AL141" s="327">
        <f t="shared" si="28"/>
        <v>1</v>
      </c>
      <c r="AM141" s="327">
        <f t="shared" si="28"/>
        <v>1</v>
      </c>
      <c r="AN141" s="327">
        <f t="shared" si="28"/>
        <v>1</v>
      </c>
      <c r="AO141" s="327">
        <f t="shared" si="28"/>
        <v>1</v>
      </c>
    </row>
    <row r="142" spans="1:41" s="73" customFormat="1" ht="15" customHeight="1" x14ac:dyDescent="0.25">
      <c r="A142" s="392"/>
      <c r="B142" s="388"/>
      <c r="C142" s="168"/>
      <c r="D142" s="128" t="s">
        <v>1887</v>
      </c>
      <c r="E142" s="84" t="s">
        <v>1888</v>
      </c>
      <c r="F142" s="332">
        <f>+VLOOKUP($E142,Energy_Mix!$1:$1048576,F$2,FALSE)</f>
        <v>0.7836667034</v>
      </c>
      <c r="G142" s="332">
        <f>+VLOOKUP($E142,Energy_Mix!$1:$1048576,G$2,FALSE)</f>
        <v>0.7836667034</v>
      </c>
      <c r="H142" s="332">
        <f>+VLOOKUP($E142,Energy_Mix!$1:$1048576,H$2,FALSE)</f>
        <v>0.7836667034</v>
      </c>
      <c r="I142" s="332">
        <f>+VLOOKUP($E142,Energy_Mix!$1:$1048576,I$2,FALSE)</f>
        <v>0.7836667034</v>
      </c>
      <c r="J142" s="332">
        <f>+VLOOKUP($E142,Energy_Mix!$1:$1048576,J$2,FALSE)</f>
        <v>0.7836667034</v>
      </c>
      <c r="K142" s="332">
        <f>+VLOOKUP($E142,Energy_Mix!$1:$1048576,K$2,FALSE)</f>
        <v>0.7836667034</v>
      </c>
      <c r="L142" s="332">
        <f>+VLOOKUP($E142,Energy_Mix!$1:$1048576,L$2,FALSE)</f>
        <v>0.7836667034</v>
      </c>
      <c r="M142" s="332">
        <f>+VLOOKUP($E142,Energy_Mix!$1:$1048576,M$2,FALSE)</f>
        <v>0.7836667034</v>
      </c>
      <c r="N142" s="332">
        <f>+VLOOKUP($E142,Energy_Mix!$1:$1048576,N$2,FALSE)</f>
        <v>0.7836667034</v>
      </c>
      <c r="O142" s="332">
        <f>+VLOOKUP($E142,Energy_Mix!$1:$1048576,O$2,FALSE)</f>
        <v>0.7836667034</v>
      </c>
      <c r="P142" s="332">
        <f>+VLOOKUP($E142,Energy_Mix!$1:$1048576,P$2,FALSE)</f>
        <v>0.7836667034</v>
      </c>
      <c r="Q142" s="332">
        <f>+VLOOKUP($E142,Energy_Mix!$1:$1048576,Q$2,FALSE)</f>
        <v>0.7836667034</v>
      </c>
      <c r="R142" s="332">
        <f>+VLOOKUP($E142,Energy_Mix!$1:$1048576,R$2,FALSE)</f>
        <v>0.7836667034</v>
      </c>
      <c r="S142" s="332">
        <f>+VLOOKUP($E142,Energy_Mix!$1:$1048576,S$2,FALSE)</f>
        <v>0.7836667034</v>
      </c>
      <c r="T142" s="332">
        <f>+VLOOKUP($E142,Energy_Mix!$1:$1048576,T$2,FALSE)</f>
        <v>0.7836667034</v>
      </c>
      <c r="U142" s="332">
        <f>+VLOOKUP($E142,Energy_Mix!$1:$1048576,U$2,FALSE)</f>
        <v>0.7836667034</v>
      </c>
      <c r="V142" s="332">
        <f>+VLOOKUP($E142,Energy_Mix!$1:$1048576,V$2,FALSE)</f>
        <v>0.7836667034</v>
      </c>
      <c r="W142" s="332">
        <f>+VLOOKUP($E142,Energy_Mix!$1:$1048576,W$2,FALSE)</f>
        <v>0.7836667034</v>
      </c>
      <c r="X142" s="332">
        <f>+VLOOKUP($E142,Energy_Mix!$1:$1048576,X$2,FALSE)</f>
        <v>0.7836667034</v>
      </c>
      <c r="Y142" s="332">
        <f>+VLOOKUP($E142,Energy_Mix!$1:$1048576,Y$2,FALSE)</f>
        <v>0.7836667034</v>
      </c>
      <c r="Z142" s="332">
        <f>+VLOOKUP($E142,Energy_Mix!$1:$1048576,Z$2,FALSE)</f>
        <v>0.7836667034</v>
      </c>
      <c r="AA142" s="332">
        <f>+VLOOKUP($E142,Energy_Mix!$1:$1048576,AA$2,FALSE)</f>
        <v>0.7836667034</v>
      </c>
      <c r="AB142" s="332">
        <f>+VLOOKUP($E142,Energy_Mix!$1:$1048576,AB$2,FALSE)</f>
        <v>0.7836667034</v>
      </c>
      <c r="AC142" s="332">
        <f>+VLOOKUP($E142,Energy_Mix!$1:$1048576,AC$2,FALSE)</f>
        <v>0.7836667034</v>
      </c>
      <c r="AD142" s="332">
        <f>+VLOOKUP($E142,Energy_Mix!$1:$1048576,AD$2,FALSE)</f>
        <v>0.7836667034</v>
      </c>
      <c r="AE142" s="332">
        <f>+VLOOKUP($E142,Energy_Mix!$1:$1048576,AE$2,FALSE)</f>
        <v>0.7836667034</v>
      </c>
      <c r="AF142" s="332">
        <f>+VLOOKUP($E142,Energy_Mix!$1:$1048576,AF$2,FALSE)</f>
        <v>0.7836667034</v>
      </c>
      <c r="AG142" s="332">
        <f>+VLOOKUP($E142,Energy_Mix!$1:$1048576,AG$2,FALSE)</f>
        <v>0.7836667034</v>
      </c>
      <c r="AH142" s="332">
        <f>+VLOOKUP($E142,Energy_Mix!$1:$1048576,AH$2,FALSE)</f>
        <v>0.7836667034</v>
      </c>
      <c r="AI142" s="332">
        <f>+VLOOKUP($E142,Energy_Mix!$1:$1048576,AI$2,FALSE)</f>
        <v>0.7836667034</v>
      </c>
      <c r="AJ142" s="332">
        <f>+VLOOKUP($E142,Energy_Mix!$1:$1048576,AJ$2,FALSE)</f>
        <v>0.7836667034</v>
      </c>
      <c r="AK142" s="332">
        <f>+VLOOKUP($E142,Energy_Mix!$1:$1048576,AK$2,FALSE)</f>
        <v>0.7836667034</v>
      </c>
      <c r="AL142" s="332">
        <f>+VLOOKUP($E142,Energy_Mix!$1:$1048576,AL$2,FALSE)</f>
        <v>0.7836667034</v>
      </c>
      <c r="AM142" s="332">
        <f>+VLOOKUP($E142,Energy_Mix!$1:$1048576,AM$2,FALSE)</f>
        <v>0.7836667034</v>
      </c>
      <c r="AN142" s="332">
        <f>+VLOOKUP($E142,Energy_Mix!$1:$1048576,AN$2,FALSE)</f>
        <v>0.7836667034</v>
      </c>
      <c r="AO142" s="332">
        <f>+VLOOKUP($E142,Energy_Mix!$1:$1048576,AO$2,FALSE)</f>
        <v>0.7836667034</v>
      </c>
    </row>
    <row r="143" spans="1:41" s="73" customFormat="1" ht="15" customHeight="1" x14ac:dyDescent="0.25">
      <c r="A143" s="392"/>
      <c r="B143" s="388"/>
      <c r="C143" s="168"/>
      <c r="D143" s="128" t="s">
        <v>1887</v>
      </c>
      <c r="E143" s="84" t="s">
        <v>1889</v>
      </c>
      <c r="F143" s="332">
        <f>+VLOOKUP($E143,Energy_Mix!$1:$1048576,F$2,FALSE)</f>
        <v>0.2163332966</v>
      </c>
      <c r="G143" s="332">
        <f>+VLOOKUP($E143,Energy_Mix!$1:$1048576,G$2,FALSE)</f>
        <v>0.2163332966</v>
      </c>
      <c r="H143" s="332">
        <f>+VLOOKUP($E143,Energy_Mix!$1:$1048576,H$2,FALSE)</f>
        <v>0.2163332966</v>
      </c>
      <c r="I143" s="332">
        <f>+VLOOKUP($E143,Energy_Mix!$1:$1048576,I$2,FALSE)</f>
        <v>0.2163332966</v>
      </c>
      <c r="J143" s="332">
        <f>+VLOOKUP($E143,Energy_Mix!$1:$1048576,J$2,FALSE)</f>
        <v>0.2163332966</v>
      </c>
      <c r="K143" s="332">
        <f>+VLOOKUP($E143,Energy_Mix!$1:$1048576,K$2,FALSE)</f>
        <v>0.2163332966</v>
      </c>
      <c r="L143" s="332">
        <f>+VLOOKUP($E143,Energy_Mix!$1:$1048576,L$2,FALSE)</f>
        <v>0.2163332966</v>
      </c>
      <c r="M143" s="332">
        <f>+VLOOKUP($E143,Energy_Mix!$1:$1048576,M$2,FALSE)</f>
        <v>0.2163332966</v>
      </c>
      <c r="N143" s="332">
        <f>+VLOOKUP($E143,Energy_Mix!$1:$1048576,N$2,FALSE)</f>
        <v>0.2163332966</v>
      </c>
      <c r="O143" s="332">
        <f>+VLOOKUP($E143,Energy_Mix!$1:$1048576,O$2,FALSE)</f>
        <v>0.2163332966</v>
      </c>
      <c r="P143" s="332">
        <f>+VLOOKUP($E143,Energy_Mix!$1:$1048576,P$2,FALSE)</f>
        <v>0.2163332966</v>
      </c>
      <c r="Q143" s="332">
        <f>+VLOOKUP($E143,Energy_Mix!$1:$1048576,Q$2,FALSE)</f>
        <v>0.2163332966</v>
      </c>
      <c r="R143" s="332">
        <f>+VLOOKUP($E143,Energy_Mix!$1:$1048576,R$2,FALSE)</f>
        <v>0.2163332966</v>
      </c>
      <c r="S143" s="332">
        <f>+VLOOKUP($E143,Energy_Mix!$1:$1048576,S$2,FALSE)</f>
        <v>0.2163332966</v>
      </c>
      <c r="T143" s="332">
        <f>+VLOOKUP($E143,Energy_Mix!$1:$1048576,T$2,FALSE)</f>
        <v>0.2163332966</v>
      </c>
      <c r="U143" s="332">
        <f>+VLOOKUP($E143,Energy_Mix!$1:$1048576,U$2,FALSE)</f>
        <v>0.2163332966</v>
      </c>
      <c r="V143" s="332">
        <f>+VLOOKUP($E143,Energy_Mix!$1:$1048576,V$2,FALSE)</f>
        <v>0.2163332966</v>
      </c>
      <c r="W143" s="332">
        <f>+VLOOKUP($E143,Energy_Mix!$1:$1048576,W$2,FALSE)</f>
        <v>0.2163332966</v>
      </c>
      <c r="X143" s="332">
        <f>+VLOOKUP($E143,Energy_Mix!$1:$1048576,X$2,FALSE)</f>
        <v>0.2163332966</v>
      </c>
      <c r="Y143" s="332">
        <f>+VLOOKUP($E143,Energy_Mix!$1:$1048576,Y$2,FALSE)</f>
        <v>0.2163332966</v>
      </c>
      <c r="Z143" s="332">
        <f>+VLOOKUP($E143,Energy_Mix!$1:$1048576,Z$2,FALSE)</f>
        <v>0.2163332966</v>
      </c>
      <c r="AA143" s="332">
        <f>+VLOOKUP($E143,Energy_Mix!$1:$1048576,AA$2,FALSE)</f>
        <v>0.2163332966</v>
      </c>
      <c r="AB143" s="332">
        <f>+VLOOKUP($E143,Energy_Mix!$1:$1048576,AB$2,FALSE)</f>
        <v>0.2163332966</v>
      </c>
      <c r="AC143" s="332">
        <f>+VLOOKUP($E143,Energy_Mix!$1:$1048576,AC$2,FALSE)</f>
        <v>0.2163332966</v>
      </c>
      <c r="AD143" s="332">
        <f>+VLOOKUP($E143,Energy_Mix!$1:$1048576,AD$2,FALSE)</f>
        <v>0.2163332966</v>
      </c>
      <c r="AE143" s="332">
        <f>+VLOOKUP($E143,Energy_Mix!$1:$1048576,AE$2,FALSE)</f>
        <v>0.2163332966</v>
      </c>
      <c r="AF143" s="332">
        <f>+VLOOKUP($E143,Energy_Mix!$1:$1048576,AF$2,FALSE)</f>
        <v>0.2163332966</v>
      </c>
      <c r="AG143" s="332">
        <f>+VLOOKUP($E143,Energy_Mix!$1:$1048576,AG$2,FALSE)</f>
        <v>0.2163332966</v>
      </c>
      <c r="AH143" s="332">
        <f>+VLOOKUP($E143,Energy_Mix!$1:$1048576,AH$2,FALSE)</f>
        <v>0.2163332966</v>
      </c>
      <c r="AI143" s="332">
        <f>+VLOOKUP($E143,Energy_Mix!$1:$1048576,AI$2,FALSE)</f>
        <v>0.2163332966</v>
      </c>
      <c r="AJ143" s="332">
        <f>+VLOOKUP($E143,Energy_Mix!$1:$1048576,AJ$2,FALSE)</f>
        <v>0.2163332966</v>
      </c>
      <c r="AK143" s="332">
        <f>+VLOOKUP($E143,Energy_Mix!$1:$1048576,AK$2,FALSE)</f>
        <v>0.2163332966</v>
      </c>
      <c r="AL143" s="332">
        <f>+VLOOKUP($E143,Energy_Mix!$1:$1048576,AL$2,FALSE)</f>
        <v>0.2163332966</v>
      </c>
      <c r="AM143" s="332">
        <f>+VLOOKUP($E143,Energy_Mix!$1:$1048576,AM$2,FALSE)</f>
        <v>0.2163332966</v>
      </c>
      <c r="AN143" s="332">
        <f>+VLOOKUP($E143,Energy_Mix!$1:$1048576,AN$2,FALSE)</f>
        <v>0.2163332966</v>
      </c>
      <c r="AO143" s="332">
        <f>+VLOOKUP($E143,Energy_Mix!$1:$1048576,AO$2,FALSE)</f>
        <v>0.2163332966</v>
      </c>
    </row>
    <row r="144" spans="1:41" s="73" customFormat="1" ht="15" customHeight="1" x14ac:dyDescent="0.25">
      <c r="A144" s="392"/>
      <c r="B144" s="388"/>
      <c r="C144" s="168" t="s">
        <v>540</v>
      </c>
      <c r="D144" s="128"/>
      <c r="E144" s="84"/>
      <c r="F144" s="327">
        <f>SUM(F145:F146)</f>
        <v>1</v>
      </c>
      <c r="G144" s="327">
        <f t="shared" ref="G144:AO144" si="29">SUM(G145:G146)</f>
        <v>1</v>
      </c>
      <c r="H144" s="327">
        <f t="shared" si="29"/>
        <v>1</v>
      </c>
      <c r="I144" s="327">
        <f t="shared" si="29"/>
        <v>1</v>
      </c>
      <c r="J144" s="327">
        <f t="shared" si="29"/>
        <v>1</v>
      </c>
      <c r="K144" s="327">
        <f t="shared" si="29"/>
        <v>1</v>
      </c>
      <c r="L144" s="327">
        <f t="shared" si="29"/>
        <v>1</v>
      </c>
      <c r="M144" s="327">
        <f t="shared" si="29"/>
        <v>1</v>
      </c>
      <c r="N144" s="327">
        <f t="shared" si="29"/>
        <v>1</v>
      </c>
      <c r="O144" s="327">
        <f t="shared" si="29"/>
        <v>1</v>
      </c>
      <c r="P144" s="327">
        <f t="shared" si="29"/>
        <v>1</v>
      </c>
      <c r="Q144" s="327">
        <f t="shared" si="29"/>
        <v>1</v>
      </c>
      <c r="R144" s="327">
        <f t="shared" si="29"/>
        <v>1</v>
      </c>
      <c r="S144" s="327">
        <f t="shared" si="29"/>
        <v>1</v>
      </c>
      <c r="T144" s="327">
        <f t="shared" si="29"/>
        <v>1</v>
      </c>
      <c r="U144" s="327">
        <f t="shared" si="29"/>
        <v>1</v>
      </c>
      <c r="V144" s="327">
        <f t="shared" si="29"/>
        <v>1</v>
      </c>
      <c r="W144" s="327">
        <f t="shared" si="29"/>
        <v>1</v>
      </c>
      <c r="X144" s="327">
        <f t="shared" si="29"/>
        <v>1</v>
      </c>
      <c r="Y144" s="327">
        <f t="shared" si="29"/>
        <v>1</v>
      </c>
      <c r="Z144" s="327">
        <f t="shared" si="29"/>
        <v>1</v>
      </c>
      <c r="AA144" s="327">
        <f t="shared" si="29"/>
        <v>1</v>
      </c>
      <c r="AB144" s="327">
        <f t="shared" si="29"/>
        <v>1</v>
      </c>
      <c r="AC144" s="327">
        <f t="shared" si="29"/>
        <v>1</v>
      </c>
      <c r="AD144" s="327">
        <f t="shared" si="29"/>
        <v>1</v>
      </c>
      <c r="AE144" s="327">
        <f t="shared" si="29"/>
        <v>1</v>
      </c>
      <c r="AF144" s="327">
        <f t="shared" si="29"/>
        <v>1</v>
      </c>
      <c r="AG144" s="327">
        <f t="shared" si="29"/>
        <v>1</v>
      </c>
      <c r="AH144" s="327">
        <f t="shared" si="29"/>
        <v>1</v>
      </c>
      <c r="AI144" s="327">
        <f t="shared" si="29"/>
        <v>1</v>
      </c>
      <c r="AJ144" s="327">
        <f t="shared" si="29"/>
        <v>1</v>
      </c>
      <c r="AK144" s="327">
        <f t="shared" si="29"/>
        <v>1</v>
      </c>
      <c r="AL144" s="327">
        <f t="shared" si="29"/>
        <v>1</v>
      </c>
      <c r="AM144" s="327">
        <f t="shared" si="29"/>
        <v>1</v>
      </c>
      <c r="AN144" s="327">
        <f t="shared" si="29"/>
        <v>1</v>
      </c>
      <c r="AO144" s="327">
        <f t="shared" si="29"/>
        <v>1</v>
      </c>
    </row>
    <row r="145" spans="1:49" ht="15" customHeight="1" x14ac:dyDescent="0.25">
      <c r="A145" s="392"/>
      <c r="B145" s="388"/>
      <c r="C145" s="128"/>
      <c r="D145" s="128" t="s">
        <v>1890</v>
      </c>
      <c r="E145" s="84" t="s">
        <v>468</v>
      </c>
      <c r="F145" s="332">
        <f>+VLOOKUP($E145,Energy_Mix!$1:$1048576,F$2,FALSE)</f>
        <v>0.83809636089999995</v>
      </c>
      <c r="G145" s="332">
        <f>+VLOOKUP($E145,Energy_Mix!$1:$1048576,G$2,FALSE)</f>
        <v>0.83809636089999995</v>
      </c>
      <c r="H145" s="332">
        <f>+VLOOKUP($E145,Energy_Mix!$1:$1048576,H$2,FALSE)</f>
        <v>0.83809636089999995</v>
      </c>
      <c r="I145" s="332">
        <f>+VLOOKUP($E145,Energy_Mix!$1:$1048576,I$2,FALSE)</f>
        <v>0.83809636089999995</v>
      </c>
      <c r="J145" s="332">
        <f>+VLOOKUP($E145,Energy_Mix!$1:$1048576,J$2,FALSE)</f>
        <v>0.83809636089999995</v>
      </c>
      <c r="K145" s="332">
        <f>+VLOOKUP($E145,Energy_Mix!$1:$1048576,K$2,FALSE)</f>
        <v>0.83809636089999995</v>
      </c>
      <c r="L145" s="332">
        <f>+VLOOKUP($E145,Energy_Mix!$1:$1048576,L$2,FALSE)</f>
        <v>0.83809636089999995</v>
      </c>
      <c r="M145" s="332">
        <f>+VLOOKUP($E145,Energy_Mix!$1:$1048576,M$2,FALSE)</f>
        <v>0.83809636089999995</v>
      </c>
      <c r="N145" s="332">
        <f>+VLOOKUP($E145,Energy_Mix!$1:$1048576,N$2,FALSE)</f>
        <v>0.83809636089999995</v>
      </c>
      <c r="O145" s="332">
        <f>+VLOOKUP($E145,Energy_Mix!$1:$1048576,O$2,FALSE)</f>
        <v>0.83809636089999995</v>
      </c>
      <c r="P145" s="332">
        <f>+VLOOKUP($E145,Energy_Mix!$1:$1048576,P$2,FALSE)</f>
        <v>0.83809636089999995</v>
      </c>
      <c r="Q145" s="332">
        <f>+VLOOKUP($E145,Energy_Mix!$1:$1048576,Q$2,FALSE)</f>
        <v>0.83809636089999995</v>
      </c>
      <c r="R145" s="332">
        <f>+VLOOKUP($E145,Energy_Mix!$1:$1048576,R$2,FALSE)</f>
        <v>0.83809636089999995</v>
      </c>
      <c r="S145" s="332">
        <f>+VLOOKUP($E145,Energy_Mix!$1:$1048576,S$2,FALSE)</f>
        <v>0.83809636089999995</v>
      </c>
      <c r="T145" s="332">
        <f>+VLOOKUP($E145,Energy_Mix!$1:$1048576,T$2,FALSE)</f>
        <v>0.83809636089999995</v>
      </c>
      <c r="U145" s="332">
        <f>+VLOOKUP($E145,Energy_Mix!$1:$1048576,U$2,FALSE)</f>
        <v>0.83809636089999995</v>
      </c>
      <c r="V145" s="332">
        <f>+VLOOKUP($E145,Energy_Mix!$1:$1048576,V$2,FALSE)</f>
        <v>0.83809636089999995</v>
      </c>
      <c r="W145" s="332">
        <f>+VLOOKUP($E145,Energy_Mix!$1:$1048576,W$2,FALSE)</f>
        <v>0.83809636089999995</v>
      </c>
      <c r="X145" s="332">
        <f>+VLOOKUP($E145,Energy_Mix!$1:$1048576,X$2,FALSE)</f>
        <v>0.83809636089999995</v>
      </c>
      <c r="Y145" s="332">
        <f>+VLOOKUP($E145,Energy_Mix!$1:$1048576,Y$2,FALSE)</f>
        <v>0.83809636089999995</v>
      </c>
      <c r="Z145" s="332">
        <f>+VLOOKUP($E145,Energy_Mix!$1:$1048576,Z$2,FALSE)</f>
        <v>0.83809636089999995</v>
      </c>
      <c r="AA145" s="332">
        <f>+VLOOKUP($E145,Energy_Mix!$1:$1048576,AA$2,FALSE)</f>
        <v>0.83809636089999995</v>
      </c>
      <c r="AB145" s="332">
        <f>+VLOOKUP($E145,Energy_Mix!$1:$1048576,AB$2,FALSE)</f>
        <v>0.83809636089999995</v>
      </c>
      <c r="AC145" s="332">
        <f>+VLOOKUP($E145,Energy_Mix!$1:$1048576,AC$2,FALSE)</f>
        <v>0.83809636089999995</v>
      </c>
      <c r="AD145" s="332">
        <f>+VLOOKUP($E145,Energy_Mix!$1:$1048576,AD$2,FALSE)</f>
        <v>0.83809636089999995</v>
      </c>
      <c r="AE145" s="332">
        <f>+VLOOKUP($E145,Energy_Mix!$1:$1048576,AE$2,FALSE)</f>
        <v>0.83809636089999995</v>
      </c>
      <c r="AF145" s="332">
        <f>+VLOOKUP($E145,Energy_Mix!$1:$1048576,AF$2,FALSE)</f>
        <v>0.83809636089999995</v>
      </c>
      <c r="AG145" s="332">
        <f>+VLOOKUP($E145,Energy_Mix!$1:$1048576,AG$2,FALSE)</f>
        <v>0.83809636089999995</v>
      </c>
      <c r="AH145" s="332">
        <f>+VLOOKUP($E145,Energy_Mix!$1:$1048576,AH$2,FALSE)</f>
        <v>0.83809636089999995</v>
      </c>
      <c r="AI145" s="332">
        <f>+VLOOKUP($E145,Energy_Mix!$1:$1048576,AI$2,FALSE)</f>
        <v>0.83809636089999995</v>
      </c>
      <c r="AJ145" s="332">
        <f>+VLOOKUP($E145,Energy_Mix!$1:$1048576,AJ$2,FALSE)</f>
        <v>0.83809636089999995</v>
      </c>
      <c r="AK145" s="332">
        <f>+VLOOKUP($E145,Energy_Mix!$1:$1048576,AK$2,FALSE)</f>
        <v>0.83809636089999995</v>
      </c>
      <c r="AL145" s="332">
        <f>+VLOOKUP($E145,Energy_Mix!$1:$1048576,AL$2,FALSE)</f>
        <v>0.83809636089999995</v>
      </c>
      <c r="AM145" s="332">
        <f>+VLOOKUP($E145,Energy_Mix!$1:$1048576,AM$2,FALSE)</f>
        <v>0.83809636089999995</v>
      </c>
      <c r="AN145" s="332">
        <f>+VLOOKUP($E145,Energy_Mix!$1:$1048576,AN$2,FALSE)</f>
        <v>0.83809636089999995</v>
      </c>
      <c r="AO145" s="332">
        <f>+VLOOKUP($E145,Energy_Mix!$1:$1048576,AO$2,FALSE)</f>
        <v>0.83809636089999995</v>
      </c>
      <c r="AP145" s="73"/>
      <c r="AQ145" s="73"/>
      <c r="AR145" s="73"/>
      <c r="AS145" s="73"/>
      <c r="AT145" s="73"/>
      <c r="AU145" s="73"/>
      <c r="AV145" s="73"/>
      <c r="AW145" s="73"/>
    </row>
    <row r="146" spans="1:49" ht="15" customHeight="1" x14ac:dyDescent="0.25">
      <c r="A146" s="392"/>
      <c r="B146" s="388"/>
      <c r="C146" s="128"/>
      <c r="D146" s="128" t="s">
        <v>546</v>
      </c>
      <c r="E146" s="84" t="s">
        <v>469</v>
      </c>
      <c r="F146" s="332">
        <f>+VLOOKUP($E146,Energy_Mix!$1:$1048576,F$2,FALSE)</f>
        <v>0.1619036391</v>
      </c>
      <c r="G146" s="332">
        <f>+VLOOKUP($E146,Energy_Mix!$1:$1048576,G$2,FALSE)</f>
        <v>0.1619036391</v>
      </c>
      <c r="H146" s="332">
        <f>+VLOOKUP($E146,Energy_Mix!$1:$1048576,H$2,FALSE)</f>
        <v>0.1619036391</v>
      </c>
      <c r="I146" s="332">
        <f>+VLOOKUP($E146,Energy_Mix!$1:$1048576,I$2,FALSE)</f>
        <v>0.1619036391</v>
      </c>
      <c r="J146" s="332">
        <f>+VLOOKUP($E146,Energy_Mix!$1:$1048576,J$2,FALSE)</f>
        <v>0.1619036391</v>
      </c>
      <c r="K146" s="332">
        <f>+VLOOKUP($E146,Energy_Mix!$1:$1048576,K$2,FALSE)</f>
        <v>0.1619036391</v>
      </c>
      <c r="L146" s="332">
        <f>+VLOOKUP($E146,Energy_Mix!$1:$1048576,L$2,FALSE)</f>
        <v>0.1619036391</v>
      </c>
      <c r="M146" s="332">
        <f>+VLOOKUP($E146,Energy_Mix!$1:$1048576,M$2,FALSE)</f>
        <v>0.1619036391</v>
      </c>
      <c r="N146" s="332">
        <f>+VLOOKUP($E146,Energy_Mix!$1:$1048576,N$2,FALSE)</f>
        <v>0.1619036391</v>
      </c>
      <c r="O146" s="332">
        <f>+VLOOKUP($E146,Energy_Mix!$1:$1048576,O$2,FALSE)</f>
        <v>0.1619036391</v>
      </c>
      <c r="P146" s="332">
        <f>+VLOOKUP($E146,Energy_Mix!$1:$1048576,P$2,FALSE)</f>
        <v>0.1619036391</v>
      </c>
      <c r="Q146" s="332">
        <f>+VLOOKUP($E146,Energy_Mix!$1:$1048576,Q$2,FALSE)</f>
        <v>0.1619036391</v>
      </c>
      <c r="R146" s="332">
        <f>+VLOOKUP($E146,Energy_Mix!$1:$1048576,R$2,FALSE)</f>
        <v>0.1619036391</v>
      </c>
      <c r="S146" s="332">
        <f>+VLOOKUP($E146,Energy_Mix!$1:$1048576,S$2,FALSE)</f>
        <v>0.1619036391</v>
      </c>
      <c r="T146" s="332">
        <f>+VLOOKUP($E146,Energy_Mix!$1:$1048576,T$2,FALSE)</f>
        <v>0.1619036391</v>
      </c>
      <c r="U146" s="332">
        <f>+VLOOKUP($E146,Energy_Mix!$1:$1048576,U$2,FALSE)</f>
        <v>0.1619036391</v>
      </c>
      <c r="V146" s="332">
        <f>+VLOOKUP($E146,Energy_Mix!$1:$1048576,V$2,FALSE)</f>
        <v>0.1619036391</v>
      </c>
      <c r="W146" s="332">
        <f>+VLOOKUP($E146,Energy_Mix!$1:$1048576,W$2,FALSE)</f>
        <v>0.1619036391</v>
      </c>
      <c r="X146" s="332">
        <f>+VLOOKUP($E146,Energy_Mix!$1:$1048576,X$2,FALSE)</f>
        <v>0.1619036391</v>
      </c>
      <c r="Y146" s="332">
        <f>+VLOOKUP($E146,Energy_Mix!$1:$1048576,Y$2,FALSE)</f>
        <v>0.1619036391</v>
      </c>
      <c r="Z146" s="332">
        <f>+VLOOKUP($E146,Energy_Mix!$1:$1048576,Z$2,FALSE)</f>
        <v>0.1619036391</v>
      </c>
      <c r="AA146" s="332">
        <f>+VLOOKUP($E146,Energy_Mix!$1:$1048576,AA$2,FALSE)</f>
        <v>0.1619036391</v>
      </c>
      <c r="AB146" s="332">
        <f>+VLOOKUP($E146,Energy_Mix!$1:$1048576,AB$2,FALSE)</f>
        <v>0.1619036391</v>
      </c>
      <c r="AC146" s="332">
        <f>+VLOOKUP($E146,Energy_Mix!$1:$1048576,AC$2,FALSE)</f>
        <v>0.1619036391</v>
      </c>
      <c r="AD146" s="332">
        <f>+VLOOKUP($E146,Energy_Mix!$1:$1048576,AD$2,FALSE)</f>
        <v>0.1619036391</v>
      </c>
      <c r="AE146" s="332">
        <f>+VLOOKUP($E146,Energy_Mix!$1:$1048576,AE$2,FALSE)</f>
        <v>0.1619036391</v>
      </c>
      <c r="AF146" s="332">
        <f>+VLOOKUP($E146,Energy_Mix!$1:$1048576,AF$2,FALSE)</f>
        <v>0.1619036391</v>
      </c>
      <c r="AG146" s="332">
        <f>+VLOOKUP($E146,Energy_Mix!$1:$1048576,AG$2,FALSE)</f>
        <v>0.1619036391</v>
      </c>
      <c r="AH146" s="332">
        <f>+VLOOKUP($E146,Energy_Mix!$1:$1048576,AH$2,FALSE)</f>
        <v>0.1619036391</v>
      </c>
      <c r="AI146" s="332">
        <f>+VLOOKUP($E146,Energy_Mix!$1:$1048576,AI$2,FALSE)</f>
        <v>0.1619036391</v>
      </c>
      <c r="AJ146" s="332">
        <f>+VLOOKUP($E146,Energy_Mix!$1:$1048576,AJ$2,FALSE)</f>
        <v>0.1619036391</v>
      </c>
      <c r="AK146" s="332">
        <f>+VLOOKUP($E146,Energy_Mix!$1:$1048576,AK$2,FALSE)</f>
        <v>0.1619036391</v>
      </c>
      <c r="AL146" s="332">
        <f>+VLOOKUP($E146,Energy_Mix!$1:$1048576,AL$2,FALSE)</f>
        <v>0.1619036391</v>
      </c>
      <c r="AM146" s="332">
        <f>+VLOOKUP($E146,Energy_Mix!$1:$1048576,AM$2,FALSE)</f>
        <v>0.1619036391</v>
      </c>
      <c r="AN146" s="332">
        <f>+VLOOKUP($E146,Energy_Mix!$1:$1048576,AN$2,FALSE)</f>
        <v>0.1619036391</v>
      </c>
      <c r="AO146" s="332">
        <f>+VLOOKUP($E146,Energy_Mix!$1:$1048576,AO$2,FALSE)</f>
        <v>0.1619036391</v>
      </c>
      <c r="AP146" s="73"/>
      <c r="AQ146" s="73"/>
      <c r="AR146" s="73"/>
      <c r="AS146" s="73"/>
      <c r="AT146" s="73"/>
      <c r="AU146" s="73"/>
      <c r="AV146" s="73"/>
      <c r="AW146" s="73"/>
    </row>
    <row r="147" spans="1:49" s="73" customFormat="1" ht="15" customHeight="1" x14ac:dyDescent="0.25">
      <c r="A147" s="392"/>
      <c r="B147" s="388"/>
      <c r="C147" s="168" t="s">
        <v>541</v>
      </c>
      <c r="D147" s="128"/>
      <c r="E147" s="84"/>
      <c r="F147" s="327">
        <f>F148</f>
        <v>1</v>
      </c>
      <c r="G147" s="327">
        <f t="shared" ref="G147:AO147" si="30">G148</f>
        <v>1</v>
      </c>
      <c r="H147" s="327">
        <f t="shared" si="30"/>
        <v>1</v>
      </c>
      <c r="I147" s="327">
        <f t="shared" si="30"/>
        <v>1</v>
      </c>
      <c r="J147" s="327">
        <f t="shared" si="30"/>
        <v>1</v>
      </c>
      <c r="K147" s="327">
        <f t="shared" si="30"/>
        <v>1</v>
      </c>
      <c r="L147" s="327">
        <f t="shared" si="30"/>
        <v>1</v>
      </c>
      <c r="M147" s="327">
        <f t="shared" si="30"/>
        <v>1</v>
      </c>
      <c r="N147" s="327">
        <f t="shared" si="30"/>
        <v>1</v>
      </c>
      <c r="O147" s="327">
        <f t="shared" si="30"/>
        <v>1</v>
      </c>
      <c r="P147" s="327">
        <f t="shared" si="30"/>
        <v>1</v>
      </c>
      <c r="Q147" s="327">
        <f t="shared" si="30"/>
        <v>1</v>
      </c>
      <c r="R147" s="327">
        <f t="shared" si="30"/>
        <v>1</v>
      </c>
      <c r="S147" s="327">
        <f t="shared" si="30"/>
        <v>1</v>
      </c>
      <c r="T147" s="327">
        <f t="shared" si="30"/>
        <v>1</v>
      </c>
      <c r="U147" s="327">
        <f t="shared" si="30"/>
        <v>1</v>
      </c>
      <c r="V147" s="327">
        <f t="shared" si="30"/>
        <v>1</v>
      </c>
      <c r="W147" s="327">
        <f t="shared" si="30"/>
        <v>1</v>
      </c>
      <c r="X147" s="327">
        <f t="shared" si="30"/>
        <v>1</v>
      </c>
      <c r="Y147" s="327">
        <f t="shared" si="30"/>
        <v>1</v>
      </c>
      <c r="Z147" s="327">
        <f t="shared" si="30"/>
        <v>1</v>
      </c>
      <c r="AA147" s="327">
        <f t="shared" si="30"/>
        <v>1</v>
      </c>
      <c r="AB147" s="327">
        <f t="shared" si="30"/>
        <v>1</v>
      </c>
      <c r="AC147" s="327">
        <f t="shared" si="30"/>
        <v>1</v>
      </c>
      <c r="AD147" s="327">
        <f t="shared" si="30"/>
        <v>1</v>
      </c>
      <c r="AE147" s="327">
        <f t="shared" si="30"/>
        <v>1</v>
      </c>
      <c r="AF147" s="327">
        <f t="shared" si="30"/>
        <v>1</v>
      </c>
      <c r="AG147" s="327">
        <f t="shared" si="30"/>
        <v>1</v>
      </c>
      <c r="AH147" s="327">
        <f t="shared" si="30"/>
        <v>1</v>
      </c>
      <c r="AI147" s="327">
        <f t="shared" si="30"/>
        <v>1</v>
      </c>
      <c r="AJ147" s="327">
        <f t="shared" si="30"/>
        <v>1</v>
      </c>
      <c r="AK147" s="327">
        <f t="shared" si="30"/>
        <v>1</v>
      </c>
      <c r="AL147" s="327">
        <f t="shared" si="30"/>
        <v>1</v>
      </c>
      <c r="AM147" s="327">
        <f t="shared" si="30"/>
        <v>1</v>
      </c>
      <c r="AN147" s="327">
        <f t="shared" si="30"/>
        <v>1</v>
      </c>
      <c r="AO147" s="327">
        <f t="shared" si="30"/>
        <v>1</v>
      </c>
    </row>
    <row r="148" spans="1:49" s="73" customFormat="1" ht="15" customHeight="1" x14ac:dyDescent="0.25">
      <c r="A148" s="392"/>
      <c r="B148" s="388"/>
      <c r="C148" s="168"/>
      <c r="D148" s="128" t="s">
        <v>1890</v>
      </c>
      <c r="E148" s="84" t="s">
        <v>1891</v>
      </c>
      <c r="F148" s="332">
        <f>+VLOOKUP($E148,Energy_Mix!$1:$1048576,F$2,FALSE)</f>
        <v>1</v>
      </c>
      <c r="G148" s="332">
        <f>+VLOOKUP($E148,Energy_Mix!$1:$1048576,G$2,FALSE)</f>
        <v>1</v>
      </c>
      <c r="H148" s="332">
        <f>+VLOOKUP($E148,Energy_Mix!$1:$1048576,H$2,FALSE)</f>
        <v>1</v>
      </c>
      <c r="I148" s="332">
        <f>+VLOOKUP($E148,Energy_Mix!$1:$1048576,I$2,FALSE)</f>
        <v>1</v>
      </c>
      <c r="J148" s="332">
        <f>+VLOOKUP($E148,Energy_Mix!$1:$1048576,J$2,FALSE)</f>
        <v>1</v>
      </c>
      <c r="K148" s="332">
        <f>+VLOOKUP($E148,Energy_Mix!$1:$1048576,K$2,FALSE)</f>
        <v>1</v>
      </c>
      <c r="L148" s="332">
        <f>+VLOOKUP($E148,Energy_Mix!$1:$1048576,L$2,FALSE)</f>
        <v>1</v>
      </c>
      <c r="M148" s="332">
        <f>+VLOOKUP($E148,Energy_Mix!$1:$1048576,M$2,FALSE)</f>
        <v>1</v>
      </c>
      <c r="N148" s="332">
        <f>+VLOOKUP($E148,Energy_Mix!$1:$1048576,N$2,FALSE)</f>
        <v>1</v>
      </c>
      <c r="O148" s="332">
        <f>+VLOOKUP($E148,Energy_Mix!$1:$1048576,O$2,FALSE)</f>
        <v>1</v>
      </c>
      <c r="P148" s="332">
        <f>+VLOOKUP($E148,Energy_Mix!$1:$1048576,P$2,FALSE)</f>
        <v>1</v>
      </c>
      <c r="Q148" s="332">
        <f>+VLOOKUP($E148,Energy_Mix!$1:$1048576,Q$2,FALSE)</f>
        <v>1</v>
      </c>
      <c r="R148" s="332">
        <f>+VLOOKUP($E148,Energy_Mix!$1:$1048576,R$2,FALSE)</f>
        <v>1</v>
      </c>
      <c r="S148" s="332">
        <f>+VLOOKUP($E148,Energy_Mix!$1:$1048576,S$2,FALSE)</f>
        <v>1</v>
      </c>
      <c r="T148" s="332">
        <f>+VLOOKUP($E148,Energy_Mix!$1:$1048576,T$2,FALSE)</f>
        <v>1</v>
      </c>
      <c r="U148" s="332">
        <f>+VLOOKUP($E148,Energy_Mix!$1:$1048576,U$2,FALSE)</f>
        <v>1</v>
      </c>
      <c r="V148" s="332">
        <f>+VLOOKUP($E148,Energy_Mix!$1:$1048576,V$2,FALSE)</f>
        <v>1</v>
      </c>
      <c r="W148" s="332">
        <f>+VLOOKUP($E148,Energy_Mix!$1:$1048576,W$2,FALSE)</f>
        <v>1</v>
      </c>
      <c r="X148" s="332">
        <f>+VLOOKUP($E148,Energy_Mix!$1:$1048576,X$2,FALSE)</f>
        <v>1</v>
      </c>
      <c r="Y148" s="332">
        <f>+VLOOKUP($E148,Energy_Mix!$1:$1048576,Y$2,FALSE)</f>
        <v>1</v>
      </c>
      <c r="Z148" s="332">
        <f>+VLOOKUP($E148,Energy_Mix!$1:$1048576,Z$2,FALSE)</f>
        <v>1</v>
      </c>
      <c r="AA148" s="332">
        <f>+VLOOKUP($E148,Energy_Mix!$1:$1048576,AA$2,FALSE)</f>
        <v>1</v>
      </c>
      <c r="AB148" s="332">
        <f>+VLOOKUP($E148,Energy_Mix!$1:$1048576,AB$2,FALSE)</f>
        <v>1</v>
      </c>
      <c r="AC148" s="332">
        <f>+VLOOKUP($E148,Energy_Mix!$1:$1048576,AC$2,FALSE)</f>
        <v>1</v>
      </c>
      <c r="AD148" s="332">
        <f>+VLOOKUP($E148,Energy_Mix!$1:$1048576,AD$2,FALSE)</f>
        <v>1</v>
      </c>
      <c r="AE148" s="332">
        <f>+VLOOKUP($E148,Energy_Mix!$1:$1048576,AE$2,FALSE)</f>
        <v>1</v>
      </c>
      <c r="AF148" s="332">
        <f>+VLOOKUP($E148,Energy_Mix!$1:$1048576,AF$2,FALSE)</f>
        <v>1</v>
      </c>
      <c r="AG148" s="332">
        <f>+VLOOKUP($E148,Energy_Mix!$1:$1048576,AG$2,FALSE)</f>
        <v>1</v>
      </c>
      <c r="AH148" s="332">
        <f>+VLOOKUP($E148,Energy_Mix!$1:$1048576,AH$2,FALSE)</f>
        <v>1</v>
      </c>
      <c r="AI148" s="332">
        <f>+VLOOKUP($E148,Energy_Mix!$1:$1048576,AI$2,FALSE)</f>
        <v>1</v>
      </c>
      <c r="AJ148" s="332">
        <f>+VLOOKUP($E148,Energy_Mix!$1:$1048576,AJ$2,FALSE)</f>
        <v>1</v>
      </c>
      <c r="AK148" s="332">
        <f>+VLOOKUP($E148,Energy_Mix!$1:$1048576,AK$2,FALSE)</f>
        <v>1</v>
      </c>
      <c r="AL148" s="332">
        <f>+VLOOKUP($E148,Energy_Mix!$1:$1048576,AL$2,FALSE)</f>
        <v>1</v>
      </c>
      <c r="AM148" s="332">
        <f>+VLOOKUP($E148,Energy_Mix!$1:$1048576,AM$2,FALSE)</f>
        <v>1</v>
      </c>
      <c r="AN148" s="332">
        <f>+VLOOKUP($E148,Energy_Mix!$1:$1048576,AN$2,FALSE)</f>
        <v>1</v>
      </c>
      <c r="AO148" s="332">
        <f>+VLOOKUP($E148,Energy_Mix!$1:$1048576,AO$2,FALSE)</f>
        <v>1</v>
      </c>
    </row>
    <row r="149" spans="1:49" ht="15" customHeight="1" x14ac:dyDescent="0.25">
      <c r="A149" s="392"/>
      <c r="B149" s="388"/>
      <c r="C149" s="168" t="s">
        <v>542</v>
      </c>
      <c r="D149" s="128"/>
      <c r="E149" s="50"/>
      <c r="F149" s="327">
        <f>SUM(F150:F153)</f>
        <v>1.0000000000824001</v>
      </c>
      <c r="G149" s="327">
        <f t="shared" ref="G149:AO149" si="31">SUM(G150:G153)</f>
        <v>1.0000000000824001</v>
      </c>
      <c r="H149" s="327">
        <f t="shared" si="31"/>
        <v>1.0000000000824001</v>
      </c>
      <c r="I149" s="327">
        <f t="shared" si="31"/>
        <v>1.0000000000824001</v>
      </c>
      <c r="J149" s="327">
        <f t="shared" si="31"/>
        <v>1.0000000000824001</v>
      </c>
      <c r="K149" s="327">
        <f t="shared" si="31"/>
        <v>1.0000000000824001</v>
      </c>
      <c r="L149" s="327">
        <f t="shared" si="31"/>
        <v>1.0000000000824001</v>
      </c>
      <c r="M149" s="327">
        <f t="shared" si="31"/>
        <v>1.0000000000824001</v>
      </c>
      <c r="N149" s="327">
        <f t="shared" si="31"/>
        <v>1.0000000000824001</v>
      </c>
      <c r="O149" s="327">
        <f t="shared" si="31"/>
        <v>1.0000000000824001</v>
      </c>
      <c r="P149" s="327">
        <f t="shared" si="31"/>
        <v>1.0000000000824001</v>
      </c>
      <c r="Q149" s="327">
        <f t="shared" si="31"/>
        <v>1.0000000000824001</v>
      </c>
      <c r="R149" s="327">
        <f t="shared" si="31"/>
        <v>1.0000000000824001</v>
      </c>
      <c r="S149" s="327">
        <f t="shared" si="31"/>
        <v>1.0000000000824001</v>
      </c>
      <c r="T149" s="327">
        <f t="shared" si="31"/>
        <v>1.0000000000824001</v>
      </c>
      <c r="U149" s="327">
        <f t="shared" si="31"/>
        <v>1.0000000000824001</v>
      </c>
      <c r="V149" s="327">
        <f t="shared" si="31"/>
        <v>1.0000000000824001</v>
      </c>
      <c r="W149" s="327">
        <f t="shared" si="31"/>
        <v>1.0000000000824001</v>
      </c>
      <c r="X149" s="327">
        <f t="shared" si="31"/>
        <v>1.0000000000824001</v>
      </c>
      <c r="Y149" s="327">
        <f t="shared" si="31"/>
        <v>1.0000000000824001</v>
      </c>
      <c r="Z149" s="327">
        <f t="shared" si="31"/>
        <v>1.0000000000824001</v>
      </c>
      <c r="AA149" s="327">
        <f t="shared" si="31"/>
        <v>1.0000000000824001</v>
      </c>
      <c r="AB149" s="327">
        <f t="shared" si="31"/>
        <v>1.0000000000824001</v>
      </c>
      <c r="AC149" s="327">
        <f t="shared" si="31"/>
        <v>1.0000000000824001</v>
      </c>
      <c r="AD149" s="327">
        <f t="shared" si="31"/>
        <v>1.0000000000824001</v>
      </c>
      <c r="AE149" s="327">
        <f t="shared" si="31"/>
        <v>1.0000000000824001</v>
      </c>
      <c r="AF149" s="327">
        <f t="shared" si="31"/>
        <v>1.0000000000824001</v>
      </c>
      <c r="AG149" s="327">
        <f t="shared" si="31"/>
        <v>1.0000000000824001</v>
      </c>
      <c r="AH149" s="327">
        <f t="shared" si="31"/>
        <v>1.0000000000824001</v>
      </c>
      <c r="AI149" s="327">
        <f t="shared" si="31"/>
        <v>1.0000000000824001</v>
      </c>
      <c r="AJ149" s="327">
        <f t="shared" si="31"/>
        <v>1.0000000000824001</v>
      </c>
      <c r="AK149" s="327">
        <f t="shared" si="31"/>
        <v>1.0000000000824001</v>
      </c>
      <c r="AL149" s="327">
        <f t="shared" si="31"/>
        <v>1.0000000000824001</v>
      </c>
      <c r="AM149" s="327">
        <f t="shared" si="31"/>
        <v>1.0000000000824001</v>
      </c>
      <c r="AN149" s="327">
        <f t="shared" si="31"/>
        <v>1.0000000000824001</v>
      </c>
      <c r="AO149" s="327">
        <f t="shared" si="31"/>
        <v>1.0000000000824001</v>
      </c>
      <c r="AP149" s="73"/>
      <c r="AQ149" s="73"/>
      <c r="AR149" s="73"/>
      <c r="AS149" s="73"/>
      <c r="AT149" s="73"/>
      <c r="AU149" s="73"/>
      <c r="AV149" s="73"/>
      <c r="AW149" s="73"/>
    </row>
    <row r="150" spans="1:49" s="73" customFormat="1" ht="15" customHeight="1" x14ac:dyDescent="0.25">
      <c r="A150" s="392"/>
      <c r="B150" s="388"/>
      <c r="C150" s="168"/>
      <c r="D150" s="128" t="s">
        <v>547</v>
      </c>
      <c r="E150" s="84" t="s">
        <v>1886</v>
      </c>
      <c r="F150" s="332">
        <f>+VLOOKUP($E150,Energy_Mix!$1:$1048576,F$2,FALSE)</f>
        <v>8.2704782399999999E-5</v>
      </c>
      <c r="G150" s="332">
        <f>+VLOOKUP($E150,Energy_Mix!$1:$1048576,G$2,FALSE)</f>
        <v>8.2704782399999999E-5</v>
      </c>
      <c r="H150" s="332">
        <f>+VLOOKUP($E150,Energy_Mix!$1:$1048576,H$2,FALSE)</f>
        <v>8.2704782399999999E-5</v>
      </c>
      <c r="I150" s="332">
        <f>+VLOOKUP($E150,Energy_Mix!$1:$1048576,I$2,FALSE)</f>
        <v>8.2704782399999999E-5</v>
      </c>
      <c r="J150" s="332">
        <f>+VLOOKUP($E150,Energy_Mix!$1:$1048576,J$2,FALSE)</f>
        <v>8.2704782399999999E-5</v>
      </c>
      <c r="K150" s="332">
        <f>+VLOOKUP($E150,Energy_Mix!$1:$1048576,K$2,FALSE)</f>
        <v>8.2704782399999999E-5</v>
      </c>
      <c r="L150" s="332">
        <f>+VLOOKUP($E150,Energy_Mix!$1:$1048576,L$2,FALSE)</f>
        <v>8.2704782399999999E-5</v>
      </c>
      <c r="M150" s="332">
        <f>+VLOOKUP($E150,Energy_Mix!$1:$1048576,M$2,FALSE)</f>
        <v>8.2704782399999999E-5</v>
      </c>
      <c r="N150" s="332">
        <f>+VLOOKUP($E150,Energy_Mix!$1:$1048576,N$2,FALSE)</f>
        <v>8.2704782399999999E-5</v>
      </c>
      <c r="O150" s="332">
        <f>+VLOOKUP($E150,Energy_Mix!$1:$1048576,O$2,FALSE)</f>
        <v>8.2704782399999999E-5</v>
      </c>
      <c r="P150" s="332">
        <f>+VLOOKUP($E150,Energy_Mix!$1:$1048576,P$2,FALSE)</f>
        <v>8.2704782399999999E-5</v>
      </c>
      <c r="Q150" s="332">
        <f>+VLOOKUP($E150,Energy_Mix!$1:$1048576,Q$2,FALSE)</f>
        <v>8.2704782399999999E-5</v>
      </c>
      <c r="R150" s="332">
        <f>+VLOOKUP($E150,Energy_Mix!$1:$1048576,R$2,FALSE)</f>
        <v>8.2704782399999999E-5</v>
      </c>
      <c r="S150" s="332">
        <f>+VLOOKUP($E150,Energy_Mix!$1:$1048576,S$2,FALSE)</f>
        <v>8.2704782399999999E-5</v>
      </c>
      <c r="T150" s="332">
        <f>+VLOOKUP($E150,Energy_Mix!$1:$1048576,T$2,FALSE)</f>
        <v>8.2704782399999999E-5</v>
      </c>
      <c r="U150" s="332">
        <f>+VLOOKUP($E150,Energy_Mix!$1:$1048576,U$2,FALSE)</f>
        <v>8.2704782399999999E-5</v>
      </c>
      <c r="V150" s="332">
        <f>+VLOOKUP($E150,Energy_Mix!$1:$1048576,V$2,FALSE)</f>
        <v>8.2704782399999999E-5</v>
      </c>
      <c r="W150" s="332">
        <f>+VLOOKUP($E150,Energy_Mix!$1:$1048576,W$2,FALSE)</f>
        <v>8.2704782399999999E-5</v>
      </c>
      <c r="X150" s="332">
        <f>+VLOOKUP($E150,Energy_Mix!$1:$1048576,X$2,FALSE)</f>
        <v>8.2704782399999999E-5</v>
      </c>
      <c r="Y150" s="332">
        <f>+VLOOKUP($E150,Energy_Mix!$1:$1048576,Y$2,FALSE)</f>
        <v>8.2704782399999999E-5</v>
      </c>
      <c r="Z150" s="332">
        <f>+VLOOKUP($E150,Energy_Mix!$1:$1048576,Z$2,FALSE)</f>
        <v>8.2704782399999999E-5</v>
      </c>
      <c r="AA150" s="332">
        <f>+VLOOKUP($E150,Energy_Mix!$1:$1048576,AA$2,FALSE)</f>
        <v>8.2704782399999999E-5</v>
      </c>
      <c r="AB150" s="332">
        <f>+VLOOKUP($E150,Energy_Mix!$1:$1048576,AB$2,FALSE)</f>
        <v>8.2704782399999999E-5</v>
      </c>
      <c r="AC150" s="332">
        <f>+VLOOKUP($E150,Energy_Mix!$1:$1048576,AC$2,FALSE)</f>
        <v>8.2704782399999999E-5</v>
      </c>
      <c r="AD150" s="332">
        <f>+VLOOKUP($E150,Energy_Mix!$1:$1048576,AD$2,FALSE)</f>
        <v>8.2704782399999999E-5</v>
      </c>
      <c r="AE150" s="332">
        <f>+VLOOKUP($E150,Energy_Mix!$1:$1048576,AE$2,FALSE)</f>
        <v>8.2704782399999999E-5</v>
      </c>
      <c r="AF150" s="332">
        <f>+VLOOKUP($E150,Energy_Mix!$1:$1048576,AF$2,FALSE)</f>
        <v>8.2704782399999999E-5</v>
      </c>
      <c r="AG150" s="332">
        <f>+VLOOKUP($E150,Energy_Mix!$1:$1048576,AG$2,FALSE)</f>
        <v>8.2704782399999999E-5</v>
      </c>
      <c r="AH150" s="332">
        <f>+VLOOKUP($E150,Energy_Mix!$1:$1048576,AH$2,FALSE)</f>
        <v>8.2704782399999999E-5</v>
      </c>
      <c r="AI150" s="332">
        <f>+VLOOKUP($E150,Energy_Mix!$1:$1048576,AI$2,FALSE)</f>
        <v>8.2704782399999999E-5</v>
      </c>
      <c r="AJ150" s="332">
        <f>+VLOOKUP($E150,Energy_Mix!$1:$1048576,AJ$2,FALSE)</f>
        <v>8.2704782399999999E-5</v>
      </c>
      <c r="AK150" s="332">
        <f>+VLOOKUP($E150,Energy_Mix!$1:$1048576,AK$2,FALSE)</f>
        <v>8.2704782399999999E-5</v>
      </c>
      <c r="AL150" s="332">
        <f>+VLOOKUP($E150,Energy_Mix!$1:$1048576,AL$2,FALSE)</f>
        <v>8.2704782399999999E-5</v>
      </c>
      <c r="AM150" s="332">
        <f>+VLOOKUP($E150,Energy_Mix!$1:$1048576,AM$2,FALSE)</f>
        <v>8.2704782399999999E-5</v>
      </c>
      <c r="AN150" s="332">
        <f>+VLOOKUP($E150,Energy_Mix!$1:$1048576,AN$2,FALSE)</f>
        <v>8.2704782399999999E-5</v>
      </c>
      <c r="AO150" s="332">
        <f>+VLOOKUP($E150,Energy_Mix!$1:$1048576,AO$2,FALSE)</f>
        <v>8.2704782399999999E-5</v>
      </c>
    </row>
    <row r="151" spans="1:49" s="73" customFormat="1" ht="15" customHeight="1" x14ac:dyDescent="0.25">
      <c r="A151" s="392"/>
      <c r="B151" s="388"/>
      <c r="C151" s="168"/>
      <c r="D151" s="128" t="s">
        <v>547</v>
      </c>
      <c r="E151" s="84" t="s">
        <v>1885</v>
      </c>
      <c r="F151" s="332">
        <f>+VLOOKUP($E151,Energy_Mix!$1:$1048576,F$2,FALSE)</f>
        <v>0.64531658700000005</v>
      </c>
      <c r="G151" s="332">
        <f>+VLOOKUP($E151,Energy_Mix!$1:$1048576,G$2,FALSE)</f>
        <v>0.64531658700000005</v>
      </c>
      <c r="H151" s="332">
        <f>+VLOOKUP($E151,Energy_Mix!$1:$1048576,H$2,FALSE)</f>
        <v>0.64531658700000005</v>
      </c>
      <c r="I151" s="332">
        <f>+VLOOKUP($E151,Energy_Mix!$1:$1048576,I$2,FALSE)</f>
        <v>0.64531658700000005</v>
      </c>
      <c r="J151" s="332">
        <f>+VLOOKUP($E151,Energy_Mix!$1:$1048576,J$2,FALSE)</f>
        <v>0.64531658700000005</v>
      </c>
      <c r="K151" s="332">
        <f>+VLOOKUP($E151,Energy_Mix!$1:$1048576,K$2,FALSE)</f>
        <v>0.64531658700000005</v>
      </c>
      <c r="L151" s="332">
        <f>+VLOOKUP($E151,Energy_Mix!$1:$1048576,L$2,FALSE)</f>
        <v>0.64531658700000005</v>
      </c>
      <c r="M151" s="332">
        <f>+VLOOKUP($E151,Energy_Mix!$1:$1048576,M$2,FALSE)</f>
        <v>0.64531658700000005</v>
      </c>
      <c r="N151" s="332">
        <f>+VLOOKUP($E151,Energy_Mix!$1:$1048576,N$2,FALSE)</f>
        <v>0.64531658700000005</v>
      </c>
      <c r="O151" s="332">
        <f>+VLOOKUP($E151,Energy_Mix!$1:$1048576,O$2,FALSE)</f>
        <v>0.64531658700000005</v>
      </c>
      <c r="P151" s="332">
        <f>+VLOOKUP($E151,Energy_Mix!$1:$1048576,P$2,FALSE)</f>
        <v>0.64531658700000005</v>
      </c>
      <c r="Q151" s="332">
        <f>+VLOOKUP($E151,Energy_Mix!$1:$1048576,Q$2,FALSE)</f>
        <v>0.64531658700000005</v>
      </c>
      <c r="R151" s="332">
        <f>+VLOOKUP($E151,Energy_Mix!$1:$1048576,R$2,FALSE)</f>
        <v>0.64531658700000005</v>
      </c>
      <c r="S151" s="332">
        <f>+VLOOKUP($E151,Energy_Mix!$1:$1048576,S$2,FALSE)</f>
        <v>0.64531658700000005</v>
      </c>
      <c r="T151" s="332">
        <f>+VLOOKUP($E151,Energy_Mix!$1:$1048576,T$2,FALSE)</f>
        <v>0.64531658700000005</v>
      </c>
      <c r="U151" s="332">
        <f>+VLOOKUP($E151,Energy_Mix!$1:$1048576,U$2,FALSE)</f>
        <v>0.64531658700000005</v>
      </c>
      <c r="V151" s="332">
        <f>+VLOOKUP($E151,Energy_Mix!$1:$1048576,V$2,FALSE)</f>
        <v>0.64531658700000005</v>
      </c>
      <c r="W151" s="332">
        <f>+VLOOKUP($E151,Energy_Mix!$1:$1048576,W$2,FALSE)</f>
        <v>0.64531658700000005</v>
      </c>
      <c r="X151" s="332">
        <f>+VLOOKUP($E151,Energy_Mix!$1:$1048576,X$2,FALSE)</f>
        <v>0.64531658700000005</v>
      </c>
      <c r="Y151" s="332">
        <f>+VLOOKUP($E151,Energy_Mix!$1:$1048576,Y$2,FALSE)</f>
        <v>0.64531658700000005</v>
      </c>
      <c r="Z151" s="332">
        <f>+VLOOKUP($E151,Energy_Mix!$1:$1048576,Z$2,FALSE)</f>
        <v>0.64531658700000005</v>
      </c>
      <c r="AA151" s="332">
        <f>+VLOOKUP($E151,Energy_Mix!$1:$1048576,AA$2,FALSE)</f>
        <v>0.64531658700000005</v>
      </c>
      <c r="AB151" s="332">
        <f>+VLOOKUP($E151,Energy_Mix!$1:$1048576,AB$2,FALSE)</f>
        <v>0.64531658700000005</v>
      </c>
      <c r="AC151" s="332">
        <f>+VLOOKUP($E151,Energy_Mix!$1:$1048576,AC$2,FALSE)</f>
        <v>0.64531658700000005</v>
      </c>
      <c r="AD151" s="332">
        <f>+VLOOKUP($E151,Energy_Mix!$1:$1048576,AD$2,FALSE)</f>
        <v>0.64531658700000005</v>
      </c>
      <c r="AE151" s="332">
        <f>+VLOOKUP($E151,Energy_Mix!$1:$1048576,AE$2,FALSE)</f>
        <v>0.64531658700000005</v>
      </c>
      <c r="AF151" s="332">
        <f>+VLOOKUP($E151,Energy_Mix!$1:$1048576,AF$2,FALSE)</f>
        <v>0.64531658700000005</v>
      </c>
      <c r="AG151" s="332">
        <f>+VLOOKUP($E151,Energy_Mix!$1:$1048576,AG$2,FALSE)</f>
        <v>0.64531658700000005</v>
      </c>
      <c r="AH151" s="332">
        <f>+VLOOKUP($E151,Energy_Mix!$1:$1048576,AH$2,FALSE)</f>
        <v>0.64531658700000005</v>
      </c>
      <c r="AI151" s="332">
        <f>+VLOOKUP($E151,Energy_Mix!$1:$1048576,AI$2,FALSE)</f>
        <v>0.64531658700000005</v>
      </c>
      <c r="AJ151" s="332">
        <f>+VLOOKUP($E151,Energy_Mix!$1:$1048576,AJ$2,FALSE)</f>
        <v>0.64531658700000005</v>
      </c>
      <c r="AK151" s="332">
        <f>+VLOOKUP($E151,Energy_Mix!$1:$1048576,AK$2,FALSE)</f>
        <v>0.64531658700000005</v>
      </c>
      <c r="AL151" s="332">
        <f>+VLOOKUP($E151,Energy_Mix!$1:$1048576,AL$2,FALSE)</f>
        <v>0.64531658700000005</v>
      </c>
      <c r="AM151" s="332">
        <f>+VLOOKUP($E151,Energy_Mix!$1:$1048576,AM$2,FALSE)</f>
        <v>0.64531658700000005</v>
      </c>
      <c r="AN151" s="332">
        <f>+VLOOKUP($E151,Energy_Mix!$1:$1048576,AN$2,FALSE)</f>
        <v>0.64531658700000005</v>
      </c>
      <c r="AO151" s="332">
        <f>+VLOOKUP($E151,Energy_Mix!$1:$1048576,AO$2,FALSE)</f>
        <v>0.64531658700000005</v>
      </c>
    </row>
    <row r="152" spans="1:49" ht="15" customHeight="1" x14ac:dyDescent="0.25">
      <c r="A152" s="392"/>
      <c r="B152" s="388"/>
      <c r="C152" s="128"/>
      <c r="D152" s="128" t="s">
        <v>547</v>
      </c>
      <c r="E152" s="84" t="s">
        <v>472</v>
      </c>
      <c r="F152" s="332">
        <f>+VLOOKUP($E152,Energy_Mix!$1:$1048576,F$2,FALSE)</f>
        <v>0.14751432270000001</v>
      </c>
      <c r="G152" s="332">
        <f>+VLOOKUP($E152,Energy_Mix!$1:$1048576,G$2,FALSE)</f>
        <v>0.14751432270000001</v>
      </c>
      <c r="H152" s="332">
        <f>+VLOOKUP($E152,Energy_Mix!$1:$1048576,H$2,FALSE)</f>
        <v>0.14751432270000001</v>
      </c>
      <c r="I152" s="332">
        <f>+VLOOKUP($E152,Energy_Mix!$1:$1048576,I$2,FALSE)</f>
        <v>0.14751432270000001</v>
      </c>
      <c r="J152" s="332">
        <f>+VLOOKUP($E152,Energy_Mix!$1:$1048576,J$2,FALSE)</f>
        <v>0.14751432270000001</v>
      </c>
      <c r="K152" s="332">
        <f>+VLOOKUP($E152,Energy_Mix!$1:$1048576,K$2,FALSE)</f>
        <v>0.14751432270000001</v>
      </c>
      <c r="L152" s="332">
        <f>+VLOOKUP($E152,Energy_Mix!$1:$1048576,L$2,FALSE)</f>
        <v>0.14751432270000001</v>
      </c>
      <c r="M152" s="332">
        <f>+VLOOKUP($E152,Energy_Mix!$1:$1048576,M$2,FALSE)</f>
        <v>0.14751432270000001</v>
      </c>
      <c r="N152" s="332">
        <f>+VLOOKUP($E152,Energy_Mix!$1:$1048576,N$2,FALSE)</f>
        <v>0.14751432270000001</v>
      </c>
      <c r="O152" s="332">
        <f>+VLOOKUP($E152,Energy_Mix!$1:$1048576,O$2,FALSE)</f>
        <v>0.14751432270000001</v>
      </c>
      <c r="P152" s="332">
        <f>+VLOOKUP($E152,Energy_Mix!$1:$1048576,P$2,FALSE)</f>
        <v>0.14751432270000001</v>
      </c>
      <c r="Q152" s="332">
        <f>+VLOOKUP($E152,Energy_Mix!$1:$1048576,Q$2,FALSE)</f>
        <v>0.14751432270000001</v>
      </c>
      <c r="R152" s="332">
        <f>+VLOOKUP($E152,Energy_Mix!$1:$1048576,R$2,FALSE)</f>
        <v>0.14751432270000001</v>
      </c>
      <c r="S152" s="332">
        <f>+VLOOKUP($E152,Energy_Mix!$1:$1048576,S$2,FALSE)</f>
        <v>0.14751432270000001</v>
      </c>
      <c r="T152" s="332">
        <f>+VLOOKUP($E152,Energy_Mix!$1:$1048576,T$2,FALSE)</f>
        <v>0.14751432270000001</v>
      </c>
      <c r="U152" s="332">
        <f>+VLOOKUP($E152,Energy_Mix!$1:$1048576,U$2,FALSE)</f>
        <v>0.14751432270000001</v>
      </c>
      <c r="V152" s="332">
        <f>+VLOOKUP($E152,Energy_Mix!$1:$1048576,V$2,FALSE)</f>
        <v>0.14751432270000001</v>
      </c>
      <c r="W152" s="332">
        <f>+VLOOKUP($E152,Energy_Mix!$1:$1048576,W$2,FALSE)</f>
        <v>0.14751432270000001</v>
      </c>
      <c r="X152" s="332">
        <f>+VLOOKUP($E152,Energy_Mix!$1:$1048576,X$2,FALSE)</f>
        <v>0.14751432270000001</v>
      </c>
      <c r="Y152" s="332">
        <f>+VLOOKUP($E152,Energy_Mix!$1:$1048576,Y$2,FALSE)</f>
        <v>0.14751432270000001</v>
      </c>
      <c r="Z152" s="332">
        <f>+VLOOKUP($E152,Energy_Mix!$1:$1048576,Z$2,FALSE)</f>
        <v>0.14751432270000001</v>
      </c>
      <c r="AA152" s="332">
        <f>+VLOOKUP($E152,Energy_Mix!$1:$1048576,AA$2,FALSE)</f>
        <v>0.14751432270000001</v>
      </c>
      <c r="AB152" s="332">
        <f>+VLOOKUP($E152,Energy_Mix!$1:$1048576,AB$2,FALSE)</f>
        <v>0.14751432270000001</v>
      </c>
      <c r="AC152" s="332">
        <f>+VLOOKUP($E152,Energy_Mix!$1:$1048576,AC$2,FALSE)</f>
        <v>0.14751432270000001</v>
      </c>
      <c r="AD152" s="332">
        <f>+VLOOKUP($E152,Energy_Mix!$1:$1048576,AD$2,FALSE)</f>
        <v>0.14751432270000001</v>
      </c>
      <c r="AE152" s="332">
        <f>+VLOOKUP($E152,Energy_Mix!$1:$1048576,AE$2,FALSE)</f>
        <v>0.14751432270000001</v>
      </c>
      <c r="AF152" s="332">
        <f>+VLOOKUP($E152,Energy_Mix!$1:$1048576,AF$2,FALSE)</f>
        <v>0.14751432270000001</v>
      </c>
      <c r="AG152" s="332">
        <f>+VLOOKUP($E152,Energy_Mix!$1:$1048576,AG$2,FALSE)</f>
        <v>0.14751432270000001</v>
      </c>
      <c r="AH152" s="332">
        <f>+VLOOKUP($E152,Energy_Mix!$1:$1048576,AH$2,FALSE)</f>
        <v>0.14751432270000001</v>
      </c>
      <c r="AI152" s="332">
        <f>+VLOOKUP($E152,Energy_Mix!$1:$1048576,AI$2,FALSE)</f>
        <v>0.14751432270000001</v>
      </c>
      <c r="AJ152" s="332">
        <f>+VLOOKUP($E152,Energy_Mix!$1:$1048576,AJ$2,FALSE)</f>
        <v>0.14751432270000001</v>
      </c>
      <c r="AK152" s="332">
        <f>+VLOOKUP($E152,Energy_Mix!$1:$1048576,AK$2,FALSE)</f>
        <v>0.14751432270000001</v>
      </c>
      <c r="AL152" s="332">
        <f>+VLOOKUP($E152,Energy_Mix!$1:$1048576,AL$2,FALSE)</f>
        <v>0.14751432270000001</v>
      </c>
      <c r="AM152" s="332">
        <f>+VLOOKUP($E152,Energy_Mix!$1:$1048576,AM$2,FALSE)</f>
        <v>0.14751432270000001</v>
      </c>
      <c r="AN152" s="332">
        <f>+VLOOKUP($E152,Energy_Mix!$1:$1048576,AN$2,FALSE)</f>
        <v>0.14751432270000001</v>
      </c>
      <c r="AO152" s="332">
        <f>+VLOOKUP($E152,Energy_Mix!$1:$1048576,AO$2,FALSE)</f>
        <v>0.14751432270000001</v>
      </c>
      <c r="AP152" s="73"/>
      <c r="AQ152" s="73"/>
      <c r="AR152" s="73"/>
      <c r="AS152" s="73"/>
      <c r="AT152" s="73"/>
      <c r="AU152" s="73"/>
      <c r="AV152" s="73"/>
      <c r="AW152" s="73"/>
    </row>
    <row r="153" spans="1:49" ht="15" customHeight="1" x14ac:dyDescent="0.25">
      <c r="A153" s="392"/>
      <c r="B153" s="388"/>
      <c r="C153" s="128"/>
      <c r="D153" s="128" t="s">
        <v>548</v>
      </c>
      <c r="E153" s="84" t="s">
        <v>473</v>
      </c>
      <c r="F153" s="332">
        <f>+VLOOKUP($E153,Energy_Mix!$1:$1048576,F$2,FALSE)</f>
        <v>0.20708638560000001</v>
      </c>
      <c r="G153" s="332">
        <f>+VLOOKUP($E153,Energy_Mix!$1:$1048576,G$2,FALSE)</f>
        <v>0.20708638560000001</v>
      </c>
      <c r="H153" s="332">
        <f>+VLOOKUP($E153,Energy_Mix!$1:$1048576,H$2,FALSE)</f>
        <v>0.20708638560000001</v>
      </c>
      <c r="I153" s="332">
        <f>+VLOOKUP($E153,Energy_Mix!$1:$1048576,I$2,FALSE)</f>
        <v>0.20708638560000001</v>
      </c>
      <c r="J153" s="332">
        <f>+VLOOKUP($E153,Energy_Mix!$1:$1048576,J$2,FALSE)</f>
        <v>0.20708638560000001</v>
      </c>
      <c r="K153" s="332">
        <f>+VLOOKUP($E153,Energy_Mix!$1:$1048576,K$2,FALSE)</f>
        <v>0.20708638560000001</v>
      </c>
      <c r="L153" s="332">
        <f>+VLOOKUP($E153,Energy_Mix!$1:$1048576,L$2,FALSE)</f>
        <v>0.20708638560000001</v>
      </c>
      <c r="M153" s="332">
        <f>+VLOOKUP($E153,Energy_Mix!$1:$1048576,M$2,FALSE)</f>
        <v>0.20708638560000001</v>
      </c>
      <c r="N153" s="332">
        <f>+VLOOKUP($E153,Energy_Mix!$1:$1048576,N$2,FALSE)</f>
        <v>0.20708638560000001</v>
      </c>
      <c r="O153" s="332">
        <f>+VLOOKUP($E153,Energy_Mix!$1:$1048576,O$2,FALSE)</f>
        <v>0.20708638560000001</v>
      </c>
      <c r="P153" s="332">
        <f>+VLOOKUP($E153,Energy_Mix!$1:$1048576,P$2,FALSE)</f>
        <v>0.20708638560000001</v>
      </c>
      <c r="Q153" s="332">
        <f>+VLOOKUP($E153,Energy_Mix!$1:$1048576,Q$2,FALSE)</f>
        <v>0.20708638560000001</v>
      </c>
      <c r="R153" s="332">
        <f>+VLOOKUP($E153,Energy_Mix!$1:$1048576,R$2,FALSE)</f>
        <v>0.20708638560000001</v>
      </c>
      <c r="S153" s="332">
        <f>+VLOOKUP($E153,Energy_Mix!$1:$1048576,S$2,FALSE)</f>
        <v>0.20708638560000001</v>
      </c>
      <c r="T153" s="332">
        <f>+VLOOKUP($E153,Energy_Mix!$1:$1048576,T$2,FALSE)</f>
        <v>0.20708638560000001</v>
      </c>
      <c r="U153" s="332">
        <f>+VLOOKUP($E153,Energy_Mix!$1:$1048576,U$2,FALSE)</f>
        <v>0.20708638560000001</v>
      </c>
      <c r="V153" s="332">
        <f>+VLOOKUP($E153,Energy_Mix!$1:$1048576,V$2,FALSE)</f>
        <v>0.20708638560000001</v>
      </c>
      <c r="W153" s="332">
        <f>+VLOOKUP($E153,Energy_Mix!$1:$1048576,W$2,FALSE)</f>
        <v>0.20708638560000001</v>
      </c>
      <c r="X153" s="332">
        <f>+VLOOKUP($E153,Energy_Mix!$1:$1048576,X$2,FALSE)</f>
        <v>0.20708638560000001</v>
      </c>
      <c r="Y153" s="332">
        <f>+VLOOKUP($E153,Energy_Mix!$1:$1048576,Y$2,FALSE)</f>
        <v>0.20708638560000001</v>
      </c>
      <c r="Z153" s="332">
        <f>+VLOOKUP($E153,Energy_Mix!$1:$1048576,Z$2,FALSE)</f>
        <v>0.20708638560000001</v>
      </c>
      <c r="AA153" s="332">
        <f>+VLOOKUP($E153,Energy_Mix!$1:$1048576,AA$2,FALSE)</f>
        <v>0.20708638560000001</v>
      </c>
      <c r="AB153" s="332">
        <f>+VLOOKUP($E153,Energy_Mix!$1:$1048576,AB$2,FALSE)</f>
        <v>0.20708638560000001</v>
      </c>
      <c r="AC153" s="332">
        <f>+VLOOKUP($E153,Energy_Mix!$1:$1048576,AC$2,FALSE)</f>
        <v>0.20708638560000001</v>
      </c>
      <c r="AD153" s="332">
        <f>+VLOOKUP($E153,Energy_Mix!$1:$1048576,AD$2,FALSE)</f>
        <v>0.20708638560000001</v>
      </c>
      <c r="AE153" s="332">
        <f>+VLOOKUP($E153,Energy_Mix!$1:$1048576,AE$2,FALSE)</f>
        <v>0.20708638560000001</v>
      </c>
      <c r="AF153" s="332">
        <f>+VLOOKUP($E153,Energy_Mix!$1:$1048576,AF$2,FALSE)</f>
        <v>0.20708638560000001</v>
      </c>
      <c r="AG153" s="332">
        <f>+VLOOKUP($E153,Energy_Mix!$1:$1048576,AG$2,FALSE)</f>
        <v>0.20708638560000001</v>
      </c>
      <c r="AH153" s="332">
        <f>+VLOOKUP($E153,Energy_Mix!$1:$1048576,AH$2,FALSE)</f>
        <v>0.20708638560000001</v>
      </c>
      <c r="AI153" s="332">
        <f>+VLOOKUP($E153,Energy_Mix!$1:$1048576,AI$2,FALSE)</f>
        <v>0.20708638560000001</v>
      </c>
      <c r="AJ153" s="332">
        <f>+VLOOKUP($E153,Energy_Mix!$1:$1048576,AJ$2,FALSE)</f>
        <v>0.20708638560000001</v>
      </c>
      <c r="AK153" s="332">
        <f>+VLOOKUP($E153,Energy_Mix!$1:$1048576,AK$2,FALSE)</f>
        <v>0.20708638560000001</v>
      </c>
      <c r="AL153" s="332">
        <f>+VLOOKUP($E153,Energy_Mix!$1:$1048576,AL$2,FALSE)</f>
        <v>0.20708638560000001</v>
      </c>
      <c r="AM153" s="332">
        <f>+VLOOKUP($E153,Energy_Mix!$1:$1048576,AM$2,FALSE)</f>
        <v>0.20708638560000001</v>
      </c>
      <c r="AN153" s="332">
        <f>+VLOOKUP($E153,Energy_Mix!$1:$1048576,AN$2,FALSE)</f>
        <v>0.20708638560000001</v>
      </c>
      <c r="AO153" s="332">
        <f>+VLOOKUP($E153,Energy_Mix!$1:$1048576,AO$2,FALSE)</f>
        <v>0.20708638560000001</v>
      </c>
      <c r="AP153" s="73"/>
      <c r="AQ153" s="73"/>
      <c r="AR153" s="73"/>
      <c r="AS153" s="73"/>
      <c r="AT153" s="73"/>
      <c r="AU153" s="73"/>
      <c r="AV153" s="73"/>
      <c r="AW153" s="73"/>
    </row>
    <row r="154" spans="1:49" ht="15" customHeight="1" x14ac:dyDescent="0.25">
      <c r="A154" s="392"/>
      <c r="B154" s="388"/>
      <c r="C154" s="168" t="s">
        <v>543</v>
      </c>
      <c r="D154" s="128"/>
      <c r="E154" s="50"/>
      <c r="F154" s="327">
        <f>SUM(F155:F163)</f>
        <v>1.0000000000800002</v>
      </c>
      <c r="G154" s="327">
        <f t="shared" ref="G154:AO154" si="32">SUM(G155:G163)</f>
        <v>1.0000000000799998</v>
      </c>
      <c r="H154" s="327">
        <f t="shared" si="32"/>
        <v>1.0000000000799998</v>
      </c>
      <c r="I154" s="327">
        <f t="shared" si="32"/>
        <v>1.0000000000799998</v>
      </c>
      <c r="J154" s="327">
        <f t="shared" si="32"/>
        <v>1.0000000000799998</v>
      </c>
      <c r="K154" s="327">
        <f t="shared" si="32"/>
        <v>1.0000000000799998</v>
      </c>
      <c r="L154" s="327">
        <f t="shared" si="32"/>
        <v>1.0000000000799998</v>
      </c>
      <c r="M154" s="327">
        <f t="shared" si="32"/>
        <v>1.0000000000799998</v>
      </c>
      <c r="N154" s="327">
        <f t="shared" si="32"/>
        <v>1.0000000000799998</v>
      </c>
      <c r="O154" s="327">
        <f t="shared" si="32"/>
        <v>1.0000000000799998</v>
      </c>
      <c r="P154" s="327">
        <f t="shared" si="32"/>
        <v>1.0000000000799998</v>
      </c>
      <c r="Q154" s="327">
        <f t="shared" si="32"/>
        <v>1.0000000000799998</v>
      </c>
      <c r="R154" s="327">
        <f t="shared" si="32"/>
        <v>1.0000000000799998</v>
      </c>
      <c r="S154" s="327">
        <f t="shared" si="32"/>
        <v>1.0000000000799998</v>
      </c>
      <c r="T154" s="327">
        <f t="shared" si="32"/>
        <v>1.0000000000799998</v>
      </c>
      <c r="U154" s="327">
        <f t="shared" si="32"/>
        <v>1.0000000000799998</v>
      </c>
      <c r="V154" s="327">
        <f t="shared" si="32"/>
        <v>1.0000000000799998</v>
      </c>
      <c r="W154" s="327">
        <f t="shared" si="32"/>
        <v>1.0000000000799998</v>
      </c>
      <c r="X154" s="327">
        <f t="shared" si="32"/>
        <v>1.0000000000799998</v>
      </c>
      <c r="Y154" s="327">
        <f t="shared" si="32"/>
        <v>1.0000000000799998</v>
      </c>
      <c r="Z154" s="327">
        <f t="shared" si="32"/>
        <v>1.0000000000799998</v>
      </c>
      <c r="AA154" s="327">
        <f t="shared" si="32"/>
        <v>1.0000000000799998</v>
      </c>
      <c r="AB154" s="327">
        <f t="shared" si="32"/>
        <v>1.0000000000799998</v>
      </c>
      <c r="AC154" s="327">
        <f t="shared" si="32"/>
        <v>1.0000000000799998</v>
      </c>
      <c r="AD154" s="327">
        <f t="shared" si="32"/>
        <v>1.0000000000799998</v>
      </c>
      <c r="AE154" s="327">
        <f t="shared" si="32"/>
        <v>1.0000000000799998</v>
      </c>
      <c r="AF154" s="327">
        <f t="shared" si="32"/>
        <v>1.0000000000799998</v>
      </c>
      <c r="AG154" s="327">
        <f t="shared" si="32"/>
        <v>1.0000000000799998</v>
      </c>
      <c r="AH154" s="327">
        <f t="shared" si="32"/>
        <v>1.0000000000799998</v>
      </c>
      <c r="AI154" s="327">
        <f t="shared" si="32"/>
        <v>1.0000000000799998</v>
      </c>
      <c r="AJ154" s="327">
        <f t="shared" si="32"/>
        <v>1.0000000000799998</v>
      </c>
      <c r="AK154" s="327">
        <f t="shared" si="32"/>
        <v>1.0000000000799998</v>
      </c>
      <c r="AL154" s="327">
        <f t="shared" si="32"/>
        <v>1.0000000000799998</v>
      </c>
      <c r="AM154" s="327">
        <f t="shared" si="32"/>
        <v>1.0000000000799998</v>
      </c>
      <c r="AN154" s="327">
        <f t="shared" si="32"/>
        <v>1.0000000000799998</v>
      </c>
      <c r="AO154" s="327">
        <f t="shared" si="32"/>
        <v>1.0000000000799998</v>
      </c>
      <c r="AP154" s="73"/>
      <c r="AQ154" s="73"/>
      <c r="AR154" s="73"/>
      <c r="AS154" s="73"/>
      <c r="AT154" s="73"/>
      <c r="AU154" s="73"/>
      <c r="AV154" s="73"/>
      <c r="AW154" s="73"/>
    </row>
    <row r="155" spans="1:49" s="73" customFormat="1" ht="15" customHeight="1" x14ac:dyDescent="0.25">
      <c r="A155" s="392"/>
      <c r="B155" s="388"/>
      <c r="C155" s="128"/>
      <c r="D155" s="128" t="s">
        <v>160</v>
      </c>
      <c r="E155" s="84" t="s">
        <v>483</v>
      </c>
      <c r="F155" s="332">
        <f>+VLOOKUP($E155,Energy_Mix!$1:$1048576,F$2,FALSE)</f>
        <v>0.72577004280000001</v>
      </c>
      <c r="G155" s="332">
        <f>+VLOOKUP($E155,Energy_Mix!$1:$1048576,G$2,FALSE)</f>
        <v>0.72577008499999995</v>
      </c>
      <c r="H155" s="332">
        <f>+VLOOKUP($E155,Energy_Mix!$1:$1048576,H$2,FALSE)</f>
        <v>0.72577008499999995</v>
      </c>
      <c r="I155" s="332">
        <f>+VLOOKUP($E155,Energy_Mix!$1:$1048576,I$2,FALSE)</f>
        <v>0.72577008499999995</v>
      </c>
      <c r="J155" s="332">
        <f>+VLOOKUP($E155,Energy_Mix!$1:$1048576,J$2,FALSE)</f>
        <v>0.72577008499999995</v>
      </c>
      <c r="K155" s="332">
        <f>+VLOOKUP($E155,Energy_Mix!$1:$1048576,K$2,FALSE)</f>
        <v>0.72577008499999995</v>
      </c>
      <c r="L155" s="332">
        <f>+VLOOKUP($E155,Energy_Mix!$1:$1048576,L$2,FALSE)</f>
        <v>0.72577008499999995</v>
      </c>
      <c r="M155" s="332">
        <f>+VLOOKUP($E155,Energy_Mix!$1:$1048576,M$2,FALSE)</f>
        <v>0.72577008499999995</v>
      </c>
      <c r="N155" s="332">
        <f>+VLOOKUP($E155,Energy_Mix!$1:$1048576,N$2,FALSE)</f>
        <v>0.72577008499999995</v>
      </c>
      <c r="O155" s="332">
        <f>+VLOOKUP($E155,Energy_Mix!$1:$1048576,O$2,FALSE)</f>
        <v>0.72577008499999995</v>
      </c>
      <c r="P155" s="332">
        <f>+VLOOKUP($E155,Energy_Mix!$1:$1048576,P$2,FALSE)</f>
        <v>0.72577008499999995</v>
      </c>
      <c r="Q155" s="332">
        <f>+VLOOKUP($E155,Energy_Mix!$1:$1048576,Q$2,FALSE)</f>
        <v>0.72577008499999995</v>
      </c>
      <c r="R155" s="332">
        <f>+VLOOKUP($E155,Energy_Mix!$1:$1048576,R$2,FALSE)</f>
        <v>0.72577008499999995</v>
      </c>
      <c r="S155" s="332">
        <f>+VLOOKUP($E155,Energy_Mix!$1:$1048576,S$2,FALSE)</f>
        <v>0.72577008499999995</v>
      </c>
      <c r="T155" s="332">
        <f>+VLOOKUP($E155,Energy_Mix!$1:$1048576,T$2,FALSE)</f>
        <v>0.72577008499999995</v>
      </c>
      <c r="U155" s="332">
        <f>+VLOOKUP($E155,Energy_Mix!$1:$1048576,U$2,FALSE)</f>
        <v>0.72577008499999995</v>
      </c>
      <c r="V155" s="332">
        <f>+VLOOKUP($E155,Energy_Mix!$1:$1048576,V$2,FALSE)</f>
        <v>0.72577008499999995</v>
      </c>
      <c r="W155" s="332">
        <f>+VLOOKUP($E155,Energy_Mix!$1:$1048576,W$2,FALSE)</f>
        <v>0.72577008499999995</v>
      </c>
      <c r="X155" s="332">
        <f>+VLOOKUP($E155,Energy_Mix!$1:$1048576,X$2,FALSE)</f>
        <v>0.72577008499999995</v>
      </c>
      <c r="Y155" s="332">
        <f>+VLOOKUP($E155,Energy_Mix!$1:$1048576,Y$2,FALSE)</f>
        <v>0.72577008499999995</v>
      </c>
      <c r="Z155" s="332">
        <f>+VLOOKUP($E155,Energy_Mix!$1:$1048576,Z$2,FALSE)</f>
        <v>0.72577008499999995</v>
      </c>
      <c r="AA155" s="332">
        <f>+VLOOKUP($E155,Energy_Mix!$1:$1048576,AA$2,FALSE)</f>
        <v>0.72577008499999995</v>
      </c>
      <c r="AB155" s="332">
        <f>+VLOOKUP($E155,Energy_Mix!$1:$1048576,AB$2,FALSE)</f>
        <v>0.72577008499999995</v>
      </c>
      <c r="AC155" s="332">
        <f>+VLOOKUP($E155,Energy_Mix!$1:$1048576,AC$2,FALSE)</f>
        <v>0.72577008499999995</v>
      </c>
      <c r="AD155" s="332">
        <f>+VLOOKUP($E155,Energy_Mix!$1:$1048576,AD$2,FALSE)</f>
        <v>0.72577008499999995</v>
      </c>
      <c r="AE155" s="332">
        <f>+VLOOKUP($E155,Energy_Mix!$1:$1048576,AE$2,FALSE)</f>
        <v>0.72577008499999995</v>
      </c>
      <c r="AF155" s="332">
        <f>+VLOOKUP($E155,Energy_Mix!$1:$1048576,AF$2,FALSE)</f>
        <v>0.72577008499999995</v>
      </c>
      <c r="AG155" s="332">
        <f>+VLOOKUP($E155,Energy_Mix!$1:$1048576,AG$2,FALSE)</f>
        <v>0.72577008499999995</v>
      </c>
      <c r="AH155" s="332">
        <f>+VLOOKUP($E155,Energy_Mix!$1:$1048576,AH$2,FALSE)</f>
        <v>0.72577008499999995</v>
      </c>
      <c r="AI155" s="332">
        <f>+VLOOKUP($E155,Energy_Mix!$1:$1048576,AI$2,FALSE)</f>
        <v>0.72577008499999995</v>
      </c>
      <c r="AJ155" s="332">
        <f>+VLOOKUP($E155,Energy_Mix!$1:$1048576,AJ$2,FALSE)</f>
        <v>0.72577008499999995</v>
      </c>
      <c r="AK155" s="332">
        <f>+VLOOKUP($E155,Energy_Mix!$1:$1048576,AK$2,FALSE)</f>
        <v>0.72577008499999995</v>
      </c>
      <c r="AL155" s="332">
        <f>+VLOOKUP($E155,Energy_Mix!$1:$1048576,AL$2,FALSE)</f>
        <v>0.72577008499999995</v>
      </c>
      <c r="AM155" s="332">
        <f>+VLOOKUP($E155,Energy_Mix!$1:$1048576,AM$2,FALSE)</f>
        <v>0.72577008499999995</v>
      </c>
      <c r="AN155" s="332">
        <f>+VLOOKUP($E155,Energy_Mix!$1:$1048576,AN$2,FALSE)</f>
        <v>0.72577008499999995</v>
      </c>
      <c r="AO155" s="332">
        <f>+VLOOKUP($E155,Energy_Mix!$1:$1048576,AO$2,FALSE)</f>
        <v>0.72577008499999995</v>
      </c>
    </row>
    <row r="156" spans="1:49" s="73" customFormat="1" ht="15" customHeight="1" x14ac:dyDescent="0.25">
      <c r="A156" s="392"/>
      <c r="B156" s="388"/>
      <c r="C156" s="128"/>
      <c r="D156" s="128" t="s">
        <v>161</v>
      </c>
      <c r="E156" s="84" t="s">
        <v>484</v>
      </c>
      <c r="F156" s="332">
        <f>+VLOOKUP($E156,Energy_Mix!$1:$1048576,F$2,FALSE)</f>
        <v>1.44644951E-2</v>
      </c>
      <c r="G156" s="332">
        <f>+VLOOKUP($E156,Energy_Mix!$1:$1048576,G$2,FALSE)</f>
        <v>1.4464495900000001E-2</v>
      </c>
      <c r="H156" s="332">
        <f>+VLOOKUP($E156,Energy_Mix!$1:$1048576,H$2,FALSE)</f>
        <v>1.4464495900000001E-2</v>
      </c>
      <c r="I156" s="332">
        <f>+VLOOKUP($E156,Energy_Mix!$1:$1048576,I$2,FALSE)</f>
        <v>1.4464495900000001E-2</v>
      </c>
      <c r="J156" s="332">
        <f>+VLOOKUP($E156,Energy_Mix!$1:$1048576,J$2,FALSE)</f>
        <v>1.4464495900000001E-2</v>
      </c>
      <c r="K156" s="332">
        <f>+VLOOKUP($E156,Energy_Mix!$1:$1048576,K$2,FALSE)</f>
        <v>1.4464495900000001E-2</v>
      </c>
      <c r="L156" s="332">
        <f>+VLOOKUP($E156,Energy_Mix!$1:$1048576,L$2,FALSE)</f>
        <v>1.4464495900000001E-2</v>
      </c>
      <c r="M156" s="332">
        <f>+VLOOKUP($E156,Energy_Mix!$1:$1048576,M$2,FALSE)</f>
        <v>1.4464495900000001E-2</v>
      </c>
      <c r="N156" s="332">
        <f>+VLOOKUP($E156,Energy_Mix!$1:$1048576,N$2,FALSE)</f>
        <v>1.4464495900000001E-2</v>
      </c>
      <c r="O156" s="332">
        <f>+VLOOKUP($E156,Energy_Mix!$1:$1048576,O$2,FALSE)</f>
        <v>1.4464495900000001E-2</v>
      </c>
      <c r="P156" s="332">
        <f>+VLOOKUP($E156,Energy_Mix!$1:$1048576,P$2,FALSE)</f>
        <v>1.4464495900000001E-2</v>
      </c>
      <c r="Q156" s="332">
        <f>+VLOOKUP($E156,Energy_Mix!$1:$1048576,Q$2,FALSE)</f>
        <v>1.4464495900000001E-2</v>
      </c>
      <c r="R156" s="332">
        <f>+VLOOKUP($E156,Energy_Mix!$1:$1048576,R$2,FALSE)</f>
        <v>1.4464495900000001E-2</v>
      </c>
      <c r="S156" s="332">
        <f>+VLOOKUP($E156,Energy_Mix!$1:$1048576,S$2,FALSE)</f>
        <v>1.4464495900000001E-2</v>
      </c>
      <c r="T156" s="332">
        <f>+VLOOKUP($E156,Energy_Mix!$1:$1048576,T$2,FALSE)</f>
        <v>1.4464495900000001E-2</v>
      </c>
      <c r="U156" s="332">
        <f>+VLOOKUP($E156,Energy_Mix!$1:$1048576,U$2,FALSE)</f>
        <v>1.4464495900000001E-2</v>
      </c>
      <c r="V156" s="332">
        <f>+VLOOKUP($E156,Energy_Mix!$1:$1048576,V$2,FALSE)</f>
        <v>1.4464495900000001E-2</v>
      </c>
      <c r="W156" s="332">
        <f>+VLOOKUP($E156,Energy_Mix!$1:$1048576,W$2,FALSE)</f>
        <v>1.4464495900000001E-2</v>
      </c>
      <c r="X156" s="332">
        <f>+VLOOKUP($E156,Energy_Mix!$1:$1048576,X$2,FALSE)</f>
        <v>1.4464495900000001E-2</v>
      </c>
      <c r="Y156" s="332">
        <f>+VLOOKUP($E156,Energy_Mix!$1:$1048576,Y$2,FALSE)</f>
        <v>1.4464495900000001E-2</v>
      </c>
      <c r="Z156" s="332">
        <f>+VLOOKUP($E156,Energy_Mix!$1:$1048576,Z$2,FALSE)</f>
        <v>1.4464495900000001E-2</v>
      </c>
      <c r="AA156" s="332">
        <f>+VLOOKUP($E156,Energy_Mix!$1:$1048576,AA$2,FALSE)</f>
        <v>1.4464495900000001E-2</v>
      </c>
      <c r="AB156" s="332">
        <f>+VLOOKUP($E156,Energy_Mix!$1:$1048576,AB$2,FALSE)</f>
        <v>1.4464495900000001E-2</v>
      </c>
      <c r="AC156" s="332">
        <f>+VLOOKUP($E156,Energy_Mix!$1:$1048576,AC$2,FALSE)</f>
        <v>1.4464495900000001E-2</v>
      </c>
      <c r="AD156" s="332">
        <f>+VLOOKUP($E156,Energy_Mix!$1:$1048576,AD$2,FALSE)</f>
        <v>1.4464495900000001E-2</v>
      </c>
      <c r="AE156" s="332">
        <f>+VLOOKUP($E156,Energy_Mix!$1:$1048576,AE$2,FALSE)</f>
        <v>1.4464495900000001E-2</v>
      </c>
      <c r="AF156" s="332">
        <f>+VLOOKUP($E156,Energy_Mix!$1:$1048576,AF$2,FALSE)</f>
        <v>1.4464495900000001E-2</v>
      </c>
      <c r="AG156" s="332">
        <f>+VLOOKUP($E156,Energy_Mix!$1:$1048576,AG$2,FALSE)</f>
        <v>1.4464495900000001E-2</v>
      </c>
      <c r="AH156" s="332">
        <f>+VLOOKUP($E156,Energy_Mix!$1:$1048576,AH$2,FALSE)</f>
        <v>1.4464495900000001E-2</v>
      </c>
      <c r="AI156" s="332">
        <f>+VLOOKUP($E156,Energy_Mix!$1:$1048576,AI$2,FALSE)</f>
        <v>1.4464495900000001E-2</v>
      </c>
      <c r="AJ156" s="332">
        <f>+VLOOKUP($E156,Energy_Mix!$1:$1048576,AJ$2,FALSE)</f>
        <v>1.4464495900000001E-2</v>
      </c>
      <c r="AK156" s="332">
        <f>+VLOOKUP($E156,Energy_Mix!$1:$1048576,AK$2,FALSE)</f>
        <v>1.4464495900000001E-2</v>
      </c>
      <c r="AL156" s="332">
        <f>+VLOOKUP($E156,Energy_Mix!$1:$1048576,AL$2,FALSE)</f>
        <v>1.4464495900000001E-2</v>
      </c>
      <c r="AM156" s="332">
        <f>+VLOOKUP($E156,Energy_Mix!$1:$1048576,AM$2,FALSE)</f>
        <v>1.4464495900000001E-2</v>
      </c>
      <c r="AN156" s="332">
        <f>+VLOOKUP($E156,Energy_Mix!$1:$1048576,AN$2,FALSE)</f>
        <v>1.4464495900000001E-2</v>
      </c>
      <c r="AO156" s="332">
        <f>+VLOOKUP($E156,Energy_Mix!$1:$1048576,AO$2,FALSE)</f>
        <v>1.4464495900000001E-2</v>
      </c>
    </row>
    <row r="157" spans="1:49" s="73" customFormat="1" ht="15" customHeight="1" x14ac:dyDescent="0.25">
      <c r="A157" s="392"/>
      <c r="B157" s="388"/>
      <c r="C157" s="128"/>
      <c r="D157" s="128" t="s">
        <v>162</v>
      </c>
      <c r="E157" s="84" t="s">
        <v>485</v>
      </c>
      <c r="F157" s="332">
        <f>+VLOOKUP($E157,Energy_Mix!$1:$1048576,F$2,FALSE)</f>
        <v>2.10193412E-2</v>
      </c>
      <c r="G157" s="332">
        <f>+VLOOKUP($E157,Energy_Mix!$1:$1048576,G$2,FALSE)</f>
        <v>2.1019342399999998E-2</v>
      </c>
      <c r="H157" s="332">
        <f>+VLOOKUP($E157,Energy_Mix!$1:$1048576,H$2,FALSE)</f>
        <v>2.1019342399999998E-2</v>
      </c>
      <c r="I157" s="332">
        <f>+VLOOKUP($E157,Energy_Mix!$1:$1048576,I$2,FALSE)</f>
        <v>2.1019342399999998E-2</v>
      </c>
      <c r="J157" s="332">
        <f>+VLOOKUP($E157,Energy_Mix!$1:$1048576,J$2,FALSE)</f>
        <v>2.1019342399999998E-2</v>
      </c>
      <c r="K157" s="332">
        <f>+VLOOKUP($E157,Energy_Mix!$1:$1048576,K$2,FALSE)</f>
        <v>2.1019342399999998E-2</v>
      </c>
      <c r="L157" s="332">
        <f>+VLOOKUP($E157,Energy_Mix!$1:$1048576,L$2,FALSE)</f>
        <v>2.1019342399999998E-2</v>
      </c>
      <c r="M157" s="332">
        <f>+VLOOKUP($E157,Energy_Mix!$1:$1048576,M$2,FALSE)</f>
        <v>2.1019342399999998E-2</v>
      </c>
      <c r="N157" s="332">
        <f>+VLOOKUP($E157,Energy_Mix!$1:$1048576,N$2,FALSE)</f>
        <v>2.1019342399999998E-2</v>
      </c>
      <c r="O157" s="332">
        <f>+VLOOKUP($E157,Energy_Mix!$1:$1048576,O$2,FALSE)</f>
        <v>2.1019342399999998E-2</v>
      </c>
      <c r="P157" s="332">
        <f>+VLOOKUP($E157,Energy_Mix!$1:$1048576,P$2,FALSE)</f>
        <v>2.1019342399999998E-2</v>
      </c>
      <c r="Q157" s="332">
        <f>+VLOOKUP($E157,Energy_Mix!$1:$1048576,Q$2,FALSE)</f>
        <v>2.1019342399999998E-2</v>
      </c>
      <c r="R157" s="332">
        <f>+VLOOKUP($E157,Energy_Mix!$1:$1048576,R$2,FALSE)</f>
        <v>2.1019342399999998E-2</v>
      </c>
      <c r="S157" s="332">
        <f>+VLOOKUP($E157,Energy_Mix!$1:$1048576,S$2,FALSE)</f>
        <v>2.1019342399999998E-2</v>
      </c>
      <c r="T157" s="332">
        <f>+VLOOKUP($E157,Energy_Mix!$1:$1048576,T$2,FALSE)</f>
        <v>2.1019342399999998E-2</v>
      </c>
      <c r="U157" s="332">
        <f>+VLOOKUP($E157,Energy_Mix!$1:$1048576,U$2,FALSE)</f>
        <v>2.1019342399999998E-2</v>
      </c>
      <c r="V157" s="332">
        <f>+VLOOKUP($E157,Energy_Mix!$1:$1048576,V$2,FALSE)</f>
        <v>2.1019342399999998E-2</v>
      </c>
      <c r="W157" s="332">
        <f>+VLOOKUP($E157,Energy_Mix!$1:$1048576,W$2,FALSE)</f>
        <v>2.1019342399999998E-2</v>
      </c>
      <c r="X157" s="332">
        <f>+VLOOKUP($E157,Energy_Mix!$1:$1048576,X$2,FALSE)</f>
        <v>2.1019342399999998E-2</v>
      </c>
      <c r="Y157" s="332">
        <f>+VLOOKUP($E157,Energy_Mix!$1:$1048576,Y$2,FALSE)</f>
        <v>2.1019342399999998E-2</v>
      </c>
      <c r="Z157" s="332">
        <f>+VLOOKUP($E157,Energy_Mix!$1:$1048576,Z$2,FALSE)</f>
        <v>2.1019342399999998E-2</v>
      </c>
      <c r="AA157" s="332">
        <f>+VLOOKUP($E157,Energy_Mix!$1:$1048576,AA$2,FALSE)</f>
        <v>2.1019342399999998E-2</v>
      </c>
      <c r="AB157" s="332">
        <f>+VLOOKUP($E157,Energy_Mix!$1:$1048576,AB$2,FALSE)</f>
        <v>2.1019342399999998E-2</v>
      </c>
      <c r="AC157" s="332">
        <f>+VLOOKUP($E157,Energy_Mix!$1:$1048576,AC$2,FALSE)</f>
        <v>2.1019342399999998E-2</v>
      </c>
      <c r="AD157" s="332">
        <f>+VLOOKUP($E157,Energy_Mix!$1:$1048576,AD$2,FALSE)</f>
        <v>2.1019342399999998E-2</v>
      </c>
      <c r="AE157" s="332">
        <f>+VLOOKUP($E157,Energy_Mix!$1:$1048576,AE$2,FALSE)</f>
        <v>2.1019342399999998E-2</v>
      </c>
      <c r="AF157" s="332">
        <f>+VLOOKUP($E157,Energy_Mix!$1:$1048576,AF$2,FALSE)</f>
        <v>2.1019342399999998E-2</v>
      </c>
      <c r="AG157" s="332">
        <f>+VLOOKUP($E157,Energy_Mix!$1:$1048576,AG$2,FALSE)</f>
        <v>2.1019342399999998E-2</v>
      </c>
      <c r="AH157" s="332">
        <f>+VLOOKUP($E157,Energy_Mix!$1:$1048576,AH$2,FALSE)</f>
        <v>2.1019342399999998E-2</v>
      </c>
      <c r="AI157" s="332">
        <f>+VLOOKUP($E157,Energy_Mix!$1:$1048576,AI$2,FALSE)</f>
        <v>2.1019342399999998E-2</v>
      </c>
      <c r="AJ157" s="332">
        <f>+VLOOKUP($E157,Energy_Mix!$1:$1048576,AJ$2,FALSE)</f>
        <v>2.1019342399999998E-2</v>
      </c>
      <c r="AK157" s="332">
        <f>+VLOOKUP($E157,Energy_Mix!$1:$1048576,AK$2,FALSE)</f>
        <v>2.1019342399999998E-2</v>
      </c>
      <c r="AL157" s="332">
        <f>+VLOOKUP($E157,Energy_Mix!$1:$1048576,AL$2,FALSE)</f>
        <v>2.1019342399999998E-2</v>
      </c>
      <c r="AM157" s="332">
        <f>+VLOOKUP($E157,Energy_Mix!$1:$1048576,AM$2,FALSE)</f>
        <v>2.1019342399999998E-2</v>
      </c>
      <c r="AN157" s="332">
        <f>+VLOOKUP($E157,Energy_Mix!$1:$1048576,AN$2,FALSE)</f>
        <v>2.1019342399999998E-2</v>
      </c>
      <c r="AO157" s="332">
        <f>+VLOOKUP($E157,Energy_Mix!$1:$1048576,AO$2,FALSE)</f>
        <v>2.1019342399999998E-2</v>
      </c>
    </row>
    <row r="158" spans="1:49" s="73" customFormat="1" ht="15" customHeight="1" x14ac:dyDescent="0.25">
      <c r="A158" s="392"/>
      <c r="B158" s="388"/>
      <c r="C158" s="128"/>
      <c r="D158" s="128" t="s">
        <v>163</v>
      </c>
      <c r="E158" s="84" t="s">
        <v>486</v>
      </c>
      <c r="F158" s="332">
        <f>+VLOOKUP($E158,Energy_Mix!$1:$1048576,F$2,FALSE)</f>
        <v>1.9096190499999999E-2</v>
      </c>
      <c r="G158" s="332">
        <f>+VLOOKUP($E158,Energy_Mix!$1:$1048576,G$2,FALSE)</f>
        <v>1.90961916E-2</v>
      </c>
      <c r="H158" s="332">
        <f>+VLOOKUP($E158,Energy_Mix!$1:$1048576,H$2,FALSE)</f>
        <v>1.90961916E-2</v>
      </c>
      <c r="I158" s="332">
        <f>+VLOOKUP($E158,Energy_Mix!$1:$1048576,I$2,FALSE)</f>
        <v>1.90961916E-2</v>
      </c>
      <c r="J158" s="332">
        <f>+VLOOKUP($E158,Energy_Mix!$1:$1048576,J$2,FALSE)</f>
        <v>1.90961916E-2</v>
      </c>
      <c r="K158" s="332">
        <f>+VLOOKUP($E158,Energy_Mix!$1:$1048576,K$2,FALSE)</f>
        <v>1.90961916E-2</v>
      </c>
      <c r="L158" s="332">
        <f>+VLOOKUP($E158,Energy_Mix!$1:$1048576,L$2,FALSE)</f>
        <v>1.90961916E-2</v>
      </c>
      <c r="M158" s="332">
        <f>+VLOOKUP($E158,Energy_Mix!$1:$1048576,M$2,FALSE)</f>
        <v>1.90961916E-2</v>
      </c>
      <c r="N158" s="332">
        <f>+VLOOKUP($E158,Energy_Mix!$1:$1048576,N$2,FALSE)</f>
        <v>1.90961916E-2</v>
      </c>
      <c r="O158" s="332">
        <f>+VLOOKUP($E158,Energy_Mix!$1:$1048576,O$2,FALSE)</f>
        <v>1.90961916E-2</v>
      </c>
      <c r="P158" s="332">
        <f>+VLOOKUP($E158,Energy_Mix!$1:$1048576,P$2,FALSE)</f>
        <v>1.90961916E-2</v>
      </c>
      <c r="Q158" s="332">
        <f>+VLOOKUP($E158,Energy_Mix!$1:$1048576,Q$2,FALSE)</f>
        <v>1.90961916E-2</v>
      </c>
      <c r="R158" s="332">
        <f>+VLOOKUP($E158,Energy_Mix!$1:$1048576,R$2,FALSE)</f>
        <v>1.90961916E-2</v>
      </c>
      <c r="S158" s="332">
        <f>+VLOOKUP($E158,Energy_Mix!$1:$1048576,S$2,FALSE)</f>
        <v>1.90961916E-2</v>
      </c>
      <c r="T158" s="332">
        <f>+VLOOKUP($E158,Energy_Mix!$1:$1048576,T$2,FALSE)</f>
        <v>1.90961916E-2</v>
      </c>
      <c r="U158" s="332">
        <f>+VLOOKUP($E158,Energy_Mix!$1:$1048576,U$2,FALSE)</f>
        <v>1.90961916E-2</v>
      </c>
      <c r="V158" s="332">
        <f>+VLOOKUP($E158,Energy_Mix!$1:$1048576,V$2,FALSE)</f>
        <v>1.90961916E-2</v>
      </c>
      <c r="W158" s="332">
        <f>+VLOOKUP($E158,Energy_Mix!$1:$1048576,W$2,FALSE)</f>
        <v>1.90961916E-2</v>
      </c>
      <c r="X158" s="332">
        <f>+VLOOKUP($E158,Energy_Mix!$1:$1048576,X$2,FALSE)</f>
        <v>1.90961916E-2</v>
      </c>
      <c r="Y158" s="332">
        <f>+VLOOKUP($E158,Energy_Mix!$1:$1048576,Y$2,FALSE)</f>
        <v>1.90961916E-2</v>
      </c>
      <c r="Z158" s="332">
        <f>+VLOOKUP($E158,Energy_Mix!$1:$1048576,Z$2,FALSE)</f>
        <v>1.90961916E-2</v>
      </c>
      <c r="AA158" s="332">
        <f>+VLOOKUP($E158,Energy_Mix!$1:$1048576,AA$2,FALSE)</f>
        <v>1.90961916E-2</v>
      </c>
      <c r="AB158" s="332">
        <f>+VLOOKUP($E158,Energy_Mix!$1:$1048576,AB$2,FALSE)</f>
        <v>1.90961916E-2</v>
      </c>
      <c r="AC158" s="332">
        <f>+VLOOKUP($E158,Energy_Mix!$1:$1048576,AC$2,FALSE)</f>
        <v>1.90961916E-2</v>
      </c>
      <c r="AD158" s="332">
        <f>+VLOOKUP($E158,Energy_Mix!$1:$1048576,AD$2,FALSE)</f>
        <v>1.90961916E-2</v>
      </c>
      <c r="AE158" s="332">
        <f>+VLOOKUP($E158,Energy_Mix!$1:$1048576,AE$2,FALSE)</f>
        <v>1.90961916E-2</v>
      </c>
      <c r="AF158" s="332">
        <f>+VLOOKUP($E158,Energy_Mix!$1:$1048576,AF$2,FALSE)</f>
        <v>1.90961916E-2</v>
      </c>
      <c r="AG158" s="332">
        <f>+VLOOKUP($E158,Energy_Mix!$1:$1048576,AG$2,FALSE)</f>
        <v>1.90961916E-2</v>
      </c>
      <c r="AH158" s="332">
        <f>+VLOOKUP($E158,Energy_Mix!$1:$1048576,AH$2,FALSE)</f>
        <v>1.90961916E-2</v>
      </c>
      <c r="AI158" s="332">
        <f>+VLOOKUP($E158,Energy_Mix!$1:$1048576,AI$2,FALSE)</f>
        <v>1.90961916E-2</v>
      </c>
      <c r="AJ158" s="332">
        <f>+VLOOKUP($E158,Energy_Mix!$1:$1048576,AJ$2,FALSE)</f>
        <v>1.90961916E-2</v>
      </c>
      <c r="AK158" s="332">
        <f>+VLOOKUP($E158,Energy_Mix!$1:$1048576,AK$2,FALSE)</f>
        <v>1.90961916E-2</v>
      </c>
      <c r="AL158" s="332">
        <f>+VLOOKUP($E158,Energy_Mix!$1:$1048576,AL$2,FALSE)</f>
        <v>1.90961916E-2</v>
      </c>
      <c r="AM158" s="332">
        <f>+VLOOKUP($E158,Energy_Mix!$1:$1048576,AM$2,FALSE)</f>
        <v>1.90961916E-2</v>
      </c>
      <c r="AN158" s="332">
        <f>+VLOOKUP($E158,Energy_Mix!$1:$1048576,AN$2,FALSE)</f>
        <v>1.90961916E-2</v>
      </c>
      <c r="AO158" s="332">
        <f>+VLOOKUP($E158,Energy_Mix!$1:$1048576,AO$2,FALSE)</f>
        <v>1.90961916E-2</v>
      </c>
    </row>
    <row r="159" spans="1:49" s="73" customFormat="1" ht="15" customHeight="1" x14ac:dyDescent="0.25">
      <c r="A159" s="392"/>
      <c r="B159" s="388"/>
      <c r="C159" s="128"/>
      <c r="D159" s="128" t="s">
        <v>164</v>
      </c>
      <c r="E159" s="84" t="s">
        <v>487</v>
      </c>
      <c r="F159" s="332">
        <f>+VLOOKUP($E159,Energy_Mix!$1:$1048576,F$2,FALSE)</f>
        <v>3.7580969800000003E-2</v>
      </c>
      <c r="G159" s="332">
        <f>+VLOOKUP($E159,Energy_Mix!$1:$1048576,G$2,FALSE)</f>
        <v>3.7580913899999999E-2</v>
      </c>
      <c r="H159" s="332">
        <f>+VLOOKUP($E159,Energy_Mix!$1:$1048576,H$2,FALSE)</f>
        <v>3.7580913899999999E-2</v>
      </c>
      <c r="I159" s="332">
        <f>+VLOOKUP($E159,Energy_Mix!$1:$1048576,I$2,FALSE)</f>
        <v>3.7580913899999999E-2</v>
      </c>
      <c r="J159" s="332">
        <f>+VLOOKUP($E159,Energy_Mix!$1:$1048576,J$2,FALSE)</f>
        <v>3.7580913899999999E-2</v>
      </c>
      <c r="K159" s="332">
        <f>+VLOOKUP($E159,Energy_Mix!$1:$1048576,K$2,FALSE)</f>
        <v>3.7580913899999999E-2</v>
      </c>
      <c r="L159" s="332">
        <f>+VLOOKUP($E159,Energy_Mix!$1:$1048576,L$2,FALSE)</f>
        <v>3.7580913899999999E-2</v>
      </c>
      <c r="M159" s="332">
        <f>+VLOOKUP($E159,Energy_Mix!$1:$1048576,M$2,FALSE)</f>
        <v>3.7580913899999999E-2</v>
      </c>
      <c r="N159" s="332">
        <f>+VLOOKUP($E159,Energy_Mix!$1:$1048576,N$2,FALSE)</f>
        <v>3.7580913899999999E-2</v>
      </c>
      <c r="O159" s="332">
        <f>+VLOOKUP($E159,Energy_Mix!$1:$1048576,O$2,FALSE)</f>
        <v>3.7580913899999999E-2</v>
      </c>
      <c r="P159" s="332">
        <f>+VLOOKUP($E159,Energy_Mix!$1:$1048576,P$2,FALSE)</f>
        <v>3.7580913899999999E-2</v>
      </c>
      <c r="Q159" s="332">
        <f>+VLOOKUP($E159,Energy_Mix!$1:$1048576,Q$2,FALSE)</f>
        <v>3.7580913899999999E-2</v>
      </c>
      <c r="R159" s="332">
        <f>+VLOOKUP($E159,Energy_Mix!$1:$1048576,R$2,FALSE)</f>
        <v>3.7580913899999999E-2</v>
      </c>
      <c r="S159" s="332">
        <f>+VLOOKUP($E159,Energy_Mix!$1:$1048576,S$2,FALSE)</f>
        <v>3.7580913899999999E-2</v>
      </c>
      <c r="T159" s="332">
        <f>+VLOOKUP($E159,Energy_Mix!$1:$1048576,T$2,FALSE)</f>
        <v>3.7580913899999999E-2</v>
      </c>
      <c r="U159" s="332">
        <f>+VLOOKUP($E159,Energy_Mix!$1:$1048576,U$2,FALSE)</f>
        <v>3.7580913899999999E-2</v>
      </c>
      <c r="V159" s="332">
        <f>+VLOOKUP($E159,Energy_Mix!$1:$1048576,V$2,FALSE)</f>
        <v>3.7580913899999999E-2</v>
      </c>
      <c r="W159" s="332">
        <f>+VLOOKUP($E159,Energy_Mix!$1:$1048576,W$2,FALSE)</f>
        <v>3.7580913899999999E-2</v>
      </c>
      <c r="X159" s="332">
        <f>+VLOOKUP($E159,Energy_Mix!$1:$1048576,X$2,FALSE)</f>
        <v>3.7580913899999999E-2</v>
      </c>
      <c r="Y159" s="332">
        <f>+VLOOKUP($E159,Energy_Mix!$1:$1048576,Y$2,FALSE)</f>
        <v>3.7580913899999999E-2</v>
      </c>
      <c r="Z159" s="332">
        <f>+VLOOKUP($E159,Energy_Mix!$1:$1048576,Z$2,FALSE)</f>
        <v>3.7580913899999999E-2</v>
      </c>
      <c r="AA159" s="332">
        <f>+VLOOKUP($E159,Energy_Mix!$1:$1048576,AA$2,FALSE)</f>
        <v>3.7580913899999999E-2</v>
      </c>
      <c r="AB159" s="332">
        <f>+VLOOKUP($E159,Energy_Mix!$1:$1048576,AB$2,FALSE)</f>
        <v>3.7580913899999999E-2</v>
      </c>
      <c r="AC159" s="332">
        <f>+VLOOKUP($E159,Energy_Mix!$1:$1048576,AC$2,FALSE)</f>
        <v>3.7580913899999999E-2</v>
      </c>
      <c r="AD159" s="332">
        <f>+VLOOKUP($E159,Energy_Mix!$1:$1048576,AD$2,FALSE)</f>
        <v>3.7580913899999999E-2</v>
      </c>
      <c r="AE159" s="332">
        <f>+VLOOKUP($E159,Energy_Mix!$1:$1048576,AE$2,FALSE)</f>
        <v>3.7580913899999999E-2</v>
      </c>
      <c r="AF159" s="332">
        <f>+VLOOKUP($E159,Energy_Mix!$1:$1048576,AF$2,FALSE)</f>
        <v>3.7580913899999999E-2</v>
      </c>
      <c r="AG159" s="332">
        <f>+VLOOKUP($E159,Energy_Mix!$1:$1048576,AG$2,FALSE)</f>
        <v>3.7580913899999999E-2</v>
      </c>
      <c r="AH159" s="332">
        <f>+VLOOKUP($E159,Energy_Mix!$1:$1048576,AH$2,FALSE)</f>
        <v>3.7580913899999999E-2</v>
      </c>
      <c r="AI159" s="332">
        <f>+VLOOKUP($E159,Energy_Mix!$1:$1048576,AI$2,FALSE)</f>
        <v>3.7580913899999999E-2</v>
      </c>
      <c r="AJ159" s="332">
        <f>+VLOOKUP($E159,Energy_Mix!$1:$1048576,AJ$2,FALSE)</f>
        <v>3.7580913899999999E-2</v>
      </c>
      <c r="AK159" s="332">
        <f>+VLOOKUP($E159,Energy_Mix!$1:$1048576,AK$2,FALSE)</f>
        <v>3.7580913899999999E-2</v>
      </c>
      <c r="AL159" s="332">
        <f>+VLOOKUP($E159,Energy_Mix!$1:$1048576,AL$2,FALSE)</f>
        <v>3.7580913899999999E-2</v>
      </c>
      <c r="AM159" s="332">
        <f>+VLOOKUP($E159,Energy_Mix!$1:$1048576,AM$2,FALSE)</f>
        <v>3.7580913899999999E-2</v>
      </c>
      <c r="AN159" s="332">
        <f>+VLOOKUP($E159,Energy_Mix!$1:$1048576,AN$2,FALSE)</f>
        <v>3.7580913899999999E-2</v>
      </c>
      <c r="AO159" s="332">
        <f>+VLOOKUP($E159,Energy_Mix!$1:$1048576,AO$2,FALSE)</f>
        <v>3.7580913899999999E-2</v>
      </c>
    </row>
    <row r="160" spans="1:49" ht="15" customHeight="1" x14ac:dyDescent="0.25">
      <c r="A160" s="392"/>
      <c r="B160" s="388"/>
      <c r="C160" s="128"/>
      <c r="D160" s="128" t="s">
        <v>165</v>
      </c>
      <c r="E160" s="84" t="s">
        <v>488</v>
      </c>
      <c r="F160" s="332">
        <f>+VLOOKUP($E160,Energy_Mix!$1:$1048576,F$2,FALSE)</f>
        <v>1.36621179E-2</v>
      </c>
      <c r="G160" s="332">
        <f>+VLOOKUP($E160,Energy_Mix!$1:$1048576,G$2,FALSE)</f>
        <v>1.36621187E-2</v>
      </c>
      <c r="H160" s="332">
        <f>+VLOOKUP($E160,Energy_Mix!$1:$1048576,H$2,FALSE)</f>
        <v>1.36621187E-2</v>
      </c>
      <c r="I160" s="332">
        <f>+VLOOKUP($E160,Energy_Mix!$1:$1048576,I$2,FALSE)</f>
        <v>1.36621187E-2</v>
      </c>
      <c r="J160" s="332">
        <f>+VLOOKUP($E160,Energy_Mix!$1:$1048576,J$2,FALSE)</f>
        <v>1.36621187E-2</v>
      </c>
      <c r="K160" s="332">
        <f>+VLOOKUP($E160,Energy_Mix!$1:$1048576,K$2,FALSE)</f>
        <v>1.36621187E-2</v>
      </c>
      <c r="L160" s="332">
        <f>+VLOOKUP($E160,Energy_Mix!$1:$1048576,L$2,FALSE)</f>
        <v>1.36621187E-2</v>
      </c>
      <c r="M160" s="332">
        <f>+VLOOKUP($E160,Energy_Mix!$1:$1048576,M$2,FALSE)</f>
        <v>1.36621187E-2</v>
      </c>
      <c r="N160" s="332">
        <f>+VLOOKUP($E160,Energy_Mix!$1:$1048576,N$2,FALSE)</f>
        <v>1.36621187E-2</v>
      </c>
      <c r="O160" s="332">
        <f>+VLOOKUP($E160,Energy_Mix!$1:$1048576,O$2,FALSE)</f>
        <v>1.36621187E-2</v>
      </c>
      <c r="P160" s="332">
        <f>+VLOOKUP($E160,Energy_Mix!$1:$1048576,P$2,FALSE)</f>
        <v>1.36621187E-2</v>
      </c>
      <c r="Q160" s="332">
        <f>+VLOOKUP($E160,Energy_Mix!$1:$1048576,Q$2,FALSE)</f>
        <v>1.36621187E-2</v>
      </c>
      <c r="R160" s="332">
        <f>+VLOOKUP($E160,Energy_Mix!$1:$1048576,R$2,FALSE)</f>
        <v>1.36621187E-2</v>
      </c>
      <c r="S160" s="332">
        <f>+VLOOKUP($E160,Energy_Mix!$1:$1048576,S$2,FALSE)</f>
        <v>1.36621187E-2</v>
      </c>
      <c r="T160" s="332">
        <f>+VLOOKUP($E160,Energy_Mix!$1:$1048576,T$2,FALSE)</f>
        <v>1.36621187E-2</v>
      </c>
      <c r="U160" s="332">
        <f>+VLOOKUP($E160,Energy_Mix!$1:$1048576,U$2,FALSE)</f>
        <v>1.36621187E-2</v>
      </c>
      <c r="V160" s="332">
        <f>+VLOOKUP($E160,Energy_Mix!$1:$1048576,V$2,FALSE)</f>
        <v>1.36621187E-2</v>
      </c>
      <c r="W160" s="332">
        <f>+VLOOKUP($E160,Energy_Mix!$1:$1048576,W$2,FALSE)</f>
        <v>1.36621187E-2</v>
      </c>
      <c r="X160" s="332">
        <f>+VLOOKUP($E160,Energy_Mix!$1:$1048576,X$2,FALSE)</f>
        <v>1.36621187E-2</v>
      </c>
      <c r="Y160" s="332">
        <f>+VLOOKUP($E160,Energy_Mix!$1:$1048576,Y$2,FALSE)</f>
        <v>1.36621187E-2</v>
      </c>
      <c r="Z160" s="332">
        <f>+VLOOKUP($E160,Energy_Mix!$1:$1048576,Z$2,FALSE)</f>
        <v>1.36621187E-2</v>
      </c>
      <c r="AA160" s="332">
        <f>+VLOOKUP($E160,Energy_Mix!$1:$1048576,AA$2,FALSE)</f>
        <v>1.36621187E-2</v>
      </c>
      <c r="AB160" s="332">
        <f>+VLOOKUP($E160,Energy_Mix!$1:$1048576,AB$2,FALSE)</f>
        <v>1.36621187E-2</v>
      </c>
      <c r="AC160" s="332">
        <f>+VLOOKUP($E160,Energy_Mix!$1:$1048576,AC$2,FALSE)</f>
        <v>1.36621187E-2</v>
      </c>
      <c r="AD160" s="332">
        <f>+VLOOKUP($E160,Energy_Mix!$1:$1048576,AD$2,FALSE)</f>
        <v>1.36621187E-2</v>
      </c>
      <c r="AE160" s="332">
        <f>+VLOOKUP($E160,Energy_Mix!$1:$1048576,AE$2,FALSE)</f>
        <v>1.36621187E-2</v>
      </c>
      <c r="AF160" s="332">
        <f>+VLOOKUP($E160,Energy_Mix!$1:$1048576,AF$2,FALSE)</f>
        <v>1.36621187E-2</v>
      </c>
      <c r="AG160" s="332">
        <f>+VLOOKUP($E160,Energy_Mix!$1:$1048576,AG$2,FALSE)</f>
        <v>1.36621187E-2</v>
      </c>
      <c r="AH160" s="332">
        <f>+VLOOKUP($E160,Energy_Mix!$1:$1048576,AH$2,FALSE)</f>
        <v>1.36621187E-2</v>
      </c>
      <c r="AI160" s="332">
        <f>+VLOOKUP($E160,Energy_Mix!$1:$1048576,AI$2,FALSE)</f>
        <v>1.36621187E-2</v>
      </c>
      <c r="AJ160" s="332">
        <f>+VLOOKUP($E160,Energy_Mix!$1:$1048576,AJ$2,FALSE)</f>
        <v>1.36621187E-2</v>
      </c>
      <c r="AK160" s="332">
        <f>+VLOOKUP($E160,Energy_Mix!$1:$1048576,AK$2,FALSE)</f>
        <v>1.36621187E-2</v>
      </c>
      <c r="AL160" s="332">
        <f>+VLOOKUP($E160,Energy_Mix!$1:$1048576,AL$2,FALSE)</f>
        <v>1.36621187E-2</v>
      </c>
      <c r="AM160" s="332">
        <f>+VLOOKUP($E160,Energy_Mix!$1:$1048576,AM$2,FALSE)</f>
        <v>1.36621187E-2</v>
      </c>
      <c r="AN160" s="332">
        <f>+VLOOKUP($E160,Energy_Mix!$1:$1048576,AN$2,FALSE)</f>
        <v>1.36621187E-2</v>
      </c>
      <c r="AO160" s="332">
        <f>+VLOOKUP($E160,Energy_Mix!$1:$1048576,AO$2,FALSE)</f>
        <v>1.36621187E-2</v>
      </c>
      <c r="AP160" s="73"/>
      <c r="AQ160" s="73"/>
      <c r="AR160" s="73"/>
      <c r="AS160" s="73"/>
      <c r="AT160" s="73"/>
      <c r="AU160" s="73"/>
      <c r="AV160" s="73"/>
      <c r="AW160" s="73"/>
    </row>
    <row r="161" spans="1:49" ht="15" customHeight="1" x14ac:dyDescent="0.25">
      <c r="A161" s="392"/>
      <c r="B161" s="388"/>
      <c r="C161" s="128"/>
      <c r="D161" s="128" t="s">
        <v>549</v>
      </c>
      <c r="E161" s="84" t="s">
        <v>489</v>
      </c>
      <c r="F161" s="332">
        <f>+VLOOKUP($E161,Energy_Mix!$1:$1048576,F$2,FALSE)</f>
        <v>0.1051730505</v>
      </c>
      <c r="G161" s="332">
        <f>+VLOOKUP($E161,Energy_Mix!$1:$1048576,G$2,FALSE)</f>
        <v>0.1051730566</v>
      </c>
      <c r="H161" s="332">
        <f>+VLOOKUP($E161,Energy_Mix!$1:$1048576,H$2,FALSE)</f>
        <v>0.1051730566</v>
      </c>
      <c r="I161" s="332">
        <f>+VLOOKUP($E161,Energy_Mix!$1:$1048576,I$2,FALSE)</f>
        <v>0.1051730566</v>
      </c>
      <c r="J161" s="332">
        <f>+VLOOKUP($E161,Energy_Mix!$1:$1048576,J$2,FALSE)</f>
        <v>0.1051730566</v>
      </c>
      <c r="K161" s="332">
        <f>+VLOOKUP($E161,Energy_Mix!$1:$1048576,K$2,FALSE)</f>
        <v>0.1051730566</v>
      </c>
      <c r="L161" s="332">
        <f>+VLOOKUP($E161,Energy_Mix!$1:$1048576,L$2,FALSE)</f>
        <v>0.1051730566</v>
      </c>
      <c r="M161" s="332">
        <f>+VLOOKUP($E161,Energy_Mix!$1:$1048576,M$2,FALSE)</f>
        <v>0.1051730566</v>
      </c>
      <c r="N161" s="332">
        <f>+VLOOKUP($E161,Energy_Mix!$1:$1048576,N$2,FALSE)</f>
        <v>0.1051730566</v>
      </c>
      <c r="O161" s="332">
        <f>+VLOOKUP($E161,Energy_Mix!$1:$1048576,O$2,FALSE)</f>
        <v>0.1051730566</v>
      </c>
      <c r="P161" s="332">
        <f>+VLOOKUP($E161,Energy_Mix!$1:$1048576,P$2,FALSE)</f>
        <v>0.1051730566</v>
      </c>
      <c r="Q161" s="332">
        <f>+VLOOKUP($E161,Energy_Mix!$1:$1048576,Q$2,FALSE)</f>
        <v>0.1051730566</v>
      </c>
      <c r="R161" s="332">
        <f>+VLOOKUP($E161,Energy_Mix!$1:$1048576,R$2,FALSE)</f>
        <v>0.1051730566</v>
      </c>
      <c r="S161" s="332">
        <f>+VLOOKUP($E161,Energy_Mix!$1:$1048576,S$2,FALSE)</f>
        <v>0.1051730566</v>
      </c>
      <c r="T161" s="332">
        <f>+VLOOKUP($E161,Energy_Mix!$1:$1048576,T$2,FALSE)</f>
        <v>0.1051730566</v>
      </c>
      <c r="U161" s="332">
        <f>+VLOOKUP($E161,Energy_Mix!$1:$1048576,U$2,FALSE)</f>
        <v>0.1051730566</v>
      </c>
      <c r="V161" s="332">
        <f>+VLOOKUP($E161,Energy_Mix!$1:$1048576,V$2,FALSE)</f>
        <v>0.1051730566</v>
      </c>
      <c r="W161" s="332">
        <f>+VLOOKUP($E161,Energy_Mix!$1:$1048576,W$2,FALSE)</f>
        <v>0.1051730566</v>
      </c>
      <c r="X161" s="332">
        <f>+VLOOKUP($E161,Energy_Mix!$1:$1048576,X$2,FALSE)</f>
        <v>0.1051730566</v>
      </c>
      <c r="Y161" s="332">
        <f>+VLOOKUP($E161,Energy_Mix!$1:$1048576,Y$2,FALSE)</f>
        <v>0.1051730566</v>
      </c>
      <c r="Z161" s="332">
        <f>+VLOOKUP($E161,Energy_Mix!$1:$1048576,Z$2,FALSE)</f>
        <v>0.1051730566</v>
      </c>
      <c r="AA161" s="332">
        <f>+VLOOKUP($E161,Energy_Mix!$1:$1048576,AA$2,FALSE)</f>
        <v>0.1051730566</v>
      </c>
      <c r="AB161" s="332">
        <f>+VLOOKUP($E161,Energy_Mix!$1:$1048576,AB$2,FALSE)</f>
        <v>0.1051730566</v>
      </c>
      <c r="AC161" s="332">
        <f>+VLOOKUP($E161,Energy_Mix!$1:$1048576,AC$2,FALSE)</f>
        <v>0.1051730566</v>
      </c>
      <c r="AD161" s="332">
        <f>+VLOOKUP($E161,Energy_Mix!$1:$1048576,AD$2,FALSE)</f>
        <v>0.1051730566</v>
      </c>
      <c r="AE161" s="332">
        <f>+VLOOKUP($E161,Energy_Mix!$1:$1048576,AE$2,FALSE)</f>
        <v>0.1051730566</v>
      </c>
      <c r="AF161" s="332">
        <f>+VLOOKUP($E161,Energy_Mix!$1:$1048576,AF$2,FALSE)</f>
        <v>0.1051730566</v>
      </c>
      <c r="AG161" s="332">
        <f>+VLOOKUP($E161,Energy_Mix!$1:$1048576,AG$2,FALSE)</f>
        <v>0.1051730566</v>
      </c>
      <c r="AH161" s="332">
        <f>+VLOOKUP($E161,Energy_Mix!$1:$1048576,AH$2,FALSE)</f>
        <v>0.1051730566</v>
      </c>
      <c r="AI161" s="332">
        <f>+VLOOKUP($E161,Energy_Mix!$1:$1048576,AI$2,FALSE)</f>
        <v>0.1051730566</v>
      </c>
      <c r="AJ161" s="332">
        <f>+VLOOKUP($E161,Energy_Mix!$1:$1048576,AJ$2,FALSE)</f>
        <v>0.1051730566</v>
      </c>
      <c r="AK161" s="332">
        <f>+VLOOKUP($E161,Energy_Mix!$1:$1048576,AK$2,FALSE)</f>
        <v>0.1051730566</v>
      </c>
      <c r="AL161" s="332">
        <f>+VLOOKUP($E161,Energy_Mix!$1:$1048576,AL$2,FALSE)</f>
        <v>0.1051730566</v>
      </c>
      <c r="AM161" s="332">
        <f>+VLOOKUP($E161,Energy_Mix!$1:$1048576,AM$2,FALSE)</f>
        <v>0.1051730566</v>
      </c>
      <c r="AN161" s="332">
        <f>+VLOOKUP($E161,Energy_Mix!$1:$1048576,AN$2,FALSE)</f>
        <v>0.1051730566</v>
      </c>
      <c r="AO161" s="332">
        <f>+VLOOKUP($E161,Energy_Mix!$1:$1048576,AO$2,FALSE)</f>
        <v>0.1051730566</v>
      </c>
      <c r="AP161" s="73"/>
      <c r="AQ161" s="73"/>
      <c r="AR161" s="73"/>
      <c r="AS161" s="73"/>
      <c r="AT161" s="73"/>
      <c r="AU161" s="73"/>
      <c r="AV161" s="73"/>
      <c r="AW161" s="73"/>
    </row>
    <row r="162" spans="1:49" ht="15" customHeight="1" x14ac:dyDescent="0.25">
      <c r="A162" s="392"/>
      <c r="B162" s="388"/>
      <c r="C162" s="128"/>
      <c r="D162" s="128" t="s">
        <v>481</v>
      </c>
      <c r="E162" s="84" t="s">
        <v>490</v>
      </c>
      <c r="F162" s="332">
        <f>+VLOOKUP($E162,Energy_Mix!$1:$1048576,F$2,FALSE)</f>
        <v>6.1515785400000002E-2</v>
      </c>
      <c r="G162" s="332">
        <f>+VLOOKUP($E162,Energy_Mix!$1:$1048576,G$2,FALSE)</f>
        <v>6.1515789000000001E-2</v>
      </c>
      <c r="H162" s="332">
        <f>+VLOOKUP($E162,Energy_Mix!$1:$1048576,H$2,FALSE)</f>
        <v>6.1515789000000001E-2</v>
      </c>
      <c r="I162" s="332">
        <f>+VLOOKUP($E162,Energy_Mix!$1:$1048576,I$2,FALSE)</f>
        <v>6.1515789000000001E-2</v>
      </c>
      <c r="J162" s="332">
        <f>+VLOOKUP($E162,Energy_Mix!$1:$1048576,J$2,FALSE)</f>
        <v>6.1515789000000001E-2</v>
      </c>
      <c r="K162" s="332">
        <f>+VLOOKUP($E162,Energy_Mix!$1:$1048576,K$2,FALSE)</f>
        <v>6.1515789000000001E-2</v>
      </c>
      <c r="L162" s="332">
        <f>+VLOOKUP($E162,Energy_Mix!$1:$1048576,L$2,FALSE)</f>
        <v>6.1515789000000001E-2</v>
      </c>
      <c r="M162" s="332">
        <f>+VLOOKUP($E162,Energy_Mix!$1:$1048576,M$2,FALSE)</f>
        <v>6.1515789000000001E-2</v>
      </c>
      <c r="N162" s="332">
        <f>+VLOOKUP($E162,Energy_Mix!$1:$1048576,N$2,FALSE)</f>
        <v>6.1515789000000001E-2</v>
      </c>
      <c r="O162" s="332">
        <f>+VLOOKUP($E162,Energy_Mix!$1:$1048576,O$2,FALSE)</f>
        <v>6.1515789000000001E-2</v>
      </c>
      <c r="P162" s="332">
        <f>+VLOOKUP($E162,Energy_Mix!$1:$1048576,P$2,FALSE)</f>
        <v>6.1515789000000001E-2</v>
      </c>
      <c r="Q162" s="332">
        <f>+VLOOKUP($E162,Energy_Mix!$1:$1048576,Q$2,FALSE)</f>
        <v>6.1515789000000001E-2</v>
      </c>
      <c r="R162" s="332">
        <f>+VLOOKUP($E162,Energy_Mix!$1:$1048576,R$2,FALSE)</f>
        <v>6.1515789000000001E-2</v>
      </c>
      <c r="S162" s="332">
        <f>+VLOOKUP($E162,Energy_Mix!$1:$1048576,S$2,FALSE)</f>
        <v>6.1515789000000001E-2</v>
      </c>
      <c r="T162" s="332">
        <f>+VLOOKUP($E162,Energy_Mix!$1:$1048576,T$2,FALSE)</f>
        <v>6.1515789000000001E-2</v>
      </c>
      <c r="U162" s="332">
        <f>+VLOOKUP($E162,Energy_Mix!$1:$1048576,U$2,FALSE)</f>
        <v>6.1515789000000001E-2</v>
      </c>
      <c r="V162" s="332">
        <f>+VLOOKUP($E162,Energy_Mix!$1:$1048576,V$2,FALSE)</f>
        <v>6.1515789000000001E-2</v>
      </c>
      <c r="W162" s="332">
        <f>+VLOOKUP($E162,Energy_Mix!$1:$1048576,W$2,FALSE)</f>
        <v>6.1515789000000001E-2</v>
      </c>
      <c r="X162" s="332">
        <f>+VLOOKUP($E162,Energy_Mix!$1:$1048576,X$2,FALSE)</f>
        <v>6.1515789000000001E-2</v>
      </c>
      <c r="Y162" s="332">
        <f>+VLOOKUP($E162,Energy_Mix!$1:$1048576,Y$2,FALSE)</f>
        <v>6.1515789000000001E-2</v>
      </c>
      <c r="Z162" s="332">
        <f>+VLOOKUP($E162,Energy_Mix!$1:$1048576,Z$2,FALSE)</f>
        <v>6.1515789000000001E-2</v>
      </c>
      <c r="AA162" s="332">
        <f>+VLOOKUP($E162,Energy_Mix!$1:$1048576,AA$2,FALSE)</f>
        <v>6.1515789000000001E-2</v>
      </c>
      <c r="AB162" s="332">
        <f>+VLOOKUP($E162,Energy_Mix!$1:$1048576,AB$2,FALSE)</f>
        <v>6.1515789000000001E-2</v>
      </c>
      <c r="AC162" s="332">
        <f>+VLOOKUP($E162,Energy_Mix!$1:$1048576,AC$2,FALSE)</f>
        <v>6.1515789000000001E-2</v>
      </c>
      <c r="AD162" s="332">
        <f>+VLOOKUP($E162,Energy_Mix!$1:$1048576,AD$2,FALSE)</f>
        <v>6.1515789000000001E-2</v>
      </c>
      <c r="AE162" s="332">
        <f>+VLOOKUP($E162,Energy_Mix!$1:$1048576,AE$2,FALSE)</f>
        <v>6.1515789000000001E-2</v>
      </c>
      <c r="AF162" s="332">
        <f>+VLOOKUP($E162,Energy_Mix!$1:$1048576,AF$2,FALSE)</f>
        <v>6.1515789000000001E-2</v>
      </c>
      <c r="AG162" s="332">
        <f>+VLOOKUP($E162,Energy_Mix!$1:$1048576,AG$2,FALSE)</f>
        <v>6.1515789000000001E-2</v>
      </c>
      <c r="AH162" s="332">
        <f>+VLOOKUP($E162,Energy_Mix!$1:$1048576,AH$2,FALSE)</f>
        <v>6.1515789000000001E-2</v>
      </c>
      <c r="AI162" s="332">
        <f>+VLOOKUP($E162,Energy_Mix!$1:$1048576,AI$2,FALSE)</f>
        <v>6.1515789000000001E-2</v>
      </c>
      <c r="AJ162" s="332">
        <f>+VLOOKUP($E162,Energy_Mix!$1:$1048576,AJ$2,FALSE)</f>
        <v>6.1515789000000001E-2</v>
      </c>
      <c r="AK162" s="332">
        <f>+VLOOKUP($E162,Energy_Mix!$1:$1048576,AK$2,FALSE)</f>
        <v>6.1515789000000001E-2</v>
      </c>
      <c r="AL162" s="332">
        <f>+VLOOKUP($E162,Energy_Mix!$1:$1048576,AL$2,FALSE)</f>
        <v>6.1515789000000001E-2</v>
      </c>
      <c r="AM162" s="332">
        <f>+VLOOKUP($E162,Energy_Mix!$1:$1048576,AM$2,FALSE)</f>
        <v>6.1515789000000001E-2</v>
      </c>
      <c r="AN162" s="332">
        <f>+VLOOKUP($E162,Energy_Mix!$1:$1048576,AN$2,FALSE)</f>
        <v>6.1515789000000001E-2</v>
      </c>
      <c r="AO162" s="332">
        <f>+VLOOKUP($E162,Energy_Mix!$1:$1048576,AO$2,FALSE)</f>
        <v>6.1515789000000001E-2</v>
      </c>
      <c r="AP162" s="73"/>
      <c r="AQ162" s="73"/>
      <c r="AR162" s="73"/>
      <c r="AS162" s="73"/>
      <c r="AT162" s="73"/>
      <c r="AU162" s="73"/>
      <c r="AV162" s="73"/>
      <c r="AW162" s="73"/>
    </row>
    <row r="163" spans="1:49" ht="15" customHeight="1" x14ac:dyDescent="0.25">
      <c r="A163" s="392"/>
      <c r="B163" s="388"/>
      <c r="C163" s="128"/>
      <c r="D163" s="128" t="s">
        <v>482</v>
      </c>
      <c r="E163" s="306" t="s">
        <v>491</v>
      </c>
      <c r="F163" s="333">
        <f>+VLOOKUP($E163,Energy_Mix!$1:$1048576,F$2,FALSE)</f>
        <v>1.71800688E-3</v>
      </c>
      <c r="G163" s="333">
        <f>+VLOOKUP($E163,Energy_Mix!$1:$1048576,G$2,FALSE)</f>
        <v>1.71800698E-3</v>
      </c>
      <c r="H163" s="333">
        <f>+VLOOKUP($E163,Energy_Mix!$1:$1048576,H$2,FALSE)</f>
        <v>1.71800698E-3</v>
      </c>
      <c r="I163" s="333">
        <f>+VLOOKUP($E163,Energy_Mix!$1:$1048576,I$2,FALSE)</f>
        <v>1.71800698E-3</v>
      </c>
      <c r="J163" s="333">
        <f>+VLOOKUP($E163,Energy_Mix!$1:$1048576,J$2,FALSE)</f>
        <v>1.71800698E-3</v>
      </c>
      <c r="K163" s="333">
        <f>+VLOOKUP($E163,Energy_Mix!$1:$1048576,K$2,FALSE)</f>
        <v>1.71800698E-3</v>
      </c>
      <c r="L163" s="333">
        <f>+VLOOKUP($E163,Energy_Mix!$1:$1048576,L$2,FALSE)</f>
        <v>1.71800698E-3</v>
      </c>
      <c r="M163" s="333">
        <f>+VLOOKUP($E163,Energy_Mix!$1:$1048576,M$2,FALSE)</f>
        <v>1.71800698E-3</v>
      </c>
      <c r="N163" s="333">
        <f>+VLOOKUP($E163,Energy_Mix!$1:$1048576,N$2,FALSE)</f>
        <v>1.71800698E-3</v>
      </c>
      <c r="O163" s="333">
        <f>+VLOOKUP($E163,Energy_Mix!$1:$1048576,O$2,FALSE)</f>
        <v>1.71800698E-3</v>
      </c>
      <c r="P163" s="333">
        <f>+VLOOKUP($E163,Energy_Mix!$1:$1048576,P$2,FALSE)</f>
        <v>1.71800698E-3</v>
      </c>
      <c r="Q163" s="333">
        <f>+VLOOKUP($E163,Energy_Mix!$1:$1048576,Q$2,FALSE)</f>
        <v>1.71800698E-3</v>
      </c>
      <c r="R163" s="333">
        <f>+VLOOKUP($E163,Energy_Mix!$1:$1048576,R$2,FALSE)</f>
        <v>1.71800698E-3</v>
      </c>
      <c r="S163" s="333">
        <f>+VLOOKUP($E163,Energy_Mix!$1:$1048576,S$2,FALSE)</f>
        <v>1.71800698E-3</v>
      </c>
      <c r="T163" s="333">
        <f>+VLOOKUP($E163,Energy_Mix!$1:$1048576,T$2,FALSE)</f>
        <v>1.71800698E-3</v>
      </c>
      <c r="U163" s="333">
        <f>+VLOOKUP($E163,Energy_Mix!$1:$1048576,U$2,FALSE)</f>
        <v>1.71800698E-3</v>
      </c>
      <c r="V163" s="333">
        <f>+VLOOKUP($E163,Energy_Mix!$1:$1048576,V$2,FALSE)</f>
        <v>1.71800698E-3</v>
      </c>
      <c r="W163" s="333">
        <f>+VLOOKUP($E163,Energy_Mix!$1:$1048576,W$2,FALSE)</f>
        <v>1.71800698E-3</v>
      </c>
      <c r="X163" s="333">
        <f>+VLOOKUP($E163,Energy_Mix!$1:$1048576,X$2,FALSE)</f>
        <v>1.71800698E-3</v>
      </c>
      <c r="Y163" s="333">
        <f>+VLOOKUP($E163,Energy_Mix!$1:$1048576,Y$2,FALSE)</f>
        <v>1.71800698E-3</v>
      </c>
      <c r="Z163" s="333">
        <f>+VLOOKUP($E163,Energy_Mix!$1:$1048576,Z$2,FALSE)</f>
        <v>1.71800698E-3</v>
      </c>
      <c r="AA163" s="333">
        <f>+VLOOKUP($E163,Energy_Mix!$1:$1048576,AA$2,FALSE)</f>
        <v>1.71800698E-3</v>
      </c>
      <c r="AB163" s="333">
        <f>+VLOOKUP($E163,Energy_Mix!$1:$1048576,AB$2,FALSE)</f>
        <v>1.71800698E-3</v>
      </c>
      <c r="AC163" s="333">
        <f>+VLOOKUP($E163,Energy_Mix!$1:$1048576,AC$2,FALSE)</f>
        <v>1.71800698E-3</v>
      </c>
      <c r="AD163" s="333">
        <f>+VLOOKUP($E163,Energy_Mix!$1:$1048576,AD$2,FALSE)</f>
        <v>1.71800698E-3</v>
      </c>
      <c r="AE163" s="333">
        <f>+VLOOKUP($E163,Energy_Mix!$1:$1048576,AE$2,FALSE)</f>
        <v>1.71800698E-3</v>
      </c>
      <c r="AF163" s="333">
        <f>+VLOOKUP($E163,Energy_Mix!$1:$1048576,AF$2,FALSE)</f>
        <v>1.71800698E-3</v>
      </c>
      <c r="AG163" s="333">
        <f>+VLOOKUP($E163,Energy_Mix!$1:$1048576,AG$2,FALSE)</f>
        <v>1.71800698E-3</v>
      </c>
      <c r="AH163" s="333">
        <f>+VLOOKUP($E163,Energy_Mix!$1:$1048576,AH$2,FALSE)</f>
        <v>1.71800698E-3</v>
      </c>
      <c r="AI163" s="333">
        <f>+VLOOKUP($E163,Energy_Mix!$1:$1048576,AI$2,FALSE)</f>
        <v>1.71800698E-3</v>
      </c>
      <c r="AJ163" s="333">
        <f>+VLOOKUP($E163,Energy_Mix!$1:$1048576,AJ$2,FALSE)</f>
        <v>1.71800698E-3</v>
      </c>
      <c r="AK163" s="333">
        <f>+VLOOKUP($E163,Energy_Mix!$1:$1048576,AK$2,FALSE)</f>
        <v>1.71800698E-3</v>
      </c>
      <c r="AL163" s="333">
        <f>+VLOOKUP($E163,Energy_Mix!$1:$1048576,AL$2,FALSE)</f>
        <v>1.71800698E-3</v>
      </c>
      <c r="AM163" s="333">
        <f>+VLOOKUP($E163,Energy_Mix!$1:$1048576,AM$2,FALSE)</f>
        <v>1.71800698E-3</v>
      </c>
      <c r="AN163" s="333">
        <f>+VLOOKUP($E163,Energy_Mix!$1:$1048576,AN$2,FALSE)</f>
        <v>1.71800698E-3</v>
      </c>
      <c r="AO163" s="333">
        <f>+VLOOKUP($E163,Energy_Mix!$1:$1048576,AO$2,FALSE)</f>
        <v>1.71800698E-3</v>
      </c>
      <c r="AP163" s="73"/>
      <c r="AQ163" s="73"/>
      <c r="AR163" s="73"/>
      <c r="AS163" s="73"/>
      <c r="AT163" s="73"/>
      <c r="AU163" s="73"/>
      <c r="AV163" s="73"/>
      <c r="AW163" s="73"/>
    </row>
    <row r="164" spans="1:49" s="73" customFormat="1" ht="15" customHeight="1" x14ac:dyDescent="0.25">
      <c r="A164" s="392"/>
      <c r="B164" s="388"/>
      <c r="C164" s="168" t="s">
        <v>544</v>
      </c>
      <c r="D164" s="128"/>
      <c r="E164" s="84"/>
      <c r="F164" s="327">
        <f>F165</f>
        <v>1</v>
      </c>
      <c r="G164" s="327">
        <f t="shared" ref="G164:AO164" si="33">G165</f>
        <v>1</v>
      </c>
      <c r="H164" s="327">
        <f t="shared" si="33"/>
        <v>1</v>
      </c>
      <c r="I164" s="327">
        <f t="shared" si="33"/>
        <v>1</v>
      </c>
      <c r="J164" s="327">
        <f t="shared" si="33"/>
        <v>1</v>
      </c>
      <c r="K164" s="327">
        <f t="shared" si="33"/>
        <v>1</v>
      </c>
      <c r="L164" s="327">
        <f t="shared" si="33"/>
        <v>1</v>
      </c>
      <c r="M164" s="327">
        <f t="shared" si="33"/>
        <v>1</v>
      </c>
      <c r="N164" s="327">
        <f t="shared" si="33"/>
        <v>1</v>
      </c>
      <c r="O164" s="327">
        <f t="shared" si="33"/>
        <v>1</v>
      </c>
      <c r="P164" s="327">
        <f t="shared" si="33"/>
        <v>1</v>
      </c>
      <c r="Q164" s="327">
        <f t="shared" si="33"/>
        <v>1</v>
      </c>
      <c r="R164" s="327">
        <f t="shared" si="33"/>
        <v>1</v>
      </c>
      <c r="S164" s="327">
        <f t="shared" si="33"/>
        <v>1</v>
      </c>
      <c r="T164" s="327">
        <f t="shared" si="33"/>
        <v>1</v>
      </c>
      <c r="U164" s="327">
        <f t="shared" si="33"/>
        <v>1</v>
      </c>
      <c r="V164" s="327">
        <f t="shared" si="33"/>
        <v>1</v>
      </c>
      <c r="W164" s="327">
        <f t="shared" si="33"/>
        <v>1</v>
      </c>
      <c r="X164" s="327">
        <f t="shared" si="33"/>
        <v>1</v>
      </c>
      <c r="Y164" s="327">
        <f t="shared" si="33"/>
        <v>1</v>
      </c>
      <c r="Z164" s="327">
        <f t="shared" si="33"/>
        <v>1</v>
      </c>
      <c r="AA164" s="327">
        <f t="shared" si="33"/>
        <v>1</v>
      </c>
      <c r="AB164" s="327">
        <f t="shared" si="33"/>
        <v>1</v>
      </c>
      <c r="AC164" s="327">
        <f t="shared" si="33"/>
        <v>1</v>
      </c>
      <c r="AD164" s="327">
        <f t="shared" si="33"/>
        <v>1</v>
      </c>
      <c r="AE164" s="327">
        <f t="shared" si="33"/>
        <v>1</v>
      </c>
      <c r="AF164" s="327">
        <f t="shared" si="33"/>
        <v>1</v>
      </c>
      <c r="AG164" s="327">
        <f t="shared" si="33"/>
        <v>1</v>
      </c>
      <c r="AH164" s="327">
        <f t="shared" si="33"/>
        <v>1</v>
      </c>
      <c r="AI164" s="327">
        <f t="shared" si="33"/>
        <v>1</v>
      </c>
      <c r="AJ164" s="327">
        <f t="shared" si="33"/>
        <v>1</v>
      </c>
      <c r="AK164" s="327">
        <f t="shared" si="33"/>
        <v>1</v>
      </c>
      <c r="AL164" s="327">
        <f t="shared" si="33"/>
        <v>1</v>
      </c>
      <c r="AM164" s="327">
        <f t="shared" si="33"/>
        <v>1</v>
      </c>
      <c r="AN164" s="327">
        <f t="shared" si="33"/>
        <v>1</v>
      </c>
      <c r="AO164" s="327">
        <f t="shared" si="33"/>
        <v>1</v>
      </c>
    </row>
    <row r="165" spans="1:49" s="73" customFormat="1" ht="15" customHeight="1" x14ac:dyDescent="0.25">
      <c r="A165" s="392"/>
      <c r="B165" s="388"/>
      <c r="C165" s="128"/>
      <c r="D165" s="128" t="s">
        <v>481</v>
      </c>
      <c r="E165" s="84" t="s">
        <v>1892</v>
      </c>
      <c r="F165" s="332">
        <f>+VLOOKUP($E165,Energy_Mix!$1:$1048576,F$2,FALSE)</f>
        <v>1</v>
      </c>
      <c r="G165" s="332">
        <f>+VLOOKUP($E165,Energy_Mix!$1:$1048576,G$2,FALSE)</f>
        <v>1</v>
      </c>
      <c r="H165" s="332">
        <f>+VLOOKUP($E165,Energy_Mix!$1:$1048576,H$2,FALSE)</f>
        <v>1</v>
      </c>
      <c r="I165" s="332">
        <f>+VLOOKUP($E165,Energy_Mix!$1:$1048576,I$2,FALSE)</f>
        <v>1</v>
      </c>
      <c r="J165" s="332">
        <f>+VLOOKUP($E165,Energy_Mix!$1:$1048576,J$2,FALSE)</f>
        <v>1</v>
      </c>
      <c r="K165" s="332">
        <f>+VLOOKUP($E165,Energy_Mix!$1:$1048576,K$2,FALSE)</f>
        <v>1</v>
      </c>
      <c r="L165" s="332">
        <f>+VLOOKUP($E165,Energy_Mix!$1:$1048576,L$2,FALSE)</f>
        <v>1</v>
      </c>
      <c r="M165" s="332">
        <f>+VLOOKUP($E165,Energy_Mix!$1:$1048576,M$2,FALSE)</f>
        <v>1</v>
      </c>
      <c r="N165" s="332">
        <f>+VLOOKUP($E165,Energy_Mix!$1:$1048576,N$2,FALSE)</f>
        <v>1</v>
      </c>
      <c r="O165" s="332">
        <f>+VLOOKUP($E165,Energy_Mix!$1:$1048576,O$2,FALSE)</f>
        <v>1</v>
      </c>
      <c r="P165" s="332">
        <f>+VLOOKUP($E165,Energy_Mix!$1:$1048576,P$2,FALSE)</f>
        <v>1</v>
      </c>
      <c r="Q165" s="332">
        <f>+VLOOKUP($E165,Energy_Mix!$1:$1048576,Q$2,FALSE)</f>
        <v>1</v>
      </c>
      <c r="R165" s="332">
        <f>+VLOOKUP($E165,Energy_Mix!$1:$1048576,R$2,FALSE)</f>
        <v>1</v>
      </c>
      <c r="S165" s="332">
        <f>+VLOOKUP($E165,Energy_Mix!$1:$1048576,S$2,FALSE)</f>
        <v>1</v>
      </c>
      <c r="T165" s="332">
        <f>+VLOOKUP($E165,Energy_Mix!$1:$1048576,T$2,FALSE)</f>
        <v>1</v>
      </c>
      <c r="U165" s="332">
        <f>+VLOOKUP($E165,Energy_Mix!$1:$1048576,U$2,FALSE)</f>
        <v>1</v>
      </c>
      <c r="V165" s="332">
        <f>+VLOOKUP($E165,Energy_Mix!$1:$1048576,V$2,FALSE)</f>
        <v>1</v>
      </c>
      <c r="W165" s="332">
        <f>+VLOOKUP($E165,Energy_Mix!$1:$1048576,W$2,FALSE)</f>
        <v>1</v>
      </c>
      <c r="X165" s="332">
        <f>+VLOOKUP($E165,Energy_Mix!$1:$1048576,X$2,FALSE)</f>
        <v>1</v>
      </c>
      <c r="Y165" s="332">
        <f>+VLOOKUP($E165,Energy_Mix!$1:$1048576,Y$2,FALSE)</f>
        <v>1</v>
      </c>
      <c r="Z165" s="332">
        <f>+VLOOKUP($E165,Energy_Mix!$1:$1048576,Z$2,FALSE)</f>
        <v>1</v>
      </c>
      <c r="AA165" s="332">
        <f>+VLOOKUP($E165,Energy_Mix!$1:$1048576,AA$2,FALSE)</f>
        <v>1</v>
      </c>
      <c r="AB165" s="332">
        <f>+VLOOKUP($E165,Energy_Mix!$1:$1048576,AB$2,FALSE)</f>
        <v>1</v>
      </c>
      <c r="AC165" s="332">
        <f>+VLOOKUP($E165,Energy_Mix!$1:$1048576,AC$2,FALSE)</f>
        <v>1</v>
      </c>
      <c r="AD165" s="332">
        <f>+VLOOKUP($E165,Energy_Mix!$1:$1048576,AD$2,FALSE)</f>
        <v>1</v>
      </c>
      <c r="AE165" s="332">
        <f>+VLOOKUP($E165,Energy_Mix!$1:$1048576,AE$2,FALSE)</f>
        <v>1</v>
      </c>
      <c r="AF165" s="332">
        <f>+VLOOKUP($E165,Energy_Mix!$1:$1048576,AF$2,FALSE)</f>
        <v>1</v>
      </c>
      <c r="AG165" s="332">
        <f>+VLOOKUP($E165,Energy_Mix!$1:$1048576,AG$2,FALSE)</f>
        <v>1</v>
      </c>
      <c r="AH165" s="332">
        <f>+VLOOKUP($E165,Energy_Mix!$1:$1048576,AH$2,FALSE)</f>
        <v>1</v>
      </c>
      <c r="AI165" s="332">
        <f>+VLOOKUP($E165,Energy_Mix!$1:$1048576,AI$2,FALSE)</f>
        <v>1</v>
      </c>
      <c r="AJ165" s="332">
        <f>+VLOOKUP($E165,Energy_Mix!$1:$1048576,AJ$2,FALSE)</f>
        <v>1</v>
      </c>
      <c r="AK165" s="332">
        <f>+VLOOKUP($E165,Energy_Mix!$1:$1048576,AK$2,FALSE)</f>
        <v>1</v>
      </c>
      <c r="AL165" s="332">
        <f>+VLOOKUP($E165,Energy_Mix!$1:$1048576,AL$2,FALSE)</f>
        <v>1</v>
      </c>
      <c r="AM165" s="332">
        <f>+VLOOKUP($E165,Energy_Mix!$1:$1048576,AM$2,FALSE)</f>
        <v>1</v>
      </c>
      <c r="AN165" s="332">
        <f>+VLOOKUP($E165,Energy_Mix!$1:$1048576,AN$2,FALSE)</f>
        <v>1</v>
      </c>
      <c r="AO165" s="332">
        <f>+VLOOKUP($E165,Energy_Mix!$1:$1048576,AO$2,FALSE)</f>
        <v>1</v>
      </c>
    </row>
    <row r="166" spans="1:49" s="73" customFormat="1" ht="15" customHeight="1" x14ac:dyDescent="0.25">
      <c r="A166" s="392"/>
      <c r="B166" s="388"/>
      <c r="C166" s="168" t="s">
        <v>552</v>
      </c>
      <c r="D166" s="128"/>
      <c r="E166" s="84"/>
      <c r="F166" s="327">
        <f>SUM(F167:F168)</f>
        <v>1</v>
      </c>
      <c r="G166" s="327">
        <f t="shared" ref="G166:AO166" si="34">SUM(G167:G168)</f>
        <v>1</v>
      </c>
      <c r="H166" s="327">
        <f t="shared" si="34"/>
        <v>1</v>
      </c>
      <c r="I166" s="327">
        <f t="shared" si="34"/>
        <v>1</v>
      </c>
      <c r="J166" s="327">
        <f t="shared" si="34"/>
        <v>1</v>
      </c>
      <c r="K166" s="327">
        <f t="shared" si="34"/>
        <v>1</v>
      </c>
      <c r="L166" s="327">
        <f t="shared" si="34"/>
        <v>1</v>
      </c>
      <c r="M166" s="327">
        <f t="shared" si="34"/>
        <v>1</v>
      </c>
      <c r="N166" s="327">
        <f t="shared" si="34"/>
        <v>1</v>
      </c>
      <c r="O166" s="327">
        <f t="shared" si="34"/>
        <v>1</v>
      </c>
      <c r="P166" s="327">
        <f t="shared" si="34"/>
        <v>1</v>
      </c>
      <c r="Q166" s="327">
        <f t="shared" si="34"/>
        <v>1</v>
      </c>
      <c r="R166" s="327">
        <f t="shared" si="34"/>
        <v>1</v>
      </c>
      <c r="S166" s="327">
        <f t="shared" si="34"/>
        <v>1</v>
      </c>
      <c r="T166" s="327">
        <f t="shared" si="34"/>
        <v>1</v>
      </c>
      <c r="U166" s="327">
        <f t="shared" si="34"/>
        <v>1</v>
      </c>
      <c r="V166" s="327">
        <f t="shared" si="34"/>
        <v>1</v>
      </c>
      <c r="W166" s="327">
        <f t="shared" si="34"/>
        <v>1</v>
      </c>
      <c r="X166" s="327">
        <f t="shared" si="34"/>
        <v>1</v>
      </c>
      <c r="Y166" s="327">
        <f t="shared" si="34"/>
        <v>1</v>
      </c>
      <c r="Z166" s="327">
        <f t="shared" si="34"/>
        <v>1</v>
      </c>
      <c r="AA166" s="327">
        <f t="shared" si="34"/>
        <v>1</v>
      </c>
      <c r="AB166" s="327">
        <f t="shared" si="34"/>
        <v>1</v>
      </c>
      <c r="AC166" s="327">
        <f t="shared" si="34"/>
        <v>1</v>
      </c>
      <c r="AD166" s="327">
        <f t="shared" si="34"/>
        <v>1</v>
      </c>
      <c r="AE166" s="327">
        <f t="shared" si="34"/>
        <v>1</v>
      </c>
      <c r="AF166" s="327">
        <f t="shared" si="34"/>
        <v>1</v>
      </c>
      <c r="AG166" s="327">
        <f t="shared" si="34"/>
        <v>1</v>
      </c>
      <c r="AH166" s="327">
        <f t="shared" si="34"/>
        <v>1</v>
      </c>
      <c r="AI166" s="327">
        <f t="shared" si="34"/>
        <v>1</v>
      </c>
      <c r="AJ166" s="327">
        <f t="shared" si="34"/>
        <v>1</v>
      </c>
      <c r="AK166" s="327">
        <f t="shared" si="34"/>
        <v>1</v>
      </c>
      <c r="AL166" s="327">
        <f t="shared" si="34"/>
        <v>1</v>
      </c>
      <c r="AM166" s="327">
        <f t="shared" si="34"/>
        <v>1</v>
      </c>
      <c r="AN166" s="327">
        <f t="shared" si="34"/>
        <v>1</v>
      </c>
      <c r="AO166" s="327">
        <f t="shared" si="34"/>
        <v>1</v>
      </c>
    </row>
    <row r="167" spans="1:49" s="73" customFormat="1" ht="15" customHeight="1" x14ac:dyDescent="0.25">
      <c r="A167" s="392"/>
      <c r="B167" s="388"/>
      <c r="C167" s="168"/>
      <c r="D167" s="128"/>
      <c r="E167" s="84" t="s">
        <v>1893</v>
      </c>
      <c r="F167" s="332">
        <f>+VLOOKUP($E167,Energy_Mix!$1:$1048576,F$2,FALSE)</f>
        <v>0.96802904320000005</v>
      </c>
      <c r="G167" s="332">
        <f>+VLOOKUP($E167,Energy_Mix!$1:$1048576,G$2,FALSE)</f>
        <v>0.96802904320000005</v>
      </c>
      <c r="H167" s="332">
        <f>+VLOOKUP($E167,Energy_Mix!$1:$1048576,H$2,FALSE)</f>
        <v>0.96802904320000005</v>
      </c>
      <c r="I167" s="332">
        <f>+VLOOKUP($E167,Energy_Mix!$1:$1048576,I$2,FALSE)</f>
        <v>0.96802904320000005</v>
      </c>
      <c r="J167" s="332">
        <f>+VLOOKUP($E167,Energy_Mix!$1:$1048576,J$2,FALSE)</f>
        <v>0.96802904320000005</v>
      </c>
      <c r="K167" s="332">
        <f>+VLOOKUP($E167,Energy_Mix!$1:$1048576,K$2,FALSE)</f>
        <v>0.96802904320000005</v>
      </c>
      <c r="L167" s="332">
        <f>+VLOOKUP($E167,Energy_Mix!$1:$1048576,L$2,FALSE)</f>
        <v>0.96802904320000005</v>
      </c>
      <c r="M167" s="332">
        <f>+VLOOKUP($E167,Energy_Mix!$1:$1048576,M$2,FALSE)</f>
        <v>0.96802904320000005</v>
      </c>
      <c r="N167" s="332">
        <f>+VLOOKUP($E167,Energy_Mix!$1:$1048576,N$2,FALSE)</f>
        <v>0.96802904320000005</v>
      </c>
      <c r="O167" s="332">
        <f>+VLOOKUP($E167,Energy_Mix!$1:$1048576,O$2,FALSE)</f>
        <v>0.96802904320000005</v>
      </c>
      <c r="P167" s="332">
        <f>+VLOOKUP($E167,Energy_Mix!$1:$1048576,P$2,FALSE)</f>
        <v>0.96802904320000005</v>
      </c>
      <c r="Q167" s="332">
        <f>+VLOOKUP($E167,Energy_Mix!$1:$1048576,Q$2,FALSE)</f>
        <v>0.96802904320000005</v>
      </c>
      <c r="R167" s="332">
        <f>+VLOOKUP($E167,Energy_Mix!$1:$1048576,R$2,FALSE)</f>
        <v>0.96802904320000005</v>
      </c>
      <c r="S167" s="332">
        <f>+VLOOKUP($E167,Energy_Mix!$1:$1048576,S$2,FALSE)</f>
        <v>0.96802904320000005</v>
      </c>
      <c r="T167" s="332">
        <f>+VLOOKUP($E167,Energy_Mix!$1:$1048576,T$2,FALSE)</f>
        <v>0.96802904320000005</v>
      </c>
      <c r="U167" s="332">
        <f>+VLOOKUP($E167,Energy_Mix!$1:$1048576,U$2,FALSE)</f>
        <v>0.96802904320000005</v>
      </c>
      <c r="V167" s="332">
        <f>+VLOOKUP($E167,Energy_Mix!$1:$1048576,V$2,FALSE)</f>
        <v>0.96802904320000005</v>
      </c>
      <c r="W167" s="332">
        <f>+VLOOKUP($E167,Energy_Mix!$1:$1048576,W$2,FALSE)</f>
        <v>0.96802904320000005</v>
      </c>
      <c r="X167" s="332">
        <f>+VLOOKUP($E167,Energy_Mix!$1:$1048576,X$2,FALSE)</f>
        <v>0.96802904320000005</v>
      </c>
      <c r="Y167" s="332">
        <f>+VLOOKUP($E167,Energy_Mix!$1:$1048576,Y$2,FALSE)</f>
        <v>0.96802904320000005</v>
      </c>
      <c r="Z167" s="332">
        <f>+VLOOKUP($E167,Energy_Mix!$1:$1048576,Z$2,FALSE)</f>
        <v>0.96802904320000005</v>
      </c>
      <c r="AA167" s="332">
        <f>+VLOOKUP($E167,Energy_Mix!$1:$1048576,AA$2,FALSE)</f>
        <v>0.96802904320000005</v>
      </c>
      <c r="AB167" s="332">
        <f>+VLOOKUP($E167,Energy_Mix!$1:$1048576,AB$2,FALSE)</f>
        <v>0.96802904320000005</v>
      </c>
      <c r="AC167" s="332">
        <f>+VLOOKUP($E167,Energy_Mix!$1:$1048576,AC$2,FALSE)</f>
        <v>0.96802904320000005</v>
      </c>
      <c r="AD167" s="332">
        <f>+VLOOKUP($E167,Energy_Mix!$1:$1048576,AD$2,FALSE)</f>
        <v>0.96802904320000005</v>
      </c>
      <c r="AE167" s="332">
        <f>+VLOOKUP($E167,Energy_Mix!$1:$1048576,AE$2,FALSE)</f>
        <v>0.96802904320000005</v>
      </c>
      <c r="AF167" s="332">
        <f>+VLOOKUP($E167,Energy_Mix!$1:$1048576,AF$2,FALSE)</f>
        <v>0.96802904320000005</v>
      </c>
      <c r="AG167" s="332">
        <f>+VLOOKUP($E167,Energy_Mix!$1:$1048576,AG$2,FALSE)</f>
        <v>0.96802904320000005</v>
      </c>
      <c r="AH167" s="332">
        <f>+VLOOKUP($E167,Energy_Mix!$1:$1048576,AH$2,FALSE)</f>
        <v>0.96802904320000005</v>
      </c>
      <c r="AI167" s="332">
        <f>+VLOOKUP($E167,Energy_Mix!$1:$1048576,AI$2,FALSE)</f>
        <v>0.96802904320000005</v>
      </c>
      <c r="AJ167" s="332">
        <f>+VLOOKUP($E167,Energy_Mix!$1:$1048576,AJ$2,FALSE)</f>
        <v>0.96802904320000005</v>
      </c>
      <c r="AK167" s="332">
        <f>+VLOOKUP($E167,Energy_Mix!$1:$1048576,AK$2,FALSE)</f>
        <v>0.96802904320000005</v>
      </c>
      <c r="AL167" s="332">
        <f>+VLOOKUP($E167,Energy_Mix!$1:$1048576,AL$2,FALSE)</f>
        <v>0.96802904320000005</v>
      </c>
      <c r="AM167" s="332">
        <f>+VLOOKUP($E167,Energy_Mix!$1:$1048576,AM$2,FALSE)</f>
        <v>0.96802904320000005</v>
      </c>
      <c r="AN167" s="332">
        <f>+VLOOKUP($E167,Energy_Mix!$1:$1048576,AN$2,FALSE)</f>
        <v>0.96802904320000005</v>
      </c>
      <c r="AO167" s="332">
        <f>+VLOOKUP($E167,Energy_Mix!$1:$1048576,AO$2,FALSE)</f>
        <v>0.96802904320000005</v>
      </c>
    </row>
    <row r="168" spans="1:49" s="73" customFormat="1" ht="15" customHeight="1" x14ac:dyDescent="0.25">
      <c r="A168" s="392"/>
      <c r="B168" s="388"/>
      <c r="C168" s="168"/>
      <c r="D168" s="128"/>
      <c r="E168" s="84" t="s">
        <v>1894</v>
      </c>
      <c r="F168" s="332">
        <f>+VLOOKUP($E168,Energy_Mix!$1:$1048576,F$2,FALSE)</f>
        <v>3.1970956799999999E-2</v>
      </c>
      <c r="G168" s="332">
        <f>+VLOOKUP($E168,Energy_Mix!$1:$1048576,G$2,FALSE)</f>
        <v>3.1970956799999999E-2</v>
      </c>
      <c r="H168" s="332">
        <f>+VLOOKUP($E168,Energy_Mix!$1:$1048576,H$2,FALSE)</f>
        <v>3.1970956799999999E-2</v>
      </c>
      <c r="I168" s="332">
        <f>+VLOOKUP($E168,Energy_Mix!$1:$1048576,I$2,FALSE)</f>
        <v>3.1970956799999999E-2</v>
      </c>
      <c r="J168" s="332">
        <f>+VLOOKUP($E168,Energy_Mix!$1:$1048576,J$2,FALSE)</f>
        <v>3.1970956799999999E-2</v>
      </c>
      <c r="K168" s="332">
        <f>+VLOOKUP($E168,Energy_Mix!$1:$1048576,K$2,FALSE)</f>
        <v>3.1970956799999999E-2</v>
      </c>
      <c r="L168" s="332">
        <f>+VLOOKUP($E168,Energy_Mix!$1:$1048576,L$2,FALSE)</f>
        <v>3.1970956799999999E-2</v>
      </c>
      <c r="M168" s="332">
        <f>+VLOOKUP($E168,Energy_Mix!$1:$1048576,M$2,FALSE)</f>
        <v>3.1970956799999999E-2</v>
      </c>
      <c r="N168" s="332">
        <f>+VLOOKUP($E168,Energy_Mix!$1:$1048576,N$2,FALSE)</f>
        <v>3.1970956799999999E-2</v>
      </c>
      <c r="O168" s="332">
        <f>+VLOOKUP($E168,Energy_Mix!$1:$1048576,O$2,FALSE)</f>
        <v>3.1970956799999999E-2</v>
      </c>
      <c r="P168" s="332">
        <f>+VLOOKUP($E168,Energy_Mix!$1:$1048576,P$2,FALSE)</f>
        <v>3.1970956799999999E-2</v>
      </c>
      <c r="Q168" s="332">
        <f>+VLOOKUP($E168,Energy_Mix!$1:$1048576,Q$2,FALSE)</f>
        <v>3.1970956799999999E-2</v>
      </c>
      <c r="R168" s="332">
        <f>+VLOOKUP($E168,Energy_Mix!$1:$1048576,R$2,FALSE)</f>
        <v>3.1970956799999999E-2</v>
      </c>
      <c r="S168" s="332">
        <f>+VLOOKUP($E168,Energy_Mix!$1:$1048576,S$2,FALSE)</f>
        <v>3.1970956799999999E-2</v>
      </c>
      <c r="T168" s="332">
        <f>+VLOOKUP($E168,Energy_Mix!$1:$1048576,T$2,FALSE)</f>
        <v>3.1970956799999999E-2</v>
      </c>
      <c r="U168" s="332">
        <f>+VLOOKUP($E168,Energy_Mix!$1:$1048576,U$2,FALSE)</f>
        <v>3.1970956799999999E-2</v>
      </c>
      <c r="V168" s="332">
        <f>+VLOOKUP($E168,Energy_Mix!$1:$1048576,V$2,FALSE)</f>
        <v>3.1970956799999999E-2</v>
      </c>
      <c r="W168" s="332">
        <f>+VLOOKUP($E168,Energy_Mix!$1:$1048576,W$2,FALSE)</f>
        <v>3.1970956799999999E-2</v>
      </c>
      <c r="X168" s="332">
        <f>+VLOOKUP($E168,Energy_Mix!$1:$1048576,X$2,FALSE)</f>
        <v>3.1970956799999999E-2</v>
      </c>
      <c r="Y168" s="332">
        <f>+VLOOKUP($E168,Energy_Mix!$1:$1048576,Y$2,FALSE)</f>
        <v>3.1970956799999999E-2</v>
      </c>
      <c r="Z168" s="332">
        <f>+VLOOKUP($E168,Energy_Mix!$1:$1048576,Z$2,FALSE)</f>
        <v>3.1970956799999999E-2</v>
      </c>
      <c r="AA168" s="332">
        <f>+VLOOKUP($E168,Energy_Mix!$1:$1048576,AA$2,FALSE)</f>
        <v>3.1970956799999999E-2</v>
      </c>
      <c r="AB168" s="332">
        <f>+VLOOKUP($E168,Energy_Mix!$1:$1048576,AB$2,FALSE)</f>
        <v>3.1970956799999999E-2</v>
      </c>
      <c r="AC168" s="332">
        <f>+VLOOKUP($E168,Energy_Mix!$1:$1048576,AC$2,FALSE)</f>
        <v>3.1970956799999999E-2</v>
      </c>
      <c r="AD168" s="332">
        <f>+VLOOKUP($E168,Energy_Mix!$1:$1048576,AD$2,FALSE)</f>
        <v>3.1970956799999999E-2</v>
      </c>
      <c r="AE168" s="332">
        <f>+VLOOKUP($E168,Energy_Mix!$1:$1048576,AE$2,FALSE)</f>
        <v>3.1970956799999999E-2</v>
      </c>
      <c r="AF168" s="332">
        <f>+VLOOKUP($E168,Energy_Mix!$1:$1048576,AF$2,FALSE)</f>
        <v>3.1970956799999999E-2</v>
      </c>
      <c r="AG168" s="332">
        <f>+VLOOKUP($E168,Energy_Mix!$1:$1048576,AG$2,FALSE)</f>
        <v>3.1970956799999999E-2</v>
      </c>
      <c r="AH168" s="332">
        <f>+VLOOKUP($E168,Energy_Mix!$1:$1048576,AH$2,FALSE)</f>
        <v>3.1970956799999999E-2</v>
      </c>
      <c r="AI168" s="332">
        <f>+VLOOKUP($E168,Energy_Mix!$1:$1048576,AI$2,FALSE)</f>
        <v>3.1970956799999999E-2</v>
      </c>
      <c r="AJ168" s="332">
        <f>+VLOOKUP($E168,Energy_Mix!$1:$1048576,AJ$2,FALSE)</f>
        <v>3.1970956799999999E-2</v>
      </c>
      <c r="AK168" s="332">
        <f>+VLOOKUP($E168,Energy_Mix!$1:$1048576,AK$2,FALSE)</f>
        <v>3.1970956799999999E-2</v>
      </c>
      <c r="AL168" s="332">
        <f>+VLOOKUP($E168,Energy_Mix!$1:$1048576,AL$2,FALSE)</f>
        <v>3.1970956799999999E-2</v>
      </c>
      <c r="AM168" s="332">
        <f>+VLOOKUP($E168,Energy_Mix!$1:$1048576,AM$2,FALSE)</f>
        <v>3.1970956799999999E-2</v>
      </c>
      <c r="AN168" s="332">
        <f>+VLOOKUP($E168,Energy_Mix!$1:$1048576,AN$2,FALSE)</f>
        <v>3.1970956799999999E-2</v>
      </c>
      <c r="AO168" s="332">
        <f>+VLOOKUP($E168,Energy_Mix!$1:$1048576,AO$2,FALSE)</f>
        <v>3.1970956799999999E-2</v>
      </c>
    </row>
    <row r="169" spans="1:49" s="73" customFormat="1" ht="15" customHeight="1" x14ac:dyDescent="0.25">
      <c r="A169" s="392"/>
      <c r="B169" s="388"/>
      <c r="C169" s="168" t="s">
        <v>553</v>
      </c>
      <c r="D169" s="128"/>
      <c r="E169" s="84"/>
      <c r="F169" s="327">
        <f>SUM(F170:F171)</f>
        <v>0.99999999998599998</v>
      </c>
      <c r="G169" s="327">
        <f t="shared" ref="G169:AO169" si="35">SUM(G170:G171)</f>
        <v>0.99999999998599998</v>
      </c>
      <c r="H169" s="327">
        <f t="shared" si="35"/>
        <v>0.99999999998599998</v>
      </c>
      <c r="I169" s="327">
        <f t="shared" si="35"/>
        <v>0.99999999998599998</v>
      </c>
      <c r="J169" s="327">
        <f t="shared" si="35"/>
        <v>0.99999999998599998</v>
      </c>
      <c r="K169" s="327">
        <f t="shared" si="35"/>
        <v>0.99999999998599998</v>
      </c>
      <c r="L169" s="327">
        <f t="shared" si="35"/>
        <v>0.99999999998599998</v>
      </c>
      <c r="M169" s="327">
        <f t="shared" si="35"/>
        <v>0.99999999998599998</v>
      </c>
      <c r="N169" s="327">
        <f t="shared" si="35"/>
        <v>0.99999999998599998</v>
      </c>
      <c r="O169" s="327">
        <f t="shared" si="35"/>
        <v>0.99999999998599998</v>
      </c>
      <c r="P169" s="327">
        <f t="shared" si="35"/>
        <v>0.99999999998599998</v>
      </c>
      <c r="Q169" s="327">
        <f t="shared" si="35"/>
        <v>0.99999999998599998</v>
      </c>
      <c r="R169" s="327">
        <f t="shared" si="35"/>
        <v>0.99999999998599998</v>
      </c>
      <c r="S169" s="327">
        <f t="shared" si="35"/>
        <v>0.99999999998599998</v>
      </c>
      <c r="T169" s="327">
        <f t="shared" si="35"/>
        <v>0.99999999998599998</v>
      </c>
      <c r="U169" s="327">
        <f t="shared" si="35"/>
        <v>0.99999999998599998</v>
      </c>
      <c r="V169" s="327">
        <f t="shared" si="35"/>
        <v>0.99999999998599998</v>
      </c>
      <c r="W169" s="327">
        <f t="shared" si="35"/>
        <v>0.99999999998599998</v>
      </c>
      <c r="X169" s="327">
        <f t="shared" si="35"/>
        <v>0.99999999998599998</v>
      </c>
      <c r="Y169" s="327">
        <f t="shared" si="35"/>
        <v>0.99999999998599998</v>
      </c>
      <c r="Z169" s="327">
        <f t="shared" si="35"/>
        <v>0.99999999998599998</v>
      </c>
      <c r="AA169" s="327">
        <f t="shared" si="35"/>
        <v>0.99999999998599998</v>
      </c>
      <c r="AB169" s="327">
        <f t="shared" si="35"/>
        <v>0.99999999998599998</v>
      </c>
      <c r="AC169" s="327">
        <f t="shared" si="35"/>
        <v>0.99999999998599998</v>
      </c>
      <c r="AD169" s="327">
        <f t="shared" si="35"/>
        <v>0.99999999998599998</v>
      </c>
      <c r="AE169" s="327">
        <f t="shared" si="35"/>
        <v>0.99999999998599998</v>
      </c>
      <c r="AF169" s="327">
        <f t="shared" si="35"/>
        <v>0.99999999998599998</v>
      </c>
      <c r="AG169" s="327">
        <f t="shared" si="35"/>
        <v>0.99999999998599998</v>
      </c>
      <c r="AH169" s="327">
        <f t="shared" si="35"/>
        <v>0.99999999998599998</v>
      </c>
      <c r="AI169" s="327">
        <f t="shared" si="35"/>
        <v>0.99999999998599998</v>
      </c>
      <c r="AJ169" s="327">
        <f t="shared" si="35"/>
        <v>0.99999999998599998</v>
      </c>
      <c r="AK169" s="327">
        <f t="shared" si="35"/>
        <v>0.99999999998599998</v>
      </c>
      <c r="AL169" s="327">
        <f t="shared" si="35"/>
        <v>0.99999999998599998</v>
      </c>
      <c r="AM169" s="327">
        <f t="shared" si="35"/>
        <v>0.99999999998599998</v>
      </c>
      <c r="AN169" s="327">
        <f t="shared" si="35"/>
        <v>0.99999999998599998</v>
      </c>
      <c r="AO169" s="327">
        <f t="shared" si="35"/>
        <v>0.99999999998599998</v>
      </c>
    </row>
    <row r="170" spans="1:49" s="73" customFormat="1" ht="15" customHeight="1" x14ac:dyDescent="0.25">
      <c r="A170" s="392"/>
      <c r="B170" s="388"/>
      <c r="C170" s="128"/>
      <c r="D170" s="128"/>
      <c r="E170" s="84" t="s">
        <v>1895</v>
      </c>
      <c r="F170" s="332">
        <f>+VLOOKUP($E170,Energy_Mix!$1:$1048576,F$2,FALSE)</f>
        <v>0.99989726089999997</v>
      </c>
      <c r="G170" s="332">
        <f>+VLOOKUP($E170,Energy_Mix!$1:$1048576,G$2,FALSE)</f>
        <v>0.99989726089999997</v>
      </c>
      <c r="H170" s="332">
        <f>+VLOOKUP($E170,Energy_Mix!$1:$1048576,H$2,FALSE)</f>
        <v>0.99989726089999997</v>
      </c>
      <c r="I170" s="332">
        <f>+VLOOKUP($E170,Energy_Mix!$1:$1048576,I$2,FALSE)</f>
        <v>0.99989726089999997</v>
      </c>
      <c r="J170" s="332">
        <f>+VLOOKUP($E170,Energy_Mix!$1:$1048576,J$2,FALSE)</f>
        <v>0.99989726089999997</v>
      </c>
      <c r="K170" s="332">
        <f>+VLOOKUP($E170,Energy_Mix!$1:$1048576,K$2,FALSE)</f>
        <v>0.99989726089999997</v>
      </c>
      <c r="L170" s="332">
        <f>+VLOOKUP($E170,Energy_Mix!$1:$1048576,L$2,FALSE)</f>
        <v>0.99989726089999997</v>
      </c>
      <c r="M170" s="332">
        <f>+VLOOKUP($E170,Energy_Mix!$1:$1048576,M$2,FALSE)</f>
        <v>0.99989726089999997</v>
      </c>
      <c r="N170" s="332">
        <f>+VLOOKUP($E170,Energy_Mix!$1:$1048576,N$2,FALSE)</f>
        <v>0.99989726089999997</v>
      </c>
      <c r="O170" s="332">
        <f>+VLOOKUP($E170,Energy_Mix!$1:$1048576,O$2,FALSE)</f>
        <v>0.99989726089999997</v>
      </c>
      <c r="P170" s="332">
        <f>+VLOOKUP($E170,Energy_Mix!$1:$1048576,P$2,FALSE)</f>
        <v>0.99989726089999997</v>
      </c>
      <c r="Q170" s="332">
        <f>+VLOOKUP($E170,Energy_Mix!$1:$1048576,Q$2,FALSE)</f>
        <v>0.99989726089999997</v>
      </c>
      <c r="R170" s="332">
        <f>+VLOOKUP($E170,Energy_Mix!$1:$1048576,R$2,FALSE)</f>
        <v>0.99989726089999997</v>
      </c>
      <c r="S170" s="332">
        <f>+VLOOKUP($E170,Energy_Mix!$1:$1048576,S$2,FALSE)</f>
        <v>0.99989726089999997</v>
      </c>
      <c r="T170" s="332">
        <f>+VLOOKUP($E170,Energy_Mix!$1:$1048576,T$2,FALSE)</f>
        <v>0.99989726089999997</v>
      </c>
      <c r="U170" s="332">
        <f>+VLOOKUP($E170,Energy_Mix!$1:$1048576,U$2,FALSE)</f>
        <v>0.99989726089999997</v>
      </c>
      <c r="V170" s="332">
        <f>+VLOOKUP($E170,Energy_Mix!$1:$1048576,V$2,FALSE)</f>
        <v>0.99989726089999997</v>
      </c>
      <c r="W170" s="332">
        <f>+VLOOKUP($E170,Energy_Mix!$1:$1048576,W$2,FALSE)</f>
        <v>0.99989726089999997</v>
      </c>
      <c r="X170" s="332">
        <f>+VLOOKUP($E170,Energy_Mix!$1:$1048576,X$2,FALSE)</f>
        <v>0.99989726089999997</v>
      </c>
      <c r="Y170" s="332">
        <f>+VLOOKUP($E170,Energy_Mix!$1:$1048576,Y$2,FALSE)</f>
        <v>0.99989726089999997</v>
      </c>
      <c r="Z170" s="332">
        <f>+VLOOKUP($E170,Energy_Mix!$1:$1048576,Z$2,FALSE)</f>
        <v>0.99989726089999997</v>
      </c>
      <c r="AA170" s="332">
        <f>+VLOOKUP($E170,Energy_Mix!$1:$1048576,AA$2,FALSE)</f>
        <v>0.99989726089999997</v>
      </c>
      <c r="AB170" s="332">
        <f>+VLOOKUP($E170,Energy_Mix!$1:$1048576,AB$2,FALSE)</f>
        <v>0.99989726089999997</v>
      </c>
      <c r="AC170" s="332">
        <f>+VLOOKUP($E170,Energy_Mix!$1:$1048576,AC$2,FALSE)</f>
        <v>0.99989726089999997</v>
      </c>
      <c r="AD170" s="332">
        <f>+VLOOKUP($E170,Energy_Mix!$1:$1048576,AD$2,FALSE)</f>
        <v>0.99989726089999997</v>
      </c>
      <c r="AE170" s="332">
        <f>+VLOOKUP($E170,Energy_Mix!$1:$1048576,AE$2,FALSE)</f>
        <v>0.99989726089999997</v>
      </c>
      <c r="AF170" s="332">
        <f>+VLOOKUP($E170,Energy_Mix!$1:$1048576,AF$2,FALSE)</f>
        <v>0.99989726089999997</v>
      </c>
      <c r="AG170" s="332">
        <f>+VLOOKUP($E170,Energy_Mix!$1:$1048576,AG$2,FALSE)</f>
        <v>0.99989726089999997</v>
      </c>
      <c r="AH170" s="332">
        <f>+VLOOKUP($E170,Energy_Mix!$1:$1048576,AH$2,FALSE)</f>
        <v>0.99989726089999997</v>
      </c>
      <c r="AI170" s="332">
        <f>+VLOOKUP($E170,Energy_Mix!$1:$1048576,AI$2,FALSE)</f>
        <v>0.99989726089999997</v>
      </c>
      <c r="AJ170" s="332">
        <f>+VLOOKUP($E170,Energy_Mix!$1:$1048576,AJ$2,FALSE)</f>
        <v>0.99989726089999997</v>
      </c>
      <c r="AK170" s="332">
        <f>+VLOOKUP($E170,Energy_Mix!$1:$1048576,AK$2,FALSE)</f>
        <v>0.99989726089999997</v>
      </c>
      <c r="AL170" s="332">
        <f>+VLOOKUP($E170,Energy_Mix!$1:$1048576,AL$2,FALSE)</f>
        <v>0.99989726089999997</v>
      </c>
      <c r="AM170" s="332">
        <f>+VLOOKUP($E170,Energy_Mix!$1:$1048576,AM$2,FALSE)</f>
        <v>0.99989726089999997</v>
      </c>
      <c r="AN170" s="332">
        <f>+VLOOKUP($E170,Energy_Mix!$1:$1048576,AN$2,FALSE)</f>
        <v>0.99989726089999997</v>
      </c>
      <c r="AO170" s="332">
        <f>+VLOOKUP($E170,Energy_Mix!$1:$1048576,AO$2,FALSE)</f>
        <v>0.99989726089999997</v>
      </c>
    </row>
    <row r="171" spans="1:49" s="73" customFormat="1" ht="15" customHeight="1" x14ac:dyDescent="0.25">
      <c r="A171" s="392"/>
      <c r="B171" s="388"/>
      <c r="C171" s="129"/>
      <c r="D171" s="129"/>
      <c r="E171" s="94" t="s">
        <v>1896</v>
      </c>
      <c r="F171" s="334">
        <f>+VLOOKUP($E171,Energy_Mix!$1:$1048576,F$2,FALSE)</f>
        <v>1.02739086E-4</v>
      </c>
      <c r="G171" s="334">
        <f>+VLOOKUP($E171,Energy_Mix!$1:$1048576,G$2,FALSE)</f>
        <v>1.02739086E-4</v>
      </c>
      <c r="H171" s="334">
        <f>+VLOOKUP($E171,Energy_Mix!$1:$1048576,H$2,FALSE)</f>
        <v>1.02739086E-4</v>
      </c>
      <c r="I171" s="334">
        <f>+VLOOKUP($E171,Energy_Mix!$1:$1048576,I$2,FALSE)</f>
        <v>1.02739086E-4</v>
      </c>
      <c r="J171" s="334">
        <f>+VLOOKUP($E171,Energy_Mix!$1:$1048576,J$2,FALSE)</f>
        <v>1.02739086E-4</v>
      </c>
      <c r="K171" s="334">
        <f>+VLOOKUP($E171,Energy_Mix!$1:$1048576,K$2,FALSE)</f>
        <v>1.02739086E-4</v>
      </c>
      <c r="L171" s="334">
        <f>+VLOOKUP($E171,Energy_Mix!$1:$1048576,L$2,FALSE)</f>
        <v>1.02739086E-4</v>
      </c>
      <c r="M171" s="334">
        <f>+VLOOKUP($E171,Energy_Mix!$1:$1048576,M$2,FALSE)</f>
        <v>1.02739086E-4</v>
      </c>
      <c r="N171" s="334">
        <f>+VLOOKUP($E171,Energy_Mix!$1:$1048576,N$2,FALSE)</f>
        <v>1.02739086E-4</v>
      </c>
      <c r="O171" s="334">
        <f>+VLOOKUP($E171,Energy_Mix!$1:$1048576,O$2,FALSE)</f>
        <v>1.02739086E-4</v>
      </c>
      <c r="P171" s="334">
        <f>+VLOOKUP($E171,Energy_Mix!$1:$1048576,P$2,FALSE)</f>
        <v>1.02739086E-4</v>
      </c>
      <c r="Q171" s="334">
        <f>+VLOOKUP($E171,Energy_Mix!$1:$1048576,Q$2,FALSE)</f>
        <v>1.02739086E-4</v>
      </c>
      <c r="R171" s="334">
        <f>+VLOOKUP($E171,Energy_Mix!$1:$1048576,R$2,FALSE)</f>
        <v>1.02739086E-4</v>
      </c>
      <c r="S171" s="334">
        <f>+VLOOKUP($E171,Energy_Mix!$1:$1048576,S$2,FALSE)</f>
        <v>1.02739086E-4</v>
      </c>
      <c r="T171" s="334">
        <f>+VLOOKUP($E171,Energy_Mix!$1:$1048576,T$2,FALSE)</f>
        <v>1.02739086E-4</v>
      </c>
      <c r="U171" s="334">
        <f>+VLOOKUP($E171,Energy_Mix!$1:$1048576,U$2,FALSE)</f>
        <v>1.02739086E-4</v>
      </c>
      <c r="V171" s="334">
        <f>+VLOOKUP($E171,Energy_Mix!$1:$1048576,V$2,FALSE)</f>
        <v>1.02739086E-4</v>
      </c>
      <c r="W171" s="334">
        <f>+VLOOKUP($E171,Energy_Mix!$1:$1048576,W$2,FALSE)</f>
        <v>1.02739086E-4</v>
      </c>
      <c r="X171" s="334">
        <f>+VLOOKUP($E171,Energy_Mix!$1:$1048576,X$2,FALSE)</f>
        <v>1.02739086E-4</v>
      </c>
      <c r="Y171" s="334">
        <f>+VLOOKUP($E171,Energy_Mix!$1:$1048576,Y$2,FALSE)</f>
        <v>1.02739086E-4</v>
      </c>
      <c r="Z171" s="334">
        <f>+VLOOKUP($E171,Energy_Mix!$1:$1048576,Z$2,FALSE)</f>
        <v>1.02739086E-4</v>
      </c>
      <c r="AA171" s="334">
        <f>+VLOOKUP($E171,Energy_Mix!$1:$1048576,AA$2,FALSE)</f>
        <v>1.02739086E-4</v>
      </c>
      <c r="AB171" s="334">
        <f>+VLOOKUP($E171,Energy_Mix!$1:$1048576,AB$2,FALSE)</f>
        <v>1.02739086E-4</v>
      </c>
      <c r="AC171" s="334">
        <f>+VLOOKUP($E171,Energy_Mix!$1:$1048576,AC$2,FALSE)</f>
        <v>1.02739086E-4</v>
      </c>
      <c r="AD171" s="334">
        <f>+VLOOKUP($E171,Energy_Mix!$1:$1048576,AD$2,FALSE)</f>
        <v>1.02739086E-4</v>
      </c>
      <c r="AE171" s="334">
        <f>+VLOOKUP($E171,Energy_Mix!$1:$1048576,AE$2,FALSE)</f>
        <v>1.02739086E-4</v>
      </c>
      <c r="AF171" s="334">
        <f>+VLOOKUP($E171,Energy_Mix!$1:$1048576,AF$2,FALSE)</f>
        <v>1.02739086E-4</v>
      </c>
      <c r="AG171" s="334">
        <f>+VLOOKUP($E171,Energy_Mix!$1:$1048576,AG$2,FALSE)</f>
        <v>1.02739086E-4</v>
      </c>
      <c r="AH171" s="334">
        <f>+VLOOKUP($E171,Energy_Mix!$1:$1048576,AH$2,FALSE)</f>
        <v>1.02739086E-4</v>
      </c>
      <c r="AI171" s="334">
        <f>+VLOOKUP($E171,Energy_Mix!$1:$1048576,AI$2,FALSE)</f>
        <v>1.02739086E-4</v>
      </c>
      <c r="AJ171" s="334">
        <f>+VLOOKUP($E171,Energy_Mix!$1:$1048576,AJ$2,FALSE)</f>
        <v>1.02739086E-4</v>
      </c>
      <c r="AK171" s="334">
        <f>+VLOOKUP($E171,Energy_Mix!$1:$1048576,AK$2,FALSE)</f>
        <v>1.02739086E-4</v>
      </c>
      <c r="AL171" s="334">
        <f>+VLOOKUP($E171,Energy_Mix!$1:$1048576,AL$2,FALSE)</f>
        <v>1.02739086E-4</v>
      </c>
      <c r="AM171" s="334">
        <f>+VLOOKUP($E171,Energy_Mix!$1:$1048576,AM$2,FALSE)</f>
        <v>1.02739086E-4</v>
      </c>
      <c r="AN171" s="334">
        <f>+VLOOKUP($E171,Energy_Mix!$1:$1048576,AN$2,FALSE)</f>
        <v>1.02739086E-4</v>
      </c>
      <c r="AO171" s="334">
        <f>+VLOOKUP($E171,Energy_Mix!$1:$1048576,AO$2,FALSE)</f>
        <v>1.02739086E-4</v>
      </c>
    </row>
    <row r="172" spans="1:49" s="73" customFormat="1" ht="15" customHeight="1" x14ac:dyDescent="0.25">
      <c r="A172" s="392"/>
      <c r="B172" s="388"/>
      <c r="C172" s="168" t="s">
        <v>578</v>
      </c>
      <c r="D172" s="128"/>
      <c r="E172" s="84"/>
      <c r="F172" s="327">
        <f>SUM(F173:F174)</f>
        <v>1</v>
      </c>
      <c r="G172" s="327">
        <f t="shared" ref="G172:AO172" si="36">SUM(G173:G174)</f>
        <v>1</v>
      </c>
      <c r="H172" s="327">
        <f t="shared" si="36"/>
        <v>1</v>
      </c>
      <c r="I172" s="327">
        <f t="shared" si="36"/>
        <v>1</v>
      </c>
      <c r="J172" s="327">
        <f t="shared" si="36"/>
        <v>1</v>
      </c>
      <c r="K172" s="327">
        <f t="shared" si="36"/>
        <v>1</v>
      </c>
      <c r="L172" s="327">
        <f t="shared" si="36"/>
        <v>1</v>
      </c>
      <c r="M172" s="327">
        <f t="shared" si="36"/>
        <v>1</v>
      </c>
      <c r="N172" s="327">
        <f t="shared" si="36"/>
        <v>1</v>
      </c>
      <c r="O172" s="327">
        <f t="shared" si="36"/>
        <v>1</v>
      </c>
      <c r="P172" s="327">
        <f t="shared" si="36"/>
        <v>1</v>
      </c>
      <c r="Q172" s="327">
        <f t="shared" si="36"/>
        <v>1</v>
      </c>
      <c r="R172" s="327">
        <f t="shared" si="36"/>
        <v>1</v>
      </c>
      <c r="S172" s="327">
        <f t="shared" si="36"/>
        <v>1</v>
      </c>
      <c r="T172" s="327">
        <f t="shared" si="36"/>
        <v>1</v>
      </c>
      <c r="U172" s="327">
        <f t="shared" si="36"/>
        <v>1</v>
      </c>
      <c r="V172" s="327">
        <f t="shared" si="36"/>
        <v>1</v>
      </c>
      <c r="W172" s="327">
        <f t="shared" si="36"/>
        <v>1</v>
      </c>
      <c r="X172" s="327">
        <f t="shared" si="36"/>
        <v>1</v>
      </c>
      <c r="Y172" s="327">
        <f t="shared" si="36"/>
        <v>1</v>
      </c>
      <c r="Z172" s="327">
        <f t="shared" si="36"/>
        <v>1</v>
      </c>
      <c r="AA172" s="327">
        <f t="shared" si="36"/>
        <v>1</v>
      </c>
      <c r="AB172" s="327">
        <f t="shared" si="36"/>
        <v>1</v>
      </c>
      <c r="AC172" s="327">
        <f t="shared" si="36"/>
        <v>1</v>
      </c>
      <c r="AD172" s="327">
        <f t="shared" si="36"/>
        <v>1</v>
      </c>
      <c r="AE172" s="327">
        <f t="shared" si="36"/>
        <v>1</v>
      </c>
      <c r="AF172" s="327">
        <f t="shared" si="36"/>
        <v>1</v>
      </c>
      <c r="AG172" s="327">
        <f t="shared" si="36"/>
        <v>1</v>
      </c>
      <c r="AH172" s="327">
        <f t="shared" si="36"/>
        <v>1</v>
      </c>
      <c r="AI172" s="327">
        <f t="shared" si="36"/>
        <v>1</v>
      </c>
      <c r="AJ172" s="327">
        <f t="shared" si="36"/>
        <v>1</v>
      </c>
      <c r="AK172" s="327">
        <f t="shared" si="36"/>
        <v>1</v>
      </c>
      <c r="AL172" s="327">
        <f t="shared" si="36"/>
        <v>1</v>
      </c>
      <c r="AM172" s="327">
        <f t="shared" si="36"/>
        <v>1</v>
      </c>
      <c r="AN172" s="327">
        <f t="shared" si="36"/>
        <v>1</v>
      </c>
      <c r="AO172" s="327">
        <f t="shared" si="36"/>
        <v>1</v>
      </c>
    </row>
    <row r="173" spans="1:49" s="73" customFormat="1" ht="15" customHeight="1" x14ac:dyDescent="0.25">
      <c r="A173" s="392"/>
      <c r="B173" s="388"/>
      <c r="C173" s="168"/>
      <c r="D173" s="128" t="s">
        <v>1064</v>
      </c>
      <c r="E173" s="84" t="s">
        <v>1996</v>
      </c>
      <c r="F173" s="332">
        <f>+VLOOKUP($E173,Energy_Mix!$1:$1048576,F$2,FALSE)</f>
        <v>0.2006908916</v>
      </c>
      <c r="G173" s="332">
        <f>+VLOOKUP($E173,Energy_Mix!$1:$1048576,G$2,FALSE)</f>
        <v>0.2006908916</v>
      </c>
      <c r="H173" s="332">
        <f>+VLOOKUP($E173,Energy_Mix!$1:$1048576,H$2,FALSE)</f>
        <v>0.2006908916</v>
      </c>
      <c r="I173" s="332">
        <f>+VLOOKUP($E173,Energy_Mix!$1:$1048576,I$2,FALSE)</f>
        <v>0.2006908916</v>
      </c>
      <c r="J173" s="332">
        <f>+VLOOKUP($E173,Energy_Mix!$1:$1048576,J$2,FALSE)</f>
        <v>0.2006908916</v>
      </c>
      <c r="K173" s="332">
        <f>+VLOOKUP($E173,Energy_Mix!$1:$1048576,K$2,FALSE)</f>
        <v>0.2006908916</v>
      </c>
      <c r="L173" s="332">
        <f>+VLOOKUP($E173,Energy_Mix!$1:$1048576,L$2,FALSE)</f>
        <v>0.2006908916</v>
      </c>
      <c r="M173" s="332">
        <f>+VLOOKUP($E173,Energy_Mix!$1:$1048576,M$2,FALSE)</f>
        <v>0.2006908916</v>
      </c>
      <c r="N173" s="332">
        <f>+VLOOKUP($E173,Energy_Mix!$1:$1048576,N$2,FALSE)</f>
        <v>0.2006908916</v>
      </c>
      <c r="O173" s="332">
        <f>+VLOOKUP($E173,Energy_Mix!$1:$1048576,O$2,FALSE)</f>
        <v>0.2006908916</v>
      </c>
      <c r="P173" s="332">
        <f>+VLOOKUP($E173,Energy_Mix!$1:$1048576,P$2,FALSE)</f>
        <v>0.2006908916</v>
      </c>
      <c r="Q173" s="332">
        <f>+VLOOKUP($E173,Energy_Mix!$1:$1048576,Q$2,FALSE)</f>
        <v>0.2006908916</v>
      </c>
      <c r="R173" s="332">
        <f>+VLOOKUP($E173,Energy_Mix!$1:$1048576,R$2,FALSE)</f>
        <v>0.2006908916</v>
      </c>
      <c r="S173" s="332">
        <f>+VLOOKUP($E173,Energy_Mix!$1:$1048576,S$2,FALSE)</f>
        <v>0.2006908916</v>
      </c>
      <c r="T173" s="332">
        <f>+VLOOKUP($E173,Energy_Mix!$1:$1048576,T$2,FALSE)</f>
        <v>0.2006908916</v>
      </c>
      <c r="U173" s="332">
        <f>+VLOOKUP($E173,Energy_Mix!$1:$1048576,U$2,FALSE)</f>
        <v>0.2006908916</v>
      </c>
      <c r="V173" s="332">
        <f>+VLOOKUP($E173,Energy_Mix!$1:$1048576,V$2,FALSE)</f>
        <v>0.2006908916</v>
      </c>
      <c r="W173" s="332">
        <f>+VLOOKUP($E173,Energy_Mix!$1:$1048576,W$2,FALSE)</f>
        <v>0.2006908916</v>
      </c>
      <c r="X173" s="332">
        <f>+VLOOKUP($E173,Energy_Mix!$1:$1048576,X$2,FALSE)</f>
        <v>0.2006908916</v>
      </c>
      <c r="Y173" s="332">
        <f>+VLOOKUP($E173,Energy_Mix!$1:$1048576,Y$2,FALSE)</f>
        <v>0.2006908916</v>
      </c>
      <c r="Z173" s="332">
        <f>+VLOOKUP($E173,Energy_Mix!$1:$1048576,Z$2,FALSE)</f>
        <v>0.2006908916</v>
      </c>
      <c r="AA173" s="332">
        <f>+VLOOKUP($E173,Energy_Mix!$1:$1048576,AA$2,FALSE)</f>
        <v>0.2006908916</v>
      </c>
      <c r="AB173" s="332">
        <f>+VLOOKUP($E173,Energy_Mix!$1:$1048576,AB$2,FALSE)</f>
        <v>0.2006908916</v>
      </c>
      <c r="AC173" s="332">
        <f>+VLOOKUP($E173,Energy_Mix!$1:$1048576,AC$2,FALSE)</f>
        <v>0.2006908916</v>
      </c>
      <c r="AD173" s="332">
        <f>+VLOOKUP($E173,Energy_Mix!$1:$1048576,AD$2,FALSE)</f>
        <v>0.2006908916</v>
      </c>
      <c r="AE173" s="332">
        <f>+VLOOKUP($E173,Energy_Mix!$1:$1048576,AE$2,FALSE)</f>
        <v>0.2006908916</v>
      </c>
      <c r="AF173" s="332">
        <f>+VLOOKUP($E173,Energy_Mix!$1:$1048576,AF$2,FALSE)</f>
        <v>0.2006908916</v>
      </c>
      <c r="AG173" s="332">
        <f>+VLOOKUP($E173,Energy_Mix!$1:$1048576,AG$2,FALSE)</f>
        <v>0.2006908916</v>
      </c>
      <c r="AH173" s="332">
        <f>+VLOOKUP($E173,Energy_Mix!$1:$1048576,AH$2,FALSE)</f>
        <v>0.2006908916</v>
      </c>
      <c r="AI173" s="332">
        <f>+VLOOKUP($E173,Energy_Mix!$1:$1048576,AI$2,FALSE)</f>
        <v>0.2006908916</v>
      </c>
      <c r="AJ173" s="332">
        <f>+VLOOKUP($E173,Energy_Mix!$1:$1048576,AJ$2,FALSE)</f>
        <v>0.2006908916</v>
      </c>
      <c r="AK173" s="332">
        <f>+VLOOKUP($E173,Energy_Mix!$1:$1048576,AK$2,FALSE)</f>
        <v>0.2006908916</v>
      </c>
      <c r="AL173" s="332">
        <f>+VLOOKUP($E173,Energy_Mix!$1:$1048576,AL$2,FALSE)</f>
        <v>0.2006908916</v>
      </c>
      <c r="AM173" s="332">
        <f>+VLOOKUP($E173,Energy_Mix!$1:$1048576,AM$2,FALSE)</f>
        <v>0.2006908916</v>
      </c>
      <c r="AN173" s="332">
        <f>+VLOOKUP($E173,Energy_Mix!$1:$1048576,AN$2,FALSE)</f>
        <v>0.2006908916</v>
      </c>
      <c r="AO173" s="332">
        <f>+VLOOKUP($E173,Energy_Mix!$1:$1048576,AO$2,FALSE)</f>
        <v>0.2006908916</v>
      </c>
    </row>
    <row r="174" spans="1:49" s="73" customFormat="1" ht="15" customHeight="1" x14ac:dyDescent="0.25">
      <c r="A174" s="392"/>
      <c r="B174" s="388"/>
      <c r="C174" s="168"/>
      <c r="D174" s="128" t="s">
        <v>1064</v>
      </c>
      <c r="E174" s="84" t="s">
        <v>1997</v>
      </c>
      <c r="F174" s="332">
        <f>+VLOOKUP($E174,Energy_Mix!$1:$1048576,F$2,FALSE)</f>
        <v>0.79930910840000002</v>
      </c>
      <c r="G174" s="332">
        <f>+VLOOKUP($E174,Energy_Mix!$1:$1048576,G$2,FALSE)</f>
        <v>0.79930910840000002</v>
      </c>
      <c r="H174" s="332">
        <f>+VLOOKUP($E174,Energy_Mix!$1:$1048576,H$2,FALSE)</f>
        <v>0.79930910840000002</v>
      </c>
      <c r="I174" s="332">
        <f>+VLOOKUP($E174,Energy_Mix!$1:$1048576,I$2,FALSE)</f>
        <v>0.79930910840000002</v>
      </c>
      <c r="J174" s="332">
        <f>+VLOOKUP($E174,Energy_Mix!$1:$1048576,J$2,FALSE)</f>
        <v>0.79930910840000002</v>
      </c>
      <c r="K174" s="332">
        <f>+VLOOKUP($E174,Energy_Mix!$1:$1048576,K$2,FALSE)</f>
        <v>0.79930910840000002</v>
      </c>
      <c r="L174" s="332">
        <f>+VLOOKUP($E174,Energy_Mix!$1:$1048576,L$2,FALSE)</f>
        <v>0.79930910840000002</v>
      </c>
      <c r="M174" s="332">
        <f>+VLOOKUP($E174,Energy_Mix!$1:$1048576,M$2,FALSE)</f>
        <v>0.79930910840000002</v>
      </c>
      <c r="N174" s="332">
        <f>+VLOOKUP($E174,Energy_Mix!$1:$1048576,N$2,FALSE)</f>
        <v>0.79930910840000002</v>
      </c>
      <c r="O174" s="332">
        <f>+VLOOKUP($E174,Energy_Mix!$1:$1048576,O$2,FALSE)</f>
        <v>0.79930910840000002</v>
      </c>
      <c r="P174" s="332">
        <f>+VLOOKUP($E174,Energy_Mix!$1:$1048576,P$2,FALSE)</f>
        <v>0.79930910840000002</v>
      </c>
      <c r="Q174" s="332">
        <f>+VLOOKUP($E174,Energy_Mix!$1:$1048576,Q$2,FALSE)</f>
        <v>0.79930910840000002</v>
      </c>
      <c r="R174" s="332">
        <f>+VLOOKUP($E174,Energy_Mix!$1:$1048576,R$2,FALSE)</f>
        <v>0.79930910840000002</v>
      </c>
      <c r="S174" s="332">
        <f>+VLOOKUP($E174,Energy_Mix!$1:$1048576,S$2,FALSE)</f>
        <v>0.79930910840000002</v>
      </c>
      <c r="T174" s="332">
        <f>+VLOOKUP($E174,Energy_Mix!$1:$1048576,T$2,FALSE)</f>
        <v>0.79930910840000002</v>
      </c>
      <c r="U174" s="332">
        <f>+VLOOKUP($E174,Energy_Mix!$1:$1048576,U$2,FALSE)</f>
        <v>0.79930910840000002</v>
      </c>
      <c r="V174" s="332">
        <f>+VLOOKUP($E174,Energy_Mix!$1:$1048576,V$2,FALSE)</f>
        <v>0.79930910840000002</v>
      </c>
      <c r="W174" s="332">
        <f>+VLOOKUP($E174,Energy_Mix!$1:$1048576,W$2,FALSE)</f>
        <v>0.79930910840000002</v>
      </c>
      <c r="X174" s="332">
        <f>+VLOOKUP($E174,Energy_Mix!$1:$1048576,X$2,FALSE)</f>
        <v>0.79930910840000002</v>
      </c>
      <c r="Y174" s="332">
        <f>+VLOOKUP($E174,Energy_Mix!$1:$1048576,Y$2,FALSE)</f>
        <v>0.79930910840000002</v>
      </c>
      <c r="Z174" s="332">
        <f>+VLOOKUP($E174,Energy_Mix!$1:$1048576,Z$2,FALSE)</f>
        <v>0.79930910840000002</v>
      </c>
      <c r="AA174" s="332">
        <f>+VLOOKUP($E174,Energy_Mix!$1:$1048576,AA$2,FALSE)</f>
        <v>0.79930910840000002</v>
      </c>
      <c r="AB174" s="332">
        <f>+VLOOKUP($E174,Energy_Mix!$1:$1048576,AB$2,FALSE)</f>
        <v>0.79930910840000002</v>
      </c>
      <c r="AC174" s="332">
        <f>+VLOOKUP($E174,Energy_Mix!$1:$1048576,AC$2,FALSE)</f>
        <v>0.79930910840000002</v>
      </c>
      <c r="AD174" s="332">
        <f>+VLOOKUP($E174,Energy_Mix!$1:$1048576,AD$2,FALSE)</f>
        <v>0.79930910840000002</v>
      </c>
      <c r="AE174" s="332">
        <f>+VLOOKUP($E174,Energy_Mix!$1:$1048576,AE$2,FALSE)</f>
        <v>0.79930910840000002</v>
      </c>
      <c r="AF174" s="332">
        <f>+VLOOKUP($E174,Energy_Mix!$1:$1048576,AF$2,FALSE)</f>
        <v>0.79930910840000002</v>
      </c>
      <c r="AG174" s="332">
        <f>+VLOOKUP($E174,Energy_Mix!$1:$1048576,AG$2,FALSE)</f>
        <v>0.79930910840000002</v>
      </c>
      <c r="AH174" s="332">
        <f>+VLOOKUP($E174,Energy_Mix!$1:$1048576,AH$2,FALSE)</f>
        <v>0.79930910840000002</v>
      </c>
      <c r="AI174" s="332">
        <f>+VLOOKUP($E174,Energy_Mix!$1:$1048576,AI$2,FALSE)</f>
        <v>0.79930910840000002</v>
      </c>
      <c r="AJ174" s="332">
        <f>+VLOOKUP($E174,Energy_Mix!$1:$1048576,AJ$2,FALSE)</f>
        <v>0.79930910840000002</v>
      </c>
      <c r="AK174" s="332">
        <f>+VLOOKUP($E174,Energy_Mix!$1:$1048576,AK$2,FALSE)</f>
        <v>0.79930910840000002</v>
      </c>
      <c r="AL174" s="332">
        <f>+VLOOKUP($E174,Energy_Mix!$1:$1048576,AL$2,FALSE)</f>
        <v>0.79930910840000002</v>
      </c>
      <c r="AM174" s="332">
        <f>+VLOOKUP($E174,Energy_Mix!$1:$1048576,AM$2,FALSE)</f>
        <v>0.79930910840000002</v>
      </c>
      <c r="AN174" s="332">
        <f>+VLOOKUP($E174,Energy_Mix!$1:$1048576,AN$2,FALSE)</f>
        <v>0.79930910840000002</v>
      </c>
      <c r="AO174" s="332">
        <f>+VLOOKUP($E174,Energy_Mix!$1:$1048576,AO$2,FALSE)</f>
        <v>0.79930910840000002</v>
      </c>
    </row>
    <row r="175" spans="1:49" s="73" customFormat="1" ht="15" customHeight="1" x14ac:dyDescent="0.25">
      <c r="A175" s="392"/>
      <c r="B175" s="388"/>
      <c r="C175" s="168" t="s">
        <v>579</v>
      </c>
      <c r="D175" s="128"/>
      <c r="E175" s="84"/>
      <c r="F175" s="327">
        <f>SUM(F176:F177)</f>
        <v>1</v>
      </c>
      <c r="G175" s="327">
        <f t="shared" ref="G175:AO175" si="37">SUM(G176:G177)</f>
        <v>1</v>
      </c>
      <c r="H175" s="327">
        <f t="shared" si="37"/>
        <v>1</v>
      </c>
      <c r="I175" s="327">
        <f t="shared" si="37"/>
        <v>1</v>
      </c>
      <c r="J175" s="327">
        <f t="shared" si="37"/>
        <v>1</v>
      </c>
      <c r="K175" s="327">
        <f t="shared" si="37"/>
        <v>1</v>
      </c>
      <c r="L175" s="327">
        <f t="shared" si="37"/>
        <v>1</v>
      </c>
      <c r="M175" s="327">
        <f t="shared" si="37"/>
        <v>1</v>
      </c>
      <c r="N175" s="327">
        <f t="shared" si="37"/>
        <v>1</v>
      </c>
      <c r="O175" s="327">
        <f t="shared" si="37"/>
        <v>1</v>
      </c>
      <c r="P175" s="327">
        <f t="shared" si="37"/>
        <v>1</v>
      </c>
      <c r="Q175" s="327">
        <f t="shared" si="37"/>
        <v>1</v>
      </c>
      <c r="R175" s="327">
        <f t="shared" si="37"/>
        <v>1</v>
      </c>
      <c r="S175" s="327">
        <f t="shared" si="37"/>
        <v>1</v>
      </c>
      <c r="T175" s="327">
        <f t="shared" si="37"/>
        <v>1</v>
      </c>
      <c r="U175" s="327">
        <f t="shared" si="37"/>
        <v>1</v>
      </c>
      <c r="V175" s="327">
        <f t="shared" si="37"/>
        <v>1</v>
      </c>
      <c r="W175" s="327">
        <f t="shared" si="37"/>
        <v>1</v>
      </c>
      <c r="X175" s="327">
        <f t="shared" si="37"/>
        <v>1</v>
      </c>
      <c r="Y175" s="327">
        <f t="shared" si="37"/>
        <v>1</v>
      </c>
      <c r="Z175" s="327">
        <f t="shared" si="37"/>
        <v>1</v>
      </c>
      <c r="AA175" s="327">
        <f t="shared" si="37"/>
        <v>1</v>
      </c>
      <c r="AB175" s="327">
        <f t="shared" si="37"/>
        <v>1</v>
      </c>
      <c r="AC175" s="327">
        <f t="shared" si="37"/>
        <v>1</v>
      </c>
      <c r="AD175" s="327">
        <f t="shared" si="37"/>
        <v>1</v>
      </c>
      <c r="AE175" s="327">
        <f t="shared" si="37"/>
        <v>1</v>
      </c>
      <c r="AF175" s="327">
        <f t="shared" si="37"/>
        <v>1</v>
      </c>
      <c r="AG175" s="327">
        <f t="shared" si="37"/>
        <v>1</v>
      </c>
      <c r="AH175" s="327">
        <f t="shared" si="37"/>
        <v>1</v>
      </c>
      <c r="AI175" s="327">
        <f t="shared" si="37"/>
        <v>1</v>
      </c>
      <c r="AJ175" s="327">
        <f t="shared" si="37"/>
        <v>1</v>
      </c>
      <c r="AK175" s="327">
        <f t="shared" si="37"/>
        <v>1</v>
      </c>
      <c r="AL175" s="327">
        <f t="shared" si="37"/>
        <v>1</v>
      </c>
      <c r="AM175" s="327">
        <f t="shared" si="37"/>
        <v>1</v>
      </c>
      <c r="AN175" s="327">
        <f t="shared" si="37"/>
        <v>1</v>
      </c>
      <c r="AO175" s="327">
        <f t="shared" si="37"/>
        <v>1</v>
      </c>
    </row>
    <row r="176" spans="1:49" s="73" customFormat="1" ht="15" customHeight="1" x14ac:dyDescent="0.25">
      <c r="A176" s="392"/>
      <c r="B176" s="388"/>
      <c r="C176" s="168"/>
      <c r="D176" s="128" t="s">
        <v>1887</v>
      </c>
      <c r="E176" s="84" t="s">
        <v>1897</v>
      </c>
      <c r="F176" s="332">
        <f>+VLOOKUP($E176,Energy_Mix!$1:$1048576,F$2,FALSE)</f>
        <v>0.7836667034</v>
      </c>
      <c r="G176" s="332">
        <f>+VLOOKUP($E176,Energy_Mix!$1:$1048576,G$2,FALSE)</f>
        <v>0.7836667034</v>
      </c>
      <c r="H176" s="332">
        <f>+VLOOKUP($E176,Energy_Mix!$1:$1048576,H$2,FALSE)</f>
        <v>0.7836667034</v>
      </c>
      <c r="I176" s="332">
        <f>+VLOOKUP($E176,Energy_Mix!$1:$1048576,I$2,FALSE)</f>
        <v>0.7836667034</v>
      </c>
      <c r="J176" s="332">
        <f>+VLOOKUP($E176,Energy_Mix!$1:$1048576,J$2,FALSE)</f>
        <v>0.7836667034</v>
      </c>
      <c r="K176" s="332">
        <f>+VLOOKUP($E176,Energy_Mix!$1:$1048576,K$2,FALSE)</f>
        <v>0.7836667034</v>
      </c>
      <c r="L176" s="332">
        <f>+VLOOKUP($E176,Energy_Mix!$1:$1048576,L$2,FALSE)</f>
        <v>0.7836667034</v>
      </c>
      <c r="M176" s="332">
        <f>+VLOOKUP($E176,Energy_Mix!$1:$1048576,M$2,FALSE)</f>
        <v>0.7836667034</v>
      </c>
      <c r="N176" s="332">
        <f>+VLOOKUP($E176,Energy_Mix!$1:$1048576,N$2,FALSE)</f>
        <v>0.7836667034</v>
      </c>
      <c r="O176" s="332">
        <f>+VLOOKUP($E176,Energy_Mix!$1:$1048576,O$2,FALSE)</f>
        <v>0.7836667034</v>
      </c>
      <c r="P176" s="332">
        <f>+VLOOKUP($E176,Energy_Mix!$1:$1048576,P$2,FALSE)</f>
        <v>0.7836667034</v>
      </c>
      <c r="Q176" s="332">
        <f>+VLOOKUP($E176,Energy_Mix!$1:$1048576,Q$2,FALSE)</f>
        <v>0.7836667034</v>
      </c>
      <c r="R176" s="332">
        <f>+VLOOKUP($E176,Energy_Mix!$1:$1048576,R$2,FALSE)</f>
        <v>0.7836667034</v>
      </c>
      <c r="S176" s="332">
        <f>+VLOOKUP($E176,Energy_Mix!$1:$1048576,S$2,FALSE)</f>
        <v>0.7836667034</v>
      </c>
      <c r="T176" s="332">
        <f>+VLOOKUP($E176,Energy_Mix!$1:$1048576,T$2,FALSE)</f>
        <v>0.7836667034</v>
      </c>
      <c r="U176" s="332">
        <f>+VLOOKUP($E176,Energy_Mix!$1:$1048576,U$2,FALSE)</f>
        <v>0.7836667034</v>
      </c>
      <c r="V176" s="332">
        <f>+VLOOKUP($E176,Energy_Mix!$1:$1048576,V$2,FALSE)</f>
        <v>0.7836667034</v>
      </c>
      <c r="W176" s="332">
        <f>+VLOOKUP($E176,Energy_Mix!$1:$1048576,W$2,FALSE)</f>
        <v>0.7836667034</v>
      </c>
      <c r="X176" s="332">
        <f>+VLOOKUP($E176,Energy_Mix!$1:$1048576,X$2,FALSE)</f>
        <v>0.7836667034</v>
      </c>
      <c r="Y176" s="332">
        <f>+VLOOKUP($E176,Energy_Mix!$1:$1048576,Y$2,FALSE)</f>
        <v>0.7836667034</v>
      </c>
      <c r="Z176" s="332">
        <f>+VLOOKUP($E176,Energy_Mix!$1:$1048576,Z$2,FALSE)</f>
        <v>0.7836667034</v>
      </c>
      <c r="AA176" s="332">
        <f>+VLOOKUP($E176,Energy_Mix!$1:$1048576,AA$2,FALSE)</f>
        <v>0.7836667034</v>
      </c>
      <c r="AB176" s="332">
        <f>+VLOOKUP($E176,Energy_Mix!$1:$1048576,AB$2,FALSE)</f>
        <v>0.7836667034</v>
      </c>
      <c r="AC176" s="332">
        <f>+VLOOKUP($E176,Energy_Mix!$1:$1048576,AC$2,FALSE)</f>
        <v>0.7836667034</v>
      </c>
      <c r="AD176" s="332">
        <f>+VLOOKUP($E176,Energy_Mix!$1:$1048576,AD$2,FALSE)</f>
        <v>0.7836667034</v>
      </c>
      <c r="AE176" s="332">
        <f>+VLOOKUP($E176,Energy_Mix!$1:$1048576,AE$2,FALSE)</f>
        <v>0.7836667034</v>
      </c>
      <c r="AF176" s="332">
        <f>+VLOOKUP($E176,Energy_Mix!$1:$1048576,AF$2,FALSE)</f>
        <v>0.7836667034</v>
      </c>
      <c r="AG176" s="332">
        <f>+VLOOKUP($E176,Energy_Mix!$1:$1048576,AG$2,FALSE)</f>
        <v>0.7836667034</v>
      </c>
      <c r="AH176" s="332">
        <f>+VLOOKUP($E176,Energy_Mix!$1:$1048576,AH$2,FALSE)</f>
        <v>0.7836667034</v>
      </c>
      <c r="AI176" s="332">
        <f>+VLOOKUP($E176,Energy_Mix!$1:$1048576,AI$2,FALSE)</f>
        <v>0.7836667034</v>
      </c>
      <c r="AJ176" s="332">
        <f>+VLOOKUP($E176,Energy_Mix!$1:$1048576,AJ$2,FALSE)</f>
        <v>0.7836667034</v>
      </c>
      <c r="AK176" s="332">
        <f>+VLOOKUP($E176,Energy_Mix!$1:$1048576,AK$2,FALSE)</f>
        <v>0.7836667034</v>
      </c>
      <c r="AL176" s="332">
        <f>+VLOOKUP($E176,Energy_Mix!$1:$1048576,AL$2,FALSE)</f>
        <v>0.7836667034</v>
      </c>
      <c r="AM176" s="332">
        <f>+VLOOKUP($E176,Energy_Mix!$1:$1048576,AM$2,FALSE)</f>
        <v>0.7836667034</v>
      </c>
      <c r="AN176" s="332">
        <f>+VLOOKUP($E176,Energy_Mix!$1:$1048576,AN$2,FALSE)</f>
        <v>0.7836667034</v>
      </c>
      <c r="AO176" s="332">
        <f>+VLOOKUP($E176,Energy_Mix!$1:$1048576,AO$2,FALSE)</f>
        <v>0.7836667034</v>
      </c>
    </row>
    <row r="177" spans="1:41" s="73" customFormat="1" ht="15" customHeight="1" x14ac:dyDescent="0.25">
      <c r="A177" s="392"/>
      <c r="B177" s="388"/>
      <c r="C177" s="168"/>
      <c r="D177" s="128" t="s">
        <v>1887</v>
      </c>
      <c r="E177" s="84" t="s">
        <v>1898</v>
      </c>
      <c r="F177" s="332">
        <f>+VLOOKUP($E177,Energy_Mix!$1:$1048576,F$2,FALSE)</f>
        <v>0.2163332966</v>
      </c>
      <c r="G177" s="332">
        <f>+VLOOKUP($E177,Energy_Mix!$1:$1048576,G$2,FALSE)</f>
        <v>0.2163332966</v>
      </c>
      <c r="H177" s="332">
        <f>+VLOOKUP($E177,Energy_Mix!$1:$1048576,H$2,FALSE)</f>
        <v>0.2163332966</v>
      </c>
      <c r="I177" s="332">
        <f>+VLOOKUP($E177,Energy_Mix!$1:$1048576,I$2,FALSE)</f>
        <v>0.2163332966</v>
      </c>
      <c r="J177" s="332">
        <f>+VLOOKUP($E177,Energy_Mix!$1:$1048576,J$2,FALSE)</f>
        <v>0.2163332966</v>
      </c>
      <c r="K177" s="332">
        <f>+VLOOKUP($E177,Energy_Mix!$1:$1048576,K$2,FALSE)</f>
        <v>0.2163332966</v>
      </c>
      <c r="L177" s="332">
        <f>+VLOOKUP($E177,Energy_Mix!$1:$1048576,L$2,FALSE)</f>
        <v>0.2163332966</v>
      </c>
      <c r="M177" s="332">
        <f>+VLOOKUP($E177,Energy_Mix!$1:$1048576,M$2,FALSE)</f>
        <v>0.2163332966</v>
      </c>
      <c r="N177" s="332">
        <f>+VLOOKUP($E177,Energy_Mix!$1:$1048576,N$2,FALSE)</f>
        <v>0.2163332966</v>
      </c>
      <c r="O177" s="332">
        <f>+VLOOKUP($E177,Energy_Mix!$1:$1048576,O$2,FALSE)</f>
        <v>0.2163332966</v>
      </c>
      <c r="P177" s="332">
        <f>+VLOOKUP($E177,Energy_Mix!$1:$1048576,P$2,FALSE)</f>
        <v>0.2163332966</v>
      </c>
      <c r="Q177" s="332">
        <f>+VLOOKUP($E177,Energy_Mix!$1:$1048576,Q$2,FALSE)</f>
        <v>0.2163332966</v>
      </c>
      <c r="R177" s="332">
        <f>+VLOOKUP($E177,Energy_Mix!$1:$1048576,R$2,FALSE)</f>
        <v>0.2163332966</v>
      </c>
      <c r="S177" s="332">
        <f>+VLOOKUP($E177,Energy_Mix!$1:$1048576,S$2,FALSE)</f>
        <v>0.2163332966</v>
      </c>
      <c r="T177" s="332">
        <f>+VLOOKUP($E177,Energy_Mix!$1:$1048576,T$2,FALSE)</f>
        <v>0.2163332966</v>
      </c>
      <c r="U177" s="332">
        <f>+VLOOKUP($E177,Energy_Mix!$1:$1048576,U$2,FALSE)</f>
        <v>0.2163332966</v>
      </c>
      <c r="V177" s="332">
        <f>+VLOOKUP($E177,Energy_Mix!$1:$1048576,V$2,FALSE)</f>
        <v>0.2163332966</v>
      </c>
      <c r="W177" s="332">
        <f>+VLOOKUP($E177,Energy_Mix!$1:$1048576,W$2,FALSE)</f>
        <v>0.2163332966</v>
      </c>
      <c r="X177" s="332">
        <f>+VLOOKUP($E177,Energy_Mix!$1:$1048576,X$2,FALSE)</f>
        <v>0.2163332966</v>
      </c>
      <c r="Y177" s="332">
        <f>+VLOOKUP($E177,Energy_Mix!$1:$1048576,Y$2,FALSE)</f>
        <v>0.2163332966</v>
      </c>
      <c r="Z177" s="332">
        <f>+VLOOKUP($E177,Energy_Mix!$1:$1048576,Z$2,FALSE)</f>
        <v>0.2163332966</v>
      </c>
      <c r="AA177" s="332">
        <f>+VLOOKUP($E177,Energy_Mix!$1:$1048576,AA$2,FALSE)</f>
        <v>0.2163332966</v>
      </c>
      <c r="AB177" s="332">
        <f>+VLOOKUP($E177,Energy_Mix!$1:$1048576,AB$2,FALSE)</f>
        <v>0.2163332966</v>
      </c>
      <c r="AC177" s="332">
        <f>+VLOOKUP($E177,Energy_Mix!$1:$1048576,AC$2,FALSE)</f>
        <v>0.2163332966</v>
      </c>
      <c r="AD177" s="332">
        <f>+VLOOKUP($E177,Energy_Mix!$1:$1048576,AD$2,FALSE)</f>
        <v>0.2163332966</v>
      </c>
      <c r="AE177" s="332">
        <f>+VLOOKUP($E177,Energy_Mix!$1:$1048576,AE$2,FALSE)</f>
        <v>0.2163332966</v>
      </c>
      <c r="AF177" s="332">
        <f>+VLOOKUP($E177,Energy_Mix!$1:$1048576,AF$2,FALSE)</f>
        <v>0.2163332966</v>
      </c>
      <c r="AG177" s="332">
        <f>+VLOOKUP($E177,Energy_Mix!$1:$1048576,AG$2,FALSE)</f>
        <v>0.2163332966</v>
      </c>
      <c r="AH177" s="332">
        <f>+VLOOKUP($E177,Energy_Mix!$1:$1048576,AH$2,FALSE)</f>
        <v>0.2163332966</v>
      </c>
      <c r="AI177" s="332">
        <f>+VLOOKUP($E177,Energy_Mix!$1:$1048576,AI$2,FALSE)</f>
        <v>0.2163332966</v>
      </c>
      <c r="AJ177" s="332">
        <f>+VLOOKUP($E177,Energy_Mix!$1:$1048576,AJ$2,FALSE)</f>
        <v>0.2163332966</v>
      </c>
      <c r="AK177" s="332">
        <f>+VLOOKUP($E177,Energy_Mix!$1:$1048576,AK$2,FALSE)</f>
        <v>0.2163332966</v>
      </c>
      <c r="AL177" s="332">
        <f>+VLOOKUP($E177,Energy_Mix!$1:$1048576,AL$2,FALSE)</f>
        <v>0.2163332966</v>
      </c>
      <c r="AM177" s="332">
        <f>+VLOOKUP($E177,Energy_Mix!$1:$1048576,AM$2,FALSE)</f>
        <v>0.2163332966</v>
      </c>
      <c r="AN177" s="332">
        <f>+VLOOKUP($E177,Energy_Mix!$1:$1048576,AN$2,FALSE)</f>
        <v>0.2163332966</v>
      </c>
      <c r="AO177" s="332">
        <f>+VLOOKUP($E177,Energy_Mix!$1:$1048576,AO$2,FALSE)</f>
        <v>0.2163332966</v>
      </c>
    </row>
    <row r="178" spans="1:41" s="73" customFormat="1" ht="15" customHeight="1" x14ac:dyDescent="0.25">
      <c r="A178" s="392"/>
      <c r="B178" s="388"/>
      <c r="C178" s="168" t="s">
        <v>492</v>
      </c>
      <c r="D178" s="128"/>
      <c r="E178" s="84"/>
      <c r="F178" s="327">
        <f>SUM(F179:F180)</f>
        <v>1</v>
      </c>
      <c r="G178" s="327">
        <f t="shared" ref="G178:AO178" si="38">SUM(G179:G180)</f>
        <v>1</v>
      </c>
      <c r="H178" s="327">
        <f t="shared" si="38"/>
        <v>1</v>
      </c>
      <c r="I178" s="327">
        <f t="shared" si="38"/>
        <v>1</v>
      </c>
      <c r="J178" s="327">
        <f t="shared" si="38"/>
        <v>1</v>
      </c>
      <c r="K178" s="327">
        <f t="shared" si="38"/>
        <v>1</v>
      </c>
      <c r="L178" s="327">
        <f t="shared" si="38"/>
        <v>1</v>
      </c>
      <c r="M178" s="327">
        <f t="shared" si="38"/>
        <v>1</v>
      </c>
      <c r="N178" s="327">
        <f t="shared" si="38"/>
        <v>1</v>
      </c>
      <c r="O178" s="327">
        <f t="shared" si="38"/>
        <v>1</v>
      </c>
      <c r="P178" s="327">
        <f t="shared" si="38"/>
        <v>1</v>
      </c>
      <c r="Q178" s="327">
        <f t="shared" si="38"/>
        <v>1</v>
      </c>
      <c r="R178" s="327">
        <f t="shared" si="38"/>
        <v>1</v>
      </c>
      <c r="S178" s="327">
        <f t="shared" si="38"/>
        <v>1</v>
      </c>
      <c r="T178" s="327">
        <f t="shared" si="38"/>
        <v>1</v>
      </c>
      <c r="U178" s="327">
        <f t="shared" si="38"/>
        <v>1</v>
      </c>
      <c r="V178" s="327">
        <f t="shared" si="38"/>
        <v>1</v>
      </c>
      <c r="W178" s="327">
        <f t="shared" si="38"/>
        <v>1</v>
      </c>
      <c r="X178" s="327">
        <f t="shared" si="38"/>
        <v>1</v>
      </c>
      <c r="Y178" s="327">
        <f t="shared" si="38"/>
        <v>1</v>
      </c>
      <c r="Z178" s="327">
        <f t="shared" si="38"/>
        <v>1</v>
      </c>
      <c r="AA178" s="327">
        <f t="shared" si="38"/>
        <v>1</v>
      </c>
      <c r="AB178" s="327">
        <f t="shared" si="38"/>
        <v>1</v>
      </c>
      <c r="AC178" s="327">
        <f t="shared" si="38"/>
        <v>1</v>
      </c>
      <c r="AD178" s="327">
        <f t="shared" si="38"/>
        <v>1</v>
      </c>
      <c r="AE178" s="327">
        <f t="shared" si="38"/>
        <v>1</v>
      </c>
      <c r="AF178" s="327">
        <f t="shared" si="38"/>
        <v>1</v>
      </c>
      <c r="AG178" s="327">
        <f t="shared" si="38"/>
        <v>1</v>
      </c>
      <c r="AH178" s="327">
        <f t="shared" si="38"/>
        <v>1</v>
      </c>
      <c r="AI178" s="327">
        <f t="shared" si="38"/>
        <v>1</v>
      </c>
      <c r="AJ178" s="327">
        <f t="shared" si="38"/>
        <v>1</v>
      </c>
      <c r="AK178" s="327">
        <f t="shared" si="38"/>
        <v>1</v>
      </c>
      <c r="AL178" s="327">
        <f t="shared" si="38"/>
        <v>1</v>
      </c>
      <c r="AM178" s="327">
        <f t="shared" si="38"/>
        <v>1</v>
      </c>
      <c r="AN178" s="327">
        <f t="shared" si="38"/>
        <v>1</v>
      </c>
      <c r="AO178" s="327">
        <f t="shared" si="38"/>
        <v>1</v>
      </c>
    </row>
    <row r="179" spans="1:41" s="73" customFormat="1" ht="15" customHeight="1" x14ac:dyDescent="0.25">
      <c r="A179" s="392"/>
      <c r="B179" s="388"/>
      <c r="C179" s="128"/>
      <c r="D179" s="128" t="s">
        <v>1890</v>
      </c>
      <c r="E179" s="84" t="s">
        <v>497</v>
      </c>
      <c r="F179" s="332">
        <f>+VLOOKUP($E179,Energy_Mix!$1:$1048576,F$2,FALSE)</f>
        <v>0.83809636089999995</v>
      </c>
      <c r="G179" s="332">
        <f>+VLOOKUP($E179,Energy_Mix!$1:$1048576,G$2,FALSE)</f>
        <v>0.83809636089999995</v>
      </c>
      <c r="H179" s="332">
        <f>+VLOOKUP($E179,Energy_Mix!$1:$1048576,H$2,FALSE)</f>
        <v>0.83809636089999995</v>
      </c>
      <c r="I179" s="332">
        <f>+VLOOKUP($E179,Energy_Mix!$1:$1048576,I$2,FALSE)</f>
        <v>0.83809636089999995</v>
      </c>
      <c r="J179" s="332">
        <f>+VLOOKUP($E179,Energy_Mix!$1:$1048576,J$2,FALSE)</f>
        <v>0.83809636089999995</v>
      </c>
      <c r="K179" s="332">
        <f>+VLOOKUP($E179,Energy_Mix!$1:$1048576,K$2,FALSE)</f>
        <v>0.83809636089999995</v>
      </c>
      <c r="L179" s="332">
        <f>+VLOOKUP($E179,Energy_Mix!$1:$1048576,L$2,FALSE)</f>
        <v>0.83809636089999995</v>
      </c>
      <c r="M179" s="332">
        <f>+VLOOKUP($E179,Energy_Mix!$1:$1048576,M$2,FALSE)</f>
        <v>0.83809636089999995</v>
      </c>
      <c r="N179" s="332">
        <f>+VLOOKUP($E179,Energy_Mix!$1:$1048576,N$2,FALSE)</f>
        <v>0.83809636089999995</v>
      </c>
      <c r="O179" s="332">
        <f>+VLOOKUP($E179,Energy_Mix!$1:$1048576,O$2,FALSE)</f>
        <v>0.83809636089999995</v>
      </c>
      <c r="P179" s="332">
        <f>+VLOOKUP($E179,Energy_Mix!$1:$1048576,P$2,FALSE)</f>
        <v>0.83809636089999995</v>
      </c>
      <c r="Q179" s="332">
        <f>+VLOOKUP($E179,Energy_Mix!$1:$1048576,Q$2,FALSE)</f>
        <v>0.83809636089999995</v>
      </c>
      <c r="R179" s="332">
        <f>+VLOOKUP($E179,Energy_Mix!$1:$1048576,R$2,FALSE)</f>
        <v>0.83809636089999995</v>
      </c>
      <c r="S179" s="332">
        <f>+VLOOKUP($E179,Energy_Mix!$1:$1048576,S$2,FALSE)</f>
        <v>0.83809636089999995</v>
      </c>
      <c r="T179" s="332">
        <f>+VLOOKUP($E179,Energy_Mix!$1:$1048576,T$2,FALSE)</f>
        <v>0.83809636089999995</v>
      </c>
      <c r="U179" s="332">
        <f>+VLOOKUP($E179,Energy_Mix!$1:$1048576,U$2,FALSE)</f>
        <v>0.83809636089999995</v>
      </c>
      <c r="V179" s="332">
        <f>+VLOOKUP($E179,Energy_Mix!$1:$1048576,V$2,FALSE)</f>
        <v>0.83809636089999995</v>
      </c>
      <c r="W179" s="332">
        <f>+VLOOKUP($E179,Energy_Mix!$1:$1048576,W$2,FALSE)</f>
        <v>0.83809636089999995</v>
      </c>
      <c r="X179" s="332">
        <f>+VLOOKUP($E179,Energy_Mix!$1:$1048576,X$2,FALSE)</f>
        <v>0.83809636089999995</v>
      </c>
      <c r="Y179" s="332">
        <f>+VLOOKUP($E179,Energy_Mix!$1:$1048576,Y$2,FALSE)</f>
        <v>0.83809636089999995</v>
      </c>
      <c r="Z179" s="332">
        <f>+VLOOKUP($E179,Energy_Mix!$1:$1048576,Z$2,FALSE)</f>
        <v>0.83809636089999995</v>
      </c>
      <c r="AA179" s="332">
        <f>+VLOOKUP($E179,Energy_Mix!$1:$1048576,AA$2,FALSE)</f>
        <v>0.83809636089999995</v>
      </c>
      <c r="AB179" s="332">
        <f>+VLOOKUP($E179,Energy_Mix!$1:$1048576,AB$2,FALSE)</f>
        <v>0.83809636089999995</v>
      </c>
      <c r="AC179" s="332">
        <f>+VLOOKUP($E179,Energy_Mix!$1:$1048576,AC$2,FALSE)</f>
        <v>0.83809636089999995</v>
      </c>
      <c r="AD179" s="332">
        <f>+VLOOKUP($E179,Energy_Mix!$1:$1048576,AD$2,FALSE)</f>
        <v>0.83809636089999995</v>
      </c>
      <c r="AE179" s="332">
        <f>+VLOOKUP($E179,Energy_Mix!$1:$1048576,AE$2,FALSE)</f>
        <v>0.83809636089999995</v>
      </c>
      <c r="AF179" s="332">
        <f>+VLOOKUP($E179,Energy_Mix!$1:$1048576,AF$2,FALSE)</f>
        <v>0.83809636089999995</v>
      </c>
      <c r="AG179" s="332">
        <f>+VLOOKUP($E179,Energy_Mix!$1:$1048576,AG$2,FALSE)</f>
        <v>0.83809636089999995</v>
      </c>
      <c r="AH179" s="332">
        <f>+VLOOKUP($E179,Energy_Mix!$1:$1048576,AH$2,FALSE)</f>
        <v>0.83809636089999995</v>
      </c>
      <c r="AI179" s="332">
        <f>+VLOOKUP($E179,Energy_Mix!$1:$1048576,AI$2,FALSE)</f>
        <v>0.83809636089999995</v>
      </c>
      <c r="AJ179" s="332">
        <f>+VLOOKUP($E179,Energy_Mix!$1:$1048576,AJ$2,FALSE)</f>
        <v>0.83809636089999995</v>
      </c>
      <c r="AK179" s="332">
        <f>+VLOOKUP($E179,Energy_Mix!$1:$1048576,AK$2,FALSE)</f>
        <v>0.83809636089999995</v>
      </c>
      <c r="AL179" s="332">
        <f>+VLOOKUP($E179,Energy_Mix!$1:$1048576,AL$2,FALSE)</f>
        <v>0.83809636089999995</v>
      </c>
      <c r="AM179" s="332">
        <f>+VLOOKUP($E179,Energy_Mix!$1:$1048576,AM$2,FALSE)</f>
        <v>0.83809636089999995</v>
      </c>
      <c r="AN179" s="332">
        <f>+VLOOKUP($E179,Energy_Mix!$1:$1048576,AN$2,FALSE)</f>
        <v>0.83809636089999995</v>
      </c>
      <c r="AO179" s="332">
        <f>+VLOOKUP($E179,Energy_Mix!$1:$1048576,AO$2,FALSE)</f>
        <v>0.83809636089999995</v>
      </c>
    </row>
    <row r="180" spans="1:41" s="73" customFormat="1" ht="15" customHeight="1" x14ac:dyDescent="0.25">
      <c r="A180" s="392"/>
      <c r="B180" s="388"/>
      <c r="C180" s="128"/>
      <c r="D180" s="128" t="s">
        <v>546</v>
      </c>
      <c r="E180" s="84" t="s">
        <v>498</v>
      </c>
      <c r="F180" s="332">
        <f>+VLOOKUP($E180,Energy_Mix!$1:$1048576,F$2,FALSE)</f>
        <v>0.1619036391</v>
      </c>
      <c r="G180" s="332">
        <f>+VLOOKUP($E180,Energy_Mix!$1:$1048576,G$2,FALSE)</f>
        <v>0.1619036391</v>
      </c>
      <c r="H180" s="332">
        <f>+VLOOKUP($E180,Energy_Mix!$1:$1048576,H$2,FALSE)</f>
        <v>0.1619036391</v>
      </c>
      <c r="I180" s="332">
        <f>+VLOOKUP($E180,Energy_Mix!$1:$1048576,I$2,FALSE)</f>
        <v>0.1619036391</v>
      </c>
      <c r="J180" s="332">
        <f>+VLOOKUP($E180,Energy_Mix!$1:$1048576,J$2,FALSE)</f>
        <v>0.1619036391</v>
      </c>
      <c r="K180" s="332">
        <f>+VLOOKUP($E180,Energy_Mix!$1:$1048576,K$2,FALSE)</f>
        <v>0.1619036391</v>
      </c>
      <c r="L180" s="332">
        <f>+VLOOKUP($E180,Energy_Mix!$1:$1048576,L$2,FALSE)</f>
        <v>0.1619036391</v>
      </c>
      <c r="M180" s="332">
        <f>+VLOOKUP($E180,Energy_Mix!$1:$1048576,M$2,FALSE)</f>
        <v>0.1619036391</v>
      </c>
      <c r="N180" s="332">
        <f>+VLOOKUP($E180,Energy_Mix!$1:$1048576,N$2,FALSE)</f>
        <v>0.1619036391</v>
      </c>
      <c r="O180" s="332">
        <f>+VLOOKUP($E180,Energy_Mix!$1:$1048576,O$2,FALSE)</f>
        <v>0.1619036391</v>
      </c>
      <c r="P180" s="332">
        <f>+VLOOKUP($E180,Energy_Mix!$1:$1048576,P$2,FALSE)</f>
        <v>0.1619036391</v>
      </c>
      <c r="Q180" s="332">
        <f>+VLOOKUP($E180,Energy_Mix!$1:$1048576,Q$2,FALSE)</f>
        <v>0.1619036391</v>
      </c>
      <c r="R180" s="332">
        <f>+VLOOKUP($E180,Energy_Mix!$1:$1048576,R$2,FALSE)</f>
        <v>0.1619036391</v>
      </c>
      <c r="S180" s="332">
        <f>+VLOOKUP($E180,Energy_Mix!$1:$1048576,S$2,FALSE)</f>
        <v>0.1619036391</v>
      </c>
      <c r="T180" s="332">
        <f>+VLOOKUP($E180,Energy_Mix!$1:$1048576,T$2,FALSE)</f>
        <v>0.1619036391</v>
      </c>
      <c r="U180" s="332">
        <f>+VLOOKUP($E180,Energy_Mix!$1:$1048576,U$2,FALSE)</f>
        <v>0.1619036391</v>
      </c>
      <c r="V180" s="332">
        <f>+VLOOKUP($E180,Energy_Mix!$1:$1048576,V$2,FALSE)</f>
        <v>0.1619036391</v>
      </c>
      <c r="W180" s="332">
        <f>+VLOOKUP($E180,Energy_Mix!$1:$1048576,W$2,FALSE)</f>
        <v>0.1619036391</v>
      </c>
      <c r="X180" s="332">
        <f>+VLOOKUP($E180,Energy_Mix!$1:$1048576,X$2,FALSE)</f>
        <v>0.1619036391</v>
      </c>
      <c r="Y180" s="332">
        <f>+VLOOKUP($E180,Energy_Mix!$1:$1048576,Y$2,FALSE)</f>
        <v>0.1619036391</v>
      </c>
      <c r="Z180" s="332">
        <f>+VLOOKUP($E180,Energy_Mix!$1:$1048576,Z$2,FALSE)</f>
        <v>0.1619036391</v>
      </c>
      <c r="AA180" s="332">
        <f>+VLOOKUP($E180,Energy_Mix!$1:$1048576,AA$2,FALSE)</f>
        <v>0.1619036391</v>
      </c>
      <c r="AB180" s="332">
        <f>+VLOOKUP($E180,Energy_Mix!$1:$1048576,AB$2,FALSE)</f>
        <v>0.1619036391</v>
      </c>
      <c r="AC180" s="332">
        <f>+VLOOKUP($E180,Energy_Mix!$1:$1048576,AC$2,FALSE)</f>
        <v>0.1619036391</v>
      </c>
      <c r="AD180" s="332">
        <f>+VLOOKUP($E180,Energy_Mix!$1:$1048576,AD$2,FALSE)</f>
        <v>0.1619036391</v>
      </c>
      <c r="AE180" s="332">
        <f>+VLOOKUP($E180,Energy_Mix!$1:$1048576,AE$2,FALSE)</f>
        <v>0.1619036391</v>
      </c>
      <c r="AF180" s="332">
        <f>+VLOOKUP($E180,Energy_Mix!$1:$1048576,AF$2,FALSE)</f>
        <v>0.1619036391</v>
      </c>
      <c r="AG180" s="332">
        <f>+VLOOKUP($E180,Energy_Mix!$1:$1048576,AG$2,FALSE)</f>
        <v>0.1619036391</v>
      </c>
      <c r="AH180" s="332">
        <f>+VLOOKUP($E180,Energy_Mix!$1:$1048576,AH$2,FALSE)</f>
        <v>0.1619036391</v>
      </c>
      <c r="AI180" s="332">
        <f>+VLOOKUP($E180,Energy_Mix!$1:$1048576,AI$2,FALSE)</f>
        <v>0.1619036391</v>
      </c>
      <c r="AJ180" s="332">
        <f>+VLOOKUP($E180,Energy_Mix!$1:$1048576,AJ$2,FALSE)</f>
        <v>0.1619036391</v>
      </c>
      <c r="AK180" s="332">
        <f>+VLOOKUP($E180,Energy_Mix!$1:$1048576,AK$2,FALSE)</f>
        <v>0.1619036391</v>
      </c>
      <c r="AL180" s="332">
        <f>+VLOOKUP($E180,Energy_Mix!$1:$1048576,AL$2,FALSE)</f>
        <v>0.1619036391</v>
      </c>
      <c r="AM180" s="332">
        <f>+VLOOKUP($E180,Energy_Mix!$1:$1048576,AM$2,FALSE)</f>
        <v>0.1619036391</v>
      </c>
      <c r="AN180" s="332">
        <f>+VLOOKUP($E180,Energy_Mix!$1:$1048576,AN$2,FALSE)</f>
        <v>0.1619036391</v>
      </c>
      <c r="AO180" s="332">
        <f>+VLOOKUP($E180,Energy_Mix!$1:$1048576,AO$2,FALSE)</f>
        <v>0.1619036391</v>
      </c>
    </row>
    <row r="181" spans="1:41" s="73" customFormat="1" ht="15" customHeight="1" x14ac:dyDescent="0.25">
      <c r="A181" s="392"/>
      <c r="B181" s="388"/>
      <c r="C181" s="168" t="s">
        <v>493</v>
      </c>
      <c r="D181" s="128"/>
      <c r="E181" s="84"/>
      <c r="F181" s="327">
        <f>F182</f>
        <v>1</v>
      </c>
      <c r="G181" s="327">
        <f t="shared" ref="G181:AO181" si="39">G182</f>
        <v>1</v>
      </c>
      <c r="H181" s="327">
        <f t="shared" si="39"/>
        <v>1</v>
      </c>
      <c r="I181" s="327">
        <f t="shared" si="39"/>
        <v>1</v>
      </c>
      <c r="J181" s="327">
        <f t="shared" si="39"/>
        <v>1</v>
      </c>
      <c r="K181" s="327">
        <f t="shared" si="39"/>
        <v>1</v>
      </c>
      <c r="L181" s="327">
        <f t="shared" si="39"/>
        <v>1</v>
      </c>
      <c r="M181" s="327">
        <f t="shared" si="39"/>
        <v>1</v>
      </c>
      <c r="N181" s="327">
        <f t="shared" si="39"/>
        <v>1</v>
      </c>
      <c r="O181" s="327">
        <f t="shared" si="39"/>
        <v>1</v>
      </c>
      <c r="P181" s="327">
        <f t="shared" si="39"/>
        <v>1</v>
      </c>
      <c r="Q181" s="327">
        <f t="shared" si="39"/>
        <v>1</v>
      </c>
      <c r="R181" s="327">
        <f t="shared" si="39"/>
        <v>1</v>
      </c>
      <c r="S181" s="327">
        <f t="shared" si="39"/>
        <v>1</v>
      </c>
      <c r="T181" s="327">
        <f t="shared" si="39"/>
        <v>1</v>
      </c>
      <c r="U181" s="327">
        <f t="shared" si="39"/>
        <v>1</v>
      </c>
      <c r="V181" s="327">
        <f t="shared" si="39"/>
        <v>1</v>
      </c>
      <c r="W181" s="327">
        <f t="shared" si="39"/>
        <v>1</v>
      </c>
      <c r="X181" s="327">
        <f t="shared" si="39"/>
        <v>1</v>
      </c>
      <c r="Y181" s="327">
        <f t="shared" si="39"/>
        <v>1</v>
      </c>
      <c r="Z181" s="327">
        <f t="shared" si="39"/>
        <v>1</v>
      </c>
      <c r="AA181" s="327">
        <f t="shared" si="39"/>
        <v>1</v>
      </c>
      <c r="AB181" s="327">
        <f t="shared" si="39"/>
        <v>1</v>
      </c>
      <c r="AC181" s="327">
        <f t="shared" si="39"/>
        <v>1</v>
      </c>
      <c r="AD181" s="327">
        <f t="shared" si="39"/>
        <v>1</v>
      </c>
      <c r="AE181" s="327">
        <f t="shared" si="39"/>
        <v>1</v>
      </c>
      <c r="AF181" s="327">
        <f t="shared" si="39"/>
        <v>1</v>
      </c>
      <c r="AG181" s="327">
        <f t="shared" si="39"/>
        <v>1</v>
      </c>
      <c r="AH181" s="327">
        <f t="shared" si="39"/>
        <v>1</v>
      </c>
      <c r="AI181" s="327">
        <f t="shared" si="39"/>
        <v>1</v>
      </c>
      <c r="AJ181" s="327">
        <f t="shared" si="39"/>
        <v>1</v>
      </c>
      <c r="AK181" s="327">
        <f t="shared" si="39"/>
        <v>1</v>
      </c>
      <c r="AL181" s="327">
        <f t="shared" si="39"/>
        <v>1</v>
      </c>
      <c r="AM181" s="327">
        <f t="shared" si="39"/>
        <v>1</v>
      </c>
      <c r="AN181" s="327">
        <f t="shared" si="39"/>
        <v>1</v>
      </c>
      <c r="AO181" s="327">
        <f t="shared" si="39"/>
        <v>1</v>
      </c>
    </row>
    <row r="182" spans="1:41" s="73" customFormat="1" ht="15" customHeight="1" x14ac:dyDescent="0.25">
      <c r="A182" s="392"/>
      <c r="B182" s="388"/>
      <c r="C182" s="168"/>
      <c r="D182" s="128" t="s">
        <v>1890</v>
      </c>
      <c r="E182" s="84" t="s">
        <v>1899</v>
      </c>
      <c r="F182" s="332">
        <f>+VLOOKUP($E182,Energy_Mix!$1:$1048576,F$2,FALSE)</f>
        <v>1</v>
      </c>
      <c r="G182" s="332">
        <f>+VLOOKUP($E182,Energy_Mix!$1:$1048576,G$2,FALSE)</f>
        <v>1</v>
      </c>
      <c r="H182" s="332">
        <f>+VLOOKUP($E182,Energy_Mix!$1:$1048576,H$2,FALSE)</f>
        <v>1</v>
      </c>
      <c r="I182" s="332">
        <f>+VLOOKUP($E182,Energy_Mix!$1:$1048576,I$2,FALSE)</f>
        <v>1</v>
      </c>
      <c r="J182" s="332">
        <f>+VLOOKUP($E182,Energy_Mix!$1:$1048576,J$2,FALSE)</f>
        <v>1</v>
      </c>
      <c r="K182" s="332">
        <f>+VLOOKUP($E182,Energy_Mix!$1:$1048576,K$2,FALSE)</f>
        <v>1</v>
      </c>
      <c r="L182" s="332">
        <f>+VLOOKUP($E182,Energy_Mix!$1:$1048576,L$2,FALSE)</f>
        <v>1</v>
      </c>
      <c r="M182" s="332">
        <f>+VLOOKUP($E182,Energy_Mix!$1:$1048576,M$2,FALSE)</f>
        <v>1</v>
      </c>
      <c r="N182" s="332">
        <f>+VLOOKUP($E182,Energy_Mix!$1:$1048576,N$2,FALSE)</f>
        <v>1</v>
      </c>
      <c r="O182" s="332">
        <f>+VLOOKUP($E182,Energy_Mix!$1:$1048576,O$2,FALSE)</f>
        <v>1</v>
      </c>
      <c r="P182" s="332">
        <f>+VLOOKUP($E182,Energy_Mix!$1:$1048576,P$2,FALSE)</f>
        <v>1</v>
      </c>
      <c r="Q182" s="332">
        <f>+VLOOKUP($E182,Energy_Mix!$1:$1048576,Q$2,FALSE)</f>
        <v>1</v>
      </c>
      <c r="R182" s="332">
        <f>+VLOOKUP($E182,Energy_Mix!$1:$1048576,R$2,FALSE)</f>
        <v>1</v>
      </c>
      <c r="S182" s="332">
        <f>+VLOOKUP($E182,Energy_Mix!$1:$1048576,S$2,FALSE)</f>
        <v>1</v>
      </c>
      <c r="T182" s="332">
        <f>+VLOOKUP($E182,Energy_Mix!$1:$1048576,T$2,FALSE)</f>
        <v>1</v>
      </c>
      <c r="U182" s="332">
        <f>+VLOOKUP($E182,Energy_Mix!$1:$1048576,U$2,FALSE)</f>
        <v>1</v>
      </c>
      <c r="V182" s="332">
        <f>+VLOOKUP($E182,Energy_Mix!$1:$1048576,V$2,FALSE)</f>
        <v>1</v>
      </c>
      <c r="W182" s="332">
        <f>+VLOOKUP($E182,Energy_Mix!$1:$1048576,W$2,FALSE)</f>
        <v>1</v>
      </c>
      <c r="X182" s="332">
        <f>+VLOOKUP($E182,Energy_Mix!$1:$1048576,X$2,FALSE)</f>
        <v>1</v>
      </c>
      <c r="Y182" s="332">
        <f>+VLOOKUP($E182,Energy_Mix!$1:$1048576,Y$2,FALSE)</f>
        <v>1</v>
      </c>
      <c r="Z182" s="332">
        <f>+VLOOKUP($E182,Energy_Mix!$1:$1048576,Z$2,FALSE)</f>
        <v>1</v>
      </c>
      <c r="AA182" s="332">
        <f>+VLOOKUP($E182,Energy_Mix!$1:$1048576,AA$2,FALSE)</f>
        <v>1</v>
      </c>
      <c r="AB182" s="332">
        <f>+VLOOKUP($E182,Energy_Mix!$1:$1048576,AB$2,FALSE)</f>
        <v>1</v>
      </c>
      <c r="AC182" s="332">
        <f>+VLOOKUP($E182,Energy_Mix!$1:$1048576,AC$2,FALSE)</f>
        <v>1</v>
      </c>
      <c r="AD182" s="332">
        <f>+VLOOKUP($E182,Energy_Mix!$1:$1048576,AD$2,FALSE)</f>
        <v>1</v>
      </c>
      <c r="AE182" s="332">
        <f>+VLOOKUP($E182,Energy_Mix!$1:$1048576,AE$2,FALSE)</f>
        <v>1</v>
      </c>
      <c r="AF182" s="332">
        <f>+VLOOKUP($E182,Energy_Mix!$1:$1048576,AF$2,FALSE)</f>
        <v>1</v>
      </c>
      <c r="AG182" s="332">
        <f>+VLOOKUP($E182,Energy_Mix!$1:$1048576,AG$2,FALSE)</f>
        <v>1</v>
      </c>
      <c r="AH182" s="332">
        <f>+VLOOKUP($E182,Energy_Mix!$1:$1048576,AH$2,FALSE)</f>
        <v>1</v>
      </c>
      <c r="AI182" s="332">
        <f>+VLOOKUP($E182,Energy_Mix!$1:$1048576,AI$2,FALSE)</f>
        <v>1</v>
      </c>
      <c r="AJ182" s="332">
        <f>+VLOOKUP($E182,Energy_Mix!$1:$1048576,AJ$2,FALSE)</f>
        <v>1</v>
      </c>
      <c r="AK182" s="332">
        <f>+VLOOKUP($E182,Energy_Mix!$1:$1048576,AK$2,FALSE)</f>
        <v>1</v>
      </c>
      <c r="AL182" s="332">
        <f>+VLOOKUP($E182,Energy_Mix!$1:$1048576,AL$2,FALSE)</f>
        <v>1</v>
      </c>
      <c r="AM182" s="332">
        <f>+VLOOKUP($E182,Energy_Mix!$1:$1048576,AM$2,FALSE)</f>
        <v>1</v>
      </c>
      <c r="AN182" s="332">
        <f>+VLOOKUP($E182,Energy_Mix!$1:$1048576,AN$2,FALSE)</f>
        <v>1</v>
      </c>
      <c r="AO182" s="332">
        <f>+VLOOKUP($E182,Energy_Mix!$1:$1048576,AO$2,FALSE)</f>
        <v>1</v>
      </c>
    </row>
    <row r="183" spans="1:41" s="73" customFormat="1" ht="15" customHeight="1" x14ac:dyDescent="0.25">
      <c r="A183" s="392"/>
      <c r="B183" s="388"/>
      <c r="C183" s="168" t="s">
        <v>494</v>
      </c>
      <c r="D183" s="128"/>
      <c r="E183" s="84"/>
      <c r="F183" s="327">
        <f>SUM(F184:F187)</f>
        <v>1.0000000000824001</v>
      </c>
      <c r="G183" s="327">
        <f t="shared" ref="G183:AO183" si="40">SUM(G184:G187)</f>
        <v>1.0000000000824001</v>
      </c>
      <c r="H183" s="327">
        <f t="shared" si="40"/>
        <v>1.0000000000824001</v>
      </c>
      <c r="I183" s="327">
        <f t="shared" si="40"/>
        <v>1.0000000000824001</v>
      </c>
      <c r="J183" s="327">
        <f t="shared" si="40"/>
        <v>1.0000000000824001</v>
      </c>
      <c r="K183" s="327">
        <f t="shared" si="40"/>
        <v>1.0000000000824001</v>
      </c>
      <c r="L183" s="327">
        <f t="shared" si="40"/>
        <v>1.0000000000824001</v>
      </c>
      <c r="M183" s="327">
        <f t="shared" si="40"/>
        <v>1.0000000000824001</v>
      </c>
      <c r="N183" s="327">
        <f t="shared" si="40"/>
        <v>1.0000000000824001</v>
      </c>
      <c r="O183" s="327">
        <f t="shared" si="40"/>
        <v>1.0000000000824001</v>
      </c>
      <c r="P183" s="327">
        <f t="shared" si="40"/>
        <v>1.0000000000824001</v>
      </c>
      <c r="Q183" s="327">
        <f t="shared" si="40"/>
        <v>1.0000000000824001</v>
      </c>
      <c r="R183" s="327">
        <f t="shared" si="40"/>
        <v>1.0000000000824001</v>
      </c>
      <c r="S183" s="327">
        <f t="shared" si="40"/>
        <v>1.0000000000824001</v>
      </c>
      <c r="T183" s="327">
        <f t="shared" si="40"/>
        <v>1.0000000000824001</v>
      </c>
      <c r="U183" s="327">
        <f t="shared" si="40"/>
        <v>1.0000000000824001</v>
      </c>
      <c r="V183" s="327">
        <f t="shared" si="40"/>
        <v>1.0000000000824001</v>
      </c>
      <c r="W183" s="327">
        <f t="shared" si="40"/>
        <v>1.0000000000824001</v>
      </c>
      <c r="X183" s="327">
        <f t="shared" si="40"/>
        <v>1.0000000000824001</v>
      </c>
      <c r="Y183" s="327">
        <f t="shared" si="40"/>
        <v>1.0000000000824001</v>
      </c>
      <c r="Z183" s="327">
        <f t="shared" si="40"/>
        <v>1.0000000000824001</v>
      </c>
      <c r="AA183" s="327">
        <f t="shared" si="40"/>
        <v>1.0000000000824001</v>
      </c>
      <c r="AB183" s="327">
        <f t="shared" si="40"/>
        <v>1.0000000000824001</v>
      </c>
      <c r="AC183" s="327">
        <f t="shared" si="40"/>
        <v>1.0000000000824001</v>
      </c>
      <c r="AD183" s="327">
        <f t="shared" si="40"/>
        <v>1.0000000000824001</v>
      </c>
      <c r="AE183" s="327">
        <f t="shared" si="40"/>
        <v>1.0000000000824001</v>
      </c>
      <c r="AF183" s="327">
        <f t="shared" si="40"/>
        <v>1.0000000000824001</v>
      </c>
      <c r="AG183" s="327">
        <f t="shared" si="40"/>
        <v>1.0000000000824001</v>
      </c>
      <c r="AH183" s="327">
        <f t="shared" si="40"/>
        <v>1.0000000000824001</v>
      </c>
      <c r="AI183" s="327">
        <f t="shared" si="40"/>
        <v>1.0000000000824001</v>
      </c>
      <c r="AJ183" s="327">
        <f t="shared" si="40"/>
        <v>1.0000000000824001</v>
      </c>
      <c r="AK183" s="327">
        <f t="shared" si="40"/>
        <v>1.0000000000824001</v>
      </c>
      <c r="AL183" s="327">
        <f t="shared" si="40"/>
        <v>1.0000000000824001</v>
      </c>
      <c r="AM183" s="327">
        <f t="shared" si="40"/>
        <v>1.0000000000824001</v>
      </c>
      <c r="AN183" s="327">
        <f t="shared" si="40"/>
        <v>1.0000000000824001</v>
      </c>
      <c r="AO183" s="327">
        <f t="shared" si="40"/>
        <v>1.0000000000824001</v>
      </c>
    </row>
    <row r="184" spans="1:41" s="73" customFormat="1" ht="15" customHeight="1" x14ac:dyDescent="0.25">
      <c r="A184" s="392"/>
      <c r="B184" s="388"/>
      <c r="C184" s="168"/>
      <c r="D184" s="128" t="s">
        <v>547</v>
      </c>
      <c r="E184" s="84" t="s">
        <v>1883</v>
      </c>
      <c r="F184" s="332">
        <f>+VLOOKUP($E184,Energy_Mix!$1:$1048576,F$2,FALSE)</f>
        <v>8.2704782399999999E-5</v>
      </c>
      <c r="G184" s="332">
        <f>+VLOOKUP($E184,Energy_Mix!$1:$1048576,G$2,FALSE)</f>
        <v>8.2704782399999999E-5</v>
      </c>
      <c r="H184" s="332">
        <f>+VLOOKUP($E184,Energy_Mix!$1:$1048576,H$2,FALSE)</f>
        <v>8.2704782399999999E-5</v>
      </c>
      <c r="I184" s="332">
        <f>+VLOOKUP($E184,Energy_Mix!$1:$1048576,I$2,FALSE)</f>
        <v>8.2704782399999999E-5</v>
      </c>
      <c r="J184" s="332">
        <f>+VLOOKUP($E184,Energy_Mix!$1:$1048576,J$2,FALSE)</f>
        <v>8.2704782399999999E-5</v>
      </c>
      <c r="K184" s="332">
        <f>+VLOOKUP($E184,Energy_Mix!$1:$1048576,K$2,FALSE)</f>
        <v>8.2704782399999999E-5</v>
      </c>
      <c r="L184" s="332">
        <f>+VLOOKUP($E184,Energy_Mix!$1:$1048576,L$2,FALSE)</f>
        <v>8.2704782399999999E-5</v>
      </c>
      <c r="M184" s="332">
        <f>+VLOOKUP($E184,Energy_Mix!$1:$1048576,M$2,FALSE)</f>
        <v>8.2704782399999999E-5</v>
      </c>
      <c r="N184" s="332">
        <f>+VLOOKUP($E184,Energy_Mix!$1:$1048576,N$2,FALSE)</f>
        <v>8.2704782399999999E-5</v>
      </c>
      <c r="O184" s="332">
        <f>+VLOOKUP($E184,Energy_Mix!$1:$1048576,O$2,FALSE)</f>
        <v>8.2704782399999999E-5</v>
      </c>
      <c r="P184" s="332">
        <f>+VLOOKUP($E184,Energy_Mix!$1:$1048576,P$2,FALSE)</f>
        <v>8.2704782399999999E-5</v>
      </c>
      <c r="Q184" s="332">
        <f>+VLOOKUP($E184,Energy_Mix!$1:$1048576,Q$2,FALSE)</f>
        <v>8.2704782399999999E-5</v>
      </c>
      <c r="R184" s="332">
        <f>+VLOOKUP($E184,Energy_Mix!$1:$1048576,R$2,FALSE)</f>
        <v>8.2704782399999999E-5</v>
      </c>
      <c r="S184" s="332">
        <f>+VLOOKUP($E184,Energy_Mix!$1:$1048576,S$2,FALSE)</f>
        <v>8.2704782399999999E-5</v>
      </c>
      <c r="T184" s="332">
        <f>+VLOOKUP($E184,Energy_Mix!$1:$1048576,T$2,FALSE)</f>
        <v>8.2704782399999999E-5</v>
      </c>
      <c r="U184" s="332">
        <f>+VLOOKUP($E184,Energy_Mix!$1:$1048576,U$2,FALSE)</f>
        <v>8.2704782399999999E-5</v>
      </c>
      <c r="V184" s="332">
        <f>+VLOOKUP($E184,Energy_Mix!$1:$1048576,V$2,FALSE)</f>
        <v>8.2704782399999999E-5</v>
      </c>
      <c r="W184" s="332">
        <f>+VLOOKUP($E184,Energy_Mix!$1:$1048576,W$2,FALSE)</f>
        <v>8.2704782399999999E-5</v>
      </c>
      <c r="X184" s="332">
        <f>+VLOOKUP($E184,Energy_Mix!$1:$1048576,X$2,FALSE)</f>
        <v>8.2704782399999999E-5</v>
      </c>
      <c r="Y184" s="332">
        <f>+VLOOKUP($E184,Energy_Mix!$1:$1048576,Y$2,FALSE)</f>
        <v>8.2704782399999999E-5</v>
      </c>
      <c r="Z184" s="332">
        <f>+VLOOKUP($E184,Energy_Mix!$1:$1048576,Z$2,FALSE)</f>
        <v>8.2704782399999999E-5</v>
      </c>
      <c r="AA184" s="332">
        <f>+VLOOKUP($E184,Energy_Mix!$1:$1048576,AA$2,FALSE)</f>
        <v>8.2704782399999999E-5</v>
      </c>
      <c r="AB184" s="332">
        <f>+VLOOKUP($E184,Energy_Mix!$1:$1048576,AB$2,FALSE)</f>
        <v>8.2704782399999999E-5</v>
      </c>
      <c r="AC184" s="332">
        <f>+VLOOKUP($E184,Energy_Mix!$1:$1048576,AC$2,FALSE)</f>
        <v>8.2704782399999999E-5</v>
      </c>
      <c r="AD184" s="332">
        <f>+VLOOKUP($E184,Energy_Mix!$1:$1048576,AD$2,FALSE)</f>
        <v>8.2704782399999999E-5</v>
      </c>
      <c r="AE184" s="332">
        <f>+VLOOKUP($E184,Energy_Mix!$1:$1048576,AE$2,FALSE)</f>
        <v>8.2704782399999999E-5</v>
      </c>
      <c r="AF184" s="332">
        <f>+VLOOKUP($E184,Energy_Mix!$1:$1048576,AF$2,FALSE)</f>
        <v>8.2704782399999999E-5</v>
      </c>
      <c r="AG184" s="332">
        <f>+VLOOKUP($E184,Energy_Mix!$1:$1048576,AG$2,FALSE)</f>
        <v>8.2704782399999999E-5</v>
      </c>
      <c r="AH184" s="332">
        <f>+VLOOKUP($E184,Energy_Mix!$1:$1048576,AH$2,FALSE)</f>
        <v>8.2704782399999999E-5</v>
      </c>
      <c r="AI184" s="332">
        <f>+VLOOKUP($E184,Energy_Mix!$1:$1048576,AI$2,FALSE)</f>
        <v>8.2704782399999999E-5</v>
      </c>
      <c r="AJ184" s="332">
        <f>+VLOOKUP($E184,Energy_Mix!$1:$1048576,AJ$2,FALSE)</f>
        <v>8.2704782399999999E-5</v>
      </c>
      <c r="AK184" s="332">
        <f>+VLOOKUP($E184,Energy_Mix!$1:$1048576,AK$2,FALSE)</f>
        <v>8.2704782399999999E-5</v>
      </c>
      <c r="AL184" s="332">
        <f>+VLOOKUP($E184,Energy_Mix!$1:$1048576,AL$2,FALSE)</f>
        <v>8.2704782399999999E-5</v>
      </c>
      <c r="AM184" s="332">
        <f>+VLOOKUP($E184,Energy_Mix!$1:$1048576,AM$2,FALSE)</f>
        <v>8.2704782399999999E-5</v>
      </c>
      <c r="AN184" s="332">
        <f>+VLOOKUP($E184,Energy_Mix!$1:$1048576,AN$2,FALSE)</f>
        <v>8.2704782399999999E-5</v>
      </c>
      <c r="AO184" s="332">
        <f>+VLOOKUP($E184,Energy_Mix!$1:$1048576,AO$2,FALSE)</f>
        <v>8.2704782399999999E-5</v>
      </c>
    </row>
    <row r="185" spans="1:41" s="73" customFormat="1" ht="15" customHeight="1" x14ac:dyDescent="0.25">
      <c r="A185" s="392"/>
      <c r="B185" s="388"/>
      <c r="C185" s="168"/>
      <c r="D185" s="128" t="s">
        <v>547</v>
      </c>
      <c r="E185" s="84" t="s">
        <v>1884</v>
      </c>
      <c r="F185" s="332">
        <f>+VLOOKUP($E185,Energy_Mix!$1:$1048576,F$2,FALSE)</f>
        <v>0.64531658700000005</v>
      </c>
      <c r="G185" s="332">
        <f>+VLOOKUP($E185,Energy_Mix!$1:$1048576,G$2,FALSE)</f>
        <v>0.64531658700000005</v>
      </c>
      <c r="H185" s="332">
        <f>+VLOOKUP($E185,Energy_Mix!$1:$1048576,H$2,FALSE)</f>
        <v>0.64531658700000005</v>
      </c>
      <c r="I185" s="332">
        <f>+VLOOKUP($E185,Energy_Mix!$1:$1048576,I$2,FALSE)</f>
        <v>0.64531658700000005</v>
      </c>
      <c r="J185" s="332">
        <f>+VLOOKUP($E185,Energy_Mix!$1:$1048576,J$2,FALSE)</f>
        <v>0.64531658700000005</v>
      </c>
      <c r="K185" s="332">
        <f>+VLOOKUP($E185,Energy_Mix!$1:$1048576,K$2,FALSE)</f>
        <v>0.64531658700000005</v>
      </c>
      <c r="L185" s="332">
        <f>+VLOOKUP($E185,Energy_Mix!$1:$1048576,L$2,FALSE)</f>
        <v>0.64531658700000005</v>
      </c>
      <c r="M185" s="332">
        <f>+VLOOKUP($E185,Energy_Mix!$1:$1048576,M$2,FALSE)</f>
        <v>0.64531658700000005</v>
      </c>
      <c r="N185" s="332">
        <f>+VLOOKUP($E185,Energy_Mix!$1:$1048576,N$2,FALSE)</f>
        <v>0.64531658700000005</v>
      </c>
      <c r="O185" s="332">
        <f>+VLOOKUP($E185,Energy_Mix!$1:$1048576,O$2,FALSE)</f>
        <v>0.64531658700000005</v>
      </c>
      <c r="P185" s="332">
        <f>+VLOOKUP($E185,Energy_Mix!$1:$1048576,P$2,FALSE)</f>
        <v>0.64531658700000005</v>
      </c>
      <c r="Q185" s="332">
        <f>+VLOOKUP($E185,Energy_Mix!$1:$1048576,Q$2,FALSE)</f>
        <v>0.64531658700000005</v>
      </c>
      <c r="R185" s="332">
        <f>+VLOOKUP($E185,Energy_Mix!$1:$1048576,R$2,FALSE)</f>
        <v>0.64531658700000005</v>
      </c>
      <c r="S185" s="332">
        <f>+VLOOKUP($E185,Energy_Mix!$1:$1048576,S$2,FALSE)</f>
        <v>0.64531658700000005</v>
      </c>
      <c r="T185" s="332">
        <f>+VLOOKUP($E185,Energy_Mix!$1:$1048576,T$2,FALSE)</f>
        <v>0.64531658700000005</v>
      </c>
      <c r="U185" s="332">
        <f>+VLOOKUP($E185,Energy_Mix!$1:$1048576,U$2,FALSE)</f>
        <v>0.64531658700000005</v>
      </c>
      <c r="V185" s="332">
        <f>+VLOOKUP($E185,Energy_Mix!$1:$1048576,V$2,FALSE)</f>
        <v>0.64531658700000005</v>
      </c>
      <c r="W185" s="332">
        <f>+VLOOKUP($E185,Energy_Mix!$1:$1048576,W$2,FALSE)</f>
        <v>0.64531658700000005</v>
      </c>
      <c r="X185" s="332">
        <f>+VLOOKUP($E185,Energy_Mix!$1:$1048576,X$2,FALSE)</f>
        <v>0.64531658700000005</v>
      </c>
      <c r="Y185" s="332">
        <f>+VLOOKUP($E185,Energy_Mix!$1:$1048576,Y$2,FALSE)</f>
        <v>0.64531658700000005</v>
      </c>
      <c r="Z185" s="332">
        <f>+VLOOKUP($E185,Energy_Mix!$1:$1048576,Z$2,FALSE)</f>
        <v>0.64531658700000005</v>
      </c>
      <c r="AA185" s="332">
        <f>+VLOOKUP($E185,Energy_Mix!$1:$1048576,AA$2,FALSE)</f>
        <v>0.64531658700000005</v>
      </c>
      <c r="AB185" s="332">
        <f>+VLOOKUP($E185,Energy_Mix!$1:$1048576,AB$2,FALSE)</f>
        <v>0.64531658700000005</v>
      </c>
      <c r="AC185" s="332">
        <f>+VLOOKUP($E185,Energy_Mix!$1:$1048576,AC$2,FALSE)</f>
        <v>0.64531658700000005</v>
      </c>
      <c r="AD185" s="332">
        <f>+VLOOKUP($E185,Energy_Mix!$1:$1048576,AD$2,FALSE)</f>
        <v>0.64531658700000005</v>
      </c>
      <c r="AE185" s="332">
        <f>+VLOOKUP($E185,Energy_Mix!$1:$1048576,AE$2,FALSE)</f>
        <v>0.64531658700000005</v>
      </c>
      <c r="AF185" s="332">
        <f>+VLOOKUP($E185,Energy_Mix!$1:$1048576,AF$2,FALSE)</f>
        <v>0.64531658700000005</v>
      </c>
      <c r="AG185" s="332">
        <f>+VLOOKUP($E185,Energy_Mix!$1:$1048576,AG$2,FALSE)</f>
        <v>0.64531658700000005</v>
      </c>
      <c r="AH185" s="332">
        <f>+VLOOKUP($E185,Energy_Mix!$1:$1048576,AH$2,FALSE)</f>
        <v>0.64531658700000005</v>
      </c>
      <c r="AI185" s="332">
        <f>+VLOOKUP($E185,Energy_Mix!$1:$1048576,AI$2,FALSE)</f>
        <v>0.64531658700000005</v>
      </c>
      <c r="AJ185" s="332">
        <f>+VLOOKUP($E185,Energy_Mix!$1:$1048576,AJ$2,FALSE)</f>
        <v>0.64531658700000005</v>
      </c>
      <c r="AK185" s="332">
        <f>+VLOOKUP($E185,Energy_Mix!$1:$1048576,AK$2,FALSE)</f>
        <v>0.64531658700000005</v>
      </c>
      <c r="AL185" s="332">
        <f>+VLOOKUP($E185,Energy_Mix!$1:$1048576,AL$2,FALSE)</f>
        <v>0.64531658700000005</v>
      </c>
      <c r="AM185" s="332">
        <f>+VLOOKUP($E185,Energy_Mix!$1:$1048576,AM$2,FALSE)</f>
        <v>0.64531658700000005</v>
      </c>
      <c r="AN185" s="332">
        <f>+VLOOKUP($E185,Energy_Mix!$1:$1048576,AN$2,FALSE)</f>
        <v>0.64531658700000005</v>
      </c>
      <c r="AO185" s="332">
        <f>+VLOOKUP($E185,Energy_Mix!$1:$1048576,AO$2,FALSE)</f>
        <v>0.64531658700000005</v>
      </c>
    </row>
    <row r="186" spans="1:41" s="73" customFormat="1" ht="15" customHeight="1" x14ac:dyDescent="0.25">
      <c r="A186" s="392"/>
      <c r="B186" s="388"/>
      <c r="C186" s="128"/>
      <c r="D186" s="128" t="s">
        <v>547</v>
      </c>
      <c r="E186" s="84" t="s">
        <v>499</v>
      </c>
      <c r="F186" s="332">
        <f>+VLOOKUP($E186,Energy_Mix!$1:$1048576,F$2,FALSE)</f>
        <v>0.14751432270000001</v>
      </c>
      <c r="G186" s="332">
        <f>+VLOOKUP($E186,Energy_Mix!$1:$1048576,G$2,FALSE)</f>
        <v>0.14751432270000001</v>
      </c>
      <c r="H186" s="332">
        <f>+VLOOKUP($E186,Energy_Mix!$1:$1048576,H$2,FALSE)</f>
        <v>0.14751432270000001</v>
      </c>
      <c r="I186" s="332">
        <f>+VLOOKUP($E186,Energy_Mix!$1:$1048576,I$2,FALSE)</f>
        <v>0.14751432270000001</v>
      </c>
      <c r="J186" s="332">
        <f>+VLOOKUP($E186,Energy_Mix!$1:$1048576,J$2,FALSE)</f>
        <v>0.14751432270000001</v>
      </c>
      <c r="K186" s="332">
        <f>+VLOOKUP($E186,Energy_Mix!$1:$1048576,K$2,FALSE)</f>
        <v>0.14751432270000001</v>
      </c>
      <c r="L186" s="332">
        <f>+VLOOKUP($E186,Energy_Mix!$1:$1048576,L$2,FALSE)</f>
        <v>0.14751432270000001</v>
      </c>
      <c r="M186" s="332">
        <f>+VLOOKUP($E186,Energy_Mix!$1:$1048576,M$2,FALSE)</f>
        <v>0.14751432270000001</v>
      </c>
      <c r="N186" s="332">
        <f>+VLOOKUP($E186,Energy_Mix!$1:$1048576,N$2,FALSE)</f>
        <v>0.14751432270000001</v>
      </c>
      <c r="O186" s="332">
        <f>+VLOOKUP($E186,Energy_Mix!$1:$1048576,O$2,FALSE)</f>
        <v>0.14751432270000001</v>
      </c>
      <c r="P186" s="332">
        <f>+VLOOKUP($E186,Energy_Mix!$1:$1048576,P$2,FALSE)</f>
        <v>0.14751432270000001</v>
      </c>
      <c r="Q186" s="332">
        <f>+VLOOKUP($E186,Energy_Mix!$1:$1048576,Q$2,FALSE)</f>
        <v>0.14751432270000001</v>
      </c>
      <c r="R186" s="332">
        <f>+VLOOKUP($E186,Energy_Mix!$1:$1048576,R$2,FALSE)</f>
        <v>0.14751432270000001</v>
      </c>
      <c r="S186" s="332">
        <f>+VLOOKUP($E186,Energy_Mix!$1:$1048576,S$2,FALSE)</f>
        <v>0.14751432270000001</v>
      </c>
      <c r="T186" s="332">
        <f>+VLOOKUP($E186,Energy_Mix!$1:$1048576,T$2,FALSE)</f>
        <v>0.14751432270000001</v>
      </c>
      <c r="U186" s="332">
        <f>+VLOOKUP($E186,Energy_Mix!$1:$1048576,U$2,FALSE)</f>
        <v>0.14751432270000001</v>
      </c>
      <c r="V186" s="332">
        <f>+VLOOKUP($E186,Energy_Mix!$1:$1048576,V$2,FALSE)</f>
        <v>0.14751432270000001</v>
      </c>
      <c r="W186" s="332">
        <f>+VLOOKUP($E186,Energy_Mix!$1:$1048576,W$2,FALSE)</f>
        <v>0.14751432270000001</v>
      </c>
      <c r="X186" s="332">
        <f>+VLOOKUP($E186,Energy_Mix!$1:$1048576,X$2,FALSE)</f>
        <v>0.14751432270000001</v>
      </c>
      <c r="Y186" s="332">
        <f>+VLOOKUP($E186,Energy_Mix!$1:$1048576,Y$2,FALSE)</f>
        <v>0.14751432270000001</v>
      </c>
      <c r="Z186" s="332">
        <f>+VLOOKUP($E186,Energy_Mix!$1:$1048576,Z$2,FALSE)</f>
        <v>0.14751432270000001</v>
      </c>
      <c r="AA186" s="332">
        <f>+VLOOKUP($E186,Energy_Mix!$1:$1048576,AA$2,FALSE)</f>
        <v>0.14751432270000001</v>
      </c>
      <c r="AB186" s="332">
        <f>+VLOOKUP($E186,Energy_Mix!$1:$1048576,AB$2,FALSE)</f>
        <v>0.14751432270000001</v>
      </c>
      <c r="AC186" s="332">
        <f>+VLOOKUP($E186,Energy_Mix!$1:$1048576,AC$2,FALSE)</f>
        <v>0.14751432270000001</v>
      </c>
      <c r="AD186" s="332">
        <f>+VLOOKUP($E186,Energy_Mix!$1:$1048576,AD$2,FALSE)</f>
        <v>0.14751432270000001</v>
      </c>
      <c r="AE186" s="332">
        <f>+VLOOKUP($E186,Energy_Mix!$1:$1048576,AE$2,FALSE)</f>
        <v>0.14751432270000001</v>
      </c>
      <c r="AF186" s="332">
        <f>+VLOOKUP($E186,Energy_Mix!$1:$1048576,AF$2,FALSE)</f>
        <v>0.14751432270000001</v>
      </c>
      <c r="AG186" s="332">
        <f>+VLOOKUP($E186,Energy_Mix!$1:$1048576,AG$2,FALSE)</f>
        <v>0.14751432270000001</v>
      </c>
      <c r="AH186" s="332">
        <f>+VLOOKUP($E186,Energy_Mix!$1:$1048576,AH$2,FALSE)</f>
        <v>0.14751432270000001</v>
      </c>
      <c r="AI186" s="332">
        <f>+VLOOKUP($E186,Energy_Mix!$1:$1048576,AI$2,FALSE)</f>
        <v>0.14751432270000001</v>
      </c>
      <c r="AJ186" s="332">
        <f>+VLOOKUP($E186,Energy_Mix!$1:$1048576,AJ$2,FALSE)</f>
        <v>0.14751432270000001</v>
      </c>
      <c r="AK186" s="332">
        <f>+VLOOKUP($E186,Energy_Mix!$1:$1048576,AK$2,FALSE)</f>
        <v>0.14751432270000001</v>
      </c>
      <c r="AL186" s="332">
        <f>+VLOOKUP($E186,Energy_Mix!$1:$1048576,AL$2,FALSE)</f>
        <v>0.14751432270000001</v>
      </c>
      <c r="AM186" s="332">
        <f>+VLOOKUP($E186,Energy_Mix!$1:$1048576,AM$2,FALSE)</f>
        <v>0.14751432270000001</v>
      </c>
      <c r="AN186" s="332">
        <f>+VLOOKUP($E186,Energy_Mix!$1:$1048576,AN$2,FALSE)</f>
        <v>0.14751432270000001</v>
      </c>
      <c r="AO186" s="332">
        <f>+VLOOKUP($E186,Energy_Mix!$1:$1048576,AO$2,FALSE)</f>
        <v>0.14751432270000001</v>
      </c>
    </row>
    <row r="187" spans="1:41" s="73" customFormat="1" ht="15" customHeight="1" x14ac:dyDescent="0.25">
      <c r="A187" s="392"/>
      <c r="B187" s="388"/>
      <c r="C187" s="128"/>
      <c r="D187" s="128" t="s">
        <v>548</v>
      </c>
      <c r="E187" s="84" t="s">
        <v>500</v>
      </c>
      <c r="F187" s="332">
        <f>+VLOOKUP($E187,Energy_Mix!$1:$1048576,F$2,FALSE)</f>
        <v>0.20708638560000001</v>
      </c>
      <c r="G187" s="332">
        <f>+VLOOKUP($E187,Energy_Mix!$1:$1048576,G$2,FALSE)</f>
        <v>0.20708638560000001</v>
      </c>
      <c r="H187" s="332">
        <f>+VLOOKUP($E187,Energy_Mix!$1:$1048576,H$2,FALSE)</f>
        <v>0.20708638560000001</v>
      </c>
      <c r="I187" s="332">
        <f>+VLOOKUP($E187,Energy_Mix!$1:$1048576,I$2,FALSE)</f>
        <v>0.20708638560000001</v>
      </c>
      <c r="J187" s="332">
        <f>+VLOOKUP($E187,Energy_Mix!$1:$1048576,J$2,FALSE)</f>
        <v>0.20708638560000001</v>
      </c>
      <c r="K187" s="332">
        <f>+VLOOKUP($E187,Energy_Mix!$1:$1048576,K$2,FALSE)</f>
        <v>0.20708638560000001</v>
      </c>
      <c r="L187" s="332">
        <f>+VLOOKUP($E187,Energy_Mix!$1:$1048576,L$2,FALSE)</f>
        <v>0.20708638560000001</v>
      </c>
      <c r="M187" s="332">
        <f>+VLOOKUP($E187,Energy_Mix!$1:$1048576,M$2,FALSE)</f>
        <v>0.20708638560000001</v>
      </c>
      <c r="N187" s="332">
        <f>+VLOOKUP($E187,Energy_Mix!$1:$1048576,N$2,FALSE)</f>
        <v>0.20708638560000001</v>
      </c>
      <c r="O187" s="332">
        <f>+VLOOKUP($E187,Energy_Mix!$1:$1048576,O$2,FALSE)</f>
        <v>0.20708638560000001</v>
      </c>
      <c r="P187" s="332">
        <f>+VLOOKUP($E187,Energy_Mix!$1:$1048576,P$2,FALSE)</f>
        <v>0.20708638560000001</v>
      </c>
      <c r="Q187" s="332">
        <f>+VLOOKUP($E187,Energy_Mix!$1:$1048576,Q$2,FALSE)</f>
        <v>0.20708638560000001</v>
      </c>
      <c r="R187" s="332">
        <f>+VLOOKUP($E187,Energy_Mix!$1:$1048576,R$2,FALSE)</f>
        <v>0.20708638560000001</v>
      </c>
      <c r="S187" s="332">
        <f>+VLOOKUP($E187,Energy_Mix!$1:$1048576,S$2,FALSE)</f>
        <v>0.20708638560000001</v>
      </c>
      <c r="T187" s="332">
        <f>+VLOOKUP($E187,Energy_Mix!$1:$1048576,T$2,FALSE)</f>
        <v>0.20708638560000001</v>
      </c>
      <c r="U187" s="332">
        <f>+VLOOKUP($E187,Energy_Mix!$1:$1048576,U$2,FALSE)</f>
        <v>0.20708638560000001</v>
      </c>
      <c r="V187" s="332">
        <f>+VLOOKUP($E187,Energy_Mix!$1:$1048576,V$2,FALSE)</f>
        <v>0.20708638560000001</v>
      </c>
      <c r="W187" s="332">
        <f>+VLOOKUP($E187,Energy_Mix!$1:$1048576,W$2,FALSE)</f>
        <v>0.20708638560000001</v>
      </c>
      <c r="X187" s="332">
        <f>+VLOOKUP($E187,Energy_Mix!$1:$1048576,X$2,FALSE)</f>
        <v>0.20708638560000001</v>
      </c>
      <c r="Y187" s="332">
        <f>+VLOOKUP($E187,Energy_Mix!$1:$1048576,Y$2,FALSE)</f>
        <v>0.20708638560000001</v>
      </c>
      <c r="Z187" s="332">
        <f>+VLOOKUP($E187,Energy_Mix!$1:$1048576,Z$2,FALSE)</f>
        <v>0.20708638560000001</v>
      </c>
      <c r="AA187" s="332">
        <f>+VLOOKUP($E187,Energy_Mix!$1:$1048576,AA$2,FALSE)</f>
        <v>0.20708638560000001</v>
      </c>
      <c r="AB187" s="332">
        <f>+VLOOKUP($E187,Energy_Mix!$1:$1048576,AB$2,FALSE)</f>
        <v>0.20708638560000001</v>
      </c>
      <c r="AC187" s="332">
        <f>+VLOOKUP($E187,Energy_Mix!$1:$1048576,AC$2,FALSE)</f>
        <v>0.20708638560000001</v>
      </c>
      <c r="AD187" s="332">
        <f>+VLOOKUP($E187,Energy_Mix!$1:$1048576,AD$2,FALSE)</f>
        <v>0.20708638560000001</v>
      </c>
      <c r="AE187" s="332">
        <f>+VLOOKUP($E187,Energy_Mix!$1:$1048576,AE$2,FALSE)</f>
        <v>0.20708638560000001</v>
      </c>
      <c r="AF187" s="332">
        <f>+VLOOKUP($E187,Energy_Mix!$1:$1048576,AF$2,FALSE)</f>
        <v>0.20708638560000001</v>
      </c>
      <c r="AG187" s="332">
        <f>+VLOOKUP($E187,Energy_Mix!$1:$1048576,AG$2,FALSE)</f>
        <v>0.20708638560000001</v>
      </c>
      <c r="AH187" s="332">
        <f>+VLOOKUP($E187,Energy_Mix!$1:$1048576,AH$2,FALSE)</f>
        <v>0.20708638560000001</v>
      </c>
      <c r="AI187" s="332">
        <f>+VLOOKUP($E187,Energy_Mix!$1:$1048576,AI$2,FALSE)</f>
        <v>0.20708638560000001</v>
      </c>
      <c r="AJ187" s="332">
        <f>+VLOOKUP($E187,Energy_Mix!$1:$1048576,AJ$2,FALSE)</f>
        <v>0.20708638560000001</v>
      </c>
      <c r="AK187" s="332">
        <f>+VLOOKUP($E187,Energy_Mix!$1:$1048576,AK$2,FALSE)</f>
        <v>0.20708638560000001</v>
      </c>
      <c r="AL187" s="332">
        <f>+VLOOKUP($E187,Energy_Mix!$1:$1048576,AL$2,FALSE)</f>
        <v>0.20708638560000001</v>
      </c>
      <c r="AM187" s="332">
        <f>+VLOOKUP($E187,Energy_Mix!$1:$1048576,AM$2,FALSE)</f>
        <v>0.20708638560000001</v>
      </c>
      <c r="AN187" s="332">
        <f>+VLOOKUP($E187,Energy_Mix!$1:$1048576,AN$2,FALSE)</f>
        <v>0.20708638560000001</v>
      </c>
      <c r="AO187" s="332">
        <f>+VLOOKUP($E187,Energy_Mix!$1:$1048576,AO$2,FALSE)</f>
        <v>0.20708638560000001</v>
      </c>
    </row>
    <row r="188" spans="1:41" s="73" customFormat="1" ht="15" customHeight="1" x14ac:dyDescent="0.25">
      <c r="A188" s="392"/>
      <c r="B188" s="388"/>
      <c r="C188" s="168" t="s">
        <v>495</v>
      </c>
      <c r="D188" s="128"/>
      <c r="E188" s="84"/>
      <c r="F188" s="327">
        <f>SUM(F189:F197)</f>
        <v>1.0000000000800002</v>
      </c>
      <c r="G188" s="327">
        <f t="shared" ref="G188:AO188" si="41">SUM(G189:G197)</f>
        <v>1.0000000000799998</v>
      </c>
      <c r="H188" s="327">
        <f t="shared" si="41"/>
        <v>1.0000000000799998</v>
      </c>
      <c r="I188" s="327">
        <f t="shared" si="41"/>
        <v>1.0000000000799998</v>
      </c>
      <c r="J188" s="327">
        <f t="shared" si="41"/>
        <v>1.0000000000799998</v>
      </c>
      <c r="K188" s="327">
        <f t="shared" si="41"/>
        <v>1.0000000000799998</v>
      </c>
      <c r="L188" s="327">
        <f t="shared" si="41"/>
        <v>1.0000000000799998</v>
      </c>
      <c r="M188" s="327">
        <f t="shared" si="41"/>
        <v>1.0000000000799998</v>
      </c>
      <c r="N188" s="327">
        <f t="shared" si="41"/>
        <v>1.0000000000799998</v>
      </c>
      <c r="O188" s="327">
        <f t="shared" si="41"/>
        <v>1.0000000000799998</v>
      </c>
      <c r="P188" s="327">
        <f t="shared" si="41"/>
        <v>1.0000000000799998</v>
      </c>
      <c r="Q188" s="327">
        <f t="shared" si="41"/>
        <v>1.0000000000799998</v>
      </c>
      <c r="R188" s="327">
        <f t="shared" si="41"/>
        <v>1.0000000000799998</v>
      </c>
      <c r="S188" s="327">
        <f t="shared" si="41"/>
        <v>1.0000000000799998</v>
      </c>
      <c r="T188" s="327">
        <f t="shared" si="41"/>
        <v>1.0000000000799998</v>
      </c>
      <c r="U188" s="327">
        <f t="shared" si="41"/>
        <v>1.0000000000799998</v>
      </c>
      <c r="V188" s="327">
        <f t="shared" si="41"/>
        <v>1.0000000000799998</v>
      </c>
      <c r="W188" s="327">
        <f t="shared" si="41"/>
        <v>1.0000000000799998</v>
      </c>
      <c r="X188" s="327">
        <f t="shared" si="41"/>
        <v>1.0000000000799998</v>
      </c>
      <c r="Y188" s="327">
        <f t="shared" si="41"/>
        <v>1.0000000000799998</v>
      </c>
      <c r="Z188" s="327">
        <f t="shared" si="41"/>
        <v>1.0000000000799998</v>
      </c>
      <c r="AA188" s="327">
        <f t="shared" si="41"/>
        <v>1.0000000000799998</v>
      </c>
      <c r="AB188" s="327">
        <f t="shared" si="41"/>
        <v>1.0000000000799998</v>
      </c>
      <c r="AC188" s="327">
        <f t="shared" si="41"/>
        <v>1.0000000000799998</v>
      </c>
      <c r="AD188" s="327">
        <f t="shared" si="41"/>
        <v>1.0000000000799998</v>
      </c>
      <c r="AE188" s="327">
        <f t="shared" si="41"/>
        <v>1.0000000000799998</v>
      </c>
      <c r="AF188" s="327">
        <f t="shared" si="41"/>
        <v>1.0000000000799998</v>
      </c>
      <c r="AG188" s="327">
        <f t="shared" si="41"/>
        <v>1.0000000000799998</v>
      </c>
      <c r="AH188" s="327">
        <f t="shared" si="41"/>
        <v>1.0000000000799998</v>
      </c>
      <c r="AI188" s="327">
        <f t="shared" si="41"/>
        <v>1.0000000000799998</v>
      </c>
      <c r="AJ188" s="327">
        <f t="shared" si="41"/>
        <v>1.0000000000799998</v>
      </c>
      <c r="AK188" s="327">
        <f t="shared" si="41"/>
        <v>1.0000000000799998</v>
      </c>
      <c r="AL188" s="327">
        <f t="shared" si="41"/>
        <v>1.0000000000799998</v>
      </c>
      <c r="AM188" s="327">
        <f t="shared" si="41"/>
        <v>1.0000000000799998</v>
      </c>
      <c r="AN188" s="327">
        <f t="shared" si="41"/>
        <v>1.0000000000799998</v>
      </c>
      <c r="AO188" s="327">
        <f t="shared" si="41"/>
        <v>1.0000000000799998</v>
      </c>
    </row>
    <row r="189" spans="1:41" s="73" customFormat="1" ht="15" customHeight="1" x14ac:dyDescent="0.25">
      <c r="A189" s="392"/>
      <c r="B189" s="388"/>
      <c r="C189" s="128"/>
      <c r="D189" s="128" t="s">
        <v>160</v>
      </c>
      <c r="E189" s="84" t="s">
        <v>501</v>
      </c>
      <c r="F189" s="332">
        <f>+VLOOKUP($E189,Energy_Mix!$1:$1048576,F$2,FALSE)</f>
        <v>0.72577004280000001</v>
      </c>
      <c r="G189" s="332">
        <f>+VLOOKUP($E189,Energy_Mix!$1:$1048576,G$2,FALSE)</f>
        <v>0.72577008499999995</v>
      </c>
      <c r="H189" s="332">
        <f>+VLOOKUP($E189,Energy_Mix!$1:$1048576,H$2,FALSE)</f>
        <v>0.72577008499999995</v>
      </c>
      <c r="I189" s="332">
        <f>+VLOOKUP($E189,Energy_Mix!$1:$1048576,I$2,FALSE)</f>
        <v>0.72577008499999995</v>
      </c>
      <c r="J189" s="332">
        <f>+VLOOKUP($E189,Energy_Mix!$1:$1048576,J$2,FALSE)</f>
        <v>0.72577008499999995</v>
      </c>
      <c r="K189" s="332">
        <f>+VLOOKUP($E189,Energy_Mix!$1:$1048576,K$2,FALSE)</f>
        <v>0.72577008499999995</v>
      </c>
      <c r="L189" s="332">
        <f>+VLOOKUP($E189,Energy_Mix!$1:$1048576,L$2,FALSE)</f>
        <v>0.72577008499999995</v>
      </c>
      <c r="M189" s="332">
        <f>+VLOOKUP($E189,Energy_Mix!$1:$1048576,M$2,FALSE)</f>
        <v>0.72577008499999995</v>
      </c>
      <c r="N189" s="332">
        <f>+VLOOKUP($E189,Energy_Mix!$1:$1048576,N$2,FALSE)</f>
        <v>0.72577008499999995</v>
      </c>
      <c r="O189" s="332">
        <f>+VLOOKUP($E189,Energy_Mix!$1:$1048576,O$2,FALSE)</f>
        <v>0.72577008499999995</v>
      </c>
      <c r="P189" s="332">
        <f>+VLOOKUP($E189,Energy_Mix!$1:$1048576,P$2,FALSE)</f>
        <v>0.72577008499999995</v>
      </c>
      <c r="Q189" s="332">
        <f>+VLOOKUP($E189,Energy_Mix!$1:$1048576,Q$2,FALSE)</f>
        <v>0.72577008499999995</v>
      </c>
      <c r="R189" s="332">
        <f>+VLOOKUP($E189,Energy_Mix!$1:$1048576,R$2,FALSE)</f>
        <v>0.72577008499999995</v>
      </c>
      <c r="S189" s="332">
        <f>+VLOOKUP($E189,Energy_Mix!$1:$1048576,S$2,FALSE)</f>
        <v>0.72577008499999995</v>
      </c>
      <c r="T189" s="332">
        <f>+VLOOKUP($E189,Energy_Mix!$1:$1048576,T$2,FALSE)</f>
        <v>0.72577008499999995</v>
      </c>
      <c r="U189" s="332">
        <f>+VLOOKUP($E189,Energy_Mix!$1:$1048576,U$2,FALSE)</f>
        <v>0.72577008499999995</v>
      </c>
      <c r="V189" s="332">
        <f>+VLOOKUP($E189,Energy_Mix!$1:$1048576,V$2,FALSE)</f>
        <v>0.72577008499999995</v>
      </c>
      <c r="W189" s="332">
        <f>+VLOOKUP($E189,Energy_Mix!$1:$1048576,W$2,FALSE)</f>
        <v>0.72577008499999995</v>
      </c>
      <c r="X189" s="332">
        <f>+VLOOKUP($E189,Energy_Mix!$1:$1048576,X$2,FALSE)</f>
        <v>0.72577008499999995</v>
      </c>
      <c r="Y189" s="332">
        <f>+VLOOKUP($E189,Energy_Mix!$1:$1048576,Y$2,FALSE)</f>
        <v>0.72577008499999995</v>
      </c>
      <c r="Z189" s="332">
        <f>+VLOOKUP($E189,Energy_Mix!$1:$1048576,Z$2,FALSE)</f>
        <v>0.72577008499999995</v>
      </c>
      <c r="AA189" s="332">
        <f>+VLOOKUP($E189,Energy_Mix!$1:$1048576,AA$2,FALSE)</f>
        <v>0.72577008499999995</v>
      </c>
      <c r="AB189" s="332">
        <f>+VLOOKUP($E189,Energy_Mix!$1:$1048576,AB$2,FALSE)</f>
        <v>0.72577008499999995</v>
      </c>
      <c r="AC189" s="332">
        <f>+VLOOKUP($E189,Energy_Mix!$1:$1048576,AC$2,FALSE)</f>
        <v>0.72577008499999995</v>
      </c>
      <c r="AD189" s="332">
        <f>+VLOOKUP($E189,Energy_Mix!$1:$1048576,AD$2,FALSE)</f>
        <v>0.72577008499999995</v>
      </c>
      <c r="AE189" s="332">
        <f>+VLOOKUP($E189,Energy_Mix!$1:$1048576,AE$2,FALSE)</f>
        <v>0.72577008499999995</v>
      </c>
      <c r="AF189" s="332">
        <f>+VLOOKUP($E189,Energy_Mix!$1:$1048576,AF$2,FALSE)</f>
        <v>0.72577008499999995</v>
      </c>
      <c r="AG189" s="332">
        <f>+VLOOKUP($E189,Energy_Mix!$1:$1048576,AG$2,FALSE)</f>
        <v>0.72577008499999995</v>
      </c>
      <c r="AH189" s="332">
        <f>+VLOOKUP($E189,Energy_Mix!$1:$1048576,AH$2,FALSE)</f>
        <v>0.72577008499999995</v>
      </c>
      <c r="AI189" s="332">
        <f>+VLOOKUP($E189,Energy_Mix!$1:$1048576,AI$2,FALSE)</f>
        <v>0.72577008499999995</v>
      </c>
      <c r="AJ189" s="332">
        <f>+VLOOKUP($E189,Energy_Mix!$1:$1048576,AJ$2,FALSE)</f>
        <v>0.72577008499999995</v>
      </c>
      <c r="AK189" s="332">
        <f>+VLOOKUP($E189,Energy_Mix!$1:$1048576,AK$2,FALSE)</f>
        <v>0.72577008499999995</v>
      </c>
      <c r="AL189" s="332">
        <f>+VLOOKUP($E189,Energy_Mix!$1:$1048576,AL$2,FALSE)</f>
        <v>0.72577008499999995</v>
      </c>
      <c r="AM189" s="332">
        <f>+VLOOKUP($E189,Energy_Mix!$1:$1048576,AM$2,FALSE)</f>
        <v>0.72577008499999995</v>
      </c>
      <c r="AN189" s="332">
        <f>+VLOOKUP($E189,Energy_Mix!$1:$1048576,AN$2,FALSE)</f>
        <v>0.72577008499999995</v>
      </c>
      <c r="AO189" s="332">
        <f>+VLOOKUP($E189,Energy_Mix!$1:$1048576,AO$2,FALSE)</f>
        <v>0.72577008499999995</v>
      </c>
    </row>
    <row r="190" spans="1:41" s="73" customFormat="1" ht="15" customHeight="1" x14ac:dyDescent="0.25">
      <c r="A190" s="392"/>
      <c r="B190" s="388"/>
      <c r="C190" s="128"/>
      <c r="D190" s="128" t="s">
        <v>161</v>
      </c>
      <c r="E190" s="84" t="s">
        <v>502</v>
      </c>
      <c r="F190" s="332">
        <f>+VLOOKUP($E190,Energy_Mix!$1:$1048576,F$2,FALSE)</f>
        <v>1.44644951E-2</v>
      </c>
      <c r="G190" s="332">
        <f>+VLOOKUP($E190,Energy_Mix!$1:$1048576,G$2,FALSE)</f>
        <v>1.4464495900000001E-2</v>
      </c>
      <c r="H190" s="332">
        <f>+VLOOKUP($E190,Energy_Mix!$1:$1048576,H$2,FALSE)</f>
        <v>1.4464495900000001E-2</v>
      </c>
      <c r="I190" s="332">
        <f>+VLOOKUP($E190,Energy_Mix!$1:$1048576,I$2,FALSE)</f>
        <v>1.4464495900000001E-2</v>
      </c>
      <c r="J190" s="332">
        <f>+VLOOKUP($E190,Energy_Mix!$1:$1048576,J$2,FALSE)</f>
        <v>1.4464495900000001E-2</v>
      </c>
      <c r="K190" s="332">
        <f>+VLOOKUP($E190,Energy_Mix!$1:$1048576,K$2,FALSE)</f>
        <v>1.4464495900000001E-2</v>
      </c>
      <c r="L190" s="332">
        <f>+VLOOKUP($E190,Energy_Mix!$1:$1048576,L$2,FALSE)</f>
        <v>1.4464495900000001E-2</v>
      </c>
      <c r="M190" s="332">
        <f>+VLOOKUP($E190,Energy_Mix!$1:$1048576,M$2,FALSE)</f>
        <v>1.4464495900000001E-2</v>
      </c>
      <c r="N190" s="332">
        <f>+VLOOKUP($E190,Energy_Mix!$1:$1048576,N$2,FALSE)</f>
        <v>1.4464495900000001E-2</v>
      </c>
      <c r="O190" s="332">
        <f>+VLOOKUP($E190,Energy_Mix!$1:$1048576,O$2,FALSE)</f>
        <v>1.4464495900000001E-2</v>
      </c>
      <c r="P190" s="332">
        <f>+VLOOKUP($E190,Energy_Mix!$1:$1048576,P$2,FALSE)</f>
        <v>1.4464495900000001E-2</v>
      </c>
      <c r="Q190" s="332">
        <f>+VLOOKUP($E190,Energy_Mix!$1:$1048576,Q$2,FALSE)</f>
        <v>1.4464495900000001E-2</v>
      </c>
      <c r="R190" s="332">
        <f>+VLOOKUP($E190,Energy_Mix!$1:$1048576,R$2,FALSE)</f>
        <v>1.4464495900000001E-2</v>
      </c>
      <c r="S190" s="332">
        <f>+VLOOKUP($E190,Energy_Mix!$1:$1048576,S$2,FALSE)</f>
        <v>1.4464495900000001E-2</v>
      </c>
      <c r="T190" s="332">
        <f>+VLOOKUP($E190,Energy_Mix!$1:$1048576,T$2,FALSE)</f>
        <v>1.4464495900000001E-2</v>
      </c>
      <c r="U190" s="332">
        <f>+VLOOKUP($E190,Energy_Mix!$1:$1048576,U$2,FALSE)</f>
        <v>1.4464495900000001E-2</v>
      </c>
      <c r="V190" s="332">
        <f>+VLOOKUP($E190,Energy_Mix!$1:$1048576,V$2,FALSE)</f>
        <v>1.4464495900000001E-2</v>
      </c>
      <c r="W190" s="332">
        <f>+VLOOKUP($E190,Energy_Mix!$1:$1048576,W$2,FALSE)</f>
        <v>1.4464495900000001E-2</v>
      </c>
      <c r="X190" s="332">
        <f>+VLOOKUP($E190,Energy_Mix!$1:$1048576,X$2,FALSE)</f>
        <v>1.4464495900000001E-2</v>
      </c>
      <c r="Y190" s="332">
        <f>+VLOOKUP($E190,Energy_Mix!$1:$1048576,Y$2,FALSE)</f>
        <v>1.4464495900000001E-2</v>
      </c>
      <c r="Z190" s="332">
        <f>+VLOOKUP($E190,Energy_Mix!$1:$1048576,Z$2,FALSE)</f>
        <v>1.4464495900000001E-2</v>
      </c>
      <c r="AA190" s="332">
        <f>+VLOOKUP($E190,Energy_Mix!$1:$1048576,AA$2,FALSE)</f>
        <v>1.4464495900000001E-2</v>
      </c>
      <c r="AB190" s="332">
        <f>+VLOOKUP($E190,Energy_Mix!$1:$1048576,AB$2,FALSE)</f>
        <v>1.4464495900000001E-2</v>
      </c>
      <c r="AC190" s="332">
        <f>+VLOOKUP($E190,Energy_Mix!$1:$1048576,AC$2,FALSE)</f>
        <v>1.4464495900000001E-2</v>
      </c>
      <c r="AD190" s="332">
        <f>+VLOOKUP($E190,Energy_Mix!$1:$1048576,AD$2,FALSE)</f>
        <v>1.4464495900000001E-2</v>
      </c>
      <c r="AE190" s="332">
        <f>+VLOOKUP($E190,Energy_Mix!$1:$1048576,AE$2,FALSE)</f>
        <v>1.4464495900000001E-2</v>
      </c>
      <c r="AF190" s="332">
        <f>+VLOOKUP($E190,Energy_Mix!$1:$1048576,AF$2,FALSE)</f>
        <v>1.4464495900000001E-2</v>
      </c>
      <c r="AG190" s="332">
        <f>+VLOOKUP($E190,Energy_Mix!$1:$1048576,AG$2,FALSE)</f>
        <v>1.4464495900000001E-2</v>
      </c>
      <c r="AH190" s="332">
        <f>+VLOOKUP($E190,Energy_Mix!$1:$1048576,AH$2,FALSE)</f>
        <v>1.4464495900000001E-2</v>
      </c>
      <c r="AI190" s="332">
        <f>+VLOOKUP($E190,Energy_Mix!$1:$1048576,AI$2,FALSE)</f>
        <v>1.4464495900000001E-2</v>
      </c>
      <c r="AJ190" s="332">
        <f>+VLOOKUP($E190,Energy_Mix!$1:$1048576,AJ$2,FALSE)</f>
        <v>1.4464495900000001E-2</v>
      </c>
      <c r="AK190" s="332">
        <f>+VLOOKUP($E190,Energy_Mix!$1:$1048576,AK$2,FALSE)</f>
        <v>1.4464495900000001E-2</v>
      </c>
      <c r="AL190" s="332">
        <f>+VLOOKUP($E190,Energy_Mix!$1:$1048576,AL$2,FALSE)</f>
        <v>1.4464495900000001E-2</v>
      </c>
      <c r="AM190" s="332">
        <f>+VLOOKUP($E190,Energy_Mix!$1:$1048576,AM$2,FALSE)</f>
        <v>1.4464495900000001E-2</v>
      </c>
      <c r="AN190" s="332">
        <f>+VLOOKUP($E190,Energy_Mix!$1:$1048576,AN$2,FALSE)</f>
        <v>1.4464495900000001E-2</v>
      </c>
      <c r="AO190" s="332">
        <f>+VLOOKUP($E190,Energy_Mix!$1:$1048576,AO$2,FALSE)</f>
        <v>1.4464495900000001E-2</v>
      </c>
    </row>
    <row r="191" spans="1:41" s="73" customFormat="1" ht="15" customHeight="1" x14ac:dyDescent="0.25">
      <c r="A191" s="392"/>
      <c r="B191" s="388"/>
      <c r="C191" s="128"/>
      <c r="D191" s="128" t="s">
        <v>162</v>
      </c>
      <c r="E191" s="84" t="s">
        <v>503</v>
      </c>
      <c r="F191" s="332">
        <f>+VLOOKUP($E191,Energy_Mix!$1:$1048576,F$2,FALSE)</f>
        <v>2.10193412E-2</v>
      </c>
      <c r="G191" s="332">
        <f>+VLOOKUP($E191,Energy_Mix!$1:$1048576,G$2,FALSE)</f>
        <v>2.1019342399999998E-2</v>
      </c>
      <c r="H191" s="332">
        <f>+VLOOKUP($E191,Energy_Mix!$1:$1048576,H$2,FALSE)</f>
        <v>2.1019342399999998E-2</v>
      </c>
      <c r="I191" s="332">
        <f>+VLOOKUP($E191,Energy_Mix!$1:$1048576,I$2,FALSE)</f>
        <v>2.1019342399999998E-2</v>
      </c>
      <c r="J191" s="332">
        <f>+VLOOKUP($E191,Energy_Mix!$1:$1048576,J$2,FALSE)</f>
        <v>2.1019342399999998E-2</v>
      </c>
      <c r="K191" s="332">
        <f>+VLOOKUP($E191,Energy_Mix!$1:$1048576,K$2,FALSE)</f>
        <v>2.1019342399999998E-2</v>
      </c>
      <c r="L191" s="332">
        <f>+VLOOKUP($E191,Energy_Mix!$1:$1048576,L$2,FALSE)</f>
        <v>2.1019342399999998E-2</v>
      </c>
      <c r="M191" s="332">
        <f>+VLOOKUP($E191,Energy_Mix!$1:$1048576,M$2,FALSE)</f>
        <v>2.1019342399999998E-2</v>
      </c>
      <c r="N191" s="332">
        <f>+VLOOKUP($E191,Energy_Mix!$1:$1048576,N$2,FALSE)</f>
        <v>2.1019342399999998E-2</v>
      </c>
      <c r="O191" s="332">
        <f>+VLOOKUP($E191,Energy_Mix!$1:$1048576,O$2,FALSE)</f>
        <v>2.1019342399999998E-2</v>
      </c>
      <c r="P191" s="332">
        <f>+VLOOKUP($E191,Energy_Mix!$1:$1048576,P$2,FALSE)</f>
        <v>2.1019342399999998E-2</v>
      </c>
      <c r="Q191" s="332">
        <f>+VLOOKUP($E191,Energy_Mix!$1:$1048576,Q$2,FALSE)</f>
        <v>2.1019342399999998E-2</v>
      </c>
      <c r="R191" s="332">
        <f>+VLOOKUP($E191,Energy_Mix!$1:$1048576,R$2,FALSE)</f>
        <v>2.1019342399999998E-2</v>
      </c>
      <c r="S191" s="332">
        <f>+VLOOKUP($E191,Energy_Mix!$1:$1048576,S$2,FALSE)</f>
        <v>2.1019342399999998E-2</v>
      </c>
      <c r="T191" s="332">
        <f>+VLOOKUP($E191,Energy_Mix!$1:$1048576,T$2,FALSE)</f>
        <v>2.1019342399999998E-2</v>
      </c>
      <c r="U191" s="332">
        <f>+VLOOKUP($E191,Energy_Mix!$1:$1048576,U$2,FALSE)</f>
        <v>2.1019342399999998E-2</v>
      </c>
      <c r="V191" s="332">
        <f>+VLOOKUP($E191,Energy_Mix!$1:$1048576,V$2,FALSE)</f>
        <v>2.1019342399999998E-2</v>
      </c>
      <c r="W191" s="332">
        <f>+VLOOKUP($E191,Energy_Mix!$1:$1048576,W$2,FALSE)</f>
        <v>2.1019342399999998E-2</v>
      </c>
      <c r="X191" s="332">
        <f>+VLOOKUP($E191,Energy_Mix!$1:$1048576,X$2,FALSE)</f>
        <v>2.1019342399999998E-2</v>
      </c>
      <c r="Y191" s="332">
        <f>+VLOOKUP($E191,Energy_Mix!$1:$1048576,Y$2,FALSE)</f>
        <v>2.1019342399999998E-2</v>
      </c>
      <c r="Z191" s="332">
        <f>+VLOOKUP($E191,Energy_Mix!$1:$1048576,Z$2,FALSE)</f>
        <v>2.1019342399999998E-2</v>
      </c>
      <c r="AA191" s="332">
        <f>+VLOOKUP($E191,Energy_Mix!$1:$1048576,AA$2,FALSE)</f>
        <v>2.1019342399999998E-2</v>
      </c>
      <c r="AB191" s="332">
        <f>+VLOOKUP($E191,Energy_Mix!$1:$1048576,AB$2,FALSE)</f>
        <v>2.1019342399999998E-2</v>
      </c>
      <c r="AC191" s="332">
        <f>+VLOOKUP($E191,Energy_Mix!$1:$1048576,AC$2,FALSE)</f>
        <v>2.1019342399999998E-2</v>
      </c>
      <c r="AD191" s="332">
        <f>+VLOOKUP($E191,Energy_Mix!$1:$1048576,AD$2,FALSE)</f>
        <v>2.1019342399999998E-2</v>
      </c>
      <c r="AE191" s="332">
        <f>+VLOOKUP($E191,Energy_Mix!$1:$1048576,AE$2,FALSE)</f>
        <v>2.1019342399999998E-2</v>
      </c>
      <c r="AF191" s="332">
        <f>+VLOOKUP($E191,Energy_Mix!$1:$1048576,AF$2,FALSE)</f>
        <v>2.1019342399999998E-2</v>
      </c>
      <c r="AG191" s="332">
        <f>+VLOOKUP($E191,Energy_Mix!$1:$1048576,AG$2,FALSE)</f>
        <v>2.1019342399999998E-2</v>
      </c>
      <c r="AH191" s="332">
        <f>+VLOOKUP($E191,Energy_Mix!$1:$1048576,AH$2,FALSE)</f>
        <v>2.1019342399999998E-2</v>
      </c>
      <c r="AI191" s="332">
        <f>+VLOOKUP($E191,Energy_Mix!$1:$1048576,AI$2,FALSE)</f>
        <v>2.1019342399999998E-2</v>
      </c>
      <c r="AJ191" s="332">
        <f>+VLOOKUP($E191,Energy_Mix!$1:$1048576,AJ$2,FALSE)</f>
        <v>2.1019342399999998E-2</v>
      </c>
      <c r="AK191" s="332">
        <f>+VLOOKUP($E191,Energy_Mix!$1:$1048576,AK$2,FALSE)</f>
        <v>2.1019342399999998E-2</v>
      </c>
      <c r="AL191" s="332">
        <f>+VLOOKUP($E191,Energy_Mix!$1:$1048576,AL$2,FALSE)</f>
        <v>2.1019342399999998E-2</v>
      </c>
      <c r="AM191" s="332">
        <f>+VLOOKUP($E191,Energy_Mix!$1:$1048576,AM$2,FALSE)</f>
        <v>2.1019342399999998E-2</v>
      </c>
      <c r="AN191" s="332">
        <f>+VLOOKUP($E191,Energy_Mix!$1:$1048576,AN$2,FALSE)</f>
        <v>2.1019342399999998E-2</v>
      </c>
      <c r="AO191" s="332">
        <f>+VLOOKUP($E191,Energy_Mix!$1:$1048576,AO$2,FALSE)</f>
        <v>2.1019342399999998E-2</v>
      </c>
    </row>
    <row r="192" spans="1:41" s="73" customFormat="1" ht="15" customHeight="1" x14ac:dyDescent="0.25">
      <c r="A192" s="392"/>
      <c r="B192" s="388"/>
      <c r="C192" s="128"/>
      <c r="D192" s="128" t="s">
        <v>163</v>
      </c>
      <c r="E192" s="84" t="s">
        <v>504</v>
      </c>
      <c r="F192" s="332">
        <f>+VLOOKUP($E192,Energy_Mix!$1:$1048576,F$2,FALSE)</f>
        <v>1.9096190499999999E-2</v>
      </c>
      <c r="G192" s="332">
        <f>+VLOOKUP($E192,Energy_Mix!$1:$1048576,G$2,FALSE)</f>
        <v>1.90961916E-2</v>
      </c>
      <c r="H192" s="332">
        <f>+VLOOKUP($E192,Energy_Mix!$1:$1048576,H$2,FALSE)</f>
        <v>1.90961916E-2</v>
      </c>
      <c r="I192" s="332">
        <f>+VLOOKUP($E192,Energy_Mix!$1:$1048576,I$2,FALSE)</f>
        <v>1.90961916E-2</v>
      </c>
      <c r="J192" s="332">
        <f>+VLOOKUP($E192,Energy_Mix!$1:$1048576,J$2,FALSE)</f>
        <v>1.90961916E-2</v>
      </c>
      <c r="K192" s="332">
        <f>+VLOOKUP($E192,Energy_Mix!$1:$1048576,K$2,FALSE)</f>
        <v>1.90961916E-2</v>
      </c>
      <c r="L192" s="332">
        <f>+VLOOKUP($E192,Energy_Mix!$1:$1048576,L$2,FALSE)</f>
        <v>1.90961916E-2</v>
      </c>
      <c r="M192" s="332">
        <f>+VLOOKUP($E192,Energy_Mix!$1:$1048576,M$2,FALSE)</f>
        <v>1.90961916E-2</v>
      </c>
      <c r="N192" s="332">
        <f>+VLOOKUP($E192,Energy_Mix!$1:$1048576,N$2,FALSE)</f>
        <v>1.90961916E-2</v>
      </c>
      <c r="O192" s="332">
        <f>+VLOOKUP($E192,Energy_Mix!$1:$1048576,O$2,FALSE)</f>
        <v>1.90961916E-2</v>
      </c>
      <c r="P192" s="332">
        <f>+VLOOKUP($E192,Energy_Mix!$1:$1048576,P$2,FALSE)</f>
        <v>1.90961916E-2</v>
      </c>
      <c r="Q192" s="332">
        <f>+VLOOKUP($E192,Energy_Mix!$1:$1048576,Q$2,FALSE)</f>
        <v>1.90961916E-2</v>
      </c>
      <c r="R192" s="332">
        <f>+VLOOKUP($E192,Energy_Mix!$1:$1048576,R$2,FALSE)</f>
        <v>1.90961916E-2</v>
      </c>
      <c r="S192" s="332">
        <f>+VLOOKUP($E192,Energy_Mix!$1:$1048576,S$2,FALSE)</f>
        <v>1.90961916E-2</v>
      </c>
      <c r="T192" s="332">
        <f>+VLOOKUP($E192,Energy_Mix!$1:$1048576,T$2,FALSE)</f>
        <v>1.90961916E-2</v>
      </c>
      <c r="U192" s="332">
        <f>+VLOOKUP($E192,Energy_Mix!$1:$1048576,U$2,FALSE)</f>
        <v>1.90961916E-2</v>
      </c>
      <c r="V192" s="332">
        <f>+VLOOKUP($E192,Energy_Mix!$1:$1048576,V$2,FALSE)</f>
        <v>1.90961916E-2</v>
      </c>
      <c r="W192" s="332">
        <f>+VLOOKUP($E192,Energy_Mix!$1:$1048576,W$2,FALSE)</f>
        <v>1.90961916E-2</v>
      </c>
      <c r="X192" s="332">
        <f>+VLOOKUP($E192,Energy_Mix!$1:$1048576,X$2,FALSE)</f>
        <v>1.90961916E-2</v>
      </c>
      <c r="Y192" s="332">
        <f>+VLOOKUP($E192,Energy_Mix!$1:$1048576,Y$2,FALSE)</f>
        <v>1.90961916E-2</v>
      </c>
      <c r="Z192" s="332">
        <f>+VLOOKUP($E192,Energy_Mix!$1:$1048576,Z$2,FALSE)</f>
        <v>1.90961916E-2</v>
      </c>
      <c r="AA192" s="332">
        <f>+VLOOKUP($E192,Energy_Mix!$1:$1048576,AA$2,FALSE)</f>
        <v>1.90961916E-2</v>
      </c>
      <c r="AB192" s="332">
        <f>+VLOOKUP($E192,Energy_Mix!$1:$1048576,AB$2,FALSE)</f>
        <v>1.90961916E-2</v>
      </c>
      <c r="AC192" s="332">
        <f>+VLOOKUP($E192,Energy_Mix!$1:$1048576,AC$2,FALSE)</f>
        <v>1.90961916E-2</v>
      </c>
      <c r="AD192" s="332">
        <f>+VLOOKUP($E192,Energy_Mix!$1:$1048576,AD$2,FALSE)</f>
        <v>1.90961916E-2</v>
      </c>
      <c r="AE192" s="332">
        <f>+VLOOKUP($E192,Energy_Mix!$1:$1048576,AE$2,FALSE)</f>
        <v>1.90961916E-2</v>
      </c>
      <c r="AF192" s="332">
        <f>+VLOOKUP($E192,Energy_Mix!$1:$1048576,AF$2,FALSE)</f>
        <v>1.90961916E-2</v>
      </c>
      <c r="AG192" s="332">
        <f>+VLOOKUP($E192,Energy_Mix!$1:$1048576,AG$2,FALSE)</f>
        <v>1.90961916E-2</v>
      </c>
      <c r="AH192" s="332">
        <f>+VLOOKUP($E192,Energy_Mix!$1:$1048576,AH$2,FALSE)</f>
        <v>1.90961916E-2</v>
      </c>
      <c r="AI192" s="332">
        <f>+VLOOKUP($E192,Energy_Mix!$1:$1048576,AI$2,FALSE)</f>
        <v>1.90961916E-2</v>
      </c>
      <c r="AJ192" s="332">
        <f>+VLOOKUP($E192,Energy_Mix!$1:$1048576,AJ$2,FALSE)</f>
        <v>1.90961916E-2</v>
      </c>
      <c r="AK192" s="332">
        <f>+VLOOKUP($E192,Energy_Mix!$1:$1048576,AK$2,FALSE)</f>
        <v>1.90961916E-2</v>
      </c>
      <c r="AL192" s="332">
        <f>+VLOOKUP($E192,Energy_Mix!$1:$1048576,AL$2,FALSE)</f>
        <v>1.90961916E-2</v>
      </c>
      <c r="AM192" s="332">
        <f>+VLOOKUP($E192,Energy_Mix!$1:$1048576,AM$2,FALSE)</f>
        <v>1.90961916E-2</v>
      </c>
      <c r="AN192" s="332">
        <f>+VLOOKUP($E192,Energy_Mix!$1:$1048576,AN$2,FALSE)</f>
        <v>1.90961916E-2</v>
      </c>
      <c r="AO192" s="332">
        <f>+VLOOKUP($E192,Energy_Mix!$1:$1048576,AO$2,FALSE)</f>
        <v>1.90961916E-2</v>
      </c>
    </row>
    <row r="193" spans="1:43" s="73" customFormat="1" ht="15" customHeight="1" x14ac:dyDescent="0.25">
      <c r="A193" s="392"/>
      <c r="B193" s="388"/>
      <c r="C193" s="128"/>
      <c r="D193" s="128" t="s">
        <v>164</v>
      </c>
      <c r="E193" s="84" t="s">
        <v>505</v>
      </c>
      <c r="F193" s="332">
        <f>+VLOOKUP($E193,Energy_Mix!$1:$1048576,F$2,FALSE)</f>
        <v>3.7580969800000003E-2</v>
      </c>
      <c r="G193" s="332">
        <f>+VLOOKUP($E193,Energy_Mix!$1:$1048576,G$2,FALSE)</f>
        <v>3.7580913899999999E-2</v>
      </c>
      <c r="H193" s="332">
        <f>+VLOOKUP($E193,Energy_Mix!$1:$1048576,H$2,FALSE)</f>
        <v>3.7580913899999999E-2</v>
      </c>
      <c r="I193" s="332">
        <f>+VLOOKUP($E193,Energy_Mix!$1:$1048576,I$2,FALSE)</f>
        <v>3.7580913899999999E-2</v>
      </c>
      <c r="J193" s="332">
        <f>+VLOOKUP($E193,Energy_Mix!$1:$1048576,J$2,FALSE)</f>
        <v>3.7580913899999999E-2</v>
      </c>
      <c r="K193" s="332">
        <f>+VLOOKUP($E193,Energy_Mix!$1:$1048576,K$2,FALSE)</f>
        <v>3.7580913899999999E-2</v>
      </c>
      <c r="L193" s="332">
        <f>+VLOOKUP($E193,Energy_Mix!$1:$1048576,L$2,FALSE)</f>
        <v>3.7580913899999999E-2</v>
      </c>
      <c r="M193" s="332">
        <f>+VLOOKUP($E193,Energy_Mix!$1:$1048576,M$2,FALSE)</f>
        <v>3.7580913899999999E-2</v>
      </c>
      <c r="N193" s="332">
        <f>+VLOOKUP($E193,Energy_Mix!$1:$1048576,N$2,FALSE)</f>
        <v>3.7580913899999999E-2</v>
      </c>
      <c r="O193" s="332">
        <f>+VLOOKUP($E193,Energy_Mix!$1:$1048576,O$2,FALSE)</f>
        <v>3.7580913899999999E-2</v>
      </c>
      <c r="P193" s="332">
        <f>+VLOOKUP($E193,Energy_Mix!$1:$1048576,P$2,FALSE)</f>
        <v>3.7580913899999999E-2</v>
      </c>
      <c r="Q193" s="332">
        <f>+VLOOKUP($E193,Energy_Mix!$1:$1048576,Q$2,FALSE)</f>
        <v>3.7580913899999999E-2</v>
      </c>
      <c r="R193" s="332">
        <f>+VLOOKUP($E193,Energy_Mix!$1:$1048576,R$2,FALSE)</f>
        <v>3.7580913899999999E-2</v>
      </c>
      <c r="S193" s="332">
        <f>+VLOOKUP($E193,Energy_Mix!$1:$1048576,S$2,FALSE)</f>
        <v>3.7580913899999999E-2</v>
      </c>
      <c r="T193" s="332">
        <f>+VLOOKUP($E193,Energy_Mix!$1:$1048576,T$2,FALSE)</f>
        <v>3.7580913899999999E-2</v>
      </c>
      <c r="U193" s="332">
        <f>+VLOOKUP($E193,Energy_Mix!$1:$1048576,U$2,FALSE)</f>
        <v>3.7580913899999999E-2</v>
      </c>
      <c r="V193" s="332">
        <f>+VLOOKUP($E193,Energy_Mix!$1:$1048576,V$2,FALSE)</f>
        <v>3.7580913899999999E-2</v>
      </c>
      <c r="W193" s="332">
        <f>+VLOOKUP($E193,Energy_Mix!$1:$1048576,W$2,FALSE)</f>
        <v>3.7580913899999999E-2</v>
      </c>
      <c r="X193" s="332">
        <f>+VLOOKUP($E193,Energy_Mix!$1:$1048576,X$2,FALSE)</f>
        <v>3.7580913899999999E-2</v>
      </c>
      <c r="Y193" s="332">
        <f>+VLOOKUP($E193,Energy_Mix!$1:$1048576,Y$2,FALSE)</f>
        <v>3.7580913899999999E-2</v>
      </c>
      <c r="Z193" s="332">
        <f>+VLOOKUP($E193,Energy_Mix!$1:$1048576,Z$2,FALSE)</f>
        <v>3.7580913899999999E-2</v>
      </c>
      <c r="AA193" s="332">
        <f>+VLOOKUP($E193,Energy_Mix!$1:$1048576,AA$2,FALSE)</f>
        <v>3.7580913899999999E-2</v>
      </c>
      <c r="AB193" s="332">
        <f>+VLOOKUP($E193,Energy_Mix!$1:$1048576,AB$2,FALSE)</f>
        <v>3.7580913899999999E-2</v>
      </c>
      <c r="AC193" s="332">
        <f>+VLOOKUP($E193,Energy_Mix!$1:$1048576,AC$2,FALSE)</f>
        <v>3.7580913899999999E-2</v>
      </c>
      <c r="AD193" s="332">
        <f>+VLOOKUP($E193,Energy_Mix!$1:$1048576,AD$2,FALSE)</f>
        <v>3.7580913899999999E-2</v>
      </c>
      <c r="AE193" s="332">
        <f>+VLOOKUP($E193,Energy_Mix!$1:$1048576,AE$2,FALSE)</f>
        <v>3.7580913899999999E-2</v>
      </c>
      <c r="AF193" s="332">
        <f>+VLOOKUP($E193,Energy_Mix!$1:$1048576,AF$2,FALSE)</f>
        <v>3.7580913899999999E-2</v>
      </c>
      <c r="AG193" s="332">
        <f>+VLOOKUP($E193,Energy_Mix!$1:$1048576,AG$2,FALSE)</f>
        <v>3.7580913899999999E-2</v>
      </c>
      <c r="AH193" s="332">
        <f>+VLOOKUP($E193,Energy_Mix!$1:$1048576,AH$2,FALSE)</f>
        <v>3.7580913899999999E-2</v>
      </c>
      <c r="AI193" s="332">
        <f>+VLOOKUP($E193,Energy_Mix!$1:$1048576,AI$2,FALSE)</f>
        <v>3.7580913899999999E-2</v>
      </c>
      <c r="AJ193" s="332">
        <f>+VLOOKUP($E193,Energy_Mix!$1:$1048576,AJ$2,FALSE)</f>
        <v>3.7580913899999999E-2</v>
      </c>
      <c r="AK193" s="332">
        <f>+VLOOKUP($E193,Energy_Mix!$1:$1048576,AK$2,FALSE)</f>
        <v>3.7580913899999999E-2</v>
      </c>
      <c r="AL193" s="332">
        <f>+VLOOKUP($E193,Energy_Mix!$1:$1048576,AL$2,FALSE)</f>
        <v>3.7580913899999999E-2</v>
      </c>
      <c r="AM193" s="332">
        <f>+VLOOKUP($E193,Energy_Mix!$1:$1048576,AM$2,FALSE)</f>
        <v>3.7580913899999999E-2</v>
      </c>
      <c r="AN193" s="332">
        <f>+VLOOKUP($E193,Energy_Mix!$1:$1048576,AN$2,FALSE)</f>
        <v>3.7580913899999999E-2</v>
      </c>
      <c r="AO193" s="332">
        <f>+VLOOKUP($E193,Energy_Mix!$1:$1048576,AO$2,FALSE)</f>
        <v>3.7580913899999999E-2</v>
      </c>
    </row>
    <row r="194" spans="1:43" s="73" customFormat="1" ht="15" customHeight="1" x14ac:dyDescent="0.25">
      <c r="A194" s="392"/>
      <c r="B194" s="388"/>
      <c r="C194" s="128"/>
      <c r="D194" s="128" t="s">
        <v>165</v>
      </c>
      <c r="E194" s="84" t="s">
        <v>506</v>
      </c>
      <c r="F194" s="332">
        <f>+VLOOKUP($E194,Energy_Mix!$1:$1048576,F$2,FALSE)</f>
        <v>1.36621179E-2</v>
      </c>
      <c r="G194" s="332">
        <f>+VLOOKUP($E194,Energy_Mix!$1:$1048576,G$2,FALSE)</f>
        <v>1.36621187E-2</v>
      </c>
      <c r="H194" s="332">
        <f>+VLOOKUP($E194,Energy_Mix!$1:$1048576,H$2,FALSE)</f>
        <v>1.36621187E-2</v>
      </c>
      <c r="I194" s="332">
        <f>+VLOOKUP($E194,Energy_Mix!$1:$1048576,I$2,FALSE)</f>
        <v>1.36621187E-2</v>
      </c>
      <c r="J194" s="332">
        <f>+VLOOKUP($E194,Energy_Mix!$1:$1048576,J$2,FALSE)</f>
        <v>1.36621187E-2</v>
      </c>
      <c r="K194" s="332">
        <f>+VLOOKUP($E194,Energy_Mix!$1:$1048576,K$2,FALSE)</f>
        <v>1.36621187E-2</v>
      </c>
      <c r="L194" s="332">
        <f>+VLOOKUP($E194,Energy_Mix!$1:$1048576,L$2,FALSE)</f>
        <v>1.36621187E-2</v>
      </c>
      <c r="M194" s="332">
        <f>+VLOOKUP($E194,Energy_Mix!$1:$1048576,M$2,FALSE)</f>
        <v>1.36621187E-2</v>
      </c>
      <c r="N194" s="332">
        <f>+VLOOKUP($E194,Energy_Mix!$1:$1048576,N$2,FALSE)</f>
        <v>1.36621187E-2</v>
      </c>
      <c r="O194" s="332">
        <f>+VLOOKUP($E194,Energy_Mix!$1:$1048576,O$2,FALSE)</f>
        <v>1.36621187E-2</v>
      </c>
      <c r="P194" s="332">
        <f>+VLOOKUP($E194,Energy_Mix!$1:$1048576,P$2,FALSE)</f>
        <v>1.36621187E-2</v>
      </c>
      <c r="Q194" s="332">
        <f>+VLOOKUP($E194,Energy_Mix!$1:$1048576,Q$2,FALSE)</f>
        <v>1.36621187E-2</v>
      </c>
      <c r="R194" s="332">
        <f>+VLOOKUP($E194,Energy_Mix!$1:$1048576,R$2,FALSE)</f>
        <v>1.36621187E-2</v>
      </c>
      <c r="S194" s="332">
        <f>+VLOOKUP($E194,Energy_Mix!$1:$1048576,S$2,FALSE)</f>
        <v>1.36621187E-2</v>
      </c>
      <c r="T194" s="332">
        <f>+VLOOKUP($E194,Energy_Mix!$1:$1048576,T$2,FALSE)</f>
        <v>1.36621187E-2</v>
      </c>
      <c r="U194" s="332">
        <f>+VLOOKUP($E194,Energy_Mix!$1:$1048576,U$2,FALSE)</f>
        <v>1.36621187E-2</v>
      </c>
      <c r="V194" s="332">
        <f>+VLOOKUP($E194,Energy_Mix!$1:$1048576,V$2,FALSE)</f>
        <v>1.36621187E-2</v>
      </c>
      <c r="W194" s="332">
        <f>+VLOOKUP($E194,Energy_Mix!$1:$1048576,W$2,FALSE)</f>
        <v>1.36621187E-2</v>
      </c>
      <c r="X194" s="332">
        <f>+VLOOKUP($E194,Energy_Mix!$1:$1048576,X$2,FALSE)</f>
        <v>1.36621187E-2</v>
      </c>
      <c r="Y194" s="332">
        <f>+VLOOKUP($E194,Energy_Mix!$1:$1048576,Y$2,FALSE)</f>
        <v>1.36621187E-2</v>
      </c>
      <c r="Z194" s="332">
        <f>+VLOOKUP($E194,Energy_Mix!$1:$1048576,Z$2,FALSE)</f>
        <v>1.36621187E-2</v>
      </c>
      <c r="AA194" s="332">
        <f>+VLOOKUP($E194,Energy_Mix!$1:$1048576,AA$2,FALSE)</f>
        <v>1.36621187E-2</v>
      </c>
      <c r="AB194" s="332">
        <f>+VLOOKUP($E194,Energy_Mix!$1:$1048576,AB$2,FALSE)</f>
        <v>1.36621187E-2</v>
      </c>
      <c r="AC194" s="332">
        <f>+VLOOKUP($E194,Energy_Mix!$1:$1048576,AC$2,FALSE)</f>
        <v>1.36621187E-2</v>
      </c>
      <c r="AD194" s="332">
        <f>+VLOOKUP($E194,Energy_Mix!$1:$1048576,AD$2,FALSE)</f>
        <v>1.36621187E-2</v>
      </c>
      <c r="AE194" s="332">
        <f>+VLOOKUP($E194,Energy_Mix!$1:$1048576,AE$2,FALSE)</f>
        <v>1.36621187E-2</v>
      </c>
      <c r="AF194" s="332">
        <f>+VLOOKUP($E194,Energy_Mix!$1:$1048576,AF$2,FALSE)</f>
        <v>1.36621187E-2</v>
      </c>
      <c r="AG194" s="332">
        <f>+VLOOKUP($E194,Energy_Mix!$1:$1048576,AG$2,FALSE)</f>
        <v>1.36621187E-2</v>
      </c>
      <c r="AH194" s="332">
        <f>+VLOOKUP($E194,Energy_Mix!$1:$1048576,AH$2,FALSE)</f>
        <v>1.36621187E-2</v>
      </c>
      <c r="AI194" s="332">
        <f>+VLOOKUP($E194,Energy_Mix!$1:$1048576,AI$2,FALSE)</f>
        <v>1.36621187E-2</v>
      </c>
      <c r="AJ194" s="332">
        <f>+VLOOKUP($E194,Energy_Mix!$1:$1048576,AJ$2,FALSE)</f>
        <v>1.36621187E-2</v>
      </c>
      <c r="AK194" s="332">
        <f>+VLOOKUP($E194,Energy_Mix!$1:$1048576,AK$2,FALSE)</f>
        <v>1.36621187E-2</v>
      </c>
      <c r="AL194" s="332">
        <f>+VLOOKUP($E194,Energy_Mix!$1:$1048576,AL$2,FALSE)</f>
        <v>1.36621187E-2</v>
      </c>
      <c r="AM194" s="332">
        <f>+VLOOKUP($E194,Energy_Mix!$1:$1048576,AM$2,FALSE)</f>
        <v>1.36621187E-2</v>
      </c>
      <c r="AN194" s="332">
        <f>+VLOOKUP($E194,Energy_Mix!$1:$1048576,AN$2,FALSE)</f>
        <v>1.36621187E-2</v>
      </c>
      <c r="AO194" s="332">
        <f>+VLOOKUP($E194,Energy_Mix!$1:$1048576,AO$2,FALSE)</f>
        <v>1.36621187E-2</v>
      </c>
    </row>
    <row r="195" spans="1:43" s="73" customFormat="1" ht="15" customHeight="1" x14ac:dyDescent="0.25">
      <c r="A195" s="392"/>
      <c r="B195" s="388"/>
      <c r="C195" s="128"/>
      <c r="D195" s="128" t="s">
        <v>549</v>
      </c>
      <c r="E195" s="84" t="s">
        <v>507</v>
      </c>
      <c r="F195" s="332">
        <f>+VLOOKUP($E195,Energy_Mix!$1:$1048576,F$2,FALSE)</f>
        <v>0.1051730505</v>
      </c>
      <c r="G195" s="332">
        <f>+VLOOKUP($E195,Energy_Mix!$1:$1048576,G$2,FALSE)</f>
        <v>0.1051730566</v>
      </c>
      <c r="H195" s="332">
        <f>+VLOOKUP($E195,Energy_Mix!$1:$1048576,H$2,FALSE)</f>
        <v>0.1051730566</v>
      </c>
      <c r="I195" s="332">
        <f>+VLOOKUP($E195,Energy_Mix!$1:$1048576,I$2,FALSE)</f>
        <v>0.1051730566</v>
      </c>
      <c r="J195" s="332">
        <f>+VLOOKUP($E195,Energy_Mix!$1:$1048576,J$2,FALSE)</f>
        <v>0.1051730566</v>
      </c>
      <c r="K195" s="332">
        <f>+VLOOKUP($E195,Energy_Mix!$1:$1048576,K$2,FALSE)</f>
        <v>0.1051730566</v>
      </c>
      <c r="L195" s="332">
        <f>+VLOOKUP($E195,Energy_Mix!$1:$1048576,L$2,FALSE)</f>
        <v>0.1051730566</v>
      </c>
      <c r="M195" s="332">
        <f>+VLOOKUP($E195,Energy_Mix!$1:$1048576,M$2,FALSE)</f>
        <v>0.1051730566</v>
      </c>
      <c r="N195" s="332">
        <f>+VLOOKUP($E195,Energy_Mix!$1:$1048576,N$2,FALSE)</f>
        <v>0.1051730566</v>
      </c>
      <c r="O195" s="332">
        <f>+VLOOKUP($E195,Energy_Mix!$1:$1048576,O$2,FALSE)</f>
        <v>0.1051730566</v>
      </c>
      <c r="P195" s="332">
        <f>+VLOOKUP($E195,Energy_Mix!$1:$1048576,P$2,FALSE)</f>
        <v>0.1051730566</v>
      </c>
      <c r="Q195" s="332">
        <f>+VLOOKUP($E195,Energy_Mix!$1:$1048576,Q$2,FALSE)</f>
        <v>0.1051730566</v>
      </c>
      <c r="R195" s="332">
        <f>+VLOOKUP($E195,Energy_Mix!$1:$1048576,R$2,FALSE)</f>
        <v>0.1051730566</v>
      </c>
      <c r="S195" s="332">
        <f>+VLOOKUP($E195,Energy_Mix!$1:$1048576,S$2,FALSE)</f>
        <v>0.1051730566</v>
      </c>
      <c r="T195" s="332">
        <f>+VLOOKUP($E195,Energy_Mix!$1:$1048576,T$2,FALSE)</f>
        <v>0.1051730566</v>
      </c>
      <c r="U195" s="332">
        <f>+VLOOKUP($E195,Energy_Mix!$1:$1048576,U$2,FALSE)</f>
        <v>0.1051730566</v>
      </c>
      <c r="V195" s="332">
        <f>+VLOOKUP($E195,Energy_Mix!$1:$1048576,V$2,FALSE)</f>
        <v>0.1051730566</v>
      </c>
      <c r="W195" s="332">
        <f>+VLOOKUP($E195,Energy_Mix!$1:$1048576,W$2,FALSE)</f>
        <v>0.1051730566</v>
      </c>
      <c r="X195" s="332">
        <f>+VLOOKUP($E195,Energy_Mix!$1:$1048576,X$2,FALSE)</f>
        <v>0.1051730566</v>
      </c>
      <c r="Y195" s="332">
        <f>+VLOOKUP($E195,Energy_Mix!$1:$1048576,Y$2,FALSE)</f>
        <v>0.1051730566</v>
      </c>
      <c r="Z195" s="332">
        <f>+VLOOKUP($E195,Energy_Mix!$1:$1048576,Z$2,FALSE)</f>
        <v>0.1051730566</v>
      </c>
      <c r="AA195" s="332">
        <f>+VLOOKUP($E195,Energy_Mix!$1:$1048576,AA$2,FALSE)</f>
        <v>0.1051730566</v>
      </c>
      <c r="AB195" s="332">
        <f>+VLOOKUP($E195,Energy_Mix!$1:$1048576,AB$2,FALSE)</f>
        <v>0.1051730566</v>
      </c>
      <c r="AC195" s="332">
        <f>+VLOOKUP($E195,Energy_Mix!$1:$1048576,AC$2,FALSE)</f>
        <v>0.1051730566</v>
      </c>
      <c r="AD195" s="332">
        <f>+VLOOKUP($E195,Energy_Mix!$1:$1048576,AD$2,FALSE)</f>
        <v>0.1051730566</v>
      </c>
      <c r="AE195" s="332">
        <f>+VLOOKUP($E195,Energy_Mix!$1:$1048576,AE$2,FALSE)</f>
        <v>0.1051730566</v>
      </c>
      <c r="AF195" s="332">
        <f>+VLOOKUP($E195,Energy_Mix!$1:$1048576,AF$2,FALSE)</f>
        <v>0.1051730566</v>
      </c>
      <c r="AG195" s="332">
        <f>+VLOOKUP($E195,Energy_Mix!$1:$1048576,AG$2,FALSE)</f>
        <v>0.1051730566</v>
      </c>
      <c r="AH195" s="332">
        <f>+VLOOKUP($E195,Energy_Mix!$1:$1048576,AH$2,FALSE)</f>
        <v>0.1051730566</v>
      </c>
      <c r="AI195" s="332">
        <f>+VLOOKUP($E195,Energy_Mix!$1:$1048576,AI$2,FALSE)</f>
        <v>0.1051730566</v>
      </c>
      <c r="AJ195" s="332">
        <f>+VLOOKUP($E195,Energy_Mix!$1:$1048576,AJ$2,FALSE)</f>
        <v>0.1051730566</v>
      </c>
      <c r="AK195" s="332">
        <f>+VLOOKUP($E195,Energy_Mix!$1:$1048576,AK$2,FALSE)</f>
        <v>0.1051730566</v>
      </c>
      <c r="AL195" s="332">
        <f>+VLOOKUP($E195,Energy_Mix!$1:$1048576,AL$2,FALSE)</f>
        <v>0.1051730566</v>
      </c>
      <c r="AM195" s="332">
        <f>+VLOOKUP($E195,Energy_Mix!$1:$1048576,AM$2,FALSE)</f>
        <v>0.1051730566</v>
      </c>
      <c r="AN195" s="332">
        <f>+VLOOKUP($E195,Energy_Mix!$1:$1048576,AN$2,FALSE)</f>
        <v>0.1051730566</v>
      </c>
      <c r="AO195" s="332">
        <f>+VLOOKUP($E195,Energy_Mix!$1:$1048576,AO$2,FALSE)</f>
        <v>0.1051730566</v>
      </c>
    </row>
    <row r="196" spans="1:43" s="73" customFormat="1" ht="15" customHeight="1" x14ac:dyDescent="0.25">
      <c r="A196" s="392"/>
      <c r="B196" s="388"/>
      <c r="C196" s="128"/>
      <c r="D196" s="128" t="s">
        <v>481</v>
      </c>
      <c r="E196" s="84" t="s">
        <v>508</v>
      </c>
      <c r="F196" s="332">
        <f>+VLOOKUP($E196,Energy_Mix!$1:$1048576,F$2,FALSE)</f>
        <v>6.1515785400000002E-2</v>
      </c>
      <c r="G196" s="332">
        <f>+VLOOKUP($E196,Energy_Mix!$1:$1048576,G$2,FALSE)</f>
        <v>6.1515789000000001E-2</v>
      </c>
      <c r="H196" s="332">
        <f>+VLOOKUP($E196,Energy_Mix!$1:$1048576,H$2,FALSE)</f>
        <v>6.1515789000000001E-2</v>
      </c>
      <c r="I196" s="332">
        <f>+VLOOKUP($E196,Energy_Mix!$1:$1048576,I$2,FALSE)</f>
        <v>6.1515789000000001E-2</v>
      </c>
      <c r="J196" s="332">
        <f>+VLOOKUP($E196,Energy_Mix!$1:$1048576,J$2,FALSE)</f>
        <v>6.1515789000000001E-2</v>
      </c>
      <c r="K196" s="332">
        <f>+VLOOKUP($E196,Energy_Mix!$1:$1048576,K$2,FALSE)</f>
        <v>6.1515789000000001E-2</v>
      </c>
      <c r="L196" s="332">
        <f>+VLOOKUP($E196,Energy_Mix!$1:$1048576,L$2,FALSE)</f>
        <v>6.1515789000000001E-2</v>
      </c>
      <c r="M196" s="332">
        <f>+VLOOKUP($E196,Energy_Mix!$1:$1048576,M$2,FALSE)</f>
        <v>6.1515789000000001E-2</v>
      </c>
      <c r="N196" s="332">
        <f>+VLOOKUP($E196,Energy_Mix!$1:$1048576,N$2,FALSE)</f>
        <v>6.1515789000000001E-2</v>
      </c>
      <c r="O196" s="332">
        <f>+VLOOKUP($E196,Energy_Mix!$1:$1048576,O$2,FALSE)</f>
        <v>6.1515789000000001E-2</v>
      </c>
      <c r="P196" s="332">
        <f>+VLOOKUP($E196,Energy_Mix!$1:$1048576,P$2,FALSE)</f>
        <v>6.1515789000000001E-2</v>
      </c>
      <c r="Q196" s="332">
        <f>+VLOOKUP($E196,Energy_Mix!$1:$1048576,Q$2,FALSE)</f>
        <v>6.1515789000000001E-2</v>
      </c>
      <c r="R196" s="332">
        <f>+VLOOKUP($E196,Energy_Mix!$1:$1048576,R$2,FALSE)</f>
        <v>6.1515789000000001E-2</v>
      </c>
      <c r="S196" s="332">
        <f>+VLOOKUP($E196,Energy_Mix!$1:$1048576,S$2,FALSE)</f>
        <v>6.1515789000000001E-2</v>
      </c>
      <c r="T196" s="332">
        <f>+VLOOKUP($E196,Energy_Mix!$1:$1048576,T$2,FALSE)</f>
        <v>6.1515789000000001E-2</v>
      </c>
      <c r="U196" s="332">
        <f>+VLOOKUP($E196,Energy_Mix!$1:$1048576,U$2,FALSE)</f>
        <v>6.1515789000000001E-2</v>
      </c>
      <c r="V196" s="332">
        <f>+VLOOKUP($E196,Energy_Mix!$1:$1048576,V$2,FALSE)</f>
        <v>6.1515789000000001E-2</v>
      </c>
      <c r="W196" s="332">
        <f>+VLOOKUP($E196,Energy_Mix!$1:$1048576,W$2,FALSE)</f>
        <v>6.1515789000000001E-2</v>
      </c>
      <c r="X196" s="332">
        <f>+VLOOKUP($E196,Energy_Mix!$1:$1048576,X$2,FALSE)</f>
        <v>6.1515789000000001E-2</v>
      </c>
      <c r="Y196" s="332">
        <f>+VLOOKUP($E196,Energy_Mix!$1:$1048576,Y$2,FALSE)</f>
        <v>6.1515789000000001E-2</v>
      </c>
      <c r="Z196" s="332">
        <f>+VLOOKUP($E196,Energy_Mix!$1:$1048576,Z$2,FALSE)</f>
        <v>6.1515789000000001E-2</v>
      </c>
      <c r="AA196" s="332">
        <f>+VLOOKUP($E196,Energy_Mix!$1:$1048576,AA$2,FALSE)</f>
        <v>6.1515789000000001E-2</v>
      </c>
      <c r="AB196" s="332">
        <f>+VLOOKUP($E196,Energy_Mix!$1:$1048576,AB$2,FALSE)</f>
        <v>6.1515789000000001E-2</v>
      </c>
      <c r="AC196" s="332">
        <f>+VLOOKUP($E196,Energy_Mix!$1:$1048576,AC$2,FALSE)</f>
        <v>6.1515789000000001E-2</v>
      </c>
      <c r="AD196" s="332">
        <f>+VLOOKUP($E196,Energy_Mix!$1:$1048576,AD$2,FALSE)</f>
        <v>6.1515789000000001E-2</v>
      </c>
      <c r="AE196" s="332">
        <f>+VLOOKUP($E196,Energy_Mix!$1:$1048576,AE$2,FALSE)</f>
        <v>6.1515789000000001E-2</v>
      </c>
      <c r="AF196" s="332">
        <f>+VLOOKUP($E196,Energy_Mix!$1:$1048576,AF$2,FALSE)</f>
        <v>6.1515789000000001E-2</v>
      </c>
      <c r="AG196" s="332">
        <f>+VLOOKUP($E196,Energy_Mix!$1:$1048576,AG$2,FALSE)</f>
        <v>6.1515789000000001E-2</v>
      </c>
      <c r="AH196" s="332">
        <f>+VLOOKUP($E196,Energy_Mix!$1:$1048576,AH$2,FALSE)</f>
        <v>6.1515789000000001E-2</v>
      </c>
      <c r="AI196" s="332">
        <f>+VLOOKUP($E196,Energy_Mix!$1:$1048576,AI$2,FALSE)</f>
        <v>6.1515789000000001E-2</v>
      </c>
      <c r="AJ196" s="332">
        <f>+VLOOKUP($E196,Energy_Mix!$1:$1048576,AJ$2,FALSE)</f>
        <v>6.1515789000000001E-2</v>
      </c>
      <c r="AK196" s="332">
        <f>+VLOOKUP($E196,Energy_Mix!$1:$1048576,AK$2,FALSE)</f>
        <v>6.1515789000000001E-2</v>
      </c>
      <c r="AL196" s="332">
        <f>+VLOOKUP($E196,Energy_Mix!$1:$1048576,AL$2,FALSE)</f>
        <v>6.1515789000000001E-2</v>
      </c>
      <c r="AM196" s="332">
        <f>+VLOOKUP($E196,Energy_Mix!$1:$1048576,AM$2,FALSE)</f>
        <v>6.1515789000000001E-2</v>
      </c>
      <c r="AN196" s="332">
        <f>+VLOOKUP($E196,Energy_Mix!$1:$1048576,AN$2,FALSE)</f>
        <v>6.1515789000000001E-2</v>
      </c>
      <c r="AO196" s="332">
        <f>+VLOOKUP($E196,Energy_Mix!$1:$1048576,AO$2,FALSE)</f>
        <v>6.1515789000000001E-2</v>
      </c>
    </row>
    <row r="197" spans="1:43" s="73" customFormat="1" ht="15" customHeight="1" x14ac:dyDescent="0.25">
      <c r="A197" s="392"/>
      <c r="B197" s="388"/>
      <c r="C197" s="128"/>
      <c r="D197" s="128" t="s">
        <v>482</v>
      </c>
      <c r="E197" s="306" t="s">
        <v>509</v>
      </c>
      <c r="F197" s="332">
        <f>+VLOOKUP($E197,Energy_Mix!$1:$1048576,F$2,FALSE)</f>
        <v>1.71800688E-3</v>
      </c>
      <c r="G197" s="332">
        <f>+VLOOKUP($E197,Energy_Mix!$1:$1048576,G$2,FALSE)</f>
        <v>1.71800698E-3</v>
      </c>
      <c r="H197" s="332">
        <f>+VLOOKUP($E197,Energy_Mix!$1:$1048576,H$2,FALSE)</f>
        <v>1.71800698E-3</v>
      </c>
      <c r="I197" s="332">
        <f>+VLOOKUP($E197,Energy_Mix!$1:$1048576,I$2,FALSE)</f>
        <v>1.71800698E-3</v>
      </c>
      <c r="J197" s="332">
        <f>+VLOOKUP($E197,Energy_Mix!$1:$1048576,J$2,FALSE)</f>
        <v>1.71800698E-3</v>
      </c>
      <c r="K197" s="332">
        <f>+VLOOKUP($E197,Energy_Mix!$1:$1048576,K$2,FALSE)</f>
        <v>1.71800698E-3</v>
      </c>
      <c r="L197" s="332">
        <f>+VLOOKUP($E197,Energy_Mix!$1:$1048576,L$2,FALSE)</f>
        <v>1.71800698E-3</v>
      </c>
      <c r="M197" s="332">
        <f>+VLOOKUP($E197,Energy_Mix!$1:$1048576,M$2,FALSE)</f>
        <v>1.71800698E-3</v>
      </c>
      <c r="N197" s="332">
        <f>+VLOOKUP($E197,Energy_Mix!$1:$1048576,N$2,FALSE)</f>
        <v>1.71800698E-3</v>
      </c>
      <c r="O197" s="332">
        <f>+VLOOKUP($E197,Energy_Mix!$1:$1048576,O$2,FALSE)</f>
        <v>1.71800698E-3</v>
      </c>
      <c r="P197" s="332">
        <f>+VLOOKUP($E197,Energy_Mix!$1:$1048576,P$2,FALSE)</f>
        <v>1.71800698E-3</v>
      </c>
      <c r="Q197" s="332">
        <f>+VLOOKUP($E197,Energy_Mix!$1:$1048576,Q$2,FALSE)</f>
        <v>1.71800698E-3</v>
      </c>
      <c r="R197" s="332">
        <f>+VLOOKUP($E197,Energy_Mix!$1:$1048576,R$2,FALSE)</f>
        <v>1.71800698E-3</v>
      </c>
      <c r="S197" s="332">
        <f>+VLOOKUP($E197,Energy_Mix!$1:$1048576,S$2,FALSE)</f>
        <v>1.71800698E-3</v>
      </c>
      <c r="T197" s="332">
        <f>+VLOOKUP($E197,Energy_Mix!$1:$1048576,T$2,FALSE)</f>
        <v>1.71800698E-3</v>
      </c>
      <c r="U197" s="332">
        <f>+VLOOKUP($E197,Energy_Mix!$1:$1048576,U$2,FALSE)</f>
        <v>1.71800698E-3</v>
      </c>
      <c r="V197" s="332">
        <f>+VLOOKUP($E197,Energy_Mix!$1:$1048576,V$2,FALSE)</f>
        <v>1.71800698E-3</v>
      </c>
      <c r="W197" s="332">
        <f>+VLOOKUP($E197,Energy_Mix!$1:$1048576,W$2,FALSE)</f>
        <v>1.71800698E-3</v>
      </c>
      <c r="X197" s="332">
        <f>+VLOOKUP($E197,Energy_Mix!$1:$1048576,X$2,FALSE)</f>
        <v>1.71800698E-3</v>
      </c>
      <c r="Y197" s="332">
        <f>+VLOOKUP($E197,Energy_Mix!$1:$1048576,Y$2,FALSE)</f>
        <v>1.71800698E-3</v>
      </c>
      <c r="Z197" s="332">
        <f>+VLOOKUP($E197,Energy_Mix!$1:$1048576,Z$2,FALSE)</f>
        <v>1.71800698E-3</v>
      </c>
      <c r="AA197" s="332">
        <f>+VLOOKUP($E197,Energy_Mix!$1:$1048576,AA$2,FALSE)</f>
        <v>1.71800698E-3</v>
      </c>
      <c r="AB197" s="332">
        <f>+VLOOKUP($E197,Energy_Mix!$1:$1048576,AB$2,FALSE)</f>
        <v>1.71800698E-3</v>
      </c>
      <c r="AC197" s="332">
        <f>+VLOOKUP($E197,Energy_Mix!$1:$1048576,AC$2,FALSE)</f>
        <v>1.71800698E-3</v>
      </c>
      <c r="AD197" s="332">
        <f>+VLOOKUP($E197,Energy_Mix!$1:$1048576,AD$2,FALSE)</f>
        <v>1.71800698E-3</v>
      </c>
      <c r="AE197" s="332">
        <f>+VLOOKUP($E197,Energy_Mix!$1:$1048576,AE$2,FALSE)</f>
        <v>1.71800698E-3</v>
      </c>
      <c r="AF197" s="332">
        <f>+VLOOKUP($E197,Energy_Mix!$1:$1048576,AF$2,FALSE)</f>
        <v>1.71800698E-3</v>
      </c>
      <c r="AG197" s="332">
        <f>+VLOOKUP($E197,Energy_Mix!$1:$1048576,AG$2,FALSE)</f>
        <v>1.71800698E-3</v>
      </c>
      <c r="AH197" s="332">
        <f>+VLOOKUP($E197,Energy_Mix!$1:$1048576,AH$2,FALSE)</f>
        <v>1.71800698E-3</v>
      </c>
      <c r="AI197" s="332">
        <f>+VLOOKUP($E197,Energy_Mix!$1:$1048576,AI$2,FALSE)</f>
        <v>1.71800698E-3</v>
      </c>
      <c r="AJ197" s="332">
        <f>+VLOOKUP($E197,Energy_Mix!$1:$1048576,AJ$2,FALSE)</f>
        <v>1.71800698E-3</v>
      </c>
      <c r="AK197" s="332">
        <f>+VLOOKUP($E197,Energy_Mix!$1:$1048576,AK$2,FALSE)</f>
        <v>1.71800698E-3</v>
      </c>
      <c r="AL197" s="332">
        <f>+VLOOKUP($E197,Energy_Mix!$1:$1048576,AL$2,FALSE)</f>
        <v>1.71800698E-3</v>
      </c>
      <c r="AM197" s="332">
        <f>+VLOOKUP($E197,Energy_Mix!$1:$1048576,AM$2,FALSE)</f>
        <v>1.71800698E-3</v>
      </c>
      <c r="AN197" s="332">
        <f>+VLOOKUP($E197,Energy_Mix!$1:$1048576,AN$2,FALSE)</f>
        <v>1.71800698E-3</v>
      </c>
      <c r="AO197" s="332">
        <f>+VLOOKUP($E197,Energy_Mix!$1:$1048576,AO$2,FALSE)</f>
        <v>1.71800698E-3</v>
      </c>
    </row>
    <row r="198" spans="1:43" s="73" customFormat="1" ht="15" customHeight="1" x14ac:dyDescent="0.25">
      <c r="A198" s="392"/>
      <c r="B198" s="388"/>
      <c r="C198" s="168" t="s">
        <v>496</v>
      </c>
      <c r="D198" s="128"/>
      <c r="E198" s="84"/>
      <c r="F198" s="327">
        <f>F199</f>
        <v>1</v>
      </c>
      <c r="G198" s="327">
        <f t="shared" ref="G198:AO198" si="42">G199</f>
        <v>1</v>
      </c>
      <c r="H198" s="327">
        <f t="shared" si="42"/>
        <v>1</v>
      </c>
      <c r="I198" s="327">
        <f t="shared" si="42"/>
        <v>1</v>
      </c>
      <c r="J198" s="327">
        <f t="shared" si="42"/>
        <v>1</v>
      </c>
      <c r="K198" s="327">
        <f t="shared" si="42"/>
        <v>1</v>
      </c>
      <c r="L198" s="327">
        <f t="shared" si="42"/>
        <v>1</v>
      </c>
      <c r="M198" s="327">
        <f t="shared" si="42"/>
        <v>1</v>
      </c>
      <c r="N198" s="327">
        <f t="shared" si="42"/>
        <v>1</v>
      </c>
      <c r="O198" s="327">
        <f t="shared" si="42"/>
        <v>1</v>
      </c>
      <c r="P198" s="327">
        <f t="shared" si="42"/>
        <v>1</v>
      </c>
      <c r="Q198" s="327">
        <f t="shared" si="42"/>
        <v>1</v>
      </c>
      <c r="R198" s="327">
        <f t="shared" si="42"/>
        <v>1</v>
      </c>
      <c r="S198" s="327">
        <f t="shared" si="42"/>
        <v>1</v>
      </c>
      <c r="T198" s="327">
        <f t="shared" si="42"/>
        <v>1</v>
      </c>
      <c r="U198" s="327">
        <f t="shared" si="42"/>
        <v>1</v>
      </c>
      <c r="V198" s="327">
        <f t="shared" si="42"/>
        <v>1</v>
      </c>
      <c r="W198" s="327">
        <f t="shared" si="42"/>
        <v>1</v>
      </c>
      <c r="X198" s="327">
        <f t="shared" si="42"/>
        <v>1</v>
      </c>
      <c r="Y198" s="327">
        <f t="shared" si="42"/>
        <v>1</v>
      </c>
      <c r="Z198" s="327">
        <f t="shared" si="42"/>
        <v>1</v>
      </c>
      <c r="AA198" s="327">
        <f t="shared" si="42"/>
        <v>1</v>
      </c>
      <c r="AB198" s="327">
        <f t="shared" si="42"/>
        <v>1</v>
      </c>
      <c r="AC198" s="327">
        <f t="shared" si="42"/>
        <v>1</v>
      </c>
      <c r="AD198" s="327">
        <f t="shared" si="42"/>
        <v>1</v>
      </c>
      <c r="AE198" s="327">
        <f t="shared" si="42"/>
        <v>1</v>
      </c>
      <c r="AF198" s="327">
        <f t="shared" si="42"/>
        <v>1</v>
      </c>
      <c r="AG198" s="327">
        <f t="shared" si="42"/>
        <v>1</v>
      </c>
      <c r="AH198" s="327">
        <f t="shared" si="42"/>
        <v>1</v>
      </c>
      <c r="AI198" s="327">
        <f t="shared" si="42"/>
        <v>1</v>
      </c>
      <c r="AJ198" s="327">
        <f t="shared" si="42"/>
        <v>1</v>
      </c>
      <c r="AK198" s="327">
        <f t="shared" si="42"/>
        <v>1</v>
      </c>
      <c r="AL198" s="327">
        <f t="shared" si="42"/>
        <v>1</v>
      </c>
      <c r="AM198" s="327">
        <f t="shared" si="42"/>
        <v>1</v>
      </c>
      <c r="AN198" s="327">
        <f t="shared" si="42"/>
        <v>1</v>
      </c>
      <c r="AO198" s="327">
        <f t="shared" si="42"/>
        <v>1</v>
      </c>
    </row>
    <row r="199" spans="1:43" s="73" customFormat="1" ht="15" customHeight="1" x14ac:dyDescent="0.25">
      <c r="A199" s="392"/>
      <c r="B199" s="388"/>
      <c r="C199" s="128"/>
      <c r="D199" s="128" t="s">
        <v>481</v>
      </c>
      <c r="E199" s="84" t="s">
        <v>1900</v>
      </c>
      <c r="F199" s="332">
        <f>+VLOOKUP($E199,Energy_Mix!$1:$1048576,F$2,FALSE)</f>
        <v>1</v>
      </c>
      <c r="G199" s="332">
        <f>+VLOOKUP($E199,Energy_Mix!$1:$1048576,G$2,FALSE)</f>
        <v>1</v>
      </c>
      <c r="H199" s="332">
        <f>+VLOOKUP($E199,Energy_Mix!$1:$1048576,H$2,FALSE)</f>
        <v>1</v>
      </c>
      <c r="I199" s="332">
        <f>+VLOOKUP($E199,Energy_Mix!$1:$1048576,I$2,FALSE)</f>
        <v>1</v>
      </c>
      <c r="J199" s="332">
        <f>+VLOOKUP($E199,Energy_Mix!$1:$1048576,J$2,FALSE)</f>
        <v>1</v>
      </c>
      <c r="K199" s="332">
        <f>+VLOOKUP($E199,Energy_Mix!$1:$1048576,K$2,FALSE)</f>
        <v>1</v>
      </c>
      <c r="L199" s="332">
        <f>+VLOOKUP($E199,Energy_Mix!$1:$1048576,L$2,FALSE)</f>
        <v>1</v>
      </c>
      <c r="M199" s="332">
        <f>+VLOOKUP($E199,Energy_Mix!$1:$1048576,M$2,FALSE)</f>
        <v>1</v>
      </c>
      <c r="N199" s="332">
        <f>+VLOOKUP($E199,Energy_Mix!$1:$1048576,N$2,FALSE)</f>
        <v>1</v>
      </c>
      <c r="O199" s="332">
        <f>+VLOOKUP($E199,Energy_Mix!$1:$1048576,O$2,FALSE)</f>
        <v>1</v>
      </c>
      <c r="P199" s="332">
        <f>+VLOOKUP($E199,Energy_Mix!$1:$1048576,P$2,FALSE)</f>
        <v>1</v>
      </c>
      <c r="Q199" s="332">
        <f>+VLOOKUP($E199,Energy_Mix!$1:$1048576,Q$2,FALSE)</f>
        <v>1</v>
      </c>
      <c r="R199" s="332">
        <f>+VLOOKUP($E199,Energy_Mix!$1:$1048576,R$2,FALSE)</f>
        <v>1</v>
      </c>
      <c r="S199" s="332">
        <f>+VLOOKUP($E199,Energy_Mix!$1:$1048576,S$2,FALSE)</f>
        <v>1</v>
      </c>
      <c r="T199" s="332">
        <f>+VLOOKUP($E199,Energy_Mix!$1:$1048576,T$2,FALSE)</f>
        <v>1</v>
      </c>
      <c r="U199" s="332">
        <f>+VLOOKUP($E199,Energy_Mix!$1:$1048576,U$2,FALSE)</f>
        <v>1</v>
      </c>
      <c r="V199" s="332">
        <f>+VLOOKUP($E199,Energy_Mix!$1:$1048576,V$2,FALSE)</f>
        <v>1</v>
      </c>
      <c r="W199" s="332">
        <f>+VLOOKUP($E199,Energy_Mix!$1:$1048576,W$2,FALSE)</f>
        <v>1</v>
      </c>
      <c r="X199" s="332">
        <f>+VLOOKUP($E199,Energy_Mix!$1:$1048576,X$2,FALSE)</f>
        <v>1</v>
      </c>
      <c r="Y199" s="332">
        <f>+VLOOKUP($E199,Energy_Mix!$1:$1048576,Y$2,FALSE)</f>
        <v>1</v>
      </c>
      <c r="Z199" s="332">
        <f>+VLOOKUP($E199,Energy_Mix!$1:$1048576,Z$2,FALSE)</f>
        <v>1</v>
      </c>
      <c r="AA199" s="332">
        <f>+VLOOKUP($E199,Energy_Mix!$1:$1048576,AA$2,FALSE)</f>
        <v>1</v>
      </c>
      <c r="AB199" s="332">
        <f>+VLOOKUP($E199,Energy_Mix!$1:$1048576,AB$2,FALSE)</f>
        <v>1</v>
      </c>
      <c r="AC199" s="332">
        <f>+VLOOKUP($E199,Energy_Mix!$1:$1048576,AC$2,FALSE)</f>
        <v>1</v>
      </c>
      <c r="AD199" s="332">
        <f>+VLOOKUP($E199,Energy_Mix!$1:$1048576,AD$2,FALSE)</f>
        <v>1</v>
      </c>
      <c r="AE199" s="332">
        <f>+VLOOKUP($E199,Energy_Mix!$1:$1048576,AE$2,FALSE)</f>
        <v>1</v>
      </c>
      <c r="AF199" s="332">
        <f>+VLOOKUP($E199,Energy_Mix!$1:$1048576,AF$2,FALSE)</f>
        <v>1</v>
      </c>
      <c r="AG199" s="332">
        <f>+VLOOKUP($E199,Energy_Mix!$1:$1048576,AG$2,FALSE)</f>
        <v>1</v>
      </c>
      <c r="AH199" s="332">
        <f>+VLOOKUP($E199,Energy_Mix!$1:$1048576,AH$2,FALSE)</f>
        <v>1</v>
      </c>
      <c r="AI199" s="332">
        <f>+VLOOKUP($E199,Energy_Mix!$1:$1048576,AI$2,FALSE)</f>
        <v>1</v>
      </c>
      <c r="AJ199" s="332">
        <f>+VLOOKUP($E199,Energy_Mix!$1:$1048576,AJ$2,FALSE)</f>
        <v>1</v>
      </c>
      <c r="AK199" s="332">
        <f>+VLOOKUP($E199,Energy_Mix!$1:$1048576,AK$2,FALSE)</f>
        <v>1</v>
      </c>
      <c r="AL199" s="332">
        <f>+VLOOKUP($E199,Energy_Mix!$1:$1048576,AL$2,FALSE)</f>
        <v>1</v>
      </c>
      <c r="AM199" s="332">
        <f>+VLOOKUP($E199,Energy_Mix!$1:$1048576,AM$2,FALSE)</f>
        <v>1</v>
      </c>
      <c r="AN199" s="332">
        <f>+VLOOKUP($E199,Energy_Mix!$1:$1048576,AN$2,FALSE)</f>
        <v>1</v>
      </c>
      <c r="AO199" s="332">
        <f>+VLOOKUP($E199,Energy_Mix!$1:$1048576,AO$2,FALSE)</f>
        <v>1</v>
      </c>
    </row>
    <row r="200" spans="1:43" s="73" customFormat="1" ht="15" customHeight="1" x14ac:dyDescent="0.25">
      <c r="A200" s="392"/>
      <c r="B200" s="388"/>
      <c r="C200" s="168" t="s">
        <v>580</v>
      </c>
      <c r="D200" s="128"/>
      <c r="E200" s="84"/>
      <c r="F200" s="327">
        <f>SUM(F201:F202)</f>
        <v>1</v>
      </c>
      <c r="G200" s="327">
        <f t="shared" ref="G200:AO200" si="43">SUM(G201:G202)</f>
        <v>1</v>
      </c>
      <c r="H200" s="327">
        <f t="shared" si="43"/>
        <v>1</v>
      </c>
      <c r="I200" s="327">
        <f t="shared" si="43"/>
        <v>1</v>
      </c>
      <c r="J200" s="327">
        <f t="shared" si="43"/>
        <v>1</v>
      </c>
      <c r="K200" s="327">
        <f t="shared" si="43"/>
        <v>1</v>
      </c>
      <c r="L200" s="327">
        <f t="shared" si="43"/>
        <v>1</v>
      </c>
      <c r="M200" s="327">
        <f t="shared" si="43"/>
        <v>1</v>
      </c>
      <c r="N200" s="327">
        <f t="shared" si="43"/>
        <v>1</v>
      </c>
      <c r="O200" s="327">
        <f t="shared" si="43"/>
        <v>1</v>
      </c>
      <c r="P200" s="327">
        <f t="shared" si="43"/>
        <v>1</v>
      </c>
      <c r="Q200" s="327">
        <f t="shared" si="43"/>
        <v>1</v>
      </c>
      <c r="R200" s="327">
        <f t="shared" si="43"/>
        <v>1</v>
      </c>
      <c r="S200" s="327">
        <f t="shared" si="43"/>
        <v>1</v>
      </c>
      <c r="T200" s="327">
        <f t="shared" si="43"/>
        <v>1</v>
      </c>
      <c r="U200" s="327">
        <f t="shared" si="43"/>
        <v>1</v>
      </c>
      <c r="V200" s="327">
        <f t="shared" si="43"/>
        <v>1</v>
      </c>
      <c r="W200" s="327">
        <f t="shared" si="43"/>
        <v>1</v>
      </c>
      <c r="X200" s="327">
        <f t="shared" si="43"/>
        <v>1</v>
      </c>
      <c r="Y200" s="327">
        <f t="shared" si="43"/>
        <v>1</v>
      </c>
      <c r="Z200" s="327">
        <f t="shared" si="43"/>
        <v>1</v>
      </c>
      <c r="AA200" s="327">
        <f t="shared" si="43"/>
        <v>1</v>
      </c>
      <c r="AB200" s="327">
        <f t="shared" si="43"/>
        <v>1</v>
      </c>
      <c r="AC200" s="327">
        <f t="shared" si="43"/>
        <v>1</v>
      </c>
      <c r="AD200" s="327">
        <f t="shared" si="43"/>
        <v>1</v>
      </c>
      <c r="AE200" s="327">
        <f t="shared" si="43"/>
        <v>1</v>
      </c>
      <c r="AF200" s="327">
        <f t="shared" si="43"/>
        <v>1</v>
      </c>
      <c r="AG200" s="327">
        <f t="shared" si="43"/>
        <v>1</v>
      </c>
      <c r="AH200" s="327">
        <f t="shared" si="43"/>
        <v>1</v>
      </c>
      <c r="AI200" s="327">
        <f t="shared" si="43"/>
        <v>1</v>
      </c>
      <c r="AJ200" s="327">
        <f t="shared" si="43"/>
        <v>1</v>
      </c>
      <c r="AK200" s="327">
        <f t="shared" si="43"/>
        <v>1</v>
      </c>
      <c r="AL200" s="327">
        <f t="shared" si="43"/>
        <v>1</v>
      </c>
      <c r="AM200" s="327">
        <f t="shared" si="43"/>
        <v>1</v>
      </c>
      <c r="AN200" s="327">
        <f t="shared" si="43"/>
        <v>1</v>
      </c>
      <c r="AO200" s="327">
        <f t="shared" si="43"/>
        <v>1</v>
      </c>
    </row>
    <row r="201" spans="1:43" s="73" customFormat="1" ht="15" customHeight="1" x14ac:dyDescent="0.25">
      <c r="A201" s="392"/>
      <c r="B201" s="388"/>
      <c r="C201" s="168"/>
      <c r="D201" s="128"/>
      <c r="E201" s="84" t="s">
        <v>1901</v>
      </c>
      <c r="F201" s="332">
        <f>+VLOOKUP($E201,Energy_Mix!$1:$1048576,F$2,FALSE)</f>
        <v>0.96802904320000005</v>
      </c>
      <c r="G201" s="332">
        <f>+VLOOKUP($E201,Energy_Mix!$1:$1048576,G$2,FALSE)</f>
        <v>0.96802904320000005</v>
      </c>
      <c r="H201" s="332">
        <f>+VLOOKUP($E201,Energy_Mix!$1:$1048576,H$2,FALSE)</f>
        <v>0.96802904320000005</v>
      </c>
      <c r="I201" s="332">
        <f>+VLOOKUP($E201,Energy_Mix!$1:$1048576,I$2,FALSE)</f>
        <v>0.96802904320000005</v>
      </c>
      <c r="J201" s="332">
        <f>+VLOOKUP($E201,Energy_Mix!$1:$1048576,J$2,FALSE)</f>
        <v>0.96802904320000005</v>
      </c>
      <c r="K201" s="332">
        <f>+VLOOKUP($E201,Energy_Mix!$1:$1048576,K$2,FALSE)</f>
        <v>0.96802904320000005</v>
      </c>
      <c r="L201" s="332">
        <f>+VLOOKUP($E201,Energy_Mix!$1:$1048576,L$2,FALSE)</f>
        <v>0.96802904320000005</v>
      </c>
      <c r="M201" s="332">
        <f>+VLOOKUP($E201,Energy_Mix!$1:$1048576,M$2,FALSE)</f>
        <v>0.96802904320000005</v>
      </c>
      <c r="N201" s="332">
        <f>+VLOOKUP($E201,Energy_Mix!$1:$1048576,N$2,FALSE)</f>
        <v>0.96802904320000005</v>
      </c>
      <c r="O201" s="332">
        <f>+VLOOKUP($E201,Energy_Mix!$1:$1048576,O$2,FALSE)</f>
        <v>0.96802904320000005</v>
      </c>
      <c r="P201" s="332">
        <f>+VLOOKUP($E201,Energy_Mix!$1:$1048576,P$2,FALSE)</f>
        <v>0.96802904320000005</v>
      </c>
      <c r="Q201" s="332">
        <f>+VLOOKUP($E201,Energy_Mix!$1:$1048576,Q$2,FALSE)</f>
        <v>0.96802904320000005</v>
      </c>
      <c r="R201" s="332">
        <f>+VLOOKUP($E201,Energy_Mix!$1:$1048576,R$2,FALSE)</f>
        <v>0.96802904320000005</v>
      </c>
      <c r="S201" s="332">
        <f>+VLOOKUP($E201,Energy_Mix!$1:$1048576,S$2,FALSE)</f>
        <v>0.96802904320000005</v>
      </c>
      <c r="T201" s="332">
        <f>+VLOOKUP($E201,Energy_Mix!$1:$1048576,T$2,FALSE)</f>
        <v>0.96802904320000005</v>
      </c>
      <c r="U201" s="332">
        <f>+VLOOKUP($E201,Energy_Mix!$1:$1048576,U$2,FALSE)</f>
        <v>0.96802904320000005</v>
      </c>
      <c r="V201" s="332">
        <f>+VLOOKUP($E201,Energy_Mix!$1:$1048576,V$2,FALSE)</f>
        <v>0.96802904320000005</v>
      </c>
      <c r="W201" s="332">
        <f>+VLOOKUP($E201,Energy_Mix!$1:$1048576,W$2,FALSE)</f>
        <v>0.96802904320000005</v>
      </c>
      <c r="X201" s="332">
        <f>+VLOOKUP($E201,Energy_Mix!$1:$1048576,X$2,FALSE)</f>
        <v>0.96802904320000005</v>
      </c>
      <c r="Y201" s="332">
        <f>+VLOOKUP($E201,Energy_Mix!$1:$1048576,Y$2,FALSE)</f>
        <v>0.96802904320000005</v>
      </c>
      <c r="Z201" s="332">
        <f>+VLOOKUP($E201,Energy_Mix!$1:$1048576,Z$2,FALSE)</f>
        <v>0.96802904320000005</v>
      </c>
      <c r="AA201" s="332">
        <f>+VLOOKUP($E201,Energy_Mix!$1:$1048576,AA$2,FALSE)</f>
        <v>0.96802904320000005</v>
      </c>
      <c r="AB201" s="332">
        <f>+VLOOKUP($E201,Energy_Mix!$1:$1048576,AB$2,FALSE)</f>
        <v>0.96802904320000005</v>
      </c>
      <c r="AC201" s="332">
        <f>+VLOOKUP($E201,Energy_Mix!$1:$1048576,AC$2,FALSE)</f>
        <v>0.96802904320000005</v>
      </c>
      <c r="AD201" s="332">
        <f>+VLOOKUP($E201,Energy_Mix!$1:$1048576,AD$2,FALSE)</f>
        <v>0.96802904320000005</v>
      </c>
      <c r="AE201" s="332">
        <f>+VLOOKUP($E201,Energy_Mix!$1:$1048576,AE$2,FALSE)</f>
        <v>0.96802904320000005</v>
      </c>
      <c r="AF201" s="332">
        <f>+VLOOKUP($E201,Energy_Mix!$1:$1048576,AF$2,FALSE)</f>
        <v>0.96802904320000005</v>
      </c>
      <c r="AG201" s="332">
        <f>+VLOOKUP($E201,Energy_Mix!$1:$1048576,AG$2,FALSE)</f>
        <v>0.96802904320000005</v>
      </c>
      <c r="AH201" s="332">
        <f>+VLOOKUP($E201,Energy_Mix!$1:$1048576,AH$2,FALSE)</f>
        <v>0.96802904320000005</v>
      </c>
      <c r="AI201" s="332">
        <f>+VLOOKUP($E201,Energy_Mix!$1:$1048576,AI$2,FALSE)</f>
        <v>0.96802904320000005</v>
      </c>
      <c r="AJ201" s="332">
        <f>+VLOOKUP($E201,Energy_Mix!$1:$1048576,AJ$2,FALSE)</f>
        <v>0.96802904320000005</v>
      </c>
      <c r="AK201" s="332">
        <f>+VLOOKUP($E201,Energy_Mix!$1:$1048576,AK$2,FALSE)</f>
        <v>0.96802904320000005</v>
      </c>
      <c r="AL201" s="332">
        <f>+VLOOKUP($E201,Energy_Mix!$1:$1048576,AL$2,FALSE)</f>
        <v>0.96802904320000005</v>
      </c>
      <c r="AM201" s="332">
        <f>+VLOOKUP($E201,Energy_Mix!$1:$1048576,AM$2,FALSE)</f>
        <v>0.96802904320000005</v>
      </c>
      <c r="AN201" s="332">
        <f>+VLOOKUP($E201,Energy_Mix!$1:$1048576,AN$2,FALSE)</f>
        <v>0.96802904320000005</v>
      </c>
      <c r="AO201" s="332">
        <f>+VLOOKUP($E201,Energy_Mix!$1:$1048576,AO$2,FALSE)</f>
        <v>0.96802904320000005</v>
      </c>
    </row>
    <row r="202" spans="1:43" s="73" customFormat="1" ht="15" customHeight="1" x14ac:dyDescent="0.25">
      <c r="A202" s="392"/>
      <c r="B202" s="388"/>
      <c r="C202" s="168"/>
      <c r="D202" s="128"/>
      <c r="E202" s="84" t="s">
        <v>1902</v>
      </c>
      <c r="F202" s="332">
        <f>+VLOOKUP($E202,Energy_Mix!$1:$1048576,F$2,FALSE)</f>
        <v>3.1970956799999999E-2</v>
      </c>
      <c r="G202" s="332">
        <f>+VLOOKUP($E202,Energy_Mix!$1:$1048576,G$2,FALSE)</f>
        <v>3.1970956799999999E-2</v>
      </c>
      <c r="H202" s="332">
        <f>+VLOOKUP($E202,Energy_Mix!$1:$1048576,H$2,FALSE)</f>
        <v>3.1970956799999999E-2</v>
      </c>
      <c r="I202" s="332">
        <f>+VLOOKUP($E202,Energy_Mix!$1:$1048576,I$2,FALSE)</f>
        <v>3.1970956799999999E-2</v>
      </c>
      <c r="J202" s="332">
        <f>+VLOOKUP($E202,Energy_Mix!$1:$1048576,J$2,FALSE)</f>
        <v>3.1970956799999999E-2</v>
      </c>
      <c r="K202" s="332">
        <f>+VLOOKUP($E202,Energy_Mix!$1:$1048576,K$2,FALSE)</f>
        <v>3.1970956799999999E-2</v>
      </c>
      <c r="L202" s="332">
        <f>+VLOOKUP($E202,Energy_Mix!$1:$1048576,L$2,FALSE)</f>
        <v>3.1970956799999999E-2</v>
      </c>
      <c r="M202" s="332">
        <f>+VLOOKUP($E202,Energy_Mix!$1:$1048576,M$2,FALSE)</f>
        <v>3.1970956799999999E-2</v>
      </c>
      <c r="N202" s="332">
        <f>+VLOOKUP($E202,Energy_Mix!$1:$1048576,N$2,FALSE)</f>
        <v>3.1970956799999999E-2</v>
      </c>
      <c r="O202" s="332">
        <f>+VLOOKUP($E202,Energy_Mix!$1:$1048576,O$2,FALSE)</f>
        <v>3.1970956799999999E-2</v>
      </c>
      <c r="P202" s="332">
        <f>+VLOOKUP($E202,Energy_Mix!$1:$1048576,P$2,FALSE)</f>
        <v>3.1970956799999999E-2</v>
      </c>
      <c r="Q202" s="332">
        <f>+VLOOKUP($E202,Energy_Mix!$1:$1048576,Q$2,FALSE)</f>
        <v>3.1970956799999999E-2</v>
      </c>
      <c r="R202" s="332">
        <f>+VLOOKUP($E202,Energy_Mix!$1:$1048576,R$2,FALSE)</f>
        <v>3.1970956799999999E-2</v>
      </c>
      <c r="S202" s="332">
        <f>+VLOOKUP($E202,Energy_Mix!$1:$1048576,S$2,FALSE)</f>
        <v>3.1970956799999999E-2</v>
      </c>
      <c r="T202" s="332">
        <f>+VLOOKUP($E202,Energy_Mix!$1:$1048576,T$2,FALSE)</f>
        <v>3.1970956799999999E-2</v>
      </c>
      <c r="U202" s="332">
        <f>+VLOOKUP($E202,Energy_Mix!$1:$1048576,U$2,FALSE)</f>
        <v>3.1970956799999999E-2</v>
      </c>
      <c r="V202" s="332">
        <f>+VLOOKUP($E202,Energy_Mix!$1:$1048576,V$2,FALSE)</f>
        <v>3.1970956799999999E-2</v>
      </c>
      <c r="W202" s="332">
        <f>+VLOOKUP($E202,Energy_Mix!$1:$1048576,W$2,FALSE)</f>
        <v>3.1970956799999999E-2</v>
      </c>
      <c r="X202" s="332">
        <f>+VLOOKUP($E202,Energy_Mix!$1:$1048576,X$2,FALSE)</f>
        <v>3.1970956799999999E-2</v>
      </c>
      <c r="Y202" s="332">
        <f>+VLOOKUP($E202,Energy_Mix!$1:$1048576,Y$2,FALSE)</f>
        <v>3.1970956799999999E-2</v>
      </c>
      <c r="Z202" s="332">
        <f>+VLOOKUP($E202,Energy_Mix!$1:$1048576,Z$2,FALSE)</f>
        <v>3.1970956799999999E-2</v>
      </c>
      <c r="AA202" s="332">
        <f>+VLOOKUP($E202,Energy_Mix!$1:$1048576,AA$2,FALSE)</f>
        <v>3.1970956799999999E-2</v>
      </c>
      <c r="AB202" s="332">
        <f>+VLOOKUP($E202,Energy_Mix!$1:$1048576,AB$2,FALSE)</f>
        <v>3.1970956799999999E-2</v>
      </c>
      <c r="AC202" s="332">
        <f>+VLOOKUP($E202,Energy_Mix!$1:$1048576,AC$2,FALSE)</f>
        <v>3.1970956799999999E-2</v>
      </c>
      <c r="AD202" s="332">
        <f>+VLOOKUP($E202,Energy_Mix!$1:$1048576,AD$2,FALSE)</f>
        <v>3.1970956799999999E-2</v>
      </c>
      <c r="AE202" s="332">
        <f>+VLOOKUP($E202,Energy_Mix!$1:$1048576,AE$2,FALSE)</f>
        <v>3.1970956799999999E-2</v>
      </c>
      <c r="AF202" s="332">
        <f>+VLOOKUP($E202,Energy_Mix!$1:$1048576,AF$2,FALSE)</f>
        <v>3.1970956799999999E-2</v>
      </c>
      <c r="AG202" s="332">
        <f>+VLOOKUP($E202,Energy_Mix!$1:$1048576,AG$2,FALSE)</f>
        <v>3.1970956799999999E-2</v>
      </c>
      <c r="AH202" s="332">
        <f>+VLOOKUP($E202,Energy_Mix!$1:$1048576,AH$2,FALSE)</f>
        <v>3.1970956799999999E-2</v>
      </c>
      <c r="AI202" s="332">
        <f>+VLOOKUP($E202,Energy_Mix!$1:$1048576,AI$2,FALSE)</f>
        <v>3.1970956799999999E-2</v>
      </c>
      <c r="AJ202" s="332">
        <f>+VLOOKUP($E202,Energy_Mix!$1:$1048576,AJ$2,FALSE)</f>
        <v>3.1970956799999999E-2</v>
      </c>
      <c r="AK202" s="332">
        <f>+VLOOKUP($E202,Energy_Mix!$1:$1048576,AK$2,FALSE)</f>
        <v>3.1970956799999999E-2</v>
      </c>
      <c r="AL202" s="332">
        <f>+VLOOKUP($E202,Energy_Mix!$1:$1048576,AL$2,FALSE)</f>
        <v>3.1970956799999999E-2</v>
      </c>
      <c r="AM202" s="332">
        <f>+VLOOKUP($E202,Energy_Mix!$1:$1048576,AM$2,FALSE)</f>
        <v>3.1970956799999999E-2</v>
      </c>
      <c r="AN202" s="332">
        <f>+VLOOKUP($E202,Energy_Mix!$1:$1048576,AN$2,FALSE)</f>
        <v>3.1970956799999999E-2</v>
      </c>
      <c r="AO202" s="332">
        <f>+VLOOKUP($E202,Energy_Mix!$1:$1048576,AO$2,FALSE)</f>
        <v>3.1970956799999999E-2</v>
      </c>
    </row>
    <row r="203" spans="1:43" s="73" customFormat="1" ht="15" customHeight="1" x14ac:dyDescent="0.25">
      <c r="A203" s="392"/>
      <c r="B203" s="388"/>
      <c r="C203" s="168" t="s">
        <v>581</v>
      </c>
      <c r="D203" s="128"/>
      <c r="E203" s="84"/>
      <c r="F203" s="327">
        <f>SUM(F204:F205)</f>
        <v>0.99999999998599998</v>
      </c>
      <c r="G203" s="327">
        <f t="shared" ref="G203:AO203" si="44">SUM(G204:G205)</f>
        <v>0.99999999998599998</v>
      </c>
      <c r="H203" s="327">
        <f t="shared" si="44"/>
        <v>0.99999999998599998</v>
      </c>
      <c r="I203" s="327">
        <f t="shared" si="44"/>
        <v>0.99999999998599998</v>
      </c>
      <c r="J203" s="327">
        <f t="shared" si="44"/>
        <v>0.99999999998599998</v>
      </c>
      <c r="K203" s="327">
        <f t="shared" si="44"/>
        <v>0.99999999998599998</v>
      </c>
      <c r="L203" s="327">
        <f t="shared" si="44"/>
        <v>0.99999999998599998</v>
      </c>
      <c r="M203" s="327">
        <f t="shared" si="44"/>
        <v>0.99999999998599998</v>
      </c>
      <c r="N203" s="327">
        <f t="shared" si="44"/>
        <v>0.99999999998599998</v>
      </c>
      <c r="O203" s="327">
        <f t="shared" si="44"/>
        <v>0.99999999998599998</v>
      </c>
      <c r="P203" s="327">
        <f t="shared" si="44"/>
        <v>0.99999999998599998</v>
      </c>
      <c r="Q203" s="327">
        <f t="shared" si="44"/>
        <v>0.99999999998599998</v>
      </c>
      <c r="R203" s="327">
        <f t="shared" si="44"/>
        <v>0.99999999998599998</v>
      </c>
      <c r="S203" s="327">
        <f t="shared" si="44"/>
        <v>0.99999999998599998</v>
      </c>
      <c r="T203" s="327">
        <f t="shared" si="44"/>
        <v>0.99999999998599998</v>
      </c>
      <c r="U203" s="327">
        <f t="shared" si="44"/>
        <v>0.99999999998599998</v>
      </c>
      <c r="V203" s="327">
        <f t="shared" si="44"/>
        <v>0.99999999998599998</v>
      </c>
      <c r="W203" s="327">
        <f t="shared" si="44"/>
        <v>0.99999999998599998</v>
      </c>
      <c r="X203" s="327">
        <f t="shared" si="44"/>
        <v>0.99999999998599998</v>
      </c>
      <c r="Y203" s="327">
        <f t="shared" si="44"/>
        <v>0.99999999998599998</v>
      </c>
      <c r="Z203" s="327">
        <f t="shared" si="44"/>
        <v>0.99999999998599998</v>
      </c>
      <c r="AA203" s="327">
        <f t="shared" si="44"/>
        <v>0.99999999998599998</v>
      </c>
      <c r="AB203" s="327">
        <f t="shared" si="44"/>
        <v>0.99999999998599998</v>
      </c>
      <c r="AC203" s="327">
        <f t="shared" si="44"/>
        <v>0.99999999998599998</v>
      </c>
      <c r="AD203" s="327">
        <f t="shared" si="44"/>
        <v>0.99999999998599998</v>
      </c>
      <c r="AE203" s="327">
        <f t="shared" si="44"/>
        <v>0.99999999998599998</v>
      </c>
      <c r="AF203" s="327">
        <f t="shared" si="44"/>
        <v>0.99999999998599998</v>
      </c>
      <c r="AG203" s="327">
        <f t="shared" si="44"/>
        <v>0.99999999998599998</v>
      </c>
      <c r="AH203" s="327">
        <f t="shared" si="44"/>
        <v>0.99999999998599998</v>
      </c>
      <c r="AI203" s="327">
        <f t="shared" si="44"/>
        <v>0.99999999998599998</v>
      </c>
      <c r="AJ203" s="327">
        <f t="shared" si="44"/>
        <v>0.99999999998599998</v>
      </c>
      <c r="AK203" s="327">
        <f t="shared" si="44"/>
        <v>0.99999999998599998</v>
      </c>
      <c r="AL203" s="327">
        <f t="shared" si="44"/>
        <v>0.99999999998599998</v>
      </c>
      <c r="AM203" s="327">
        <f t="shared" si="44"/>
        <v>0.99999999998599998</v>
      </c>
      <c r="AN203" s="327">
        <f t="shared" si="44"/>
        <v>0.99999999998599998</v>
      </c>
      <c r="AO203" s="327">
        <f t="shared" si="44"/>
        <v>0.99999999998599998</v>
      </c>
    </row>
    <row r="204" spans="1:43" s="73" customFormat="1" ht="15" customHeight="1" x14ac:dyDescent="0.25">
      <c r="A204" s="392"/>
      <c r="B204" s="388"/>
      <c r="C204" s="128"/>
      <c r="D204" s="128"/>
      <c r="E204" s="84" t="s">
        <v>1903</v>
      </c>
      <c r="F204" s="332">
        <f>+VLOOKUP($E204,Energy_Mix!$1:$1048576,F$2,FALSE)</f>
        <v>0.99989726089999997</v>
      </c>
      <c r="G204" s="332">
        <f>+VLOOKUP($E204,Energy_Mix!$1:$1048576,G$2,FALSE)</f>
        <v>0.99989726089999997</v>
      </c>
      <c r="H204" s="332">
        <f>+VLOOKUP($E204,Energy_Mix!$1:$1048576,H$2,FALSE)</f>
        <v>0.99989726089999997</v>
      </c>
      <c r="I204" s="332">
        <f>+VLOOKUP($E204,Energy_Mix!$1:$1048576,I$2,FALSE)</f>
        <v>0.99989726089999997</v>
      </c>
      <c r="J204" s="332">
        <f>+VLOOKUP($E204,Energy_Mix!$1:$1048576,J$2,FALSE)</f>
        <v>0.99989726089999997</v>
      </c>
      <c r="K204" s="332">
        <f>+VLOOKUP($E204,Energy_Mix!$1:$1048576,K$2,FALSE)</f>
        <v>0.99989726089999997</v>
      </c>
      <c r="L204" s="332">
        <f>+VLOOKUP($E204,Energy_Mix!$1:$1048576,L$2,FALSE)</f>
        <v>0.99989726089999997</v>
      </c>
      <c r="M204" s="332">
        <f>+VLOOKUP($E204,Energy_Mix!$1:$1048576,M$2,FALSE)</f>
        <v>0.99989726089999997</v>
      </c>
      <c r="N204" s="332">
        <f>+VLOOKUP($E204,Energy_Mix!$1:$1048576,N$2,FALSE)</f>
        <v>0.99989726089999997</v>
      </c>
      <c r="O204" s="332">
        <f>+VLOOKUP($E204,Energy_Mix!$1:$1048576,O$2,FALSE)</f>
        <v>0.99989726089999997</v>
      </c>
      <c r="P204" s="332">
        <f>+VLOOKUP($E204,Energy_Mix!$1:$1048576,P$2,FALSE)</f>
        <v>0.99989726089999997</v>
      </c>
      <c r="Q204" s="332">
        <f>+VLOOKUP($E204,Energy_Mix!$1:$1048576,Q$2,FALSE)</f>
        <v>0.99989726089999997</v>
      </c>
      <c r="R204" s="332">
        <f>+VLOOKUP($E204,Energy_Mix!$1:$1048576,R$2,FALSE)</f>
        <v>0.99989726089999997</v>
      </c>
      <c r="S204" s="332">
        <f>+VLOOKUP($E204,Energy_Mix!$1:$1048576,S$2,FALSE)</f>
        <v>0.99989726089999997</v>
      </c>
      <c r="T204" s="332">
        <f>+VLOOKUP($E204,Energy_Mix!$1:$1048576,T$2,FALSE)</f>
        <v>0.99989726089999997</v>
      </c>
      <c r="U204" s="332">
        <f>+VLOOKUP($E204,Energy_Mix!$1:$1048576,U$2,FALSE)</f>
        <v>0.99989726089999997</v>
      </c>
      <c r="V204" s="332">
        <f>+VLOOKUP($E204,Energy_Mix!$1:$1048576,V$2,FALSE)</f>
        <v>0.99989726089999997</v>
      </c>
      <c r="W204" s="332">
        <f>+VLOOKUP($E204,Energy_Mix!$1:$1048576,W$2,FALSE)</f>
        <v>0.99989726089999997</v>
      </c>
      <c r="X204" s="332">
        <f>+VLOOKUP($E204,Energy_Mix!$1:$1048576,X$2,FALSE)</f>
        <v>0.99989726089999997</v>
      </c>
      <c r="Y204" s="332">
        <f>+VLOOKUP($E204,Energy_Mix!$1:$1048576,Y$2,FALSE)</f>
        <v>0.99989726089999997</v>
      </c>
      <c r="Z204" s="332">
        <f>+VLOOKUP($E204,Energy_Mix!$1:$1048576,Z$2,FALSE)</f>
        <v>0.99989726089999997</v>
      </c>
      <c r="AA204" s="332">
        <f>+VLOOKUP($E204,Energy_Mix!$1:$1048576,AA$2,FALSE)</f>
        <v>0.99989726089999997</v>
      </c>
      <c r="AB204" s="332">
        <f>+VLOOKUP($E204,Energy_Mix!$1:$1048576,AB$2,FALSE)</f>
        <v>0.99989726089999997</v>
      </c>
      <c r="AC204" s="332">
        <f>+VLOOKUP($E204,Energy_Mix!$1:$1048576,AC$2,FALSE)</f>
        <v>0.99989726089999997</v>
      </c>
      <c r="AD204" s="332">
        <f>+VLOOKUP($E204,Energy_Mix!$1:$1048576,AD$2,FALSE)</f>
        <v>0.99989726089999997</v>
      </c>
      <c r="AE204" s="332">
        <f>+VLOOKUP($E204,Energy_Mix!$1:$1048576,AE$2,FALSE)</f>
        <v>0.99989726089999997</v>
      </c>
      <c r="AF204" s="332">
        <f>+VLOOKUP($E204,Energy_Mix!$1:$1048576,AF$2,FALSE)</f>
        <v>0.99989726089999997</v>
      </c>
      <c r="AG204" s="332">
        <f>+VLOOKUP($E204,Energy_Mix!$1:$1048576,AG$2,FALSE)</f>
        <v>0.99989726089999997</v>
      </c>
      <c r="AH204" s="332">
        <f>+VLOOKUP($E204,Energy_Mix!$1:$1048576,AH$2,FALSE)</f>
        <v>0.99989726089999997</v>
      </c>
      <c r="AI204" s="332">
        <f>+VLOOKUP($E204,Energy_Mix!$1:$1048576,AI$2,FALSE)</f>
        <v>0.99989726089999997</v>
      </c>
      <c r="AJ204" s="332">
        <f>+VLOOKUP($E204,Energy_Mix!$1:$1048576,AJ$2,FALSE)</f>
        <v>0.99989726089999997</v>
      </c>
      <c r="AK204" s="332">
        <f>+VLOOKUP($E204,Energy_Mix!$1:$1048576,AK$2,FALSE)</f>
        <v>0.99989726089999997</v>
      </c>
      <c r="AL204" s="332">
        <f>+VLOOKUP($E204,Energy_Mix!$1:$1048576,AL$2,FALSE)</f>
        <v>0.99989726089999997</v>
      </c>
      <c r="AM204" s="332">
        <f>+VLOOKUP($E204,Energy_Mix!$1:$1048576,AM$2,FALSE)</f>
        <v>0.99989726089999997</v>
      </c>
      <c r="AN204" s="332">
        <f>+VLOOKUP($E204,Energy_Mix!$1:$1048576,AN$2,FALSE)</f>
        <v>0.99989726089999997</v>
      </c>
      <c r="AO204" s="332">
        <f>+VLOOKUP($E204,Energy_Mix!$1:$1048576,AO$2,FALSE)</f>
        <v>0.99989726089999997</v>
      </c>
    </row>
    <row r="205" spans="1:43" s="73" customFormat="1" ht="15" customHeight="1" x14ac:dyDescent="0.25">
      <c r="A205" s="392"/>
      <c r="B205" s="388"/>
      <c r="C205" s="128"/>
      <c r="D205" s="128"/>
      <c r="E205" s="84" t="s">
        <v>1904</v>
      </c>
      <c r="F205" s="333">
        <f>+VLOOKUP($E205,Energy_Mix!$1:$1048576,F$2,FALSE)</f>
        <v>1.02739086E-4</v>
      </c>
      <c r="G205" s="333">
        <f>+VLOOKUP($E205,Energy_Mix!$1:$1048576,G$2,FALSE)</f>
        <v>1.02739086E-4</v>
      </c>
      <c r="H205" s="333">
        <f>+VLOOKUP($E205,Energy_Mix!$1:$1048576,H$2,FALSE)</f>
        <v>1.02739086E-4</v>
      </c>
      <c r="I205" s="333">
        <f>+VLOOKUP($E205,Energy_Mix!$1:$1048576,I$2,FALSE)</f>
        <v>1.02739086E-4</v>
      </c>
      <c r="J205" s="333">
        <f>+VLOOKUP($E205,Energy_Mix!$1:$1048576,J$2,FALSE)</f>
        <v>1.02739086E-4</v>
      </c>
      <c r="K205" s="333">
        <f>+VLOOKUP($E205,Energy_Mix!$1:$1048576,K$2,FALSE)</f>
        <v>1.02739086E-4</v>
      </c>
      <c r="L205" s="333">
        <f>+VLOOKUP($E205,Energy_Mix!$1:$1048576,L$2,FALSE)</f>
        <v>1.02739086E-4</v>
      </c>
      <c r="M205" s="333">
        <f>+VLOOKUP($E205,Energy_Mix!$1:$1048576,M$2,FALSE)</f>
        <v>1.02739086E-4</v>
      </c>
      <c r="N205" s="333">
        <f>+VLOOKUP($E205,Energy_Mix!$1:$1048576,N$2,FALSE)</f>
        <v>1.02739086E-4</v>
      </c>
      <c r="O205" s="333">
        <f>+VLOOKUP($E205,Energy_Mix!$1:$1048576,O$2,FALSE)</f>
        <v>1.02739086E-4</v>
      </c>
      <c r="P205" s="333">
        <f>+VLOOKUP($E205,Energy_Mix!$1:$1048576,P$2,FALSE)</f>
        <v>1.02739086E-4</v>
      </c>
      <c r="Q205" s="333">
        <f>+VLOOKUP($E205,Energy_Mix!$1:$1048576,Q$2,FALSE)</f>
        <v>1.02739086E-4</v>
      </c>
      <c r="R205" s="333">
        <f>+VLOOKUP($E205,Energy_Mix!$1:$1048576,R$2,FALSE)</f>
        <v>1.02739086E-4</v>
      </c>
      <c r="S205" s="333">
        <f>+VLOOKUP($E205,Energy_Mix!$1:$1048576,S$2,FALSE)</f>
        <v>1.02739086E-4</v>
      </c>
      <c r="T205" s="333">
        <f>+VLOOKUP($E205,Energy_Mix!$1:$1048576,T$2,FALSE)</f>
        <v>1.02739086E-4</v>
      </c>
      <c r="U205" s="333">
        <f>+VLOOKUP($E205,Energy_Mix!$1:$1048576,U$2,FALSE)</f>
        <v>1.02739086E-4</v>
      </c>
      <c r="V205" s="333">
        <f>+VLOOKUP($E205,Energy_Mix!$1:$1048576,V$2,FALSE)</f>
        <v>1.02739086E-4</v>
      </c>
      <c r="W205" s="333">
        <f>+VLOOKUP($E205,Energy_Mix!$1:$1048576,W$2,FALSE)</f>
        <v>1.02739086E-4</v>
      </c>
      <c r="X205" s="333">
        <f>+VLOOKUP($E205,Energy_Mix!$1:$1048576,X$2,FALSE)</f>
        <v>1.02739086E-4</v>
      </c>
      <c r="Y205" s="333">
        <f>+VLOOKUP($E205,Energy_Mix!$1:$1048576,Y$2,FALSE)</f>
        <v>1.02739086E-4</v>
      </c>
      <c r="Z205" s="333">
        <f>+VLOOKUP($E205,Energy_Mix!$1:$1048576,Z$2,FALSE)</f>
        <v>1.02739086E-4</v>
      </c>
      <c r="AA205" s="333">
        <f>+VLOOKUP($E205,Energy_Mix!$1:$1048576,AA$2,FALSE)</f>
        <v>1.02739086E-4</v>
      </c>
      <c r="AB205" s="333">
        <f>+VLOOKUP($E205,Energy_Mix!$1:$1048576,AB$2,FALSE)</f>
        <v>1.02739086E-4</v>
      </c>
      <c r="AC205" s="333">
        <f>+VLOOKUP($E205,Energy_Mix!$1:$1048576,AC$2,FALSE)</f>
        <v>1.02739086E-4</v>
      </c>
      <c r="AD205" s="333">
        <f>+VLOOKUP($E205,Energy_Mix!$1:$1048576,AD$2,FALSE)</f>
        <v>1.02739086E-4</v>
      </c>
      <c r="AE205" s="333">
        <f>+VLOOKUP($E205,Energy_Mix!$1:$1048576,AE$2,FALSE)</f>
        <v>1.02739086E-4</v>
      </c>
      <c r="AF205" s="333">
        <f>+VLOOKUP($E205,Energy_Mix!$1:$1048576,AF$2,FALSE)</f>
        <v>1.02739086E-4</v>
      </c>
      <c r="AG205" s="333">
        <f>+VLOOKUP($E205,Energy_Mix!$1:$1048576,AG$2,FALSE)</f>
        <v>1.02739086E-4</v>
      </c>
      <c r="AH205" s="333">
        <f>+VLOOKUP($E205,Energy_Mix!$1:$1048576,AH$2,FALSE)</f>
        <v>1.02739086E-4</v>
      </c>
      <c r="AI205" s="333">
        <f>+VLOOKUP($E205,Energy_Mix!$1:$1048576,AI$2,FALSE)</f>
        <v>1.02739086E-4</v>
      </c>
      <c r="AJ205" s="333">
        <f>+VLOOKUP($E205,Energy_Mix!$1:$1048576,AJ$2,FALSE)</f>
        <v>1.02739086E-4</v>
      </c>
      <c r="AK205" s="333">
        <f>+VLOOKUP($E205,Energy_Mix!$1:$1048576,AK$2,FALSE)</f>
        <v>1.02739086E-4</v>
      </c>
      <c r="AL205" s="333">
        <f>+VLOOKUP($E205,Energy_Mix!$1:$1048576,AL$2,FALSE)</f>
        <v>1.02739086E-4</v>
      </c>
      <c r="AM205" s="333">
        <f>+VLOOKUP($E205,Energy_Mix!$1:$1048576,AM$2,FALSE)</f>
        <v>1.02739086E-4</v>
      </c>
      <c r="AN205" s="333">
        <f>+VLOOKUP($E205,Energy_Mix!$1:$1048576,AN$2,FALSE)</f>
        <v>1.02739086E-4</v>
      </c>
      <c r="AO205" s="333">
        <f>+VLOOKUP($E205,Energy_Mix!$1:$1048576,AO$2,FALSE)</f>
        <v>1.02739086E-4</v>
      </c>
    </row>
    <row r="206" spans="1:43" s="108" customFormat="1" ht="15" customHeight="1" x14ac:dyDescent="0.25">
      <c r="A206" s="392"/>
      <c r="B206" s="393" t="s">
        <v>576</v>
      </c>
      <c r="C206" s="335" t="s">
        <v>751</v>
      </c>
      <c r="D206" s="335"/>
      <c r="E206" s="336" t="s">
        <v>1012</v>
      </c>
      <c r="F206" s="345">
        <f>+VLOOKUP($E206,Primary_nrj!$1:$1048576,F$2,FALSE)</f>
        <v>148.576201</v>
      </c>
      <c r="G206" s="345">
        <f>+VLOOKUP($E206,Primary_nrj!$1:$1048576,G$2,FALSE)</f>
        <v>149.51833020000001</v>
      </c>
      <c r="H206" s="345">
        <f>+VLOOKUP($E206,Primary_nrj!$1:$1048576,H$2,FALSE)</f>
        <v>150.2033945</v>
      </c>
      <c r="I206" s="345">
        <f>+VLOOKUP($E206,Primary_nrj!$1:$1048576,I$2,FALSE)</f>
        <v>150.8468025</v>
      </c>
      <c r="J206" s="345">
        <f>+VLOOKUP($E206,Primary_nrj!$1:$1048576,J$2,FALSE)</f>
        <v>151.51551910000001</v>
      </c>
      <c r="K206" s="345">
        <f>+VLOOKUP($E206,Primary_nrj!$1:$1048576,K$2,FALSE)</f>
        <v>152.2122483</v>
      </c>
      <c r="L206" s="345">
        <f>+VLOOKUP($E206,Primary_nrj!$1:$1048576,L$2,FALSE)</f>
        <v>152.93670710000001</v>
      </c>
      <c r="M206" s="345">
        <f>+VLOOKUP($E206,Primary_nrj!$1:$1048576,M$2,FALSE)</f>
        <v>153.69788890000001</v>
      </c>
      <c r="N206" s="345">
        <f>+VLOOKUP($E206,Primary_nrj!$1:$1048576,N$2,FALSE)</f>
        <v>154.49581259999999</v>
      </c>
      <c r="O206" s="345">
        <f>+VLOOKUP($E206,Primary_nrj!$1:$1048576,O$2,FALSE)</f>
        <v>155.3236919</v>
      </c>
      <c r="P206" s="345">
        <f>+VLOOKUP($E206,Primary_nrj!$1:$1048576,P$2,FALSE)</f>
        <v>156.17039320000001</v>
      </c>
      <c r="Q206" s="345">
        <f>+VLOOKUP($E206,Primary_nrj!$1:$1048576,Q$2,FALSE)</f>
        <v>157.0222287</v>
      </c>
      <c r="R206" s="345">
        <f>+VLOOKUP($E206,Primary_nrj!$1:$1048576,R$2,FALSE)</f>
        <v>157.86422279999999</v>
      </c>
      <c r="S206" s="345">
        <f>+VLOOKUP($E206,Primary_nrj!$1:$1048576,S$2,FALSE)</f>
        <v>158.6810413</v>
      </c>
      <c r="T206" s="345">
        <f>+VLOOKUP($E206,Primary_nrj!$1:$1048576,T$2,FALSE)</f>
        <v>159.4577013</v>
      </c>
      <c r="U206" s="345">
        <f>+VLOOKUP($E206,Primary_nrj!$1:$1048576,U$2,FALSE)</f>
        <v>160.18011730000001</v>
      </c>
      <c r="V206" s="345">
        <f>+VLOOKUP($E206,Primary_nrj!$1:$1048576,V$2,FALSE)</f>
        <v>160.84817100000001</v>
      </c>
      <c r="W206" s="345">
        <f>+VLOOKUP($E206,Primary_nrj!$1:$1048576,W$2,FALSE)</f>
        <v>161.47583929999999</v>
      </c>
      <c r="X206" s="345">
        <f>+VLOOKUP($E206,Primary_nrj!$1:$1048576,X$2,FALSE)</f>
        <v>162.07634730000001</v>
      </c>
      <c r="Y206" s="345">
        <f>+VLOOKUP($E206,Primary_nrj!$1:$1048576,Y$2,FALSE)</f>
        <v>162.65995659999999</v>
      </c>
      <c r="Z206" s="345">
        <f>+VLOOKUP($E206,Primary_nrj!$1:$1048576,Z$2,FALSE)</f>
        <v>163.23416560000001</v>
      </c>
      <c r="AA206" s="345">
        <f>+VLOOKUP($E206,Primary_nrj!$1:$1048576,AA$2,FALSE)</f>
        <v>163.80435679999999</v>
      </c>
      <c r="AB206" s="345">
        <f>+VLOOKUP($E206,Primary_nrj!$1:$1048576,AB$2,FALSE)</f>
        <v>164.37440760000001</v>
      </c>
      <c r="AC206" s="345">
        <f>+VLOOKUP($E206,Primary_nrj!$1:$1048576,AC$2,FALSE)</f>
        <v>164.94716589999999</v>
      </c>
      <c r="AD206" s="345">
        <f>+VLOOKUP($E206,Primary_nrj!$1:$1048576,AD$2,FALSE)</f>
        <v>165.5247961</v>
      </c>
      <c r="AE206" s="345">
        <f>+VLOOKUP($E206,Primary_nrj!$1:$1048576,AE$2,FALSE)</f>
        <v>166.1090226</v>
      </c>
      <c r="AF206" s="345">
        <f>+VLOOKUP($E206,Primary_nrj!$1:$1048576,AF$2,FALSE)</f>
        <v>166.70129929999999</v>
      </c>
      <c r="AG206" s="345">
        <f>+VLOOKUP($E206,Primary_nrj!$1:$1048576,AG$2,FALSE)</f>
        <v>167.30292679999999</v>
      </c>
      <c r="AH206" s="345">
        <f>+VLOOKUP($E206,Primary_nrj!$1:$1048576,AH$2,FALSE)</f>
        <v>167.9151334</v>
      </c>
      <c r="AI206" s="345">
        <f>+VLOOKUP($E206,Primary_nrj!$1:$1048576,AI$2,FALSE)</f>
        <v>168.53913019999999</v>
      </c>
      <c r="AJ206" s="345">
        <f>+VLOOKUP($E206,Primary_nrj!$1:$1048576,AJ$2,FALSE)</f>
        <v>169.17614829999999</v>
      </c>
      <c r="AK206" s="345">
        <f>+VLOOKUP($E206,Primary_nrj!$1:$1048576,AK$2,FALSE)</f>
        <v>169.82746220000001</v>
      </c>
      <c r="AL206" s="345">
        <f>+VLOOKUP($E206,Primary_nrj!$1:$1048576,AL$2,FALSE)</f>
        <v>170.49440200000001</v>
      </c>
      <c r="AM206" s="345">
        <f>+VLOOKUP($E206,Primary_nrj!$1:$1048576,AM$2,FALSE)</f>
        <v>171.17835779999999</v>
      </c>
      <c r="AN206" s="345">
        <f>+VLOOKUP($E206,Primary_nrj!$1:$1048576,AN$2,FALSE)</f>
        <v>171.8807764</v>
      </c>
      <c r="AO206" s="345">
        <f>+VLOOKUP($E206,Primary_nrj!$1:$1048576,AO$2,FALSE)</f>
        <v>172.60315180000001</v>
      </c>
    </row>
    <row r="207" spans="1:43" s="108" customFormat="1" ht="15" customHeight="1" x14ac:dyDescent="0.25">
      <c r="A207" s="392"/>
      <c r="B207" s="393"/>
      <c r="C207" s="335" t="s">
        <v>550</v>
      </c>
      <c r="D207" s="335"/>
      <c r="E207" s="337" t="s">
        <v>567</v>
      </c>
      <c r="F207" s="345">
        <f>+VLOOKUP($E207,Primary_nrj!$1:$1048576,F$2,FALSE)</f>
        <v>2.391149</v>
      </c>
      <c r="G207" s="345">
        <f>+VLOOKUP($E207,Primary_nrj!$1:$1048576,G$2,FALSE)</f>
        <v>2.4113402939999999</v>
      </c>
      <c r="H207" s="345">
        <f>+VLOOKUP($E207,Primary_nrj!$1:$1048576,H$2,FALSE)</f>
        <v>2.4286401739999999</v>
      </c>
      <c r="I207" s="345">
        <f>+VLOOKUP($E207,Primary_nrj!$1:$1048576,I$2,FALSE)</f>
        <v>2.4450674380000001</v>
      </c>
      <c r="J207" s="345">
        <f>+VLOOKUP($E207,Primary_nrj!$1:$1048576,J$2,FALSE)</f>
        <v>2.4608148160000001</v>
      </c>
      <c r="K207" s="345">
        <f>+VLOOKUP($E207,Primary_nrj!$1:$1048576,K$2,FALSE)</f>
        <v>2.4751913060000001</v>
      </c>
      <c r="L207" s="345">
        <f>+VLOOKUP($E207,Primary_nrj!$1:$1048576,L$2,FALSE)</f>
        <v>2.488319808</v>
      </c>
      <c r="M207" s="345">
        <f>+VLOOKUP($E207,Primary_nrj!$1:$1048576,M$2,FALSE)</f>
        <v>2.5011328000000002</v>
      </c>
      <c r="N207" s="345">
        <f>+VLOOKUP($E207,Primary_nrj!$1:$1048576,N$2,FALSE)</f>
        <v>2.5140191330000001</v>
      </c>
      <c r="O207" s="345">
        <f>+VLOOKUP($E207,Primary_nrj!$1:$1048576,O$2,FALSE)</f>
        <v>2.5269144560000001</v>
      </c>
      <c r="P207" s="345">
        <f>+VLOOKUP($E207,Primary_nrj!$1:$1048576,P$2,FALSE)</f>
        <v>2.53943853</v>
      </c>
      <c r="Q207" s="345">
        <f>+VLOOKUP($E207,Primary_nrj!$1:$1048576,Q$2,FALSE)</f>
        <v>2.5510018200000002</v>
      </c>
      <c r="R207" s="345">
        <f>+VLOOKUP($E207,Primary_nrj!$1:$1048576,R$2,FALSE)</f>
        <v>2.5608869329999999</v>
      </c>
      <c r="S207" s="345">
        <f>+VLOOKUP($E207,Primary_nrj!$1:$1048576,S$2,FALSE)</f>
        <v>2.5683162469999998</v>
      </c>
      <c r="T207" s="345">
        <f>+VLOOKUP($E207,Primary_nrj!$1:$1048576,T$2,FALSE)</f>
        <v>2.5725126199999999</v>
      </c>
      <c r="U207" s="345">
        <f>+VLOOKUP($E207,Primary_nrj!$1:$1048576,U$2,FALSE)</f>
        <v>2.572755243</v>
      </c>
      <c r="V207" s="345">
        <f>+VLOOKUP($E207,Primary_nrj!$1:$1048576,V$2,FALSE)</f>
        <v>2.569252477</v>
      </c>
      <c r="W207" s="345">
        <f>+VLOOKUP($E207,Primary_nrj!$1:$1048576,W$2,FALSE)</f>
        <v>2.5630356679999999</v>
      </c>
      <c r="X207" s="345">
        <f>+VLOOKUP($E207,Primary_nrj!$1:$1048576,X$2,FALSE)</f>
        <v>2.5549306129999998</v>
      </c>
      <c r="Y207" s="345">
        <f>+VLOOKUP($E207,Primary_nrj!$1:$1048576,Y$2,FALSE)</f>
        <v>2.5455444310000002</v>
      </c>
      <c r="Z207" s="345">
        <f>+VLOOKUP($E207,Primary_nrj!$1:$1048576,Z$2,FALSE)</f>
        <v>2.5353158929999999</v>
      </c>
      <c r="AA207" s="345">
        <f>+VLOOKUP($E207,Primary_nrj!$1:$1048576,AA$2,FALSE)</f>
        <v>2.5245598760000001</v>
      </c>
      <c r="AB207" s="345">
        <f>+VLOOKUP($E207,Primary_nrj!$1:$1048576,AB$2,FALSE)</f>
        <v>2.5135002740000001</v>
      </c>
      <c r="AC207" s="345">
        <f>+VLOOKUP($E207,Primary_nrj!$1:$1048576,AC$2,FALSE)</f>
        <v>2.5022938510000001</v>
      </c>
      <c r="AD207" s="345">
        <f>+VLOOKUP($E207,Primary_nrj!$1:$1048576,AD$2,FALSE)</f>
        <v>2.4910476479999999</v>
      </c>
      <c r="AE207" s="345">
        <f>+VLOOKUP($E207,Primary_nrj!$1:$1048576,AE$2,FALSE)</f>
        <v>2.4798317910000001</v>
      </c>
      <c r="AF207" s="345">
        <f>+VLOOKUP($E207,Primary_nrj!$1:$1048576,AF$2,FALSE)</f>
        <v>2.4686890030000002</v>
      </c>
      <c r="AG207" s="345">
        <f>+VLOOKUP($E207,Primary_nrj!$1:$1048576,AG$2,FALSE)</f>
        <v>2.4576417039999998</v>
      </c>
      <c r="AH207" s="345">
        <f>+VLOOKUP($E207,Primary_nrj!$1:$1048576,AH$2,FALSE)</f>
        <v>2.4466973699999999</v>
      </c>
      <c r="AI207" s="345">
        <f>+VLOOKUP($E207,Primary_nrj!$1:$1048576,AI$2,FALSE)</f>
        <v>2.4358526600000001</v>
      </c>
      <c r="AJ207" s="345">
        <f>+VLOOKUP($E207,Primary_nrj!$1:$1048576,AJ$2,FALSE)</f>
        <v>2.4250966549999999</v>
      </c>
      <c r="AK207" s="345">
        <f>+VLOOKUP($E207,Primary_nrj!$1:$1048576,AK$2,FALSE)</f>
        <v>2.4144135090000001</v>
      </c>
      <c r="AL207" s="345">
        <f>+VLOOKUP($E207,Primary_nrj!$1:$1048576,AL$2,FALSE)</f>
        <v>2.4037846950000001</v>
      </c>
      <c r="AM207" s="345">
        <f>+VLOOKUP($E207,Primary_nrj!$1:$1048576,AM$2,FALSE)</f>
        <v>2.3931909789999999</v>
      </c>
      <c r="AN207" s="345">
        <f>+VLOOKUP($E207,Primary_nrj!$1:$1048576,AN$2,FALSE)</f>
        <v>2.3826142240000001</v>
      </c>
      <c r="AO207" s="345">
        <f>+VLOOKUP($E207,Primary_nrj!$1:$1048576,AO$2,FALSE)</f>
        <v>2.372039059</v>
      </c>
    </row>
    <row r="208" spans="1:43" s="307" customFormat="1" ht="15" customHeight="1" x14ac:dyDescent="0.25">
      <c r="A208" s="392"/>
      <c r="B208" s="393"/>
      <c r="C208" s="338"/>
      <c r="D208" s="338" t="s">
        <v>1064</v>
      </c>
      <c r="E208" s="310" t="s">
        <v>1990</v>
      </c>
      <c r="F208" s="346">
        <f>+VLOOKUP($E208,Primary_nrj!$1:$1048576,F$2,FALSE)</f>
        <v>0.27941199999999999</v>
      </c>
      <c r="G208" s="346">
        <f>+VLOOKUP($E208,Primary_nrj!$1:$1048576,G$2,FALSE)</f>
        <v>0.28177140540000001</v>
      </c>
      <c r="H208" s="346">
        <f>+VLOOKUP($E208,Primary_nrj!$1:$1048576,H$2,FALSE)</f>
        <v>0.28379294150000001</v>
      </c>
      <c r="I208" s="346">
        <f>+VLOOKUP($E208,Primary_nrj!$1:$1048576,I$2,FALSE)</f>
        <v>0.28571251009999998</v>
      </c>
      <c r="J208" s="346">
        <f>+VLOOKUP($E208,Primary_nrj!$1:$1048576,J$2,FALSE)</f>
        <v>0.28755263240000001</v>
      </c>
      <c r="K208" s="346">
        <f>+VLOOKUP($E208,Primary_nrj!$1:$1048576,K$2,FALSE)</f>
        <v>0.28923256279999998</v>
      </c>
      <c r="L208" s="346">
        <f>+VLOOKUP($E208,Primary_nrj!$1:$1048576,L$2,FALSE)</f>
        <v>0.29076666239999999</v>
      </c>
      <c r="M208" s="346">
        <f>+VLOOKUP($E208,Primary_nrj!$1:$1048576,M$2,FALSE)</f>
        <v>0.29226389400000002</v>
      </c>
      <c r="N208" s="346">
        <f>+VLOOKUP($E208,Primary_nrj!$1:$1048576,N$2,FALSE)</f>
        <v>0.2937696957</v>
      </c>
      <c r="O208" s="346">
        <f>+VLOOKUP($E208,Primary_nrj!$1:$1048576,O$2,FALSE)</f>
        <v>0.2952765477</v>
      </c>
      <c r="P208" s="346">
        <f>+VLOOKUP($E208,Primary_nrj!$1:$1048576,P$2,FALSE)</f>
        <v>0.29674001849999998</v>
      </c>
      <c r="Q208" s="346">
        <f>+VLOOKUP($E208,Primary_nrj!$1:$1048576,Q$2,FALSE)</f>
        <v>0.29809121919999998</v>
      </c>
      <c r="R208" s="346">
        <f>+VLOOKUP($E208,Primary_nrj!$1:$1048576,R$2,FALSE)</f>
        <v>0.29924632039999999</v>
      </c>
      <c r="S208" s="346">
        <f>+VLOOKUP($E208,Primary_nrj!$1:$1048576,S$2,FALSE)</f>
        <v>0.30011445520000002</v>
      </c>
      <c r="T208" s="346">
        <f>+VLOOKUP($E208,Primary_nrj!$1:$1048576,T$2,FALSE)</f>
        <v>0.30060481230000002</v>
      </c>
      <c r="U208" s="346">
        <f>+VLOOKUP($E208,Primary_nrj!$1:$1048576,U$2,FALSE)</f>
        <v>0.30063316330000001</v>
      </c>
      <c r="V208" s="346">
        <f>+VLOOKUP($E208,Primary_nrj!$1:$1048576,V$2,FALSE)</f>
        <v>0.30022385600000001</v>
      </c>
      <c r="W208" s="346">
        <f>+VLOOKUP($E208,Primary_nrj!$1:$1048576,W$2,FALSE)</f>
        <v>0.2994974057</v>
      </c>
      <c r="X208" s="346">
        <f>+VLOOKUP($E208,Primary_nrj!$1:$1048576,X$2,FALSE)</f>
        <v>0.29855030890000001</v>
      </c>
      <c r="Y208" s="346">
        <f>+VLOOKUP($E208,Primary_nrj!$1:$1048576,Y$2,FALSE)</f>
        <v>0.297453509</v>
      </c>
      <c r="Z208" s="346">
        <f>+VLOOKUP($E208,Primary_nrj!$1:$1048576,Z$2,FALSE)</f>
        <v>0.29625827770000002</v>
      </c>
      <c r="AA208" s="346">
        <f>+VLOOKUP($E208,Primary_nrj!$1:$1048576,AA$2,FALSE)</f>
        <v>0.29500140899999999</v>
      </c>
      <c r="AB208" s="346">
        <f>+VLOOKUP($E208,Primary_nrj!$1:$1048576,AB$2,FALSE)</f>
        <v>0.29370906559999999</v>
      </c>
      <c r="AC208" s="346">
        <f>+VLOOKUP($E208,Primary_nrj!$1:$1048576,AC$2,FALSE)</f>
        <v>0.29239956589999999</v>
      </c>
      <c r="AD208" s="346">
        <f>+VLOOKUP($E208,Primary_nrj!$1:$1048576,AD$2,FALSE)</f>
        <v>0.29108541770000002</v>
      </c>
      <c r="AE208" s="346">
        <f>+VLOOKUP($E208,Primary_nrj!$1:$1048576,AE$2,FALSE)</f>
        <v>0.2897748155</v>
      </c>
      <c r="AF208" s="346">
        <f>+VLOOKUP($E208,Primary_nrj!$1:$1048576,AF$2,FALSE)</f>
        <v>0.28847275169999997</v>
      </c>
      <c r="AG208" s="346">
        <f>+VLOOKUP($E208,Primary_nrj!$1:$1048576,AG$2,FALSE)</f>
        <v>0.28718184590000001</v>
      </c>
      <c r="AH208" s="346">
        <f>+VLOOKUP($E208,Primary_nrj!$1:$1048576,AH$2,FALSE)</f>
        <v>0.28590297199999998</v>
      </c>
      <c r="AI208" s="346">
        <f>+VLOOKUP($E208,Primary_nrj!$1:$1048576,AI$2,FALSE)</f>
        <v>0.28463573930000002</v>
      </c>
      <c r="AJ208" s="346">
        <f>+VLOOKUP($E208,Primary_nrj!$1:$1048576,AJ$2,FALSE)</f>
        <v>0.28337887210000001</v>
      </c>
      <c r="AK208" s="346">
        <f>+VLOOKUP($E208,Primary_nrj!$1:$1048576,AK$2,FALSE)</f>
        <v>0.28213051859999999</v>
      </c>
      <c r="AL208" s="346">
        <f>+VLOOKUP($E208,Primary_nrj!$1:$1048576,AL$2,FALSE)</f>
        <v>0.28088851390000003</v>
      </c>
      <c r="AM208" s="346">
        <f>+VLOOKUP($E208,Primary_nrj!$1:$1048576,AM$2,FALSE)</f>
        <v>0.27965061050000001</v>
      </c>
      <c r="AN208" s="346">
        <f>+VLOOKUP($E208,Primary_nrj!$1:$1048576,AN$2,FALSE)</f>
        <v>0.27841468920000001</v>
      </c>
      <c r="AO208" s="346">
        <f>+VLOOKUP($E208,Primary_nrj!$1:$1048576,AO$2,FALSE)</f>
        <v>0.27717895349999999</v>
      </c>
      <c r="AP208" s="73"/>
      <c r="AQ208" s="73"/>
    </row>
    <row r="209" spans="1:43" s="307" customFormat="1" ht="15" customHeight="1" x14ac:dyDescent="0.25">
      <c r="A209" s="392"/>
      <c r="B209" s="393"/>
      <c r="C209" s="338"/>
      <c r="D209" s="338" t="s">
        <v>1064</v>
      </c>
      <c r="E209" s="310" t="s">
        <v>1991</v>
      </c>
      <c r="F209" s="346">
        <f>+VLOOKUP($E209,Primary_nrj!$1:$1048576,F$2,FALSE)</f>
        <v>2.1117370000000002</v>
      </c>
      <c r="G209" s="346">
        <f>+VLOOKUP($E209,Primary_nrj!$1:$1048576,G$2,FALSE)</f>
        <v>2.1295688890000002</v>
      </c>
      <c r="H209" s="346">
        <f>+VLOOKUP($E209,Primary_nrj!$1:$1048576,H$2,FALSE)</f>
        <v>2.144847232</v>
      </c>
      <c r="I209" s="346">
        <f>+VLOOKUP($E209,Primary_nrj!$1:$1048576,I$2,FALSE)</f>
        <v>2.1593549269999999</v>
      </c>
      <c r="J209" s="346">
        <f>+VLOOKUP($E209,Primary_nrj!$1:$1048576,J$2,FALSE)</f>
        <v>2.1732621829999998</v>
      </c>
      <c r="K209" s="346">
        <f>+VLOOKUP($E209,Primary_nrj!$1:$1048576,K$2,FALSE)</f>
        <v>2.1859587440000001</v>
      </c>
      <c r="L209" s="346">
        <f>+VLOOKUP($E209,Primary_nrj!$1:$1048576,L$2,FALSE)</f>
        <v>2.1975531450000001</v>
      </c>
      <c r="M209" s="346">
        <f>+VLOOKUP($E209,Primary_nrj!$1:$1048576,M$2,FALSE)</f>
        <v>2.2088689060000002</v>
      </c>
      <c r="N209" s="346">
        <f>+VLOOKUP($E209,Primary_nrj!$1:$1048576,N$2,FALSE)</f>
        <v>2.2202494370000001</v>
      </c>
      <c r="O209" s="346">
        <f>+VLOOKUP($E209,Primary_nrj!$1:$1048576,O$2,FALSE)</f>
        <v>2.2316379080000002</v>
      </c>
      <c r="P209" s="346">
        <f>+VLOOKUP($E209,Primary_nrj!$1:$1048576,P$2,FALSE)</f>
        <v>2.242698511</v>
      </c>
      <c r="Q209" s="346">
        <f>+VLOOKUP($E209,Primary_nrj!$1:$1048576,Q$2,FALSE)</f>
        <v>2.252910601</v>
      </c>
      <c r="R209" s="346">
        <f>+VLOOKUP($E209,Primary_nrj!$1:$1048576,R$2,FALSE)</f>
        <v>2.261640613</v>
      </c>
      <c r="S209" s="346">
        <f>+VLOOKUP($E209,Primary_nrj!$1:$1048576,S$2,FALSE)</f>
        <v>2.2682017920000002</v>
      </c>
      <c r="T209" s="346">
        <f>+VLOOKUP($E209,Primary_nrj!$1:$1048576,T$2,FALSE)</f>
        <v>2.2719078079999999</v>
      </c>
      <c r="U209" s="346">
        <f>+VLOOKUP($E209,Primary_nrj!$1:$1048576,U$2,FALSE)</f>
        <v>2.2721220789999999</v>
      </c>
      <c r="V209" s="346">
        <f>+VLOOKUP($E209,Primary_nrj!$1:$1048576,V$2,FALSE)</f>
        <v>2.2690286209999999</v>
      </c>
      <c r="W209" s="346">
        <f>+VLOOKUP($E209,Primary_nrj!$1:$1048576,W$2,FALSE)</f>
        <v>2.2635382630000001</v>
      </c>
      <c r="X209" s="346">
        <f>+VLOOKUP($E209,Primary_nrj!$1:$1048576,X$2,FALSE)</f>
        <v>2.2563803039999999</v>
      </c>
      <c r="Y209" s="346">
        <f>+VLOOKUP($E209,Primary_nrj!$1:$1048576,Y$2,FALSE)</f>
        <v>2.2480909219999998</v>
      </c>
      <c r="Z209" s="346">
        <f>+VLOOKUP($E209,Primary_nrj!$1:$1048576,Z$2,FALSE)</f>
        <v>2.2390576160000002</v>
      </c>
      <c r="AA209" s="346">
        <f>+VLOOKUP($E209,Primary_nrj!$1:$1048576,AA$2,FALSE)</f>
        <v>2.2295584669999999</v>
      </c>
      <c r="AB209" s="346">
        <f>+VLOOKUP($E209,Primary_nrj!$1:$1048576,AB$2,FALSE)</f>
        <v>2.2197912080000002</v>
      </c>
      <c r="AC209" s="346">
        <f>+VLOOKUP($E209,Primary_nrj!$1:$1048576,AC$2,FALSE)</f>
        <v>2.2098942849999998</v>
      </c>
      <c r="AD209" s="346">
        <f>+VLOOKUP($E209,Primary_nrj!$1:$1048576,AD$2,FALSE)</f>
        <v>2.1999622300000001</v>
      </c>
      <c r="AE209" s="346">
        <f>+VLOOKUP($E209,Primary_nrj!$1:$1048576,AE$2,FALSE)</f>
        <v>2.1900569750000001</v>
      </c>
      <c r="AF209" s="346">
        <f>+VLOOKUP($E209,Primary_nrj!$1:$1048576,AF$2,FALSE)</f>
        <v>2.1802162520000001</v>
      </c>
      <c r="AG209" s="346">
        <f>+VLOOKUP($E209,Primary_nrj!$1:$1048576,AG$2,FALSE)</f>
        <v>2.1704598580000001</v>
      </c>
      <c r="AH209" s="346">
        <f>+VLOOKUP($E209,Primary_nrj!$1:$1048576,AH$2,FALSE)</f>
        <v>2.1607943980000002</v>
      </c>
      <c r="AI209" s="346">
        <f>+VLOOKUP($E209,Primary_nrj!$1:$1048576,AI$2,FALSE)</f>
        <v>2.1512169210000001</v>
      </c>
      <c r="AJ209" s="346">
        <f>+VLOOKUP($E209,Primary_nrj!$1:$1048576,AJ$2,FALSE)</f>
        <v>2.1417177829999998</v>
      </c>
      <c r="AK209" s="346">
        <f>+VLOOKUP($E209,Primary_nrj!$1:$1048576,AK$2,FALSE)</f>
        <v>2.1322829909999998</v>
      </c>
      <c r="AL209" s="346">
        <f>+VLOOKUP($E209,Primary_nrj!$1:$1048576,AL$2,FALSE)</f>
        <v>2.1228961810000002</v>
      </c>
      <c r="AM209" s="346">
        <f>+VLOOKUP($E209,Primary_nrj!$1:$1048576,AM$2,FALSE)</f>
        <v>2.1135403679999998</v>
      </c>
      <c r="AN209" s="346">
        <f>+VLOOKUP($E209,Primary_nrj!$1:$1048576,AN$2,FALSE)</f>
        <v>2.1041995349999998</v>
      </c>
      <c r="AO209" s="346">
        <f>+VLOOKUP($E209,Primary_nrj!$1:$1048576,AO$2,FALSE)</f>
        <v>2.094860105</v>
      </c>
      <c r="AP209" s="73"/>
      <c r="AQ209" s="73"/>
    </row>
    <row r="210" spans="1:43" s="108" customFormat="1" ht="15" customHeight="1" x14ac:dyDescent="0.25">
      <c r="A210" s="392"/>
      <c r="B210" s="393"/>
      <c r="C210" s="335" t="s">
        <v>551</v>
      </c>
      <c r="D210" s="335"/>
      <c r="E210" s="337" t="s">
        <v>568</v>
      </c>
      <c r="F210" s="347">
        <f>+VLOOKUP($E210,Primary_nrj!$1:$1048576,F$2,FALSE)</f>
        <v>1.0959989999999999</v>
      </c>
      <c r="G210" s="347">
        <f>+VLOOKUP($E210,Primary_nrj!$1:$1048576,G$2,FALSE)</f>
        <v>1.102439639</v>
      </c>
      <c r="H210" s="347">
        <f>+VLOOKUP($E210,Primary_nrj!$1:$1048576,H$2,FALSE)</f>
        <v>1.106716134</v>
      </c>
      <c r="I210" s="347">
        <f>+VLOOKUP($E210,Primary_nrj!$1:$1048576,I$2,FALSE)</f>
        <v>1.111038857</v>
      </c>
      <c r="J210" s="347">
        <f>+VLOOKUP($E210,Primary_nrj!$1:$1048576,J$2,FALSE)</f>
        <v>1.1160484749999999</v>
      </c>
      <c r="K210" s="347">
        <f>+VLOOKUP($E210,Primary_nrj!$1:$1048576,K$2,FALSE)</f>
        <v>1.1216751009999999</v>
      </c>
      <c r="L210" s="347">
        <f>+VLOOKUP($E210,Primary_nrj!$1:$1048576,L$2,FALSE)</f>
        <v>1.127770951</v>
      </c>
      <c r="M210" s="347">
        <f>+VLOOKUP($E210,Primary_nrj!$1:$1048576,M$2,FALSE)</f>
        <v>1.1342990820000001</v>
      </c>
      <c r="N210" s="347">
        <f>+VLOOKUP($E210,Primary_nrj!$1:$1048576,N$2,FALSE)</f>
        <v>1.1412008380000001</v>
      </c>
      <c r="O210" s="347">
        <f>+VLOOKUP($E210,Primary_nrj!$1:$1048576,O$2,FALSE)</f>
        <v>1.148381232</v>
      </c>
      <c r="P210" s="347">
        <f>+VLOOKUP($E210,Primary_nrj!$1:$1048576,P$2,FALSE)</f>
        <v>1.1557181430000001</v>
      </c>
      <c r="Q210" s="347">
        <f>+VLOOKUP($E210,Primary_nrj!$1:$1048576,Q$2,FALSE)</f>
        <v>1.1630714449999999</v>
      </c>
      <c r="R210" s="347">
        <f>+VLOOKUP($E210,Primary_nrj!$1:$1048576,R$2,FALSE)</f>
        <v>1.170289951</v>
      </c>
      <c r="S210" s="347">
        <f>+VLOOKUP($E210,Primary_nrj!$1:$1048576,S$2,FALSE)</f>
        <v>1.1772170500000001</v>
      </c>
      <c r="T210" s="347">
        <f>+VLOOKUP($E210,Primary_nrj!$1:$1048576,T$2,FALSE)</f>
        <v>1.1836956709999999</v>
      </c>
      <c r="U210" s="347">
        <f>+VLOOKUP($E210,Primary_nrj!$1:$1048576,U$2,FALSE)</f>
        <v>1.1895727620000001</v>
      </c>
      <c r="V210" s="347">
        <f>+VLOOKUP($E210,Primary_nrj!$1:$1048576,V$2,FALSE)</f>
        <v>1.1948205039999999</v>
      </c>
      <c r="W210" s="347">
        <f>+VLOOKUP($E210,Primary_nrj!$1:$1048576,W$2,FALSE)</f>
        <v>1.1995524070000001</v>
      </c>
      <c r="X210" s="347">
        <f>+VLOOKUP($E210,Primary_nrj!$1:$1048576,X$2,FALSE)</f>
        <v>1.20388495</v>
      </c>
      <c r="Y210" s="347">
        <f>+VLOOKUP($E210,Primary_nrj!$1:$1048576,Y$2,FALSE)</f>
        <v>1.207906414</v>
      </c>
      <c r="Z210" s="347">
        <f>+VLOOKUP($E210,Primary_nrj!$1:$1048576,Z$2,FALSE)</f>
        <v>1.21167705</v>
      </c>
      <c r="AA210" s="347">
        <f>+VLOOKUP($E210,Primary_nrj!$1:$1048576,AA$2,FALSE)</f>
        <v>1.21523504</v>
      </c>
      <c r="AB210" s="347">
        <f>+VLOOKUP($E210,Primary_nrj!$1:$1048576,AB$2,FALSE)</f>
        <v>1.218602274</v>
      </c>
      <c r="AC210" s="347">
        <f>+VLOOKUP($E210,Primary_nrj!$1:$1048576,AC$2,FALSE)</f>
        <v>1.22178882</v>
      </c>
      <c r="AD210" s="347">
        <f>+VLOOKUP($E210,Primary_nrj!$1:$1048576,AD$2,FALSE)</f>
        <v>1.2247961919999999</v>
      </c>
      <c r="AE210" s="347">
        <f>+VLOOKUP($E210,Primary_nrj!$1:$1048576,AE$2,FALSE)</f>
        <v>1.227619689</v>
      </c>
      <c r="AF210" s="347">
        <f>+VLOOKUP($E210,Primary_nrj!$1:$1048576,AF$2,FALSE)</f>
        <v>1.230250083</v>
      </c>
      <c r="AG210" s="347">
        <f>+VLOOKUP($E210,Primary_nrj!$1:$1048576,AG$2,FALSE)</f>
        <v>1.2326748809999999</v>
      </c>
      <c r="AH210" s="347">
        <f>+VLOOKUP($E210,Primary_nrj!$1:$1048576,AH$2,FALSE)</f>
        <v>1.2348793039999999</v>
      </c>
      <c r="AI210" s="347">
        <f>+VLOOKUP($E210,Primary_nrj!$1:$1048576,AI$2,FALSE)</f>
        <v>1.2368471059999999</v>
      </c>
      <c r="AJ210" s="347">
        <f>+VLOOKUP($E210,Primary_nrj!$1:$1048576,AJ$2,FALSE)</f>
        <v>1.2385613090000001</v>
      </c>
      <c r="AK210" s="347">
        <f>+VLOOKUP($E210,Primary_nrj!$1:$1048576,AK$2,FALSE)</f>
        <v>1.240004903</v>
      </c>
      <c r="AL210" s="347">
        <f>+VLOOKUP($E210,Primary_nrj!$1:$1048576,AL$2,FALSE)</f>
        <v>1.2411615519999999</v>
      </c>
      <c r="AM210" s="347">
        <f>+VLOOKUP($E210,Primary_nrj!$1:$1048576,AM$2,FALSE)</f>
        <v>1.242016306</v>
      </c>
      <c r="AN210" s="347">
        <f>+VLOOKUP($E210,Primary_nrj!$1:$1048576,AN$2,FALSE)</f>
        <v>1.2425563509999999</v>
      </c>
      <c r="AO210" s="347">
        <f>+VLOOKUP($E210,Primary_nrj!$1:$1048576,AO$2,FALSE)</f>
        <v>1.242771761</v>
      </c>
    </row>
    <row r="211" spans="1:43" s="307" customFormat="1" ht="15" customHeight="1" x14ac:dyDescent="0.25">
      <c r="A211" s="392"/>
      <c r="B211" s="393"/>
      <c r="C211" s="338"/>
      <c r="D211" s="338" t="s">
        <v>1887</v>
      </c>
      <c r="E211" s="310" t="s">
        <v>1905</v>
      </c>
      <c r="F211" s="346">
        <f>+VLOOKUP($E211,Primary_nrj!$1:$1048576,F$2,FALSE)</f>
        <v>0.74387599999999998</v>
      </c>
      <c r="G211" s="346">
        <f>+VLOOKUP($E211,Primary_nrj!$1:$1048576,G$2,FALSE)</f>
        <v>0.74824738769999999</v>
      </c>
      <c r="H211" s="346">
        <f>+VLOOKUP($E211,Primary_nrj!$1:$1048576,H$2,FALSE)</f>
        <v>0.75114992920000001</v>
      </c>
      <c r="I211" s="346">
        <f>+VLOOKUP($E211,Primary_nrj!$1:$1048576,I$2,FALSE)</f>
        <v>0.75408384549999996</v>
      </c>
      <c r="J211" s="346">
        <f>+VLOOKUP($E211,Primary_nrj!$1:$1048576,J$2,FALSE)</f>
        <v>0.75748397150000002</v>
      </c>
      <c r="K211" s="346">
        <f>+VLOOKUP($E211,Primary_nrj!$1:$1048576,K$2,FALSE)</f>
        <v>0.7613028731</v>
      </c>
      <c r="L211" s="346">
        <f>+VLOOKUP($E211,Primary_nrj!$1:$1048576,L$2,FALSE)</f>
        <v>0.76544024610000005</v>
      </c>
      <c r="M211" s="346">
        <f>+VLOOKUP($E211,Primary_nrj!$1:$1048576,M$2,FALSE)</f>
        <v>0.76987101609999997</v>
      </c>
      <c r="N211" s="346">
        <f>+VLOOKUP($E211,Primary_nrj!$1:$1048576,N$2,FALSE)</f>
        <v>0.77455537299999999</v>
      </c>
      <c r="O211" s="346">
        <f>+VLOOKUP($E211,Primary_nrj!$1:$1048576,O$2,FALSE)</f>
        <v>0.77942884710000004</v>
      </c>
      <c r="P211" s="346">
        <f>+VLOOKUP($E211,Primary_nrj!$1:$1048576,P$2,FALSE)</f>
        <v>0.78440855259999998</v>
      </c>
      <c r="Q211" s="346">
        <f>+VLOOKUP($E211,Primary_nrj!$1:$1048576,Q$2,FALSE)</f>
        <v>0.78939938259999998</v>
      </c>
      <c r="R211" s="346">
        <f>+VLOOKUP($E211,Primary_nrj!$1:$1048576,R$2,FALSE)</f>
        <v>0.79429872410000002</v>
      </c>
      <c r="S211" s="346">
        <f>+VLOOKUP($E211,Primary_nrj!$1:$1048576,S$2,FALSE)</f>
        <v>0.79900028199999995</v>
      </c>
      <c r="T211" s="346">
        <f>+VLOOKUP($E211,Primary_nrj!$1:$1048576,T$2,FALSE)</f>
        <v>0.80339744930000001</v>
      </c>
      <c r="U211" s="346">
        <f>+VLOOKUP($E211,Primary_nrj!$1:$1048576,U$2,FALSE)</f>
        <v>0.80738634600000003</v>
      </c>
      <c r="V211" s="346">
        <f>+VLOOKUP($E211,Primary_nrj!$1:$1048576,V$2,FALSE)</f>
        <v>0.81094809140000002</v>
      </c>
      <c r="W211" s="346">
        <f>+VLOOKUP($E211,Primary_nrj!$1:$1048576,W$2,FALSE)</f>
        <v>0.81415972660000002</v>
      </c>
      <c r="X211" s="346">
        <f>+VLOOKUP($E211,Primary_nrj!$1:$1048576,X$2,FALSE)</f>
        <v>0.81710030879999995</v>
      </c>
      <c r="Y211" s="346">
        <f>+VLOOKUP($E211,Primary_nrj!$1:$1048576,Y$2,FALSE)</f>
        <v>0.81982975520000001</v>
      </c>
      <c r="Z211" s="346">
        <f>+VLOOKUP($E211,Primary_nrj!$1:$1048576,Z$2,FALSE)</f>
        <v>0.82238895919999999</v>
      </c>
      <c r="AA211" s="346">
        <f>+VLOOKUP($E211,Primary_nrj!$1:$1048576,AA$2,FALSE)</f>
        <v>0.82480383729999995</v>
      </c>
      <c r="AB211" s="346">
        <f>+VLOOKUP($E211,Primary_nrj!$1:$1048576,AB$2,FALSE)</f>
        <v>0.82708924490000002</v>
      </c>
      <c r="AC211" s="346">
        <f>+VLOOKUP($E211,Primary_nrj!$1:$1048576,AC$2,FALSE)</f>
        <v>0.82925201599999998</v>
      </c>
      <c r="AD211" s="346">
        <f>+VLOOKUP($E211,Primary_nrj!$1:$1048576,AD$2,FALSE)</f>
        <v>0.83129317840000005</v>
      </c>
      <c r="AE211" s="346">
        <f>+VLOOKUP($E211,Primary_nrj!$1:$1048576,AE$2,FALSE)</f>
        <v>0.83320954089999999</v>
      </c>
      <c r="AF211" s="346">
        <f>+VLOOKUP($E211,Primary_nrj!$1:$1048576,AF$2,FALSE)</f>
        <v>0.8349948411</v>
      </c>
      <c r="AG211" s="346">
        <f>+VLOOKUP($E211,Primary_nrj!$1:$1048576,AG$2,FALSE)</f>
        <v>0.83664059930000001</v>
      </c>
      <c r="AH211" s="346">
        <f>+VLOOKUP($E211,Primary_nrj!$1:$1048576,AH$2,FALSE)</f>
        <v>0.83813678430000005</v>
      </c>
      <c r="AI211" s="346">
        <f>+VLOOKUP($E211,Primary_nrj!$1:$1048576,AI$2,FALSE)</f>
        <v>0.83947236989999996</v>
      </c>
      <c r="AJ211" s="346">
        <f>+VLOOKUP($E211,Primary_nrj!$1:$1048576,AJ$2,FALSE)</f>
        <v>0.84063583289999999</v>
      </c>
      <c r="AK211" s="346">
        <f>+VLOOKUP($E211,Primary_nrj!$1:$1048576,AK$2,FALSE)</f>
        <v>0.84161562879999996</v>
      </c>
      <c r="AL211" s="346">
        <f>+VLOOKUP($E211,Primary_nrj!$1:$1048576,AL$2,FALSE)</f>
        <v>0.84240066869999997</v>
      </c>
      <c r="AM211" s="346">
        <f>+VLOOKUP($E211,Primary_nrj!$1:$1048576,AM$2,FALSE)</f>
        <v>0.84298080720000002</v>
      </c>
      <c r="AN211" s="346">
        <f>+VLOOKUP($E211,Primary_nrj!$1:$1048576,AN$2,FALSE)</f>
        <v>0.84334734619999996</v>
      </c>
      <c r="AO211" s="346">
        <f>+VLOOKUP($E211,Primary_nrj!$1:$1048576,AO$2,FALSE)</f>
        <v>0.8434935496</v>
      </c>
      <c r="AP211" s="73"/>
      <c r="AQ211" s="73"/>
    </row>
    <row r="212" spans="1:43" s="307" customFormat="1" ht="15" customHeight="1" x14ac:dyDescent="0.25">
      <c r="A212" s="392"/>
      <c r="B212" s="393"/>
      <c r="C212" s="338"/>
      <c r="D212" s="338" t="s">
        <v>1887</v>
      </c>
      <c r="E212" s="310" t="s">
        <v>1906</v>
      </c>
      <c r="F212" s="346">
        <f>+VLOOKUP($E212,Primary_nrj!$1:$1048576,F$2,FALSE)</f>
        <v>0.35212300000000002</v>
      </c>
      <c r="G212" s="346">
        <f>+VLOOKUP($E212,Primary_nrj!$1:$1048576,G$2,FALSE)</f>
        <v>0.35419225100000001</v>
      </c>
      <c r="H212" s="346">
        <f>+VLOOKUP($E212,Primary_nrj!$1:$1048576,H$2,FALSE)</f>
        <v>0.35556620529999999</v>
      </c>
      <c r="I212" s="346">
        <f>+VLOOKUP($E212,Primary_nrj!$1:$1048576,I$2,FALSE)</f>
        <v>0.35695501120000001</v>
      </c>
      <c r="J212" s="346">
        <f>+VLOOKUP($E212,Primary_nrj!$1:$1048576,J$2,FALSE)</f>
        <v>0.35856450340000001</v>
      </c>
      <c r="K212" s="346">
        <f>+VLOOKUP($E212,Primary_nrj!$1:$1048576,K$2,FALSE)</f>
        <v>0.36037222819999998</v>
      </c>
      <c r="L212" s="346">
        <f>+VLOOKUP($E212,Primary_nrj!$1:$1048576,L$2,FALSE)</f>
        <v>0.36233070540000001</v>
      </c>
      <c r="M212" s="346">
        <f>+VLOOKUP($E212,Primary_nrj!$1:$1048576,M$2,FALSE)</f>
        <v>0.36442806570000003</v>
      </c>
      <c r="N212" s="346">
        <f>+VLOOKUP($E212,Primary_nrj!$1:$1048576,N$2,FALSE)</f>
        <v>0.36664546460000003</v>
      </c>
      <c r="O212" s="346">
        <f>+VLOOKUP($E212,Primary_nrj!$1:$1048576,O$2,FALSE)</f>
        <v>0.36895238450000001</v>
      </c>
      <c r="P212" s="346">
        <f>+VLOOKUP($E212,Primary_nrj!$1:$1048576,P$2,FALSE)</f>
        <v>0.37130959029999999</v>
      </c>
      <c r="Q212" s="346">
        <f>+VLOOKUP($E212,Primary_nrj!$1:$1048576,Q$2,FALSE)</f>
        <v>0.37367206200000003</v>
      </c>
      <c r="R212" s="346">
        <f>+VLOOKUP($E212,Primary_nrj!$1:$1048576,R$2,FALSE)</f>
        <v>0.3759912265</v>
      </c>
      <c r="S212" s="346">
        <f>+VLOOKUP($E212,Primary_nrj!$1:$1048576,S$2,FALSE)</f>
        <v>0.37821676770000001</v>
      </c>
      <c r="T212" s="346">
        <f>+VLOOKUP($E212,Primary_nrj!$1:$1048576,T$2,FALSE)</f>
        <v>0.3802982218</v>
      </c>
      <c r="U212" s="346">
        <f>+VLOOKUP($E212,Primary_nrj!$1:$1048576,U$2,FALSE)</f>
        <v>0.38218641590000002</v>
      </c>
      <c r="V212" s="346">
        <f>+VLOOKUP($E212,Primary_nrj!$1:$1048576,V$2,FALSE)</f>
        <v>0.38387241259999999</v>
      </c>
      <c r="W212" s="346">
        <f>+VLOOKUP($E212,Primary_nrj!$1:$1048576,W$2,FALSE)</f>
        <v>0.3853926802</v>
      </c>
      <c r="X212" s="346">
        <f>+VLOOKUP($E212,Primary_nrj!$1:$1048576,X$2,FALSE)</f>
        <v>0.38678464159999998</v>
      </c>
      <c r="Y212" s="346">
        <f>+VLOOKUP($E212,Primary_nrj!$1:$1048576,Y$2,FALSE)</f>
        <v>0.3880766591</v>
      </c>
      <c r="Z212" s="346">
        <f>+VLOOKUP($E212,Primary_nrj!$1:$1048576,Z$2,FALSE)</f>
        <v>0.3892880903</v>
      </c>
      <c r="AA212" s="346">
        <f>+VLOOKUP($E212,Primary_nrj!$1:$1048576,AA$2,FALSE)</f>
        <v>0.39043120310000001</v>
      </c>
      <c r="AB212" s="346">
        <f>+VLOOKUP($E212,Primary_nrj!$1:$1048576,AB$2,FALSE)</f>
        <v>0.39151302929999998</v>
      </c>
      <c r="AC212" s="346">
        <f>+VLOOKUP($E212,Primary_nrj!$1:$1048576,AC$2,FALSE)</f>
        <v>0.39253680400000002</v>
      </c>
      <c r="AD212" s="346">
        <f>+VLOOKUP($E212,Primary_nrj!$1:$1048576,AD$2,FALSE)</f>
        <v>0.39350301380000002</v>
      </c>
      <c r="AE212" s="346">
        <f>+VLOOKUP($E212,Primary_nrj!$1:$1048576,AE$2,FALSE)</f>
        <v>0.39441014790000001</v>
      </c>
      <c r="AF212" s="346">
        <f>+VLOOKUP($E212,Primary_nrj!$1:$1048576,AF$2,FALSE)</f>
        <v>0.39525524210000001</v>
      </c>
      <c r="AG212" s="346">
        <f>+VLOOKUP($E212,Primary_nrj!$1:$1048576,AG$2,FALSE)</f>
        <v>0.39603428219999998</v>
      </c>
      <c r="AH212" s="346">
        <f>+VLOOKUP($E212,Primary_nrj!$1:$1048576,AH$2,FALSE)</f>
        <v>0.3967425201</v>
      </c>
      <c r="AI212" s="346">
        <f>+VLOOKUP($E212,Primary_nrj!$1:$1048576,AI$2,FALSE)</f>
        <v>0.39737473629999998</v>
      </c>
      <c r="AJ212" s="346">
        <f>+VLOOKUP($E212,Primary_nrj!$1:$1048576,AJ$2,FALSE)</f>
        <v>0.397925476</v>
      </c>
      <c r="AK212" s="346">
        <f>+VLOOKUP($E212,Primary_nrj!$1:$1048576,AK$2,FALSE)</f>
        <v>0.39838927460000001</v>
      </c>
      <c r="AL212" s="346">
        <f>+VLOOKUP($E212,Primary_nrj!$1:$1048576,AL$2,FALSE)</f>
        <v>0.39876088310000002</v>
      </c>
      <c r="AM212" s="346">
        <f>+VLOOKUP($E212,Primary_nrj!$1:$1048576,AM$2,FALSE)</f>
        <v>0.39903549890000001</v>
      </c>
      <c r="AN212" s="346">
        <f>+VLOOKUP($E212,Primary_nrj!$1:$1048576,AN$2,FALSE)</f>
        <v>0.39920900469999998</v>
      </c>
      <c r="AO212" s="346">
        <f>+VLOOKUP($E212,Primary_nrj!$1:$1048576,AO$2,FALSE)</f>
        <v>0.39927821190000001</v>
      </c>
      <c r="AP212" s="73"/>
      <c r="AQ212" s="73"/>
    </row>
    <row r="213" spans="1:43" s="108" customFormat="1" ht="15" customHeight="1" x14ac:dyDescent="0.25">
      <c r="A213" s="392"/>
      <c r="B213" s="393"/>
      <c r="C213" s="335" t="s">
        <v>540</v>
      </c>
      <c r="D213" s="339"/>
      <c r="E213" s="337" t="s">
        <v>569</v>
      </c>
      <c r="F213" s="347">
        <f>+VLOOKUP($E213,Primary_nrj!$1:$1048576,F$2,FALSE)</f>
        <v>42.352188980000001</v>
      </c>
      <c r="G213" s="347">
        <f>+VLOOKUP($E213,Primary_nrj!$1:$1048576,G$2,FALSE)</f>
        <v>42.550338549999999</v>
      </c>
      <c r="H213" s="347">
        <f>+VLOOKUP($E213,Primary_nrj!$1:$1048576,H$2,FALSE)</f>
        <v>42.68630228</v>
      </c>
      <c r="I213" s="347">
        <f>+VLOOKUP($E213,Primary_nrj!$1:$1048576,I$2,FALSE)</f>
        <v>42.843229950000001</v>
      </c>
      <c r="J213" s="347">
        <f>+VLOOKUP($E213,Primary_nrj!$1:$1048576,J$2,FALSE)</f>
        <v>43.038563770000003</v>
      </c>
      <c r="K213" s="347">
        <f>+VLOOKUP($E213,Primary_nrj!$1:$1048576,K$2,FALSE)</f>
        <v>43.264920930000002</v>
      </c>
      <c r="L213" s="347">
        <f>+VLOOKUP($E213,Primary_nrj!$1:$1048576,L$2,FALSE)</f>
        <v>43.513952080000003</v>
      </c>
      <c r="M213" s="347">
        <f>+VLOOKUP($E213,Primary_nrj!$1:$1048576,M$2,FALSE)</f>
        <v>43.78233985</v>
      </c>
      <c r="N213" s="347">
        <f>+VLOOKUP($E213,Primary_nrj!$1:$1048576,N$2,FALSE)</f>
        <v>44.066370890000002</v>
      </c>
      <c r="O213" s="347">
        <f>+VLOOKUP($E213,Primary_nrj!$1:$1048576,O$2,FALSE)</f>
        <v>44.361627120000001</v>
      </c>
      <c r="P213" s="347">
        <f>+VLOOKUP($E213,Primary_nrj!$1:$1048576,P$2,FALSE)</f>
        <v>44.663092769999999</v>
      </c>
      <c r="Q213" s="347">
        <f>+VLOOKUP($E213,Primary_nrj!$1:$1048576,Q$2,FALSE)</f>
        <v>44.965278179999999</v>
      </c>
      <c r="R213" s="347">
        <f>+VLOOKUP($E213,Primary_nrj!$1:$1048576,R$2,FALSE)</f>
        <v>45.262340440000003</v>
      </c>
      <c r="S213" s="347">
        <f>+VLOOKUP($E213,Primary_nrj!$1:$1048576,S$2,FALSE)</f>
        <v>45.548213250000003</v>
      </c>
      <c r="T213" s="347">
        <f>+VLOOKUP($E213,Primary_nrj!$1:$1048576,T$2,FALSE)</f>
        <v>45.816747450000001</v>
      </c>
      <c r="U213" s="347">
        <f>+VLOOKUP($E213,Primary_nrj!$1:$1048576,U$2,FALSE)</f>
        <v>46.061854830000001</v>
      </c>
      <c r="V213" s="347">
        <f>+VLOOKUP($E213,Primary_nrj!$1:$1048576,V$2,FALSE)</f>
        <v>46.282313430000002</v>
      </c>
      <c r="W213" s="347">
        <f>+VLOOKUP($E213,Primary_nrj!$1:$1048576,W$2,FALSE)</f>
        <v>46.482149659999997</v>
      </c>
      <c r="X213" s="347">
        <f>+VLOOKUP($E213,Primary_nrj!$1:$1048576,X$2,FALSE)</f>
        <v>46.66522758</v>
      </c>
      <c r="Y213" s="347">
        <f>+VLOOKUP($E213,Primary_nrj!$1:$1048576,Y$2,FALSE)</f>
        <v>46.834475269999999</v>
      </c>
      <c r="Z213" s="347">
        <f>+VLOOKUP($E213,Primary_nrj!$1:$1048576,Z$2,FALSE)</f>
        <v>46.991903649999998</v>
      </c>
      <c r="AA213" s="347">
        <f>+VLOOKUP($E213,Primary_nrj!$1:$1048576,AA$2,FALSE)</f>
        <v>47.138777109999999</v>
      </c>
      <c r="AB213" s="347">
        <f>+VLOOKUP($E213,Primary_nrj!$1:$1048576,AB$2,FALSE)</f>
        <v>47.275783519999997</v>
      </c>
      <c r="AC213" s="347">
        <f>+VLOOKUP($E213,Primary_nrj!$1:$1048576,AC$2,FALSE)</f>
        <v>47.403171999999998</v>
      </c>
      <c r="AD213" s="347">
        <f>+VLOOKUP($E213,Primary_nrj!$1:$1048576,AD$2,FALSE)</f>
        <v>47.52085804</v>
      </c>
      <c r="AE213" s="347">
        <f>+VLOOKUP($E213,Primary_nrj!$1:$1048576,AE$2,FALSE)</f>
        <v>47.628503100000003</v>
      </c>
      <c r="AF213" s="347">
        <f>+VLOOKUP($E213,Primary_nrj!$1:$1048576,AF$2,FALSE)</f>
        <v>47.725575450000001</v>
      </c>
      <c r="AG213" s="347">
        <f>+VLOOKUP($E213,Primary_nrj!$1:$1048576,AG$2,FALSE)</f>
        <v>47.811398420000003</v>
      </c>
      <c r="AH213" s="347">
        <f>+VLOOKUP($E213,Primary_nrj!$1:$1048576,AH$2,FALSE)</f>
        <v>47.885190510000001</v>
      </c>
      <c r="AI213" s="347">
        <f>+VLOOKUP($E213,Primary_nrj!$1:$1048576,AI$2,FALSE)</f>
        <v>47.946100899999998</v>
      </c>
      <c r="AJ213" s="347">
        <f>+VLOOKUP($E213,Primary_nrj!$1:$1048576,AJ$2,FALSE)</f>
        <v>47.993242969999997</v>
      </c>
      <c r="AK213" s="347">
        <f>+VLOOKUP($E213,Primary_nrj!$1:$1048576,AK$2,FALSE)</f>
        <v>48.025727379999999</v>
      </c>
      <c r="AL213" s="347">
        <f>+VLOOKUP($E213,Primary_nrj!$1:$1048576,AL$2,FALSE)</f>
        <v>48.042696079999999</v>
      </c>
      <c r="AM213" s="347">
        <f>+VLOOKUP($E213,Primary_nrj!$1:$1048576,AM$2,FALSE)</f>
        <v>48.043357440000001</v>
      </c>
      <c r="AN213" s="347">
        <f>+VLOOKUP($E213,Primary_nrj!$1:$1048576,AN$2,FALSE)</f>
        <v>48.027022899999999</v>
      </c>
      <c r="AO213" s="347">
        <f>+VLOOKUP($E213,Primary_nrj!$1:$1048576,AO$2,FALSE)</f>
        <v>47.993144409999999</v>
      </c>
    </row>
    <row r="214" spans="1:43" s="73" customFormat="1" ht="15" customHeight="1" x14ac:dyDescent="0.25">
      <c r="A214" s="392"/>
      <c r="B214" s="393"/>
      <c r="C214" s="335"/>
      <c r="D214" s="340" t="s">
        <v>1890</v>
      </c>
      <c r="E214" s="310" t="s">
        <v>554</v>
      </c>
      <c r="F214" s="346">
        <f>+VLOOKUP($E214,Primary_nrj!$1:$1048576,F$2,FALSE)</f>
        <v>36.569328980000002</v>
      </c>
      <c r="G214" s="346">
        <f>+VLOOKUP($E214,Primary_nrj!$1:$1048576,G$2,FALSE)</f>
        <v>36.740422770000002</v>
      </c>
      <c r="H214" s="346">
        <f>+VLOOKUP($E214,Primary_nrj!$1:$1048576,H$2,FALSE)</f>
        <v>36.857821719999997</v>
      </c>
      <c r="I214" s="346">
        <f>+VLOOKUP($E214,Primary_nrj!$1:$1048576,I$2,FALSE)</f>
        <v>36.993322149999997</v>
      </c>
      <c r="J214" s="346">
        <f>+VLOOKUP($E214,Primary_nrj!$1:$1048576,J$2,FALSE)</f>
        <v>37.161984670000002</v>
      </c>
      <c r="K214" s="346">
        <f>+VLOOKUP($E214,Primary_nrj!$1:$1048576,K$2,FALSE)</f>
        <v>37.357434519999998</v>
      </c>
      <c r="L214" s="346">
        <f>+VLOOKUP($E214,Primary_nrj!$1:$1048576,L$2,FALSE)</f>
        <v>37.572462420000001</v>
      </c>
      <c r="M214" s="346">
        <f>+VLOOKUP($E214,Primary_nrj!$1:$1048576,M$2,FALSE)</f>
        <v>37.804203940000001</v>
      </c>
      <c r="N214" s="346">
        <f>+VLOOKUP($E214,Primary_nrj!$1:$1048576,N$2,FALSE)</f>
        <v>38.049452770000002</v>
      </c>
      <c r="O214" s="346">
        <f>+VLOOKUP($E214,Primary_nrj!$1:$1048576,O$2,FALSE)</f>
        <v>38.30439406</v>
      </c>
      <c r="P214" s="346">
        <f>+VLOOKUP($E214,Primary_nrj!$1:$1048576,P$2,FALSE)</f>
        <v>38.564696939999997</v>
      </c>
      <c r="Q214" s="346">
        <f>+VLOOKUP($E214,Primary_nrj!$1:$1048576,Q$2,FALSE)</f>
        <v>38.825621300000002</v>
      </c>
      <c r="R214" s="346">
        <f>+VLOOKUP($E214,Primary_nrj!$1:$1048576,R$2,FALSE)</f>
        <v>39.082122030000001</v>
      </c>
      <c r="S214" s="346">
        <f>+VLOOKUP($E214,Primary_nrj!$1:$1048576,S$2,FALSE)</f>
        <v>39.328961139999997</v>
      </c>
      <c r="T214" s="346">
        <f>+VLOOKUP($E214,Primary_nrj!$1:$1048576,T$2,FALSE)</f>
        <v>39.560829099999999</v>
      </c>
      <c r="U214" s="346">
        <f>+VLOOKUP($E214,Primary_nrj!$1:$1048576,U$2,FALSE)</f>
        <v>39.772468979999999</v>
      </c>
      <c r="V214" s="346">
        <f>+VLOOKUP($E214,Primary_nrj!$1:$1048576,V$2,FALSE)</f>
        <v>39.962825690000003</v>
      </c>
      <c r="W214" s="346">
        <f>+VLOOKUP($E214,Primary_nrj!$1:$1048576,W$2,FALSE)</f>
        <v>40.135375850000003</v>
      </c>
      <c r="X214" s="346">
        <f>+VLOOKUP($E214,Primary_nrj!$1:$1048576,X$2,FALSE)</f>
        <v>40.293455909999999</v>
      </c>
      <c r="Y214" s="346">
        <f>+VLOOKUP($E214,Primary_nrj!$1:$1048576,Y$2,FALSE)</f>
        <v>40.439594149999998</v>
      </c>
      <c r="Z214" s="346">
        <f>+VLOOKUP($E214,Primary_nrj!$1:$1048576,Z$2,FALSE)</f>
        <v>40.575526920000001</v>
      </c>
      <c r="AA214" s="346">
        <f>+VLOOKUP($E214,Primary_nrj!$1:$1048576,AA$2,FALSE)</f>
        <v>40.702345950000002</v>
      </c>
      <c r="AB214" s="346">
        <f>+VLOOKUP($E214,Primary_nrj!$1:$1048576,AB$2,FALSE)</f>
        <v>40.820645220000003</v>
      </c>
      <c r="AC214" s="346">
        <f>+VLOOKUP($E214,Primary_nrj!$1:$1048576,AC$2,FALSE)</f>
        <v>40.930639790000001</v>
      </c>
      <c r="AD214" s="346">
        <f>+VLOOKUP($E214,Primary_nrj!$1:$1048576,AD$2,FALSE)</f>
        <v>41.03225673</v>
      </c>
      <c r="AE214" s="346">
        <f>+VLOOKUP($E214,Primary_nrj!$1:$1048576,AE$2,FALSE)</f>
        <v>41.125203689999999</v>
      </c>
      <c r="AF214" s="346">
        <f>+VLOOKUP($E214,Primary_nrj!$1:$1048576,AF$2,FALSE)</f>
        <v>41.209021569999997</v>
      </c>
      <c r="AG214" s="346">
        <f>+VLOOKUP($E214,Primary_nrj!$1:$1048576,AG$2,FALSE)</f>
        <v>41.283126090000003</v>
      </c>
      <c r="AH214" s="346">
        <f>+VLOOKUP($E214,Primary_nrj!$1:$1048576,AH$2,FALSE)</f>
        <v>41.346842449999997</v>
      </c>
      <c r="AI214" s="346">
        <f>+VLOOKUP($E214,Primary_nrj!$1:$1048576,AI$2,FALSE)</f>
        <v>41.399436000000001</v>
      </c>
      <c r="AJ214" s="346">
        <f>+VLOOKUP($E214,Primary_nrj!$1:$1048576,AJ$2,FALSE)</f>
        <v>41.440141189999999</v>
      </c>
      <c r="AK214" s="346">
        <f>+VLOOKUP($E214,Primary_nrj!$1:$1048576,AK$2,FALSE)</f>
        <v>41.468190110000002</v>
      </c>
      <c r="AL214" s="346">
        <f>+VLOOKUP($E214,Primary_nrj!$1:$1048576,AL$2,FALSE)</f>
        <v>41.482841860000001</v>
      </c>
      <c r="AM214" s="346">
        <f>+VLOOKUP($E214,Primary_nrj!$1:$1048576,AM$2,FALSE)</f>
        <v>41.483412919999999</v>
      </c>
      <c r="AN214" s="346">
        <f>+VLOOKUP($E214,Primary_nrj!$1:$1048576,AN$2,FALSE)</f>
        <v>41.469308730000002</v>
      </c>
      <c r="AO214" s="346">
        <f>+VLOOKUP($E214,Primary_nrj!$1:$1048576,AO$2,FALSE)</f>
        <v>41.440056079999998</v>
      </c>
    </row>
    <row r="215" spans="1:43" s="73" customFormat="1" ht="15" customHeight="1" x14ac:dyDescent="0.25">
      <c r="A215" s="392"/>
      <c r="B215" s="393"/>
      <c r="C215" s="335"/>
      <c r="D215" s="340" t="s">
        <v>546</v>
      </c>
      <c r="E215" s="310" t="s">
        <v>555</v>
      </c>
      <c r="F215" s="346">
        <f>+VLOOKUP($E215,Primary_nrj!$1:$1048576,F$2,FALSE)</f>
        <v>5.7828600000000003</v>
      </c>
      <c r="G215" s="346">
        <f>+VLOOKUP($E215,Primary_nrj!$1:$1048576,G$2,FALSE)</f>
        <v>5.8099157740000003</v>
      </c>
      <c r="H215" s="346">
        <f>+VLOOKUP($E215,Primary_nrj!$1:$1048576,H$2,FALSE)</f>
        <v>5.8284805569999998</v>
      </c>
      <c r="I215" s="346">
        <f>+VLOOKUP($E215,Primary_nrj!$1:$1048576,I$2,FALSE)</f>
        <v>5.8499078029999998</v>
      </c>
      <c r="J215" s="346">
        <f>+VLOOKUP($E215,Primary_nrj!$1:$1048576,J$2,FALSE)</f>
        <v>5.8765791079999996</v>
      </c>
      <c r="K215" s="346">
        <f>+VLOOKUP($E215,Primary_nrj!$1:$1048576,K$2,FALSE)</f>
        <v>5.9074864060000003</v>
      </c>
      <c r="L215" s="346">
        <f>+VLOOKUP($E215,Primary_nrj!$1:$1048576,L$2,FALSE)</f>
        <v>5.9414896620000004</v>
      </c>
      <c r="M215" s="346">
        <f>+VLOOKUP($E215,Primary_nrj!$1:$1048576,M$2,FALSE)</f>
        <v>5.9781359109999999</v>
      </c>
      <c r="N215" s="346">
        <f>+VLOOKUP($E215,Primary_nrj!$1:$1048576,N$2,FALSE)</f>
        <v>6.0169181280000004</v>
      </c>
      <c r="O215" s="346">
        <f>+VLOOKUP($E215,Primary_nrj!$1:$1048576,O$2,FALSE)</f>
        <v>6.0572330550000002</v>
      </c>
      <c r="P215" s="346">
        <f>+VLOOKUP($E215,Primary_nrj!$1:$1048576,P$2,FALSE)</f>
        <v>6.0983958310000004</v>
      </c>
      <c r="Q215" s="346">
        <f>+VLOOKUP($E215,Primary_nrj!$1:$1048576,Q$2,FALSE)</f>
        <v>6.1396568839999999</v>
      </c>
      <c r="R215" s="346">
        <f>+VLOOKUP($E215,Primary_nrj!$1:$1048576,R$2,FALSE)</f>
        <v>6.1802184110000002</v>
      </c>
      <c r="S215" s="346">
        <f>+VLOOKUP($E215,Primary_nrj!$1:$1048576,S$2,FALSE)</f>
        <v>6.2192521059999999</v>
      </c>
      <c r="T215" s="346">
        <f>+VLOOKUP($E215,Primary_nrj!$1:$1048576,T$2,FALSE)</f>
        <v>6.25591835</v>
      </c>
      <c r="U215" s="346">
        <f>+VLOOKUP($E215,Primary_nrj!$1:$1048576,U$2,FALSE)</f>
        <v>6.2893858439999999</v>
      </c>
      <c r="V215" s="346">
        <f>+VLOOKUP($E215,Primary_nrj!$1:$1048576,V$2,FALSE)</f>
        <v>6.3194877419999997</v>
      </c>
      <c r="W215" s="346">
        <f>+VLOOKUP($E215,Primary_nrj!$1:$1048576,W$2,FALSE)</f>
        <v>6.3467738149999997</v>
      </c>
      <c r="X215" s="346">
        <f>+VLOOKUP($E215,Primary_nrj!$1:$1048576,X$2,FALSE)</f>
        <v>6.3717716720000004</v>
      </c>
      <c r="Y215" s="346">
        <f>+VLOOKUP($E215,Primary_nrj!$1:$1048576,Y$2,FALSE)</f>
        <v>6.39488112</v>
      </c>
      <c r="Z215" s="346">
        <f>+VLOOKUP($E215,Primary_nrj!$1:$1048576,Z$2,FALSE)</f>
        <v>6.4163767329999999</v>
      </c>
      <c r="AA215" s="346">
        <f>+VLOOKUP($E215,Primary_nrj!$1:$1048576,AA$2,FALSE)</f>
        <v>6.4364311540000001</v>
      </c>
      <c r="AB215" s="346">
        <f>+VLOOKUP($E215,Primary_nrj!$1:$1048576,AB$2,FALSE)</f>
        <v>6.4551383089999996</v>
      </c>
      <c r="AC215" s="346">
        <f>+VLOOKUP($E215,Primary_nrj!$1:$1048576,AC$2,FALSE)</f>
        <v>6.4725322079999996</v>
      </c>
      <c r="AD215" s="346">
        <f>+VLOOKUP($E215,Primary_nrj!$1:$1048576,AD$2,FALSE)</f>
        <v>6.4886013169999996</v>
      </c>
      <c r="AE215" s="346">
        <f>+VLOOKUP($E215,Primary_nrj!$1:$1048576,AE$2,FALSE)</f>
        <v>6.5032994070000001</v>
      </c>
      <c r="AF215" s="346">
        <f>+VLOOKUP($E215,Primary_nrj!$1:$1048576,AF$2,FALSE)</f>
        <v>6.5165538769999998</v>
      </c>
      <c r="AG215" s="346">
        <f>+VLOOKUP($E215,Primary_nrj!$1:$1048576,AG$2,FALSE)</f>
        <v>6.5282723320000002</v>
      </c>
      <c r="AH215" s="346">
        <f>+VLOOKUP($E215,Primary_nrj!$1:$1048576,AH$2,FALSE)</f>
        <v>6.538348064</v>
      </c>
      <c r="AI215" s="346">
        <f>+VLOOKUP($E215,Primary_nrj!$1:$1048576,AI$2,FALSE)</f>
        <v>6.5466649019999998</v>
      </c>
      <c r="AJ215" s="346">
        <f>+VLOOKUP($E215,Primary_nrj!$1:$1048576,AJ$2,FALSE)</f>
        <v>6.5531017819999997</v>
      </c>
      <c r="AK215" s="346">
        <f>+VLOOKUP($E215,Primary_nrj!$1:$1048576,AK$2,FALSE)</f>
        <v>6.5575372749999996</v>
      </c>
      <c r="AL215" s="346">
        <f>+VLOOKUP($E215,Primary_nrj!$1:$1048576,AL$2,FALSE)</f>
        <v>6.5598542169999998</v>
      </c>
      <c r="AM215" s="346">
        <f>+VLOOKUP($E215,Primary_nrj!$1:$1048576,AM$2,FALSE)</f>
        <v>6.5599445200000002</v>
      </c>
      <c r="AN215" s="346">
        <f>+VLOOKUP($E215,Primary_nrj!$1:$1048576,AN$2,FALSE)</f>
        <v>6.5577141670000003</v>
      </c>
      <c r="AO215" s="346">
        <f>+VLOOKUP($E215,Primary_nrj!$1:$1048576,AO$2,FALSE)</f>
        <v>6.553088324</v>
      </c>
    </row>
    <row r="216" spans="1:43" s="108" customFormat="1" ht="15" customHeight="1" x14ac:dyDescent="0.25">
      <c r="A216" s="392"/>
      <c r="B216" s="393"/>
      <c r="C216" s="335" t="s">
        <v>541</v>
      </c>
      <c r="D216" s="339"/>
      <c r="E216" s="337" t="s">
        <v>570</v>
      </c>
      <c r="F216" s="347">
        <f>+VLOOKUP($E216,Primary_nrj!$1:$1048576,F$2,FALSE)</f>
        <v>7.9355360250000002</v>
      </c>
      <c r="G216" s="347">
        <f>+VLOOKUP($E216,Primary_nrj!$1:$1048576,G$2,FALSE)</f>
        <v>7.9839831429999997</v>
      </c>
      <c r="H216" s="347">
        <f>+VLOOKUP($E216,Primary_nrj!$1:$1048576,H$2,FALSE)</f>
        <v>8.0145868960000008</v>
      </c>
      <c r="I216" s="347">
        <f>+VLOOKUP($E216,Primary_nrj!$1:$1048576,I$2,FALSE)</f>
        <v>8.0387744330000004</v>
      </c>
      <c r="J216" s="347">
        <f>+VLOOKUP($E216,Primary_nrj!$1:$1048576,J$2,FALSE)</f>
        <v>8.0606897889999995</v>
      </c>
      <c r="K216" s="347">
        <f>+VLOOKUP($E216,Primary_nrj!$1:$1048576,K$2,FALSE)</f>
        <v>8.0809697239999991</v>
      </c>
      <c r="L216" s="347">
        <f>+VLOOKUP($E216,Primary_nrj!$1:$1048576,L$2,FALSE)</f>
        <v>8.1006529559999993</v>
      </c>
      <c r="M216" s="347">
        <f>+VLOOKUP($E216,Primary_nrj!$1:$1048576,M$2,FALSE)</f>
        <v>8.1215149209999993</v>
      </c>
      <c r="N216" s="347">
        <f>+VLOOKUP($E216,Primary_nrj!$1:$1048576,N$2,FALSE)</f>
        <v>8.144054122</v>
      </c>
      <c r="O216" s="347">
        <f>+VLOOKUP($E216,Primary_nrj!$1:$1048576,O$2,FALSE)</f>
        <v>8.1679440509999992</v>
      </c>
      <c r="P216" s="347">
        <f>+VLOOKUP($E216,Primary_nrj!$1:$1048576,P$2,FALSE)</f>
        <v>8.1923757459999997</v>
      </c>
      <c r="Q216" s="347">
        <f>+VLOOKUP($E216,Primary_nrj!$1:$1048576,Q$2,FALSE)</f>
        <v>8.2162685240000002</v>
      </c>
      <c r="R216" s="347">
        <f>+VLOOKUP($E216,Primary_nrj!$1:$1048576,R$2,FALSE)</f>
        <v>8.2383993180000008</v>
      </c>
      <c r="S216" s="347">
        <f>+VLOOKUP($E216,Primary_nrj!$1:$1048576,S$2,FALSE)</f>
        <v>8.2574886670000005</v>
      </c>
      <c r="T216" s="347">
        <f>+VLOOKUP($E216,Primary_nrj!$1:$1048576,T$2,FALSE)</f>
        <v>8.2722653570000002</v>
      </c>
      <c r="U216" s="347">
        <f>+VLOOKUP($E216,Primary_nrj!$1:$1048576,U$2,FALSE)</f>
        <v>8.2815209789999997</v>
      </c>
      <c r="V216" s="347">
        <f>+VLOOKUP($E216,Primary_nrj!$1:$1048576,V$2,FALSE)</f>
        <v>8.2856109609999997</v>
      </c>
      <c r="W216" s="347">
        <f>+VLOOKUP($E216,Primary_nrj!$1:$1048576,W$2,FALSE)</f>
        <v>8.2862246979999998</v>
      </c>
      <c r="X216" s="347">
        <f>+VLOOKUP($E216,Primary_nrj!$1:$1048576,X$2,FALSE)</f>
        <v>8.2845759589999997</v>
      </c>
      <c r="Y216" s="347">
        <f>+VLOOKUP($E216,Primary_nrj!$1:$1048576,Y$2,FALSE)</f>
        <v>8.2814961</v>
      </c>
      <c r="Z216" s="347">
        <f>+VLOOKUP($E216,Primary_nrj!$1:$1048576,Z$2,FALSE)</f>
        <v>8.2775610680000007</v>
      </c>
      <c r="AA216" s="347">
        <f>+VLOOKUP($E216,Primary_nrj!$1:$1048576,AA$2,FALSE)</f>
        <v>8.2731805779999998</v>
      </c>
      <c r="AB216" s="347">
        <f>+VLOOKUP($E216,Primary_nrj!$1:$1048576,AB$2,FALSE)</f>
        <v>8.2686547029999993</v>
      </c>
      <c r="AC216" s="347">
        <f>+VLOOKUP($E216,Primary_nrj!$1:$1048576,AC$2,FALSE)</f>
        <v>8.2642092890000001</v>
      </c>
      <c r="AD216" s="347">
        <f>+VLOOKUP($E216,Primary_nrj!$1:$1048576,AD$2,FALSE)</f>
        <v>8.2600185130000003</v>
      </c>
      <c r="AE216" s="347">
        <f>+VLOOKUP($E216,Primary_nrj!$1:$1048576,AE$2,FALSE)</f>
        <v>8.2562196960000005</v>
      </c>
      <c r="AF216" s="347">
        <f>+VLOOKUP($E216,Primary_nrj!$1:$1048576,AF$2,FALSE)</f>
        <v>8.2529233939999997</v>
      </c>
      <c r="AG216" s="347">
        <f>+VLOOKUP($E216,Primary_nrj!$1:$1048576,AG$2,FALSE)</f>
        <v>8.2502205180000008</v>
      </c>
      <c r="AH216" s="347">
        <f>+VLOOKUP($E216,Primary_nrj!$1:$1048576,AH$2,FALSE)</f>
        <v>8.2481875079999991</v>
      </c>
      <c r="AI216" s="347">
        <f>+VLOOKUP($E216,Primary_nrj!$1:$1048576,AI$2,FALSE)</f>
        <v>8.2468901859999999</v>
      </c>
      <c r="AJ216" s="347">
        <f>+VLOOKUP($E216,Primary_nrj!$1:$1048576,AJ$2,FALSE)</f>
        <v>8.2463866849999992</v>
      </c>
      <c r="AK216" s="347">
        <f>+VLOOKUP($E216,Primary_nrj!$1:$1048576,AK$2,FALSE)</f>
        <v>8.2467296720000007</v>
      </c>
      <c r="AL216" s="347">
        <f>+VLOOKUP($E216,Primary_nrj!$1:$1048576,AL$2,FALSE)</f>
        <v>8.2479680420000001</v>
      </c>
      <c r="AM216" s="347">
        <f>+VLOOKUP($E216,Primary_nrj!$1:$1048576,AM$2,FALSE)</f>
        <v>8.2501481830000003</v>
      </c>
      <c r="AN216" s="347">
        <f>+VLOOKUP($E216,Primary_nrj!$1:$1048576,AN$2,FALSE)</f>
        <v>8.253314906</v>
      </c>
      <c r="AO216" s="347">
        <f>+VLOOKUP($E216,Primary_nrj!$1:$1048576,AO$2,FALSE)</f>
        <v>8.2575120880000004</v>
      </c>
    </row>
    <row r="217" spans="1:43" s="307" customFormat="1" ht="15" customHeight="1" x14ac:dyDescent="0.25">
      <c r="A217" s="392"/>
      <c r="B217" s="393"/>
      <c r="C217" s="338"/>
      <c r="D217" s="340" t="s">
        <v>1890</v>
      </c>
      <c r="E217" s="310" t="s">
        <v>1907</v>
      </c>
      <c r="F217" s="346">
        <f>+VLOOKUP($E217,Primary_nrj!$1:$1048576,F$2,FALSE)</f>
        <v>7.9355360250000002</v>
      </c>
      <c r="G217" s="346">
        <f>+VLOOKUP($E217,Primary_nrj!$1:$1048576,G$2,FALSE)</f>
        <v>7.9839831429999997</v>
      </c>
      <c r="H217" s="346">
        <f>+VLOOKUP($E217,Primary_nrj!$1:$1048576,H$2,FALSE)</f>
        <v>8.0145868960000008</v>
      </c>
      <c r="I217" s="346">
        <f>+VLOOKUP($E217,Primary_nrj!$1:$1048576,I$2,FALSE)</f>
        <v>8.0387744330000004</v>
      </c>
      <c r="J217" s="346">
        <f>+VLOOKUP($E217,Primary_nrj!$1:$1048576,J$2,FALSE)</f>
        <v>8.0606897889999995</v>
      </c>
      <c r="K217" s="346">
        <f>+VLOOKUP($E217,Primary_nrj!$1:$1048576,K$2,FALSE)</f>
        <v>8.0809697239999991</v>
      </c>
      <c r="L217" s="346">
        <f>+VLOOKUP($E217,Primary_nrj!$1:$1048576,L$2,FALSE)</f>
        <v>8.1006529559999993</v>
      </c>
      <c r="M217" s="346">
        <f>+VLOOKUP($E217,Primary_nrj!$1:$1048576,M$2,FALSE)</f>
        <v>8.1215149209999993</v>
      </c>
      <c r="N217" s="346">
        <f>+VLOOKUP($E217,Primary_nrj!$1:$1048576,N$2,FALSE)</f>
        <v>8.144054122</v>
      </c>
      <c r="O217" s="346">
        <f>+VLOOKUP($E217,Primary_nrj!$1:$1048576,O$2,FALSE)</f>
        <v>8.1679440509999992</v>
      </c>
      <c r="P217" s="346">
        <f>+VLOOKUP($E217,Primary_nrj!$1:$1048576,P$2,FALSE)</f>
        <v>8.1923757459999997</v>
      </c>
      <c r="Q217" s="346">
        <f>+VLOOKUP($E217,Primary_nrj!$1:$1048576,Q$2,FALSE)</f>
        <v>8.2162685240000002</v>
      </c>
      <c r="R217" s="346">
        <f>+VLOOKUP($E217,Primary_nrj!$1:$1048576,R$2,FALSE)</f>
        <v>8.2383993180000008</v>
      </c>
      <c r="S217" s="346">
        <f>+VLOOKUP($E217,Primary_nrj!$1:$1048576,S$2,FALSE)</f>
        <v>8.2574886670000005</v>
      </c>
      <c r="T217" s="346">
        <f>+VLOOKUP($E217,Primary_nrj!$1:$1048576,T$2,FALSE)</f>
        <v>8.2722653570000002</v>
      </c>
      <c r="U217" s="346">
        <f>+VLOOKUP($E217,Primary_nrj!$1:$1048576,U$2,FALSE)</f>
        <v>8.2815209789999997</v>
      </c>
      <c r="V217" s="346">
        <f>+VLOOKUP($E217,Primary_nrj!$1:$1048576,V$2,FALSE)</f>
        <v>8.2856109609999997</v>
      </c>
      <c r="W217" s="346">
        <f>+VLOOKUP($E217,Primary_nrj!$1:$1048576,W$2,FALSE)</f>
        <v>8.2862246979999998</v>
      </c>
      <c r="X217" s="346">
        <f>+VLOOKUP($E217,Primary_nrj!$1:$1048576,X$2,FALSE)</f>
        <v>8.2845759589999997</v>
      </c>
      <c r="Y217" s="346">
        <f>+VLOOKUP($E217,Primary_nrj!$1:$1048576,Y$2,FALSE)</f>
        <v>8.2814961</v>
      </c>
      <c r="Z217" s="346">
        <f>+VLOOKUP($E217,Primary_nrj!$1:$1048576,Z$2,FALSE)</f>
        <v>8.2775610680000007</v>
      </c>
      <c r="AA217" s="346">
        <f>+VLOOKUP($E217,Primary_nrj!$1:$1048576,AA$2,FALSE)</f>
        <v>8.2731805779999998</v>
      </c>
      <c r="AB217" s="346">
        <f>+VLOOKUP($E217,Primary_nrj!$1:$1048576,AB$2,FALSE)</f>
        <v>8.2686547029999993</v>
      </c>
      <c r="AC217" s="346">
        <f>+VLOOKUP($E217,Primary_nrj!$1:$1048576,AC$2,FALSE)</f>
        <v>8.2642092890000001</v>
      </c>
      <c r="AD217" s="346">
        <f>+VLOOKUP($E217,Primary_nrj!$1:$1048576,AD$2,FALSE)</f>
        <v>8.2600185130000003</v>
      </c>
      <c r="AE217" s="346">
        <f>+VLOOKUP($E217,Primary_nrj!$1:$1048576,AE$2,FALSE)</f>
        <v>8.2562196960000005</v>
      </c>
      <c r="AF217" s="346">
        <f>+VLOOKUP($E217,Primary_nrj!$1:$1048576,AF$2,FALSE)</f>
        <v>8.2529233939999997</v>
      </c>
      <c r="AG217" s="346">
        <f>+VLOOKUP($E217,Primary_nrj!$1:$1048576,AG$2,FALSE)</f>
        <v>8.2502205180000008</v>
      </c>
      <c r="AH217" s="346">
        <f>+VLOOKUP($E217,Primary_nrj!$1:$1048576,AH$2,FALSE)</f>
        <v>8.2481875079999991</v>
      </c>
      <c r="AI217" s="346">
        <f>+VLOOKUP($E217,Primary_nrj!$1:$1048576,AI$2,FALSE)</f>
        <v>8.2468901859999999</v>
      </c>
      <c r="AJ217" s="346">
        <f>+VLOOKUP($E217,Primary_nrj!$1:$1048576,AJ$2,FALSE)</f>
        <v>8.2463866849999992</v>
      </c>
      <c r="AK217" s="346">
        <f>+VLOOKUP($E217,Primary_nrj!$1:$1048576,AK$2,FALSE)</f>
        <v>8.2467296720000007</v>
      </c>
      <c r="AL217" s="346">
        <f>+VLOOKUP($E217,Primary_nrj!$1:$1048576,AL$2,FALSE)</f>
        <v>8.2479680420000001</v>
      </c>
      <c r="AM217" s="346">
        <f>+VLOOKUP($E217,Primary_nrj!$1:$1048576,AM$2,FALSE)</f>
        <v>8.2501481830000003</v>
      </c>
      <c r="AN217" s="346">
        <f>+VLOOKUP($E217,Primary_nrj!$1:$1048576,AN$2,FALSE)</f>
        <v>8.253314906</v>
      </c>
      <c r="AO217" s="346">
        <f>+VLOOKUP($E217,Primary_nrj!$1:$1048576,AO$2,FALSE)</f>
        <v>8.2575120880000004</v>
      </c>
      <c r="AP217" s="73"/>
      <c r="AQ217" s="73"/>
    </row>
    <row r="218" spans="1:43" s="108" customFormat="1" ht="15" customHeight="1" x14ac:dyDescent="0.25">
      <c r="A218" s="392"/>
      <c r="B218" s="393"/>
      <c r="C218" s="335" t="s">
        <v>542</v>
      </c>
      <c r="D218" s="339"/>
      <c r="E218" s="337" t="s">
        <v>571</v>
      </c>
      <c r="F218" s="347">
        <f>+VLOOKUP($E218,Primary_nrj!$1:$1048576,F$2,FALSE)</f>
        <v>6.597728</v>
      </c>
      <c r="G218" s="347">
        <f>+VLOOKUP($E218,Primary_nrj!$1:$1048576,G$2,FALSE)</f>
        <v>6.6023132579999997</v>
      </c>
      <c r="H218" s="347">
        <f>+VLOOKUP($E218,Primary_nrj!$1:$1048576,H$2,FALSE)</f>
        <v>6.5798666490000004</v>
      </c>
      <c r="I218" s="347">
        <f>+VLOOKUP($E218,Primary_nrj!$1:$1048576,I$2,FALSE)</f>
        <v>6.5467763809999999</v>
      </c>
      <c r="J218" s="347">
        <f>+VLOOKUP($E218,Primary_nrj!$1:$1048576,J$2,FALSE)</f>
        <v>6.5080885789999998</v>
      </c>
      <c r="K218" s="347">
        <f>+VLOOKUP($E218,Primary_nrj!$1:$1048576,K$2,FALSE)</f>
        <v>6.4644390879999998</v>
      </c>
      <c r="L218" s="347">
        <f>+VLOOKUP($E218,Primary_nrj!$1:$1048576,L$2,FALSE)</f>
        <v>6.4213775010000003</v>
      </c>
      <c r="M218" s="347">
        <f>+VLOOKUP($E218,Primary_nrj!$1:$1048576,M$2,FALSE)</f>
        <v>6.3850269920000002</v>
      </c>
      <c r="N218" s="347">
        <f>+VLOOKUP($E218,Primary_nrj!$1:$1048576,N$2,FALSE)</f>
        <v>6.354881539</v>
      </c>
      <c r="O218" s="347">
        <f>+VLOOKUP($E218,Primary_nrj!$1:$1048576,O$2,FALSE)</f>
        <v>6.3284719149999997</v>
      </c>
      <c r="P218" s="347">
        <f>+VLOOKUP($E218,Primary_nrj!$1:$1048576,P$2,FALSE)</f>
        <v>6.3031777739999999</v>
      </c>
      <c r="Q218" s="347">
        <f>+VLOOKUP($E218,Primary_nrj!$1:$1048576,Q$2,FALSE)</f>
        <v>6.2768809020000003</v>
      </c>
      <c r="R218" s="347">
        <f>+VLOOKUP($E218,Primary_nrj!$1:$1048576,R$2,FALSE)</f>
        <v>6.248162582</v>
      </c>
      <c r="S218" s="347">
        <f>+VLOOKUP($E218,Primary_nrj!$1:$1048576,S$2,FALSE)</f>
        <v>6.2163283170000003</v>
      </c>
      <c r="T218" s="347">
        <f>+VLOOKUP($E218,Primary_nrj!$1:$1048576,T$2,FALSE)</f>
        <v>6.1813630069999999</v>
      </c>
      <c r="U218" s="347">
        <f>+VLOOKUP($E218,Primary_nrj!$1:$1048576,U$2,FALSE)</f>
        <v>6.1438464479999997</v>
      </c>
      <c r="V218" s="347">
        <f>+VLOOKUP($E218,Primary_nrj!$1:$1048576,V$2,FALSE)</f>
        <v>6.1075439429999996</v>
      </c>
      <c r="W218" s="347">
        <f>+VLOOKUP($E218,Primary_nrj!$1:$1048576,W$2,FALSE)</f>
        <v>6.076631989</v>
      </c>
      <c r="X218" s="347">
        <f>+VLOOKUP($E218,Primary_nrj!$1:$1048576,X$2,FALSE)</f>
        <v>6.0520068179999997</v>
      </c>
      <c r="Y218" s="347">
        <f>+VLOOKUP($E218,Primary_nrj!$1:$1048576,Y$2,FALSE)</f>
        <v>6.0333399270000001</v>
      </c>
      <c r="Z218" s="347">
        <f>+VLOOKUP($E218,Primary_nrj!$1:$1048576,Z$2,FALSE)</f>
        <v>6.0199343069999998</v>
      </c>
      <c r="AA218" s="347">
        <f>+VLOOKUP($E218,Primary_nrj!$1:$1048576,AA$2,FALSE)</f>
        <v>6.0110661480000003</v>
      </c>
      <c r="AB218" s="347">
        <f>+VLOOKUP($E218,Primary_nrj!$1:$1048576,AB$2,FALSE)</f>
        <v>6.006104219</v>
      </c>
      <c r="AC218" s="347">
        <f>+VLOOKUP($E218,Primary_nrj!$1:$1048576,AC$2,FALSE)</f>
        <v>6.0045364360000004</v>
      </c>
      <c r="AD218" s="347">
        <f>+VLOOKUP($E218,Primary_nrj!$1:$1048576,AD$2,FALSE)</f>
        <v>6.0059610409999999</v>
      </c>
      <c r="AE218" s="347">
        <f>+VLOOKUP($E218,Primary_nrj!$1:$1048576,AE$2,FALSE)</f>
        <v>6.0100672489999996</v>
      </c>
      <c r="AF218" s="347">
        <f>+VLOOKUP($E218,Primary_nrj!$1:$1048576,AF$2,FALSE)</f>
        <v>6.0166154069999997</v>
      </c>
      <c r="AG218" s="347">
        <f>+VLOOKUP($E218,Primary_nrj!$1:$1048576,AG$2,FALSE)</f>
        <v>6.0254201419999998</v>
      </c>
      <c r="AH218" s="347">
        <f>+VLOOKUP($E218,Primary_nrj!$1:$1048576,AH$2,FALSE)</f>
        <v>6.0363371399999997</v>
      </c>
      <c r="AI218" s="347">
        <f>+VLOOKUP($E218,Primary_nrj!$1:$1048576,AI$2,FALSE)</f>
        <v>6.0492531170000001</v>
      </c>
      <c r="AJ218" s="347">
        <f>+VLOOKUP($E218,Primary_nrj!$1:$1048576,AJ$2,FALSE)</f>
        <v>6.0640783779999996</v>
      </c>
      <c r="AK218" s="347">
        <f>+VLOOKUP($E218,Primary_nrj!$1:$1048576,AK$2,FALSE)</f>
        <v>6.0807411800000004</v>
      </c>
      <c r="AL218" s="347">
        <f>+VLOOKUP($E218,Primary_nrj!$1:$1048576,AL$2,FALSE)</f>
        <v>6.0991834630000001</v>
      </c>
      <c r="AM218" s="347">
        <f>+VLOOKUP($E218,Primary_nrj!$1:$1048576,AM$2,FALSE)</f>
        <v>6.1193574890000004</v>
      </c>
      <c r="AN218" s="347">
        <f>+VLOOKUP($E218,Primary_nrj!$1:$1048576,AN$2,FALSE)</f>
        <v>6.1412231500000001</v>
      </c>
      <c r="AO218" s="347">
        <f>+VLOOKUP($E218,Primary_nrj!$1:$1048576,AO$2,FALSE)</f>
        <v>6.1647457140000004</v>
      </c>
    </row>
    <row r="219" spans="1:43" s="307" customFormat="1" ht="15" customHeight="1" x14ac:dyDescent="0.25">
      <c r="A219" s="392"/>
      <c r="B219" s="393"/>
      <c r="C219" s="338"/>
      <c r="D219" s="340" t="s">
        <v>547</v>
      </c>
      <c r="E219" s="310" t="s">
        <v>1908</v>
      </c>
      <c r="F219" s="346">
        <f>+VLOOKUP($E219,Primary_nrj!$1:$1048576,F$2,FALSE)</f>
        <v>1.200893</v>
      </c>
      <c r="G219" s="346">
        <f>+VLOOKUP($E219,Primary_nrj!$1:$1048576,G$2,FALSE)</f>
        <v>1.201727591</v>
      </c>
      <c r="H219" s="346">
        <f>+VLOOKUP($E219,Primary_nrj!$1:$1048576,H$2,FALSE)</f>
        <v>1.1976419460000001</v>
      </c>
      <c r="I219" s="346">
        <f>+VLOOKUP($E219,Primary_nrj!$1:$1048576,I$2,FALSE)</f>
        <v>1.1916189829999999</v>
      </c>
      <c r="J219" s="346">
        <f>+VLOOKUP($E219,Primary_nrj!$1:$1048576,J$2,FALSE)</f>
        <v>1.1845771780000001</v>
      </c>
      <c r="K219" s="346">
        <f>+VLOOKUP($E219,Primary_nrj!$1:$1048576,K$2,FALSE)</f>
        <v>1.1766322659999999</v>
      </c>
      <c r="L219" s="346">
        <f>+VLOOKUP($E219,Primary_nrj!$1:$1048576,L$2,FALSE)</f>
        <v>1.1687943629999999</v>
      </c>
      <c r="M219" s="346">
        <f>+VLOOKUP($E219,Primary_nrj!$1:$1048576,M$2,FALSE)</f>
        <v>1.1621779830000001</v>
      </c>
      <c r="N219" s="346">
        <f>+VLOOKUP($E219,Primary_nrj!$1:$1048576,N$2,FALSE)</f>
        <v>1.1566910239999999</v>
      </c>
      <c r="O219" s="346">
        <f>+VLOOKUP($E219,Primary_nrj!$1:$1048576,O$2,FALSE)</f>
        <v>1.1518840459999999</v>
      </c>
      <c r="P219" s="346">
        <f>+VLOOKUP($E219,Primary_nrj!$1:$1048576,P$2,FALSE)</f>
        <v>1.147280104</v>
      </c>
      <c r="Q219" s="346">
        <f>+VLOOKUP($E219,Primary_nrj!$1:$1048576,Q$2,FALSE)</f>
        <v>1.1424936489999999</v>
      </c>
      <c r="R219" s="346">
        <f>+VLOOKUP($E219,Primary_nrj!$1:$1048576,R$2,FALSE)</f>
        <v>1.1372664509999999</v>
      </c>
      <c r="S219" s="346">
        <f>+VLOOKUP($E219,Primary_nrj!$1:$1048576,S$2,FALSE)</f>
        <v>1.131472101</v>
      </c>
      <c r="T219" s="346">
        <f>+VLOOKUP($E219,Primary_nrj!$1:$1048576,T$2,FALSE)</f>
        <v>1.12510785</v>
      </c>
      <c r="U219" s="346">
        <f>+VLOOKUP($E219,Primary_nrj!$1:$1048576,U$2,FALSE)</f>
        <v>1.118279231</v>
      </c>
      <c r="V219" s="346">
        <f>+VLOOKUP($E219,Primary_nrj!$1:$1048576,V$2,FALSE)</f>
        <v>1.111671589</v>
      </c>
      <c r="W219" s="346">
        <f>+VLOOKUP($E219,Primary_nrj!$1:$1048576,W$2,FALSE)</f>
        <v>1.1060451140000001</v>
      </c>
      <c r="X219" s="346">
        <f>+VLOOKUP($E219,Primary_nrj!$1:$1048576,X$2,FALSE)</f>
        <v>1.1015629360000001</v>
      </c>
      <c r="Y219" s="346">
        <f>+VLOOKUP($E219,Primary_nrj!$1:$1048576,Y$2,FALSE)</f>
        <v>1.09816526</v>
      </c>
      <c r="Z219" s="346">
        <f>+VLOOKUP($E219,Primary_nrj!$1:$1048576,Z$2,FALSE)</f>
        <v>1.0957252209999999</v>
      </c>
      <c r="AA219" s="346">
        <f>+VLOOKUP($E219,Primary_nrj!$1:$1048576,AA$2,FALSE)</f>
        <v>1.0941110730000001</v>
      </c>
      <c r="AB219" s="346">
        <f>+VLOOKUP($E219,Primary_nrj!$1:$1048576,AB$2,FALSE)</f>
        <v>1.0932079219999999</v>
      </c>
      <c r="AC219" s="346">
        <f>+VLOOKUP($E219,Primary_nrj!$1:$1048576,AC$2,FALSE)</f>
        <v>1.0929225600000001</v>
      </c>
      <c r="AD219" s="346">
        <f>+VLOOKUP($E219,Primary_nrj!$1:$1048576,AD$2,FALSE)</f>
        <v>1.0931818609999999</v>
      </c>
      <c r="AE219" s="346">
        <f>+VLOOKUP($E219,Primary_nrj!$1:$1048576,AE$2,FALSE)</f>
        <v>1.0939292570000001</v>
      </c>
      <c r="AF219" s="346">
        <f>+VLOOKUP($E219,Primary_nrj!$1:$1048576,AF$2,FALSE)</f>
        <v>1.0951211270000001</v>
      </c>
      <c r="AG219" s="346">
        <f>+VLOOKUP($E219,Primary_nrj!$1:$1048576,AG$2,FALSE)</f>
        <v>1.096723731</v>
      </c>
      <c r="AH219" s="346">
        <f>+VLOOKUP($E219,Primary_nrj!$1:$1048576,AH$2,FALSE)</f>
        <v>1.098710801</v>
      </c>
      <c r="AI219" s="346">
        <f>+VLOOKUP($E219,Primary_nrj!$1:$1048576,AI$2,FALSE)</f>
        <v>1.101061718</v>
      </c>
      <c r="AJ219" s="346">
        <f>+VLOOKUP($E219,Primary_nrj!$1:$1048576,AJ$2,FALSE)</f>
        <v>1.1037601539999999</v>
      </c>
      <c r="AK219" s="346">
        <f>+VLOOKUP($E219,Primary_nrj!$1:$1048576,AK$2,FALSE)</f>
        <v>1.1067930530000001</v>
      </c>
      <c r="AL219" s="346">
        <f>+VLOOKUP($E219,Primary_nrj!$1:$1048576,AL$2,FALSE)</f>
        <v>1.1101498460000001</v>
      </c>
      <c r="AM219" s="346">
        <f>+VLOOKUP($E219,Primary_nrj!$1:$1048576,AM$2,FALSE)</f>
        <v>1.1138218449999999</v>
      </c>
      <c r="AN219" s="346">
        <f>+VLOOKUP($E219,Primary_nrj!$1:$1048576,AN$2,FALSE)</f>
        <v>1.117801748</v>
      </c>
      <c r="AO219" s="346">
        <f>+VLOOKUP($E219,Primary_nrj!$1:$1048576,AO$2,FALSE)</f>
        <v>1.122083234</v>
      </c>
      <c r="AP219" s="73"/>
      <c r="AQ219" s="73"/>
    </row>
    <row r="220" spans="1:43" s="307" customFormat="1" ht="15" customHeight="1" x14ac:dyDescent="0.25">
      <c r="A220" s="392"/>
      <c r="B220" s="393"/>
      <c r="C220" s="338"/>
      <c r="D220" s="340" t="s">
        <v>547</v>
      </c>
      <c r="E220" s="310" t="s">
        <v>1992</v>
      </c>
      <c r="F220" s="346">
        <f>+VLOOKUP($E220,Primary_nrj!$1:$1048576,F$2,FALSE)</f>
        <v>4.1474250000000001</v>
      </c>
      <c r="G220" s="346">
        <f>+VLOOKUP($E220,Primary_nrj!$1:$1048576,G$2,FALSE)</f>
        <v>4.1503073580000001</v>
      </c>
      <c r="H220" s="346">
        <f>+VLOOKUP($E220,Primary_nrj!$1:$1048576,H$2,FALSE)</f>
        <v>4.1361971029999998</v>
      </c>
      <c r="I220" s="346">
        <f>+VLOOKUP($E220,Primary_nrj!$1:$1048576,I$2,FALSE)</f>
        <v>4.1153960930000002</v>
      </c>
      <c r="J220" s="346">
        <f>+VLOOKUP($E220,Primary_nrj!$1:$1048576,J$2,FALSE)</f>
        <v>4.0910763939999999</v>
      </c>
      <c r="K220" s="346">
        <f>+VLOOKUP($E220,Primary_nrj!$1:$1048576,K$2,FALSE)</f>
        <v>4.0636377069999998</v>
      </c>
      <c r="L220" s="346">
        <f>+VLOOKUP($E220,Primary_nrj!$1:$1048576,L$2,FALSE)</f>
        <v>4.0365685859999996</v>
      </c>
      <c r="M220" s="346">
        <f>+VLOOKUP($E220,Primary_nrj!$1:$1048576,M$2,FALSE)</f>
        <v>4.0137181420000001</v>
      </c>
      <c r="N220" s="346">
        <f>+VLOOKUP($E220,Primary_nrj!$1:$1048576,N$2,FALSE)</f>
        <v>3.9947682850000001</v>
      </c>
      <c r="O220" s="346">
        <f>+VLOOKUP($E220,Primary_nrj!$1:$1048576,O$2,FALSE)</f>
        <v>3.9781668219999999</v>
      </c>
      <c r="P220" s="346">
        <f>+VLOOKUP($E220,Primary_nrj!$1:$1048576,P$2,FALSE)</f>
        <v>3.962266568</v>
      </c>
      <c r="Q220" s="346">
        <f>+VLOOKUP($E220,Primary_nrj!$1:$1048576,Q$2,FALSE)</f>
        <v>3.9457359830000001</v>
      </c>
      <c r="R220" s="346">
        <f>+VLOOKUP($E220,Primary_nrj!$1:$1048576,R$2,FALSE)</f>
        <v>3.927683241</v>
      </c>
      <c r="S220" s="346">
        <f>+VLOOKUP($E220,Primary_nrj!$1:$1048576,S$2,FALSE)</f>
        <v>3.9076717730000001</v>
      </c>
      <c r="T220" s="346">
        <f>+VLOOKUP($E220,Primary_nrj!$1:$1048576,T$2,FALSE)</f>
        <v>3.8856920850000001</v>
      </c>
      <c r="U220" s="346">
        <f>+VLOOKUP($E220,Primary_nrj!$1:$1048576,U$2,FALSE)</f>
        <v>3.8621086459999998</v>
      </c>
      <c r="V220" s="346">
        <f>+VLOOKUP($E220,Primary_nrj!$1:$1048576,V$2,FALSE)</f>
        <v>3.8392883790000001</v>
      </c>
      <c r="W220" s="346">
        <f>+VLOOKUP($E220,Primary_nrj!$1:$1048576,W$2,FALSE)</f>
        <v>3.8198566879999998</v>
      </c>
      <c r="X220" s="346">
        <f>+VLOOKUP($E220,Primary_nrj!$1:$1048576,X$2,FALSE)</f>
        <v>3.8043769580000002</v>
      </c>
      <c r="Y220" s="346">
        <f>+VLOOKUP($E220,Primary_nrj!$1:$1048576,Y$2,FALSE)</f>
        <v>3.7926426860000002</v>
      </c>
      <c r="Z220" s="346">
        <f>+VLOOKUP($E220,Primary_nrj!$1:$1048576,Z$2,FALSE)</f>
        <v>3.7842157240000001</v>
      </c>
      <c r="AA220" s="346">
        <f>+VLOOKUP($E220,Primary_nrj!$1:$1048576,AA$2,FALSE)</f>
        <v>3.7786410739999998</v>
      </c>
      <c r="AB220" s="346">
        <f>+VLOOKUP($E220,Primary_nrj!$1:$1048576,AB$2,FALSE)</f>
        <v>3.7755219360000001</v>
      </c>
      <c r="AC220" s="346">
        <f>+VLOOKUP($E220,Primary_nrj!$1:$1048576,AC$2,FALSE)</f>
        <v>3.7745364050000001</v>
      </c>
      <c r="AD220" s="346">
        <f>+VLOOKUP($E220,Primary_nrj!$1:$1048576,AD$2,FALSE)</f>
        <v>3.775431932</v>
      </c>
      <c r="AE220" s="346">
        <f>+VLOOKUP($E220,Primary_nrj!$1:$1048576,AE$2,FALSE)</f>
        <v>3.7780131529999998</v>
      </c>
      <c r="AF220" s="346">
        <f>+VLOOKUP($E220,Primary_nrj!$1:$1048576,AF$2,FALSE)</f>
        <v>3.7821294170000002</v>
      </c>
      <c r="AG220" s="346">
        <f>+VLOOKUP($E220,Primary_nrj!$1:$1048576,AG$2,FALSE)</f>
        <v>3.7876641979999999</v>
      </c>
      <c r="AH220" s="346">
        <f>+VLOOKUP($E220,Primary_nrj!$1:$1048576,AH$2,FALSE)</f>
        <v>3.7945267770000002</v>
      </c>
      <c r="AI220" s="346">
        <f>+VLOOKUP($E220,Primary_nrj!$1:$1048576,AI$2,FALSE)</f>
        <v>3.8026459429999999</v>
      </c>
      <c r="AJ220" s="346">
        <f>+VLOOKUP($E220,Primary_nrj!$1:$1048576,AJ$2,FALSE)</f>
        <v>3.8119653109999998</v>
      </c>
      <c r="AK220" s="346">
        <f>+VLOOKUP($E220,Primary_nrj!$1:$1048576,AK$2,FALSE)</f>
        <v>3.8224397840000002</v>
      </c>
      <c r="AL220" s="346">
        <f>+VLOOKUP($E220,Primary_nrj!$1:$1048576,AL$2,FALSE)</f>
        <v>3.834032863</v>
      </c>
      <c r="AM220" s="346">
        <f>+VLOOKUP($E220,Primary_nrj!$1:$1048576,AM$2,FALSE)</f>
        <v>3.8467145409999999</v>
      </c>
      <c r="AN220" s="346">
        <f>+VLOOKUP($E220,Primary_nrj!$1:$1048576,AN$2,FALSE)</f>
        <v>3.8604596039999999</v>
      </c>
      <c r="AO220" s="346">
        <f>+VLOOKUP($E220,Primary_nrj!$1:$1048576,AO$2,FALSE)</f>
        <v>3.8752462200000002</v>
      </c>
      <c r="AP220" s="73"/>
      <c r="AQ220" s="73"/>
    </row>
    <row r="221" spans="1:43" s="73" customFormat="1" ht="15" customHeight="1" x14ac:dyDescent="0.25">
      <c r="A221" s="392"/>
      <c r="B221" s="393"/>
      <c r="C221" s="335"/>
      <c r="D221" s="340" t="s">
        <v>547</v>
      </c>
      <c r="E221" s="310" t="s">
        <v>556</v>
      </c>
      <c r="F221" s="346">
        <f>+VLOOKUP($E221,Primary_nrj!$1:$1048576,F$2,FALSE)</f>
        <v>0.52361599999999997</v>
      </c>
      <c r="G221" s="346">
        <f>+VLOOKUP($E221,Primary_nrj!$1:$1048576,G$2,FALSE)</f>
        <v>0.52397990019999996</v>
      </c>
      <c r="H221" s="346">
        <f>+VLOOKUP($E221,Primary_nrj!$1:$1048576,H$2,FALSE)</f>
        <v>0.52219846820000004</v>
      </c>
      <c r="I221" s="346">
        <f>+VLOOKUP($E221,Primary_nrj!$1:$1048576,I$2,FALSE)</f>
        <v>0.51957232269999998</v>
      </c>
      <c r="J221" s="346">
        <f>+VLOOKUP($E221,Primary_nrj!$1:$1048576,J$2,FALSE)</f>
        <v>0.51650193960000002</v>
      </c>
      <c r="K221" s="346">
        <f>+VLOOKUP($E221,Primary_nrj!$1:$1048576,K$2,FALSE)</f>
        <v>0.51303778170000003</v>
      </c>
      <c r="L221" s="346">
        <f>+VLOOKUP($E221,Primary_nrj!$1:$1048576,L$2,FALSE)</f>
        <v>0.50962028169999996</v>
      </c>
      <c r="M221" s="346">
        <f>+VLOOKUP($E221,Primary_nrj!$1:$1048576,M$2,FALSE)</f>
        <v>0.50673539339999996</v>
      </c>
      <c r="N221" s="346">
        <f>+VLOOKUP($E221,Primary_nrj!$1:$1048576,N$2,FALSE)</f>
        <v>0.50434295740000001</v>
      </c>
      <c r="O221" s="346">
        <f>+VLOOKUP($E221,Primary_nrj!$1:$1048576,O$2,FALSE)</f>
        <v>0.50224700840000003</v>
      </c>
      <c r="P221" s="346">
        <f>+VLOOKUP($E221,Primary_nrj!$1:$1048576,P$2,FALSE)</f>
        <v>0.50023958749999997</v>
      </c>
      <c r="Q221" s="346">
        <f>+VLOOKUP($E221,Primary_nrj!$1:$1048576,Q$2,FALSE)</f>
        <v>0.49815258690000003</v>
      </c>
      <c r="R221" s="346">
        <f>+VLOOKUP($E221,Primary_nrj!$1:$1048576,R$2,FALSE)</f>
        <v>0.49587341260000001</v>
      </c>
      <c r="S221" s="346">
        <f>+VLOOKUP($E221,Primary_nrj!$1:$1048576,S$2,FALSE)</f>
        <v>0.4933469473</v>
      </c>
      <c r="T221" s="346">
        <f>+VLOOKUP($E221,Primary_nrj!$1:$1048576,T$2,FALSE)</f>
        <v>0.49057199270000001</v>
      </c>
      <c r="U221" s="346">
        <f>+VLOOKUP($E221,Primary_nrj!$1:$1048576,U$2,FALSE)</f>
        <v>0.48759456309999999</v>
      </c>
      <c r="V221" s="346">
        <f>+VLOOKUP($E221,Primary_nrj!$1:$1048576,V$2,FALSE)</f>
        <v>0.48471348460000002</v>
      </c>
      <c r="W221" s="346">
        <f>+VLOOKUP($E221,Primary_nrj!$1:$1048576,W$2,FALSE)</f>
        <v>0.48226021679999997</v>
      </c>
      <c r="X221" s="346">
        <f>+VLOOKUP($E221,Primary_nrj!$1:$1048576,X$2,FALSE)</f>
        <v>0.48030588740000002</v>
      </c>
      <c r="Y221" s="346">
        <f>+VLOOKUP($E221,Primary_nrj!$1:$1048576,Y$2,FALSE)</f>
        <v>0.47882442549999998</v>
      </c>
      <c r="Z221" s="346">
        <f>+VLOOKUP($E221,Primary_nrj!$1:$1048576,Z$2,FALSE)</f>
        <v>0.47776051419999999</v>
      </c>
      <c r="AA221" s="346">
        <f>+VLOOKUP($E221,Primary_nrj!$1:$1048576,AA$2,FALSE)</f>
        <v>0.47705670979999998</v>
      </c>
      <c r="AB221" s="346">
        <f>+VLOOKUP($E221,Primary_nrj!$1:$1048576,AB$2,FALSE)</f>
        <v>0.47666291589999998</v>
      </c>
      <c r="AC221" s="346">
        <f>+VLOOKUP($E221,Primary_nrj!$1:$1048576,AC$2,FALSE)</f>
        <v>0.47653849180000002</v>
      </c>
      <c r="AD221" s="346">
        <f>+VLOOKUP($E221,Primary_nrj!$1:$1048576,AD$2,FALSE)</f>
        <v>0.4766515529</v>
      </c>
      <c r="AE221" s="346">
        <f>+VLOOKUP($E221,Primary_nrj!$1:$1048576,AE$2,FALSE)</f>
        <v>0.47697743419999999</v>
      </c>
      <c r="AF221" s="346">
        <f>+VLOOKUP($E221,Primary_nrj!$1:$1048576,AF$2,FALSE)</f>
        <v>0.47749711610000001</v>
      </c>
      <c r="AG221" s="346">
        <f>+VLOOKUP($E221,Primary_nrj!$1:$1048576,AG$2,FALSE)</f>
        <v>0.47819588699999999</v>
      </c>
      <c r="AH221" s="346">
        <f>+VLOOKUP($E221,Primary_nrj!$1:$1048576,AH$2,FALSE)</f>
        <v>0.47906229360000002</v>
      </c>
      <c r="AI221" s="346">
        <f>+VLOOKUP($E221,Primary_nrj!$1:$1048576,AI$2,FALSE)</f>
        <v>0.48008734530000002</v>
      </c>
      <c r="AJ221" s="346">
        <f>+VLOOKUP($E221,Primary_nrj!$1:$1048576,AJ$2,FALSE)</f>
        <v>0.48126392359999998</v>
      </c>
      <c r="AK221" s="346">
        <f>+VLOOKUP($E221,Primary_nrj!$1:$1048576,AK$2,FALSE)</f>
        <v>0.48258633490000002</v>
      </c>
      <c r="AL221" s="346">
        <f>+VLOOKUP($E221,Primary_nrj!$1:$1048576,AL$2,FALSE)</f>
        <v>0.48404997109999998</v>
      </c>
      <c r="AM221" s="346">
        <f>+VLOOKUP($E221,Primary_nrj!$1:$1048576,AM$2,FALSE)</f>
        <v>0.48565104399999998</v>
      </c>
      <c r="AN221" s="346">
        <f>+VLOOKUP($E221,Primary_nrj!$1:$1048576,AN$2,FALSE)</f>
        <v>0.48738637010000002</v>
      </c>
      <c r="AO221" s="346">
        <f>+VLOOKUP($E221,Primary_nrj!$1:$1048576,AO$2,FALSE)</f>
        <v>0.48925319319999999</v>
      </c>
    </row>
    <row r="222" spans="1:43" s="73" customFormat="1" ht="15" customHeight="1" x14ac:dyDescent="0.25">
      <c r="A222" s="392"/>
      <c r="B222" s="393"/>
      <c r="C222" s="335"/>
      <c r="D222" s="340" t="s">
        <v>548</v>
      </c>
      <c r="E222" s="310" t="s">
        <v>557</v>
      </c>
      <c r="F222" s="346">
        <f>+VLOOKUP($E222,Primary_nrj!$1:$1048576,F$2,FALSE)</f>
        <v>0.72579400000000005</v>
      </c>
      <c r="G222" s="346">
        <f>+VLOOKUP($E222,Primary_nrj!$1:$1048576,G$2,FALSE)</f>
        <v>0.72629840889999997</v>
      </c>
      <c r="H222" s="346">
        <f>+VLOOKUP($E222,Primary_nrj!$1:$1048576,H$2,FALSE)</f>
        <v>0.72382913250000003</v>
      </c>
      <c r="I222" s="346">
        <f>+VLOOKUP($E222,Primary_nrj!$1:$1048576,I$2,FALSE)</f>
        <v>0.72018898279999999</v>
      </c>
      <c r="J222" s="346">
        <f>+VLOOKUP($E222,Primary_nrj!$1:$1048576,J$2,FALSE)</f>
        <v>0.71593306690000003</v>
      </c>
      <c r="K222" s="346">
        <f>+VLOOKUP($E222,Primary_nrj!$1:$1048576,K$2,FALSE)</f>
        <v>0.71113133230000003</v>
      </c>
      <c r="L222" s="346">
        <f>+VLOOKUP($E222,Primary_nrj!$1:$1048576,L$2,FALSE)</f>
        <v>0.70639427119999998</v>
      </c>
      <c r="M222" s="346">
        <f>+VLOOKUP($E222,Primary_nrj!$1:$1048576,M$2,FALSE)</f>
        <v>0.70239547319999995</v>
      </c>
      <c r="N222" s="346">
        <f>+VLOOKUP($E222,Primary_nrj!$1:$1048576,N$2,FALSE)</f>
        <v>0.69907927270000003</v>
      </c>
      <c r="O222" s="346">
        <f>+VLOOKUP($E222,Primary_nrj!$1:$1048576,O$2,FALSE)</f>
        <v>0.69617403820000001</v>
      </c>
      <c r="P222" s="346">
        <f>+VLOOKUP($E222,Primary_nrj!$1:$1048576,P$2,FALSE)</f>
        <v>0.69339151440000002</v>
      </c>
      <c r="Q222" s="346">
        <f>+VLOOKUP($E222,Primary_nrj!$1:$1048576,Q$2,FALSE)</f>
        <v>0.69049868339999998</v>
      </c>
      <c r="R222" s="346">
        <f>+VLOOKUP($E222,Primary_nrj!$1:$1048576,R$2,FALSE)</f>
        <v>0.68733947699999998</v>
      </c>
      <c r="S222" s="346">
        <f>+VLOOKUP($E222,Primary_nrj!$1:$1048576,S$2,FALSE)</f>
        <v>0.68383749589999998</v>
      </c>
      <c r="T222" s="346">
        <f>+VLOOKUP($E222,Primary_nrj!$1:$1048576,T$2,FALSE)</f>
        <v>0.67999107910000001</v>
      </c>
      <c r="U222" s="346">
        <f>+VLOOKUP($E222,Primary_nrj!$1:$1048576,U$2,FALSE)</f>
        <v>0.6758640078</v>
      </c>
      <c r="V222" s="346">
        <f>+VLOOKUP($E222,Primary_nrj!$1:$1048576,V$2,FALSE)</f>
        <v>0.67187049060000004</v>
      </c>
      <c r="W222" s="346">
        <f>+VLOOKUP($E222,Primary_nrj!$1:$1048576,W$2,FALSE)</f>
        <v>0.66846996989999996</v>
      </c>
      <c r="X222" s="346">
        <f>+VLOOKUP($E222,Primary_nrj!$1:$1048576,X$2,FALSE)</f>
        <v>0.66576103720000002</v>
      </c>
      <c r="Y222" s="346">
        <f>+VLOOKUP($E222,Primary_nrj!$1:$1048576,Y$2,FALSE)</f>
        <v>0.6637075549</v>
      </c>
      <c r="Z222" s="346">
        <f>+VLOOKUP($E222,Primary_nrj!$1:$1048576,Z$2,FALSE)</f>
        <v>0.6622328475</v>
      </c>
      <c r="AA222" s="346">
        <f>+VLOOKUP($E222,Primary_nrj!$1:$1048576,AA$2,FALSE)</f>
        <v>0.66125729089999996</v>
      </c>
      <c r="AB222" s="346">
        <f>+VLOOKUP($E222,Primary_nrj!$1:$1048576,AB$2,FALSE)</f>
        <v>0.66071144569999996</v>
      </c>
      <c r="AC222" s="346">
        <f>+VLOOKUP($E222,Primary_nrj!$1:$1048576,AC$2,FALSE)</f>
        <v>0.66053897910000003</v>
      </c>
      <c r="AD222" s="346">
        <f>+VLOOKUP($E222,Primary_nrj!$1:$1048576,AD$2,FALSE)</f>
        <v>0.66069569530000005</v>
      </c>
      <c r="AE222" s="346">
        <f>+VLOOKUP($E222,Primary_nrj!$1:$1048576,AE$2,FALSE)</f>
        <v>0.66114740549999995</v>
      </c>
      <c r="AF222" s="346">
        <f>+VLOOKUP($E222,Primary_nrj!$1:$1048576,AF$2,FALSE)</f>
        <v>0.66186774640000001</v>
      </c>
      <c r="AG222" s="346">
        <f>+VLOOKUP($E222,Primary_nrj!$1:$1048576,AG$2,FALSE)</f>
        <v>0.66283632579999996</v>
      </c>
      <c r="AH222" s="346">
        <f>+VLOOKUP($E222,Primary_nrj!$1:$1048576,AH$2,FALSE)</f>
        <v>0.66403726829999998</v>
      </c>
      <c r="AI222" s="346">
        <f>+VLOOKUP($E222,Primary_nrj!$1:$1048576,AI$2,FALSE)</f>
        <v>0.66545811180000003</v>
      </c>
      <c r="AJ222" s="346">
        <f>+VLOOKUP($E222,Primary_nrj!$1:$1048576,AJ$2,FALSE)</f>
        <v>0.66708898920000004</v>
      </c>
      <c r="AK222" s="346">
        <f>+VLOOKUP($E222,Primary_nrj!$1:$1048576,AK$2,FALSE)</f>
        <v>0.66892200830000004</v>
      </c>
      <c r="AL222" s="346">
        <f>+VLOOKUP($E222,Primary_nrj!$1:$1048576,AL$2,FALSE)</f>
        <v>0.67095078210000003</v>
      </c>
      <c r="AM222" s="346">
        <f>+VLOOKUP($E222,Primary_nrj!$1:$1048576,AM$2,FALSE)</f>
        <v>0.67317005939999996</v>
      </c>
      <c r="AN222" s="346">
        <f>+VLOOKUP($E222,Primary_nrj!$1:$1048576,AN$2,FALSE)</f>
        <v>0.6755754276</v>
      </c>
      <c r="AO222" s="346">
        <f>+VLOOKUP($E222,Primary_nrj!$1:$1048576,AO$2,FALSE)</f>
        <v>0.6781630662</v>
      </c>
    </row>
    <row r="223" spans="1:43" s="108" customFormat="1" ht="15" customHeight="1" x14ac:dyDescent="0.25">
      <c r="A223" s="392"/>
      <c r="B223" s="393"/>
      <c r="C223" s="335" t="s">
        <v>543</v>
      </c>
      <c r="D223" s="339"/>
      <c r="E223" s="337" t="s">
        <v>572</v>
      </c>
      <c r="F223" s="347">
        <f>+VLOOKUP($E223,Primary_nrj!$1:$1048576,F$2,FALSE)</f>
        <v>57.462232999999998</v>
      </c>
      <c r="G223" s="347">
        <f>+VLOOKUP($E223,Primary_nrj!$1:$1048576,G$2,FALSE)</f>
        <v>57.898495699999998</v>
      </c>
      <c r="H223" s="347">
        <f>+VLOOKUP($E223,Primary_nrj!$1:$1048576,H$2,FALSE)</f>
        <v>58.243047019999999</v>
      </c>
      <c r="I223" s="347">
        <f>+VLOOKUP($E223,Primary_nrj!$1:$1048576,I$2,FALSE)</f>
        <v>58.562862760000002</v>
      </c>
      <c r="J223" s="347">
        <f>+VLOOKUP($E223,Primary_nrj!$1:$1048576,J$2,FALSE)</f>
        <v>58.886380389999999</v>
      </c>
      <c r="K223" s="347">
        <f>+VLOOKUP($E223,Primary_nrj!$1:$1048576,K$2,FALSE)</f>
        <v>59.22279391</v>
      </c>
      <c r="L223" s="347">
        <f>+VLOOKUP($E223,Primary_nrj!$1:$1048576,L$2,FALSE)</f>
        <v>59.569532440000003</v>
      </c>
      <c r="M223" s="347">
        <f>+VLOOKUP($E223,Primary_nrj!$1:$1048576,M$2,FALSE)</f>
        <v>59.922402239999997</v>
      </c>
      <c r="N223" s="347">
        <f>+VLOOKUP($E223,Primary_nrj!$1:$1048576,N$2,FALSE)</f>
        <v>60.282005140000003</v>
      </c>
      <c r="O223" s="347">
        <f>+VLOOKUP($E223,Primary_nrj!$1:$1048576,O$2,FALSE)</f>
        <v>60.649574110000003</v>
      </c>
      <c r="P223" s="347">
        <f>+VLOOKUP($E223,Primary_nrj!$1:$1048576,P$2,FALSE)</f>
        <v>61.025720649999997</v>
      </c>
      <c r="Q223" s="347">
        <f>+VLOOKUP($E223,Primary_nrj!$1:$1048576,Q$2,FALSE)</f>
        <v>61.410175160000001</v>
      </c>
      <c r="R223" s="347">
        <f>+VLOOKUP($E223,Primary_nrj!$1:$1048576,R$2,FALSE)</f>
        <v>61.801853360000003</v>
      </c>
      <c r="S223" s="347">
        <f>+VLOOKUP($E223,Primary_nrj!$1:$1048576,S$2,FALSE)</f>
        <v>62.199005409999998</v>
      </c>
      <c r="T223" s="347">
        <f>+VLOOKUP($E223,Primary_nrj!$1:$1048576,T$2,FALSE)</f>
        <v>62.599366860000003</v>
      </c>
      <c r="U223" s="347">
        <f>+VLOOKUP($E223,Primary_nrj!$1:$1048576,U$2,FALSE)</f>
        <v>63.000296030000001</v>
      </c>
      <c r="V223" s="347">
        <f>+VLOOKUP($E223,Primary_nrj!$1:$1048576,V$2,FALSE)</f>
        <v>63.39725524</v>
      </c>
      <c r="W223" s="347">
        <f>+VLOOKUP($E223,Primary_nrj!$1:$1048576,W$2,FALSE)</f>
        <v>63.787277520000004</v>
      </c>
      <c r="X223" s="347">
        <f>+VLOOKUP($E223,Primary_nrj!$1:$1048576,X$2,FALSE)</f>
        <v>64.171804609999995</v>
      </c>
      <c r="Y223" s="347">
        <f>+VLOOKUP($E223,Primary_nrj!$1:$1048576,Y$2,FALSE)</f>
        <v>64.553488130000005</v>
      </c>
      <c r="Z223" s="347">
        <f>+VLOOKUP($E223,Primary_nrj!$1:$1048576,Z$2,FALSE)</f>
        <v>64.935102610000001</v>
      </c>
      <c r="AA223" s="347">
        <f>+VLOOKUP($E223,Primary_nrj!$1:$1048576,AA$2,FALSE)</f>
        <v>65.319218090000007</v>
      </c>
      <c r="AB223" s="347">
        <f>+VLOOKUP($E223,Primary_nrj!$1:$1048576,AB$2,FALSE)</f>
        <v>65.708153069999994</v>
      </c>
      <c r="AC223" s="347">
        <f>+VLOOKUP($E223,Primary_nrj!$1:$1048576,AC$2,FALSE)</f>
        <v>66.104022270000002</v>
      </c>
      <c r="AD223" s="347">
        <f>+VLOOKUP($E223,Primary_nrj!$1:$1048576,AD$2,FALSE)</f>
        <v>66.508806309999997</v>
      </c>
      <c r="AE223" s="347">
        <f>+VLOOKUP($E223,Primary_nrj!$1:$1048576,AE$2,FALSE)</f>
        <v>66.924416269999995</v>
      </c>
      <c r="AF223" s="347">
        <f>+VLOOKUP($E223,Primary_nrj!$1:$1048576,AF$2,FALSE)</f>
        <v>67.352744349999995</v>
      </c>
      <c r="AG223" s="347">
        <f>+VLOOKUP($E223,Primary_nrj!$1:$1048576,AG$2,FALSE)</f>
        <v>67.795699470000002</v>
      </c>
      <c r="AH223" s="347">
        <f>+VLOOKUP($E223,Primary_nrj!$1:$1048576,AH$2,FALSE)</f>
        <v>68.255228590000002</v>
      </c>
      <c r="AI223" s="347">
        <f>+VLOOKUP($E223,Primary_nrj!$1:$1048576,AI$2,FALSE)</f>
        <v>68.733325300000004</v>
      </c>
      <c r="AJ223" s="347">
        <f>+VLOOKUP($E223,Primary_nrj!$1:$1048576,AJ$2,FALSE)</f>
        <v>69.232026869999999</v>
      </c>
      <c r="AK223" s="347">
        <f>+VLOOKUP($E223,Primary_nrj!$1:$1048576,AK$2,FALSE)</f>
        <v>69.753400799999994</v>
      </c>
      <c r="AL223" s="347">
        <f>+VLOOKUP($E223,Primary_nrj!$1:$1048576,AL$2,FALSE)</f>
        <v>70.299521659999996</v>
      </c>
      <c r="AM223" s="347">
        <f>+VLOOKUP($E223,Primary_nrj!$1:$1048576,AM$2,FALSE)</f>
        <v>70.872439249999999</v>
      </c>
      <c r="AN223" s="347">
        <f>+VLOOKUP($E223,Primary_nrj!$1:$1048576,AN$2,FALSE)</f>
        <v>71.474138870000004</v>
      </c>
      <c r="AO223" s="347">
        <f>+VLOOKUP($E223,Primary_nrj!$1:$1048576,AO$2,FALSE)</f>
        <v>72.106495219999999</v>
      </c>
    </row>
    <row r="224" spans="1:43" s="73" customFormat="1" ht="15" customHeight="1" x14ac:dyDescent="0.25">
      <c r="A224" s="392"/>
      <c r="B224" s="393"/>
      <c r="C224" s="335"/>
      <c r="D224" s="340" t="s">
        <v>160</v>
      </c>
      <c r="E224" s="310" t="s">
        <v>558</v>
      </c>
      <c r="F224" s="346">
        <f>+VLOOKUP($E224,Primary_nrj!$1:$1048576,F$2,FALSE)</f>
        <v>41.844050670000001</v>
      </c>
      <c r="G224" s="346">
        <f>+VLOOKUP($E224,Primary_nrj!$1:$1048576,G$2,FALSE)</f>
        <v>42.161739990000001</v>
      </c>
      <c r="H224" s="346">
        <f>+VLOOKUP($E224,Primary_nrj!$1:$1048576,H$2,FALSE)</f>
        <v>42.412642589999997</v>
      </c>
      <c r="I224" s="346">
        <f>+VLOOKUP($E224,Primary_nrj!$1:$1048576,I$2,FALSE)</f>
        <v>42.645532719999999</v>
      </c>
      <c r="J224" s="346">
        <f>+VLOOKUP($E224,Primary_nrj!$1:$1048576,J$2,FALSE)</f>
        <v>42.881118569999998</v>
      </c>
      <c r="K224" s="346">
        <f>+VLOOKUP($E224,Primary_nrj!$1:$1048576,K$2,FALSE)</f>
        <v>43.126095220000003</v>
      </c>
      <c r="L224" s="346">
        <f>+VLOOKUP($E224,Primary_nrj!$1:$1048576,L$2,FALSE)</f>
        <v>43.378590539999998</v>
      </c>
      <c r="M224" s="346">
        <f>+VLOOKUP($E224,Primary_nrj!$1:$1048576,M$2,FALSE)</f>
        <v>43.635550670000001</v>
      </c>
      <c r="N224" s="346">
        <f>+VLOOKUP($E224,Primary_nrj!$1:$1048576,N$2,FALSE)</f>
        <v>43.89741385</v>
      </c>
      <c r="O224" s="346">
        <f>+VLOOKUP($E224,Primary_nrj!$1:$1048576,O$2,FALSE)</f>
        <v>44.165077920000002</v>
      </c>
      <c r="P224" s="346">
        <f>+VLOOKUP($E224,Primary_nrj!$1:$1048576,P$2,FALSE)</f>
        <v>44.438988190000003</v>
      </c>
      <c r="Q224" s="346">
        <f>+VLOOKUP($E224,Primary_nrj!$1:$1048576,Q$2,FALSE)</f>
        <v>44.718948330000003</v>
      </c>
      <c r="R224" s="346">
        <f>+VLOOKUP($E224,Primary_nrj!$1:$1048576,R$2,FALSE)</f>
        <v>45.00416877</v>
      </c>
      <c r="S224" s="346">
        <f>+VLOOKUP($E224,Primary_nrj!$1:$1048576,S$2,FALSE)</f>
        <v>45.293375279999999</v>
      </c>
      <c r="T224" s="346">
        <f>+VLOOKUP($E224,Primary_nrj!$1:$1048576,T$2,FALSE)</f>
        <v>45.584918870000003</v>
      </c>
      <c r="U224" s="346">
        <f>+VLOOKUP($E224,Primary_nrj!$1:$1048576,U$2,FALSE)</f>
        <v>45.876875869999999</v>
      </c>
      <c r="V224" s="346">
        <f>+VLOOKUP($E224,Primary_nrj!$1:$1048576,V$2,FALSE)</f>
        <v>46.165941949999997</v>
      </c>
      <c r="W224" s="346">
        <f>+VLOOKUP($E224,Primary_nrj!$1:$1048576,W$2,FALSE)</f>
        <v>46.449956550000003</v>
      </c>
      <c r="X224" s="346">
        <f>+VLOOKUP($E224,Primary_nrj!$1:$1048576,X$2,FALSE)</f>
        <v>46.72996955</v>
      </c>
      <c r="Y224" s="346">
        <f>+VLOOKUP($E224,Primary_nrj!$1:$1048576,Y$2,FALSE)</f>
        <v>47.007911849999999</v>
      </c>
      <c r="Z224" s="346">
        <f>+VLOOKUP($E224,Primary_nrj!$1:$1048576,Z$2,FALSE)</f>
        <v>47.285803880000003</v>
      </c>
      <c r="AA224" s="346">
        <f>+VLOOKUP($E224,Primary_nrj!$1:$1048576,AA$2,FALSE)</f>
        <v>47.565517139999997</v>
      </c>
      <c r="AB224" s="346">
        <f>+VLOOKUP($E224,Primary_nrj!$1:$1048576,AB$2,FALSE)</f>
        <v>47.848739969999997</v>
      </c>
      <c r="AC224" s="346">
        <f>+VLOOKUP($E224,Primary_nrj!$1:$1048576,AC$2,FALSE)</f>
        <v>48.137012290000001</v>
      </c>
      <c r="AD224" s="346">
        <f>+VLOOKUP($E224,Primary_nrj!$1:$1048576,AD$2,FALSE)</f>
        <v>48.431776419999998</v>
      </c>
      <c r="AE224" s="346">
        <f>+VLOOKUP($E224,Primary_nrj!$1:$1048576,AE$2,FALSE)</f>
        <v>48.734423990000003</v>
      </c>
      <c r="AF224" s="346">
        <f>+VLOOKUP($E224,Primary_nrj!$1:$1048576,AF$2,FALSE)</f>
        <v>49.046332909999997</v>
      </c>
      <c r="AG224" s="346">
        <f>+VLOOKUP($E224,Primary_nrj!$1:$1048576,AG$2,FALSE)</f>
        <v>49.368893249999999</v>
      </c>
      <c r="AH224" s="346">
        <f>+VLOOKUP($E224,Primary_nrj!$1:$1048576,AH$2,FALSE)</f>
        <v>49.703522800000002</v>
      </c>
      <c r="AI224" s="346">
        <f>+VLOOKUP($E224,Primary_nrj!$1:$1048576,AI$2,FALSE)</f>
        <v>50.051673280000003</v>
      </c>
      <c r="AJ224" s="346">
        <f>+VLOOKUP($E224,Primary_nrj!$1:$1048576,AJ$2,FALSE)</f>
        <v>50.414828239999999</v>
      </c>
      <c r="AK224" s="346">
        <f>+VLOOKUP($E224,Primary_nrj!$1:$1048576,AK$2,FALSE)</f>
        <v>50.79449323</v>
      </c>
      <c r="AL224" s="346">
        <f>+VLOOKUP($E224,Primary_nrj!$1:$1048576,AL$2,FALSE)</f>
        <v>51.192178970000001</v>
      </c>
      <c r="AM224" s="346">
        <f>+VLOOKUP($E224,Primary_nrj!$1:$1048576,AM$2,FALSE)</f>
        <v>51.609378110000002</v>
      </c>
      <c r="AN224" s="346">
        <f>+VLOOKUP($E224,Primary_nrj!$1:$1048576,AN$2,FALSE)</f>
        <v>52.047536340000001</v>
      </c>
      <c r="AO224" s="346">
        <f>+VLOOKUP($E224,Primary_nrj!$1:$1048576,AO$2,FALSE)</f>
        <v>52.508018839999998</v>
      </c>
    </row>
    <row r="225" spans="1:43" s="73" customFormat="1" ht="15" customHeight="1" x14ac:dyDescent="0.25">
      <c r="A225" s="392"/>
      <c r="B225" s="393"/>
      <c r="C225" s="335"/>
      <c r="D225" s="340" t="s">
        <v>161</v>
      </c>
      <c r="E225" s="310" t="s">
        <v>559</v>
      </c>
      <c r="F225" s="346">
        <f>+VLOOKUP($E225,Primary_nrj!$1:$1048576,F$2,FALSE)</f>
        <v>0.82379446560000003</v>
      </c>
      <c r="G225" s="346">
        <f>+VLOOKUP($E225,Primary_nrj!$1:$1048576,G$2,FALSE)</f>
        <v>0.8300488962</v>
      </c>
      <c r="H225" s="346">
        <f>+VLOOKUP($E225,Primary_nrj!$1:$1048576,H$2,FALSE)</f>
        <v>0.83498847949999999</v>
      </c>
      <c r="I225" s="346">
        <f>+VLOOKUP($E225,Primary_nrj!$1:$1048576,I$2,FALSE)</f>
        <v>0.8395734467</v>
      </c>
      <c r="J225" s="346">
        <f>+VLOOKUP($E225,Primary_nrj!$1:$1048576,J$2,FALSE)</f>
        <v>0.8442114852</v>
      </c>
      <c r="K225" s="346">
        <f>+VLOOKUP($E225,Primary_nrj!$1:$1048576,K$2,FALSE)</f>
        <v>0.84903440269999997</v>
      </c>
      <c r="L225" s="346">
        <f>+VLOOKUP($E225,Primary_nrj!$1:$1048576,L$2,FALSE)</f>
        <v>0.85400534240000003</v>
      </c>
      <c r="M225" s="346">
        <f>+VLOOKUP($E225,Primary_nrj!$1:$1048576,M$2,FALSE)</f>
        <v>0.85906418179999999</v>
      </c>
      <c r="N225" s="346">
        <f>+VLOOKUP($E225,Primary_nrj!$1:$1048576,N$2,FALSE)</f>
        <v>0.86421954879999996</v>
      </c>
      <c r="O225" s="346">
        <f>+VLOOKUP($E225,Primary_nrj!$1:$1048576,O$2,FALSE)</f>
        <v>0.86948911939999995</v>
      </c>
      <c r="P225" s="346">
        <f>+VLOOKUP($E225,Primary_nrj!$1:$1048576,P$2,FALSE)</f>
        <v>0.87488166060000006</v>
      </c>
      <c r="Q225" s="346">
        <f>+VLOOKUP($E225,Primary_nrj!$1:$1048576,Q$2,FALSE)</f>
        <v>0.88039330709999997</v>
      </c>
      <c r="R225" s="346">
        <f>+VLOOKUP($E225,Primary_nrj!$1:$1048576,R$2,FALSE)</f>
        <v>0.88600851439999995</v>
      </c>
      <c r="S225" s="346">
        <f>+VLOOKUP($E225,Primary_nrj!$1:$1048576,S$2,FALSE)</f>
        <v>0.89170219640000004</v>
      </c>
      <c r="T225" s="346">
        <f>+VLOOKUP($E225,Primary_nrj!$1:$1048576,T$2,FALSE)</f>
        <v>0.89744188920000001</v>
      </c>
      <c r="U225" s="346">
        <f>+VLOOKUP($E225,Primary_nrj!$1:$1048576,U$2,FALSE)</f>
        <v>0.90318972099999995</v>
      </c>
      <c r="V225" s="346">
        <f>+VLOOKUP($E225,Primary_nrj!$1:$1048576,V$2,FALSE)</f>
        <v>0.90888063829999999</v>
      </c>
      <c r="W225" s="346">
        <f>+VLOOKUP($E225,Primary_nrj!$1:$1048576,W$2,FALSE)</f>
        <v>0.91447210599999995</v>
      </c>
      <c r="X225" s="346">
        <f>+VLOOKUP($E225,Primary_nrj!$1:$1048576,X$2,FALSE)</f>
        <v>0.91998479300000002</v>
      </c>
      <c r="Y225" s="346">
        <f>+VLOOKUP($E225,Primary_nrj!$1:$1048576,Y$2,FALSE)</f>
        <v>0.92545671380000005</v>
      </c>
      <c r="Z225" s="346">
        <f>+VLOOKUP($E225,Primary_nrj!$1:$1048576,Z$2,FALSE)</f>
        <v>0.93092764490000002</v>
      </c>
      <c r="AA225" s="346">
        <f>+VLOOKUP($E225,Primary_nrj!$1:$1048576,AA$2,FALSE)</f>
        <v>0.93643443100000001</v>
      </c>
      <c r="AB225" s="346">
        <f>+VLOOKUP($E225,Primary_nrj!$1:$1048576,AB$2,FALSE)</f>
        <v>0.94201031079999997</v>
      </c>
      <c r="AC225" s="346">
        <f>+VLOOKUP($E225,Primary_nrj!$1:$1048576,AC$2,FALSE)</f>
        <v>0.94768560130000001</v>
      </c>
      <c r="AD225" s="346">
        <f>+VLOOKUP($E225,Primary_nrj!$1:$1048576,AD$2,FALSE)</f>
        <v>0.9534886977</v>
      </c>
      <c r="AE225" s="346">
        <f>+VLOOKUP($E225,Primary_nrj!$1:$1048576,AE$2,FALSE)</f>
        <v>0.95944699739999995</v>
      </c>
      <c r="AF225" s="346">
        <f>+VLOOKUP($E225,Primary_nrj!$1:$1048576,AF$2,FALSE)</f>
        <v>0.96558762760000005</v>
      </c>
      <c r="AG225" s="346">
        <f>+VLOOKUP($E225,Primary_nrj!$1:$1048576,AG$2,FALSE)</f>
        <v>0.97193795510000003</v>
      </c>
      <c r="AH225" s="346">
        <f>+VLOOKUP($E225,Primary_nrj!$1:$1048576,AH$2,FALSE)</f>
        <v>0.97852589199999995</v>
      </c>
      <c r="AI225" s="346">
        <f>+VLOOKUP($E225,Primary_nrj!$1:$1048576,AI$2,FALSE)</f>
        <v>0.98538001900000005</v>
      </c>
      <c r="AJ225" s="346">
        <f>+VLOOKUP($E225,Primary_nrj!$1:$1048576,AJ$2,FALSE)</f>
        <v>0.99252954309999997</v>
      </c>
      <c r="AK225" s="346">
        <f>+VLOOKUP($E225,Primary_nrj!$1:$1048576,AK$2,FALSE)</f>
        <v>1.0000041040000001</v>
      </c>
      <c r="AL225" s="346">
        <f>+VLOOKUP($E225,Primary_nrj!$1:$1048576,AL$2,FALSE)</f>
        <v>1.0078334449999999</v>
      </c>
      <c r="AM225" s="346">
        <f>+VLOOKUP($E225,Primary_nrj!$1:$1048576,AM$2,FALSE)</f>
        <v>1.01604695</v>
      </c>
      <c r="AN225" s="346">
        <f>+VLOOKUP($E225,Primary_nrj!$1:$1048576,AN$2,FALSE)</f>
        <v>1.0246730829999999</v>
      </c>
      <c r="AO225" s="346">
        <f>+VLOOKUP($E225,Primary_nrj!$1:$1048576,AO$2,FALSE)</f>
        <v>1.033738719</v>
      </c>
    </row>
    <row r="226" spans="1:43" s="73" customFormat="1" ht="15" customHeight="1" x14ac:dyDescent="0.25">
      <c r="A226" s="392"/>
      <c r="B226" s="393"/>
      <c r="C226" s="335"/>
      <c r="D226" s="340" t="s">
        <v>162</v>
      </c>
      <c r="E226" s="310" t="s">
        <v>560</v>
      </c>
      <c r="F226" s="346">
        <f>+VLOOKUP($E226,Primary_nrj!$1:$1048576,F$2,FALSE)</f>
        <v>1.1971117449999999</v>
      </c>
      <c r="G226" s="346">
        <f>+VLOOKUP($E226,Primary_nrj!$1:$1048576,G$2,FALSE)</f>
        <v>1.206200484</v>
      </c>
      <c r="H226" s="346">
        <f>+VLOOKUP($E226,Primary_nrj!$1:$1048576,H$2,FALSE)</f>
        <v>1.213378528</v>
      </c>
      <c r="I226" s="346">
        <f>+VLOOKUP($E226,Primary_nrj!$1:$1048576,I$2,FALSE)</f>
        <v>1.220041256</v>
      </c>
      <c r="J226" s="346">
        <f>+VLOOKUP($E226,Primary_nrj!$1:$1048576,J$2,FALSE)</f>
        <v>1.2267811049999999</v>
      </c>
      <c r="K226" s="346">
        <f>+VLOOKUP($E226,Primary_nrj!$1:$1048576,K$2,FALSE)</f>
        <v>1.233789614</v>
      </c>
      <c r="L226" s="346">
        <f>+VLOOKUP($E226,Primary_nrj!$1:$1048576,L$2,FALSE)</f>
        <v>1.241013224</v>
      </c>
      <c r="M226" s="346">
        <f>+VLOOKUP($E226,Primary_nrj!$1:$1048576,M$2,FALSE)</f>
        <v>1.248364568</v>
      </c>
      <c r="N226" s="346">
        <f>+VLOOKUP($E226,Primary_nrj!$1:$1048576,N$2,FALSE)</f>
        <v>1.255856182</v>
      </c>
      <c r="O226" s="346">
        <f>+VLOOKUP($E226,Primary_nrj!$1:$1048576,O$2,FALSE)</f>
        <v>1.263513753</v>
      </c>
      <c r="P226" s="346">
        <f>+VLOOKUP($E226,Primary_nrj!$1:$1048576,P$2,FALSE)</f>
        <v>1.271350022</v>
      </c>
      <c r="Q226" s="346">
        <f>+VLOOKUP($E226,Primary_nrj!$1:$1048576,Q$2,FALSE)</f>
        <v>1.2793593700000001</v>
      </c>
      <c r="R226" s="346">
        <f>+VLOOKUP($E226,Primary_nrj!$1:$1048576,R$2,FALSE)</f>
        <v>1.2875192090000001</v>
      </c>
      <c r="S226" s="346">
        <f>+VLOOKUP($E226,Primary_nrj!$1:$1048576,S$2,FALSE)</f>
        <v>1.295793086</v>
      </c>
      <c r="T226" s="346">
        <f>+VLOOKUP($E226,Primary_nrj!$1:$1048576,T$2,FALSE)</f>
        <v>1.304133824</v>
      </c>
      <c r="U226" s="346">
        <f>+VLOOKUP($E226,Primary_nrj!$1:$1048576,U$2,FALSE)</f>
        <v>1.312486389</v>
      </c>
      <c r="V226" s="346">
        <f>+VLOOKUP($E226,Primary_nrj!$1:$1048576,V$2,FALSE)</f>
        <v>1.3207562479999999</v>
      </c>
      <c r="W226" s="346">
        <f>+VLOOKUP($E226,Primary_nrj!$1:$1048576,W$2,FALSE)</f>
        <v>1.3288815899999999</v>
      </c>
      <c r="X226" s="346">
        <f>+VLOOKUP($E226,Primary_nrj!$1:$1048576,X$2,FALSE)</f>
        <v>1.3368924499999999</v>
      </c>
      <c r="Y226" s="346">
        <f>+VLOOKUP($E226,Primary_nrj!$1:$1048576,Y$2,FALSE)</f>
        <v>1.3448440699999999</v>
      </c>
      <c r="Z226" s="346">
        <f>+VLOOKUP($E226,Primary_nrj!$1:$1048576,Z$2,FALSE)</f>
        <v>1.352794252</v>
      </c>
      <c r="AA226" s="346">
        <f>+VLOOKUP($E226,Primary_nrj!$1:$1048576,AA$2,FALSE)</f>
        <v>1.3607965369999999</v>
      </c>
      <c r="AB226" s="346">
        <f>+VLOOKUP($E226,Primary_nrj!$1:$1048576,AB$2,FALSE)</f>
        <v>1.368899227</v>
      </c>
      <c r="AC226" s="346">
        <f>+VLOOKUP($E226,Primary_nrj!$1:$1048576,AC$2,FALSE)</f>
        <v>1.3771463779999999</v>
      </c>
      <c r="AD226" s="346">
        <f>+VLOOKUP($E226,Primary_nrj!$1:$1048576,AD$2,FALSE)</f>
        <v>1.3855792520000001</v>
      </c>
      <c r="AE226" s="346">
        <f>+VLOOKUP($E226,Primary_nrj!$1:$1048576,AE$2,FALSE)</f>
        <v>1.3942376620000001</v>
      </c>
      <c r="AF226" s="346">
        <f>+VLOOKUP($E226,Primary_nrj!$1:$1048576,AF$2,FALSE)</f>
        <v>1.4031610290000001</v>
      </c>
      <c r="AG226" s="346">
        <f>+VLOOKUP($E226,Primary_nrj!$1:$1048576,AG$2,FALSE)</f>
        <v>1.412389122</v>
      </c>
      <c r="AH226" s="346">
        <f>+VLOOKUP($E226,Primary_nrj!$1:$1048576,AH$2,FALSE)</f>
        <v>1.4219625010000001</v>
      </c>
      <c r="AI226" s="346">
        <f>+VLOOKUP($E226,Primary_nrj!$1:$1048576,AI$2,FALSE)</f>
        <v>1.431922699</v>
      </c>
      <c r="AJ226" s="346">
        <f>+VLOOKUP($E226,Primary_nrj!$1:$1048576,AJ$2,FALSE)</f>
        <v>1.442312158</v>
      </c>
      <c r="AK226" s="346">
        <f>+VLOOKUP($E226,Primary_nrj!$1:$1048576,AK$2,FALSE)</f>
        <v>1.4531739509999999</v>
      </c>
      <c r="AL226" s="346">
        <f>+VLOOKUP($E226,Primary_nrj!$1:$1048576,AL$2,FALSE)</f>
        <v>1.4645512979999999</v>
      </c>
      <c r="AM226" s="346">
        <f>+VLOOKUP($E226,Primary_nrj!$1:$1048576,AM$2,FALSE)</f>
        <v>1.4764869009999999</v>
      </c>
      <c r="AN226" s="346">
        <f>+VLOOKUP($E226,Primary_nrj!$1:$1048576,AN$2,FALSE)</f>
        <v>1.4890221210000001</v>
      </c>
      <c r="AO226" s="346">
        <f>+VLOOKUP($E226,Primary_nrj!$1:$1048576,AO$2,FALSE)</f>
        <v>1.5021960130000001</v>
      </c>
    </row>
    <row r="227" spans="1:43" s="73" customFormat="1" ht="15" customHeight="1" x14ac:dyDescent="0.25">
      <c r="A227" s="392"/>
      <c r="B227" s="393"/>
      <c r="C227" s="335"/>
      <c r="D227" s="340" t="s">
        <v>163</v>
      </c>
      <c r="E227" s="310" t="s">
        <v>561</v>
      </c>
      <c r="F227" s="346">
        <f>+VLOOKUP($E227,Primary_nrj!$1:$1048576,F$2,FALSE)</f>
        <v>1.087582802</v>
      </c>
      <c r="G227" s="346">
        <f>+VLOOKUP($E227,Primary_nrj!$1:$1048576,G$2,FALSE)</f>
        <v>1.0958399729999999</v>
      </c>
      <c r="H227" s="346">
        <f>+VLOOKUP($E227,Primary_nrj!$1:$1048576,H$2,FALSE)</f>
        <v>1.102361267</v>
      </c>
      <c r="I227" s="346">
        <f>+VLOOKUP($E227,Primary_nrj!$1:$1048576,I$2,FALSE)</f>
        <v>1.108414392</v>
      </c>
      <c r="J227" s="346">
        <f>+VLOOKUP($E227,Primary_nrj!$1:$1048576,J$2,FALSE)</f>
        <v>1.1145375829999999</v>
      </c>
      <c r="K227" s="346">
        <f>+VLOOKUP($E227,Primary_nrj!$1:$1048576,K$2,FALSE)</f>
        <v>1.120904854</v>
      </c>
      <c r="L227" s="346">
        <f>+VLOOKUP($E227,Primary_nrj!$1:$1048576,L$2,FALSE)</f>
        <v>1.127467545</v>
      </c>
      <c r="M227" s="346">
        <f>+VLOOKUP($E227,Primary_nrj!$1:$1048576,M$2,FALSE)</f>
        <v>1.1341462819999999</v>
      </c>
      <c r="N227" s="346">
        <f>+VLOOKUP($E227,Primary_nrj!$1:$1048576,N$2,FALSE)</f>
        <v>1.1409524559999999</v>
      </c>
      <c r="O227" s="346">
        <f>+VLOOKUP($E227,Primary_nrj!$1:$1048576,O$2,FALSE)</f>
        <v>1.1479094030000001</v>
      </c>
      <c r="P227" s="346">
        <f>+VLOOKUP($E227,Primary_nrj!$1:$1048576,P$2,FALSE)</f>
        <v>1.1550286970000001</v>
      </c>
      <c r="Q227" s="346">
        <f>+VLOOKUP($E227,Primary_nrj!$1:$1048576,Q$2,FALSE)</f>
        <v>1.162305235</v>
      </c>
      <c r="R227" s="346">
        <f>+VLOOKUP($E227,Primary_nrj!$1:$1048576,R$2,FALSE)</f>
        <v>1.169718496</v>
      </c>
      <c r="S227" s="346">
        <f>+VLOOKUP($E227,Primary_nrj!$1:$1048576,S$2,FALSE)</f>
        <v>1.177235359</v>
      </c>
      <c r="T227" s="346">
        <f>+VLOOKUP($E227,Primary_nrj!$1:$1048576,T$2,FALSE)</f>
        <v>1.1848129670000001</v>
      </c>
      <c r="U227" s="346">
        <f>+VLOOKUP($E227,Primary_nrj!$1:$1048576,U$2,FALSE)</f>
        <v>1.1924013200000001</v>
      </c>
      <c r="V227" s="346">
        <f>+VLOOKUP($E227,Primary_nrj!$1:$1048576,V$2,FALSE)</f>
        <v>1.1999145330000001</v>
      </c>
      <c r="W227" s="346">
        <f>+VLOOKUP($E227,Primary_nrj!$1:$1048576,W$2,FALSE)</f>
        <v>1.207296452</v>
      </c>
      <c r="X227" s="346">
        <f>+VLOOKUP($E227,Primary_nrj!$1:$1048576,X$2,FALSE)</f>
        <v>1.214574364</v>
      </c>
      <c r="Y227" s="346">
        <f>+VLOOKUP($E227,Primary_nrj!$1:$1048576,Y$2,FALSE)</f>
        <v>1.2217984559999999</v>
      </c>
      <c r="Z227" s="346">
        <f>+VLOOKUP($E227,Primary_nrj!$1:$1048576,Z$2,FALSE)</f>
        <v>1.2290212410000001</v>
      </c>
      <c r="AA227" s="346">
        <f>+VLOOKUP($E227,Primary_nrj!$1:$1048576,AA$2,FALSE)</f>
        <v>1.2362913630000001</v>
      </c>
      <c r="AB227" s="346">
        <f>+VLOOKUP($E227,Primary_nrj!$1:$1048576,AB$2,FALSE)</f>
        <v>1.243652703</v>
      </c>
      <c r="AC227" s="346">
        <f>+VLOOKUP($E227,Primary_nrj!$1:$1048576,AC$2,FALSE)</f>
        <v>1.2511452860000001</v>
      </c>
      <c r="AD227" s="346">
        <f>+VLOOKUP($E227,Primary_nrj!$1:$1048576,AD$2,FALSE)</f>
        <v>1.2588065989999999</v>
      </c>
      <c r="AE227" s="346">
        <f>+VLOOKUP($E227,Primary_nrj!$1:$1048576,AE$2,FALSE)</f>
        <v>1.2666728140000001</v>
      </c>
      <c r="AF227" s="346">
        <f>+VLOOKUP($E227,Primary_nrj!$1:$1048576,AF$2,FALSE)</f>
        <v>1.2747797439999999</v>
      </c>
      <c r="AG227" s="346">
        <f>+VLOOKUP($E227,Primary_nrj!$1:$1048576,AG$2,FALSE)</f>
        <v>1.2831635180000001</v>
      </c>
      <c r="AH227" s="346">
        <f>+VLOOKUP($E227,Primary_nrj!$1:$1048576,AH$2,FALSE)</f>
        <v>1.291860987</v>
      </c>
      <c r="AI227" s="346">
        <f>+VLOOKUP($E227,Primary_nrj!$1:$1048576,AI$2,FALSE)</f>
        <v>1.300909884</v>
      </c>
      <c r="AJ227" s="346">
        <f>+VLOOKUP($E227,Primary_nrj!$1:$1048576,AJ$2,FALSE)</f>
        <v>1.310348767</v>
      </c>
      <c r="AK227" s="346">
        <f>+VLOOKUP($E227,Primary_nrj!$1:$1048576,AK$2,FALSE)</f>
        <v>1.320216767</v>
      </c>
      <c r="AL227" s="346">
        <f>+VLOOKUP($E227,Primary_nrj!$1:$1048576,AL$2,FALSE)</f>
        <v>1.3305531509999999</v>
      </c>
      <c r="AM227" s="346">
        <f>+VLOOKUP($E227,Primary_nrj!$1:$1048576,AM$2,FALSE)</f>
        <v>1.341396714</v>
      </c>
      <c r="AN227" s="346">
        <f>+VLOOKUP($E227,Primary_nrj!$1:$1048576,AN$2,FALSE)</f>
        <v>1.3527850320000001</v>
      </c>
      <c r="AO227" s="346">
        <f>+VLOOKUP($E227,Primary_nrj!$1:$1048576,AO$2,FALSE)</f>
        <v>1.3647535879999999</v>
      </c>
    </row>
    <row r="228" spans="1:43" s="73" customFormat="1" ht="15" customHeight="1" x14ac:dyDescent="0.25">
      <c r="A228" s="392"/>
      <c r="B228" s="393"/>
      <c r="C228" s="335"/>
      <c r="D228" s="340" t="s">
        <v>164</v>
      </c>
      <c r="E228" s="310" t="s">
        <v>562</v>
      </c>
      <c r="F228" s="346">
        <f>+VLOOKUP($E228,Primary_nrj!$1:$1048576,F$2,FALSE)</f>
        <v>2.1403439839999998</v>
      </c>
      <c r="G228" s="346">
        <f>+VLOOKUP($E228,Primary_nrj!$1:$1048576,G$2,FALSE)</f>
        <v>2.1565906159999999</v>
      </c>
      <c r="H228" s="346">
        <f>+VLOOKUP($E228,Primary_nrj!$1:$1048576,H$2,FALSE)</f>
        <v>2.169424389</v>
      </c>
      <c r="I228" s="346">
        <f>+VLOOKUP($E228,Primary_nrj!$1:$1048576,I$2,FALSE)</f>
        <v>2.181336816</v>
      </c>
      <c r="J228" s="346">
        <f>+VLOOKUP($E228,Primary_nrj!$1:$1048576,J$2,FALSE)</f>
        <v>2.1933871300000001</v>
      </c>
      <c r="K228" s="346">
        <f>+VLOOKUP($E228,Primary_nrj!$1:$1048576,K$2,FALSE)</f>
        <v>2.2059177879999998</v>
      </c>
      <c r="L228" s="346">
        <f>+VLOOKUP($E228,Primary_nrj!$1:$1048576,L$2,FALSE)</f>
        <v>2.2188330299999999</v>
      </c>
      <c r="M228" s="346">
        <f>+VLOOKUP($E228,Primary_nrj!$1:$1048576,M$2,FALSE)</f>
        <v>2.2319766479999998</v>
      </c>
      <c r="N228" s="346">
        <f>+VLOOKUP($E228,Primary_nrj!$1:$1048576,N$2,FALSE)</f>
        <v>2.245371059</v>
      </c>
      <c r="O228" s="346">
        <f>+VLOOKUP($E228,Primary_nrj!$1:$1048576,O$2,FALSE)</f>
        <v>2.2590621880000001</v>
      </c>
      <c r="P228" s="346">
        <f>+VLOOKUP($E228,Primary_nrj!$1:$1048576,P$2,FALSE)</f>
        <v>2.2730728130000002</v>
      </c>
      <c r="Q228" s="346">
        <f>+VLOOKUP($E228,Primary_nrj!$1:$1048576,Q$2,FALSE)</f>
        <v>2.2873928910000001</v>
      </c>
      <c r="R228" s="346">
        <f>+VLOOKUP($E228,Primary_nrj!$1:$1048576,R$2,FALSE)</f>
        <v>2.301982035</v>
      </c>
      <c r="S228" s="346">
        <f>+VLOOKUP($E228,Primary_nrj!$1:$1048576,S$2,FALSE)</f>
        <v>2.3167750690000002</v>
      </c>
      <c r="T228" s="346">
        <f>+VLOOKUP($E228,Primary_nrj!$1:$1048576,T$2,FALSE)</f>
        <v>2.3316876450000001</v>
      </c>
      <c r="U228" s="346">
        <f>+VLOOKUP($E228,Primary_nrj!$1:$1048576,U$2,FALSE)</f>
        <v>2.3466213680000001</v>
      </c>
      <c r="V228" s="346">
        <f>+VLOOKUP($E228,Primary_nrj!$1:$1048576,V$2,FALSE)</f>
        <v>2.3614072190000002</v>
      </c>
      <c r="W228" s="346">
        <f>+VLOOKUP($E228,Primary_nrj!$1:$1048576,W$2,FALSE)</f>
        <v>2.3759346840000002</v>
      </c>
      <c r="X228" s="346">
        <f>+VLOOKUP($E228,Primary_nrj!$1:$1048576,X$2,FALSE)</f>
        <v>2.390257466</v>
      </c>
      <c r="Y228" s="346">
        <f>+VLOOKUP($E228,Primary_nrj!$1:$1048576,Y$2,FALSE)</f>
        <v>2.4044743309999999</v>
      </c>
      <c r="Z228" s="346">
        <f>+VLOOKUP($E228,Primary_nrj!$1:$1048576,Z$2,FALSE)</f>
        <v>2.4186886240000001</v>
      </c>
      <c r="AA228" s="346">
        <f>+VLOOKUP($E228,Primary_nrj!$1:$1048576,AA$2,FALSE)</f>
        <v>2.4329960750000001</v>
      </c>
      <c r="AB228" s="346">
        <f>+VLOOKUP($E228,Primary_nrj!$1:$1048576,AB$2,FALSE)</f>
        <v>2.4474830399999998</v>
      </c>
      <c r="AC228" s="346">
        <f>+VLOOKUP($E228,Primary_nrj!$1:$1048576,AC$2,FALSE)</f>
        <v>2.4622282900000001</v>
      </c>
      <c r="AD228" s="346">
        <f>+VLOOKUP($E228,Primary_nrj!$1:$1048576,AD$2,FALSE)</f>
        <v>2.4773055990000001</v>
      </c>
      <c r="AE228" s="346">
        <f>+VLOOKUP($E228,Primary_nrj!$1:$1048576,AE$2,FALSE)</f>
        <v>2.492786148</v>
      </c>
      <c r="AF228" s="346">
        <f>+VLOOKUP($E228,Primary_nrj!$1:$1048576,AF$2,FALSE)</f>
        <v>2.5087404200000001</v>
      </c>
      <c r="AG228" s="346">
        <f>+VLOOKUP($E228,Primary_nrj!$1:$1048576,AG$2,FALSE)</f>
        <v>2.5252395160000001</v>
      </c>
      <c r="AH228" s="346">
        <f>+VLOOKUP($E228,Primary_nrj!$1:$1048576,AH$2,FALSE)</f>
        <v>2.5423559569999998</v>
      </c>
      <c r="AI228" s="346">
        <f>+VLOOKUP($E228,Primary_nrj!$1:$1048576,AI$2,FALSE)</f>
        <v>2.5601639999999999</v>
      </c>
      <c r="AJ228" s="346">
        <f>+VLOOKUP($E228,Primary_nrj!$1:$1048576,AJ$2,FALSE)</f>
        <v>2.5787395279999998</v>
      </c>
      <c r="AK228" s="346">
        <f>+VLOOKUP($E228,Primary_nrj!$1:$1048576,AK$2,FALSE)</f>
        <v>2.5981595510000002</v>
      </c>
      <c r="AL228" s="346">
        <f>+VLOOKUP($E228,Primary_nrj!$1:$1048576,AL$2,FALSE)</f>
        <v>2.6185013420000001</v>
      </c>
      <c r="AM228" s="346">
        <f>+VLOOKUP($E228,Primary_nrj!$1:$1048576,AM$2,FALSE)</f>
        <v>2.6398412520000001</v>
      </c>
      <c r="AN228" s="346">
        <f>+VLOOKUP($E228,Primary_nrj!$1:$1048576,AN$2,FALSE)</f>
        <v>2.6622532290000001</v>
      </c>
      <c r="AO228" s="346">
        <f>+VLOOKUP($E228,Primary_nrj!$1:$1048576,AO$2,FALSE)</f>
        <v>2.685807101</v>
      </c>
    </row>
    <row r="229" spans="1:43" s="73" customFormat="1" ht="15" customHeight="1" x14ac:dyDescent="0.25">
      <c r="A229" s="392"/>
      <c r="B229" s="393"/>
      <c r="C229" s="335"/>
      <c r="D229" s="340" t="s">
        <v>165</v>
      </c>
      <c r="E229" s="310" t="s">
        <v>563</v>
      </c>
      <c r="F229" s="346">
        <f>+VLOOKUP($E229,Primary_nrj!$1:$1048576,F$2,FALSE)</f>
        <v>0.77809678609999999</v>
      </c>
      <c r="G229" s="346">
        <f>+VLOOKUP($E229,Primary_nrj!$1:$1048576,G$2,FALSE)</f>
        <v>0.78400426980000004</v>
      </c>
      <c r="H229" s="346">
        <f>+VLOOKUP($E229,Primary_nrj!$1:$1048576,H$2,FALSE)</f>
        <v>0.78866984360000003</v>
      </c>
      <c r="I229" s="346">
        <f>+VLOOKUP($E229,Primary_nrj!$1:$1048576,I$2,FALSE)</f>
        <v>0.79300047259999995</v>
      </c>
      <c r="J229" s="346">
        <f>+VLOOKUP($E229,Primary_nrj!$1:$1048576,J$2,FALSE)</f>
        <v>0.79738122899999997</v>
      </c>
      <c r="K229" s="346">
        <f>+VLOOKUP($E229,Primary_nrj!$1:$1048576,K$2,FALSE)</f>
        <v>0.80193660870000005</v>
      </c>
      <c r="L229" s="346">
        <f>+VLOOKUP($E229,Primary_nrj!$1:$1048576,L$2,FALSE)</f>
        <v>0.80663179949999997</v>
      </c>
      <c r="M229" s="346">
        <f>+VLOOKUP($E229,Primary_nrj!$1:$1048576,M$2,FALSE)</f>
        <v>0.81141001400000001</v>
      </c>
      <c r="N229" s="346">
        <f>+VLOOKUP($E229,Primary_nrj!$1:$1048576,N$2,FALSE)</f>
        <v>0.81627940160000001</v>
      </c>
      <c r="O229" s="346">
        <f>+VLOOKUP($E229,Primary_nrj!$1:$1048576,O$2,FALSE)</f>
        <v>0.8212566576</v>
      </c>
      <c r="P229" s="346">
        <f>+VLOOKUP($E229,Primary_nrj!$1:$1048576,P$2,FALSE)</f>
        <v>0.8263500627</v>
      </c>
      <c r="Q229" s="346">
        <f>+VLOOKUP($E229,Primary_nrj!$1:$1048576,Q$2,FALSE)</f>
        <v>0.83155596610000004</v>
      </c>
      <c r="R229" s="346">
        <f>+VLOOKUP($E229,Primary_nrj!$1:$1048576,R$2,FALSE)</f>
        <v>0.83685968560000001</v>
      </c>
      <c r="S229" s="346">
        <f>+VLOOKUP($E229,Primary_nrj!$1:$1048576,S$2,FALSE)</f>
        <v>0.84223752659999995</v>
      </c>
      <c r="T229" s="346">
        <f>+VLOOKUP($E229,Primary_nrj!$1:$1048576,T$2,FALSE)</f>
        <v>0.84765882609999998</v>
      </c>
      <c r="U229" s="346">
        <f>+VLOOKUP($E229,Primary_nrj!$1:$1048576,U$2,FALSE)</f>
        <v>0.85308781320000004</v>
      </c>
      <c r="V229" s="346">
        <f>+VLOOKUP($E229,Primary_nrj!$1:$1048576,V$2,FALSE)</f>
        <v>0.85846304289999997</v>
      </c>
      <c r="W229" s="346">
        <f>+VLOOKUP($E229,Primary_nrj!$1:$1048576,W$2,FALSE)</f>
        <v>0.86374433959999997</v>
      </c>
      <c r="X229" s="346">
        <f>+VLOOKUP($E229,Primary_nrj!$1:$1048576,X$2,FALSE)</f>
        <v>0.86895122579999995</v>
      </c>
      <c r="Y229" s="346">
        <f>+VLOOKUP($E229,Primary_nrj!$1:$1048576,Y$2,FALSE)</f>
        <v>0.87411960720000004</v>
      </c>
      <c r="Z229" s="346">
        <f>+VLOOKUP($E229,Primary_nrj!$1:$1048576,Z$2,FALSE)</f>
        <v>0.87928705380000005</v>
      </c>
      <c r="AA229" s="346">
        <f>+VLOOKUP($E229,Primary_nrj!$1:$1048576,AA$2,FALSE)</f>
        <v>0.88448836639999995</v>
      </c>
      <c r="AB229" s="346">
        <f>+VLOOKUP($E229,Primary_nrj!$1:$1048576,AB$2,FALSE)</f>
        <v>0.88975493999999999</v>
      </c>
      <c r="AC229" s="346">
        <f>+VLOOKUP($E229,Primary_nrj!$1:$1048576,AC$2,FALSE)</f>
        <v>0.89511540980000004</v>
      </c>
      <c r="AD229" s="346">
        <f>+VLOOKUP($E229,Primary_nrj!$1:$1048576,AD$2,FALSE)</f>
        <v>0.90059659569999995</v>
      </c>
      <c r="AE229" s="346">
        <f>+VLOOKUP($E229,Primary_nrj!$1:$1048576,AE$2,FALSE)</f>
        <v>0.9062243754</v>
      </c>
      <c r="AF229" s="346">
        <f>+VLOOKUP($E229,Primary_nrj!$1:$1048576,AF$2,FALSE)</f>
        <v>0.91202437150000004</v>
      </c>
      <c r="AG229" s="346">
        <f>+VLOOKUP($E229,Primary_nrj!$1:$1048576,AG$2,FALSE)</f>
        <v>0.91802243240000003</v>
      </c>
      <c r="AH229" s="346">
        <f>+VLOOKUP($E229,Primary_nrj!$1:$1048576,AH$2,FALSE)</f>
        <v>0.92424492209999998</v>
      </c>
      <c r="AI229" s="346">
        <f>+VLOOKUP($E229,Primary_nrj!$1:$1048576,AI$2,FALSE)</f>
        <v>0.93071883570000002</v>
      </c>
      <c r="AJ229" s="346">
        <f>+VLOOKUP($E229,Primary_nrj!$1:$1048576,AJ$2,FALSE)</f>
        <v>0.9374717601</v>
      </c>
      <c r="AK229" s="346">
        <f>+VLOOKUP($E229,Primary_nrj!$1:$1048576,AK$2,FALSE)</f>
        <v>0.94453169100000001</v>
      </c>
      <c r="AL229" s="346">
        <f>+VLOOKUP($E229,Primary_nrj!$1:$1048576,AL$2,FALSE)</f>
        <v>0.95192672069999995</v>
      </c>
      <c r="AM229" s="346">
        <f>+VLOOKUP($E229,Primary_nrj!$1:$1048576,AM$2,FALSE)</f>
        <v>0.95968460509999998</v>
      </c>
      <c r="AN229" s="346">
        <f>+VLOOKUP($E229,Primary_nrj!$1:$1048576,AN$2,FALSE)</f>
        <v>0.96783222719999995</v>
      </c>
      <c r="AO229" s="346">
        <f>+VLOOKUP($E229,Primary_nrj!$1:$1048576,AO$2,FALSE)</f>
        <v>0.97639497259999997</v>
      </c>
    </row>
    <row r="230" spans="1:43" s="73" customFormat="1" ht="15" customHeight="1" x14ac:dyDescent="0.25">
      <c r="A230" s="392"/>
      <c r="B230" s="393"/>
      <c r="C230" s="335"/>
      <c r="D230" s="340" t="s">
        <v>549</v>
      </c>
      <c r="E230" s="310" t="s">
        <v>564</v>
      </c>
      <c r="F230" s="346">
        <f>+VLOOKUP($E230,Primary_nrj!$1:$1048576,F$2,FALSE)</f>
        <v>5.9899067759999998</v>
      </c>
      <c r="G230" s="346">
        <f>+VLOOKUP($E230,Primary_nrj!$1:$1048576,G$2,FALSE)</f>
        <v>6.0353834790000001</v>
      </c>
      <c r="H230" s="346">
        <f>+VLOOKUP($E230,Primary_nrj!$1:$1048576,H$2,FALSE)</f>
        <v>6.0712997719999997</v>
      </c>
      <c r="I230" s="346">
        <f>+VLOOKUP($E230,Primary_nrj!$1:$1048576,I$2,FALSE)</f>
        <v>6.1046376090000001</v>
      </c>
      <c r="J230" s="346">
        <f>+VLOOKUP($E230,Primary_nrj!$1:$1048576,J$2,FALSE)</f>
        <v>6.1383613339999998</v>
      </c>
      <c r="K230" s="346">
        <f>+VLOOKUP($E230,Primary_nrj!$1:$1048576,K$2,FALSE)</f>
        <v>6.173429337</v>
      </c>
      <c r="L230" s="346">
        <f>+VLOOKUP($E230,Primary_nrj!$1:$1048576,L$2,FALSE)</f>
        <v>6.2095736260000001</v>
      </c>
      <c r="M230" s="346">
        <f>+VLOOKUP($E230,Primary_nrj!$1:$1048576,M$2,FALSE)</f>
        <v>6.2463570439999998</v>
      </c>
      <c r="N230" s="346">
        <f>+VLOOKUP($E230,Primary_nrj!$1:$1048576,N$2,FALSE)</f>
        <v>6.2838423260000003</v>
      </c>
      <c r="O230" s="346">
        <f>+VLOOKUP($E230,Primary_nrj!$1:$1048576,O$2,FALSE)</f>
        <v>6.3221579959999996</v>
      </c>
      <c r="P230" s="346">
        <f>+VLOOKUP($E230,Primary_nrj!$1:$1048576,P$2,FALSE)</f>
        <v>6.3613677989999999</v>
      </c>
      <c r="Q230" s="346">
        <f>+VLOOKUP($E230,Primary_nrj!$1:$1048576,Q$2,FALSE)</f>
        <v>6.4014436310000002</v>
      </c>
      <c r="R230" s="346">
        <f>+VLOOKUP($E230,Primary_nrj!$1:$1048576,R$2,FALSE)</f>
        <v>6.4422724660000004</v>
      </c>
      <c r="S230" s="346">
        <f>+VLOOKUP($E230,Primary_nrj!$1:$1048576,S$2,FALSE)</f>
        <v>6.4836719</v>
      </c>
      <c r="T230" s="346">
        <f>+VLOOKUP($E230,Primary_nrj!$1:$1048576,T$2,FALSE)</f>
        <v>6.5254058840000004</v>
      </c>
      <c r="U230" s="346">
        <f>+VLOOKUP($E230,Primary_nrj!$1:$1048576,U$2,FALSE)</f>
        <v>6.5671990469999999</v>
      </c>
      <c r="V230" s="346">
        <f>+VLOOKUP($E230,Primary_nrj!$1:$1048576,V$2,FALSE)</f>
        <v>6.6085783779999998</v>
      </c>
      <c r="W230" s="346">
        <f>+VLOOKUP($E230,Primary_nrj!$1:$1048576,W$2,FALSE)</f>
        <v>6.6492345999999998</v>
      </c>
      <c r="X230" s="346">
        <f>+VLOOKUP($E230,Primary_nrj!$1:$1048576,X$2,FALSE)</f>
        <v>6.6893179979999999</v>
      </c>
      <c r="Y230" s="346">
        <f>+VLOOKUP($E230,Primary_nrj!$1:$1048576,Y$2,FALSE)</f>
        <v>6.7291049789999997</v>
      </c>
      <c r="Z230" s="346">
        <f>+VLOOKUP($E230,Primary_nrj!$1:$1048576,Z$2,FALSE)</f>
        <v>6.7688847650000001</v>
      </c>
      <c r="AA230" s="346">
        <f>+VLOOKUP($E230,Primary_nrj!$1:$1048576,AA$2,FALSE)</f>
        <v>6.8089252570000003</v>
      </c>
      <c r="AB230" s="346">
        <f>+VLOOKUP($E230,Primary_nrj!$1:$1048576,AB$2,FALSE)</f>
        <v>6.8494681359999996</v>
      </c>
      <c r="AC230" s="346">
        <f>+VLOOKUP($E230,Primary_nrj!$1:$1048576,AC$2,FALSE)</f>
        <v>6.8907338439999997</v>
      </c>
      <c r="AD230" s="346">
        <f>+VLOOKUP($E230,Primary_nrj!$1:$1048576,AD$2,FALSE)</f>
        <v>6.9329288419999999</v>
      </c>
      <c r="AE230" s="346">
        <f>+VLOOKUP($E230,Primary_nrj!$1:$1048576,AE$2,FALSE)</f>
        <v>6.9762523420000004</v>
      </c>
      <c r="AF230" s="346">
        <f>+VLOOKUP($E230,Primary_nrj!$1:$1048576,AF$2,FALSE)</f>
        <v>7.0209015890000002</v>
      </c>
      <c r="AG230" s="346">
        <f>+VLOOKUP($E230,Primary_nrj!$1:$1048576,AG$2,FALSE)</f>
        <v>7.0670755700000001</v>
      </c>
      <c r="AH230" s="346">
        <f>+VLOOKUP($E230,Primary_nrj!$1:$1048576,AH$2,FALSE)</f>
        <v>7.1149772369999997</v>
      </c>
      <c r="AI230" s="346">
        <f>+VLOOKUP($E230,Primary_nrj!$1:$1048576,AI$2,FALSE)</f>
        <v>7.1648144030000003</v>
      </c>
      <c r="AJ230" s="346">
        <f>+VLOOKUP($E230,Primary_nrj!$1:$1048576,AJ$2,FALSE)</f>
        <v>7.2167994359999996</v>
      </c>
      <c r="AK230" s="346">
        <f>+VLOOKUP($E230,Primary_nrj!$1:$1048576,AK$2,FALSE)</f>
        <v>7.2711478530000004</v>
      </c>
      <c r="AL230" s="346">
        <f>+VLOOKUP($E230,Primary_nrj!$1:$1048576,AL$2,FALSE)</f>
        <v>7.3280759099999999</v>
      </c>
      <c r="AM230" s="346">
        <f>+VLOOKUP($E230,Primary_nrj!$1:$1048576,AM$2,FALSE)</f>
        <v>7.3877972779999999</v>
      </c>
      <c r="AN230" s="346">
        <f>+VLOOKUP($E230,Primary_nrj!$1:$1048576,AN$2,FALSE)</f>
        <v>7.4505189060000001</v>
      </c>
      <c r="AO230" s="346">
        <f>+VLOOKUP($E230,Primary_nrj!$1:$1048576,AO$2,FALSE)</f>
        <v>7.5164362149999997</v>
      </c>
    </row>
    <row r="231" spans="1:43" s="73" customFormat="1" ht="15" customHeight="1" x14ac:dyDescent="0.25">
      <c r="A231" s="392"/>
      <c r="B231" s="393"/>
      <c r="C231" s="335"/>
      <c r="D231" s="340" t="s">
        <v>481</v>
      </c>
      <c r="E231" s="310" t="s">
        <v>565</v>
      </c>
      <c r="F231" s="346">
        <f>+VLOOKUP($E231,Primary_nrj!$1:$1048576,F$2,FALSE)</f>
        <v>3.5035003580000001</v>
      </c>
      <c r="G231" s="346">
        <f>+VLOOKUP($E231,Primary_nrj!$1:$1048576,G$2,FALSE)</f>
        <v>3.5300997110000001</v>
      </c>
      <c r="H231" s="346">
        <f>+VLOOKUP($E231,Primary_nrj!$1:$1048576,H$2,FALSE)</f>
        <v>3.5511071740000002</v>
      </c>
      <c r="I231" s="346">
        <f>+VLOOKUP($E231,Primary_nrj!$1:$1048576,I$2,FALSE)</f>
        <v>3.570606497</v>
      </c>
      <c r="J231" s="346">
        <f>+VLOOKUP($E231,Primary_nrj!$1:$1048576,J$2,FALSE)</f>
        <v>3.5903315259999999</v>
      </c>
      <c r="K231" s="346">
        <f>+VLOOKUP($E231,Primary_nrj!$1:$1048576,K$2,FALSE)</f>
        <v>3.610842823</v>
      </c>
      <c r="L231" s="346">
        <f>+VLOOKUP($E231,Primary_nrj!$1:$1048576,L$2,FALSE)</f>
        <v>3.6319836410000002</v>
      </c>
      <c r="M231" s="346">
        <f>+VLOOKUP($E231,Primary_nrj!$1:$1048576,M$2,FALSE)</f>
        <v>3.653498286</v>
      </c>
      <c r="N231" s="346">
        <f>+VLOOKUP($E231,Primary_nrj!$1:$1048576,N$2,FALSE)</f>
        <v>3.675423452</v>
      </c>
      <c r="O231" s="346">
        <f>+VLOOKUP($E231,Primary_nrj!$1:$1048576,O$2,FALSE)</f>
        <v>3.6978343119999999</v>
      </c>
      <c r="P231" s="346">
        <f>+VLOOKUP($E231,Primary_nrj!$1:$1048576,P$2,FALSE)</f>
        <v>3.7207681520000002</v>
      </c>
      <c r="Q231" s="346">
        <f>+VLOOKUP($E231,Primary_nrj!$1:$1048576,Q$2,FALSE)</f>
        <v>3.744208532</v>
      </c>
      <c r="R231" s="346">
        <f>+VLOOKUP($E231,Primary_nrj!$1:$1048576,R$2,FALSE)</f>
        <v>3.7680893439999998</v>
      </c>
      <c r="S231" s="346">
        <f>+VLOOKUP($E231,Primary_nrj!$1:$1048576,S$2,FALSE)</f>
        <v>3.7923038999999998</v>
      </c>
      <c r="T231" s="346">
        <f>+VLOOKUP($E231,Primary_nrj!$1:$1048576,T$2,FALSE)</f>
        <v>3.8167141340000001</v>
      </c>
      <c r="U231" s="346">
        <f>+VLOOKUP($E231,Primary_nrj!$1:$1048576,U$2,FALSE)</f>
        <v>3.8411589820000001</v>
      </c>
      <c r="V231" s="346">
        <f>+VLOOKUP($E231,Primary_nrj!$1:$1048576,V$2,FALSE)</f>
        <v>3.8653617800000002</v>
      </c>
      <c r="W231" s="346">
        <f>+VLOOKUP($E231,Primary_nrj!$1:$1048576,W$2,FALSE)</f>
        <v>3.8891416300000001</v>
      </c>
      <c r="X231" s="346">
        <f>+VLOOKUP($E231,Primary_nrj!$1:$1048576,X$2,FALSE)</f>
        <v>3.9125864359999998</v>
      </c>
      <c r="Y231" s="346">
        <f>+VLOOKUP($E231,Primary_nrj!$1:$1048576,Y$2,FALSE)</f>
        <v>3.9358578670000002</v>
      </c>
      <c r="Z231" s="346">
        <f>+VLOOKUP($E231,Primary_nrj!$1:$1048576,Z$2,FALSE)</f>
        <v>3.959125089</v>
      </c>
      <c r="AA231" s="346">
        <f>+VLOOKUP($E231,Primary_nrj!$1:$1048576,AA$2,FALSE)</f>
        <v>3.9825447989999998</v>
      </c>
      <c r="AB231" s="346">
        <f>+VLOOKUP($E231,Primary_nrj!$1:$1048576,AB$2,FALSE)</f>
        <v>4.006258356</v>
      </c>
      <c r="AC231" s="346">
        <f>+VLOOKUP($E231,Primary_nrj!$1:$1048576,AC$2,FALSE)</f>
        <v>4.030394695</v>
      </c>
      <c r="AD231" s="346">
        <f>+VLOOKUP($E231,Primary_nrj!$1:$1048576,AD$2,FALSE)</f>
        <v>4.0550745770000001</v>
      </c>
      <c r="AE231" s="346">
        <f>+VLOOKUP($E231,Primary_nrj!$1:$1048576,AE$2,FALSE)</f>
        <v>4.0804145199999997</v>
      </c>
      <c r="AF231" s="346">
        <f>+VLOOKUP($E231,Primary_nrj!$1:$1048576,AF$2,FALSE)</f>
        <v>4.1065298930000003</v>
      </c>
      <c r="AG231" s="346">
        <f>+VLOOKUP($E231,Primary_nrj!$1:$1048576,AG$2,FALSE)</f>
        <v>4.1335370850000004</v>
      </c>
      <c r="AH231" s="346">
        <f>+VLOOKUP($E231,Primary_nrj!$1:$1048576,AH$2,FALSE)</f>
        <v>4.1615548010000003</v>
      </c>
      <c r="AI231" s="346">
        <f>+VLOOKUP($E231,Primary_nrj!$1:$1048576,AI$2,FALSE)</f>
        <v>4.1907045920000003</v>
      </c>
      <c r="AJ231" s="346">
        <f>+VLOOKUP($E231,Primary_nrj!$1:$1048576,AJ$2,FALSE)</f>
        <v>4.2211106709999999</v>
      </c>
      <c r="AK231" s="346">
        <f>+VLOOKUP($E231,Primary_nrj!$1:$1048576,AK$2,FALSE)</f>
        <v>4.2528990960000002</v>
      </c>
      <c r="AL231" s="346">
        <f>+VLOOKUP($E231,Primary_nrj!$1:$1048576,AL$2,FALSE)</f>
        <v>4.2861963530000002</v>
      </c>
      <c r="AM231" s="346">
        <f>+VLOOKUP($E231,Primary_nrj!$1:$1048576,AM$2,FALSE)</f>
        <v>4.3211274199999998</v>
      </c>
      <c r="AN231" s="346">
        <f>+VLOOKUP($E231,Primary_nrj!$1:$1048576,AN$2,FALSE)</f>
        <v>4.357813341</v>
      </c>
      <c r="AO231" s="346">
        <f>+VLOOKUP($E231,Primary_nrj!$1:$1048576,AO$2,FALSE)</f>
        <v>4.3963684179999998</v>
      </c>
    </row>
    <row r="232" spans="1:43" s="73" customFormat="1" ht="15" customHeight="1" x14ac:dyDescent="0.25">
      <c r="A232" s="392"/>
      <c r="B232" s="393"/>
      <c r="C232" s="335"/>
      <c r="D232" s="340" t="s">
        <v>482</v>
      </c>
      <c r="E232" s="310" t="s">
        <v>566</v>
      </c>
      <c r="F232" s="346">
        <f>+VLOOKUP($E232,Primary_nrj!$1:$1048576,F$2,FALSE)</f>
        <v>9.7845417399999995E-2</v>
      </c>
      <c r="G232" s="346">
        <f>+VLOOKUP($E232,Primary_nrj!$1:$1048576,G$2,FALSE)</f>
        <v>9.8588281599999994E-2</v>
      </c>
      <c r="H232" s="346">
        <f>+VLOOKUP($E232,Primary_nrj!$1:$1048576,H$2,FALSE)</f>
        <v>9.9174975900000004E-2</v>
      </c>
      <c r="I232" s="346">
        <f>+VLOOKUP($E232,Primary_nrj!$1:$1048576,I$2,FALSE)</f>
        <v>9.9719551099999998E-2</v>
      </c>
      <c r="J232" s="346">
        <f>+VLOOKUP($E232,Primary_nrj!$1:$1048576,J$2,FALSE)</f>
        <v>0.1002704298</v>
      </c>
      <c r="K232" s="346">
        <f>+VLOOKUP($E232,Primary_nrj!$1:$1048576,K$2,FALSE)</f>
        <v>0.1008432673</v>
      </c>
      <c r="L232" s="346">
        <f>+VLOOKUP($E232,Primary_nrj!$1:$1048576,L$2,FALSE)</f>
        <v>0.101433686</v>
      </c>
      <c r="M232" s="346">
        <f>+VLOOKUP($E232,Primary_nrj!$1:$1048576,M$2,FALSE)</f>
        <v>0.102034545</v>
      </c>
      <c r="N232" s="346">
        <f>+VLOOKUP($E232,Primary_nrj!$1:$1048576,N$2,FALSE)</f>
        <v>0.10264686889999999</v>
      </c>
      <c r="O232" s="346">
        <f>+VLOOKUP($E232,Primary_nrj!$1:$1048576,O$2,FALSE)</f>
        <v>0.1032727572</v>
      </c>
      <c r="P232" s="346">
        <f>+VLOOKUP($E232,Primary_nrj!$1:$1048576,P$2,FALSE)</f>
        <v>0.1039132512</v>
      </c>
      <c r="Q232" s="346">
        <f>+VLOOKUP($E232,Primary_nrj!$1:$1048576,Q$2,FALSE)</f>
        <v>0.1045678919</v>
      </c>
      <c r="R232" s="346">
        <f>+VLOOKUP($E232,Primary_nrj!$1:$1048576,R$2,FALSE)</f>
        <v>0.10523483290000001</v>
      </c>
      <c r="S232" s="346">
        <f>+VLOOKUP($E232,Primary_nrj!$1:$1048576,S$2,FALSE)</f>
        <v>0.10591109460000001</v>
      </c>
      <c r="T232" s="346">
        <f>+VLOOKUP($E232,Primary_nrj!$1:$1048576,T$2,FALSE)</f>
        <v>0.1065928213</v>
      </c>
      <c r="U232" s="346">
        <f>+VLOOKUP($E232,Primary_nrj!$1:$1048576,U$2,FALSE)</f>
        <v>0.1072755146</v>
      </c>
      <c r="V232" s="346">
        <f>+VLOOKUP($E232,Primary_nrj!$1:$1048576,V$2,FALSE)</f>
        <v>0.10795144800000001</v>
      </c>
      <c r="W232" s="346">
        <f>+VLOOKUP($E232,Primary_nrj!$1:$1048576,W$2,FALSE)</f>
        <v>0.1086155694</v>
      </c>
      <c r="X232" s="346">
        <f>+VLOOKUP($E232,Primary_nrj!$1:$1048576,X$2,FALSE)</f>
        <v>0.10927033360000001</v>
      </c>
      <c r="Y232" s="346">
        <f>+VLOOKUP($E232,Primary_nrj!$1:$1048576,Y$2,FALSE)</f>
        <v>0.1099202559</v>
      </c>
      <c r="Z232" s="346">
        <f>+VLOOKUP($E232,Primary_nrj!$1:$1048576,Z$2,FALSE)</f>
        <v>0.11057006060000001</v>
      </c>
      <c r="AA232" s="346">
        <f>+VLOOKUP($E232,Primary_nrj!$1:$1048576,AA$2,FALSE)</f>
        <v>0.11122412399999999</v>
      </c>
      <c r="AB232" s="346">
        <f>+VLOOKUP($E232,Primary_nrj!$1:$1048576,AB$2,FALSE)</f>
        <v>0.11188639390000001</v>
      </c>
      <c r="AC232" s="346">
        <f>+VLOOKUP($E232,Primary_nrj!$1:$1048576,AC$2,FALSE)</f>
        <v>0.1125604712</v>
      </c>
      <c r="AD232" s="346">
        <f>+VLOOKUP($E232,Primary_nrj!$1:$1048576,AD$2,FALSE)</f>
        <v>0.1132497286</v>
      </c>
      <c r="AE232" s="346">
        <f>+VLOOKUP($E232,Primary_nrj!$1:$1048576,AE$2,FALSE)</f>
        <v>0.11395742</v>
      </c>
      <c r="AF232" s="346">
        <f>+VLOOKUP($E232,Primary_nrj!$1:$1048576,AF$2,FALSE)</f>
        <v>0.1146867676</v>
      </c>
      <c r="AG232" s="346">
        <f>+VLOOKUP($E232,Primary_nrj!$1:$1048576,AG$2,FALSE)</f>
        <v>0.1154410219</v>
      </c>
      <c r="AH232" s="346">
        <f>+VLOOKUP($E232,Primary_nrj!$1:$1048576,AH$2,FALSE)</f>
        <v>0.1162234979</v>
      </c>
      <c r="AI232" s="346">
        <f>+VLOOKUP($E232,Primary_nrj!$1:$1048576,AI$2,FALSE)</f>
        <v>0.1170375904</v>
      </c>
      <c r="AJ232" s="346">
        <f>+VLOOKUP($E232,Primary_nrj!$1:$1048576,AJ$2,FALSE)</f>
        <v>0.1178867685</v>
      </c>
      <c r="AK232" s="346">
        <f>+VLOOKUP($E232,Primary_nrj!$1:$1048576,AK$2,FALSE)</f>
        <v>0.11877455250000001</v>
      </c>
      <c r="AL232" s="346">
        <f>+VLOOKUP($E232,Primary_nrj!$1:$1048576,AL$2,FALSE)</f>
        <v>0.1197044751</v>
      </c>
      <c r="AM232" s="346">
        <f>+VLOOKUP($E232,Primary_nrj!$1:$1048576,AM$2,FALSE)</f>
        <v>0.1206800265</v>
      </c>
      <c r="AN232" s="346">
        <f>+VLOOKUP($E232,Primary_nrj!$1:$1048576,AN$2,FALSE)</f>
        <v>0.1217045873</v>
      </c>
      <c r="AO232" s="346">
        <f>+VLOOKUP($E232,Primary_nrj!$1:$1048576,AO$2,FALSE)</f>
        <v>0.12278134979999999</v>
      </c>
    </row>
    <row r="233" spans="1:43" s="108" customFormat="1" ht="15" customHeight="1" x14ac:dyDescent="0.25">
      <c r="A233" s="392"/>
      <c r="B233" s="393"/>
      <c r="C233" s="335" t="s">
        <v>544</v>
      </c>
      <c r="D233" s="339"/>
      <c r="E233" s="337" t="s">
        <v>573</v>
      </c>
      <c r="F233" s="347">
        <f>+VLOOKUP($E233,Primary_nrj!$1:$1048576,F$2,FALSE)</f>
        <v>5.7094259999999997</v>
      </c>
      <c r="G233" s="347">
        <f>+VLOOKUP($E233,Primary_nrj!$1:$1048576,G$2,FALSE)</f>
        <v>5.7722436630000002</v>
      </c>
      <c r="H233" s="347">
        <f>+VLOOKUP($E233,Primary_nrj!$1:$1048576,H$2,FALSE)</f>
        <v>5.8322895360000002</v>
      </c>
      <c r="I233" s="347">
        <f>+VLOOKUP($E233,Primary_nrj!$1:$1048576,I$2,FALSE)</f>
        <v>5.8903485360000003</v>
      </c>
      <c r="J233" s="347">
        <f>+VLOOKUP($E233,Primary_nrj!$1:$1048576,J$2,FALSE)</f>
        <v>5.9468911120000003</v>
      </c>
      <c r="K233" s="347">
        <f>+VLOOKUP($E233,Primary_nrj!$1:$1048576,K$2,FALSE)</f>
        <v>6.0018206989999996</v>
      </c>
      <c r="L233" s="347">
        <f>+VLOOKUP($E233,Primary_nrj!$1:$1048576,L$2,FALSE)</f>
        <v>6.0548594639999997</v>
      </c>
      <c r="M233" s="347">
        <f>+VLOOKUP($E233,Primary_nrj!$1:$1048576,M$2,FALSE)</f>
        <v>6.1064926220000002</v>
      </c>
      <c r="N233" s="347">
        <f>+VLOOKUP($E233,Primary_nrj!$1:$1048576,N$2,FALSE)</f>
        <v>6.1577301540000002</v>
      </c>
      <c r="O233" s="347">
        <f>+VLOOKUP($E233,Primary_nrj!$1:$1048576,O$2,FALSE)</f>
        <v>6.2091284269999996</v>
      </c>
      <c r="P233" s="347">
        <f>+VLOOKUP($E233,Primary_nrj!$1:$1048576,P$2,FALSE)</f>
        <v>6.2606826590000004</v>
      </c>
      <c r="Q233" s="347">
        <f>+VLOOKUP($E233,Primary_nrj!$1:$1048576,Q$2,FALSE)</f>
        <v>6.3119623540000003</v>
      </c>
      <c r="R233" s="347">
        <f>+VLOOKUP($E233,Primary_nrj!$1:$1048576,R$2,FALSE)</f>
        <v>6.3622753379999999</v>
      </c>
      <c r="S233" s="347">
        <f>+VLOOKUP($E233,Primary_nrj!$1:$1048576,S$2,FALSE)</f>
        <v>6.4107988090000001</v>
      </c>
      <c r="T233" s="347">
        <f>+VLOOKUP($E233,Primary_nrj!$1:$1048576,T$2,FALSE)</f>
        <v>6.4566709150000001</v>
      </c>
      <c r="U233" s="347">
        <f>+VLOOKUP($E233,Primary_nrj!$1:$1048576,U$2,FALSE)</f>
        <v>6.4990524140000003</v>
      </c>
      <c r="V233" s="347">
        <f>+VLOOKUP($E233,Primary_nrj!$1:$1048576,V$2,FALSE)</f>
        <v>6.5373896870000001</v>
      </c>
      <c r="W233" s="347">
        <f>+VLOOKUP($E233,Primary_nrj!$1:$1048576,W$2,FALSE)</f>
        <v>6.5720548299999999</v>
      </c>
      <c r="X233" s="347">
        <f>+VLOOKUP($E233,Primary_nrj!$1:$1048576,X$2,FALSE)</f>
        <v>6.6041257489999996</v>
      </c>
      <c r="Y233" s="347">
        <f>+VLOOKUP($E233,Primary_nrj!$1:$1048576,Y$2,FALSE)</f>
        <v>6.6345759580000001</v>
      </c>
      <c r="Z233" s="347">
        <f>+VLOOKUP($E233,Primary_nrj!$1:$1048576,Z$2,FALSE)</f>
        <v>6.6640937070000001</v>
      </c>
      <c r="AA233" s="347">
        <f>+VLOOKUP($E233,Primary_nrj!$1:$1048576,AA$2,FALSE)</f>
        <v>6.6931079899999997</v>
      </c>
      <c r="AB233" s="347">
        <f>+VLOOKUP($E233,Primary_nrj!$1:$1048576,AB$2,FALSE)</f>
        <v>6.7218637350000003</v>
      </c>
      <c r="AC233" s="347">
        <f>+VLOOKUP($E233,Primary_nrj!$1:$1048576,AC$2,FALSE)</f>
        <v>6.7504914459999998</v>
      </c>
      <c r="AD233" s="347">
        <f>+VLOOKUP($E233,Primary_nrj!$1:$1048576,AD$2,FALSE)</f>
        <v>6.7790575649999996</v>
      </c>
      <c r="AE233" s="347">
        <f>+VLOOKUP($E233,Primary_nrj!$1:$1048576,AE$2,FALSE)</f>
        <v>6.807596481</v>
      </c>
      <c r="AF233" s="347">
        <f>+VLOOKUP($E233,Primary_nrj!$1:$1048576,AF$2,FALSE)</f>
        <v>6.836129036</v>
      </c>
      <c r="AG233" s="347">
        <f>+VLOOKUP($E233,Primary_nrj!$1:$1048576,AG$2,FALSE)</f>
        <v>6.8646722640000002</v>
      </c>
      <c r="AH233" s="347">
        <f>+VLOOKUP($E233,Primary_nrj!$1:$1048576,AH$2,FALSE)</f>
        <v>6.8932439390000004</v>
      </c>
      <c r="AI233" s="347">
        <f>+VLOOKUP($E233,Primary_nrj!$1:$1048576,AI$2,FALSE)</f>
        <v>6.9218643049999997</v>
      </c>
      <c r="AJ233" s="347">
        <f>+VLOOKUP($E233,Primary_nrj!$1:$1048576,AJ$2,FALSE)</f>
        <v>6.9505563800000001</v>
      </c>
      <c r="AK233" s="347">
        <f>+VLOOKUP($E233,Primary_nrj!$1:$1048576,AK$2,FALSE)</f>
        <v>6.9793456730000001</v>
      </c>
      <c r="AL233" s="347">
        <f>+VLOOKUP($E233,Primary_nrj!$1:$1048576,AL$2,FALSE)</f>
        <v>7.0082596969999997</v>
      </c>
      <c r="AM233" s="347">
        <f>+VLOOKUP($E233,Primary_nrj!$1:$1048576,AM$2,FALSE)</f>
        <v>7.0373274910000001</v>
      </c>
      <c r="AN233" s="347">
        <f>+VLOOKUP($E233,Primary_nrj!$1:$1048576,AN$2,FALSE)</f>
        <v>7.0665792190000003</v>
      </c>
      <c r="AO233" s="347">
        <f>+VLOOKUP($E233,Primary_nrj!$1:$1048576,AO$2,FALSE)</f>
        <v>7.0960458620000004</v>
      </c>
    </row>
    <row r="234" spans="1:43" s="307" customFormat="1" ht="15" customHeight="1" x14ac:dyDescent="0.25">
      <c r="A234" s="392"/>
      <c r="B234" s="393"/>
      <c r="C234" s="338"/>
      <c r="D234" s="340" t="s">
        <v>1909</v>
      </c>
      <c r="E234" s="310" t="s">
        <v>1910</v>
      </c>
      <c r="F234" s="346">
        <f>+VLOOKUP($E234,Primary_nrj!$1:$1048576,F$2,FALSE)</f>
        <v>5.7094259999999997</v>
      </c>
      <c r="G234" s="346">
        <f>+VLOOKUP($E234,Primary_nrj!$1:$1048576,G$2,FALSE)</f>
        <v>5.7722436630000002</v>
      </c>
      <c r="H234" s="346">
        <f>+VLOOKUP($E234,Primary_nrj!$1:$1048576,H$2,FALSE)</f>
        <v>5.8322895360000002</v>
      </c>
      <c r="I234" s="346">
        <f>+VLOOKUP($E234,Primary_nrj!$1:$1048576,I$2,FALSE)</f>
        <v>5.8903485360000003</v>
      </c>
      <c r="J234" s="346">
        <f>+VLOOKUP($E234,Primary_nrj!$1:$1048576,J$2,FALSE)</f>
        <v>5.9468911120000003</v>
      </c>
      <c r="K234" s="346">
        <f>+VLOOKUP($E234,Primary_nrj!$1:$1048576,K$2,FALSE)</f>
        <v>6.0018206989999996</v>
      </c>
      <c r="L234" s="346">
        <f>+VLOOKUP($E234,Primary_nrj!$1:$1048576,L$2,FALSE)</f>
        <v>6.0548594639999997</v>
      </c>
      <c r="M234" s="346">
        <f>+VLOOKUP($E234,Primary_nrj!$1:$1048576,M$2,FALSE)</f>
        <v>6.1064926220000002</v>
      </c>
      <c r="N234" s="346">
        <f>+VLOOKUP($E234,Primary_nrj!$1:$1048576,N$2,FALSE)</f>
        <v>6.1577301540000002</v>
      </c>
      <c r="O234" s="346">
        <f>+VLOOKUP($E234,Primary_nrj!$1:$1048576,O$2,FALSE)</f>
        <v>6.2091284269999996</v>
      </c>
      <c r="P234" s="346">
        <f>+VLOOKUP($E234,Primary_nrj!$1:$1048576,P$2,FALSE)</f>
        <v>6.2606826590000004</v>
      </c>
      <c r="Q234" s="346">
        <f>+VLOOKUP($E234,Primary_nrj!$1:$1048576,Q$2,FALSE)</f>
        <v>6.3119623540000003</v>
      </c>
      <c r="R234" s="346">
        <f>+VLOOKUP($E234,Primary_nrj!$1:$1048576,R$2,FALSE)</f>
        <v>6.3622753379999999</v>
      </c>
      <c r="S234" s="346">
        <f>+VLOOKUP($E234,Primary_nrj!$1:$1048576,S$2,FALSE)</f>
        <v>6.4107988090000001</v>
      </c>
      <c r="T234" s="346">
        <f>+VLOOKUP($E234,Primary_nrj!$1:$1048576,T$2,FALSE)</f>
        <v>6.4566709150000001</v>
      </c>
      <c r="U234" s="346">
        <f>+VLOOKUP($E234,Primary_nrj!$1:$1048576,U$2,FALSE)</f>
        <v>6.4990524140000003</v>
      </c>
      <c r="V234" s="346">
        <f>+VLOOKUP($E234,Primary_nrj!$1:$1048576,V$2,FALSE)</f>
        <v>6.5373896870000001</v>
      </c>
      <c r="W234" s="346">
        <f>+VLOOKUP($E234,Primary_nrj!$1:$1048576,W$2,FALSE)</f>
        <v>6.5720548299999999</v>
      </c>
      <c r="X234" s="346">
        <f>+VLOOKUP($E234,Primary_nrj!$1:$1048576,X$2,FALSE)</f>
        <v>6.6041257489999996</v>
      </c>
      <c r="Y234" s="346">
        <f>+VLOOKUP($E234,Primary_nrj!$1:$1048576,Y$2,FALSE)</f>
        <v>6.6345759580000001</v>
      </c>
      <c r="Z234" s="346">
        <f>+VLOOKUP($E234,Primary_nrj!$1:$1048576,Z$2,FALSE)</f>
        <v>6.6640937070000001</v>
      </c>
      <c r="AA234" s="346">
        <f>+VLOOKUP($E234,Primary_nrj!$1:$1048576,AA$2,FALSE)</f>
        <v>6.6931079899999997</v>
      </c>
      <c r="AB234" s="346">
        <f>+VLOOKUP($E234,Primary_nrj!$1:$1048576,AB$2,FALSE)</f>
        <v>6.7218637350000003</v>
      </c>
      <c r="AC234" s="346">
        <f>+VLOOKUP($E234,Primary_nrj!$1:$1048576,AC$2,FALSE)</f>
        <v>6.7504914459999998</v>
      </c>
      <c r="AD234" s="346">
        <f>+VLOOKUP($E234,Primary_nrj!$1:$1048576,AD$2,FALSE)</f>
        <v>6.7790575649999996</v>
      </c>
      <c r="AE234" s="346">
        <f>+VLOOKUP($E234,Primary_nrj!$1:$1048576,AE$2,FALSE)</f>
        <v>6.807596481</v>
      </c>
      <c r="AF234" s="346">
        <f>+VLOOKUP($E234,Primary_nrj!$1:$1048576,AF$2,FALSE)</f>
        <v>6.836129036</v>
      </c>
      <c r="AG234" s="346">
        <f>+VLOOKUP($E234,Primary_nrj!$1:$1048576,AG$2,FALSE)</f>
        <v>6.8646722640000002</v>
      </c>
      <c r="AH234" s="346">
        <f>+VLOOKUP($E234,Primary_nrj!$1:$1048576,AH$2,FALSE)</f>
        <v>6.8932439390000004</v>
      </c>
      <c r="AI234" s="346">
        <f>+VLOOKUP($E234,Primary_nrj!$1:$1048576,AI$2,FALSE)</f>
        <v>6.9218643049999997</v>
      </c>
      <c r="AJ234" s="346">
        <f>+VLOOKUP($E234,Primary_nrj!$1:$1048576,AJ$2,FALSE)</f>
        <v>6.9505563800000001</v>
      </c>
      <c r="AK234" s="346">
        <f>+VLOOKUP($E234,Primary_nrj!$1:$1048576,AK$2,FALSE)</f>
        <v>6.9793456730000001</v>
      </c>
      <c r="AL234" s="346">
        <f>+VLOOKUP($E234,Primary_nrj!$1:$1048576,AL$2,FALSE)</f>
        <v>7.0082596969999997</v>
      </c>
      <c r="AM234" s="346">
        <f>+VLOOKUP($E234,Primary_nrj!$1:$1048576,AM$2,FALSE)</f>
        <v>7.0373274910000001</v>
      </c>
      <c r="AN234" s="346">
        <f>+VLOOKUP($E234,Primary_nrj!$1:$1048576,AN$2,FALSE)</f>
        <v>7.0665792190000003</v>
      </c>
      <c r="AO234" s="346">
        <f>+VLOOKUP($E234,Primary_nrj!$1:$1048576,AO$2,FALSE)</f>
        <v>7.0960458620000004</v>
      </c>
      <c r="AP234" s="73"/>
      <c r="AQ234" s="73"/>
    </row>
    <row r="235" spans="1:43" s="108" customFormat="1" ht="15" customHeight="1" x14ac:dyDescent="0.25">
      <c r="A235" s="392"/>
      <c r="B235" s="393"/>
      <c r="C235" s="335" t="s">
        <v>552</v>
      </c>
      <c r="D235" s="339"/>
      <c r="E235" s="337" t="s">
        <v>574</v>
      </c>
      <c r="F235" s="347">
        <f>+VLOOKUP($E235,Primary_nrj!$1:$1048576,F$2,FALSE)</f>
        <v>11.178419</v>
      </c>
      <c r="G235" s="347">
        <f>+VLOOKUP($E235,Primary_nrj!$1:$1048576,G$2,FALSE)</f>
        <v>11.20789166</v>
      </c>
      <c r="H235" s="347">
        <f>+VLOOKUP($E235,Primary_nrj!$1:$1048576,H$2,FALSE)</f>
        <v>11.19704415</v>
      </c>
      <c r="I235" s="347">
        <f>+VLOOKUP($E235,Primary_nrj!$1:$1048576,I$2,FALSE)</f>
        <v>11.17113112</v>
      </c>
      <c r="J235" s="347">
        <f>+VLOOKUP($E235,Primary_nrj!$1:$1048576,J$2,FALSE)</f>
        <v>11.13892981</v>
      </c>
      <c r="K235" s="347">
        <f>+VLOOKUP($E235,Primary_nrj!$1:$1048576,K$2,FALSE)</f>
        <v>11.10200375</v>
      </c>
      <c r="L235" s="347">
        <f>+VLOOKUP($E235,Primary_nrj!$1:$1048576,L$2,FALSE)</f>
        <v>11.064522289999999</v>
      </c>
      <c r="M235" s="347">
        <f>+VLOOKUP($E235,Primary_nrj!$1:$1048576,M$2,FALSE)</f>
        <v>11.031690940000001</v>
      </c>
      <c r="N235" s="347">
        <f>+VLOOKUP($E235,Primary_nrj!$1:$1048576,N$2,FALSE)</f>
        <v>11.00416165</v>
      </c>
      <c r="O235" s="347">
        <f>+VLOOKUP($E235,Primary_nrj!$1:$1048576,O$2,FALSE)</f>
        <v>10.98062571</v>
      </c>
      <c r="P235" s="347">
        <f>+VLOOKUP($E235,Primary_nrj!$1:$1048576,P$2,FALSE)</f>
        <v>10.959044240000001</v>
      </c>
      <c r="Q235" s="347">
        <f>+VLOOKUP($E235,Primary_nrj!$1:$1048576,Q$2,FALSE)</f>
        <v>10.937236130000001</v>
      </c>
      <c r="R235" s="347">
        <f>+VLOOKUP($E235,Primary_nrj!$1:$1048576,R$2,FALSE)</f>
        <v>10.913170279999999</v>
      </c>
      <c r="S235" s="347">
        <f>+VLOOKUP($E235,Primary_nrj!$1:$1048576,S$2,FALSE)</f>
        <v>10.88512253</v>
      </c>
      <c r="T235" s="347">
        <f>+VLOOKUP($E235,Primary_nrj!$1:$1048576,T$2,FALSE)</f>
        <v>10.85176499</v>
      </c>
      <c r="U235" s="347">
        <f>+VLOOKUP($E235,Primary_nrj!$1:$1048576,U$2,FALSE)</f>
        <v>10.81221266</v>
      </c>
      <c r="V235" s="347">
        <f>+VLOOKUP($E235,Primary_nrj!$1:$1048576,V$2,FALSE)</f>
        <v>10.768600810000001</v>
      </c>
      <c r="W235" s="347">
        <f>+VLOOKUP($E235,Primary_nrj!$1:$1048576,W$2,FALSE)</f>
        <v>10.72464533</v>
      </c>
      <c r="X235" s="347">
        <f>+VLOOKUP($E235,Primary_nrj!$1:$1048576,X$2,FALSE)</f>
        <v>10.68226392</v>
      </c>
      <c r="Y235" s="347">
        <f>+VLOOKUP($E235,Primary_nrj!$1:$1048576,Y$2,FALSE)</f>
        <v>10.642407990000001</v>
      </c>
      <c r="Z235" s="347">
        <f>+VLOOKUP($E235,Primary_nrj!$1:$1048576,Z$2,FALSE)</f>
        <v>10.605517880000001</v>
      </c>
      <c r="AA235" s="347">
        <f>+VLOOKUP($E235,Primary_nrj!$1:$1048576,AA$2,FALSE)</f>
        <v>10.5717701</v>
      </c>
      <c r="AB235" s="347">
        <f>+VLOOKUP($E235,Primary_nrj!$1:$1048576,AB$2,FALSE)</f>
        <v>10.54120941</v>
      </c>
      <c r="AC235" s="347">
        <f>+VLOOKUP($E235,Primary_nrj!$1:$1048576,AC$2,FALSE)</f>
        <v>10.513818799999999</v>
      </c>
      <c r="AD235" s="347">
        <f>+VLOOKUP($E235,Primary_nrj!$1:$1048576,AD$2,FALSE)</f>
        <v>10.48955613</v>
      </c>
      <c r="AE235" s="347">
        <f>+VLOOKUP($E235,Primary_nrj!$1:$1048576,AE$2,FALSE)</f>
        <v>10.468373339999999</v>
      </c>
      <c r="AF235" s="347">
        <f>+VLOOKUP($E235,Primary_nrj!$1:$1048576,AF$2,FALSE)</f>
        <v>10.45022629</v>
      </c>
      <c r="AG235" s="347">
        <f>+VLOOKUP($E235,Primary_nrj!$1:$1048576,AG$2,FALSE)</f>
        <v>10.435079549999999</v>
      </c>
      <c r="AH235" s="347">
        <f>+VLOOKUP($E235,Primary_nrj!$1:$1048576,AH$2,FALSE)</f>
        <v>10.422908380000001</v>
      </c>
      <c r="AI235" s="347">
        <f>+VLOOKUP($E235,Primary_nrj!$1:$1048576,AI$2,FALSE)</f>
        <v>10.41369924</v>
      </c>
      <c r="AJ235" s="347">
        <f>+VLOOKUP($E235,Primary_nrj!$1:$1048576,AJ$2,FALSE)</f>
        <v>10.40744922</v>
      </c>
      <c r="AK235" s="347">
        <f>+VLOOKUP($E235,Primary_nrj!$1:$1048576,AK$2,FALSE)</f>
        <v>10.40416493</v>
      </c>
      <c r="AL235" s="347">
        <f>+VLOOKUP($E235,Primary_nrj!$1:$1048576,AL$2,FALSE)</f>
        <v>10.403860849999999</v>
      </c>
      <c r="AM235" s="347">
        <f>+VLOOKUP($E235,Primary_nrj!$1:$1048576,AM$2,FALSE)</f>
        <v>10.40655748</v>
      </c>
      <c r="AN235" s="347">
        <f>+VLOOKUP($E235,Primary_nrj!$1:$1048576,AN$2,FALSE)</f>
        <v>10.41227898</v>
      </c>
      <c r="AO235" s="347">
        <f>+VLOOKUP($E235,Primary_nrj!$1:$1048576,AO$2,FALSE)</f>
        <v>10.42105078</v>
      </c>
    </row>
    <row r="236" spans="1:43" s="307" customFormat="1" ht="15" customHeight="1" x14ac:dyDescent="0.25">
      <c r="A236" s="392"/>
      <c r="B236" s="393"/>
      <c r="C236" s="338"/>
      <c r="D236" s="340"/>
      <c r="E236" s="310" t="s">
        <v>1911</v>
      </c>
      <c r="F236" s="346">
        <f>+VLOOKUP($E236,Primary_nrj!$1:$1048576,F$2,FALSE)</f>
        <v>9.9498250000000006</v>
      </c>
      <c r="G236" s="346">
        <f>+VLOOKUP($E236,Primary_nrj!$1:$1048576,G$2,FALSE)</f>
        <v>9.9760583890000003</v>
      </c>
      <c r="H236" s="346">
        <f>+VLOOKUP($E236,Primary_nrj!$1:$1048576,H$2,FALSE)</f>
        <v>9.9664031039999994</v>
      </c>
      <c r="I236" s="346">
        <f>+VLOOKUP($E236,Primary_nrj!$1:$1048576,I$2,FALSE)</f>
        <v>9.9433381109999992</v>
      </c>
      <c r="J236" s="346">
        <f>+VLOOKUP($E236,Primary_nrj!$1:$1048576,J$2,FALSE)</f>
        <v>9.9146759749999998</v>
      </c>
      <c r="K236" s="346">
        <f>+VLOOKUP($E236,Primary_nrj!$1:$1048576,K$2,FALSE)</f>
        <v>9.8818083689999998</v>
      </c>
      <c r="L236" s="346">
        <f>+VLOOKUP($E236,Primary_nrj!$1:$1048576,L$2,FALSE)</f>
        <v>9.8484464139999996</v>
      </c>
      <c r="M236" s="346">
        <f>+VLOOKUP($E236,Primary_nrj!$1:$1048576,M$2,FALSE)</f>
        <v>9.8192234769999995</v>
      </c>
      <c r="N236" s="346">
        <f>+VLOOKUP($E236,Primary_nrj!$1:$1048576,N$2,FALSE)</f>
        <v>9.7947198679999996</v>
      </c>
      <c r="O236" s="346">
        <f>+VLOOKUP($E236,Primary_nrj!$1:$1048576,O$2,FALSE)</f>
        <v>9.7737707060000005</v>
      </c>
      <c r="P236" s="346">
        <f>+VLOOKUP($E236,Primary_nrj!$1:$1048576,P$2,FALSE)</f>
        <v>9.7545612070000001</v>
      </c>
      <c r="Q236" s="346">
        <f>+VLOOKUP($E236,Primary_nrj!$1:$1048576,Q$2,FALSE)</f>
        <v>9.7351499789999991</v>
      </c>
      <c r="R236" s="346">
        <f>+VLOOKUP($E236,Primary_nrj!$1:$1048576,R$2,FALSE)</f>
        <v>9.7137291529999992</v>
      </c>
      <c r="S236" s="346">
        <f>+VLOOKUP($E236,Primary_nrj!$1:$1048576,S$2,FALSE)</f>
        <v>9.6887640580000003</v>
      </c>
      <c r="T236" s="346">
        <f>+VLOOKUP($E236,Primary_nrj!$1:$1048576,T$2,FALSE)</f>
        <v>9.659072772</v>
      </c>
      <c r="U236" s="346">
        <f>+VLOOKUP($E236,Primary_nrj!$1:$1048576,U$2,FALSE)</f>
        <v>9.6238675459999996</v>
      </c>
      <c r="V236" s="346">
        <f>+VLOOKUP($E236,Primary_nrj!$1:$1048576,V$2,FALSE)</f>
        <v>9.5850489769999996</v>
      </c>
      <c r="W236" s="346">
        <f>+VLOOKUP($E236,Primary_nrj!$1:$1048576,W$2,FALSE)</f>
        <v>9.5459245419999998</v>
      </c>
      <c r="X236" s="346">
        <f>+VLOOKUP($E236,Primary_nrj!$1:$1048576,X$2,FALSE)</f>
        <v>9.5082011679999994</v>
      </c>
      <c r="Y236" s="346">
        <f>+VLOOKUP($E236,Primary_nrj!$1:$1048576,Y$2,FALSE)</f>
        <v>9.4727257100000006</v>
      </c>
      <c r="Z236" s="346">
        <f>+VLOOKUP($E236,Primary_nrj!$1:$1048576,Z$2,FALSE)</f>
        <v>9.4398901100000003</v>
      </c>
      <c r="AA236" s="346">
        <f>+VLOOKUP($E236,Primary_nrj!$1:$1048576,AA$2,FALSE)</f>
        <v>9.4098514640000008</v>
      </c>
      <c r="AB236" s="346">
        <f>+VLOOKUP($E236,Primary_nrj!$1:$1048576,AB$2,FALSE)</f>
        <v>9.3826496349999999</v>
      </c>
      <c r="AC236" s="346">
        <f>+VLOOKUP($E236,Primary_nrj!$1:$1048576,AC$2,FALSE)</f>
        <v>9.3582694610000008</v>
      </c>
      <c r="AD236" s="346">
        <f>+VLOOKUP($E236,Primary_nrj!$1:$1048576,AD$2,FALSE)</f>
        <v>9.3366734420000004</v>
      </c>
      <c r="AE236" s="346">
        <f>+VLOOKUP($E236,Primary_nrj!$1:$1048576,AE$2,FALSE)</f>
        <v>9.3178188049999999</v>
      </c>
      <c r="AF236" s="346">
        <f>+VLOOKUP($E236,Primary_nrj!$1:$1048576,AF$2,FALSE)</f>
        <v>9.3016662579999991</v>
      </c>
      <c r="AG236" s="346">
        <f>+VLOOKUP($E236,Primary_nrj!$1:$1048576,AG$2,FALSE)</f>
        <v>9.2881842549999991</v>
      </c>
      <c r="AH236" s="346">
        <f>+VLOOKUP($E236,Primary_nrj!$1:$1048576,AH$2,FALSE)</f>
        <v>9.277350792</v>
      </c>
      <c r="AI236" s="346">
        <f>+VLOOKUP($E236,Primary_nrj!$1:$1048576,AI$2,FALSE)</f>
        <v>9.2691538090000005</v>
      </c>
      <c r="AJ236" s="346">
        <f>+VLOOKUP($E236,Primary_nrj!$1:$1048576,AJ$2,FALSE)</f>
        <v>9.2635907159999995</v>
      </c>
      <c r="AK236" s="346">
        <f>+VLOOKUP($E236,Primary_nrj!$1:$1048576,AK$2,FALSE)</f>
        <v>9.2606673879999999</v>
      </c>
      <c r="AL236" s="346">
        <f>+VLOOKUP($E236,Primary_nrj!$1:$1048576,AL$2,FALSE)</f>
        <v>9.2603967360000006</v>
      </c>
      <c r="AM236" s="346">
        <f>+VLOOKUP($E236,Primary_nrj!$1:$1048576,AM$2,FALSE)</f>
        <v>9.2627969790000009</v>
      </c>
      <c r="AN236" s="346">
        <f>+VLOOKUP($E236,Primary_nrj!$1:$1048576,AN$2,FALSE)</f>
        <v>9.2678896430000002</v>
      </c>
      <c r="AO236" s="346">
        <f>+VLOOKUP($E236,Primary_nrj!$1:$1048576,AO$2,FALSE)</f>
        <v>9.2756973570000003</v>
      </c>
      <c r="AP236" s="73"/>
      <c r="AQ236" s="73"/>
    </row>
    <row r="237" spans="1:43" s="307" customFormat="1" ht="15" customHeight="1" x14ac:dyDescent="0.25">
      <c r="A237" s="392"/>
      <c r="B237" s="393"/>
      <c r="C237" s="338"/>
      <c r="D237" s="340"/>
      <c r="E237" s="310" t="s">
        <v>1912</v>
      </c>
      <c r="F237" s="346">
        <f>+VLOOKUP($E237,Primary_nrj!$1:$1048576,F$2,FALSE)</f>
        <v>1.228594</v>
      </c>
      <c r="G237" s="346">
        <f>+VLOOKUP($E237,Primary_nrj!$1:$1048576,G$2,FALSE)</f>
        <v>1.231833271</v>
      </c>
      <c r="H237" s="346">
        <f>+VLOOKUP($E237,Primary_nrj!$1:$1048576,H$2,FALSE)</f>
        <v>1.230641047</v>
      </c>
      <c r="I237" s="346">
        <f>+VLOOKUP($E237,Primary_nrj!$1:$1048576,I$2,FALSE)</f>
        <v>1.227793006</v>
      </c>
      <c r="J237" s="346">
        <f>+VLOOKUP($E237,Primary_nrj!$1:$1048576,J$2,FALSE)</f>
        <v>1.2242538350000001</v>
      </c>
      <c r="K237" s="346">
        <f>+VLOOKUP($E237,Primary_nrj!$1:$1048576,K$2,FALSE)</f>
        <v>1.220195377</v>
      </c>
      <c r="L237" s="346">
        <f>+VLOOKUP($E237,Primary_nrj!$1:$1048576,L$2,FALSE)</f>
        <v>1.2160758780000001</v>
      </c>
      <c r="M237" s="346">
        <f>+VLOOKUP($E237,Primary_nrj!$1:$1048576,M$2,FALSE)</f>
        <v>1.2124674600000001</v>
      </c>
      <c r="N237" s="346">
        <f>+VLOOKUP($E237,Primary_nrj!$1:$1048576,N$2,FALSE)</f>
        <v>1.2094417799999999</v>
      </c>
      <c r="O237" s="346">
        <f>+VLOOKUP($E237,Primary_nrj!$1:$1048576,O$2,FALSE)</f>
        <v>1.206855</v>
      </c>
      <c r="P237" s="346">
        <f>+VLOOKUP($E237,Primary_nrj!$1:$1048576,P$2,FALSE)</f>
        <v>1.2044830310000001</v>
      </c>
      <c r="Q237" s="346">
        <f>+VLOOKUP($E237,Primary_nrj!$1:$1048576,Q$2,FALSE)</f>
        <v>1.202086153</v>
      </c>
      <c r="R237" s="346">
        <f>+VLOOKUP($E237,Primary_nrj!$1:$1048576,R$2,FALSE)</f>
        <v>1.1994411309999999</v>
      </c>
      <c r="S237" s="346">
        <f>+VLOOKUP($E237,Primary_nrj!$1:$1048576,S$2,FALSE)</f>
        <v>1.196358467</v>
      </c>
      <c r="T237" s="346">
        <f>+VLOOKUP($E237,Primary_nrj!$1:$1048576,T$2,FALSE)</f>
        <v>1.192692219</v>
      </c>
      <c r="U237" s="346">
        <f>+VLOOKUP($E237,Primary_nrj!$1:$1048576,U$2,FALSE)</f>
        <v>1.1883451140000001</v>
      </c>
      <c r="V237" s="346">
        <f>+VLOOKUP($E237,Primary_nrj!$1:$1048576,V$2,FALSE)</f>
        <v>1.1835518380000001</v>
      </c>
      <c r="W237" s="346">
        <f>+VLOOKUP($E237,Primary_nrj!$1:$1048576,W$2,FALSE)</f>
        <v>1.1787207930000001</v>
      </c>
      <c r="X237" s="346">
        <f>+VLOOKUP($E237,Primary_nrj!$1:$1048576,X$2,FALSE)</f>
        <v>1.17406275</v>
      </c>
      <c r="Y237" s="346">
        <f>+VLOOKUP($E237,Primary_nrj!$1:$1048576,Y$2,FALSE)</f>
        <v>1.169682278</v>
      </c>
      <c r="Z237" s="346">
        <f>+VLOOKUP($E237,Primary_nrj!$1:$1048576,Z$2,FALSE)</f>
        <v>1.1656277719999999</v>
      </c>
      <c r="AA237" s="346">
        <f>+VLOOKUP($E237,Primary_nrj!$1:$1048576,AA$2,FALSE)</f>
        <v>1.1619186319999999</v>
      </c>
      <c r="AB237" s="346">
        <f>+VLOOKUP($E237,Primary_nrj!$1:$1048576,AB$2,FALSE)</f>
        <v>1.1585597780000001</v>
      </c>
      <c r="AC237" s="346">
        <f>+VLOOKUP($E237,Primary_nrj!$1:$1048576,AC$2,FALSE)</f>
        <v>1.1555493400000001</v>
      </c>
      <c r="AD237" s="346">
        <f>+VLOOKUP($E237,Primary_nrj!$1:$1048576,AD$2,FALSE)</f>
        <v>1.1528826860000001</v>
      </c>
      <c r="AE237" s="346">
        <f>+VLOOKUP($E237,Primary_nrj!$1:$1048576,AE$2,FALSE)</f>
        <v>1.1505545349999999</v>
      </c>
      <c r="AF237" s="346">
        <f>+VLOOKUP($E237,Primary_nrj!$1:$1048576,AF$2,FALSE)</f>
        <v>1.148560035</v>
      </c>
      <c r="AG237" s="346">
        <f>+VLOOKUP($E237,Primary_nrj!$1:$1048576,AG$2,FALSE)</f>
        <v>1.146895292</v>
      </c>
      <c r="AH237" s="346">
        <f>+VLOOKUP($E237,Primary_nrj!$1:$1048576,AH$2,FALSE)</f>
        <v>1.1455575870000001</v>
      </c>
      <c r="AI237" s="346">
        <f>+VLOOKUP($E237,Primary_nrj!$1:$1048576,AI$2,FALSE)</f>
        <v>1.1445454319999999</v>
      </c>
      <c r="AJ237" s="346">
        <f>+VLOOKUP($E237,Primary_nrj!$1:$1048576,AJ$2,FALSE)</f>
        <v>1.143858507</v>
      </c>
      <c r="AK237" s="346">
        <f>+VLOOKUP($E237,Primary_nrj!$1:$1048576,AK$2,FALSE)</f>
        <v>1.1434975380000001</v>
      </c>
      <c r="AL237" s="346">
        <f>+VLOOKUP($E237,Primary_nrj!$1:$1048576,AL$2,FALSE)</f>
        <v>1.143464118</v>
      </c>
      <c r="AM237" s="346">
        <f>+VLOOKUP($E237,Primary_nrj!$1:$1048576,AM$2,FALSE)</f>
        <v>1.1437604969999999</v>
      </c>
      <c r="AN237" s="346">
        <f>+VLOOKUP($E237,Primary_nrj!$1:$1048576,AN$2,FALSE)</f>
        <v>1.144389334</v>
      </c>
      <c r="AO237" s="346">
        <f>+VLOOKUP($E237,Primary_nrj!$1:$1048576,AO$2,FALSE)</f>
        <v>1.145353423</v>
      </c>
      <c r="AP237" s="73"/>
      <c r="AQ237" s="73"/>
    </row>
    <row r="238" spans="1:43" s="108" customFormat="1" ht="15" customHeight="1" x14ac:dyDescent="0.25">
      <c r="A238" s="392"/>
      <c r="B238" s="393"/>
      <c r="C238" s="335" t="s">
        <v>553</v>
      </c>
      <c r="D238" s="339"/>
      <c r="E238" s="337" t="s">
        <v>575</v>
      </c>
      <c r="F238" s="347">
        <f>+VLOOKUP($E238,Primary_nrj!$1:$1048576,F$2,FALSE)</f>
        <v>13.853522</v>
      </c>
      <c r="G238" s="347">
        <f>+VLOOKUP($E238,Primary_nrj!$1:$1048576,G$2,FALSE)</f>
        <v>13.9892843</v>
      </c>
      <c r="H238" s="347">
        <f>+VLOOKUP($E238,Primary_nrj!$1:$1048576,H$2,FALSE)</f>
        <v>14.114901700000001</v>
      </c>
      <c r="I238" s="347">
        <f>+VLOOKUP($E238,Primary_nrj!$1:$1048576,I$2,FALSE)</f>
        <v>14.237573060000001</v>
      </c>
      <c r="J238" s="347">
        <f>+VLOOKUP($E238,Primary_nrj!$1:$1048576,J$2,FALSE)</f>
        <v>14.359112379999999</v>
      </c>
      <c r="K238" s="347">
        <f>+VLOOKUP($E238,Primary_nrj!$1:$1048576,K$2,FALSE)</f>
        <v>14.47843379</v>
      </c>
      <c r="L238" s="347">
        <f>+VLOOKUP($E238,Primary_nrj!$1:$1048576,L$2,FALSE)</f>
        <v>14.59571964</v>
      </c>
      <c r="M238" s="347">
        <f>+VLOOKUP($E238,Primary_nrj!$1:$1048576,M$2,FALSE)</f>
        <v>14.71298941</v>
      </c>
      <c r="N238" s="347">
        <f>+VLOOKUP($E238,Primary_nrj!$1:$1048576,N$2,FALSE)</f>
        <v>14.831389100000001</v>
      </c>
      <c r="O238" s="347">
        <f>+VLOOKUP($E238,Primary_nrj!$1:$1048576,O$2,FALSE)</f>
        <v>14.951024889999999</v>
      </c>
      <c r="P238" s="347">
        <f>+VLOOKUP($E238,Primary_nrj!$1:$1048576,P$2,FALSE)</f>
        <v>15.07114267</v>
      </c>
      <c r="Q238" s="347">
        <f>+VLOOKUP($E238,Primary_nrj!$1:$1048576,Q$2,FALSE)</f>
        <v>15.190354190000001</v>
      </c>
      <c r="R238" s="347">
        <f>+VLOOKUP($E238,Primary_nrj!$1:$1048576,R$2,FALSE)</f>
        <v>15.306844570000001</v>
      </c>
      <c r="S238" s="347">
        <f>+VLOOKUP($E238,Primary_nrj!$1:$1048576,S$2,FALSE)</f>
        <v>15.41855103</v>
      </c>
      <c r="T238" s="347">
        <f>+VLOOKUP($E238,Primary_nrj!$1:$1048576,T$2,FALSE)</f>
        <v>15.52331446</v>
      </c>
      <c r="U238" s="347">
        <f>+VLOOKUP($E238,Primary_nrj!$1:$1048576,U$2,FALSE)</f>
        <v>15.619005980000001</v>
      </c>
      <c r="V238" s="347">
        <f>+VLOOKUP($E238,Primary_nrj!$1:$1048576,V$2,FALSE)</f>
        <v>15.70538397</v>
      </c>
      <c r="W238" s="347">
        <f>+VLOOKUP($E238,Primary_nrj!$1:$1048576,W$2,FALSE)</f>
        <v>15.784267140000001</v>
      </c>
      <c r="X238" s="347">
        <f>+VLOOKUP($E238,Primary_nrj!$1:$1048576,X$2,FALSE)</f>
        <v>15.85752709</v>
      </c>
      <c r="Y238" s="347">
        <f>+VLOOKUP($E238,Primary_nrj!$1:$1048576,Y$2,FALSE)</f>
        <v>15.92672237</v>
      </c>
      <c r="Z238" s="347">
        <f>+VLOOKUP($E238,Primary_nrj!$1:$1048576,Z$2,FALSE)</f>
        <v>15.99305946</v>
      </c>
      <c r="AA238" s="347">
        <f>+VLOOKUP($E238,Primary_nrj!$1:$1048576,AA$2,FALSE)</f>
        <v>16.057441919999999</v>
      </c>
      <c r="AB238" s="347">
        <f>+VLOOKUP($E238,Primary_nrj!$1:$1048576,AB$2,FALSE)</f>
        <v>16.120536359999999</v>
      </c>
      <c r="AC238" s="347">
        <f>+VLOOKUP($E238,Primary_nrj!$1:$1048576,AC$2,FALSE)</f>
        <v>16.182832940000001</v>
      </c>
      <c r="AD238" s="347">
        <f>+VLOOKUP($E238,Primary_nrj!$1:$1048576,AD$2,FALSE)</f>
        <v>16.244694620000001</v>
      </c>
      <c r="AE238" s="347">
        <f>+VLOOKUP($E238,Primary_nrj!$1:$1048576,AE$2,FALSE)</f>
        <v>16.30639498</v>
      </c>
      <c r="AF238" s="347">
        <f>+VLOOKUP($E238,Primary_nrj!$1:$1048576,AF$2,FALSE)</f>
        <v>16.368146289999999</v>
      </c>
      <c r="AG238" s="347">
        <f>+VLOOKUP($E238,Primary_nrj!$1:$1048576,AG$2,FALSE)</f>
        <v>16.430119869999999</v>
      </c>
      <c r="AH238" s="347">
        <f>+VLOOKUP($E238,Primary_nrj!$1:$1048576,AH$2,FALSE)</f>
        <v>16.49246063</v>
      </c>
      <c r="AI238" s="347">
        <f>+VLOOKUP($E238,Primary_nrj!$1:$1048576,AI$2,FALSE)</f>
        <v>16.555297339999999</v>
      </c>
      <c r="AJ238" s="347">
        <f>+VLOOKUP($E238,Primary_nrj!$1:$1048576,AJ$2,FALSE)</f>
        <v>16.618749860000001</v>
      </c>
      <c r="AK238" s="347">
        <f>+VLOOKUP($E238,Primary_nrj!$1:$1048576,AK$2,FALSE)</f>
        <v>16.68293418</v>
      </c>
      <c r="AL238" s="347">
        <f>+VLOOKUP($E238,Primary_nrj!$1:$1048576,AL$2,FALSE)</f>
        <v>16.747965990000001</v>
      </c>
      <c r="AM238" s="347">
        <f>+VLOOKUP($E238,Primary_nrj!$1:$1048576,AM$2,FALSE)</f>
        <v>16.813963229999999</v>
      </c>
      <c r="AN238" s="347">
        <f>+VLOOKUP($E238,Primary_nrj!$1:$1048576,AN$2,FALSE)</f>
        <v>16.881047800000001</v>
      </c>
      <c r="AO238" s="347">
        <f>+VLOOKUP($E238,Primary_nrj!$1:$1048576,AO$2,FALSE)</f>
        <v>16.949346859999999</v>
      </c>
    </row>
    <row r="239" spans="1:43" s="307" customFormat="1" ht="15" customHeight="1" x14ac:dyDescent="0.25">
      <c r="A239" s="392"/>
      <c r="B239" s="393"/>
      <c r="C239" s="338"/>
      <c r="D239" s="340"/>
      <c r="E239" s="310" t="s">
        <v>1913</v>
      </c>
      <c r="F239" s="346">
        <f>+VLOOKUP($E239,Primary_nrj!$1:$1048576,F$2,FALSE)</f>
        <v>12.624928000000001</v>
      </c>
      <c r="G239" s="346">
        <f>+VLOOKUP($E239,Primary_nrj!$1:$1048576,G$2,FALSE)</f>
        <v>12.74865028</v>
      </c>
      <c r="H239" s="346">
        <f>+VLOOKUP($E239,Primary_nrj!$1:$1048576,H$2,FALSE)</f>
        <v>12.863127349999999</v>
      </c>
      <c r="I239" s="346">
        <f>+VLOOKUP($E239,Primary_nrj!$1:$1048576,I$2,FALSE)</f>
        <v>12.97491964</v>
      </c>
      <c r="J239" s="346">
        <f>+VLOOKUP($E239,Primary_nrj!$1:$1048576,J$2,FALSE)</f>
        <v>13.0856803</v>
      </c>
      <c r="K239" s="346">
        <f>+VLOOKUP($E239,Primary_nrj!$1:$1048576,K$2,FALSE)</f>
        <v>13.194419740000001</v>
      </c>
      <c r="L239" s="346">
        <f>+VLOOKUP($E239,Primary_nrj!$1:$1048576,L$2,FALSE)</f>
        <v>13.30130415</v>
      </c>
      <c r="M239" s="346">
        <f>+VLOOKUP($E239,Primary_nrj!$1:$1048576,M$2,FALSE)</f>
        <v>13.40817389</v>
      </c>
      <c r="N239" s="346">
        <f>+VLOOKUP($E239,Primary_nrj!$1:$1048576,N$2,FALSE)</f>
        <v>13.516073349999999</v>
      </c>
      <c r="O239" s="346">
        <f>+VLOOKUP($E239,Primary_nrj!$1:$1048576,O$2,FALSE)</f>
        <v>13.62509929</v>
      </c>
      <c r="P239" s="346">
        <f>+VLOOKUP($E239,Primary_nrj!$1:$1048576,P$2,FALSE)</f>
        <v>13.73456447</v>
      </c>
      <c r="Q239" s="346">
        <f>+VLOOKUP($E239,Primary_nrj!$1:$1048576,Q$2,FALSE)</f>
        <v>13.843203770000001</v>
      </c>
      <c r="R239" s="346">
        <f>+VLOOKUP($E239,Primary_nrj!$1:$1048576,R$2,FALSE)</f>
        <v>13.949363249999999</v>
      </c>
      <c r="S239" s="346">
        <f>+VLOOKUP($E239,Primary_nrj!$1:$1048576,S$2,FALSE)</f>
        <v>14.051163069999999</v>
      </c>
      <c r="T239" s="346">
        <f>+VLOOKUP($E239,Primary_nrj!$1:$1048576,T$2,FALSE)</f>
        <v>14.146635590000001</v>
      </c>
      <c r="U239" s="346">
        <f>+VLOOKUP($E239,Primary_nrj!$1:$1048576,U$2,FALSE)</f>
        <v>14.23384074</v>
      </c>
      <c r="V239" s="346">
        <f>+VLOOKUP($E239,Primary_nrj!$1:$1048576,V$2,FALSE)</f>
        <v>14.312558340000001</v>
      </c>
      <c r="W239" s="346">
        <f>+VLOOKUP($E239,Primary_nrj!$1:$1048576,W$2,FALSE)</f>
        <v>14.384445789999999</v>
      </c>
      <c r="X239" s="346">
        <f>+VLOOKUP($E239,Primary_nrj!$1:$1048576,X$2,FALSE)</f>
        <v>14.45120871</v>
      </c>
      <c r="Y239" s="346">
        <f>+VLOOKUP($E239,Primary_nrj!$1:$1048576,Y$2,FALSE)</f>
        <v>14.51426743</v>
      </c>
      <c r="Z239" s="346">
        <f>+VLOOKUP($E239,Primary_nrj!$1:$1048576,Z$2,FALSE)</f>
        <v>14.574721439999999</v>
      </c>
      <c r="AA239" s="346">
        <f>+VLOOKUP($E239,Primary_nrj!$1:$1048576,AA$2,FALSE)</f>
        <v>14.633394170000001</v>
      </c>
      <c r="AB239" s="346">
        <f>+VLOOKUP($E239,Primary_nrj!$1:$1048576,AB$2,FALSE)</f>
        <v>14.690893109999999</v>
      </c>
      <c r="AC239" s="346">
        <f>+VLOOKUP($E239,Primary_nrj!$1:$1048576,AC$2,FALSE)</f>
        <v>14.74766494</v>
      </c>
      <c r="AD239" s="346">
        <f>+VLOOKUP($E239,Primary_nrj!$1:$1048576,AD$2,FALSE)</f>
        <v>14.80404045</v>
      </c>
      <c r="AE239" s="346">
        <f>+VLOOKUP($E239,Primary_nrj!$1:$1048576,AE$2,FALSE)</f>
        <v>14.86026893</v>
      </c>
      <c r="AF239" s="346">
        <f>+VLOOKUP($E239,Primary_nrj!$1:$1048576,AF$2,FALSE)</f>
        <v>14.91654385</v>
      </c>
      <c r="AG239" s="346">
        <f>+VLOOKUP($E239,Primary_nrj!$1:$1048576,AG$2,FALSE)</f>
        <v>14.97302133</v>
      </c>
      <c r="AH239" s="346">
        <f>+VLOOKUP($E239,Primary_nrj!$1:$1048576,AH$2,FALSE)</f>
        <v>15.029833419999999</v>
      </c>
      <c r="AI239" s="346">
        <f>+VLOOKUP($E239,Primary_nrj!$1:$1048576,AI$2,FALSE)</f>
        <v>15.08709749</v>
      </c>
      <c r="AJ239" s="346">
        <f>+VLOOKUP($E239,Primary_nrj!$1:$1048576,AJ$2,FALSE)</f>
        <v>15.14492274</v>
      </c>
      <c r="AK239" s="346">
        <f>+VLOOKUP($E239,Primary_nrj!$1:$1048576,AK$2,FALSE)</f>
        <v>15.2034149</v>
      </c>
      <c r="AL239" s="346">
        <f>+VLOOKUP($E239,Primary_nrj!$1:$1048576,AL$2,FALSE)</f>
        <v>15.2626794</v>
      </c>
      <c r="AM239" s="346">
        <f>+VLOOKUP($E239,Primary_nrj!$1:$1048576,AM$2,FALSE)</f>
        <v>15.322823700000001</v>
      </c>
      <c r="AN239" s="346">
        <f>+VLOOKUP($E239,Primary_nrj!$1:$1048576,AN$2,FALSE)</f>
        <v>15.3839589</v>
      </c>
      <c r="AO239" s="346">
        <f>+VLOOKUP($E239,Primary_nrj!$1:$1048576,AO$2,FALSE)</f>
        <v>15.44620089</v>
      </c>
      <c r="AP239" s="73"/>
      <c r="AQ239" s="73"/>
    </row>
    <row r="240" spans="1:43" s="307" customFormat="1" ht="15" customHeight="1" x14ac:dyDescent="0.25">
      <c r="A240" s="392"/>
      <c r="B240" s="393"/>
      <c r="C240" s="341"/>
      <c r="D240" s="342"/>
      <c r="E240" s="343" t="s">
        <v>1914</v>
      </c>
      <c r="F240" s="348">
        <f>+VLOOKUP($E240,Primary_nrj!$1:$1048576,F$2,FALSE)</f>
        <v>1.228594</v>
      </c>
      <c r="G240" s="348">
        <f>+VLOOKUP($E240,Primary_nrj!$1:$1048576,G$2,FALSE)</f>
        <v>1.2406340250000001</v>
      </c>
      <c r="H240" s="348">
        <f>+VLOOKUP($E240,Primary_nrj!$1:$1048576,H$2,FALSE)</f>
        <v>1.2517743530000001</v>
      </c>
      <c r="I240" s="348">
        <f>+VLOOKUP($E240,Primary_nrj!$1:$1048576,I$2,FALSE)</f>
        <v>1.262653413</v>
      </c>
      <c r="J240" s="348">
        <f>+VLOOKUP($E240,Primary_nrj!$1:$1048576,J$2,FALSE)</f>
        <v>1.273432079</v>
      </c>
      <c r="K240" s="348">
        <f>+VLOOKUP($E240,Primary_nrj!$1:$1048576,K$2,FALSE)</f>
        <v>1.2840140499999999</v>
      </c>
      <c r="L240" s="348">
        <f>+VLOOKUP($E240,Primary_nrj!$1:$1048576,L$2,FALSE)</f>
        <v>1.294415498</v>
      </c>
      <c r="M240" s="348">
        <f>+VLOOKUP($E240,Primary_nrj!$1:$1048576,M$2,FALSE)</f>
        <v>1.30481552</v>
      </c>
      <c r="N240" s="348">
        <f>+VLOOKUP($E240,Primary_nrj!$1:$1048576,N$2,FALSE)</f>
        <v>1.315315748</v>
      </c>
      <c r="O240" s="348">
        <f>+VLOOKUP($E240,Primary_nrj!$1:$1048576,O$2,FALSE)</f>
        <v>1.3259255999999999</v>
      </c>
      <c r="P240" s="348">
        <f>+VLOOKUP($E240,Primary_nrj!$1:$1048576,P$2,FALSE)</f>
        <v>1.3365781969999999</v>
      </c>
      <c r="Q240" s="348">
        <f>+VLOOKUP($E240,Primary_nrj!$1:$1048576,Q$2,FALSE)</f>
        <v>1.3471504219999999</v>
      </c>
      <c r="R240" s="348">
        <f>+VLOOKUP($E240,Primary_nrj!$1:$1048576,R$2,FALSE)</f>
        <v>1.357481325</v>
      </c>
      <c r="S240" s="348">
        <f>+VLOOKUP($E240,Primary_nrj!$1:$1048576,S$2,FALSE)</f>
        <v>1.367387967</v>
      </c>
      <c r="T240" s="348">
        <f>+VLOOKUP($E240,Primary_nrj!$1:$1048576,T$2,FALSE)</f>
        <v>1.376678869</v>
      </c>
      <c r="U240" s="348">
        <f>+VLOOKUP($E240,Primary_nrj!$1:$1048576,U$2,FALSE)</f>
        <v>1.3851652329999999</v>
      </c>
      <c r="V240" s="348">
        <f>+VLOOKUP($E240,Primary_nrj!$1:$1048576,V$2,FALSE)</f>
        <v>1.3928256299999999</v>
      </c>
      <c r="W240" s="348">
        <f>+VLOOKUP($E240,Primary_nrj!$1:$1048576,W$2,FALSE)</f>
        <v>1.3998213530000001</v>
      </c>
      <c r="X240" s="348">
        <f>+VLOOKUP($E240,Primary_nrj!$1:$1048576,X$2,FALSE)</f>
        <v>1.406318381</v>
      </c>
      <c r="Y240" s="348">
        <f>+VLOOKUP($E240,Primary_nrj!$1:$1048576,Y$2,FALSE)</f>
        <v>1.4124549369999999</v>
      </c>
      <c r="Z240" s="348">
        <f>+VLOOKUP($E240,Primary_nrj!$1:$1048576,Z$2,FALSE)</f>
        <v>1.418338015</v>
      </c>
      <c r="AA240" s="348">
        <f>+VLOOKUP($E240,Primary_nrj!$1:$1048576,AA$2,FALSE)</f>
        <v>1.424047748</v>
      </c>
      <c r="AB240" s="348">
        <f>+VLOOKUP($E240,Primary_nrj!$1:$1048576,AB$2,FALSE)</f>
        <v>1.429643252</v>
      </c>
      <c r="AC240" s="348">
        <f>+VLOOKUP($E240,Primary_nrj!$1:$1048576,AC$2,FALSE)</f>
        <v>1.435168</v>
      </c>
      <c r="AD240" s="348">
        <f>+VLOOKUP($E240,Primary_nrj!$1:$1048576,AD$2,FALSE)</f>
        <v>1.440654178</v>
      </c>
      <c r="AE240" s="348">
        <f>+VLOOKUP($E240,Primary_nrj!$1:$1048576,AE$2,FALSE)</f>
        <v>1.4461260490000001</v>
      </c>
      <c r="AF240" s="348">
        <f>+VLOOKUP($E240,Primary_nrj!$1:$1048576,AF$2,FALSE)</f>
        <v>1.451602439</v>
      </c>
      <c r="AG240" s="348">
        <f>+VLOOKUP($E240,Primary_nrj!$1:$1048576,AG$2,FALSE)</f>
        <v>1.4570985409999999</v>
      </c>
      <c r="AH240" s="348">
        <f>+VLOOKUP($E240,Primary_nrj!$1:$1048576,AH$2,FALSE)</f>
        <v>1.4626272060000001</v>
      </c>
      <c r="AI240" s="348">
        <f>+VLOOKUP($E240,Primary_nrj!$1:$1048576,AI$2,FALSE)</f>
        <v>1.4681998540000001</v>
      </c>
      <c r="AJ240" s="348">
        <f>+VLOOKUP($E240,Primary_nrj!$1:$1048576,AJ$2,FALSE)</f>
        <v>1.473827115</v>
      </c>
      <c r="AK240" s="348">
        <f>+VLOOKUP($E240,Primary_nrj!$1:$1048576,AK$2,FALSE)</f>
        <v>1.4795192749999999</v>
      </c>
      <c r="AL240" s="348">
        <f>+VLOOKUP($E240,Primary_nrj!$1:$1048576,AL$2,FALSE)</f>
        <v>1.4852865959999999</v>
      </c>
      <c r="AM240" s="348">
        <f>+VLOOKUP($E240,Primary_nrj!$1:$1048576,AM$2,FALSE)</f>
        <v>1.491139534</v>
      </c>
      <c r="AN240" s="348">
        <f>+VLOOKUP($E240,Primary_nrj!$1:$1048576,AN$2,FALSE)</f>
        <v>1.497088902</v>
      </c>
      <c r="AO240" s="348">
        <f>+VLOOKUP($E240,Primary_nrj!$1:$1048576,AO$2,FALSE)</f>
        <v>1.503145977</v>
      </c>
      <c r="AP240" s="238"/>
      <c r="AQ240" s="238"/>
    </row>
    <row r="241" spans="1:43" s="108" customFormat="1" ht="15" customHeight="1" x14ac:dyDescent="0.25">
      <c r="A241" s="392"/>
      <c r="B241" s="393"/>
      <c r="C241" s="335" t="s">
        <v>796</v>
      </c>
      <c r="D241" s="335"/>
      <c r="E241" s="337" t="s">
        <v>1013</v>
      </c>
      <c r="F241" s="347">
        <f>+VLOOKUP($E241,Primary_nrj!$1:$1048576,F$2,FALSE)</f>
        <v>148.576201</v>
      </c>
      <c r="G241" s="347">
        <f>+VLOOKUP($E241,Primary_nrj!$1:$1048576,G$2,FALSE)</f>
        <v>149.57013330000001</v>
      </c>
      <c r="H241" s="347">
        <f>+VLOOKUP($E241,Primary_nrj!$1:$1048576,H$2,FALSE)</f>
        <v>150.34484019999999</v>
      </c>
      <c r="I241" s="347">
        <f>+VLOOKUP($E241,Primary_nrj!$1:$1048576,I$2,FALSE)</f>
        <v>151.1098854</v>
      </c>
      <c r="J241" s="347">
        <f>+VLOOKUP($E241,Primary_nrj!$1:$1048576,J$2,FALSE)</f>
        <v>151.93569099999999</v>
      </c>
      <c r="K241" s="347">
        <f>+VLOOKUP($E241,Primary_nrj!$1:$1048576,K$2,FALSE)</f>
        <v>152.83469719999999</v>
      </c>
      <c r="L241" s="347">
        <f>+VLOOKUP($E241,Primary_nrj!$1:$1048576,L$2,FALSE)</f>
        <v>153.7993012</v>
      </c>
      <c r="M241" s="347">
        <f>+VLOOKUP($E241,Primary_nrj!$1:$1048576,M$2,FALSE)</f>
        <v>154.81742510000001</v>
      </c>
      <c r="N241" s="347">
        <f>+VLOOKUP($E241,Primary_nrj!$1:$1048576,N$2,FALSE)</f>
        <v>155.87806119999999</v>
      </c>
      <c r="O241" s="347">
        <f>+VLOOKUP($E241,Primary_nrj!$1:$1048576,O$2,FALSE)</f>
        <v>156.97270080000001</v>
      </c>
      <c r="P241" s="347">
        <f>+VLOOKUP($E241,Primary_nrj!$1:$1048576,P$2,FALSE)</f>
        <v>158.09525450000001</v>
      </c>
      <c r="Q241" s="347">
        <f>+VLOOKUP($E241,Primary_nrj!$1:$1048576,Q$2,FALSE)</f>
        <v>159.24154580000001</v>
      </c>
      <c r="R241" s="347">
        <f>+VLOOKUP($E241,Primary_nrj!$1:$1048576,R$2,FALSE)</f>
        <v>160.4087835</v>
      </c>
      <c r="S241" s="347">
        <f>+VLOOKUP($E241,Primary_nrj!$1:$1048576,S$2,FALSE)</f>
        <v>161.5951245</v>
      </c>
      <c r="T241" s="347">
        <f>+VLOOKUP($E241,Primary_nrj!$1:$1048576,T$2,FALSE)</f>
        <v>162.7993462</v>
      </c>
      <c r="U241" s="347">
        <f>+VLOOKUP($E241,Primary_nrj!$1:$1048576,U$2,FALSE)</f>
        <v>164.02069560000001</v>
      </c>
      <c r="V241" s="347">
        <f>+VLOOKUP($E241,Primary_nrj!$1:$1048576,V$2,FALSE)</f>
        <v>165.25872709999999</v>
      </c>
      <c r="W241" s="347">
        <f>+VLOOKUP($E241,Primary_nrj!$1:$1048576,W$2,FALSE)</f>
        <v>166.51314970000001</v>
      </c>
      <c r="X241" s="347">
        <f>+VLOOKUP($E241,Primary_nrj!$1:$1048576,X$2,FALSE)</f>
        <v>167.78380910000001</v>
      </c>
      <c r="Y241" s="347">
        <f>+VLOOKUP($E241,Primary_nrj!$1:$1048576,Y$2,FALSE)</f>
        <v>169.07065349999999</v>
      </c>
      <c r="Z241" s="347">
        <f>+VLOOKUP($E241,Primary_nrj!$1:$1048576,Z$2,FALSE)</f>
        <v>170.37371010000001</v>
      </c>
      <c r="AA241" s="347">
        <f>+VLOOKUP($E241,Primary_nrj!$1:$1048576,AA$2,FALSE)</f>
        <v>171.69305320000001</v>
      </c>
      <c r="AB241" s="347">
        <f>+VLOOKUP($E241,Primary_nrj!$1:$1048576,AB$2,FALSE)</f>
        <v>173.028785</v>
      </c>
      <c r="AC241" s="347">
        <f>+VLOOKUP($E241,Primary_nrj!$1:$1048576,AC$2,FALSE)</f>
        <v>174.3810264</v>
      </c>
      <c r="AD241" s="347">
        <f>+VLOOKUP($E241,Primary_nrj!$1:$1048576,AD$2,FALSE)</f>
        <v>175.7499115</v>
      </c>
      <c r="AE241" s="347">
        <f>+VLOOKUP($E241,Primary_nrj!$1:$1048576,AE$2,FALSE)</f>
        <v>177.13558610000001</v>
      </c>
      <c r="AF241" s="347">
        <f>+VLOOKUP($E241,Primary_nrj!$1:$1048576,AF$2,FALSE)</f>
        <v>178.53820680000001</v>
      </c>
      <c r="AG241" s="347">
        <f>+VLOOKUP($E241,Primary_nrj!$1:$1048576,AG$2,FALSE)</f>
        <v>179.95794119999999</v>
      </c>
      <c r="AH241" s="347">
        <f>+VLOOKUP($E241,Primary_nrj!$1:$1048576,AH$2,FALSE)</f>
        <v>181.39496829999999</v>
      </c>
      <c r="AI241" s="347">
        <f>+VLOOKUP($E241,Primary_nrj!$1:$1048576,AI$2,FALSE)</f>
        <v>182.8494786</v>
      </c>
      <c r="AJ241" s="347">
        <f>+VLOOKUP($E241,Primary_nrj!$1:$1048576,AJ$2,FALSE)</f>
        <v>184.32167010000001</v>
      </c>
      <c r="AK241" s="347">
        <f>+VLOOKUP($E241,Primary_nrj!$1:$1048576,AK$2,FALSE)</f>
        <v>185.81175379999999</v>
      </c>
      <c r="AL241" s="347">
        <f>+VLOOKUP($E241,Primary_nrj!$1:$1048576,AL$2,FALSE)</f>
        <v>187.31995190000001</v>
      </c>
      <c r="AM241" s="347">
        <f>+VLOOKUP($E241,Primary_nrj!$1:$1048576,AM$2,FALSE)</f>
        <v>188.84649580000001</v>
      </c>
      <c r="AN241" s="347">
        <f>+VLOOKUP($E241,Primary_nrj!$1:$1048576,AN$2,FALSE)</f>
        <v>190.3916251</v>
      </c>
      <c r="AO241" s="347">
        <f>+VLOOKUP($E241,Primary_nrj!$1:$1048576,AO$2,FALSE)</f>
        <v>191.95558600000001</v>
      </c>
    </row>
    <row r="242" spans="1:43" s="108" customFormat="1" ht="15" customHeight="1" x14ac:dyDescent="0.25">
      <c r="A242" s="392"/>
      <c r="B242" s="393"/>
      <c r="C242" s="335" t="s">
        <v>578</v>
      </c>
      <c r="D242" s="335"/>
      <c r="E242" s="337" t="s">
        <v>582</v>
      </c>
      <c r="F242" s="347">
        <f>+VLOOKUP($E242,Primary_nrj!$1:$1048576,F$2,FALSE)</f>
        <v>2.391149</v>
      </c>
      <c r="G242" s="347">
        <f>+VLOOKUP($E242,Primary_nrj!$1:$1048576,G$2,FALSE)</f>
        <v>2.4138098349999999</v>
      </c>
      <c r="H242" s="347">
        <f>+VLOOKUP($E242,Primary_nrj!$1:$1048576,H$2,FALSE)</f>
        <v>2.435528138</v>
      </c>
      <c r="I242" s="347">
        <f>+VLOOKUP($E242,Primary_nrj!$1:$1048576,I$2,FALSE)</f>
        <v>2.4581597610000001</v>
      </c>
      <c r="J242" s="347">
        <f>+VLOOKUP($E242,Primary_nrj!$1:$1048576,J$2,FALSE)</f>
        <v>2.4821765899999999</v>
      </c>
      <c r="K242" s="347">
        <f>+VLOOKUP($E242,Primary_nrj!$1:$1048576,K$2,FALSE)</f>
        <v>2.5075018949999999</v>
      </c>
      <c r="L242" s="347">
        <f>+VLOOKUP($E242,Primary_nrj!$1:$1048576,L$2,FALSE)</f>
        <v>2.5339147369999999</v>
      </c>
      <c r="M242" s="347">
        <f>+VLOOKUP($E242,Primary_nrj!$1:$1048576,M$2,FALSE)</f>
        <v>2.561197301</v>
      </c>
      <c r="N242" s="347">
        <f>+VLOOKUP($E242,Primary_nrj!$1:$1048576,N$2,FALSE)</f>
        <v>2.5891752879999999</v>
      </c>
      <c r="O242" s="347">
        <f>+VLOOKUP($E242,Primary_nrj!$1:$1048576,O$2,FALSE)</f>
        <v>2.6177206100000001</v>
      </c>
      <c r="P242" s="347">
        <f>+VLOOKUP($E242,Primary_nrj!$1:$1048576,P$2,FALSE)</f>
        <v>2.6467433090000001</v>
      </c>
      <c r="Q242" s="347">
        <f>+VLOOKUP($E242,Primary_nrj!$1:$1048576,Q$2,FALSE)</f>
        <v>2.6761821170000002</v>
      </c>
      <c r="R242" s="347">
        <f>+VLOOKUP($E242,Primary_nrj!$1:$1048576,R$2,FALSE)</f>
        <v>2.7059964619999999</v>
      </c>
      <c r="S242" s="347">
        <f>+VLOOKUP($E242,Primary_nrj!$1:$1048576,S$2,FALSE)</f>
        <v>2.7361602989999998</v>
      </c>
      <c r="T242" s="347">
        <f>+VLOOKUP($E242,Primary_nrj!$1:$1048576,T$2,FALSE)</f>
        <v>2.7666573919999999</v>
      </c>
      <c r="U242" s="347">
        <f>+VLOOKUP($E242,Primary_nrj!$1:$1048576,U$2,FALSE)</f>
        <v>2.7974787710000002</v>
      </c>
      <c r="V242" s="347">
        <f>+VLOOKUP($E242,Primary_nrj!$1:$1048576,V$2,FALSE)</f>
        <v>2.8286203919999999</v>
      </c>
      <c r="W242" s="347">
        <f>+VLOOKUP($E242,Primary_nrj!$1:$1048576,W$2,FALSE)</f>
        <v>2.860081863</v>
      </c>
      <c r="X242" s="347">
        <f>+VLOOKUP($E242,Primary_nrj!$1:$1048576,X$2,FALSE)</f>
        <v>2.89186487</v>
      </c>
      <c r="Y242" s="347">
        <f>+VLOOKUP($E242,Primary_nrj!$1:$1048576,Y$2,FALSE)</f>
        <v>2.9239721200000002</v>
      </c>
      <c r="Z242" s="347">
        <f>+VLOOKUP($E242,Primary_nrj!$1:$1048576,Z$2,FALSE)</f>
        <v>2.9564069389999998</v>
      </c>
      <c r="AA242" s="347">
        <f>+VLOOKUP($E242,Primary_nrj!$1:$1048576,AA$2,FALSE)</f>
        <v>2.9891730120000002</v>
      </c>
      <c r="AB242" s="347">
        <f>+VLOOKUP($E242,Primary_nrj!$1:$1048576,AB$2,FALSE)</f>
        <v>3.0222742299999998</v>
      </c>
      <c r="AC242" s="347">
        <f>+VLOOKUP($E242,Primary_nrj!$1:$1048576,AC$2,FALSE)</f>
        <v>3.0557145920000002</v>
      </c>
      <c r="AD242" s="347">
        <f>+VLOOKUP($E242,Primary_nrj!$1:$1048576,AD$2,FALSE)</f>
        <v>3.0894981700000002</v>
      </c>
      <c r="AE242" s="347">
        <f>+VLOOKUP($E242,Primary_nrj!$1:$1048576,AE$2,FALSE)</f>
        <v>3.1236290919999998</v>
      </c>
      <c r="AF242" s="347">
        <f>+VLOOKUP($E242,Primary_nrj!$1:$1048576,AF$2,FALSE)</f>
        <v>3.1581115519999998</v>
      </c>
      <c r="AG242" s="347">
        <f>+VLOOKUP($E242,Primary_nrj!$1:$1048576,AG$2,FALSE)</f>
        <v>3.1929498239999998</v>
      </c>
      <c r="AH242" s="347">
        <f>+VLOOKUP($E242,Primary_nrj!$1:$1048576,AH$2,FALSE)</f>
        <v>3.2281482690000001</v>
      </c>
      <c r="AI242" s="347">
        <f>+VLOOKUP($E242,Primary_nrj!$1:$1048576,AI$2,FALSE)</f>
        <v>3.2637113470000001</v>
      </c>
      <c r="AJ242" s="347">
        <f>+VLOOKUP($E242,Primary_nrj!$1:$1048576,AJ$2,FALSE)</f>
        <v>3.299643648</v>
      </c>
      <c r="AK242" s="347">
        <f>+VLOOKUP($E242,Primary_nrj!$1:$1048576,AK$2,FALSE)</f>
        <v>3.3359498379999999</v>
      </c>
      <c r="AL242" s="347">
        <f>+VLOOKUP($E242,Primary_nrj!$1:$1048576,AL$2,FALSE)</f>
        <v>3.372634659</v>
      </c>
      <c r="AM242" s="347">
        <f>+VLOOKUP($E242,Primary_nrj!$1:$1048576,AM$2,FALSE)</f>
        <v>3.409702915</v>
      </c>
      <c r="AN242" s="347">
        <f>+VLOOKUP($E242,Primary_nrj!$1:$1048576,AN$2,FALSE)</f>
        <v>3.44715946</v>
      </c>
      <c r="AO242" s="347">
        <f>+VLOOKUP($E242,Primary_nrj!$1:$1048576,AO$2,FALSE)</f>
        <v>3.4850091879999998</v>
      </c>
    </row>
    <row r="243" spans="1:43" s="307" customFormat="1" ht="15" customHeight="1" x14ac:dyDescent="0.25">
      <c r="A243" s="392"/>
      <c r="B243" s="393"/>
      <c r="C243" s="338"/>
      <c r="D243" s="338" t="s">
        <v>1064</v>
      </c>
      <c r="E243" s="310" t="s">
        <v>1993</v>
      </c>
      <c r="F243" s="346">
        <f>+VLOOKUP($E243,Primary_nrj!$1:$1048576,F$2,FALSE)</f>
        <v>0.27941199999999999</v>
      </c>
      <c r="G243" s="346">
        <f>+VLOOKUP($E243,Primary_nrj!$1:$1048576,G$2,FALSE)</f>
        <v>0.28205997770000002</v>
      </c>
      <c r="H243" s="346">
        <f>+VLOOKUP($E243,Primary_nrj!$1:$1048576,H$2,FALSE)</f>
        <v>0.28459781810000001</v>
      </c>
      <c r="I243" s="346">
        <f>+VLOOKUP($E243,Primary_nrj!$1:$1048576,I$2,FALSE)</f>
        <v>0.28724238229999999</v>
      </c>
      <c r="J243" s="346">
        <f>+VLOOKUP($E243,Primary_nrj!$1:$1048576,J$2,FALSE)</f>
        <v>0.2900488115</v>
      </c>
      <c r="K243" s="346">
        <f>+VLOOKUP($E243,Primary_nrj!$1:$1048576,K$2,FALSE)</f>
        <v>0.29300813939999998</v>
      </c>
      <c r="L243" s="346">
        <f>+VLOOKUP($E243,Primary_nrj!$1:$1048576,L$2,FALSE)</f>
        <v>0.29609454889999998</v>
      </c>
      <c r="M243" s="346">
        <f>+VLOOKUP($E243,Primary_nrj!$1:$1048576,M$2,FALSE)</f>
        <v>0.29928258769999999</v>
      </c>
      <c r="N243" s="346">
        <f>+VLOOKUP($E243,Primary_nrj!$1:$1048576,N$2,FALSE)</f>
        <v>0.30255188849999998</v>
      </c>
      <c r="O243" s="346">
        <f>+VLOOKUP($E243,Primary_nrj!$1:$1048576,O$2,FALSE)</f>
        <v>0.30588748389999998</v>
      </c>
      <c r="P243" s="346">
        <f>+VLOOKUP($E243,Primary_nrj!$1:$1048576,P$2,FALSE)</f>
        <v>0.30927886189999998</v>
      </c>
      <c r="Q243" s="346">
        <f>+VLOOKUP($E243,Primary_nrj!$1:$1048576,Q$2,FALSE)</f>
        <v>0.3127188635</v>
      </c>
      <c r="R243" s="346">
        <f>+VLOOKUP($E243,Primary_nrj!$1:$1048576,R$2,FALSE)</f>
        <v>0.31620274739999998</v>
      </c>
      <c r="S243" s="346">
        <f>+VLOOKUP($E243,Primary_nrj!$1:$1048576,S$2,FALSE)</f>
        <v>0.31972747060000001</v>
      </c>
      <c r="T243" s="346">
        <f>+VLOOKUP($E243,Primary_nrj!$1:$1048576,T$2,FALSE)</f>
        <v>0.32329113539999998</v>
      </c>
      <c r="U243" s="346">
        <f>+VLOOKUP($E243,Primary_nrj!$1:$1048576,U$2,FALSE)</f>
        <v>0.32689269399999998</v>
      </c>
      <c r="V243" s="346">
        <f>+VLOOKUP($E243,Primary_nrj!$1:$1048576,V$2,FALSE)</f>
        <v>0.33053167369999997</v>
      </c>
      <c r="W243" s="346">
        <f>+VLOOKUP($E243,Primary_nrj!$1:$1048576,W$2,FALSE)</f>
        <v>0.33420802869999999</v>
      </c>
      <c r="X243" s="346">
        <f>+VLOOKUP($E243,Primary_nrj!$1:$1048576,X$2,FALSE)</f>
        <v>0.33792195590000002</v>
      </c>
      <c r="Y243" s="346">
        <f>+VLOOKUP($E243,Primary_nrj!$1:$1048576,Y$2,FALSE)</f>
        <v>0.34167377189999998</v>
      </c>
      <c r="Z243" s="346">
        <f>+VLOOKUP($E243,Primary_nrj!$1:$1048576,Z$2,FALSE)</f>
        <v>0.34546386509999999</v>
      </c>
      <c r="AA243" s="346">
        <f>+VLOOKUP($E243,Primary_nrj!$1:$1048576,AA$2,FALSE)</f>
        <v>0.3492926663</v>
      </c>
      <c r="AB243" s="346">
        <f>+VLOOKUP($E243,Primary_nrj!$1:$1048576,AB$2,FALSE)</f>
        <v>0.35316062990000002</v>
      </c>
      <c r="AC243" s="346">
        <f>+VLOOKUP($E243,Primary_nrj!$1:$1048576,AC$2,FALSE)</f>
        <v>0.3570682235</v>
      </c>
      <c r="AD243" s="346">
        <f>+VLOOKUP($E243,Primary_nrj!$1:$1048576,AD$2,FALSE)</f>
        <v>0.36101592269999999</v>
      </c>
      <c r="AE243" s="346">
        <f>+VLOOKUP($E243,Primary_nrj!$1:$1048576,AE$2,FALSE)</f>
        <v>0.36500421</v>
      </c>
      <c r="AF243" s="346">
        <f>+VLOOKUP($E243,Primary_nrj!$1:$1048576,AF$2,FALSE)</f>
        <v>0.36903357549999999</v>
      </c>
      <c r="AG243" s="346">
        <f>+VLOOKUP($E243,Primary_nrj!$1:$1048576,AG$2,FALSE)</f>
        <v>0.37310451839999997</v>
      </c>
      <c r="AH243" s="346">
        <f>+VLOOKUP($E243,Primary_nrj!$1:$1048576,AH$2,FALSE)</f>
        <v>0.37721754860000001</v>
      </c>
      <c r="AI243" s="346">
        <f>+VLOOKUP($E243,Primary_nrj!$1:$1048576,AI$2,FALSE)</f>
        <v>0.38137318710000001</v>
      </c>
      <c r="AJ243" s="346">
        <f>+VLOOKUP($E243,Primary_nrj!$1:$1048576,AJ$2,FALSE)</f>
        <v>0.3855719702</v>
      </c>
      <c r="AK243" s="346">
        <f>+VLOOKUP($E243,Primary_nrj!$1:$1048576,AK$2,FALSE)</f>
        <v>0.38981444329999998</v>
      </c>
      <c r="AL243" s="346">
        <f>+VLOOKUP($E243,Primary_nrj!$1:$1048576,AL$2,FALSE)</f>
        <v>0.39410116029999998</v>
      </c>
      <c r="AM243" s="346">
        <f>+VLOOKUP($E243,Primary_nrj!$1:$1048576,AM$2,FALSE)</f>
        <v>0.39843268269999998</v>
      </c>
      <c r="AN243" s="346">
        <f>+VLOOKUP($E243,Primary_nrj!$1:$1048576,AN$2,FALSE)</f>
        <v>0.40280957779999998</v>
      </c>
      <c r="AO243" s="346">
        <f>+VLOOKUP($E243,Primary_nrj!$1:$1048576,AO$2,FALSE)</f>
        <v>0.40723241719999997</v>
      </c>
      <c r="AP243" s="73"/>
      <c r="AQ243" s="73"/>
    </row>
    <row r="244" spans="1:43" s="307" customFormat="1" ht="15" customHeight="1" x14ac:dyDescent="0.25">
      <c r="A244" s="392"/>
      <c r="B244" s="393"/>
      <c r="C244" s="338"/>
      <c r="D244" s="338" t="s">
        <v>1064</v>
      </c>
      <c r="E244" s="310" t="s">
        <v>1994</v>
      </c>
      <c r="F244" s="346">
        <f>+VLOOKUP($E244,Primary_nrj!$1:$1048576,F$2,FALSE)</f>
        <v>2.1117370000000002</v>
      </c>
      <c r="G244" s="346">
        <f>+VLOOKUP($E244,Primary_nrj!$1:$1048576,G$2,FALSE)</f>
        <v>2.131749857</v>
      </c>
      <c r="H244" s="346">
        <f>+VLOOKUP($E244,Primary_nrj!$1:$1048576,H$2,FALSE)</f>
        <v>2.1509303200000001</v>
      </c>
      <c r="I244" s="346">
        <f>+VLOOKUP($E244,Primary_nrj!$1:$1048576,I$2,FALSE)</f>
        <v>2.170917379</v>
      </c>
      <c r="J244" s="346">
        <f>+VLOOKUP($E244,Primary_nrj!$1:$1048576,J$2,FALSE)</f>
        <v>2.1921277790000002</v>
      </c>
      <c r="K244" s="346">
        <f>+VLOOKUP($E244,Primary_nrj!$1:$1048576,K$2,FALSE)</f>
        <v>2.214493756</v>
      </c>
      <c r="L244" s="346">
        <f>+VLOOKUP($E244,Primary_nrj!$1:$1048576,L$2,FALSE)</f>
        <v>2.2378201880000002</v>
      </c>
      <c r="M244" s="346">
        <f>+VLOOKUP($E244,Primary_nrj!$1:$1048576,M$2,FALSE)</f>
        <v>2.2619147129999999</v>
      </c>
      <c r="N244" s="346">
        <f>+VLOOKUP($E244,Primary_nrj!$1:$1048576,N$2,FALSE)</f>
        <v>2.2866233999999999</v>
      </c>
      <c r="O244" s="346">
        <f>+VLOOKUP($E244,Primary_nrj!$1:$1048576,O$2,FALSE)</f>
        <v>2.3118331269999999</v>
      </c>
      <c r="P244" s="346">
        <f>+VLOOKUP($E244,Primary_nrj!$1:$1048576,P$2,FALSE)</f>
        <v>2.3374644469999999</v>
      </c>
      <c r="Q244" s="346">
        <f>+VLOOKUP($E244,Primary_nrj!$1:$1048576,Q$2,FALSE)</f>
        <v>2.3634632529999999</v>
      </c>
      <c r="R244" s="346">
        <f>+VLOOKUP($E244,Primary_nrj!$1:$1048576,R$2,FALSE)</f>
        <v>2.3897937140000001</v>
      </c>
      <c r="S244" s="346">
        <f>+VLOOKUP($E244,Primary_nrj!$1:$1048576,S$2,FALSE)</f>
        <v>2.4164328290000001</v>
      </c>
      <c r="T244" s="346">
        <f>+VLOOKUP($E244,Primary_nrj!$1:$1048576,T$2,FALSE)</f>
        <v>2.4433662570000001</v>
      </c>
      <c r="U244" s="346">
        <f>+VLOOKUP($E244,Primary_nrj!$1:$1048576,U$2,FALSE)</f>
        <v>2.4705860770000001</v>
      </c>
      <c r="V244" s="346">
        <f>+VLOOKUP($E244,Primary_nrj!$1:$1048576,V$2,FALSE)</f>
        <v>2.498088718</v>
      </c>
      <c r="W244" s="346">
        <f>+VLOOKUP($E244,Primary_nrj!$1:$1048576,W$2,FALSE)</f>
        <v>2.5258738350000001</v>
      </c>
      <c r="X244" s="346">
        <f>+VLOOKUP($E244,Primary_nrj!$1:$1048576,X$2,FALSE)</f>
        <v>2.5539429139999998</v>
      </c>
      <c r="Y244" s="346">
        <f>+VLOOKUP($E244,Primary_nrj!$1:$1048576,Y$2,FALSE)</f>
        <v>2.5822983480000001</v>
      </c>
      <c r="Z244" s="346">
        <f>+VLOOKUP($E244,Primary_nrj!$1:$1048576,Z$2,FALSE)</f>
        <v>2.6109430740000001</v>
      </c>
      <c r="AA244" s="346">
        <f>+VLOOKUP($E244,Primary_nrj!$1:$1048576,AA$2,FALSE)</f>
        <v>2.639880346</v>
      </c>
      <c r="AB244" s="346">
        <f>+VLOOKUP($E244,Primary_nrj!$1:$1048576,AB$2,FALSE)</f>
        <v>2.6691136000000002</v>
      </c>
      <c r="AC244" s="346">
        <f>+VLOOKUP($E244,Primary_nrj!$1:$1048576,AC$2,FALSE)</f>
        <v>2.698646369</v>
      </c>
      <c r="AD244" s="346">
        <f>+VLOOKUP($E244,Primary_nrj!$1:$1048576,AD$2,FALSE)</f>
        <v>2.7284822470000001</v>
      </c>
      <c r="AE244" s="346">
        <f>+VLOOKUP($E244,Primary_nrj!$1:$1048576,AE$2,FALSE)</f>
        <v>2.7586248819999999</v>
      </c>
      <c r="AF244" s="346">
        <f>+VLOOKUP($E244,Primary_nrj!$1:$1048576,AF$2,FALSE)</f>
        <v>2.7890779769999998</v>
      </c>
      <c r="AG244" s="346">
        <f>+VLOOKUP($E244,Primary_nrj!$1:$1048576,AG$2,FALSE)</f>
        <v>2.8198453049999999</v>
      </c>
      <c r="AH244" s="346">
        <f>+VLOOKUP($E244,Primary_nrj!$1:$1048576,AH$2,FALSE)</f>
        <v>2.85093072</v>
      </c>
      <c r="AI244" s="346">
        <f>+VLOOKUP($E244,Primary_nrj!$1:$1048576,AI$2,FALSE)</f>
        <v>2.8823381600000002</v>
      </c>
      <c r="AJ244" s="346">
        <f>+VLOOKUP($E244,Primary_nrj!$1:$1048576,AJ$2,FALSE)</f>
        <v>2.914071678</v>
      </c>
      <c r="AK244" s="346">
        <f>+VLOOKUP($E244,Primary_nrj!$1:$1048576,AK$2,FALSE)</f>
        <v>2.9461353950000002</v>
      </c>
      <c r="AL244" s="346">
        <f>+VLOOKUP($E244,Primary_nrj!$1:$1048576,AL$2,FALSE)</f>
        <v>2.9785334990000001</v>
      </c>
      <c r="AM244" s="346">
        <f>+VLOOKUP($E244,Primary_nrj!$1:$1048576,AM$2,FALSE)</f>
        <v>3.0112702320000002</v>
      </c>
      <c r="AN244" s="346">
        <f>+VLOOKUP($E244,Primary_nrj!$1:$1048576,AN$2,FALSE)</f>
        <v>3.0443498830000002</v>
      </c>
      <c r="AO244" s="346">
        <f>+VLOOKUP($E244,Primary_nrj!$1:$1048576,AO$2,FALSE)</f>
        <v>3.0777767699999998</v>
      </c>
      <c r="AP244" s="73"/>
      <c r="AQ244" s="73"/>
    </row>
    <row r="245" spans="1:43" s="108" customFormat="1" ht="15" customHeight="1" x14ac:dyDescent="0.25">
      <c r="A245" s="392"/>
      <c r="B245" s="393"/>
      <c r="C245" s="335" t="s">
        <v>579</v>
      </c>
      <c r="D245" s="335"/>
      <c r="E245" s="337" t="s">
        <v>583</v>
      </c>
      <c r="F245" s="347">
        <f>+VLOOKUP($E245,Primary_nrj!$1:$1048576,F$2,FALSE)</f>
        <v>1.0959989999999999</v>
      </c>
      <c r="G245" s="347">
        <f>+VLOOKUP($E245,Primary_nrj!$1:$1048576,G$2,FALSE)</f>
        <v>1.1028001160000001</v>
      </c>
      <c r="H245" s="347">
        <f>+VLOOKUP($E245,Primary_nrj!$1:$1048576,H$2,FALSE)</f>
        <v>1.1077767569999999</v>
      </c>
      <c r="I245" s="347">
        <f>+VLOOKUP($E245,Primary_nrj!$1:$1048576,I$2,FALSE)</f>
        <v>1.113099195</v>
      </c>
      <c r="J245" s="347">
        <f>+VLOOKUP($E245,Primary_nrj!$1:$1048576,J$2,FALSE)</f>
        <v>1.119431509</v>
      </c>
      <c r="K245" s="347">
        <f>+VLOOKUP($E245,Primary_nrj!$1:$1048576,K$2,FALSE)</f>
        <v>1.126786308</v>
      </c>
      <c r="L245" s="347">
        <f>+VLOOKUP($E245,Primary_nrj!$1:$1048576,L$2,FALSE)</f>
        <v>1.13497811</v>
      </c>
      <c r="M245" s="347">
        <f>+VLOOKUP($E245,Primary_nrj!$1:$1048576,M$2,FALSE)</f>
        <v>1.1438038129999999</v>
      </c>
      <c r="N245" s="347">
        <f>+VLOOKUP($E245,Primary_nrj!$1:$1048576,N$2,FALSE)</f>
        <v>1.153098556</v>
      </c>
      <c r="O245" s="347">
        <f>+VLOOKUP($E245,Primary_nrj!$1:$1048576,O$2,FALSE)</f>
        <v>1.162743262</v>
      </c>
      <c r="P245" s="347">
        <f>+VLOOKUP($E245,Primary_nrj!$1:$1048576,P$2,FALSE)</f>
        <v>1.1726568479999999</v>
      </c>
      <c r="Q245" s="347">
        <f>+VLOOKUP($E245,Primary_nrj!$1:$1048576,Q$2,FALSE)</f>
        <v>1.1827858360000001</v>
      </c>
      <c r="R245" s="347">
        <f>+VLOOKUP($E245,Primary_nrj!$1:$1048576,R$2,FALSE)</f>
        <v>1.1930955379999999</v>
      </c>
      <c r="S245" s="347">
        <f>+VLOOKUP($E245,Primary_nrj!$1:$1048576,S$2,FALSE)</f>
        <v>1.2035635629999999</v>
      </c>
      <c r="T245" s="347">
        <f>+VLOOKUP($E245,Primary_nrj!$1:$1048576,T$2,FALSE)</f>
        <v>1.2141752240000001</v>
      </c>
      <c r="U245" s="347">
        <f>+VLOOKUP($E245,Primary_nrj!$1:$1048576,U$2,FALSE)</f>
        <v>1.2249211879999999</v>
      </c>
      <c r="V245" s="347">
        <f>+VLOOKUP($E245,Primary_nrj!$1:$1048576,V$2,FALSE)</f>
        <v>1.235795572</v>
      </c>
      <c r="W245" s="347">
        <f>+VLOOKUP($E245,Primary_nrj!$1:$1048576,W$2,FALSE)</f>
        <v>1.246794701</v>
      </c>
      <c r="X245" s="347">
        <f>+VLOOKUP($E245,Primary_nrj!$1:$1048576,X$2,FALSE)</f>
        <v>1.257916335</v>
      </c>
      <c r="Y245" s="347">
        <f>+VLOOKUP($E245,Primary_nrj!$1:$1048576,Y$2,FALSE)</f>
        <v>1.2691591769999999</v>
      </c>
      <c r="Z245" s="347">
        <f>+VLOOKUP($E245,Primary_nrj!$1:$1048576,Z$2,FALSE)</f>
        <v>1.2805225499999999</v>
      </c>
      <c r="AA245" s="347">
        <f>+VLOOKUP($E245,Primary_nrj!$1:$1048576,AA$2,FALSE)</f>
        <v>1.2920062029999999</v>
      </c>
      <c r="AB245" s="347">
        <f>+VLOOKUP($E245,Primary_nrj!$1:$1048576,AB$2,FALSE)</f>
        <v>1.303610175</v>
      </c>
      <c r="AC245" s="347">
        <f>+VLOOKUP($E245,Primary_nrj!$1:$1048576,AC$2,FALSE)</f>
        <v>1.315334724</v>
      </c>
      <c r="AD245" s="347">
        <f>+VLOOKUP($E245,Primary_nrj!$1:$1048576,AD$2,FALSE)</f>
        <v>1.3271802859999999</v>
      </c>
      <c r="AE245" s="347">
        <f>+VLOOKUP($E245,Primary_nrj!$1:$1048576,AE$2,FALSE)</f>
        <v>1.3391474480000001</v>
      </c>
      <c r="AF245" s="347">
        <f>+VLOOKUP($E245,Primary_nrj!$1:$1048576,AF$2,FALSE)</f>
        <v>1.351236946</v>
      </c>
      <c r="AG245" s="347">
        <f>+VLOOKUP($E245,Primary_nrj!$1:$1048576,AG$2,FALSE)</f>
        <v>1.3634496540000001</v>
      </c>
      <c r="AH245" s="347">
        <f>+VLOOKUP($E245,Primary_nrj!$1:$1048576,AH$2,FALSE)</f>
        <v>1.3757865840000001</v>
      </c>
      <c r="AI245" s="347">
        <f>+VLOOKUP($E245,Primary_nrj!$1:$1048576,AI$2,FALSE)</f>
        <v>1.388248884</v>
      </c>
      <c r="AJ245" s="347">
        <f>+VLOOKUP($E245,Primary_nrj!$1:$1048576,AJ$2,FALSE)</f>
        <v>1.4008378260000001</v>
      </c>
      <c r="AK245" s="347">
        <f>+VLOOKUP($E245,Primary_nrj!$1:$1048576,AK$2,FALSE)</f>
        <v>1.4135548040000001</v>
      </c>
      <c r="AL245" s="347">
        <f>+VLOOKUP($E245,Primary_nrj!$1:$1048576,AL$2,FALSE)</f>
        <v>1.4264013200000001</v>
      </c>
      <c r="AM245" s="347">
        <f>+VLOOKUP($E245,Primary_nrj!$1:$1048576,AM$2,FALSE)</f>
        <v>1.4393789749999999</v>
      </c>
      <c r="AN245" s="347">
        <f>+VLOOKUP($E245,Primary_nrj!$1:$1048576,AN$2,FALSE)</f>
        <v>1.4524894500000001</v>
      </c>
      <c r="AO245" s="347">
        <f>+VLOOKUP($E245,Primary_nrj!$1:$1048576,AO$2,FALSE)</f>
        <v>1.4657344919999999</v>
      </c>
    </row>
    <row r="246" spans="1:43" s="307" customFormat="1" ht="15" customHeight="1" x14ac:dyDescent="0.25">
      <c r="A246" s="392"/>
      <c r="B246" s="393"/>
      <c r="C246" s="338"/>
      <c r="D246" s="338" t="s">
        <v>1887</v>
      </c>
      <c r="E246" s="310" t="s">
        <v>1915</v>
      </c>
      <c r="F246" s="346">
        <f>+VLOOKUP($E246,Primary_nrj!$1:$1048576,F$2,FALSE)</f>
        <v>0.74387599999999998</v>
      </c>
      <c r="G246" s="346">
        <f>+VLOOKUP($E246,Primary_nrj!$1:$1048576,G$2,FALSE)</f>
        <v>0.74849205060000001</v>
      </c>
      <c r="H246" s="346">
        <f>+VLOOKUP($E246,Primary_nrj!$1:$1048576,H$2,FALSE)</f>
        <v>0.75186979450000002</v>
      </c>
      <c r="I246" s="346">
        <f>+VLOOKUP($E246,Primary_nrj!$1:$1048576,I$2,FALSE)</f>
        <v>0.7554822376</v>
      </c>
      <c r="J246" s="346">
        <f>+VLOOKUP($E246,Primary_nrj!$1:$1048576,J$2,FALSE)</f>
        <v>0.75978010279999997</v>
      </c>
      <c r="K246" s="346">
        <f>+VLOOKUP($E246,Primary_nrj!$1:$1048576,K$2,FALSE)</f>
        <v>0.76477194950000005</v>
      </c>
      <c r="L246" s="346">
        <f>+VLOOKUP($E246,Primary_nrj!$1:$1048576,L$2,FALSE)</f>
        <v>0.77033188559999999</v>
      </c>
      <c r="M246" s="346">
        <f>+VLOOKUP($E246,Primary_nrj!$1:$1048576,M$2,FALSE)</f>
        <v>0.77632206329999998</v>
      </c>
      <c r="N246" s="346">
        <f>+VLOOKUP($E246,Primary_nrj!$1:$1048576,N$2,FALSE)</f>
        <v>0.78263058770000005</v>
      </c>
      <c r="O246" s="346">
        <f>+VLOOKUP($E246,Primary_nrj!$1:$1048576,O$2,FALSE)</f>
        <v>0.7891766389</v>
      </c>
      <c r="P246" s="346">
        <f>+VLOOKUP($E246,Primary_nrj!$1:$1048576,P$2,FALSE)</f>
        <v>0.79590518369999996</v>
      </c>
      <c r="Q246" s="346">
        <f>+VLOOKUP($E246,Primary_nrj!$1:$1048576,Q$2,FALSE)</f>
        <v>0.80277992620000005</v>
      </c>
      <c r="R246" s="346">
        <f>+VLOOKUP($E246,Primary_nrj!$1:$1048576,R$2,FALSE)</f>
        <v>0.80977732319999995</v>
      </c>
      <c r="S246" s="346">
        <f>+VLOOKUP($E246,Primary_nrj!$1:$1048576,S$2,FALSE)</f>
        <v>0.81688217659999995</v>
      </c>
      <c r="T246" s="346">
        <f>+VLOOKUP($E246,Primary_nrj!$1:$1048576,T$2,FALSE)</f>
        <v>0.82408451940000005</v>
      </c>
      <c r="U246" s="346">
        <f>+VLOOKUP($E246,Primary_nrj!$1:$1048576,U$2,FALSE)</f>
        <v>0.8313780154</v>
      </c>
      <c r="V246" s="346">
        <f>+VLOOKUP($E246,Primary_nrj!$1:$1048576,V$2,FALSE)</f>
        <v>0.83875867280000005</v>
      </c>
      <c r="W246" s="346">
        <f>+VLOOKUP($E246,Primary_nrj!$1:$1048576,W$2,FALSE)</f>
        <v>0.84622399739999998</v>
      </c>
      <c r="X246" s="346">
        <f>+VLOOKUP($E246,Primary_nrj!$1:$1048576,X$2,FALSE)</f>
        <v>0.8537724686</v>
      </c>
      <c r="Y246" s="346">
        <f>+VLOOKUP($E246,Primary_nrj!$1:$1048576,Y$2,FALSE)</f>
        <v>0.86140320530000003</v>
      </c>
      <c r="Z246" s="346">
        <f>+VLOOKUP($E246,Primary_nrj!$1:$1048576,Z$2,FALSE)</f>
        <v>0.86911574989999996</v>
      </c>
      <c r="AA246" s="346">
        <f>+VLOOKUP($E246,Primary_nrj!$1:$1048576,AA$2,FALSE)</f>
        <v>0.87690993009999996</v>
      </c>
      <c r="AB246" s="346">
        <f>+VLOOKUP($E246,Primary_nrj!$1:$1048576,AB$2,FALSE)</f>
        <v>0.88478577319999996</v>
      </c>
      <c r="AC246" s="346">
        <f>+VLOOKUP($E246,Primary_nrj!$1:$1048576,AC$2,FALSE)</f>
        <v>0.89274345460000004</v>
      </c>
      <c r="AD246" s="346">
        <f>+VLOOKUP($E246,Primary_nrj!$1:$1048576,AD$2,FALSE)</f>
        <v>0.90078326909999995</v>
      </c>
      <c r="AE246" s="346">
        <f>+VLOOKUP($E246,Primary_nrj!$1:$1048576,AE$2,FALSE)</f>
        <v>0.90890561680000004</v>
      </c>
      <c r="AF246" s="346">
        <f>+VLOOKUP($E246,Primary_nrj!$1:$1048576,AF$2,FALSE)</f>
        <v>0.9171109959</v>
      </c>
      <c r="AG246" s="346">
        <f>+VLOOKUP($E246,Primary_nrj!$1:$1048576,AG$2,FALSE)</f>
        <v>0.92540000010000001</v>
      </c>
      <c r="AH246" s="346">
        <f>+VLOOKUP($E246,Primary_nrj!$1:$1048576,AH$2,FALSE)</f>
        <v>0.93377331659999996</v>
      </c>
      <c r="AI246" s="346">
        <f>+VLOOKUP($E246,Primary_nrj!$1:$1048576,AI$2,FALSE)</f>
        <v>0.94223172369999997</v>
      </c>
      <c r="AJ246" s="346">
        <f>+VLOOKUP($E246,Primary_nrj!$1:$1048576,AJ$2,FALSE)</f>
        <v>0.95077608540000003</v>
      </c>
      <c r="AK246" s="346">
        <f>+VLOOKUP($E246,Primary_nrj!$1:$1048576,AK$2,FALSE)</f>
        <v>0.95940734729999999</v>
      </c>
      <c r="AL246" s="346">
        <f>+VLOOKUP($E246,Primary_nrj!$1:$1048576,AL$2,FALSE)</f>
        <v>0.96812652980000002</v>
      </c>
      <c r="AM246" s="346">
        <f>+VLOOKUP($E246,Primary_nrj!$1:$1048576,AM$2,FALSE)</f>
        <v>0.97693471850000002</v>
      </c>
      <c r="AN246" s="346">
        <f>+VLOOKUP($E246,Primary_nrj!$1:$1048576,AN$2,FALSE)</f>
        <v>0.98583305440000002</v>
      </c>
      <c r="AO246" s="346">
        <f>+VLOOKUP($E246,Primary_nrj!$1:$1048576,AO$2,FALSE)</f>
        <v>0.99482272439999997</v>
      </c>
      <c r="AP246" s="73"/>
      <c r="AQ246" s="73"/>
    </row>
    <row r="247" spans="1:43" s="307" customFormat="1" ht="15" customHeight="1" x14ac:dyDescent="0.25">
      <c r="A247" s="392"/>
      <c r="B247" s="393"/>
      <c r="C247" s="338"/>
      <c r="D247" s="338" t="s">
        <v>1887</v>
      </c>
      <c r="E247" s="310" t="s">
        <v>1916</v>
      </c>
      <c r="F247" s="346">
        <f>+VLOOKUP($E247,Primary_nrj!$1:$1048576,F$2,FALSE)</f>
        <v>0.35212300000000002</v>
      </c>
      <c r="G247" s="346">
        <f>+VLOOKUP($E247,Primary_nrj!$1:$1048576,G$2,FALSE)</f>
        <v>0.35430806520000002</v>
      </c>
      <c r="H247" s="346">
        <f>+VLOOKUP($E247,Primary_nrj!$1:$1048576,H$2,FALSE)</f>
        <v>0.35590696249999998</v>
      </c>
      <c r="I247" s="346">
        <f>+VLOOKUP($E247,Primary_nrj!$1:$1048576,I$2,FALSE)</f>
        <v>0.35761695760000001</v>
      </c>
      <c r="J247" s="346">
        <f>+VLOOKUP($E247,Primary_nrj!$1:$1048576,J$2,FALSE)</f>
        <v>0.35965140579999999</v>
      </c>
      <c r="K247" s="346">
        <f>+VLOOKUP($E247,Primary_nrj!$1:$1048576,K$2,FALSE)</f>
        <v>0.36201435879999999</v>
      </c>
      <c r="L247" s="346">
        <f>+VLOOKUP($E247,Primary_nrj!$1:$1048576,L$2,FALSE)</f>
        <v>0.36464622400000002</v>
      </c>
      <c r="M247" s="346">
        <f>+VLOOKUP($E247,Primary_nrj!$1:$1048576,M$2,FALSE)</f>
        <v>0.36748174950000001</v>
      </c>
      <c r="N247" s="346">
        <f>+VLOOKUP($E247,Primary_nrj!$1:$1048576,N$2,FALSE)</f>
        <v>0.37046796840000001</v>
      </c>
      <c r="O247" s="346">
        <f>+VLOOKUP($E247,Primary_nrj!$1:$1048576,O$2,FALSE)</f>
        <v>0.37356662349999997</v>
      </c>
      <c r="P247" s="346">
        <f>+VLOOKUP($E247,Primary_nrj!$1:$1048576,P$2,FALSE)</f>
        <v>0.37675166430000001</v>
      </c>
      <c r="Q247" s="346">
        <f>+VLOOKUP($E247,Primary_nrj!$1:$1048576,Q$2,FALSE)</f>
        <v>0.38000590950000002</v>
      </c>
      <c r="R247" s="346">
        <f>+VLOOKUP($E247,Primary_nrj!$1:$1048576,R$2,FALSE)</f>
        <v>0.3833182148</v>
      </c>
      <c r="S247" s="346">
        <f>+VLOOKUP($E247,Primary_nrj!$1:$1048576,S$2,FALSE)</f>
        <v>0.38668138600000002</v>
      </c>
      <c r="T247" s="346">
        <f>+VLOOKUP($E247,Primary_nrj!$1:$1048576,T$2,FALSE)</f>
        <v>0.39009070489999997</v>
      </c>
      <c r="U247" s="346">
        <f>+VLOOKUP($E247,Primary_nrj!$1:$1048576,U$2,FALSE)</f>
        <v>0.39354317239999997</v>
      </c>
      <c r="V247" s="346">
        <f>+VLOOKUP($E247,Primary_nrj!$1:$1048576,V$2,FALSE)</f>
        <v>0.39703689879999998</v>
      </c>
      <c r="W247" s="346">
        <f>+VLOOKUP($E247,Primary_nrj!$1:$1048576,W$2,FALSE)</f>
        <v>0.40057070350000001</v>
      </c>
      <c r="X247" s="346">
        <f>+VLOOKUP($E247,Primary_nrj!$1:$1048576,X$2,FALSE)</f>
        <v>0.40414386670000002</v>
      </c>
      <c r="Y247" s="346">
        <f>+VLOOKUP($E247,Primary_nrj!$1:$1048576,Y$2,FALSE)</f>
        <v>0.40775597120000001</v>
      </c>
      <c r="Z247" s="346">
        <f>+VLOOKUP($E247,Primary_nrj!$1:$1048576,Z$2,FALSE)</f>
        <v>0.41140680060000001</v>
      </c>
      <c r="AA247" s="346">
        <f>+VLOOKUP($E247,Primary_nrj!$1:$1048576,AA$2,FALSE)</f>
        <v>0.41509627319999998</v>
      </c>
      <c r="AB247" s="346">
        <f>+VLOOKUP($E247,Primary_nrj!$1:$1048576,AB$2,FALSE)</f>
        <v>0.41882440199999998</v>
      </c>
      <c r="AC247" s="346">
        <f>+VLOOKUP($E247,Primary_nrj!$1:$1048576,AC$2,FALSE)</f>
        <v>0.4225912698</v>
      </c>
      <c r="AD247" s="346">
        <f>+VLOOKUP($E247,Primary_nrj!$1:$1048576,AD$2,FALSE)</f>
        <v>0.4263970165</v>
      </c>
      <c r="AE247" s="346">
        <f>+VLOOKUP($E247,Primary_nrj!$1:$1048576,AE$2,FALSE)</f>
        <v>0.43024183129999999</v>
      </c>
      <c r="AF247" s="346">
        <f>+VLOOKUP($E247,Primary_nrj!$1:$1048576,AF$2,FALSE)</f>
        <v>0.43412594999999998</v>
      </c>
      <c r="AG247" s="346">
        <f>+VLOOKUP($E247,Primary_nrj!$1:$1048576,AG$2,FALSE)</f>
        <v>0.43804965369999999</v>
      </c>
      <c r="AH247" s="346">
        <f>+VLOOKUP($E247,Primary_nrj!$1:$1048576,AH$2,FALSE)</f>
        <v>0.44201326769999999</v>
      </c>
      <c r="AI247" s="346">
        <f>+VLOOKUP($E247,Primary_nrj!$1:$1048576,AI$2,FALSE)</f>
        <v>0.44601716050000001</v>
      </c>
      <c r="AJ247" s="346">
        <f>+VLOOKUP($E247,Primary_nrj!$1:$1048576,AJ$2,FALSE)</f>
        <v>0.4500617408</v>
      </c>
      <c r="AK247" s="346">
        <f>+VLOOKUP($E247,Primary_nrj!$1:$1048576,AK$2,FALSE)</f>
        <v>0.45414745649999999</v>
      </c>
      <c r="AL247" s="346">
        <f>+VLOOKUP($E247,Primary_nrj!$1:$1048576,AL$2,FALSE)</f>
        <v>0.45827479049999997</v>
      </c>
      <c r="AM247" s="346">
        <f>+VLOOKUP($E247,Primary_nrj!$1:$1048576,AM$2,FALSE)</f>
        <v>0.4624442567</v>
      </c>
      <c r="AN247" s="346">
        <f>+VLOOKUP($E247,Primary_nrj!$1:$1048576,AN$2,FALSE)</f>
        <v>0.46665639520000002</v>
      </c>
      <c r="AO247" s="346">
        <f>+VLOOKUP($E247,Primary_nrj!$1:$1048576,AO$2,FALSE)</f>
        <v>0.47091176779999999</v>
      </c>
      <c r="AP247" s="73"/>
      <c r="AQ247" s="73"/>
    </row>
    <row r="248" spans="1:43" s="108" customFormat="1" ht="15" customHeight="1" x14ac:dyDescent="0.25">
      <c r="A248" s="392"/>
      <c r="B248" s="393"/>
      <c r="C248" s="335" t="s">
        <v>492</v>
      </c>
      <c r="D248" s="339"/>
      <c r="E248" s="337" t="s">
        <v>584</v>
      </c>
      <c r="F248" s="347">
        <f>+VLOOKUP($E248,Primary_nrj!$1:$1048576,F$2,FALSE)</f>
        <v>42.352188980000001</v>
      </c>
      <c r="G248" s="347">
        <f>+VLOOKUP($E248,Primary_nrj!$1:$1048576,G$2,FALSE)</f>
        <v>42.563838590000003</v>
      </c>
      <c r="H248" s="347">
        <f>+VLOOKUP($E248,Primary_nrj!$1:$1048576,H$2,FALSE)</f>
        <v>42.725107459999997</v>
      </c>
      <c r="I248" s="347">
        <f>+VLOOKUP($E248,Primary_nrj!$1:$1048576,I$2,FALSE)</f>
        <v>42.918049369999999</v>
      </c>
      <c r="J248" s="347">
        <f>+VLOOKUP($E248,Primary_nrj!$1:$1048576,J$2,FALSE)</f>
        <v>43.161281989999999</v>
      </c>
      <c r="K248" s="347">
        <f>+VLOOKUP($E248,Primary_nrj!$1:$1048576,K$2,FALSE)</f>
        <v>43.450606270000002</v>
      </c>
      <c r="L248" s="347">
        <f>+VLOOKUP($E248,Primary_nrj!$1:$1048576,L$2,FALSE)</f>
        <v>43.77617515</v>
      </c>
      <c r="M248" s="347">
        <f>+VLOOKUP($E248,Primary_nrj!$1:$1048576,M$2,FALSE)</f>
        <v>44.128631660000003</v>
      </c>
      <c r="N248" s="347">
        <f>+VLOOKUP($E248,Primary_nrj!$1:$1048576,N$2,FALSE)</f>
        <v>44.500733289999999</v>
      </c>
      <c r="O248" s="347">
        <f>+VLOOKUP($E248,Primary_nrj!$1:$1048576,O$2,FALSE)</f>
        <v>44.887349469999997</v>
      </c>
      <c r="P248" s="347">
        <f>+VLOOKUP($E248,Primary_nrj!$1:$1048576,P$2,FALSE)</f>
        <v>45.285004139999998</v>
      </c>
      <c r="Q248" s="347">
        <f>+VLOOKUP($E248,Primary_nrj!$1:$1048576,Q$2,FALSE)</f>
        <v>45.691392559999997</v>
      </c>
      <c r="R248" s="347">
        <f>+VLOOKUP($E248,Primary_nrj!$1:$1048576,R$2,FALSE)</f>
        <v>46.104998129999998</v>
      </c>
      <c r="S248" s="347">
        <f>+VLOOKUP($E248,Primary_nrj!$1:$1048576,S$2,FALSE)</f>
        <v>46.524821809999999</v>
      </c>
      <c r="T248" s="347">
        <f>+VLOOKUP($E248,Primary_nrj!$1:$1048576,T$2,FALSE)</f>
        <v>46.950201370000002</v>
      </c>
      <c r="U248" s="347">
        <f>+VLOOKUP($E248,Primary_nrj!$1:$1048576,U$2,FALSE)</f>
        <v>47.380695060000001</v>
      </c>
      <c r="V248" s="347">
        <f>+VLOOKUP($E248,Primary_nrj!$1:$1048576,V$2,FALSE)</f>
        <v>47.816006229999999</v>
      </c>
      <c r="W248" s="347">
        <f>+VLOOKUP($E248,Primary_nrj!$1:$1048576,W$2,FALSE)</f>
        <v>48.255934099999997</v>
      </c>
      <c r="X248" s="347">
        <f>+VLOOKUP($E248,Primary_nrj!$1:$1048576,X$2,FALSE)</f>
        <v>48.70034287</v>
      </c>
      <c r="Y248" s="347">
        <f>+VLOOKUP($E248,Primary_nrj!$1:$1048576,Y$2,FALSE)</f>
        <v>49.14914134</v>
      </c>
      <c r="Z248" s="347">
        <f>+VLOOKUP($E248,Primary_nrj!$1:$1048576,Z$2,FALSE)</f>
        <v>49.602268989999999</v>
      </c>
      <c r="AA248" s="347">
        <f>+VLOOKUP($E248,Primary_nrj!$1:$1048576,AA$2,FALSE)</f>
        <v>50.059686829999997</v>
      </c>
      <c r="AB248" s="347">
        <f>+VLOOKUP($E248,Primary_nrj!$1:$1048576,AB$2,FALSE)</f>
        <v>50.521371530000003</v>
      </c>
      <c r="AC248" s="347">
        <f>+VLOOKUP($E248,Primary_nrj!$1:$1048576,AC$2,FALSE)</f>
        <v>50.987311800000001</v>
      </c>
      <c r="AD248" s="347">
        <f>+VLOOKUP($E248,Primary_nrj!$1:$1048576,AD$2,FALSE)</f>
        <v>51.457506299999999</v>
      </c>
      <c r="AE248" s="347">
        <f>+VLOOKUP($E248,Primary_nrj!$1:$1048576,AE$2,FALSE)</f>
        <v>51.931962400000003</v>
      </c>
      <c r="AF248" s="347">
        <f>+VLOOKUP($E248,Primary_nrj!$1:$1048576,AF$2,FALSE)</f>
        <v>52.410695519999997</v>
      </c>
      <c r="AG248" s="347">
        <f>+VLOOKUP($E248,Primary_nrj!$1:$1048576,AG$2,FALSE)</f>
        <v>52.893728779999996</v>
      </c>
      <c r="AH248" s="347">
        <f>+VLOOKUP($E248,Primary_nrj!$1:$1048576,AH$2,FALSE)</f>
        <v>53.38109266</v>
      </c>
      <c r="AI248" s="347">
        <f>+VLOOKUP($E248,Primary_nrj!$1:$1048576,AI$2,FALSE)</f>
        <v>53.872824639999997</v>
      </c>
      <c r="AJ248" s="347">
        <f>+VLOOKUP($E248,Primary_nrj!$1:$1048576,AJ$2,FALSE)</f>
        <v>54.36896883</v>
      </c>
      <c r="AK248" s="347">
        <f>+VLOOKUP($E248,Primary_nrj!$1:$1048576,AK$2,FALSE)</f>
        <v>54.869575400000002</v>
      </c>
      <c r="AL248" s="347">
        <f>+VLOOKUP($E248,Primary_nrj!$1:$1048576,AL$2,FALSE)</f>
        <v>55.374699999999997</v>
      </c>
      <c r="AM248" s="347">
        <f>+VLOOKUP($E248,Primary_nrj!$1:$1048576,AM$2,FALSE)</f>
        <v>55.884403040000002</v>
      </c>
      <c r="AN248" s="347">
        <f>+VLOOKUP($E248,Primary_nrj!$1:$1048576,AN$2,FALSE)</f>
        <v>56.398748959999999</v>
      </c>
      <c r="AO248" s="347">
        <f>+VLOOKUP($E248,Primary_nrj!$1:$1048576,AO$2,FALSE)</f>
        <v>56.917805469999998</v>
      </c>
    </row>
    <row r="249" spans="1:43" s="73" customFormat="1" ht="15" customHeight="1" x14ac:dyDescent="0.25">
      <c r="A249" s="392"/>
      <c r="B249" s="393"/>
      <c r="C249" s="335"/>
      <c r="D249" s="340" t="s">
        <v>1890</v>
      </c>
      <c r="E249" s="310" t="s">
        <v>585</v>
      </c>
      <c r="F249" s="346">
        <f>+VLOOKUP($E249,Primary_nrj!$1:$1048576,F$2,FALSE)</f>
        <v>36.569328980000002</v>
      </c>
      <c r="G249" s="346">
        <f>+VLOOKUP($E249,Primary_nrj!$1:$1048576,G$2,FALSE)</f>
        <v>36.75207949</v>
      </c>
      <c r="H249" s="346">
        <f>+VLOOKUP($E249,Primary_nrj!$1:$1048576,H$2,FALSE)</f>
        <v>36.891328360000003</v>
      </c>
      <c r="I249" s="346">
        <f>+VLOOKUP($E249,Primary_nrj!$1:$1048576,I$2,FALSE)</f>
        <v>37.057925560000001</v>
      </c>
      <c r="J249" s="346">
        <f>+VLOOKUP($E249,Primary_nrj!$1:$1048576,J$2,FALSE)</f>
        <v>37.267946670000001</v>
      </c>
      <c r="K249" s="346">
        <f>+VLOOKUP($E249,Primary_nrj!$1:$1048576,K$2,FALSE)</f>
        <v>37.51776598</v>
      </c>
      <c r="L249" s="346">
        <f>+VLOOKUP($E249,Primary_nrj!$1:$1048576,L$2,FALSE)</f>
        <v>37.79888098</v>
      </c>
      <c r="M249" s="346">
        <f>+VLOOKUP($E249,Primary_nrj!$1:$1048576,M$2,FALSE)</f>
        <v>38.103212319999997</v>
      </c>
      <c r="N249" s="346">
        <f>+VLOOKUP($E249,Primary_nrj!$1:$1048576,N$2,FALSE)</f>
        <v>38.424506370000003</v>
      </c>
      <c r="O249" s="346">
        <f>+VLOOKUP($E249,Primary_nrj!$1:$1048576,O$2,FALSE)</f>
        <v>38.758333139999998</v>
      </c>
      <c r="P249" s="346">
        <f>+VLOOKUP($E249,Primary_nrj!$1:$1048576,P$2,FALSE)</f>
        <v>39.101691180000003</v>
      </c>
      <c r="Q249" s="346">
        <f>+VLOOKUP($E249,Primary_nrj!$1:$1048576,Q$2,FALSE)</f>
        <v>39.452590440000002</v>
      </c>
      <c r="R249" s="346">
        <f>+VLOOKUP($E249,Primary_nrj!$1:$1048576,R$2,FALSE)</f>
        <v>39.809721400000001</v>
      </c>
      <c r="S249" s="346">
        <f>+VLOOKUP($E249,Primary_nrj!$1:$1048576,S$2,FALSE)</f>
        <v>40.172221440000001</v>
      </c>
      <c r="T249" s="346">
        <f>+VLOOKUP($E249,Primary_nrj!$1:$1048576,T$2,FALSE)</f>
        <v>40.53951876</v>
      </c>
      <c r="U249" s="346">
        <f>+VLOOKUP($E249,Primary_nrj!$1:$1048576,U$2,FALSE)</f>
        <v>40.911231899999997</v>
      </c>
      <c r="V249" s="346">
        <f>+VLOOKUP($E249,Primary_nrj!$1:$1048576,V$2,FALSE)</f>
        <v>41.287104730000003</v>
      </c>
      <c r="W249" s="346">
        <f>+VLOOKUP($E249,Primary_nrj!$1:$1048576,W$2,FALSE)</f>
        <v>41.666963899999999</v>
      </c>
      <c r="X249" s="346">
        <f>+VLOOKUP($E249,Primary_nrj!$1:$1048576,X$2,FALSE)</f>
        <v>42.050692130000002</v>
      </c>
      <c r="Y249" s="346">
        <f>+VLOOKUP($E249,Primary_nrj!$1:$1048576,Y$2,FALSE)</f>
        <v>42.438210679999997</v>
      </c>
      <c r="Z249" s="346">
        <f>+VLOOKUP($E249,Primary_nrj!$1:$1048576,Z$2,FALSE)</f>
        <v>42.829467299999997</v>
      </c>
      <c r="AA249" s="346">
        <f>+VLOOKUP($E249,Primary_nrj!$1:$1048576,AA$2,FALSE)</f>
        <v>43.22442831</v>
      </c>
      <c r="AB249" s="346">
        <f>+VLOOKUP($E249,Primary_nrj!$1:$1048576,AB$2,FALSE)</f>
        <v>43.623073570000003</v>
      </c>
      <c r="AC249" s="346">
        <f>+VLOOKUP($E249,Primary_nrj!$1:$1048576,AC$2,FALSE)</f>
        <v>44.025393350000002</v>
      </c>
      <c r="AD249" s="346">
        <f>+VLOOKUP($E249,Primary_nrj!$1:$1048576,AD$2,FALSE)</f>
        <v>44.43138647</v>
      </c>
      <c r="AE249" s="346">
        <f>+VLOOKUP($E249,Primary_nrj!$1:$1048576,AE$2,FALSE)</f>
        <v>44.841059299999998</v>
      </c>
      <c r="AF249" s="346">
        <f>+VLOOKUP($E249,Primary_nrj!$1:$1048576,AF$2,FALSE)</f>
        <v>45.254425159999997</v>
      </c>
      <c r="AG249" s="346">
        <f>+VLOOKUP($E249,Primary_nrj!$1:$1048576,AG$2,FALSE)</f>
        <v>45.67150401</v>
      </c>
      <c r="AH249" s="346">
        <f>+VLOOKUP($E249,Primary_nrj!$1:$1048576,AH$2,FALSE)</f>
        <v>46.092322160000002</v>
      </c>
      <c r="AI249" s="346">
        <f>+VLOOKUP($E249,Primary_nrj!$1:$1048576,AI$2,FALSE)</f>
        <v>46.516911989999997</v>
      </c>
      <c r="AJ249" s="346">
        <f>+VLOOKUP($E249,Primary_nrj!$1:$1048576,AJ$2,FALSE)</f>
        <v>46.945311570000001</v>
      </c>
      <c r="AK249" s="346">
        <f>+VLOOKUP($E249,Primary_nrj!$1:$1048576,AK$2,FALSE)</f>
        <v>47.377564229999997</v>
      </c>
      <c r="AL249" s="346">
        <f>+VLOOKUP($E249,Primary_nrj!$1:$1048576,AL$2,FALSE)</f>
        <v>47.813718020000003</v>
      </c>
      <c r="AM249" s="346">
        <f>+VLOOKUP($E249,Primary_nrj!$1:$1048576,AM$2,FALSE)</f>
        <v>48.2538251</v>
      </c>
      <c r="AN249" s="346">
        <f>+VLOOKUP($E249,Primary_nrj!$1:$1048576,AN$2,FALSE)</f>
        <v>48.697941110000002</v>
      </c>
      <c r="AO249" s="346">
        <f>+VLOOKUP($E249,Primary_nrj!$1:$1048576,AO$2,FALSE)</f>
        <v>49.14612451</v>
      </c>
    </row>
    <row r="250" spans="1:43" s="73" customFormat="1" ht="15" customHeight="1" x14ac:dyDescent="0.25">
      <c r="A250" s="392"/>
      <c r="B250" s="393"/>
      <c r="C250" s="335"/>
      <c r="D250" s="340" t="s">
        <v>546</v>
      </c>
      <c r="E250" s="310" t="s">
        <v>586</v>
      </c>
      <c r="F250" s="346">
        <f>+VLOOKUP($E250,Primary_nrj!$1:$1048576,F$2,FALSE)</f>
        <v>5.7828600000000003</v>
      </c>
      <c r="G250" s="346">
        <f>+VLOOKUP($E250,Primary_nrj!$1:$1048576,G$2,FALSE)</f>
        <v>5.8117590989999997</v>
      </c>
      <c r="H250" s="346">
        <f>+VLOOKUP($E250,Primary_nrj!$1:$1048576,H$2,FALSE)</f>
        <v>5.8337791010000002</v>
      </c>
      <c r="I250" s="346">
        <f>+VLOOKUP($E250,Primary_nrj!$1:$1048576,I$2,FALSE)</f>
        <v>5.8601238090000001</v>
      </c>
      <c r="J250" s="346">
        <f>+VLOOKUP($E250,Primary_nrj!$1:$1048576,J$2,FALSE)</f>
        <v>5.8933353210000003</v>
      </c>
      <c r="K250" s="346">
        <f>+VLOOKUP($E250,Primary_nrj!$1:$1048576,K$2,FALSE)</f>
        <v>5.9328402860000002</v>
      </c>
      <c r="L250" s="346">
        <f>+VLOOKUP($E250,Primary_nrj!$1:$1048576,L$2,FALSE)</f>
        <v>5.9772941700000004</v>
      </c>
      <c r="M250" s="346">
        <f>+VLOOKUP($E250,Primary_nrj!$1:$1048576,M$2,FALSE)</f>
        <v>6.0254193479999998</v>
      </c>
      <c r="N250" s="346">
        <f>+VLOOKUP($E250,Primary_nrj!$1:$1048576,N$2,FALSE)</f>
        <v>6.0762269130000002</v>
      </c>
      <c r="O250" s="346">
        <f>+VLOOKUP($E250,Primary_nrj!$1:$1048576,O$2,FALSE)</f>
        <v>6.1290163270000004</v>
      </c>
      <c r="P250" s="346">
        <f>+VLOOKUP($E250,Primary_nrj!$1:$1048576,P$2,FALSE)</f>
        <v>6.1833129619999996</v>
      </c>
      <c r="Q250" s="346">
        <f>+VLOOKUP($E250,Primary_nrj!$1:$1048576,Q$2,FALSE)</f>
        <v>6.2388021199999999</v>
      </c>
      <c r="R250" s="346">
        <f>+VLOOKUP($E250,Primary_nrj!$1:$1048576,R$2,FALSE)</f>
        <v>6.2952767239999998</v>
      </c>
      <c r="S250" s="346">
        <f>+VLOOKUP($E250,Primary_nrj!$1:$1048576,S$2,FALSE)</f>
        <v>6.3526003619999996</v>
      </c>
      <c r="T250" s="346">
        <f>+VLOOKUP($E250,Primary_nrj!$1:$1048576,T$2,FALSE)</f>
        <v>6.4106826139999997</v>
      </c>
      <c r="U250" s="346">
        <f>+VLOOKUP($E250,Primary_nrj!$1:$1048576,U$2,FALSE)</f>
        <v>6.4694631569999999</v>
      </c>
      <c r="V250" s="346">
        <f>+VLOOKUP($E250,Primary_nrj!$1:$1048576,V$2,FALSE)</f>
        <v>6.5289014910000001</v>
      </c>
      <c r="W250" s="346">
        <f>+VLOOKUP($E250,Primary_nrj!$1:$1048576,W$2,FALSE)</f>
        <v>6.5889702000000003</v>
      </c>
      <c r="X250" s="346">
        <f>+VLOOKUP($E250,Primary_nrj!$1:$1048576,X$2,FALSE)</f>
        <v>6.6496507400000002</v>
      </c>
      <c r="Y250" s="346">
        <f>+VLOOKUP($E250,Primary_nrj!$1:$1048576,Y$2,FALSE)</f>
        <v>6.7109306589999997</v>
      </c>
      <c r="Z250" s="346">
        <f>+VLOOKUP($E250,Primary_nrj!$1:$1048576,Z$2,FALSE)</f>
        <v>6.772801694</v>
      </c>
      <c r="AA250" s="346">
        <f>+VLOOKUP($E250,Primary_nrj!$1:$1048576,AA$2,FALSE)</f>
        <v>6.8352585210000001</v>
      </c>
      <c r="AB250" s="346">
        <f>+VLOOKUP($E250,Primary_nrj!$1:$1048576,AB$2,FALSE)</f>
        <v>6.8982979540000002</v>
      </c>
      <c r="AC250" s="346">
        <f>+VLOOKUP($E250,Primary_nrj!$1:$1048576,AC$2,FALSE)</f>
        <v>6.9619184519999999</v>
      </c>
      <c r="AD250" s="346">
        <f>+VLOOKUP($E250,Primary_nrj!$1:$1048576,AD$2,FALSE)</f>
        <v>7.026119832</v>
      </c>
      <c r="AE250" s="346">
        <f>+VLOOKUP($E250,Primary_nrj!$1:$1048576,AE$2,FALSE)</f>
        <v>7.0909030990000002</v>
      </c>
      <c r="AF250" s="346">
        <f>+VLOOKUP($E250,Primary_nrj!$1:$1048576,AF$2,FALSE)</f>
        <v>7.1562703609999998</v>
      </c>
      <c r="AG250" s="346">
        <f>+VLOOKUP($E250,Primary_nrj!$1:$1048576,AG$2,FALSE)</f>
        <v>7.2222247729999998</v>
      </c>
      <c r="AH250" s="346">
        <f>+VLOOKUP($E250,Primary_nrj!$1:$1048576,AH$2,FALSE)</f>
        <v>7.2887704969999998</v>
      </c>
      <c r="AI250" s="346">
        <f>+VLOOKUP($E250,Primary_nrj!$1:$1048576,AI$2,FALSE)</f>
        <v>7.3559126519999998</v>
      </c>
      <c r="AJ250" s="346">
        <f>+VLOOKUP($E250,Primary_nrj!$1:$1048576,AJ$2,FALSE)</f>
        <v>7.4236572589999996</v>
      </c>
      <c r="AK250" s="346">
        <f>+VLOOKUP($E250,Primary_nrj!$1:$1048576,AK$2,FALSE)</f>
        <v>7.4920111690000004</v>
      </c>
      <c r="AL250" s="346">
        <f>+VLOOKUP($E250,Primary_nrj!$1:$1048576,AL$2,FALSE)</f>
        <v>7.5609819800000002</v>
      </c>
      <c r="AM250" s="346">
        <f>+VLOOKUP($E250,Primary_nrj!$1:$1048576,AM$2,FALSE)</f>
        <v>7.6305779410000003</v>
      </c>
      <c r="AN250" s="346">
        <f>+VLOOKUP($E250,Primary_nrj!$1:$1048576,AN$2,FALSE)</f>
        <v>7.7008078519999996</v>
      </c>
      <c r="AO250" s="346">
        <f>+VLOOKUP($E250,Primary_nrj!$1:$1048576,AO$2,FALSE)</f>
        <v>7.7716809570000001</v>
      </c>
    </row>
    <row r="251" spans="1:43" s="108" customFormat="1" ht="15" customHeight="1" x14ac:dyDescent="0.25">
      <c r="A251" s="392"/>
      <c r="B251" s="393"/>
      <c r="C251" s="335" t="s">
        <v>493</v>
      </c>
      <c r="D251" s="339"/>
      <c r="E251" s="337" t="s">
        <v>587</v>
      </c>
      <c r="F251" s="347">
        <f>+VLOOKUP($E251,Primary_nrj!$1:$1048576,F$2,FALSE)</f>
        <v>7.9355360250000002</v>
      </c>
      <c r="G251" s="347">
        <f>+VLOOKUP($E251,Primary_nrj!$1:$1048576,G$2,FALSE)</f>
        <v>7.9882333299999999</v>
      </c>
      <c r="H251" s="347">
        <f>+VLOOKUP($E251,Primary_nrj!$1:$1048576,H$2,FALSE)</f>
        <v>8.0259841749999996</v>
      </c>
      <c r="I251" s="347">
        <f>+VLOOKUP($E251,Primary_nrj!$1:$1048576,I$2,FALSE)</f>
        <v>8.0597632410000006</v>
      </c>
      <c r="J251" s="347">
        <f>+VLOOKUP($E251,Primary_nrj!$1:$1048576,J$2,FALSE)</f>
        <v>8.0940822430000008</v>
      </c>
      <c r="K251" s="347">
        <f>+VLOOKUP($E251,Primary_nrj!$1:$1048576,K$2,FALSE)</f>
        <v>8.1304840889999994</v>
      </c>
      <c r="L251" s="347">
        <f>+VLOOKUP($E251,Primary_nrj!$1:$1048576,L$2,FALSE)</f>
        <v>8.1692775429999998</v>
      </c>
      <c r="M251" s="347">
        <f>+VLOOKUP($E251,Primary_nrj!$1:$1048576,M$2,FALSE)</f>
        <v>8.2103169440000006</v>
      </c>
      <c r="N251" s="347">
        <f>+VLOOKUP($E251,Primary_nrj!$1:$1048576,N$2,FALSE)</f>
        <v>8.2533317870000005</v>
      </c>
      <c r="O251" s="347">
        <f>+VLOOKUP($E251,Primary_nrj!$1:$1048576,O$2,FALSE)</f>
        <v>8.2980553950000004</v>
      </c>
      <c r="P251" s="347">
        <f>+VLOOKUP($E251,Primary_nrj!$1:$1048576,P$2,FALSE)</f>
        <v>8.3442670830000001</v>
      </c>
      <c r="Q251" s="347">
        <f>+VLOOKUP($E251,Primary_nrj!$1:$1048576,Q$2,FALSE)</f>
        <v>8.3917989459999998</v>
      </c>
      <c r="R251" s="347">
        <f>+VLOOKUP($E251,Primary_nrj!$1:$1048576,R$2,FALSE)</f>
        <v>8.4405296599999993</v>
      </c>
      <c r="S251" s="347">
        <f>+VLOOKUP($E251,Primary_nrj!$1:$1048576,S$2,FALSE)</f>
        <v>8.4903729329999997</v>
      </c>
      <c r="T251" s="347">
        <f>+VLOOKUP($E251,Primary_nrj!$1:$1048576,T$2,FALSE)</f>
        <v>8.5412591609999993</v>
      </c>
      <c r="U251" s="347">
        <f>+VLOOKUP($E251,Primary_nrj!$1:$1048576,U$2,FALSE)</f>
        <v>8.5931470399999998</v>
      </c>
      <c r="V251" s="347">
        <f>+VLOOKUP($E251,Primary_nrj!$1:$1048576,V$2,FALSE)</f>
        <v>8.6460126390000003</v>
      </c>
      <c r="W251" s="347">
        <f>+VLOOKUP($E251,Primary_nrj!$1:$1048576,W$2,FALSE)</f>
        <v>8.6998426210000002</v>
      </c>
      <c r="X251" s="347">
        <f>+VLOOKUP($E251,Primary_nrj!$1:$1048576,X$2,FALSE)</f>
        <v>8.7546298670000002</v>
      </c>
      <c r="Y251" s="347">
        <f>+VLOOKUP($E251,Primary_nrj!$1:$1048576,Y$2,FALSE)</f>
        <v>8.8103706840000005</v>
      </c>
      <c r="Z251" s="347">
        <f>+VLOOKUP($E251,Primary_nrj!$1:$1048576,Z$2,FALSE)</f>
        <v>8.8670631699999998</v>
      </c>
      <c r="AA251" s="347">
        <f>+VLOOKUP($E251,Primary_nrj!$1:$1048576,AA$2,FALSE)</f>
        <v>8.9247062560000003</v>
      </c>
      <c r="AB251" s="347">
        <f>+VLOOKUP($E251,Primary_nrj!$1:$1048576,AB$2,FALSE)</f>
        <v>8.9832992110000003</v>
      </c>
      <c r="AC251" s="347">
        <f>+VLOOKUP($E251,Primary_nrj!$1:$1048576,AC$2,FALSE)</f>
        <v>9.0428414299999993</v>
      </c>
      <c r="AD251" s="347">
        <f>+VLOOKUP($E251,Primary_nrj!$1:$1048576,AD$2,FALSE)</f>
        <v>9.1033324199999992</v>
      </c>
      <c r="AE251" s="347">
        <f>+VLOOKUP($E251,Primary_nrj!$1:$1048576,AE$2,FALSE)</f>
        <v>9.1647718979999997</v>
      </c>
      <c r="AF251" s="347">
        <f>+VLOOKUP($E251,Primary_nrj!$1:$1048576,AF$2,FALSE)</f>
        <v>9.2271599309999992</v>
      </c>
      <c r="AG251" s="347">
        <f>+VLOOKUP($E251,Primary_nrj!$1:$1048576,AG$2,FALSE)</f>
        <v>9.2904970949999992</v>
      </c>
      <c r="AH251" s="347">
        <f>+VLOOKUP($E251,Primary_nrj!$1:$1048576,AH$2,FALSE)</f>
        <v>9.3547846180000001</v>
      </c>
      <c r="AI251" s="347">
        <f>+VLOOKUP($E251,Primary_nrj!$1:$1048576,AI$2,FALSE)</f>
        <v>9.4200244909999995</v>
      </c>
      <c r="AJ251" s="347">
        <f>+VLOOKUP($E251,Primary_nrj!$1:$1048576,AJ$2,FALSE)</f>
        <v>9.4862195479999993</v>
      </c>
      <c r="AK251" s="347">
        <f>+VLOOKUP($E251,Primary_nrj!$1:$1048576,AK$2,FALSE)</f>
        <v>9.5533735059999998</v>
      </c>
      <c r="AL251" s="347">
        <f>+VLOOKUP($E251,Primary_nrj!$1:$1048576,AL$2,FALSE)</f>
        <v>9.6214909710000001</v>
      </c>
      <c r="AM251" s="347">
        <f>+VLOOKUP($E251,Primary_nrj!$1:$1048576,AM$2,FALSE)</f>
        <v>9.6905774200000003</v>
      </c>
      <c r="AN251" s="347">
        <f>+VLOOKUP($E251,Primary_nrj!$1:$1048576,AN$2,FALSE)</f>
        <v>9.7606391630000005</v>
      </c>
      <c r="AO251" s="347">
        <f>+VLOOKUP($E251,Primary_nrj!$1:$1048576,AO$2,FALSE)</f>
        <v>9.8316832909999992</v>
      </c>
    </row>
    <row r="252" spans="1:43" s="307" customFormat="1" ht="15" customHeight="1" x14ac:dyDescent="0.25">
      <c r="A252" s="392"/>
      <c r="B252" s="393"/>
      <c r="C252" s="338"/>
      <c r="D252" s="340" t="s">
        <v>1890</v>
      </c>
      <c r="E252" s="310" t="s">
        <v>1917</v>
      </c>
      <c r="F252" s="346">
        <f>+VLOOKUP($E252,Primary_nrj!$1:$1048576,F$2,FALSE)</f>
        <v>7.9355360250000002</v>
      </c>
      <c r="G252" s="346">
        <f>+VLOOKUP($E252,Primary_nrj!$1:$1048576,G$2,FALSE)</f>
        <v>7.9882333299999999</v>
      </c>
      <c r="H252" s="346">
        <f>+VLOOKUP($E252,Primary_nrj!$1:$1048576,H$2,FALSE)</f>
        <v>8.0259841749999996</v>
      </c>
      <c r="I252" s="346">
        <f>+VLOOKUP($E252,Primary_nrj!$1:$1048576,I$2,FALSE)</f>
        <v>8.0597632410000006</v>
      </c>
      <c r="J252" s="346">
        <f>+VLOOKUP($E252,Primary_nrj!$1:$1048576,J$2,FALSE)</f>
        <v>8.0940822430000008</v>
      </c>
      <c r="K252" s="346">
        <f>+VLOOKUP($E252,Primary_nrj!$1:$1048576,K$2,FALSE)</f>
        <v>8.1304840889999994</v>
      </c>
      <c r="L252" s="346">
        <f>+VLOOKUP($E252,Primary_nrj!$1:$1048576,L$2,FALSE)</f>
        <v>8.1692775429999998</v>
      </c>
      <c r="M252" s="346">
        <f>+VLOOKUP($E252,Primary_nrj!$1:$1048576,M$2,FALSE)</f>
        <v>8.2103169440000006</v>
      </c>
      <c r="N252" s="346">
        <f>+VLOOKUP($E252,Primary_nrj!$1:$1048576,N$2,FALSE)</f>
        <v>8.2533317870000005</v>
      </c>
      <c r="O252" s="346">
        <f>+VLOOKUP($E252,Primary_nrj!$1:$1048576,O$2,FALSE)</f>
        <v>8.2980553950000004</v>
      </c>
      <c r="P252" s="346">
        <f>+VLOOKUP($E252,Primary_nrj!$1:$1048576,P$2,FALSE)</f>
        <v>8.3442670830000001</v>
      </c>
      <c r="Q252" s="346">
        <f>+VLOOKUP($E252,Primary_nrj!$1:$1048576,Q$2,FALSE)</f>
        <v>8.3917989459999998</v>
      </c>
      <c r="R252" s="346">
        <f>+VLOOKUP($E252,Primary_nrj!$1:$1048576,R$2,FALSE)</f>
        <v>8.4405296599999993</v>
      </c>
      <c r="S252" s="346">
        <f>+VLOOKUP($E252,Primary_nrj!$1:$1048576,S$2,FALSE)</f>
        <v>8.4903729329999997</v>
      </c>
      <c r="T252" s="346">
        <f>+VLOOKUP($E252,Primary_nrj!$1:$1048576,T$2,FALSE)</f>
        <v>8.5412591609999993</v>
      </c>
      <c r="U252" s="346">
        <f>+VLOOKUP($E252,Primary_nrj!$1:$1048576,U$2,FALSE)</f>
        <v>8.5931470399999998</v>
      </c>
      <c r="V252" s="346">
        <f>+VLOOKUP($E252,Primary_nrj!$1:$1048576,V$2,FALSE)</f>
        <v>8.6460126390000003</v>
      </c>
      <c r="W252" s="346">
        <f>+VLOOKUP($E252,Primary_nrj!$1:$1048576,W$2,FALSE)</f>
        <v>8.6998426210000002</v>
      </c>
      <c r="X252" s="346">
        <f>+VLOOKUP($E252,Primary_nrj!$1:$1048576,X$2,FALSE)</f>
        <v>8.7546298670000002</v>
      </c>
      <c r="Y252" s="346">
        <f>+VLOOKUP($E252,Primary_nrj!$1:$1048576,Y$2,FALSE)</f>
        <v>8.8103706840000005</v>
      </c>
      <c r="Z252" s="346">
        <f>+VLOOKUP($E252,Primary_nrj!$1:$1048576,Z$2,FALSE)</f>
        <v>8.8670631699999998</v>
      </c>
      <c r="AA252" s="346">
        <f>+VLOOKUP($E252,Primary_nrj!$1:$1048576,AA$2,FALSE)</f>
        <v>8.9247062560000003</v>
      </c>
      <c r="AB252" s="346">
        <f>+VLOOKUP($E252,Primary_nrj!$1:$1048576,AB$2,FALSE)</f>
        <v>8.9832992110000003</v>
      </c>
      <c r="AC252" s="346">
        <f>+VLOOKUP($E252,Primary_nrj!$1:$1048576,AC$2,FALSE)</f>
        <v>9.0428414299999993</v>
      </c>
      <c r="AD252" s="346">
        <f>+VLOOKUP($E252,Primary_nrj!$1:$1048576,AD$2,FALSE)</f>
        <v>9.1033324199999992</v>
      </c>
      <c r="AE252" s="346">
        <f>+VLOOKUP($E252,Primary_nrj!$1:$1048576,AE$2,FALSE)</f>
        <v>9.1647718979999997</v>
      </c>
      <c r="AF252" s="346">
        <f>+VLOOKUP($E252,Primary_nrj!$1:$1048576,AF$2,FALSE)</f>
        <v>9.2271599309999992</v>
      </c>
      <c r="AG252" s="346">
        <f>+VLOOKUP($E252,Primary_nrj!$1:$1048576,AG$2,FALSE)</f>
        <v>9.2904970949999992</v>
      </c>
      <c r="AH252" s="346">
        <f>+VLOOKUP($E252,Primary_nrj!$1:$1048576,AH$2,FALSE)</f>
        <v>9.3547846180000001</v>
      </c>
      <c r="AI252" s="346">
        <f>+VLOOKUP($E252,Primary_nrj!$1:$1048576,AI$2,FALSE)</f>
        <v>9.4200244909999995</v>
      </c>
      <c r="AJ252" s="346">
        <f>+VLOOKUP($E252,Primary_nrj!$1:$1048576,AJ$2,FALSE)</f>
        <v>9.4862195479999993</v>
      </c>
      <c r="AK252" s="346">
        <f>+VLOOKUP($E252,Primary_nrj!$1:$1048576,AK$2,FALSE)</f>
        <v>9.5533735059999998</v>
      </c>
      <c r="AL252" s="346">
        <f>+VLOOKUP($E252,Primary_nrj!$1:$1048576,AL$2,FALSE)</f>
        <v>9.6214909710000001</v>
      </c>
      <c r="AM252" s="346">
        <f>+VLOOKUP($E252,Primary_nrj!$1:$1048576,AM$2,FALSE)</f>
        <v>9.6905774200000003</v>
      </c>
      <c r="AN252" s="346">
        <f>+VLOOKUP($E252,Primary_nrj!$1:$1048576,AN$2,FALSE)</f>
        <v>9.7606391630000005</v>
      </c>
      <c r="AO252" s="346">
        <f>+VLOOKUP($E252,Primary_nrj!$1:$1048576,AO$2,FALSE)</f>
        <v>9.8316832909999992</v>
      </c>
      <c r="AP252" s="73"/>
      <c r="AQ252" s="73"/>
    </row>
    <row r="253" spans="1:43" s="108" customFormat="1" ht="15" customHeight="1" x14ac:dyDescent="0.25">
      <c r="A253" s="392"/>
      <c r="B253" s="393"/>
      <c r="C253" s="335" t="s">
        <v>494</v>
      </c>
      <c r="D253" s="339"/>
      <c r="E253" s="337" t="s">
        <v>588</v>
      </c>
      <c r="F253" s="347">
        <f>+VLOOKUP($E253,Primary_nrj!$1:$1048576,F$2,FALSE)</f>
        <v>6.597728</v>
      </c>
      <c r="G253" s="347">
        <f>+VLOOKUP($E253,Primary_nrj!$1:$1048576,G$2,FALSE)</f>
        <v>6.6190900890000002</v>
      </c>
      <c r="H253" s="347">
        <f>+VLOOKUP($E253,Primary_nrj!$1:$1048576,H$2,FALSE)</f>
        <v>6.6176346600000002</v>
      </c>
      <c r="I253" s="347">
        <f>+VLOOKUP($E253,Primary_nrj!$1:$1048576,I$2,FALSE)</f>
        <v>6.6070867189999998</v>
      </c>
      <c r="J253" s="347">
        <f>+VLOOKUP($E253,Primary_nrj!$1:$1048576,J$2,FALSE)</f>
        <v>6.5935559760000002</v>
      </c>
      <c r="K253" s="347">
        <f>+VLOOKUP($E253,Primary_nrj!$1:$1048576,K$2,FALSE)</f>
        <v>6.579626362</v>
      </c>
      <c r="L253" s="347">
        <f>+VLOOKUP($E253,Primary_nrj!$1:$1048576,L$2,FALSE)</f>
        <v>6.5662570679999996</v>
      </c>
      <c r="M253" s="347">
        <f>+VLOOKUP($E253,Primary_nrj!$1:$1048576,M$2,FALSE)</f>
        <v>6.5536933399999997</v>
      </c>
      <c r="N253" s="347">
        <f>+VLOOKUP($E253,Primary_nrj!$1:$1048576,N$2,FALSE)</f>
        <v>6.5418995039999999</v>
      </c>
      <c r="O253" s="347">
        <f>+VLOOKUP($E253,Primary_nrj!$1:$1048576,O$2,FALSE)</f>
        <v>6.530756352</v>
      </c>
      <c r="P253" s="347">
        <f>+VLOOKUP($E253,Primary_nrj!$1:$1048576,P$2,FALSE)</f>
        <v>6.5201428579999998</v>
      </c>
      <c r="Q253" s="347">
        <f>+VLOOKUP($E253,Primary_nrj!$1:$1048576,Q$2,FALSE)</f>
        <v>6.5099630670000002</v>
      </c>
      <c r="R253" s="347">
        <f>+VLOOKUP($E253,Primary_nrj!$1:$1048576,R$2,FALSE)</f>
        <v>6.5001490659999996</v>
      </c>
      <c r="S253" s="347">
        <f>+VLOOKUP($E253,Primary_nrj!$1:$1048576,S$2,FALSE)</f>
        <v>6.4906442699999998</v>
      </c>
      <c r="T253" s="347">
        <f>+VLOOKUP($E253,Primary_nrj!$1:$1048576,T$2,FALSE)</f>
        <v>6.4813875310000002</v>
      </c>
      <c r="U253" s="347">
        <f>+VLOOKUP($E253,Primary_nrj!$1:$1048576,U$2,FALSE)</f>
        <v>6.4723484869999997</v>
      </c>
      <c r="V253" s="347">
        <f>+VLOOKUP($E253,Primary_nrj!$1:$1048576,V$2,FALSE)</f>
        <v>6.4635120500000003</v>
      </c>
      <c r="W253" s="347">
        <f>+VLOOKUP($E253,Primary_nrj!$1:$1048576,W$2,FALSE)</f>
        <v>6.454870294</v>
      </c>
      <c r="X253" s="347">
        <f>+VLOOKUP($E253,Primary_nrj!$1:$1048576,X$2,FALSE)</f>
        <v>6.4464192520000001</v>
      </c>
      <c r="Y253" s="347">
        <f>+VLOOKUP($E253,Primary_nrj!$1:$1048576,Y$2,FALSE)</f>
        <v>6.438157608</v>
      </c>
      <c r="Z253" s="347">
        <f>+VLOOKUP($E253,Primary_nrj!$1:$1048576,Z$2,FALSE)</f>
        <v>6.4300859969999999</v>
      </c>
      <c r="AA253" s="347">
        <f>+VLOOKUP($E253,Primary_nrj!$1:$1048576,AA$2,FALSE)</f>
        <v>6.4222067120000004</v>
      </c>
      <c r="AB253" s="347">
        <f>+VLOOKUP($E253,Primary_nrj!$1:$1048576,AB$2,FALSE)</f>
        <v>6.414523515</v>
      </c>
      <c r="AC253" s="347">
        <f>+VLOOKUP($E253,Primary_nrj!$1:$1048576,AC$2,FALSE)</f>
        <v>6.4070414070000004</v>
      </c>
      <c r="AD253" s="347">
        <f>+VLOOKUP($E253,Primary_nrj!$1:$1048576,AD$2,FALSE)</f>
        <v>6.3997663630000003</v>
      </c>
      <c r="AE253" s="347">
        <f>+VLOOKUP($E253,Primary_nrj!$1:$1048576,AE$2,FALSE)</f>
        <v>6.392705018</v>
      </c>
      <c r="AF253" s="347">
        <f>+VLOOKUP($E253,Primary_nrj!$1:$1048576,AF$2,FALSE)</f>
        <v>6.3858643610000003</v>
      </c>
      <c r="AG253" s="347">
        <f>+VLOOKUP($E253,Primary_nrj!$1:$1048576,AG$2,FALSE)</f>
        <v>6.3792514430000002</v>
      </c>
      <c r="AH253" s="347">
        <f>+VLOOKUP($E253,Primary_nrj!$1:$1048576,AH$2,FALSE)</f>
        <v>6.3728731219999997</v>
      </c>
      <c r="AI253" s="347">
        <f>+VLOOKUP($E253,Primary_nrj!$1:$1048576,AI$2,FALSE)</f>
        <v>6.3667358600000004</v>
      </c>
      <c r="AJ253" s="347">
        <f>+VLOOKUP($E253,Primary_nrj!$1:$1048576,AJ$2,FALSE)</f>
        <v>6.3608457620000003</v>
      </c>
      <c r="AK253" s="347">
        <f>+VLOOKUP($E253,Primary_nrj!$1:$1048576,AK$2,FALSE)</f>
        <v>6.3552081810000001</v>
      </c>
      <c r="AL253" s="347">
        <f>+VLOOKUP($E253,Primary_nrj!$1:$1048576,AL$2,FALSE)</f>
        <v>6.349827672</v>
      </c>
      <c r="AM253" s="347">
        <f>+VLOOKUP($E253,Primary_nrj!$1:$1048576,AM$2,FALSE)</f>
        <v>6.3447080089999996</v>
      </c>
      <c r="AN253" s="347">
        <f>+VLOOKUP($E253,Primary_nrj!$1:$1048576,AN$2,FALSE)</f>
        <v>6.3398522110000002</v>
      </c>
      <c r="AO253" s="347">
        <f>+VLOOKUP($E253,Primary_nrj!$1:$1048576,AO$2,FALSE)</f>
        <v>6.3352625759999999</v>
      </c>
    </row>
    <row r="254" spans="1:43" s="307" customFormat="1" ht="15" customHeight="1" x14ac:dyDescent="0.25">
      <c r="A254" s="392"/>
      <c r="B254" s="393"/>
      <c r="C254" s="338"/>
      <c r="D254" s="340" t="s">
        <v>547</v>
      </c>
      <c r="E254" s="310" t="s">
        <v>1918</v>
      </c>
      <c r="F254" s="346">
        <f>+VLOOKUP($E254,Primary_nrj!$1:$1048576,F$2,FALSE)</f>
        <v>1.200893</v>
      </c>
      <c r="G254" s="346">
        <f>+VLOOKUP($E254,Primary_nrj!$1:$1048576,G$2,FALSE)</f>
        <v>1.2047812449999999</v>
      </c>
      <c r="H254" s="346">
        <f>+VLOOKUP($E254,Primary_nrj!$1:$1048576,H$2,FALSE)</f>
        <v>1.2045163329999999</v>
      </c>
      <c r="I254" s="346">
        <f>+VLOOKUP($E254,Primary_nrj!$1:$1048576,I$2,FALSE)</f>
        <v>1.202596438</v>
      </c>
      <c r="J254" s="346">
        <f>+VLOOKUP($E254,Primary_nrj!$1:$1048576,J$2,FALSE)</f>
        <v>1.200133624</v>
      </c>
      <c r="K254" s="346">
        <f>+VLOOKUP($E254,Primary_nrj!$1:$1048576,K$2,FALSE)</f>
        <v>1.19759821</v>
      </c>
      <c r="L254" s="346">
        <f>+VLOOKUP($E254,Primary_nrj!$1:$1048576,L$2,FALSE)</f>
        <v>1.195164782</v>
      </c>
      <c r="M254" s="346">
        <f>+VLOOKUP($E254,Primary_nrj!$1:$1048576,M$2,FALSE)</f>
        <v>1.1928779810000001</v>
      </c>
      <c r="N254" s="346">
        <f>+VLOOKUP($E254,Primary_nrj!$1:$1048576,N$2,FALSE)</f>
        <v>1.190731312</v>
      </c>
      <c r="O254" s="346">
        <f>+VLOOKUP($E254,Primary_nrj!$1:$1048576,O$2,FALSE)</f>
        <v>1.1887030789999999</v>
      </c>
      <c r="P254" s="346">
        <f>+VLOOKUP($E254,Primary_nrj!$1:$1048576,P$2,FALSE)</f>
        <v>1.186771252</v>
      </c>
      <c r="Q254" s="346">
        <f>+VLOOKUP($E254,Primary_nrj!$1:$1048576,Q$2,FALSE)</f>
        <v>1.1849183649999999</v>
      </c>
      <c r="R254" s="346">
        <f>+VLOOKUP($E254,Primary_nrj!$1:$1048576,R$2,FALSE)</f>
        <v>1.1831320590000001</v>
      </c>
      <c r="S254" s="346">
        <f>+VLOOKUP($E254,Primary_nrj!$1:$1048576,S$2,FALSE)</f>
        <v>1.181402032</v>
      </c>
      <c r="T254" s="346">
        <f>+VLOOKUP($E254,Primary_nrj!$1:$1048576,T$2,FALSE)</f>
        <v>1.179717157</v>
      </c>
      <c r="U254" s="346">
        <f>+VLOOKUP($E254,Primary_nrj!$1:$1048576,U$2,FALSE)</f>
        <v>1.1780719049999999</v>
      </c>
      <c r="V254" s="346">
        <f>+VLOOKUP($E254,Primary_nrj!$1:$1048576,V$2,FALSE)</f>
        <v>1.1764635299999999</v>
      </c>
      <c r="W254" s="346">
        <f>+VLOOKUP($E254,Primary_nrj!$1:$1048576,W$2,FALSE)</f>
        <v>1.174890591</v>
      </c>
      <c r="X254" s="346">
        <f>+VLOOKUP($E254,Primary_nrj!$1:$1048576,X$2,FALSE)</f>
        <v>1.173352365</v>
      </c>
      <c r="Y254" s="346">
        <f>+VLOOKUP($E254,Primary_nrj!$1:$1048576,Y$2,FALSE)</f>
        <v>1.1718486130000001</v>
      </c>
      <c r="Z254" s="346">
        <f>+VLOOKUP($E254,Primary_nrj!$1:$1048576,Z$2,FALSE)</f>
        <v>1.1703794489999999</v>
      </c>
      <c r="AA254" s="346">
        <f>+VLOOKUP($E254,Primary_nrj!$1:$1048576,AA$2,FALSE)</f>
        <v>1.1689452920000001</v>
      </c>
      <c r="AB254" s="346">
        <f>+VLOOKUP($E254,Primary_nrj!$1:$1048576,AB$2,FALSE)</f>
        <v>1.1675468259999999</v>
      </c>
      <c r="AC254" s="346">
        <f>+VLOOKUP($E254,Primary_nrj!$1:$1048576,AC$2,FALSE)</f>
        <v>1.166184962</v>
      </c>
      <c r="AD254" s="346">
        <f>+VLOOKUP($E254,Primary_nrj!$1:$1048576,AD$2,FALSE)</f>
        <v>1.164860786</v>
      </c>
      <c r="AE254" s="346">
        <f>+VLOOKUP($E254,Primary_nrj!$1:$1048576,AE$2,FALSE)</f>
        <v>1.1635755080000001</v>
      </c>
      <c r="AF254" s="346">
        <f>+VLOOKUP($E254,Primary_nrj!$1:$1048576,AF$2,FALSE)</f>
        <v>1.1623303979999999</v>
      </c>
      <c r="AG254" s="346">
        <f>+VLOOKUP($E254,Primary_nrj!$1:$1048576,AG$2,FALSE)</f>
        <v>1.16112674</v>
      </c>
      <c r="AH254" s="346">
        <f>+VLOOKUP($E254,Primary_nrj!$1:$1048576,AH$2,FALSE)</f>
        <v>1.1599657830000001</v>
      </c>
      <c r="AI254" s="346">
        <f>+VLOOKUP($E254,Primary_nrj!$1:$1048576,AI$2,FALSE)</f>
        <v>1.158848702</v>
      </c>
      <c r="AJ254" s="346">
        <f>+VLOOKUP($E254,Primary_nrj!$1:$1048576,AJ$2,FALSE)</f>
        <v>1.1577766089999999</v>
      </c>
      <c r="AK254" s="346">
        <f>+VLOOKUP($E254,Primary_nrj!$1:$1048576,AK$2,FALSE)</f>
        <v>1.156750478</v>
      </c>
      <c r="AL254" s="346">
        <f>+VLOOKUP($E254,Primary_nrj!$1:$1048576,AL$2,FALSE)</f>
        <v>1.1557711390000001</v>
      </c>
      <c r="AM254" s="346">
        <f>+VLOOKUP($E254,Primary_nrj!$1:$1048576,AM$2,FALSE)</f>
        <v>1.154839277</v>
      </c>
      <c r="AN254" s="346">
        <f>+VLOOKUP($E254,Primary_nrj!$1:$1048576,AN$2,FALSE)</f>
        <v>1.1539554439999999</v>
      </c>
      <c r="AO254" s="346">
        <f>+VLOOKUP($E254,Primary_nrj!$1:$1048576,AO$2,FALSE)</f>
        <v>1.1531200559999999</v>
      </c>
      <c r="AP254" s="73"/>
      <c r="AQ254" s="73"/>
    </row>
    <row r="255" spans="1:43" s="307" customFormat="1" ht="15" customHeight="1" x14ac:dyDescent="0.25">
      <c r="A255" s="392"/>
      <c r="B255" s="393"/>
      <c r="C255" s="338"/>
      <c r="D255" s="340" t="s">
        <v>547</v>
      </c>
      <c r="E255" s="310" t="s">
        <v>1995</v>
      </c>
      <c r="F255" s="346">
        <f>+VLOOKUP($E255,Primary_nrj!$1:$1048576,F$2,FALSE)</f>
        <v>4.1474250000000001</v>
      </c>
      <c r="G255" s="346">
        <f>+VLOOKUP($E255,Primary_nrj!$1:$1048576,G$2,FALSE)</f>
        <v>4.160853511</v>
      </c>
      <c r="H255" s="346">
        <f>+VLOOKUP($E255,Primary_nrj!$1:$1048576,H$2,FALSE)</f>
        <v>4.159938608</v>
      </c>
      <c r="I255" s="346">
        <f>+VLOOKUP($E255,Primary_nrj!$1:$1048576,I$2,FALSE)</f>
        <v>4.1533080230000001</v>
      </c>
      <c r="J255" s="346">
        <f>+VLOOKUP($E255,Primary_nrj!$1:$1048576,J$2,FALSE)</f>
        <v>4.1448024070000002</v>
      </c>
      <c r="K255" s="346">
        <f>+VLOOKUP($E255,Primary_nrj!$1:$1048576,K$2,FALSE)</f>
        <v>4.1360460540000004</v>
      </c>
      <c r="L255" s="346">
        <f>+VLOOKUP($E255,Primary_nrj!$1:$1048576,L$2,FALSE)</f>
        <v>4.1276419280000001</v>
      </c>
      <c r="M255" s="346">
        <f>+VLOOKUP($E255,Primary_nrj!$1:$1048576,M$2,FALSE)</f>
        <v>4.1197441909999997</v>
      </c>
      <c r="N255" s="346">
        <f>+VLOOKUP($E255,Primary_nrj!$1:$1048576,N$2,FALSE)</f>
        <v>4.1123304190000001</v>
      </c>
      <c r="O255" s="346">
        <f>+VLOOKUP($E255,Primary_nrj!$1:$1048576,O$2,FALSE)</f>
        <v>4.1053256759999996</v>
      </c>
      <c r="P255" s="346">
        <f>+VLOOKUP($E255,Primary_nrj!$1:$1048576,P$2,FALSE)</f>
        <v>4.098653884</v>
      </c>
      <c r="Q255" s="346">
        <f>+VLOOKUP($E255,Primary_nrj!$1:$1048576,Q$2,FALSE)</f>
        <v>4.092254724</v>
      </c>
      <c r="R255" s="346">
        <f>+VLOOKUP($E255,Primary_nrj!$1:$1048576,R$2,FALSE)</f>
        <v>4.0860855039999997</v>
      </c>
      <c r="S255" s="346">
        <f>+VLOOKUP($E255,Primary_nrj!$1:$1048576,S$2,FALSE)</f>
        <v>4.0801106550000004</v>
      </c>
      <c r="T255" s="346">
        <f>+VLOOKUP($E255,Primary_nrj!$1:$1048576,T$2,FALSE)</f>
        <v>4.0742917380000003</v>
      </c>
      <c r="U255" s="346">
        <f>+VLOOKUP($E255,Primary_nrj!$1:$1048576,U$2,FALSE)</f>
        <v>4.0686096669999996</v>
      </c>
      <c r="V255" s="346">
        <f>+VLOOKUP($E255,Primary_nrj!$1:$1048576,V$2,FALSE)</f>
        <v>4.0630549580000004</v>
      </c>
      <c r="W255" s="346">
        <f>+VLOOKUP($E255,Primary_nrj!$1:$1048576,W$2,FALSE)</f>
        <v>4.0576226279999998</v>
      </c>
      <c r="X255" s="346">
        <f>+VLOOKUP($E255,Primary_nrj!$1:$1048576,X$2,FALSE)</f>
        <v>4.0523101840000004</v>
      </c>
      <c r="Y255" s="346">
        <f>+VLOOKUP($E255,Primary_nrj!$1:$1048576,Y$2,FALSE)</f>
        <v>4.0471167980000002</v>
      </c>
      <c r="Z255" s="346">
        <f>+VLOOKUP($E255,Primary_nrj!$1:$1048576,Z$2,FALSE)</f>
        <v>4.0420428690000003</v>
      </c>
      <c r="AA255" s="346">
        <f>+VLOOKUP($E255,Primary_nrj!$1:$1048576,AA$2,FALSE)</f>
        <v>4.0370898390000001</v>
      </c>
      <c r="AB255" s="346">
        <f>+VLOOKUP($E255,Primary_nrj!$1:$1048576,AB$2,FALSE)</f>
        <v>4.0322600729999998</v>
      </c>
      <c r="AC255" s="346">
        <f>+VLOOKUP($E255,Primary_nrj!$1:$1048576,AC$2,FALSE)</f>
        <v>4.0275567150000002</v>
      </c>
      <c r="AD255" s="346">
        <f>+VLOOKUP($E255,Primary_nrj!$1:$1048576,AD$2,FALSE)</f>
        <v>4.0229835190000003</v>
      </c>
      <c r="AE255" s="346">
        <f>+VLOOKUP($E255,Primary_nrj!$1:$1048576,AE$2,FALSE)</f>
        <v>4.0185446579999997</v>
      </c>
      <c r="AF255" s="346">
        <f>+VLOOKUP($E255,Primary_nrj!$1:$1048576,AF$2,FALSE)</f>
        <v>4.0142445240000004</v>
      </c>
      <c r="AG255" s="346">
        <f>+VLOOKUP($E255,Primary_nrj!$1:$1048576,AG$2,FALSE)</f>
        <v>4.0100875509999998</v>
      </c>
      <c r="AH255" s="346">
        <f>+VLOOKUP($E255,Primary_nrj!$1:$1048576,AH$2,FALSE)</f>
        <v>4.006078048</v>
      </c>
      <c r="AI255" s="346">
        <f>+VLOOKUP($E255,Primary_nrj!$1:$1048576,AI$2,FALSE)</f>
        <v>4.0022200779999997</v>
      </c>
      <c r="AJ255" s="346">
        <f>+VLOOKUP($E255,Primary_nrj!$1:$1048576,AJ$2,FALSE)</f>
        <v>3.9985174799999998</v>
      </c>
      <c r="AK255" s="346">
        <f>+VLOOKUP($E255,Primary_nrj!$1:$1048576,AK$2,FALSE)</f>
        <v>3.9949736169999999</v>
      </c>
      <c r="AL255" s="346">
        <f>+VLOOKUP($E255,Primary_nrj!$1:$1048576,AL$2,FALSE)</f>
        <v>3.991591353</v>
      </c>
      <c r="AM255" s="346">
        <f>+VLOOKUP($E255,Primary_nrj!$1:$1048576,AM$2,FALSE)</f>
        <v>3.9883730599999998</v>
      </c>
      <c r="AN255" s="346">
        <f>+VLOOKUP($E255,Primary_nrj!$1:$1048576,AN$2,FALSE)</f>
        <v>3.9853206370000001</v>
      </c>
      <c r="AO255" s="346">
        <f>+VLOOKUP($E255,Primary_nrj!$1:$1048576,AO$2,FALSE)</f>
        <v>3.9824355279999999</v>
      </c>
      <c r="AP255" s="73"/>
      <c r="AQ255" s="73"/>
    </row>
    <row r="256" spans="1:43" s="73" customFormat="1" ht="15" customHeight="1" x14ac:dyDescent="0.25">
      <c r="A256" s="392"/>
      <c r="B256" s="393"/>
      <c r="C256" s="335"/>
      <c r="D256" s="340" t="s">
        <v>547</v>
      </c>
      <c r="E256" s="310" t="s">
        <v>589</v>
      </c>
      <c r="F256" s="346">
        <f>+VLOOKUP($E256,Primary_nrj!$1:$1048576,F$2,FALSE)</f>
        <v>0.52361599999999997</v>
      </c>
      <c r="G256" s="346">
        <f>+VLOOKUP($E256,Primary_nrj!$1:$1048576,G$2,FALSE)</f>
        <v>0.52531136109999998</v>
      </c>
      <c r="H256" s="346">
        <f>+VLOOKUP($E256,Primary_nrj!$1:$1048576,H$2,FALSE)</f>
        <v>0.5251958538</v>
      </c>
      <c r="I256" s="346">
        <f>+VLOOKUP($E256,Primary_nrj!$1:$1048576,I$2,FALSE)</f>
        <v>0.5243587368</v>
      </c>
      <c r="J256" s="346">
        <f>+VLOOKUP($E256,Primary_nrj!$1:$1048576,J$2,FALSE)</f>
        <v>0.52328489540000001</v>
      </c>
      <c r="K256" s="346">
        <f>+VLOOKUP($E256,Primary_nrj!$1:$1048576,K$2,FALSE)</f>
        <v>0.52217939830000004</v>
      </c>
      <c r="L256" s="346">
        <f>+VLOOKUP($E256,Primary_nrj!$1:$1048576,L$2,FALSE)</f>
        <v>0.52111837000000005</v>
      </c>
      <c r="M256" s="346">
        <f>+VLOOKUP($E256,Primary_nrj!$1:$1048576,M$2,FALSE)</f>
        <v>0.52012127379999995</v>
      </c>
      <c r="N256" s="346">
        <f>+VLOOKUP($E256,Primary_nrj!$1:$1048576,N$2,FALSE)</f>
        <v>0.51918527869999997</v>
      </c>
      <c r="O256" s="346">
        <f>+VLOOKUP($E256,Primary_nrj!$1:$1048576,O$2,FALSE)</f>
        <v>0.51830092390000004</v>
      </c>
      <c r="P256" s="346">
        <f>+VLOOKUP($E256,Primary_nrj!$1:$1048576,P$2,FALSE)</f>
        <v>0.51745860440000002</v>
      </c>
      <c r="Q256" s="346">
        <f>+VLOOKUP($E256,Primary_nrj!$1:$1048576,Q$2,FALSE)</f>
        <v>0.51665070479999997</v>
      </c>
      <c r="R256" s="346">
        <f>+VLOOKUP($E256,Primary_nrj!$1:$1048576,R$2,FALSE)</f>
        <v>0.51587183540000003</v>
      </c>
      <c r="S256" s="346">
        <f>+VLOOKUP($E256,Primary_nrj!$1:$1048576,S$2,FALSE)</f>
        <v>0.51511750560000003</v>
      </c>
      <c r="T256" s="346">
        <f>+VLOOKUP($E256,Primary_nrj!$1:$1048576,T$2,FALSE)</f>
        <v>0.51438286229999997</v>
      </c>
      <c r="U256" s="346">
        <f>+VLOOKUP($E256,Primary_nrj!$1:$1048576,U$2,FALSE)</f>
        <v>0.51366549589999999</v>
      </c>
      <c r="V256" s="346">
        <f>+VLOOKUP($E256,Primary_nrj!$1:$1048576,V$2,FALSE)</f>
        <v>0.51296420909999996</v>
      </c>
      <c r="W256" s="346">
        <f>+VLOOKUP($E256,Primary_nrj!$1:$1048576,W$2,FALSE)</f>
        <v>0.51227837279999999</v>
      </c>
      <c r="X256" s="346">
        <f>+VLOOKUP($E256,Primary_nrj!$1:$1048576,X$2,FALSE)</f>
        <v>0.51160767210000002</v>
      </c>
      <c r="Y256" s="346">
        <f>+VLOOKUP($E256,Primary_nrj!$1:$1048576,Y$2,FALSE)</f>
        <v>0.51095200259999995</v>
      </c>
      <c r="Z256" s="346">
        <f>+VLOOKUP($E256,Primary_nrj!$1:$1048576,Z$2,FALSE)</f>
        <v>0.51031141469999997</v>
      </c>
      <c r="AA256" s="346">
        <f>+VLOOKUP($E256,Primary_nrj!$1:$1048576,AA$2,FALSE)</f>
        <v>0.50968609040000001</v>
      </c>
      <c r="AB256" s="346">
        <f>+VLOOKUP($E256,Primary_nrj!$1:$1048576,AB$2,FALSE)</f>
        <v>0.50907632820000004</v>
      </c>
      <c r="AC256" s="346">
        <f>+VLOOKUP($E256,Primary_nrj!$1:$1048576,AC$2,FALSE)</f>
        <v>0.50848252510000003</v>
      </c>
      <c r="AD256" s="346">
        <f>+VLOOKUP($E256,Primary_nrj!$1:$1048576,AD$2,FALSE)</f>
        <v>0.50790515520000001</v>
      </c>
      <c r="AE256" s="346">
        <f>+VLOOKUP($E256,Primary_nrj!$1:$1048576,AE$2,FALSE)</f>
        <v>0.50734474510000005</v>
      </c>
      <c r="AF256" s="346">
        <f>+VLOOKUP($E256,Primary_nrj!$1:$1048576,AF$2,FALSE)</f>
        <v>0.50680184949999996</v>
      </c>
      <c r="AG256" s="346">
        <f>+VLOOKUP($E256,Primary_nrj!$1:$1048576,AG$2,FALSE)</f>
        <v>0.50627702799999996</v>
      </c>
      <c r="AH256" s="346">
        <f>+VLOOKUP($E256,Primary_nrj!$1:$1048576,AH$2,FALSE)</f>
        <v>0.50577082490000003</v>
      </c>
      <c r="AI256" s="346">
        <f>+VLOOKUP($E256,Primary_nrj!$1:$1048576,AI$2,FALSE)</f>
        <v>0.50528375280000004</v>
      </c>
      <c r="AJ256" s="346">
        <f>+VLOOKUP($E256,Primary_nrj!$1:$1048576,AJ$2,FALSE)</f>
        <v>0.50481629660000005</v>
      </c>
      <c r="AK256" s="346">
        <f>+VLOOKUP($E256,Primary_nrj!$1:$1048576,AK$2,FALSE)</f>
        <v>0.50436888079999997</v>
      </c>
      <c r="AL256" s="346">
        <f>+VLOOKUP($E256,Primary_nrj!$1:$1048576,AL$2,FALSE)</f>
        <v>0.50394186699999999</v>
      </c>
      <c r="AM256" s="346">
        <f>+VLOOKUP($E256,Primary_nrj!$1:$1048576,AM$2,FALSE)</f>
        <v>0.50353555480000001</v>
      </c>
      <c r="AN256" s="346">
        <f>+VLOOKUP($E256,Primary_nrj!$1:$1048576,AN$2,FALSE)</f>
        <v>0.50315018369999998</v>
      </c>
      <c r="AO256" s="346">
        <f>+VLOOKUP($E256,Primary_nrj!$1:$1048576,AO$2,FALSE)</f>
        <v>0.50278593620000001</v>
      </c>
    </row>
    <row r="257" spans="1:43" s="73" customFormat="1" ht="15" customHeight="1" x14ac:dyDescent="0.25">
      <c r="A257" s="392"/>
      <c r="B257" s="393"/>
      <c r="C257" s="335"/>
      <c r="D257" s="340" t="s">
        <v>548</v>
      </c>
      <c r="E257" s="310" t="s">
        <v>590</v>
      </c>
      <c r="F257" s="346">
        <f>+VLOOKUP($E257,Primary_nrj!$1:$1048576,F$2,FALSE)</f>
        <v>0.72579400000000005</v>
      </c>
      <c r="G257" s="346">
        <f>+VLOOKUP($E257,Primary_nrj!$1:$1048576,G$2,FALSE)</f>
        <v>0.72814397190000002</v>
      </c>
      <c r="H257" s="346">
        <f>+VLOOKUP($E257,Primary_nrj!$1:$1048576,H$2,FALSE)</f>
        <v>0.72798386510000002</v>
      </c>
      <c r="I257" s="346">
        <f>+VLOOKUP($E257,Primary_nrj!$1:$1048576,I$2,FALSE)</f>
        <v>0.72682352139999995</v>
      </c>
      <c r="J257" s="346">
        <f>+VLOOKUP($E257,Primary_nrj!$1:$1048576,J$2,FALSE)</f>
        <v>0.72533504959999995</v>
      </c>
      <c r="K257" s="346">
        <f>+VLOOKUP($E257,Primary_nrj!$1:$1048576,K$2,FALSE)</f>
        <v>0.72380269929999996</v>
      </c>
      <c r="L257" s="346">
        <f>+VLOOKUP($E257,Primary_nrj!$1:$1048576,L$2,FALSE)</f>
        <v>0.72233198799999998</v>
      </c>
      <c r="M257" s="346">
        <f>+VLOOKUP($E257,Primary_nrj!$1:$1048576,M$2,FALSE)</f>
        <v>0.7209498942</v>
      </c>
      <c r="N257" s="346">
        <f>+VLOOKUP($E257,Primary_nrj!$1:$1048576,N$2,FALSE)</f>
        <v>0.71965249379999996</v>
      </c>
      <c r="O257" s="346">
        <f>+VLOOKUP($E257,Primary_nrj!$1:$1048576,O$2,FALSE)</f>
        <v>0.71842667280000005</v>
      </c>
      <c r="P257" s="346">
        <f>+VLOOKUP($E257,Primary_nrj!$1:$1048576,P$2,FALSE)</f>
        <v>0.71725911789999997</v>
      </c>
      <c r="Q257" s="346">
        <f>+VLOOKUP($E257,Primary_nrj!$1:$1048576,Q$2,FALSE)</f>
        <v>0.71613927310000003</v>
      </c>
      <c r="R257" s="346">
        <f>+VLOOKUP($E257,Primary_nrj!$1:$1048576,R$2,FALSE)</f>
        <v>0.71505966759999995</v>
      </c>
      <c r="S257" s="346">
        <f>+VLOOKUP($E257,Primary_nrj!$1:$1048576,S$2,FALSE)</f>
        <v>0.71401407679999995</v>
      </c>
      <c r="T257" s="346">
        <f>+VLOOKUP($E257,Primary_nrj!$1:$1048576,T$2,FALSE)</f>
        <v>0.71299577390000002</v>
      </c>
      <c r="U257" s="346">
        <f>+VLOOKUP($E257,Primary_nrj!$1:$1048576,U$2,FALSE)</f>
        <v>0.71200141890000002</v>
      </c>
      <c r="V257" s="346">
        <f>+VLOOKUP($E257,Primary_nrj!$1:$1048576,V$2,FALSE)</f>
        <v>0.71102935199999995</v>
      </c>
      <c r="W257" s="346">
        <f>+VLOOKUP($E257,Primary_nrj!$1:$1048576,W$2,FALSE)</f>
        <v>0.71007870139999996</v>
      </c>
      <c r="X257" s="346">
        <f>+VLOOKUP($E257,Primary_nrj!$1:$1048576,X$2,FALSE)</f>
        <v>0.7091490305</v>
      </c>
      <c r="Y257" s="346">
        <f>+VLOOKUP($E257,Primary_nrj!$1:$1048576,Y$2,FALSE)</f>
        <v>0.70824019469999999</v>
      </c>
      <c r="Z257" s="346">
        <f>+VLOOKUP($E257,Primary_nrj!$1:$1048576,Z$2,FALSE)</f>
        <v>0.70735226370000004</v>
      </c>
      <c r="AA257" s="346">
        <f>+VLOOKUP($E257,Primary_nrj!$1:$1048576,AA$2,FALSE)</f>
        <v>0.70648548990000004</v>
      </c>
      <c r="AB257" s="346">
        <f>+VLOOKUP($E257,Primary_nrj!$1:$1048576,AB$2,FALSE)</f>
        <v>0.70564028700000003</v>
      </c>
      <c r="AC257" s="346">
        <f>+VLOOKUP($E257,Primary_nrj!$1:$1048576,AC$2,FALSE)</f>
        <v>0.70481720540000004</v>
      </c>
      <c r="AD257" s="346">
        <f>+VLOOKUP($E257,Primary_nrj!$1:$1048576,AD$2,FALSE)</f>
        <v>0.70401690210000001</v>
      </c>
      <c r="AE257" s="346">
        <f>+VLOOKUP($E257,Primary_nrj!$1:$1048576,AE$2,FALSE)</f>
        <v>0.70324010709999996</v>
      </c>
      <c r="AF257" s="346">
        <f>+VLOOKUP($E257,Primary_nrj!$1:$1048576,AF$2,FALSE)</f>
        <v>0.70248758929999999</v>
      </c>
      <c r="AG257" s="346">
        <f>+VLOOKUP($E257,Primary_nrj!$1:$1048576,AG$2,FALSE)</f>
        <v>0.70176012430000001</v>
      </c>
      <c r="AH257" s="346">
        <f>+VLOOKUP($E257,Primary_nrj!$1:$1048576,AH$2,FALSE)</f>
        <v>0.70105846660000004</v>
      </c>
      <c r="AI257" s="346">
        <f>+VLOOKUP($E257,Primary_nrj!$1:$1048576,AI$2,FALSE)</f>
        <v>0.70038332690000005</v>
      </c>
      <c r="AJ257" s="346">
        <f>+VLOOKUP($E257,Primary_nrj!$1:$1048576,AJ$2,FALSE)</f>
        <v>0.69973537699999999</v>
      </c>
      <c r="AK257" s="346">
        <f>+VLOOKUP($E257,Primary_nrj!$1:$1048576,AK$2,FALSE)</f>
        <v>0.69911520549999995</v>
      </c>
      <c r="AL257" s="346">
        <f>+VLOOKUP($E257,Primary_nrj!$1:$1048576,AL$2,FALSE)</f>
        <v>0.69852331369999998</v>
      </c>
      <c r="AM257" s="346">
        <f>+VLOOKUP($E257,Primary_nrj!$1:$1048576,AM$2,FALSE)</f>
        <v>0.69796011660000001</v>
      </c>
      <c r="AN257" s="346">
        <f>+VLOOKUP($E257,Primary_nrj!$1:$1048576,AN$2,FALSE)</f>
        <v>0.6974259465</v>
      </c>
      <c r="AO257" s="346">
        <f>+VLOOKUP($E257,Primary_nrj!$1:$1048576,AO$2,FALSE)</f>
        <v>0.6969210562</v>
      </c>
    </row>
    <row r="258" spans="1:43" s="108" customFormat="1" ht="15" customHeight="1" x14ac:dyDescent="0.25">
      <c r="A258" s="392"/>
      <c r="B258" s="393"/>
      <c r="C258" s="335" t="s">
        <v>495</v>
      </c>
      <c r="D258" s="339"/>
      <c r="E258" s="337" t="s">
        <v>591</v>
      </c>
      <c r="F258" s="347">
        <f>+VLOOKUP($E258,Primary_nrj!$1:$1048576,F$2,FALSE)</f>
        <v>57.462232999999998</v>
      </c>
      <c r="G258" s="347">
        <f>+VLOOKUP($E258,Primary_nrj!$1:$1048576,G$2,FALSE)</f>
        <v>57.889427140000002</v>
      </c>
      <c r="H258" s="347">
        <f>+VLOOKUP($E258,Primary_nrj!$1:$1048576,H$2,FALSE)</f>
        <v>58.226696850000003</v>
      </c>
      <c r="I258" s="347">
        <f>+VLOOKUP($E258,Primary_nrj!$1:$1048576,I$2,FALSE)</f>
        <v>58.54270752</v>
      </c>
      <c r="J258" s="347">
        <f>+VLOOKUP($E258,Primary_nrj!$1:$1048576,J$2,FALSE)</f>
        <v>58.865512459999998</v>
      </c>
      <c r="K258" s="347">
        <f>+VLOOKUP($E258,Primary_nrj!$1:$1048576,K$2,FALSE)</f>
        <v>59.204070780000002</v>
      </c>
      <c r="L258" s="347">
        <f>+VLOOKUP($E258,Primary_nrj!$1:$1048576,L$2,FALSE)</f>
        <v>59.55949056</v>
      </c>
      <c r="M258" s="347">
        <f>+VLOOKUP($E258,Primary_nrj!$1:$1048576,M$2,FALSE)</f>
        <v>59.930186579999997</v>
      </c>
      <c r="N258" s="347">
        <f>+VLOOKUP($E258,Primary_nrj!$1:$1048576,N$2,FALSE)</f>
        <v>60.314031919999998</v>
      </c>
      <c r="O258" s="347">
        <f>+VLOOKUP($E258,Primary_nrj!$1:$1048576,O$2,FALSE)</f>
        <v>60.709138539999998</v>
      </c>
      <c r="P258" s="347">
        <f>+VLOOKUP($E258,Primary_nrj!$1:$1048576,P$2,FALSE)</f>
        <v>61.114056570000002</v>
      </c>
      <c r="Q258" s="347">
        <f>+VLOOKUP($E258,Primary_nrj!$1:$1048576,Q$2,FALSE)</f>
        <v>61.527754049999999</v>
      </c>
      <c r="R258" s="347">
        <f>+VLOOKUP($E258,Primary_nrj!$1:$1048576,R$2,FALSE)</f>
        <v>61.949533090000003</v>
      </c>
      <c r="S258" s="347">
        <f>+VLOOKUP($E258,Primary_nrj!$1:$1048576,S$2,FALSE)</f>
        <v>62.378943270000001</v>
      </c>
      <c r="T258" s="347">
        <f>+VLOOKUP($E258,Primary_nrj!$1:$1048576,T$2,FALSE)</f>
        <v>62.815710520000003</v>
      </c>
      <c r="U258" s="347">
        <f>+VLOOKUP($E258,Primary_nrj!$1:$1048576,U$2,FALSE)</f>
        <v>63.259683150000001</v>
      </c>
      <c r="V258" s="347">
        <f>+VLOOKUP($E258,Primary_nrj!$1:$1048576,V$2,FALSE)</f>
        <v>63.71079314</v>
      </c>
      <c r="W258" s="347">
        <f>+VLOOKUP($E258,Primary_nrj!$1:$1048576,W$2,FALSE)</f>
        <v>64.168984170000002</v>
      </c>
      <c r="X258" s="347">
        <f>+VLOOKUP($E258,Primary_nrj!$1:$1048576,X$2,FALSE)</f>
        <v>64.634242330000006</v>
      </c>
      <c r="Y258" s="347">
        <f>+VLOOKUP($E258,Primary_nrj!$1:$1048576,Y$2,FALSE)</f>
        <v>65.10660532</v>
      </c>
      <c r="Z258" s="347">
        <f>+VLOOKUP($E258,Primary_nrj!$1:$1048576,Z$2,FALSE)</f>
        <v>65.586137620000002</v>
      </c>
      <c r="AA258" s="347">
        <f>+VLOOKUP($E258,Primary_nrj!$1:$1048576,AA$2,FALSE)</f>
        <v>66.07291687</v>
      </c>
      <c r="AB258" s="347">
        <f>+VLOOKUP($E258,Primary_nrj!$1:$1048576,AB$2,FALSE)</f>
        <v>66.567026690000006</v>
      </c>
      <c r="AC258" s="347">
        <f>+VLOOKUP($E258,Primary_nrj!$1:$1048576,AC$2,FALSE)</f>
        <v>67.068553359999996</v>
      </c>
      <c r="AD258" s="347">
        <f>+VLOOKUP($E258,Primary_nrj!$1:$1048576,AD$2,FALSE)</f>
        <v>67.577584540000004</v>
      </c>
      <c r="AE258" s="347">
        <f>+VLOOKUP($E258,Primary_nrj!$1:$1048576,AE$2,FALSE)</f>
        <v>68.094209120000002</v>
      </c>
      <c r="AF258" s="347">
        <f>+VLOOKUP($E258,Primary_nrj!$1:$1048576,AF$2,FALSE)</f>
        <v>68.618517560000001</v>
      </c>
      <c r="AG258" s="347">
        <f>+VLOOKUP($E258,Primary_nrj!$1:$1048576,AG$2,FALSE)</f>
        <v>69.150602500000005</v>
      </c>
      <c r="AH258" s="347">
        <f>+VLOOKUP($E258,Primary_nrj!$1:$1048576,AH$2,FALSE)</f>
        <v>69.690559230000005</v>
      </c>
      <c r="AI258" s="347">
        <f>+VLOOKUP($E258,Primary_nrj!$1:$1048576,AI$2,FALSE)</f>
        <v>70.238486129999998</v>
      </c>
      <c r="AJ258" s="347">
        <f>+VLOOKUP($E258,Primary_nrj!$1:$1048576,AJ$2,FALSE)</f>
        <v>70.794484850000003</v>
      </c>
      <c r="AK258" s="347">
        <f>+VLOOKUP($E258,Primary_nrj!$1:$1048576,AK$2,FALSE)</f>
        <v>71.358660389999997</v>
      </c>
      <c r="AL258" s="347">
        <f>+VLOOKUP($E258,Primary_nrj!$1:$1048576,AL$2,FALSE)</f>
        <v>71.931121009999998</v>
      </c>
      <c r="AM258" s="347">
        <f>+VLOOKUP($E258,Primary_nrj!$1:$1048576,AM$2,FALSE)</f>
        <v>72.511977959999996</v>
      </c>
      <c r="AN258" s="347">
        <f>+VLOOKUP($E258,Primary_nrj!$1:$1048576,AN$2,FALSE)</f>
        <v>73.101345230000007</v>
      </c>
      <c r="AO258" s="347">
        <f>+VLOOKUP($E258,Primary_nrj!$1:$1048576,AO$2,FALSE)</f>
        <v>73.699339179999996</v>
      </c>
    </row>
    <row r="259" spans="1:43" s="73" customFormat="1" ht="15" customHeight="1" x14ac:dyDescent="0.25">
      <c r="A259" s="392"/>
      <c r="B259" s="393"/>
      <c r="C259" s="335"/>
      <c r="D259" s="340" t="s">
        <v>160</v>
      </c>
      <c r="E259" s="310" t="s">
        <v>592</v>
      </c>
      <c r="F259" s="346">
        <f>+VLOOKUP($E259,Primary_nrj!$1:$1048576,F$2,FALSE)</f>
        <v>41.844050670000001</v>
      </c>
      <c r="G259" s="346">
        <f>+VLOOKUP($E259,Primary_nrj!$1:$1048576,G$2,FALSE)</f>
        <v>42.155136259999999</v>
      </c>
      <c r="H259" s="346">
        <f>+VLOOKUP($E259,Primary_nrj!$1:$1048576,H$2,FALSE)</f>
        <v>42.400736389999999</v>
      </c>
      <c r="I259" s="346">
        <f>+VLOOKUP($E259,Primary_nrj!$1:$1048576,I$2,FALSE)</f>
        <v>42.630855660000002</v>
      </c>
      <c r="J259" s="346">
        <f>+VLOOKUP($E259,Primary_nrj!$1:$1048576,J$2,FALSE)</f>
        <v>42.865922519999998</v>
      </c>
      <c r="K259" s="346">
        <f>+VLOOKUP($E259,Primary_nrj!$1:$1048576,K$2,FALSE)</f>
        <v>43.112461009999997</v>
      </c>
      <c r="L259" s="346">
        <f>+VLOOKUP($E259,Primary_nrj!$1:$1048576,L$2,FALSE)</f>
        <v>43.37127804</v>
      </c>
      <c r="M259" s="346">
        <f>+VLOOKUP($E259,Primary_nrj!$1:$1048576,M$2,FALSE)</f>
        <v>43.641219239999998</v>
      </c>
      <c r="N259" s="346">
        <f>+VLOOKUP($E259,Primary_nrj!$1:$1048576,N$2,FALSE)</f>
        <v>43.920735780000001</v>
      </c>
      <c r="O259" s="346">
        <f>+VLOOKUP($E259,Primary_nrj!$1:$1048576,O$2,FALSE)</f>
        <v>44.208452800000003</v>
      </c>
      <c r="P259" s="346">
        <f>+VLOOKUP($E259,Primary_nrj!$1:$1048576,P$2,FALSE)</f>
        <v>44.503314500000002</v>
      </c>
      <c r="Q259" s="346">
        <f>+VLOOKUP($E259,Primary_nrj!$1:$1048576,Q$2,FALSE)</f>
        <v>44.804569399999998</v>
      </c>
      <c r="R259" s="346">
        <f>+VLOOKUP($E259,Primary_nrj!$1:$1048576,R$2,FALSE)</f>
        <v>45.111709300000001</v>
      </c>
      <c r="S259" s="346">
        <f>+VLOOKUP($E259,Primary_nrj!$1:$1048576,S$2,FALSE)</f>
        <v>45.4244062</v>
      </c>
      <c r="T259" s="346">
        <f>+VLOOKUP($E259,Primary_nrj!$1:$1048576,T$2,FALSE)</f>
        <v>45.742460530000002</v>
      </c>
      <c r="U259" s="346">
        <f>+VLOOKUP($E259,Primary_nrj!$1:$1048576,U$2,FALSE)</f>
        <v>46.06576183</v>
      </c>
      <c r="V259" s="346">
        <f>+VLOOKUP($E259,Primary_nrj!$1:$1048576,V$2,FALSE)</f>
        <v>46.394260549999998</v>
      </c>
      <c r="W259" s="346">
        <f>+VLOOKUP($E259,Primary_nrj!$1:$1048576,W$2,FALSE)</f>
        <v>46.727915699999997</v>
      </c>
      <c r="X259" s="346">
        <f>+VLOOKUP($E259,Primary_nrj!$1:$1048576,X$2,FALSE)</f>
        <v>47.066717140000002</v>
      </c>
      <c r="Y259" s="346">
        <f>+VLOOKUP($E259,Primary_nrj!$1:$1048576,Y$2,FALSE)</f>
        <v>47.410692310000002</v>
      </c>
      <c r="Z259" s="346">
        <f>+VLOOKUP($E259,Primary_nrj!$1:$1048576,Z$2,FALSE)</f>
        <v>47.759888199999999</v>
      </c>
      <c r="AA259" s="346">
        <f>+VLOOKUP($E259,Primary_nrj!$1:$1048576,AA$2,FALSE)</f>
        <v>48.11436131</v>
      </c>
      <c r="AB259" s="346">
        <f>+VLOOKUP($E259,Primary_nrj!$1:$1048576,AB$2,FALSE)</f>
        <v>48.474172549999999</v>
      </c>
      <c r="AC259" s="346">
        <f>+VLOOKUP($E259,Primary_nrj!$1:$1048576,AC$2,FALSE)</f>
        <v>48.839384750000001</v>
      </c>
      <c r="AD259" s="346">
        <f>+VLOOKUP($E259,Primary_nrj!$1:$1048576,AD$2,FALSE)</f>
        <v>49.210061750000001</v>
      </c>
      <c r="AE259" s="346">
        <f>+VLOOKUP($E259,Primary_nrj!$1:$1048576,AE$2,FALSE)</f>
        <v>49.586268259999997</v>
      </c>
      <c r="AF259" s="346">
        <f>+VLOOKUP($E259,Primary_nrj!$1:$1048576,AF$2,FALSE)</f>
        <v>49.968070169999997</v>
      </c>
      <c r="AG259" s="346">
        <f>+VLOOKUP($E259,Primary_nrj!$1:$1048576,AG$2,FALSE)</f>
        <v>50.355534929999997</v>
      </c>
      <c r="AH259" s="346">
        <f>+VLOOKUP($E259,Primary_nrj!$1:$1048576,AH$2,FALSE)</f>
        <v>50.748731939999999</v>
      </c>
      <c r="AI259" s="346">
        <f>+VLOOKUP($E259,Primary_nrj!$1:$1048576,AI$2,FALSE)</f>
        <v>51.147732840000003</v>
      </c>
      <c r="AJ259" s="346">
        <f>+VLOOKUP($E259,Primary_nrj!$1:$1048576,AJ$2,FALSE)</f>
        <v>51.552611640000002</v>
      </c>
      <c r="AK259" s="346">
        <f>+VLOOKUP($E259,Primary_nrj!$1:$1048576,AK$2,FALSE)</f>
        <v>51.963444809999999</v>
      </c>
      <c r="AL259" s="346">
        <f>+VLOOKUP($E259,Primary_nrj!$1:$1048576,AL$2,FALSE)</f>
        <v>52.380311169999999</v>
      </c>
      <c r="AM259" s="346">
        <f>+VLOOKUP($E259,Primary_nrj!$1:$1048576,AM$2,FALSE)</f>
        <v>52.80329176</v>
      </c>
      <c r="AN259" s="346">
        <f>+VLOOKUP($E259,Primary_nrj!$1:$1048576,AN$2,FALSE)</f>
        <v>53.232469569999999</v>
      </c>
      <c r="AO259" s="346">
        <f>+VLOOKUP($E259,Primary_nrj!$1:$1048576,AO$2,FALSE)</f>
        <v>53.667929340000001</v>
      </c>
    </row>
    <row r="260" spans="1:43" s="73" customFormat="1" ht="15" customHeight="1" x14ac:dyDescent="0.25">
      <c r="A260" s="392"/>
      <c r="B260" s="393"/>
      <c r="C260" s="335"/>
      <c r="D260" s="340" t="s">
        <v>161</v>
      </c>
      <c r="E260" s="310" t="s">
        <v>593</v>
      </c>
      <c r="F260" s="346">
        <f>+VLOOKUP($E260,Primary_nrj!$1:$1048576,F$2,FALSE)</f>
        <v>0.82379446560000003</v>
      </c>
      <c r="G260" s="346">
        <f>+VLOOKUP($E260,Primary_nrj!$1:$1048576,G$2,FALSE)</f>
        <v>0.82991888680000003</v>
      </c>
      <c r="H260" s="346">
        <f>+VLOOKUP($E260,Primary_nrj!$1:$1048576,H$2,FALSE)</f>
        <v>0.83475407899999998</v>
      </c>
      <c r="I260" s="346">
        <f>+VLOOKUP($E260,Primary_nrj!$1:$1048576,I$2,FALSE)</f>
        <v>0.83928449559999996</v>
      </c>
      <c r="J260" s="346">
        <f>+VLOOKUP($E260,Primary_nrj!$1:$1048576,J$2,FALSE)</f>
        <v>0.8439123167</v>
      </c>
      <c r="K260" s="346">
        <f>+VLOOKUP($E260,Primary_nrj!$1:$1048576,K$2,FALSE)</f>
        <v>0.84876598270000003</v>
      </c>
      <c r="L260" s="346">
        <f>+VLOOKUP($E260,Primary_nrj!$1:$1048576,L$2,FALSE)</f>
        <v>0.85386137920000005</v>
      </c>
      <c r="M260" s="346">
        <f>+VLOOKUP($E260,Primary_nrj!$1:$1048576,M$2,FALSE)</f>
        <v>0.85917578029999997</v>
      </c>
      <c r="N260" s="346">
        <f>+VLOOKUP($E260,Primary_nrj!$1:$1048576,N$2,FALSE)</f>
        <v>0.86467869360000005</v>
      </c>
      <c r="O260" s="346">
        <f>+VLOOKUP($E260,Primary_nrj!$1:$1048576,O$2,FALSE)</f>
        <v>0.87034305160000003</v>
      </c>
      <c r="P260" s="346">
        <f>+VLOOKUP($E260,Primary_nrj!$1:$1048576,P$2,FALSE)</f>
        <v>0.87614806889999997</v>
      </c>
      <c r="Q260" s="346">
        <f>+VLOOKUP($E260,Primary_nrj!$1:$1048576,Q$2,FALSE)</f>
        <v>0.88207895069999998</v>
      </c>
      <c r="R260" s="346">
        <f>+VLOOKUP($E260,Primary_nrj!$1:$1048576,R$2,FALSE)</f>
        <v>0.88812569200000002</v>
      </c>
      <c r="S260" s="346">
        <f>+VLOOKUP($E260,Primary_nrj!$1:$1048576,S$2,FALSE)</f>
        <v>0.89428183549999996</v>
      </c>
      <c r="T260" s="346">
        <f>+VLOOKUP($E260,Primary_nrj!$1:$1048576,T$2,FALSE)</f>
        <v>0.90054345199999997</v>
      </c>
      <c r="U260" s="346">
        <f>+VLOOKUP($E260,Primary_nrj!$1:$1048576,U$2,FALSE)</f>
        <v>0.90690836679999998</v>
      </c>
      <c r="V260" s="346">
        <f>+VLOOKUP($E260,Primary_nrj!$1:$1048576,V$2,FALSE)</f>
        <v>0.91337560470000001</v>
      </c>
      <c r="W260" s="346">
        <f>+VLOOKUP($E260,Primary_nrj!$1:$1048576,W$2,FALSE)</f>
        <v>0.9199443584</v>
      </c>
      <c r="X260" s="346">
        <f>+VLOOKUP($E260,Primary_nrj!$1:$1048576,X$2,FALSE)</f>
        <v>0.92661442849999998</v>
      </c>
      <c r="Y260" s="346">
        <f>+VLOOKUP($E260,Primary_nrj!$1:$1048576,Y$2,FALSE)</f>
        <v>0.93338635530000003</v>
      </c>
      <c r="Z260" s="346">
        <f>+VLOOKUP($E260,Primary_nrj!$1:$1048576,Z$2,FALSE)</f>
        <v>0.94026106340000004</v>
      </c>
      <c r="AA260" s="346">
        <f>+VLOOKUP($E260,Primary_nrj!$1:$1048576,AA$2,FALSE)</f>
        <v>0.94723966569999996</v>
      </c>
      <c r="AB260" s="346">
        <f>+VLOOKUP($E260,Primary_nrj!$1:$1048576,AB$2,FALSE)</f>
        <v>0.95432336120000005</v>
      </c>
      <c r="AC260" s="346">
        <f>+VLOOKUP($E260,Primary_nrj!$1:$1048576,AC$2,FALSE)</f>
        <v>0.96151338659999996</v>
      </c>
      <c r="AD260" s="346">
        <f>+VLOOKUP($E260,Primary_nrj!$1:$1048576,AD$2,FALSE)</f>
        <v>0.9688109989</v>
      </c>
      <c r="AE260" s="346">
        <f>+VLOOKUP($E260,Primary_nrj!$1:$1048576,AE$2,FALSE)</f>
        <v>0.97621747219999999</v>
      </c>
      <c r="AF260" s="346">
        <f>+VLOOKUP($E260,Primary_nrj!$1:$1048576,AF$2,FALSE)</f>
        <v>0.98373410350000001</v>
      </c>
      <c r="AG260" s="346">
        <f>+VLOOKUP($E260,Primary_nrj!$1:$1048576,AG$2,FALSE)</f>
        <v>0.99136222070000002</v>
      </c>
      <c r="AH260" s="346">
        <f>+VLOOKUP($E260,Primary_nrj!$1:$1048576,AH$2,FALSE)</f>
        <v>0.99910319020000005</v>
      </c>
      <c r="AI260" s="346">
        <f>+VLOOKUP($E260,Primary_nrj!$1:$1048576,AI$2,FALSE)</f>
        <v>1.0069584220000001</v>
      </c>
      <c r="AJ260" s="346">
        <f>+VLOOKUP($E260,Primary_nrj!$1:$1048576,AJ$2,FALSE)</f>
        <v>1.0149293740000001</v>
      </c>
      <c r="AK260" s="346">
        <f>+VLOOKUP($E260,Primary_nrj!$1:$1048576,AK$2,FALSE)</f>
        <v>1.0230175509999999</v>
      </c>
      <c r="AL260" s="346">
        <f>+VLOOKUP($E260,Primary_nrj!$1:$1048576,AL$2,FALSE)</f>
        <v>1.031224505</v>
      </c>
      <c r="AM260" s="346">
        <f>+VLOOKUP($E260,Primary_nrj!$1:$1048576,AM$2,FALSE)</f>
        <v>1.0395518319999999</v>
      </c>
      <c r="AN260" s="346">
        <f>+VLOOKUP($E260,Primary_nrj!$1:$1048576,AN$2,FALSE)</f>
        <v>1.0480011650000001</v>
      </c>
      <c r="AO260" s="346">
        <f>+VLOOKUP($E260,Primary_nrj!$1:$1048576,AO$2,FALSE)</f>
        <v>1.0565741719999999</v>
      </c>
    </row>
    <row r="261" spans="1:43" s="73" customFormat="1" ht="15" customHeight="1" x14ac:dyDescent="0.25">
      <c r="A261" s="392"/>
      <c r="B261" s="393"/>
      <c r="C261" s="335"/>
      <c r="D261" s="340" t="s">
        <v>162</v>
      </c>
      <c r="E261" s="310" t="s">
        <v>594</v>
      </c>
      <c r="F261" s="346">
        <f>+VLOOKUP($E261,Primary_nrj!$1:$1048576,F$2,FALSE)</f>
        <v>1.1971117449999999</v>
      </c>
      <c r="G261" s="346">
        <f>+VLOOKUP($E261,Primary_nrj!$1:$1048576,G$2,FALSE)</f>
        <v>1.2060115579999999</v>
      </c>
      <c r="H261" s="346">
        <f>+VLOOKUP($E261,Primary_nrj!$1:$1048576,H$2,FALSE)</f>
        <v>1.213037905</v>
      </c>
      <c r="I261" s="346">
        <f>+VLOOKUP($E261,Primary_nrj!$1:$1048576,I$2,FALSE)</f>
        <v>1.219621361</v>
      </c>
      <c r="J261" s="346">
        <f>+VLOOKUP($E261,Primary_nrj!$1:$1048576,J$2,FALSE)</f>
        <v>1.226346363</v>
      </c>
      <c r="K261" s="346">
        <f>+VLOOKUP($E261,Primary_nrj!$1:$1048576,K$2,FALSE)</f>
        <v>1.2333995550000001</v>
      </c>
      <c r="L261" s="346">
        <f>+VLOOKUP($E261,Primary_nrj!$1:$1048576,L$2,FALSE)</f>
        <v>1.2408040220000001</v>
      </c>
      <c r="M261" s="346">
        <f>+VLOOKUP($E261,Primary_nrj!$1:$1048576,M$2,FALSE)</f>
        <v>1.2485267390000001</v>
      </c>
      <c r="N261" s="346">
        <f>+VLOOKUP($E261,Primary_nrj!$1:$1048576,N$2,FALSE)</f>
        <v>1.256523397</v>
      </c>
      <c r="O261" s="346">
        <f>+VLOOKUP($E261,Primary_nrj!$1:$1048576,O$2,FALSE)</f>
        <v>1.2647546599999999</v>
      </c>
      <c r="P261" s="346">
        <f>+VLOOKUP($E261,Primary_nrj!$1:$1048576,P$2,FALSE)</f>
        <v>1.2731903259999999</v>
      </c>
      <c r="Q261" s="346">
        <f>+VLOOKUP($E261,Primary_nrj!$1:$1048576,Q$2,FALSE)</f>
        <v>1.281808893</v>
      </c>
      <c r="R261" s="346">
        <f>+VLOOKUP($E261,Primary_nrj!$1:$1048576,R$2,FALSE)</f>
        <v>1.2905958239999999</v>
      </c>
      <c r="S261" s="346">
        <f>+VLOOKUP($E261,Primary_nrj!$1:$1048576,S$2,FALSE)</f>
        <v>1.299541735</v>
      </c>
      <c r="T261" s="346">
        <f>+VLOOKUP($E261,Primary_nrj!$1:$1048576,T$2,FALSE)</f>
        <v>1.308640915</v>
      </c>
      <c r="U261" s="346">
        <f>+VLOOKUP($E261,Primary_nrj!$1:$1048576,U$2,FALSE)</f>
        <v>1.317890206</v>
      </c>
      <c r="V261" s="346">
        <f>+VLOOKUP($E261,Primary_nrj!$1:$1048576,V$2,FALSE)</f>
        <v>1.3272881889999999</v>
      </c>
      <c r="W261" s="346">
        <f>+VLOOKUP($E261,Primary_nrj!$1:$1048576,W$2,FALSE)</f>
        <v>1.3368336919999999</v>
      </c>
      <c r="X261" s="346">
        <f>+VLOOKUP($E261,Primary_nrj!$1:$1048576,X$2,FALSE)</f>
        <v>1.3465264240000001</v>
      </c>
      <c r="Y261" s="346">
        <f>+VLOOKUP($E261,Primary_nrj!$1:$1048576,Y$2,FALSE)</f>
        <v>1.356367171</v>
      </c>
      <c r="Z261" s="346">
        <f>+VLOOKUP($E261,Primary_nrj!$1:$1048576,Z$2,FALSE)</f>
        <v>1.3663572770000001</v>
      </c>
      <c r="AA261" s="346">
        <f>+VLOOKUP($E261,Primary_nrj!$1:$1048576,AA$2,FALSE)</f>
        <v>1.3764983580000001</v>
      </c>
      <c r="AB261" s="346">
        <f>+VLOOKUP($E261,Primary_nrj!$1:$1048576,AB$2,FALSE)</f>
        <v>1.386792158</v>
      </c>
      <c r="AC261" s="346">
        <f>+VLOOKUP($E261,Primary_nrj!$1:$1048576,AC$2,FALSE)</f>
        <v>1.3972404730000001</v>
      </c>
      <c r="AD261" s="346">
        <f>+VLOOKUP($E261,Primary_nrj!$1:$1048576,AD$2,FALSE)</f>
        <v>1.407845129</v>
      </c>
      <c r="AE261" s="346">
        <f>+VLOOKUP($E261,Primary_nrj!$1:$1048576,AE$2,FALSE)</f>
        <v>1.4186079789999999</v>
      </c>
      <c r="AF261" s="346">
        <f>+VLOOKUP($E261,Primary_nrj!$1:$1048576,AF$2,FALSE)</f>
        <v>1.429530907</v>
      </c>
      <c r="AG261" s="346">
        <f>+VLOOKUP($E261,Primary_nrj!$1:$1048576,AG$2,FALSE)</f>
        <v>1.440615843</v>
      </c>
      <c r="AH261" s="346">
        <f>+VLOOKUP($E261,Primary_nrj!$1:$1048576,AH$2,FALSE)</f>
        <v>1.451864772</v>
      </c>
      <c r="AI261" s="346">
        <f>+VLOOKUP($E261,Primary_nrj!$1:$1048576,AI$2,FALSE)</f>
        <v>1.463279744</v>
      </c>
      <c r="AJ261" s="346">
        <f>+VLOOKUP($E261,Primary_nrj!$1:$1048576,AJ$2,FALSE)</f>
        <v>1.474862876</v>
      </c>
      <c r="AK261" s="346">
        <f>+VLOOKUP($E261,Primary_nrj!$1:$1048576,AK$2,FALSE)</f>
        <v>1.4866163560000001</v>
      </c>
      <c r="AL261" s="346">
        <f>+VLOOKUP($E261,Primary_nrj!$1:$1048576,AL$2,FALSE)</f>
        <v>1.4985424389999999</v>
      </c>
      <c r="AM261" s="346">
        <f>+VLOOKUP($E261,Primary_nrj!$1:$1048576,AM$2,FALSE)</f>
        <v>1.510643443</v>
      </c>
      <c r="AN261" s="346">
        <f>+VLOOKUP($E261,Primary_nrj!$1:$1048576,AN$2,FALSE)</f>
        <v>1.5229217429999999</v>
      </c>
      <c r="AO261" s="346">
        <f>+VLOOKUP($E261,Primary_nrj!$1:$1048576,AO$2,FALSE)</f>
        <v>1.535379762</v>
      </c>
    </row>
    <row r="262" spans="1:43" s="73" customFormat="1" ht="15" customHeight="1" x14ac:dyDescent="0.25">
      <c r="A262" s="392"/>
      <c r="B262" s="393"/>
      <c r="C262" s="335"/>
      <c r="D262" s="340" t="s">
        <v>163</v>
      </c>
      <c r="E262" s="310" t="s">
        <v>595</v>
      </c>
      <c r="F262" s="346">
        <f>+VLOOKUP($E262,Primary_nrj!$1:$1048576,F$2,FALSE)</f>
        <v>1.087582802</v>
      </c>
      <c r="G262" s="346">
        <f>+VLOOKUP($E262,Primary_nrj!$1:$1048576,G$2,FALSE)</f>
        <v>1.0956683330000001</v>
      </c>
      <c r="H262" s="346">
        <f>+VLOOKUP($E262,Primary_nrj!$1:$1048576,H$2,FALSE)</f>
        <v>1.1020518079999999</v>
      </c>
      <c r="I262" s="346">
        <f>+VLOOKUP($E262,Primary_nrj!$1:$1048576,I$2,FALSE)</f>
        <v>1.108032916</v>
      </c>
      <c r="J262" s="346">
        <f>+VLOOKUP($E262,Primary_nrj!$1:$1048576,J$2,FALSE)</f>
        <v>1.114142618</v>
      </c>
      <c r="K262" s="346">
        <f>+VLOOKUP($E262,Primary_nrj!$1:$1048576,K$2,FALSE)</f>
        <v>1.1205504829999999</v>
      </c>
      <c r="L262" s="346">
        <f>+VLOOKUP($E262,Primary_nrj!$1:$1048576,L$2,FALSE)</f>
        <v>1.1272774830000001</v>
      </c>
      <c r="M262" s="346">
        <f>+VLOOKUP($E262,Primary_nrj!$1:$1048576,M$2,FALSE)</f>
        <v>1.1342936159999999</v>
      </c>
      <c r="N262" s="346">
        <f>+VLOOKUP($E262,Primary_nrj!$1:$1048576,N$2,FALSE)</f>
        <v>1.141558624</v>
      </c>
      <c r="O262" s="346">
        <f>+VLOOKUP($E262,Primary_nrj!$1:$1048576,O$2,FALSE)</f>
        <v>1.149036774</v>
      </c>
      <c r="P262" s="346">
        <f>+VLOOKUP($E262,Primary_nrj!$1:$1048576,P$2,FALSE)</f>
        <v>1.156700624</v>
      </c>
      <c r="Q262" s="346">
        <f>+VLOOKUP($E262,Primary_nrj!$1:$1048576,Q$2,FALSE)</f>
        <v>1.164530641</v>
      </c>
      <c r="R262" s="346">
        <f>+VLOOKUP($E262,Primary_nrj!$1:$1048576,R$2,FALSE)</f>
        <v>1.172513618</v>
      </c>
      <c r="S262" s="346">
        <f>+VLOOKUP($E262,Primary_nrj!$1:$1048576,S$2,FALSE)</f>
        <v>1.1806410279999999</v>
      </c>
      <c r="T262" s="346">
        <f>+VLOOKUP($E262,Primary_nrj!$1:$1048576,T$2,FALSE)</f>
        <v>1.188907685</v>
      </c>
      <c r="U262" s="346">
        <f>+VLOOKUP($E262,Primary_nrj!$1:$1048576,U$2,FALSE)</f>
        <v>1.197310718</v>
      </c>
      <c r="V262" s="346">
        <f>+VLOOKUP($E262,Primary_nrj!$1:$1048576,V$2,FALSE)</f>
        <v>1.205848839</v>
      </c>
      <c r="W262" s="346">
        <f>+VLOOKUP($E262,Primary_nrj!$1:$1048576,W$2,FALSE)</f>
        <v>1.214520982</v>
      </c>
      <c r="X262" s="346">
        <f>+VLOOKUP($E262,Primary_nrj!$1:$1048576,X$2,FALSE)</f>
        <v>1.223326884</v>
      </c>
      <c r="Y262" s="346">
        <f>+VLOOKUP($E262,Primary_nrj!$1:$1048576,Y$2,FALSE)</f>
        <v>1.2322672589999999</v>
      </c>
      <c r="Z262" s="346">
        <f>+VLOOKUP($E262,Primary_nrj!$1:$1048576,Z$2,FALSE)</f>
        <v>1.2413433270000001</v>
      </c>
      <c r="AA262" s="346">
        <f>+VLOOKUP($E262,Primary_nrj!$1:$1048576,AA$2,FALSE)</f>
        <v>1.250556556</v>
      </c>
      <c r="AB262" s="346">
        <f>+VLOOKUP($E262,Primary_nrj!$1:$1048576,AB$2,FALSE)</f>
        <v>1.2599085320000001</v>
      </c>
      <c r="AC262" s="346">
        <f>+VLOOKUP($E262,Primary_nrj!$1:$1048576,AC$2,FALSE)</f>
        <v>1.269400885</v>
      </c>
      <c r="AD262" s="346">
        <f>+VLOOKUP($E262,Primary_nrj!$1:$1048576,AD$2,FALSE)</f>
        <v>1.279035275</v>
      </c>
      <c r="AE262" s="346">
        <f>+VLOOKUP($E262,Primary_nrj!$1:$1048576,AE$2,FALSE)</f>
        <v>1.2888133850000001</v>
      </c>
      <c r="AF262" s="346">
        <f>+VLOOKUP($E262,Primary_nrj!$1:$1048576,AF$2,FALSE)</f>
        <v>1.298736927</v>
      </c>
      <c r="AG262" s="346">
        <f>+VLOOKUP($E262,Primary_nrj!$1:$1048576,AG$2,FALSE)</f>
        <v>1.308807654</v>
      </c>
      <c r="AH262" s="346">
        <f>+VLOOKUP($E262,Primary_nrj!$1:$1048576,AH$2,FALSE)</f>
        <v>1.3190273699999999</v>
      </c>
      <c r="AI262" s="346">
        <f>+VLOOKUP($E262,Primary_nrj!$1:$1048576,AI$2,FALSE)</f>
        <v>1.329397937</v>
      </c>
      <c r="AJ262" s="346">
        <f>+VLOOKUP($E262,Primary_nrj!$1:$1048576,AJ$2,FALSE)</f>
        <v>1.339921278</v>
      </c>
      <c r="AK262" s="346">
        <f>+VLOOKUP($E262,Primary_nrj!$1:$1048576,AK$2,FALSE)</f>
        <v>1.3505993810000001</v>
      </c>
      <c r="AL262" s="346">
        <f>+VLOOKUP($E262,Primary_nrj!$1:$1048576,AL$2,FALSE)</f>
        <v>1.361434295</v>
      </c>
      <c r="AM262" s="346">
        <f>+VLOOKUP($E262,Primary_nrj!$1:$1048576,AM$2,FALSE)</f>
        <v>1.372428126</v>
      </c>
      <c r="AN262" s="346">
        <f>+VLOOKUP($E262,Primary_nrj!$1:$1048576,AN$2,FALSE)</f>
        <v>1.3835830309999999</v>
      </c>
      <c r="AO262" s="346">
        <f>+VLOOKUP($E262,Primary_nrj!$1:$1048576,AO$2,FALSE)</f>
        <v>1.3949012119999999</v>
      </c>
    </row>
    <row r="263" spans="1:43" s="73" customFormat="1" ht="15" customHeight="1" x14ac:dyDescent="0.25">
      <c r="A263" s="392"/>
      <c r="B263" s="393"/>
      <c r="C263" s="335"/>
      <c r="D263" s="340" t="s">
        <v>164</v>
      </c>
      <c r="E263" s="310" t="s">
        <v>596</v>
      </c>
      <c r="F263" s="346">
        <f>+VLOOKUP($E263,Primary_nrj!$1:$1048576,F$2,FALSE)</f>
        <v>2.1403439839999998</v>
      </c>
      <c r="G263" s="346">
        <f>+VLOOKUP($E263,Primary_nrj!$1:$1048576,G$2,FALSE)</f>
        <v>2.1562528319999998</v>
      </c>
      <c r="H263" s="346">
        <f>+VLOOKUP($E263,Primary_nrj!$1:$1048576,H$2,FALSE)</f>
        <v>2.1688153809999999</v>
      </c>
      <c r="I263" s="346">
        <f>+VLOOKUP($E263,Primary_nrj!$1:$1048576,I$2,FALSE)</f>
        <v>2.1805860780000001</v>
      </c>
      <c r="J263" s="346">
        <f>+VLOOKUP($E263,Primary_nrj!$1:$1048576,J$2,FALSE)</f>
        <v>2.1926098459999999</v>
      </c>
      <c r="K263" s="346">
        <f>+VLOOKUP($E263,Primary_nrj!$1:$1048576,K$2,FALSE)</f>
        <v>2.2052203929999998</v>
      </c>
      <c r="L263" s="346">
        <f>+VLOOKUP($E263,Primary_nrj!$1:$1048576,L$2,FALSE)</f>
        <v>2.218458992</v>
      </c>
      <c r="M263" s="346">
        <f>+VLOOKUP($E263,Primary_nrj!$1:$1048576,M$2,FALSE)</f>
        <v>2.2322665970000002</v>
      </c>
      <c r="N263" s="346">
        <f>+VLOOKUP($E263,Primary_nrj!$1:$1048576,N$2,FALSE)</f>
        <v>2.2465639849999999</v>
      </c>
      <c r="O263" s="346">
        <f>+VLOOKUP($E263,Primary_nrj!$1:$1048576,O$2,FALSE)</f>
        <v>2.2612808310000001</v>
      </c>
      <c r="P263" s="346">
        <f>+VLOOKUP($E263,Primary_nrj!$1:$1048576,P$2,FALSE)</f>
        <v>2.27636313</v>
      </c>
      <c r="Q263" s="346">
        <f>+VLOOKUP($E263,Primary_nrj!$1:$1048576,Q$2,FALSE)</f>
        <v>2.2917724439999998</v>
      </c>
      <c r="R263" s="346">
        <f>+VLOOKUP($E263,Primary_nrj!$1:$1048576,R$2,FALSE)</f>
        <v>2.3074827779999998</v>
      </c>
      <c r="S263" s="346">
        <f>+VLOOKUP($E263,Primary_nrj!$1:$1048576,S$2,FALSE)</f>
        <v>2.3234773550000001</v>
      </c>
      <c r="T263" s="346">
        <f>+VLOOKUP($E263,Primary_nrj!$1:$1048576,T$2,FALSE)</f>
        <v>2.3397459669999998</v>
      </c>
      <c r="U263" s="346">
        <f>+VLOOKUP($E263,Primary_nrj!$1:$1048576,U$2,FALSE)</f>
        <v>2.356282964</v>
      </c>
      <c r="V263" s="346">
        <f>+VLOOKUP($E263,Primary_nrj!$1:$1048576,V$2,FALSE)</f>
        <v>2.3730858110000002</v>
      </c>
      <c r="W263" s="346">
        <f>+VLOOKUP($E263,Primary_nrj!$1:$1048576,W$2,FALSE)</f>
        <v>2.3901524109999999</v>
      </c>
      <c r="X263" s="346">
        <f>+VLOOKUP($E263,Primary_nrj!$1:$1048576,X$2,FALSE)</f>
        <v>2.4074822459999998</v>
      </c>
      <c r="Y263" s="346">
        <f>+VLOOKUP($E263,Primary_nrj!$1:$1048576,Y$2,FALSE)</f>
        <v>2.4250767199999999</v>
      </c>
      <c r="Z263" s="346">
        <f>+VLOOKUP($E263,Primary_nrj!$1:$1048576,Z$2,FALSE)</f>
        <v>2.4429382350000002</v>
      </c>
      <c r="AA263" s="346">
        <f>+VLOOKUP($E263,Primary_nrj!$1:$1048576,AA$2,FALSE)</f>
        <v>2.4610696829999998</v>
      </c>
      <c r="AB263" s="346">
        <f>+VLOOKUP($E263,Primary_nrj!$1:$1048576,AB$2,FALSE)</f>
        <v>2.4794741779999998</v>
      </c>
      <c r="AC263" s="346">
        <f>+VLOOKUP($E263,Primary_nrj!$1:$1048576,AC$2,FALSE)</f>
        <v>2.4981549350000001</v>
      </c>
      <c r="AD263" s="346">
        <f>+VLOOKUP($E263,Primary_nrj!$1:$1048576,AD$2,FALSE)</f>
        <v>2.5171152179999998</v>
      </c>
      <c r="AE263" s="346">
        <f>+VLOOKUP($E263,Primary_nrj!$1:$1048576,AE$2,FALSE)</f>
        <v>2.536358339</v>
      </c>
      <c r="AF263" s="346">
        <f>+VLOOKUP($E263,Primary_nrj!$1:$1048576,AF$2,FALSE)</f>
        <v>2.5558876659999998</v>
      </c>
      <c r="AG263" s="346">
        <f>+VLOOKUP($E263,Primary_nrj!$1:$1048576,AG$2,FALSE)</f>
        <v>2.5757066499999999</v>
      </c>
      <c r="AH263" s="346">
        <f>+VLOOKUP($E263,Primary_nrj!$1:$1048576,AH$2,FALSE)</f>
        <v>2.5958188409999998</v>
      </c>
      <c r="AI263" s="346">
        <f>+VLOOKUP($E263,Primary_nrj!$1:$1048576,AI$2,FALSE)</f>
        <v>2.616227904</v>
      </c>
      <c r="AJ263" s="346">
        <f>+VLOOKUP($E263,Primary_nrj!$1:$1048576,AJ$2,FALSE)</f>
        <v>2.6369376240000002</v>
      </c>
      <c r="AK263" s="346">
        <f>+VLOOKUP($E263,Primary_nrj!$1:$1048576,AK$2,FALSE)</f>
        <v>2.6579519120000001</v>
      </c>
      <c r="AL263" s="346">
        <f>+VLOOKUP($E263,Primary_nrj!$1:$1048576,AL$2,FALSE)</f>
        <v>2.679274801</v>
      </c>
      <c r="AM263" s="346">
        <f>+VLOOKUP($E263,Primary_nrj!$1:$1048576,AM$2,FALSE)</f>
        <v>2.7009104349999999</v>
      </c>
      <c r="AN263" s="346">
        <f>+VLOOKUP($E263,Primary_nrj!$1:$1048576,AN$2,FALSE)</f>
        <v>2.7228630589999998</v>
      </c>
      <c r="AO263" s="346">
        <f>+VLOOKUP($E263,Primary_nrj!$1:$1048576,AO$2,FALSE)</f>
        <v>2.7451370079999999</v>
      </c>
    </row>
    <row r="264" spans="1:43" s="73" customFormat="1" ht="15" customHeight="1" x14ac:dyDescent="0.25">
      <c r="A264" s="392"/>
      <c r="B264" s="393"/>
      <c r="C264" s="335"/>
      <c r="D264" s="340" t="s">
        <v>165</v>
      </c>
      <c r="E264" s="310" t="s">
        <v>597</v>
      </c>
      <c r="F264" s="346">
        <f>+VLOOKUP($E264,Primary_nrj!$1:$1048576,F$2,FALSE)</f>
        <v>0.77809678609999999</v>
      </c>
      <c r="G264" s="346">
        <f>+VLOOKUP($E264,Primary_nrj!$1:$1048576,G$2,FALSE)</f>
        <v>0.78388147220000004</v>
      </c>
      <c r="H264" s="346">
        <f>+VLOOKUP($E264,Primary_nrj!$1:$1048576,H$2,FALSE)</f>
        <v>0.78844844579999995</v>
      </c>
      <c r="I264" s="346">
        <f>+VLOOKUP($E264,Primary_nrj!$1:$1048576,I$2,FALSE)</f>
        <v>0.79272755019999996</v>
      </c>
      <c r="J264" s="346">
        <f>+VLOOKUP($E264,Primary_nrj!$1:$1048576,J$2,FALSE)</f>
        <v>0.79709865599999996</v>
      </c>
      <c r="K264" s="346">
        <f>+VLOOKUP($E264,Primary_nrj!$1:$1048576,K$2,FALSE)</f>
        <v>0.80168307859999999</v>
      </c>
      <c r="L264" s="346">
        <f>+VLOOKUP($E264,Primary_nrj!$1:$1048576,L$2,FALSE)</f>
        <v>0.80649582230000005</v>
      </c>
      <c r="M264" s="346">
        <f>+VLOOKUP($E264,Primary_nrj!$1:$1048576,M$2,FALSE)</f>
        <v>0.81151542200000004</v>
      </c>
      <c r="N264" s="346">
        <f>+VLOOKUP($E264,Primary_nrj!$1:$1048576,N$2,FALSE)</f>
        <v>0.81671307660000003</v>
      </c>
      <c r="O264" s="346">
        <f>+VLOOKUP($E264,Primary_nrj!$1:$1048576,O$2,FALSE)</f>
        <v>0.82206322030000001</v>
      </c>
      <c r="P264" s="346">
        <f>+VLOOKUP($E264,Primary_nrj!$1:$1048576,P$2,FALSE)</f>
        <v>0.82754622060000005</v>
      </c>
      <c r="Q264" s="346">
        <f>+VLOOKUP($E264,Primary_nrj!$1:$1048576,Q$2,FALSE)</f>
        <v>0.83314810340000001</v>
      </c>
      <c r="R264" s="346">
        <f>+VLOOKUP($E264,Primary_nrj!$1:$1048576,R$2,FALSE)</f>
        <v>0.83885941880000003</v>
      </c>
      <c r="S264" s="346">
        <f>+VLOOKUP($E264,Primary_nrj!$1:$1048576,S$2,FALSE)</f>
        <v>0.84467406749999996</v>
      </c>
      <c r="T264" s="346">
        <f>+VLOOKUP($E264,Primary_nrj!$1:$1048576,T$2,FALSE)</f>
        <v>0.85058833840000003</v>
      </c>
      <c r="U264" s="346">
        <f>+VLOOKUP($E264,Primary_nrj!$1:$1048576,U$2,FALSE)</f>
        <v>0.85660017749999995</v>
      </c>
      <c r="V264" s="346">
        <f>+VLOOKUP($E264,Primary_nrj!$1:$1048576,V$2,FALSE)</f>
        <v>0.86270866359999998</v>
      </c>
      <c r="W264" s="346">
        <f>+VLOOKUP($E264,Primary_nrj!$1:$1048576,W$2,FALSE)</f>
        <v>0.86891303419999999</v>
      </c>
      <c r="X264" s="346">
        <f>+VLOOKUP($E264,Primary_nrj!$1:$1048576,X$2,FALSE)</f>
        <v>0.87521310090000004</v>
      </c>
      <c r="Y264" s="346">
        <f>+VLOOKUP($E264,Primary_nrj!$1:$1048576,Y$2,FALSE)</f>
        <v>0.88160937409999995</v>
      </c>
      <c r="Z264" s="346">
        <f>+VLOOKUP($E264,Primary_nrj!$1:$1048576,Z$2,FALSE)</f>
        <v>0.88810272720000005</v>
      </c>
      <c r="AA264" s="346">
        <f>+VLOOKUP($E264,Primary_nrj!$1:$1048576,AA$2,FALSE)</f>
        <v>0.89469421120000003</v>
      </c>
      <c r="AB264" s="346">
        <f>+VLOOKUP($E264,Primary_nrj!$1:$1048576,AB$2,FALSE)</f>
        <v>0.9013849585</v>
      </c>
      <c r="AC264" s="346">
        <f>+VLOOKUP($E264,Primary_nrj!$1:$1048576,AC$2,FALSE)</f>
        <v>0.90817613760000004</v>
      </c>
      <c r="AD264" s="346">
        <f>+VLOOKUP($E264,Primary_nrj!$1:$1048576,AD$2,FALSE)</f>
        <v>0.9150689353</v>
      </c>
      <c r="AE264" s="346">
        <f>+VLOOKUP($E264,Primary_nrj!$1:$1048576,AE$2,FALSE)</f>
        <v>0.92206455539999999</v>
      </c>
      <c r="AF264" s="346">
        <f>+VLOOKUP($E264,Primary_nrj!$1:$1048576,AF$2,FALSE)</f>
        <v>0.92916422269999999</v>
      </c>
      <c r="AG264" s="346">
        <f>+VLOOKUP($E264,Primary_nrj!$1:$1048576,AG$2,FALSE)</f>
        <v>0.93636919159999998</v>
      </c>
      <c r="AH264" s="346">
        <f>+VLOOKUP($E264,Primary_nrj!$1:$1048576,AH$2,FALSE)</f>
        <v>0.94368075259999995</v>
      </c>
      <c r="AI264" s="346">
        <f>+VLOOKUP($E264,Primary_nrj!$1:$1048576,AI$2,FALSE)</f>
        <v>0.95110023779999997</v>
      </c>
      <c r="AJ264" s="346">
        <f>+VLOOKUP($E264,Primary_nrj!$1:$1048576,AJ$2,FALSE)</f>
        <v>0.95862902360000002</v>
      </c>
      <c r="AK264" s="346">
        <f>+VLOOKUP($E264,Primary_nrj!$1:$1048576,AK$2,FALSE)</f>
        <v>0.96626853180000005</v>
      </c>
      <c r="AL264" s="346">
        <f>+VLOOKUP($E264,Primary_nrj!$1:$1048576,AL$2,FALSE)</f>
        <v>0.97402022830000001</v>
      </c>
      <c r="AM264" s="346">
        <f>+VLOOKUP($E264,Primary_nrj!$1:$1048576,AM$2,FALSE)</f>
        <v>0.98188561969999999</v>
      </c>
      <c r="AN264" s="346">
        <f>+VLOOKUP($E264,Primary_nrj!$1:$1048576,AN$2,FALSE)</f>
        <v>0.98986624940000001</v>
      </c>
      <c r="AO264" s="346">
        <f>+VLOOKUP($E264,Primary_nrj!$1:$1048576,AO$2,FALSE)</f>
        <v>0.99796369309999999</v>
      </c>
    </row>
    <row r="265" spans="1:43" s="73" customFormat="1" ht="15" customHeight="1" x14ac:dyDescent="0.25">
      <c r="A265" s="392"/>
      <c r="B265" s="393"/>
      <c r="C265" s="335"/>
      <c r="D265" s="340" t="s">
        <v>549</v>
      </c>
      <c r="E265" s="310" t="s">
        <v>598</v>
      </c>
      <c r="F265" s="346">
        <f>+VLOOKUP($E265,Primary_nrj!$1:$1048576,F$2,FALSE)</f>
        <v>5.9899067759999998</v>
      </c>
      <c r="G265" s="346">
        <f>+VLOOKUP($E265,Primary_nrj!$1:$1048576,G$2,FALSE)</f>
        <v>6.034438164</v>
      </c>
      <c r="H265" s="346">
        <f>+VLOOKUP($E265,Primary_nrj!$1:$1048576,H$2,FALSE)</f>
        <v>6.0695954179999996</v>
      </c>
      <c r="I265" s="346">
        <f>+VLOOKUP($E265,Primary_nrj!$1:$1048576,I$2,FALSE)</f>
        <v>6.1025366109999997</v>
      </c>
      <c r="J265" s="346">
        <f>+VLOOKUP($E265,Primary_nrj!$1:$1048576,J$2,FALSE)</f>
        <v>6.1361860449999996</v>
      </c>
      <c r="K265" s="346">
        <f>+VLOOKUP($E265,Primary_nrj!$1:$1048576,K$2,FALSE)</f>
        <v>6.1714776230000004</v>
      </c>
      <c r="L265" s="346">
        <f>+VLOOKUP($E265,Primary_nrj!$1:$1048576,L$2,FALSE)</f>
        <v>6.2085268530000004</v>
      </c>
      <c r="M265" s="346">
        <f>+VLOOKUP($E265,Primary_nrj!$1:$1048576,M$2,FALSE)</f>
        <v>6.24716849</v>
      </c>
      <c r="N265" s="346">
        <f>+VLOOKUP($E265,Primary_nrj!$1:$1048576,N$2,FALSE)</f>
        <v>6.2871808219999998</v>
      </c>
      <c r="O265" s="346">
        <f>+VLOOKUP($E265,Primary_nrj!$1:$1048576,O$2,FALSE)</f>
        <v>6.3283670379999997</v>
      </c>
      <c r="P265" s="346">
        <f>+VLOOKUP($E265,Primary_nrj!$1:$1048576,P$2,FALSE)</f>
        <v>6.370576003</v>
      </c>
      <c r="Q265" s="346">
        <f>+VLOOKUP($E265,Primary_nrj!$1:$1048576,Q$2,FALSE)</f>
        <v>6.413700145</v>
      </c>
      <c r="R265" s="346">
        <f>+VLOOKUP($E265,Primary_nrj!$1:$1048576,R$2,FALSE)</f>
        <v>6.4576667140000001</v>
      </c>
      <c r="S265" s="346">
        <f>+VLOOKUP($E265,Primary_nrj!$1:$1048576,S$2,FALSE)</f>
        <v>6.5024287599999999</v>
      </c>
      <c r="T265" s="346">
        <f>+VLOOKUP($E265,Primary_nrj!$1:$1048576,T$2,FALSE)</f>
        <v>6.5479577119999997</v>
      </c>
      <c r="U265" s="346">
        <f>+VLOOKUP($E265,Primary_nrj!$1:$1048576,U$2,FALSE)</f>
        <v>6.5942377590000003</v>
      </c>
      <c r="V265" s="346">
        <f>+VLOOKUP($E265,Primary_nrj!$1:$1048576,V$2,FALSE)</f>
        <v>6.6412618090000004</v>
      </c>
      <c r="W265" s="346">
        <f>+VLOOKUP($E265,Primary_nrj!$1:$1048576,W$2,FALSE)</f>
        <v>6.6890239920000001</v>
      </c>
      <c r="X265" s="346">
        <f>+VLOOKUP($E265,Primary_nrj!$1:$1048576,X$2,FALSE)</f>
        <v>6.7375228600000003</v>
      </c>
      <c r="Y265" s="346">
        <f>+VLOOKUP($E265,Primary_nrj!$1:$1048576,Y$2,FALSE)</f>
        <v>6.786762338</v>
      </c>
      <c r="Z265" s="346">
        <f>+VLOOKUP($E265,Primary_nrj!$1:$1048576,Z$2,FALSE)</f>
        <v>6.8367491530000004</v>
      </c>
      <c r="AA265" s="346">
        <f>+VLOOKUP($E265,Primary_nrj!$1:$1048576,AA$2,FALSE)</f>
        <v>6.8874913930000004</v>
      </c>
      <c r="AB265" s="346">
        <f>+VLOOKUP($E265,Primary_nrj!$1:$1048576,AB$2,FALSE)</f>
        <v>6.9389977790000001</v>
      </c>
      <c r="AC265" s="346">
        <f>+VLOOKUP($E265,Primary_nrj!$1:$1048576,AC$2,FALSE)</f>
        <v>6.9912773030000004</v>
      </c>
      <c r="AD265" s="346">
        <f>+VLOOKUP($E265,Primary_nrj!$1:$1048576,AD$2,FALSE)</f>
        <v>7.0443391030000004</v>
      </c>
      <c r="AE265" s="346">
        <f>+VLOOKUP($E265,Primary_nrj!$1:$1048576,AE$2,FALSE)</f>
        <v>7.0981924440000004</v>
      </c>
      <c r="AF265" s="346">
        <f>+VLOOKUP($E265,Primary_nrj!$1:$1048576,AF$2,FALSE)</f>
        <v>7.1528467569999998</v>
      </c>
      <c r="AG265" s="346">
        <f>+VLOOKUP($E265,Primary_nrj!$1:$1048576,AG$2,FALSE)</f>
        <v>7.2083116980000002</v>
      </c>
      <c r="AH265" s="346">
        <f>+VLOOKUP($E265,Primary_nrj!$1:$1048576,AH$2,FALSE)</f>
        <v>7.2645971999999999</v>
      </c>
      <c r="AI265" s="346">
        <f>+VLOOKUP($E265,Primary_nrj!$1:$1048576,AI$2,FALSE)</f>
        <v>7.3217135200000003</v>
      </c>
      <c r="AJ265" s="346">
        <f>+VLOOKUP($E265,Primary_nrj!$1:$1048576,AJ$2,FALSE)</f>
        <v>7.3796712519999996</v>
      </c>
      <c r="AK265" s="346">
        <f>+VLOOKUP($E265,Primary_nrj!$1:$1048576,AK$2,FALSE)</f>
        <v>7.4384813420000002</v>
      </c>
      <c r="AL265" s="346">
        <f>+VLOOKUP($E265,Primary_nrj!$1:$1048576,AL$2,FALSE)</f>
        <v>7.4981550739999996</v>
      </c>
      <c r="AM265" s="346">
        <f>+VLOOKUP($E265,Primary_nrj!$1:$1048576,AM$2,FALSE)</f>
        <v>7.558704047</v>
      </c>
      <c r="AN265" s="346">
        <f>+VLOOKUP($E265,Primary_nrj!$1:$1048576,AN$2,FALSE)</f>
        <v>7.6201401420000003</v>
      </c>
      <c r="AO265" s="346">
        <f>+VLOOKUP($E265,Primary_nrj!$1:$1048576,AO$2,FALSE)</f>
        <v>7.6824754889999998</v>
      </c>
    </row>
    <row r="266" spans="1:43" s="73" customFormat="1" ht="15" customHeight="1" x14ac:dyDescent="0.25">
      <c r="A266" s="392"/>
      <c r="B266" s="393"/>
      <c r="C266" s="335"/>
      <c r="D266" s="340" t="s">
        <v>481</v>
      </c>
      <c r="E266" s="310" t="s">
        <v>599</v>
      </c>
      <c r="F266" s="346">
        <f>+VLOOKUP($E266,Primary_nrj!$1:$1048576,F$2,FALSE)</f>
        <v>3.5035003580000001</v>
      </c>
      <c r="G266" s="346">
        <f>+VLOOKUP($E266,Primary_nrj!$1:$1048576,G$2,FALSE)</f>
        <v>3.529546796</v>
      </c>
      <c r="H266" s="346">
        <f>+VLOOKUP($E266,Primary_nrj!$1:$1048576,H$2,FALSE)</f>
        <v>3.5501102969999998</v>
      </c>
      <c r="I266" s="346">
        <f>+VLOOKUP($E266,Primary_nrj!$1:$1048576,I$2,FALSE)</f>
        <v>3.5693776220000002</v>
      </c>
      <c r="J266" s="346">
        <f>+VLOOKUP($E266,Primary_nrj!$1:$1048576,J$2,FALSE)</f>
        <v>3.5890591980000002</v>
      </c>
      <c r="K266" s="346">
        <f>+VLOOKUP($E266,Primary_nrj!$1:$1048576,K$2,FALSE)</f>
        <v>3.609701265</v>
      </c>
      <c r="L266" s="346">
        <f>+VLOOKUP($E266,Primary_nrj!$1:$1048576,L$2,FALSE)</f>
        <v>3.6313713829999998</v>
      </c>
      <c r="M266" s="346">
        <f>+VLOOKUP($E266,Primary_nrj!$1:$1048576,M$2,FALSE)</f>
        <v>3.653972902</v>
      </c>
      <c r="N266" s="346">
        <f>+VLOOKUP($E266,Primary_nrj!$1:$1048576,N$2,FALSE)</f>
        <v>3.6773761409999999</v>
      </c>
      <c r="O266" s="346">
        <f>+VLOOKUP($E266,Primary_nrj!$1:$1048576,O$2,FALSE)</f>
        <v>3.701465985</v>
      </c>
      <c r="P266" s="346">
        <f>+VLOOKUP($E266,Primary_nrj!$1:$1048576,P$2,FALSE)</f>
        <v>3.7261540360000001</v>
      </c>
      <c r="Q266" s="346">
        <f>+VLOOKUP($E266,Primary_nrj!$1:$1048576,Q$2,FALSE)</f>
        <v>3.7513773750000001</v>
      </c>
      <c r="R266" s="346">
        <f>+VLOOKUP($E266,Primary_nrj!$1:$1048576,R$2,FALSE)</f>
        <v>3.7770934500000002</v>
      </c>
      <c r="S266" s="346">
        <f>+VLOOKUP($E266,Primary_nrj!$1:$1048576,S$2,FALSE)</f>
        <v>3.803274799</v>
      </c>
      <c r="T266" s="346">
        <f>+VLOOKUP($E266,Primary_nrj!$1:$1048576,T$2,FALSE)</f>
        <v>3.8299047129999999</v>
      </c>
      <c r="U266" s="346">
        <f>+VLOOKUP($E266,Primary_nrj!$1:$1048576,U$2,FALSE)</f>
        <v>3.8569739420000002</v>
      </c>
      <c r="V266" s="346">
        <f>+VLOOKUP($E266,Primary_nrj!$1:$1048576,V$2,FALSE)</f>
        <v>3.8844783399999998</v>
      </c>
      <c r="W266" s="346">
        <f>+VLOOKUP($E266,Primary_nrj!$1:$1048576,W$2,FALSE)</f>
        <v>3.912414472</v>
      </c>
      <c r="X266" s="346">
        <f>+VLOOKUP($E266,Primary_nrj!$1:$1048576,X$2,FALSE)</f>
        <v>3.9407814910000001</v>
      </c>
      <c r="Y266" s="346">
        <f>+VLOOKUP($E266,Primary_nrj!$1:$1048576,Y$2,FALSE)</f>
        <v>3.9695816939999999</v>
      </c>
      <c r="Z266" s="346">
        <f>+VLOOKUP($E266,Primary_nrj!$1:$1048576,Z$2,FALSE)</f>
        <v>3.9988190139999999</v>
      </c>
      <c r="AA266" s="346">
        <f>+VLOOKUP($E266,Primary_nrj!$1:$1048576,AA$2,FALSE)</f>
        <v>4.028498183</v>
      </c>
      <c r="AB266" s="346">
        <f>+VLOOKUP($E266,Primary_nrj!$1:$1048576,AB$2,FALSE)</f>
        <v>4.0586243020000001</v>
      </c>
      <c r="AC266" s="346">
        <f>+VLOOKUP($E266,Primary_nrj!$1:$1048576,AC$2,FALSE)</f>
        <v>4.0892026289999999</v>
      </c>
      <c r="AD266" s="346">
        <f>+VLOOKUP($E266,Primary_nrj!$1:$1048576,AD$2,FALSE)</f>
        <v>4.1202385100000001</v>
      </c>
      <c r="AE266" s="346">
        <f>+VLOOKUP($E266,Primary_nrj!$1:$1048576,AE$2,FALSE)</f>
        <v>4.1517373639999997</v>
      </c>
      <c r="AF266" s="346">
        <f>+VLOOKUP($E266,Primary_nrj!$1:$1048576,AF$2,FALSE)</f>
        <v>4.1837047079999996</v>
      </c>
      <c r="AG266" s="346">
        <f>+VLOOKUP($E266,Primary_nrj!$1:$1048576,AG$2,FALSE)</f>
        <v>4.2161461869999997</v>
      </c>
      <c r="AH266" s="346">
        <f>+VLOOKUP($E266,Primary_nrj!$1:$1048576,AH$2,FALSE)</f>
        <v>4.2490676140000003</v>
      </c>
      <c r="AI266" s="346">
        <f>+VLOOKUP($E266,Primary_nrj!$1:$1048576,AI$2,FALSE)</f>
        <v>4.2824749869999996</v>
      </c>
      <c r="AJ266" s="346">
        <f>+VLOOKUP($E266,Primary_nrj!$1:$1048576,AJ$2,FALSE)</f>
        <v>4.3163745020000004</v>
      </c>
      <c r="AK266" s="346">
        <f>+VLOOKUP($E266,Primary_nrj!$1:$1048576,AK$2,FALSE)</f>
        <v>4.3507725610000003</v>
      </c>
      <c r="AL266" s="346">
        <f>+VLOOKUP($E266,Primary_nrj!$1:$1048576,AL$2,FALSE)</f>
        <v>4.3856757660000003</v>
      </c>
      <c r="AM266" s="346">
        <f>+VLOOKUP($E266,Primary_nrj!$1:$1048576,AM$2,FALSE)</f>
        <v>4.4210909000000003</v>
      </c>
      <c r="AN266" s="346">
        <f>+VLOOKUP($E266,Primary_nrj!$1:$1048576,AN$2,FALSE)</f>
        <v>4.4570249119999996</v>
      </c>
      <c r="AO266" s="346">
        <f>+VLOOKUP($E266,Primary_nrj!$1:$1048576,AO$2,FALSE)</f>
        <v>4.493484896</v>
      </c>
    </row>
    <row r="267" spans="1:43" s="73" customFormat="1" ht="15" customHeight="1" x14ac:dyDescent="0.25">
      <c r="A267" s="392"/>
      <c r="B267" s="393"/>
      <c r="C267" s="335"/>
      <c r="D267" s="340" t="s">
        <v>482</v>
      </c>
      <c r="E267" s="310" t="s">
        <v>600</v>
      </c>
      <c r="F267" s="346">
        <f>+VLOOKUP($E267,Primary_nrj!$1:$1048576,F$2,FALSE)</f>
        <v>9.7845417399999995E-2</v>
      </c>
      <c r="G267" s="346">
        <f>+VLOOKUP($E267,Primary_nrj!$1:$1048576,G$2,FALSE)</f>
        <v>9.8572839800000006E-2</v>
      </c>
      <c r="H267" s="346">
        <f>+VLOOKUP($E267,Primary_nrj!$1:$1048576,H$2,FALSE)</f>
        <v>9.91471352E-2</v>
      </c>
      <c r="I267" s="346">
        <f>+VLOOKUP($E267,Primary_nrj!$1:$1048576,I$2,FALSE)</f>
        <v>9.9685231200000002E-2</v>
      </c>
      <c r="J267" s="346">
        <f>+VLOOKUP($E267,Primary_nrj!$1:$1048576,J$2,FALSE)</f>
        <v>0.1002348964</v>
      </c>
      <c r="K267" s="346">
        <f>+VLOOKUP($E267,Primary_nrj!$1:$1048576,K$2,FALSE)</f>
        <v>0.100811386</v>
      </c>
      <c r="L267" s="346">
        <f>+VLOOKUP($E267,Primary_nrj!$1:$1048576,L$2,FALSE)</f>
        <v>0.101416587</v>
      </c>
      <c r="M267" s="346">
        <f>+VLOOKUP($E267,Primary_nrj!$1:$1048576,M$2,FALSE)</f>
        <v>0.10204779999999999</v>
      </c>
      <c r="N267" s="346">
        <f>+VLOOKUP($E267,Primary_nrj!$1:$1048576,N$2,FALSE)</f>
        <v>0.1027014034</v>
      </c>
      <c r="O267" s="346">
        <f>+VLOOKUP($E267,Primary_nrj!$1:$1048576,O$2,FALSE)</f>
        <v>0.1033741822</v>
      </c>
      <c r="P267" s="346">
        <f>+VLOOKUP($E267,Primary_nrj!$1:$1048576,P$2,FALSE)</f>
        <v>0.1040636677</v>
      </c>
      <c r="Q267" s="346">
        <f>+VLOOKUP($E267,Primary_nrj!$1:$1048576,Q$2,FALSE)</f>
        <v>0.1047681026</v>
      </c>
      <c r="R267" s="346">
        <f>+VLOOKUP($E267,Primary_nrj!$1:$1048576,R$2,FALSE)</f>
        <v>0.10548629869999999</v>
      </c>
      <c r="S267" s="346">
        <f>+VLOOKUP($E267,Primary_nrj!$1:$1048576,S$2,FALSE)</f>
        <v>0.1062174889</v>
      </c>
      <c r="T267" s="346">
        <f>+VLOOKUP($E267,Primary_nrj!$1:$1048576,T$2,FALSE)</f>
        <v>0.1069612065</v>
      </c>
      <c r="U267" s="346">
        <f>+VLOOKUP($E267,Primary_nrj!$1:$1048576,U$2,FALSE)</f>
        <v>0.1077171933</v>
      </c>
      <c r="V267" s="346">
        <f>+VLOOKUP($E267,Primary_nrj!$1:$1048576,V$2,FALSE)</f>
        <v>0.10848533339999999</v>
      </c>
      <c r="W267" s="346">
        <f>+VLOOKUP($E267,Primary_nrj!$1:$1048576,W$2,FALSE)</f>
        <v>0.109265531</v>
      </c>
      <c r="X267" s="346">
        <f>+VLOOKUP($E267,Primary_nrj!$1:$1048576,X$2,FALSE)</f>
        <v>0.11005776239999999</v>
      </c>
      <c r="Y267" s="346">
        <f>+VLOOKUP($E267,Primary_nrj!$1:$1048576,Y$2,FALSE)</f>
        <v>0.1108620916</v>
      </c>
      <c r="Z267" s="346">
        <f>+VLOOKUP($E267,Primary_nrj!$1:$1048576,Z$2,FALSE)</f>
        <v>0.1116786287</v>
      </c>
      <c r="AA267" s="346">
        <f>+VLOOKUP($E267,Primary_nrj!$1:$1048576,AA$2,FALSE)</f>
        <v>0.1125075056</v>
      </c>
      <c r="AB267" s="346">
        <f>+VLOOKUP($E267,Primary_nrj!$1:$1048576,AB$2,FALSE)</f>
        <v>0.1133488649</v>
      </c>
      <c r="AC267" s="346">
        <f>+VLOOKUP($E267,Primary_nrj!$1:$1048576,AC$2,FALSE)</f>
        <v>0.11420285350000001</v>
      </c>
      <c r="AD267" s="346">
        <f>+VLOOKUP($E267,Primary_nrj!$1:$1048576,AD$2,FALSE)</f>
        <v>0.11506962060000001</v>
      </c>
      <c r="AE267" s="346">
        <f>+VLOOKUP($E267,Primary_nrj!$1:$1048576,AE$2,FALSE)</f>
        <v>0.1159493175</v>
      </c>
      <c r="AF267" s="346">
        <f>+VLOOKUP($E267,Primary_nrj!$1:$1048576,AF$2,FALSE)</f>
        <v>0.1168420984</v>
      </c>
      <c r="AG267" s="346">
        <f>+VLOOKUP($E267,Primary_nrj!$1:$1048576,AG$2,FALSE)</f>
        <v>0.11774812079999999</v>
      </c>
      <c r="AH267" s="346">
        <f>+VLOOKUP($E267,Primary_nrj!$1:$1048576,AH$2,FALSE)</f>
        <v>0.1186675473</v>
      </c>
      <c r="AI267" s="346">
        <f>+VLOOKUP($E267,Primary_nrj!$1:$1048576,AI$2,FALSE)</f>
        <v>0.1196005451</v>
      </c>
      <c r="AJ267" s="346">
        <f>+VLOOKUP($E267,Primary_nrj!$1:$1048576,AJ$2,FALSE)</f>
        <v>0.1205472875</v>
      </c>
      <c r="AK267" s="346">
        <f>+VLOOKUP($E267,Primary_nrj!$1:$1048576,AK$2,FALSE)</f>
        <v>0.1215079531</v>
      </c>
      <c r="AL267" s="346">
        <f>+VLOOKUP($E267,Primary_nrj!$1:$1048576,AL$2,FALSE)</f>
        <v>0.12248272640000001</v>
      </c>
      <c r="AM267" s="346">
        <f>+VLOOKUP($E267,Primary_nrj!$1:$1048576,AM$2,FALSE)</f>
        <v>0.1234717969</v>
      </c>
      <c r="AN267" s="346">
        <f>+VLOOKUP($E267,Primary_nrj!$1:$1048576,AN$2,FALSE)</f>
        <v>0.1244753584</v>
      </c>
      <c r="AO267" s="346">
        <f>+VLOOKUP($E267,Primary_nrj!$1:$1048576,AO$2,FALSE)</f>
        <v>0.1254936093</v>
      </c>
    </row>
    <row r="268" spans="1:43" s="108" customFormat="1" ht="15" customHeight="1" x14ac:dyDescent="0.25">
      <c r="A268" s="392"/>
      <c r="B268" s="393"/>
      <c r="C268" s="335" t="s">
        <v>496</v>
      </c>
      <c r="D268" s="339"/>
      <c r="E268" s="337" t="s">
        <v>601</v>
      </c>
      <c r="F268" s="347">
        <f>+VLOOKUP($E268,Primary_nrj!$1:$1048576,F$2,FALSE)</f>
        <v>5.7094259999999997</v>
      </c>
      <c r="G268" s="347">
        <f>+VLOOKUP($E268,Primary_nrj!$1:$1048576,G$2,FALSE)</f>
        <v>5.7727300120000002</v>
      </c>
      <c r="H268" s="347">
        <f>+VLOOKUP($E268,Primary_nrj!$1:$1048576,H$2,FALSE)</f>
        <v>5.8353686040000001</v>
      </c>
      <c r="I268" s="347">
        <f>+VLOOKUP($E268,Primary_nrj!$1:$1048576,I$2,FALSE)</f>
        <v>5.8979758010000003</v>
      </c>
      <c r="J268" s="347">
        <f>+VLOOKUP($E268,Primary_nrj!$1:$1048576,J$2,FALSE)</f>
        <v>5.9608288600000003</v>
      </c>
      <c r="K268" s="347">
        <f>+VLOOKUP($E268,Primary_nrj!$1:$1048576,K$2,FALSE)</f>
        <v>6.0240115479999998</v>
      </c>
      <c r="L268" s="347">
        <f>+VLOOKUP($E268,Primary_nrj!$1:$1048576,L$2,FALSE)</f>
        <v>6.0875169600000003</v>
      </c>
      <c r="M268" s="347">
        <f>+VLOOKUP($E268,Primary_nrj!$1:$1048576,M$2,FALSE)</f>
        <v>6.1513029440000002</v>
      </c>
      <c r="N268" s="347">
        <f>+VLOOKUP($E268,Primary_nrj!$1:$1048576,N$2,FALSE)</f>
        <v>6.215320803</v>
      </c>
      <c r="O268" s="347">
        <f>+VLOOKUP($E268,Primary_nrj!$1:$1048576,O$2,FALSE)</f>
        <v>6.2795289030000001</v>
      </c>
      <c r="P268" s="347">
        <f>+VLOOKUP($E268,Primary_nrj!$1:$1048576,P$2,FALSE)</f>
        <v>6.3438975549999999</v>
      </c>
      <c r="Q268" s="347">
        <f>+VLOOKUP($E268,Primary_nrj!$1:$1048576,Q$2,FALSE)</f>
        <v>6.4084091670000003</v>
      </c>
      <c r="R268" s="347">
        <f>+VLOOKUP($E268,Primary_nrj!$1:$1048576,R$2,FALSE)</f>
        <v>6.4730562049999998</v>
      </c>
      <c r="S268" s="347">
        <f>+VLOOKUP($E268,Primary_nrj!$1:$1048576,S$2,FALSE)</f>
        <v>6.5378385339999996</v>
      </c>
      <c r="T268" s="347">
        <f>+VLOOKUP($E268,Primary_nrj!$1:$1048576,T$2,FALSE)</f>
        <v>6.6027609050000002</v>
      </c>
      <c r="U268" s="347">
        <f>+VLOOKUP($E268,Primary_nrj!$1:$1048576,U$2,FALSE)</f>
        <v>6.6678308990000001</v>
      </c>
      <c r="V268" s="347">
        <f>+VLOOKUP($E268,Primary_nrj!$1:$1048576,V$2,FALSE)</f>
        <v>6.7330574439999999</v>
      </c>
      <c r="W268" s="347">
        <f>+VLOOKUP($E268,Primary_nrj!$1:$1048576,W$2,FALSE)</f>
        <v>6.7984498530000002</v>
      </c>
      <c r="X268" s="347">
        <f>+VLOOKUP($E268,Primary_nrj!$1:$1048576,X$2,FALSE)</f>
        <v>6.8640171890000001</v>
      </c>
      <c r="Y268" s="347">
        <f>+VLOOKUP($E268,Primary_nrj!$1:$1048576,Y$2,FALSE)</f>
        <v>6.9297679099999998</v>
      </c>
      <c r="Z268" s="347">
        <f>+VLOOKUP($E268,Primary_nrj!$1:$1048576,Z$2,FALSE)</f>
        <v>6.9957097680000002</v>
      </c>
      <c r="AA268" s="347">
        <f>+VLOOKUP($E268,Primary_nrj!$1:$1048576,AA$2,FALSE)</f>
        <v>7.0618498519999999</v>
      </c>
      <c r="AB268" s="347">
        <f>+VLOOKUP($E268,Primary_nrj!$1:$1048576,AB$2,FALSE)</f>
        <v>7.1281946869999997</v>
      </c>
      <c r="AC268" s="347">
        <f>+VLOOKUP($E268,Primary_nrj!$1:$1048576,AC$2,FALSE)</f>
        <v>7.1947503709999996</v>
      </c>
      <c r="AD268" s="347">
        <f>+VLOOKUP($E268,Primary_nrj!$1:$1048576,AD$2,FALSE)</f>
        <v>7.2615227180000002</v>
      </c>
      <c r="AE268" s="347">
        <f>+VLOOKUP($E268,Primary_nrj!$1:$1048576,AE$2,FALSE)</f>
        <v>7.328517401</v>
      </c>
      <c r="AF268" s="347">
        <f>+VLOOKUP($E268,Primary_nrj!$1:$1048576,AF$2,FALSE)</f>
        <v>7.3957400780000002</v>
      </c>
      <c r="AG268" s="347">
        <f>+VLOOKUP($E268,Primary_nrj!$1:$1048576,AG$2,FALSE)</f>
        <v>7.4631965019999997</v>
      </c>
      <c r="AH268" s="347">
        <f>+VLOOKUP($E268,Primary_nrj!$1:$1048576,AH$2,FALSE)</f>
        <v>7.530892605</v>
      </c>
      <c r="AI268" s="347">
        <f>+VLOOKUP($E268,Primary_nrj!$1:$1048576,AI$2,FALSE)</f>
        <v>7.5988345590000002</v>
      </c>
      <c r="AJ268" s="347">
        <f>+VLOOKUP($E268,Primary_nrj!$1:$1048576,AJ$2,FALSE)</f>
        <v>7.6670259380000001</v>
      </c>
      <c r="AK268" s="347">
        <f>+VLOOKUP($E268,Primary_nrj!$1:$1048576,AK$2,FALSE)</f>
        <v>7.7354723249999999</v>
      </c>
      <c r="AL268" s="347">
        <f>+VLOOKUP($E268,Primary_nrj!$1:$1048576,AL$2,FALSE)</f>
        <v>7.8041804939999997</v>
      </c>
      <c r="AM268" s="347">
        <f>+VLOOKUP($E268,Primary_nrj!$1:$1048576,AM$2,FALSE)</f>
        <v>7.8731578860000004</v>
      </c>
      <c r="AN268" s="347">
        <f>+VLOOKUP($E268,Primary_nrj!$1:$1048576,AN$2,FALSE)</f>
        <v>7.9424123690000004</v>
      </c>
      <c r="AO268" s="347">
        <f>+VLOOKUP($E268,Primary_nrj!$1:$1048576,AO$2,FALSE)</f>
        <v>8.0119521200000001</v>
      </c>
    </row>
    <row r="269" spans="1:43" s="307" customFormat="1" ht="15" customHeight="1" x14ac:dyDescent="0.25">
      <c r="A269" s="392"/>
      <c r="B269" s="393"/>
      <c r="C269" s="338"/>
      <c r="D269" s="340" t="s">
        <v>1909</v>
      </c>
      <c r="E269" s="310" t="s">
        <v>1919</v>
      </c>
      <c r="F269" s="346">
        <f>+VLOOKUP($E269,Primary_nrj!$1:$1048576,F$2,FALSE)</f>
        <v>5.7094259999999997</v>
      </c>
      <c r="G269" s="346">
        <f>+VLOOKUP($E269,Primary_nrj!$1:$1048576,G$2,FALSE)</f>
        <v>5.7727300120000002</v>
      </c>
      <c r="H269" s="346">
        <f>+VLOOKUP($E269,Primary_nrj!$1:$1048576,H$2,FALSE)</f>
        <v>5.8353686040000001</v>
      </c>
      <c r="I269" s="346">
        <f>+VLOOKUP($E269,Primary_nrj!$1:$1048576,I$2,FALSE)</f>
        <v>5.8979758010000003</v>
      </c>
      <c r="J269" s="346">
        <f>+VLOOKUP($E269,Primary_nrj!$1:$1048576,J$2,FALSE)</f>
        <v>5.9608288600000003</v>
      </c>
      <c r="K269" s="346">
        <f>+VLOOKUP($E269,Primary_nrj!$1:$1048576,K$2,FALSE)</f>
        <v>6.0240115479999998</v>
      </c>
      <c r="L269" s="346">
        <f>+VLOOKUP($E269,Primary_nrj!$1:$1048576,L$2,FALSE)</f>
        <v>6.0875169600000003</v>
      </c>
      <c r="M269" s="346">
        <f>+VLOOKUP($E269,Primary_nrj!$1:$1048576,M$2,FALSE)</f>
        <v>6.1513029440000002</v>
      </c>
      <c r="N269" s="346">
        <f>+VLOOKUP($E269,Primary_nrj!$1:$1048576,N$2,FALSE)</f>
        <v>6.215320803</v>
      </c>
      <c r="O269" s="346">
        <f>+VLOOKUP($E269,Primary_nrj!$1:$1048576,O$2,FALSE)</f>
        <v>6.2795289030000001</v>
      </c>
      <c r="P269" s="346">
        <f>+VLOOKUP($E269,Primary_nrj!$1:$1048576,P$2,FALSE)</f>
        <v>6.3438975549999999</v>
      </c>
      <c r="Q269" s="346">
        <f>+VLOOKUP($E269,Primary_nrj!$1:$1048576,Q$2,FALSE)</f>
        <v>6.4084091670000003</v>
      </c>
      <c r="R269" s="346">
        <f>+VLOOKUP($E269,Primary_nrj!$1:$1048576,R$2,FALSE)</f>
        <v>6.4730562049999998</v>
      </c>
      <c r="S269" s="346">
        <f>+VLOOKUP($E269,Primary_nrj!$1:$1048576,S$2,FALSE)</f>
        <v>6.5378385339999996</v>
      </c>
      <c r="T269" s="346">
        <f>+VLOOKUP($E269,Primary_nrj!$1:$1048576,T$2,FALSE)</f>
        <v>6.6027609050000002</v>
      </c>
      <c r="U269" s="346">
        <f>+VLOOKUP($E269,Primary_nrj!$1:$1048576,U$2,FALSE)</f>
        <v>6.6678308990000001</v>
      </c>
      <c r="V269" s="346">
        <f>+VLOOKUP($E269,Primary_nrj!$1:$1048576,V$2,FALSE)</f>
        <v>6.7330574439999999</v>
      </c>
      <c r="W269" s="346">
        <f>+VLOOKUP($E269,Primary_nrj!$1:$1048576,W$2,FALSE)</f>
        <v>6.7984498530000002</v>
      </c>
      <c r="X269" s="346">
        <f>+VLOOKUP($E269,Primary_nrj!$1:$1048576,X$2,FALSE)</f>
        <v>6.8640171890000001</v>
      </c>
      <c r="Y269" s="346">
        <f>+VLOOKUP($E269,Primary_nrj!$1:$1048576,Y$2,FALSE)</f>
        <v>6.9297679099999998</v>
      </c>
      <c r="Z269" s="346">
        <f>+VLOOKUP($E269,Primary_nrj!$1:$1048576,Z$2,FALSE)</f>
        <v>6.9957097680000002</v>
      </c>
      <c r="AA269" s="346">
        <f>+VLOOKUP($E269,Primary_nrj!$1:$1048576,AA$2,FALSE)</f>
        <v>7.0618498519999999</v>
      </c>
      <c r="AB269" s="346">
        <f>+VLOOKUP($E269,Primary_nrj!$1:$1048576,AB$2,FALSE)</f>
        <v>7.1281946869999997</v>
      </c>
      <c r="AC269" s="346">
        <f>+VLOOKUP($E269,Primary_nrj!$1:$1048576,AC$2,FALSE)</f>
        <v>7.1947503709999996</v>
      </c>
      <c r="AD269" s="346">
        <f>+VLOOKUP($E269,Primary_nrj!$1:$1048576,AD$2,FALSE)</f>
        <v>7.2615227180000002</v>
      </c>
      <c r="AE269" s="346">
        <f>+VLOOKUP($E269,Primary_nrj!$1:$1048576,AE$2,FALSE)</f>
        <v>7.328517401</v>
      </c>
      <c r="AF269" s="346">
        <f>+VLOOKUP($E269,Primary_nrj!$1:$1048576,AF$2,FALSE)</f>
        <v>7.3957400780000002</v>
      </c>
      <c r="AG269" s="346">
        <f>+VLOOKUP($E269,Primary_nrj!$1:$1048576,AG$2,FALSE)</f>
        <v>7.4631965019999997</v>
      </c>
      <c r="AH269" s="346">
        <f>+VLOOKUP($E269,Primary_nrj!$1:$1048576,AH$2,FALSE)</f>
        <v>7.530892605</v>
      </c>
      <c r="AI269" s="346">
        <f>+VLOOKUP($E269,Primary_nrj!$1:$1048576,AI$2,FALSE)</f>
        <v>7.5988345590000002</v>
      </c>
      <c r="AJ269" s="346">
        <f>+VLOOKUP($E269,Primary_nrj!$1:$1048576,AJ$2,FALSE)</f>
        <v>7.6670259380000001</v>
      </c>
      <c r="AK269" s="346">
        <f>+VLOOKUP($E269,Primary_nrj!$1:$1048576,AK$2,FALSE)</f>
        <v>7.7354723249999999</v>
      </c>
      <c r="AL269" s="346">
        <f>+VLOOKUP($E269,Primary_nrj!$1:$1048576,AL$2,FALSE)</f>
        <v>7.8041804939999997</v>
      </c>
      <c r="AM269" s="346">
        <f>+VLOOKUP($E269,Primary_nrj!$1:$1048576,AM$2,FALSE)</f>
        <v>7.8731578860000004</v>
      </c>
      <c r="AN269" s="346">
        <f>+VLOOKUP($E269,Primary_nrj!$1:$1048576,AN$2,FALSE)</f>
        <v>7.9424123690000004</v>
      </c>
      <c r="AO269" s="346">
        <f>+VLOOKUP($E269,Primary_nrj!$1:$1048576,AO$2,FALSE)</f>
        <v>8.0119521200000001</v>
      </c>
      <c r="AP269" s="73"/>
      <c r="AQ269" s="73"/>
    </row>
    <row r="270" spans="1:43" s="108" customFormat="1" ht="15" customHeight="1" x14ac:dyDescent="0.25">
      <c r="A270" s="392"/>
      <c r="B270" s="393"/>
      <c r="C270" s="335" t="s">
        <v>580</v>
      </c>
      <c r="D270" s="339"/>
      <c r="E270" s="337" t="s">
        <v>602</v>
      </c>
      <c r="F270" s="347">
        <f>+VLOOKUP($E270,Primary_nrj!$1:$1048576,F$2,FALSE)</f>
        <v>11.178419</v>
      </c>
      <c r="G270" s="347">
        <f>+VLOOKUP($E270,Primary_nrj!$1:$1048576,G$2,FALSE)</f>
        <v>11.22514597</v>
      </c>
      <c r="H270" s="347">
        <f>+VLOOKUP($E270,Primary_nrj!$1:$1048576,H$2,FALSE)</f>
        <v>11.23897028</v>
      </c>
      <c r="I270" s="347">
        <f>+VLOOKUP($E270,Primary_nrj!$1:$1048576,I$2,FALSE)</f>
        <v>11.242511070000001</v>
      </c>
      <c r="J270" s="347">
        <f>+VLOOKUP($E270,Primary_nrj!$1:$1048576,J$2,FALSE)</f>
        <v>11.24515074</v>
      </c>
      <c r="K270" s="347">
        <f>+VLOOKUP($E270,Primary_nrj!$1:$1048576,K$2,FALSE)</f>
        <v>11.25017909</v>
      </c>
      <c r="L270" s="347">
        <f>+VLOOKUP($E270,Primary_nrj!$1:$1048576,L$2,FALSE)</f>
        <v>11.258341870000001</v>
      </c>
      <c r="M270" s="347">
        <f>+VLOOKUP($E270,Primary_nrj!$1:$1048576,M$2,FALSE)</f>
        <v>11.269454959999999</v>
      </c>
      <c r="N270" s="347">
        <f>+VLOOKUP($E270,Primary_nrj!$1:$1048576,N$2,FALSE)</f>
        <v>11.28308479</v>
      </c>
      <c r="O270" s="347">
        <f>+VLOOKUP($E270,Primary_nrj!$1:$1048576,O$2,FALSE)</f>
        <v>11.298805120000001</v>
      </c>
      <c r="P270" s="347">
        <f>+VLOOKUP($E270,Primary_nrj!$1:$1048576,P$2,FALSE)</f>
        <v>11.31627316</v>
      </c>
      <c r="Q270" s="347">
        <f>+VLOOKUP($E270,Primary_nrj!$1:$1048576,Q$2,FALSE)</f>
        <v>11.33523602</v>
      </c>
      <c r="R270" s="347">
        <f>+VLOOKUP($E270,Primary_nrj!$1:$1048576,R$2,FALSE)</f>
        <v>11.355515</v>
      </c>
      <c r="S270" s="347">
        <f>+VLOOKUP($E270,Primary_nrj!$1:$1048576,S$2,FALSE)</f>
        <v>11.37698666</v>
      </c>
      <c r="T270" s="347">
        <f>+VLOOKUP($E270,Primary_nrj!$1:$1048576,T$2,FALSE)</f>
        <v>11.399566849999999</v>
      </c>
      <c r="U270" s="347">
        <f>+VLOOKUP($E270,Primary_nrj!$1:$1048576,U$2,FALSE)</f>
        <v>11.42319872</v>
      </c>
      <c r="V270" s="347">
        <f>+VLOOKUP($E270,Primary_nrj!$1:$1048576,V$2,FALSE)</f>
        <v>11.447844249999999</v>
      </c>
      <c r="W270" s="347">
        <f>+VLOOKUP($E270,Primary_nrj!$1:$1048576,W$2,FALSE)</f>
        <v>11.47347695</v>
      </c>
      <c r="X270" s="347">
        <f>+VLOOKUP($E270,Primary_nrj!$1:$1048576,X$2,FALSE)</f>
        <v>11.50007815</v>
      </c>
      <c r="Y270" s="347">
        <f>+VLOOKUP($E270,Primary_nrj!$1:$1048576,Y$2,FALSE)</f>
        <v>11.5276224</v>
      </c>
      <c r="Z270" s="347">
        <f>+VLOOKUP($E270,Primary_nrj!$1:$1048576,Z$2,FALSE)</f>
        <v>11.556098560000001</v>
      </c>
      <c r="AA270" s="347">
        <f>+VLOOKUP($E270,Primary_nrj!$1:$1048576,AA$2,FALSE)</f>
        <v>11.58550318</v>
      </c>
      <c r="AB270" s="347">
        <f>+VLOOKUP($E270,Primary_nrj!$1:$1048576,AB$2,FALSE)</f>
        <v>11.61583705</v>
      </c>
      <c r="AC270" s="347">
        <f>+VLOOKUP($E270,Primary_nrj!$1:$1048576,AC$2,FALSE)</f>
        <v>11.6471032</v>
      </c>
      <c r="AD270" s="347">
        <f>+VLOOKUP($E270,Primary_nrj!$1:$1048576,AD$2,FALSE)</f>
        <v>11.679305879999999</v>
      </c>
      <c r="AE270" s="347">
        <f>+VLOOKUP($E270,Primary_nrj!$1:$1048576,AE$2,FALSE)</f>
        <v>11.71244997</v>
      </c>
      <c r="AF270" s="347">
        <f>+VLOOKUP($E270,Primary_nrj!$1:$1048576,AF$2,FALSE)</f>
        <v>11.74654074</v>
      </c>
      <c r="AG270" s="347">
        <f>+VLOOKUP($E270,Primary_nrj!$1:$1048576,AG$2,FALSE)</f>
        <v>11.78158369</v>
      </c>
      <c r="AH270" s="347">
        <f>+VLOOKUP($E270,Primary_nrj!$1:$1048576,AH$2,FALSE)</f>
        <v>11.81758452</v>
      </c>
      <c r="AI270" s="347">
        <f>+VLOOKUP($E270,Primary_nrj!$1:$1048576,AI$2,FALSE)</f>
        <v>11.85454912</v>
      </c>
      <c r="AJ270" s="347">
        <f>+VLOOKUP($E270,Primary_nrj!$1:$1048576,AJ$2,FALSE)</f>
        <v>11.892482790000001</v>
      </c>
      <c r="AK270" s="347">
        <f>+VLOOKUP($E270,Primary_nrj!$1:$1048576,AK$2,FALSE)</f>
        <v>11.93139141</v>
      </c>
      <c r="AL270" s="347">
        <f>+VLOOKUP($E270,Primary_nrj!$1:$1048576,AL$2,FALSE)</f>
        <v>11.971281319999999</v>
      </c>
      <c r="AM270" s="347">
        <f>+VLOOKUP($E270,Primary_nrj!$1:$1048576,AM$2,FALSE)</f>
        <v>12.01215914</v>
      </c>
      <c r="AN270" s="347">
        <f>+VLOOKUP($E270,Primary_nrj!$1:$1048576,AN$2,FALSE)</f>
        <v>12.054031739999999</v>
      </c>
      <c r="AO270" s="347">
        <f>+VLOOKUP($E270,Primary_nrj!$1:$1048576,AO$2,FALSE)</f>
        <v>12.09690614</v>
      </c>
    </row>
    <row r="271" spans="1:43" s="307" customFormat="1" ht="15" customHeight="1" x14ac:dyDescent="0.25">
      <c r="A271" s="392"/>
      <c r="B271" s="393"/>
      <c r="C271" s="338"/>
      <c r="D271" s="340"/>
      <c r="E271" s="310" t="s">
        <v>1920</v>
      </c>
      <c r="F271" s="346">
        <f>+VLOOKUP($E271,Primary_nrj!$1:$1048576,F$2,FALSE)</f>
        <v>9.9498250000000006</v>
      </c>
      <c r="G271" s="346">
        <f>+VLOOKUP($E271,Primary_nrj!$1:$1048576,G$2,FALSE)</f>
        <v>9.9914163170000005</v>
      </c>
      <c r="H271" s="346">
        <f>+VLOOKUP($E271,Primary_nrj!$1:$1048576,H$2,FALSE)</f>
        <v>10.00372123</v>
      </c>
      <c r="I271" s="346">
        <f>+VLOOKUP($E271,Primary_nrj!$1:$1048576,I$2,FALSE)</f>
        <v>10.00687286</v>
      </c>
      <c r="J271" s="346">
        <f>+VLOOKUP($E271,Primary_nrj!$1:$1048576,J$2,FALSE)</f>
        <v>10.00922241</v>
      </c>
      <c r="K271" s="346">
        <f>+VLOOKUP($E271,Primary_nrj!$1:$1048576,K$2,FALSE)</f>
        <v>10.013698099999999</v>
      </c>
      <c r="L271" s="346">
        <f>+VLOOKUP($E271,Primary_nrj!$1:$1048576,L$2,FALSE)</f>
        <v>10.02096373</v>
      </c>
      <c r="M271" s="346">
        <f>+VLOOKUP($E271,Primary_nrj!$1:$1048576,M$2,FALSE)</f>
        <v>10.030855409999999</v>
      </c>
      <c r="N271" s="346">
        <f>+VLOOKUP($E271,Primary_nrj!$1:$1048576,N$2,FALSE)</f>
        <v>10.042987220000001</v>
      </c>
      <c r="O271" s="346">
        <f>+VLOOKUP($E271,Primary_nrj!$1:$1048576,O$2,FALSE)</f>
        <v>10.056979760000001</v>
      </c>
      <c r="P271" s="346">
        <f>+VLOOKUP($E271,Primary_nrj!$1:$1048576,P$2,FALSE)</f>
        <v>10.07252793</v>
      </c>
      <c r="Q271" s="346">
        <f>+VLOOKUP($E271,Primary_nrj!$1:$1048576,Q$2,FALSE)</f>
        <v>10.089406629999999</v>
      </c>
      <c r="R271" s="346">
        <f>+VLOOKUP($E271,Primary_nrj!$1:$1048576,R$2,FALSE)</f>
        <v>10.107456790000001</v>
      </c>
      <c r="S271" s="346">
        <f>+VLOOKUP($E271,Primary_nrj!$1:$1048576,S$2,FALSE)</f>
        <v>10.12656855</v>
      </c>
      <c r="T271" s="346">
        <f>+VLOOKUP($E271,Primary_nrj!$1:$1048576,T$2,FALSE)</f>
        <v>10.146667000000001</v>
      </c>
      <c r="U271" s="346">
        <f>+VLOOKUP($E271,Primary_nrj!$1:$1048576,U$2,FALSE)</f>
        <v>10.16770155</v>
      </c>
      <c r="V271" s="346">
        <f>+VLOOKUP($E271,Primary_nrj!$1:$1048576,V$2,FALSE)</f>
        <v>10.189638349999999</v>
      </c>
      <c r="W271" s="346">
        <f>+VLOOKUP($E271,Primary_nrj!$1:$1048576,W$2,FALSE)</f>
        <v>10.21245382</v>
      </c>
      <c r="X271" s="346">
        <f>+VLOOKUP($E271,Primary_nrj!$1:$1048576,X$2,FALSE)</f>
        <v>10.23613134</v>
      </c>
      <c r="Y271" s="346">
        <f>+VLOOKUP($E271,Primary_nrj!$1:$1048576,Y$2,FALSE)</f>
        <v>10.260648270000001</v>
      </c>
      <c r="Z271" s="346">
        <f>+VLOOKUP($E271,Primary_nrj!$1:$1048576,Z$2,FALSE)</f>
        <v>10.28599468</v>
      </c>
      <c r="AA271" s="346">
        <f>+VLOOKUP($E271,Primary_nrj!$1:$1048576,AA$2,FALSE)</f>
        <v>10.312167499999999</v>
      </c>
      <c r="AB271" s="346">
        <f>+VLOOKUP($E271,Primary_nrj!$1:$1048576,AB$2,FALSE)</f>
        <v>10.33916745</v>
      </c>
      <c r="AC271" s="346">
        <f>+VLOOKUP($E271,Primary_nrj!$1:$1048576,AC$2,FALSE)</f>
        <v>10.366997209999999</v>
      </c>
      <c r="AD271" s="346">
        <f>+VLOOKUP($E271,Primary_nrj!$1:$1048576,AD$2,FALSE)</f>
        <v>10.39566057</v>
      </c>
      <c r="AE271" s="346">
        <f>+VLOOKUP($E271,Primary_nrj!$1:$1048576,AE$2,FALSE)</f>
        <v>10.42516187</v>
      </c>
      <c r="AF271" s="346">
        <f>+VLOOKUP($E271,Primary_nrj!$1:$1048576,AF$2,FALSE)</f>
        <v>10.455505799999999</v>
      </c>
      <c r="AG271" s="346">
        <f>+VLOOKUP($E271,Primary_nrj!$1:$1048576,AG$2,FALSE)</f>
        <v>10.486697270000001</v>
      </c>
      <c r="AH271" s="346">
        <f>+VLOOKUP($E271,Primary_nrj!$1:$1048576,AH$2,FALSE)</f>
        <v>10.518741329999999</v>
      </c>
      <c r="AI271" s="346">
        <f>+VLOOKUP($E271,Primary_nrj!$1:$1048576,AI$2,FALSE)</f>
        <v>10.55164323</v>
      </c>
      <c r="AJ271" s="346">
        <f>+VLOOKUP($E271,Primary_nrj!$1:$1048576,AJ$2,FALSE)</f>
        <v>10.585407699999999</v>
      </c>
      <c r="AK271" s="346">
        <f>+VLOOKUP($E271,Primary_nrj!$1:$1048576,AK$2,FALSE)</f>
        <v>10.62003996</v>
      </c>
      <c r="AL271" s="346">
        <f>+VLOOKUP($E271,Primary_nrj!$1:$1048576,AL$2,FALSE)</f>
        <v>10.65554566</v>
      </c>
      <c r="AM271" s="346">
        <f>+VLOOKUP($E271,Primary_nrj!$1:$1048576,AM$2,FALSE)</f>
        <v>10.691930709999999</v>
      </c>
      <c r="AN271" s="346">
        <f>+VLOOKUP($E271,Primary_nrj!$1:$1048576,AN$2,FALSE)</f>
        <v>10.729201189999999</v>
      </c>
      <c r="AO271" s="346">
        <f>+VLOOKUP($E271,Primary_nrj!$1:$1048576,AO$2,FALSE)</f>
        <v>10.76736335</v>
      </c>
      <c r="AP271" s="73"/>
      <c r="AQ271" s="73"/>
    </row>
    <row r="272" spans="1:43" s="307" customFormat="1" ht="15" customHeight="1" x14ac:dyDescent="0.25">
      <c r="A272" s="392"/>
      <c r="B272" s="393"/>
      <c r="C272" s="338"/>
      <c r="D272" s="340"/>
      <c r="E272" s="310" t="s">
        <v>1921</v>
      </c>
      <c r="F272" s="346">
        <f>+VLOOKUP($E272,Primary_nrj!$1:$1048576,F$2,FALSE)</f>
        <v>1.228594</v>
      </c>
      <c r="G272" s="346">
        <f>+VLOOKUP($E272,Primary_nrj!$1:$1048576,G$2,FALSE)</f>
        <v>1.2337296520000001</v>
      </c>
      <c r="H272" s="346">
        <f>+VLOOKUP($E272,Primary_nrj!$1:$1048576,H$2,FALSE)</f>
        <v>1.235249051</v>
      </c>
      <c r="I272" s="346">
        <f>+VLOOKUP($E272,Primary_nrj!$1:$1048576,I$2,FALSE)</f>
        <v>1.2356382100000001</v>
      </c>
      <c r="J272" s="346">
        <f>+VLOOKUP($E272,Primary_nrj!$1:$1048576,J$2,FALSE)</f>
        <v>1.2359283299999999</v>
      </c>
      <c r="K272" s="346">
        <f>+VLOOKUP($E272,Primary_nrj!$1:$1048576,K$2,FALSE)</f>
        <v>1.2364809839999999</v>
      </c>
      <c r="L272" s="346">
        <f>+VLOOKUP($E272,Primary_nrj!$1:$1048576,L$2,FALSE)</f>
        <v>1.237378136</v>
      </c>
      <c r="M272" s="346">
        <f>+VLOOKUP($E272,Primary_nrj!$1:$1048576,M$2,FALSE)</f>
        <v>1.23859955</v>
      </c>
      <c r="N272" s="346">
        <f>+VLOOKUP($E272,Primary_nrj!$1:$1048576,N$2,FALSE)</f>
        <v>1.2400975729999999</v>
      </c>
      <c r="O272" s="346">
        <f>+VLOOKUP($E272,Primary_nrj!$1:$1048576,O$2,FALSE)</f>
        <v>1.241825358</v>
      </c>
      <c r="P272" s="346">
        <f>+VLOOKUP($E272,Primary_nrj!$1:$1048576,P$2,FALSE)</f>
        <v>1.24374523</v>
      </c>
      <c r="Q272" s="346">
        <f>+VLOOKUP($E272,Primary_nrj!$1:$1048576,Q$2,FALSE)</f>
        <v>1.245829394</v>
      </c>
      <c r="R272" s="346">
        <f>+VLOOKUP($E272,Primary_nrj!$1:$1048576,R$2,FALSE)</f>
        <v>1.2480582090000001</v>
      </c>
      <c r="S272" s="346">
        <f>+VLOOKUP($E272,Primary_nrj!$1:$1048576,S$2,FALSE)</f>
        <v>1.2504181089999999</v>
      </c>
      <c r="T272" s="346">
        <f>+VLOOKUP($E272,Primary_nrj!$1:$1048576,T$2,FALSE)</f>
        <v>1.252899845</v>
      </c>
      <c r="U272" s="346">
        <f>+VLOOKUP($E272,Primary_nrj!$1:$1048576,U$2,FALSE)</f>
        <v>1.2554971690000001</v>
      </c>
      <c r="V272" s="346">
        <f>+VLOOKUP($E272,Primary_nrj!$1:$1048576,V$2,FALSE)</f>
        <v>1.258205901</v>
      </c>
      <c r="W272" s="346">
        <f>+VLOOKUP($E272,Primary_nrj!$1:$1048576,W$2,FALSE)</f>
        <v>1.2610231329999999</v>
      </c>
      <c r="X272" s="346">
        <f>+VLOOKUP($E272,Primary_nrj!$1:$1048576,X$2,FALSE)</f>
        <v>1.263946808</v>
      </c>
      <c r="Y272" s="346">
        <f>+VLOOKUP($E272,Primary_nrj!$1:$1048576,Y$2,FALSE)</f>
        <v>1.2669741329999999</v>
      </c>
      <c r="Z272" s="346">
        <f>+VLOOKUP($E272,Primary_nrj!$1:$1048576,Z$2,FALSE)</f>
        <v>1.27010388</v>
      </c>
      <c r="AA272" s="346">
        <f>+VLOOKUP($E272,Primary_nrj!$1:$1048576,AA$2,FALSE)</f>
        <v>1.2733356739999999</v>
      </c>
      <c r="AB272" s="346">
        <f>+VLOOKUP($E272,Primary_nrj!$1:$1048576,AB$2,FALSE)</f>
        <v>1.2766695990000001</v>
      </c>
      <c r="AC272" s="346">
        <f>+VLOOKUP($E272,Primary_nrj!$1:$1048576,AC$2,FALSE)</f>
        <v>1.2801059889999999</v>
      </c>
      <c r="AD272" s="346">
        <f>+VLOOKUP($E272,Primary_nrj!$1:$1048576,AD$2,FALSE)</f>
        <v>1.28364531</v>
      </c>
      <c r="AE272" s="346">
        <f>+VLOOKUP($E272,Primary_nrj!$1:$1048576,AE$2,FALSE)</f>
        <v>1.2872881</v>
      </c>
      <c r="AF272" s="346">
        <f>+VLOOKUP($E272,Primary_nrj!$1:$1048576,AF$2,FALSE)</f>
        <v>1.291034937</v>
      </c>
      <c r="AG272" s="346">
        <f>+VLOOKUP($E272,Primary_nrj!$1:$1048576,AG$2,FALSE)</f>
        <v>1.294886427</v>
      </c>
      <c r="AH272" s="346">
        <f>+VLOOKUP($E272,Primary_nrj!$1:$1048576,AH$2,FALSE)</f>
        <v>1.298843194</v>
      </c>
      <c r="AI272" s="346">
        <f>+VLOOKUP($E272,Primary_nrj!$1:$1048576,AI$2,FALSE)</f>
        <v>1.3029058870000001</v>
      </c>
      <c r="AJ272" s="346">
        <f>+VLOOKUP($E272,Primary_nrj!$1:$1048576,AJ$2,FALSE)</f>
        <v>1.3070750879999999</v>
      </c>
      <c r="AK272" s="346">
        <f>+VLOOKUP($E272,Primary_nrj!$1:$1048576,AK$2,FALSE)</f>
        <v>1.311351444</v>
      </c>
      <c r="AL272" s="346">
        <f>+VLOOKUP($E272,Primary_nrj!$1:$1048576,AL$2,FALSE)</f>
        <v>1.315735651</v>
      </c>
      <c r="AM272" s="346">
        <f>+VLOOKUP($E272,Primary_nrj!$1:$1048576,AM$2,FALSE)</f>
        <v>1.320228438</v>
      </c>
      <c r="AN272" s="346">
        <f>+VLOOKUP($E272,Primary_nrj!$1:$1048576,AN$2,FALSE)</f>
        <v>1.3248305579999999</v>
      </c>
      <c r="AO272" s="346">
        <f>+VLOOKUP($E272,Primary_nrj!$1:$1048576,AO$2,FALSE)</f>
        <v>1.3295427820000001</v>
      </c>
      <c r="AP272" s="73"/>
      <c r="AQ272" s="73"/>
    </row>
    <row r="273" spans="1:46" s="108" customFormat="1" ht="15" customHeight="1" x14ac:dyDescent="0.25">
      <c r="A273" s="392"/>
      <c r="B273" s="393"/>
      <c r="C273" s="335" t="s">
        <v>581</v>
      </c>
      <c r="D273" s="339"/>
      <c r="E273" s="337" t="s">
        <v>603</v>
      </c>
      <c r="F273" s="347">
        <f>+VLOOKUP($E273,Primary_nrj!$1:$1048576,F$2,FALSE)</f>
        <v>13.853522</v>
      </c>
      <c r="G273" s="347">
        <f>+VLOOKUP($E273,Primary_nrj!$1:$1048576,G$2,FALSE)</f>
        <v>13.995058200000001</v>
      </c>
      <c r="H273" s="347">
        <f>+VLOOKUP($E273,Primary_nrj!$1:$1048576,H$2,FALSE)</f>
        <v>14.13177331</v>
      </c>
      <c r="I273" s="347">
        <f>+VLOOKUP($E273,Primary_nrj!$1:$1048576,I$2,FALSE)</f>
        <v>14.27053269</v>
      </c>
      <c r="J273" s="347">
        <f>+VLOOKUP($E273,Primary_nrj!$1:$1048576,J$2,FALSE)</f>
        <v>14.413670590000001</v>
      </c>
      <c r="K273" s="347">
        <f>+VLOOKUP($E273,Primary_nrj!$1:$1048576,K$2,FALSE)</f>
        <v>14.5614309</v>
      </c>
      <c r="L273" s="347">
        <f>+VLOOKUP($E273,Primary_nrj!$1:$1048576,L$2,FALSE)</f>
        <v>14.713349210000001</v>
      </c>
      <c r="M273" s="347">
        <f>+VLOOKUP($E273,Primary_nrj!$1:$1048576,M$2,FALSE)</f>
        <v>14.868837559999999</v>
      </c>
      <c r="N273" s="347">
        <f>+VLOOKUP($E273,Primary_nrj!$1:$1048576,N$2,FALSE)</f>
        <v>15.02738529</v>
      </c>
      <c r="O273" s="347">
        <f>+VLOOKUP($E273,Primary_nrj!$1:$1048576,O$2,FALSE)</f>
        <v>15.188603179999999</v>
      </c>
      <c r="P273" s="347">
        <f>+VLOOKUP($E273,Primary_nrj!$1:$1048576,P$2,FALSE)</f>
        <v>15.352213020000001</v>
      </c>
      <c r="Q273" s="347">
        <f>+VLOOKUP($E273,Primary_nrj!$1:$1048576,Q$2,FALSE)</f>
        <v>15.51802402</v>
      </c>
      <c r="R273" s="347">
        <f>+VLOOKUP($E273,Primary_nrj!$1:$1048576,R$2,FALSE)</f>
        <v>15.68591032</v>
      </c>
      <c r="S273" s="347">
        <f>+VLOOKUP($E273,Primary_nrj!$1:$1048576,S$2,FALSE)</f>
        <v>15.855793139999999</v>
      </c>
      <c r="T273" s="347">
        <f>+VLOOKUP($E273,Primary_nrj!$1:$1048576,T$2,FALSE)</f>
        <v>16.027627259999999</v>
      </c>
      <c r="U273" s="347">
        <f>+VLOOKUP($E273,Primary_nrj!$1:$1048576,U$2,FALSE)</f>
        <v>16.20139228</v>
      </c>
      <c r="V273" s="347">
        <f>+VLOOKUP($E273,Primary_nrj!$1:$1048576,V$2,FALSE)</f>
        <v>16.377085390000001</v>
      </c>
      <c r="W273" s="347">
        <f>+VLOOKUP($E273,Primary_nrj!$1:$1048576,W$2,FALSE)</f>
        <v>16.554715160000001</v>
      </c>
      <c r="X273" s="347">
        <f>+VLOOKUP($E273,Primary_nrj!$1:$1048576,X$2,FALSE)</f>
        <v>16.734298259999999</v>
      </c>
      <c r="Y273" s="347">
        <f>+VLOOKUP($E273,Primary_nrj!$1:$1048576,Y$2,FALSE)</f>
        <v>16.915856900000001</v>
      </c>
      <c r="Z273" s="347">
        <f>+VLOOKUP($E273,Primary_nrj!$1:$1048576,Z$2,FALSE)</f>
        <v>17.09941654</v>
      </c>
      <c r="AA273" s="347">
        <f>+VLOOKUP($E273,Primary_nrj!$1:$1048576,AA$2,FALSE)</f>
        <v>17.28500429</v>
      </c>
      <c r="AB273" s="347">
        <f>+VLOOKUP($E273,Primary_nrj!$1:$1048576,AB$2,FALSE)</f>
        <v>17.47264796</v>
      </c>
      <c r="AC273" s="347">
        <f>+VLOOKUP($E273,Primary_nrj!$1:$1048576,AC$2,FALSE)</f>
        <v>17.66237551</v>
      </c>
      <c r="AD273" s="347">
        <f>+VLOOKUP($E273,Primary_nrj!$1:$1048576,AD$2,FALSE)</f>
        <v>17.854214840000001</v>
      </c>
      <c r="AE273" s="347">
        <f>+VLOOKUP($E273,Primary_nrj!$1:$1048576,AE$2,FALSE)</f>
        <v>18.048193779999998</v>
      </c>
      <c r="AF273" s="347">
        <f>+VLOOKUP($E273,Primary_nrj!$1:$1048576,AF$2,FALSE)</f>
        <v>18.244340099999999</v>
      </c>
      <c r="AG273" s="347">
        <f>+VLOOKUP($E273,Primary_nrj!$1:$1048576,AG$2,FALSE)</f>
        <v>18.442681690000001</v>
      </c>
      <c r="AH273" s="347">
        <f>+VLOOKUP($E273,Primary_nrj!$1:$1048576,AH$2,FALSE)</f>
        <v>18.643246690000002</v>
      </c>
      <c r="AI273" s="347">
        <f>+VLOOKUP($E273,Primary_nrj!$1:$1048576,AI$2,FALSE)</f>
        <v>18.84606355</v>
      </c>
      <c r="AJ273" s="347">
        <f>+VLOOKUP($E273,Primary_nrj!$1:$1048576,AJ$2,FALSE)</f>
        <v>19.051160899999999</v>
      </c>
      <c r="AK273" s="347">
        <f>+VLOOKUP($E273,Primary_nrj!$1:$1048576,AK$2,FALSE)</f>
        <v>19.258567960000001</v>
      </c>
      <c r="AL273" s="347">
        <f>+VLOOKUP($E273,Primary_nrj!$1:$1048576,AL$2,FALSE)</f>
        <v>19.468314410000001</v>
      </c>
      <c r="AM273" s="347">
        <f>+VLOOKUP($E273,Primary_nrj!$1:$1048576,AM$2,FALSE)</f>
        <v>19.68043042</v>
      </c>
      <c r="AN273" s="347">
        <f>+VLOOKUP($E273,Primary_nrj!$1:$1048576,AN$2,FALSE)</f>
        <v>19.894946529999999</v>
      </c>
      <c r="AO273" s="347">
        <f>+VLOOKUP($E273,Primary_nrj!$1:$1048576,AO$2,FALSE)</f>
        <v>20.111893590000001</v>
      </c>
    </row>
    <row r="274" spans="1:46" s="307" customFormat="1" ht="15" customHeight="1" x14ac:dyDescent="0.25">
      <c r="A274" s="392"/>
      <c r="B274" s="393"/>
      <c r="C274" s="338"/>
      <c r="D274" s="340"/>
      <c r="E274" s="310" t="s">
        <v>1922</v>
      </c>
      <c r="F274" s="346">
        <f>+VLOOKUP($E274,Primary_nrj!$1:$1048576,F$2,FALSE)</f>
        <v>12.624928000000001</v>
      </c>
      <c r="G274" s="346">
        <f>+VLOOKUP($E274,Primary_nrj!$1:$1048576,G$2,FALSE)</f>
        <v>12.753912120000001</v>
      </c>
      <c r="H274" s="346">
        <f>+VLOOKUP($E274,Primary_nrj!$1:$1048576,H$2,FALSE)</f>
        <v>12.8785027</v>
      </c>
      <c r="I274" s="346">
        <f>+VLOOKUP($E274,Primary_nrj!$1:$1048576,I$2,FALSE)</f>
        <v>13.00495626</v>
      </c>
      <c r="J274" s="346">
        <f>+VLOOKUP($E274,Primary_nrj!$1:$1048576,J$2,FALSE)</f>
        <v>13.13540004</v>
      </c>
      <c r="K274" s="346">
        <f>+VLOOKUP($E274,Primary_nrj!$1:$1048576,K$2,FALSE)</f>
        <v>13.27005628</v>
      </c>
      <c r="L274" s="346">
        <f>+VLOOKUP($E274,Primary_nrj!$1:$1048576,L$2,FALSE)</f>
        <v>13.40850178</v>
      </c>
      <c r="M274" s="346">
        <f>+VLOOKUP($E274,Primary_nrj!$1:$1048576,M$2,FALSE)</f>
        <v>13.55020071</v>
      </c>
      <c r="N274" s="346">
        <f>+VLOOKUP($E274,Primary_nrj!$1:$1048576,N$2,FALSE)</f>
        <v>13.694687699999999</v>
      </c>
      <c r="O274" s="346">
        <f>+VLOOKUP($E274,Primary_nrj!$1:$1048576,O$2,FALSE)</f>
        <v>13.841608040000001</v>
      </c>
      <c r="P274" s="346">
        <f>+VLOOKUP($E274,Primary_nrj!$1:$1048576,P$2,FALSE)</f>
        <v>13.990708209999999</v>
      </c>
      <c r="Q274" s="346">
        <f>+VLOOKUP($E274,Primary_nrj!$1:$1048576,Q$2,FALSE)</f>
        <v>14.141814330000001</v>
      </c>
      <c r="R274" s="346">
        <f>+VLOOKUP($E274,Primary_nrj!$1:$1048576,R$2,FALSE)</f>
        <v>14.2948117</v>
      </c>
      <c r="S274" s="346">
        <f>+VLOOKUP($E274,Primary_nrj!$1:$1048576,S$2,FALSE)</f>
        <v>14.449628540000001</v>
      </c>
      <c r="T274" s="346">
        <f>+VLOOKUP($E274,Primary_nrj!$1:$1048576,T$2,FALSE)</f>
        <v>14.606223610000001</v>
      </c>
      <c r="U274" s="346">
        <f>+VLOOKUP($E274,Primary_nrj!$1:$1048576,U$2,FALSE)</f>
        <v>14.764578350000001</v>
      </c>
      <c r="V274" s="346">
        <f>+VLOOKUP($E274,Primary_nrj!$1:$1048576,V$2,FALSE)</f>
        <v>14.92469019</v>
      </c>
      <c r="W274" s="346">
        <f>+VLOOKUP($E274,Primary_nrj!$1:$1048576,W$2,FALSE)</f>
        <v>15.086566940000001</v>
      </c>
      <c r="X274" s="346">
        <f>+VLOOKUP($E274,Primary_nrj!$1:$1048576,X$2,FALSE)</f>
        <v>15.250223780000001</v>
      </c>
      <c r="Y274" s="346">
        <f>+VLOOKUP($E274,Primary_nrj!$1:$1048576,Y$2,FALSE)</f>
        <v>15.41568097</v>
      </c>
      <c r="Z274" s="346">
        <f>+VLOOKUP($E274,Primary_nrj!$1:$1048576,Z$2,FALSE)</f>
        <v>15.582961689999999</v>
      </c>
      <c r="AA274" s="346">
        <f>+VLOOKUP($E274,Primary_nrj!$1:$1048576,AA$2,FALSE)</f>
        <v>15.752090669999999</v>
      </c>
      <c r="AB274" s="346">
        <f>+VLOOKUP($E274,Primary_nrj!$1:$1048576,AB$2,FALSE)</f>
        <v>15.923093229999999</v>
      </c>
      <c r="AC274" s="346">
        <f>+VLOOKUP($E274,Primary_nrj!$1:$1048576,AC$2,FALSE)</f>
        <v>16.095994869999998</v>
      </c>
      <c r="AD274" s="346">
        <f>+VLOOKUP($E274,Primary_nrj!$1:$1048576,AD$2,FALSE)</f>
        <v>16.27082102</v>
      </c>
      <c r="AE274" s="346">
        <f>+VLOOKUP($E274,Primary_nrj!$1:$1048576,AE$2,FALSE)</f>
        <v>16.447596999999998</v>
      </c>
      <c r="AF274" s="346">
        <f>+VLOOKUP($E274,Primary_nrj!$1:$1048576,AF$2,FALSE)</f>
        <v>16.62634817</v>
      </c>
      <c r="AG274" s="346">
        <f>+VLOOKUP($E274,Primary_nrj!$1:$1048576,AG$2,FALSE)</f>
        <v>16.807099919999999</v>
      </c>
      <c r="AH274" s="346">
        <f>+VLOOKUP($E274,Primary_nrj!$1:$1048576,AH$2,FALSE)</f>
        <v>16.9898779</v>
      </c>
      <c r="AI274" s="346">
        <f>+VLOOKUP($E274,Primary_nrj!$1:$1048576,AI$2,FALSE)</f>
        <v>17.174708020000001</v>
      </c>
      <c r="AJ274" s="346">
        <f>+VLOOKUP($E274,Primary_nrj!$1:$1048576,AJ$2,FALSE)</f>
        <v>17.361616399999999</v>
      </c>
      <c r="AK274" s="346">
        <f>+VLOOKUP($E274,Primary_nrj!$1:$1048576,AK$2,FALSE)</f>
        <v>17.55062964</v>
      </c>
      <c r="AL274" s="346">
        <f>+VLOOKUP($E274,Primary_nrj!$1:$1048576,AL$2,FALSE)</f>
        <v>17.74177482</v>
      </c>
      <c r="AM274" s="346">
        <f>+VLOOKUP($E274,Primary_nrj!$1:$1048576,AM$2,FALSE)</f>
        <v>17.935079399999999</v>
      </c>
      <c r="AN274" s="346">
        <f>+VLOOKUP($E274,Primary_nrj!$1:$1048576,AN$2,FALSE)</f>
        <v>18.130571230000001</v>
      </c>
      <c r="AO274" s="346">
        <f>+VLOOKUP($E274,Primary_nrj!$1:$1048576,AO$2,FALSE)</f>
        <v>18.328278439999998</v>
      </c>
      <c r="AP274" s="73"/>
      <c r="AQ274" s="73"/>
    </row>
    <row r="275" spans="1:46" s="307" customFormat="1" ht="15" customHeight="1" x14ac:dyDescent="0.25">
      <c r="A275" s="392"/>
      <c r="B275" s="393"/>
      <c r="C275" s="338"/>
      <c r="D275" s="340"/>
      <c r="E275" s="344" t="s">
        <v>1923</v>
      </c>
      <c r="F275" s="349">
        <f>+VLOOKUP($E275,Primary_nrj!$1:$1048576,F$2,FALSE)</f>
        <v>1.228594</v>
      </c>
      <c r="G275" s="349">
        <f>+VLOOKUP($E275,Primary_nrj!$1:$1048576,G$2,FALSE)</f>
        <v>1.2411460809999999</v>
      </c>
      <c r="H275" s="349">
        <f>+VLOOKUP($E275,Primary_nrj!$1:$1048576,H$2,FALSE)</f>
        <v>1.253270605</v>
      </c>
      <c r="I275" s="349">
        <f>+VLOOKUP($E275,Primary_nrj!$1:$1048576,I$2,FALSE)</f>
        <v>1.265576424</v>
      </c>
      <c r="J275" s="349">
        <f>+VLOOKUP($E275,Primary_nrj!$1:$1048576,J$2,FALSE)</f>
        <v>1.2782705519999999</v>
      </c>
      <c r="K275" s="349">
        <f>+VLOOKUP($E275,Primary_nrj!$1:$1048576,K$2,FALSE)</f>
        <v>1.2913746150000001</v>
      </c>
      <c r="L275" s="349">
        <f>+VLOOKUP($E275,Primary_nrj!$1:$1048576,L$2,FALSE)</f>
        <v>1.3048474290000001</v>
      </c>
      <c r="M275" s="349">
        <f>+VLOOKUP($E275,Primary_nrj!$1:$1048576,M$2,FALSE)</f>
        <v>1.3186368500000001</v>
      </c>
      <c r="N275" s="349">
        <f>+VLOOKUP($E275,Primary_nrj!$1:$1048576,N$2,FALSE)</f>
        <v>1.3326975919999999</v>
      </c>
      <c r="O275" s="349">
        <f>+VLOOKUP($E275,Primary_nrj!$1:$1048576,O$2,FALSE)</f>
        <v>1.346995135</v>
      </c>
      <c r="P275" s="349">
        <f>+VLOOKUP($E275,Primary_nrj!$1:$1048576,P$2,FALSE)</f>
        <v>1.361504807</v>
      </c>
      <c r="Q275" s="349">
        <f>+VLOOKUP($E275,Primary_nrj!$1:$1048576,Q$2,FALSE)</f>
        <v>1.376209689</v>
      </c>
      <c r="R275" s="349">
        <f>+VLOOKUP($E275,Primary_nrj!$1:$1048576,R$2,FALSE)</f>
        <v>1.391098618</v>
      </c>
      <c r="S275" s="349">
        <f>+VLOOKUP($E275,Primary_nrj!$1:$1048576,S$2,FALSE)</f>
        <v>1.406164607</v>
      </c>
      <c r="T275" s="349">
        <f>+VLOOKUP($E275,Primary_nrj!$1:$1048576,T$2,FALSE)</f>
        <v>1.4214036459999999</v>
      </c>
      <c r="U275" s="349">
        <f>+VLOOKUP($E275,Primary_nrj!$1:$1048576,U$2,FALSE)</f>
        <v>1.436813927</v>
      </c>
      <c r="V275" s="349">
        <f>+VLOOKUP($E275,Primary_nrj!$1:$1048576,V$2,FALSE)</f>
        <v>1.4523951989999999</v>
      </c>
      <c r="W275" s="349">
        <f>+VLOOKUP($E275,Primary_nrj!$1:$1048576,W$2,FALSE)</f>
        <v>1.4681482239999999</v>
      </c>
      <c r="X275" s="349">
        <f>+VLOOKUP($E275,Primary_nrj!$1:$1048576,X$2,FALSE)</f>
        <v>1.484074479</v>
      </c>
      <c r="Y275" s="349">
        <f>+VLOOKUP($E275,Primary_nrj!$1:$1048576,Y$2,FALSE)</f>
        <v>1.500175933</v>
      </c>
      <c r="Z275" s="349">
        <f>+VLOOKUP($E275,Primary_nrj!$1:$1048576,Z$2,FALSE)</f>
        <v>1.5164548449999999</v>
      </c>
      <c r="AA275" s="349">
        <f>+VLOOKUP($E275,Primary_nrj!$1:$1048576,AA$2,FALSE)</f>
        <v>1.53291362</v>
      </c>
      <c r="AB275" s="349">
        <f>+VLOOKUP($E275,Primary_nrj!$1:$1048576,AB$2,FALSE)</f>
        <v>1.549554723</v>
      </c>
      <c r="AC275" s="349">
        <f>+VLOOKUP($E275,Primary_nrj!$1:$1048576,AC$2,FALSE)</f>
        <v>1.5663806339999999</v>
      </c>
      <c r="AD275" s="349">
        <f>+VLOOKUP($E275,Primary_nrj!$1:$1048576,AD$2,FALSE)</f>
        <v>1.5833938279999999</v>
      </c>
      <c r="AE275" s="349">
        <f>+VLOOKUP($E275,Primary_nrj!$1:$1048576,AE$2,FALSE)</f>
        <v>1.600596771</v>
      </c>
      <c r="AF275" s="349">
        <f>+VLOOKUP($E275,Primary_nrj!$1:$1048576,AF$2,FALSE)</f>
        <v>1.6179919279999999</v>
      </c>
      <c r="AG275" s="349">
        <f>+VLOOKUP($E275,Primary_nrj!$1:$1048576,AG$2,FALSE)</f>
        <v>1.635581773</v>
      </c>
      <c r="AH275" s="349">
        <f>+VLOOKUP($E275,Primary_nrj!$1:$1048576,AH$2,FALSE)</f>
        <v>1.6533687989999999</v>
      </c>
      <c r="AI275" s="349">
        <f>+VLOOKUP($E275,Primary_nrj!$1:$1048576,AI$2,FALSE)</f>
        <v>1.671355529</v>
      </c>
      <c r="AJ275" s="349">
        <f>+VLOOKUP($E275,Primary_nrj!$1:$1048576,AJ$2,FALSE)</f>
        <v>1.6895445060000001</v>
      </c>
      <c r="AK275" s="349">
        <f>+VLOOKUP($E275,Primary_nrj!$1:$1048576,AK$2,FALSE)</f>
        <v>1.707938317</v>
      </c>
      <c r="AL275" s="349">
        <f>+VLOOKUP($E275,Primary_nrj!$1:$1048576,AL$2,FALSE)</f>
        <v>1.7265395960000001</v>
      </c>
      <c r="AM275" s="349">
        <f>+VLOOKUP($E275,Primary_nrj!$1:$1048576,AM$2,FALSE)</f>
        <v>1.7453510189999999</v>
      </c>
      <c r="AN275" s="349">
        <f>+VLOOKUP($E275,Primary_nrj!$1:$1048576,AN$2,FALSE)</f>
        <v>1.7643752930000001</v>
      </c>
      <c r="AO275" s="349">
        <f>+VLOOKUP($E275,Primary_nrj!$1:$1048576,AO$2,FALSE)</f>
        <v>1.783615156</v>
      </c>
      <c r="AP275" s="73"/>
      <c r="AQ275" s="73"/>
    </row>
    <row r="276" spans="1:46" ht="15" customHeight="1" x14ac:dyDescent="0.25">
      <c r="A276" s="392"/>
      <c r="B276" s="394" t="s">
        <v>156</v>
      </c>
      <c r="C276" s="130" t="s">
        <v>157</v>
      </c>
      <c r="D276" s="130"/>
      <c r="E276" s="51"/>
      <c r="F276" s="350"/>
      <c r="G276" s="351"/>
      <c r="H276" s="351"/>
      <c r="I276" s="351"/>
      <c r="J276" s="351"/>
      <c r="K276" s="351"/>
      <c r="L276" s="351"/>
      <c r="M276" s="351"/>
      <c r="N276" s="351"/>
      <c r="O276" s="351"/>
      <c r="P276" s="351"/>
      <c r="Q276" s="351"/>
      <c r="R276" s="351"/>
      <c r="S276" s="351"/>
      <c r="T276" s="351"/>
      <c r="U276" s="351"/>
      <c r="V276" s="351"/>
      <c r="W276" s="351"/>
      <c r="X276" s="351"/>
      <c r="Y276" s="351"/>
      <c r="Z276" s="351"/>
      <c r="AA276" s="351"/>
      <c r="AB276" s="351"/>
      <c r="AC276" s="351"/>
      <c r="AD276" s="351"/>
      <c r="AE276" s="351"/>
      <c r="AF276" s="351"/>
      <c r="AG276" s="351"/>
      <c r="AH276" s="351"/>
      <c r="AI276" s="351"/>
      <c r="AJ276" s="351"/>
      <c r="AK276" s="351"/>
      <c r="AL276" s="351"/>
      <c r="AM276" s="351"/>
      <c r="AN276" s="351"/>
      <c r="AO276" s="351"/>
    </row>
    <row r="277" spans="1:46" ht="15" customHeight="1" x14ac:dyDescent="0.25">
      <c r="A277" s="392"/>
      <c r="B277" s="394"/>
      <c r="C277" s="130" t="s">
        <v>158</v>
      </c>
      <c r="D277" s="130"/>
      <c r="E277" s="51"/>
      <c r="F277" s="351"/>
      <c r="G277" s="351"/>
      <c r="H277" s="351"/>
      <c r="I277" s="351"/>
      <c r="J277" s="351"/>
      <c r="K277" s="351"/>
      <c r="L277" s="351"/>
      <c r="M277" s="351"/>
      <c r="N277" s="351"/>
      <c r="O277" s="351"/>
      <c r="P277" s="351"/>
      <c r="Q277" s="351"/>
      <c r="R277" s="351"/>
      <c r="S277" s="351"/>
      <c r="T277" s="351"/>
      <c r="U277" s="351"/>
      <c r="V277" s="351"/>
      <c r="W277" s="351"/>
      <c r="X277" s="351"/>
      <c r="Y277" s="351"/>
      <c r="Z277" s="351"/>
      <c r="AA277" s="351"/>
      <c r="AB277" s="351"/>
      <c r="AC277" s="351"/>
      <c r="AD277" s="351"/>
      <c r="AE277" s="351"/>
      <c r="AF277" s="351"/>
      <c r="AG277" s="351"/>
      <c r="AH277" s="351"/>
      <c r="AI277" s="351"/>
      <c r="AJ277" s="351"/>
      <c r="AK277" s="351"/>
      <c r="AL277" s="351"/>
      <c r="AM277" s="351"/>
      <c r="AN277" s="351"/>
      <c r="AO277" s="351"/>
    </row>
    <row r="278" spans="1:46" ht="15" customHeight="1" x14ac:dyDescent="0.25">
      <c r="A278" s="392"/>
      <c r="B278" s="394"/>
      <c r="C278" s="130" t="s">
        <v>159</v>
      </c>
      <c r="D278" s="130"/>
      <c r="E278" s="51"/>
      <c r="F278" s="351"/>
      <c r="G278" s="351"/>
      <c r="H278" s="351"/>
      <c r="I278" s="351"/>
      <c r="J278" s="351"/>
      <c r="K278" s="351"/>
      <c r="L278" s="351"/>
      <c r="M278" s="351"/>
      <c r="N278" s="351"/>
      <c r="O278" s="351"/>
      <c r="P278" s="351"/>
      <c r="Q278" s="351"/>
      <c r="R278" s="351"/>
      <c r="S278" s="351"/>
      <c r="T278" s="351"/>
      <c r="U278" s="351"/>
      <c r="V278" s="351"/>
      <c r="W278" s="351"/>
      <c r="X278" s="351"/>
      <c r="Y278" s="351"/>
      <c r="Z278" s="351"/>
      <c r="AA278" s="351"/>
      <c r="AB278" s="351"/>
      <c r="AC278" s="351"/>
      <c r="AD278" s="351"/>
      <c r="AE278" s="351"/>
      <c r="AF278" s="351"/>
      <c r="AG278" s="351"/>
      <c r="AH278" s="351"/>
      <c r="AI278" s="351"/>
      <c r="AJ278" s="351"/>
      <c r="AK278" s="351"/>
      <c r="AL278" s="351"/>
      <c r="AM278" s="351"/>
      <c r="AN278" s="351"/>
      <c r="AO278" s="351"/>
    </row>
    <row r="279" spans="1:46" ht="15" customHeight="1" x14ac:dyDescent="0.25">
      <c r="A279" s="392"/>
      <c r="B279" s="394"/>
      <c r="C279" s="130" t="s">
        <v>152</v>
      </c>
      <c r="D279" s="130"/>
      <c r="E279" s="51"/>
      <c r="F279" s="351"/>
      <c r="G279" s="351"/>
      <c r="H279" s="351"/>
      <c r="I279" s="351"/>
      <c r="J279" s="351"/>
      <c r="K279" s="351"/>
      <c r="L279" s="351"/>
      <c r="M279" s="351"/>
      <c r="N279" s="351"/>
      <c r="O279" s="351"/>
      <c r="P279" s="351"/>
      <c r="Q279" s="351"/>
      <c r="R279" s="351"/>
      <c r="S279" s="351"/>
      <c r="T279" s="351"/>
      <c r="U279" s="351"/>
      <c r="V279" s="351"/>
      <c r="W279" s="351"/>
      <c r="X279" s="351"/>
      <c r="Y279" s="351"/>
      <c r="Z279" s="351"/>
      <c r="AA279" s="351"/>
      <c r="AB279" s="351"/>
      <c r="AC279" s="351"/>
      <c r="AD279" s="351"/>
      <c r="AE279" s="351"/>
      <c r="AF279" s="351"/>
      <c r="AG279" s="351"/>
      <c r="AH279" s="351"/>
      <c r="AI279" s="351"/>
      <c r="AJ279" s="351"/>
      <c r="AK279" s="351"/>
      <c r="AL279" s="351"/>
      <c r="AM279" s="351"/>
      <c r="AN279" s="351"/>
      <c r="AO279" s="351"/>
    </row>
    <row r="280" spans="1:46" s="108" customFormat="1" ht="15" customHeight="1" x14ac:dyDescent="0.25">
      <c r="A280" s="392"/>
      <c r="B280" s="382" t="s">
        <v>1038</v>
      </c>
      <c r="C280" s="122" t="s">
        <v>751</v>
      </c>
      <c r="D280" s="122"/>
      <c r="E280" s="89" t="s">
        <v>1011</v>
      </c>
      <c r="F280" s="322">
        <f>+VLOOKUP($E280,Final_nrj!$1:$1048576,F$2,FALSE)</f>
        <v>162.18538359999999</v>
      </c>
      <c r="G280" s="322">
        <f>+VLOOKUP($E280,Final_nrj!$1:$1048576,G$2,FALSE)</f>
        <v>163.06009330000001</v>
      </c>
      <c r="H280" s="322">
        <f>+VLOOKUP($E280,Final_nrj!$1:$1048576,H$2,FALSE)</f>
        <v>163.6135591</v>
      </c>
      <c r="I280" s="322">
        <f>+VLOOKUP($E280,Final_nrj!$1:$1048576,I$2,FALSE)</f>
        <v>164.1060128</v>
      </c>
      <c r="J280" s="322">
        <f>+VLOOKUP($E280,Final_nrj!$1:$1048576,J$2,FALSE)</f>
        <v>164.60712369999999</v>
      </c>
      <c r="K280" s="322">
        <f>+VLOOKUP($E280,Final_nrj!$1:$1048576,K$2,FALSE)</f>
        <v>165.10679619999999</v>
      </c>
      <c r="L280" s="322">
        <f>+VLOOKUP($E280,Final_nrj!$1:$1048576,L$2,FALSE)</f>
        <v>165.61670290000001</v>
      </c>
      <c r="M280" s="322">
        <f>+VLOOKUP($E280,Final_nrj!$1:$1048576,M$2,FALSE)</f>
        <v>166.17198759999999</v>
      </c>
      <c r="N280" s="322">
        <f>+VLOOKUP($E280,Final_nrj!$1:$1048576,N$2,FALSE)</f>
        <v>166.77811410000001</v>
      </c>
      <c r="O280" s="322">
        <f>+VLOOKUP($E280,Final_nrj!$1:$1048576,O$2,FALSE)</f>
        <v>167.4229144</v>
      </c>
      <c r="P280" s="322">
        <f>+VLOOKUP($E280,Final_nrj!$1:$1048576,P$2,FALSE)</f>
        <v>168.08480950000001</v>
      </c>
      <c r="Q280" s="322">
        <f>+VLOOKUP($E280,Final_nrj!$1:$1048576,Q$2,FALSE)</f>
        <v>168.7376606</v>
      </c>
      <c r="R280" s="322">
        <f>+VLOOKUP($E280,Final_nrj!$1:$1048576,R$2,FALSE)</f>
        <v>169.35376650000001</v>
      </c>
      <c r="S280" s="322">
        <f>+VLOOKUP($E280,Final_nrj!$1:$1048576,S$2,FALSE)</f>
        <v>169.90592710000001</v>
      </c>
      <c r="T280" s="322">
        <f>+VLOOKUP($E280,Final_nrj!$1:$1048576,T$2,FALSE)</f>
        <v>170.36899779999999</v>
      </c>
      <c r="U280" s="322">
        <f>+VLOOKUP($E280,Final_nrj!$1:$1048576,U$2,FALSE)</f>
        <v>170.72107740000001</v>
      </c>
      <c r="V280" s="322">
        <f>+VLOOKUP($E280,Final_nrj!$1:$1048576,V$2,FALSE)</f>
        <v>170.97352900000001</v>
      </c>
      <c r="W280" s="322">
        <f>+VLOOKUP($E280,Final_nrj!$1:$1048576,W$2,FALSE)</f>
        <v>171.16366260000001</v>
      </c>
      <c r="X280" s="322">
        <f>+VLOOKUP($E280,Final_nrj!$1:$1048576,X$2,FALSE)</f>
        <v>171.31805059999999</v>
      </c>
      <c r="Y280" s="322">
        <f>+VLOOKUP($E280,Final_nrj!$1:$1048576,Y$2,FALSE)</f>
        <v>171.45430619999999</v>
      </c>
      <c r="Z280" s="322">
        <f>+VLOOKUP($E280,Final_nrj!$1:$1048576,Z$2,FALSE)</f>
        <v>171.58392799999999</v>
      </c>
      <c r="AA280" s="322">
        <f>+VLOOKUP($E280,Final_nrj!$1:$1048576,AA$2,FALSE)</f>
        <v>171.71438660000001</v>
      </c>
      <c r="AB280" s="322">
        <f>+VLOOKUP($E280,Final_nrj!$1:$1048576,AB$2,FALSE)</f>
        <v>171.85049459999999</v>
      </c>
      <c r="AC280" s="322">
        <f>+VLOOKUP($E280,Final_nrj!$1:$1048576,AC$2,FALSE)</f>
        <v>171.99529100000001</v>
      </c>
      <c r="AD280" s="322">
        <f>+VLOOKUP($E280,Final_nrj!$1:$1048576,AD$2,FALSE)</f>
        <v>172.15061660000001</v>
      </c>
      <c r="AE280" s="322">
        <f>+VLOOKUP($E280,Final_nrj!$1:$1048576,AE$2,FALSE)</f>
        <v>172.317498</v>
      </c>
      <c r="AF280" s="322">
        <f>+VLOOKUP($E280,Final_nrj!$1:$1048576,AF$2,FALSE)</f>
        <v>172.49640959999999</v>
      </c>
      <c r="AG280" s="322">
        <f>+VLOOKUP($E280,Final_nrj!$1:$1048576,AG$2,FALSE)</f>
        <v>172.68745820000001</v>
      </c>
      <c r="AH280" s="322">
        <f>+VLOOKUP($E280,Final_nrj!$1:$1048576,AH$2,FALSE)</f>
        <v>172.89051649999999</v>
      </c>
      <c r="AI280" s="322">
        <f>+VLOOKUP($E280,Final_nrj!$1:$1048576,AI$2,FALSE)</f>
        <v>173.10532280000001</v>
      </c>
      <c r="AJ280" s="322">
        <f>+VLOOKUP($E280,Final_nrj!$1:$1048576,AJ$2,FALSE)</f>
        <v>173.3315576</v>
      </c>
      <c r="AK280" s="322">
        <f>+VLOOKUP($E280,Final_nrj!$1:$1048576,AK$2,FALSE)</f>
        <v>173.56890390000001</v>
      </c>
      <c r="AL280" s="322">
        <f>+VLOOKUP($E280,Final_nrj!$1:$1048576,AL$2,FALSE)</f>
        <v>173.81709599999999</v>
      </c>
      <c r="AM280" s="322">
        <f>+VLOOKUP($E280,Final_nrj!$1:$1048576,AM$2,FALSE)</f>
        <v>174.07595910000001</v>
      </c>
      <c r="AN280" s="322">
        <f>+VLOOKUP($E280,Final_nrj!$1:$1048576,AN$2,FALSE)</f>
        <v>174.34544210000001</v>
      </c>
      <c r="AO280" s="322">
        <f>+VLOOKUP($E280,Final_nrj!$1:$1048576,AO$2,FALSE)</f>
        <v>174.6256448</v>
      </c>
    </row>
    <row r="281" spans="1:46" s="108" customFormat="1" ht="15" customHeight="1" x14ac:dyDescent="0.25">
      <c r="A281" s="392"/>
      <c r="B281" s="382"/>
      <c r="C281" s="122" t="s">
        <v>550</v>
      </c>
      <c r="D281" s="122"/>
      <c r="E281" s="89" t="s">
        <v>1014</v>
      </c>
      <c r="F281" s="322">
        <f>+VLOOKUP($E281,Final_nrj!$1:$1048576,F$2,FALSE)</f>
        <v>5.4734958730000001</v>
      </c>
      <c r="G281" s="322">
        <f>+VLOOKUP($E281,Final_nrj!$1:$1048576,G$2,FALSE)</f>
        <v>5.5277842440000002</v>
      </c>
      <c r="H281" s="322">
        <f>+VLOOKUP($E281,Final_nrj!$1:$1048576,H$2,FALSE)</f>
        <v>5.5763322310000003</v>
      </c>
      <c r="I281" s="322">
        <f>+VLOOKUP($E281,Final_nrj!$1:$1048576,I$2,FALSE)</f>
        <v>5.620037365</v>
      </c>
      <c r="J281" s="322">
        <f>+VLOOKUP($E281,Final_nrj!$1:$1048576,J$2,FALSE)</f>
        <v>5.6584105200000003</v>
      </c>
      <c r="K281" s="322">
        <f>+VLOOKUP($E281,Final_nrj!$1:$1048576,K$2,FALSE)</f>
        <v>5.6900146219999996</v>
      </c>
      <c r="L281" s="322">
        <f>+VLOOKUP($E281,Final_nrj!$1:$1048576,L$2,FALSE)</f>
        <v>5.7162223570000004</v>
      </c>
      <c r="M281" s="322">
        <f>+VLOOKUP($E281,Final_nrj!$1:$1048576,M$2,FALSE)</f>
        <v>5.7405340059999999</v>
      </c>
      <c r="N281" s="322">
        <f>+VLOOKUP($E281,Final_nrj!$1:$1048576,N$2,FALSE)</f>
        <v>5.7646312919999998</v>
      </c>
      <c r="O281" s="322">
        <f>+VLOOKUP($E281,Final_nrj!$1:$1048576,O$2,FALSE)</f>
        <v>5.788739026</v>
      </c>
      <c r="P281" s="322">
        <f>+VLOOKUP($E281,Final_nrj!$1:$1048576,P$2,FALSE)</f>
        <v>5.8120972469999996</v>
      </c>
      <c r="Q281" s="322">
        <f>+VLOOKUP($E281,Final_nrj!$1:$1048576,Q$2,FALSE)</f>
        <v>5.8333307129999996</v>
      </c>
      <c r="R281" s="322">
        <f>+VLOOKUP($E281,Final_nrj!$1:$1048576,R$2,FALSE)</f>
        <v>5.850730972</v>
      </c>
      <c r="S281" s="322">
        <f>+VLOOKUP($E281,Final_nrj!$1:$1048576,S$2,FALSE)</f>
        <v>5.8624817040000003</v>
      </c>
      <c r="T281" s="322">
        <f>+VLOOKUP($E281,Final_nrj!$1:$1048576,T$2,FALSE)</f>
        <v>5.8668452670000004</v>
      </c>
      <c r="U281" s="322">
        <f>+VLOOKUP($E281,Final_nrj!$1:$1048576,U$2,FALSE)</f>
        <v>5.8623155259999997</v>
      </c>
      <c r="V281" s="322">
        <f>+VLOOKUP($E281,Final_nrj!$1:$1048576,V$2,FALSE)</f>
        <v>5.8496952139999996</v>
      </c>
      <c r="W281" s="322">
        <f>+VLOOKUP($E281,Final_nrj!$1:$1048576,W$2,FALSE)</f>
        <v>5.8316990029999998</v>
      </c>
      <c r="X281" s="322">
        <f>+VLOOKUP($E281,Final_nrj!$1:$1048576,X$2,FALSE)</f>
        <v>5.8104645899999996</v>
      </c>
      <c r="Y281" s="322">
        <f>+VLOOKUP($E281,Final_nrj!$1:$1048576,Y$2,FALSE)</f>
        <v>5.7875405659999997</v>
      </c>
      <c r="Z281" s="322">
        <f>+VLOOKUP($E281,Final_nrj!$1:$1048576,Z$2,FALSE)</f>
        <v>5.7640249529999998</v>
      </c>
      <c r="AA281" s="322">
        <f>+VLOOKUP($E281,Final_nrj!$1:$1048576,AA$2,FALSE)</f>
        <v>5.740687909</v>
      </c>
      <c r="AB281" s="322">
        <f>+VLOOKUP($E281,Final_nrj!$1:$1048576,AB$2,FALSE)</f>
        <v>5.7180638999999998</v>
      </c>
      <c r="AC281" s="322">
        <f>+VLOOKUP($E281,Final_nrj!$1:$1048576,AC$2,FALSE)</f>
        <v>5.6965188759999998</v>
      </c>
      <c r="AD281" s="322">
        <f>+VLOOKUP($E281,Final_nrj!$1:$1048576,AD$2,FALSE)</f>
        <v>5.6762990029999996</v>
      </c>
      <c r="AE281" s="322">
        <f>+VLOOKUP($E281,Final_nrj!$1:$1048576,AE$2,FALSE)</f>
        <v>5.6575659820000004</v>
      </c>
      <c r="AF281" s="322">
        <f>+VLOOKUP($E281,Final_nrj!$1:$1048576,AF$2,FALSE)</f>
        <v>5.6404225730000004</v>
      </c>
      <c r="AG281" s="322">
        <f>+VLOOKUP($E281,Final_nrj!$1:$1048576,AG$2,FALSE)</f>
        <v>5.6249309509999996</v>
      </c>
      <c r="AH281" s="322">
        <f>+VLOOKUP($E281,Final_nrj!$1:$1048576,AH$2,FALSE)</f>
        <v>5.611125844</v>
      </c>
      <c r="AI281" s="322">
        <f>+VLOOKUP($E281,Final_nrj!$1:$1048576,AI$2,FALSE)</f>
        <v>5.5990238550000004</v>
      </c>
      <c r="AJ281" s="322">
        <f>+VLOOKUP($E281,Final_nrj!$1:$1048576,AJ$2,FALSE)</f>
        <v>5.5886300489999998</v>
      </c>
      <c r="AK281" s="322">
        <f>+VLOOKUP($E281,Final_nrj!$1:$1048576,AK$2,FALSE)</f>
        <v>5.5799425630000004</v>
      </c>
      <c r="AL281" s="322">
        <f>+VLOOKUP($E281,Final_nrj!$1:$1048576,AL$2,FALSE)</f>
        <v>5.5729558020000001</v>
      </c>
      <c r="AM281" s="322">
        <f>+VLOOKUP($E281,Final_nrj!$1:$1048576,AM$2,FALSE)</f>
        <v>5.5676626139999996</v>
      </c>
      <c r="AN281" s="322">
        <f>+VLOOKUP($E281,Final_nrj!$1:$1048576,AN$2,FALSE)</f>
        <v>5.5640557470000003</v>
      </c>
      <c r="AO281" s="322">
        <f>+VLOOKUP($E281,Final_nrj!$1:$1048576,AO$2,FALSE)</f>
        <v>5.5621287730000004</v>
      </c>
    </row>
    <row r="282" spans="1:46" s="307" customFormat="1" ht="15" customHeight="1" x14ac:dyDescent="0.25">
      <c r="A282" s="392"/>
      <c r="B282" s="382"/>
      <c r="C282" s="123"/>
      <c r="D282" s="123" t="s">
        <v>1064</v>
      </c>
      <c r="E282" s="79" t="s">
        <v>2079</v>
      </c>
      <c r="F282" s="352"/>
      <c r="G282" s="352"/>
      <c r="H282" s="352"/>
      <c r="I282" s="352"/>
      <c r="J282" s="352"/>
      <c r="K282" s="352"/>
      <c r="L282" s="352"/>
      <c r="M282" s="352"/>
      <c r="N282" s="352"/>
      <c r="O282" s="352"/>
      <c r="P282" s="352"/>
      <c r="Q282" s="352"/>
      <c r="R282" s="352"/>
      <c r="S282" s="352"/>
      <c r="T282" s="352"/>
      <c r="U282" s="352"/>
      <c r="V282" s="352"/>
      <c r="W282" s="352"/>
      <c r="X282" s="352"/>
      <c r="Y282" s="352"/>
      <c r="Z282" s="352"/>
      <c r="AA282" s="352"/>
      <c r="AB282" s="352"/>
      <c r="AC282" s="352"/>
      <c r="AD282" s="352"/>
      <c r="AE282" s="352"/>
      <c r="AF282" s="352"/>
      <c r="AG282" s="352"/>
      <c r="AH282" s="352"/>
      <c r="AI282" s="352"/>
      <c r="AJ282" s="352"/>
      <c r="AK282" s="352"/>
      <c r="AL282" s="352"/>
      <c r="AM282" s="352"/>
      <c r="AN282" s="352"/>
      <c r="AO282" s="352"/>
    </row>
    <row r="283" spans="1:46" s="307" customFormat="1" ht="15" customHeight="1" x14ac:dyDescent="0.25">
      <c r="A283" s="392"/>
      <c r="B283" s="382"/>
      <c r="C283" s="123"/>
      <c r="D283" s="123" t="s">
        <v>1064</v>
      </c>
      <c r="E283" s="79" t="s">
        <v>2078</v>
      </c>
      <c r="F283" s="352"/>
      <c r="G283" s="352"/>
      <c r="H283" s="352"/>
      <c r="I283" s="352"/>
      <c r="J283" s="352"/>
      <c r="K283" s="352"/>
      <c r="L283" s="352"/>
      <c r="M283" s="352"/>
      <c r="N283" s="352"/>
      <c r="O283" s="352"/>
      <c r="P283" s="352"/>
      <c r="Q283" s="352"/>
      <c r="R283" s="352"/>
      <c r="S283" s="352"/>
      <c r="T283" s="352"/>
      <c r="U283" s="352"/>
      <c r="V283" s="352"/>
      <c r="W283" s="352"/>
      <c r="X283" s="352"/>
      <c r="Y283" s="352"/>
      <c r="Z283" s="352"/>
      <c r="AA283" s="352"/>
      <c r="AB283" s="352"/>
      <c r="AC283" s="352"/>
      <c r="AD283" s="352"/>
      <c r="AE283" s="352"/>
      <c r="AF283" s="352"/>
      <c r="AG283" s="352"/>
      <c r="AH283" s="352"/>
      <c r="AI283" s="352"/>
      <c r="AJ283" s="352"/>
      <c r="AK283" s="352"/>
      <c r="AL283" s="352"/>
      <c r="AM283" s="352"/>
      <c r="AN283" s="352"/>
      <c r="AO283" s="352"/>
    </row>
    <row r="284" spans="1:46" s="108" customFormat="1" ht="15" customHeight="1" x14ac:dyDescent="0.25">
      <c r="A284" s="392"/>
      <c r="B284" s="382"/>
      <c r="C284" s="122" t="s">
        <v>551</v>
      </c>
      <c r="D284" s="122"/>
      <c r="E284" s="89" t="s">
        <v>1015</v>
      </c>
      <c r="F284" s="322">
        <f>+VLOOKUP($E284,Final_nrj!$1:$1048576,F$2,FALSE)</f>
        <v>8.4809985599999999E-2</v>
      </c>
      <c r="G284" s="322">
        <f>+VLOOKUP($E284,Final_nrj!$1:$1048576,G$2,FALSE)</f>
        <v>8.5667248299999998E-2</v>
      </c>
      <c r="H284" s="322">
        <f>+VLOOKUP($E284,Final_nrj!$1:$1048576,H$2,FALSE)</f>
        <v>8.6461996400000005E-2</v>
      </c>
      <c r="I284" s="322">
        <f>+VLOOKUP($E284,Final_nrj!$1:$1048576,I$2,FALSE)</f>
        <v>8.7219592900000004E-2</v>
      </c>
      <c r="J284" s="322">
        <f>+VLOOKUP($E284,Final_nrj!$1:$1048576,J$2,FALSE)</f>
        <v>8.7940293599999997E-2</v>
      </c>
      <c r="K284" s="322">
        <f>+VLOOKUP($E284,Final_nrj!$1:$1048576,K$2,FALSE)</f>
        <v>8.8609185899999998E-2</v>
      </c>
      <c r="L284" s="322">
        <f>+VLOOKUP($E284,Final_nrj!$1:$1048576,L$2,FALSE)</f>
        <v>8.9238191600000003E-2</v>
      </c>
      <c r="M284" s="322">
        <f>+VLOOKUP($E284,Final_nrj!$1:$1048576,M$2,FALSE)</f>
        <v>8.98608605E-2</v>
      </c>
      <c r="N284" s="322">
        <f>+VLOOKUP($E284,Final_nrj!$1:$1048576,N$2,FALSE)</f>
        <v>9.0492411800000006E-2</v>
      </c>
      <c r="O284" s="322">
        <f>+VLOOKUP($E284,Final_nrj!$1:$1048576,O$2,FALSE)</f>
        <v>9.1133421899999997E-2</v>
      </c>
      <c r="P284" s="322">
        <f>+VLOOKUP($E284,Final_nrj!$1:$1048576,P$2,FALSE)</f>
        <v>9.1774683999999995E-2</v>
      </c>
      <c r="Q284" s="322">
        <f>+VLOOKUP($E284,Final_nrj!$1:$1048576,Q$2,FALSE)</f>
        <v>9.2400875899999999E-2</v>
      </c>
      <c r="R284" s="322">
        <f>+VLOOKUP($E284,Final_nrj!$1:$1048576,R$2,FALSE)</f>
        <v>9.2993253499999998E-2</v>
      </c>
      <c r="S284" s="322">
        <f>+VLOOKUP($E284,Final_nrj!$1:$1048576,S$2,FALSE)</f>
        <v>9.3531745900000005E-2</v>
      </c>
      <c r="T284" s="322">
        <f>+VLOOKUP($E284,Final_nrj!$1:$1048576,T$2,FALSE)</f>
        <v>9.3996668899999997E-2</v>
      </c>
      <c r="U284" s="322">
        <f>+VLOOKUP($E284,Final_nrj!$1:$1048576,U$2,FALSE)</f>
        <v>9.4370137399999998E-2</v>
      </c>
      <c r="V284" s="322">
        <f>+VLOOKUP($E284,Final_nrj!$1:$1048576,V$2,FALSE)</f>
        <v>9.4658563200000004E-2</v>
      </c>
      <c r="W284" s="322">
        <f>+VLOOKUP($E284,Final_nrj!$1:$1048576,W$2,FALSE)</f>
        <v>9.4889280699999995E-2</v>
      </c>
      <c r="X284" s="322">
        <f>+VLOOKUP($E284,Final_nrj!$1:$1048576,X$2,FALSE)</f>
        <v>9.5083832399999998E-2</v>
      </c>
      <c r="Y284" s="322">
        <f>+VLOOKUP($E284,Final_nrj!$1:$1048576,Y$2,FALSE)</f>
        <v>9.5257792499999994E-2</v>
      </c>
      <c r="Z284" s="322">
        <f>+VLOOKUP($E284,Final_nrj!$1:$1048576,Z$2,FALSE)</f>
        <v>9.5422264100000001E-2</v>
      </c>
      <c r="AA284" s="322">
        <f>+VLOOKUP($E284,Final_nrj!$1:$1048576,AA$2,FALSE)</f>
        <v>9.5585158200000006E-2</v>
      </c>
      <c r="AB284" s="322">
        <f>+VLOOKUP($E284,Final_nrj!$1:$1048576,AB$2,FALSE)</f>
        <v>9.5752106200000006E-2</v>
      </c>
      <c r="AC284" s="322">
        <f>+VLOOKUP($E284,Final_nrj!$1:$1048576,AC$2,FALSE)</f>
        <v>9.5927100000000001E-2</v>
      </c>
      <c r="AD284" s="322">
        <f>+VLOOKUP($E284,Final_nrj!$1:$1048576,AD$2,FALSE)</f>
        <v>9.6112946300000002E-2</v>
      </c>
      <c r="AE284" s="322">
        <f>+VLOOKUP($E284,Final_nrj!$1:$1048576,AE$2,FALSE)</f>
        <v>9.6311595900000005E-2</v>
      </c>
      <c r="AF284" s="322">
        <f>+VLOOKUP($E284,Final_nrj!$1:$1048576,AF$2,FALSE)</f>
        <v>9.6524386200000006E-2</v>
      </c>
      <c r="AG284" s="322">
        <f>+VLOOKUP($E284,Final_nrj!$1:$1048576,AG$2,FALSE)</f>
        <v>9.675222E-2</v>
      </c>
      <c r="AH284" s="322">
        <f>+VLOOKUP($E284,Final_nrj!$1:$1048576,AH$2,FALSE)</f>
        <v>9.6995699099999999E-2</v>
      </c>
      <c r="AI284" s="322">
        <f>+VLOOKUP($E284,Final_nrj!$1:$1048576,AI$2,FALSE)</f>
        <v>9.7255222799999999E-2</v>
      </c>
      <c r="AJ284" s="322">
        <f>+VLOOKUP($E284,Final_nrj!$1:$1048576,AJ$2,FALSE)</f>
        <v>9.7531060500000002E-2</v>
      </c>
      <c r="AK284" s="322">
        <f>+VLOOKUP($E284,Final_nrj!$1:$1048576,AK$2,FALSE)</f>
        <v>9.7823405399999994E-2</v>
      </c>
      <c r="AL284" s="322">
        <f>+VLOOKUP($E284,Final_nrj!$1:$1048576,AL$2,FALSE)</f>
        <v>9.8132412299999999E-2</v>
      </c>
      <c r="AM284" s="322">
        <f>+VLOOKUP($E284,Final_nrj!$1:$1048576,AM$2,FALSE)</f>
        <v>9.8458224699999999E-2</v>
      </c>
      <c r="AN284" s="322">
        <f>+VLOOKUP($E284,Final_nrj!$1:$1048576,AN$2,FALSE)</f>
        <v>9.8800992599999998E-2</v>
      </c>
      <c r="AO284" s="322">
        <f>+VLOOKUP($E284,Final_nrj!$1:$1048576,AO$2,FALSE)</f>
        <v>9.9160884300000002E-2</v>
      </c>
    </row>
    <row r="285" spans="1:46" s="307" customFormat="1" ht="15" customHeight="1" x14ac:dyDescent="0.25">
      <c r="A285" s="392"/>
      <c r="B285" s="382"/>
      <c r="C285" s="123"/>
      <c r="D285" s="123" t="s">
        <v>1887</v>
      </c>
      <c r="E285" s="79" t="s">
        <v>2080</v>
      </c>
      <c r="F285" s="352"/>
      <c r="G285" s="352"/>
      <c r="H285" s="352"/>
      <c r="I285" s="352"/>
      <c r="J285" s="352"/>
      <c r="K285" s="352"/>
      <c r="L285" s="352"/>
      <c r="M285" s="352"/>
      <c r="N285" s="352"/>
      <c r="O285" s="352"/>
      <c r="P285" s="352"/>
      <c r="Q285" s="352"/>
      <c r="R285" s="352"/>
      <c r="S285" s="352"/>
      <c r="T285" s="352"/>
      <c r="U285" s="352"/>
      <c r="V285" s="352"/>
      <c r="W285" s="352"/>
      <c r="X285" s="352"/>
      <c r="Y285" s="352"/>
      <c r="Z285" s="352"/>
      <c r="AA285" s="352"/>
      <c r="AB285" s="352"/>
      <c r="AC285" s="352"/>
      <c r="AD285" s="352"/>
      <c r="AE285" s="352"/>
      <c r="AF285" s="352"/>
      <c r="AG285" s="352"/>
      <c r="AH285" s="352"/>
      <c r="AI285" s="352"/>
      <c r="AJ285" s="352"/>
      <c r="AK285" s="352"/>
      <c r="AL285" s="352"/>
      <c r="AM285" s="352"/>
      <c r="AN285" s="352"/>
      <c r="AO285" s="352"/>
    </row>
    <row r="286" spans="1:46" s="307" customFormat="1" ht="15" customHeight="1" x14ac:dyDescent="0.25">
      <c r="A286" s="392"/>
      <c r="B286" s="382"/>
      <c r="C286" s="123"/>
      <c r="D286" s="123" t="s">
        <v>1887</v>
      </c>
      <c r="E286" s="79" t="s">
        <v>2080</v>
      </c>
      <c r="F286" s="352"/>
      <c r="G286" s="352"/>
      <c r="H286" s="352"/>
      <c r="I286" s="352"/>
      <c r="J286" s="352"/>
      <c r="K286" s="352"/>
      <c r="L286" s="352"/>
      <c r="M286" s="352"/>
      <c r="N286" s="352"/>
      <c r="O286" s="352"/>
      <c r="P286" s="352"/>
      <c r="Q286" s="352"/>
      <c r="R286" s="352"/>
      <c r="S286" s="352"/>
      <c r="T286" s="352"/>
      <c r="U286" s="352"/>
      <c r="V286" s="352"/>
      <c r="W286" s="352"/>
      <c r="X286" s="352"/>
      <c r="Y286" s="352"/>
      <c r="Z286" s="352"/>
      <c r="AA286" s="352"/>
      <c r="AB286" s="352"/>
      <c r="AC286" s="352"/>
      <c r="AD286" s="352"/>
      <c r="AE286" s="352"/>
      <c r="AF286" s="352"/>
      <c r="AG286" s="352"/>
      <c r="AH286" s="352"/>
      <c r="AI286" s="352"/>
      <c r="AJ286" s="352"/>
      <c r="AK286" s="352"/>
      <c r="AL286" s="352"/>
      <c r="AM286" s="352"/>
      <c r="AN286" s="352"/>
      <c r="AO286" s="352"/>
    </row>
    <row r="287" spans="1:46" s="108" customFormat="1" ht="15" customHeight="1" x14ac:dyDescent="0.25">
      <c r="A287" s="392"/>
      <c r="B287" s="382"/>
      <c r="C287" s="122" t="s">
        <v>540</v>
      </c>
      <c r="D287" s="122"/>
      <c r="E287" s="89" t="s">
        <v>1016</v>
      </c>
      <c r="F287" s="322">
        <f>+VLOOKUP($E287,Final_nrj!$1:$1048576,F$2,FALSE)</f>
        <v>47.362739759999997</v>
      </c>
      <c r="G287" s="322">
        <f>+VLOOKUP($E287,Final_nrj!$1:$1048576,G$2,FALSE)</f>
        <v>47.490493460000003</v>
      </c>
      <c r="H287" s="322">
        <f>+VLOOKUP($E287,Final_nrj!$1:$1048576,H$2,FALSE)</f>
        <v>47.53365522</v>
      </c>
      <c r="I287" s="322">
        <f>+VLOOKUP($E287,Final_nrj!$1:$1048576,I$2,FALSE)</f>
        <v>47.608170719999997</v>
      </c>
      <c r="J287" s="322">
        <f>+VLOOKUP($E287,Final_nrj!$1:$1048576,J$2,FALSE)</f>
        <v>47.736646639999996</v>
      </c>
      <c r="K287" s="322">
        <f>+VLOOKUP($E287,Final_nrj!$1:$1048576,K$2,FALSE)</f>
        <v>47.90736879</v>
      </c>
      <c r="L287" s="322">
        <f>+VLOOKUP($E287,Final_nrj!$1:$1048576,L$2,FALSE)</f>
        <v>48.109003540000003</v>
      </c>
      <c r="M287" s="322">
        <f>+VLOOKUP($E287,Final_nrj!$1:$1048576,M$2,FALSE)</f>
        <v>48.338051040000003</v>
      </c>
      <c r="N287" s="322">
        <f>+VLOOKUP($E287,Final_nrj!$1:$1048576,N$2,FALSE)</f>
        <v>48.589459810000001</v>
      </c>
      <c r="O287" s="322">
        <f>+VLOOKUP($E287,Final_nrj!$1:$1048576,O$2,FALSE)</f>
        <v>48.856643679999998</v>
      </c>
      <c r="P287" s="322">
        <f>+VLOOKUP($E287,Final_nrj!$1:$1048576,P$2,FALSE)</f>
        <v>49.132021440000003</v>
      </c>
      <c r="Q287" s="322">
        <f>+VLOOKUP($E287,Final_nrj!$1:$1048576,Q$2,FALSE)</f>
        <v>49.407417809999998</v>
      </c>
      <c r="R287" s="322">
        <f>+VLOOKUP($E287,Final_nrj!$1:$1048576,R$2,FALSE)</f>
        <v>49.674360380000003</v>
      </c>
      <c r="S287" s="322">
        <f>+VLOOKUP($E287,Final_nrj!$1:$1048576,S$2,FALSE)</f>
        <v>49.924338919999997</v>
      </c>
      <c r="T287" s="322">
        <f>+VLOOKUP($E287,Final_nrj!$1:$1048576,T$2,FALSE)</f>
        <v>50.14905426</v>
      </c>
      <c r="U287" s="322">
        <f>+VLOOKUP($E287,Final_nrj!$1:$1048576,U$2,FALSE)</f>
        <v>50.340653140000001</v>
      </c>
      <c r="V287" s="322">
        <f>+VLOOKUP($E287,Final_nrj!$1:$1048576,V$2,FALSE)</f>
        <v>50.49882221</v>
      </c>
      <c r="W287" s="322">
        <f>+VLOOKUP($E287,Final_nrj!$1:$1048576,W$2,FALSE)</f>
        <v>50.630619920000001</v>
      </c>
      <c r="X287" s="322">
        <f>+VLOOKUP($E287,Final_nrj!$1:$1048576,X$2,FALSE)</f>
        <v>50.742077700000003</v>
      </c>
      <c r="Y287" s="322">
        <f>+VLOOKUP($E287,Final_nrj!$1:$1048576,Y$2,FALSE)</f>
        <v>50.837403100000003</v>
      </c>
      <c r="Z287" s="322">
        <f>+VLOOKUP($E287,Final_nrj!$1:$1048576,Z$2,FALSE)</f>
        <v>50.919246059999999</v>
      </c>
      <c r="AA287" s="322">
        <f>+VLOOKUP($E287,Final_nrj!$1:$1048576,AA$2,FALSE)</f>
        <v>50.989081120000002</v>
      </c>
      <c r="AB287" s="322">
        <f>+VLOOKUP($E287,Final_nrj!$1:$1048576,AB$2,FALSE)</f>
        <v>51.04752216</v>
      </c>
      <c r="AC287" s="322">
        <f>+VLOOKUP($E287,Final_nrj!$1:$1048576,AC$2,FALSE)</f>
        <v>51.094551979999999</v>
      </c>
      <c r="AD287" s="322">
        <f>+VLOOKUP($E287,Final_nrj!$1:$1048576,AD$2,FALSE)</f>
        <v>51.129684079999997</v>
      </c>
      <c r="AE287" s="322">
        <f>+VLOOKUP($E287,Final_nrj!$1:$1048576,AE$2,FALSE)</f>
        <v>51.152077480000003</v>
      </c>
      <c r="AF287" s="322">
        <f>+VLOOKUP($E287,Final_nrj!$1:$1048576,AF$2,FALSE)</f>
        <v>51.160620899999998</v>
      </c>
      <c r="AG287" s="322">
        <f>+VLOOKUP($E287,Final_nrj!$1:$1048576,AG$2,FALSE)</f>
        <v>51.153997910000001</v>
      </c>
      <c r="AH287" s="322">
        <f>+VLOOKUP($E287,Final_nrj!$1:$1048576,AH$2,FALSE)</f>
        <v>51.130741299999997</v>
      </c>
      <c r="AI287" s="322">
        <f>+VLOOKUP($E287,Final_nrj!$1:$1048576,AI$2,FALSE)</f>
        <v>51.089282230000002</v>
      </c>
      <c r="AJ287" s="322">
        <f>+VLOOKUP($E287,Final_nrj!$1:$1048576,AJ$2,FALSE)</f>
        <v>51.027997669999998</v>
      </c>
      <c r="AK287" s="322">
        <f>+VLOOKUP($E287,Final_nrj!$1:$1048576,AK$2,FALSE)</f>
        <v>50.945258680000002</v>
      </c>
      <c r="AL287" s="322">
        <f>+VLOOKUP($E287,Final_nrj!$1:$1048576,AL$2,FALSE)</f>
        <v>50.839480639999998</v>
      </c>
      <c r="AM287" s="322">
        <f>+VLOOKUP($E287,Final_nrj!$1:$1048576,AM$2,FALSE)</f>
        <v>50.709176190000001</v>
      </c>
      <c r="AN287" s="322">
        <f>+VLOOKUP($E287,Final_nrj!$1:$1048576,AN$2,FALSE)</f>
        <v>50.553010520000001</v>
      </c>
      <c r="AO287" s="322">
        <f>+VLOOKUP($E287,Final_nrj!$1:$1048576,AO$2,FALSE)</f>
        <v>50.369858440000002</v>
      </c>
    </row>
    <row r="288" spans="1:46" ht="15" customHeight="1" x14ac:dyDescent="0.25">
      <c r="A288" s="392"/>
      <c r="B288" s="382"/>
      <c r="C288" s="123"/>
      <c r="D288" s="123" t="s">
        <v>1890</v>
      </c>
      <c r="E288" s="47" t="s">
        <v>1017</v>
      </c>
      <c r="F288" s="323" t="e">
        <f>+VLOOKUP($E288,Final_nrj!$1:$1048576,F$2,FALSE)</f>
        <v>#N/A</v>
      </c>
      <c r="G288" s="323" t="e">
        <f>+VLOOKUP($E288,Final_nrj!$1:$1048576,G$2,FALSE)</f>
        <v>#N/A</v>
      </c>
      <c r="H288" s="323" t="e">
        <f>+VLOOKUP($E288,Final_nrj!$1:$1048576,H$2,FALSE)</f>
        <v>#N/A</v>
      </c>
      <c r="I288" s="323" t="e">
        <f>+VLOOKUP($E288,Final_nrj!$1:$1048576,I$2,FALSE)</f>
        <v>#N/A</v>
      </c>
      <c r="J288" s="323" t="e">
        <f>+VLOOKUP($E288,Final_nrj!$1:$1048576,J$2,FALSE)</f>
        <v>#N/A</v>
      </c>
      <c r="K288" s="323" t="e">
        <f>+VLOOKUP($E288,Final_nrj!$1:$1048576,K$2,FALSE)</f>
        <v>#N/A</v>
      </c>
      <c r="L288" s="323" t="e">
        <f>+VLOOKUP($E288,Final_nrj!$1:$1048576,L$2,FALSE)</f>
        <v>#N/A</v>
      </c>
      <c r="M288" s="323" t="e">
        <f>+VLOOKUP($E288,Final_nrj!$1:$1048576,M$2,FALSE)</f>
        <v>#N/A</v>
      </c>
      <c r="N288" s="323" t="e">
        <f>+VLOOKUP($E288,Final_nrj!$1:$1048576,N$2,FALSE)</f>
        <v>#N/A</v>
      </c>
      <c r="O288" s="323" t="e">
        <f>+VLOOKUP($E288,Final_nrj!$1:$1048576,O$2,FALSE)</f>
        <v>#N/A</v>
      </c>
      <c r="P288" s="323" t="e">
        <f>+VLOOKUP($E288,Final_nrj!$1:$1048576,P$2,FALSE)</f>
        <v>#N/A</v>
      </c>
      <c r="Q288" s="323" t="e">
        <f>+VLOOKUP($E288,Final_nrj!$1:$1048576,Q$2,FALSE)</f>
        <v>#N/A</v>
      </c>
      <c r="R288" s="323" t="e">
        <f>+VLOOKUP($E288,Final_nrj!$1:$1048576,R$2,FALSE)</f>
        <v>#N/A</v>
      </c>
      <c r="S288" s="323" t="e">
        <f>+VLOOKUP($E288,Final_nrj!$1:$1048576,S$2,FALSE)</f>
        <v>#N/A</v>
      </c>
      <c r="T288" s="323" t="e">
        <f>+VLOOKUP($E288,Final_nrj!$1:$1048576,T$2,FALSE)</f>
        <v>#N/A</v>
      </c>
      <c r="U288" s="323" t="e">
        <f>+VLOOKUP($E288,Final_nrj!$1:$1048576,U$2,FALSE)</f>
        <v>#N/A</v>
      </c>
      <c r="V288" s="323" t="e">
        <f>+VLOOKUP($E288,Final_nrj!$1:$1048576,V$2,FALSE)</f>
        <v>#N/A</v>
      </c>
      <c r="W288" s="323" t="e">
        <f>+VLOOKUP($E288,Final_nrj!$1:$1048576,W$2,FALSE)</f>
        <v>#N/A</v>
      </c>
      <c r="X288" s="323" t="e">
        <f>+VLOOKUP($E288,Final_nrj!$1:$1048576,X$2,FALSE)</f>
        <v>#N/A</v>
      </c>
      <c r="Y288" s="323" t="e">
        <f>+VLOOKUP($E288,Final_nrj!$1:$1048576,Y$2,FALSE)</f>
        <v>#N/A</v>
      </c>
      <c r="Z288" s="323" t="e">
        <f>+VLOOKUP($E288,Final_nrj!$1:$1048576,Z$2,FALSE)</f>
        <v>#N/A</v>
      </c>
      <c r="AA288" s="323" t="e">
        <f>+VLOOKUP($E288,Final_nrj!$1:$1048576,AA$2,FALSE)</f>
        <v>#N/A</v>
      </c>
      <c r="AB288" s="323" t="e">
        <f>+VLOOKUP($E288,Final_nrj!$1:$1048576,AB$2,FALSE)</f>
        <v>#N/A</v>
      </c>
      <c r="AC288" s="323" t="e">
        <f>+VLOOKUP($E288,Final_nrj!$1:$1048576,AC$2,FALSE)</f>
        <v>#N/A</v>
      </c>
      <c r="AD288" s="323" t="e">
        <f>+VLOOKUP($E288,Final_nrj!$1:$1048576,AD$2,FALSE)</f>
        <v>#N/A</v>
      </c>
      <c r="AE288" s="323" t="e">
        <f>+VLOOKUP($E288,Final_nrj!$1:$1048576,AE$2,FALSE)</f>
        <v>#N/A</v>
      </c>
      <c r="AF288" s="323" t="e">
        <f>+VLOOKUP($E288,Final_nrj!$1:$1048576,AF$2,FALSE)</f>
        <v>#N/A</v>
      </c>
      <c r="AG288" s="323" t="e">
        <f>+VLOOKUP($E288,Final_nrj!$1:$1048576,AG$2,FALSE)</f>
        <v>#N/A</v>
      </c>
      <c r="AH288" s="323" t="e">
        <f>+VLOOKUP($E288,Final_nrj!$1:$1048576,AH$2,FALSE)</f>
        <v>#N/A</v>
      </c>
      <c r="AI288" s="323" t="e">
        <f>+VLOOKUP($E288,Final_nrj!$1:$1048576,AI$2,FALSE)</f>
        <v>#N/A</v>
      </c>
      <c r="AJ288" s="323" t="e">
        <f>+VLOOKUP($E288,Final_nrj!$1:$1048576,AJ$2,FALSE)</f>
        <v>#N/A</v>
      </c>
      <c r="AK288" s="323" t="e">
        <f>+VLOOKUP($E288,Final_nrj!$1:$1048576,AK$2,FALSE)</f>
        <v>#N/A</v>
      </c>
      <c r="AL288" s="323" t="e">
        <f>+VLOOKUP($E288,Final_nrj!$1:$1048576,AL$2,FALSE)</f>
        <v>#N/A</v>
      </c>
      <c r="AM288" s="323" t="e">
        <f>+VLOOKUP($E288,Final_nrj!$1:$1048576,AM$2,FALSE)</f>
        <v>#N/A</v>
      </c>
      <c r="AN288" s="323" t="e">
        <f>+VLOOKUP($E288,Final_nrj!$1:$1048576,AN$2,FALSE)</f>
        <v>#N/A</v>
      </c>
      <c r="AO288" s="323" t="e">
        <f>+VLOOKUP($E288,Final_nrj!$1:$1048576,AO$2,FALSE)</f>
        <v>#N/A</v>
      </c>
      <c r="AP288" s="73"/>
      <c r="AQ288" s="73"/>
      <c r="AR288" s="73"/>
      <c r="AS288" s="73"/>
      <c r="AT288" s="73"/>
    </row>
    <row r="289" spans="1:46" ht="15" customHeight="1" x14ac:dyDescent="0.25">
      <c r="A289" s="392"/>
      <c r="B289" s="382"/>
      <c r="C289" s="123"/>
      <c r="D289" s="123" t="s">
        <v>546</v>
      </c>
      <c r="E289" s="47" t="s">
        <v>1018</v>
      </c>
      <c r="F289" s="323" t="e">
        <f>+VLOOKUP($E289,Final_nrj!$1:$1048576,F$2,FALSE)</f>
        <v>#N/A</v>
      </c>
      <c r="G289" s="323" t="e">
        <f>+VLOOKUP($E289,Final_nrj!$1:$1048576,G$2,FALSE)</f>
        <v>#N/A</v>
      </c>
      <c r="H289" s="323" t="e">
        <f>+VLOOKUP($E289,Final_nrj!$1:$1048576,H$2,FALSE)</f>
        <v>#N/A</v>
      </c>
      <c r="I289" s="323" t="e">
        <f>+VLOOKUP($E289,Final_nrj!$1:$1048576,I$2,FALSE)</f>
        <v>#N/A</v>
      </c>
      <c r="J289" s="323" t="e">
        <f>+VLOOKUP($E289,Final_nrj!$1:$1048576,J$2,FALSE)</f>
        <v>#N/A</v>
      </c>
      <c r="K289" s="323" t="e">
        <f>+VLOOKUP($E289,Final_nrj!$1:$1048576,K$2,FALSE)</f>
        <v>#N/A</v>
      </c>
      <c r="L289" s="323" t="e">
        <f>+VLOOKUP($E289,Final_nrj!$1:$1048576,L$2,FALSE)</f>
        <v>#N/A</v>
      </c>
      <c r="M289" s="323" t="e">
        <f>+VLOOKUP($E289,Final_nrj!$1:$1048576,M$2,FALSE)</f>
        <v>#N/A</v>
      </c>
      <c r="N289" s="323" t="e">
        <f>+VLOOKUP($E289,Final_nrj!$1:$1048576,N$2,FALSE)</f>
        <v>#N/A</v>
      </c>
      <c r="O289" s="323" t="e">
        <f>+VLOOKUP($E289,Final_nrj!$1:$1048576,O$2,FALSE)</f>
        <v>#N/A</v>
      </c>
      <c r="P289" s="323" t="e">
        <f>+VLOOKUP($E289,Final_nrj!$1:$1048576,P$2,FALSE)</f>
        <v>#N/A</v>
      </c>
      <c r="Q289" s="323" t="e">
        <f>+VLOOKUP($E289,Final_nrj!$1:$1048576,Q$2,FALSE)</f>
        <v>#N/A</v>
      </c>
      <c r="R289" s="323" t="e">
        <f>+VLOOKUP($E289,Final_nrj!$1:$1048576,R$2,FALSE)</f>
        <v>#N/A</v>
      </c>
      <c r="S289" s="323" t="e">
        <f>+VLOOKUP($E289,Final_nrj!$1:$1048576,S$2,FALSE)</f>
        <v>#N/A</v>
      </c>
      <c r="T289" s="323" t="e">
        <f>+VLOOKUP($E289,Final_nrj!$1:$1048576,T$2,FALSE)</f>
        <v>#N/A</v>
      </c>
      <c r="U289" s="323" t="e">
        <f>+VLOOKUP($E289,Final_nrj!$1:$1048576,U$2,FALSE)</f>
        <v>#N/A</v>
      </c>
      <c r="V289" s="323" t="e">
        <f>+VLOOKUP($E289,Final_nrj!$1:$1048576,V$2,FALSE)</f>
        <v>#N/A</v>
      </c>
      <c r="W289" s="323" t="e">
        <f>+VLOOKUP($E289,Final_nrj!$1:$1048576,W$2,FALSE)</f>
        <v>#N/A</v>
      </c>
      <c r="X289" s="323" t="e">
        <f>+VLOOKUP($E289,Final_nrj!$1:$1048576,X$2,FALSE)</f>
        <v>#N/A</v>
      </c>
      <c r="Y289" s="323" t="e">
        <f>+VLOOKUP($E289,Final_nrj!$1:$1048576,Y$2,FALSE)</f>
        <v>#N/A</v>
      </c>
      <c r="Z289" s="323" t="e">
        <f>+VLOOKUP($E289,Final_nrj!$1:$1048576,Z$2,FALSE)</f>
        <v>#N/A</v>
      </c>
      <c r="AA289" s="323" t="e">
        <f>+VLOOKUP($E289,Final_nrj!$1:$1048576,AA$2,FALSE)</f>
        <v>#N/A</v>
      </c>
      <c r="AB289" s="323" t="e">
        <f>+VLOOKUP($E289,Final_nrj!$1:$1048576,AB$2,FALSE)</f>
        <v>#N/A</v>
      </c>
      <c r="AC289" s="323" t="e">
        <f>+VLOOKUP($E289,Final_nrj!$1:$1048576,AC$2,FALSE)</f>
        <v>#N/A</v>
      </c>
      <c r="AD289" s="323" t="e">
        <f>+VLOOKUP($E289,Final_nrj!$1:$1048576,AD$2,FALSE)</f>
        <v>#N/A</v>
      </c>
      <c r="AE289" s="323" t="e">
        <f>+VLOOKUP($E289,Final_nrj!$1:$1048576,AE$2,FALSE)</f>
        <v>#N/A</v>
      </c>
      <c r="AF289" s="323" t="e">
        <f>+VLOOKUP($E289,Final_nrj!$1:$1048576,AF$2,FALSE)</f>
        <v>#N/A</v>
      </c>
      <c r="AG289" s="323" t="e">
        <f>+VLOOKUP($E289,Final_nrj!$1:$1048576,AG$2,FALSE)</f>
        <v>#N/A</v>
      </c>
      <c r="AH289" s="323" t="e">
        <f>+VLOOKUP($E289,Final_nrj!$1:$1048576,AH$2,FALSE)</f>
        <v>#N/A</v>
      </c>
      <c r="AI289" s="323" t="e">
        <f>+VLOOKUP($E289,Final_nrj!$1:$1048576,AI$2,FALSE)</f>
        <v>#N/A</v>
      </c>
      <c r="AJ289" s="323" t="e">
        <f>+VLOOKUP($E289,Final_nrj!$1:$1048576,AJ$2,FALSE)</f>
        <v>#N/A</v>
      </c>
      <c r="AK289" s="323" t="e">
        <f>+VLOOKUP($E289,Final_nrj!$1:$1048576,AK$2,FALSE)</f>
        <v>#N/A</v>
      </c>
      <c r="AL289" s="323" t="e">
        <f>+VLOOKUP($E289,Final_nrj!$1:$1048576,AL$2,FALSE)</f>
        <v>#N/A</v>
      </c>
      <c r="AM289" s="323" t="e">
        <f>+VLOOKUP($E289,Final_nrj!$1:$1048576,AM$2,FALSE)</f>
        <v>#N/A</v>
      </c>
      <c r="AN289" s="323" t="e">
        <f>+VLOOKUP($E289,Final_nrj!$1:$1048576,AN$2,FALSE)</f>
        <v>#N/A</v>
      </c>
      <c r="AO289" s="323" t="e">
        <f>+VLOOKUP($E289,Final_nrj!$1:$1048576,AO$2,FALSE)</f>
        <v>#N/A</v>
      </c>
      <c r="AP289" s="73"/>
      <c r="AQ289" s="73"/>
      <c r="AR289" s="73"/>
      <c r="AS289" s="73"/>
      <c r="AT289" s="73"/>
    </row>
    <row r="290" spans="1:46" s="108" customFormat="1" ht="15" customHeight="1" x14ac:dyDescent="0.25">
      <c r="A290" s="392"/>
      <c r="B290" s="382"/>
      <c r="C290" s="122" t="s">
        <v>541</v>
      </c>
      <c r="D290" s="122"/>
      <c r="E290" s="89" t="s">
        <v>1019</v>
      </c>
      <c r="F290" s="322">
        <f>+VLOOKUP($E290,Final_nrj!$1:$1048576,F$2,FALSE)</f>
        <v>14.823808209999999</v>
      </c>
      <c r="G290" s="322">
        <f>+VLOOKUP($E290,Final_nrj!$1:$1048576,G$2,FALSE)</f>
        <v>14.901818329999999</v>
      </c>
      <c r="H290" s="322">
        <f>+VLOOKUP($E290,Final_nrj!$1:$1048576,H$2,FALSE)</f>
        <v>14.941413430000001</v>
      </c>
      <c r="I290" s="322">
        <f>+VLOOKUP($E290,Final_nrj!$1:$1048576,I$2,FALSE)</f>
        <v>14.967128369999999</v>
      </c>
      <c r="J290" s="322">
        <f>+VLOOKUP($E290,Final_nrj!$1:$1048576,J$2,FALSE)</f>
        <v>14.98798629</v>
      </c>
      <c r="K290" s="322">
        <f>+VLOOKUP($E290,Final_nrj!$1:$1048576,K$2,FALSE)</f>
        <v>15.005593709999999</v>
      </c>
      <c r="L290" s="322">
        <f>+VLOOKUP($E290,Final_nrj!$1:$1048576,L$2,FALSE)</f>
        <v>15.02221228</v>
      </c>
      <c r="M290" s="322">
        <f>+VLOOKUP($E290,Final_nrj!$1:$1048576,M$2,FALSE)</f>
        <v>15.04143191</v>
      </c>
      <c r="N290" s="322">
        <f>+VLOOKUP($E290,Final_nrj!$1:$1048576,N$2,FALSE)</f>
        <v>15.06416059</v>
      </c>
      <c r="O290" s="322">
        <f>+VLOOKUP($E290,Final_nrj!$1:$1048576,O$2,FALSE)</f>
        <v>15.089655949999999</v>
      </c>
      <c r="P290" s="322">
        <f>+VLOOKUP($E290,Final_nrj!$1:$1048576,P$2,FALSE)</f>
        <v>15.11625162</v>
      </c>
      <c r="Q290" s="322">
        <f>+VLOOKUP($E290,Final_nrj!$1:$1048576,Q$2,FALSE)</f>
        <v>15.14178909</v>
      </c>
      <c r="R290" s="322">
        <f>+VLOOKUP($E290,Final_nrj!$1:$1048576,R$2,FALSE)</f>
        <v>15.163874760000001</v>
      </c>
      <c r="S290" s="322">
        <f>+VLOOKUP($E290,Final_nrj!$1:$1048576,S$2,FALSE)</f>
        <v>15.18004593</v>
      </c>
      <c r="T290" s="322">
        <f>+VLOOKUP($E290,Final_nrj!$1:$1048576,T$2,FALSE)</f>
        <v>15.187893170000001</v>
      </c>
      <c r="U290" s="322">
        <f>+VLOOKUP($E290,Final_nrj!$1:$1048576,U$2,FALSE)</f>
        <v>15.185162569999999</v>
      </c>
      <c r="V290" s="322">
        <f>+VLOOKUP($E290,Final_nrj!$1:$1048576,V$2,FALSE)</f>
        <v>15.172726689999999</v>
      </c>
      <c r="W290" s="322">
        <f>+VLOOKUP($E290,Final_nrj!$1:$1048576,W$2,FALSE)</f>
        <v>15.154028159999999</v>
      </c>
      <c r="X290" s="322">
        <f>+VLOOKUP($E290,Final_nrj!$1:$1048576,X$2,FALSE)</f>
        <v>15.13145323</v>
      </c>
      <c r="Y290" s="322">
        <f>+VLOOKUP($E290,Final_nrj!$1:$1048576,Y$2,FALSE)</f>
        <v>15.10659274</v>
      </c>
      <c r="Z290" s="322">
        <f>+VLOOKUP($E290,Final_nrj!$1:$1048576,Z$2,FALSE)</f>
        <v>15.08052262</v>
      </c>
      <c r="AA290" s="322">
        <f>+VLOOKUP($E290,Final_nrj!$1:$1048576,AA$2,FALSE)</f>
        <v>15.053992620000001</v>
      </c>
      <c r="AB290" s="322">
        <f>+VLOOKUP($E290,Final_nrj!$1:$1048576,AB$2,FALSE)</f>
        <v>15.02754283</v>
      </c>
      <c r="AC290" s="322">
        <f>+VLOOKUP($E290,Final_nrj!$1:$1048576,AC$2,FALSE)</f>
        <v>15.001574570000001</v>
      </c>
      <c r="AD290" s="322">
        <f>+VLOOKUP($E290,Final_nrj!$1:$1048576,AD$2,FALSE)</f>
        <v>14.9763942</v>
      </c>
      <c r="AE290" s="322">
        <f>+VLOOKUP($E290,Final_nrj!$1:$1048576,AE$2,FALSE)</f>
        <v>14.95224095</v>
      </c>
      <c r="AF290" s="322">
        <f>+VLOOKUP($E290,Final_nrj!$1:$1048576,AF$2,FALSE)</f>
        <v>14.929305299999999</v>
      </c>
      <c r="AG290" s="322">
        <f>+VLOOKUP($E290,Final_nrj!$1:$1048576,AG$2,FALSE)</f>
        <v>14.90774178</v>
      </c>
      <c r="AH290" s="322">
        <f>+VLOOKUP($E290,Final_nrj!$1:$1048576,AH$2,FALSE)</f>
        <v>14.887678149999999</v>
      </c>
      <c r="AI290" s="322">
        <f>+VLOOKUP($E290,Final_nrj!$1:$1048576,AI$2,FALSE)</f>
        <v>14.869222199999999</v>
      </c>
      <c r="AJ290" s="322">
        <f>+VLOOKUP($E290,Final_nrj!$1:$1048576,AJ$2,FALSE)</f>
        <v>14.852467020000001</v>
      </c>
      <c r="AK290" s="322">
        <f>+VLOOKUP($E290,Final_nrj!$1:$1048576,AK$2,FALSE)</f>
        <v>14.83749502</v>
      </c>
      <c r="AL290" s="322">
        <f>+VLOOKUP($E290,Final_nrj!$1:$1048576,AL$2,FALSE)</f>
        <v>14.82438097</v>
      </c>
      <c r="AM290" s="322">
        <f>+VLOOKUP($E290,Final_nrj!$1:$1048576,AM$2,FALSE)</f>
        <v>14.813194409999999</v>
      </c>
      <c r="AN290" s="322">
        <f>+VLOOKUP($E290,Final_nrj!$1:$1048576,AN$2,FALSE)</f>
        <v>14.80400131</v>
      </c>
      <c r="AO290" s="322">
        <f>+VLOOKUP($E290,Final_nrj!$1:$1048576,AO$2,FALSE)</f>
        <v>14.79686534</v>
      </c>
    </row>
    <row r="291" spans="1:46" ht="15" customHeight="1" x14ac:dyDescent="0.25">
      <c r="A291" s="392"/>
      <c r="B291" s="382"/>
      <c r="C291" s="123"/>
      <c r="D291" s="123" t="s">
        <v>1890</v>
      </c>
      <c r="E291" s="47" t="s">
        <v>1020</v>
      </c>
      <c r="F291" s="323"/>
      <c r="G291" s="323"/>
      <c r="H291" s="323"/>
      <c r="I291" s="323"/>
      <c r="J291" s="323"/>
      <c r="K291" s="323"/>
      <c r="L291" s="323"/>
      <c r="M291" s="323"/>
      <c r="N291" s="323"/>
      <c r="O291" s="323"/>
      <c r="P291" s="323"/>
      <c r="Q291" s="323"/>
      <c r="R291" s="323"/>
      <c r="S291" s="323"/>
      <c r="T291" s="323"/>
      <c r="U291" s="323"/>
      <c r="V291" s="323"/>
      <c r="W291" s="323"/>
      <c r="X291" s="323"/>
      <c r="Y291" s="323"/>
      <c r="Z291" s="323"/>
      <c r="AA291" s="323"/>
      <c r="AB291" s="323"/>
      <c r="AC291" s="323"/>
      <c r="AD291" s="323"/>
      <c r="AE291" s="323"/>
      <c r="AF291" s="323"/>
      <c r="AG291" s="323"/>
      <c r="AH291" s="323"/>
      <c r="AI291" s="323"/>
      <c r="AJ291" s="323"/>
      <c r="AK291" s="323"/>
      <c r="AL291" s="323"/>
      <c r="AM291" s="323"/>
      <c r="AN291" s="323"/>
      <c r="AO291" s="323"/>
      <c r="AP291" s="73"/>
      <c r="AQ291" s="73"/>
      <c r="AR291" s="73"/>
      <c r="AS291" s="73"/>
      <c r="AT291" s="73"/>
    </row>
    <row r="292" spans="1:46" s="108" customFormat="1" ht="15" customHeight="1" x14ac:dyDescent="0.25">
      <c r="A292" s="392"/>
      <c r="B292" s="382"/>
      <c r="C292" s="122" t="s">
        <v>542</v>
      </c>
      <c r="D292" s="122"/>
      <c r="E292" s="89" t="s">
        <v>1021</v>
      </c>
      <c r="F292" s="322">
        <f>+VLOOKUP($E292,Final_nrj!$1:$1048576,F$2,FALSE)</f>
        <v>34.426718839999999</v>
      </c>
      <c r="G292" s="322">
        <f>+VLOOKUP($E292,Final_nrj!$1:$1048576,G$2,FALSE)</f>
        <v>34.624999670000001</v>
      </c>
      <c r="H292" s="322">
        <f>+VLOOKUP($E292,Final_nrj!$1:$1048576,H$2,FALSE)</f>
        <v>34.740706320000001</v>
      </c>
      <c r="I292" s="322">
        <f>+VLOOKUP($E292,Final_nrj!$1:$1048576,I$2,FALSE)</f>
        <v>34.818318619999999</v>
      </c>
      <c r="J292" s="322">
        <f>+VLOOKUP($E292,Final_nrj!$1:$1048576,J$2,FALSE)</f>
        <v>34.867897229999997</v>
      </c>
      <c r="K292" s="322">
        <f>+VLOOKUP($E292,Final_nrj!$1:$1048576,K$2,FALSE)</f>
        <v>34.884140889999998</v>
      </c>
      <c r="L292" s="322">
        <f>+VLOOKUP($E292,Final_nrj!$1:$1048576,L$2,FALSE)</f>
        <v>34.883345650000003</v>
      </c>
      <c r="M292" s="322">
        <f>+VLOOKUP($E292,Final_nrj!$1:$1048576,M$2,FALSE)</f>
        <v>34.891952600000003</v>
      </c>
      <c r="N292" s="322">
        <f>+VLOOKUP($E292,Final_nrj!$1:$1048576,N$2,FALSE)</f>
        <v>34.914966630000002</v>
      </c>
      <c r="O292" s="322">
        <f>+VLOOKUP($E292,Final_nrj!$1:$1048576,O$2,FALSE)</f>
        <v>34.947410699999999</v>
      </c>
      <c r="P292" s="322">
        <f>+VLOOKUP($E292,Final_nrj!$1:$1048576,P$2,FALSE)</f>
        <v>34.980068760000002</v>
      </c>
      <c r="Q292" s="322">
        <f>+VLOOKUP($E292,Final_nrj!$1:$1048576,Q$2,FALSE)</f>
        <v>35.002329320000001</v>
      </c>
      <c r="R292" s="322">
        <f>+VLOOKUP($E292,Final_nrj!$1:$1048576,R$2,FALSE)</f>
        <v>35.003702330000003</v>
      </c>
      <c r="S292" s="322">
        <f>+VLOOKUP($E292,Final_nrj!$1:$1048576,S$2,FALSE)</f>
        <v>34.97474527</v>
      </c>
      <c r="T292" s="322">
        <f>+VLOOKUP($E292,Final_nrj!$1:$1048576,T$2,FALSE)</f>
        <v>34.907694669999998</v>
      </c>
      <c r="U292" s="322">
        <f>+VLOOKUP($E292,Final_nrj!$1:$1048576,U$2,FALSE)</f>
        <v>34.79688951</v>
      </c>
      <c r="V292" s="322">
        <f>+VLOOKUP($E292,Final_nrj!$1:$1048576,V$2,FALSE)</f>
        <v>34.653289479999998</v>
      </c>
      <c r="W292" s="322">
        <f>+VLOOKUP($E292,Final_nrj!$1:$1048576,W$2,FALSE)</f>
        <v>34.497038080000003</v>
      </c>
      <c r="X292" s="322">
        <f>+VLOOKUP($E292,Final_nrj!$1:$1048576,X$2,FALSE)</f>
        <v>34.338888570000002</v>
      </c>
      <c r="Y292" s="322">
        <f>+VLOOKUP($E292,Final_nrj!$1:$1048576,Y$2,FALSE)</f>
        <v>34.184558449999997</v>
      </c>
      <c r="Z292" s="322">
        <f>+VLOOKUP($E292,Final_nrj!$1:$1048576,Z$2,FALSE)</f>
        <v>34.037132020000001</v>
      </c>
      <c r="AA292" s="322">
        <f>+VLOOKUP($E292,Final_nrj!$1:$1048576,AA$2,FALSE)</f>
        <v>33.89829392</v>
      </c>
      <c r="AB292" s="322">
        <f>+VLOOKUP($E292,Final_nrj!$1:$1048576,AB$2,FALSE)</f>
        <v>33.768955839999997</v>
      </c>
      <c r="AC292" s="322">
        <f>+VLOOKUP($E292,Final_nrj!$1:$1048576,AC$2,FALSE)</f>
        <v>33.64958086</v>
      </c>
      <c r="AD292" s="322">
        <f>+VLOOKUP($E292,Final_nrj!$1:$1048576,AD$2,FALSE)</f>
        <v>33.540358529999999</v>
      </c>
      <c r="AE292" s="322">
        <f>+VLOOKUP($E292,Final_nrj!$1:$1048576,AE$2,FALSE)</f>
        <v>33.441305309999997</v>
      </c>
      <c r="AF292" s="322">
        <f>+VLOOKUP($E292,Final_nrj!$1:$1048576,AF$2,FALSE)</f>
        <v>33.352326650000002</v>
      </c>
      <c r="AG292" s="322">
        <f>+VLOOKUP($E292,Final_nrj!$1:$1048576,AG$2,FALSE)</f>
        <v>33.273257839999999</v>
      </c>
      <c r="AH292" s="322">
        <f>+VLOOKUP($E292,Final_nrj!$1:$1048576,AH$2,FALSE)</f>
        <v>33.203892359999998</v>
      </c>
      <c r="AI292" s="322">
        <f>+VLOOKUP($E292,Final_nrj!$1:$1048576,AI$2,FALSE)</f>
        <v>33.144002100000002</v>
      </c>
      <c r="AJ292" s="322">
        <f>+VLOOKUP($E292,Final_nrj!$1:$1048576,AJ$2,FALSE)</f>
        <v>33.093352029999998</v>
      </c>
      <c r="AK292" s="322">
        <f>+VLOOKUP($E292,Final_nrj!$1:$1048576,AK$2,FALSE)</f>
        <v>33.051710559999997</v>
      </c>
      <c r="AL292" s="322">
        <f>+VLOOKUP($E292,Final_nrj!$1:$1048576,AL$2,FALSE)</f>
        <v>33.018856880000001</v>
      </c>
      <c r="AM292" s="322">
        <f>+VLOOKUP($E292,Final_nrj!$1:$1048576,AM$2,FALSE)</f>
        <v>32.994585729999997</v>
      </c>
      <c r="AN292" s="322">
        <f>+VLOOKUP($E292,Final_nrj!$1:$1048576,AN$2,FALSE)</f>
        <v>32.978710409999998</v>
      </c>
      <c r="AO292" s="322">
        <f>+VLOOKUP($E292,Final_nrj!$1:$1048576,AO$2,FALSE)</f>
        <v>32.971064239999997</v>
      </c>
    </row>
    <row r="293" spans="1:46" s="73" customFormat="1" ht="15" customHeight="1" x14ac:dyDescent="0.25">
      <c r="A293" s="392"/>
      <c r="B293" s="382"/>
      <c r="C293" s="122"/>
      <c r="D293" s="123" t="s">
        <v>547</v>
      </c>
      <c r="E293" s="79" t="s">
        <v>2000</v>
      </c>
      <c r="F293" s="323" t="e">
        <f>+VLOOKUP($E293,Final_nrj!$1:$1048576,F$2,FALSE)</f>
        <v>#N/A</v>
      </c>
      <c r="G293" s="323" t="e">
        <f>+VLOOKUP($E293,Final_nrj!$1:$1048576,G$2,FALSE)</f>
        <v>#N/A</v>
      </c>
      <c r="H293" s="323" t="e">
        <f>+VLOOKUP($E293,Final_nrj!$1:$1048576,H$2,FALSE)</f>
        <v>#N/A</v>
      </c>
      <c r="I293" s="323" t="e">
        <f>+VLOOKUP($E293,Final_nrj!$1:$1048576,I$2,FALSE)</f>
        <v>#N/A</v>
      </c>
      <c r="J293" s="323" t="e">
        <f>+VLOOKUP($E293,Final_nrj!$1:$1048576,J$2,FALSE)</f>
        <v>#N/A</v>
      </c>
      <c r="K293" s="323" t="e">
        <f>+VLOOKUP($E293,Final_nrj!$1:$1048576,K$2,FALSE)</f>
        <v>#N/A</v>
      </c>
      <c r="L293" s="323" t="e">
        <f>+VLOOKUP($E293,Final_nrj!$1:$1048576,L$2,FALSE)</f>
        <v>#N/A</v>
      </c>
      <c r="M293" s="323" t="e">
        <f>+VLOOKUP($E293,Final_nrj!$1:$1048576,M$2,FALSE)</f>
        <v>#N/A</v>
      </c>
      <c r="N293" s="323" t="e">
        <f>+VLOOKUP($E293,Final_nrj!$1:$1048576,N$2,FALSE)</f>
        <v>#N/A</v>
      </c>
      <c r="O293" s="323" t="e">
        <f>+VLOOKUP($E293,Final_nrj!$1:$1048576,O$2,FALSE)</f>
        <v>#N/A</v>
      </c>
      <c r="P293" s="323" t="e">
        <f>+VLOOKUP($E293,Final_nrj!$1:$1048576,P$2,FALSE)</f>
        <v>#N/A</v>
      </c>
      <c r="Q293" s="323" t="e">
        <f>+VLOOKUP($E293,Final_nrj!$1:$1048576,Q$2,FALSE)</f>
        <v>#N/A</v>
      </c>
      <c r="R293" s="323" t="e">
        <f>+VLOOKUP($E293,Final_nrj!$1:$1048576,R$2,FALSE)</f>
        <v>#N/A</v>
      </c>
      <c r="S293" s="323" t="e">
        <f>+VLOOKUP($E293,Final_nrj!$1:$1048576,S$2,FALSE)</f>
        <v>#N/A</v>
      </c>
      <c r="T293" s="323" t="e">
        <f>+VLOOKUP($E293,Final_nrj!$1:$1048576,T$2,FALSE)</f>
        <v>#N/A</v>
      </c>
      <c r="U293" s="323" t="e">
        <f>+VLOOKUP($E293,Final_nrj!$1:$1048576,U$2,FALSE)</f>
        <v>#N/A</v>
      </c>
      <c r="V293" s="323" t="e">
        <f>+VLOOKUP($E293,Final_nrj!$1:$1048576,V$2,FALSE)</f>
        <v>#N/A</v>
      </c>
      <c r="W293" s="323" t="e">
        <f>+VLOOKUP($E293,Final_nrj!$1:$1048576,W$2,FALSE)</f>
        <v>#N/A</v>
      </c>
      <c r="X293" s="323" t="e">
        <f>+VLOOKUP($E293,Final_nrj!$1:$1048576,X$2,FALSE)</f>
        <v>#N/A</v>
      </c>
      <c r="Y293" s="323" t="e">
        <f>+VLOOKUP($E293,Final_nrj!$1:$1048576,Y$2,FALSE)</f>
        <v>#N/A</v>
      </c>
      <c r="Z293" s="323" t="e">
        <f>+VLOOKUP($E293,Final_nrj!$1:$1048576,Z$2,FALSE)</f>
        <v>#N/A</v>
      </c>
      <c r="AA293" s="323" t="e">
        <f>+VLOOKUP($E293,Final_nrj!$1:$1048576,AA$2,FALSE)</f>
        <v>#N/A</v>
      </c>
      <c r="AB293" s="323" t="e">
        <f>+VLOOKUP($E293,Final_nrj!$1:$1048576,AB$2,FALSE)</f>
        <v>#N/A</v>
      </c>
      <c r="AC293" s="323" t="e">
        <f>+VLOOKUP($E293,Final_nrj!$1:$1048576,AC$2,FALSE)</f>
        <v>#N/A</v>
      </c>
      <c r="AD293" s="323" t="e">
        <f>+VLOOKUP($E293,Final_nrj!$1:$1048576,AD$2,FALSE)</f>
        <v>#N/A</v>
      </c>
      <c r="AE293" s="323" t="e">
        <f>+VLOOKUP($E293,Final_nrj!$1:$1048576,AE$2,FALSE)</f>
        <v>#N/A</v>
      </c>
      <c r="AF293" s="323" t="e">
        <f>+VLOOKUP($E293,Final_nrj!$1:$1048576,AF$2,FALSE)</f>
        <v>#N/A</v>
      </c>
      <c r="AG293" s="323" t="e">
        <f>+VLOOKUP($E293,Final_nrj!$1:$1048576,AG$2,FALSE)</f>
        <v>#N/A</v>
      </c>
      <c r="AH293" s="323" t="e">
        <f>+VLOOKUP($E293,Final_nrj!$1:$1048576,AH$2,FALSE)</f>
        <v>#N/A</v>
      </c>
      <c r="AI293" s="323" t="e">
        <f>+VLOOKUP($E293,Final_nrj!$1:$1048576,AI$2,FALSE)</f>
        <v>#N/A</v>
      </c>
      <c r="AJ293" s="323" t="e">
        <f>+VLOOKUP($E293,Final_nrj!$1:$1048576,AJ$2,FALSE)</f>
        <v>#N/A</v>
      </c>
      <c r="AK293" s="323" t="e">
        <f>+VLOOKUP($E293,Final_nrj!$1:$1048576,AK$2,FALSE)</f>
        <v>#N/A</v>
      </c>
      <c r="AL293" s="323" t="e">
        <f>+VLOOKUP($E293,Final_nrj!$1:$1048576,AL$2,FALSE)</f>
        <v>#N/A</v>
      </c>
      <c r="AM293" s="323" t="e">
        <f>+VLOOKUP($E293,Final_nrj!$1:$1048576,AM$2,FALSE)</f>
        <v>#N/A</v>
      </c>
      <c r="AN293" s="323" t="e">
        <f>+VLOOKUP($E293,Final_nrj!$1:$1048576,AN$2,FALSE)</f>
        <v>#N/A</v>
      </c>
      <c r="AO293" s="323" t="e">
        <f>+VLOOKUP($E293,Final_nrj!$1:$1048576,AO$2,FALSE)</f>
        <v>#N/A</v>
      </c>
    </row>
    <row r="294" spans="1:46" s="73" customFormat="1" ht="15" customHeight="1" x14ac:dyDescent="0.25">
      <c r="A294" s="392"/>
      <c r="B294" s="382"/>
      <c r="C294" s="122"/>
      <c r="D294" s="123" t="s">
        <v>547</v>
      </c>
      <c r="E294" s="79" t="s">
        <v>2001</v>
      </c>
      <c r="F294" s="323" t="e">
        <f>+VLOOKUP($E294,Final_nrj!$1:$1048576,F$2,FALSE)</f>
        <v>#N/A</v>
      </c>
      <c r="G294" s="323" t="e">
        <f>+VLOOKUP($E294,Final_nrj!$1:$1048576,G$2,FALSE)</f>
        <v>#N/A</v>
      </c>
      <c r="H294" s="323" t="e">
        <f>+VLOOKUP($E294,Final_nrj!$1:$1048576,H$2,FALSE)</f>
        <v>#N/A</v>
      </c>
      <c r="I294" s="323" t="e">
        <f>+VLOOKUP($E294,Final_nrj!$1:$1048576,I$2,FALSE)</f>
        <v>#N/A</v>
      </c>
      <c r="J294" s="323" t="e">
        <f>+VLOOKUP($E294,Final_nrj!$1:$1048576,J$2,FALSE)</f>
        <v>#N/A</v>
      </c>
      <c r="K294" s="323" t="e">
        <f>+VLOOKUP($E294,Final_nrj!$1:$1048576,K$2,FALSE)</f>
        <v>#N/A</v>
      </c>
      <c r="L294" s="323" t="e">
        <f>+VLOOKUP($E294,Final_nrj!$1:$1048576,L$2,FALSE)</f>
        <v>#N/A</v>
      </c>
      <c r="M294" s="323" t="e">
        <f>+VLOOKUP($E294,Final_nrj!$1:$1048576,M$2,FALSE)</f>
        <v>#N/A</v>
      </c>
      <c r="N294" s="323" t="e">
        <f>+VLOOKUP($E294,Final_nrj!$1:$1048576,N$2,FALSE)</f>
        <v>#N/A</v>
      </c>
      <c r="O294" s="323" t="e">
        <f>+VLOOKUP($E294,Final_nrj!$1:$1048576,O$2,FALSE)</f>
        <v>#N/A</v>
      </c>
      <c r="P294" s="323" t="e">
        <f>+VLOOKUP($E294,Final_nrj!$1:$1048576,P$2,FALSE)</f>
        <v>#N/A</v>
      </c>
      <c r="Q294" s="323" t="e">
        <f>+VLOOKUP($E294,Final_nrj!$1:$1048576,Q$2,FALSE)</f>
        <v>#N/A</v>
      </c>
      <c r="R294" s="323" t="e">
        <f>+VLOOKUP($E294,Final_nrj!$1:$1048576,R$2,FALSE)</f>
        <v>#N/A</v>
      </c>
      <c r="S294" s="323" t="e">
        <f>+VLOOKUP($E294,Final_nrj!$1:$1048576,S$2,FALSE)</f>
        <v>#N/A</v>
      </c>
      <c r="T294" s="323" t="e">
        <f>+VLOOKUP($E294,Final_nrj!$1:$1048576,T$2,FALSE)</f>
        <v>#N/A</v>
      </c>
      <c r="U294" s="323" t="e">
        <f>+VLOOKUP($E294,Final_nrj!$1:$1048576,U$2,FALSE)</f>
        <v>#N/A</v>
      </c>
      <c r="V294" s="323" t="e">
        <f>+VLOOKUP($E294,Final_nrj!$1:$1048576,V$2,FALSE)</f>
        <v>#N/A</v>
      </c>
      <c r="W294" s="323" t="e">
        <f>+VLOOKUP($E294,Final_nrj!$1:$1048576,W$2,FALSE)</f>
        <v>#N/A</v>
      </c>
      <c r="X294" s="323" t="e">
        <f>+VLOOKUP($E294,Final_nrj!$1:$1048576,X$2,FALSE)</f>
        <v>#N/A</v>
      </c>
      <c r="Y294" s="323" t="e">
        <f>+VLOOKUP($E294,Final_nrj!$1:$1048576,Y$2,FALSE)</f>
        <v>#N/A</v>
      </c>
      <c r="Z294" s="323" t="e">
        <f>+VLOOKUP($E294,Final_nrj!$1:$1048576,Z$2,FALSE)</f>
        <v>#N/A</v>
      </c>
      <c r="AA294" s="323" t="e">
        <f>+VLOOKUP($E294,Final_nrj!$1:$1048576,AA$2,FALSE)</f>
        <v>#N/A</v>
      </c>
      <c r="AB294" s="323" t="e">
        <f>+VLOOKUP($E294,Final_nrj!$1:$1048576,AB$2,FALSE)</f>
        <v>#N/A</v>
      </c>
      <c r="AC294" s="323" t="e">
        <f>+VLOOKUP($E294,Final_nrj!$1:$1048576,AC$2,FALSE)</f>
        <v>#N/A</v>
      </c>
      <c r="AD294" s="323" t="e">
        <f>+VLOOKUP($E294,Final_nrj!$1:$1048576,AD$2,FALSE)</f>
        <v>#N/A</v>
      </c>
      <c r="AE294" s="323" t="e">
        <f>+VLOOKUP($E294,Final_nrj!$1:$1048576,AE$2,FALSE)</f>
        <v>#N/A</v>
      </c>
      <c r="AF294" s="323" t="e">
        <f>+VLOOKUP($E294,Final_nrj!$1:$1048576,AF$2,FALSE)</f>
        <v>#N/A</v>
      </c>
      <c r="AG294" s="323" t="e">
        <f>+VLOOKUP($E294,Final_nrj!$1:$1048576,AG$2,FALSE)</f>
        <v>#N/A</v>
      </c>
      <c r="AH294" s="323" t="e">
        <f>+VLOOKUP($E294,Final_nrj!$1:$1048576,AH$2,FALSE)</f>
        <v>#N/A</v>
      </c>
      <c r="AI294" s="323" t="e">
        <f>+VLOOKUP($E294,Final_nrj!$1:$1048576,AI$2,FALSE)</f>
        <v>#N/A</v>
      </c>
      <c r="AJ294" s="323" t="e">
        <f>+VLOOKUP($E294,Final_nrj!$1:$1048576,AJ$2,FALSE)</f>
        <v>#N/A</v>
      </c>
      <c r="AK294" s="323" t="e">
        <f>+VLOOKUP($E294,Final_nrj!$1:$1048576,AK$2,FALSE)</f>
        <v>#N/A</v>
      </c>
      <c r="AL294" s="323" t="e">
        <f>+VLOOKUP($E294,Final_nrj!$1:$1048576,AL$2,FALSE)</f>
        <v>#N/A</v>
      </c>
      <c r="AM294" s="323" t="e">
        <f>+VLOOKUP($E294,Final_nrj!$1:$1048576,AM$2,FALSE)</f>
        <v>#N/A</v>
      </c>
      <c r="AN294" s="323" t="e">
        <f>+VLOOKUP($E294,Final_nrj!$1:$1048576,AN$2,FALSE)</f>
        <v>#N/A</v>
      </c>
      <c r="AO294" s="323" t="e">
        <f>+VLOOKUP($E294,Final_nrj!$1:$1048576,AO$2,FALSE)</f>
        <v>#N/A</v>
      </c>
    </row>
    <row r="295" spans="1:46" s="73" customFormat="1" ht="15" customHeight="1" x14ac:dyDescent="0.25">
      <c r="A295" s="392"/>
      <c r="B295" s="382"/>
      <c r="C295" s="122"/>
      <c r="D295" s="123" t="s">
        <v>547</v>
      </c>
      <c r="E295" s="79" t="s">
        <v>1023</v>
      </c>
      <c r="F295" s="323" t="e">
        <f>+VLOOKUP($E295,Final_nrj!$1:$1048576,F$2,FALSE)</f>
        <v>#N/A</v>
      </c>
      <c r="G295" s="323" t="e">
        <f>+VLOOKUP($E295,Final_nrj!$1:$1048576,G$2,FALSE)</f>
        <v>#N/A</v>
      </c>
      <c r="H295" s="323" t="e">
        <f>+VLOOKUP($E295,Final_nrj!$1:$1048576,H$2,FALSE)</f>
        <v>#N/A</v>
      </c>
      <c r="I295" s="323" t="e">
        <f>+VLOOKUP($E295,Final_nrj!$1:$1048576,I$2,FALSE)</f>
        <v>#N/A</v>
      </c>
      <c r="J295" s="323" t="e">
        <f>+VLOOKUP($E295,Final_nrj!$1:$1048576,J$2,FALSE)</f>
        <v>#N/A</v>
      </c>
      <c r="K295" s="323" t="e">
        <f>+VLOOKUP($E295,Final_nrj!$1:$1048576,K$2,FALSE)</f>
        <v>#N/A</v>
      </c>
      <c r="L295" s="323" t="e">
        <f>+VLOOKUP($E295,Final_nrj!$1:$1048576,L$2,FALSE)</f>
        <v>#N/A</v>
      </c>
      <c r="M295" s="323" t="e">
        <f>+VLOOKUP($E295,Final_nrj!$1:$1048576,M$2,FALSE)</f>
        <v>#N/A</v>
      </c>
      <c r="N295" s="323" t="e">
        <f>+VLOOKUP($E295,Final_nrj!$1:$1048576,N$2,FALSE)</f>
        <v>#N/A</v>
      </c>
      <c r="O295" s="323" t="e">
        <f>+VLOOKUP($E295,Final_nrj!$1:$1048576,O$2,FALSE)</f>
        <v>#N/A</v>
      </c>
      <c r="P295" s="323" t="e">
        <f>+VLOOKUP($E295,Final_nrj!$1:$1048576,P$2,FALSE)</f>
        <v>#N/A</v>
      </c>
      <c r="Q295" s="323" t="e">
        <f>+VLOOKUP($E295,Final_nrj!$1:$1048576,Q$2,FALSE)</f>
        <v>#N/A</v>
      </c>
      <c r="R295" s="323" t="e">
        <f>+VLOOKUP($E295,Final_nrj!$1:$1048576,R$2,FALSE)</f>
        <v>#N/A</v>
      </c>
      <c r="S295" s="323" t="e">
        <f>+VLOOKUP($E295,Final_nrj!$1:$1048576,S$2,FALSE)</f>
        <v>#N/A</v>
      </c>
      <c r="T295" s="323" t="e">
        <f>+VLOOKUP($E295,Final_nrj!$1:$1048576,T$2,FALSE)</f>
        <v>#N/A</v>
      </c>
      <c r="U295" s="323" t="e">
        <f>+VLOOKUP($E295,Final_nrj!$1:$1048576,U$2,FALSE)</f>
        <v>#N/A</v>
      </c>
      <c r="V295" s="323" t="e">
        <f>+VLOOKUP($E295,Final_nrj!$1:$1048576,V$2,FALSE)</f>
        <v>#N/A</v>
      </c>
      <c r="W295" s="323" t="e">
        <f>+VLOOKUP($E295,Final_nrj!$1:$1048576,W$2,FALSE)</f>
        <v>#N/A</v>
      </c>
      <c r="X295" s="323" t="e">
        <f>+VLOOKUP($E295,Final_nrj!$1:$1048576,X$2,FALSE)</f>
        <v>#N/A</v>
      </c>
      <c r="Y295" s="323" t="e">
        <f>+VLOOKUP($E295,Final_nrj!$1:$1048576,Y$2,FALSE)</f>
        <v>#N/A</v>
      </c>
      <c r="Z295" s="323" t="e">
        <f>+VLOOKUP($E295,Final_nrj!$1:$1048576,Z$2,FALSE)</f>
        <v>#N/A</v>
      </c>
      <c r="AA295" s="323" t="e">
        <f>+VLOOKUP($E295,Final_nrj!$1:$1048576,AA$2,FALSE)</f>
        <v>#N/A</v>
      </c>
      <c r="AB295" s="323" t="e">
        <f>+VLOOKUP($E295,Final_nrj!$1:$1048576,AB$2,FALSE)</f>
        <v>#N/A</v>
      </c>
      <c r="AC295" s="323" t="e">
        <f>+VLOOKUP($E295,Final_nrj!$1:$1048576,AC$2,FALSE)</f>
        <v>#N/A</v>
      </c>
      <c r="AD295" s="323" t="e">
        <f>+VLOOKUP($E295,Final_nrj!$1:$1048576,AD$2,FALSE)</f>
        <v>#N/A</v>
      </c>
      <c r="AE295" s="323" t="e">
        <f>+VLOOKUP($E295,Final_nrj!$1:$1048576,AE$2,FALSE)</f>
        <v>#N/A</v>
      </c>
      <c r="AF295" s="323" t="e">
        <f>+VLOOKUP($E295,Final_nrj!$1:$1048576,AF$2,FALSE)</f>
        <v>#N/A</v>
      </c>
      <c r="AG295" s="323" t="e">
        <f>+VLOOKUP($E295,Final_nrj!$1:$1048576,AG$2,FALSE)</f>
        <v>#N/A</v>
      </c>
      <c r="AH295" s="323" t="e">
        <f>+VLOOKUP($E295,Final_nrj!$1:$1048576,AH$2,FALSE)</f>
        <v>#N/A</v>
      </c>
      <c r="AI295" s="323" t="e">
        <f>+VLOOKUP($E295,Final_nrj!$1:$1048576,AI$2,FALSE)</f>
        <v>#N/A</v>
      </c>
      <c r="AJ295" s="323" t="e">
        <f>+VLOOKUP($E295,Final_nrj!$1:$1048576,AJ$2,FALSE)</f>
        <v>#N/A</v>
      </c>
      <c r="AK295" s="323" t="e">
        <f>+VLOOKUP($E295,Final_nrj!$1:$1048576,AK$2,FALSE)</f>
        <v>#N/A</v>
      </c>
      <c r="AL295" s="323" t="e">
        <f>+VLOOKUP($E295,Final_nrj!$1:$1048576,AL$2,FALSE)</f>
        <v>#N/A</v>
      </c>
      <c r="AM295" s="323" t="e">
        <f>+VLOOKUP($E295,Final_nrj!$1:$1048576,AM$2,FALSE)</f>
        <v>#N/A</v>
      </c>
      <c r="AN295" s="323" t="e">
        <f>+VLOOKUP($E295,Final_nrj!$1:$1048576,AN$2,FALSE)</f>
        <v>#N/A</v>
      </c>
      <c r="AO295" s="323" t="e">
        <f>+VLOOKUP($E295,Final_nrj!$1:$1048576,AO$2,FALSE)</f>
        <v>#N/A</v>
      </c>
    </row>
    <row r="296" spans="1:46" s="73" customFormat="1" ht="15" customHeight="1" x14ac:dyDescent="0.25">
      <c r="A296" s="392"/>
      <c r="B296" s="382"/>
      <c r="C296" s="122"/>
      <c r="D296" s="123" t="s">
        <v>548</v>
      </c>
      <c r="E296" s="79" t="s">
        <v>1024</v>
      </c>
      <c r="F296" s="323" t="e">
        <f>+VLOOKUP($E296,Final_nrj!$1:$1048576,F$2,FALSE)</f>
        <v>#N/A</v>
      </c>
      <c r="G296" s="323" t="e">
        <f>+VLOOKUP($E296,Final_nrj!$1:$1048576,G$2,FALSE)</f>
        <v>#N/A</v>
      </c>
      <c r="H296" s="323" t="e">
        <f>+VLOOKUP($E296,Final_nrj!$1:$1048576,H$2,FALSE)</f>
        <v>#N/A</v>
      </c>
      <c r="I296" s="323" t="e">
        <f>+VLOOKUP($E296,Final_nrj!$1:$1048576,I$2,FALSE)</f>
        <v>#N/A</v>
      </c>
      <c r="J296" s="323" t="e">
        <f>+VLOOKUP($E296,Final_nrj!$1:$1048576,J$2,FALSE)</f>
        <v>#N/A</v>
      </c>
      <c r="K296" s="323" t="e">
        <f>+VLOOKUP($E296,Final_nrj!$1:$1048576,K$2,FALSE)</f>
        <v>#N/A</v>
      </c>
      <c r="L296" s="323" t="e">
        <f>+VLOOKUP($E296,Final_nrj!$1:$1048576,L$2,FALSE)</f>
        <v>#N/A</v>
      </c>
      <c r="M296" s="323" t="e">
        <f>+VLOOKUP($E296,Final_nrj!$1:$1048576,M$2,FALSE)</f>
        <v>#N/A</v>
      </c>
      <c r="N296" s="323" t="e">
        <f>+VLOOKUP($E296,Final_nrj!$1:$1048576,N$2,FALSE)</f>
        <v>#N/A</v>
      </c>
      <c r="O296" s="323" t="e">
        <f>+VLOOKUP($E296,Final_nrj!$1:$1048576,O$2,FALSE)</f>
        <v>#N/A</v>
      </c>
      <c r="P296" s="323" t="e">
        <f>+VLOOKUP($E296,Final_nrj!$1:$1048576,P$2,FALSE)</f>
        <v>#N/A</v>
      </c>
      <c r="Q296" s="323" t="e">
        <f>+VLOOKUP($E296,Final_nrj!$1:$1048576,Q$2,FALSE)</f>
        <v>#N/A</v>
      </c>
      <c r="R296" s="323" t="e">
        <f>+VLOOKUP($E296,Final_nrj!$1:$1048576,R$2,FALSE)</f>
        <v>#N/A</v>
      </c>
      <c r="S296" s="323" t="e">
        <f>+VLOOKUP($E296,Final_nrj!$1:$1048576,S$2,FALSE)</f>
        <v>#N/A</v>
      </c>
      <c r="T296" s="323" t="e">
        <f>+VLOOKUP($E296,Final_nrj!$1:$1048576,T$2,FALSE)</f>
        <v>#N/A</v>
      </c>
      <c r="U296" s="323" t="e">
        <f>+VLOOKUP($E296,Final_nrj!$1:$1048576,U$2,FALSE)</f>
        <v>#N/A</v>
      </c>
      <c r="V296" s="323" t="e">
        <f>+VLOOKUP($E296,Final_nrj!$1:$1048576,V$2,FALSE)</f>
        <v>#N/A</v>
      </c>
      <c r="W296" s="323" t="e">
        <f>+VLOOKUP($E296,Final_nrj!$1:$1048576,W$2,FALSE)</f>
        <v>#N/A</v>
      </c>
      <c r="X296" s="323" t="e">
        <f>+VLOOKUP($E296,Final_nrj!$1:$1048576,X$2,FALSE)</f>
        <v>#N/A</v>
      </c>
      <c r="Y296" s="323" t="e">
        <f>+VLOOKUP($E296,Final_nrj!$1:$1048576,Y$2,FALSE)</f>
        <v>#N/A</v>
      </c>
      <c r="Z296" s="323" t="e">
        <f>+VLOOKUP($E296,Final_nrj!$1:$1048576,Z$2,FALSE)</f>
        <v>#N/A</v>
      </c>
      <c r="AA296" s="323" t="e">
        <f>+VLOOKUP($E296,Final_nrj!$1:$1048576,AA$2,FALSE)</f>
        <v>#N/A</v>
      </c>
      <c r="AB296" s="323" t="e">
        <f>+VLOOKUP($E296,Final_nrj!$1:$1048576,AB$2,FALSE)</f>
        <v>#N/A</v>
      </c>
      <c r="AC296" s="323" t="e">
        <f>+VLOOKUP($E296,Final_nrj!$1:$1048576,AC$2,FALSE)</f>
        <v>#N/A</v>
      </c>
      <c r="AD296" s="323" t="e">
        <f>+VLOOKUP($E296,Final_nrj!$1:$1048576,AD$2,FALSE)</f>
        <v>#N/A</v>
      </c>
      <c r="AE296" s="323" t="e">
        <f>+VLOOKUP($E296,Final_nrj!$1:$1048576,AE$2,FALSE)</f>
        <v>#N/A</v>
      </c>
      <c r="AF296" s="323" t="e">
        <f>+VLOOKUP($E296,Final_nrj!$1:$1048576,AF$2,FALSE)</f>
        <v>#N/A</v>
      </c>
      <c r="AG296" s="323" t="e">
        <f>+VLOOKUP($E296,Final_nrj!$1:$1048576,AG$2,FALSE)</f>
        <v>#N/A</v>
      </c>
      <c r="AH296" s="323" t="e">
        <f>+VLOOKUP($E296,Final_nrj!$1:$1048576,AH$2,FALSE)</f>
        <v>#N/A</v>
      </c>
      <c r="AI296" s="323" t="e">
        <f>+VLOOKUP($E296,Final_nrj!$1:$1048576,AI$2,FALSE)</f>
        <v>#N/A</v>
      </c>
      <c r="AJ296" s="323" t="e">
        <f>+VLOOKUP($E296,Final_nrj!$1:$1048576,AJ$2,FALSE)</f>
        <v>#N/A</v>
      </c>
      <c r="AK296" s="323" t="e">
        <f>+VLOOKUP($E296,Final_nrj!$1:$1048576,AK$2,FALSE)</f>
        <v>#N/A</v>
      </c>
      <c r="AL296" s="323" t="e">
        <f>+VLOOKUP($E296,Final_nrj!$1:$1048576,AL$2,FALSE)</f>
        <v>#N/A</v>
      </c>
      <c r="AM296" s="323" t="e">
        <f>+VLOOKUP($E296,Final_nrj!$1:$1048576,AM$2,FALSE)</f>
        <v>#N/A</v>
      </c>
      <c r="AN296" s="323" t="e">
        <f>+VLOOKUP($E296,Final_nrj!$1:$1048576,AN$2,FALSE)</f>
        <v>#N/A</v>
      </c>
      <c r="AO296" s="323" t="e">
        <f>+VLOOKUP($E296,Final_nrj!$1:$1048576,AO$2,FALSE)</f>
        <v>#N/A</v>
      </c>
    </row>
    <row r="297" spans="1:46" s="108" customFormat="1" ht="15" customHeight="1" x14ac:dyDescent="0.25">
      <c r="A297" s="392"/>
      <c r="B297" s="382"/>
      <c r="C297" s="122" t="s">
        <v>543</v>
      </c>
      <c r="D297" s="122"/>
      <c r="E297" s="89" t="s">
        <v>1022</v>
      </c>
      <c r="F297" s="322">
        <f>+VLOOKUP($E297,Final_nrj!$1:$1048576,F$2,FALSE)</f>
        <v>37.958651860000003</v>
      </c>
      <c r="G297" s="322">
        <f>+VLOOKUP($E297,Final_nrj!$1:$1048576,G$2,FALSE)</f>
        <v>38.225286410000002</v>
      </c>
      <c r="H297" s="322">
        <f>+VLOOKUP($E297,Final_nrj!$1:$1048576,H$2,FALSE)</f>
        <v>38.425798120000003</v>
      </c>
      <c r="I297" s="322">
        <f>+VLOOKUP($E297,Final_nrj!$1:$1048576,I$2,FALSE)</f>
        <v>38.608986350000002</v>
      </c>
      <c r="J297" s="322">
        <f>+VLOOKUP($E297,Final_nrj!$1:$1048576,J$2,FALSE)</f>
        <v>38.795290960000003</v>
      </c>
      <c r="K297" s="322">
        <f>+VLOOKUP($E297,Final_nrj!$1:$1048576,K$2,FALSE)</f>
        <v>38.991605739999997</v>
      </c>
      <c r="L297" s="322">
        <f>+VLOOKUP($E297,Final_nrj!$1:$1048576,L$2,FALSE)</f>
        <v>39.196188059999997</v>
      </c>
      <c r="M297" s="322">
        <f>+VLOOKUP($E297,Final_nrj!$1:$1048576,M$2,FALSE)</f>
        <v>39.405906739999999</v>
      </c>
      <c r="N297" s="322">
        <f>+VLOOKUP($E297,Final_nrj!$1:$1048576,N$2,FALSE)</f>
        <v>39.621138999999999</v>
      </c>
      <c r="O297" s="322">
        <f>+VLOOKUP($E297,Final_nrj!$1:$1048576,O$2,FALSE)</f>
        <v>39.842692710000001</v>
      </c>
      <c r="P297" s="322">
        <f>+VLOOKUP($E297,Final_nrj!$1:$1048576,P$2,FALSE)</f>
        <v>40.07102209</v>
      </c>
      <c r="Q297" s="322">
        <f>+VLOOKUP($E297,Final_nrj!$1:$1048576,Q$2,FALSE)</f>
        <v>40.306086579999999</v>
      </c>
      <c r="R297" s="322">
        <f>+VLOOKUP($E297,Final_nrj!$1:$1048576,R$2,FALSE)</f>
        <v>40.54739575</v>
      </c>
      <c r="S297" s="322">
        <f>+VLOOKUP($E297,Final_nrj!$1:$1048576,S$2,FALSE)</f>
        <v>40.794094559999998</v>
      </c>
      <c r="T297" s="322">
        <f>+VLOOKUP($E297,Final_nrj!$1:$1048576,T$2,FALSE)</f>
        <v>41.045046409999998</v>
      </c>
      <c r="U297" s="322">
        <f>+VLOOKUP($E297,Final_nrj!$1:$1048576,U$2,FALSE)</f>
        <v>41.298909109999997</v>
      </c>
      <c r="V297" s="322">
        <f>+VLOOKUP($E297,Final_nrj!$1:$1048576,V$2,FALSE)</f>
        <v>41.55269681</v>
      </c>
      <c r="W297" s="322">
        <f>+VLOOKUP($E297,Final_nrj!$1:$1048576,W$2,FALSE)</f>
        <v>41.804222609999997</v>
      </c>
      <c r="X297" s="322">
        <f>+VLOOKUP($E297,Final_nrj!$1:$1048576,X$2,FALSE)</f>
        <v>42.054374160000002</v>
      </c>
      <c r="Y297" s="322">
        <f>+VLOOKUP($E297,Final_nrj!$1:$1048576,Y$2,FALSE)</f>
        <v>42.304796770000003</v>
      </c>
      <c r="Z297" s="322">
        <f>+VLOOKUP($E297,Final_nrj!$1:$1048576,Z$2,FALSE)</f>
        <v>42.557209389999997</v>
      </c>
      <c r="AA297" s="322">
        <f>+VLOOKUP($E297,Final_nrj!$1:$1048576,AA$2,FALSE)</f>
        <v>42.81321543</v>
      </c>
      <c r="AB297" s="322">
        <f>+VLOOKUP($E297,Final_nrj!$1:$1048576,AB$2,FALSE)</f>
        <v>43.07428024</v>
      </c>
      <c r="AC297" s="322">
        <f>+VLOOKUP($E297,Final_nrj!$1:$1048576,AC$2,FALSE)</f>
        <v>43.341761320000003</v>
      </c>
      <c r="AD297" s="322">
        <f>+VLOOKUP($E297,Final_nrj!$1:$1048576,AD$2,FALSE)</f>
        <v>43.61694971</v>
      </c>
      <c r="AE297" s="322">
        <f>+VLOOKUP($E297,Final_nrj!$1:$1048576,AE$2,FALSE)</f>
        <v>43.901107680000003</v>
      </c>
      <c r="AF297" s="322">
        <f>+VLOOKUP($E297,Final_nrj!$1:$1048576,AF$2,FALSE)</f>
        <v>44.195498190000002</v>
      </c>
      <c r="AG297" s="322">
        <f>+VLOOKUP($E297,Final_nrj!$1:$1048576,AG$2,FALSE)</f>
        <v>44.501405409999997</v>
      </c>
      <c r="AH297" s="322">
        <f>+VLOOKUP($E297,Final_nrj!$1:$1048576,AH$2,FALSE)</f>
        <v>44.82014659</v>
      </c>
      <c r="AI297" s="322">
        <f>+VLOOKUP($E297,Final_nrj!$1:$1048576,AI$2,FALSE)</f>
        <v>45.153075979999997</v>
      </c>
      <c r="AJ297" s="322">
        <f>+VLOOKUP($E297,Final_nrj!$1:$1048576,AJ$2,FALSE)</f>
        <v>45.501581160000001</v>
      </c>
      <c r="AK297" s="322">
        <f>+VLOOKUP($E297,Final_nrj!$1:$1048576,AK$2,FALSE)</f>
        <v>45.867072329999999</v>
      </c>
      <c r="AL297" s="322">
        <f>+VLOOKUP($E297,Final_nrj!$1:$1048576,AL$2,FALSE)</f>
        <v>46.250964830000001</v>
      </c>
      <c r="AM297" s="322">
        <f>+VLOOKUP($E297,Final_nrj!$1:$1048576,AM$2,FALSE)</f>
        <v>46.654655400000003</v>
      </c>
      <c r="AN297" s="322">
        <f>+VLOOKUP($E297,Final_nrj!$1:$1048576,AN$2,FALSE)</f>
        <v>47.079492879999997</v>
      </c>
      <c r="AO297" s="322">
        <f>+VLOOKUP($E297,Final_nrj!$1:$1048576,AO$2,FALSE)</f>
        <v>47.526744119999996</v>
      </c>
    </row>
    <row r="298" spans="1:46" ht="15" customHeight="1" x14ac:dyDescent="0.25">
      <c r="A298" s="392"/>
      <c r="B298" s="382"/>
      <c r="C298" s="123"/>
      <c r="D298" s="123" t="s">
        <v>160</v>
      </c>
      <c r="E298" s="47" t="s">
        <v>1025</v>
      </c>
      <c r="F298" s="323" t="e">
        <f>+VLOOKUP($E298,Final_nrj!$1:$1048576,F$2,FALSE)</f>
        <v>#N/A</v>
      </c>
      <c r="G298" s="323" t="e">
        <f>+VLOOKUP($E298,Final_nrj!$1:$1048576,G$2,FALSE)</f>
        <v>#N/A</v>
      </c>
      <c r="H298" s="323" t="e">
        <f>+VLOOKUP($E298,Final_nrj!$1:$1048576,H$2,FALSE)</f>
        <v>#N/A</v>
      </c>
      <c r="I298" s="323" t="e">
        <f>+VLOOKUP($E298,Final_nrj!$1:$1048576,I$2,FALSE)</f>
        <v>#N/A</v>
      </c>
      <c r="J298" s="323" t="e">
        <f>+VLOOKUP($E298,Final_nrj!$1:$1048576,J$2,FALSE)</f>
        <v>#N/A</v>
      </c>
      <c r="K298" s="323" t="e">
        <f>+VLOOKUP($E298,Final_nrj!$1:$1048576,K$2,FALSE)</f>
        <v>#N/A</v>
      </c>
      <c r="L298" s="323" t="e">
        <f>+VLOOKUP($E298,Final_nrj!$1:$1048576,L$2,FALSE)</f>
        <v>#N/A</v>
      </c>
      <c r="M298" s="323" t="e">
        <f>+VLOOKUP($E298,Final_nrj!$1:$1048576,M$2,FALSE)</f>
        <v>#N/A</v>
      </c>
      <c r="N298" s="323" t="e">
        <f>+VLOOKUP($E298,Final_nrj!$1:$1048576,N$2,FALSE)</f>
        <v>#N/A</v>
      </c>
      <c r="O298" s="323" t="e">
        <f>+VLOOKUP($E298,Final_nrj!$1:$1048576,O$2,FALSE)</f>
        <v>#N/A</v>
      </c>
      <c r="P298" s="323" t="e">
        <f>+VLOOKUP($E298,Final_nrj!$1:$1048576,P$2,FALSE)</f>
        <v>#N/A</v>
      </c>
      <c r="Q298" s="323" t="e">
        <f>+VLOOKUP($E298,Final_nrj!$1:$1048576,Q$2,FALSE)</f>
        <v>#N/A</v>
      </c>
      <c r="R298" s="323" t="e">
        <f>+VLOOKUP($E298,Final_nrj!$1:$1048576,R$2,FALSE)</f>
        <v>#N/A</v>
      </c>
      <c r="S298" s="323" t="e">
        <f>+VLOOKUP($E298,Final_nrj!$1:$1048576,S$2,FALSE)</f>
        <v>#N/A</v>
      </c>
      <c r="T298" s="323" t="e">
        <f>+VLOOKUP($E298,Final_nrj!$1:$1048576,T$2,FALSE)</f>
        <v>#N/A</v>
      </c>
      <c r="U298" s="323" t="e">
        <f>+VLOOKUP($E298,Final_nrj!$1:$1048576,U$2,FALSE)</f>
        <v>#N/A</v>
      </c>
      <c r="V298" s="323" t="e">
        <f>+VLOOKUP($E298,Final_nrj!$1:$1048576,V$2,FALSE)</f>
        <v>#N/A</v>
      </c>
      <c r="W298" s="323" t="e">
        <f>+VLOOKUP($E298,Final_nrj!$1:$1048576,W$2,FALSE)</f>
        <v>#N/A</v>
      </c>
      <c r="X298" s="323" t="e">
        <f>+VLOOKUP($E298,Final_nrj!$1:$1048576,X$2,FALSE)</f>
        <v>#N/A</v>
      </c>
      <c r="Y298" s="323" t="e">
        <f>+VLOOKUP($E298,Final_nrj!$1:$1048576,Y$2,FALSE)</f>
        <v>#N/A</v>
      </c>
      <c r="Z298" s="323" t="e">
        <f>+VLOOKUP($E298,Final_nrj!$1:$1048576,Z$2,FALSE)</f>
        <v>#N/A</v>
      </c>
      <c r="AA298" s="323" t="e">
        <f>+VLOOKUP($E298,Final_nrj!$1:$1048576,AA$2,FALSE)</f>
        <v>#N/A</v>
      </c>
      <c r="AB298" s="323" t="e">
        <f>+VLOOKUP($E298,Final_nrj!$1:$1048576,AB$2,FALSE)</f>
        <v>#N/A</v>
      </c>
      <c r="AC298" s="323" t="e">
        <f>+VLOOKUP($E298,Final_nrj!$1:$1048576,AC$2,FALSE)</f>
        <v>#N/A</v>
      </c>
      <c r="AD298" s="323" t="e">
        <f>+VLOOKUP($E298,Final_nrj!$1:$1048576,AD$2,FALSE)</f>
        <v>#N/A</v>
      </c>
      <c r="AE298" s="323" t="e">
        <f>+VLOOKUP($E298,Final_nrj!$1:$1048576,AE$2,FALSE)</f>
        <v>#N/A</v>
      </c>
      <c r="AF298" s="323" t="e">
        <f>+VLOOKUP($E298,Final_nrj!$1:$1048576,AF$2,FALSE)</f>
        <v>#N/A</v>
      </c>
      <c r="AG298" s="323" t="e">
        <f>+VLOOKUP($E298,Final_nrj!$1:$1048576,AG$2,FALSE)</f>
        <v>#N/A</v>
      </c>
      <c r="AH298" s="323" t="e">
        <f>+VLOOKUP($E298,Final_nrj!$1:$1048576,AH$2,FALSE)</f>
        <v>#N/A</v>
      </c>
      <c r="AI298" s="323" t="e">
        <f>+VLOOKUP($E298,Final_nrj!$1:$1048576,AI$2,FALSE)</f>
        <v>#N/A</v>
      </c>
      <c r="AJ298" s="323" t="e">
        <f>+VLOOKUP($E298,Final_nrj!$1:$1048576,AJ$2,FALSE)</f>
        <v>#N/A</v>
      </c>
      <c r="AK298" s="323" t="e">
        <f>+VLOOKUP($E298,Final_nrj!$1:$1048576,AK$2,FALSE)</f>
        <v>#N/A</v>
      </c>
      <c r="AL298" s="323" t="e">
        <f>+VLOOKUP($E298,Final_nrj!$1:$1048576,AL$2,FALSE)</f>
        <v>#N/A</v>
      </c>
      <c r="AM298" s="323" t="e">
        <f>+VLOOKUP($E298,Final_nrj!$1:$1048576,AM$2,FALSE)</f>
        <v>#N/A</v>
      </c>
      <c r="AN298" s="323" t="e">
        <f>+VLOOKUP($E298,Final_nrj!$1:$1048576,AN$2,FALSE)</f>
        <v>#N/A</v>
      </c>
      <c r="AO298" s="323" t="e">
        <f>+VLOOKUP($E298,Final_nrj!$1:$1048576,AO$2,FALSE)</f>
        <v>#N/A</v>
      </c>
      <c r="AP298" s="73"/>
      <c r="AQ298" s="73"/>
      <c r="AR298" s="73"/>
      <c r="AS298" s="73"/>
      <c r="AT298" s="73"/>
    </row>
    <row r="299" spans="1:46" ht="15" customHeight="1" x14ac:dyDescent="0.25">
      <c r="A299" s="392"/>
      <c r="B299" s="382"/>
      <c r="C299" s="123"/>
      <c r="D299" s="123" t="s">
        <v>161</v>
      </c>
      <c r="E299" s="79" t="s">
        <v>1026</v>
      </c>
      <c r="F299" s="323" t="e">
        <f>+VLOOKUP($E299,Final_nrj!$1:$1048576,F$2,FALSE)</f>
        <v>#N/A</v>
      </c>
      <c r="G299" s="323" t="e">
        <f>+VLOOKUP($E299,Final_nrj!$1:$1048576,G$2,FALSE)</f>
        <v>#N/A</v>
      </c>
      <c r="H299" s="323" t="e">
        <f>+VLOOKUP($E299,Final_nrj!$1:$1048576,H$2,FALSE)</f>
        <v>#N/A</v>
      </c>
      <c r="I299" s="323" t="e">
        <f>+VLOOKUP($E299,Final_nrj!$1:$1048576,I$2,FALSE)</f>
        <v>#N/A</v>
      </c>
      <c r="J299" s="323" t="e">
        <f>+VLOOKUP($E299,Final_nrj!$1:$1048576,J$2,FALSE)</f>
        <v>#N/A</v>
      </c>
      <c r="K299" s="323" t="e">
        <f>+VLOOKUP($E299,Final_nrj!$1:$1048576,K$2,FALSE)</f>
        <v>#N/A</v>
      </c>
      <c r="L299" s="323" t="e">
        <f>+VLOOKUP($E299,Final_nrj!$1:$1048576,L$2,FALSE)</f>
        <v>#N/A</v>
      </c>
      <c r="M299" s="323" t="e">
        <f>+VLOOKUP($E299,Final_nrj!$1:$1048576,M$2,FALSE)</f>
        <v>#N/A</v>
      </c>
      <c r="N299" s="323" t="e">
        <f>+VLOOKUP($E299,Final_nrj!$1:$1048576,N$2,FALSE)</f>
        <v>#N/A</v>
      </c>
      <c r="O299" s="323" t="e">
        <f>+VLOOKUP($E299,Final_nrj!$1:$1048576,O$2,FALSE)</f>
        <v>#N/A</v>
      </c>
      <c r="P299" s="323" t="e">
        <f>+VLOOKUP($E299,Final_nrj!$1:$1048576,P$2,FALSE)</f>
        <v>#N/A</v>
      </c>
      <c r="Q299" s="323" t="e">
        <f>+VLOOKUP($E299,Final_nrj!$1:$1048576,Q$2,FALSE)</f>
        <v>#N/A</v>
      </c>
      <c r="R299" s="323" t="e">
        <f>+VLOOKUP($E299,Final_nrj!$1:$1048576,R$2,FALSE)</f>
        <v>#N/A</v>
      </c>
      <c r="S299" s="323" t="e">
        <f>+VLOOKUP($E299,Final_nrj!$1:$1048576,S$2,FALSE)</f>
        <v>#N/A</v>
      </c>
      <c r="T299" s="323" t="e">
        <f>+VLOOKUP($E299,Final_nrj!$1:$1048576,T$2,FALSE)</f>
        <v>#N/A</v>
      </c>
      <c r="U299" s="323" t="e">
        <f>+VLOOKUP($E299,Final_nrj!$1:$1048576,U$2,FALSE)</f>
        <v>#N/A</v>
      </c>
      <c r="V299" s="323" t="e">
        <f>+VLOOKUP($E299,Final_nrj!$1:$1048576,V$2,FALSE)</f>
        <v>#N/A</v>
      </c>
      <c r="W299" s="323" t="e">
        <f>+VLOOKUP($E299,Final_nrj!$1:$1048576,W$2,FALSE)</f>
        <v>#N/A</v>
      </c>
      <c r="X299" s="323" t="e">
        <f>+VLOOKUP($E299,Final_nrj!$1:$1048576,X$2,FALSE)</f>
        <v>#N/A</v>
      </c>
      <c r="Y299" s="323" t="e">
        <f>+VLOOKUP($E299,Final_nrj!$1:$1048576,Y$2,FALSE)</f>
        <v>#N/A</v>
      </c>
      <c r="Z299" s="323" t="e">
        <f>+VLOOKUP($E299,Final_nrj!$1:$1048576,Z$2,FALSE)</f>
        <v>#N/A</v>
      </c>
      <c r="AA299" s="323" t="e">
        <f>+VLOOKUP($E299,Final_nrj!$1:$1048576,AA$2,FALSE)</f>
        <v>#N/A</v>
      </c>
      <c r="AB299" s="323" t="e">
        <f>+VLOOKUP($E299,Final_nrj!$1:$1048576,AB$2,FALSE)</f>
        <v>#N/A</v>
      </c>
      <c r="AC299" s="323" t="e">
        <f>+VLOOKUP($E299,Final_nrj!$1:$1048576,AC$2,FALSE)</f>
        <v>#N/A</v>
      </c>
      <c r="AD299" s="323" t="e">
        <f>+VLOOKUP($E299,Final_nrj!$1:$1048576,AD$2,FALSE)</f>
        <v>#N/A</v>
      </c>
      <c r="AE299" s="323" t="e">
        <f>+VLOOKUP($E299,Final_nrj!$1:$1048576,AE$2,FALSE)</f>
        <v>#N/A</v>
      </c>
      <c r="AF299" s="323" t="e">
        <f>+VLOOKUP($E299,Final_nrj!$1:$1048576,AF$2,FALSE)</f>
        <v>#N/A</v>
      </c>
      <c r="AG299" s="323" t="e">
        <f>+VLOOKUP($E299,Final_nrj!$1:$1048576,AG$2,FALSE)</f>
        <v>#N/A</v>
      </c>
      <c r="AH299" s="323" t="e">
        <f>+VLOOKUP($E299,Final_nrj!$1:$1048576,AH$2,FALSE)</f>
        <v>#N/A</v>
      </c>
      <c r="AI299" s="323" t="e">
        <f>+VLOOKUP($E299,Final_nrj!$1:$1048576,AI$2,FALSE)</f>
        <v>#N/A</v>
      </c>
      <c r="AJ299" s="323" t="e">
        <f>+VLOOKUP($E299,Final_nrj!$1:$1048576,AJ$2,FALSE)</f>
        <v>#N/A</v>
      </c>
      <c r="AK299" s="323" t="e">
        <f>+VLOOKUP($E299,Final_nrj!$1:$1048576,AK$2,FALSE)</f>
        <v>#N/A</v>
      </c>
      <c r="AL299" s="323" t="e">
        <f>+VLOOKUP($E299,Final_nrj!$1:$1048576,AL$2,FALSE)</f>
        <v>#N/A</v>
      </c>
      <c r="AM299" s="323" t="e">
        <f>+VLOOKUP($E299,Final_nrj!$1:$1048576,AM$2,FALSE)</f>
        <v>#N/A</v>
      </c>
      <c r="AN299" s="323" t="e">
        <f>+VLOOKUP($E299,Final_nrj!$1:$1048576,AN$2,FALSE)</f>
        <v>#N/A</v>
      </c>
      <c r="AO299" s="323" t="e">
        <f>+VLOOKUP($E299,Final_nrj!$1:$1048576,AO$2,FALSE)</f>
        <v>#N/A</v>
      </c>
      <c r="AP299" s="73"/>
      <c r="AQ299" s="73"/>
      <c r="AR299" s="73"/>
      <c r="AS299" s="73"/>
      <c r="AT299" s="73"/>
    </row>
    <row r="300" spans="1:46" ht="15" customHeight="1" x14ac:dyDescent="0.25">
      <c r="A300" s="392"/>
      <c r="B300" s="382"/>
      <c r="C300" s="123"/>
      <c r="D300" s="123" t="s">
        <v>162</v>
      </c>
      <c r="E300" s="79" t="s">
        <v>1027</v>
      </c>
      <c r="F300" s="323" t="e">
        <f>+VLOOKUP($E300,Final_nrj!$1:$1048576,F$2,FALSE)</f>
        <v>#N/A</v>
      </c>
      <c r="G300" s="323" t="e">
        <f>+VLOOKUP($E300,Final_nrj!$1:$1048576,G$2,FALSE)</f>
        <v>#N/A</v>
      </c>
      <c r="H300" s="323" t="e">
        <f>+VLOOKUP($E300,Final_nrj!$1:$1048576,H$2,FALSE)</f>
        <v>#N/A</v>
      </c>
      <c r="I300" s="323" t="e">
        <f>+VLOOKUP($E300,Final_nrj!$1:$1048576,I$2,FALSE)</f>
        <v>#N/A</v>
      </c>
      <c r="J300" s="323" t="e">
        <f>+VLOOKUP($E300,Final_nrj!$1:$1048576,J$2,FALSE)</f>
        <v>#N/A</v>
      </c>
      <c r="K300" s="323" t="e">
        <f>+VLOOKUP($E300,Final_nrj!$1:$1048576,K$2,FALSE)</f>
        <v>#N/A</v>
      </c>
      <c r="L300" s="323" t="e">
        <f>+VLOOKUP($E300,Final_nrj!$1:$1048576,L$2,FALSE)</f>
        <v>#N/A</v>
      </c>
      <c r="M300" s="323" t="e">
        <f>+VLOOKUP($E300,Final_nrj!$1:$1048576,M$2,FALSE)</f>
        <v>#N/A</v>
      </c>
      <c r="N300" s="323" t="e">
        <f>+VLOOKUP($E300,Final_nrj!$1:$1048576,N$2,FALSE)</f>
        <v>#N/A</v>
      </c>
      <c r="O300" s="323" t="e">
        <f>+VLOOKUP($E300,Final_nrj!$1:$1048576,O$2,FALSE)</f>
        <v>#N/A</v>
      </c>
      <c r="P300" s="323" t="e">
        <f>+VLOOKUP($E300,Final_nrj!$1:$1048576,P$2,FALSE)</f>
        <v>#N/A</v>
      </c>
      <c r="Q300" s="323" t="e">
        <f>+VLOOKUP($E300,Final_nrj!$1:$1048576,Q$2,FALSE)</f>
        <v>#N/A</v>
      </c>
      <c r="R300" s="323" t="e">
        <f>+VLOOKUP($E300,Final_nrj!$1:$1048576,R$2,FALSE)</f>
        <v>#N/A</v>
      </c>
      <c r="S300" s="323" t="e">
        <f>+VLOOKUP($E300,Final_nrj!$1:$1048576,S$2,FALSE)</f>
        <v>#N/A</v>
      </c>
      <c r="T300" s="323" t="e">
        <f>+VLOOKUP($E300,Final_nrj!$1:$1048576,T$2,FALSE)</f>
        <v>#N/A</v>
      </c>
      <c r="U300" s="323" t="e">
        <f>+VLOOKUP($E300,Final_nrj!$1:$1048576,U$2,FALSE)</f>
        <v>#N/A</v>
      </c>
      <c r="V300" s="323" t="e">
        <f>+VLOOKUP($E300,Final_nrj!$1:$1048576,V$2,FALSE)</f>
        <v>#N/A</v>
      </c>
      <c r="W300" s="323" t="e">
        <f>+VLOOKUP($E300,Final_nrj!$1:$1048576,W$2,FALSE)</f>
        <v>#N/A</v>
      </c>
      <c r="X300" s="323" t="e">
        <f>+VLOOKUP($E300,Final_nrj!$1:$1048576,X$2,FALSE)</f>
        <v>#N/A</v>
      </c>
      <c r="Y300" s="323" t="e">
        <f>+VLOOKUP($E300,Final_nrj!$1:$1048576,Y$2,FALSE)</f>
        <v>#N/A</v>
      </c>
      <c r="Z300" s="323" t="e">
        <f>+VLOOKUP($E300,Final_nrj!$1:$1048576,Z$2,FALSE)</f>
        <v>#N/A</v>
      </c>
      <c r="AA300" s="323" t="e">
        <f>+VLOOKUP($E300,Final_nrj!$1:$1048576,AA$2,FALSE)</f>
        <v>#N/A</v>
      </c>
      <c r="AB300" s="323" t="e">
        <f>+VLOOKUP($E300,Final_nrj!$1:$1048576,AB$2,FALSE)</f>
        <v>#N/A</v>
      </c>
      <c r="AC300" s="323" t="e">
        <f>+VLOOKUP($E300,Final_nrj!$1:$1048576,AC$2,FALSE)</f>
        <v>#N/A</v>
      </c>
      <c r="AD300" s="323" t="e">
        <f>+VLOOKUP($E300,Final_nrj!$1:$1048576,AD$2,FALSE)</f>
        <v>#N/A</v>
      </c>
      <c r="AE300" s="323" t="e">
        <f>+VLOOKUP($E300,Final_nrj!$1:$1048576,AE$2,FALSE)</f>
        <v>#N/A</v>
      </c>
      <c r="AF300" s="323" t="e">
        <f>+VLOOKUP($E300,Final_nrj!$1:$1048576,AF$2,FALSE)</f>
        <v>#N/A</v>
      </c>
      <c r="AG300" s="323" t="e">
        <f>+VLOOKUP($E300,Final_nrj!$1:$1048576,AG$2,FALSE)</f>
        <v>#N/A</v>
      </c>
      <c r="AH300" s="323" t="e">
        <f>+VLOOKUP($E300,Final_nrj!$1:$1048576,AH$2,FALSE)</f>
        <v>#N/A</v>
      </c>
      <c r="AI300" s="323" t="e">
        <f>+VLOOKUP($E300,Final_nrj!$1:$1048576,AI$2,FALSE)</f>
        <v>#N/A</v>
      </c>
      <c r="AJ300" s="323" t="e">
        <f>+VLOOKUP($E300,Final_nrj!$1:$1048576,AJ$2,FALSE)</f>
        <v>#N/A</v>
      </c>
      <c r="AK300" s="323" t="e">
        <f>+VLOOKUP($E300,Final_nrj!$1:$1048576,AK$2,FALSE)</f>
        <v>#N/A</v>
      </c>
      <c r="AL300" s="323" t="e">
        <f>+VLOOKUP($E300,Final_nrj!$1:$1048576,AL$2,FALSE)</f>
        <v>#N/A</v>
      </c>
      <c r="AM300" s="323" t="e">
        <f>+VLOOKUP($E300,Final_nrj!$1:$1048576,AM$2,FALSE)</f>
        <v>#N/A</v>
      </c>
      <c r="AN300" s="323" t="e">
        <f>+VLOOKUP($E300,Final_nrj!$1:$1048576,AN$2,FALSE)</f>
        <v>#N/A</v>
      </c>
      <c r="AO300" s="323" t="e">
        <f>+VLOOKUP($E300,Final_nrj!$1:$1048576,AO$2,FALSE)</f>
        <v>#N/A</v>
      </c>
      <c r="AP300" s="73"/>
      <c r="AQ300" s="73"/>
      <c r="AR300" s="73"/>
      <c r="AS300" s="73"/>
      <c r="AT300" s="73"/>
    </row>
    <row r="301" spans="1:46" ht="15" customHeight="1" x14ac:dyDescent="0.25">
      <c r="A301" s="392"/>
      <c r="B301" s="382"/>
      <c r="C301" s="123"/>
      <c r="D301" s="123" t="s">
        <v>163</v>
      </c>
      <c r="E301" s="79" t="s">
        <v>1028</v>
      </c>
      <c r="F301" s="323" t="e">
        <f>+VLOOKUP($E301,Final_nrj!$1:$1048576,F$2,FALSE)</f>
        <v>#N/A</v>
      </c>
      <c r="G301" s="323" t="e">
        <f>+VLOOKUP($E301,Final_nrj!$1:$1048576,G$2,FALSE)</f>
        <v>#N/A</v>
      </c>
      <c r="H301" s="323" t="e">
        <f>+VLOOKUP($E301,Final_nrj!$1:$1048576,H$2,FALSE)</f>
        <v>#N/A</v>
      </c>
      <c r="I301" s="323" t="e">
        <f>+VLOOKUP($E301,Final_nrj!$1:$1048576,I$2,FALSE)</f>
        <v>#N/A</v>
      </c>
      <c r="J301" s="323" t="e">
        <f>+VLOOKUP($E301,Final_nrj!$1:$1048576,J$2,FALSE)</f>
        <v>#N/A</v>
      </c>
      <c r="K301" s="323" t="e">
        <f>+VLOOKUP($E301,Final_nrj!$1:$1048576,K$2,FALSE)</f>
        <v>#N/A</v>
      </c>
      <c r="L301" s="323" t="e">
        <f>+VLOOKUP($E301,Final_nrj!$1:$1048576,L$2,FALSE)</f>
        <v>#N/A</v>
      </c>
      <c r="M301" s="323" t="e">
        <f>+VLOOKUP($E301,Final_nrj!$1:$1048576,M$2,FALSE)</f>
        <v>#N/A</v>
      </c>
      <c r="N301" s="323" t="e">
        <f>+VLOOKUP($E301,Final_nrj!$1:$1048576,N$2,FALSE)</f>
        <v>#N/A</v>
      </c>
      <c r="O301" s="323" t="e">
        <f>+VLOOKUP($E301,Final_nrj!$1:$1048576,O$2,FALSE)</f>
        <v>#N/A</v>
      </c>
      <c r="P301" s="323" t="e">
        <f>+VLOOKUP($E301,Final_nrj!$1:$1048576,P$2,FALSE)</f>
        <v>#N/A</v>
      </c>
      <c r="Q301" s="323" t="e">
        <f>+VLOOKUP($E301,Final_nrj!$1:$1048576,Q$2,FALSE)</f>
        <v>#N/A</v>
      </c>
      <c r="R301" s="323" t="e">
        <f>+VLOOKUP($E301,Final_nrj!$1:$1048576,R$2,FALSE)</f>
        <v>#N/A</v>
      </c>
      <c r="S301" s="323" t="e">
        <f>+VLOOKUP($E301,Final_nrj!$1:$1048576,S$2,FALSE)</f>
        <v>#N/A</v>
      </c>
      <c r="T301" s="323" t="e">
        <f>+VLOOKUP($E301,Final_nrj!$1:$1048576,T$2,FALSE)</f>
        <v>#N/A</v>
      </c>
      <c r="U301" s="323" t="e">
        <f>+VLOOKUP($E301,Final_nrj!$1:$1048576,U$2,FALSE)</f>
        <v>#N/A</v>
      </c>
      <c r="V301" s="323" t="e">
        <f>+VLOOKUP($E301,Final_nrj!$1:$1048576,V$2,FALSE)</f>
        <v>#N/A</v>
      </c>
      <c r="W301" s="323" t="e">
        <f>+VLOOKUP($E301,Final_nrj!$1:$1048576,W$2,FALSE)</f>
        <v>#N/A</v>
      </c>
      <c r="X301" s="323" t="e">
        <f>+VLOOKUP($E301,Final_nrj!$1:$1048576,X$2,FALSE)</f>
        <v>#N/A</v>
      </c>
      <c r="Y301" s="323" t="e">
        <f>+VLOOKUP($E301,Final_nrj!$1:$1048576,Y$2,FALSE)</f>
        <v>#N/A</v>
      </c>
      <c r="Z301" s="323" t="e">
        <f>+VLOOKUP($E301,Final_nrj!$1:$1048576,Z$2,FALSE)</f>
        <v>#N/A</v>
      </c>
      <c r="AA301" s="323" t="e">
        <f>+VLOOKUP($E301,Final_nrj!$1:$1048576,AA$2,FALSE)</f>
        <v>#N/A</v>
      </c>
      <c r="AB301" s="323" t="e">
        <f>+VLOOKUP($E301,Final_nrj!$1:$1048576,AB$2,FALSE)</f>
        <v>#N/A</v>
      </c>
      <c r="AC301" s="323" t="e">
        <f>+VLOOKUP($E301,Final_nrj!$1:$1048576,AC$2,FALSE)</f>
        <v>#N/A</v>
      </c>
      <c r="AD301" s="323" t="e">
        <f>+VLOOKUP($E301,Final_nrj!$1:$1048576,AD$2,FALSE)</f>
        <v>#N/A</v>
      </c>
      <c r="AE301" s="323" t="e">
        <f>+VLOOKUP($E301,Final_nrj!$1:$1048576,AE$2,FALSE)</f>
        <v>#N/A</v>
      </c>
      <c r="AF301" s="323" t="e">
        <f>+VLOOKUP($E301,Final_nrj!$1:$1048576,AF$2,FALSE)</f>
        <v>#N/A</v>
      </c>
      <c r="AG301" s="323" t="e">
        <f>+VLOOKUP($E301,Final_nrj!$1:$1048576,AG$2,FALSE)</f>
        <v>#N/A</v>
      </c>
      <c r="AH301" s="323" t="e">
        <f>+VLOOKUP($E301,Final_nrj!$1:$1048576,AH$2,FALSE)</f>
        <v>#N/A</v>
      </c>
      <c r="AI301" s="323" t="e">
        <f>+VLOOKUP($E301,Final_nrj!$1:$1048576,AI$2,FALSE)</f>
        <v>#N/A</v>
      </c>
      <c r="AJ301" s="323" t="e">
        <f>+VLOOKUP($E301,Final_nrj!$1:$1048576,AJ$2,FALSE)</f>
        <v>#N/A</v>
      </c>
      <c r="AK301" s="323" t="e">
        <f>+VLOOKUP($E301,Final_nrj!$1:$1048576,AK$2,FALSE)</f>
        <v>#N/A</v>
      </c>
      <c r="AL301" s="323" t="e">
        <f>+VLOOKUP($E301,Final_nrj!$1:$1048576,AL$2,FALSE)</f>
        <v>#N/A</v>
      </c>
      <c r="AM301" s="323" t="e">
        <f>+VLOOKUP($E301,Final_nrj!$1:$1048576,AM$2,FALSE)</f>
        <v>#N/A</v>
      </c>
      <c r="AN301" s="323" t="e">
        <f>+VLOOKUP($E301,Final_nrj!$1:$1048576,AN$2,FALSE)</f>
        <v>#N/A</v>
      </c>
      <c r="AO301" s="323" t="e">
        <f>+VLOOKUP($E301,Final_nrj!$1:$1048576,AO$2,FALSE)</f>
        <v>#N/A</v>
      </c>
      <c r="AP301" s="73"/>
      <c r="AQ301" s="73"/>
      <c r="AR301" s="73"/>
      <c r="AS301" s="73"/>
      <c r="AT301" s="73"/>
    </row>
    <row r="302" spans="1:46" ht="15" customHeight="1" x14ac:dyDescent="0.25">
      <c r="A302" s="392"/>
      <c r="B302" s="382"/>
      <c r="C302" s="123"/>
      <c r="D302" s="123" t="s">
        <v>164</v>
      </c>
      <c r="E302" s="79" t="s">
        <v>1029</v>
      </c>
      <c r="F302" s="323" t="e">
        <f>+VLOOKUP($E302,Final_nrj!$1:$1048576,F$2,FALSE)</f>
        <v>#N/A</v>
      </c>
      <c r="G302" s="323" t="e">
        <f>+VLOOKUP($E302,Final_nrj!$1:$1048576,G$2,FALSE)</f>
        <v>#N/A</v>
      </c>
      <c r="H302" s="323" t="e">
        <f>+VLOOKUP($E302,Final_nrj!$1:$1048576,H$2,FALSE)</f>
        <v>#N/A</v>
      </c>
      <c r="I302" s="323" t="e">
        <f>+VLOOKUP($E302,Final_nrj!$1:$1048576,I$2,FALSE)</f>
        <v>#N/A</v>
      </c>
      <c r="J302" s="323" t="e">
        <f>+VLOOKUP($E302,Final_nrj!$1:$1048576,J$2,FALSE)</f>
        <v>#N/A</v>
      </c>
      <c r="K302" s="323" t="e">
        <f>+VLOOKUP($E302,Final_nrj!$1:$1048576,K$2,FALSE)</f>
        <v>#N/A</v>
      </c>
      <c r="L302" s="323" t="e">
        <f>+VLOOKUP($E302,Final_nrj!$1:$1048576,L$2,FALSE)</f>
        <v>#N/A</v>
      </c>
      <c r="M302" s="323" t="e">
        <f>+VLOOKUP($E302,Final_nrj!$1:$1048576,M$2,FALSE)</f>
        <v>#N/A</v>
      </c>
      <c r="N302" s="323" t="e">
        <f>+VLOOKUP($E302,Final_nrj!$1:$1048576,N$2,FALSE)</f>
        <v>#N/A</v>
      </c>
      <c r="O302" s="323" t="e">
        <f>+VLOOKUP($E302,Final_nrj!$1:$1048576,O$2,FALSE)</f>
        <v>#N/A</v>
      </c>
      <c r="P302" s="323" t="e">
        <f>+VLOOKUP($E302,Final_nrj!$1:$1048576,P$2,FALSE)</f>
        <v>#N/A</v>
      </c>
      <c r="Q302" s="323" t="e">
        <f>+VLOOKUP($E302,Final_nrj!$1:$1048576,Q$2,FALSE)</f>
        <v>#N/A</v>
      </c>
      <c r="R302" s="323" t="e">
        <f>+VLOOKUP($E302,Final_nrj!$1:$1048576,R$2,FALSE)</f>
        <v>#N/A</v>
      </c>
      <c r="S302" s="323" t="e">
        <f>+VLOOKUP($E302,Final_nrj!$1:$1048576,S$2,FALSE)</f>
        <v>#N/A</v>
      </c>
      <c r="T302" s="323" t="e">
        <f>+VLOOKUP($E302,Final_nrj!$1:$1048576,T$2,FALSE)</f>
        <v>#N/A</v>
      </c>
      <c r="U302" s="323" t="e">
        <f>+VLOOKUP($E302,Final_nrj!$1:$1048576,U$2,FALSE)</f>
        <v>#N/A</v>
      </c>
      <c r="V302" s="323" t="e">
        <f>+VLOOKUP($E302,Final_nrj!$1:$1048576,V$2,FALSE)</f>
        <v>#N/A</v>
      </c>
      <c r="W302" s="323" t="e">
        <f>+VLOOKUP($E302,Final_nrj!$1:$1048576,W$2,FALSE)</f>
        <v>#N/A</v>
      </c>
      <c r="X302" s="323" t="e">
        <f>+VLOOKUP($E302,Final_nrj!$1:$1048576,X$2,FALSE)</f>
        <v>#N/A</v>
      </c>
      <c r="Y302" s="323" t="e">
        <f>+VLOOKUP($E302,Final_nrj!$1:$1048576,Y$2,FALSE)</f>
        <v>#N/A</v>
      </c>
      <c r="Z302" s="323" t="e">
        <f>+VLOOKUP($E302,Final_nrj!$1:$1048576,Z$2,FALSE)</f>
        <v>#N/A</v>
      </c>
      <c r="AA302" s="323" t="e">
        <f>+VLOOKUP($E302,Final_nrj!$1:$1048576,AA$2,FALSE)</f>
        <v>#N/A</v>
      </c>
      <c r="AB302" s="323" t="e">
        <f>+VLOOKUP($E302,Final_nrj!$1:$1048576,AB$2,FALSE)</f>
        <v>#N/A</v>
      </c>
      <c r="AC302" s="323" t="e">
        <f>+VLOOKUP($E302,Final_nrj!$1:$1048576,AC$2,FALSE)</f>
        <v>#N/A</v>
      </c>
      <c r="AD302" s="323" t="e">
        <f>+VLOOKUP($E302,Final_nrj!$1:$1048576,AD$2,FALSE)</f>
        <v>#N/A</v>
      </c>
      <c r="AE302" s="323" t="e">
        <f>+VLOOKUP($E302,Final_nrj!$1:$1048576,AE$2,FALSE)</f>
        <v>#N/A</v>
      </c>
      <c r="AF302" s="323" t="e">
        <f>+VLOOKUP($E302,Final_nrj!$1:$1048576,AF$2,FALSE)</f>
        <v>#N/A</v>
      </c>
      <c r="AG302" s="323" t="e">
        <f>+VLOOKUP($E302,Final_nrj!$1:$1048576,AG$2,FALSE)</f>
        <v>#N/A</v>
      </c>
      <c r="AH302" s="323" t="e">
        <f>+VLOOKUP($E302,Final_nrj!$1:$1048576,AH$2,FALSE)</f>
        <v>#N/A</v>
      </c>
      <c r="AI302" s="323" t="e">
        <f>+VLOOKUP($E302,Final_nrj!$1:$1048576,AI$2,FALSE)</f>
        <v>#N/A</v>
      </c>
      <c r="AJ302" s="323" t="e">
        <f>+VLOOKUP($E302,Final_nrj!$1:$1048576,AJ$2,FALSE)</f>
        <v>#N/A</v>
      </c>
      <c r="AK302" s="323" t="e">
        <f>+VLOOKUP($E302,Final_nrj!$1:$1048576,AK$2,FALSE)</f>
        <v>#N/A</v>
      </c>
      <c r="AL302" s="323" t="e">
        <f>+VLOOKUP($E302,Final_nrj!$1:$1048576,AL$2,FALSE)</f>
        <v>#N/A</v>
      </c>
      <c r="AM302" s="323" t="e">
        <f>+VLOOKUP($E302,Final_nrj!$1:$1048576,AM$2,FALSE)</f>
        <v>#N/A</v>
      </c>
      <c r="AN302" s="323" t="e">
        <f>+VLOOKUP($E302,Final_nrj!$1:$1048576,AN$2,FALSE)</f>
        <v>#N/A</v>
      </c>
      <c r="AO302" s="323" t="e">
        <f>+VLOOKUP($E302,Final_nrj!$1:$1048576,AO$2,FALSE)</f>
        <v>#N/A</v>
      </c>
      <c r="AP302" s="73"/>
      <c r="AQ302" s="73"/>
      <c r="AR302" s="73"/>
      <c r="AS302" s="73"/>
      <c r="AT302" s="73"/>
    </row>
    <row r="303" spans="1:46" ht="15" customHeight="1" x14ac:dyDescent="0.25">
      <c r="A303" s="392"/>
      <c r="B303" s="382"/>
      <c r="C303" s="123"/>
      <c r="D303" s="123" t="s">
        <v>165</v>
      </c>
      <c r="E303" s="79" t="s">
        <v>1030</v>
      </c>
      <c r="F303" s="323" t="e">
        <f>+VLOOKUP($E303,Final_nrj!$1:$1048576,F$2,FALSE)</f>
        <v>#N/A</v>
      </c>
      <c r="G303" s="323" t="e">
        <f>+VLOOKUP($E303,Final_nrj!$1:$1048576,G$2,FALSE)</f>
        <v>#N/A</v>
      </c>
      <c r="H303" s="323" t="e">
        <f>+VLOOKUP($E303,Final_nrj!$1:$1048576,H$2,FALSE)</f>
        <v>#N/A</v>
      </c>
      <c r="I303" s="323" t="e">
        <f>+VLOOKUP($E303,Final_nrj!$1:$1048576,I$2,FALSE)</f>
        <v>#N/A</v>
      </c>
      <c r="J303" s="323" t="e">
        <f>+VLOOKUP($E303,Final_nrj!$1:$1048576,J$2,FALSE)</f>
        <v>#N/A</v>
      </c>
      <c r="K303" s="323" t="e">
        <f>+VLOOKUP($E303,Final_nrj!$1:$1048576,K$2,FALSE)</f>
        <v>#N/A</v>
      </c>
      <c r="L303" s="323" t="e">
        <f>+VLOOKUP($E303,Final_nrj!$1:$1048576,L$2,FALSE)</f>
        <v>#N/A</v>
      </c>
      <c r="M303" s="323" t="e">
        <f>+VLOOKUP($E303,Final_nrj!$1:$1048576,M$2,FALSE)</f>
        <v>#N/A</v>
      </c>
      <c r="N303" s="323" t="e">
        <f>+VLOOKUP($E303,Final_nrj!$1:$1048576,N$2,FALSE)</f>
        <v>#N/A</v>
      </c>
      <c r="O303" s="323" t="e">
        <f>+VLOOKUP($E303,Final_nrj!$1:$1048576,O$2,FALSE)</f>
        <v>#N/A</v>
      </c>
      <c r="P303" s="323" t="e">
        <f>+VLOOKUP($E303,Final_nrj!$1:$1048576,P$2,FALSE)</f>
        <v>#N/A</v>
      </c>
      <c r="Q303" s="323" t="e">
        <f>+VLOOKUP($E303,Final_nrj!$1:$1048576,Q$2,FALSE)</f>
        <v>#N/A</v>
      </c>
      <c r="R303" s="323" t="e">
        <f>+VLOOKUP($E303,Final_nrj!$1:$1048576,R$2,FALSE)</f>
        <v>#N/A</v>
      </c>
      <c r="S303" s="323" t="e">
        <f>+VLOOKUP($E303,Final_nrj!$1:$1048576,S$2,FALSE)</f>
        <v>#N/A</v>
      </c>
      <c r="T303" s="323" t="e">
        <f>+VLOOKUP($E303,Final_nrj!$1:$1048576,T$2,FALSE)</f>
        <v>#N/A</v>
      </c>
      <c r="U303" s="323" t="e">
        <f>+VLOOKUP($E303,Final_nrj!$1:$1048576,U$2,FALSE)</f>
        <v>#N/A</v>
      </c>
      <c r="V303" s="323" t="e">
        <f>+VLOOKUP($E303,Final_nrj!$1:$1048576,V$2,FALSE)</f>
        <v>#N/A</v>
      </c>
      <c r="W303" s="323" t="e">
        <f>+VLOOKUP($E303,Final_nrj!$1:$1048576,W$2,FALSE)</f>
        <v>#N/A</v>
      </c>
      <c r="X303" s="323" t="e">
        <f>+VLOOKUP($E303,Final_nrj!$1:$1048576,X$2,FALSE)</f>
        <v>#N/A</v>
      </c>
      <c r="Y303" s="323" t="e">
        <f>+VLOOKUP($E303,Final_nrj!$1:$1048576,Y$2,FALSE)</f>
        <v>#N/A</v>
      </c>
      <c r="Z303" s="323" t="e">
        <f>+VLOOKUP($E303,Final_nrj!$1:$1048576,Z$2,FALSE)</f>
        <v>#N/A</v>
      </c>
      <c r="AA303" s="323" t="e">
        <f>+VLOOKUP($E303,Final_nrj!$1:$1048576,AA$2,FALSE)</f>
        <v>#N/A</v>
      </c>
      <c r="AB303" s="323" t="e">
        <f>+VLOOKUP($E303,Final_nrj!$1:$1048576,AB$2,FALSE)</f>
        <v>#N/A</v>
      </c>
      <c r="AC303" s="323" t="e">
        <f>+VLOOKUP($E303,Final_nrj!$1:$1048576,AC$2,FALSE)</f>
        <v>#N/A</v>
      </c>
      <c r="AD303" s="323" t="e">
        <f>+VLOOKUP($E303,Final_nrj!$1:$1048576,AD$2,FALSE)</f>
        <v>#N/A</v>
      </c>
      <c r="AE303" s="323" t="e">
        <f>+VLOOKUP($E303,Final_nrj!$1:$1048576,AE$2,FALSE)</f>
        <v>#N/A</v>
      </c>
      <c r="AF303" s="323" t="e">
        <f>+VLOOKUP($E303,Final_nrj!$1:$1048576,AF$2,FALSE)</f>
        <v>#N/A</v>
      </c>
      <c r="AG303" s="323" t="e">
        <f>+VLOOKUP($E303,Final_nrj!$1:$1048576,AG$2,FALSE)</f>
        <v>#N/A</v>
      </c>
      <c r="AH303" s="323" t="e">
        <f>+VLOOKUP($E303,Final_nrj!$1:$1048576,AH$2,FALSE)</f>
        <v>#N/A</v>
      </c>
      <c r="AI303" s="323" t="e">
        <f>+VLOOKUP($E303,Final_nrj!$1:$1048576,AI$2,FALSE)</f>
        <v>#N/A</v>
      </c>
      <c r="AJ303" s="323" t="e">
        <f>+VLOOKUP($E303,Final_nrj!$1:$1048576,AJ$2,FALSE)</f>
        <v>#N/A</v>
      </c>
      <c r="AK303" s="323" t="e">
        <f>+VLOOKUP($E303,Final_nrj!$1:$1048576,AK$2,FALSE)</f>
        <v>#N/A</v>
      </c>
      <c r="AL303" s="323" t="e">
        <f>+VLOOKUP($E303,Final_nrj!$1:$1048576,AL$2,FALSE)</f>
        <v>#N/A</v>
      </c>
      <c r="AM303" s="323" t="e">
        <f>+VLOOKUP($E303,Final_nrj!$1:$1048576,AM$2,FALSE)</f>
        <v>#N/A</v>
      </c>
      <c r="AN303" s="323" t="e">
        <f>+VLOOKUP($E303,Final_nrj!$1:$1048576,AN$2,FALSE)</f>
        <v>#N/A</v>
      </c>
      <c r="AO303" s="323" t="e">
        <f>+VLOOKUP($E303,Final_nrj!$1:$1048576,AO$2,FALSE)</f>
        <v>#N/A</v>
      </c>
      <c r="AP303" s="73"/>
      <c r="AQ303" s="73"/>
      <c r="AR303" s="73"/>
      <c r="AS303" s="73"/>
      <c r="AT303" s="73"/>
    </row>
    <row r="304" spans="1:46" ht="15" customHeight="1" x14ac:dyDescent="0.25">
      <c r="A304" s="392"/>
      <c r="B304" s="382"/>
      <c r="C304" s="123"/>
      <c r="D304" s="123" t="s">
        <v>549</v>
      </c>
      <c r="E304" s="79" t="s">
        <v>1031</v>
      </c>
      <c r="F304" s="323" t="e">
        <f>+VLOOKUP($E304,Final_nrj!$1:$1048576,F$2,FALSE)</f>
        <v>#N/A</v>
      </c>
      <c r="G304" s="323" t="e">
        <f>+VLOOKUP($E304,Final_nrj!$1:$1048576,G$2,FALSE)</f>
        <v>#N/A</v>
      </c>
      <c r="H304" s="323" t="e">
        <f>+VLOOKUP($E304,Final_nrj!$1:$1048576,H$2,FALSE)</f>
        <v>#N/A</v>
      </c>
      <c r="I304" s="323" t="e">
        <f>+VLOOKUP($E304,Final_nrj!$1:$1048576,I$2,FALSE)</f>
        <v>#N/A</v>
      </c>
      <c r="J304" s="323" t="e">
        <f>+VLOOKUP($E304,Final_nrj!$1:$1048576,J$2,FALSE)</f>
        <v>#N/A</v>
      </c>
      <c r="K304" s="323" t="e">
        <f>+VLOOKUP($E304,Final_nrj!$1:$1048576,K$2,FALSE)</f>
        <v>#N/A</v>
      </c>
      <c r="L304" s="323" t="e">
        <f>+VLOOKUP($E304,Final_nrj!$1:$1048576,L$2,FALSE)</f>
        <v>#N/A</v>
      </c>
      <c r="M304" s="323" t="e">
        <f>+VLOOKUP($E304,Final_nrj!$1:$1048576,M$2,FALSE)</f>
        <v>#N/A</v>
      </c>
      <c r="N304" s="323" t="e">
        <f>+VLOOKUP($E304,Final_nrj!$1:$1048576,N$2,FALSE)</f>
        <v>#N/A</v>
      </c>
      <c r="O304" s="323" t="e">
        <f>+VLOOKUP($E304,Final_nrj!$1:$1048576,O$2,FALSE)</f>
        <v>#N/A</v>
      </c>
      <c r="P304" s="323" t="e">
        <f>+VLOOKUP($E304,Final_nrj!$1:$1048576,P$2,FALSE)</f>
        <v>#N/A</v>
      </c>
      <c r="Q304" s="323" t="e">
        <f>+VLOOKUP($E304,Final_nrj!$1:$1048576,Q$2,FALSE)</f>
        <v>#N/A</v>
      </c>
      <c r="R304" s="323" t="e">
        <f>+VLOOKUP($E304,Final_nrj!$1:$1048576,R$2,FALSE)</f>
        <v>#N/A</v>
      </c>
      <c r="S304" s="323" t="e">
        <f>+VLOOKUP($E304,Final_nrj!$1:$1048576,S$2,FALSE)</f>
        <v>#N/A</v>
      </c>
      <c r="T304" s="323" t="e">
        <f>+VLOOKUP($E304,Final_nrj!$1:$1048576,T$2,FALSE)</f>
        <v>#N/A</v>
      </c>
      <c r="U304" s="323" t="e">
        <f>+VLOOKUP($E304,Final_nrj!$1:$1048576,U$2,FALSE)</f>
        <v>#N/A</v>
      </c>
      <c r="V304" s="323" t="e">
        <f>+VLOOKUP($E304,Final_nrj!$1:$1048576,V$2,FALSE)</f>
        <v>#N/A</v>
      </c>
      <c r="W304" s="323" t="e">
        <f>+VLOOKUP($E304,Final_nrj!$1:$1048576,W$2,FALSE)</f>
        <v>#N/A</v>
      </c>
      <c r="X304" s="323" t="e">
        <f>+VLOOKUP($E304,Final_nrj!$1:$1048576,X$2,FALSE)</f>
        <v>#N/A</v>
      </c>
      <c r="Y304" s="323" t="e">
        <f>+VLOOKUP($E304,Final_nrj!$1:$1048576,Y$2,FALSE)</f>
        <v>#N/A</v>
      </c>
      <c r="Z304" s="323" t="e">
        <f>+VLOOKUP($E304,Final_nrj!$1:$1048576,Z$2,FALSE)</f>
        <v>#N/A</v>
      </c>
      <c r="AA304" s="323" t="e">
        <f>+VLOOKUP($E304,Final_nrj!$1:$1048576,AA$2,FALSE)</f>
        <v>#N/A</v>
      </c>
      <c r="AB304" s="323" t="e">
        <f>+VLOOKUP($E304,Final_nrj!$1:$1048576,AB$2,FALSE)</f>
        <v>#N/A</v>
      </c>
      <c r="AC304" s="323" t="e">
        <f>+VLOOKUP($E304,Final_nrj!$1:$1048576,AC$2,FALSE)</f>
        <v>#N/A</v>
      </c>
      <c r="AD304" s="323" t="e">
        <f>+VLOOKUP($E304,Final_nrj!$1:$1048576,AD$2,FALSE)</f>
        <v>#N/A</v>
      </c>
      <c r="AE304" s="323" t="e">
        <f>+VLOOKUP($E304,Final_nrj!$1:$1048576,AE$2,FALSE)</f>
        <v>#N/A</v>
      </c>
      <c r="AF304" s="323" t="e">
        <f>+VLOOKUP($E304,Final_nrj!$1:$1048576,AF$2,FALSE)</f>
        <v>#N/A</v>
      </c>
      <c r="AG304" s="323" t="e">
        <f>+VLOOKUP($E304,Final_nrj!$1:$1048576,AG$2,FALSE)</f>
        <v>#N/A</v>
      </c>
      <c r="AH304" s="323" t="e">
        <f>+VLOOKUP($E304,Final_nrj!$1:$1048576,AH$2,FALSE)</f>
        <v>#N/A</v>
      </c>
      <c r="AI304" s="323" t="e">
        <f>+VLOOKUP($E304,Final_nrj!$1:$1048576,AI$2,FALSE)</f>
        <v>#N/A</v>
      </c>
      <c r="AJ304" s="323" t="e">
        <f>+VLOOKUP($E304,Final_nrj!$1:$1048576,AJ$2,FALSE)</f>
        <v>#N/A</v>
      </c>
      <c r="AK304" s="323" t="e">
        <f>+VLOOKUP($E304,Final_nrj!$1:$1048576,AK$2,FALSE)</f>
        <v>#N/A</v>
      </c>
      <c r="AL304" s="323" t="e">
        <f>+VLOOKUP($E304,Final_nrj!$1:$1048576,AL$2,FALSE)</f>
        <v>#N/A</v>
      </c>
      <c r="AM304" s="323" t="e">
        <f>+VLOOKUP($E304,Final_nrj!$1:$1048576,AM$2,FALSE)</f>
        <v>#N/A</v>
      </c>
      <c r="AN304" s="323" t="e">
        <f>+VLOOKUP($E304,Final_nrj!$1:$1048576,AN$2,FALSE)</f>
        <v>#N/A</v>
      </c>
      <c r="AO304" s="323" t="e">
        <f>+VLOOKUP($E304,Final_nrj!$1:$1048576,AO$2,FALSE)</f>
        <v>#N/A</v>
      </c>
      <c r="AP304" s="73"/>
      <c r="AQ304" s="73"/>
      <c r="AR304" s="73"/>
      <c r="AS304" s="73"/>
      <c r="AT304" s="73"/>
    </row>
    <row r="305" spans="1:51" ht="15" customHeight="1" x14ac:dyDescent="0.25">
      <c r="A305" s="392"/>
      <c r="B305" s="382"/>
      <c r="C305" s="123"/>
      <c r="D305" s="123" t="s">
        <v>481</v>
      </c>
      <c r="E305" s="79" t="s">
        <v>1032</v>
      </c>
      <c r="F305" s="323" t="e">
        <f>+VLOOKUP($E305,Final_nrj!$1:$1048576,F$2,FALSE)</f>
        <v>#N/A</v>
      </c>
      <c r="G305" s="323" t="e">
        <f>+VLOOKUP($E305,Final_nrj!$1:$1048576,G$2,FALSE)</f>
        <v>#N/A</v>
      </c>
      <c r="H305" s="323" t="e">
        <f>+VLOOKUP($E305,Final_nrj!$1:$1048576,H$2,FALSE)</f>
        <v>#N/A</v>
      </c>
      <c r="I305" s="323" t="e">
        <f>+VLOOKUP($E305,Final_nrj!$1:$1048576,I$2,FALSE)</f>
        <v>#N/A</v>
      </c>
      <c r="J305" s="323" t="e">
        <f>+VLOOKUP($E305,Final_nrj!$1:$1048576,J$2,FALSE)</f>
        <v>#N/A</v>
      </c>
      <c r="K305" s="323" t="e">
        <f>+VLOOKUP($E305,Final_nrj!$1:$1048576,K$2,FALSE)</f>
        <v>#N/A</v>
      </c>
      <c r="L305" s="323" t="e">
        <f>+VLOOKUP($E305,Final_nrj!$1:$1048576,L$2,FALSE)</f>
        <v>#N/A</v>
      </c>
      <c r="M305" s="323" t="e">
        <f>+VLOOKUP($E305,Final_nrj!$1:$1048576,M$2,FALSE)</f>
        <v>#N/A</v>
      </c>
      <c r="N305" s="323" t="e">
        <f>+VLOOKUP($E305,Final_nrj!$1:$1048576,N$2,FALSE)</f>
        <v>#N/A</v>
      </c>
      <c r="O305" s="323" t="e">
        <f>+VLOOKUP($E305,Final_nrj!$1:$1048576,O$2,FALSE)</f>
        <v>#N/A</v>
      </c>
      <c r="P305" s="323" t="e">
        <f>+VLOOKUP($E305,Final_nrj!$1:$1048576,P$2,FALSE)</f>
        <v>#N/A</v>
      </c>
      <c r="Q305" s="323" t="e">
        <f>+VLOOKUP($E305,Final_nrj!$1:$1048576,Q$2,FALSE)</f>
        <v>#N/A</v>
      </c>
      <c r="R305" s="323" t="e">
        <f>+VLOOKUP($E305,Final_nrj!$1:$1048576,R$2,FALSE)</f>
        <v>#N/A</v>
      </c>
      <c r="S305" s="323" t="e">
        <f>+VLOOKUP($E305,Final_nrj!$1:$1048576,S$2,FALSE)</f>
        <v>#N/A</v>
      </c>
      <c r="T305" s="323" t="e">
        <f>+VLOOKUP($E305,Final_nrj!$1:$1048576,T$2,FALSE)</f>
        <v>#N/A</v>
      </c>
      <c r="U305" s="323" t="e">
        <f>+VLOOKUP($E305,Final_nrj!$1:$1048576,U$2,FALSE)</f>
        <v>#N/A</v>
      </c>
      <c r="V305" s="323" t="e">
        <f>+VLOOKUP($E305,Final_nrj!$1:$1048576,V$2,FALSE)</f>
        <v>#N/A</v>
      </c>
      <c r="W305" s="323" t="e">
        <f>+VLOOKUP($E305,Final_nrj!$1:$1048576,W$2,FALSE)</f>
        <v>#N/A</v>
      </c>
      <c r="X305" s="323" t="e">
        <f>+VLOOKUP($E305,Final_nrj!$1:$1048576,X$2,FALSE)</f>
        <v>#N/A</v>
      </c>
      <c r="Y305" s="323" t="e">
        <f>+VLOOKUP($E305,Final_nrj!$1:$1048576,Y$2,FALSE)</f>
        <v>#N/A</v>
      </c>
      <c r="Z305" s="323" t="e">
        <f>+VLOOKUP($E305,Final_nrj!$1:$1048576,Z$2,FALSE)</f>
        <v>#N/A</v>
      </c>
      <c r="AA305" s="323" t="e">
        <f>+VLOOKUP($E305,Final_nrj!$1:$1048576,AA$2,FALSE)</f>
        <v>#N/A</v>
      </c>
      <c r="AB305" s="323" t="e">
        <f>+VLOOKUP($E305,Final_nrj!$1:$1048576,AB$2,FALSE)</f>
        <v>#N/A</v>
      </c>
      <c r="AC305" s="323" t="e">
        <f>+VLOOKUP($E305,Final_nrj!$1:$1048576,AC$2,FALSE)</f>
        <v>#N/A</v>
      </c>
      <c r="AD305" s="323" t="e">
        <f>+VLOOKUP($E305,Final_nrj!$1:$1048576,AD$2,FALSE)</f>
        <v>#N/A</v>
      </c>
      <c r="AE305" s="323" t="e">
        <f>+VLOOKUP($E305,Final_nrj!$1:$1048576,AE$2,FALSE)</f>
        <v>#N/A</v>
      </c>
      <c r="AF305" s="323" t="e">
        <f>+VLOOKUP($E305,Final_nrj!$1:$1048576,AF$2,FALSE)</f>
        <v>#N/A</v>
      </c>
      <c r="AG305" s="323" t="e">
        <f>+VLOOKUP($E305,Final_nrj!$1:$1048576,AG$2,FALSE)</f>
        <v>#N/A</v>
      </c>
      <c r="AH305" s="323" t="e">
        <f>+VLOOKUP($E305,Final_nrj!$1:$1048576,AH$2,FALSE)</f>
        <v>#N/A</v>
      </c>
      <c r="AI305" s="323" t="e">
        <f>+VLOOKUP($E305,Final_nrj!$1:$1048576,AI$2,FALSE)</f>
        <v>#N/A</v>
      </c>
      <c r="AJ305" s="323" t="e">
        <f>+VLOOKUP($E305,Final_nrj!$1:$1048576,AJ$2,FALSE)</f>
        <v>#N/A</v>
      </c>
      <c r="AK305" s="323" t="e">
        <f>+VLOOKUP($E305,Final_nrj!$1:$1048576,AK$2,FALSE)</f>
        <v>#N/A</v>
      </c>
      <c r="AL305" s="323" t="e">
        <f>+VLOOKUP($E305,Final_nrj!$1:$1048576,AL$2,FALSE)</f>
        <v>#N/A</v>
      </c>
      <c r="AM305" s="323" t="e">
        <f>+VLOOKUP($E305,Final_nrj!$1:$1048576,AM$2,FALSE)</f>
        <v>#N/A</v>
      </c>
      <c r="AN305" s="323" t="e">
        <f>+VLOOKUP($E305,Final_nrj!$1:$1048576,AN$2,FALSE)</f>
        <v>#N/A</v>
      </c>
      <c r="AO305" s="323" t="e">
        <f>+VLOOKUP($E305,Final_nrj!$1:$1048576,AO$2,FALSE)</f>
        <v>#N/A</v>
      </c>
      <c r="AP305" s="73"/>
      <c r="AQ305" s="73"/>
      <c r="AR305" s="73"/>
      <c r="AS305" s="73"/>
      <c r="AT305" s="73"/>
    </row>
    <row r="306" spans="1:51" s="73" customFormat="1" ht="15" customHeight="1" x14ac:dyDescent="0.25">
      <c r="A306" s="392"/>
      <c r="B306" s="382"/>
      <c r="C306" s="123"/>
      <c r="D306" s="123" t="s">
        <v>482</v>
      </c>
      <c r="E306" s="79" t="s">
        <v>1033</v>
      </c>
      <c r="F306" s="323" t="e">
        <f>+VLOOKUP($E306,Final_nrj!$1:$1048576,F$2,FALSE)</f>
        <v>#N/A</v>
      </c>
      <c r="G306" s="323" t="e">
        <f>+VLOOKUP($E306,Final_nrj!$1:$1048576,G$2,FALSE)</f>
        <v>#N/A</v>
      </c>
      <c r="H306" s="323" t="e">
        <f>+VLOOKUP($E306,Final_nrj!$1:$1048576,H$2,FALSE)</f>
        <v>#N/A</v>
      </c>
      <c r="I306" s="323" t="e">
        <f>+VLOOKUP($E306,Final_nrj!$1:$1048576,I$2,FALSE)</f>
        <v>#N/A</v>
      </c>
      <c r="J306" s="323" t="e">
        <f>+VLOOKUP($E306,Final_nrj!$1:$1048576,J$2,FALSE)</f>
        <v>#N/A</v>
      </c>
      <c r="K306" s="323" t="e">
        <f>+VLOOKUP($E306,Final_nrj!$1:$1048576,K$2,FALSE)</f>
        <v>#N/A</v>
      </c>
      <c r="L306" s="323" t="e">
        <f>+VLOOKUP($E306,Final_nrj!$1:$1048576,L$2,FALSE)</f>
        <v>#N/A</v>
      </c>
      <c r="M306" s="323" t="e">
        <f>+VLOOKUP($E306,Final_nrj!$1:$1048576,M$2,FALSE)</f>
        <v>#N/A</v>
      </c>
      <c r="N306" s="323" t="e">
        <f>+VLOOKUP($E306,Final_nrj!$1:$1048576,N$2,FALSE)</f>
        <v>#N/A</v>
      </c>
      <c r="O306" s="323" t="e">
        <f>+VLOOKUP($E306,Final_nrj!$1:$1048576,O$2,FALSE)</f>
        <v>#N/A</v>
      </c>
      <c r="P306" s="323" t="e">
        <f>+VLOOKUP($E306,Final_nrj!$1:$1048576,P$2,FALSE)</f>
        <v>#N/A</v>
      </c>
      <c r="Q306" s="323" t="e">
        <f>+VLOOKUP($E306,Final_nrj!$1:$1048576,Q$2,FALSE)</f>
        <v>#N/A</v>
      </c>
      <c r="R306" s="323" t="e">
        <f>+VLOOKUP($E306,Final_nrj!$1:$1048576,R$2,FALSE)</f>
        <v>#N/A</v>
      </c>
      <c r="S306" s="323" t="e">
        <f>+VLOOKUP($E306,Final_nrj!$1:$1048576,S$2,FALSE)</f>
        <v>#N/A</v>
      </c>
      <c r="T306" s="323" t="e">
        <f>+VLOOKUP($E306,Final_nrj!$1:$1048576,T$2,FALSE)</f>
        <v>#N/A</v>
      </c>
      <c r="U306" s="323" t="e">
        <f>+VLOOKUP($E306,Final_nrj!$1:$1048576,U$2,FALSE)</f>
        <v>#N/A</v>
      </c>
      <c r="V306" s="323" t="e">
        <f>+VLOOKUP($E306,Final_nrj!$1:$1048576,V$2,FALSE)</f>
        <v>#N/A</v>
      </c>
      <c r="W306" s="323" t="e">
        <f>+VLOOKUP($E306,Final_nrj!$1:$1048576,W$2,FALSE)</f>
        <v>#N/A</v>
      </c>
      <c r="X306" s="323" t="e">
        <f>+VLOOKUP($E306,Final_nrj!$1:$1048576,X$2,FALSE)</f>
        <v>#N/A</v>
      </c>
      <c r="Y306" s="323" t="e">
        <f>+VLOOKUP($E306,Final_nrj!$1:$1048576,Y$2,FALSE)</f>
        <v>#N/A</v>
      </c>
      <c r="Z306" s="323" t="e">
        <f>+VLOOKUP($E306,Final_nrj!$1:$1048576,Z$2,FALSE)</f>
        <v>#N/A</v>
      </c>
      <c r="AA306" s="323" t="e">
        <f>+VLOOKUP($E306,Final_nrj!$1:$1048576,AA$2,FALSE)</f>
        <v>#N/A</v>
      </c>
      <c r="AB306" s="323" t="e">
        <f>+VLOOKUP($E306,Final_nrj!$1:$1048576,AB$2,FALSE)</f>
        <v>#N/A</v>
      </c>
      <c r="AC306" s="323" t="e">
        <f>+VLOOKUP($E306,Final_nrj!$1:$1048576,AC$2,FALSE)</f>
        <v>#N/A</v>
      </c>
      <c r="AD306" s="323" t="e">
        <f>+VLOOKUP($E306,Final_nrj!$1:$1048576,AD$2,FALSE)</f>
        <v>#N/A</v>
      </c>
      <c r="AE306" s="323" t="e">
        <f>+VLOOKUP($E306,Final_nrj!$1:$1048576,AE$2,FALSE)</f>
        <v>#N/A</v>
      </c>
      <c r="AF306" s="323" t="e">
        <f>+VLOOKUP($E306,Final_nrj!$1:$1048576,AF$2,FALSE)</f>
        <v>#N/A</v>
      </c>
      <c r="AG306" s="323" t="e">
        <f>+VLOOKUP($E306,Final_nrj!$1:$1048576,AG$2,FALSE)</f>
        <v>#N/A</v>
      </c>
      <c r="AH306" s="323" t="e">
        <f>+VLOOKUP($E306,Final_nrj!$1:$1048576,AH$2,FALSE)</f>
        <v>#N/A</v>
      </c>
      <c r="AI306" s="323" t="e">
        <f>+VLOOKUP($E306,Final_nrj!$1:$1048576,AI$2,FALSE)</f>
        <v>#N/A</v>
      </c>
      <c r="AJ306" s="323" t="e">
        <f>+VLOOKUP($E306,Final_nrj!$1:$1048576,AJ$2,FALSE)</f>
        <v>#N/A</v>
      </c>
      <c r="AK306" s="323" t="e">
        <f>+VLOOKUP($E306,Final_nrj!$1:$1048576,AK$2,FALSE)</f>
        <v>#N/A</v>
      </c>
      <c r="AL306" s="323" t="e">
        <f>+VLOOKUP($E306,Final_nrj!$1:$1048576,AL$2,FALSE)</f>
        <v>#N/A</v>
      </c>
      <c r="AM306" s="323" t="e">
        <f>+VLOOKUP($E306,Final_nrj!$1:$1048576,AM$2,FALSE)</f>
        <v>#N/A</v>
      </c>
      <c r="AN306" s="323" t="e">
        <f>+VLOOKUP($E306,Final_nrj!$1:$1048576,AN$2,FALSE)</f>
        <v>#N/A</v>
      </c>
      <c r="AO306" s="323" t="e">
        <f>+VLOOKUP($E306,Final_nrj!$1:$1048576,AO$2,FALSE)</f>
        <v>#N/A</v>
      </c>
    </row>
    <row r="307" spans="1:51" s="108" customFormat="1" ht="15" customHeight="1" x14ac:dyDescent="0.25">
      <c r="A307" s="392"/>
      <c r="B307" s="382"/>
      <c r="C307" s="122" t="s">
        <v>544</v>
      </c>
      <c r="D307" s="122"/>
      <c r="E307" s="89" t="s">
        <v>1035</v>
      </c>
      <c r="F307" s="322">
        <f>+VLOOKUP($E307,Final_nrj!$1:$1048576,F$2,FALSE)</f>
        <v>5.1384279990000001</v>
      </c>
      <c r="G307" s="322">
        <f>+VLOOKUP($E307,Final_nrj!$1:$1048576,G$2,FALSE)</f>
        <v>5.1949810630000002</v>
      </c>
      <c r="H307" s="322">
        <f>+VLOOKUP($E307,Final_nrj!$1:$1048576,H$2,FALSE)</f>
        <v>5.2490494639999996</v>
      </c>
      <c r="I307" s="322">
        <f>+VLOOKUP($E307,Final_nrj!$1:$1048576,I$2,FALSE)</f>
        <v>5.3013331690000003</v>
      </c>
      <c r="J307" s="322">
        <f>+VLOOKUP($E307,Final_nrj!$1:$1048576,J$2,FALSE)</f>
        <v>5.3522522910000001</v>
      </c>
      <c r="K307" s="322">
        <f>+VLOOKUP($E307,Final_nrj!$1:$1048576,K$2,FALSE)</f>
        <v>5.4017185039999998</v>
      </c>
      <c r="L307" s="322">
        <f>+VLOOKUP($E307,Final_nrj!$1:$1048576,L$2,FALSE)</f>
        <v>5.4494819840000002</v>
      </c>
      <c r="M307" s="322">
        <f>+VLOOKUP($E307,Final_nrj!$1:$1048576,M$2,FALSE)</f>
        <v>5.4959802619999998</v>
      </c>
      <c r="N307" s="322">
        <f>+VLOOKUP($E307,Final_nrj!$1:$1048576,N$2,FALSE)</f>
        <v>5.5421224240000004</v>
      </c>
      <c r="O307" s="322">
        <f>+VLOOKUP($E307,Final_nrj!$1:$1048576,O$2,FALSE)</f>
        <v>5.588408898</v>
      </c>
      <c r="P307" s="322">
        <f>+VLOOKUP($E307,Final_nrj!$1:$1048576,P$2,FALSE)</f>
        <v>5.6348349799999999</v>
      </c>
      <c r="Q307" s="322">
        <f>+VLOOKUP($E307,Final_nrj!$1:$1048576,Q$2,FALSE)</f>
        <v>5.6810128759999996</v>
      </c>
      <c r="R307" s="322">
        <f>+VLOOKUP($E307,Final_nrj!$1:$1048576,R$2,FALSE)</f>
        <v>5.7263193650000002</v>
      </c>
      <c r="S307" s="322">
        <f>+VLOOKUP($E307,Final_nrj!$1:$1048576,S$2,FALSE)</f>
        <v>5.7700137309999997</v>
      </c>
      <c r="T307" s="322">
        <f>+VLOOKUP($E307,Final_nrj!$1:$1048576,T$2,FALSE)</f>
        <v>5.8113201600000002</v>
      </c>
      <c r="U307" s="322">
        <f>+VLOOKUP($E307,Final_nrj!$1:$1048576,U$2,FALSE)</f>
        <v>5.8494832099999998</v>
      </c>
      <c r="V307" s="322">
        <f>+VLOOKUP($E307,Final_nrj!$1:$1048576,V$2,FALSE)</f>
        <v>5.8840050780000004</v>
      </c>
      <c r="W307" s="322">
        <f>+VLOOKUP($E307,Final_nrj!$1:$1048576,W$2,FALSE)</f>
        <v>5.9152214369999996</v>
      </c>
      <c r="X307" s="322">
        <f>+VLOOKUP($E307,Final_nrj!$1:$1048576,X$2,FALSE)</f>
        <v>5.9441026570000002</v>
      </c>
      <c r="Y307" s="322">
        <f>+VLOOKUP($E307,Final_nrj!$1:$1048576,Y$2,FALSE)</f>
        <v>5.9715248079999999</v>
      </c>
      <c r="Z307" s="322">
        <f>+VLOOKUP($E307,Final_nrj!$1:$1048576,Z$2,FALSE)</f>
        <v>5.9981070909999996</v>
      </c>
      <c r="AA307" s="322">
        <f>+VLOOKUP($E307,Final_nrj!$1:$1048576,AA$2,FALSE)</f>
        <v>6.0242353599999996</v>
      </c>
      <c r="AB307" s="322">
        <f>+VLOOKUP($E307,Final_nrj!$1:$1048576,AB$2,FALSE)</f>
        <v>6.050129836</v>
      </c>
      <c r="AC307" s="322">
        <f>+VLOOKUP($E307,Final_nrj!$1:$1048576,AC$2,FALSE)</f>
        <v>6.075907795</v>
      </c>
      <c r="AD307" s="322">
        <f>+VLOOKUP($E307,Final_nrj!$1:$1048576,AD$2,FALSE)</f>
        <v>6.101628882</v>
      </c>
      <c r="AE307" s="322">
        <f>+VLOOKUP($E307,Final_nrj!$1:$1048576,AE$2,FALSE)</f>
        <v>6.1273239190000002</v>
      </c>
      <c r="AF307" s="322">
        <f>+VLOOKUP($E307,Final_nrj!$1:$1048576,AF$2,FALSE)</f>
        <v>6.1530115399999996</v>
      </c>
      <c r="AG307" s="322">
        <f>+VLOOKUP($E307,Final_nrj!$1:$1048576,AG$2,FALSE)</f>
        <v>6.1787069570000002</v>
      </c>
      <c r="AH307" s="322">
        <f>+VLOOKUP($E307,Final_nrj!$1:$1048576,AH$2,FALSE)</f>
        <v>6.2044260500000004</v>
      </c>
      <c r="AI307" s="322">
        <f>+VLOOKUP($E307,Final_nrj!$1:$1048576,AI$2,FALSE)</f>
        <v>6.2301869090000004</v>
      </c>
      <c r="AJ307" s="322">
        <f>+VLOOKUP($E307,Final_nrj!$1:$1048576,AJ$2,FALSE)</f>
        <v>6.2560101250000004</v>
      </c>
      <c r="AK307" s="322">
        <f>+VLOOKUP($E307,Final_nrj!$1:$1048576,AK$2,FALSE)</f>
        <v>6.2819185199999996</v>
      </c>
      <c r="AL307" s="322">
        <f>+VLOOKUP($E307,Final_nrj!$1:$1048576,AL$2,FALSE)</f>
        <v>6.307936722</v>
      </c>
      <c r="AM307" s="322">
        <f>+VLOOKUP($E307,Final_nrj!$1:$1048576,AM$2,FALSE)</f>
        <v>6.3340907309999999</v>
      </c>
      <c r="AN307" s="322">
        <f>+VLOOKUP($E307,Final_nrj!$1:$1048576,AN$2,FALSE)</f>
        <v>6.3604075670000002</v>
      </c>
      <c r="AO307" s="322">
        <f>+VLOOKUP($E307,Final_nrj!$1:$1048576,AO$2,FALSE)</f>
        <v>6.3869149939999996</v>
      </c>
    </row>
    <row r="308" spans="1:51" s="73" customFormat="1" ht="15" customHeight="1" x14ac:dyDescent="0.25">
      <c r="A308" s="392"/>
      <c r="B308" s="382"/>
      <c r="C308" s="123"/>
      <c r="D308" s="123" t="s">
        <v>481</v>
      </c>
      <c r="E308" s="79" t="s">
        <v>1034</v>
      </c>
      <c r="F308" s="323"/>
      <c r="G308" s="323"/>
      <c r="H308" s="323"/>
      <c r="I308" s="323"/>
      <c r="J308" s="323"/>
      <c r="K308" s="323"/>
      <c r="L308" s="323"/>
      <c r="M308" s="323"/>
      <c r="N308" s="323"/>
      <c r="O308" s="323"/>
      <c r="P308" s="323"/>
      <c r="Q308" s="323"/>
      <c r="R308" s="323"/>
      <c r="S308" s="323"/>
      <c r="T308" s="323"/>
      <c r="U308" s="323"/>
      <c r="V308" s="323"/>
      <c r="W308" s="323"/>
      <c r="X308" s="323"/>
      <c r="Y308" s="323"/>
      <c r="Z308" s="323"/>
      <c r="AA308" s="323"/>
      <c r="AB308" s="323"/>
      <c r="AC308" s="323"/>
      <c r="AD308" s="323"/>
      <c r="AE308" s="323"/>
      <c r="AF308" s="323"/>
      <c r="AG308" s="323"/>
      <c r="AH308" s="323"/>
      <c r="AI308" s="323"/>
      <c r="AJ308" s="323"/>
      <c r="AK308" s="323"/>
      <c r="AL308" s="323"/>
      <c r="AM308" s="323"/>
      <c r="AN308" s="323"/>
      <c r="AO308" s="323"/>
    </row>
    <row r="309" spans="1:51" s="108" customFormat="1" ht="15" customHeight="1" x14ac:dyDescent="0.25">
      <c r="A309" s="392"/>
      <c r="B309" s="382"/>
      <c r="C309" s="122" t="s">
        <v>552</v>
      </c>
      <c r="D309" s="122"/>
      <c r="E309" s="89" t="s">
        <v>1036</v>
      </c>
      <c r="F309" s="322">
        <f>+VLOOKUP($E309,Final_nrj!$1:$1048576,F$2,FALSE)</f>
        <v>8.2041278789999996</v>
      </c>
      <c r="G309" s="322">
        <f>+VLOOKUP($E309,Final_nrj!$1:$1048576,G$2,FALSE)</f>
        <v>8.2034241819999991</v>
      </c>
      <c r="H309" s="322">
        <f>+VLOOKUP($E309,Final_nrj!$1:$1048576,H$2,FALSE)</f>
        <v>8.1650587639999994</v>
      </c>
      <c r="I309" s="322">
        <f>+VLOOKUP($E309,Final_nrj!$1:$1048576,I$2,FALSE)</f>
        <v>8.1122691059999994</v>
      </c>
      <c r="J309" s="322">
        <f>+VLOOKUP($E309,Final_nrj!$1:$1048576,J$2,FALSE)</f>
        <v>8.0526300099999997</v>
      </c>
      <c r="K309" s="322">
        <f>+VLOOKUP($E309,Final_nrj!$1:$1048576,K$2,FALSE)</f>
        <v>7.9871293830000001</v>
      </c>
      <c r="L309" s="322">
        <f>+VLOOKUP($E309,Final_nrj!$1:$1048576,L$2,FALSE)</f>
        <v>7.9204064369999996</v>
      </c>
      <c r="M309" s="322">
        <f>+VLOOKUP($E309,Final_nrj!$1:$1048576,M$2,FALSE)</f>
        <v>7.8583539150000004</v>
      </c>
      <c r="N309" s="322">
        <f>+VLOOKUP($E309,Final_nrj!$1:$1048576,N$2,FALSE)</f>
        <v>7.8015503989999999</v>
      </c>
      <c r="O309" s="322">
        <f>+VLOOKUP($E309,Final_nrj!$1:$1048576,O$2,FALSE)</f>
        <v>7.7484350109999998</v>
      </c>
      <c r="P309" s="322">
        <f>+VLOOKUP($E309,Final_nrj!$1:$1048576,P$2,FALSE)</f>
        <v>7.6967328730000002</v>
      </c>
      <c r="Q309" s="322">
        <f>+VLOOKUP($E309,Final_nrj!$1:$1048576,Q$2,FALSE)</f>
        <v>7.6440838370000002</v>
      </c>
      <c r="R309" s="322">
        <f>+VLOOKUP($E309,Final_nrj!$1:$1048576,R$2,FALSE)</f>
        <v>7.5883289459999999</v>
      </c>
      <c r="S309" s="322">
        <f>+VLOOKUP($E309,Final_nrj!$1:$1048576,S$2,FALSE)</f>
        <v>7.5276543279999997</v>
      </c>
      <c r="T309" s="322">
        <f>+VLOOKUP($E309,Final_nrj!$1:$1048576,T$2,FALSE)</f>
        <v>7.460671337</v>
      </c>
      <c r="U309" s="322">
        <f>+VLOOKUP($E309,Final_nrj!$1:$1048576,U$2,FALSE)</f>
        <v>7.3864584500000001</v>
      </c>
      <c r="V309" s="322">
        <f>+VLOOKUP($E309,Final_nrj!$1:$1048576,V$2,FALSE)</f>
        <v>7.3076067760000001</v>
      </c>
      <c r="W309" s="322">
        <f>+VLOOKUP($E309,Final_nrj!$1:$1048576,W$2,FALSE)</f>
        <v>7.2283905400000004</v>
      </c>
      <c r="X309" s="322">
        <f>+VLOOKUP($E309,Final_nrj!$1:$1048576,X$2,FALSE)</f>
        <v>7.1507623699999998</v>
      </c>
      <c r="Y309" s="322">
        <f>+VLOOKUP($E309,Final_nrj!$1:$1048576,Y$2,FALSE)</f>
        <v>7.0755688599999997</v>
      </c>
      <c r="Z309" s="322">
        <f>+VLOOKUP($E309,Final_nrj!$1:$1048576,Z$2,FALSE)</f>
        <v>7.003144722</v>
      </c>
      <c r="AA309" s="322">
        <f>+VLOOKUP($E309,Final_nrj!$1:$1048576,AA$2,FALSE)</f>
        <v>6.9335910399999996</v>
      </c>
      <c r="AB309" s="322">
        <f>+VLOOKUP($E309,Final_nrj!$1:$1048576,AB$2,FALSE)</f>
        <v>6.866902617</v>
      </c>
      <c r="AC309" s="322">
        <f>+VLOOKUP($E309,Final_nrj!$1:$1048576,AC$2,FALSE)</f>
        <v>6.8030257839999999</v>
      </c>
      <c r="AD309" s="322">
        <f>+VLOOKUP($E309,Final_nrj!$1:$1048576,AD$2,FALSE)</f>
        <v>6.7418849439999997</v>
      </c>
      <c r="AE309" s="322">
        <f>+VLOOKUP($E309,Final_nrj!$1:$1048576,AE$2,FALSE)</f>
        <v>6.6833951650000003</v>
      </c>
      <c r="AF309" s="322">
        <f>+VLOOKUP($E309,Final_nrj!$1:$1048576,AF$2,FALSE)</f>
        <v>6.62746849</v>
      </c>
      <c r="AG309" s="322">
        <f>+VLOOKUP($E309,Final_nrj!$1:$1048576,AG$2,FALSE)</f>
        <v>6.5740172980000002</v>
      </c>
      <c r="AH309" s="322">
        <f>+VLOOKUP($E309,Final_nrj!$1:$1048576,AH$2,FALSE)</f>
        <v>6.5229561550000001</v>
      </c>
      <c r="AI309" s="322">
        <f>+VLOOKUP($E309,Final_nrj!$1:$1048576,AI$2,FALSE)</f>
        <v>6.4742028639999996</v>
      </c>
      <c r="AJ309" s="322">
        <f>+VLOOKUP($E309,Final_nrj!$1:$1048576,AJ$2,FALSE)</f>
        <v>6.4276790420000003</v>
      </c>
      <c r="AK309" s="322">
        <f>+VLOOKUP($E309,Final_nrj!$1:$1048576,AK$2,FALSE)</f>
        <v>6.3833103940000004</v>
      </c>
      <c r="AL309" s="322">
        <f>+VLOOKUP($E309,Final_nrj!$1:$1048576,AL$2,FALSE)</f>
        <v>6.3410268280000004</v>
      </c>
      <c r="AM309" s="322">
        <f>+VLOOKUP($E309,Final_nrj!$1:$1048576,AM$2,FALSE)</f>
        <v>6.3007624419999999</v>
      </c>
      <c r="AN309" s="322">
        <f>+VLOOKUP($E309,Final_nrj!$1:$1048576,AN$2,FALSE)</f>
        <v>6.2624554479999999</v>
      </c>
      <c r="AO309" s="322">
        <f>+VLOOKUP($E309,Final_nrj!$1:$1048576,AO$2,FALSE)</f>
        <v>6.2260480420000004</v>
      </c>
    </row>
    <row r="310" spans="1:51" s="307" customFormat="1" ht="15" customHeight="1" x14ac:dyDescent="0.25">
      <c r="A310" s="392"/>
      <c r="B310" s="382"/>
      <c r="C310" s="123"/>
      <c r="D310" s="123"/>
      <c r="E310" s="79" t="s">
        <v>2002</v>
      </c>
      <c r="F310" s="352" t="e">
        <f>+VLOOKUP($E310,Final_nrj!$1:$1048576,F$2,FALSE)</f>
        <v>#N/A</v>
      </c>
      <c r="G310" s="352" t="e">
        <f>+VLOOKUP($E310,Final_nrj!$1:$1048576,G$2,FALSE)</f>
        <v>#N/A</v>
      </c>
      <c r="H310" s="352" t="e">
        <f>+VLOOKUP($E310,Final_nrj!$1:$1048576,H$2,FALSE)</f>
        <v>#N/A</v>
      </c>
      <c r="I310" s="352" t="e">
        <f>+VLOOKUP($E310,Final_nrj!$1:$1048576,I$2,FALSE)</f>
        <v>#N/A</v>
      </c>
      <c r="J310" s="352" t="e">
        <f>+VLOOKUP($E310,Final_nrj!$1:$1048576,J$2,FALSE)</f>
        <v>#N/A</v>
      </c>
      <c r="K310" s="352" t="e">
        <f>+VLOOKUP($E310,Final_nrj!$1:$1048576,K$2,FALSE)</f>
        <v>#N/A</v>
      </c>
      <c r="L310" s="352" t="e">
        <f>+VLOOKUP($E310,Final_nrj!$1:$1048576,L$2,FALSE)</f>
        <v>#N/A</v>
      </c>
      <c r="M310" s="352" t="e">
        <f>+VLOOKUP($E310,Final_nrj!$1:$1048576,M$2,FALSE)</f>
        <v>#N/A</v>
      </c>
      <c r="N310" s="352" t="e">
        <f>+VLOOKUP($E310,Final_nrj!$1:$1048576,N$2,FALSE)</f>
        <v>#N/A</v>
      </c>
      <c r="O310" s="352" t="e">
        <f>+VLOOKUP($E310,Final_nrj!$1:$1048576,O$2,FALSE)</f>
        <v>#N/A</v>
      </c>
      <c r="P310" s="352" t="e">
        <f>+VLOOKUP($E310,Final_nrj!$1:$1048576,P$2,FALSE)</f>
        <v>#N/A</v>
      </c>
      <c r="Q310" s="352" t="e">
        <f>+VLOOKUP($E310,Final_nrj!$1:$1048576,Q$2,FALSE)</f>
        <v>#N/A</v>
      </c>
      <c r="R310" s="352" t="e">
        <f>+VLOOKUP($E310,Final_nrj!$1:$1048576,R$2,FALSE)</f>
        <v>#N/A</v>
      </c>
      <c r="S310" s="352" t="e">
        <f>+VLOOKUP($E310,Final_nrj!$1:$1048576,S$2,FALSE)</f>
        <v>#N/A</v>
      </c>
      <c r="T310" s="352" t="e">
        <f>+VLOOKUP($E310,Final_nrj!$1:$1048576,T$2,FALSE)</f>
        <v>#N/A</v>
      </c>
      <c r="U310" s="352" t="e">
        <f>+VLOOKUP($E310,Final_nrj!$1:$1048576,U$2,FALSE)</f>
        <v>#N/A</v>
      </c>
      <c r="V310" s="352" t="e">
        <f>+VLOOKUP($E310,Final_nrj!$1:$1048576,V$2,FALSE)</f>
        <v>#N/A</v>
      </c>
      <c r="W310" s="352" t="e">
        <f>+VLOOKUP($E310,Final_nrj!$1:$1048576,W$2,FALSE)</f>
        <v>#N/A</v>
      </c>
      <c r="X310" s="352" t="e">
        <f>+VLOOKUP($E310,Final_nrj!$1:$1048576,X$2,FALSE)</f>
        <v>#N/A</v>
      </c>
      <c r="Y310" s="352" t="e">
        <f>+VLOOKUP($E310,Final_nrj!$1:$1048576,Y$2,FALSE)</f>
        <v>#N/A</v>
      </c>
      <c r="Z310" s="352" t="e">
        <f>+VLOOKUP($E310,Final_nrj!$1:$1048576,Z$2,FALSE)</f>
        <v>#N/A</v>
      </c>
      <c r="AA310" s="352" t="e">
        <f>+VLOOKUP($E310,Final_nrj!$1:$1048576,AA$2,FALSE)</f>
        <v>#N/A</v>
      </c>
      <c r="AB310" s="352" t="e">
        <f>+VLOOKUP($E310,Final_nrj!$1:$1048576,AB$2,FALSE)</f>
        <v>#N/A</v>
      </c>
      <c r="AC310" s="352" t="e">
        <f>+VLOOKUP($E310,Final_nrj!$1:$1048576,AC$2,FALSE)</f>
        <v>#N/A</v>
      </c>
      <c r="AD310" s="352" t="e">
        <f>+VLOOKUP($E310,Final_nrj!$1:$1048576,AD$2,FALSE)</f>
        <v>#N/A</v>
      </c>
      <c r="AE310" s="352" t="e">
        <f>+VLOOKUP($E310,Final_nrj!$1:$1048576,AE$2,FALSE)</f>
        <v>#N/A</v>
      </c>
      <c r="AF310" s="352" t="e">
        <f>+VLOOKUP($E310,Final_nrj!$1:$1048576,AF$2,FALSE)</f>
        <v>#N/A</v>
      </c>
      <c r="AG310" s="352" t="e">
        <f>+VLOOKUP($E310,Final_nrj!$1:$1048576,AG$2,FALSE)</f>
        <v>#N/A</v>
      </c>
      <c r="AH310" s="352" t="e">
        <f>+VLOOKUP($E310,Final_nrj!$1:$1048576,AH$2,FALSE)</f>
        <v>#N/A</v>
      </c>
      <c r="AI310" s="352" t="e">
        <f>+VLOOKUP($E310,Final_nrj!$1:$1048576,AI$2,FALSE)</f>
        <v>#N/A</v>
      </c>
      <c r="AJ310" s="352" t="e">
        <f>+VLOOKUP($E310,Final_nrj!$1:$1048576,AJ$2,FALSE)</f>
        <v>#N/A</v>
      </c>
      <c r="AK310" s="352" t="e">
        <f>+VLOOKUP($E310,Final_nrj!$1:$1048576,AK$2,FALSE)</f>
        <v>#N/A</v>
      </c>
      <c r="AL310" s="352" t="e">
        <f>+VLOOKUP($E310,Final_nrj!$1:$1048576,AL$2,FALSE)</f>
        <v>#N/A</v>
      </c>
      <c r="AM310" s="352" t="e">
        <f>+VLOOKUP($E310,Final_nrj!$1:$1048576,AM$2,FALSE)</f>
        <v>#N/A</v>
      </c>
      <c r="AN310" s="352" t="e">
        <f>+VLOOKUP($E310,Final_nrj!$1:$1048576,AN$2,FALSE)</f>
        <v>#N/A</v>
      </c>
      <c r="AO310" s="352" t="e">
        <f>+VLOOKUP($E310,Final_nrj!$1:$1048576,AO$2,FALSE)</f>
        <v>#N/A</v>
      </c>
    </row>
    <row r="311" spans="1:51" s="307" customFormat="1" ht="15" customHeight="1" x14ac:dyDescent="0.25">
      <c r="A311" s="392"/>
      <c r="B311" s="382"/>
      <c r="C311" s="123"/>
      <c r="D311" s="123"/>
      <c r="E311" s="79" t="s">
        <v>2003</v>
      </c>
      <c r="F311" s="352" t="e">
        <f>+VLOOKUP($E311,Final_nrj!$1:$1048576,F$2,FALSE)</f>
        <v>#N/A</v>
      </c>
      <c r="G311" s="352" t="e">
        <f>+VLOOKUP($E311,Final_nrj!$1:$1048576,G$2,FALSE)</f>
        <v>#N/A</v>
      </c>
      <c r="H311" s="352" t="e">
        <f>+VLOOKUP($E311,Final_nrj!$1:$1048576,H$2,FALSE)</f>
        <v>#N/A</v>
      </c>
      <c r="I311" s="352" t="e">
        <f>+VLOOKUP($E311,Final_nrj!$1:$1048576,I$2,FALSE)</f>
        <v>#N/A</v>
      </c>
      <c r="J311" s="352" t="e">
        <f>+VLOOKUP($E311,Final_nrj!$1:$1048576,J$2,FALSE)</f>
        <v>#N/A</v>
      </c>
      <c r="K311" s="352" t="e">
        <f>+VLOOKUP($E311,Final_nrj!$1:$1048576,K$2,FALSE)</f>
        <v>#N/A</v>
      </c>
      <c r="L311" s="352" t="e">
        <f>+VLOOKUP($E311,Final_nrj!$1:$1048576,L$2,FALSE)</f>
        <v>#N/A</v>
      </c>
      <c r="M311" s="352" t="e">
        <f>+VLOOKUP($E311,Final_nrj!$1:$1048576,M$2,FALSE)</f>
        <v>#N/A</v>
      </c>
      <c r="N311" s="352" t="e">
        <f>+VLOOKUP($E311,Final_nrj!$1:$1048576,N$2,FALSE)</f>
        <v>#N/A</v>
      </c>
      <c r="O311" s="352" t="e">
        <f>+VLOOKUP($E311,Final_nrj!$1:$1048576,O$2,FALSE)</f>
        <v>#N/A</v>
      </c>
      <c r="P311" s="352" t="e">
        <f>+VLOOKUP($E311,Final_nrj!$1:$1048576,P$2,FALSE)</f>
        <v>#N/A</v>
      </c>
      <c r="Q311" s="352" t="e">
        <f>+VLOOKUP($E311,Final_nrj!$1:$1048576,Q$2,FALSE)</f>
        <v>#N/A</v>
      </c>
      <c r="R311" s="352" t="e">
        <f>+VLOOKUP($E311,Final_nrj!$1:$1048576,R$2,FALSE)</f>
        <v>#N/A</v>
      </c>
      <c r="S311" s="352" t="e">
        <f>+VLOOKUP($E311,Final_nrj!$1:$1048576,S$2,FALSE)</f>
        <v>#N/A</v>
      </c>
      <c r="T311" s="352" t="e">
        <f>+VLOOKUP($E311,Final_nrj!$1:$1048576,T$2,FALSE)</f>
        <v>#N/A</v>
      </c>
      <c r="U311" s="352" t="e">
        <f>+VLOOKUP($E311,Final_nrj!$1:$1048576,U$2,FALSE)</f>
        <v>#N/A</v>
      </c>
      <c r="V311" s="352" t="e">
        <f>+VLOOKUP($E311,Final_nrj!$1:$1048576,V$2,FALSE)</f>
        <v>#N/A</v>
      </c>
      <c r="W311" s="352" t="e">
        <f>+VLOOKUP($E311,Final_nrj!$1:$1048576,W$2,FALSE)</f>
        <v>#N/A</v>
      </c>
      <c r="X311" s="352" t="e">
        <f>+VLOOKUP($E311,Final_nrj!$1:$1048576,X$2,FALSE)</f>
        <v>#N/A</v>
      </c>
      <c r="Y311" s="352" t="e">
        <f>+VLOOKUP($E311,Final_nrj!$1:$1048576,Y$2,FALSE)</f>
        <v>#N/A</v>
      </c>
      <c r="Z311" s="352" t="e">
        <f>+VLOOKUP($E311,Final_nrj!$1:$1048576,Z$2,FALSE)</f>
        <v>#N/A</v>
      </c>
      <c r="AA311" s="352" t="e">
        <f>+VLOOKUP($E311,Final_nrj!$1:$1048576,AA$2,FALSE)</f>
        <v>#N/A</v>
      </c>
      <c r="AB311" s="352" t="e">
        <f>+VLOOKUP($E311,Final_nrj!$1:$1048576,AB$2,FALSE)</f>
        <v>#N/A</v>
      </c>
      <c r="AC311" s="352" t="e">
        <f>+VLOOKUP($E311,Final_nrj!$1:$1048576,AC$2,FALSE)</f>
        <v>#N/A</v>
      </c>
      <c r="AD311" s="352" t="e">
        <f>+VLOOKUP($E311,Final_nrj!$1:$1048576,AD$2,FALSE)</f>
        <v>#N/A</v>
      </c>
      <c r="AE311" s="352" t="e">
        <f>+VLOOKUP($E311,Final_nrj!$1:$1048576,AE$2,FALSE)</f>
        <v>#N/A</v>
      </c>
      <c r="AF311" s="352" t="e">
        <f>+VLOOKUP($E311,Final_nrj!$1:$1048576,AF$2,FALSE)</f>
        <v>#N/A</v>
      </c>
      <c r="AG311" s="352" t="e">
        <f>+VLOOKUP($E311,Final_nrj!$1:$1048576,AG$2,FALSE)</f>
        <v>#N/A</v>
      </c>
      <c r="AH311" s="352" t="e">
        <f>+VLOOKUP($E311,Final_nrj!$1:$1048576,AH$2,FALSE)</f>
        <v>#N/A</v>
      </c>
      <c r="AI311" s="352" t="e">
        <f>+VLOOKUP($E311,Final_nrj!$1:$1048576,AI$2,FALSE)</f>
        <v>#N/A</v>
      </c>
      <c r="AJ311" s="352" t="e">
        <f>+VLOOKUP($E311,Final_nrj!$1:$1048576,AJ$2,FALSE)</f>
        <v>#N/A</v>
      </c>
      <c r="AK311" s="352" t="e">
        <f>+VLOOKUP($E311,Final_nrj!$1:$1048576,AK$2,FALSE)</f>
        <v>#N/A</v>
      </c>
      <c r="AL311" s="352" t="e">
        <f>+VLOOKUP($E311,Final_nrj!$1:$1048576,AL$2,FALSE)</f>
        <v>#N/A</v>
      </c>
      <c r="AM311" s="352" t="e">
        <f>+VLOOKUP($E311,Final_nrj!$1:$1048576,AM$2,FALSE)</f>
        <v>#N/A</v>
      </c>
      <c r="AN311" s="352" t="e">
        <f>+VLOOKUP($E311,Final_nrj!$1:$1048576,AN$2,FALSE)</f>
        <v>#N/A</v>
      </c>
      <c r="AO311" s="352" t="e">
        <f>+VLOOKUP($E311,Final_nrj!$1:$1048576,AO$2,FALSE)</f>
        <v>#N/A</v>
      </c>
    </row>
    <row r="312" spans="1:51" s="108" customFormat="1" ht="15" customHeight="1" x14ac:dyDescent="0.25">
      <c r="A312" s="392"/>
      <c r="B312" s="382"/>
      <c r="C312" s="122" t="s">
        <v>553</v>
      </c>
      <c r="D312" s="122"/>
      <c r="E312" s="89" t="s">
        <v>1037</v>
      </c>
      <c r="F312" s="322">
        <f>+VLOOKUP($E312,Final_nrj!$1:$1048576,F$2,FALSE)</f>
        <v>8.7126031669999993</v>
      </c>
      <c r="G312" s="322">
        <f>+VLOOKUP($E312,Final_nrj!$1:$1048576,G$2,FALSE)</f>
        <v>8.8056386510000006</v>
      </c>
      <c r="H312" s="322">
        <f>+VLOOKUP($E312,Final_nrj!$1:$1048576,H$2,FALSE)</f>
        <v>8.8950835680000004</v>
      </c>
      <c r="I312" s="322">
        <f>+VLOOKUP($E312,Final_nrj!$1:$1048576,I$2,FALSE)</f>
        <v>8.9825495239999995</v>
      </c>
      <c r="J312" s="322">
        <f>+VLOOKUP($E312,Final_nrj!$1:$1048576,J$2,FALSE)</f>
        <v>9.0680695030000003</v>
      </c>
      <c r="K312" s="322">
        <f>+VLOOKUP($E312,Final_nrj!$1:$1048576,K$2,FALSE)</f>
        <v>9.1506153609999998</v>
      </c>
      <c r="L312" s="322">
        <f>+VLOOKUP($E312,Final_nrj!$1:$1048576,L$2,FALSE)</f>
        <v>9.2306044319999998</v>
      </c>
      <c r="M312" s="322">
        <f>+VLOOKUP($E312,Final_nrj!$1:$1048576,M$2,FALSE)</f>
        <v>9.309916222</v>
      </c>
      <c r="N312" s="322">
        <f>+VLOOKUP($E312,Final_nrj!$1:$1048576,N$2,FALSE)</f>
        <v>9.3895915910000003</v>
      </c>
      <c r="O312" s="322">
        <f>+VLOOKUP($E312,Final_nrj!$1:$1048576,O$2,FALSE)</f>
        <v>9.469795006</v>
      </c>
      <c r="P312" s="322">
        <f>+VLOOKUP($E312,Final_nrj!$1:$1048576,P$2,FALSE)</f>
        <v>9.5500057930000004</v>
      </c>
      <c r="Q312" s="322">
        <f>+VLOOKUP($E312,Final_nrj!$1:$1048576,Q$2,FALSE)</f>
        <v>9.6292094779999999</v>
      </c>
      <c r="R312" s="322">
        <f>+VLOOKUP($E312,Final_nrj!$1:$1048576,R$2,FALSE)</f>
        <v>9.7060607270000006</v>
      </c>
      <c r="S312" s="322">
        <f>+VLOOKUP($E312,Final_nrj!$1:$1048576,S$2,FALSE)</f>
        <v>9.7790209430000008</v>
      </c>
      <c r="T312" s="322">
        <f>+VLOOKUP($E312,Final_nrj!$1:$1048576,T$2,FALSE)</f>
        <v>9.846475839</v>
      </c>
      <c r="U312" s="322">
        <f>+VLOOKUP($E312,Final_nrj!$1:$1048576,U$2,FALSE)</f>
        <v>9.9068357210000002</v>
      </c>
      <c r="V312" s="322">
        <f>+VLOOKUP($E312,Final_nrj!$1:$1048576,V$2,FALSE)</f>
        <v>9.9600281850000005</v>
      </c>
      <c r="W312" s="322">
        <f>+VLOOKUP($E312,Final_nrj!$1:$1048576,W$2,FALSE)</f>
        <v>10.007553529999999</v>
      </c>
      <c r="X312" s="322">
        <f>+VLOOKUP($E312,Final_nrj!$1:$1048576,X$2,FALSE)</f>
        <v>10.05084347</v>
      </c>
      <c r="Y312" s="322">
        <f>+VLOOKUP($E312,Final_nrj!$1:$1048576,Y$2,FALSE)</f>
        <v>10.091063070000001</v>
      </c>
      <c r="Z312" s="322">
        <f>+VLOOKUP($E312,Final_nrj!$1:$1048576,Z$2,FALSE)</f>
        <v>10.12911888</v>
      </c>
      <c r="AA312" s="322">
        <f>+VLOOKUP($E312,Final_nrj!$1:$1048576,AA$2,FALSE)</f>
        <v>10.16570402</v>
      </c>
      <c r="AB312" s="322">
        <f>+VLOOKUP($E312,Final_nrj!$1:$1048576,AB$2,FALSE)</f>
        <v>10.201345099999999</v>
      </c>
      <c r="AC312" s="322">
        <f>+VLOOKUP($E312,Final_nrj!$1:$1048576,AC$2,FALSE)</f>
        <v>10.236442719999999</v>
      </c>
      <c r="AD312" s="322">
        <f>+VLOOKUP($E312,Final_nrj!$1:$1048576,AD$2,FALSE)</f>
        <v>10.27130434</v>
      </c>
      <c r="AE312" s="322">
        <f>+VLOOKUP($E312,Final_nrj!$1:$1048576,AE$2,FALSE)</f>
        <v>10.30616996</v>
      </c>
      <c r="AF312" s="322">
        <f>+VLOOKUP($E312,Final_nrj!$1:$1048576,AF$2,FALSE)</f>
        <v>10.34123162</v>
      </c>
      <c r="AG312" s="322">
        <f>+VLOOKUP($E312,Final_nrj!$1:$1048576,AG$2,FALSE)</f>
        <v>10.376647869999999</v>
      </c>
      <c r="AH312" s="322">
        <f>+VLOOKUP($E312,Final_nrj!$1:$1048576,AH$2,FALSE)</f>
        <v>10.41255438</v>
      </c>
      <c r="AI312" s="322">
        <f>+VLOOKUP($E312,Final_nrj!$1:$1048576,AI$2,FALSE)</f>
        <v>10.44907145</v>
      </c>
      <c r="AJ312" s="322">
        <f>+VLOOKUP($E312,Final_nrj!$1:$1048576,AJ$2,FALSE)</f>
        <v>10.48630943</v>
      </c>
      <c r="AK312" s="322">
        <f>+VLOOKUP($E312,Final_nrj!$1:$1048576,AK$2,FALSE)</f>
        <v>10.52437245</v>
      </c>
      <c r="AL312" s="322">
        <f>+VLOOKUP($E312,Final_nrj!$1:$1048576,AL$2,FALSE)</f>
        <v>10.563360919999999</v>
      </c>
      <c r="AM312" s="322">
        <f>+VLOOKUP($E312,Final_nrj!$1:$1048576,AM$2,FALSE)</f>
        <v>10.603373319999999</v>
      </c>
      <c r="AN312" s="322">
        <f>+VLOOKUP($E312,Final_nrj!$1:$1048576,AN$2,FALSE)</f>
        <v>10.64450723</v>
      </c>
      <c r="AO312" s="322">
        <f>+VLOOKUP($E312,Final_nrj!$1:$1048576,AO$2,FALSE)</f>
        <v>10.686859979999999</v>
      </c>
    </row>
    <row r="313" spans="1:51" s="307" customFormat="1" ht="15" customHeight="1" x14ac:dyDescent="0.25">
      <c r="A313" s="392"/>
      <c r="B313" s="382"/>
      <c r="C313" s="123"/>
      <c r="D313" s="123"/>
      <c r="E313" s="79" t="s">
        <v>2004</v>
      </c>
      <c r="F313" s="352" t="e">
        <f>+VLOOKUP($E313,Final_nrj!$1:$1048576,F$2,FALSE)</f>
        <v>#N/A</v>
      </c>
      <c r="G313" s="352" t="e">
        <f>+VLOOKUP($E313,Final_nrj!$1:$1048576,G$2,FALSE)</f>
        <v>#N/A</v>
      </c>
      <c r="H313" s="352" t="e">
        <f>+VLOOKUP($E313,Final_nrj!$1:$1048576,H$2,FALSE)</f>
        <v>#N/A</v>
      </c>
      <c r="I313" s="352" t="e">
        <f>+VLOOKUP($E313,Final_nrj!$1:$1048576,I$2,FALSE)</f>
        <v>#N/A</v>
      </c>
      <c r="J313" s="352" t="e">
        <f>+VLOOKUP($E313,Final_nrj!$1:$1048576,J$2,FALSE)</f>
        <v>#N/A</v>
      </c>
      <c r="K313" s="352" t="e">
        <f>+VLOOKUP($E313,Final_nrj!$1:$1048576,K$2,FALSE)</f>
        <v>#N/A</v>
      </c>
      <c r="L313" s="352" t="e">
        <f>+VLOOKUP($E313,Final_nrj!$1:$1048576,L$2,FALSE)</f>
        <v>#N/A</v>
      </c>
      <c r="M313" s="352" t="e">
        <f>+VLOOKUP($E313,Final_nrj!$1:$1048576,M$2,FALSE)</f>
        <v>#N/A</v>
      </c>
      <c r="N313" s="352" t="e">
        <f>+VLOOKUP($E313,Final_nrj!$1:$1048576,N$2,FALSE)</f>
        <v>#N/A</v>
      </c>
      <c r="O313" s="352" t="e">
        <f>+VLOOKUP($E313,Final_nrj!$1:$1048576,O$2,FALSE)</f>
        <v>#N/A</v>
      </c>
      <c r="P313" s="352" t="e">
        <f>+VLOOKUP($E313,Final_nrj!$1:$1048576,P$2,FALSE)</f>
        <v>#N/A</v>
      </c>
      <c r="Q313" s="352" t="e">
        <f>+VLOOKUP($E313,Final_nrj!$1:$1048576,Q$2,FALSE)</f>
        <v>#N/A</v>
      </c>
      <c r="R313" s="352" t="e">
        <f>+VLOOKUP($E313,Final_nrj!$1:$1048576,R$2,FALSE)</f>
        <v>#N/A</v>
      </c>
      <c r="S313" s="352" t="e">
        <f>+VLOOKUP($E313,Final_nrj!$1:$1048576,S$2,FALSE)</f>
        <v>#N/A</v>
      </c>
      <c r="T313" s="352" t="e">
        <f>+VLOOKUP($E313,Final_nrj!$1:$1048576,T$2,FALSE)</f>
        <v>#N/A</v>
      </c>
      <c r="U313" s="352" t="e">
        <f>+VLOOKUP($E313,Final_nrj!$1:$1048576,U$2,FALSE)</f>
        <v>#N/A</v>
      </c>
      <c r="V313" s="352" t="e">
        <f>+VLOOKUP($E313,Final_nrj!$1:$1048576,V$2,FALSE)</f>
        <v>#N/A</v>
      </c>
      <c r="W313" s="352" t="e">
        <f>+VLOOKUP($E313,Final_nrj!$1:$1048576,W$2,FALSE)</f>
        <v>#N/A</v>
      </c>
      <c r="X313" s="352" t="e">
        <f>+VLOOKUP($E313,Final_nrj!$1:$1048576,X$2,FALSE)</f>
        <v>#N/A</v>
      </c>
      <c r="Y313" s="352" t="e">
        <f>+VLOOKUP($E313,Final_nrj!$1:$1048576,Y$2,FALSE)</f>
        <v>#N/A</v>
      </c>
      <c r="Z313" s="352" t="e">
        <f>+VLOOKUP($E313,Final_nrj!$1:$1048576,Z$2,FALSE)</f>
        <v>#N/A</v>
      </c>
      <c r="AA313" s="352" t="e">
        <f>+VLOOKUP($E313,Final_nrj!$1:$1048576,AA$2,FALSE)</f>
        <v>#N/A</v>
      </c>
      <c r="AB313" s="352" t="e">
        <f>+VLOOKUP($E313,Final_nrj!$1:$1048576,AB$2,FALSE)</f>
        <v>#N/A</v>
      </c>
      <c r="AC313" s="352" t="e">
        <f>+VLOOKUP($E313,Final_nrj!$1:$1048576,AC$2,FALSE)</f>
        <v>#N/A</v>
      </c>
      <c r="AD313" s="352" t="e">
        <f>+VLOOKUP($E313,Final_nrj!$1:$1048576,AD$2,FALSE)</f>
        <v>#N/A</v>
      </c>
      <c r="AE313" s="352" t="e">
        <f>+VLOOKUP($E313,Final_nrj!$1:$1048576,AE$2,FALSE)</f>
        <v>#N/A</v>
      </c>
      <c r="AF313" s="352" t="e">
        <f>+VLOOKUP($E313,Final_nrj!$1:$1048576,AF$2,FALSE)</f>
        <v>#N/A</v>
      </c>
      <c r="AG313" s="352" t="e">
        <f>+VLOOKUP($E313,Final_nrj!$1:$1048576,AG$2,FALSE)</f>
        <v>#N/A</v>
      </c>
      <c r="AH313" s="352" t="e">
        <f>+VLOOKUP($E313,Final_nrj!$1:$1048576,AH$2,FALSE)</f>
        <v>#N/A</v>
      </c>
      <c r="AI313" s="352" t="e">
        <f>+VLOOKUP($E313,Final_nrj!$1:$1048576,AI$2,FALSE)</f>
        <v>#N/A</v>
      </c>
      <c r="AJ313" s="352" t="e">
        <f>+VLOOKUP($E313,Final_nrj!$1:$1048576,AJ$2,FALSE)</f>
        <v>#N/A</v>
      </c>
      <c r="AK313" s="352" t="e">
        <f>+VLOOKUP($E313,Final_nrj!$1:$1048576,AK$2,FALSE)</f>
        <v>#N/A</v>
      </c>
      <c r="AL313" s="352" t="e">
        <f>+VLOOKUP($E313,Final_nrj!$1:$1048576,AL$2,FALSE)</f>
        <v>#N/A</v>
      </c>
      <c r="AM313" s="352" t="e">
        <f>+VLOOKUP($E313,Final_nrj!$1:$1048576,AM$2,FALSE)</f>
        <v>#N/A</v>
      </c>
      <c r="AN313" s="352" t="e">
        <f>+VLOOKUP($E313,Final_nrj!$1:$1048576,AN$2,FALSE)</f>
        <v>#N/A</v>
      </c>
      <c r="AO313" s="352" t="e">
        <f>+VLOOKUP($E313,Final_nrj!$1:$1048576,AO$2,FALSE)</f>
        <v>#N/A</v>
      </c>
    </row>
    <row r="314" spans="1:51" s="307" customFormat="1" ht="15" customHeight="1" x14ac:dyDescent="0.25">
      <c r="A314" s="392"/>
      <c r="B314" s="382"/>
      <c r="C314" s="166"/>
      <c r="D314" s="166"/>
      <c r="E314" s="52" t="s">
        <v>2005</v>
      </c>
      <c r="F314" s="353" t="e">
        <f>+VLOOKUP($E314,Final_nrj!$1:$1048576,F$2,FALSE)</f>
        <v>#N/A</v>
      </c>
      <c r="G314" s="353" t="e">
        <f>+VLOOKUP($E314,Final_nrj!$1:$1048576,G$2,FALSE)</f>
        <v>#N/A</v>
      </c>
      <c r="H314" s="353" t="e">
        <f>+VLOOKUP($E314,Final_nrj!$1:$1048576,H$2,FALSE)</f>
        <v>#N/A</v>
      </c>
      <c r="I314" s="353" t="e">
        <f>+VLOOKUP($E314,Final_nrj!$1:$1048576,I$2,FALSE)</f>
        <v>#N/A</v>
      </c>
      <c r="J314" s="353" t="e">
        <f>+VLOOKUP($E314,Final_nrj!$1:$1048576,J$2,FALSE)</f>
        <v>#N/A</v>
      </c>
      <c r="K314" s="353" t="e">
        <f>+VLOOKUP($E314,Final_nrj!$1:$1048576,K$2,FALSE)</f>
        <v>#N/A</v>
      </c>
      <c r="L314" s="353" t="e">
        <f>+VLOOKUP($E314,Final_nrj!$1:$1048576,L$2,FALSE)</f>
        <v>#N/A</v>
      </c>
      <c r="M314" s="353" t="e">
        <f>+VLOOKUP($E314,Final_nrj!$1:$1048576,M$2,FALSE)</f>
        <v>#N/A</v>
      </c>
      <c r="N314" s="353" t="e">
        <f>+VLOOKUP($E314,Final_nrj!$1:$1048576,N$2,FALSE)</f>
        <v>#N/A</v>
      </c>
      <c r="O314" s="353" t="e">
        <f>+VLOOKUP($E314,Final_nrj!$1:$1048576,O$2,FALSE)</f>
        <v>#N/A</v>
      </c>
      <c r="P314" s="353" t="e">
        <f>+VLOOKUP($E314,Final_nrj!$1:$1048576,P$2,FALSE)</f>
        <v>#N/A</v>
      </c>
      <c r="Q314" s="353" t="e">
        <f>+VLOOKUP($E314,Final_nrj!$1:$1048576,Q$2,FALSE)</f>
        <v>#N/A</v>
      </c>
      <c r="R314" s="353" t="e">
        <f>+VLOOKUP($E314,Final_nrj!$1:$1048576,R$2,FALSE)</f>
        <v>#N/A</v>
      </c>
      <c r="S314" s="353" t="e">
        <f>+VLOOKUP($E314,Final_nrj!$1:$1048576,S$2,FALSE)</f>
        <v>#N/A</v>
      </c>
      <c r="T314" s="353" t="e">
        <f>+VLOOKUP($E314,Final_nrj!$1:$1048576,T$2,FALSE)</f>
        <v>#N/A</v>
      </c>
      <c r="U314" s="353" t="e">
        <f>+VLOOKUP($E314,Final_nrj!$1:$1048576,U$2,FALSE)</f>
        <v>#N/A</v>
      </c>
      <c r="V314" s="353" t="e">
        <f>+VLOOKUP($E314,Final_nrj!$1:$1048576,V$2,FALSE)</f>
        <v>#N/A</v>
      </c>
      <c r="W314" s="353" t="e">
        <f>+VLOOKUP($E314,Final_nrj!$1:$1048576,W$2,FALSE)</f>
        <v>#N/A</v>
      </c>
      <c r="X314" s="353" t="e">
        <f>+VLOOKUP($E314,Final_nrj!$1:$1048576,X$2,FALSE)</f>
        <v>#N/A</v>
      </c>
      <c r="Y314" s="353" t="e">
        <f>+VLOOKUP($E314,Final_nrj!$1:$1048576,Y$2,FALSE)</f>
        <v>#N/A</v>
      </c>
      <c r="Z314" s="353" t="e">
        <f>+VLOOKUP($E314,Final_nrj!$1:$1048576,Z$2,FALSE)</f>
        <v>#N/A</v>
      </c>
      <c r="AA314" s="353" t="e">
        <f>+VLOOKUP($E314,Final_nrj!$1:$1048576,AA$2,FALSE)</f>
        <v>#N/A</v>
      </c>
      <c r="AB314" s="353" t="e">
        <f>+VLOOKUP($E314,Final_nrj!$1:$1048576,AB$2,FALSE)</f>
        <v>#N/A</v>
      </c>
      <c r="AC314" s="353" t="e">
        <f>+VLOOKUP($E314,Final_nrj!$1:$1048576,AC$2,FALSE)</f>
        <v>#N/A</v>
      </c>
      <c r="AD314" s="353" t="e">
        <f>+VLOOKUP($E314,Final_nrj!$1:$1048576,AD$2,FALSE)</f>
        <v>#N/A</v>
      </c>
      <c r="AE314" s="353" t="e">
        <f>+VLOOKUP($E314,Final_nrj!$1:$1048576,AE$2,FALSE)</f>
        <v>#N/A</v>
      </c>
      <c r="AF314" s="353" t="e">
        <f>+VLOOKUP($E314,Final_nrj!$1:$1048576,AF$2,FALSE)</f>
        <v>#N/A</v>
      </c>
      <c r="AG314" s="353" t="e">
        <f>+VLOOKUP($E314,Final_nrj!$1:$1048576,AG$2,FALSE)</f>
        <v>#N/A</v>
      </c>
      <c r="AH314" s="353" t="e">
        <f>+VLOOKUP($E314,Final_nrj!$1:$1048576,AH$2,FALSE)</f>
        <v>#N/A</v>
      </c>
      <c r="AI314" s="353" t="e">
        <f>+VLOOKUP($E314,Final_nrj!$1:$1048576,AI$2,FALSE)</f>
        <v>#N/A</v>
      </c>
      <c r="AJ314" s="353" t="e">
        <f>+VLOOKUP($E314,Final_nrj!$1:$1048576,AJ$2,FALSE)</f>
        <v>#N/A</v>
      </c>
      <c r="AK314" s="353" t="e">
        <f>+VLOOKUP($E314,Final_nrj!$1:$1048576,AK$2,FALSE)</f>
        <v>#N/A</v>
      </c>
      <c r="AL314" s="353" t="e">
        <f>+VLOOKUP($E314,Final_nrj!$1:$1048576,AL$2,FALSE)</f>
        <v>#N/A</v>
      </c>
      <c r="AM314" s="353" t="e">
        <f>+VLOOKUP($E314,Final_nrj!$1:$1048576,AM$2,FALSE)</f>
        <v>#N/A</v>
      </c>
      <c r="AN314" s="353" t="e">
        <f>+VLOOKUP($E314,Final_nrj!$1:$1048576,AN$2,FALSE)</f>
        <v>#N/A</v>
      </c>
      <c r="AO314" s="353" t="e">
        <f>+VLOOKUP($E314,Final_nrj!$1:$1048576,AO$2,FALSE)</f>
        <v>#N/A</v>
      </c>
      <c r="AP314" s="308"/>
      <c r="AQ314" s="308"/>
      <c r="AR314" s="308"/>
      <c r="AS314" s="308"/>
      <c r="AT314" s="308"/>
      <c r="AU314" s="308"/>
      <c r="AV314" s="308"/>
      <c r="AW314" s="308"/>
      <c r="AX314" s="308"/>
      <c r="AY314" s="308"/>
    </row>
    <row r="315" spans="1:51" s="108" customFormat="1" ht="15" customHeight="1" x14ac:dyDescent="0.25">
      <c r="A315" s="392"/>
      <c r="B315" s="382"/>
      <c r="C315" s="122" t="s">
        <v>796</v>
      </c>
      <c r="D315" s="122"/>
      <c r="E315" s="89" t="s">
        <v>1039</v>
      </c>
      <c r="F315" s="322">
        <f>+VLOOKUP($E315,Final_nrj!$1:$1048576,F$2,FALSE)</f>
        <v>162.18538359999999</v>
      </c>
      <c r="G315" s="322">
        <f>+VLOOKUP($E315,Final_nrj!$1:$1048576,G$2,FALSE)</f>
        <v>163.1836089</v>
      </c>
      <c r="H315" s="322">
        <f>+VLOOKUP($E315,Final_nrj!$1:$1048576,H$2,FALSE)</f>
        <v>163.9389438</v>
      </c>
      <c r="I315" s="322">
        <f>+VLOOKUP($E315,Final_nrj!$1:$1048576,I$2,FALSE)</f>
        <v>164.69724890000001</v>
      </c>
      <c r="J315" s="322">
        <f>+VLOOKUP($E315,Final_nrj!$1:$1048576,J$2,FALSE)</f>
        <v>165.53685970000001</v>
      </c>
      <c r="K315" s="322">
        <f>+VLOOKUP($E315,Final_nrj!$1:$1048576,K$2,FALSE)</f>
        <v>166.46920030000001</v>
      </c>
      <c r="L315" s="322">
        <f>+VLOOKUP($E315,Final_nrj!$1:$1048576,L$2,FALSE)</f>
        <v>167.48335460000001</v>
      </c>
      <c r="M315" s="322">
        <f>+VLOOKUP($E315,Final_nrj!$1:$1048576,M$2,FALSE)</f>
        <v>168.56385230000001</v>
      </c>
      <c r="N315" s="322">
        <f>+VLOOKUP($E315,Final_nrj!$1:$1048576,N$2,FALSE)</f>
        <v>169.69685179999999</v>
      </c>
      <c r="O315" s="322">
        <f>+VLOOKUP($E315,Final_nrj!$1:$1048576,O$2,FALSE)</f>
        <v>170.87166010000001</v>
      </c>
      <c r="P315" s="322">
        <f>+VLOOKUP($E315,Final_nrj!$1:$1048576,P$2,FALSE)</f>
        <v>172.08057460000001</v>
      </c>
      <c r="Q315" s="322">
        <f>+VLOOKUP($E315,Final_nrj!$1:$1048576,Q$2,FALSE)</f>
        <v>173.3182592</v>
      </c>
      <c r="R315" s="322">
        <f>+VLOOKUP($E315,Final_nrj!$1:$1048576,R$2,FALSE)</f>
        <v>174.58110780000001</v>
      </c>
      <c r="S315" s="322">
        <f>+VLOOKUP($E315,Final_nrj!$1:$1048576,S$2,FALSE)</f>
        <v>175.86670079999999</v>
      </c>
      <c r="T315" s="322">
        <f>+VLOOKUP($E315,Final_nrj!$1:$1048576,T$2,FALSE)</f>
        <v>177.17338409999999</v>
      </c>
      <c r="U315" s="322">
        <f>+VLOOKUP($E315,Final_nrj!$1:$1048576,U$2,FALSE)</f>
        <v>178.50012659999999</v>
      </c>
      <c r="V315" s="322">
        <f>+VLOOKUP($E315,Final_nrj!$1:$1048576,V$2,FALSE)</f>
        <v>179.84629720000001</v>
      </c>
      <c r="W315" s="322">
        <f>+VLOOKUP($E315,Final_nrj!$1:$1048576,W$2,FALSE)</f>
        <v>181.21148669999999</v>
      </c>
      <c r="X315" s="322">
        <f>+VLOOKUP($E315,Final_nrj!$1:$1048576,X$2,FALSE)</f>
        <v>182.59544919999999</v>
      </c>
      <c r="Y315" s="322">
        <f>+VLOOKUP($E315,Final_nrj!$1:$1048576,Y$2,FALSE)</f>
        <v>183.9980424</v>
      </c>
      <c r="Z315" s="322">
        <f>+VLOOKUP($E315,Final_nrj!$1:$1048576,Z$2,FALSE)</f>
        <v>185.4192007</v>
      </c>
      <c r="AA315" s="322">
        <f>+VLOOKUP($E315,Final_nrj!$1:$1048576,AA$2,FALSE)</f>
        <v>186.85890019999999</v>
      </c>
      <c r="AB315" s="322">
        <f>+VLOOKUP($E315,Final_nrj!$1:$1048576,AB$2,FALSE)</f>
        <v>188.31714059999999</v>
      </c>
      <c r="AC315" s="322">
        <f>+VLOOKUP($E315,Final_nrj!$1:$1048576,AC$2,FALSE)</f>
        <v>189.79393630000001</v>
      </c>
      <c r="AD315" s="322">
        <f>+VLOOKUP($E315,Final_nrj!$1:$1048576,AD$2,FALSE)</f>
        <v>191.28931309999999</v>
      </c>
      <c r="AE315" s="322">
        <f>+VLOOKUP($E315,Final_nrj!$1:$1048576,AE$2,FALSE)</f>
        <v>192.80330810000001</v>
      </c>
      <c r="AF315" s="322">
        <f>+VLOOKUP($E315,Final_nrj!$1:$1048576,AF$2,FALSE)</f>
        <v>194.335972</v>
      </c>
      <c r="AG315" s="322">
        <f>+VLOOKUP($E315,Final_nrj!$1:$1048576,AG$2,FALSE)</f>
        <v>195.88737080000001</v>
      </c>
      <c r="AH315" s="322">
        <f>+VLOOKUP($E315,Final_nrj!$1:$1048576,AH$2,FALSE)</f>
        <v>197.45758789999999</v>
      </c>
      <c r="AI315" s="322">
        <f>+VLOOKUP($E315,Final_nrj!$1:$1048576,AI$2,FALSE)</f>
        <v>199.04672590000001</v>
      </c>
      <c r="AJ315" s="322">
        <f>+VLOOKUP($E315,Final_nrj!$1:$1048576,AJ$2,FALSE)</f>
        <v>200.65490449999999</v>
      </c>
      <c r="AK315" s="322">
        <f>+VLOOKUP($E315,Final_nrj!$1:$1048576,AK$2,FALSE)</f>
        <v>202.28226470000001</v>
      </c>
      <c r="AL315" s="322">
        <f>+VLOOKUP($E315,Final_nrj!$1:$1048576,AL$2,FALSE)</f>
        <v>203.92896759999999</v>
      </c>
      <c r="AM315" s="322">
        <f>+VLOOKUP($E315,Final_nrj!$1:$1048576,AM$2,FALSE)</f>
        <v>205.5951929</v>
      </c>
      <c r="AN315" s="322">
        <f>+VLOOKUP($E315,Final_nrj!$1:$1048576,AN$2,FALSE)</f>
        <v>207.2811371</v>
      </c>
      <c r="AO315" s="322">
        <f>+VLOOKUP($E315,Final_nrj!$1:$1048576,AO$2,FALSE)</f>
        <v>208.98701170000001</v>
      </c>
      <c r="AP315" s="194"/>
      <c r="AQ315" s="194"/>
      <c r="AR315" s="194"/>
      <c r="AS315" s="194"/>
      <c r="AT315" s="194"/>
    </row>
    <row r="316" spans="1:51" s="108" customFormat="1" ht="15" customHeight="1" x14ac:dyDescent="0.25">
      <c r="A316" s="392"/>
      <c r="B316" s="382"/>
      <c r="C316" s="122" t="s">
        <v>578</v>
      </c>
      <c r="D316" s="122"/>
      <c r="E316" s="89" t="s">
        <v>1040</v>
      </c>
      <c r="F316" s="322">
        <f>+VLOOKUP($E316,Final_nrj!$1:$1048576,F$2,FALSE)</f>
        <v>5.4734958730000001</v>
      </c>
      <c r="G316" s="322">
        <f>+VLOOKUP($E316,Final_nrj!$1:$1048576,G$2,FALSE)</f>
        <v>5.5356888069999997</v>
      </c>
      <c r="H316" s="322">
        <f>+VLOOKUP($E316,Final_nrj!$1:$1048576,H$2,FALSE)</f>
        <v>5.5982632649999999</v>
      </c>
      <c r="I316" s="322">
        <f>+VLOOKUP($E316,Final_nrj!$1:$1048576,I$2,FALSE)</f>
        <v>5.661478303</v>
      </c>
      <c r="J316" s="322">
        <f>+VLOOKUP($E316,Final_nrj!$1:$1048576,J$2,FALSE)</f>
        <v>5.7254982270000001</v>
      </c>
      <c r="K316" s="322">
        <f>+VLOOKUP($E316,Final_nrj!$1:$1048576,K$2,FALSE)</f>
        <v>5.7904348050000003</v>
      </c>
      <c r="L316" s="322">
        <f>+VLOOKUP($E316,Final_nrj!$1:$1048576,L$2,FALSE)</f>
        <v>5.856351096</v>
      </c>
      <c r="M316" s="322">
        <f>+VLOOKUP($E316,Final_nrj!$1:$1048576,M$2,FALSE)</f>
        <v>5.9232658799999998</v>
      </c>
      <c r="N316" s="322">
        <f>+VLOOKUP($E316,Final_nrj!$1:$1048576,N$2,FALSE)</f>
        <v>5.9911655230000003</v>
      </c>
      <c r="O316" s="322">
        <f>+VLOOKUP($E316,Final_nrj!$1:$1048576,O$2,FALSE)</f>
        <v>6.0600186410000001</v>
      </c>
      <c r="P316" s="322">
        <f>+VLOOKUP($E316,Final_nrj!$1:$1048576,P$2,FALSE)</f>
        <v>6.1297886689999999</v>
      </c>
      <c r="Q316" s="322">
        <f>+VLOOKUP($E316,Final_nrj!$1:$1048576,Q$2,FALSE)</f>
        <v>6.2004423529999997</v>
      </c>
      <c r="R316" s="322">
        <f>+VLOOKUP($E316,Final_nrj!$1:$1048576,R$2,FALSE)</f>
        <v>6.2719542349999999</v>
      </c>
      <c r="S316" s="322">
        <f>+VLOOKUP($E316,Final_nrj!$1:$1048576,S$2,FALSE)</f>
        <v>6.3443081589999997</v>
      </c>
      <c r="T316" s="322">
        <f>+VLOOKUP($E316,Final_nrj!$1:$1048576,T$2,FALSE)</f>
        <v>6.4174967690000004</v>
      </c>
      <c r="U316" s="322">
        <f>+VLOOKUP($E316,Final_nrj!$1:$1048576,U$2,FALSE)</f>
        <v>6.4915201429999998</v>
      </c>
      <c r="V316" s="322">
        <f>+VLOOKUP($E316,Final_nrj!$1:$1048576,V$2,FALSE)</f>
        <v>6.5663839709999996</v>
      </c>
      <c r="W316" s="322">
        <f>+VLOOKUP($E316,Final_nrj!$1:$1048576,W$2,FALSE)</f>
        <v>6.6420977810000004</v>
      </c>
      <c r="X316" s="322">
        <f>+VLOOKUP($E316,Final_nrj!$1:$1048576,X$2,FALSE)</f>
        <v>6.7186733759999999</v>
      </c>
      <c r="Y316" s="322">
        <f>+VLOOKUP($E316,Final_nrj!$1:$1048576,Y$2,FALSE)</f>
        <v>6.7961236180000002</v>
      </c>
      <c r="Z316" s="322">
        <f>+VLOOKUP($E316,Final_nrj!$1:$1048576,Z$2,FALSE)</f>
        <v>6.8744615859999998</v>
      </c>
      <c r="AA316" s="322">
        <f>+VLOOKUP($E316,Final_nrj!$1:$1048576,AA$2,FALSE)</f>
        <v>6.9537000439999996</v>
      </c>
      <c r="AB316" s="322">
        <f>+VLOOKUP($E316,Final_nrj!$1:$1048576,AB$2,FALSE)</f>
        <v>7.0338511840000004</v>
      </c>
      <c r="AC316" s="322">
        <f>+VLOOKUP($E316,Final_nrj!$1:$1048576,AC$2,FALSE)</f>
        <v>7.1149265440000002</v>
      </c>
      <c r="AD316" s="322">
        <f>+VLOOKUP($E316,Final_nrj!$1:$1048576,AD$2,FALSE)</f>
        <v>7.1969370560000003</v>
      </c>
      <c r="AE316" s="322">
        <f>+VLOOKUP($E316,Final_nrj!$1:$1048576,AE$2,FALSE)</f>
        <v>7.2798931700000002</v>
      </c>
      <c r="AF316" s="322">
        <f>+VLOOKUP($E316,Final_nrj!$1:$1048576,AF$2,FALSE)</f>
        <v>7.3638050020000003</v>
      </c>
      <c r="AG316" s="322">
        <f>+VLOOKUP($E316,Final_nrj!$1:$1048576,AG$2,FALSE)</f>
        <v>7.4486824829999998</v>
      </c>
      <c r="AH316" s="322">
        <f>+VLOOKUP($E316,Final_nrj!$1:$1048576,AH$2,FALSE)</f>
        <v>7.534535505</v>
      </c>
      <c r="AI316" s="322">
        <f>+VLOOKUP($E316,Final_nrj!$1:$1048576,AI$2,FALSE)</f>
        <v>7.6213740220000004</v>
      </c>
      <c r="AJ316" s="322">
        <f>+VLOOKUP($E316,Final_nrj!$1:$1048576,AJ$2,FALSE)</f>
        <v>7.709208136</v>
      </c>
      <c r="AK316" s="322">
        <f>+VLOOKUP($E316,Final_nrj!$1:$1048576,AK$2,FALSE)</f>
        <v>7.7980481529999999</v>
      </c>
      <c r="AL316" s="322">
        <f>+VLOOKUP($E316,Final_nrj!$1:$1048576,AL$2,FALSE)</f>
        <v>7.8879046060000002</v>
      </c>
      <c r="AM316" s="322">
        <f>+VLOOKUP($E316,Final_nrj!$1:$1048576,AM$2,FALSE)</f>
        <v>7.9787882699999999</v>
      </c>
      <c r="AN316" s="322">
        <f>+VLOOKUP($E316,Final_nrj!$1:$1048576,AN$2,FALSE)</f>
        <v>8.0707101629999993</v>
      </c>
      <c r="AO316" s="322">
        <f>+VLOOKUP($E316,Final_nrj!$1:$1048576,AO$2,FALSE)</f>
        <v>8.1636815309999999</v>
      </c>
    </row>
    <row r="317" spans="1:51" s="307" customFormat="1" ht="15" customHeight="1" x14ac:dyDescent="0.25">
      <c r="A317" s="392"/>
      <c r="B317" s="382"/>
      <c r="C317" s="123"/>
      <c r="D317" s="123" t="s">
        <v>1064</v>
      </c>
      <c r="E317" s="79" t="s">
        <v>2081</v>
      </c>
      <c r="F317" s="352"/>
      <c r="G317" s="352"/>
      <c r="H317" s="352"/>
      <c r="I317" s="352"/>
      <c r="J317" s="352"/>
      <c r="K317" s="352"/>
      <c r="L317" s="352"/>
      <c r="M317" s="352"/>
      <c r="N317" s="352"/>
      <c r="O317" s="352"/>
      <c r="P317" s="352"/>
      <c r="Q317" s="352"/>
      <c r="R317" s="352"/>
      <c r="S317" s="352"/>
      <c r="T317" s="352"/>
      <c r="U317" s="352"/>
      <c r="V317" s="352"/>
      <c r="W317" s="352"/>
      <c r="X317" s="352"/>
      <c r="Y317" s="352"/>
      <c r="Z317" s="352"/>
      <c r="AA317" s="352"/>
      <c r="AB317" s="352"/>
      <c r="AC317" s="352"/>
      <c r="AD317" s="352"/>
      <c r="AE317" s="352"/>
      <c r="AF317" s="352"/>
      <c r="AG317" s="352"/>
      <c r="AH317" s="352"/>
      <c r="AI317" s="352"/>
      <c r="AJ317" s="352"/>
      <c r="AK317" s="352"/>
      <c r="AL317" s="352"/>
      <c r="AM317" s="352"/>
      <c r="AN317" s="352"/>
      <c r="AO317" s="352"/>
    </row>
    <row r="318" spans="1:51" s="307" customFormat="1" ht="15" customHeight="1" x14ac:dyDescent="0.25">
      <c r="A318" s="392"/>
      <c r="B318" s="382"/>
      <c r="C318" s="123"/>
      <c r="D318" s="123" t="s">
        <v>1064</v>
      </c>
      <c r="E318" s="79" t="s">
        <v>2082</v>
      </c>
      <c r="F318" s="352"/>
      <c r="G318" s="352"/>
      <c r="H318" s="352"/>
      <c r="I318" s="352"/>
      <c r="J318" s="352"/>
      <c r="K318" s="352"/>
      <c r="L318" s="352"/>
      <c r="M318" s="352"/>
      <c r="N318" s="352"/>
      <c r="O318" s="352"/>
      <c r="P318" s="352"/>
      <c r="Q318" s="352"/>
      <c r="R318" s="352"/>
      <c r="S318" s="352"/>
      <c r="T318" s="352"/>
      <c r="U318" s="352"/>
      <c r="V318" s="352"/>
      <c r="W318" s="352"/>
      <c r="X318" s="352"/>
      <c r="Y318" s="352"/>
      <c r="Z318" s="352"/>
      <c r="AA318" s="352"/>
      <c r="AB318" s="352"/>
      <c r="AC318" s="352"/>
      <c r="AD318" s="352"/>
      <c r="AE318" s="352"/>
      <c r="AF318" s="352"/>
      <c r="AG318" s="352"/>
      <c r="AH318" s="352"/>
      <c r="AI318" s="352"/>
      <c r="AJ318" s="352"/>
      <c r="AK318" s="352"/>
      <c r="AL318" s="352"/>
      <c r="AM318" s="352"/>
      <c r="AN318" s="352"/>
      <c r="AO318" s="352"/>
    </row>
    <row r="319" spans="1:51" s="108" customFormat="1" ht="15" customHeight="1" x14ac:dyDescent="0.25">
      <c r="A319" s="392"/>
      <c r="B319" s="382"/>
      <c r="C319" s="122" t="s">
        <v>579</v>
      </c>
      <c r="D319" s="122"/>
      <c r="E319" s="89" t="s">
        <v>1041</v>
      </c>
      <c r="F319" s="322">
        <f>+VLOOKUP($E319,Final_nrj!$1:$1048576,F$2,FALSE)</f>
        <v>8.4809985599999999E-2</v>
      </c>
      <c r="G319" s="322">
        <f>+VLOOKUP($E319,Final_nrj!$1:$1048576,G$2,FALSE)</f>
        <v>8.5747439499999994E-2</v>
      </c>
      <c r="H319" s="322">
        <f>+VLOOKUP($E319,Final_nrj!$1:$1048576,H$2,FALSE)</f>
        <v>8.6683951499999995E-2</v>
      </c>
      <c r="I319" s="322">
        <f>+VLOOKUP($E319,Final_nrj!$1:$1048576,I$2,FALSE)</f>
        <v>8.7637727400000004E-2</v>
      </c>
      <c r="J319" s="322">
        <f>+VLOOKUP($E319,Final_nrj!$1:$1048576,J$2,FALSE)</f>
        <v>8.8615469299999999E-2</v>
      </c>
      <c r="K319" s="322">
        <f>+VLOOKUP($E319,Final_nrj!$1:$1048576,K$2,FALSE)</f>
        <v>8.96180964E-2</v>
      </c>
      <c r="L319" s="322">
        <f>+VLOOKUP($E319,Final_nrj!$1:$1048576,L$2,FALSE)</f>
        <v>9.0644333899999999E-2</v>
      </c>
      <c r="M319" s="322">
        <f>+VLOOKUP($E319,Final_nrj!$1:$1048576,M$2,FALSE)</f>
        <v>9.1692336599999993E-2</v>
      </c>
      <c r="N319" s="322">
        <f>+VLOOKUP($E319,Final_nrj!$1:$1048576,N$2,FALSE)</f>
        <v>9.27603226E-2</v>
      </c>
      <c r="O319" s="322">
        <f>+VLOOKUP($E319,Final_nrj!$1:$1048576,O$2,FALSE)</f>
        <v>9.3846784399999994E-2</v>
      </c>
      <c r="P319" s="322">
        <f>+VLOOKUP($E319,Final_nrj!$1:$1048576,P$2,FALSE)</f>
        <v>9.4950535000000003E-2</v>
      </c>
      <c r="Q319" s="322">
        <f>+VLOOKUP($E319,Final_nrj!$1:$1048576,Q$2,FALSE)</f>
        <v>9.6070691900000005E-2</v>
      </c>
      <c r="R319" s="322">
        <f>+VLOOKUP($E319,Final_nrj!$1:$1048576,R$2,FALSE)</f>
        <v>9.72066402E-2</v>
      </c>
      <c r="S319" s="322">
        <f>+VLOOKUP($E319,Final_nrj!$1:$1048576,S$2,FALSE)</f>
        <v>9.8357988800000004E-2</v>
      </c>
      <c r="T319" s="322">
        <f>+VLOOKUP($E319,Final_nrj!$1:$1048576,T$2,FALSE)</f>
        <v>9.95245248E-2</v>
      </c>
      <c r="U319" s="322">
        <f>+VLOOKUP($E319,Final_nrj!$1:$1048576,U$2,FALSE)</f>
        <v>0.100706168</v>
      </c>
      <c r="V319" s="322">
        <f>+VLOOKUP($E319,Final_nrj!$1:$1048576,V$2,FALSE)</f>
        <v>0.10190293020000001</v>
      </c>
      <c r="W319" s="322">
        <f>+VLOOKUP($E319,Final_nrj!$1:$1048576,W$2,FALSE)</f>
        <v>0.1031148813</v>
      </c>
      <c r="X319" s="322">
        <f>+VLOOKUP($E319,Final_nrj!$1:$1048576,X$2,FALSE)</f>
        <v>0.1043421212</v>
      </c>
      <c r="Y319" s="322">
        <f>+VLOOKUP($E319,Final_nrj!$1:$1048576,Y$2,FALSE)</f>
        <v>0.1055847577</v>
      </c>
      <c r="Z319" s="322">
        <f>+VLOOKUP($E319,Final_nrj!$1:$1048576,Z$2,FALSE)</f>
        <v>0.10684289399999999</v>
      </c>
      <c r="AA319" s="322">
        <f>+VLOOKUP($E319,Final_nrj!$1:$1048576,AA$2,FALSE)</f>
        <v>0.1081166209</v>
      </c>
      <c r="AB319" s="322">
        <f>+VLOOKUP($E319,Final_nrj!$1:$1048576,AB$2,FALSE)</f>
        <v>0.1094060145</v>
      </c>
      <c r="AC319" s="322">
        <f>+VLOOKUP($E319,Final_nrj!$1:$1048576,AC$2,FALSE)</f>
        <v>0.1107111375</v>
      </c>
      <c r="AD319" s="322">
        <f>+VLOOKUP($E319,Final_nrj!$1:$1048576,AD$2,FALSE)</f>
        <v>0.112032042</v>
      </c>
      <c r="AE319" s="322">
        <f>+VLOOKUP($E319,Final_nrj!$1:$1048576,AE$2,FALSE)</f>
        <v>0.1133687741</v>
      </c>
      <c r="AF319" s="322">
        <f>+VLOOKUP($E319,Final_nrj!$1:$1048576,AF$2,FALSE)</f>
        <v>0.1147213788</v>
      </c>
      <c r="AG319" s="322">
        <f>+VLOOKUP($E319,Final_nrj!$1:$1048576,AG$2,FALSE)</f>
        <v>0.1160899042</v>
      </c>
      <c r="AH319" s="322">
        <f>+VLOOKUP($E319,Final_nrj!$1:$1048576,AH$2,FALSE)</f>
        <v>0.1174744059</v>
      </c>
      <c r="AI319" s="322">
        <f>+VLOOKUP($E319,Final_nrj!$1:$1048576,AI$2,FALSE)</f>
        <v>0.1188749497</v>
      </c>
      <c r="AJ319" s="322">
        <f>+VLOOKUP($E319,Final_nrj!$1:$1048576,AJ$2,FALSE)</f>
        <v>0.1202916141</v>
      </c>
      <c r="AK319" s="322">
        <f>+VLOOKUP($E319,Final_nrj!$1:$1048576,AK$2,FALSE)</f>
        <v>0.1217244919</v>
      </c>
      <c r="AL319" s="322">
        <f>+VLOOKUP($E319,Final_nrj!$1:$1048576,AL$2,FALSE)</f>
        <v>0.1231736907</v>
      </c>
      <c r="AM319" s="322">
        <f>+VLOOKUP($E319,Final_nrj!$1:$1048576,AM$2,FALSE)</f>
        <v>0.1246393331</v>
      </c>
      <c r="AN319" s="322">
        <f>+VLOOKUP($E319,Final_nrj!$1:$1048576,AN$2,FALSE)</f>
        <v>0.12612155689999999</v>
      </c>
      <c r="AO319" s="322">
        <f>+VLOOKUP($E319,Final_nrj!$1:$1048576,AO$2,FALSE)</f>
        <v>0.12762051390000001</v>
      </c>
    </row>
    <row r="320" spans="1:51" s="307" customFormat="1" ht="15" customHeight="1" x14ac:dyDescent="0.25">
      <c r="A320" s="392"/>
      <c r="B320" s="382"/>
      <c r="C320" s="123"/>
      <c r="D320" s="123" t="s">
        <v>1887</v>
      </c>
      <c r="E320" s="79" t="s">
        <v>2083</v>
      </c>
      <c r="F320" s="352"/>
      <c r="G320" s="352"/>
      <c r="H320" s="352"/>
      <c r="I320" s="352"/>
      <c r="J320" s="352"/>
      <c r="K320" s="352"/>
      <c r="L320" s="352"/>
      <c r="M320" s="352"/>
      <c r="N320" s="352"/>
      <c r="O320" s="352"/>
      <c r="P320" s="352"/>
      <c r="Q320" s="352"/>
      <c r="R320" s="352"/>
      <c r="S320" s="352"/>
      <c r="T320" s="352"/>
      <c r="U320" s="352"/>
      <c r="V320" s="352"/>
      <c r="W320" s="352"/>
      <c r="X320" s="352"/>
      <c r="Y320" s="352"/>
      <c r="Z320" s="352"/>
      <c r="AA320" s="352"/>
      <c r="AB320" s="352"/>
      <c r="AC320" s="352"/>
      <c r="AD320" s="352"/>
      <c r="AE320" s="352"/>
      <c r="AF320" s="352"/>
      <c r="AG320" s="352"/>
      <c r="AH320" s="352"/>
      <c r="AI320" s="352"/>
      <c r="AJ320" s="352"/>
      <c r="AK320" s="352"/>
      <c r="AL320" s="352"/>
      <c r="AM320" s="352"/>
      <c r="AN320" s="352"/>
      <c r="AO320" s="352"/>
    </row>
    <row r="321" spans="1:41" s="307" customFormat="1" ht="15" customHeight="1" x14ac:dyDescent="0.25">
      <c r="A321" s="392"/>
      <c r="B321" s="382"/>
      <c r="C321" s="123"/>
      <c r="D321" s="123" t="s">
        <v>1887</v>
      </c>
      <c r="E321" s="79" t="s">
        <v>2083</v>
      </c>
      <c r="F321" s="352"/>
      <c r="G321" s="352"/>
      <c r="H321" s="352"/>
      <c r="I321" s="352"/>
      <c r="J321" s="352"/>
      <c r="K321" s="352"/>
      <c r="L321" s="352"/>
      <c r="M321" s="352"/>
      <c r="N321" s="352"/>
      <c r="O321" s="352"/>
      <c r="P321" s="352"/>
      <c r="Q321" s="352"/>
      <c r="R321" s="352"/>
      <c r="S321" s="352"/>
      <c r="T321" s="352"/>
      <c r="U321" s="352"/>
      <c r="V321" s="352"/>
      <c r="W321" s="352"/>
      <c r="X321" s="352"/>
      <c r="Y321" s="352"/>
      <c r="Z321" s="352"/>
      <c r="AA321" s="352"/>
      <c r="AB321" s="352"/>
      <c r="AC321" s="352"/>
      <c r="AD321" s="352"/>
      <c r="AE321" s="352"/>
      <c r="AF321" s="352"/>
      <c r="AG321" s="352"/>
      <c r="AH321" s="352"/>
      <c r="AI321" s="352"/>
      <c r="AJ321" s="352"/>
      <c r="AK321" s="352"/>
      <c r="AL321" s="352"/>
      <c r="AM321" s="352"/>
      <c r="AN321" s="352"/>
      <c r="AO321" s="352"/>
    </row>
    <row r="322" spans="1:41" s="108" customFormat="1" ht="15" customHeight="1" x14ac:dyDescent="0.25">
      <c r="A322" s="392"/>
      <c r="B322" s="382"/>
      <c r="C322" s="122" t="s">
        <v>492</v>
      </c>
      <c r="D322" s="122"/>
      <c r="E322" s="89" t="s">
        <v>1042</v>
      </c>
      <c r="F322" s="322">
        <f>+VLOOKUP($E322,Final_nrj!$1:$1048576,F$2,FALSE)</f>
        <v>47.362739759999997</v>
      </c>
      <c r="G322" s="322">
        <f>+VLOOKUP($E322,Final_nrj!$1:$1048576,G$2,FALSE)</f>
        <v>47.512699400000002</v>
      </c>
      <c r="H322" s="322">
        <f>+VLOOKUP($E322,Final_nrj!$1:$1048576,H$2,FALSE)</f>
        <v>47.596470310000001</v>
      </c>
      <c r="I322" s="322">
        <f>+VLOOKUP($E322,Final_nrj!$1:$1048576,I$2,FALSE)</f>
        <v>47.727838470000002</v>
      </c>
      <c r="J322" s="322">
        <f>+VLOOKUP($E322,Final_nrj!$1:$1048576,J$2,FALSE)</f>
        <v>47.931101230000003</v>
      </c>
      <c r="K322" s="322">
        <f>+VLOOKUP($E322,Final_nrj!$1:$1048576,K$2,FALSE)</f>
        <v>48.199313529999998</v>
      </c>
      <c r="L322" s="322">
        <f>+VLOOKUP($E322,Final_nrj!$1:$1048576,L$2,FALSE)</f>
        <v>48.518094929999997</v>
      </c>
      <c r="M322" s="322">
        <f>+VLOOKUP($E322,Final_nrj!$1:$1048576,M$2,FALSE)</f>
        <v>48.87399216</v>
      </c>
      <c r="N322" s="322">
        <f>+VLOOKUP($E322,Final_nrj!$1:$1048576,N$2,FALSE)</f>
        <v>49.25663419</v>
      </c>
      <c r="O322" s="322">
        <f>+VLOOKUP($E322,Final_nrj!$1:$1048576,O$2,FALSE)</f>
        <v>49.65867463</v>
      </c>
      <c r="P322" s="322">
        <f>+VLOOKUP($E322,Final_nrj!$1:$1048576,P$2,FALSE)</f>
        <v>50.075126449999999</v>
      </c>
      <c r="Q322" s="322">
        <f>+VLOOKUP($E322,Final_nrj!$1:$1048576,Q$2,FALSE)</f>
        <v>50.502672259999997</v>
      </c>
      <c r="R322" s="322">
        <f>+VLOOKUP($E322,Final_nrj!$1:$1048576,R$2,FALSE)</f>
        <v>50.939119320000003</v>
      </c>
      <c r="S322" s="322">
        <f>+VLOOKUP($E322,Final_nrj!$1:$1048576,S$2,FALSE)</f>
        <v>51.383014170000003</v>
      </c>
      <c r="T322" s="322">
        <f>+VLOOKUP($E322,Final_nrj!$1:$1048576,T$2,FALSE)</f>
        <v>51.833384870000003</v>
      </c>
      <c r="U322" s="322">
        <f>+VLOOKUP($E322,Final_nrj!$1:$1048576,U$2,FALSE)</f>
        <v>52.289573050000001</v>
      </c>
      <c r="V322" s="322">
        <f>+VLOOKUP($E322,Final_nrj!$1:$1048576,V$2,FALSE)</f>
        <v>52.75112575</v>
      </c>
      <c r="W322" s="322">
        <f>+VLOOKUP($E322,Final_nrj!$1:$1048576,W$2,FALSE)</f>
        <v>53.217725969999996</v>
      </c>
      <c r="X322" s="322">
        <f>+VLOOKUP($E322,Final_nrj!$1:$1048576,X$2,FALSE)</f>
        <v>53.689147149999997</v>
      </c>
      <c r="Y322" s="322">
        <f>+VLOOKUP($E322,Final_nrj!$1:$1048576,Y$2,FALSE)</f>
        <v>54.165223220000001</v>
      </c>
      <c r="Z322" s="322">
        <f>+VLOOKUP($E322,Final_nrj!$1:$1048576,Z$2,FALSE)</f>
        <v>54.645829460000002</v>
      </c>
      <c r="AA322" s="322">
        <f>+VLOOKUP($E322,Final_nrj!$1:$1048576,AA$2,FALSE)</f>
        <v>55.130870100000003</v>
      </c>
      <c r="AB322" s="322">
        <f>+VLOOKUP($E322,Final_nrj!$1:$1048576,AB$2,FALSE)</f>
        <v>55.620270509999997</v>
      </c>
      <c r="AC322" s="322">
        <f>+VLOOKUP($E322,Final_nrj!$1:$1048576,AC$2,FALSE)</f>
        <v>56.113972609999998</v>
      </c>
      <c r="AD322" s="322">
        <f>+VLOOKUP($E322,Final_nrj!$1:$1048576,AD$2,FALSE)</f>
        <v>56.611932189999997</v>
      </c>
      <c r="AE322" s="322">
        <f>+VLOOKUP($E322,Final_nrj!$1:$1048576,AE$2,FALSE)</f>
        <v>57.114117659999998</v>
      </c>
      <c r="AF322" s="322">
        <f>+VLOOKUP($E322,Final_nrj!$1:$1048576,AF$2,FALSE)</f>
        <v>57.620509349999999</v>
      </c>
      <c r="AG322" s="322">
        <f>+VLOOKUP($E322,Final_nrj!$1:$1048576,AG$2,FALSE)</f>
        <v>58.131099259999999</v>
      </c>
      <c r="AH322" s="322">
        <f>+VLOOKUP($E322,Final_nrj!$1:$1048576,AH$2,FALSE)</f>
        <v>58.645890799999997</v>
      </c>
      <c r="AI322" s="322">
        <f>+VLOOKUP($E322,Final_nrj!$1:$1048576,AI$2,FALSE)</f>
        <v>59.164898479999998</v>
      </c>
      <c r="AJ322" s="322">
        <f>+VLOOKUP($E322,Final_nrj!$1:$1048576,AJ$2,FALSE)</f>
        <v>59.68814742</v>
      </c>
      <c r="AK322" s="322">
        <f>+VLOOKUP($E322,Final_nrj!$1:$1048576,AK$2,FALSE)</f>
        <v>60.21567263</v>
      </c>
      <c r="AL322" s="322">
        <f>+VLOOKUP($E322,Final_nrj!$1:$1048576,AL$2,FALSE)</f>
        <v>60.747518220000003</v>
      </c>
      <c r="AM322" s="322">
        <f>+VLOOKUP($E322,Final_nrj!$1:$1048576,AM$2,FALSE)</f>
        <v>61.283736349999998</v>
      </c>
      <c r="AN322" s="322">
        <f>+VLOOKUP($E322,Final_nrj!$1:$1048576,AN$2,FALSE)</f>
        <v>61.824386179999998</v>
      </c>
      <c r="AO322" s="322">
        <f>+VLOOKUP($E322,Final_nrj!$1:$1048576,AO$2,FALSE)</f>
        <v>62.369532769999999</v>
      </c>
    </row>
    <row r="323" spans="1:41" s="73" customFormat="1" ht="15" customHeight="1" x14ac:dyDescent="0.25">
      <c r="A323" s="392"/>
      <c r="B323" s="382"/>
      <c r="C323" s="123"/>
      <c r="D323" s="123" t="s">
        <v>1890</v>
      </c>
      <c r="E323" s="79" t="s">
        <v>1043</v>
      </c>
      <c r="F323" s="323" t="e">
        <f>+VLOOKUP($E323,Final_nrj!$1:$1048576,F$2,FALSE)</f>
        <v>#N/A</v>
      </c>
      <c r="G323" s="323" t="e">
        <f>+VLOOKUP($E323,Final_nrj!$1:$1048576,G$2,FALSE)</f>
        <v>#N/A</v>
      </c>
      <c r="H323" s="323" t="e">
        <f>+VLOOKUP($E323,Final_nrj!$1:$1048576,H$2,FALSE)</f>
        <v>#N/A</v>
      </c>
      <c r="I323" s="323" t="e">
        <f>+VLOOKUP($E323,Final_nrj!$1:$1048576,I$2,FALSE)</f>
        <v>#N/A</v>
      </c>
      <c r="J323" s="323" t="e">
        <f>+VLOOKUP($E323,Final_nrj!$1:$1048576,J$2,FALSE)</f>
        <v>#N/A</v>
      </c>
      <c r="K323" s="323" t="e">
        <f>+VLOOKUP($E323,Final_nrj!$1:$1048576,K$2,FALSE)</f>
        <v>#N/A</v>
      </c>
      <c r="L323" s="323" t="e">
        <f>+VLOOKUP($E323,Final_nrj!$1:$1048576,L$2,FALSE)</f>
        <v>#N/A</v>
      </c>
      <c r="M323" s="323" t="e">
        <f>+VLOOKUP($E323,Final_nrj!$1:$1048576,M$2,FALSE)</f>
        <v>#N/A</v>
      </c>
      <c r="N323" s="323" t="e">
        <f>+VLOOKUP($E323,Final_nrj!$1:$1048576,N$2,FALSE)</f>
        <v>#N/A</v>
      </c>
      <c r="O323" s="323" t="e">
        <f>+VLOOKUP($E323,Final_nrj!$1:$1048576,O$2,FALSE)</f>
        <v>#N/A</v>
      </c>
      <c r="P323" s="323" t="e">
        <f>+VLOOKUP($E323,Final_nrj!$1:$1048576,P$2,FALSE)</f>
        <v>#N/A</v>
      </c>
      <c r="Q323" s="323" t="e">
        <f>+VLOOKUP($E323,Final_nrj!$1:$1048576,Q$2,FALSE)</f>
        <v>#N/A</v>
      </c>
      <c r="R323" s="323" t="e">
        <f>+VLOOKUP($E323,Final_nrj!$1:$1048576,R$2,FALSE)</f>
        <v>#N/A</v>
      </c>
      <c r="S323" s="323" t="e">
        <f>+VLOOKUP($E323,Final_nrj!$1:$1048576,S$2,FALSE)</f>
        <v>#N/A</v>
      </c>
      <c r="T323" s="323" t="e">
        <f>+VLOOKUP($E323,Final_nrj!$1:$1048576,T$2,FALSE)</f>
        <v>#N/A</v>
      </c>
      <c r="U323" s="323" t="e">
        <f>+VLOOKUP($E323,Final_nrj!$1:$1048576,U$2,FALSE)</f>
        <v>#N/A</v>
      </c>
      <c r="V323" s="323" t="e">
        <f>+VLOOKUP($E323,Final_nrj!$1:$1048576,V$2,FALSE)</f>
        <v>#N/A</v>
      </c>
      <c r="W323" s="323" t="e">
        <f>+VLOOKUP($E323,Final_nrj!$1:$1048576,W$2,FALSE)</f>
        <v>#N/A</v>
      </c>
      <c r="X323" s="323" t="e">
        <f>+VLOOKUP($E323,Final_nrj!$1:$1048576,X$2,FALSE)</f>
        <v>#N/A</v>
      </c>
      <c r="Y323" s="323" t="e">
        <f>+VLOOKUP($E323,Final_nrj!$1:$1048576,Y$2,FALSE)</f>
        <v>#N/A</v>
      </c>
      <c r="Z323" s="323" t="e">
        <f>+VLOOKUP($E323,Final_nrj!$1:$1048576,Z$2,FALSE)</f>
        <v>#N/A</v>
      </c>
      <c r="AA323" s="323" t="e">
        <f>+VLOOKUP($E323,Final_nrj!$1:$1048576,AA$2,FALSE)</f>
        <v>#N/A</v>
      </c>
      <c r="AB323" s="323" t="e">
        <f>+VLOOKUP($E323,Final_nrj!$1:$1048576,AB$2,FALSE)</f>
        <v>#N/A</v>
      </c>
      <c r="AC323" s="323" t="e">
        <f>+VLOOKUP($E323,Final_nrj!$1:$1048576,AC$2,FALSE)</f>
        <v>#N/A</v>
      </c>
      <c r="AD323" s="323" t="e">
        <f>+VLOOKUP($E323,Final_nrj!$1:$1048576,AD$2,FALSE)</f>
        <v>#N/A</v>
      </c>
      <c r="AE323" s="323" t="e">
        <f>+VLOOKUP($E323,Final_nrj!$1:$1048576,AE$2,FALSE)</f>
        <v>#N/A</v>
      </c>
      <c r="AF323" s="323" t="e">
        <f>+VLOOKUP($E323,Final_nrj!$1:$1048576,AF$2,FALSE)</f>
        <v>#N/A</v>
      </c>
      <c r="AG323" s="323" t="e">
        <f>+VLOOKUP($E323,Final_nrj!$1:$1048576,AG$2,FALSE)</f>
        <v>#N/A</v>
      </c>
      <c r="AH323" s="323" t="e">
        <f>+VLOOKUP($E323,Final_nrj!$1:$1048576,AH$2,FALSE)</f>
        <v>#N/A</v>
      </c>
      <c r="AI323" s="323" t="e">
        <f>+VLOOKUP($E323,Final_nrj!$1:$1048576,AI$2,FALSE)</f>
        <v>#N/A</v>
      </c>
      <c r="AJ323" s="323" t="e">
        <f>+VLOOKUP($E323,Final_nrj!$1:$1048576,AJ$2,FALSE)</f>
        <v>#N/A</v>
      </c>
      <c r="AK323" s="323" t="e">
        <f>+VLOOKUP($E323,Final_nrj!$1:$1048576,AK$2,FALSE)</f>
        <v>#N/A</v>
      </c>
      <c r="AL323" s="323" t="e">
        <f>+VLOOKUP($E323,Final_nrj!$1:$1048576,AL$2,FALSE)</f>
        <v>#N/A</v>
      </c>
      <c r="AM323" s="323" t="e">
        <f>+VLOOKUP($E323,Final_nrj!$1:$1048576,AM$2,FALSE)</f>
        <v>#N/A</v>
      </c>
      <c r="AN323" s="323" t="e">
        <f>+VLOOKUP($E323,Final_nrj!$1:$1048576,AN$2,FALSE)</f>
        <v>#N/A</v>
      </c>
      <c r="AO323" s="323" t="e">
        <f>+VLOOKUP($E323,Final_nrj!$1:$1048576,AO$2,FALSE)</f>
        <v>#N/A</v>
      </c>
    </row>
    <row r="324" spans="1:41" s="73" customFormat="1" ht="15" customHeight="1" x14ac:dyDescent="0.25">
      <c r="A324" s="392"/>
      <c r="B324" s="382"/>
      <c r="C324" s="123"/>
      <c r="D324" s="123" t="s">
        <v>546</v>
      </c>
      <c r="E324" s="79" t="s">
        <v>1044</v>
      </c>
      <c r="F324" s="323" t="e">
        <f>+VLOOKUP($E324,Final_nrj!$1:$1048576,F$2,FALSE)</f>
        <v>#N/A</v>
      </c>
      <c r="G324" s="323" t="e">
        <f>+VLOOKUP($E324,Final_nrj!$1:$1048576,G$2,FALSE)</f>
        <v>#N/A</v>
      </c>
      <c r="H324" s="323" t="e">
        <f>+VLOOKUP($E324,Final_nrj!$1:$1048576,H$2,FALSE)</f>
        <v>#N/A</v>
      </c>
      <c r="I324" s="323" t="e">
        <f>+VLOOKUP($E324,Final_nrj!$1:$1048576,I$2,FALSE)</f>
        <v>#N/A</v>
      </c>
      <c r="J324" s="323" t="e">
        <f>+VLOOKUP($E324,Final_nrj!$1:$1048576,J$2,FALSE)</f>
        <v>#N/A</v>
      </c>
      <c r="K324" s="323" t="e">
        <f>+VLOOKUP($E324,Final_nrj!$1:$1048576,K$2,FALSE)</f>
        <v>#N/A</v>
      </c>
      <c r="L324" s="323" t="e">
        <f>+VLOOKUP($E324,Final_nrj!$1:$1048576,L$2,FALSE)</f>
        <v>#N/A</v>
      </c>
      <c r="M324" s="323" t="e">
        <f>+VLOOKUP($E324,Final_nrj!$1:$1048576,M$2,FALSE)</f>
        <v>#N/A</v>
      </c>
      <c r="N324" s="323" t="e">
        <f>+VLOOKUP($E324,Final_nrj!$1:$1048576,N$2,FALSE)</f>
        <v>#N/A</v>
      </c>
      <c r="O324" s="323" t="e">
        <f>+VLOOKUP($E324,Final_nrj!$1:$1048576,O$2,FALSE)</f>
        <v>#N/A</v>
      </c>
      <c r="P324" s="323" t="e">
        <f>+VLOOKUP($E324,Final_nrj!$1:$1048576,P$2,FALSE)</f>
        <v>#N/A</v>
      </c>
      <c r="Q324" s="323" t="e">
        <f>+VLOOKUP($E324,Final_nrj!$1:$1048576,Q$2,FALSE)</f>
        <v>#N/A</v>
      </c>
      <c r="R324" s="323" t="e">
        <f>+VLOOKUP($E324,Final_nrj!$1:$1048576,R$2,FALSE)</f>
        <v>#N/A</v>
      </c>
      <c r="S324" s="323" t="e">
        <f>+VLOOKUP($E324,Final_nrj!$1:$1048576,S$2,FALSE)</f>
        <v>#N/A</v>
      </c>
      <c r="T324" s="323" t="e">
        <f>+VLOOKUP($E324,Final_nrj!$1:$1048576,T$2,FALSE)</f>
        <v>#N/A</v>
      </c>
      <c r="U324" s="323" t="e">
        <f>+VLOOKUP($E324,Final_nrj!$1:$1048576,U$2,FALSE)</f>
        <v>#N/A</v>
      </c>
      <c r="V324" s="323" t="e">
        <f>+VLOOKUP($E324,Final_nrj!$1:$1048576,V$2,FALSE)</f>
        <v>#N/A</v>
      </c>
      <c r="W324" s="323" t="e">
        <f>+VLOOKUP($E324,Final_nrj!$1:$1048576,W$2,FALSE)</f>
        <v>#N/A</v>
      </c>
      <c r="X324" s="323" t="e">
        <f>+VLOOKUP($E324,Final_nrj!$1:$1048576,X$2,FALSE)</f>
        <v>#N/A</v>
      </c>
      <c r="Y324" s="323" t="e">
        <f>+VLOOKUP($E324,Final_nrj!$1:$1048576,Y$2,FALSE)</f>
        <v>#N/A</v>
      </c>
      <c r="Z324" s="323" t="e">
        <f>+VLOOKUP($E324,Final_nrj!$1:$1048576,Z$2,FALSE)</f>
        <v>#N/A</v>
      </c>
      <c r="AA324" s="323" t="e">
        <f>+VLOOKUP($E324,Final_nrj!$1:$1048576,AA$2,FALSE)</f>
        <v>#N/A</v>
      </c>
      <c r="AB324" s="323" t="e">
        <f>+VLOOKUP($E324,Final_nrj!$1:$1048576,AB$2,FALSE)</f>
        <v>#N/A</v>
      </c>
      <c r="AC324" s="323" t="e">
        <f>+VLOOKUP($E324,Final_nrj!$1:$1048576,AC$2,FALSE)</f>
        <v>#N/A</v>
      </c>
      <c r="AD324" s="323" t="e">
        <f>+VLOOKUP($E324,Final_nrj!$1:$1048576,AD$2,FALSE)</f>
        <v>#N/A</v>
      </c>
      <c r="AE324" s="323" t="e">
        <f>+VLOOKUP($E324,Final_nrj!$1:$1048576,AE$2,FALSE)</f>
        <v>#N/A</v>
      </c>
      <c r="AF324" s="323" t="e">
        <f>+VLOOKUP($E324,Final_nrj!$1:$1048576,AF$2,FALSE)</f>
        <v>#N/A</v>
      </c>
      <c r="AG324" s="323" t="e">
        <f>+VLOOKUP($E324,Final_nrj!$1:$1048576,AG$2,FALSE)</f>
        <v>#N/A</v>
      </c>
      <c r="AH324" s="323" t="e">
        <f>+VLOOKUP($E324,Final_nrj!$1:$1048576,AH$2,FALSE)</f>
        <v>#N/A</v>
      </c>
      <c r="AI324" s="323" t="e">
        <f>+VLOOKUP($E324,Final_nrj!$1:$1048576,AI$2,FALSE)</f>
        <v>#N/A</v>
      </c>
      <c r="AJ324" s="323" t="e">
        <f>+VLOOKUP($E324,Final_nrj!$1:$1048576,AJ$2,FALSE)</f>
        <v>#N/A</v>
      </c>
      <c r="AK324" s="323" t="e">
        <f>+VLOOKUP($E324,Final_nrj!$1:$1048576,AK$2,FALSE)</f>
        <v>#N/A</v>
      </c>
      <c r="AL324" s="323" t="e">
        <f>+VLOOKUP($E324,Final_nrj!$1:$1048576,AL$2,FALSE)</f>
        <v>#N/A</v>
      </c>
      <c r="AM324" s="323" t="e">
        <f>+VLOOKUP($E324,Final_nrj!$1:$1048576,AM$2,FALSE)</f>
        <v>#N/A</v>
      </c>
      <c r="AN324" s="323" t="e">
        <f>+VLOOKUP($E324,Final_nrj!$1:$1048576,AN$2,FALSE)</f>
        <v>#N/A</v>
      </c>
      <c r="AO324" s="323" t="e">
        <f>+VLOOKUP($E324,Final_nrj!$1:$1048576,AO$2,FALSE)</f>
        <v>#N/A</v>
      </c>
    </row>
    <row r="325" spans="1:41" s="108" customFormat="1" ht="15" customHeight="1" x14ac:dyDescent="0.25">
      <c r="A325" s="392"/>
      <c r="B325" s="382"/>
      <c r="C325" s="122" t="s">
        <v>493</v>
      </c>
      <c r="D325" s="122"/>
      <c r="E325" s="89" t="s">
        <v>1045</v>
      </c>
      <c r="F325" s="322">
        <f>+VLOOKUP($E325,Final_nrj!$1:$1048576,F$2,FALSE)</f>
        <v>14.823808209999999</v>
      </c>
      <c r="G325" s="322">
        <f>+VLOOKUP($E325,Final_nrj!$1:$1048576,G$2,FALSE)</f>
        <v>14.91038758</v>
      </c>
      <c r="H325" s="322">
        <f>+VLOOKUP($E325,Final_nrj!$1:$1048576,H$2,FALSE)</f>
        <v>14.96419184</v>
      </c>
      <c r="I325" s="322">
        <f>+VLOOKUP($E325,Final_nrj!$1:$1048576,I$2,FALSE)</f>
        <v>15.00880628</v>
      </c>
      <c r="J325" s="322">
        <f>+VLOOKUP($E325,Final_nrj!$1:$1048576,J$2,FALSE)</f>
        <v>15.05397696</v>
      </c>
      <c r="K325" s="322">
        <f>+VLOOKUP($E325,Final_nrj!$1:$1048576,K$2,FALSE)</f>
        <v>15.10309303</v>
      </c>
      <c r="L325" s="322">
        <f>+VLOOKUP($E325,Final_nrj!$1:$1048576,L$2,FALSE)</f>
        <v>15.15687835</v>
      </c>
      <c r="M325" s="322">
        <f>+VLOOKUP($E325,Final_nrj!$1:$1048576,M$2,FALSE)</f>
        <v>15.215061759999999</v>
      </c>
      <c r="N325" s="322">
        <f>+VLOOKUP($E325,Final_nrj!$1:$1048576,N$2,FALSE)</f>
        <v>15.27709072</v>
      </c>
      <c r="O325" s="322">
        <f>+VLOOKUP($E325,Final_nrj!$1:$1048576,O$2,FALSE)</f>
        <v>15.34241331</v>
      </c>
      <c r="P325" s="322">
        <f>+VLOOKUP($E325,Final_nrj!$1:$1048576,P$2,FALSE)</f>
        <v>15.410572180000001</v>
      </c>
      <c r="Q325" s="322">
        <f>+VLOOKUP($E325,Final_nrj!$1:$1048576,Q$2,FALSE)</f>
        <v>15.481220479999999</v>
      </c>
      <c r="R325" s="322">
        <f>+VLOOKUP($E325,Final_nrj!$1:$1048576,R$2,FALSE)</f>
        <v>15.55410891</v>
      </c>
      <c r="S325" s="322">
        <f>+VLOOKUP($E325,Final_nrj!$1:$1048576,S$2,FALSE)</f>
        <v>15.629060580000001</v>
      </c>
      <c r="T325" s="322">
        <f>+VLOOKUP($E325,Final_nrj!$1:$1048576,T$2,FALSE)</f>
        <v>15.705930589999999</v>
      </c>
      <c r="U325" s="322">
        <f>+VLOOKUP($E325,Final_nrj!$1:$1048576,U$2,FALSE)</f>
        <v>15.78463339</v>
      </c>
      <c r="V325" s="322">
        <f>+VLOOKUP($E325,Final_nrj!$1:$1048576,V$2,FALSE)</f>
        <v>15.86511896</v>
      </c>
      <c r="W325" s="322">
        <f>+VLOOKUP($E325,Final_nrj!$1:$1048576,W$2,FALSE)</f>
        <v>15.9473585</v>
      </c>
      <c r="X325" s="322">
        <f>+VLOOKUP($E325,Final_nrj!$1:$1048576,X$2,FALSE)</f>
        <v>16.031335250000001</v>
      </c>
      <c r="Y325" s="322">
        <f>+VLOOKUP($E325,Final_nrj!$1:$1048576,Y$2,FALSE)</f>
        <v>16.117038910000002</v>
      </c>
      <c r="Z325" s="322">
        <f>+VLOOKUP($E325,Final_nrj!$1:$1048576,Z$2,FALSE)</f>
        <v>16.204462379999999</v>
      </c>
      <c r="AA325" s="322">
        <f>+VLOOKUP($E325,Final_nrj!$1:$1048576,AA$2,FALSE)</f>
        <v>16.29360002</v>
      </c>
      <c r="AB325" s="322">
        <f>+VLOOKUP($E325,Final_nrj!$1:$1048576,AB$2,FALSE)</f>
        <v>16.38444668</v>
      </c>
      <c r="AC325" s="322">
        <f>+VLOOKUP($E325,Final_nrj!$1:$1048576,AC$2,FALSE)</f>
        <v>16.476997369999999</v>
      </c>
      <c r="AD325" s="322">
        <f>+VLOOKUP($E325,Final_nrj!$1:$1048576,AD$2,FALSE)</f>
        <v>16.571247240000002</v>
      </c>
      <c r="AE325" s="322">
        <f>+VLOOKUP($E325,Final_nrj!$1:$1048576,AE$2,FALSE)</f>
        <v>16.667191809999998</v>
      </c>
      <c r="AF325" s="322">
        <f>+VLOOKUP($E325,Final_nrj!$1:$1048576,AF$2,FALSE)</f>
        <v>16.764827260000001</v>
      </c>
      <c r="AG325" s="322">
        <f>+VLOOKUP($E325,Final_nrj!$1:$1048576,AG$2,FALSE)</f>
        <v>16.864150720000001</v>
      </c>
      <c r="AH325" s="322">
        <f>+VLOOKUP($E325,Final_nrj!$1:$1048576,AH$2,FALSE)</f>
        <v>16.96516055</v>
      </c>
      <c r="AI325" s="322">
        <f>+VLOOKUP($E325,Final_nrj!$1:$1048576,AI$2,FALSE)</f>
        <v>17.06785661</v>
      </c>
      <c r="AJ325" s="322">
        <f>+VLOOKUP($E325,Final_nrj!$1:$1048576,AJ$2,FALSE)</f>
        <v>17.172240339999998</v>
      </c>
      <c r="AK325" s="322">
        <f>+VLOOKUP($E325,Final_nrj!$1:$1048576,AK$2,FALSE)</f>
        <v>17.278314900000002</v>
      </c>
      <c r="AL325" s="322">
        <f>+VLOOKUP($E325,Final_nrj!$1:$1048576,AL$2,FALSE)</f>
        <v>17.38608515</v>
      </c>
      <c r="AM325" s="322">
        <f>+VLOOKUP($E325,Final_nrj!$1:$1048576,AM$2,FALSE)</f>
        <v>17.495557659999999</v>
      </c>
      <c r="AN325" s="322">
        <f>+VLOOKUP($E325,Final_nrj!$1:$1048576,AN$2,FALSE)</f>
        <v>17.606740609999999</v>
      </c>
      <c r="AO325" s="322">
        <f>+VLOOKUP($E325,Final_nrj!$1:$1048576,AO$2,FALSE)</f>
        <v>17.719643690000002</v>
      </c>
    </row>
    <row r="326" spans="1:41" s="73" customFormat="1" ht="15" customHeight="1" x14ac:dyDescent="0.25">
      <c r="A326" s="392"/>
      <c r="B326" s="382"/>
      <c r="C326" s="123"/>
      <c r="D326" s="123" t="s">
        <v>1890</v>
      </c>
      <c r="E326" s="79" t="s">
        <v>1046</v>
      </c>
      <c r="F326" s="323"/>
      <c r="G326" s="323"/>
      <c r="H326" s="323"/>
      <c r="I326" s="323"/>
      <c r="J326" s="323"/>
      <c r="K326" s="323"/>
      <c r="L326" s="323"/>
      <c r="M326" s="323"/>
      <c r="N326" s="323"/>
      <c r="O326" s="323"/>
      <c r="P326" s="323"/>
      <c r="Q326" s="323"/>
      <c r="R326" s="323"/>
      <c r="S326" s="323"/>
      <c r="T326" s="323"/>
      <c r="U326" s="323"/>
      <c r="V326" s="323"/>
      <c r="W326" s="323"/>
      <c r="X326" s="323"/>
      <c r="Y326" s="323"/>
      <c r="Z326" s="323"/>
      <c r="AA326" s="323"/>
      <c r="AB326" s="323"/>
      <c r="AC326" s="323"/>
      <c r="AD326" s="323"/>
      <c r="AE326" s="323"/>
      <c r="AF326" s="323"/>
      <c r="AG326" s="323"/>
      <c r="AH326" s="323"/>
      <c r="AI326" s="323"/>
      <c r="AJ326" s="323"/>
      <c r="AK326" s="323"/>
      <c r="AL326" s="323"/>
      <c r="AM326" s="323"/>
      <c r="AN326" s="323"/>
      <c r="AO326" s="323"/>
    </row>
    <row r="327" spans="1:41" s="108" customFormat="1" ht="15" customHeight="1" x14ac:dyDescent="0.25">
      <c r="A327" s="392"/>
      <c r="B327" s="382"/>
      <c r="C327" s="122" t="s">
        <v>494</v>
      </c>
      <c r="D327" s="122"/>
      <c r="E327" s="89" t="s">
        <v>1047</v>
      </c>
      <c r="F327" s="322">
        <f>+VLOOKUP($E327,Final_nrj!$1:$1048576,F$2,FALSE)</f>
        <v>34.426718839999999</v>
      </c>
      <c r="G327" s="322">
        <f>+VLOOKUP($E327,Final_nrj!$1:$1048576,G$2,FALSE)</f>
        <v>34.693223639999999</v>
      </c>
      <c r="H327" s="322">
        <f>+VLOOKUP($E327,Final_nrj!$1:$1048576,H$2,FALSE)</f>
        <v>34.91104447</v>
      </c>
      <c r="I327" s="322">
        <f>+VLOOKUP($E327,Final_nrj!$1:$1048576,I$2,FALSE)</f>
        <v>35.116286199999998</v>
      </c>
      <c r="J327" s="322">
        <f>+VLOOKUP($E327,Final_nrj!$1:$1048576,J$2,FALSE)</f>
        <v>35.323965399999999</v>
      </c>
      <c r="K327" s="322">
        <f>+VLOOKUP($E327,Final_nrj!$1:$1048576,K$2,FALSE)</f>
        <v>35.539366630000004</v>
      </c>
      <c r="L327" s="322">
        <f>+VLOOKUP($E327,Final_nrj!$1:$1048576,L$2,FALSE)</f>
        <v>35.763620830000001</v>
      </c>
      <c r="M327" s="322">
        <f>+VLOOKUP($E327,Final_nrj!$1:$1048576,M$2,FALSE)</f>
        <v>35.9962716</v>
      </c>
      <c r="N327" s="322">
        <f>+VLOOKUP($E327,Final_nrj!$1:$1048576,N$2,FALSE)</f>
        <v>36.236401690000001</v>
      </c>
      <c r="O327" s="322">
        <f>+VLOOKUP($E327,Final_nrj!$1:$1048576,O$2,FALSE)</f>
        <v>36.483093850000003</v>
      </c>
      <c r="P327" s="322">
        <f>+VLOOKUP($E327,Final_nrj!$1:$1048576,P$2,FALSE)</f>
        <v>36.735591399999997</v>
      </c>
      <c r="Q327" s="322">
        <f>+VLOOKUP($E327,Final_nrj!$1:$1048576,Q$2,FALSE)</f>
        <v>36.993328810000001</v>
      </c>
      <c r="R327" s="322">
        <f>+VLOOKUP($E327,Final_nrj!$1:$1048576,R$2,FALSE)</f>
        <v>37.255911269999999</v>
      </c>
      <c r="S327" s="322">
        <f>+VLOOKUP($E327,Final_nrj!$1:$1048576,S$2,FALSE)</f>
        <v>37.523056220000001</v>
      </c>
      <c r="T327" s="322">
        <f>+VLOOKUP($E327,Final_nrj!$1:$1048576,T$2,FALSE)</f>
        <v>37.794539309999998</v>
      </c>
      <c r="U327" s="322">
        <f>+VLOOKUP($E327,Final_nrj!$1:$1048576,U$2,FALSE)</f>
        <v>38.070247989999999</v>
      </c>
      <c r="V327" s="322">
        <f>+VLOOKUP($E327,Final_nrj!$1:$1048576,V$2,FALSE)</f>
        <v>38.350133790000001</v>
      </c>
      <c r="W327" s="322">
        <f>+VLOOKUP($E327,Final_nrj!$1:$1048576,W$2,FALSE)</f>
        <v>38.634183829999998</v>
      </c>
      <c r="X327" s="322">
        <f>+VLOOKUP($E327,Final_nrj!$1:$1048576,X$2,FALSE)</f>
        <v>38.922402990000002</v>
      </c>
      <c r="Y327" s="322">
        <f>+VLOOKUP($E327,Final_nrj!$1:$1048576,Y$2,FALSE)</f>
        <v>39.214803310000001</v>
      </c>
      <c r="Z327" s="322">
        <f>+VLOOKUP($E327,Final_nrj!$1:$1048576,Z$2,FALSE)</f>
        <v>39.511398130000003</v>
      </c>
      <c r="AA327" s="322">
        <f>+VLOOKUP($E327,Final_nrj!$1:$1048576,AA$2,FALSE)</f>
        <v>39.812199290000002</v>
      </c>
      <c r="AB327" s="322">
        <f>+VLOOKUP($E327,Final_nrj!$1:$1048576,AB$2,FALSE)</f>
        <v>40.117216130000003</v>
      </c>
      <c r="AC327" s="322">
        <f>+VLOOKUP($E327,Final_nrj!$1:$1048576,AC$2,FALSE)</f>
        <v>40.426455500000003</v>
      </c>
      <c r="AD327" s="322">
        <f>+VLOOKUP($E327,Final_nrj!$1:$1048576,AD$2,FALSE)</f>
        <v>40.739922579999998</v>
      </c>
      <c r="AE327" s="322">
        <f>+VLOOKUP($E327,Final_nrj!$1:$1048576,AE$2,FALSE)</f>
        <v>41.057621830000002</v>
      </c>
      <c r="AF327" s="322">
        <f>+VLOOKUP($E327,Final_nrj!$1:$1048576,AF$2,FALSE)</f>
        <v>41.37955814</v>
      </c>
      <c r="AG327" s="322">
        <f>+VLOOKUP($E327,Final_nrj!$1:$1048576,AG$2,FALSE)</f>
        <v>41.705737880000001</v>
      </c>
      <c r="AH327" s="322">
        <f>+VLOOKUP($E327,Final_nrj!$1:$1048576,AH$2,FALSE)</f>
        <v>42.036169800000003</v>
      </c>
      <c r="AI327" s="322">
        <f>+VLOOKUP($E327,Final_nrj!$1:$1048576,AI$2,FALSE)</f>
        <v>42.370865700000003</v>
      </c>
      <c r="AJ327" s="322">
        <f>+VLOOKUP($E327,Final_nrj!$1:$1048576,AJ$2,FALSE)</f>
        <v>42.709840980000003</v>
      </c>
      <c r="AK327" s="322">
        <f>+VLOOKUP($E327,Final_nrj!$1:$1048576,AK$2,FALSE)</f>
        <v>43.053114890000003</v>
      </c>
      <c r="AL327" s="322">
        <f>+VLOOKUP($E327,Final_nrj!$1:$1048576,AL$2,FALSE)</f>
        <v>43.400710660000001</v>
      </c>
      <c r="AM327" s="322">
        <f>+VLOOKUP($E327,Final_nrj!$1:$1048576,AM$2,FALSE)</f>
        <v>43.752655490000002</v>
      </c>
      <c r="AN327" s="322">
        <f>+VLOOKUP($E327,Final_nrj!$1:$1048576,AN$2,FALSE)</f>
        <v>44.108980459999998</v>
      </c>
      <c r="AO327" s="322">
        <f>+VLOOKUP($E327,Final_nrj!$1:$1048576,AO$2,FALSE)</f>
        <v>44.46972032</v>
      </c>
    </row>
    <row r="328" spans="1:41" s="307" customFormat="1" ht="15" customHeight="1" x14ac:dyDescent="0.25">
      <c r="A328" s="392"/>
      <c r="B328" s="382"/>
      <c r="C328" s="123"/>
      <c r="D328" s="123" t="s">
        <v>547</v>
      </c>
      <c r="E328" s="79" t="s">
        <v>2084</v>
      </c>
      <c r="F328" s="352" t="e">
        <f>+VLOOKUP($E328,Final_nrj!$1:$1048576,F$2,FALSE)</f>
        <v>#N/A</v>
      </c>
      <c r="G328" s="352" t="e">
        <f>+VLOOKUP($E328,Final_nrj!$1:$1048576,G$2,FALSE)</f>
        <v>#N/A</v>
      </c>
      <c r="H328" s="352" t="e">
        <f>+VLOOKUP($E328,Final_nrj!$1:$1048576,H$2,FALSE)</f>
        <v>#N/A</v>
      </c>
      <c r="I328" s="352" t="e">
        <f>+VLOOKUP($E328,Final_nrj!$1:$1048576,I$2,FALSE)</f>
        <v>#N/A</v>
      </c>
      <c r="J328" s="352" t="e">
        <f>+VLOOKUP($E328,Final_nrj!$1:$1048576,J$2,FALSE)</f>
        <v>#N/A</v>
      </c>
      <c r="K328" s="352" t="e">
        <f>+VLOOKUP($E328,Final_nrj!$1:$1048576,K$2,FALSE)</f>
        <v>#N/A</v>
      </c>
      <c r="L328" s="352" t="e">
        <f>+VLOOKUP($E328,Final_nrj!$1:$1048576,L$2,FALSE)</f>
        <v>#N/A</v>
      </c>
      <c r="M328" s="352" t="e">
        <f>+VLOOKUP($E328,Final_nrj!$1:$1048576,M$2,FALSE)</f>
        <v>#N/A</v>
      </c>
      <c r="N328" s="352" t="e">
        <f>+VLOOKUP($E328,Final_nrj!$1:$1048576,N$2,FALSE)</f>
        <v>#N/A</v>
      </c>
      <c r="O328" s="352" t="e">
        <f>+VLOOKUP($E328,Final_nrj!$1:$1048576,O$2,FALSE)</f>
        <v>#N/A</v>
      </c>
      <c r="P328" s="352" t="e">
        <f>+VLOOKUP($E328,Final_nrj!$1:$1048576,P$2,FALSE)</f>
        <v>#N/A</v>
      </c>
      <c r="Q328" s="352" t="e">
        <f>+VLOOKUP($E328,Final_nrj!$1:$1048576,Q$2,FALSE)</f>
        <v>#N/A</v>
      </c>
      <c r="R328" s="352" t="e">
        <f>+VLOOKUP($E328,Final_nrj!$1:$1048576,R$2,FALSE)</f>
        <v>#N/A</v>
      </c>
      <c r="S328" s="352" t="e">
        <f>+VLOOKUP($E328,Final_nrj!$1:$1048576,S$2,FALSE)</f>
        <v>#N/A</v>
      </c>
      <c r="T328" s="352" t="e">
        <f>+VLOOKUP($E328,Final_nrj!$1:$1048576,T$2,FALSE)</f>
        <v>#N/A</v>
      </c>
      <c r="U328" s="352" t="e">
        <f>+VLOOKUP($E328,Final_nrj!$1:$1048576,U$2,FALSE)</f>
        <v>#N/A</v>
      </c>
      <c r="V328" s="352" t="e">
        <f>+VLOOKUP($E328,Final_nrj!$1:$1048576,V$2,FALSE)</f>
        <v>#N/A</v>
      </c>
      <c r="W328" s="352" t="e">
        <f>+VLOOKUP($E328,Final_nrj!$1:$1048576,W$2,FALSE)</f>
        <v>#N/A</v>
      </c>
      <c r="X328" s="352" t="e">
        <f>+VLOOKUP($E328,Final_nrj!$1:$1048576,X$2,FALSE)</f>
        <v>#N/A</v>
      </c>
      <c r="Y328" s="352" t="e">
        <f>+VLOOKUP($E328,Final_nrj!$1:$1048576,Y$2,FALSE)</f>
        <v>#N/A</v>
      </c>
      <c r="Z328" s="352" t="e">
        <f>+VLOOKUP($E328,Final_nrj!$1:$1048576,Z$2,FALSE)</f>
        <v>#N/A</v>
      </c>
      <c r="AA328" s="352" t="e">
        <f>+VLOOKUP($E328,Final_nrj!$1:$1048576,AA$2,FALSE)</f>
        <v>#N/A</v>
      </c>
      <c r="AB328" s="352" t="e">
        <f>+VLOOKUP($E328,Final_nrj!$1:$1048576,AB$2,FALSE)</f>
        <v>#N/A</v>
      </c>
      <c r="AC328" s="352" t="e">
        <f>+VLOOKUP($E328,Final_nrj!$1:$1048576,AC$2,FALSE)</f>
        <v>#N/A</v>
      </c>
      <c r="AD328" s="352" t="e">
        <f>+VLOOKUP($E328,Final_nrj!$1:$1048576,AD$2,FALSE)</f>
        <v>#N/A</v>
      </c>
      <c r="AE328" s="352" t="e">
        <f>+VLOOKUP($E328,Final_nrj!$1:$1048576,AE$2,FALSE)</f>
        <v>#N/A</v>
      </c>
      <c r="AF328" s="352" t="e">
        <f>+VLOOKUP($E328,Final_nrj!$1:$1048576,AF$2,FALSE)</f>
        <v>#N/A</v>
      </c>
      <c r="AG328" s="352" t="e">
        <f>+VLOOKUP($E328,Final_nrj!$1:$1048576,AG$2,FALSE)</f>
        <v>#N/A</v>
      </c>
      <c r="AH328" s="352" t="e">
        <f>+VLOOKUP($E328,Final_nrj!$1:$1048576,AH$2,FALSE)</f>
        <v>#N/A</v>
      </c>
      <c r="AI328" s="352" t="e">
        <f>+VLOOKUP($E328,Final_nrj!$1:$1048576,AI$2,FALSE)</f>
        <v>#N/A</v>
      </c>
      <c r="AJ328" s="352" t="e">
        <f>+VLOOKUP($E328,Final_nrj!$1:$1048576,AJ$2,FALSE)</f>
        <v>#N/A</v>
      </c>
      <c r="AK328" s="352" t="e">
        <f>+VLOOKUP($E328,Final_nrj!$1:$1048576,AK$2,FALSE)</f>
        <v>#N/A</v>
      </c>
      <c r="AL328" s="352" t="e">
        <f>+VLOOKUP($E328,Final_nrj!$1:$1048576,AL$2,FALSE)</f>
        <v>#N/A</v>
      </c>
      <c r="AM328" s="352" t="e">
        <f>+VLOOKUP($E328,Final_nrj!$1:$1048576,AM$2,FALSE)</f>
        <v>#N/A</v>
      </c>
      <c r="AN328" s="352" t="e">
        <f>+VLOOKUP($E328,Final_nrj!$1:$1048576,AN$2,FALSE)</f>
        <v>#N/A</v>
      </c>
      <c r="AO328" s="352" t="e">
        <f>+VLOOKUP($E328,Final_nrj!$1:$1048576,AO$2,FALSE)</f>
        <v>#N/A</v>
      </c>
    </row>
    <row r="329" spans="1:41" s="307" customFormat="1" ht="15" customHeight="1" x14ac:dyDescent="0.25">
      <c r="A329" s="392"/>
      <c r="B329" s="382"/>
      <c r="C329" s="123"/>
      <c r="D329" s="123" t="s">
        <v>547</v>
      </c>
      <c r="E329" s="79" t="s">
        <v>2085</v>
      </c>
      <c r="F329" s="352" t="e">
        <f>+VLOOKUP($E329,Final_nrj!$1:$1048576,F$2,FALSE)</f>
        <v>#N/A</v>
      </c>
      <c r="G329" s="352" t="e">
        <f>+VLOOKUP($E329,Final_nrj!$1:$1048576,G$2,FALSE)</f>
        <v>#N/A</v>
      </c>
      <c r="H329" s="352" t="e">
        <f>+VLOOKUP($E329,Final_nrj!$1:$1048576,H$2,FALSE)</f>
        <v>#N/A</v>
      </c>
      <c r="I329" s="352" t="e">
        <f>+VLOOKUP($E329,Final_nrj!$1:$1048576,I$2,FALSE)</f>
        <v>#N/A</v>
      </c>
      <c r="J329" s="352" t="e">
        <f>+VLOOKUP($E329,Final_nrj!$1:$1048576,J$2,FALSE)</f>
        <v>#N/A</v>
      </c>
      <c r="K329" s="352" t="e">
        <f>+VLOOKUP($E329,Final_nrj!$1:$1048576,K$2,FALSE)</f>
        <v>#N/A</v>
      </c>
      <c r="L329" s="352" t="e">
        <f>+VLOOKUP($E329,Final_nrj!$1:$1048576,L$2,FALSE)</f>
        <v>#N/A</v>
      </c>
      <c r="M329" s="352" t="e">
        <f>+VLOOKUP($E329,Final_nrj!$1:$1048576,M$2,FALSE)</f>
        <v>#N/A</v>
      </c>
      <c r="N329" s="352" t="e">
        <f>+VLOOKUP($E329,Final_nrj!$1:$1048576,N$2,FALSE)</f>
        <v>#N/A</v>
      </c>
      <c r="O329" s="352" t="e">
        <f>+VLOOKUP($E329,Final_nrj!$1:$1048576,O$2,FALSE)</f>
        <v>#N/A</v>
      </c>
      <c r="P329" s="352" t="e">
        <f>+VLOOKUP($E329,Final_nrj!$1:$1048576,P$2,FALSE)</f>
        <v>#N/A</v>
      </c>
      <c r="Q329" s="352" t="e">
        <f>+VLOOKUP($E329,Final_nrj!$1:$1048576,Q$2,FALSE)</f>
        <v>#N/A</v>
      </c>
      <c r="R329" s="352" t="e">
        <f>+VLOOKUP($E329,Final_nrj!$1:$1048576,R$2,FALSE)</f>
        <v>#N/A</v>
      </c>
      <c r="S329" s="352" t="e">
        <f>+VLOOKUP($E329,Final_nrj!$1:$1048576,S$2,FALSE)</f>
        <v>#N/A</v>
      </c>
      <c r="T329" s="352" t="e">
        <f>+VLOOKUP($E329,Final_nrj!$1:$1048576,T$2,FALSE)</f>
        <v>#N/A</v>
      </c>
      <c r="U329" s="352" t="e">
        <f>+VLOOKUP($E329,Final_nrj!$1:$1048576,U$2,FALSE)</f>
        <v>#N/A</v>
      </c>
      <c r="V329" s="352" t="e">
        <f>+VLOOKUP($E329,Final_nrj!$1:$1048576,V$2,FALSE)</f>
        <v>#N/A</v>
      </c>
      <c r="W329" s="352" t="e">
        <f>+VLOOKUP($E329,Final_nrj!$1:$1048576,W$2,FALSE)</f>
        <v>#N/A</v>
      </c>
      <c r="X329" s="352" t="e">
        <f>+VLOOKUP($E329,Final_nrj!$1:$1048576,X$2,FALSE)</f>
        <v>#N/A</v>
      </c>
      <c r="Y329" s="352" t="e">
        <f>+VLOOKUP($E329,Final_nrj!$1:$1048576,Y$2,FALSE)</f>
        <v>#N/A</v>
      </c>
      <c r="Z329" s="352" t="e">
        <f>+VLOOKUP($E329,Final_nrj!$1:$1048576,Z$2,FALSE)</f>
        <v>#N/A</v>
      </c>
      <c r="AA329" s="352" t="e">
        <f>+VLOOKUP($E329,Final_nrj!$1:$1048576,AA$2,FALSE)</f>
        <v>#N/A</v>
      </c>
      <c r="AB329" s="352" t="e">
        <f>+VLOOKUP($E329,Final_nrj!$1:$1048576,AB$2,FALSE)</f>
        <v>#N/A</v>
      </c>
      <c r="AC329" s="352" t="e">
        <f>+VLOOKUP($E329,Final_nrj!$1:$1048576,AC$2,FALSE)</f>
        <v>#N/A</v>
      </c>
      <c r="AD329" s="352" t="e">
        <f>+VLOOKUP($E329,Final_nrj!$1:$1048576,AD$2,FALSE)</f>
        <v>#N/A</v>
      </c>
      <c r="AE329" s="352" t="e">
        <f>+VLOOKUP($E329,Final_nrj!$1:$1048576,AE$2,FALSE)</f>
        <v>#N/A</v>
      </c>
      <c r="AF329" s="352" t="e">
        <f>+VLOOKUP($E329,Final_nrj!$1:$1048576,AF$2,FALSE)</f>
        <v>#N/A</v>
      </c>
      <c r="AG329" s="352" t="e">
        <f>+VLOOKUP($E329,Final_nrj!$1:$1048576,AG$2,FALSE)</f>
        <v>#N/A</v>
      </c>
      <c r="AH329" s="352" t="e">
        <f>+VLOOKUP($E329,Final_nrj!$1:$1048576,AH$2,FALSE)</f>
        <v>#N/A</v>
      </c>
      <c r="AI329" s="352" t="e">
        <f>+VLOOKUP($E329,Final_nrj!$1:$1048576,AI$2,FALSE)</f>
        <v>#N/A</v>
      </c>
      <c r="AJ329" s="352" t="e">
        <f>+VLOOKUP($E329,Final_nrj!$1:$1048576,AJ$2,FALSE)</f>
        <v>#N/A</v>
      </c>
      <c r="AK329" s="352" t="e">
        <f>+VLOOKUP($E329,Final_nrj!$1:$1048576,AK$2,FALSE)</f>
        <v>#N/A</v>
      </c>
      <c r="AL329" s="352" t="e">
        <f>+VLOOKUP($E329,Final_nrj!$1:$1048576,AL$2,FALSE)</f>
        <v>#N/A</v>
      </c>
      <c r="AM329" s="352" t="e">
        <f>+VLOOKUP($E329,Final_nrj!$1:$1048576,AM$2,FALSE)</f>
        <v>#N/A</v>
      </c>
      <c r="AN329" s="352" t="e">
        <f>+VLOOKUP($E329,Final_nrj!$1:$1048576,AN$2,FALSE)</f>
        <v>#N/A</v>
      </c>
      <c r="AO329" s="352" t="e">
        <f>+VLOOKUP($E329,Final_nrj!$1:$1048576,AO$2,FALSE)</f>
        <v>#N/A</v>
      </c>
    </row>
    <row r="330" spans="1:41" s="307" customFormat="1" ht="15" customHeight="1" x14ac:dyDescent="0.25">
      <c r="A330" s="392"/>
      <c r="B330" s="382"/>
      <c r="C330" s="123"/>
      <c r="D330" s="123" t="s">
        <v>547</v>
      </c>
      <c r="E330" s="79" t="s">
        <v>2086</v>
      </c>
      <c r="F330" s="352" t="e">
        <f>+VLOOKUP($E330,Final_nrj!$1:$1048576,F$2,FALSE)</f>
        <v>#N/A</v>
      </c>
      <c r="G330" s="352" t="e">
        <f>+VLOOKUP($E330,Final_nrj!$1:$1048576,G$2,FALSE)</f>
        <v>#N/A</v>
      </c>
      <c r="H330" s="352" t="e">
        <f>+VLOOKUP($E330,Final_nrj!$1:$1048576,H$2,FALSE)</f>
        <v>#N/A</v>
      </c>
      <c r="I330" s="352" t="e">
        <f>+VLOOKUP($E330,Final_nrj!$1:$1048576,I$2,FALSE)</f>
        <v>#N/A</v>
      </c>
      <c r="J330" s="352" t="e">
        <f>+VLOOKUP($E330,Final_nrj!$1:$1048576,J$2,FALSE)</f>
        <v>#N/A</v>
      </c>
      <c r="K330" s="352" t="e">
        <f>+VLOOKUP($E330,Final_nrj!$1:$1048576,K$2,FALSE)</f>
        <v>#N/A</v>
      </c>
      <c r="L330" s="352" t="e">
        <f>+VLOOKUP($E330,Final_nrj!$1:$1048576,L$2,FALSE)</f>
        <v>#N/A</v>
      </c>
      <c r="M330" s="352" t="e">
        <f>+VLOOKUP($E330,Final_nrj!$1:$1048576,M$2,FALSE)</f>
        <v>#N/A</v>
      </c>
      <c r="N330" s="352" t="e">
        <f>+VLOOKUP($E330,Final_nrj!$1:$1048576,N$2,FALSE)</f>
        <v>#N/A</v>
      </c>
      <c r="O330" s="352" t="e">
        <f>+VLOOKUP($E330,Final_nrj!$1:$1048576,O$2,FALSE)</f>
        <v>#N/A</v>
      </c>
      <c r="P330" s="352" t="e">
        <f>+VLOOKUP($E330,Final_nrj!$1:$1048576,P$2,FALSE)</f>
        <v>#N/A</v>
      </c>
      <c r="Q330" s="352" t="e">
        <f>+VLOOKUP($E330,Final_nrj!$1:$1048576,Q$2,FALSE)</f>
        <v>#N/A</v>
      </c>
      <c r="R330" s="352" t="e">
        <f>+VLOOKUP($E330,Final_nrj!$1:$1048576,R$2,FALSE)</f>
        <v>#N/A</v>
      </c>
      <c r="S330" s="352" t="e">
        <f>+VLOOKUP($E330,Final_nrj!$1:$1048576,S$2,FALSE)</f>
        <v>#N/A</v>
      </c>
      <c r="T330" s="352" t="e">
        <f>+VLOOKUP($E330,Final_nrj!$1:$1048576,T$2,FALSE)</f>
        <v>#N/A</v>
      </c>
      <c r="U330" s="352" t="e">
        <f>+VLOOKUP($E330,Final_nrj!$1:$1048576,U$2,FALSE)</f>
        <v>#N/A</v>
      </c>
      <c r="V330" s="352" t="e">
        <f>+VLOOKUP($E330,Final_nrj!$1:$1048576,V$2,FALSE)</f>
        <v>#N/A</v>
      </c>
      <c r="W330" s="352" t="e">
        <f>+VLOOKUP($E330,Final_nrj!$1:$1048576,W$2,FALSE)</f>
        <v>#N/A</v>
      </c>
      <c r="X330" s="352" t="e">
        <f>+VLOOKUP($E330,Final_nrj!$1:$1048576,X$2,FALSE)</f>
        <v>#N/A</v>
      </c>
      <c r="Y330" s="352" t="e">
        <f>+VLOOKUP($E330,Final_nrj!$1:$1048576,Y$2,FALSE)</f>
        <v>#N/A</v>
      </c>
      <c r="Z330" s="352" t="e">
        <f>+VLOOKUP($E330,Final_nrj!$1:$1048576,Z$2,FALSE)</f>
        <v>#N/A</v>
      </c>
      <c r="AA330" s="352" t="e">
        <f>+VLOOKUP($E330,Final_nrj!$1:$1048576,AA$2,FALSE)</f>
        <v>#N/A</v>
      </c>
      <c r="AB330" s="352" t="e">
        <f>+VLOOKUP($E330,Final_nrj!$1:$1048576,AB$2,FALSE)</f>
        <v>#N/A</v>
      </c>
      <c r="AC330" s="352" t="e">
        <f>+VLOOKUP($E330,Final_nrj!$1:$1048576,AC$2,FALSE)</f>
        <v>#N/A</v>
      </c>
      <c r="AD330" s="352" t="e">
        <f>+VLOOKUP($E330,Final_nrj!$1:$1048576,AD$2,FALSE)</f>
        <v>#N/A</v>
      </c>
      <c r="AE330" s="352" t="e">
        <f>+VLOOKUP($E330,Final_nrj!$1:$1048576,AE$2,FALSE)</f>
        <v>#N/A</v>
      </c>
      <c r="AF330" s="352" t="e">
        <f>+VLOOKUP($E330,Final_nrj!$1:$1048576,AF$2,FALSE)</f>
        <v>#N/A</v>
      </c>
      <c r="AG330" s="352" t="e">
        <f>+VLOOKUP($E330,Final_nrj!$1:$1048576,AG$2,FALSE)</f>
        <v>#N/A</v>
      </c>
      <c r="AH330" s="352" t="e">
        <f>+VLOOKUP($E330,Final_nrj!$1:$1048576,AH$2,FALSE)</f>
        <v>#N/A</v>
      </c>
      <c r="AI330" s="352" t="e">
        <f>+VLOOKUP($E330,Final_nrj!$1:$1048576,AI$2,FALSE)</f>
        <v>#N/A</v>
      </c>
      <c r="AJ330" s="352" t="e">
        <f>+VLOOKUP($E330,Final_nrj!$1:$1048576,AJ$2,FALSE)</f>
        <v>#N/A</v>
      </c>
      <c r="AK330" s="352" t="e">
        <f>+VLOOKUP($E330,Final_nrj!$1:$1048576,AK$2,FALSE)</f>
        <v>#N/A</v>
      </c>
      <c r="AL330" s="352" t="e">
        <f>+VLOOKUP($E330,Final_nrj!$1:$1048576,AL$2,FALSE)</f>
        <v>#N/A</v>
      </c>
      <c r="AM330" s="352" t="e">
        <f>+VLOOKUP($E330,Final_nrj!$1:$1048576,AM$2,FALSE)</f>
        <v>#N/A</v>
      </c>
      <c r="AN330" s="352" t="e">
        <f>+VLOOKUP($E330,Final_nrj!$1:$1048576,AN$2,FALSE)</f>
        <v>#N/A</v>
      </c>
      <c r="AO330" s="352" t="e">
        <f>+VLOOKUP($E330,Final_nrj!$1:$1048576,AO$2,FALSE)</f>
        <v>#N/A</v>
      </c>
    </row>
    <row r="331" spans="1:41" s="307" customFormat="1" ht="15" customHeight="1" x14ac:dyDescent="0.25">
      <c r="A331" s="392"/>
      <c r="B331" s="382"/>
      <c r="C331" s="123"/>
      <c r="D331" s="123" t="s">
        <v>548</v>
      </c>
      <c r="E331" s="79" t="s">
        <v>2087</v>
      </c>
      <c r="F331" s="352" t="e">
        <f>+VLOOKUP($E331,Final_nrj!$1:$1048576,F$2,FALSE)</f>
        <v>#N/A</v>
      </c>
      <c r="G331" s="352" t="e">
        <f>+VLOOKUP($E331,Final_nrj!$1:$1048576,G$2,FALSE)</f>
        <v>#N/A</v>
      </c>
      <c r="H331" s="352" t="e">
        <f>+VLOOKUP($E331,Final_nrj!$1:$1048576,H$2,FALSE)</f>
        <v>#N/A</v>
      </c>
      <c r="I331" s="352" t="e">
        <f>+VLOOKUP($E331,Final_nrj!$1:$1048576,I$2,FALSE)</f>
        <v>#N/A</v>
      </c>
      <c r="J331" s="352" t="e">
        <f>+VLOOKUP($E331,Final_nrj!$1:$1048576,J$2,FALSE)</f>
        <v>#N/A</v>
      </c>
      <c r="K331" s="352" t="e">
        <f>+VLOOKUP($E331,Final_nrj!$1:$1048576,K$2,FALSE)</f>
        <v>#N/A</v>
      </c>
      <c r="L331" s="352" t="e">
        <f>+VLOOKUP($E331,Final_nrj!$1:$1048576,L$2,FALSE)</f>
        <v>#N/A</v>
      </c>
      <c r="M331" s="352" t="e">
        <f>+VLOOKUP($E331,Final_nrj!$1:$1048576,M$2,FALSE)</f>
        <v>#N/A</v>
      </c>
      <c r="N331" s="352" t="e">
        <f>+VLOOKUP($E331,Final_nrj!$1:$1048576,N$2,FALSE)</f>
        <v>#N/A</v>
      </c>
      <c r="O331" s="352" t="e">
        <f>+VLOOKUP($E331,Final_nrj!$1:$1048576,O$2,FALSE)</f>
        <v>#N/A</v>
      </c>
      <c r="P331" s="352" t="e">
        <f>+VLOOKUP($E331,Final_nrj!$1:$1048576,P$2,FALSE)</f>
        <v>#N/A</v>
      </c>
      <c r="Q331" s="352" t="e">
        <f>+VLOOKUP($E331,Final_nrj!$1:$1048576,Q$2,FALSE)</f>
        <v>#N/A</v>
      </c>
      <c r="R331" s="352" t="e">
        <f>+VLOOKUP($E331,Final_nrj!$1:$1048576,R$2,FALSE)</f>
        <v>#N/A</v>
      </c>
      <c r="S331" s="352" t="e">
        <f>+VLOOKUP($E331,Final_nrj!$1:$1048576,S$2,FALSE)</f>
        <v>#N/A</v>
      </c>
      <c r="T331" s="352" t="e">
        <f>+VLOOKUP($E331,Final_nrj!$1:$1048576,T$2,FALSE)</f>
        <v>#N/A</v>
      </c>
      <c r="U331" s="352" t="e">
        <f>+VLOOKUP($E331,Final_nrj!$1:$1048576,U$2,FALSE)</f>
        <v>#N/A</v>
      </c>
      <c r="V331" s="352" t="e">
        <f>+VLOOKUP($E331,Final_nrj!$1:$1048576,V$2,FALSE)</f>
        <v>#N/A</v>
      </c>
      <c r="W331" s="352" t="e">
        <f>+VLOOKUP($E331,Final_nrj!$1:$1048576,W$2,FALSE)</f>
        <v>#N/A</v>
      </c>
      <c r="X331" s="352" t="e">
        <f>+VLOOKUP($E331,Final_nrj!$1:$1048576,X$2,FALSE)</f>
        <v>#N/A</v>
      </c>
      <c r="Y331" s="352" t="e">
        <f>+VLOOKUP($E331,Final_nrj!$1:$1048576,Y$2,FALSE)</f>
        <v>#N/A</v>
      </c>
      <c r="Z331" s="352" t="e">
        <f>+VLOOKUP($E331,Final_nrj!$1:$1048576,Z$2,FALSE)</f>
        <v>#N/A</v>
      </c>
      <c r="AA331" s="352" t="e">
        <f>+VLOOKUP($E331,Final_nrj!$1:$1048576,AA$2,FALSE)</f>
        <v>#N/A</v>
      </c>
      <c r="AB331" s="352" t="e">
        <f>+VLOOKUP($E331,Final_nrj!$1:$1048576,AB$2,FALSE)</f>
        <v>#N/A</v>
      </c>
      <c r="AC331" s="352" t="e">
        <f>+VLOOKUP($E331,Final_nrj!$1:$1048576,AC$2,FALSE)</f>
        <v>#N/A</v>
      </c>
      <c r="AD331" s="352" t="e">
        <f>+VLOOKUP($E331,Final_nrj!$1:$1048576,AD$2,FALSE)</f>
        <v>#N/A</v>
      </c>
      <c r="AE331" s="352" t="e">
        <f>+VLOOKUP($E331,Final_nrj!$1:$1048576,AE$2,FALSE)</f>
        <v>#N/A</v>
      </c>
      <c r="AF331" s="352" t="e">
        <f>+VLOOKUP($E331,Final_nrj!$1:$1048576,AF$2,FALSE)</f>
        <v>#N/A</v>
      </c>
      <c r="AG331" s="352" t="e">
        <f>+VLOOKUP($E331,Final_nrj!$1:$1048576,AG$2,FALSE)</f>
        <v>#N/A</v>
      </c>
      <c r="AH331" s="352" t="e">
        <f>+VLOOKUP($E331,Final_nrj!$1:$1048576,AH$2,FALSE)</f>
        <v>#N/A</v>
      </c>
      <c r="AI331" s="352" t="e">
        <f>+VLOOKUP($E331,Final_nrj!$1:$1048576,AI$2,FALSE)</f>
        <v>#N/A</v>
      </c>
      <c r="AJ331" s="352" t="e">
        <f>+VLOOKUP($E331,Final_nrj!$1:$1048576,AJ$2,FALSE)</f>
        <v>#N/A</v>
      </c>
      <c r="AK331" s="352" t="e">
        <f>+VLOOKUP($E331,Final_nrj!$1:$1048576,AK$2,FALSE)</f>
        <v>#N/A</v>
      </c>
      <c r="AL331" s="352" t="e">
        <f>+VLOOKUP($E331,Final_nrj!$1:$1048576,AL$2,FALSE)</f>
        <v>#N/A</v>
      </c>
      <c r="AM331" s="352" t="e">
        <f>+VLOOKUP($E331,Final_nrj!$1:$1048576,AM$2,FALSE)</f>
        <v>#N/A</v>
      </c>
      <c r="AN331" s="352" t="e">
        <f>+VLOOKUP($E331,Final_nrj!$1:$1048576,AN$2,FALSE)</f>
        <v>#N/A</v>
      </c>
      <c r="AO331" s="352" t="e">
        <f>+VLOOKUP($E331,Final_nrj!$1:$1048576,AO$2,FALSE)</f>
        <v>#N/A</v>
      </c>
    </row>
    <row r="332" spans="1:41" s="108" customFormat="1" ht="15" customHeight="1" x14ac:dyDescent="0.25">
      <c r="A332" s="392"/>
      <c r="B332" s="382"/>
      <c r="C332" s="122" t="s">
        <v>495</v>
      </c>
      <c r="D332" s="122"/>
      <c r="E332" s="89" t="s">
        <v>1048</v>
      </c>
      <c r="F332" s="322">
        <f>+VLOOKUP($E332,Final_nrj!$1:$1048576,F$2,FALSE)</f>
        <v>37.958651860000003</v>
      </c>
      <c r="G332" s="322">
        <f>+VLOOKUP($E332,Final_nrj!$1:$1048576,G$2,FALSE)</f>
        <v>38.217802910000003</v>
      </c>
      <c r="H332" s="322">
        <f>+VLOOKUP($E332,Final_nrj!$1:$1048576,H$2,FALSE)</f>
        <v>38.411399250000002</v>
      </c>
      <c r="I332" s="322">
        <f>+VLOOKUP($E332,Final_nrj!$1:$1048576,I$2,FALSE)</f>
        <v>38.589211779999999</v>
      </c>
      <c r="J332" s="322">
        <f>+VLOOKUP($E332,Final_nrj!$1:$1048576,J$2,FALSE)</f>
        <v>38.771213690000003</v>
      </c>
      <c r="K332" s="322">
        <f>+VLOOKUP($E332,Final_nrj!$1:$1048576,K$2,FALSE)</f>
        <v>38.963884999999998</v>
      </c>
      <c r="L332" s="322">
        <f>+VLOOKUP($E332,Final_nrj!$1:$1048576,L$2,FALSE)</f>
        <v>39.168186140000003</v>
      </c>
      <c r="M332" s="322">
        <f>+VLOOKUP($E332,Final_nrj!$1:$1048576,M$2,FALSE)</f>
        <v>39.383141649999999</v>
      </c>
      <c r="N332" s="322">
        <f>+VLOOKUP($E332,Final_nrj!$1:$1048576,N$2,FALSE)</f>
        <v>39.607336930000002</v>
      </c>
      <c r="O332" s="322">
        <f>+VLOOKUP($E332,Final_nrj!$1:$1048576,O$2,FALSE)</f>
        <v>39.83947586</v>
      </c>
      <c r="P332" s="322">
        <f>+VLOOKUP($E332,Final_nrj!$1:$1048576,P$2,FALSE)</f>
        <v>40.078538469999998</v>
      </c>
      <c r="Q332" s="322">
        <f>+VLOOKUP($E332,Final_nrj!$1:$1048576,Q$2,FALSE)</f>
        <v>40.323783069999998</v>
      </c>
      <c r="R332" s="322">
        <f>+VLOOKUP($E332,Final_nrj!$1:$1048576,R$2,FALSE)</f>
        <v>40.574698400000003</v>
      </c>
      <c r="S332" s="322">
        <f>+VLOOKUP($E332,Final_nrj!$1:$1048576,S$2,FALSE)</f>
        <v>40.830948599999999</v>
      </c>
      <c r="T332" s="322">
        <f>+VLOOKUP($E332,Final_nrj!$1:$1048576,T$2,FALSE)</f>
        <v>41.09232506</v>
      </c>
      <c r="U332" s="322">
        <f>+VLOOKUP($E332,Final_nrj!$1:$1048576,U$2,FALSE)</f>
        <v>41.358707930000001</v>
      </c>
      <c r="V332" s="322">
        <f>+VLOOKUP($E332,Final_nrj!$1:$1048576,V$2,FALSE)</f>
        <v>41.630037360000003</v>
      </c>
      <c r="W332" s="322">
        <f>+VLOOKUP($E332,Final_nrj!$1:$1048576,W$2,FALSE)</f>
        <v>41.906259009999999</v>
      </c>
      <c r="X332" s="322">
        <f>+VLOOKUP($E332,Final_nrj!$1:$1048576,X$2,FALSE)</f>
        <v>42.187347639999999</v>
      </c>
      <c r="Y332" s="322">
        <f>+VLOOKUP($E332,Final_nrj!$1:$1048576,Y$2,FALSE)</f>
        <v>42.473313169999997</v>
      </c>
      <c r="Z332" s="322">
        <f>+VLOOKUP($E332,Final_nrj!$1:$1048576,Z$2,FALSE)</f>
        <v>42.76418176</v>
      </c>
      <c r="AA332" s="322">
        <f>+VLOOKUP($E332,Final_nrj!$1:$1048576,AA$2,FALSE)</f>
        <v>43.059986170000002</v>
      </c>
      <c r="AB332" s="322">
        <f>+VLOOKUP($E332,Final_nrj!$1:$1048576,AB$2,FALSE)</f>
        <v>43.360761060000002</v>
      </c>
      <c r="AC332" s="322">
        <f>+VLOOKUP($E332,Final_nrj!$1:$1048576,AC$2,FALSE)</f>
        <v>43.666541100000003</v>
      </c>
      <c r="AD332" s="322">
        <f>+VLOOKUP($E332,Final_nrj!$1:$1048576,AD$2,FALSE)</f>
        <v>43.977360539999999</v>
      </c>
      <c r="AE332" s="322">
        <f>+VLOOKUP($E332,Final_nrj!$1:$1048576,AE$2,FALSE)</f>
        <v>44.293253640000003</v>
      </c>
      <c r="AF332" s="322">
        <f>+VLOOKUP($E332,Final_nrj!$1:$1048576,AF$2,FALSE)</f>
        <v>44.614255399999998</v>
      </c>
      <c r="AG332" s="322">
        <f>+VLOOKUP($E332,Final_nrj!$1:$1048576,AG$2,FALSE)</f>
        <v>44.940402329999998</v>
      </c>
      <c r="AH332" s="322">
        <f>+VLOOKUP($E332,Final_nrj!$1:$1048576,AH$2,FALSE)</f>
        <v>45.271733240000003</v>
      </c>
      <c r="AI332" s="322">
        <f>+VLOOKUP($E332,Final_nrj!$1:$1048576,AI$2,FALSE)</f>
        <v>45.608289810000002</v>
      </c>
      <c r="AJ332" s="322">
        <f>+VLOOKUP($E332,Final_nrj!$1:$1048576,AJ$2,FALSE)</f>
        <v>45.950116950000002</v>
      </c>
      <c r="AK332" s="322">
        <f>+VLOOKUP($E332,Final_nrj!$1:$1048576,AK$2,FALSE)</f>
        <v>46.297263059999999</v>
      </c>
      <c r="AL332" s="322">
        <f>+VLOOKUP($E332,Final_nrj!$1:$1048576,AL$2,FALSE)</f>
        <v>46.649780030000002</v>
      </c>
      <c r="AM332" s="322">
        <f>+VLOOKUP($E332,Final_nrj!$1:$1048576,AM$2,FALSE)</f>
        <v>47.007723169999998</v>
      </c>
      <c r="AN332" s="322">
        <f>+VLOOKUP($E332,Final_nrj!$1:$1048576,AN$2,FALSE)</f>
        <v>47.371151089999998</v>
      </c>
      <c r="AO332" s="322">
        <f>+VLOOKUP($E332,Final_nrj!$1:$1048576,AO$2,FALSE)</f>
        <v>47.740125460000002</v>
      </c>
    </row>
    <row r="333" spans="1:41" s="73" customFormat="1" ht="15" customHeight="1" x14ac:dyDescent="0.25">
      <c r="A333" s="392"/>
      <c r="B333" s="382"/>
      <c r="C333" s="123"/>
      <c r="D333" s="123" t="s">
        <v>160</v>
      </c>
      <c r="E333" s="79" t="s">
        <v>1049</v>
      </c>
      <c r="F333" s="323" t="e">
        <f>+VLOOKUP($E333,Final_nrj!$1:$1048576,F$2,FALSE)</f>
        <v>#N/A</v>
      </c>
      <c r="G333" s="323" t="e">
        <f>+VLOOKUP($E333,Final_nrj!$1:$1048576,G$2,FALSE)</f>
        <v>#N/A</v>
      </c>
      <c r="H333" s="323" t="e">
        <f>+VLOOKUP($E333,Final_nrj!$1:$1048576,H$2,FALSE)</f>
        <v>#N/A</v>
      </c>
      <c r="I333" s="323" t="e">
        <f>+VLOOKUP($E333,Final_nrj!$1:$1048576,I$2,FALSE)</f>
        <v>#N/A</v>
      </c>
      <c r="J333" s="323" t="e">
        <f>+VLOOKUP($E333,Final_nrj!$1:$1048576,J$2,FALSE)</f>
        <v>#N/A</v>
      </c>
      <c r="K333" s="323" t="e">
        <f>+VLOOKUP($E333,Final_nrj!$1:$1048576,K$2,FALSE)</f>
        <v>#N/A</v>
      </c>
      <c r="L333" s="323" t="e">
        <f>+VLOOKUP($E333,Final_nrj!$1:$1048576,L$2,FALSE)</f>
        <v>#N/A</v>
      </c>
      <c r="M333" s="323" t="e">
        <f>+VLOOKUP($E333,Final_nrj!$1:$1048576,M$2,FALSE)</f>
        <v>#N/A</v>
      </c>
      <c r="N333" s="323" t="e">
        <f>+VLOOKUP($E333,Final_nrj!$1:$1048576,N$2,FALSE)</f>
        <v>#N/A</v>
      </c>
      <c r="O333" s="323" t="e">
        <f>+VLOOKUP($E333,Final_nrj!$1:$1048576,O$2,FALSE)</f>
        <v>#N/A</v>
      </c>
      <c r="P333" s="323" t="e">
        <f>+VLOOKUP($E333,Final_nrj!$1:$1048576,P$2,FALSE)</f>
        <v>#N/A</v>
      </c>
      <c r="Q333" s="323" t="e">
        <f>+VLOOKUP($E333,Final_nrj!$1:$1048576,Q$2,FALSE)</f>
        <v>#N/A</v>
      </c>
      <c r="R333" s="323" t="e">
        <f>+VLOOKUP($E333,Final_nrj!$1:$1048576,R$2,FALSE)</f>
        <v>#N/A</v>
      </c>
      <c r="S333" s="323" t="e">
        <f>+VLOOKUP($E333,Final_nrj!$1:$1048576,S$2,FALSE)</f>
        <v>#N/A</v>
      </c>
      <c r="T333" s="323" t="e">
        <f>+VLOOKUP($E333,Final_nrj!$1:$1048576,T$2,FALSE)</f>
        <v>#N/A</v>
      </c>
      <c r="U333" s="323" t="e">
        <f>+VLOOKUP($E333,Final_nrj!$1:$1048576,U$2,FALSE)</f>
        <v>#N/A</v>
      </c>
      <c r="V333" s="323" t="e">
        <f>+VLOOKUP($E333,Final_nrj!$1:$1048576,V$2,FALSE)</f>
        <v>#N/A</v>
      </c>
      <c r="W333" s="323" t="e">
        <f>+VLOOKUP($E333,Final_nrj!$1:$1048576,W$2,FALSE)</f>
        <v>#N/A</v>
      </c>
      <c r="X333" s="323" t="e">
        <f>+VLOOKUP($E333,Final_nrj!$1:$1048576,X$2,FALSE)</f>
        <v>#N/A</v>
      </c>
      <c r="Y333" s="323" t="e">
        <f>+VLOOKUP($E333,Final_nrj!$1:$1048576,Y$2,FALSE)</f>
        <v>#N/A</v>
      </c>
      <c r="Z333" s="323" t="e">
        <f>+VLOOKUP($E333,Final_nrj!$1:$1048576,Z$2,FALSE)</f>
        <v>#N/A</v>
      </c>
      <c r="AA333" s="323" t="e">
        <f>+VLOOKUP($E333,Final_nrj!$1:$1048576,AA$2,FALSE)</f>
        <v>#N/A</v>
      </c>
      <c r="AB333" s="323" t="e">
        <f>+VLOOKUP($E333,Final_nrj!$1:$1048576,AB$2,FALSE)</f>
        <v>#N/A</v>
      </c>
      <c r="AC333" s="323" t="e">
        <f>+VLOOKUP($E333,Final_nrj!$1:$1048576,AC$2,FALSE)</f>
        <v>#N/A</v>
      </c>
      <c r="AD333" s="323" t="e">
        <f>+VLOOKUP($E333,Final_nrj!$1:$1048576,AD$2,FALSE)</f>
        <v>#N/A</v>
      </c>
      <c r="AE333" s="323" t="e">
        <f>+VLOOKUP($E333,Final_nrj!$1:$1048576,AE$2,FALSE)</f>
        <v>#N/A</v>
      </c>
      <c r="AF333" s="323" t="e">
        <f>+VLOOKUP($E333,Final_nrj!$1:$1048576,AF$2,FALSE)</f>
        <v>#N/A</v>
      </c>
      <c r="AG333" s="323" t="e">
        <f>+VLOOKUP($E333,Final_nrj!$1:$1048576,AG$2,FALSE)</f>
        <v>#N/A</v>
      </c>
      <c r="AH333" s="323" t="e">
        <f>+VLOOKUP($E333,Final_nrj!$1:$1048576,AH$2,FALSE)</f>
        <v>#N/A</v>
      </c>
      <c r="AI333" s="323" t="e">
        <f>+VLOOKUP($E333,Final_nrj!$1:$1048576,AI$2,FALSE)</f>
        <v>#N/A</v>
      </c>
      <c r="AJ333" s="323" t="e">
        <f>+VLOOKUP($E333,Final_nrj!$1:$1048576,AJ$2,FALSE)</f>
        <v>#N/A</v>
      </c>
      <c r="AK333" s="323" t="e">
        <f>+VLOOKUP($E333,Final_nrj!$1:$1048576,AK$2,FALSE)</f>
        <v>#N/A</v>
      </c>
      <c r="AL333" s="323" t="e">
        <f>+VLOOKUP($E333,Final_nrj!$1:$1048576,AL$2,FALSE)</f>
        <v>#N/A</v>
      </c>
      <c r="AM333" s="323" t="e">
        <f>+VLOOKUP($E333,Final_nrj!$1:$1048576,AM$2,FALSE)</f>
        <v>#N/A</v>
      </c>
      <c r="AN333" s="323" t="e">
        <f>+VLOOKUP($E333,Final_nrj!$1:$1048576,AN$2,FALSE)</f>
        <v>#N/A</v>
      </c>
      <c r="AO333" s="323" t="e">
        <f>+VLOOKUP($E333,Final_nrj!$1:$1048576,AO$2,FALSE)</f>
        <v>#N/A</v>
      </c>
    </row>
    <row r="334" spans="1:41" s="73" customFormat="1" ht="15" customHeight="1" x14ac:dyDescent="0.25">
      <c r="A334" s="392"/>
      <c r="B334" s="382"/>
      <c r="C334" s="123"/>
      <c r="D334" s="123" t="s">
        <v>161</v>
      </c>
      <c r="E334" s="79" t="s">
        <v>1050</v>
      </c>
      <c r="F334" s="323" t="e">
        <f>+VLOOKUP($E334,Final_nrj!$1:$1048576,F$2,FALSE)</f>
        <v>#N/A</v>
      </c>
      <c r="G334" s="323" t="e">
        <f>+VLOOKUP($E334,Final_nrj!$1:$1048576,G$2,FALSE)</f>
        <v>#N/A</v>
      </c>
      <c r="H334" s="323" t="e">
        <f>+VLOOKUP($E334,Final_nrj!$1:$1048576,H$2,FALSE)</f>
        <v>#N/A</v>
      </c>
      <c r="I334" s="323" t="e">
        <f>+VLOOKUP($E334,Final_nrj!$1:$1048576,I$2,FALSE)</f>
        <v>#N/A</v>
      </c>
      <c r="J334" s="323" t="e">
        <f>+VLOOKUP($E334,Final_nrj!$1:$1048576,J$2,FALSE)</f>
        <v>#N/A</v>
      </c>
      <c r="K334" s="323" t="e">
        <f>+VLOOKUP($E334,Final_nrj!$1:$1048576,K$2,FALSE)</f>
        <v>#N/A</v>
      </c>
      <c r="L334" s="323" t="e">
        <f>+VLOOKUP($E334,Final_nrj!$1:$1048576,L$2,FALSE)</f>
        <v>#N/A</v>
      </c>
      <c r="M334" s="323" t="e">
        <f>+VLOOKUP($E334,Final_nrj!$1:$1048576,M$2,FALSE)</f>
        <v>#N/A</v>
      </c>
      <c r="N334" s="323" t="e">
        <f>+VLOOKUP($E334,Final_nrj!$1:$1048576,N$2,FALSE)</f>
        <v>#N/A</v>
      </c>
      <c r="O334" s="323" t="e">
        <f>+VLOOKUP($E334,Final_nrj!$1:$1048576,O$2,FALSE)</f>
        <v>#N/A</v>
      </c>
      <c r="P334" s="323" t="e">
        <f>+VLOOKUP($E334,Final_nrj!$1:$1048576,P$2,FALSE)</f>
        <v>#N/A</v>
      </c>
      <c r="Q334" s="323" t="e">
        <f>+VLOOKUP($E334,Final_nrj!$1:$1048576,Q$2,FALSE)</f>
        <v>#N/A</v>
      </c>
      <c r="R334" s="323" t="e">
        <f>+VLOOKUP($E334,Final_nrj!$1:$1048576,R$2,FALSE)</f>
        <v>#N/A</v>
      </c>
      <c r="S334" s="323" t="e">
        <f>+VLOOKUP($E334,Final_nrj!$1:$1048576,S$2,FALSE)</f>
        <v>#N/A</v>
      </c>
      <c r="T334" s="323" t="e">
        <f>+VLOOKUP($E334,Final_nrj!$1:$1048576,T$2,FALSE)</f>
        <v>#N/A</v>
      </c>
      <c r="U334" s="323" t="e">
        <f>+VLOOKUP($E334,Final_nrj!$1:$1048576,U$2,FALSE)</f>
        <v>#N/A</v>
      </c>
      <c r="V334" s="323" t="e">
        <f>+VLOOKUP($E334,Final_nrj!$1:$1048576,V$2,FALSE)</f>
        <v>#N/A</v>
      </c>
      <c r="W334" s="323" t="e">
        <f>+VLOOKUP($E334,Final_nrj!$1:$1048576,W$2,FALSE)</f>
        <v>#N/A</v>
      </c>
      <c r="X334" s="323" t="e">
        <f>+VLOOKUP($E334,Final_nrj!$1:$1048576,X$2,FALSE)</f>
        <v>#N/A</v>
      </c>
      <c r="Y334" s="323" t="e">
        <f>+VLOOKUP($E334,Final_nrj!$1:$1048576,Y$2,FALSE)</f>
        <v>#N/A</v>
      </c>
      <c r="Z334" s="323" t="e">
        <f>+VLOOKUP($E334,Final_nrj!$1:$1048576,Z$2,FALSE)</f>
        <v>#N/A</v>
      </c>
      <c r="AA334" s="323" t="e">
        <f>+VLOOKUP($E334,Final_nrj!$1:$1048576,AA$2,FALSE)</f>
        <v>#N/A</v>
      </c>
      <c r="AB334" s="323" t="e">
        <f>+VLOOKUP($E334,Final_nrj!$1:$1048576,AB$2,FALSE)</f>
        <v>#N/A</v>
      </c>
      <c r="AC334" s="323" t="e">
        <f>+VLOOKUP($E334,Final_nrj!$1:$1048576,AC$2,FALSE)</f>
        <v>#N/A</v>
      </c>
      <c r="AD334" s="323" t="e">
        <f>+VLOOKUP($E334,Final_nrj!$1:$1048576,AD$2,FALSE)</f>
        <v>#N/A</v>
      </c>
      <c r="AE334" s="323" t="e">
        <f>+VLOOKUP($E334,Final_nrj!$1:$1048576,AE$2,FALSE)</f>
        <v>#N/A</v>
      </c>
      <c r="AF334" s="323" t="e">
        <f>+VLOOKUP($E334,Final_nrj!$1:$1048576,AF$2,FALSE)</f>
        <v>#N/A</v>
      </c>
      <c r="AG334" s="323" t="e">
        <f>+VLOOKUP($E334,Final_nrj!$1:$1048576,AG$2,FALSE)</f>
        <v>#N/A</v>
      </c>
      <c r="AH334" s="323" t="e">
        <f>+VLOOKUP($E334,Final_nrj!$1:$1048576,AH$2,FALSE)</f>
        <v>#N/A</v>
      </c>
      <c r="AI334" s="323" t="e">
        <f>+VLOOKUP($E334,Final_nrj!$1:$1048576,AI$2,FALSE)</f>
        <v>#N/A</v>
      </c>
      <c r="AJ334" s="323" t="e">
        <f>+VLOOKUP($E334,Final_nrj!$1:$1048576,AJ$2,FALSE)</f>
        <v>#N/A</v>
      </c>
      <c r="AK334" s="323" t="e">
        <f>+VLOOKUP($E334,Final_nrj!$1:$1048576,AK$2,FALSE)</f>
        <v>#N/A</v>
      </c>
      <c r="AL334" s="323" t="e">
        <f>+VLOOKUP($E334,Final_nrj!$1:$1048576,AL$2,FALSE)</f>
        <v>#N/A</v>
      </c>
      <c r="AM334" s="323" t="e">
        <f>+VLOOKUP($E334,Final_nrj!$1:$1048576,AM$2,FALSE)</f>
        <v>#N/A</v>
      </c>
      <c r="AN334" s="323" t="e">
        <f>+VLOOKUP($E334,Final_nrj!$1:$1048576,AN$2,FALSE)</f>
        <v>#N/A</v>
      </c>
      <c r="AO334" s="323" t="e">
        <f>+VLOOKUP($E334,Final_nrj!$1:$1048576,AO$2,FALSE)</f>
        <v>#N/A</v>
      </c>
    </row>
    <row r="335" spans="1:41" s="73" customFormat="1" ht="15" customHeight="1" x14ac:dyDescent="0.25">
      <c r="A335" s="392"/>
      <c r="B335" s="382"/>
      <c r="C335" s="123"/>
      <c r="D335" s="123" t="s">
        <v>162</v>
      </c>
      <c r="E335" s="79" t="s">
        <v>1051</v>
      </c>
      <c r="F335" s="323" t="e">
        <f>+VLOOKUP($E335,Final_nrj!$1:$1048576,F$2,FALSE)</f>
        <v>#N/A</v>
      </c>
      <c r="G335" s="323" t="e">
        <f>+VLOOKUP($E335,Final_nrj!$1:$1048576,G$2,FALSE)</f>
        <v>#N/A</v>
      </c>
      <c r="H335" s="323" t="e">
        <f>+VLOOKUP($E335,Final_nrj!$1:$1048576,H$2,FALSE)</f>
        <v>#N/A</v>
      </c>
      <c r="I335" s="323" t="e">
        <f>+VLOOKUP($E335,Final_nrj!$1:$1048576,I$2,FALSE)</f>
        <v>#N/A</v>
      </c>
      <c r="J335" s="323" t="e">
        <f>+VLOOKUP($E335,Final_nrj!$1:$1048576,J$2,FALSE)</f>
        <v>#N/A</v>
      </c>
      <c r="K335" s="323" t="e">
        <f>+VLOOKUP($E335,Final_nrj!$1:$1048576,K$2,FALSE)</f>
        <v>#N/A</v>
      </c>
      <c r="L335" s="323" t="e">
        <f>+VLOOKUP($E335,Final_nrj!$1:$1048576,L$2,FALSE)</f>
        <v>#N/A</v>
      </c>
      <c r="M335" s="323" t="e">
        <f>+VLOOKUP($E335,Final_nrj!$1:$1048576,M$2,FALSE)</f>
        <v>#N/A</v>
      </c>
      <c r="N335" s="323" t="e">
        <f>+VLOOKUP($E335,Final_nrj!$1:$1048576,N$2,FALSE)</f>
        <v>#N/A</v>
      </c>
      <c r="O335" s="323" t="e">
        <f>+VLOOKUP($E335,Final_nrj!$1:$1048576,O$2,FALSE)</f>
        <v>#N/A</v>
      </c>
      <c r="P335" s="323" t="e">
        <f>+VLOOKUP($E335,Final_nrj!$1:$1048576,P$2,FALSE)</f>
        <v>#N/A</v>
      </c>
      <c r="Q335" s="323" t="e">
        <f>+VLOOKUP($E335,Final_nrj!$1:$1048576,Q$2,FALSE)</f>
        <v>#N/A</v>
      </c>
      <c r="R335" s="323" t="e">
        <f>+VLOOKUP($E335,Final_nrj!$1:$1048576,R$2,FALSE)</f>
        <v>#N/A</v>
      </c>
      <c r="S335" s="323" t="e">
        <f>+VLOOKUP($E335,Final_nrj!$1:$1048576,S$2,FALSE)</f>
        <v>#N/A</v>
      </c>
      <c r="T335" s="323" t="e">
        <f>+VLOOKUP($E335,Final_nrj!$1:$1048576,T$2,FALSE)</f>
        <v>#N/A</v>
      </c>
      <c r="U335" s="323" t="e">
        <f>+VLOOKUP($E335,Final_nrj!$1:$1048576,U$2,FALSE)</f>
        <v>#N/A</v>
      </c>
      <c r="V335" s="323" t="e">
        <f>+VLOOKUP($E335,Final_nrj!$1:$1048576,V$2,FALSE)</f>
        <v>#N/A</v>
      </c>
      <c r="W335" s="323" t="e">
        <f>+VLOOKUP($E335,Final_nrj!$1:$1048576,W$2,FALSE)</f>
        <v>#N/A</v>
      </c>
      <c r="X335" s="323" t="e">
        <f>+VLOOKUP($E335,Final_nrj!$1:$1048576,X$2,FALSE)</f>
        <v>#N/A</v>
      </c>
      <c r="Y335" s="323" t="e">
        <f>+VLOOKUP($E335,Final_nrj!$1:$1048576,Y$2,FALSE)</f>
        <v>#N/A</v>
      </c>
      <c r="Z335" s="323" t="e">
        <f>+VLOOKUP($E335,Final_nrj!$1:$1048576,Z$2,FALSE)</f>
        <v>#N/A</v>
      </c>
      <c r="AA335" s="323" t="e">
        <f>+VLOOKUP($E335,Final_nrj!$1:$1048576,AA$2,FALSE)</f>
        <v>#N/A</v>
      </c>
      <c r="AB335" s="323" t="e">
        <f>+VLOOKUP($E335,Final_nrj!$1:$1048576,AB$2,FALSE)</f>
        <v>#N/A</v>
      </c>
      <c r="AC335" s="323" t="e">
        <f>+VLOOKUP($E335,Final_nrj!$1:$1048576,AC$2,FALSE)</f>
        <v>#N/A</v>
      </c>
      <c r="AD335" s="323" t="e">
        <f>+VLOOKUP($E335,Final_nrj!$1:$1048576,AD$2,FALSE)</f>
        <v>#N/A</v>
      </c>
      <c r="AE335" s="323" t="e">
        <f>+VLOOKUP($E335,Final_nrj!$1:$1048576,AE$2,FALSE)</f>
        <v>#N/A</v>
      </c>
      <c r="AF335" s="323" t="e">
        <f>+VLOOKUP($E335,Final_nrj!$1:$1048576,AF$2,FALSE)</f>
        <v>#N/A</v>
      </c>
      <c r="AG335" s="323" t="e">
        <f>+VLOOKUP($E335,Final_nrj!$1:$1048576,AG$2,FALSE)</f>
        <v>#N/A</v>
      </c>
      <c r="AH335" s="323" t="e">
        <f>+VLOOKUP($E335,Final_nrj!$1:$1048576,AH$2,FALSE)</f>
        <v>#N/A</v>
      </c>
      <c r="AI335" s="323" t="e">
        <f>+VLOOKUP($E335,Final_nrj!$1:$1048576,AI$2,FALSE)</f>
        <v>#N/A</v>
      </c>
      <c r="AJ335" s="323" t="e">
        <f>+VLOOKUP($E335,Final_nrj!$1:$1048576,AJ$2,FALSE)</f>
        <v>#N/A</v>
      </c>
      <c r="AK335" s="323" t="e">
        <f>+VLOOKUP($E335,Final_nrj!$1:$1048576,AK$2,FALSE)</f>
        <v>#N/A</v>
      </c>
      <c r="AL335" s="323" t="e">
        <f>+VLOOKUP($E335,Final_nrj!$1:$1048576,AL$2,FALSE)</f>
        <v>#N/A</v>
      </c>
      <c r="AM335" s="323" t="e">
        <f>+VLOOKUP($E335,Final_nrj!$1:$1048576,AM$2,FALSE)</f>
        <v>#N/A</v>
      </c>
      <c r="AN335" s="323" t="e">
        <f>+VLOOKUP($E335,Final_nrj!$1:$1048576,AN$2,FALSE)</f>
        <v>#N/A</v>
      </c>
      <c r="AO335" s="323" t="e">
        <f>+VLOOKUP($E335,Final_nrj!$1:$1048576,AO$2,FALSE)</f>
        <v>#N/A</v>
      </c>
    </row>
    <row r="336" spans="1:41" s="73" customFormat="1" ht="15" customHeight="1" x14ac:dyDescent="0.25">
      <c r="A336" s="392"/>
      <c r="B336" s="382"/>
      <c r="C336" s="123"/>
      <c r="D336" s="123" t="s">
        <v>163</v>
      </c>
      <c r="E336" s="79" t="s">
        <v>1052</v>
      </c>
      <c r="F336" s="323" t="e">
        <f>+VLOOKUP($E336,Final_nrj!$1:$1048576,F$2,FALSE)</f>
        <v>#N/A</v>
      </c>
      <c r="G336" s="323" t="e">
        <f>+VLOOKUP($E336,Final_nrj!$1:$1048576,G$2,FALSE)</f>
        <v>#N/A</v>
      </c>
      <c r="H336" s="323" t="e">
        <f>+VLOOKUP($E336,Final_nrj!$1:$1048576,H$2,FALSE)</f>
        <v>#N/A</v>
      </c>
      <c r="I336" s="323" t="e">
        <f>+VLOOKUP($E336,Final_nrj!$1:$1048576,I$2,FALSE)</f>
        <v>#N/A</v>
      </c>
      <c r="J336" s="323" t="e">
        <f>+VLOOKUP($E336,Final_nrj!$1:$1048576,J$2,FALSE)</f>
        <v>#N/A</v>
      </c>
      <c r="K336" s="323" t="e">
        <f>+VLOOKUP($E336,Final_nrj!$1:$1048576,K$2,FALSE)</f>
        <v>#N/A</v>
      </c>
      <c r="L336" s="323" t="e">
        <f>+VLOOKUP($E336,Final_nrj!$1:$1048576,L$2,FALSE)</f>
        <v>#N/A</v>
      </c>
      <c r="M336" s="323" t="e">
        <f>+VLOOKUP($E336,Final_nrj!$1:$1048576,M$2,FALSE)</f>
        <v>#N/A</v>
      </c>
      <c r="N336" s="323" t="e">
        <f>+VLOOKUP($E336,Final_nrj!$1:$1048576,N$2,FALSE)</f>
        <v>#N/A</v>
      </c>
      <c r="O336" s="323" t="e">
        <f>+VLOOKUP($E336,Final_nrj!$1:$1048576,O$2,FALSE)</f>
        <v>#N/A</v>
      </c>
      <c r="P336" s="323" t="e">
        <f>+VLOOKUP($E336,Final_nrj!$1:$1048576,P$2,FALSE)</f>
        <v>#N/A</v>
      </c>
      <c r="Q336" s="323" t="e">
        <f>+VLOOKUP($E336,Final_nrj!$1:$1048576,Q$2,FALSE)</f>
        <v>#N/A</v>
      </c>
      <c r="R336" s="323" t="e">
        <f>+VLOOKUP($E336,Final_nrj!$1:$1048576,R$2,FALSE)</f>
        <v>#N/A</v>
      </c>
      <c r="S336" s="323" t="e">
        <f>+VLOOKUP($E336,Final_nrj!$1:$1048576,S$2,FALSE)</f>
        <v>#N/A</v>
      </c>
      <c r="T336" s="323" t="e">
        <f>+VLOOKUP($E336,Final_nrj!$1:$1048576,T$2,FALSE)</f>
        <v>#N/A</v>
      </c>
      <c r="U336" s="323" t="e">
        <f>+VLOOKUP($E336,Final_nrj!$1:$1048576,U$2,FALSE)</f>
        <v>#N/A</v>
      </c>
      <c r="V336" s="323" t="e">
        <f>+VLOOKUP($E336,Final_nrj!$1:$1048576,V$2,FALSE)</f>
        <v>#N/A</v>
      </c>
      <c r="W336" s="323" t="e">
        <f>+VLOOKUP($E336,Final_nrj!$1:$1048576,W$2,FALSE)</f>
        <v>#N/A</v>
      </c>
      <c r="X336" s="323" t="e">
        <f>+VLOOKUP($E336,Final_nrj!$1:$1048576,X$2,FALSE)</f>
        <v>#N/A</v>
      </c>
      <c r="Y336" s="323" t="e">
        <f>+VLOOKUP($E336,Final_nrj!$1:$1048576,Y$2,FALSE)</f>
        <v>#N/A</v>
      </c>
      <c r="Z336" s="323" t="e">
        <f>+VLOOKUP($E336,Final_nrj!$1:$1048576,Z$2,FALSE)</f>
        <v>#N/A</v>
      </c>
      <c r="AA336" s="323" t="e">
        <f>+VLOOKUP($E336,Final_nrj!$1:$1048576,AA$2,FALSE)</f>
        <v>#N/A</v>
      </c>
      <c r="AB336" s="323" t="e">
        <f>+VLOOKUP($E336,Final_nrj!$1:$1048576,AB$2,FALSE)</f>
        <v>#N/A</v>
      </c>
      <c r="AC336" s="323" t="e">
        <f>+VLOOKUP($E336,Final_nrj!$1:$1048576,AC$2,FALSE)</f>
        <v>#N/A</v>
      </c>
      <c r="AD336" s="323" t="e">
        <f>+VLOOKUP($E336,Final_nrj!$1:$1048576,AD$2,FALSE)</f>
        <v>#N/A</v>
      </c>
      <c r="AE336" s="323" t="e">
        <f>+VLOOKUP($E336,Final_nrj!$1:$1048576,AE$2,FALSE)</f>
        <v>#N/A</v>
      </c>
      <c r="AF336" s="323" t="e">
        <f>+VLOOKUP($E336,Final_nrj!$1:$1048576,AF$2,FALSE)</f>
        <v>#N/A</v>
      </c>
      <c r="AG336" s="323" t="e">
        <f>+VLOOKUP($E336,Final_nrj!$1:$1048576,AG$2,FALSE)</f>
        <v>#N/A</v>
      </c>
      <c r="AH336" s="323" t="e">
        <f>+VLOOKUP($E336,Final_nrj!$1:$1048576,AH$2,FALSE)</f>
        <v>#N/A</v>
      </c>
      <c r="AI336" s="323" t="e">
        <f>+VLOOKUP($E336,Final_nrj!$1:$1048576,AI$2,FALSE)</f>
        <v>#N/A</v>
      </c>
      <c r="AJ336" s="323" t="e">
        <f>+VLOOKUP($E336,Final_nrj!$1:$1048576,AJ$2,FALSE)</f>
        <v>#N/A</v>
      </c>
      <c r="AK336" s="323" t="e">
        <f>+VLOOKUP($E336,Final_nrj!$1:$1048576,AK$2,FALSE)</f>
        <v>#N/A</v>
      </c>
      <c r="AL336" s="323" t="e">
        <f>+VLOOKUP($E336,Final_nrj!$1:$1048576,AL$2,FALSE)</f>
        <v>#N/A</v>
      </c>
      <c r="AM336" s="323" t="e">
        <f>+VLOOKUP($E336,Final_nrj!$1:$1048576,AM$2,FALSE)</f>
        <v>#N/A</v>
      </c>
      <c r="AN336" s="323" t="e">
        <f>+VLOOKUP($E336,Final_nrj!$1:$1048576,AN$2,FALSE)</f>
        <v>#N/A</v>
      </c>
      <c r="AO336" s="323" t="e">
        <f>+VLOOKUP($E336,Final_nrj!$1:$1048576,AO$2,FALSE)</f>
        <v>#N/A</v>
      </c>
    </row>
    <row r="337" spans="1:41" s="73" customFormat="1" ht="15" customHeight="1" x14ac:dyDescent="0.25">
      <c r="A337" s="392"/>
      <c r="B337" s="382"/>
      <c r="C337" s="123"/>
      <c r="D337" s="123" t="s">
        <v>164</v>
      </c>
      <c r="E337" s="79" t="s">
        <v>1053</v>
      </c>
      <c r="F337" s="323" t="e">
        <f>+VLOOKUP($E337,Final_nrj!$1:$1048576,F$2,FALSE)</f>
        <v>#N/A</v>
      </c>
      <c r="G337" s="323" t="e">
        <f>+VLOOKUP($E337,Final_nrj!$1:$1048576,G$2,FALSE)</f>
        <v>#N/A</v>
      </c>
      <c r="H337" s="323" t="e">
        <f>+VLOOKUP($E337,Final_nrj!$1:$1048576,H$2,FALSE)</f>
        <v>#N/A</v>
      </c>
      <c r="I337" s="323" t="e">
        <f>+VLOOKUP($E337,Final_nrj!$1:$1048576,I$2,FALSE)</f>
        <v>#N/A</v>
      </c>
      <c r="J337" s="323" t="e">
        <f>+VLOOKUP($E337,Final_nrj!$1:$1048576,J$2,FALSE)</f>
        <v>#N/A</v>
      </c>
      <c r="K337" s="323" t="e">
        <f>+VLOOKUP($E337,Final_nrj!$1:$1048576,K$2,FALSE)</f>
        <v>#N/A</v>
      </c>
      <c r="L337" s="323" t="e">
        <f>+VLOOKUP($E337,Final_nrj!$1:$1048576,L$2,FALSE)</f>
        <v>#N/A</v>
      </c>
      <c r="M337" s="323" t="e">
        <f>+VLOOKUP($E337,Final_nrj!$1:$1048576,M$2,FALSE)</f>
        <v>#N/A</v>
      </c>
      <c r="N337" s="323" t="e">
        <f>+VLOOKUP($E337,Final_nrj!$1:$1048576,N$2,FALSE)</f>
        <v>#N/A</v>
      </c>
      <c r="O337" s="323" t="e">
        <f>+VLOOKUP($E337,Final_nrj!$1:$1048576,O$2,FALSE)</f>
        <v>#N/A</v>
      </c>
      <c r="P337" s="323" t="e">
        <f>+VLOOKUP($E337,Final_nrj!$1:$1048576,P$2,FALSE)</f>
        <v>#N/A</v>
      </c>
      <c r="Q337" s="323" t="e">
        <f>+VLOOKUP($E337,Final_nrj!$1:$1048576,Q$2,FALSE)</f>
        <v>#N/A</v>
      </c>
      <c r="R337" s="323" t="e">
        <f>+VLOOKUP($E337,Final_nrj!$1:$1048576,R$2,FALSE)</f>
        <v>#N/A</v>
      </c>
      <c r="S337" s="323" t="e">
        <f>+VLOOKUP($E337,Final_nrj!$1:$1048576,S$2,FALSE)</f>
        <v>#N/A</v>
      </c>
      <c r="T337" s="323" t="e">
        <f>+VLOOKUP($E337,Final_nrj!$1:$1048576,T$2,FALSE)</f>
        <v>#N/A</v>
      </c>
      <c r="U337" s="323" t="e">
        <f>+VLOOKUP($E337,Final_nrj!$1:$1048576,U$2,FALSE)</f>
        <v>#N/A</v>
      </c>
      <c r="V337" s="323" t="e">
        <f>+VLOOKUP($E337,Final_nrj!$1:$1048576,V$2,FALSE)</f>
        <v>#N/A</v>
      </c>
      <c r="W337" s="323" t="e">
        <f>+VLOOKUP($E337,Final_nrj!$1:$1048576,W$2,FALSE)</f>
        <v>#N/A</v>
      </c>
      <c r="X337" s="323" t="e">
        <f>+VLOOKUP($E337,Final_nrj!$1:$1048576,X$2,FALSE)</f>
        <v>#N/A</v>
      </c>
      <c r="Y337" s="323" t="e">
        <f>+VLOOKUP($E337,Final_nrj!$1:$1048576,Y$2,FALSE)</f>
        <v>#N/A</v>
      </c>
      <c r="Z337" s="323" t="e">
        <f>+VLOOKUP($E337,Final_nrj!$1:$1048576,Z$2,FALSE)</f>
        <v>#N/A</v>
      </c>
      <c r="AA337" s="323" t="e">
        <f>+VLOOKUP($E337,Final_nrj!$1:$1048576,AA$2,FALSE)</f>
        <v>#N/A</v>
      </c>
      <c r="AB337" s="323" t="e">
        <f>+VLOOKUP($E337,Final_nrj!$1:$1048576,AB$2,FALSE)</f>
        <v>#N/A</v>
      </c>
      <c r="AC337" s="323" t="e">
        <f>+VLOOKUP($E337,Final_nrj!$1:$1048576,AC$2,FALSE)</f>
        <v>#N/A</v>
      </c>
      <c r="AD337" s="323" t="e">
        <f>+VLOOKUP($E337,Final_nrj!$1:$1048576,AD$2,FALSE)</f>
        <v>#N/A</v>
      </c>
      <c r="AE337" s="323" t="e">
        <f>+VLOOKUP($E337,Final_nrj!$1:$1048576,AE$2,FALSE)</f>
        <v>#N/A</v>
      </c>
      <c r="AF337" s="323" t="e">
        <f>+VLOOKUP($E337,Final_nrj!$1:$1048576,AF$2,FALSE)</f>
        <v>#N/A</v>
      </c>
      <c r="AG337" s="323" t="e">
        <f>+VLOOKUP($E337,Final_nrj!$1:$1048576,AG$2,FALSE)</f>
        <v>#N/A</v>
      </c>
      <c r="AH337" s="323" t="e">
        <f>+VLOOKUP($E337,Final_nrj!$1:$1048576,AH$2,FALSE)</f>
        <v>#N/A</v>
      </c>
      <c r="AI337" s="323" t="e">
        <f>+VLOOKUP($E337,Final_nrj!$1:$1048576,AI$2,FALSE)</f>
        <v>#N/A</v>
      </c>
      <c r="AJ337" s="323" t="e">
        <f>+VLOOKUP($E337,Final_nrj!$1:$1048576,AJ$2,FALSE)</f>
        <v>#N/A</v>
      </c>
      <c r="AK337" s="323" t="e">
        <f>+VLOOKUP($E337,Final_nrj!$1:$1048576,AK$2,FALSE)</f>
        <v>#N/A</v>
      </c>
      <c r="AL337" s="323" t="e">
        <f>+VLOOKUP($E337,Final_nrj!$1:$1048576,AL$2,FALSE)</f>
        <v>#N/A</v>
      </c>
      <c r="AM337" s="323" t="e">
        <f>+VLOOKUP($E337,Final_nrj!$1:$1048576,AM$2,FALSE)</f>
        <v>#N/A</v>
      </c>
      <c r="AN337" s="323" t="e">
        <f>+VLOOKUP($E337,Final_nrj!$1:$1048576,AN$2,FALSE)</f>
        <v>#N/A</v>
      </c>
      <c r="AO337" s="323" t="e">
        <f>+VLOOKUP($E337,Final_nrj!$1:$1048576,AO$2,FALSE)</f>
        <v>#N/A</v>
      </c>
    </row>
    <row r="338" spans="1:41" s="73" customFormat="1" ht="15" customHeight="1" x14ac:dyDescent="0.25">
      <c r="A338" s="392"/>
      <c r="B338" s="382"/>
      <c r="C338" s="123"/>
      <c r="D338" s="123" t="s">
        <v>165</v>
      </c>
      <c r="E338" s="79" t="s">
        <v>1054</v>
      </c>
      <c r="F338" s="323" t="e">
        <f>+VLOOKUP($E338,Final_nrj!$1:$1048576,F$2,FALSE)</f>
        <v>#N/A</v>
      </c>
      <c r="G338" s="323" t="e">
        <f>+VLOOKUP($E338,Final_nrj!$1:$1048576,G$2,FALSE)</f>
        <v>#N/A</v>
      </c>
      <c r="H338" s="323" t="e">
        <f>+VLOOKUP($E338,Final_nrj!$1:$1048576,H$2,FALSE)</f>
        <v>#N/A</v>
      </c>
      <c r="I338" s="323" t="e">
        <f>+VLOOKUP($E338,Final_nrj!$1:$1048576,I$2,FALSE)</f>
        <v>#N/A</v>
      </c>
      <c r="J338" s="323" t="e">
        <f>+VLOOKUP($E338,Final_nrj!$1:$1048576,J$2,FALSE)</f>
        <v>#N/A</v>
      </c>
      <c r="K338" s="323" t="e">
        <f>+VLOOKUP($E338,Final_nrj!$1:$1048576,K$2,FALSE)</f>
        <v>#N/A</v>
      </c>
      <c r="L338" s="323" t="e">
        <f>+VLOOKUP($E338,Final_nrj!$1:$1048576,L$2,FALSE)</f>
        <v>#N/A</v>
      </c>
      <c r="M338" s="323" t="e">
        <f>+VLOOKUP($E338,Final_nrj!$1:$1048576,M$2,FALSE)</f>
        <v>#N/A</v>
      </c>
      <c r="N338" s="323" t="e">
        <f>+VLOOKUP($E338,Final_nrj!$1:$1048576,N$2,FALSE)</f>
        <v>#N/A</v>
      </c>
      <c r="O338" s="323" t="e">
        <f>+VLOOKUP($E338,Final_nrj!$1:$1048576,O$2,FALSE)</f>
        <v>#N/A</v>
      </c>
      <c r="P338" s="323" t="e">
        <f>+VLOOKUP($E338,Final_nrj!$1:$1048576,P$2,FALSE)</f>
        <v>#N/A</v>
      </c>
      <c r="Q338" s="323" t="e">
        <f>+VLOOKUP($E338,Final_nrj!$1:$1048576,Q$2,FALSE)</f>
        <v>#N/A</v>
      </c>
      <c r="R338" s="323" t="e">
        <f>+VLOOKUP($E338,Final_nrj!$1:$1048576,R$2,FALSE)</f>
        <v>#N/A</v>
      </c>
      <c r="S338" s="323" t="e">
        <f>+VLOOKUP($E338,Final_nrj!$1:$1048576,S$2,FALSE)</f>
        <v>#N/A</v>
      </c>
      <c r="T338" s="323" t="e">
        <f>+VLOOKUP($E338,Final_nrj!$1:$1048576,T$2,FALSE)</f>
        <v>#N/A</v>
      </c>
      <c r="U338" s="323" t="e">
        <f>+VLOOKUP($E338,Final_nrj!$1:$1048576,U$2,FALSE)</f>
        <v>#N/A</v>
      </c>
      <c r="V338" s="323" t="e">
        <f>+VLOOKUP($E338,Final_nrj!$1:$1048576,V$2,FALSE)</f>
        <v>#N/A</v>
      </c>
      <c r="W338" s="323" t="e">
        <f>+VLOOKUP($E338,Final_nrj!$1:$1048576,W$2,FALSE)</f>
        <v>#N/A</v>
      </c>
      <c r="X338" s="323" t="e">
        <f>+VLOOKUP($E338,Final_nrj!$1:$1048576,X$2,FALSE)</f>
        <v>#N/A</v>
      </c>
      <c r="Y338" s="323" t="e">
        <f>+VLOOKUP($E338,Final_nrj!$1:$1048576,Y$2,FALSE)</f>
        <v>#N/A</v>
      </c>
      <c r="Z338" s="323" t="e">
        <f>+VLOOKUP($E338,Final_nrj!$1:$1048576,Z$2,FALSE)</f>
        <v>#N/A</v>
      </c>
      <c r="AA338" s="323" t="e">
        <f>+VLOOKUP($E338,Final_nrj!$1:$1048576,AA$2,FALSE)</f>
        <v>#N/A</v>
      </c>
      <c r="AB338" s="323" t="e">
        <f>+VLOOKUP($E338,Final_nrj!$1:$1048576,AB$2,FALSE)</f>
        <v>#N/A</v>
      </c>
      <c r="AC338" s="323" t="e">
        <f>+VLOOKUP($E338,Final_nrj!$1:$1048576,AC$2,FALSE)</f>
        <v>#N/A</v>
      </c>
      <c r="AD338" s="323" t="e">
        <f>+VLOOKUP($E338,Final_nrj!$1:$1048576,AD$2,FALSE)</f>
        <v>#N/A</v>
      </c>
      <c r="AE338" s="323" t="e">
        <f>+VLOOKUP($E338,Final_nrj!$1:$1048576,AE$2,FALSE)</f>
        <v>#N/A</v>
      </c>
      <c r="AF338" s="323" t="e">
        <f>+VLOOKUP($E338,Final_nrj!$1:$1048576,AF$2,FALSE)</f>
        <v>#N/A</v>
      </c>
      <c r="AG338" s="323" t="e">
        <f>+VLOOKUP($E338,Final_nrj!$1:$1048576,AG$2,FALSE)</f>
        <v>#N/A</v>
      </c>
      <c r="AH338" s="323" t="e">
        <f>+VLOOKUP($E338,Final_nrj!$1:$1048576,AH$2,FALSE)</f>
        <v>#N/A</v>
      </c>
      <c r="AI338" s="323" t="e">
        <f>+VLOOKUP($E338,Final_nrj!$1:$1048576,AI$2,FALSE)</f>
        <v>#N/A</v>
      </c>
      <c r="AJ338" s="323" t="e">
        <f>+VLOOKUP($E338,Final_nrj!$1:$1048576,AJ$2,FALSE)</f>
        <v>#N/A</v>
      </c>
      <c r="AK338" s="323" t="e">
        <f>+VLOOKUP($E338,Final_nrj!$1:$1048576,AK$2,FALSE)</f>
        <v>#N/A</v>
      </c>
      <c r="AL338" s="323" t="e">
        <f>+VLOOKUP($E338,Final_nrj!$1:$1048576,AL$2,FALSE)</f>
        <v>#N/A</v>
      </c>
      <c r="AM338" s="323" t="e">
        <f>+VLOOKUP($E338,Final_nrj!$1:$1048576,AM$2,FALSE)</f>
        <v>#N/A</v>
      </c>
      <c r="AN338" s="323" t="e">
        <f>+VLOOKUP($E338,Final_nrj!$1:$1048576,AN$2,FALSE)</f>
        <v>#N/A</v>
      </c>
      <c r="AO338" s="323" t="e">
        <f>+VLOOKUP($E338,Final_nrj!$1:$1048576,AO$2,FALSE)</f>
        <v>#N/A</v>
      </c>
    </row>
    <row r="339" spans="1:41" s="73" customFormat="1" ht="15" customHeight="1" x14ac:dyDescent="0.25">
      <c r="A339" s="392"/>
      <c r="B339" s="382"/>
      <c r="C339" s="123"/>
      <c r="D339" s="123" t="s">
        <v>549</v>
      </c>
      <c r="E339" s="79" t="s">
        <v>1055</v>
      </c>
      <c r="F339" s="323" t="e">
        <f>+VLOOKUP($E339,Final_nrj!$1:$1048576,F$2,FALSE)</f>
        <v>#N/A</v>
      </c>
      <c r="G339" s="323" t="e">
        <f>+VLOOKUP($E339,Final_nrj!$1:$1048576,G$2,FALSE)</f>
        <v>#N/A</v>
      </c>
      <c r="H339" s="323" t="e">
        <f>+VLOOKUP($E339,Final_nrj!$1:$1048576,H$2,FALSE)</f>
        <v>#N/A</v>
      </c>
      <c r="I339" s="323" t="e">
        <f>+VLOOKUP($E339,Final_nrj!$1:$1048576,I$2,FALSE)</f>
        <v>#N/A</v>
      </c>
      <c r="J339" s="323" t="e">
        <f>+VLOOKUP($E339,Final_nrj!$1:$1048576,J$2,FALSE)</f>
        <v>#N/A</v>
      </c>
      <c r="K339" s="323" t="e">
        <f>+VLOOKUP($E339,Final_nrj!$1:$1048576,K$2,FALSE)</f>
        <v>#N/A</v>
      </c>
      <c r="L339" s="323" t="e">
        <f>+VLOOKUP($E339,Final_nrj!$1:$1048576,L$2,FALSE)</f>
        <v>#N/A</v>
      </c>
      <c r="M339" s="323" t="e">
        <f>+VLOOKUP($E339,Final_nrj!$1:$1048576,M$2,FALSE)</f>
        <v>#N/A</v>
      </c>
      <c r="N339" s="323" t="e">
        <f>+VLOOKUP($E339,Final_nrj!$1:$1048576,N$2,FALSE)</f>
        <v>#N/A</v>
      </c>
      <c r="O339" s="323" t="e">
        <f>+VLOOKUP($E339,Final_nrj!$1:$1048576,O$2,FALSE)</f>
        <v>#N/A</v>
      </c>
      <c r="P339" s="323" t="e">
        <f>+VLOOKUP($E339,Final_nrj!$1:$1048576,P$2,FALSE)</f>
        <v>#N/A</v>
      </c>
      <c r="Q339" s="323" t="e">
        <f>+VLOOKUP($E339,Final_nrj!$1:$1048576,Q$2,FALSE)</f>
        <v>#N/A</v>
      </c>
      <c r="R339" s="323" t="e">
        <f>+VLOOKUP($E339,Final_nrj!$1:$1048576,R$2,FALSE)</f>
        <v>#N/A</v>
      </c>
      <c r="S339" s="323" t="e">
        <f>+VLOOKUP($E339,Final_nrj!$1:$1048576,S$2,FALSE)</f>
        <v>#N/A</v>
      </c>
      <c r="T339" s="323" t="e">
        <f>+VLOOKUP($E339,Final_nrj!$1:$1048576,T$2,FALSE)</f>
        <v>#N/A</v>
      </c>
      <c r="U339" s="323" t="e">
        <f>+VLOOKUP($E339,Final_nrj!$1:$1048576,U$2,FALSE)</f>
        <v>#N/A</v>
      </c>
      <c r="V339" s="323" t="e">
        <f>+VLOOKUP($E339,Final_nrj!$1:$1048576,V$2,FALSE)</f>
        <v>#N/A</v>
      </c>
      <c r="W339" s="323" t="e">
        <f>+VLOOKUP($E339,Final_nrj!$1:$1048576,W$2,FALSE)</f>
        <v>#N/A</v>
      </c>
      <c r="X339" s="323" t="e">
        <f>+VLOOKUP($E339,Final_nrj!$1:$1048576,X$2,FALSE)</f>
        <v>#N/A</v>
      </c>
      <c r="Y339" s="323" t="e">
        <f>+VLOOKUP($E339,Final_nrj!$1:$1048576,Y$2,FALSE)</f>
        <v>#N/A</v>
      </c>
      <c r="Z339" s="323" t="e">
        <f>+VLOOKUP($E339,Final_nrj!$1:$1048576,Z$2,FALSE)</f>
        <v>#N/A</v>
      </c>
      <c r="AA339" s="323" t="e">
        <f>+VLOOKUP($E339,Final_nrj!$1:$1048576,AA$2,FALSE)</f>
        <v>#N/A</v>
      </c>
      <c r="AB339" s="323" t="e">
        <f>+VLOOKUP($E339,Final_nrj!$1:$1048576,AB$2,FALSE)</f>
        <v>#N/A</v>
      </c>
      <c r="AC339" s="323" t="e">
        <f>+VLOOKUP($E339,Final_nrj!$1:$1048576,AC$2,FALSE)</f>
        <v>#N/A</v>
      </c>
      <c r="AD339" s="323" t="e">
        <f>+VLOOKUP($E339,Final_nrj!$1:$1048576,AD$2,FALSE)</f>
        <v>#N/A</v>
      </c>
      <c r="AE339" s="323" t="e">
        <f>+VLOOKUP($E339,Final_nrj!$1:$1048576,AE$2,FALSE)</f>
        <v>#N/A</v>
      </c>
      <c r="AF339" s="323" t="e">
        <f>+VLOOKUP($E339,Final_nrj!$1:$1048576,AF$2,FALSE)</f>
        <v>#N/A</v>
      </c>
      <c r="AG339" s="323" t="e">
        <f>+VLOOKUP($E339,Final_nrj!$1:$1048576,AG$2,FALSE)</f>
        <v>#N/A</v>
      </c>
      <c r="AH339" s="323" t="e">
        <f>+VLOOKUP($E339,Final_nrj!$1:$1048576,AH$2,FALSE)</f>
        <v>#N/A</v>
      </c>
      <c r="AI339" s="323" t="e">
        <f>+VLOOKUP($E339,Final_nrj!$1:$1048576,AI$2,FALSE)</f>
        <v>#N/A</v>
      </c>
      <c r="AJ339" s="323" t="e">
        <f>+VLOOKUP($E339,Final_nrj!$1:$1048576,AJ$2,FALSE)</f>
        <v>#N/A</v>
      </c>
      <c r="AK339" s="323" t="e">
        <f>+VLOOKUP($E339,Final_nrj!$1:$1048576,AK$2,FALSE)</f>
        <v>#N/A</v>
      </c>
      <c r="AL339" s="323" t="e">
        <f>+VLOOKUP($E339,Final_nrj!$1:$1048576,AL$2,FALSE)</f>
        <v>#N/A</v>
      </c>
      <c r="AM339" s="323" t="e">
        <f>+VLOOKUP($E339,Final_nrj!$1:$1048576,AM$2,FALSE)</f>
        <v>#N/A</v>
      </c>
      <c r="AN339" s="323" t="e">
        <f>+VLOOKUP($E339,Final_nrj!$1:$1048576,AN$2,FALSE)</f>
        <v>#N/A</v>
      </c>
      <c r="AO339" s="323" t="e">
        <f>+VLOOKUP($E339,Final_nrj!$1:$1048576,AO$2,FALSE)</f>
        <v>#N/A</v>
      </c>
    </row>
    <row r="340" spans="1:41" s="73" customFormat="1" ht="15" customHeight="1" x14ac:dyDescent="0.25">
      <c r="A340" s="392"/>
      <c r="B340" s="382"/>
      <c r="C340" s="123"/>
      <c r="D340" s="123" t="s">
        <v>481</v>
      </c>
      <c r="E340" s="79" t="s">
        <v>1056</v>
      </c>
      <c r="F340" s="323" t="e">
        <f>+VLOOKUP($E340,Final_nrj!$1:$1048576,F$2,FALSE)</f>
        <v>#N/A</v>
      </c>
      <c r="G340" s="323" t="e">
        <f>+VLOOKUP($E340,Final_nrj!$1:$1048576,G$2,FALSE)</f>
        <v>#N/A</v>
      </c>
      <c r="H340" s="323" t="e">
        <f>+VLOOKUP($E340,Final_nrj!$1:$1048576,H$2,FALSE)</f>
        <v>#N/A</v>
      </c>
      <c r="I340" s="323" t="e">
        <f>+VLOOKUP($E340,Final_nrj!$1:$1048576,I$2,FALSE)</f>
        <v>#N/A</v>
      </c>
      <c r="J340" s="323" t="e">
        <f>+VLOOKUP($E340,Final_nrj!$1:$1048576,J$2,FALSE)</f>
        <v>#N/A</v>
      </c>
      <c r="K340" s="323" t="e">
        <f>+VLOOKUP($E340,Final_nrj!$1:$1048576,K$2,FALSE)</f>
        <v>#N/A</v>
      </c>
      <c r="L340" s="323" t="e">
        <f>+VLOOKUP($E340,Final_nrj!$1:$1048576,L$2,FALSE)</f>
        <v>#N/A</v>
      </c>
      <c r="M340" s="323" t="e">
        <f>+VLOOKUP($E340,Final_nrj!$1:$1048576,M$2,FALSE)</f>
        <v>#N/A</v>
      </c>
      <c r="N340" s="323" t="e">
        <f>+VLOOKUP($E340,Final_nrj!$1:$1048576,N$2,FALSE)</f>
        <v>#N/A</v>
      </c>
      <c r="O340" s="323" t="e">
        <f>+VLOOKUP($E340,Final_nrj!$1:$1048576,O$2,FALSE)</f>
        <v>#N/A</v>
      </c>
      <c r="P340" s="323" t="e">
        <f>+VLOOKUP($E340,Final_nrj!$1:$1048576,P$2,FALSE)</f>
        <v>#N/A</v>
      </c>
      <c r="Q340" s="323" t="e">
        <f>+VLOOKUP($E340,Final_nrj!$1:$1048576,Q$2,FALSE)</f>
        <v>#N/A</v>
      </c>
      <c r="R340" s="323" t="e">
        <f>+VLOOKUP($E340,Final_nrj!$1:$1048576,R$2,FALSE)</f>
        <v>#N/A</v>
      </c>
      <c r="S340" s="323" t="e">
        <f>+VLOOKUP($E340,Final_nrj!$1:$1048576,S$2,FALSE)</f>
        <v>#N/A</v>
      </c>
      <c r="T340" s="323" t="e">
        <f>+VLOOKUP($E340,Final_nrj!$1:$1048576,T$2,FALSE)</f>
        <v>#N/A</v>
      </c>
      <c r="U340" s="323" t="e">
        <f>+VLOOKUP($E340,Final_nrj!$1:$1048576,U$2,FALSE)</f>
        <v>#N/A</v>
      </c>
      <c r="V340" s="323" t="e">
        <f>+VLOOKUP($E340,Final_nrj!$1:$1048576,V$2,FALSE)</f>
        <v>#N/A</v>
      </c>
      <c r="W340" s="323" t="e">
        <f>+VLOOKUP($E340,Final_nrj!$1:$1048576,W$2,FALSE)</f>
        <v>#N/A</v>
      </c>
      <c r="X340" s="323" t="e">
        <f>+VLOOKUP($E340,Final_nrj!$1:$1048576,X$2,FALSE)</f>
        <v>#N/A</v>
      </c>
      <c r="Y340" s="323" t="e">
        <f>+VLOOKUP($E340,Final_nrj!$1:$1048576,Y$2,FALSE)</f>
        <v>#N/A</v>
      </c>
      <c r="Z340" s="323" t="e">
        <f>+VLOOKUP($E340,Final_nrj!$1:$1048576,Z$2,FALSE)</f>
        <v>#N/A</v>
      </c>
      <c r="AA340" s="323" t="e">
        <f>+VLOOKUP($E340,Final_nrj!$1:$1048576,AA$2,FALSE)</f>
        <v>#N/A</v>
      </c>
      <c r="AB340" s="323" t="e">
        <f>+VLOOKUP($E340,Final_nrj!$1:$1048576,AB$2,FALSE)</f>
        <v>#N/A</v>
      </c>
      <c r="AC340" s="323" t="e">
        <f>+VLOOKUP($E340,Final_nrj!$1:$1048576,AC$2,FALSE)</f>
        <v>#N/A</v>
      </c>
      <c r="AD340" s="323" t="e">
        <f>+VLOOKUP($E340,Final_nrj!$1:$1048576,AD$2,FALSE)</f>
        <v>#N/A</v>
      </c>
      <c r="AE340" s="323" t="e">
        <f>+VLOOKUP($E340,Final_nrj!$1:$1048576,AE$2,FALSE)</f>
        <v>#N/A</v>
      </c>
      <c r="AF340" s="323" t="e">
        <f>+VLOOKUP($E340,Final_nrj!$1:$1048576,AF$2,FALSE)</f>
        <v>#N/A</v>
      </c>
      <c r="AG340" s="323" t="e">
        <f>+VLOOKUP($E340,Final_nrj!$1:$1048576,AG$2,FALSE)</f>
        <v>#N/A</v>
      </c>
      <c r="AH340" s="323" t="e">
        <f>+VLOOKUP($E340,Final_nrj!$1:$1048576,AH$2,FALSE)</f>
        <v>#N/A</v>
      </c>
      <c r="AI340" s="323" t="e">
        <f>+VLOOKUP($E340,Final_nrj!$1:$1048576,AI$2,FALSE)</f>
        <v>#N/A</v>
      </c>
      <c r="AJ340" s="323" t="e">
        <f>+VLOOKUP($E340,Final_nrj!$1:$1048576,AJ$2,FALSE)</f>
        <v>#N/A</v>
      </c>
      <c r="AK340" s="323" t="e">
        <f>+VLOOKUP($E340,Final_nrj!$1:$1048576,AK$2,FALSE)</f>
        <v>#N/A</v>
      </c>
      <c r="AL340" s="323" t="e">
        <f>+VLOOKUP($E340,Final_nrj!$1:$1048576,AL$2,FALSE)</f>
        <v>#N/A</v>
      </c>
      <c r="AM340" s="323" t="e">
        <f>+VLOOKUP($E340,Final_nrj!$1:$1048576,AM$2,FALSE)</f>
        <v>#N/A</v>
      </c>
      <c r="AN340" s="323" t="e">
        <f>+VLOOKUP($E340,Final_nrj!$1:$1048576,AN$2,FALSE)</f>
        <v>#N/A</v>
      </c>
      <c r="AO340" s="323" t="e">
        <f>+VLOOKUP($E340,Final_nrj!$1:$1048576,AO$2,FALSE)</f>
        <v>#N/A</v>
      </c>
    </row>
    <row r="341" spans="1:41" s="73" customFormat="1" ht="15" customHeight="1" x14ac:dyDescent="0.25">
      <c r="A341" s="392"/>
      <c r="B341" s="382"/>
      <c r="C341" s="123"/>
      <c r="D341" s="123" t="s">
        <v>482</v>
      </c>
      <c r="E341" s="79" t="s">
        <v>1057</v>
      </c>
      <c r="F341" s="323" t="e">
        <f>+VLOOKUP($E341,Final_nrj!$1:$1048576,F$2,FALSE)</f>
        <v>#N/A</v>
      </c>
      <c r="G341" s="323" t="e">
        <f>+VLOOKUP($E341,Final_nrj!$1:$1048576,G$2,FALSE)</f>
        <v>#N/A</v>
      </c>
      <c r="H341" s="323" t="e">
        <f>+VLOOKUP($E341,Final_nrj!$1:$1048576,H$2,FALSE)</f>
        <v>#N/A</v>
      </c>
      <c r="I341" s="323" t="e">
        <f>+VLOOKUP($E341,Final_nrj!$1:$1048576,I$2,FALSE)</f>
        <v>#N/A</v>
      </c>
      <c r="J341" s="323" t="e">
        <f>+VLOOKUP($E341,Final_nrj!$1:$1048576,J$2,FALSE)</f>
        <v>#N/A</v>
      </c>
      <c r="K341" s="323" t="e">
        <f>+VLOOKUP($E341,Final_nrj!$1:$1048576,K$2,FALSE)</f>
        <v>#N/A</v>
      </c>
      <c r="L341" s="323" t="e">
        <f>+VLOOKUP($E341,Final_nrj!$1:$1048576,L$2,FALSE)</f>
        <v>#N/A</v>
      </c>
      <c r="M341" s="323" t="e">
        <f>+VLOOKUP($E341,Final_nrj!$1:$1048576,M$2,FALSE)</f>
        <v>#N/A</v>
      </c>
      <c r="N341" s="323" t="e">
        <f>+VLOOKUP($E341,Final_nrj!$1:$1048576,N$2,FALSE)</f>
        <v>#N/A</v>
      </c>
      <c r="O341" s="323" t="e">
        <f>+VLOOKUP($E341,Final_nrj!$1:$1048576,O$2,FALSE)</f>
        <v>#N/A</v>
      </c>
      <c r="P341" s="323" t="e">
        <f>+VLOOKUP($E341,Final_nrj!$1:$1048576,P$2,FALSE)</f>
        <v>#N/A</v>
      </c>
      <c r="Q341" s="323" t="e">
        <f>+VLOOKUP($E341,Final_nrj!$1:$1048576,Q$2,FALSE)</f>
        <v>#N/A</v>
      </c>
      <c r="R341" s="323" t="e">
        <f>+VLOOKUP($E341,Final_nrj!$1:$1048576,R$2,FALSE)</f>
        <v>#N/A</v>
      </c>
      <c r="S341" s="323" t="e">
        <f>+VLOOKUP($E341,Final_nrj!$1:$1048576,S$2,FALSE)</f>
        <v>#N/A</v>
      </c>
      <c r="T341" s="323" t="e">
        <f>+VLOOKUP($E341,Final_nrj!$1:$1048576,T$2,FALSE)</f>
        <v>#N/A</v>
      </c>
      <c r="U341" s="323" t="e">
        <f>+VLOOKUP($E341,Final_nrj!$1:$1048576,U$2,FALSE)</f>
        <v>#N/A</v>
      </c>
      <c r="V341" s="323" t="e">
        <f>+VLOOKUP($E341,Final_nrj!$1:$1048576,V$2,FALSE)</f>
        <v>#N/A</v>
      </c>
      <c r="W341" s="323" t="e">
        <f>+VLOOKUP($E341,Final_nrj!$1:$1048576,W$2,FALSE)</f>
        <v>#N/A</v>
      </c>
      <c r="X341" s="323" t="e">
        <f>+VLOOKUP($E341,Final_nrj!$1:$1048576,X$2,FALSE)</f>
        <v>#N/A</v>
      </c>
      <c r="Y341" s="323" t="e">
        <f>+VLOOKUP($E341,Final_nrj!$1:$1048576,Y$2,FALSE)</f>
        <v>#N/A</v>
      </c>
      <c r="Z341" s="323" t="e">
        <f>+VLOOKUP($E341,Final_nrj!$1:$1048576,Z$2,FALSE)</f>
        <v>#N/A</v>
      </c>
      <c r="AA341" s="323" t="e">
        <f>+VLOOKUP($E341,Final_nrj!$1:$1048576,AA$2,FALSE)</f>
        <v>#N/A</v>
      </c>
      <c r="AB341" s="323" t="e">
        <f>+VLOOKUP($E341,Final_nrj!$1:$1048576,AB$2,FALSE)</f>
        <v>#N/A</v>
      </c>
      <c r="AC341" s="323" t="e">
        <f>+VLOOKUP($E341,Final_nrj!$1:$1048576,AC$2,FALSE)</f>
        <v>#N/A</v>
      </c>
      <c r="AD341" s="323" t="e">
        <f>+VLOOKUP($E341,Final_nrj!$1:$1048576,AD$2,FALSE)</f>
        <v>#N/A</v>
      </c>
      <c r="AE341" s="323" t="e">
        <f>+VLOOKUP($E341,Final_nrj!$1:$1048576,AE$2,FALSE)</f>
        <v>#N/A</v>
      </c>
      <c r="AF341" s="323" t="e">
        <f>+VLOOKUP($E341,Final_nrj!$1:$1048576,AF$2,FALSE)</f>
        <v>#N/A</v>
      </c>
      <c r="AG341" s="323" t="e">
        <f>+VLOOKUP($E341,Final_nrj!$1:$1048576,AG$2,FALSE)</f>
        <v>#N/A</v>
      </c>
      <c r="AH341" s="323" t="e">
        <f>+VLOOKUP($E341,Final_nrj!$1:$1048576,AH$2,FALSE)</f>
        <v>#N/A</v>
      </c>
      <c r="AI341" s="323" t="e">
        <f>+VLOOKUP($E341,Final_nrj!$1:$1048576,AI$2,FALSE)</f>
        <v>#N/A</v>
      </c>
      <c r="AJ341" s="323" t="e">
        <f>+VLOOKUP($E341,Final_nrj!$1:$1048576,AJ$2,FALSE)</f>
        <v>#N/A</v>
      </c>
      <c r="AK341" s="323" t="e">
        <f>+VLOOKUP($E341,Final_nrj!$1:$1048576,AK$2,FALSE)</f>
        <v>#N/A</v>
      </c>
      <c r="AL341" s="323" t="e">
        <f>+VLOOKUP($E341,Final_nrj!$1:$1048576,AL$2,FALSE)</f>
        <v>#N/A</v>
      </c>
      <c r="AM341" s="323" t="e">
        <f>+VLOOKUP($E341,Final_nrj!$1:$1048576,AM$2,FALSE)</f>
        <v>#N/A</v>
      </c>
      <c r="AN341" s="323" t="e">
        <f>+VLOOKUP($E341,Final_nrj!$1:$1048576,AN$2,FALSE)</f>
        <v>#N/A</v>
      </c>
      <c r="AO341" s="323" t="e">
        <f>+VLOOKUP($E341,Final_nrj!$1:$1048576,AO$2,FALSE)</f>
        <v>#N/A</v>
      </c>
    </row>
    <row r="342" spans="1:41" s="108" customFormat="1" ht="15" customHeight="1" x14ac:dyDescent="0.25">
      <c r="A342" s="392"/>
      <c r="B342" s="382"/>
      <c r="C342" s="122" t="s">
        <v>496</v>
      </c>
      <c r="D342" s="122"/>
      <c r="E342" s="89" t="s">
        <v>1058</v>
      </c>
      <c r="F342" s="322">
        <f>+VLOOKUP($E342,Final_nrj!$1:$1048576,F$2,FALSE)</f>
        <v>5.1384279990000001</v>
      </c>
      <c r="G342" s="322">
        <f>+VLOOKUP($E342,Final_nrj!$1:$1048576,G$2,FALSE)</f>
        <v>5.1954205370000004</v>
      </c>
      <c r="H342" s="322">
        <f>+VLOOKUP($E342,Final_nrj!$1:$1048576,H$2,FALSE)</f>
        <v>5.251824665</v>
      </c>
      <c r="I342" s="322">
        <f>+VLOOKUP($E342,Final_nrj!$1:$1048576,I$2,FALSE)</f>
        <v>5.3082040089999998</v>
      </c>
      <c r="J342" s="322">
        <f>+VLOOKUP($E342,Final_nrj!$1:$1048576,J$2,FALSE)</f>
        <v>5.3648049110000002</v>
      </c>
      <c r="K342" s="322">
        <f>+VLOOKUP($E342,Final_nrj!$1:$1048576,K$2,FALSE)</f>
        <v>5.4217016539999996</v>
      </c>
      <c r="L342" s="322">
        <f>+VLOOKUP($E342,Final_nrj!$1:$1048576,L$2,FALSE)</f>
        <v>5.4788878199999997</v>
      </c>
      <c r="M342" s="322">
        <f>+VLOOKUP($E342,Final_nrj!$1:$1048576,M$2,FALSE)</f>
        <v>5.5363255789999997</v>
      </c>
      <c r="N342" s="322">
        <f>+VLOOKUP($E342,Final_nrj!$1:$1048576,N$2,FALSE)</f>
        <v>5.5939712760000004</v>
      </c>
      <c r="O342" s="322">
        <f>+VLOOKUP($E342,Final_nrj!$1:$1048576,O$2,FALSE)</f>
        <v>5.6517875899999996</v>
      </c>
      <c r="P342" s="322">
        <f>+VLOOKUP($E342,Final_nrj!$1:$1048576,P$2,FALSE)</f>
        <v>5.7097479160000004</v>
      </c>
      <c r="Q342" s="322">
        <f>+VLOOKUP($E342,Final_nrj!$1:$1048576,Q$2,FALSE)</f>
        <v>5.7678364960000001</v>
      </c>
      <c r="R342" s="322">
        <f>+VLOOKUP($E342,Final_nrj!$1:$1048576,R$2,FALSE)</f>
        <v>5.8260466019999999</v>
      </c>
      <c r="S342" s="322">
        <f>+VLOOKUP($E342,Final_nrj!$1:$1048576,S$2,FALSE)</f>
        <v>5.8843781479999997</v>
      </c>
      <c r="T342" s="322">
        <f>+VLOOKUP($E342,Final_nrj!$1:$1048576,T$2,FALSE)</f>
        <v>5.9428354329999999</v>
      </c>
      <c r="U342" s="322">
        <f>+VLOOKUP($E342,Final_nrj!$1:$1048576,U$2,FALSE)</f>
        <v>6.0014253000000002</v>
      </c>
      <c r="V342" s="322">
        <f>+VLOOKUP($E342,Final_nrj!$1:$1048576,V$2,FALSE)</f>
        <v>6.0601557980000003</v>
      </c>
      <c r="W342" s="322">
        <f>+VLOOKUP($E342,Final_nrj!$1:$1048576,W$2,FALSE)</f>
        <v>6.1190353249999996</v>
      </c>
      <c r="X342" s="322">
        <f>+VLOOKUP($E342,Final_nrj!$1:$1048576,X$2,FALSE)</f>
        <v>6.1780720489999998</v>
      </c>
      <c r="Y342" s="322">
        <f>+VLOOKUP($E342,Final_nrj!$1:$1048576,Y$2,FALSE)</f>
        <v>6.23727359</v>
      </c>
      <c r="Z342" s="322">
        <f>+VLOOKUP($E342,Final_nrj!$1:$1048576,Z$2,FALSE)</f>
        <v>6.2966469329999999</v>
      </c>
      <c r="AA342" s="322">
        <f>+VLOOKUP($E342,Final_nrj!$1:$1048576,AA$2,FALSE)</f>
        <v>6.3561984599999999</v>
      </c>
      <c r="AB342" s="322">
        <f>+VLOOKUP($E342,Final_nrj!$1:$1048576,AB$2,FALSE)</f>
        <v>6.4159340460000003</v>
      </c>
      <c r="AC342" s="322">
        <f>+VLOOKUP($E342,Final_nrj!$1:$1048576,AC$2,FALSE)</f>
        <v>6.4758591829999999</v>
      </c>
      <c r="AD342" s="322">
        <f>+VLOOKUP($E342,Final_nrj!$1:$1048576,AD$2,FALSE)</f>
        <v>6.5359791029999998</v>
      </c>
      <c r="AE342" s="322">
        <f>+VLOOKUP($E342,Final_nrj!$1:$1048576,AE$2,FALSE)</f>
        <v>6.5962989160000003</v>
      </c>
      <c r="AF342" s="322">
        <f>+VLOOKUP($E342,Final_nrj!$1:$1048576,AF$2,FALSE)</f>
        <v>6.6568237129999996</v>
      </c>
      <c r="AG342" s="322">
        <f>+VLOOKUP($E342,Final_nrj!$1:$1048576,AG$2,FALSE)</f>
        <v>6.7175586740000002</v>
      </c>
      <c r="AH342" s="322">
        <f>+VLOOKUP($E342,Final_nrj!$1:$1048576,AH$2,FALSE)</f>
        <v>6.7785091399999997</v>
      </c>
      <c r="AI342" s="322">
        <f>+VLOOKUP($E342,Final_nrj!$1:$1048576,AI$2,FALSE)</f>
        <v>6.8396806650000004</v>
      </c>
      <c r="AJ342" s="322">
        <f>+VLOOKUP($E342,Final_nrj!$1:$1048576,AJ$2,FALSE)</f>
        <v>6.901076465</v>
      </c>
      <c r="AK342" s="322">
        <f>+VLOOKUP($E342,Final_nrj!$1:$1048576,AK$2,FALSE)</f>
        <v>6.9627015669999999</v>
      </c>
      <c r="AL342" s="322">
        <f>+VLOOKUP($E342,Final_nrj!$1:$1048576,AL$2,FALSE)</f>
        <v>7.0245620669999997</v>
      </c>
      <c r="AM342" s="322">
        <f>+VLOOKUP($E342,Final_nrj!$1:$1048576,AM$2,FALSE)</f>
        <v>7.0866646619999996</v>
      </c>
      <c r="AN342" s="322">
        <f>+VLOOKUP($E342,Final_nrj!$1:$1048576,AN$2,FALSE)</f>
        <v>7.1490164360000001</v>
      </c>
      <c r="AO342" s="322">
        <f>+VLOOKUP($E342,Final_nrj!$1:$1048576,AO$2,FALSE)</f>
        <v>7.2116247470000001</v>
      </c>
    </row>
    <row r="343" spans="1:41" s="73" customFormat="1" ht="15" customHeight="1" x14ac:dyDescent="0.25">
      <c r="A343" s="392"/>
      <c r="B343" s="382"/>
      <c r="C343" s="123"/>
      <c r="D343" s="123" t="s">
        <v>481</v>
      </c>
      <c r="E343" s="79" t="s">
        <v>1059</v>
      </c>
      <c r="F343" s="323"/>
      <c r="G343" s="323"/>
      <c r="H343" s="323"/>
      <c r="I343" s="323"/>
      <c r="J343" s="323"/>
      <c r="K343" s="323"/>
      <c r="L343" s="323"/>
      <c r="M343" s="323"/>
      <c r="N343" s="323"/>
      <c r="O343" s="323"/>
      <c r="P343" s="323"/>
      <c r="Q343" s="323"/>
      <c r="R343" s="323"/>
      <c r="S343" s="323"/>
      <c r="T343" s="323"/>
      <c r="U343" s="323"/>
      <c r="V343" s="323"/>
      <c r="W343" s="323"/>
      <c r="X343" s="323"/>
      <c r="Y343" s="323"/>
      <c r="Z343" s="323"/>
      <c r="AA343" s="323"/>
      <c r="AB343" s="323"/>
      <c r="AC343" s="323"/>
      <c r="AD343" s="323"/>
      <c r="AE343" s="323"/>
      <c r="AF343" s="323"/>
      <c r="AG343" s="323"/>
      <c r="AH343" s="323"/>
      <c r="AI343" s="323"/>
      <c r="AJ343" s="323"/>
      <c r="AK343" s="323"/>
      <c r="AL343" s="323"/>
      <c r="AM343" s="323"/>
      <c r="AN343" s="323"/>
      <c r="AO343" s="323"/>
    </row>
    <row r="344" spans="1:41" s="108" customFormat="1" ht="15" customHeight="1" x14ac:dyDescent="0.25">
      <c r="A344" s="392"/>
      <c r="B344" s="382"/>
      <c r="C344" s="122" t="s">
        <v>580</v>
      </c>
      <c r="D344" s="122"/>
      <c r="E344" s="89" t="s">
        <v>1060</v>
      </c>
      <c r="F344" s="322">
        <f>+VLOOKUP($E344,Final_nrj!$1:$1048576,F$2,FALSE)</f>
        <v>8.2041278789999996</v>
      </c>
      <c r="G344" s="322">
        <f>+VLOOKUP($E344,Final_nrj!$1:$1048576,G$2,FALSE)</f>
        <v>8.2224071920000004</v>
      </c>
      <c r="H344" s="322">
        <f>+VLOOKUP($E344,Final_nrj!$1:$1048576,H$2,FALSE)</f>
        <v>8.2107482189999992</v>
      </c>
      <c r="I344" s="322">
        <f>+VLOOKUP($E344,Final_nrj!$1:$1048576,I$2,FALSE)</f>
        <v>8.1895903140000001</v>
      </c>
      <c r="J344" s="322">
        <f>+VLOOKUP($E344,Final_nrj!$1:$1048576,J$2,FALSE)</f>
        <v>8.1673428650000002</v>
      </c>
      <c r="K344" s="322">
        <f>+VLOOKUP($E344,Final_nrj!$1:$1048576,K$2,FALSE)</f>
        <v>8.1470025100000001</v>
      </c>
      <c r="L344" s="322">
        <f>+VLOOKUP($E344,Final_nrj!$1:$1048576,L$2,FALSE)</f>
        <v>8.1293023000000009</v>
      </c>
      <c r="M344" s="322">
        <f>+VLOOKUP($E344,Final_nrj!$1:$1048576,M$2,FALSE)</f>
        <v>8.1141290619999999</v>
      </c>
      <c r="N344" s="322">
        <f>+VLOOKUP($E344,Final_nrj!$1:$1048576,N$2,FALSE)</f>
        <v>8.1011249010000004</v>
      </c>
      <c r="O344" s="322">
        <f>+VLOOKUP($E344,Final_nrj!$1:$1048576,O$2,FALSE)</f>
        <v>8.0899203639999993</v>
      </c>
      <c r="P344" s="322">
        <f>+VLOOKUP($E344,Final_nrj!$1:$1048576,P$2,FALSE)</f>
        <v>8.0802092470000009</v>
      </c>
      <c r="Q344" s="322">
        <f>+VLOOKUP($E344,Final_nrj!$1:$1048576,Q$2,FALSE)</f>
        <v>8.0717602629999998</v>
      </c>
      <c r="R344" s="322">
        <f>+VLOOKUP($E344,Final_nrj!$1:$1048576,R$2,FALSE)</f>
        <v>8.0644070229999993</v>
      </c>
      <c r="S344" s="322">
        <f>+VLOOKUP($E344,Final_nrj!$1:$1048576,S$2,FALSE)</f>
        <v>8.0580331740000002</v>
      </c>
      <c r="T344" s="322">
        <f>+VLOOKUP($E344,Final_nrj!$1:$1048576,T$2,FALSE)</f>
        <v>8.0525587830000003</v>
      </c>
      <c r="U344" s="322">
        <f>+VLOOKUP($E344,Final_nrj!$1:$1048576,U$2,FALSE)</f>
        <v>8.0479295250000007</v>
      </c>
      <c r="V344" s="322">
        <f>+VLOOKUP($E344,Final_nrj!$1:$1048576,V$2,FALSE)</f>
        <v>8.0441087049999993</v>
      </c>
      <c r="W344" s="322">
        <f>+VLOOKUP($E344,Final_nrj!$1:$1048576,W$2,FALSE)</f>
        <v>8.0410716050000008</v>
      </c>
      <c r="X344" s="322">
        <f>+VLOOKUP($E344,Final_nrj!$1:$1048576,X$2,FALSE)</f>
        <v>8.038800234</v>
      </c>
      <c r="Y344" s="322">
        <f>+VLOOKUP($E344,Final_nrj!$1:$1048576,Y$2,FALSE)</f>
        <v>8.0372675319999995</v>
      </c>
      <c r="Z344" s="322">
        <f>+VLOOKUP($E344,Final_nrj!$1:$1048576,Z$2,FALSE)</f>
        <v>8.0364596079999995</v>
      </c>
      <c r="AA344" s="322">
        <f>+VLOOKUP($E344,Final_nrj!$1:$1048576,AA$2,FALSE)</f>
        <v>8.0363695449999994</v>
      </c>
      <c r="AB344" s="322">
        <f>+VLOOKUP($E344,Final_nrj!$1:$1048576,AB$2,FALSE)</f>
        <v>8.0369940639999999</v>
      </c>
      <c r="AC344" s="322">
        <f>+VLOOKUP($E344,Final_nrj!$1:$1048576,AC$2,FALSE)</f>
        <v>8.0383317289999994</v>
      </c>
      <c r="AD344" s="322">
        <f>+VLOOKUP($E344,Final_nrj!$1:$1048576,AD$2,FALSE)</f>
        <v>8.0403820009999993</v>
      </c>
      <c r="AE344" s="322">
        <f>+VLOOKUP($E344,Final_nrj!$1:$1048576,AE$2,FALSE)</f>
        <v>8.043144753</v>
      </c>
      <c r="AF344" s="322">
        <f>+VLOOKUP($E344,Final_nrj!$1:$1048576,AF$2,FALSE)</f>
        <v>8.0466200400000005</v>
      </c>
      <c r="AG344" s="322">
        <f>+VLOOKUP($E344,Final_nrj!$1:$1048576,AG$2,FALSE)</f>
        <v>8.0508080060000005</v>
      </c>
      <c r="AH344" s="322">
        <f>+VLOOKUP($E344,Final_nrj!$1:$1048576,AH$2,FALSE)</f>
        <v>8.0557088560000008</v>
      </c>
      <c r="AI344" s="322">
        <f>+VLOOKUP($E344,Final_nrj!$1:$1048576,AI$2,FALSE)</f>
        <v>8.0613228659999994</v>
      </c>
      <c r="AJ344" s="322">
        <f>+VLOOKUP($E344,Final_nrj!$1:$1048576,AJ$2,FALSE)</f>
        <v>8.0676504009999999</v>
      </c>
      <c r="AK344" s="322">
        <f>+VLOOKUP($E344,Final_nrj!$1:$1048576,AK$2,FALSE)</f>
        <v>8.0746919310000003</v>
      </c>
      <c r="AL344" s="322">
        <f>+VLOOKUP($E344,Final_nrj!$1:$1048576,AL$2,FALSE)</f>
        <v>8.0824480399999992</v>
      </c>
      <c r="AM344" s="322">
        <f>+VLOOKUP($E344,Final_nrj!$1:$1048576,AM$2,FALSE)</f>
        <v>8.0909194360000001</v>
      </c>
      <c r="AN344" s="322">
        <f>+VLOOKUP($E344,Final_nrj!$1:$1048576,AN$2,FALSE)</f>
        <v>8.1001069430000001</v>
      </c>
      <c r="AO344" s="322">
        <f>+VLOOKUP($E344,Final_nrj!$1:$1048576,AO$2,FALSE)</f>
        <v>8.1100115049999992</v>
      </c>
    </row>
    <row r="345" spans="1:41" s="307" customFormat="1" ht="15" customHeight="1" x14ac:dyDescent="0.25">
      <c r="A345" s="392"/>
      <c r="B345" s="382"/>
      <c r="C345" s="123"/>
      <c r="D345" s="123"/>
      <c r="E345" s="79" t="s">
        <v>2088</v>
      </c>
      <c r="F345" s="352" t="e">
        <f>+VLOOKUP($E345,Final_nrj!$1:$1048576,F$2,FALSE)</f>
        <v>#N/A</v>
      </c>
      <c r="G345" s="352" t="e">
        <f>+VLOOKUP($E345,Final_nrj!$1:$1048576,G$2,FALSE)</f>
        <v>#N/A</v>
      </c>
      <c r="H345" s="352" t="e">
        <f>+VLOOKUP($E345,Final_nrj!$1:$1048576,H$2,FALSE)</f>
        <v>#N/A</v>
      </c>
      <c r="I345" s="352" t="e">
        <f>+VLOOKUP($E345,Final_nrj!$1:$1048576,I$2,FALSE)</f>
        <v>#N/A</v>
      </c>
      <c r="J345" s="352" t="e">
        <f>+VLOOKUP($E345,Final_nrj!$1:$1048576,J$2,FALSE)</f>
        <v>#N/A</v>
      </c>
      <c r="K345" s="352" t="e">
        <f>+VLOOKUP($E345,Final_nrj!$1:$1048576,K$2,FALSE)</f>
        <v>#N/A</v>
      </c>
      <c r="L345" s="352" t="e">
        <f>+VLOOKUP($E345,Final_nrj!$1:$1048576,L$2,FALSE)</f>
        <v>#N/A</v>
      </c>
      <c r="M345" s="352" t="e">
        <f>+VLOOKUP($E345,Final_nrj!$1:$1048576,M$2,FALSE)</f>
        <v>#N/A</v>
      </c>
      <c r="N345" s="352" t="e">
        <f>+VLOOKUP($E345,Final_nrj!$1:$1048576,N$2,FALSE)</f>
        <v>#N/A</v>
      </c>
      <c r="O345" s="352" t="e">
        <f>+VLOOKUP($E345,Final_nrj!$1:$1048576,O$2,FALSE)</f>
        <v>#N/A</v>
      </c>
      <c r="P345" s="352" t="e">
        <f>+VLOOKUP($E345,Final_nrj!$1:$1048576,P$2,FALSE)</f>
        <v>#N/A</v>
      </c>
      <c r="Q345" s="352" t="e">
        <f>+VLOOKUP($E345,Final_nrj!$1:$1048576,Q$2,FALSE)</f>
        <v>#N/A</v>
      </c>
      <c r="R345" s="352" t="e">
        <f>+VLOOKUP($E345,Final_nrj!$1:$1048576,R$2,FALSE)</f>
        <v>#N/A</v>
      </c>
      <c r="S345" s="352" t="e">
        <f>+VLOOKUP($E345,Final_nrj!$1:$1048576,S$2,FALSE)</f>
        <v>#N/A</v>
      </c>
      <c r="T345" s="352" t="e">
        <f>+VLOOKUP($E345,Final_nrj!$1:$1048576,T$2,FALSE)</f>
        <v>#N/A</v>
      </c>
      <c r="U345" s="352" t="e">
        <f>+VLOOKUP($E345,Final_nrj!$1:$1048576,U$2,FALSE)</f>
        <v>#N/A</v>
      </c>
      <c r="V345" s="352" t="e">
        <f>+VLOOKUP($E345,Final_nrj!$1:$1048576,V$2,FALSE)</f>
        <v>#N/A</v>
      </c>
      <c r="W345" s="352" t="e">
        <f>+VLOOKUP($E345,Final_nrj!$1:$1048576,W$2,FALSE)</f>
        <v>#N/A</v>
      </c>
      <c r="X345" s="352" t="e">
        <f>+VLOOKUP($E345,Final_nrj!$1:$1048576,X$2,FALSE)</f>
        <v>#N/A</v>
      </c>
      <c r="Y345" s="352" t="e">
        <f>+VLOOKUP($E345,Final_nrj!$1:$1048576,Y$2,FALSE)</f>
        <v>#N/A</v>
      </c>
      <c r="Z345" s="352" t="e">
        <f>+VLOOKUP($E345,Final_nrj!$1:$1048576,Z$2,FALSE)</f>
        <v>#N/A</v>
      </c>
      <c r="AA345" s="352" t="e">
        <f>+VLOOKUP($E345,Final_nrj!$1:$1048576,AA$2,FALSE)</f>
        <v>#N/A</v>
      </c>
      <c r="AB345" s="352" t="e">
        <f>+VLOOKUP($E345,Final_nrj!$1:$1048576,AB$2,FALSE)</f>
        <v>#N/A</v>
      </c>
      <c r="AC345" s="352" t="e">
        <f>+VLOOKUP($E345,Final_nrj!$1:$1048576,AC$2,FALSE)</f>
        <v>#N/A</v>
      </c>
      <c r="AD345" s="352" t="e">
        <f>+VLOOKUP($E345,Final_nrj!$1:$1048576,AD$2,FALSE)</f>
        <v>#N/A</v>
      </c>
      <c r="AE345" s="352" t="e">
        <f>+VLOOKUP($E345,Final_nrj!$1:$1048576,AE$2,FALSE)</f>
        <v>#N/A</v>
      </c>
      <c r="AF345" s="352" t="e">
        <f>+VLOOKUP($E345,Final_nrj!$1:$1048576,AF$2,FALSE)</f>
        <v>#N/A</v>
      </c>
      <c r="AG345" s="352" t="e">
        <f>+VLOOKUP($E345,Final_nrj!$1:$1048576,AG$2,FALSE)</f>
        <v>#N/A</v>
      </c>
      <c r="AH345" s="352" t="e">
        <f>+VLOOKUP($E345,Final_nrj!$1:$1048576,AH$2,FALSE)</f>
        <v>#N/A</v>
      </c>
      <c r="AI345" s="352" t="e">
        <f>+VLOOKUP($E345,Final_nrj!$1:$1048576,AI$2,FALSE)</f>
        <v>#N/A</v>
      </c>
      <c r="AJ345" s="352" t="e">
        <f>+VLOOKUP($E345,Final_nrj!$1:$1048576,AJ$2,FALSE)</f>
        <v>#N/A</v>
      </c>
      <c r="AK345" s="352" t="e">
        <f>+VLOOKUP($E345,Final_nrj!$1:$1048576,AK$2,FALSE)</f>
        <v>#N/A</v>
      </c>
      <c r="AL345" s="352" t="e">
        <f>+VLOOKUP($E345,Final_nrj!$1:$1048576,AL$2,FALSE)</f>
        <v>#N/A</v>
      </c>
      <c r="AM345" s="352" t="e">
        <f>+VLOOKUP($E345,Final_nrj!$1:$1048576,AM$2,FALSE)</f>
        <v>#N/A</v>
      </c>
      <c r="AN345" s="352" t="e">
        <f>+VLOOKUP($E345,Final_nrj!$1:$1048576,AN$2,FALSE)</f>
        <v>#N/A</v>
      </c>
      <c r="AO345" s="352" t="e">
        <f>+VLOOKUP($E345,Final_nrj!$1:$1048576,AO$2,FALSE)</f>
        <v>#N/A</v>
      </c>
    </row>
    <row r="346" spans="1:41" s="307" customFormat="1" ht="15" customHeight="1" x14ac:dyDescent="0.25">
      <c r="A346" s="392"/>
      <c r="B346" s="382"/>
      <c r="C346" s="123"/>
      <c r="D346" s="123"/>
      <c r="E346" s="79" t="s">
        <v>2089</v>
      </c>
      <c r="F346" s="352" t="e">
        <f>+VLOOKUP($E346,Final_nrj!$1:$1048576,F$2,FALSE)</f>
        <v>#N/A</v>
      </c>
      <c r="G346" s="352" t="e">
        <f>+VLOOKUP($E346,Final_nrj!$1:$1048576,G$2,FALSE)</f>
        <v>#N/A</v>
      </c>
      <c r="H346" s="352" t="e">
        <f>+VLOOKUP($E346,Final_nrj!$1:$1048576,H$2,FALSE)</f>
        <v>#N/A</v>
      </c>
      <c r="I346" s="352" t="e">
        <f>+VLOOKUP($E346,Final_nrj!$1:$1048576,I$2,FALSE)</f>
        <v>#N/A</v>
      </c>
      <c r="J346" s="352" t="e">
        <f>+VLOOKUP($E346,Final_nrj!$1:$1048576,J$2,FALSE)</f>
        <v>#N/A</v>
      </c>
      <c r="K346" s="352" t="e">
        <f>+VLOOKUP($E346,Final_nrj!$1:$1048576,K$2,FALSE)</f>
        <v>#N/A</v>
      </c>
      <c r="L346" s="352" t="e">
        <f>+VLOOKUP($E346,Final_nrj!$1:$1048576,L$2,FALSE)</f>
        <v>#N/A</v>
      </c>
      <c r="M346" s="352" t="e">
        <f>+VLOOKUP($E346,Final_nrj!$1:$1048576,M$2,FALSE)</f>
        <v>#N/A</v>
      </c>
      <c r="N346" s="352" t="e">
        <f>+VLOOKUP($E346,Final_nrj!$1:$1048576,N$2,FALSE)</f>
        <v>#N/A</v>
      </c>
      <c r="O346" s="352" t="e">
        <f>+VLOOKUP($E346,Final_nrj!$1:$1048576,O$2,FALSE)</f>
        <v>#N/A</v>
      </c>
      <c r="P346" s="352" t="e">
        <f>+VLOOKUP($E346,Final_nrj!$1:$1048576,P$2,FALSE)</f>
        <v>#N/A</v>
      </c>
      <c r="Q346" s="352" t="e">
        <f>+VLOOKUP($E346,Final_nrj!$1:$1048576,Q$2,FALSE)</f>
        <v>#N/A</v>
      </c>
      <c r="R346" s="352" t="e">
        <f>+VLOOKUP($E346,Final_nrj!$1:$1048576,R$2,FALSE)</f>
        <v>#N/A</v>
      </c>
      <c r="S346" s="352" t="e">
        <f>+VLOOKUP($E346,Final_nrj!$1:$1048576,S$2,FALSE)</f>
        <v>#N/A</v>
      </c>
      <c r="T346" s="352" t="e">
        <f>+VLOOKUP($E346,Final_nrj!$1:$1048576,T$2,FALSE)</f>
        <v>#N/A</v>
      </c>
      <c r="U346" s="352" t="e">
        <f>+VLOOKUP($E346,Final_nrj!$1:$1048576,U$2,FALSE)</f>
        <v>#N/A</v>
      </c>
      <c r="V346" s="352" t="e">
        <f>+VLOOKUP($E346,Final_nrj!$1:$1048576,V$2,FALSE)</f>
        <v>#N/A</v>
      </c>
      <c r="W346" s="352" t="e">
        <f>+VLOOKUP($E346,Final_nrj!$1:$1048576,W$2,FALSE)</f>
        <v>#N/A</v>
      </c>
      <c r="X346" s="352" t="e">
        <f>+VLOOKUP($E346,Final_nrj!$1:$1048576,X$2,FALSE)</f>
        <v>#N/A</v>
      </c>
      <c r="Y346" s="352" t="e">
        <f>+VLOOKUP($E346,Final_nrj!$1:$1048576,Y$2,FALSE)</f>
        <v>#N/A</v>
      </c>
      <c r="Z346" s="352" t="e">
        <f>+VLOOKUP($E346,Final_nrj!$1:$1048576,Z$2,FALSE)</f>
        <v>#N/A</v>
      </c>
      <c r="AA346" s="352" t="e">
        <f>+VLOOKUP($E346,Final_nrj!$1:$1048576,AA$2,FALSE)</f>
        <v>#N/A</v>
      </c>
      <c r="AB346" s="352" t="e">
        <f>+VLOOKUP($E346,Final_nrj!$1:$1048576,AB$2,FALSE)</f>
        <v>#N/A</v>
      </c>
      <c r="AC346" s="352" t="e">
        <f>+VLOOKUP($E346,Final_nrj!$1:$1048576,AC$2,FALSE)</f>
        <v>#N/A</v>
      </c>
      <c r="AD346" s="352" t="e">
        <f>+VLOOKUP($E346,Final_nrj!$1:$1048576,AD$2,FALSE)</f>
        <v>#N/A</v>
      </c>
      <c r="AE346" s="352" t="e">
        <f>+VLOOKUP($E346,Final_nrj!$1:$1048576,AE$2,FALSE)</f>
        <v>#N/A</v>
      </c>
      <c r="AF346" s="352" t="e">
        <f>+VLOOKUP($E346,Final_nrj!$1:$1048576,AF$2,FALSE)</f>
        <v>#N/A</v>
      </c>
      <c r="AG346" s="352" t="e">
        <f>+VLOOKUP($E346,Final_nrj!$1:$1048576,AG$2,FALSE)</f>
        <v>#N/A</v>
      </c>
      <c r="AH346" s="352" t="e">
        <f>+VLOOKUP($E346,Final_nrj!$1:$1048576,AH$2,FALSE)</f>
        <v>#N/A</v>
      </c>
      <c r="AI346" s="352" t="e">
        <f>+VLOOKUP($E346,Final_nrj!$1:$1048576,AI$2,FALSE)</f>
        <v>#N/A</v>
      </c>
      <c r="AJ346" s="352" t="e">
        <f>+VLOOKUP($E346,Final_nrj!$1:$1048576,AJ$2,FALSE)</f>
        <v>#N/A</v>
      </c>
      <c r="AK346" s="352" t="e">
        <f>+VLOOKUP($E346,Final_nrj!$1:$1048576,AK$2,FALSE)</f>
        <v>#N/A</v>
      </c>
      <c r="AL346" s="352" t="e">
        <f>+VLOOKUP($E346,Final_nrj!$1:$1048576,AL$2,FALSE)</f>
        <v>#N/A</v>
      </c>
      <c r="AM346" s="352" t="e">
        <f>+VLOOKUP($E346,Final_nrj!$1:$1048576,AM$2,FALSE)</f>
        <v>#N/A</v>
      </c>
      <c r="AN346" s="352" t="e">
        <f>+VLOOKUP($E346,Final_nrj!$1:$1048576,AN$2,FALSE)</f>
        <v>#N/A</v>
      </c>
      <c r="AO346" s="352" t="e">
        <f>+VLOOKUP($E346,Final_nrj!$1:$1048576,AO$2,FALSE)</f>
        <v>#N/A</v>
      </c>
    </row>
    <row r="347" spans="1:41" s="108" customFormat="1" ht="15" customHeight="1" x14ac:dyDescent="0.25">
      <c r="A347" s="392"/>
      <c r="B347" s="382"/>
      <c r="C347" s="122" t="s">
        <v>581</v>
      </c>
      <c r="D347" s="122"/>
      <c r="E347" s="89" t="s">
        <v>1061</v>
      </c>
      <c r="F347" s="322">
        <f>+VLOOKUP($E347,Final_nrj!$1:$1048576,F$2,FALSE)</f>
        <v>8.7126031669999993</v>
      </c>
      <c r="G347" s="322">
        <f>+VLOOKUP($E347,Final_nrj!$1:$1048576,G$2,FALSE)</f>
        <v>8.8102314360000005</v>
      </c>
      <c r="H347" s="322">
        <f>+VLOOKUP($E347,Final_nrj!$1:$1048576,H$2,FALSE)</f>
        <v>8.9083178190000005</v>
      </c>
      <c r="I347" s="322">
        <f>+VLOOKUP($E347,Final_nrj!$1:$1048576,I$2,FALSE)</f>
        <v>9.0081958279999998</v>
      </c>
      <c r="J347" s="322">
        <f>+VLOOKUP($E347,Final_nrj!$1:$1048576,J$2,FALSE)</f>
        <v>9.1103409670000008</v>
      </c>
      <c r="K347" s="322">
        <f>+VLOOKUP($E347,Final_nrj!$1:$1048576,K$2,FALSE)</f>
        <v>9.2147850210000009</v>
      </c>
      <c r="L347" s="322">
        <f>+VLOOKUP($E347,Final_nrj!$1:$1048576,L$2,FALSE)</f>
        <v>9.3213888419999993</v>
      </c>
      <c r="M347" s="322">
        <f>+VLOOKUP($E347,Final_nrj!$1:$1048576,M$2,FALSE)</f>
        <v>9.4299722950000007</v>
      </c>
      <c r="N347" s="322">
        <f>+VLOOKUP($E347,Final_nrj!$1:$1048576,N$2,FALSE)</f>
        <v>9.5403662189999991</v>
      </c>
      <c r="O347" s="322">
        <f>+VLOOKUP($E347,Final_nrj!$1:$1048576,O$2,FALSE)</f>
        <v>9.6524291039999994</v>
      </c>
      <c r="P347" s="322">
        <f>+VLOOKUP($E347,Final_nrj!$1:$1048576,P$2,FALSE)</f>
        <v>9.7660496919999993</v>
      </c>
      <c r="Q347" s="322">
        <f>+VLOOKUP($E347,Final_nrj!$1:$1048576,Q$2,FALSE)</f>
        <v>9.8811447349999995</v>
      </c>
      <c r="R347" s="322">
        <f>+VLOOKUP($E347,Final_nrj!$1:$1048576,R$2,FALSE)</f>
        <v>9.9976554340000003</v>
      </c>
      <c r="S347" s="322">
        <f>+VLOOKUP($E347,Final_nrj!$1:$1048576,S$2,FALSE)</f>
        <v>10.11554374</v>
      </c>
      <c r="T347" s="322">
        <f>+VLOOKUP($E347,Final_nrj!$1:$1048576,T$2,FALSE)</f>
        <v>10.234788740000001</v>
      </c>
      <c r="U347" s="322">
        <f>+VLOOKUP($E347,Final_nrj!$1:$1048576,U$2,FALSE)</f>
        <v>10.355383120000001</v>
      </c>
      <c r="V347" s="322">
        <f>+VLOOKUP($E347,Final_nrj!$1:$1048576,V$2,FALSE)</f>
        <v>10.47732993</v>
      </c>
      <c r="W347" s="322">
        <f>+VLOOKUP($E347,Final_nrj!$1:$1048576,W$2,FALSE)</f>
        <v>10.600639790000001</v>
      </c>
      <c r="X347" s="322">
        <f>+VLOOKUP($E347,Final_nrj!$1:$1048576,X$2,FALSE)</f>
        <v>10.725328360000001</v>
      </c>
      <c r="Y347" s="322">
        <f>+VLOOKUP($E347,Final_nrj!$1:$1048576,Y$2,FALSE)</f>
        <v>10.851414330000001</v>
      </c>
      <c r="Z347" s="322">
        <f>+VLOOKUP($E347,Final_nrj!$1:$1048576,Z$2,FALSE)</f>
        <v>10.978917940000001</v>
      </c>
      <c r="AA347" s="322">
        <f>+VLOOKUP($E347,Final_nrj!$1:$1048576,AA$2,FALSE)</f>
        <v>11.10785993</v>
      </c>
      <c r="AB347" s="322">
        <f>+VLOOKUP($E347,Final_nrj!$1:$1048576,AB$2,FALSE)</f>
        <v>11.23826094</v>
      </c>
      <c r="AC347" s="322">
        <f>+VLOOKUP($E347,Final_nrj!$1:$1048576,AC$2,FALSE)</f>
        <v>11.37014117</v>
      </c>
      <c r="AD347" s="322">
        <f>+VLOOKUP($E347,Final_nrj!$1:$1048576,AD$2,FALSE)</f>
        <v>11.5035203</v>
      </c>
      <c r="AE347" s="322">
        <f>+VLOOKUP($E347,Final_nrj!$1:$1048576,AE$2,FALSE)</f>
        <v>11.63841753</v>
      </c>
      <c r="AF347" s="322">
        <f>+VLOOKUP($E347,Final_nrj!$1:$1048576,AF$2,FALSE)</f>
        <v>11.774851699999999</v>
      </c>
      <c r="AG347" s="322">
        <f>+VLOOKUP($E347,Final_nrj!$1:$1048576,AG$2,FALSE)</f>
        <v>11.912841500000001</v>
      </c>
      <c r="AH347" s="322">
        <f>+VLOOKUP($E347,Final_nrj!$1:$1048576,AH$2,FALSE)</f>
        <v>12.0524056</v>
      </c>
      <c r="AI347" s="322">
        <f>+VLOOKUP($E347,Final_nrj!$1:$1048576,AI$2,FALSE)</f>
        <v>12.1935628</v>
      </c>
      <c r="AJ347" s="322">
        <f>+VLOOKUP($E347,Final_nrj!$1:$1048576,AJ$2,FALSE)</f>
        <v>12.33633216</v>
      </c>
      <c r="AK347" s="322">
        <f>+VLOOKUP($E347,Final_nrj!$1:$1048576,AK$2,FALSE)</f>
        <v>12.48073304</v>
      </c>
      <c r="AL347" s="322">
        <f>+VLOOKUP($E347,Final_nrj!$1:$1048576,AL$2,FALSE)</f>
        <v>12.62678515</v>
      </c>
      <c r="AM347" s="322">
        <f>+VLOOKUP($E347,Final_nrj!$1:$1048576,AM$2,FALSE)</f>
        <v>12.77450855</v>
      </c>
      <c r="AN347" s="322">
        <f>+VLOOKUP($E347,Final_nrj!$1:$1048576,AN$2,FALSE)</f>
        <v>12.92392366</v>
      </c>
      <c r="AO347" s="322">
        <f>+VLOOKUP($E347,Final_nrj!$1:$1048576,AO$2,FALSE)</f>
        <v>13.07505121</v>
      </c>
    </row>
    <row r="348" spans="1:41" s="307" customFormat="1" ht="15" customHeight="1" x14ac:dyDescent="0.25">
      <c r="A348" s="392"/>
      <c r="B348" s="382"/>
      <c r="C348" s="123"/>
      <c r="D348" s="123"/>
      <c r="E348" s="79" t="s">
        <v>2090</v>
      </c>
      <c r="F348" s="352" t="e">
        <f>+VLOOKUP($E348,Final_nrj!$1:$1048576,F$2,FALSE)</f>
        <v>#N/A</v>
      </c>
      <c r="G348" s="352" t="e">
        <f>+VLOOKUP($E348,Final_nrj!$1:$1048576,G$2,FALSE)</f>
        <v>#N/A</v>
      </c>
      <c r="H348" s="352" t="e">
        <f>+VLOOKUP($E348,Final_nrj!$1:$1048576,H$2,FALSE)</f>
        <v>#N/A</v>
      </c>
      <c r="I348" s="352" t="e">
        <f>+VLOOKUP($E348,Final_nrj!$1:$1048576,I$2,FALSE)</f>
        <v>#N/A</v>
      </c>
      <c r="J348" s="352" t="e">
        <f>+VLOOKUP($E348,Final_nrj!$1:$1048576,J$2,FALSE)</f>
        <v>#N/A</v>
      </c>
      <c r="K348" s="352" t="e">
        <f>+VLOOKUP($E348,Final_nrj!$1:$1048576,K$2,FALSE)</f>
        <v>#N/A</v>
      </c>
      <c r="L348" s="352" t="e">
        <f>+VLOOKUP($E348,Final_nrj!$1:$1048576,L$2,FALSE)</f>
        <v>#N/A</v>
      </c>
      <c r="M348" s="352" t="e">
        <f>+VLOOKUP($E348,Final_nrj!$1:$1048576,M$2,FALSE)</f>
        <v>#N/A</v>
      </c>
      <c r="N348" s="352" t="e">
        <f>+VLOOKUP($E348,Final_nrj!$1:$1048576,N$2,FALSE)</f>
        <v>#N/A</v>
      </c>
      <c r="O348" s="352" t="e">
        <f>+VLOOKUP($E348,Final_nrj!$1:$1048576,O$2,FALSE)</f>
        <v>#N/A</v>
      </c>
      <c r="P348" s="352" t="e">
        <f>+VLOOKUP($E348,Final_nrj!$1:$1048576,P$2,FALSE)</f>
        <v>#N/A</v>
      </c>
      <c r="Q348" s="352" t="e">
        <f>+VLOOKUP($E348,Final_nrj!$1:$1048576,Q$2,FALSE)</f>
        <v>#N/A</v>
      </c>
      <c r="R348" s="352" t="e">
        <f>+VLOOKUP($E348,Final_nrj!$1:$1048576,R$2,FALSE)</f>
        <v>#N/A</v>
      </c>
      <c r="S348" s="352" t="e">
        <f>+VLOOKUP($E348,Final_nrj!$1:$1048576,S$2,FALSE)</f>
        <v>#N/A</v>
      </c>
      <c r="T348" s="352" t="e">
        <f>+VLOOKUP($E348,Final_nrj!$1:$1048576,T$2,FALSE)</f>
        <v>#N/A</v>
      </c>
      <c r="U348" s="352" t="e">
        <f>+VLOOKUP($E348,Final_nrj!$1:$1048576,U$2,FALSE)</f>
        <v>#N/A</v>
      </c>
      <c r="V348" s="352" t="e">
        <f>+VLOOKUP($E348,Final_nrj!$1:$1048576,V$2,FALSE)</f>
        <v>#N/A</v>
      </c>
      <c r="W348" s="352" t="e">
        <f>+VLOOKUP($E348,Final_nrj!$1:$1048576,W$2,FALSE)</f>
        <v>#N/A</v>
      </c>
      <c r="X348" s="352" t="e">
        <f>+VLOOKUP($E348,Final_nrj!$1:$1048576,X$2,FALSE)</f>
        <v>#N/A</v>
      </c>
      <c r="Y348" s="352" t="e">
        <f>+VLOOKUP($E348,Final_nrj!$1:$1048576,Y$2,FALSE)</f>
        <v>#N/A</v>
      </c>
      <c r="Z348" s="352" t="e">
        <f>+VLOOKUP($E348,Final_nrj!$1:$1048576,Z$2,FALSE)</f>
        <v>#N/A</v>
      </c>
      <c r="AA348" s="352" t="e">
        <f>+VLOOKUP($E348,Final_nrj!$1:$1048576,AA$2,FALSE)</f>
        <v>#N/A</v>
      </c>
      <c r="AB348" s="352" t="e">
        <f>+VLOOKUP($E348,Final_nrj!$1:$1048576,AB$2,FALSE)</f>
        <v>#N/A</v>
      </c>
      <c r="AC348" s="352" t="e">
        <f>+VLOOKUP($E348,Final_nrj!$1:$1048576,AC$2,FALSE)</f>
        <v>#N/A</v>
      </c>
      <c r="AD348" s="352" t="e">
        <f>+VLOOKUP($E348,Final_nrj!$1:$1048576,AD$2,FALSE)</f>
        <v>#N/A</v>
      </c>
      <c r="AE348" s="352" t="e">
        <f>+VLOOKUP($E348,Final_nrj!$1:$1048576,AE$2,FALSE)</f>
        <v>#N/A</v>
      </c>
      <c r="AF348" s="352" t="e">
        <f>+VLOOKUP($E348,Final_nrj!$1:$1048576,AF$2,FALSE)</f>
        <v>#N/A</v>
      </c>
      <c r="AG348" s="352" t="e">
        <f>+VLOOKUP($E348,Final_nrj!$1:$1048576,AG$2,FALSE)</f>
        <v>#N/A</v>
      </c>
      <c r="AH348" s="352" t="e">
        <f>+VLOOKUP($E348,Final_nrj!$1:$1048576,AH$2,FALSE)</f>
        <v>#N/A</v>
      </c>
      <c r="AI348" s="352" t="e">
        <f>+VLOOKUP($E348,Final_nrj!$1:$1048576,AI$2,FALSE)</f>
        <v>#N/A</v>
      </c>
      <c r="AJ348" s="352" t="e">
        <f>+VLOOKUP($E348,Final_nrj!$1:$1048576,AJ$2,FALSE)</f>
        <v>#N/A</v>
      </c>
      <c r="AK348" s="352" t="e">
        <f>+VLOOKUP($E348,Final_nrj!$1:$1048576,AK$2,FALSE)</f>
        <v>#N/A</v>
      </c>
      <c r="AL348" s="352" t="e">
        <f>+VLOOKUP($E348,Final_nrj!$1:$1048576,AL$2,FALSE)</f>
        <v>#N/A</v>
      </c>
      <c r="AM348" s="352" t="e">
        <f>+VLOOKUP($E348,Final_nrj!$1:$1048576,AM$2,FALSE)</f>
        <v>#N/A</v>
      </c>
      <c r="AN348" s="352" t="e">
        <f>+VLOOKUP($E348,Final_nrj!$1:$1048576,AN$2,FALSE)</f>
        <v>#N/A</v>
      </c>
      <c r="AO348" s="352" t="e">
        <f>+VLOOKUP($E348,Final_nrj!$1:$1048576,AO$2,FALSE)</f>
        <v>#N/A</v>
      </c>
    </row>
    <row r="349" spans="1:41" s="307" customFormat="1" ht="15" customHeight="1" x14ac:dyDescent="0.25">
      <c r="A349" s="392"/>
      <c r="B349" s="382"/>
      <c r="C349" s="123"/>
      <c r="D349" s="123"/>
      <c r="E349" s="79" t="s">
        <v>2091</v>
      </c>
      <c r="F349" s="352" t="e">
        <f>+VLOOKUP($E349,Final_nrj!$1:$1048576,F$2,FALSE)</f>
        <v>#N/A</v>
      </c>
      <c r="G349" s="352" t="e">
        <f>+VLOOKUP($E349,Final_nrj!$1:$1048576,G$2,FALSE)</f>
        <v>#N/A</v>
      </c>
      <c r="H349" s="352" t="e">
        <f>+VLOOKUP($E349,Final_nrj!$1:$1048576,H$2,FALSE)</f>
        <v>#N/A</v>
      </c>
      <c r="I349" s="352" t="e">
        <f>+VLOOKUP($E349,Final_nrj!$1:$1048576,I$2,FALSE)</f>
        <v>#N/A</v>
      </c>
      <c r="J349" s="352" t="e">
        <f>+VLOOKUP($E349,Final_nrj!$1:$1048576,J$2,FALSE)</f>
        <v>#N/A</v>
      </c>
      <c r="K349" s="352" t="e">
        <f>+VLOOKUP($E349,Final_nrj!$1:$1048576,K$2,FALSE)</f>
        <v>#N/A</v>
      </c>
      <c r="L349" s="352" t="e">
        <f>+VLOOKUP($E349,Final_nrj!$1:$1048576,L$2,FALSE)</f>
        <v>#N/A</v>
      </c>
      <c r="M349" s="352" t="e">
        <f>+VLOOKUP($E349,Final_nrj!$1:$1048576,M$2,FALSE)</f>
        <v>#N/A</v>
      </c>
      <c r="N349" s="352" t="e">
        <f>+VLOOKUP($E349,Final_nrj!$1:$1048576,N$2,FALSE)</f>
        <v>#N/A</v>
      </c>
      <c r="O349" s="352" t="e">
        <f>+VLOOKUP($E349,Final_nrj!$1:$1048576,O$2,FALSE)</f>
        <v>#N/A</v>
      </c>
      <c r="P349" s="352" t="e">
        <f>+VLOOKUP($E349,Final_nrj!$1:$1048576,P$2,FALSE)</f>
        <v>#N/A</v>
      </c>
      <c r="Q349" s="352" t="e">
        <f>+VLOOKUP($E349,Final_nrj!$1:$1048576,Q$2,FALSE)</f>
        <v>#N/A</v>
      </c>
      <c r="R349" s="352" t="e">
        <f>+VLOOKUP($E349,Final_nrj!$1:$1048576,R$2,FALSE)</f>
        <v>#N/A</v>
      </c>
      <c r="S349" s="352" t="e">
        <f>+VLOOKUP($E349,Final_nrj!$1:$1048576,S$2,FALSE)</f>
        <v>#N/A</v>
      </c>
      <c r="T349" s="352" t="e">
        <f>+VLOOKUP($E349,Final_nrj!$1:$1048576,T$2,FALSE)</f>
        <v>#N/A</v>
      </c>
      <c r="U349" s="352" t="e">
        <f>+VLOOKUP($E349,Final_nrj!$1:$1048576,U$2,FALSE)</f>
        <v>#N/A</v>
      </c>
      <c r="V349" s="352" t="e">
        <f>+VLOOKUP($E349,Final_nrj!$1:$1048576,V$2,FALSE)</f>
        <v>#N/A</v>
      </c>
      <c r="W349" s="352" t="e">
        <f>+VLOOKUP($E349,Final_nrj!$1:$1048576,W$2,FALSE)</f>
        <v>#N/A</v>
      </c>
      <c r="X349" s="352" t="e">
        <f>+VLOOKUP($E349,Final_nrj!$1:$1048576,X$2,FALSE)</f>
        <v>#N/A</v>
      </c>
      <c r="Y349" s="352" t="e">
        <f>+VLOOKUP($E349,Final_nrj!$1:$1048576,Y$2,FALSE)</f>
        <v>#N/A</v>
      </c>
      <c r="Z349" s="352" t="e">
        <f>+VLOOKUP($E349,Final_nrj!$1:$1048576,Z$2,FALSE)</f>
        <v>#N/A</v>
      </c>
      <c r="AA349" s="352" t="e">
        <f>+VLOOKUP($E349,Final_nrj!$1:$1048576,AA$2,FALSE)</f>
        <v>#N/A</v>
      </c>
      <c r="AB349" s="352" t="e">
        <f>+VLOOKUP($E349,Final_nrj!$1:$1048576,AB$2,FALSE)</f>
        <v>#N/A</v>
      </c>
      <c r="AC349" s="352" t="e">
        <f>+VLOOKUP($E349,Final_nrj!$1:$1048576,AC$2,FALSE)</f>
        <v>#N/A</v>
      </c>
      <c r="AD349" s="352" t="e">
        <f>+VLOOKUP($E349,Final_nrj!$1:$1048576,AD$2,FALSE)</f>
        <v>#N/A</v>
      </c>
      <c r="AE349" s="352" t="e">
        <f>+VLOOKUP($E349,Final_nrj!$1:$1048576,AE$2,FALSE)</f>
        <v>#N/A</v>
      </c>
      <c r="AF349" s="352" t="e">
        <f>+VLOOKUP($E349,Final_nrj!$1:$1048576,AF$2,FALSE)</f>
        <v>#N/A</v>
      </c>
      <c r="AG349" s="352" t="e">
        <f>+VLOOKUP($E349,Final_nrj!$1:$1048576,AG$2,FALSE)</f>
        <v>#N/A</v>
      </c>
      <c r="AH349" s="352" t="e">
        <f>+VLOOKUP($E349,Final_nrj!$1:$1048576,AH$2,FALSE)</f>
        <v>#N/A</v>
      </c>
      <c r="AI349" s="352" t="e">
        <f>+VLOOKUP($E349,Final_nrj!$1:$1048576,AI$2,FALSE)</f>
        <v>#N/A</v>
      </c>
      <c r="AJ349" s="352" t="e">
        <f>+VLOOKUP($E349,Final_nrj!$1:$1048576,AJ$2,FALSE)</f>
        <v>#N/A</v>
      </c>
      <c r="AK349" s="352" t="e">
        <f>+VLOOKUP($E349,Final_nrj!$1:$1048576,AK$2,FALSE)</f>
        <v>#N/A</v>
      </c>
      <c r="AL349" s="352" t="e">
        <f>+VLOOKUP($E349,Final_nrj!$1:$1048576,AL$2,FALSE)</f>
        <v>#N/A</v>
      </c>
      <c r="AM349" s="352" t="e">
        <f>+VLOOKUP($E349,Final_nrj!$1:$1048576,AM$2,FALSE)</f>
        <v>#N/A</v>
      </c>
      <c r="AN349" s="352" t="e">
        <f>+VLOOKUP($E349,Final_nrj!$1:$1048576,AN$2,FALSE)</f>
        <v>#N/A</v>
      </c>
      <c r="AO349" s="352" t="e">
        <f>+VLOOKUP($E349,Final_nrj!$1:$1048576,AO$2,FALSE)</f>
        <v>#N/A</v>
      </c>
    </row>
    <row r="350" spans="1:41" s="108" customFormat="1" ht="15" customHeight="1" x14ac:dyDescent="0.25">
      <c r="A350" s="392"/>
      <c r="B350" s="395" t="s">
        <v>1082</v>
      </c>
      <c r="C350" s="148" t="s">
        <v>2148</v>
      </c>
      <c r="D350" s="148"/>
      <c r="E350" s="105" t="s">
        <v>2149</v>
      </c>
      <c r="F350" s="354">
        <f>+VLOOKUP($E350,Final_nrj!$1:$1048576,F$2,FALSE)</f>
        <v>64.301440170000006</v>
      </c>
      <c r="G350" s="354"/>
      <c r="H350" s="354"/>
      <c r="I350" s="354"/>
      <c r="J350" s="354"/>
      <c r="K350" s="354"/>
      <c r="L350" s="354"/>
      <c r="M350" s="354"/>
      <c r="N350" s="354"/>
      <c r="O350" s="354"/>
      <c r="P350" s="354"/>
      <c r="Q350" s="354"/>
      <c r="R350" s="354"/>
      <c r="S350" s="354"/>
      <c r="T350" s="354"/>
      <c r="U350" s="354"/>
      <c r="V350" s="354"/>
      <c r="W350" s="354"/>
      <c r="X350" s="354"/>
      <c r="Y350" s="354"/>
      <c r="Z350" s="354"/>
      <c r="AA350" s="354"/>
      <c r="AB350" s="354"/>
      <c r="AC350" s="354"/>
      <c r="AD350" s="354"/>
      <c r="AE350" s="354"/>
      <c r="AF350" s="354"/>
      <c r="AG350" s="354"/>
      <c r="AH350" s="354"/>
      <c r="AI350" s="354"/>
      <c r="AJ350" s="354"/>
      <c r="AK350" s="354"/>
      <c r="AL350" s="354"/>
      <c r="AM350" s="354"/>
      <c r="AN350" s="354"/>
      <c r="AO350" s="354"/>
    </row>
    <row r="351" spans="1:41" s="108" customFormat="1" ht="15" customHeight="1" x14ac:dyDescent="0.25">
      <c r="A351" s="392"/>
      <c r="B351" s="395"/>
      <c r="C351" s="148" t="s">
        <v>1436</v>
      </c>
      <c r="D351" s="148"/>
      <c r="E351" s="105" t="s">
        <v>2157</v>
      </c>
      <c r="F351" s="354" t="e">
        <f>+VLOOKUP($E351,Final_nrj!$1:$1048576,F$2,FALSE)</f>
        <v>#N/A</v>
      </c>
      <c r="G351" s="354"/>
      <c r="H351" s="354"/>
      <c r="I351" s="354"/>
      <c r="J351" s="354"/>
      <c r="K351" s="354"/>
      <c r="L351" s="354"/>
      <c r="M351" s="354"/>
      <c r="N351" s="354"/>
      <c r="O351" s="354"/>
      <c r="P351" s="354"/>
      <c r="Q351" s="354"/>
      <c r="R351" s="354"/>
      <c r="S351" s="354"/>
      <c r="T351" s="354"/>
      <c r="U351" s="354"/>
      <c r="V351" s="354"/>
      <c r="W351" s="354"/>
      <c r="X351" s="354"/>
      <c r="Y351" s="354"/>
      <c r="Z351" s="354"/>
      <c r="AA351" s="354"/>
      <c r="AB351" s="354"/>
      <c r="AC351" s="354"/>
      <c r="AD351" s="354"/>
      <c r="AE351" s="354"/>
      <c r="AF351" s="354"/>
      <c r="AG351" s="354"/>
      <c r="AH351" s="354"/>
      <c r="AI351" s="354"/>
      <c r="AJ351" s="354"/>
      <c r="AK351" s="354"/>
      <c r="AL351" s="354"/>
      <c r="AM351" s="354"/>
      <c r="AN351" s="354"/>
      <c r="AO351" s="354"/>
    </row>
    <row r="352" spans="1:41" ht="15" customHeight="1" x14ac:dyDescent="0.25">
      <c r="A352" s="392"/>
      <c r="B352" s="395"/>
      <c r="C352" s="148"/>
      <c r="D352" s="146" t="s">
        <v>1064</v>
      </c>
      <c r="E352" s="80" t="s">
        <v>2151</v>
      </c>
      <c r="F352" s="355" t="e">
        <f>+VLOOKUP($E352,Final_nrj!$1:$1048576,F$2,FALSE)</f>
        <v>#N/A</v>
      </c>
      <c r="G352" s="356"/>
      <c r="H352" s="356"/>
      <c r="I352" s="356"/>
      <c r="J352" s="356"/>
      <c r="K352" s="356"/>
      <c r="L352" s="356"/>
      <c r="M352" s="356"/>
      <c r="N352" s="356"/>
      <c r="O352" s="356"/>
      <c r="P352" s="356"/>
      <c r="Q352" s="356"/>
      <c r="R352" s="356"/>
      <c r="S352" s="356"/>
      <c r="T352" s="356"/>
      <c r="U352" s="356"/>
      <c r="V352" s="356"/>
      <c r="W352" s="356"/>
      <c r="X352" s="356"/>
      <c r="Y352" s="356"/>
      <c r="Z352" s="356"/>
      <c r="AA352" s="356"/>
      <c r="AB352" s="356"/>
      <c r="AC352" s="356"/>
      <c r="AD352" s="356"/>
      <c r="AE352" s="356"/>
      <c r="AF352" s="356"/>
      <c r="AG352" s="356"/>
      <c r="AH352" s="356"/>
      <c r="AI352" s="356"/>
      <c r="AJ352" s="356"/>
      <c r="AK352" s="356"/>
      <c r="AL352" s="356"/>
      <c r="AM352" s="356"/>
      <c r="AN352" s="356"/>
      <c r="AO352" s="356"/>
    </row>
    <row r="353" spans="1:41" ht="15" customHeight="1" x14ac:dyDescent="0.25">
      <c r="A353" s="392"/>
      <c r="B353" s="395"/>
      <c r="C353" s="146"/>
      <c r="D353" s="146" t="s">
        <v>1065</v>
      </c>
      <c r="E353" s="80" t="s">
        <v>2152</v>
      </c>
      <c r="F353" s="355" t="e">
        <f>+VLOOKUP($E353,Final_nrj!$1:$1048576,F$2,FALSE)</f>
        <v>#N/A</v>
      </c>
      <c r="G353" s="356"/>
      <c r="H353" s="356"/>
      <c r="I353" s="356"/>
      <c r="J353" s="356"/>
      <c r="K353" s="356"/>
      <c r="L353" s="356"/>
      <c r="M353" s="356"/>
      <c r="N353" s="356"/>
      <c r="O353" s="356"/>
      <c r="P353" s="356"/>
      <c r="Q353" s="356"/>
      <c r="R353" s="356"/>
      <c r="S353" s="356"/>
      <c r="T353" s="356"/>
      <c r="U353" s="356"/>
      <c r="V353" s="356"/>
      <c r="W353" s="356"/>
      <c r="X353" s="356"/>
      <c r="Y353" s="356"/>
      <c r="Z353" s="356"/>
      <c r="AA353" s="356"/>
      <c r="AB353" s="356"/>
      <c r="AC353" s="356"/>
      <c r="AD353" s="356"/>
      <c r="AE353" s="356"/>
      <c r="AF353" s="356"/>
      <c r="AG353" s="356"/>
      <c r="AH353" s="356"/>
      <c r="AI353" s="356"/>
      <c r="AJ353" s="356"/>
      <c r="AK353" s="356"/>
      <c r="AL353" s="356"/>
      <c r="AM353" s="356"/>
      <c r="AN353" s="356"/>
      <c r="AO353" s="356"/>
    </row>
    <row r="354" spans="1:41" ht="15" customHeight="1" x14ac:dyDescent="0.25">
      <c r="A354" s="392"/>
      <c r="B354" s="395"/>
      <c r="C354" s="146"/>
      <c r="D354" s="146" t="s">
        <v>1066</v>
      </c>
      <c r="E354" s="80" t="s">
        <v>2153</v>
      </c>
      <c r="F354" s="355" t="e">
        <f>+VLOOKUP($E354,Final_nrj!$1:$1048576,F$2,FALSE)</f>
        <v>#N/A</v>
      </c>
      <c r="G354" s="356"/>
      <c r="H354" s="356"/>
      <c r="I354" s="356"/>
      <c r="J354" s="356"/>
      <c r="K354" s="356"/>
      <c r="L354" s="356"/>
      <c r="M354" s="356"/>
      <c r="N354" s="356"/>
      <c r="O354" s="356"/>
      <c r="P354" s="356"/>
      <c r="Q354" s="356"/>
      <c r="R354" s="356"/>
      <c r="S354" s="356"/>
      <c r="T354" s="356"/>
      <c r="U354" s="356"/>
      <c r="V354" s="356"/>
      <c r="W354" s="356"/>
      <c r="X354" s="356"/>
      <c r="Y354" s="356"/>
      <c r="Z354" s="356"/>
      <c r="AA354" s="356"/>
      <c r="AB354" s="356"/>
      <c r="AC354" s="356"/>
      <c r="AD354" s="356"/>
      <c r="AE354" s="356"/>
      <c r="AF354" s="356"/>
      <c r="AG354" s="356"/>
      <c r="AH354" s="356"/>
      <c r="AI354" s="356"/>
      <c r="AJ354" s="356"/>
      <c r="AK354" s="356"/>
      <c r="AL354" s="356"/>
      <c r="AM354" s="356"/>
      <c r="AN354" s="356"/>
      <c r="AO354" s="356"/>
    </row>
    <row r="355" spans="1:41" ht="15" customHeight="1" x14ac:dyDescent="0.25">
      <c r="A355" s="392"/>
      <c r="B355" s="395"/>
      <c r="C355" s="146"/>
      <c r="D355" s="146" t="s">
        <v>1067</v>
      </c>
      <c r="E355" s="80" t="s">
        <v>2154</v>
      </c>
      <c r="F355" s="355" t="e">
        <f>+VLOOKUP($E355,Final_nrj!$1:$1048576,F$2,FALSE)</f>
        <v>#N/A</v>
      </c>
      <c r="G355" s="356"/>
      <c r="H355" s="356"/>
      <c r="I355" s="356"/>
      <c r="J355" s="356"/>
      <c r="K355" s="356"/>
      <c r="L355" s="356"/>
      <c r="M355" s="356"/>
      <c r="N355" s="356"/>
      <c r="O355" s="356"/>
      <c r="P355" s="356"/>
      <c r="Q355" s="356"/>
      <c r="R355" s="356"/>
      <c r="S355" s="356"/>
      <c r="T355" s="356"/>
      <c r="U355" s="356"/>
      <c r="V355" s="356"/>
      <c r="W355" s="356"/>
      <c r="X355" s="356"/>
      <c r="Y355" s="356"/>
      <c r="Z355" s="356"/>
      <c r="AA355" s="356"/>
      <c r="AB355" s="356"/>
      <c r="AC355" s="356"/>
      <c r="AD355" s="356"/>
      <c r="AE355" s="356"/>
      <c r="AF355" s="356"/>
      <c r="AG355" s="356"/>
      <c r="AH355" s="356"/>
      <c r="AI355" s="356"/>
      <c r="AJ355" s="356"/>
      <c r="AK355" s="356"/>
      <c r="AL355" s="356"/>
      <c r="AM355" s="356"/>
      <c r="AN355" s="356"/>
      <c r="AO355" s="356"/>
    </row>
    <row r="356" spans="1:41" s="73" customFormat="1" ht="15" customHeight="1" x14ac:dyDescent="0.25">
      <c r="A356" s="392"/>
      <c r="B356" s="395"/>
      <c r="C356" s="146"/>
      <c r="D356" s="146" t="s">
        <v>1068</v>
      </c>
      <c r="E356" s="80" t="s">
        <v>2155</v>
      </c>
      <c r="F356" s="355" t="e">
        <f>+VLOOKUP($E356,Final_nrj!$1:$1048576,F$2,FALSE)</f>
        <v>#N/A</v>
      </c>
      <c r="G356" s="356"/>
      <c r="H356" s="356"/>
      <c r="I356" s="356"/>
      <c r="J356" s="356"/>
      <c r="K356" s="356"/>
      <c r="L356" s="356"/>
      <c r="M356" s="356"/>
      <c r="N356" s="356"/>
      <c r="O356" s="356"/>
      <c r="P356" s="356"/>
      <c r="Q356" s="356"/>
      <c r="R356" s="356"/>
      <c r="S356" s="356"/>
      <c r="T356" s="356"/>
      <c r="U356" s="356"/>
      <c r="V356" s="356"/>
      <c r="W356" s="356"/>
      <c r="X356" s="356"/>
      <c r="Y356" s="356"/>
      <c r="Z356" s="356"/>
      <c r="AA356" s="356"/>
      <c r="AB356" s="356"/>
      <c r="AC356" s="356"/>
      <c r="AD356" s="356"/>
      <c r="AE356" s="356"/>
      <c r="AF356" s="356"/>
      <c r="AG356" s="356"/>
      <c r="AH356" s="356"/>
      <c r="AI356" s="356"/>
      <c r="AJ356" s="356"/>
      <c r="AK356" s="356"/>
      <c r="AL356" s="356"/>
      <c r="AM356" s="356"/>
      <c r="AN356" s="356"/>
      <c r="AO356" s="356"/>
    </row>
    <row r="357" spans="1:41" s="73" customFormat="1" ht="15" customHeight="1" x14ac:dyDescent="0.25">
      <c r="A357" s="392"/>
      <c r="B357" s="395"/>
      <c r="C357" s="146"/>
      <c r="D357" s="146" t="s">
        <v>1069</v>
      </c>
      <c r="E357" s="80" t="s">
        <v>2156</v>
      </c>
      <c r="F357" s="355" t="e">
        <f>+VLOOKUP($E357,Final_nrj!$1:$1048576,F$2,FALSE)</f>
        <v>#N/A</v>
      </c>
      <c r="G357" s="356"/>
      <c r="H357" s="356"/>
      <c r="I357" s="356"/>
      <c r="J357" s="356"/>
      <c r="K357" s="356"/>
      <c r="L357" s="356"/>
      <c r="M357" s="356"/>
      <c r="N357" s="356"/>
      <c r="O357" s="356"/>
      <c r="P357" s="356"/>
      <c r="Q357" s="356"/>
      <c r="R357" s="356"/>
      <c r="S357" s="356"/>
      <c r="T357" s="356"/>
      <c r="U357" s="356"/>
      <c r="V357" s="356"/>
      <c r="W357" s="356"/>
      <c r="X357" s="356"/>
      <c r="Y357" s="356"/>
      <c r="Z357" s="356"/>
      <c r="AA357" s="356"/>
      <c r="AB357" s="356"/>
      <c r="AC357" s="356"/>
      <c r="AD357" s="356"/>
      <c r="AE357" s="356"/>
      <c r="AF357" s="356"/>
      <c r="AG357" s="356"/>
      <c r="AH357" s="356"/>
      <c r="AI357" s="356"/>
      <c r="AJ357" s="356"/>
      <c r="AK357" s="356"/>
      <c r="AL357" s="356"/>
      <c r="AM357" s="356"/>
      <c r="AN357" s="356"/>
      <c r="AO357" s="356"/>
    </row>
    <row r="358" spans="1:41" s="108" customFormat="1" ht="15" customHeight="1" x14ac:dyDescent="0.25">
      <c r="A358" s="392"/>
      <c r="B358" s="395"/>
      <c r="C358" s="148" t="s">
        <v>2150</v>
      </c>
      <c r="D358" s="148"/>
      <c r="E358" s="90" t="s">
        <v>2158</v>
      </c>
      <c r="F358" s="354" t="e">
        <f>+VLOOKUP($E358,Final_nrj!$1:$1048576,F$2,FALSE)</f>
        <v>#N/A</v>
      </c>
      <c r="G358" s="354"/>
      <c r="H358" s="354"/>
      <c r="I358" s="354"/>
      <c r="J358" s="354"/>
      <c r="K358" s="354"/>
      <c r="L358" s="354"/>
      <c r="M358" s="354"/>
      <c r="N358" s="354"/>
      <c r="O358" s="354"/>
      <c r="P358" s="354"/>
      <c r="Q358" s="354"/>
      <c r="R358" s="354"/>
      <c r="S358" s="354"/>
      <c r="T358" s="354"/>
      <c r="U358" s="354"/>
      <c r="V358" s="354"/>
      <c r="W358" s="354"/>
      <c r="X358" s="354"/>
      <c r="Y358" s="354"/>
      <c r="Z358" s="354"/>
      <c r="AA358" s="354"/>
      <c r="AB358" s="354"/>
      <c r="AC358" s="354"/>
      <c r="AD358" s="354"/>
      <c r="AE358" s="354"/>
      <c r="AF358" s="354"/>
      <c r="AG358" s="354"/>
      <c r="AH358" s="354"/>
      <c r="AI358" s="354"/>
      <c r="AJ358" s="354"/>
      <c r="AK358" s="354"/>
      <c r="AL358" s="354"/>
      <c r="AM358" s="354"/>
      <c r="AN358" s="354"/>
      <c r="AO358" s="354"/>
    </row>
    <row r="359" spans="1:41" ht="15" customHeight="1" x14ac:dyDescent="0.25">
      <c r="A359" s="392"/>
      <c r="B359" s="395"/>
      <c r="C359" s="146"/>
      <c r="D359" s="146" t="s">
        <v>1070</v>
      </c>
      <c r="E359" s="80" t="s">
        <v>2159</v>
      </c>
      <c r="F359" s="355" t="e">
        <f>+VLOOKUP($E359,Final_nrj!$1:$1048576,F$2,FALSE)</f>
        <v>#N/A</v>
      </c>
      <c r="G359" s="356"/>
      <c r="H359" s="356"/>
      <c r="I359" s="356"/>
      <c r="J359" s="356"/>
      <c r="K359" s="356"/>
      <c r="L359" s="356"/>
      <c r="M359" s="356"/>
      <c r="N359" s="356"/>
      <c r="O359" s="356"/>
      <c r="P359" s="356"/>
      <c r="Q359" s="356"/>
      <c r="R359" s="356"/>
      <c r="S359" s="356"/>
      <c r="T359" s="356"/>
      <c r="U359" s="356"/>
      <c r="V359" s="356"/>
      <c r="W359" s="356"/>
      <c r="X359" s="356"/>
      <c r="Y359" s="356"/>
      <c r="Z359" s="356"/>
      <c r="AA359" s="356"/>
      <c r="AB359" s="356"/>
      <c r="AC359" s="356"/>
      <c r="AD359" s="356"/>
      <c r="AE359" s="356"/>
      <c r="AF359" s="356"/>
      <c r="AG359" s="356"/>
      <c r="AH359" s="356"/>
      <c r="AI359" s="356"/>
      <c r="AJ359" s="356"/>
      <c r="AK359" s="356"/>
      <c r="AL359" s="356"/>
      <c r="AM359" s="356"/>
      <c r="AN359" s="356"/>
      <c r="AO359" s="356"/>
    </row>
    <row r="360" spans="1:41" ht="15" customHeight="1" x14ac:dyDescent="0.25">
      <c r="A360" s="392"/>
      <c r="B360" s="395"/>
      <c r="C360" s="146"/>
      <c r="D360" s="146" t="s">
        <v>1066</v>
      </c>
      <c r="E360" s="80" t="s">
        <v>2160</v>
      </c>
      <c r="F360" s="355" t="e">
        <f>+VLOOKUP($E360,Final_nrj!$1:$1048576,F$2,FALSE)</f>
        <v>#N/A</v>
      </c>
      <c r="G360" s="356"/>
      <c r="H360" s="356"/>
      <c r="I360" s="356"/>
      <c r="J360" s="356"/>
      <c r="K360" s="356"/>
      <c r="L360" s="356"/>
      <c r="M360" s="356"/>
      <c r="N360" s="356"/>
      <c r="O360" s="356"/>
      <c r="P360" s="356"/>
      <c r="Q360" s="356"/>
      <c r="R360" s="356"/>
      <c r="S360" s="356"/>
      <c r="T360" s="356"/>
      <c r="U360" s="356"/>
      <c r="V360" s="356"/>
      <c r="W360" s="356"/>
      <c r="X360" s="356"/>
      <c r="Y360" s="356"/>
      <c r="Z360" s="356"/>
      <c r="AA360" s="356"/>
      <c r="AB360" s="356"/>
      <c r="AC360" s="356"/>
      <c r="AD360" s="356"/>
      <c r="AE360" s="356"/>
      <c r="AF360" s="356"/>
      <c r="AG360" s="356"/>
      <c r="AH360" s="356"/>
      <c r="AI360" s="356"/>
      <c r="AJ360" s="356"/>
      <c r="AK360" s="356"/>
      <c r="AL360" s="356"/>
      <c r="AM360" s="356"/>
      <c r="AN360" s="356"/>
      <c r="AO360" s="356"/>
    </row>
    <row r="361" spans="1:41" ht="15" customHeight="1" x14ac:dyDescent="0.25">
      <c r="A361" s="392"/>
      <c r="B361" s="395"/>
      <c r="C361" s="146"/>
      <c r="D361" s="146" t="s">
        <v>1067</v>
      </c>
      <c r="E361" s="80" t="s">
        <v>2161</v>
      </c>
      <c r="F361" s="355" t="e">
        <f>+VLOOKUP($E361,Final_nrj!$1:$1048576,F$2,FALSE)</f>
        <v>#N/A</v>
      </c>
      <c r="G361" s="356"/>
      <c r="H361" s="356"/>
      <c r="I361" s="356"/>
      <c r="J361" s="356"/>
      <c r="K361" s="356"/>
      <c r="L361" s="356"/>
      <c r="M361" s="356"/>
      <c r="N361" s="356"/>
      <c r="O361" s="356"/>
      <c r="P361" s="356"/>
      <c r="Q361" s="356"/>
      <c r="R361" s="356"/>
      <c r="S361" s="356"/>
      <c r="T361" s="356"/>
      <c r="U361" s="356"/>
      <c r="V361" s="356"/>
      <c r="W361" s="356"/>
      <c r="X361" s="356"/>
      <c r="Y361" s="356"/>
      <c r="Z361" s="356"/>
      <c r="AA361" s="356"/>
      <c r="AB361" s="356"/>
      <c r="AC361" s="356"/>
      <c r="AD361" s="356"/>
      <c r="AE361" s="356"/>
      <c r="AF361" s="356"/>
      <c r="AG361" s="356"/>
      <c r="AH361" s="356"/>
      <c r="AI361" s="356"/>
      <c r="AJ361" s="356"/>
      <c r="AK361" s="356"/>
      <c r="AL361" s="356"/>
      <c r="AM361" s="356"/>
      <c r="AN361" s="356"/>
      <c r="AO361" s="356"/>
    </row>
    <row r="362" spans="1:41" s="108" customFormat="1" ht="15" customHeight="1" x14ac:dyDescent="0.25">
      <c r="A362" s="392"/>
      <c r="B362" s="395"/>
      <c r="C362" s="148" t="s">
        <v>2162</v>
      </c>
      <c r="D362" s="148"/>
      <c r="E362" s="90" t="s">
        <v>1072</v>
      </c>
      <c r="F362" s="354">
        <f>+VLOOKUP($E362,Final_nrj!$1:$1048576,F$2,FALSE)</f>
        <v>26.341533309999999</v>
      </c>
      <c r="G362" s="354"/>
      <c r="H362" s="354"/>
      <c r="I362" s="354"/>
      <c r="J362" s="354"/>
      <c r="K362" s="354"/>
      <c r="L362" s="354"/>
      <c r="M362" s="354"/>
      <c r="N362" s="354"/>
      <c r="O362" s="354"/>
      <c r="P362" s="354"/>
      <c r="Q362" s="354"/>
      <c r="R362" s="354"/>
      <c r="S362" s="354"/>
      <c r="T362" s="354"/>
      <c r="U362" s="354"/>
      <c r="V362" s="354"/>
      <c r="W362" s="354"/>
      <c r="X362" s="354"/>
      <c r="Y362" s="354"/>
      <c r="Z362" s="354"/>
      <c r="AA362" s="354"/>
      <c r="AB362" s="354"/>
      <c r="AC362" s="354"/>
      <c r="AD362" s="354"/>
      <c r="AE362" s="354"/>
      <c r="AF362" s="354"/>
      <c r="AG362" s="354"/>
      <c r="AH362" s="354"/>
      <c r="AI362" s="354"/>
      <c r="AJ362" s="354"/>
      <c r="AK362" s="354"/>
      <c r="AL362" s="354"/>
      <c r="AM362" s="354"/>
      <c r="AN362" s="354"/>
      <c r="AO362" s="354"/>
    </row>
    <row r="363" spans="1:41" ht="15" customHeight="1" x14ac:dyDescent="0.25">
      <c r="A363" s="392"/>
      <c r="B363" s="395"/>
      <c r="C363" s="146"/>
      <c r="D363" s="146" t="s">
        <v>1064</v>
      </c>
      <c r="E363" s="80" t="s">
        <v>2100</v>
      </c>
      <c r="F363" s="355">
        <f>+VLOOKUP($E363,Final_nrj!$1:$1048576,F$2,FALSE)</f>
        <v>3.0823350200000002E-3</v>
      </c>
      <c r="G363" s="356"/>
      <c r="H363" s="356"/>
      <c r="I363" s="356"/>
      <c r="J363" s="356"/>
      <c r="K363" s="356"/>
      <c r="L363" s="356"/>
      <c r="M363" s="356"/>
      <c r="N363" s="356"/>
      <c r="O363" s="356"/>
      <c r="P363" s="356"/>
      <c r="Q363" s="356"/>
      <c r="R363" s="356"/>
      <c r="S363" s="356"/>
      <c r="T363" s="356"/>
      <c r="U363" s="356"/>
      <c r="V363" s="356"/>
      <c r="W363" s="356"/>
      <c r="X363" s="356"/>
      <c r="Y363" s="356"/>
      <c r="Z363" s="356"/>
      <c r="AA363" s="356"/>
      <c r="AB363" s="356"/>
      <c r="AC363" s="356"/>
      <c r="AD363" s="356"/>
      <c r="AE363" s="356"/>
      <c r="AF363" s="356"/>
      <c r="AG363" s="356"/>
      <c r="AH363" s="356"/>
      <c r="AI363" s="356"/>
      <c r="AJ363" s="356"/>
      <c r="AK363" s="356"/>
      <c r="AL363" s="356"/>
      <c r="AM363" s="356"/>
      <c r="AN363" s="356"/>
      <c r="AO363" s="356"/>
    </row>
    <row r="364" spans="1:41" ht="15" customHeight="1" x14ac:dyDescent="0.25">
      <c r="A364" s="392"/>
      <c r="B364" s="395"/>
      <c r="C364" s="146"/>
      <c r="D364" s="146" t="s">
        <v>1070</v>
      </c>
      <c r="E364" s="80" t="s">
        <v>2101</v>
      </c>
      <c r="F364" s="355">
        <f>+VLOOKUP($E364,Final_nrj!$1:$1048576,F$2,FALSE)</f>
        <v>18.352541380000002</v>
      </c>
      <c r="G364" s="356"/>
      <c r="H364" s="356"/>
      <c r="I364" s="356"/>
      <c r="J364" s="356"/>
      <c r="K364" s="356"/>
      <c r="L364" s="356"/>
      <c r="M364" s="356"/>
      <c r="N364" s="356"/>
      <c r="O364" s="356"/>
      <c r="P364" s="356"/>
      <c r="Q364" s="356"/>
      <c r="R364" s="356"/>
      <c r="S364" s="356"/>
      <c r="T364" s="356"/>
      <c r="U364" s="356"/>
      <c r="V364" s="356"/>
      <c r="W364" s="356"/>
      <c r="X364" s="356"/>
      <c r="Y364" s="356"/>
      <c r="Z364" s="356"/>
      <c r="AA364" s="356"/>
      <c r="AB364" s="356"/>
      <c r="AC364" s="356"/>
      <c r="AD364" s="356"/>
      <c r="AE364" s="356"/>
      <c r="AF364" s="356"/>
      <c r="AG364" s="356"/>
      <c r="AH364" s="356"/>
      <c r="AI364" s="356"/>
      <c r="AJ364" s="356"/>
      <c r="AK364" s="356"/>
      <c r="AL364" s="356"/>
      <c r="AM364" s="356"/>
      <c r="AN364" s="356"/>
      <c r="AO364" s="356"/>
    </row>
    <row r="365" spans="1:41" ht="15" customHeight="1" x14ac:dyDescent="0.25">
      <c r="A365" s="392"/>
      <c r="B365" s="395"/>
      <c r="C365" s="146"/>
      <c r="D365" s="146" t="s">
        <v>1065</v>
      </c>
      <c r="E365" s="80" t="s">
        <v>2102</v>
      </c>
      <c r="F365" s="355">
        <f>+VLOOKUP($E365,Final_nrj!$1:$1048576,F$2,FALSE)</f>
        <v>5.3420570679999999</v>
      </c>
      <c r="G365" s="356"/>
      <c r="H365" s="356"/>
      <c r="I365" s="356"/>
      <c r="J365" s="356"/>
      <c r="K365" s="356"/>
      <c r="L365" s="356"/>
      <c r="M365" s="356"/>
      <c r="N365" s="356"/>
      <c r="O365" s="356"/>
      <c r="P365" s="356"/>
      <c r="Q365" s="356"/>
      <c r="R365" s="356"/>
      <c r="S365" s="356"/>
      <c r="T365" s="356"/>
      <c r="U365" s="356"/>
      <c r="V365" s="356"/>
      <c r="W365" s="356"/>
      <c r="X365" s="356"/>
      <c r="Y365" s="356"/>
      <c r="Z365" s="356"/>
      <c r="AA365" s="356"/>
      <c r="AB365" s="356"/>
      <c r="AC365" s="356"/>
      <c r="AD365" s="356"/>
      <c r="AE365" s="356"/>
      <c r="AF365" s="356"/>
      <c r="AG365" s="356"/>
      <c r="AH365" s="356"/>
      <c r="AI365" s="356"/>
      <c r="AJ365" s="356"/>
      <c r="AK365" s="356"/>
      <c r="AL365" s="356"/>
      <c r="AM365" s="356"/>
      <c r="AN365" s="356"/>
      <c r="AO365" s="356"/>
    </row>
    <row r="366" spans="1:41" ht="15" customHeight="1" x14ac:dyDescent="0.25">
      <c r="A366" s="392"/>
      <c r="B366" s="395"/>
      <c r="C366" s="146"/>
      <c r="D366" s="146" t="s">
        <v>1066</v>
      </c>
      <c r="E366" s="80" t="s">
        <v>2103</v>
      </c>
      <c r="F366" s="355">
        <f>+VLOOKUP($E366,Final_nrj!$1:$1048576,F$2,FALSE)</f>
        <v>0.24960722420000001</v>
      </c>
      <c r="G366" s="356"/>
      <c r="H366" s="356"/>
      <c r="I366" s="356"/>
      <c r="J366" s="356"/>
      <c r="K366" s="356"/>
      <c r="L366" s="356"/>
      <c r="M366" s="356"/>
      <c r="N366" s="356"/>
      <c r="O366" s="356"/>
      <c r="P366" s="356"/>
      <c r="Q366" s="356"/>
      <c r="R366" s="356"/>
      <c r="S366" s="356"/>
      <c r="T366" s="356"/>
      <c r="U366" s="356"/>
      <c r="V366" s="356"/>
      <c r="W366" s="356"/>
      <c r="X366" s="356"/>
      <c r="Y366" s="356"/>
      <c r="Z366" s="356"/>
      <c r="AA366" s="356"/>
      <c r="AB366" s="356"/>
      <c r="AC366" s="356"/>
      <c r="AD366" s="356"/>
      <c r="AE366" s="356"/>
      <c r="AF366" s="356"/>
      <c r="AG366" s="356"/>
      <c r="AH366" s="356"/>
      <c r="AI366" s="356"/>
      <c r="AJ366" s="356"/>
      <c r="AK366" s="356"/>
      <c r="AL366" s="356"/>
      <c r="AM366" s="356"/>
      <c r="AN366" s="356"/>
      <c r="AO366" s="356"/>
    </row>
    <row r="367" spans="1:41" s="73" customFormat="1" ht="15" customHeight="1" x14ac:dyDescent="0.25">
      <c r="A367" s="392"/>
      <c r="B367" s="395"/>
      <c r="C367" s="146"/>
      <c r="D367" s="146" t="s">
        <v>1067</v>
      </c>
      <c r="E367" s="80" t="s">
        <v>2104</v>
      </c>
      <c r="F367" s="355">
        <f>+VLOOKUP($E367,Final_nrj!$1:$1048576,F$2,FALSE)</f>
        <v>2.025571738</v>
      </c>
      <c r="G367" s="356"/>
      <c r="H367" s="356"/>
      <c r="I367" s="356"/>
      <c r="J367" s="356"/>
      <c r="K367" s="356"/>
      <c r="L367" s="356"/>
      <c r="M367" s="356"/>
      <c r="N367" s="356"/>
      <c r="O367" s="356"/>
      <c r="P367" s="356"/>
      <c r="Q367" s="356"/>
      <c r="R367" s="356"/>
      <c r="S367" s="356"/>
      <c r="T367" s="356"/>
      <c r="U367" s="356"/>
      <c r="V367" s="356"/>
      <c r="W367" s="356"/>
      <c r="X367" s="356"/>
      <c r="Y367" s="356"/>
      <c r="Z367" s="356"/>
      <c r="AA367" s="356"/>
      <c r="AB367" s="356"/>
      <c r="AC367" s="356"/>
      <c r="AD367" s="356"/>
      <c r="AE367" s="356"/>
      <c r="AF367" s="356"/>
      <c r="AG367" s="356"/>
      <c r="AH367" s="356"/>
      <c r="AI367" s="356"/>
      <c r="AJ367" s="356"/>
      <c r="AK367" s="356"/>
      <c r="AL367" s="356"/>
      <c r="AM367" s="356"/>
      <c r="AN367" s="356"/>
      <c r="AO367" s="356"/>
    </row>
    <row r="368" spans="1:41" s="73" customFormat="1" ht="15" customHeight="1" x14ac:dyDescent="0.25">
      <c r="A368" s="392"/>
      <c r="B368" s="395"/>
      <c r="C368" s="146"/>
      <c r="D368" s="146" t="s">
        <v>1068</v>
      </c>
      <c r="E368" s="80" t="s">
        <v>2105</v>
      </c>
      <c r="F368" s="355">
        <f>+VLOOKUP($E368,Final_nrj!$1:$1048576,F$2,FALSE)</f>
        <v>2.1585652100000002E-2</v>
      </c>
      <c r="G368" s="356"/>
      <c r="H368" s="356"/>
      <c r="I368" s="356"/>
      <c r="J368" s="356"/>
      <c r="K368" s="356"/>
      <c r="L368" s="356"/>
      <c r="M368" s="356"/>
      <c r="N368" s="356"/>
      <c r="O368" s="356"/>
      <c r="P368" s="356"/>
      <c r="Q368" s="356"/>
      <c r="R368" s="356"/>
      <c r="S368" s="356"/>
      <c r="T368" s="356"/>
      <c r="U368" s="356"/>
      <c r="V368" s="356"/>
      <c r="W368" s="356"/>
      <c r="X368" s="356"/>
      <c r="Y368" s="356"/>
      <c r="Z368" s="356"/>
      <c r="AA368" s="356"/>
      <c r="AB368" s="356"/>
      <c r="AC368" s="356"/>
      <c r="AD368" s="356"/>
      <c r="AE368" s="356"/>
      <c r="AF368" s="356"/>
      <c r="AG368" s="356"/>
      <c r="AH368" s="356"/>
      <c r="AI368" s="356"/>
      <c r="AJ368" s="356"/>
      <c r="AK368" s="356"/>
      <c r="AL368" s="356"/>
      <c r="AM368" s="356"/>
      <c r="AN368" s="356"/>
      <c r="AO368" s="356"/>
    </row>
    <row r="369" spans="1:41" s="73" customFormat="1" ht="15" customHeight="1" x14ac:dyDescent="0.25">
      <c r="A369" s="392"/>
      <c r="B369" s="395"/>
      <c r="C369" s="146"/>
      <c r="D369" s="146" t="s">
        <v>1069</v>
      </c>
      <c r="E369" s="80" t="s">
        <v>2106</v>
      </c>
      <c r="F369" s="355">
        <f>+VLOOKUP($E369,Final_nrj!$1:$1048576,F$2,FALSE)</f>
        <v>1.4848009800000001E-2</v>
      </c>
      <c r="G369" s="356"/>
      <c r="H369" s="356"/>
      <c r="I369" s="356"/>
      <c r="J369" s="356"/>
      <c r="K369" s="356"/>
      <c r="L369" s="356"/>
      <c r="M369" s="356"/>
      <c r="N369" s="356"/>
      <c r="O369" s="356"/>
      <c r="P369" s="356"/>
      <c r="Q369" s="356"/>
      <c r="R369" s="356"/>
      <c r="S369" s="356"/>
      <c r="T369" s="356"/>
      <c r="U369" s="356"/>
      <c r="V369" s="356"/>
      <c r="W369" s="356"/>
      <c r="X369" s="356"/>
      <c r="Y369" s="356"/>
      <c r="Z369" s="356"/>
      <c r="AA369" s="356"/>
      <c r="AB369" s="356"/>
      <c r="AC369" s="356"/>
      <c r="AD369" s="356"/>
      <c r="AE369" s="356"/>
      <c r="AF369" s="356"/>
      <c r="AG369" s="356"/>
      <c r="AH369" s="356"/>
      <c r="AI369" s="356"/>
      <c r="AJ369" s="356"/>
      <c r="AK369" s="356"/>
      <c r="AL369" s="356"/>
      <c r="AM369" s="356"/>
      <c r="AN369" s="356"/>
      <c r="AO369" s="356"/>
    </row>
    <row r="370" spans="1:41" s="73" customFormat="1" ht="15" customHeight="1" x14ac:dyDescent="0.25">
      <c r="A370" s="392"/>
      <c r="B370" s="395"/>
      <c r="C370" s="146"/>
      <c r="D370" s="146" t="s">
        <v>1071</v>
      </c>
      <c r="E370" s="80" t="s">
        <v>2107</v>
      </c>
      <c r="F370" s="355">
        <f>+VLOOKUP($E370,Final_nrj!$1:$1048576,F$2,FALSE)</f>
        <v>0.32004745600000001</v>
      </c>
      <c r="G370" s="356"/>
      <c r="H370" s="356"/>
      <c r="I370" s="356"/>
      <c r="J370" s="356"/>
      <c r="K370" s="356"/>
      <c r="L370" s="356"/>
      <c r="M370" s="356"/>
      <c r="N370" s="356"/>
      <c r="O370" s="356"/>
      <c r="P370" s="356"/>
      <c r="Q370" s="356"/>
      <c r="R370" s="356"/>
      <c r="S370" s="356"/>
      <c r="T370" s="356"/>
      <c r="U370" s="356"/>
      <c r="V370" s="356"/>
      <c r="W370" s="356"/>
      <c r="X370" s="356"/>
      <c r="Y370" s="356"/>
      <c r="Z370" s="356"/>
      <c r="AA370" s="356"/>
      <c r="AB370" s="356"/>
      <c r="AC370" s="356"/>
      <c r="AD370" s="356"/>
      <c r="AE370" s="356"/>
      <c r="AF370" s="356"/>
      <c r="AG370" s="356"/>
      <c r="AH370" s="356"/>
      <c r="AI370" s="356"/>
      <c r="AJ370" s="356"/>
      <c r="AK370" s="356"/>
      <c r="AL370" s="356"/>
      <c r="AM370" s="356"/>
      <c r="AN370" s="356"/>
      <c r="AO370" s="356"/>
    </row>
    <row r="371" spans="1:41" s="108" customFormat="1" ht="15" customHeight="1" x14ac:dyDescent="0.25">
      <c r="A371" s="392"/>
      <c r="B371" s="395"/>
      <c r="C371" s="148" t="s">
        <v>1062</v>
      </c>
      <c r="D371" s="148"/>
      <c r="E371" s="90" t="s">
        <v>1073</v>
      </c>
      <c r="F371" s="354">
        <f>+VLOOKUP($E371,Final_nrj!$1:$1048576,F$2,FALSE)</f>
        <v>4.8910688090000001</v>
      </c>
      <c r="G371" s="354"/>
      <c r="H371" s="354"/>
      <c r="I371" s="354"/>
      <c r="J371" s="354"/>
      <c r="K371" s="354"/>
      <c r="L371" s="354"/>
      <c r="M371" s="354"/>
      <c r="N371" s="354"/>
      <c r="O371" s="354"/>
      <c r="P371" s="354"/>
      <c r="Q371" s="354"/>
      <c r="R371" s="354"/>
      <c r="S371" s="354"/>
      <c r="T371" s="354"/>
      <c r="U371" s="354"/>
      <c r="V371" s="354"/>
      <c r="W371" s="354"/>
      <c r="X371" s="354"/>
      <c r="Y371" s="354"/>
      <c r="Z371" s="354"/>
      <c r="AA371" s="354"/>
      <c r="AB371" s="354"/>
      <c r="AC371" s="354"/>
      <c r="AD371" s="354"/>
      <c r="AE371" s="354"/>
      <c r="AF371" s="354"/>
      <c r="AG371" s="354"/>
      <c r="AH371" s="354"/>
      <c r="AI371" s="354"/>
      <c r="AJ371" s="354"/>
      <c r="AK371" s="354"/>
      <c r="AL371" s="354"/>
      <c r="AM371" s="354"/>
      <c r="AN371" s="354"/>
      <c r="AO371" s="354"/>
    </row>
    <row r="372" spans="1:41" s="73" customFormat="1" ht="15" customHeight="1" x14ac:dyDescent="0.25">
      <c r="A372" s="392"/>
      <c r="B372" s="395"/>
      <c r="C372" s="146"/>
      <c r="D372" s="146" t="s">
        <v>1064</v>
      </c>
      <c r="E372" s="80" t="s">
        <v>2108</v>
      </c>
      <c r="F372" s="355" t="e">
        <f>+VLOOKUP($E372,Final_nrj!$1:$1048576,F$2,FALSE)</f>
        <v>#N/A</v>
      </c>
      <c r="G372" s="356"/>
      <c r="H372" s="356"/>
      <c r="I372" s="356"/>
      <c r="J372" s="356"/>
      <c r="K372" s="356"/>
      <c r="L372" s="356"/>
      <c r="M372" s="356"/>
      <c r="N372" s="356"/>
      <c r="O372" s="356"/>
      <c r="P372" s="356"/>
      <c r="Q372" s="356"/>
      <c r="R372" s="356"/>
      <c r="S372" s="356"/>
      <c r="T372" s="356"/>
      <c r="U372" s="356"/>
      <c r="V372" s="356"/>
      <c r="W372" s="356"/>
      <c r="X372" s="356"/>
      <c r="Y372" s="356"/>
      <c r="Z372" s="356"/>
      <c r="AA372" s="356"/>
      <c r="AB372" s="356"/>
      <c r="AC372" s="356"/>
      <c r="AD372" s="356"/>
      <c r="AE372" s="356"/>
      <c r="AF372" s="356"/>
      <c r="AG372" s="356"/>
      <c r="AH372" s="356"/>
      <c r="AI372" s="356"/>
      <c r="AJ372" s="356"/>
      <c r="AK372" s="356"/>
      <c r="AL372" s="356"/>
      <c r="AM372" s="356"/>
      <c r="AN372" s="356"/>
      <c r="AO372" s="356"/>
    </row>
    <row r="373" spans="1:41" s="73" customFormat="1" ht="15" customHeight="1" x14ac:dyDescent="0.25">
      <c r="A373" s="392"/>
      <c r="B373" s="395"/>
      <c r="C373" s="146"/>
      <c r="D373" s="146" t="s">
        <v>1070</v>
      </c>
      <c r="E373" s="80" t="s">
        <v>2109</v>
      </c>
      <c r="F373" s="355" t="e">
        <f>+VLOOKUP($E373,Final_nrj!$1:$1048576,F$2,FALSE)</f>
        <v>#N/A</v>
      </c>
      <c r="G373" s="356"/>
      <c r="H373" s="356"/>
      <c r="I373" s="356"/>
      <c r="J373" s="356"/>
      <c r="K373" s="356"/>
      <c r="L373" s="356"/>
      <c r="M373" s="356"/>
      <c r="N373" s="356"/>
      <c r="O373" s="356"/>
      <c r="P373" s="356"/>
      <c r="Q373" s="356"/>
      <c r="R373" s="356"/>
      <c r="S373" s="356"/>
      <c r="T373" s="356"/>
      <c r="U373" s="356"/>
      <c r="V373" s="356"/>
      <c r="W373" s="356"/>
      <c r="X373" s="356"/>
      <c r="Y373" s="356"/>
      <c r="Z373" s="356"/>
      <c r="AA373" s="356"/>
      <c r="AB373" s="356"/>
      <c r="AC373" s="356"/>
      <c r="AD373" s="356"/>
      <c r="AE373" s="356"/>
      <c r="AF373" s="356"/>
      <c r="AG373" s="356"/>
      <c r="AH373" s="356"/>
      <c r="AI373" s="356"/>
      <c r="AJ373" s="356"/>
      <c r="AK373" s="356"/>
      <c r="AL373" s="356"/>
      <c r="AM373" s="356"/>
      <c r="AN373" s="356"/>
      <c r="AO373" s="356"/>
    </row>
    <row r="374" spans="1:41" s="73" customFormat="1" ht="15" customHeight="1" x14ac:dyDescent="0.25">
      <c r="A374" s="392"/>
      <c r="B374" s="395"/>
      <c r="C374" s="146"/>
      <c r="D374" s="146" t="s">
        <v>1065</v>
      </c>
      <c r="E374" s="80" t="s">
        <v>2110</v>
      </c>
      <c r="F374" s="355" t="e">
        <f>+VLOOKUP($E374,Final_nrj!$1:$1048576,F$2,FALSE)</f>
        <v>#N/A</v>
      </c>
      <c r="G374" s="356"/>
      <c r="H374" s="356"/>
      <c r="I374" s="356"/>
      <c r="J374" s="356"/>
      <c r="K374" s="356"/>
      <c r="L374" s="356"/>
      <c r="M374" s="356"/>
      <c r="N374" s="356"/>
      <c r="O374" s="356"/>
      <c r="P374" s="356"/>
      <c r="Q374" s="356"/>
      <c r="R374" s="356"/>
      <c r="S374" s="356"/>
      <c r="T374" s="356"/>
      <c r="U374" s="356"/>
      <c r="V374" s="356"/>
      <c r="W374" s="356"/>
      <c r="X374" s="356"/>
      <c r="Y374" s="356"/>
      <c r="Z374" s="356"/>
      <c r="AA374" s="356"/>
      <c r="AB374" s="356"/>
      <c r="AC374" s="356"/>
      <c r="AD374" s="356"/>
      <c r="AE374" s="356"/>
      <c r="AF374" s="356"/>
      <c r="AG374" s="356"/>
      <c r="AH374" s="356"/>
      <c r="AI374" s="356"/>
      <c r="AJ374" s="356"/>
      <c r="AK374" s="356"/>
      <c r="AL374" s="356"/>
      <c r="AM374" s="356"/>
      <c r="AN374" s="356"/>
      <c r="AO374" s="356"/>
    </row>
    <row r="375" spans="1:41" s="73" customFormat="1" ht="15" customHeight="1" x14ac:dyDescent="0.25">
      <c r="A375" s="392"/>
      <c r="B375" s="395"/>
      <c r="C375" s="146"/>
      <c r="D375" s="146" t="s">
        <v>1066</v>
      </c>
      <c r="E375" s="80" t="s">
        <v>2111</v>
      </c>
      <c r="F375" s="355" t="e">
        <f>+VLOOKUP($E375,Final_nrj!$1:$1048576,F$2,FALSE)</f>
        <v>#N/A</v>
      </c>
      <c r="G375" s="356"/>
      <c r="H375" s="356"/>
      <c r="I375" s="356"/>
      <c r="J375" s="356"/>
      <c r="K375" s="356"/>
      <c r="L375" s="356"/>
      <c r="M375" s="356"/>
      <c r="N375" s="356"/>
      <c r="O375" s="356"/>
      <c r="P375" s="356"/>
      <c r="Q375" s="356"/>
      <c r="R375" s="356"/>
      <c r="S375" s="356"/>
      <c r="T375" s="356"/>
      <c r="U375" s="356"/>
      <c r="V375" s="356"/>
      <c r="W375" s="356"/>
      <c r="X375" s="356"/>
      <c r="Y375" s="356"/>
      <c r="Z375" s="356"/>
      <c r="AA375" s="356"/>
      <c r="AB375" s="356"/>
      <c r="AC375" s="356"/>
      <c r="AD375" s="356"/>
      <c r="AE375" s="356"/>
      <c r="AF375" s="356"/>
      <c r="AG375" s="356"/>
      <c r="AH375" s="356"/>
      <c r="AI375" s="356"/>
      <c r="AJ375" s="356"/>
      <c r="AK375" s="356"/>
      <c r="AL375" s="356"/>
      <c r="AM375" s="356"/>
      <c r="AN375" s="356"/>
      <c r="AO375" s="356"/>
    </row>
    <row r="376" spans="1:41" s="73" customFormat="1" ht="15" customHeight="1" x14ac:dyDescent="0.25">
      <c r="A376" s="392"/>
      <c r="B376" s="395"/>
      <c r="C376" s="146"/>
      <c r="D376" s="146" t="s">
        <v>1067</v>
      </c>
      <c r="E376" s="80" t="s">
        <v>2112</v>
      </c>
      <c r="F376" s="355" t="e">
        <f>+VLOOKUP($E376,Final_nrj!$1:$1048576,F$2,FALSE)</f>
        <v>#N/A</v>
      </c>
      <c r="G376" s="356"/>
      <c r="H376" s="356"/>
      <c r="I376" s="356"/>
      <c r="J376" s="356"/>
      <c r="K376" s="356"/>
      <c r="L376" s="356"/>
      <c r="M376" s="356"/>
      <c r="N376" s="356"/>
      <c r="O376" s="356"/>
      <c r="P376" s="356"/>
      <c r="Q376" s="356"/>
      <c r="R376" s="356"/>
      <c r="S376" s="356"/>
      <c r="T376" s="356"/>
      <c r="U376" s="356"/>
      <c r="V376" s="356"/>
      <c r="W376" s="356"/>
      <c r="X376" s="356"/>
      <c r="Y376" s="356"/>
      <c r="Z376" s="356"/>
      <c r="AA376" s="356"/>
      <c r="AB376" s="356"/>
      <c r="AC376" s="356"/>
      <c r="AD376" s="356"/>
      <c r="AE376" s="356"/>
      <c r="AF376" s="356"/>
      <c r="AG376" s="356"/>
      <c r="AH376" s="356"/>
      <c r="AI376" s="356"/>
      <c r="AJ376" s="356"/>
      <c r="AK376" s="356"/>
      <c r="AL376" s="356"/>
      <c r="AM376" s="356"/>
      <c r="AN376" s="356"/>
      <c r="AO376" s="356"/>
    </row>
    <row r="377" spans="1:41" s="73" customFormat="1" ht="15" customHeight="1" x14ac:dyDescent="0.25">
      <c r="A377" s="392"/>
      <c r="B377" s="395"/>
      <c r="C377" s="146"/>
      <c r="D377" s="146" t="s">
        <v>1068</v>
      </c>
      <c r="E377" s="80" t="s">
        <v>2113</v>
      </c>
      <c r="F377" s="355" t="e">
        <f>+VLOOKUP($E377,Final_nrj!$1:$1048576,F$2,FALSE)</f>
        <v>#N/A</v>
      </c>
      <c r="G377" s="356"/>
      <c r="H377" s="356"/>
      <c r="I377" s="356"/>
      <c r="J377" s="356"/>
      <c r="K377" s="356"/>
      <c r="L377" s="356"/>
      <c r="M377" s="356"/>
      <c r="N377" s="356"/>
      <c r="O377" s="356"/>
      <c r="P377" s="356"/>
      <c r="Q377" s="356"/>
      <c r="R377" s="356"/>
      <c r="S377" s="356"/>
      <c r="T377" s="356"/>
      <c r="U377" s="356"/>
      <c r="V377" s="356"/>
      <c r="W377" s="356"/>
      <c r="X377" s="356"/>
      <c r="Y377" s="356"/>
      <c r="Z377" s="356"/>
      <c r="AA377" s="356"/>
      <c r="AB377" s="356"/>
      <c r="AC377" s="356"/>
      <c r="AD377" s="356"/>
      <c r="AE377" s="356"/>
      <c r="AF377" s="356"/>
      <c r="AG377" s="356"/>
      <c r="AH377" s="356"/>
      <c r="AI377" s="356"/>
      <c r="AJ377" s="356"/>
      <c r="AK377" s="356"/>
      <c r="AL377" s="356"/>
      <c r="AM377" s="356"/>
      <c r="AN377" s="356"/>
      <c r="AO377" s="356"/>
    </row>
    <row r="378" spans="1:41" s="73" customFormat="1" ht="15" customHeight="1" x14ac:dyDescent="0.25">
      <c r="A378" s="392"/>
      <c r="B378" s="395"/>
      <c r="C378" s="146"/>
      <c r="D378" s="146" t="s">
        <v>1069</v>
      </c>
      <c r="E378" s="80" t="s">
        <v>2114</v>
      </c>
      <c r="F378" s="355" t="e">
        <f>+VLOOKUP($E378,Final_nrj!$1:$1048576,F$2,FALSE)</f>
        <v>#N/A</v>
      </c>
      <c r="G378" s="356"/>
      <c r="H378" s="356"/>
      <c r="I378" s="356"/>
      <c r="J378" s="356"/>
      <c r="K378" s="356"/>
      <c r="L378" s="356"/>
      <c r="M378" s="356"/>
      <c r="N378" s="356"/>
      <c r="O378" s="356"/>
      <c r="P378" s="356"/>
      <c r="Q378" s="356"/>
      <c r="R378" s="356"/>
      <c r="S378" s="356"/>
      <c r="T378" s="356"/>
      <c r="U378" s="356"/>
      <c r="V378" s="356"/>
      <c r="W378" s="356"/>
      <c r="X378" s="356"/>
      <c r="Y378" s="356"/>
      <c r="Z378" s="356"/>
      <c r="AA378" s="356"/>
      <c r="AB378" s="356"/>
      <c r="AC378" s="356"/>
      <c r="AD378" s="356"/>
      <c r="AE378" s="356"/>
      <c r="AF378" s="356"/>
      <c r="AG378" s="356"/>
      <c r="AH378" s="356"/>
      <c r="AI378" s="356"/>
      <c r="AJ378" s="356"/>
      <c r="AK378" s="356"/>
      <c r="AL378" s="356"/>
      <c r="AM378" s="356"/>
      <c r="AN378" s="356"/>
      <c r="AO378" s="356"/>
    </row>
    <row r="379" spans="1:41" s="73" customFormat="1" ht="15" customHeight="1" x14ac:dyDescent="0.25">
      <c r="A379" s="392"/>
      <c r="B379" s="395"/>
      <c r="C379" s="146"/>
      <c r="D379" s="146" t="s">
        <v>1071</v>
      </c>
      <c r="E379" s="80" t="s">
        <v>2115</v>
      </c>
      <c r="F379" s="355" t="e">
        <f>+VLOOKUP($E379,Final_nrj!$1:$1048576,F$2,FALSE)</f>
        <v>#N/A</v>
      </c>
      <c r="G379" s="356"/>
      <c r="H379" s="356"/>
      <c r="I379" s="356"/>
      <c r="J379" s="356"/>
      <c r="K379" s="356"/>
      <c r="L379" s="356"/>
      <c r="M379" s="356"/>
      <c r="N379" s="356"/>
      <c r="O379" s="356"/>
      <c r="P379" s="356"/>
      <c r="Q379" s="356"/>
      <c r="R379" s="356"/>
      <c r="S379" s="356"/>
      <c r="T379" s="356"/>
      <c r="U379" s="356"/>
      <c r="V379" s="356"/>
      <c r="W379" s="356"/>
      <c r="X379" s="356"/>
      <c r="Y379" s="356"/>
      <c r="Z379" s="356"/>
      <c r="AA379" s="356"/>
      <c r="AB379" s="356"/>
      <c r="AC379" s="356"/>
      <c r="AD379" s="356"/>
      <c r="AE379" s="356"/>
      <c r="AF379" s="356"/>
      <c r="AG379" s="356"/>
      <c r="AH379" s="356"/>
      <c r="AI379" s="356"/>
      <c r="AJ379" s="356"/>
      <c r="AK379" s="356"/>
      <c r="AL379" s="356"/>
      <c r="AM379" s="356"/>
      <c r="AN379" s="356"/>
      <c r="AO379" s="356"/>
    </row>
    <row r="380" spans="1:41" s="108" customFormat="1" ht="15" customHeight="1" x14ac:dyDescent="0.25">
      <c r="A380" s="392"/>
      <c r="B380" s="395"/>
      <c r="C380" s="148" t="s">
        <v>1063</v>
      </c>
      <c r="D380" s="148"/>
      <c r="E380" s="90" t="s">
        <v>1074</v>
      </c>
      <c r="F380" s="354">
        <f>+VLOOKUP($E380,Final_nrj!$1:$1048576,F$2,FALSE)</f>
        <v>44.175484509999997</v>
      </c>
      <c r="G380" s="354"/>
      <c r="H380" s="354"/>
      <c r="I380" s="354"/>
      <c r="J380" s="354"/>
      <c r="K380" s="354"/>
      <c r="L380" s="354"/>
      <c r="M380" s="354"/>
      <c r="N380" s="354"/>
      <c r="O380" s="354"/>
      <c r="P380" s="354"/>
      <c r="Q380" s="354"/>
      <c r="R380" s="354"/>
      <c r="S380" s="354"/>
      <c r="T380" s="354"/>
      <c r="U380" s="354"/>
      <c r="V380" s="354"/>
      <c r="W380" s="354"/>
      <c r="X380" s="354"/>
      <c r="Y380" s="354"/>
      <c r="Z380" s="354"/>
      <c r="AA380" s="354"/>
      <c r="AB380" s="354"/>
      <c r="AC380" s="354"/>
      <c r="AD380" s="354"/>
      <c r="AE380" s="354"/>
      <c r="AF380" s="354"/>
      <c r="AG380" s="354"/>
      <c r="AH380" s="354"/>
      <c r="AI380" s="354"/>
      <c r="AJ380" s="354"/>
      <c r="AK380" s="354"/>
      <c r="AL380" s="354"/>
      <c r="AM380" s="354"/>
      <c r="AN380" s="354"/>
      <c r="AO380" s="354"/>
    </row>
    <row r="381" spans="1:41" s="73" customFormat="1" ht="15" customHeight="1" x14ac:dyDescent="0.25">
      <c r="A381" s="392"/>
      <c r="B381" s="395"/>
      <c r="C381" s="146"/>
      <c r="D381" s="146" t="s">
        <v>1064</v>
      </c>
      <c r="E381" s="80" t="s">
        <v>2092</v>
      </c>
      <c r="F381" s="355">
        <f>+VLOOKUP($E381,Final_nrj!$1:$1048576,F$2,FALSE)</f>
        <v>5.334086922</v>
      </c>
      <c r="G381" s="356"/>
      <c r="H381" s="356"/>
      <c r="I381" s="356"/>
      <c r="J381" s="356"/>
      <c r="K381" s="356"/>
      <c r="L381" s="356"/>
      <c r="M381" s="356"/>
      <c r="N381" s="356"/>
      <c r="O381" s="356"/>
      <c r="P381" s="356"/>
      <c r="Q381" s="356"/>
      <c r="R381" s="356"/>
      <c r="S381" s="356"/>
      <c r="T381" s="356"/>
      <c r="U381" s="356"/>
      <c r="V381" s="356"/>
      <c r="W381" s="356"/>
      <c r="X381" s="356"/>
      <c r="Y381" s="356"/>
      <c r="Z381" s="356"/>
      <c r="AA381" s="356"/>
      <c r="AB381" s="356"/>
      <c r="AC381" s="356"/>
      <c r="AD381" s="356"/>
      <c r="AE381" s="356"/>
      <c r="AF381" s="356"/>
      <c r="AG381" s="356"/>
      <c r="AH381" s="356"/>
      <c r="AI381" s="356"/>
      <c r="AJ381" s="356"/>
      <c r="AK381" s="356"/>
      <c r="AL381" s="356"/>
      <c r="AM381" s="356"/>
      <c r="AN381" s="356"/>
      <c r="AO381" s="356"/>
    </row>
    <row r="382" spans="1:41" s="73" customFormat="1" ht="15" customHeight="1" x14ac:dyDescent="0.25">
      <c r="A382" s="392"/>
      <c r="B382" s="395"/>
      <c r="C382" s="146"/>
      <c r="D382" s="146" t="s">
        <v>1070</v>
      </c>
      <c r="E382" s="80" t="s">
        <v>2093</v>
      </c>
      <c r="F382" s="355">
        <f>+VLOOKUP($E382,Final_nrj!$1:$1048576,F$2,FALSE)</f>
        <v>3.010842319</v>
      </c>
      <c r="G382" s="356"/>
      <c r="H382" s="356"/>
      <c r="I382" s="356"/>
      <c r="J382" s="356"/>
      <c r="K382" s="356"/>
      <c r="L382" s="356"/>
      <c r="M382" s="356"/>
      <c r="N382" s="356"/>
      <c r="O382" s="356"/>
      <c r="P382" s="356"/>
      <c r="Q382" s="356"/>
      <c r="R382" s="356"/>
      <c r="S382" s="356"/>
      <c r="T382" s="356"/>
      <c r="U382" s="356"/>
      <c r="V382" s="356"/>
      <c r="W382" s="356"/>
      <c r="X382" s="356"/>
      <c r="Y382" s="356"/>
      <c r="Z382" s="356"/>
      <c r="AA382" s="356"/>
      <c r="AB382" s="356"/>
      <c r="AC382" s="356"/>
      <c r="AD382" s="356"/>
      <c r="AE382" s="356"/>
      <c r="AF382" s="356"/>
      <c r="AG382" s="356"/>
      <c r="AH382" s="356"/>
      <c r="AI382" s="356"/>
      <c r="AJ382" s="356"/>
      <c r="AK382" s="356"/>
      <c r="AL382" s="356"/>
      <c r="AM382" s="356"/>
      <c r="AN382" s="356"/>
      <c r="AO382" s="356"/>
    </row>
    <row r="383" spans="1:41" s="73" customFormat="1" ht="15" customHeight="1" x14ac:dyDescent="0.25">
      <c r="A383" s="392"/>
      <c r="B383" s="395"/>
      <c r="C383" s="146"/>
      <c r="D383" s="146" t="s">
        <v>1065</v>
      </c>
      <c r="E383" s="80" t="s">
        <v>2094</v>
      </c>
      <c r="F383" s="355">
        <f>+VLOOKUP($E383,Final_nrj!$1:$1048576,F$2,FALSE)</f>
        <v>0.96789552570000004</v>
      </c>
      <c r="G383" s="356"/>
      <c r="H383" s="356"/>
      <c r="I383" s="356"/>
      <c r="J383" s="356"/>
      <c r="K383" s="356"/>
      <c r="L383" s="356"/>
      <c r="M383" s="356"/>
      <c r="N383" s="356"/>
      <c r="O383" s="356"/>
      <c r="P383" s="356"/>
      <c r="Q383" s="356"/>
      <c r="R383" s="356"/>
      <c r="S383" s="356"/>
      <c r="T383" s="356"/>
      <c r="U383" s="356"/>
      <c r="V383" s="356"/>
      <c r="W383" s="356"/>
      <c r="X383" s="356"/>
      <c r="Y383" s="356"/>
      <c r="Z383" s="356"/>
      <c r="AA383" s="356"/>
      <c r="AB383" s="356"/>
      <c r="AC383" s="356"/>
      <c r="AD383" s="356"/>
      <c r="AE383" s="356"/>
      <c r="AF383" s="356"/>
      <c r="AG383" s="356"/>
      <c r="AH383" s="356"/>
      <c r="AI383" s="356"/>
      <c r="AJ383" s="356"/>
      <c r="AK383" s="356"/>
      <c r="AL383" s="356"/>
      <c r="AM383" s="356"/>
      <c r="AN383" s="356"/>
      <c r="AO383" s="356"/>
    </row>
    <row r="384" spans="1:41" s="73" customFormat="1" ht="15" customHeight="1" x14ac:dyDescent="0.25">
      <c r="A384" s="392"/>
      <c r="B384" s="395"/>
      <c r="C384" s="146"/>
      <c r="D384" s="146" t="s">
        <v>1066</v>
      </c>
      <c r="E384" s="80" t="s">
        <v>2095</v>
      </c>
      <c r="F384" s="355">
        <f>+VLOOKUP($E384,Final_nrj!$1:$1048576,F$2,FALSE)</f>
        <v>13.28085467</v>
      </c>
      <c r="G384" s="356"/>
      <c r="H384" s="356"/>
      <c r="I384" s="356"/>
      <c r="J384" s="356"/>
      <c r="K384" s="356"/>
      <c r="L384" s="356"/>
      <c r="M384" s="356"/>
      <c r="N384" s="356"/>
      <c r="O384" s="356"/>
      <c r="P384" s="356"/>
      <c r="Q384" s="356"/>
      <c r="R384" s="356"/>
      <c r="S384" s="356"/>
      <c r="T384" s="356"/>
      <c r="U384" s="356"/>
      <c r="V384" s="356"/>
      <c r="W384" s="356"/>
      <c r="X384" s="356"/>
      <c r="Y384" s="356"/>
      <c r="Z384" s="356"/>
      <c r="AA384" s="356"/>
      <c r="AB384" s="356"/>
      <c r="AC384" s="356"/>
      <c r="AD384" s="356"/>
      <c r="AE384" s="356"/>
      <c r="AF384" s="356"/>
      <c r="AG384" s="356"/>
      <c r="AH384" s="356"/>
      <c r="AI384" s="356"/>
      <c r="AJ384" s="356"/>
      <c r="AK384" s="356"/>
      <c r="AL384" s="356"/>
      <c r="AM384" s="356"/>
      <c r="AN384" s="356"/>
      <c r="AO384" s="356"/>
    </row>
    <row r="385" spans="1:82" s="73" customFormat="1" ht="15" customHeight="1" x14ac:dyDescent="0.25">
      <c r="A385" s="392"/>
      <c r="B385" s="395"/>
      <c r="C385" s="146"/>
      <c r="D385" s="146" t="s">
        <v>1067</v>
      </c>
      <c r="E385" s="80" t="s">
        <v>2096</v>
      </c>
      <c r="F385" s="355">
        <f>+VLOOKUP($E385,Final_nrj!$1:$1048576,F$2,FALSE)</f>
        <v>10.66675435</v>
      </c>
      <c r="G385" s="356"/>
      <c r="H385" s="356"/>
      <c r="I385" s="356"/>
      <c r="J385" s="356"/>
      <c r="K385" s="356"/>
      <c r="L385" s="356"/>
      <c r="M385" s="356"/>
      <c r="N385" s="356"/>
      <c r="O385" s="356"/>
      <c r="P385" s="356"/>
      <c r="Q385" s="356"/>
      <c r="R385" s="356"/>
      <c r="S385" s="356"/>
      <c r="T385" s="356"/>
      <c r="U385" s="356"/>
      <c r="V385" s="356"/>
      <c r="W385" s="356"/>
      <c r="X385" s="356"/>
      <c r="Y385" s="356"/>
      <c r="Z385" s="356"/>
      <c r="AA385" s="356"/>
      <c r="AB385" s="356"/>
      <c r="AC385" s="356"/>
      <c r="AD385" s="356"/>
      <c r="AE385" s="356"/>
      <c r="AF385" s="356"/>
      <c r="AG385" s="356"/>
      <c r="AH385" s="356"/>
      <c r="AI385" s="356"/>
      <c r="AJ385" s="356"/>
      <c r="AK385" s="356"/>
      <c r="AL385" s="356"/>
      <c r="AM385" s="356"/>
      <c r="AN385" s="356"/>
      <c r="AO385" s="356"/>
    </row>
    <row r="386" spans="1:82" s="73" customFormat="1" ht="15" customHeight="1" x14ac:dyDescent="0.25">
      <c r="A386" s="392"/>
      <c r="B386" s="395"/>
      <c r="C386" s="146"/>
      <c r="D386" s="146" t="s">
        <v>1068</v>
      </c>
      <c r="E386" s="80" t="s">
        <v>2097</v>
      </c>
      <c r="F386" s="355">
        <f>+VLOOKUP($E386,Final_nrj!$1:$1048576,F$2,FALSE)</f>
        <v>1.185692003</v>
      </c>
      <c r="G386" s="356"/>
      <c r="H386" s="356"/>
      <c r="I386" s="356"/>
      <c r="J386" s="356"/>
      <c r="K386" s="356"/>
      <c r="L386" s="356"/>
      <c r="M386" s="356"/>
      <c r="N386" s="356"/>
      <c r="O386" s="356"/>
      <c r="P386" s="356"/>
      <c r="Q386" s="356"/>
      <c r="R386" s="356"/>
      <c r="S386" s="356"/>
      <c r="T386" s="356"/>
      <c r="U386" s="356"/>
      <c r="V386" s="356"/>
      <c r="W386" s="356"/>
      <c r="X386" s="356"/>
      <c r="Y386" s="356"/>
      <c r="Z386" s="356"/>
      <c r="AA386" s="356"/>
      <c r="AB386" s="356"/>
      <c r="AC386" s="356"/>
      <c r="AD386" s="356"/>
      <c r="AE386" s="356"/>
      <c r="AF386" s="356"/>
      <c r="AG386" s="356"/>
      <c r="AH386" s="356"/>
      <c r="AI386" s="356"/>
      <c r="AJ386" s="356"/>
      <c r="AK386" s="356"/>
      <c r="AL386" s="356"/>
      <c r="AM386" s="356"/>
      <c r="AN386" s="356"/>
      <c r="AO386" s="356"/>
    </row>
    <row r="387" spans="1:82" s="73" customFormat="1" ht="15" customHeight="1" x14ac:dyDescent="0.25">
      <c r="A387" s="392"/>
      <c r="B387" s="395"/>
      <c r="C387" s="146"/>
      <c r="D387" s="146" t="s">
        <v>1069</v>
      </c>
      <c r="E387" s="80" t="s">
        <v>2098</v>
      </c>
      <c r="F387" s="355">
        <f>+VLOOKUP($E387,Final_nrj!$1:$1048576,F$2,FALSE)</f>
        <v>1.297393003</v>
      </c>
      <c r="G387" s="356"/>
      <c r="H387" s="356"/>
      <c r="I387" s="356"/>
      <c r="J387" s="356"/>
      <c r="K387" s="356"/>
      <c r="L387" s="356"/>
      <c r="M387" s="356"/>
      <c r="N387" s="356"/>
      <c r="O387" s="356"/>
      <c r="P387" s="356"/>
      <c r="Q387" s="356"/>
      <c r="R387" s="356"/>
      <c r="S387" s="356"/>
      <c r="T387" s="356"/>
      <c r="U387" s="356"/>
      <c r="V387" s="356"/>
      <c r="W387" s="356"/>
      <c r="X387" s="356"/>
      <c r="Y387" s="356"/>
      <c r="Z387" s="356"/>
      <c r="AA387" s="356"/>
      <c r="AB387" s="356"/>
      <c r="AC387" s="356"/>
      <c r="AD387" s="356"/>
      <c r="AE387" s="356"/>
      <c r="AF387" s="356"/>
      <c r="AG387" s="356"/>
      <c r="AH387" s="356"/>
      <c r="AI387" s="356"/>
      <c r="AJ387" s="356"/>
      <c r="AK387" s="356"/>
      <c r="AL387" s="356"/>
      <c r="AM387" s="356"/>
      <c r="AN387" s="356"/>
      <c r="AO387" s="356"/>
    </row>
    <row r="388" spans="1:82" s="73" customFormat="1" ht="15" customHeight="1" x14ac:dyDescent="0.25">
      <c r="A388" s="392"/>
      <c r="B388" s="395"/>
      <c r="C388" s="146"/>
      <c r="D388" s="146" t="s">
        <v>1071</v>
      </c>
      <c r="E388" s="80" t="s">
        <v>2099</v>
      </c>
      <c r="F388" s="355">
        <f>+VLOOKUP($E388,Final_nrj!$1:$1048576,F$2,FALSE)</f>
        <v>8.392555711</v>
      </c>
      <c r="G388" s="356"/>
      <c r="H388" s="356"/>
      <c r="I388" s="356"/>
      <c r="J388" s="356"/>
      <c r="K388" s="356"/>
      <c r="L388" s="356"/>
      <c r="M388" s="356"/>
      <c r="N388" s="356"/>
      <c r="O388" s="356"/>
      <c r="P388" s="356"/>
      <c r="Q388" s="356"/>
      <c r="R388" s="356"/>
      <c r="S388" s="356"/>
      <c r="T388" s="356"/>
      <c r="U388" s="356"/>
      <c r="V388" s="356"/>
      <c r="W388" s="356"/>
      <c r="X388" s="356"/>
      <c r="Y388" s="356"/>
      <c r="Z388" s="356"/>
      <c r="AA388" s="356"/>
      <c r="AB388" s="356"/>
      <c r="AC388" s="356"/>
      <c r="AD388" s="356"/>
      <c r="AE388" s="356"/>
      <c r="AF388" s="356"/>
      <c r="AG388" s="356"/>
      <c r="AH388" s="356"/>
      <c r="AI388" s="356"/>
      <c r="AJ388" s="356"/>
      <c r="AK388" s="356"/>
      <c r="AL388" s="356"/>
      <c r="AM388" s="356"/>
      <c r="AN388" s="356"/>
      <c r="AO388" s="356"/>
    </row>
    <row r="389" spans="1:82" s="108" customFormat="1" ht="15" customHeight="1" x14ac:dyDescent="0.25">
      <c r="A389" s="392"/>
      <c r="B389" s="395"/>
      <c r="C389" s="148" t="s">
        <v>756</v>
      </c>
      <c r="D389" s="148"/>
      <c r="E389" s="90" t="s">
        <v>1075</v>
      </c>
      <c r="F389" s="354">
        <f>+VLOOKUP($E389,Final_nrj!$1:$1048576,F$2,FALSE)</f>
        <v>22.47585677</v>
      </c>
      <c r="G389" s="354"/>
      <c r="H389" s="354"/>
      <c r="I389" s="354"/>
      <c r="J389" s="354"/>
      <c r="K389" s="354"/>
      <c r="L389" s="354"/>
      <c r="M389" s="354"/>
      <c r="N389" s="354"/>
      <c r="O389" s="354"/>
      <c r="P389" s="354"/>
      <c r="Q389" s="354"/>
      <c r="R389" s="354"/>
      <c r="S389" s="354"/>
      <c r="T389" s="354"/>
      <c r="U389" s="354"/>
      <c r="V389" s="354"/>
      <c r="W389" s="354"/>
      <c r="X389" s="354"/>
      <c r="Y389" s="354"/>
      <c r="Z389" s="354"/>
      <c r="AA389" s="354"/>
      <c r="AB389" s="354"/>
      <c r="AC389" s="354"/>
      <c r="AD389" s="354"/>
      <c r="AE389" s="354"/>
      <c r="AF389" s="354"/>
      <c r="AG389" s="354"/>
      <c r="AH389" s="354"/>
      <c r="AI389" s="354"/>
      <c r="AJ389" s="354"/>
      <c r="AK389" s="354"/>
      <c r="AL389" s="354"/>
      <c r="AM389" s="354"/>
      <c r="AN389" s="354"/>
      <c r="AO389" s="354"/>
    </row>
    <row r="390" spans="1:82" s="73" customFormat="1" ht="15" customHeight="1" x14ac:dyDescent="0.25">
      <c r="A390" s="392"/>
      <c r="B390" s="395"/>
      <c r="C390" s="146"/>
      <c r="D390" s="146" t="s">
        <v>1064</v>
      </c>
      <c r="E390" s="80" t="s">
        <v>2006</v>
      </c>
      <c r="F390" s="355" t="e">
        <f>+VLOOKUP($E390,Final_nrj!$1:$1048576,F$2,FALSE)</f>
        <v>#N/A</v>
      </c>
      <c r="G390" s="356"/>
      <c r="H390" s="356"/>
      <c r="I390" s="356"/>
      <c r="J390" s="356"/>
      <c r="K390" s="356"/>
      <c r="L390" s="356"/>
      <c r="M390" s="356"/>
      <c r="N390" s="356"/>
      <c r="O390" s="356"/>
      <c r="P390" s="356"/>
      <c r="Q390" s="356"/>
      <c r="R390" s="356"/>
      <c r="S390" s="356"/>
      <c r="T390" s="356"/>
      <c r="U390" s="356"/>
      <c r="V390" s="356"/>
      <c r="W390" s="356"/>
      <c r="X390" s="356"/>
      <c r="Y390" s="356"/>
      <c r="Z390" s="356"/>
      <c r="AA390" s="356"/>
      <c r="AB390" s="356"/>
      <c r="AC390" s="356"/>
      <c r="AD390" s="356"/>
      <c r="AE390" s="356"/>
      <c r="AF390" s="356"/>
      <c r="AG390" s="356"/>
      <c r="AH390" s="356"/>
      <c r="AI390" s="356"/>
      <c r="AJ390" s="356"/>
      <c r="AK390" s="356"/>
      <c r="AL390" s="356"/>
      <c r="AM390" s="356"/>
      <c r="AN390" s="356"/>
      <c r="AO390" s="356"/>
    </row>
    <row r="391" spans="1:82" s="73" customFormat="1" ht="15" customHeight="1" x14ac:dyDescent="0.25">
      <c r="A391" s="392"/>
      <c r="B391" s="395"/>
      <c r="C391" s="146"/>
      <c r="D391" s="146" t="s">
        <v>1070</v>
      </c>
      <c r="E391" s="80" t="s">
        <v>2007</v>
      </c>
      <c r="F391" s="355" t="e">
        <f>+VLOOKUP($E391,Final_nrj!$1:$1048576,F$2,FALSE)</f>
        <v>#N/A</v>
      </c>
      <c r="G391" s="356"/>
      <c r="H391" s="356"/>
      <c r="I391" s="356"/>
      <c r="J391" s="356"/>
      <c r="K391" s="356"/>
      <c r="L391" s="356"/>
      <c r="M391" s="356"/>
      <c r="N391" s="356"/>
      <c r="O391" s="356"/>
      <c r="P391" s="356"/>
      <c r="Q391" s="356"/>
      <c r="R391" s="356"/>
      <c r="S391" s="356"/>
      <c r="T391" s="356"/>
      <c r="U391" s="356"/>
      <c r="V391" s="356"/>
      <c r="W391" s="356"/>
      <c r="X391" s="356"/>
      <c r="Y391" s="356"/>
      <c r="Z391" s="356"/>
      <c r="AA391" s="356"/>
      <c r="AB391" s="356"/>
      <c r="AC391" s="356"/>
      <c r="AD391" s="356"/>
      <c r="AE391" s="356"/>
      <c r="AF391" s="356"/>
      <c r="AG391" s="356"/>
      <c r="AH391" s="356"/>
      <c r="AI391" s="356"/>
      <c r="AJ391" s="356"/>
      <c r="AK391" s="356"/>
      <c r="AL391" s="356"/>
      <c r="AM391" s="356"/>
      <c r="AN391" s="356"/>
      <c r="AO391" s="356"/>
    </row>
    <row r="392" spans="1:82" s="73" customFormat="1" ht="15" customHeight="1" x14ac:dyDescent="0.25">
      <c r="A392" s="392"/>
      <c r="B392" s="395"/>
      <c r="C392" s="146"/>
      <c r="D392" s="146" t="s">
        <v>1065</v>
      </c>
      <c r="E392" s="80" t="s">
        <v>2008</v>
      </c>
      <c r="F392" s="355" t="e">
        <f>+VLOOKUP($E392,Final_nrj!$1:$1048576,F$2,FALSE)</f>
        <v>#N/A</v>
      </c>
      <c r="G392" s="356"/>
      <c r="H392" s="356"/>
      <c r="I392" s="356"/>
      <c r="J392" s="356"/>
      <c r="K392" s="356"/>
      <c r="L392" s="356"/>
      <c r="M392" s="356"/>
      <c r="N392" s="356"/>
      <c r="O392" s="356"/>
      <c r="P392" s="356"/>
      <c r="Q392" s="356"/>
      <c r="R392" s="356"/>
      <c r="S392" s="356"/>
      <c r="T392" s="356"/>
      <c r="U392" s="356"/>
      <c r="V392" s="356"/>
      <c r="W392" s="356"/>
      <c r="X392" s="356"/>
      <c r="Y392" s="356"/>
      <c r="Z392" s="356"/>
      <c r="AA392" s="356"/>
      <c r="AB392" s="356"/>
      <c r="AC392" s="356"/>
      <c r="AD392" s="356"/>
      <c r="AE392" s="356"/>
      <c r="AF392" s="356"/>
      <c r="AG392" s="356"/>
      <c r="AH392" s="356"/>
      <c r="AI392" s="356"/>
      <c r="AJ392" s="356"/>
      <c r="AK392" s="356"/>
      <c r="AL392" s="356"/>
      <c r="AM392" s="356"/>
      <c r="AN392" s="356"/>
      <c r="AO392" s="356"/>
    </row>
    <row r="393" spans="1:82" s="73" customFormat="1" ht="15" customHeight="1" x14ac:dyDescent="0.25">
      <c r="A393" s="392"/>
      <c r="B393" s="395"/>
      <c r="C393" s="146"/>
      <c r="D393" s="146" t="s">
        <v>1066</v>
      </c>
      <c r="E393" s="80" t="s">
        <v>2009</v>
      </c>
      <c r="F393" s="355" t="e">
        <f>+VLOOKUP($E393,Final_nrj!$1:$1048576,F$2,FALSE)</f>
        <v>#N/A</v>
      </c>
      <c r="G393" s="356"/>
      <c r="H393" s="356"/>
      <c r="I393" s="356"/>
      <c r="J393" s="356"/>
      <c r="K393" s="356"/>
      <c r="L393" s="356"/>
      <c r="M393" s="356"/>
      <c r="N393" s="356"/>
      <c r="O393" s="356"/>
      <c r="P393" s="356"/>
      <c r="Q393" s="356"/>
      <c r="R393" s="356"/>
      <c r="S393" s="356"/>
      <c r="T393" s="356"/>
      <c r="U393" s="356"/>
      <c r="V393" s="356"/>
      <c r="W393" s="356"/>
      <c r="X393" s="356"/>
      <c r="Y393" s="356"/>
      <c r="Z393" s="356"/>
      <c r="AA393" s="356"/>
      <c r="AB393" s="356"/>
      <c r="AC393" s="356"/>
      <c r="AD393" s="356"/>
      <c r="AE393" s="356"/>
      <c r="AF393" s="356"/>
      <c r="AG393" s="356"/>
      <c r="AH393" s="356"/>
      <c r="AI393" s="356"/>
      <c r="AJ393" s="356"/>
      <c r="AK393" s="356"/>
      <c r="AL393" s="356"/>
      <c r="AM393" s="356"/>
      <c r="AN393" s="356"/>
      <c r="AO393" s="356"/>
    </row>
    <row r="394" spans="1:82" s="73" customFormat="1" ht="15" customHeight="1" x14ac:dyDescent="0.25">
      <c r="A394" s="392"/>
      <c r="B394" s="395"/>
      <c r="C394" s="146"/>
      <c r="D394" s="146" t="s">
        <v>1067</v>
      </c>
      <c r="E394" s="80" t="s">
        <v>2010</v>
      </c>
      <c r="F394" s="355" t="e">
        <f>+VLOOKUP($E394,Final_nrj!$1:$1048576,F$2,FALSE)</f>
        <v>#N/A</v>
      </c>
      <c r="G394" s="356"/>
      <c r="H394" s="356"/>
      <c r="I394" s="356"/>
      <c r="J394" s="356"/>
      <c r="K394" s="356"/>
      <c r="L394" s="356"/>
      <c r="M394" s="356"/>
      <c r="N394" s="356"/>
      <c r="O394" s="356"/>
      <c r="P394" s="356"/>
      <c r="Q394" s="356"/>
      <c r="R394" s="356"/>
      <c r="S394" s="356"/>
      <c r="T394" s="356"/>
      <c r="U394" s="356"/>
      <c r="V394" s="356"/>
      <c r="W394" s="356"/>
      <c r="X394" s="356"/>
      <c r="Y394" s="356"/>
      <c r="Z394" s="356"/>
      <c r="AA394" s="356"/>
      <c r="AB394" s="356"/>
      <c r="AC394" s="356"/>
      <c r="AD394" s="356"/>
      <c r="AE394" s="356"/>
      <c r="AF394" s="356"/>
      <c r="AG394" s="356"/>
      <c r="AH394" s="356"/>
      <c r="AI394" s="356"/>
      <c r="AJ394" s="356"/>
      <c r="AK394" s="356"/>
      <c r="AL394" s="356"/>
      <c r="AM394" s="356"/>
      <c r="AN394" s="356"/>
      <c r="AO394" s="356"/>
    </row>
    <row r="395" spans="1:82" s="73" customFormat="1" ht="15" customHeight="1" x14ac:dyDescent="0.25">
      <c r="A395" s="392"/>
      <c r="B395" s="395"/>
      <c r="C395" s="146"/>
      <c r="D395" s="146" t="s">
        <v>1068</v>
      </c>
      <c r="E395" s="80" t="s">
        <v>2011</v>
      </c>
      <c r="F395" s="355" t="e">
        <f>+VLOOKUP($E395,Final_nrj!$1:$1048576,F$2,FALSE)</f>
        <v>#N/A</v>
      </c>
      <c r="G395" s="356"/>
      <c r="H395" s="356"/>
      <c r="I395" s="356"/>
      <c r="J395" s="356"/>
      <c r="K395" s="356"/>
      <c r="L395" s="356"/>
      <c r="M395" s="356"/>
      <c r="N395" s="356"/>
      <c r="O395" s="356"/>
      <c r="P395" s="356"/>
      <c r="Q395" s="356"/>
      <c r="R395" s="356"/>
      <c r="S395" s="356"/>
      <c r="T395" s="356"/>
      <c r="U395" s="356"/>
      <c r="V395" s="356"/>
      <c r="W395" s="356"/>
      <c r="X395" s="356"/>
      <c r="Y395" s="356"/>
      <c r="Z395" s="356"/>
      <c r="AA395" s="356"/>
      <c r="AB395" s="356"/>
      <c r="AC395" s="356"/>
      <c r="AD395" s="356"/>
      <c r="AE395" s="356"/>
      <c r="AF395" s="356"/>
      <c r="AG395" s="356"/>
      <c r="AH395" s="356"/>
      <c r="AI395" s="356"/>
      <c r="AJ395" s="356"/>
      <c r="AK395" s="356"/>
      <c r="AL395" s="356"/>
      <c r="AM395" s="356"/>
      <c r="AN395" s="356"/>
      <c r="AO395" s="356"/>
    </row>
    <row r="396" spans="1:82" s="73" customFormat="1" ht="15" customHeight="1" x14ac:dyDescent="0.25">
      <c r="A396" s="392"/>
      <c r="B396" s="395"/>
      <c r="C396" s="146"/>
      <c r="D396" s="146" t="s">
        <v>1069</v>
      </c>
      <c r="E396" s="80" t="s">
        <v>2012</v>
      </c>
      <c r="F396" s="355" t="e">
        <f>+VLOOKUP($E396,Final_nrj!$1:$1048576,F$2,FALSE)</f>
        <v>#N/A</v>
      </c>
      <c r="G396" s="356"/>
      <c r="H396" s="356"/>
      <c r="I396" s="356"/>
      <c r="J396" s="356"/>
      <c r="K396" s="356"/>
      <c r="L396" s="356"/>
      <c r="M396" s="356"/>
      <c r="N396" s="356"/>
      <c r="O396" s="356"/>
      <c r="P396" s="356"/>
      <c r="Q396" s="356"/>
      <c r="R396" s="356"/>
      <c r="S396" s="356"/>
      <c r="T396" s="356"/>
      <c r="U396" s="356"/>
      <c r="V396" s="356"/>
      <c r="W396" s="356"/>
      <c r="X396" s="356"/>
      <c r="Y396" s="356"/>
      <c r="Z396" s="356"/>
      <c r="AA396" s="356"/>
      <c r="AB396" s="356"/>
      <c r="AC396" s="356"/>
      <c r="AD396" s="356"/>
      <c r="AE396" s="356"/>
      <c r="AF396" s="356"/>
      <c r="AG396" s="356"/>
      <c r="AH396" s="356"/>
      <c r="AI396" s="356"/>
      <c r="AJ396" s="356"/>
      <c r="AK396" s="356"/>
      <c r="AL396" s="356"/>
      <c r="AM396" s="356"/>
      <c r="AN396" s="356"/>
      <c r="AO396" s="356"/>
    </row>
    <row r="397" spans="1:82" s="73" customFormat="1" ht="15" customHeight="1" x14ac:dyDescent="0.25">
      <c r="A397" s="392"/>
      <c r="B397" s="395"/>
      <c r="C397" s="147"/>
      <c r="D397" s="147" t="s">
        <v>1071</v>
      </c>
      <c r="E397" s="95" t="s">
        <v>2013</v>
      </c>
      <c r="F397" s="357" t="e">
        <f>+VLOOKUP($E397,Final_nrj!$1:$1048576,F$2,FALSE)</f>
        <v>#N/A</v>
      </c>
      <c r="G397" s="358"/>
      <c r="H397" s="358"/>
      <c r="I397" s="358"/>
      <c r="J397" s="358"/>
      <c r="K397" s="358"/>
      <c r="L397" s="358"/>
      <c r="M397" s="358"/>
      <c r="N397" s="358"/>
      <c r="O397" s="358"/>
      <c r="P397" s="358"/>
      <c r="Q397" s="358"/>
      <c r="R397" s="358"/>
      <c r="S397" s="358"/>
      <c r="T397" s="358"/>
      <c r="U397" s="358"/>
      <c r="V397" s="358"/>
      <c r="W397" s="358"/>
      <c r="X397" s="358"/>
      <c r="Y397" s="358"/>
      <c r="Z397" s="358"/>
      <c r="AA397" s="358"/>
      <c r="AB397" s="358"/>
      <c r="AC397" s="358"/>
      <c r="AD397" s="358"/>
      <c r="AE397" s="358"/>
      <c r="AF397" s="358"/>
      <c r="AG397" s="358"/>
      <c r="AH397" s="358"/>
      <c r="AI397" s="358"/>
      <c r="AJ397" s="358"/>
      <c r="AK397" s="358"/>
      <c r="AL397" s="358"/>
      <c r="AM397" s="358"/>
      <c r="AN397" s="358"/>
      <c r="AO397" s="358"/>
      <c r="AP397" s="75"/>
      <c r="AQ397" s="75"/>
      <c r="AR397" s="75"/>
      <c r="AS397" s="75"/>
      <c r="AT397" s="75"/>
      <c r="AU397" s="75"/>
      <c r="AV397" s="75"/>
      <c r="AW397" s="75"/>
      <c r="AX397" s="75"/>
      <c r="AY397" s="75"/>
      <c r="AZ397" s="75"/>
      <c r="BA397" s="75"/>
      <c r="BB397" s="75"/>
      <c r="BC397" s="75"/>
      <c r="BD397" s="75"/>
      <c r="BE397" s="75"/>
      <c r="BF397" s="75"/>
      <c r="BG397" s="75"/>
      <c r="BH397" s="75"/>
      <c r="BI397" s="75"/>
      <c r="BJ397" s="75"/>
      <c r="BK397" s="75"/>
      <c r="BL397" s="75"/>
      <c r="BM397" s="75"/>
      <c r="BN397" s="75"/>
      <c r="BO397" s="75"/>
      <c r="BP397" s="75"/>
      <c r="BQ397" s="75"/>
      <c r="BR397" s="75"/>
      <c r="BS397" s="75"/>
      <c r="BT397" s="75"/>
      <c r="BU397" s="75"/>
      <c r="BV397" s="75"/>
      <c r="BW397" s="75"/>
      <c r="BX397" s="75"/>
      <c r="BY397" s="75"/>
      <c r="BZ397" s="75"/>
      <c r="CA397" s="75"/>
      <c r="CB397" s="75"/>
      <c r="CC397" s="75"/>
      <c r="CD397" s="75"/>
    </row>
    <row r="398" spans="1:82" s="108" customFormat="1" ht="15" customHeight="1" x14ac:dyDescent="0.25">
      <c r="A398" s="392"/>
      <c r="B398" s="395"/>
      <c r="C398" s="148" t="s">
        <v>2163</v>
      </c>
      <c r="D398" s="148"/>
      <c r="E398" s="105" t="s">
        <v>2164</v>
      </c>
      <c r="F398" s="354">
        <f>+VLOOKUP($E398,Final_nrj!$1:$1048576,F$2,FALSE)</f>
        <v>64.301440170000006</v>
      </c>
      <c r="G398" s="354"/>
      <c r="H398" s="354"/>
      <c r="I398" s="354"/>
      <c r="J398" s="354"/>
      <c r="K398" s="354"/>
      <c r="L398" s="354"/>
      <c r="M398" s="354"/>
      <c r="N398" s="354"/>
      <c r="O398" s="354"/>
      <c r="P398" s="354"/>
      <c r="Q398" s="354"/>
      <c r="R398" s="354"/>
      <c r="S398" s="354"/>
      <c r="T398" s="354"/>
      <c r="U398" s="354"/>
      <c r="V398" s="354"/>
      <c r="W398" s="354"/>
      <c r="X398" s="354"/>
      <c r="Y398" s="354"/>
      <c r="Z398" s="354"/>
      <c r="AA398" s="354"/>
      <c r="AB398" s="354"/>
      <c r="AC398" s="354"/>
      <c r="AD398" s="354"/>
      <c r="AE398" s="354"/>
      <c r="AF398" s="354"/>
      <c r="AG398" s="354"/>
      <c r="AH398" s="354"/>
      <c r="AI398" s="354"/>
      <c r="AJ398" s="354"/>
      <c r="AK398" s="354"/>
      <c r="AL398" s="354"/>
      <c r="AM398" s="354"/>
      <c r="AN398" s="354"/>
      <c r="AO398" s="354"/>
    </row>
    <row r="399" spans="1:82" s="73" customFormat="1" ht="15" customHeight="1" x14ac:dyDescent="0.25">
      <c r="A399" s="392"/>
      <c r="B399" s="395"/>
      <c r="C399" s="148" t="s">
        <v>1436</v>
      </c>
      <c r="D399" s="146"/>
      <c r="E399" s="105" t="s">
        <v>2165</v>
      </c>
      <c r="F399" s="355" t="e">
        <f>+VLOOKUP($E399,Final_nrj!$1:$1048576,F$2,FALSE)</f>
        <v>#N/A</v>
      </c>
      <c r="G399" s="356"/>
      <c r="H399" s="356"/>
      <c r="I399" s="356"/>
      <c r="J399" s="356"/>
      <c r="K399" s="356"/>
      <c r="L399" s="356"/>
      <c r="M399" s="356"/>
      <c r="N399" s="356"/>
      <c r="O399" s="356"/>
      <c r="P399" s="356"/>
      <c r="Q399" s="356"/>
      <c r="R399" s="356"/>
      <c r="S399" s="356"/>
      <c r="T399" s="356"/>
      <c r="U399" s="356"/>
      <c r="V399" s="356"/>
      <c r="W399" s="356"/>
      <c r="X399" s="356"/>
      <c r="Y399" s="356"/>
      <c r="Z399" s="356"/>
      <c r="AA399" s="356"/>
      <c r="AB399" s="356"/>
      <c r="AC399" s="356"/>
      <c r="AD399" s="356"/>
      <c r="AE399" s="356"/>
      <c r="AF399" s="356"/>
      <c r="AG399" s="356"/>
      <c r="AH399" s="356"/>
      <c r="AI399" s="356"/>
      <c r="AJ399" s="356"/>
      <c r="AK399" s="356"/>
      <c r="AL399" s="356"/>
      <c r="AM399" s="356"/>
      <c r="AN399" s="356"/>
      <c r="AO399" s="356"/>
    </row>
    <row r="400" spans="1:82" s="73" customFormat="1" ht="15" customHeight="1" x14ac:dyDescent="0.25">
      <c r="A400" s="392"/>
      <c r="B400" s="395"/>
      <c r="C400" s="148"/>
      <c r="D400" s="146" t="s">
        <v>1064</v>
      </c>
      <c r="E400" s="80" t="s">
        <v>2166</v>
      </c>
      <c r="F400" s="355" t="e">
        <f>+VLOOKUP($E400,Final_nrj!$1:$1048576,F$2,FALSE)</f>
        <v>#N/A</v>
      </c>
      <c r="G400" s="356"/>
      <c r="H400" s="356"/>
      <c r="I400" s="356"/>
      <c r="J400" s="356"/>
      <c r="K400" s="356"/>
      <c r="L400" s="356"/>
      <c r="M400" s="356"/>
      <c r="N400" s="356"/>
      <c r="O400" s="356"/>
      <c r="P400" s="356"/>
      <c r="Q400" s="356"/>
      <c r="R400" s="356"/>
      <c r="S400" s="356"/>
      <c r="T400" s="356"/>
      <c r="U400" s="356"/>
      <c r="V400" s="356"/>
      <c r="W400" s="356"/>
      <c r="X400" s="356"/>
      <c r="Y400" s="356"/>
      <c r="Z400" s="356"/>
      <c r="AA400" s="356"/>
      <c r="AB400" s="356"/>
      <c r="AC400" s="356"/>
      <c r="AD400" s="356"/>
      <c r="AE400" s="356"/>
      <c r="AF400" s="356"/>
      <c r="AG400" s="356"/>
      <c r="AH400" s="356"/>
      <c r="AI400" s="356"/>
      <c r="AJ400" s="356"/>
      <c r="AK400" s="356"/>
      <c r="AL400" s="356"/>
      <c r="AM400" s="356"/>
      <c r="AN400" s="356"/>
      <c r="AO400" s="356"/>
    </row>
    <row r="401" spans="1:41" s="73" customFormat="1" ht="15" customHeight="1" x14ac:dyDescent="0.25">
      <c r="A401" s="392"/>
      <c r="B401" s="395"/>
      <c r="C401" s="146"/>
      <c r="D401" s="146" t="s">
        <v>1065</v>
      </c>
      <c r="E401" s="80" t="s">
        <v>2167</v>
      </c>
      <c r="F401" s="355" t="e">
        <f>+VLOOKUP($E401,Final_nrj!$1:$1048576,F$2,FALSE)</f>
        <v>#N/A</v>
      </c>
      <c r="G401" s="356"/>
      <c r="H401" s="356"/>
      <c r="I401" s="356"/>
      <c r="J401" s="356"/>
      <c r="K401" s="356"/>
      <c r="L401" s="356"/>
      <c r="M401" s="356"/>
      <c r="N401" s="356"/>
      <c r="O401" s="356"/>
      <c r="P401" s="356"/>
      <c r="Q401" s="356"/>
      <c r="R401" s="356"/>
      <c r="S401" s="356"/>
      <c r="T401" s="356"/>
      <c r="U401" s="356"/>
      <c r="V401" s="356"/>
      <c r="W401" s="356"/>
      <c r="X401" s="356"/>
      <c r="Y401" s="356"/>
      <c r="Z401" s="356"/>
      <c r="AA401" s="356"/>
      <c r="AB401" s="356"/>
      <c r="AC401" s="356"/>
      <c r="AD401" s="356"/>
      <c r="AE401" s="356"/>
      <c r="AF401" s="356"/>
      <c r="AG401" s="356"/>
      <c r="AH401" s="356"/>
      <c r="AI401" s="356"/>
      <c r="AJ401" s="356"/>
      <c r="AK401" s="356"/>
      <c r="AL401" s="356"/>
      <c r="AM401" s="356"/>
      <c r="AN401" s="356"/>
      <c r="AO401" s="356"/>
    </row>
    <row r="402" spans="1:41" s="73" customFormat="1" ht="15" customHeight="1" x14ac:dyDescent="0.25">
      <c r="A402" s="392"/>
      <c r="B402" s="395"/>
      <c r="C402" s="146"/>
      <c r="D402" s="146" t="s">
        <v>1066</v>
      </c>
      <c r="E402" s="80" t="s">
        <v>2168</v>
      </c>
      <c r="F402" s="355" t="e">
        <f>+VLOOKUP($E402,Final_nrj!$1:$1048576,F$2,FALSE)</f>
        <v>#N/A</v>
      </c>
      <c r="G402" s="356"/>
      <c r="H402" s="356"/>
      <c r="I402" s="356"/>
      <c r="J402" s="356"/>
      <c r="K402" s="356"/>
      <c r="L402" s="356"/>
      <c r="M402" s="356"/>
      <c r="N402" s="356"/>
      <c r="O402" s="356"/>
      <c r="P402" s="356"/>
      <c r="Q402" s="356"/>
      <c r="R402" s="356"/>
      <c r="S402" s="356"/>
      <c r="T402" s="356"/>
      <c r="U402" s="356"/>
      <c r="V402" s="356"/>
      <c r="W402" s="356"/>
      <c r="X402" s="356"/>
      <c r="Y402" s="356"/>
      <c r="Z402" s="356"/>
      <c r="AA402" s="356"/>
      <c r="AB402" s="356"/>
      <c r="AC402" s="356"/>
      <c r="AD402" s="356"/>
      <c r="AE402" s="356"/>
      <c r="AF402" s="356"/>
      <c r="AG402" s="356"/>
      <c r="AH402" s="356"/>
      <c r="AI402" s="356"/>
      <c r="AJ402" s="356"/>
      <c r="AK402" s="356"/>
      <c r="AL402" s="356"/>
      <c r="AM402" s="356"/>
      <c r="AN402" s="356"/>
      <c r="AO402" s="356"/>
    </row>
    <row r="403" spans="1:41" s="73" customFormat="1" ht="15" customHeight="1" x14ac:dyDescent="0.25">
      <c r="A403" s="392"/>
      <c r="B403" s="395"/>
      <c r="C403" s="146"/>
      <c r="D403" s="146" t="s">
        <v>1067</v>
      </c>
      <c r="E403" s="80" t="s">
        <v>2169</v>
      </c>
      <c r="F403" s="355" t="e">
        <f>+VLOOKUP($E403,Final_nrj!$1:$1048576,F$2,FALSE)</f>
        <v>#N/A</v>
      </c>
      <c r="G403" s="356"/>
      <c r="H403" s="356"/>
      <c r="I403" s="356"/>
      <c r="J403" s="356"/>
      <c r="K403" s="356"/>
      <c r="L403" s="356"/>
      <c r="M403" s="356"/>
      <c r="N403" s="356"/>
      <c r="O403" s="356"/>
      <c r="P403" s="356"/>
      <c r="Q403" s="356"/>
      <c r="R403" s="356"/>
      <c r="S403" s="356"/>
      <c r="T403" s="356"/>
      <c r="U403" s="356"/>
      <c r="V403" s="356"/>
      <c r="W403" s="356"/>
      <c r="X403" s="356"/>
      <c r="Y403" s="356"/>
      <c r="Z403" s="356"/>
      <c r="AA403" s="356"/>
      <c r="AB403" s="356"/>
      <c r="AC403" s="356"/>
      <c r="AD403" s="356"/>
      <c r="AE403" s="356"/>
      <c r="AF403" s="356"/>
      <c r="AG403" s="356"/>
      <c r="AH403" s="356"/>
      <c r="AI403" s="356"/>
      <c r="AJ403" s="356"/>
      <c r="AK403" s="356"/>
      <c r="AL403" s="356"/>
      <c r="AM403" s="356"/>
      <c r="AN403" s="356"/>
      <c r="AO403" s="356"/>
    </row>
    <row r="404" spans="1:41" s="73" customFormat="1" ht="15" customHeight="1" x14ac:dyDescent="0.25">
      <c r="A404" s="392"/>
      <c r="B404" s="395"/>
      <c r="C404" s="146"/>
      <c r="D404" s="146" t="s">
        <v>1068</v>
      </c>
      <c r="E404" s="80" t="s">
        <v>2170</v>
      </c>
      <c r="F404" s="355" t="e">
        <f>+VLOOKUP($E404,Final_nrj!$1:$1048576,F$2,FALSE)</f>
        <v>#N/A</v>
      </c>
      <c r="G404" s="356"/>
      <c r="H404" s="356"/>
      <c r="I404" s="356"/>
      <c r="J404" s="356"/>
      <c r="K404" s="356"/>
      <c r="L404" s="356"/>
      <c r="M404" s="356"/>
      <c r="N404" s="356"/>
      <c r="O404" s="356"/>
      <c r="P404" s="356"/>
      <c r="Q404" s="356"/>
      <c r="R404" s="356"/>
      <c r="S404" s="356"/>
      <c r="T404" s="356"/>
      <c r="U404" s="356"/>
      <c r="V404" s="356"/>
      <c r="W404" s="356"/>
      <c r="X404" s="356"/>
      <c r="Y404" s="356"/>
      <c r="Z404" s="356"/>
      <c r="AA404" s="356"/>
      <c r="AB404" s="356"/>
      <c r="AC404" s="356"/>
      <c r="AD404" s="356"/>
      <c r="AE404" s="356"/>
      <c r="AF404" s="356"/>
      <c r="AG404" s="356"/>
      <c r="AH404" s="356"/>
      <c r="AI404" s="356"/>
      <c r="AJ404" s="356"/>
      <c r="AK404" s="356"/>
      <c r="AL404" s="356"/>
      <c r="AM404" s="356"/>
      <c r="AN404" s="356"/>
      <c r="AO404" s="356"/>
    </row>
    <row r="405" spans="1:41" s="108" customFormat="1" ht="15" customHeight="1" x14ac:dyDescent="0.25">
      <c r="A405" s="392"/>
      <c r="B405" s="395"/>
      <c r="C405" s="146"/>
      <c r="D405" s="146" t="s">
        <v>1069</v>
      </c>
      <c r="E405" s="80" t="s">
        <v>2171</v>
      </c>
      <c r="F405" s="354" t="e">
        <f>+VLOOKUP($E405,Final_nrj!$1:$1048576,F$2,FALSE)</f>
        <v>#N/A</v>
      </c>
      <c r="G405" s="354"/>
      <c r="H405" s="354"/>
      <c r="I405" s="354"/>
      <c r="J405" s="354"/>
      <c r="K405" s="354"/>
      <c r="L405" s="354"/>
      <c r="M405" s="354"/>
      <c r="N405" s="354"/>
      <c r="O405" s="354"/>
      <c r="P405" s="354"/>
      <c r="Q405" s="354"/>
      <c r="R405" s="354"/>
      <c r="S405" s="354"/>
      <c r="T405" s="354"/>
      <c r="U405" s="354"/>
      <c r="V405" s="354"/>
      <c r="W405" s="354"/>
      <c r="X405" s="354"/>
      <c r="Y405" s="354"/>
      <c r="Z405" s="354"/>
      <c r="AA405" s="354"/>
      <c r="AB405" s="354"/>
      <c r="AC405" s="354"/>
      <c r="AD405" s="354"/>
      <c r="AE405" s="354"/>
      <c r="AF405" s="354"/>
      <c r="AG405" s="354"/>
      <c r="AH405" s="354"/>
      <c r="AI405" s="354"/>
      <c r="AJ405" s="354"/>
      <c r="AK405" s="354"/>
      <c r="AL405" s="354"/>
      <c r="AM405" s="354"/>
      <c r="AN405" s="354"/>
      <c r="AO405" s="354"/>
    </row>
    <row r="406" spans="1:41" s="108" customFormat="1" ht="15" customHeight="1" x14ac:dyDescent="0.25">
      <c r="A406" s="392"/>
      <c r="B406" s="395"/>
      <c r="C406" s="148" t="s">
        <v>2150</v>
      </c>
      <c r="D406" s="148"/>
      <c r="E406" s="90" t="s">
        <v>2172</v>
      </c>
      <c r="F406" s="354" t="e">
        <f>+VLOOKUP($E406,Final_nrj!$1:$1048576,F$2,FALSE)</f>
        <v>#N/A</v>
      </c>
      <c r="G406" s="354"/>
      <c r="H406" s="354"/>
      <c r="I406" s="354"/>
      <c r="J406" s="354"/>
      <c r="K406" s="354"/>
      <c r="L406" s="354"/>
      <c r="M406" s="354"/>
      <c r="N406" s="354"/>
      <c r="O406" s="354"/>
      <c r="P406" s="354"/>
      <c r="Q406" s="354"/>
      <c r="R406" s="354"/>
      <c r="S406" s="354"/>
      <c r="T406" s="354"/>
      <c r="U406" s="354"/>
      <c r="V406" s="354"/>
      <c r="W406" s="354"/>
      <c r="X406" s="354"/>
      <c r="Y406" s="354"/>
      <c r="Z406" s="354"/>
      <c r="AA406" s="354"/>
      <c r="AB406" s="354"/>
      <c r="AC406" s="354"/>
      <c r="AD406" s="354"/>
      <c r="AE406" s="354"/>
      <c r="AF406" s="354"/>
      <c r="AG406" s="354"/>
      <c r="AH406" s="354"/>
      <c r="AI406" s="354"/>
      <c r="AJ406" s="354"/>
      <c r="AK406" s="354"/>
      <c r="AL406" s="354"/>
      <c r="AM406" s="354"/>
      <c r="AN406" s="354"/>
      <c r="AO406" s="354"/>
    </row>
    <row r="407" spans="1:41" s="73" customFormat="1" ht="15" customHeight="1" x14ac:dyDescent="0.25">
      <c r="A407" s="392"/>
      <c r="B407" s="395"/>
      <c r="C407" s="146"/>
      <c r="D407" s="146" t="s">
        <v>1070</v>
      </c>
      <c r="E407" s="80" t="s">
        <v>2173</v>
      </c>
      <c r="F407" s="355" t="e">
        <f>+VLOOKUP($E407,Final_nrj!$1:$1048576,F$2,FALSE)</f>
        <v>#N/A</v>
      </c>
      <c r="G407" s="356"/>
      <c r="H407" s="356"/>
      <c r="I407" s="356"/>
      <c r="J407" s="356"/>
      <c r="K407" s="356"/>
      <c r="L407" s="356"/>
      <c r="M407" s="356"/>
      <c r="N407" s="356"/>
      <c r="O407" s="356"/>
      <c r="P407" s="356"/>
      <c r="Q407" s="356"/>
      <c r="R407" s="356"/>
      <c r="S407" s="356"/>
      <c r="T407" s="356"/>
      <c r="U407" s="356"/>
      <c r="V407" s="356"/>
      <c r="W407" s="356"/>
      <c r="X407" s="356"/>
      <c r="Y407" s="356"/>
      <c r="Z407" s="356"/>
      <c r="AA407" s="356"/>
      <c r="AB407" s="356"/>
      <c r="AC407" s="356"/>
      <c r="AD407" s="356"/>
      <c r="AE407" s="356"/>
      <c r="AF407" s="356"/>
      <c r="AG407" s="356"/>
      <c r="AH407" s="356"/>
      <c r="AI407" s="356"/>
      <c r="AJ407" s="356"/>
      <c r="AK407" s="356"/>
      <c r="AL407" s="356"/>
      <c r="AM407" s="356"/>
      <c r="AN407" s="356"/>
      <c r="AO407" s="356"/>
    </row>
    <row r="408" spans="1:41" s="73" customFormat="1" ht="15" customHeight="1" x14ac:dyDescent="0.25">
      <c r="A408" s="392"/>
      <c r="B408" s="395"/>
      <c r="C408" s="146"/>
      <c r="D408" s="146" t="s">
        <v>1066</v>
      </c>
      <c r="E408" s="80" t="s">
        <v>2174</v>
      </c>
      <c r="F408" s="355" t="e">
        <f>+VLOOKUP($E408,Final_nrj!$1:$1048576,F$2,FALSE)</f>
        <v>#N/A</v>
      </c>
      <c r="G408" s="356"/>
      <c r="H408" s="356"/>
      <c r="I408" s="356"/>
      <c r="J408" s="356"/>
      <c r="K408" s="356"/>
      <c r="L408" s="356"/>
      <c r="M408" s="356"/>
      <c r="N408" s="356"/>
      <c r="O408" s="356"/>
      <c r="P408" s="356"/>
      <c r="Q408" s="356"/>
      <c r="R408" s="356"/>
      <c r="S408" s="356"/>
      <c r="T408" s="356"/>
      <c r="U408" s="356"/>
      <c r="V408" s="356"/>
      <c r="W408" s="356"/>
      <c r="X408" s="356"/>
      <c r="Y408" s="356"/>
      <c r="Z408" s="356"/>
      <c r="AA408" s="356"/>
      <c r="AB408" s="356"/>
      <c r="AC408" s="356"/>
      <c r="AD408" s="356"/>
      <c r="AE408" s="356"/>
      <c r="AF408" s="356"/>
      <c r="AG408" s="356"/>
      <c r="AH408" s="356"/>
      <c r="AI408" s="356"/>
      <c r="AJ408" s="356"/>
      <c r="AK408" s="356"/>
      <c r="AL408" s="356"/>
      <c r="AM408" s="356"/>
      <c r="AN408" s="356"/>
      <c r="AO408" s="356"/>
    </row>
    <row r="409" spans="1:41" s="73" customFormat="1" ht="15" customHeight="1" x14ac:dyDescent="0.25">
      <c r="A409" s="392"/>
      <c r="B409" s="395"/>
      <c r="C409" s="146"/>
      <c r="D409" s="146" t="s">
        <v>1067</v>
      </c>
      <c r="E409" s="80" t="s">
        <v>2175</v>
      </c>
      <c r="F409" s="355" t="e">
        <f>+VLOOKUP($E409,Final_nrj!$1:$1048576,F$2,FALSE)</f>
        <v>#N/A</v>
      </c>
      <c r="G409" s="356"/>
      <c r="H409" s="356"/>
      <c r="I409" s="356"/>
      <c r="J409" s="356"/>
      <c r="K409" s="356"/>
      <c r="L409" s="356"/>
      <c r="M409" s="356"/>
      <c r="N409" s="356"/>
      <c r="O409" s="356"/>
      <c r="P409" s="356"/>
      <c r="Q409" s="356"/>
      <c r="R409" s="356"/>
      <c r="S409" s="356"/>
      <c r="T409" s="356"/>
      <c r="U409" s="356"/>
      <c r="V409" s="356"/>
      <c r="W409" s="356"/>
      <c r="X409" s="356"/>
      <c r="Y409" s="356"/>
      <c r="Z409" s="356"/>
      <c r="AA409" s="356"/>
      <c r="AB409" s="356"/>
      <c r="AC409" s="356"/>
      <c r="AD409" s="356"/>
      <c r="AE409" s="356"/>
      <c r="AF409" s="356"/>
      <c r="AG409" s="356"/>
      <c r="AH409" s="356"/>
      <c r="AI409" s="356"/>
      <c r="AJ409" s="356"/>
      <c r="AK409" s="356"/>
      <c r="AL409" s="356"/>
      <c r="AM409" s="356"/>
      <c r="AN409" s="356"/>
      <c r="AO409" s="356"/>
    </row>
    <row r="410" spans="1:41" s="108" customFormat="1" ht="15" customHeight="1" x14ac:dyDescent="0.25">
      <c r="A410" s="392"/>
      <c r="B410" s="395"/>
      <c r="C410" s="148" t="s">
        <v>2162</v>
      </c>
      <c r="D410" s="148"/>
      <c r="E410" s="90" t="s">
        <v>1078</v>
      </c>
      <c r="F410" s="354">
        <f>+VLOOKUP($E410,Final_nrj!$1:$1048576,F$2,FALSE)</f>
        <v>26.341533309999999</v>
      </c>
      <c r="G410" s="354"/>
      <c r="H410" s="354"/>
      <c r="I410" s="354"/>
      <c r="J410" s="354"/>
      <c r="K410" s="354"/>
      <c r="L410" s="354"/>
      <c r="M410" s="354"/>
      <c r="N410" s="354"/>
      <c r="O410" s="354"/>
      <c r="P410" s="354"/>
      <c r="Q410" s="354"/>
      <c r="R410" s="354"/>
      <c r="S410" s="354"/>
      <c r="T410" s="354"/>
      <c r="U410" s="354"/>
      <c r="V410" s="354"/>
      <c r="W410" s="354"/>
      <c r="X410" s="354"/>
      <c r="Y410" s="354"/>
      <c r="Z410" s="354"/>
      <c r="AA410" s="354"/>
      <c r="AB410" s="354"/>
      <c r="AC410" s="354"/>
      <c r="AD410" s="354"/>
      <c r="AE410" s="354"/>
      <c r="AF410" s="354"/>
      <c r="AG410" s="354"/>
      <c r="AH410" s="354"/>
      <c r="AI410" s="354"/>
      <c r="AJ410" s="354"/>
      <c r="AK410" s="354"/>
      <c r="AL410" s="354"/>
      <c r="AM410" s="354"/>
      <c r="AN410" s="354"/>
      <c r="AO410" s="354"/>
    </row>
    <row r="411" spans="1:41" s="73" customFormat="1" ht="15" customHeight="1" x14ac:dyDescent="0.25">
      <c r="A411" s="392"/>
      <c r="B411" s="395"/>
      <c r="C411" s="146"/>
      <c r="D411" s="146" t="s">
        <v>1064</v>
      </c>
      <c r="E411" s="80" t="s">
        <v>2116</v>
      </c>
      <c r="F411" s="355">
        <f>+VLOOKUP($E411,Final_nrj!$1:$1048576,F$2,FALSE)</f>
        <v>3.0823350200000002E-3</v>
      </c>
      <c r="G411" s="356"/>
      <c r="H411" s="356"/>
      <c r="I411" s="356"/>
      <c r="J411" s="356"/>
      <c r="K411" s="356"/>
      <c r="L411" s="356"/>
      <c r="M411" s="356"/>
      <c r="N411" s="356"/>
      <c r="O411" s="356"/>
      <c r="P411" s="356"/>
      <c r="Q411" s="356"/>
      <c r="R411" s="356"/>
      <c r="S411" s="356"/>
      <c r="T411" s="356"/>
      <c r="U411" s="356"/>
      <c r="V411" s="356"/>
      <c r="W411" s="356"/>
      <c r="X411" s="356"/>
      <c r="Y411" s="356"/>
      <c r="Z411" s="356"/>
      <c r="AA411" s="356"/>
      <c r="AB411" s="356"/>
      <c r="AC411" s="356"/>
      <c r="AD411" s="356"/>
      <c r="AE411" s="356"/>
      <c r="AF411" s="356"/>
      <c r="AG411" s="356"/>
      <c r="AH411" s="356"/>
      <c r="AI411" s="356"/>
      <c r="AJ411" s="356"/>
      <c r="AK411" s="356"/>
      <c r="AL411" s="356"/>
      <c r="AM411" s="356"/>
      <c r="AN411" s="356"/>
      <c r="AO411" s="356"/>
    </row>
    <row r="412" spans="1:41" s="73" customFormat="1" ht="15" customHeight="1" x14ac:dyDescent="0.25">
      <c r="A412" s="392"/>
      <c r="B412" s="395"/>
      <c r="C412" s="146"/>
      <c r="D412" s="146" t="s">
        <v>1070</v>
      </c>
      <c r="E412" s="80" t="s">
        <v>2117</v>
      </c>
      <c r="F412" s="355">
        <f>+VLOOKUP($E412,Final_nrj!$1:$1048576,F$2,FALSE)</f>
        <v>18.352541380000002</v>
      </c>
      <c r="G412" s="356"/>
      <c r="H412" s="356"/>
      <c r="I412" s="356"/>
      <c r="J412" s="356"/>
      <c r="K412" s="356"/>
      <c r="L412" s="356"/>
      <c r="M412" s="356"/>
      <c r="N412" s="356"/>
      <c r="O412" s="356"/>
      <c r="P412" s="356"/>
      <c r="Q412" s="356"/>
      <c r="R412" s="356"/>
      <c r="S412" s="356"/>
      <c r="T412" s="356"/>
      <c r="U412" s="356"/>
      <c r="V412" s="356"/>
      <c r="W412" s="356"/>
      <c r="X412" s="356"/>
      <c r="Y412" s="356"/>
      <c r="Z412" s="356"/>
      <c r="AA412" s="356"/>
      <c r="AB412" s="356"/>
      <c r="AC412" s="356"/>
      <c r="AD412" s="356"/>
      <c r="AE412" s="356"/>
      <c r="AF412" s="356"/>
      <c r="AG412" s="356"/>
      <c r="AH412" s="356"/>
      <c r="AI412" s="356"/>
      <c r="AJ412" s="356"/>
      <c r="AK412" s="356"/>
      <c r="AL412" s="356"/>
      <c r="AM412" s="356"/>
      <c r="AN412" s="356"/>
      <c r="AO412" s="356"/>
    </row>
    <row r="413" spans="1:41" s="73" customFormat="1" ht="15" customHeight="1" x14ac:dyDescent="0.25">
      <c r="A413" s="392"/>
      <c r="B413" s="395"/>
      <c r="C413" s="146"/>
      <c r="D413" s="146" t="s">
        <v>1065</v>
      </c>
      <c r="E413" s="80" t="s">
        <v>2118</v>
      </c>
      <c r="F413" s="355">
        <f>+VLOOKUP($E413,Final_nrj!$1:$1048576,F$2,FALSE)</f>
        <v>5.3420570679999999</v>
      </c>
      <c r="G413" s="356"/>
      <c r="H413" s="356"/>
      <c r="I413" s="356"/>
      <c r="J413" s="356"/>
      <c r="K413" s="356"/>
      <c r="L413" s="356"/>
      <c r="M413" s="356"/>
      <c r="N413" s="356"/>
      <c r="O413" s="356"/>
      <c r="P413" s="356"/>
      <c r="Q413" s="356"/>
      <c r="R413" s="356"/>
      <c r="S413" s="356"/>
      <c r="T413" s="356"/>
      <c r="U413" s="356"/>
      <c r="V413" s="356"/>
      <c r="W413" s="356"/>
      <c r="X413" s="356"/>
      <c r="Y413" s="356"/>
      <c r="Z413" s="356"/>
      <c r="AA413" s="356"/>
      <c r="AB413" s="356"/>
      <c r="AC413" s="356"/>
      <c r="AD413" s="356"/>
      <c r="AE413" s="356"/>
      <c r="AF413" s="356"/>
      <c r="AG413" s="356"/>
      <c r="AH413" s="356"/>
      <c r="AI413" s="356"/>
      <c r="AJ413" s="356"/>
      <c r="AK413" s="356"/>
      <c r="AL413" s="356"/>
      <c r="AM413" s="356"/>
      <c r="AN413" s="356"/>
      <c r="AO413" s="356"/>
    </row>
    <row r="414" spans="1:41" s="73" customFormat="1" ht="15" customHeight="1" x14ac:dyDescent="0.25">
      <c r="A414" s="392"/>
      <c r="B414" s="395"/>
      <c r="C414" s="146"/>
      <c r="D414" s="146" t="s">
        <v>1066</v>
      </c>
      <c r="E414" s="80" t="s">
        <v>2119</v>
      </c>
      <c r="F414" s="355">
        <f>+VLOOKUP($E414,Final_nrj!$1:$1048576,F$2,FALSE)</f>
        <v>0.24960722420000001</v>
      </c>
      <c r="G414" s="356"/>
      <c r="H414" s="356"/>
      <c r="I414" s="356"/>
      <c r="J414" s="356"/>
      <c r="K414" s="356"/>
      <c r="L414" s="356"/>
      <c r="M414" s="356"/>
      <c r="N414" s="356"/>
      <c r="O414" s="356"/>
      <c r="P414" s="356"/>
      <c r="Q414" s="356"/>
      <c r="R414" s="356"/>
      <c r="S414" s="356"/>
      <c r="T414" s="356"/>
      <c r="U414" s="356"/>
      <c r="V414" s="356"/>
      <c r="W414" s="356"/>
      <c r="X414" s="356"/>
      <c r="Y414" s="356"/>
      <c r="Z414" s="356"/>
      <c r="AA414" s="356"/>
      <c r="AB414" s="356"/>
      <c r="AC414" s="356"/>
      <c r="AD414" s="356"/>
      <c r="AE414" s="356"/>
      <c r="AF414" s="356"/>
      <c r="AG414" s="356"/>
      <c r="AH414" s="356"/>
      <c r="AI414" s="356"/>
      <c r="AJ414" s="356"/>
      <c r="AK414" s="356"/>
      <c r="AL414" s="356"/>
      <c r="AM414" s="356"/>
      <c r="AN414" s="356"/>
      <c r="AO414" s="356"/>
    </row>
    <row r="415" spans="1:41" s="73" customFormat="1" ht="15" customHeight="1" x14ac:dyDescent="0.25">
      <c r="A415" s="392"/>
      <c r="B415" s="395"/>
      <c r="C415" s="146"/>
      <c r="D415" s="146" t="s">
        <v>1067</v>
      </c>
      <c r="E415" s="80" t="s">
        <v>2120</v>
      </c>
      <c r="F415" s="355">
        <f>+VLOOKUP($E415,Final_nrj!$1:$1048576,F$2,FALSE)</f>
        <v>2.025571738</v>
      </c>
      <c r="G415" s="356"/>
      <c r="H415" s="356"/>
      <c r="I415" s="356"/>
      <c r="J415" s="356"/>
      <c r="K415" s="356"/>
      <c r="L415" s="356"/>
      <c r="M415" s="356"/>
      <c r="N415" s="356"/>
      <c r="O415" s="356"/>
      <c r="P415" s="356"/>
      <c r="Q415" s="356"/>
      <c r="R415" s="356"/>
      <c r="S415" s="356"/>
      <c r="T415" s="356"/>
      <c r="U415" s="356"/>
      <c r="V415" s="356"/>
      <c r="W415" s="356"/>
      <c r="X415" s="356"/>
      <c r="Y415" s="356"/>
      <c r="Z415" s="356"/>
      <c r="AA415" s="356"/>
      <c r="AB415" s="356"/>
      <c r="AC415" s="356"/>
      <c r="AD415" s="356"/>
      <c r="AE415" s="356"/>
      <c r="AF415" s="356"/>
      <c r="AG415" s="356"/>
      <c r="AH415" s="356"/>
      <c r="AI415" s="356"/>
      <c r="AJ415" s="356"/>
      <c r="AK415" s="356"/>
      <c r="AL415" s="356"/>
      <c r="AM415" s="356"/>
      <c r="AN415" s="356"/>
      <c r="AO415" s="356"/>
    </row>
    <row r="416" spans="1:41" s="73" customFormat="1" ht="15" customHeight="1" x14ac:dyDescent="0.25">
      <c r="A416" s="392"/>
      <c r="B416" s="395"/>
      <c r="C416" s="146"/>
      <c r="D416" s="146" t="s">
        <v>1068</v>
      </c>
      <c r="E416" s="80" t="s">
        <v>2121</v>
      </c>
      <c r="F416" s="355">
        <f>+VLOOKUP($E416,Final_nrj!$1:$1048576,F$2,FALSE)</f>
        <v>2.1585652100000002E-2</v>
      </c>
      <c r="G416" s="356"/>
      <c r="H416" s="356"/>
      <c r="I416" s="356"/>
      <c r="J416" s="356"/>
      <c r="K416" s="356"/>
      <c r="L416" s="356"/>
      <c r="M416" s="356"/>
      <c r="N416" s="356"/>
      <c r="O416" s="356"/>
      <c r="P416" s="356"/>
      <c r="Q416" s="356"/>
      <c r="R416" s="356"/>
      <c r="S416" s="356"/>
      <c r="T416" s="356"/>
      <c r="U416" s="356"/>
      <c r="V416" s="356"/>
      <c r="W416" s="356"/>
      <c r="X416" s="356"/>
      <c r="Y416" s="356"/>
      <c r="Z416" s="356"/>
      <c r="AA416" s="356"/>
      <c r="AB416" s="356"/>
      <c r="AC416" s="356"/>
      <c r="AD416" s="356"/>
      <c r="AE416" s="356"/>
      <c r="AF416" s="356"/>
      <c r="AG416" s="356"/>
      <c r="AH416" s="356"/>
      <c r="AI416" s="356"/>
      <c r="AJ416" s="356"/>
      <c r="AK416" s="356"/>
      <c r="AL416" s="356"/>
      <c r="AM416" s="356"/>
      <c r="AN416" s="356"/>
      <c r="AO416" s="356"/>
    </row>
    <row r="417" spans="1:41" s="73" customFormat="1" ht="15" customHeight="1" x14ac:dyDescent="0.25">
      <c r="A417" s="392"/>
      <c r="B417" s="395"/>
      <c r="C417" s="146"/>
      <c r="D417" s="146" t="s">
        <v>1069</v>
      </c>
      <c r="E417" s="80" t="s">
        <v>2122</v>
      </c>
      <c r="F417" s="355">
        <f>+VLOOKUP($E417,Final_nrj!$1:$1048576,F$2,FALSE)</f>
        <v>1.4848009800000001E-2</v>
      </c>
      <c r="G417" s="356"/>
      <c r="H417" s="356"/>
      <c r="I417" s="356"/>
      <c r="J417" s="356"/>
      <c r="K417" s="356"/>
      <c r="L417" s="356"/>
      <c r="M417" s="356"/>
      <c r="N417" s="356"/>
      <c r="O417" s="356"/>
      <c r="P417" s="356"/>
      <c r="Q417" s="356"/>
      <c r="R417" s="356"/>
      <c r="S417" s="356"/>
      <c r="T417" s="356"/>
      <c r="U417" s="356"/>
      <c r="V417" s="356"/>
      <c r="W417" s="356"/>
      <c r="X417" s="356"/>
      <c r="Y417" s="356"/>
      <c r="Z417" s="356"/>
      <c r="AA417" s="356"/>
      <c r="AB417" s="356"/>
      <c r="AC417" s="356"/>
      <c r="AD417" s="356"/>
      <c r="AE417" s="356"/>
      <c r="AF417" s="356"/>
      <c r="AG417" s="356"/>
      <c r="AH417" s="356"/>
      <c r="AI417" s="356"/>
      <c r="AJ417" s="356"/>
      <c r="AK417" s="356"/>
      <c r="AL417" s="356"/>
      <c r="AM417" s="356"/>
      <c r="AN417" s="356"/>
      <c r="AO417" s="356"/>
    </row>
    <row r="418" spans="1:41" s="73" customFormat="1" ht="15" customHeight="1" x14ac:dyDescent="0.25">
      <c r="A418" s="392"/>
      <c r="B418" s="395"/>
      <c r="C418" s="146"/>
      <c r="D418" s="146" t="s">
        <v>1071</v>
      </c>
      <c r="E418" s="80" t="s">
        <v>2123</v>
      </c>
      <c r="F418" s="355">
        <f>+VLOOKUP($E418,Final_nrj!$1:$1048576,F$2,FALSE)</f>
        <v>0.32004745600000001</v>
      </c>
      <c r="G418" s="356"/>
      <c r="H418" s="356"/>
      <c r="I418" s="356"/>
      <c r="J418" s="356"/>
      <c r="K418" s="356"/>
      <c r="L418" s="356"/>
      <c r="M418" s="356"/>
      <c r="N418" s="356"/>
      <c r="O418" s="356"/>
      <c r="P418" s="356"/>
      <c r="Q418" s="356"/>
      <c r="R418" s="356"/>
      <c r="S418" s="356"/>
      <c r="T418" s="356"/>
      <c r="U418" s="356"/>
      <c r="V418" s="356"/>
      <c r="W418" s="356"/>
      <c r="X418" s="356"/>
      <c r="Y418" s="356"/>
      <c r="Z418" s="356"/>
      <c r="AA418" s="356"/>
      <c r="AB418" s="356"/>
      <c r="AC418" s="356"/>
      <c r="AD418" s="356"/>
      <c r="AE418" s="356"/>
      <c r="AF418" s="356"/>
      <c r="AG418" s="356"/>
      <c r="AH418" s="356"/>
      <c r="AI418" s="356"/>
      <c r="AJ418" s="356"/>
      <c r="AK418" s="356"/>
      <c r="AL418" s="356"/>
      <c r="AM418" s="356"/>
      <c r="AN418" s="356"/>
      <c r="AO418" s="356"/>
    </row>
    <row r="419" spans="1:41" s="108" customFormat="1" ht="15" customHeight="1" x14ac:dyDescent="0.25">
      <c r="A419" s="392"/>
      <c r="B419" s="395"/>
      <c r="C419" s="148" t="s">
        <v>1076</v>
      </c>
      <c r="D419" s="148"/>
      <c r="E419" s="90" t="s">
        <v>1079</v>
      </c>
      <c r="F419" s="354">
        <f>+VLOOKUP($E419,Final_nrj!$1:$1048576,F$2,FALSE)</f>
        <v>4.8910688090000001</v>
      </c>
      <c r="G419" s="354"/>
      <c r="H419" s="354"/>
      <c r="I419" s="354"/>
      <c r="J419" s="354"/>
      <c r="K419" s="354"/>
      <c r="L419" s="354"/>
      <c r="M419" s="354"/>
      <c r="N419" s="354"/>
      <c r="O419" s="354"/>
      <c r="P419" s="354"/>
      <c r="Q419" s="354"/>
      <c r="R419" s="354"/>
      <c r="S419" s="354"/>
      <c r="T419" s="354"/>
      <c r="U419" s="354"/>
      <c r="V419" s="354"/>
      <c r="W419" s="354"/>
      <c r="X419" s="354"/>
      <c r="Y419" s="354"/>
      <c r="Z419" s="354"/>
      <c r="AA419" s="354"/>
      <c r="AB419" s="354"/>
      <c r="AC419" s="354"/>
      <c r="AD419" s="354"/>
      <c r="AE419" s="354"/>
      <c r="AF419" s="354"/>
      <c r="AG419" s="354"/>
      <c r="AH419" s="354"/>
      <c r="AI419" s="354"/>
      <c r="AJ419" s="354"/>
      <c r="AK419" s="354"/>
      <c r="AL419" s="354"/>
      <c r="AM419" s="354"/>
      <c r="AN419" s="354"/>
      <c r="AO419" s="354"/>
    </row>
    <row r="420" spans="1:41" s="73" customFormat="1" ht="15" customHeight="1" x14ac:dyDescent="0.25">
      <c r="A420" s="392"/>
      <c r="B420" s="395"/>
      <c r="C420" s="146"/>
      <c r="D420" s="146" t="s">
        <v>1064</v>
      </c>
      <c r="E420" s="80" t="s">
        <v>2124</v>
      </c>
      <c r="F420" s="355" t="e">
        <f>+VLOOKUP($E420,Final_nrj!$1:$1048576,F$2,FALSE)</f>
        <v>#N/A</v>
      </c>
      <c r="G420" s="356"/>
      <c r="H420" s="356"/>
      <c r="I420" s="356"/>
      <c r="J420" s="356"/>
      <c r="K420" s="356"/>
      <c r="L420" s="356"/>
      <c r="M420" s="356"/>
      <c r="N420" s="356"/>
      <c r="O420" s="356"/>
      <c r="P420" s="356"/>
      <c r="Q420" s="356"/>
      <c r="R420" s="356"/>
      <c r="S420" s="356"/>
      <c r="T420" s="356"/>
      <c r="U420" s="356"/>
      <c r="V420" s="356"/>
      <c r="W420" s="356"/>
      <c r="X420" s="356"/>
      <c r="Y420" s="356"/>
      <c r="Z420" s="356"/>
      <c r="AA420" s="356"/>
      <c r="AB420" s="356"/>
      <c r="AC420" s="356"/>
      <c r="AD420" s="356"/>
      <c r="AE420" s="356"/>
      <c r="AF420" s="356"/>
      <c r="AG420" s="356"/>
      <c r="AH420" s="356"/>
      <c r="AI420" s="356"/>
      <c r="AJ420" s="356"/>
      <c r="AK420" s="356"/>
      <c r="AL420" s="356"/>
      <c r="AM420" s="356"/>
      <c r="AN420" s="356"/>
      <c r="AO420" s="356"/>
    </row>
    <row r="421" spans="1:41" s="73" customFormat="1" ht="15" customHeight="1" x14ac:dyDescent="0.25">
      <c r="A421" s="392"/>
      <c r="B421" s="395"/>
      <c r="C421" s="146"/>
      <c r="D421" s="146" t="s">
        <v>1070</v>
      </c>
      <c r="E421" s="80" t="s">
        <v>2125</v>
      </c>
      <c r="F421" s="355" t="e">
        <f>+VLOOKUP($E421,Final_nrj!$1:$1048576,F$2,FALSE)</f>
        <v>#N/A</v>
      </c>
      <c r="G421" s="356"/>
      <c r="H421" s="356"/>
      <c r="I421" s="356"/>
      <c r="J421" s="356"/>
      <c r="K421" s="356"/>
      <c r="L421" s="356"/>
      <c r="M421" s="356"/>
      <c r="N421" s="356"/>
      <c r="O421" s="356"/>
      <c r="P421" s="356"/>
      <c r="Q421" s="356"/>
      <c r="R421" s="356"/>
      <c r="S421" s="356"/>
      <c r="T421" s="356"/>
      <c r="U421" s="356"/>
      <c r="V421" s="356"/>
      <c r="W421" s="356"/>
      <c r="X421" s="356"/>
      <c r="Y421" s="356"/>
      <c r="Z421" s="356"/>
      <c r="AA421" s="356"/>
      <c r="AB421" s="356"/>
      <c r="AC421" s="356"/>
      <c r="AD421" s="356"/>
      <c r="AE421" s="356"/>
      <c r="AF421" s="356"/>
      <c r="AG421" s="356"/>
      <c r="AH421" s="356"/>
      <c r="AI421" s="356"/>
      <c r="AJ421" s="356"/>
      <c r="AK421" s="356"/>
      <c r="AL421" s="356"/>
      <c r="AM421" s="356"/>
      <c r="AN421" s="356"/>
      <c r="AO421" s="356"/>
    </row>
    <row r="422" spans="1:41" s="73" customFormat="1" ht="15" customHeight="1" x14ac:dyDescent="0.25">
      <c r="A422" s="392"/>
      <c r="B422" s="395"/>
      <c r="C422" s="146"/>
      <c r="D422" s="146" t="s">
        <v>1065</v>
      </c>
      <c r="E422" s="80" t="s">
        <v>2126</v>
      </c>
      <c r="F422" s="355" t="e">
        <f>+VLOOKUP($E422,Final_nrj!$1:$1048576,F$2,FALSE)</f>
        <v>#N/A</v>
      </c>
      <c r="G422" s="356"/>
      <c r="H422" s="356"/>
      <c r="I422" s="356"/>
      <c r="J422" s="356"/>
      <c r="K422" s="356"/>
      <c r="L422" s="356"/>
      <c r="M422" s="356"/>
      <c r="N422" s="356"/>
      <c r="O422" s="356"/>
      <c r="P422" s="356"/>
      <c r="Q422" s="356"/>
      <c r="R422" s="356"/>
      <c r="S422" s="356"/>
      <c r="T422" s="356"/>
      <c r="U422" s="356"/>
      <c r="V422" s="356"/>
      <c r="W422" s="356"/>
      <c r="X422" s="356"/>
      <c r="Y422" s="356"/>
      <c r="Z422" s="356"/>
      <c r="AA422" s="356"/>
      <c r="AB422" s="356"/>
      <c r="AC422" s="356"/>
      <c r="AD422" s="356"/>
      <c r="AE422" s="356"/>
      <c r="AF422" s="356"/>
      <c r="AG422" s="356"/>
      <c r="AH422" s="356"/>
      <c r="AI422" s="356"/>
      <c r="AJ422" s="356"/>
      <c r="AK422" s="356"/>
      <c r="AL422" s="356"/>
      <c r="AM422" s="356"/>
      <c r="AN422" s="356"/>
      <c r="AO422" s="356"/>
    </row>
    <row r="423" spans="1:41" s="73" customFormat="1" ht="15" customHeight="1" x14ac:dyDescent="0.25">
      <c r="A423" s="392"/>
      <c r="B423" s="395"/>
      <c r="C423" s="146"/>
      <c r="D423" s="146" t="s">
        <v>1066</v>
      </c>
      <c r="E423" s="80" t="s">
        <v>2127</v>
      </c>
      <c r="F423" s="355" t="e">
        <f>+VLOOKUP($E423,Final_nrj!$1:$1048576,F$2,FALSE)</f>
        <v>#N/A</v>
      </c>
      <c r="G423" s="356"/>
      <c r="H423" s="356"/>
      <c r="I423" s="356"/>
      <c r="J423" s="356"/>
      <c r="K423" s="356"/>
      <c r="L423" s="356"/>
      <c r="M423" s="356"/>
      <c r="N423" s="356"/>
      <c r="O423" s="356"/>
      <c r="P423" s="356"/>
      <c r="Q423" s="356"/>
      <c r="R423" s="356"/>
      <c r="S423" s="356"/>
      <c r="T423" s="356"/>
      <c r="U423" s="356"/>
      <c r="V423" s="356"/>
      <c r="W423" s="356"/>
      <c r="X423" s="356"/>
      <c r="Y423" s="356"/>
      <c r="Z423" s="356"/>
      <c r="AA423" s="356"/>
      <c r="AB423" s="356"/>
      <c r="AC423" s="356"/>
      <c r="AD423" s="356"/>
      <c r="AE423" s="356"/>
      <c r="AF423" s="356"/>
      <c r="AG423" s="356"/>
      <c r="AH423" s="356"/>
      <c r="AI423" s="356"/>
      <c r="AJ423" s="356"/>
      <c r="AK423" s="356"/>
      <c r="AL423" s="356"/>
      <c r="AM423" s="356"/>
      <c r="AN423" s="356"/>
      <c r="AO423" s="356"/>
    </row>
    <row r="424" spans="1:41" s="73" customFormat="1" ht="15" customHeight="1" x14ac:dyDescent="0.25">
      <c r="A424" s="392"/>
      <c r="B424" s="395"/>
      <c r="C424" s="146"/>
      <c r="D424" s="146" t="s">
        <v>1067</v>
      </c>
      <c r="E424" s="80" t="s">
        <v>2128</v>
      </c>
      <c r="F424" s="355" t="e">
        <f>+VLOOKUP($E424,Final_nrj!$1:$1048576,F$2,FALSE)</f>
        <v>#N/A</v>
      </c>
      <c r="G424" s="356"/>
      <c r="H424" s="356"/>
      <c r="I424" s="356"/>
      <c r="J424" s="356"/>
      <c r="K424" s="356"/>
      <c r="L424" s="356"/>
      <c r="M424" s="356"/>
      <c r="N424" s="356"/>
      <c r="O424" s="356"/>
      <c r="P424" s="356"/>
      <c r="Q424" s="356"/>
      <c r="R424" s="356"/>
      <c r="S424" s="356"/>
      <c r="T424" s="356"/>
      <c r="U424" s="356"/>
      <c r="V424" s="356"/>
      <c r="W424" s="356"/>
      <c r="X424" s="356"/>
      <c r="Y424" s="356"/>
      <c r="Z424" s="356"/>
      <c r="AA424" s="356"/>
      <c r="AB424" s="356"/>
      <c r="AC424" s="356"/>
      <c r="AD424" s="356"/>
      <c r="AE424" s="356"/>
      <c r="AF424" s="356"/>
      <c r="AG424" s="356"/>
      <c r="AH424" s="356"/>
      <c r="AI424" s="356"/>
      <c r="AJ424" s="356"/>
      <c r="AK424" s="356"/>
      <c r="AL424" s="356"/>
      <c r="AM424" s="356"/>
      <c r="AN424" s="356"/>
      <c r="AO424" s="356"/>
    </row>
    <row r="425" spans="1:41" s="73" customFormat="1" ht="15" customHeight="1" x14ac:dyDescent="0.25">
      <c r="A425" s="392"/>
      <c r="B425" s="395"/>
      <c r="C425" s="146"/>
      <c r="D425" s="146" t="s">
        <v>1068</v>
      </c>
      <c r="E425" s="80" t="s">
        <v>2129</v>
      </c>
      <c r="F425" s="355" t="e">
        <f>+VLOOKUP($E425,Final_nrj!$1:$1048576,F$2,FALSE)</f>
        <v>#N/A</v>
      </c>
      <c r="G425" s="356"/>
      <c r="H425" s="356"/>
      <c r="I425" s="356"/>
      <c r="J425" s="356"/>
      <c r="K425" s="356"/>
      <c r="L425" s="356"/>
      <c r="M425" s="356"/>
      <c r="N425" s="356"/>
      <c r="O425" s="356"/>
      <c r="P425" s="356"/>
      <c r="Q425" s="356"/>
      <c r="R425" s="356"/>
      <c r="S425" s="356"/>
      <c r="T425" s="356"/>
      <c r="U425" s="356"/>
      <c r="V425" s="356"/>
      <c r="W425" s="356"/>
      <c r="X425" s="356"/>
      <c r="Y425" s="356"/>
      <c r="Z425" s="356"/>
      <c r="AA425" s="356"/>
      <c r="AB425" s="356"/>
      <c r="AC425" s="356"/>
      <c r="AD425" s="356"/>
      <c r="AE425" s="356"/>
      <c r="AF425" s="356"/>
      <c r="AG425" s="356"/>
      <c r="AH425" s="356"/>
      <c r="AI425" s="356"/>
      <c r="AJ425" s="356"/>
      <c r="AK425" s="356"/>
      <c r="AL425" s="356"/>
      <c r="AM425" s="356"/>
      <c r="AN425" s="356"/>
      <c r="AO425" s="356"/>
    </row>
    <row r="426" spans="1:41" s="73" customFormat="1" ht="15" customHeight="1" x14ac:dyDescent="0.25">
      <c r="A426" s="392"/>
      <c r="B426" s="395"/>
      <c r="C426" s="146"/>
      <c r="D426" s="146" t="s">
        <v>1069</v>
      </c>
      <c r="E426" s="80" t="s">
        <v>2130</v>
      </c>
      <c r="F426" s="355" t="e">
        <f>+VLOOKUP($E426,Final_nrj!$1:$1048576,F$2,FALSE)</f>
        <v>#N/A</v>
      </c>
      <c r="G426" s="356"/>
      <c r="H426" s="356"/>
      <c r="I426" s="356"/>
      <c r="J426" s="356"/>
      <c r="K426" s="356"/>
      <c r="L426" s="356"/>
      <c r="M426" s="356"/>
      <c r="N426" s="356"/>
      <c r="O426" s="356"/>
      <c r="P426" s="356"/>
      <c r="Q426" s="356"/>
      <c r="R426" s="356"/>
      <c r="S426" s="356"/>
      <c r="T426" s="356"/>
      <c r="U426" s="356"/>
      <c r="V426" s="356"/>
      <c r="W426" s="356"/>
      <c r="X426" s="356"/>
      <c r="Y426" s="356"/>
      <c r="Z426" s="356"/>
      <c r="AA426" s="356"/>
      <c r="AB426" s="356"/>
      <c r="AC426" s="356"/>
      <c r="AD426" s="356"/>
      <c r="AE426" s="356"/>
      <c r="AF426" s="356"/>
      <c r="AG426" s="356"/>
      <c r="AH426" s="356"/>
      <c r="AI426" s="356"/>
      <c r="AJ426" s="356"/>
      <c r="AK426" s="356"/>
      <c r="AL426" s="356"/>
      <c r="AM426" s="356"/>
      <c r="AN426" s="356"/>
      <c r="AO426" s="356"/>
    </row>
    <row r="427" spans="1:41" s="73" customFormat="1" ht="15" customHeight="1" x14ac:dyDescent="0.25">
      <c r="A427" s="392"/>
      <c r="B427" s="395"/>
      <c r="C427" s="146"/>
      <c r="D427" s="146" t="s">
        <v>1071</v>
      </c>
      <c r="E427" s="80" t="s">
        <v>2131</v>
      </c>
      <c r="F427" s="355" t="e">
        <f>+VLOOKUP($E427,Final_nrj!$1:$1048576,F$2,FALSE)</f>
        <v>#N/A</v>
      </c>
      <c r="G427" s="356"/>
      <c r="H427" s="356"/>
      <c r="I427" s="356"/>
      <c r="J427" s="356"/>
      <c r="K427" s="356"/>
      <c r="L427" s="356"/>
      <c r="M427" s="356"/>
      <c r="N427" s="356"/>
      <c r="O427" s="356"/>
      <c r="P427" s="356"/>
      <c r="Q427" s="356"/>
      <c r="R427" s="356"/>
      <c r="S427" s="356"/>
      <c r="T427" s="356"/>
      <c r="U427" s="356"/>
      <c r="V427" s="356"/>
      <c r="W427" s="356"/>
      <c r="X427" s="356"/>
      <c r="Y427" s="356"/>
      <c r="Z427" s="356"/>
      <c r="AA427" s="356"/>
      <c r="AB427" s="356"/>
      <c r="AC427" s="356"/>
      <c r="AD427" s="356"/>
      <c r="AE427" s="356"/>
      <c r="AF427" s="356"/>
      <c r="AG427" s="356"/>
      <c r="AH427" s="356"/>
      <c r="AI427" s="356"/>
      <c r="AJ427" s="356"/>
      <c r="AK427" s="356"/>
      <c r="AL427" s="356"/>
      <c r="AM427" s="356"/>
      <c r="AN427" s="356"/>
      <c r="AO427" s="356"/>
    </row>
    <row r="428" spans="1:41" s="108" customFormat="1" ht="15" customHeight="1" x14ac:dyDescent="0.25">
      <c r="A428" s="392"/>
      <c r="B428" s="395"/>
      <c r="C428" s="148" t="s">
        <v>1077</v>
      </c>
      <c r="D428" s="148"/>
      <c r="E428" s="90" t="s">
        <v>1080</v>
      </c>
      <c r="F428" s="354">
        <f>+VLOOKUP($E428,Final_nrj!$1:$1048576,F$2,FALSE)</f>
        <v>44.175484509999997</v>
      </c>
      <c r="G428" s="354"/>
      <c r="H428" s="354"/>
      <c r="I428" s="354"/>
      <c r="J428" s="354"/>
      <c r="K428" s="354"/>
      <c r="L428" s="354"/>
      <c r="M428" s="354"/>
      <c r="N428" s="354"/>
      <c r="O428" s="354"/>
      <c r="P428" s="354"/>
      <c r="Q428" s="354"/>
      <c r="R428" s="354"/>
      <c r="S428" s="354"/>
      <c r="T428" s="354"/>
      <c r="U428" s="354"/>
      <c r="V428" s="354"/>
      <c r="W428" s="354"/>
      <c r="X428" s="354"/>
      <c r="Y428" s="354"/>
      <c r="Z428" s="354"/>
      <c r="AA428" s="354"/>
      <c r="AB428" s="354"/>
      <c r="AC428" s="354"/>
      <c r="AD428" s="354"/>
      <c r="AE428" s="354"/>
      <c r="AF428" s="354"/>
      <c r="AG428" s="354"/>
      <c r="AH428" s="354"/>
      <c r="AI428" s="354"/>
      <c r="AJ428" s="354"/>
      <c r="AK428" s="354"/>
      <c r="AL428" s="354"/>
      <c r="AM428" s="354"/>
      <c r="AN428" s="354"/>
      <c r="AO428" s="354"/>
    </row>
    <row r="429" spans="1:41" s="73" customFormat="1" ht="15" customHeight="1" x14ac:dyDescent="0.25">
      <c r="A429" s="392"/>
      <c r="B429" s="395"/>
      <c r="C429" s="146"/>
      <c r="D429" s="146" t="s">
        <v>1064</v>
      </c>
      <c r="E429" s="80" t="s">
        <v>2132</v>
      </c>
      <c r="F429" s="355">
        <f>+VLOOKUP($E429,Final_nrj!$1:$1048576,F$2,FALSE)</f>
        <v>5.334086922</v>
      </c>
      <c r="G429" s="356"/>
      <c r="H429" s="356"/>
      <c r="I429" s="356"/>
      <c r="J429" s="356"/>
      <c r="K429" s="356"/>
      <c r="L429" s="356"/>
      <c r="M429" s="356"/>
      <c r="N429" s="356"/>
      <c r="O429" s="356"/>
      <c r="P429" s="356"/>
      <c r="Q429" s="356"/>
      <c r="R429" s="356"/>
      <c r="S429" s="356"/>
      <c r="T429" s="356"/>
      <c r="U429" s="356"/>
      <c r="V429" s="356"/>
      <c r="W429" s="356"/>
      <c r="X429" s="356"/>
      <c r="Y429" s="356"/>
      <c r="Z429" s="356"/>
      <c r="AA429" s="356"/>
      <c r="AB429" s="356"/>
      <c r="AC429" s="356"/>
      <c r="AD429" s="356"/>
      <c r="AE429" s="356"/>
      <c r="AF429" s="356"/>
      <c r="AG429" s="356"/>
      <c r="AH429" s="356"/>
      <c r="AI429" s="356"/>
      <c r="AJ429" s="356"/>
      <c r="AK429" s="356"/>
      <c r="AL429" s="356"/>
      <c r="AM429" s="356"/>
      <c r="AN429" s="356"/>
      <c r="AO429" s="356"/>
    </row>
    <row r="430" spans="1:41" s="73" customFormat="1" ht="15" customHeight="1" x14ac:dyDescent="0.25">
      <c r="A430" s="392"/>
      <c r="B430" s="395"/>
      <c r="C430" s="146"/>
      <c r="D430" s="146" t="s">
        <v>1070</v>
      </c>
      <c r="E430" s="80" t="s">
        <v>2133</v>
      </c>
      <c r="F430" s="355">
        <f>+VLOOKUP($E430,Final_nrj!$1:$1048576,F$2,FALSE)</f>
        <v>3.010842319</v>
      </c>
      <c r="G430" s="356"/>
      <c r="H430" s="356"/>
      <c r="I430" s="356"/>
      <c r="J430" s="356"/>
      <c r="K430" s="356"/>
      <c r="L430" s="356"/>
      <c r="M430" s="356"/>
      <c r="N430" s="356"/>
      <c r="O430" s="356"/>
      <c r="P430" s="356"/>
      <c r="Q430" s="356"/>
      <c r="R430" s="356"/>
      <c r="S430" s="356"/>
      <c r="T430" s="356"/>
      <c r="U430" s="356"/>
      <c r="V430" s="356"/>
      <c r="W430" s="356"/>
      <c r="X430" s="356"/>
      <c r="Y430" s="356"/>
      <c r="Z430" s="356"/>
      <c r="AA430" s="356"/>
      <c r="AB430" s="356"/>
      <c r="AC430" s="356"/>
      <c r="AD430" s="356"/>
      <c r="AE430" s="356"/>
      <c r="AF430" s="356"/>
      <c r="AG430" s="356"/>
      <c r="AH430" s="356"/>
      <c r="AI430" s="356"/>
      <c r="AJ430" s="356"/>
      <c r="AK430" s="356"/>
      <c r="AL430" s="356"/>
      <c r="AM430" s="356"/>
      <c r="AN430" s="356"/>
      <c r="AO430" s="356"/>
    </row>
    <row r="431" spans="1:41" s="73" customFormat="1" ht="15" customHeight="1" x14ac:dyDescent="0.25">
      <c r="A431" s="392"/>
      <c r="B431" s="395"/>
      <c r="C431" s="146"/>
      <c r="D431" s="146" t="s">
        <v>1065</v>
      </c>
      <c r="E431" s="80" t="s">
        <v>2134</v>
      </c>
      <c r="F431" s="355">
        <f>+VLOOKUP($E431,Final_nrj!$1:$1048576,F$2,FALSE)</f>
        <v>0.96789552570000004</v>
      </c>
      <c r="G431" s="356"/>
      <c r="H431" s="356"/>
      <c r="I431" s="356"/>
      <c r="J431" s="356"/>
      <c r="K431" s="356"/>
      <c r="L431" s="356"/>
      <c r="M431" s="356"/>
      <c r="N431" s="356"/>
      <c r="O431" s="356"/>
      <c r="P431" s="356"/>
      <c r="Q431" s="356"/>
      <c r="R431" s="356"/>
      <c r="S431" s="356"/>
      <c r="T431" s="356"/>
      <c r="U431" s="356"/>
      <c r="V431" s="356"/>
      <c r="W431" s="356"/>
      <c r="X431" s="356"/>
      <c r="Y431" s="356"/>
      <c r="Z431" s="356"/>
      <c r="AA431" s="356"/>
      <c r="AB431" s="356"/>
      <c r="AC431" s="356"/>
      <c r="AD431" s="356"/>
      <c r="AE431" s="356"/>
      <c r="AF431" s="356"/>
      <c r="AG431" s="356"/>
      <c r="AH431" s="356"/>
      <c r="AI431" s="356"/>
      <c r="AJ431" s="356"/>
      <c r="AK431" s="356"/>
      <c r="AL431" s="356"/>
      <c r="AM431" s="356"/>
      <c r="AN431" s="356"/>
      <c r="AO431" s="356"/>
    </row>
    <row r="432" spans="1:41" s="73" customFormat="1" ht="15" customHeight="1" x14ac:dyDescent="0.25">
      <c r="A432" s="392"/>
      <c r="B432" s="395"/>
      <c r="C432" s="146"/>
      <c r="D432" s="146" t="s">
        <v>1066</v>
      </c>
      <c r="E432" s="80" t="s">
        <v>2135</v>
      </c>
      <c r="F432" s="355">
        <f>+VLOOKUP($E432,Final_nrj!$1:$1048576,F$2,FALSE)</f>
        <v>13.28085467</v>
      </c>
      <c r="G432" s="356"/>
      <c r="H432" s="356"/>
      <c r="I432" s="356"/>
      <c r="J432" s="356"/>
      <c r="K432" s="356"/>
      <c r="L432" s="356"/>
      <c r="M432" s="356"/>
      <c r="N432" s="356"/>
      <c r="O432" s="356"/>
      <c r="P432" s="356"/>
      <c r="Q432" s="356"/>
      <c r="R432" s="356"/>
      <c r="S432" s="356"/>
      <c r="T432" s="356"/>
      <c r="U432" s="356"/>
      <c r="V432" s="356"/>
      <c r="W432" s="356"/>
      <c r="X432" s="356"/>
      <c r="Y432" s="356"/>
      <c r="Z432" s="356"/>
      <c r="AA432" s="356"/>
      <c r="AB432" s="356"/>
      <c r="AC432" s="356"/>
      <c r="AD432" s="356"/>
      <c r="AE432" s="356"/>
      <c r="AF432" s="356"/>
      <c r="AG432" s="356"/>
      <c r="AH432" s="356"/>
      <c r="AI432" s="356"/>
      <c r="AJ432" s="356"/>
      <c r="AK432" s="356"/>
      <c r="AL432" s="356"/>
      <c r="AM432" s="356"/>
      <c r="AN432" s="356"/>
      <c r="AO432" s="356"/>
    </row>
    <row r="433" spans="1:41" s="73" customFormat="1" ht="15" customHeight="1" x14ac:dyDescent="0.25">
      <c r="A433" s="392"/>
      <c r="B433" s="395"/>
      <c r="C433" s="146"/>
      <c r="D433" s="146" t="s">
        <v>1067</v>
      </c>
      <c r="E433" s="80" t="s">
        <v>2136</v>
      </c>
      <c r="F433" s="355">
        <f>+VLOOKUP($E433,Final_nrj!$1:$1048576,F$2,FALSE)</f>
        <v>10.66675435</v>
      </c>
      <c r="G433" s="356"/>
      <c r="H433" s="356"/>
      <c r="I433" s="356"/>
      <c r="J433" s="356"/>
      <c r="K433" s="356"/>
      <c r="L433" s="356"/>
      <c r="M433" s="356"/>
      <c r="N433" s="356"/>
      <c r="O433" s="356"/>
      <c r="P433" s="356"/>
      <c r="Q433" s="356"/>
      <c r="R433" s="356"/>
      <c r="S433" s="356"/>
      <c r="T433" s="356"/>
      <c r="U433" s="356"/>
      <c r="V433" s="356"/>
      <c r="W433" s="356"/>
      <c r="X433" s="356"/>
      <c r="Y433" s="356"/>
      <c r="Z433" s="356"/>
      <c r="AA433" s="356"/>
      <c r="AB433" s="356"/>
      <c r="AC433" s="356"/>
      <c r="AD433" s="356"/>
      <c r="AE433" s="356"/>
      <c r="AF433" s="356"/>
      <c r="AG433" s="356"/>
      <c r="AH433" s="356"/>
      <c r="AI433" s="356"/>
      <c r="AJ433" s="356"/>
      <c r="AK433" s="356"/>
      <c r="AL433" s="356"/>
      <c r="AM433" s="356"/>
      <c r="AN433" s="356"/>
      <c r="AO433" s="356"/>
    </row>
    <row r="434" spans="1:41" s="73" customFormat="1" ht="15" customHeight="1" x14ac:dyDescent="0.25">
      <c r="A434" s="392"/>
      <c r="B434" s="395"/>
      <c r="C434" s="146"/>
      <c r="D434" s="146" t="s">
        <v>1068</v>
      </c>
      <c r="E434" s="80" t="s">
        <v>2137</v>
      </c>
      <c r="F434" s="355">
        <f>+VLOOKUP($E434,Final_nrj!$1:$1048576,F$2,FALSE)</f>
        <v>1.185692003</v>
      </c>
      <c r="G434" s="356"/>
      <c r="H434" s="356"/>
      <c r="I434" s="356"/>
      <c r="J434" s="356"/>
      <c r="K434" s="356"/>
      <c r="L434" s="356"/>
      <c r="M434" s="356"/>
      <c r="N434" s="356"/>
      <c r="O434" s="356"/>
      <c r="P434" s="356"/>
      <c r="Q434" s="356"/>
      <c r="R434" s="356"/>
      <c r="S434" s="356"/>
      <c r="T434" s="356"/>
      <c r="U434" s="356"/>
      <c r="V434" s="356"/>
      <c r="W434" s="356"/>
      <c r="X434" s="356"/>
      <c r="Y434" s="356"/>
      <c r="Z434" s="356"/>
      <c r="AA434" s="356"/>
      <c r="AB434" s="356"/>
      <c r="AC434" s="356"/>
      <c r="AD434" s="356"/>
      <c r="AE434" s="356"/>
      <c r="AF434" s="356"/>
      <c r="AG434" s="356"/>
      <c r="AH434" s="356"/>
      <c r="AI434" s="356"/>
      <c r="AJ434" s="356"/>
      <c r="AK434" s="356"/>
      <c r="AL434" s="356"/>
      <c r="AM434" s="356"/>
      <c r="AN434" s="356"/>
      <c r="AO434" s="356"/>
    </row>
    <row r="435" spans="1:41" s="73" customFormat="1" ht="15" customHeight="1" x14ac:dyDescent="0.25">
      <c r="A435" s="392"/>
      <c r="B435" s="395"/>
      <c r="C435" s="146"/>
      <c r="D435" s="146" t="s">
        <v>1069</v>
      </c>
      <c r="E435" s="80" t="s">
        <v>2138</v>
      </c>
      <c r="F435" s="355">
        <f>+VLOOKUP($E435,Final_nrj!$1:$1048576,F$2,FALSE)</f>
        <v>1.297393003</v>
      </c>
      <c r="G435" s="356"/>
      <c r="H435" s="356"/>
      <c r="I435" s="356"/>
      <c r="J435" s="356"/>
      <c r="K435" s="356"/>
      <c r="L435" s="356"/>
      <c r="M435" s="356"/>
      <c r="N435" s="356"/>
      <c r="O435" s="356"/>
      <c r="P435" s="356"/>
      <c r="Q435" s="356"/>
      <c r="R435" s="356"/>
      <c r="S435" s="356"/>
      <c r="T435" s="356"/>
      <c r="U435" s="356"/>
      <c r="V435" s="356"/>
      <c r="W435" s="356"/>
      <c r="X435" s="356"/>
      <c r="Y435" s="356"/>
      <c r="Z435" s="356"/>
      <c r="AA435" s="356"/>
      <c r="AB435" s="356"/>
      <c r="AC435" s="356"/>
      <c r="AD435" s="356"/>
      <c r="AE435" s="356"/>
      <c r="AF435" s="356"/>
      <c r="AG435" s="356"/>
      <c r="AH435" s="356"/>
      <c r="AI435" s="356"/>
      <c r="AJ435" s="356"/>
      <c r="AK435" s="356"/>
      <c r="AL435" s="356"/>
      <c r="AM435" s="356"/>
      <c r="AN435" s="356"/>
      <c r="AO435" s="356"/>
    </row>
    <row r="436" spans="1:41" s="73" customFormat="1" ht="15" customHeight="1" x14ac:dyDescent="0.25">
      <c r="A436" s="392"/>
      <c r="B436" s="395"/>
      <c r="C436" s="146"/>
      <c r="D436" s="146" t="s">
        <v>1071</v>
      </c>
      <c r="E436" s="80" t="s">
        <v>2139</v>
      </c>
      <c r="F436" s="355">
        <f>+VLOOKUP($E436,Final_nrj!$1:$1048576,F$2,FALSE)</f>
        <v>8.392555711</v>
      </c>
      <c r="G436" s="356"/>
      <c r="H436" s="356"/>
      <c r="I436" s="356"/>
      <c r="J436" s="356"/>
      <c r="K436" s="356"/>
      <c r="L436" s="356"/>
      <c r="M436" s="356"/>
      <c r="N436" s="356"/>
      <c r="O436" s="356"/>
      <c r="P436" s="356"/>
      <c r="Q436" s="356"/>
      <c r="R436" s="356"/>
      <c r="S436" s="356"/>
      <c r="T436" s="356"/>
      <c r="U436" s="356"/>
      <c r="V436" s="356"/>
      <c r="W436" s="356"/>
      <c r="X436" s="356"/>
      <c r="Y436" s="356"/>
      <c r="Z436" s="356"/>
      <c r="AA436" s="356"/>
      <c r="AB436" s="356"/>
      <c r="AC436" s="356"/>
      <c r="AD436" s="356"/>
      <c r="AE436" s="356"/>
      <c r="AF436" s="356"/>
      <c r="AG436" s="356"/>
      <c r="AH436" s="356"/>
      <c r="AI436" s="356"/>
      <c r="AJ436" s="356"/>
      <c r="AK436" s="356"/>
      <c r="AL436" s="356"/>
      <c r="AM436" s="356"/>
      <c r="AN436" s="356"/>
      <c r="AO436" s="356"/>
    </row>
    <row r="437" spans="1:41" s="108" customFormat="1" ht="15" customHeight="1" x14ac:dyDescent="0.25">
      <c r="A437" s="392"/>
      <c r="B437" s="395"/>
      <c r="C437" s="148" t="s">
        <v>800</v>
      </c>
      <c r="D437" s="148"/>
      <c r="E437" s="90" t="s">
        <v>1081</v>
      </c>
      <c r="F437" s="354">
        <f>+VLOOKUP($E437,Final_nrj!$1:$1048576,F$2,FALSE)</f>
        <v>22.47585677</v>
      </c>
      <c r="G437" s="354"/>
      <c r="H437" s="354"/>
      <c r="I437" s="354"/>
      <c r="J437" s="354"/>
      <c r="K437" s="354"/>
      <c r="L437" s="354"/>
      <c r="M437" s="354"/>
      <c r="N437" s="354"/>
      <c r="O437" s="354"/>
      <c r="P437" s="354"/>
      <c r="Q437" s="354"/>
      <c r="R437" s="354"/>
      <c r="S437" s="354"/>
      <c r="T437" s="354"/>
      <c r="U437" s="354"/>
      <c r="V437" s="354"/>
      <c r="W437" s="354"/>
      <c r="X437" s="354"/>
      <c r="Y437" s="354"/>
      <c r="Z437" s="354"/>
      <c r="AA437" s="354"/>
      <c r="AB437" s="354"/>
      <c r="AC437" s="354"/>
      <c r="AD437" s="354"/>
      <c r="AE437" s="354"/>
      <c r="AF437" s="354"/>
      <c r="AG437" s="354"/>
      <c r="AH437" s="354"/>
      <c r="AI437" s="354"/>
      <c r="AJ437" s="354"/>
      <c r="AK437" s="354"/>
      <c r="AL437" s="354"/>
      <c r="AM437" s="354"/>
      <c r="AN437" s="354"/>
      <c r="AO437" s="354"/>
    </row>
    <row r="438" spans="1:41" s="73" customFormat="1" ht="15" customHeight="1" x14ac:dyDescent="0.25">
      <c r="A438" s="392"/>
      <c r="B438" s="395"/>
      <c r="C438" s="146"/>
      <c r="D438" s="146" t="s">
        <v>1064</v>
      </c>
      <c r="E438" s="80" t="s">
        <v>2140</v>
      </c>
      <c r="F438" s="355" t="e">
        <f>+VLOOKUP($E438,Final_nrj!$1:$1048576,F$2,FALSE)</f>
        <v>#N/A</v>
      </c>
      <c r="G438" s="356"/>
      <c r="H438" s="356"/>
      <c r="I438" s="356"/>
      <c r="J438" s="356"/>
      <c r="K438" s="356"/>
      <c r="L438" s="356"/>
      <c r="M438" s="356"/>
      <c r="N438" s="356"/>
      <c r="O438" s="356"/>
      <c r="P438" s="356"/>
      <c r="Q438" s="356"/>
      <c r="R438" s="356"/>
      <c r="S438" s="356"/>
      <c r="T438" s="356"/>
      <c r="U438" s="356"/>
      <c r="V438" s="356"/>
      <c r="W438" s="356"/>
      <c r="X438" s="356"/>
      <c r="Y438" s="356"/>
      <c r="Z438" s="356"/>
      <c r="AA438" s="356"/>
      <c r="AB438" s="356"/>
      <c r="AC438" s="356"/>
      <c r="AD438" s="356"/>
      <c r="AE438" s="356"/>
      <c r="AF438" s="356"/>
      <c r="AG438" s="356"/>
      <c r="AH438" s="356"/>
      <c r="AI438" s="356"/>
      <c r="AJ438" s="356"/>
      <c r="AK438" s="356"/>
      <c r="AL438" s="356"/>
      <c r="AM438" s="356"/>
      <c r="AN438" s="356"/>
      <c r="AO438" s="356"/>
    </row>
    <row r="439" spans="1:41" s="73" customFormat="1" ht="15" customHeight="1" x14ac:dyDescent="0.25">
      <c r="A439" s="392"/>
      <c r="B439" s="395"/>
      <c r="C439" s="146"/>
      <c r="D439" s="146" t="s">
        <v>1070</v>
      </c>
      <c r="E439" s="80" t="s">
        <v>2141</v>
      </c>
      <c r="F439" s="355" t="e">
        <f>+VLOOKUP($E439,Final_nrj!$1:$1048576,F$2,FALSE)</f>
        <v>#N/A</v>
      </c>
      <c r="G439" s="356"/>
      <c r="H439" s="356"/>
      <c r="I439" s="356"/>
      <c r="J439" s="356"/>
      <c r="K439" s="356"/>
      <c r="L439" s="356"/>
      <c r="M439" s="356"/>
      <c r="N439" s="356"/>
      <c r="O439" s="356"/>
      <c r="P439" s="356"/>
      <c r="Q439" s="356"/>
      <c r="R439" s="356"/>
      <c r="S439" s="356"/>
      <c r="T439" s="356"/>
      <c r="U439" s="356"/>
      <c r="V439" s="356"/>
      <c r="W439" s="356"/>
      <c r="X439" s="356"/>
      <c r="Y439" s="356"/>
      <c r="Z439" s="356"/>
      <c r="AA439" s="356"/>
      <c r="AB439" s="356"/>
      <c r="AC439" s="356"/>
      <c r="AD439" s="356"/>
      <c r="AE439" s="356"/>
      <c r="AF439" s="356"/>
      <c r="AG439" s="356"/>
      <c r="AH439" s="356"/>
      <c r="AI439" s="356"/>
      <c r="AJ439" s="356"/>
      <c r="AK439" s="356"/>
      <c r="AL439" s="356"/>
      <c r="AM439" s="356"/>
      <c r="AN439" s="356"/>
      <c r="AO439" s="356"/>
    </row>
    <row r="440" spans="1:41" s="73" customFormat="1" ht="15" customHeight="1" x14ac:dyDescent="0.25">
      <c r="A440" s="392"/>
      <c r="B440" s="395"/>
      <c r="C440" s="146"/>
      <c r="D440" s="146" t="s">
        <v>1065</v>
      </c>
      <c r="E440" s="80" t="s">
        <v>2142</v>
      </c>
      <c r="F440" s="355" t="e">
        <f>+VLOOKUP($E440,Final_nrj!$1:$1048576,F$2,FALSE)</f>
        <v>#N/A</v>
      </c>
      <c r="G440" s="356"/>
      <c r="H440" s="356"/>
      <c r="I440" s="356"/>
      <c r="J440" s="356"/>
      <c r="K440" s="356"/>
      <c r="L440" s="356"/>
      <c r="M440" s="356"/>
      <c r="N440" s="356"/>
      <c r="O440" s="356"/>
      <c r="P440" s="356"/>
      <c r="Q440" s="356"/>
      <c r="R440" s="356"/>
      <c r="S440" s="356"/>
      <c r="T440" s="356"/>
      <c r="U440" s="356"/>
      <c r="V440" s="356"/>
      <c r="W440" s="356"/>
      <c r="X440" s="356"/>
      <c r="Y440" s="356"/>
      <c r="Z440" s="356"/>
      <c r="AA440" s="356"/>
      <c r="AB440" s="356"/>
      <c r="AC440" s="356"/>
      <c r="AD440" s="356"/>
      <c r="AE440" s="356"/>
      <c r="AF440" s="356"/>
      <c r="AG440" s="356"/>
      <c r="AH440" s="356"/>
      <c r="AI440" s="356"/>
      <c r="AJ440" s="356"/>
      <c r="AK440" s="356"/>
      <c r="AL440" s="356"/>
      <c r="AM440" s="356"/>
      <c r="AN440" s="356"/>
      <c r="AO440" s="356"/>
    </row>
    <row r="441" spans="1:41" s="73" customFormat="1" ht="15" customHeight="1" x14ac:dyDescent="0.25">
      <c r="A441" s="392"/>
      <c r="B441" s="395"/>
      <c r="C441" s="146"/>
      <c r="D441" s="146" t="s">
        <v>1066</v>
      </c>
      <c r="E441" s="80" t="s">
        <v>2143</v>
      </c>
      <c r="F441" s="355" t="e">
        <f>+VLOOKUP($E441,Final_nrj!$1:$1048576,F$2,FALSE)</f>
        <v>#N/A</v>
      </c>
      <c r="G441" s="356"/>
      <c r="H441" s="356"/>
      <c r="I441" s="356"/>
      <c r="J441" s="356"/>
      <c r="K441" s="356"/>
      <c r="L441" s="356"/>
      <c r="M441" s="356"/>
      <c r="N441" s="356"/>
      <c r="O441" s="356"/>
      <c r="P441" s="356"/>
      <c r="Q441" s="356"/>
      <c r="R441" s="356"/>
      <c r="S441" s="356"/>
      <c r="T441" s="356"/>
      <c r="U441" s="356"/>
      <c r="V441" s="356"/>
      <c r="W441" s="356"/>
      <c r="X441" s="356"/>
      <c r="Y441" s="356"/>
      <c r="Z441" s="356"/>
      <c r="AA441" s="356"/>
      <c r="AB441" s="356"/>
      <c r="AC441" s="356"/>
      <c r="AD441" s="356"/>
      <c r="AE441" s="356"/>
      <c r="AF441" s="356"/>
      <c r="AG441" s="356"/>
      <c r="AH441" s="356"/>
      <c r="AI441" s="356"/>
      <c r="AJ441" s="356"/>
      <c r="AK441" s="356"/>
      <c r="AL441" s="356"/>
      <c r="AM441" s="356"/>
      <c r="AN441" s="356"/>
      <c r="AO441" s="356"/>
    </row>
    <row r="442" spans="1:41" s="73" customFormat="1" ht="15" customHeight="1" x14ac:dyDescent="0.25">
      <c r="A442" s="392"/>
      <c r="B442" s="395"/>
      <c r="C442" s="146"/>
      <c r="D442" s="146" t="s">
        <v>1067</v>
      </c>
      <c r="E442" s="80" t="s">
        <v>2144</v>
      </c>
      <c r="F442" s="355" t="e">
        <f>+VLOOKUP($E442,Final_nrj!$1:$1048576,F$2,FALSE)</f>
        <v>#N/A</v>
      </c>
      <c r="G442" s="356"/>
      <c r="H442" s="356"/>
      <c r="I442" s="356"/>
      <c r="J442" s="356"/>
      <c r="K442" s="356"/>
      <c r="L442" s="356"/>
      <c r="M442" s="356"/>
      <c r="N442" s="356"/>
      <c r="O442" s="356"/>
      <c r="P442" s="356"/>
      <c r="Q442" s="356"/>
      <c r="R442" s="356"/>
      <c r="S442" s="356"/>
      <c r="T442" s="356"/>
      <c r="U442" s="356"/>
      <c r="V442" s="356"/>
      <c r="W442" s="356"/>
      <c r="X442" s="356"/>
      <c r="Y442" s="356"/>
      <c r="Z442" s="356"/>
      <c r="AA442" s="356"/>
      <c r="AB442" s="356"/>
      <c r="AC442" s="356"/>
      <c r="AD442" s="356"/>
      <c r="AE442" s="356"/>
      <c r="AF442" s="356"/>
      <c r="AG442" s="356"/>
      <c r="AH442" s="356"/>
      <c r="AI442" s="356"/>
      <c r="AJ442" s="356"/>
      <c r="AK442" s="356"/>
      <c r="AL442" s="356"/>
      <c r="AM442" s="356"/>
      <c r="AN442" s="356"/>
      <c r="AO442" s="356"/>
    </row>
    <row r="443" spans="1:41" s="73" customFormat="1" ht="15" customHeight="1" x14ac:dyDescent="0.25">
      <c r="A443" s="392"/>
      <c r="B443" s="395"/>
      <c r="C443" s="146"/>
      <c r="D443" s="146" t="s">
        <v>1068</v>
      </c>
      <c r="E443" s="80" t="s">
        <v>2145</v>
      </c>
      <c r="F443" s="355" t="e">
        <f>+VLOOKUP($E443,Final_nrj!$1:$1048576,F$2,FALSE)</f>
        <v>#N/A</v>
      </c>
      <c r="G443" s="356"/>
      <c r="H443" s="356"/>
      <c r="I443" s="356"/>
      <c r="J443" s="356"/>
      <c r="K443" s="356"/>
      <c r="L443" s="356"/>
      <c r="M443" s="356"/>
      <c r="N443" s="356"/>
      <c r="O443" s="356"/>
      <c r="P443" s="356"/>
      <c r="Q443" s="356"/>
      <c r="R443" s="356"/>
      <c r="S443" s="356"/>
      <c r="T443" s="356"/>
      <c r="U443" s="356"/>
      <c r="V443" s="356"/>
      <c r="W443" s="356"/>
      <c r="X443" s="356"/>
      <c r="Y443" s="356"/>
      <c r="Z443" s="356"/>
      <c r="AA443" s="356"/>
      <c r="AB443" s="356"/>
      <c r="AC443" s="356"/>
      <c r="AD443" s="356"/>
      <c r="AE443" s="356"/>
      <c r="AF443" s="356"/>
      <c r="AG443" s="356"/>
      <c r="AH443" s="356"/>
      <c r="AI443" s="356"/>
      <c r="AJ443" s="356"/>
      <c r="AK443" s="356"/>
      <c r="AL443" s="356"/>
      <c r="AM443" s="356"/>
      <c r="AN443" s="356"/>
      <c r="AO443" s="356"/>
    </row>
    <row r="444" spans="1:41" s="73" customFormat="1" ht="15" customHeight="1" x14ac:dyDescent="0.25">
      <c r="A444" s="392"/>
      <c r="B444" s="395"/>
      <c r="C444" s="146"/>
      <c r="D444" s="146" t="s">
        <v>1069</v>
      </c>
      <c r="E444" s="80" t="s">
        <v>2146</v>
      </c>
      <c r="F444" s="355" t="e">
        <f>+VLOOKUP($E444,Final_nrj!$1:$1048576,F$2,FALSE)</f>
        <v>#N/A</v>
      </c>
      <c r="G444" s="356"/>
      <c r="H444" s="356"/>
      <c r="I444" s="356"/>
      <c r="J444" s="356"/>
      <c r="K444" s="356"/>
      <c r="L444" s="356"/>
      <c r="M444" s="356"/>
      <c r="N444" s="356"/>
      <c r="O444" s="356"/>
      <c r="P444" s="356"/>
      <c r="Q444" s="356"/>
      <c r="R444" s="356"/>
      <c r="S444" s="356"/>
      <c r="T444" s="356"/>
      <c r="U444" s="356"/>
      <c r="V444" s="356"/>
      <c r="W444" s="356"/>
      <c r="X444" s="356"/>
      <c r="Y444" s="356"/>
      <c r="Z444" s="356"/>
      <c r="AA444" s="356"/>
      <c r="AB444" s="356"/>
      <c r="AC444" s="356"/>
      <c r="AD444" s="356"/>
      <c r="AE444" s="356"/>
      <c r="AF444" s="356"/>
      <c r="AG444" s="356"/>
      <c r="AH444" s="356"/>
      <c r="AI444" s="356"/>
      <c r="AJ444" s="356"/>
      <c r="AK444" s="356"/>
      <c r="AL444" s="356"/>
      <c r="AM444" s="356"/>
      <c r="AN444" s="356"/>
      <c r="AO444" s="356"/>
    </row>
    <row r="445" spans="1:41" s="73" customFormat="1" ht="15" customHeight="1" x14ac:dyDescent="0.25">
      <c r="A445" s="392"/>
      <c r="B445" s="395"/>
      <c r="C445" s="146"/>
      <c r="D445" s="146" t="s">
        <v>1071</v>
      </c>
      <c r="E445" s="80" t="s">
        <v>2147</v>
      </c>
      <c r="F445" s="355" t="e">
        <f>+VLOOKUP($E445,Final_nrj!$1:$1048576,F$2,FALSE)</f>
        <v>#N/A</v>
      </c>
      <c r="G445" s="356"/>
      <c r="H445" s="356"/>
      <c r="I445" s="356"/>
      <c r="J445" s="356"/>
      <c r="K445" s="356"/>
      <c r="L445" s="356"/>
      <c r="M445" s="356"/>
      <c r="N445" s="356"/>
      <c r="O445" s="356"/>
      <c r="P445" s="356"/>
      <c r="Q445" s="356"/>
      <c r="R445" s="356"/>
      <c r="S445" s="356"/>
      <c r="T445" s="356"/>
      <c r="U445" s="356"/>
      <c r="V445" s="356"/>
      <c r="W445" s="356"/>
      <c r="X445" s="356"/>
      <c r="Y445" s="356"/>
      <c r="Z445" s="356"/>
      <c r="AA445" s="356"/>
      <c r="AB445" s="356"/>
      <c r="AC445" s="356"/>
      <c r="AD445" s="356"/>
      <c r="AE445" s="356"/>
      <c r="AF445" s="356"/>
      <c r="AG445" s="356"/>
      <c r="AH445" s="356"/>
      <c r="AI445" s="356"/>
      <c r="AJ445" s="356"/>
      <c r="AK445" s="356"/>
      <c r="AL445" s="356"/>
      <c r="AM445" s="356"/>
      <c r="AN445" s="356"/>
      <c r="AO445" s="356"/>
    </row>
    <row r="446" spans="1:41" ht="15" customHeight="1" x14ac:dyDescent="0.25">
      <c r="A446" s="384" t="s">
        <v>1008</v>
      </c>
      <c r="B446" s="386" t="s">
        <v>1009</v>
      </c>
      <c r="C446" s="169" t="s">
        <v>1083</v>
      </c>
      <c r="D446" s="131"/>
      <c r="E446" s="309"/>
      <c r="F446" s="314"/>
      <c r="G446" s="314"/>
      <c r="H446" s="314"/>
      <c r="I446" s="314"/>
      <c r="J446" s="314"/>
      <c r="K446" s="314"/>
      <c r="L446" s="314"/>
      <c r="M446" s="314"/>
      <c r="N446" s="314"/>
      <c r="O446" s="314"/>
      <c r="P446" s="314"/>
      <c r="Q446" s="314"/>
      <c r="R446" s="314"/>
      <c r="S446" s="314"/>
      <c r="T446" s="314"/>
      <c r="U446" s="314"/>
      <c r="V446" s="314"/>
      <c r="W446" s="314"/>
      <c r="X446" s="314"/>
      <c r="Y446" s="314"/>
      <c r="Z446" s="314"/>
      <c r="AA446" s="314"/>
      <c r="AB446" s="314"/>
      <c r="AC446" s="314"/>
      <c r="AD446" s="314"/>
      <c r="AE446" s="314"/>
      <c r="AF446" s="314"/>
      <c r="AG446" s="314"/>
      <c r="AH446" s="314"/>
      <c r="AI446" s="314"/>
      <c r="AJ446" s="314"/>
      <c r="AK446" s="314"/>
      <c r="AL446" s="314"/>
      <c r="AM446" s="314"/>
      <c r="AN446" s="314"/>
      <c r="AO446" s="314"/>
    </row>
    <row r="447" spans="1:41" s="73" customFormat="1" x14ac:dyDescent="0.25">
      <c r="A447" s="384"/>
      <c r="B447" s="386"/>
      <c r="C447" s="169" t="s">
        <v>1084</v>
      </c>
      <c r="D447" s="131"/>
      <c r="E447" s="53"/>
      <c r="F447" s="314"/>
      <c r="G447" s="314"/>
      <c r="H447" s="314"/>
      <c r="I447" s="314"/>
      <c r="J447" s="314"/>
      <c r="K447" s="314"/>
      <c r="L447" s="314"/>
      <c r="M447" s="314"/>
      <c r="N447" s="314"/>
      <c r="O447" s="314"/>
      <c r="P447" s="314"/>
      <c r="Q447" s="314"/>
      <c r="R447" s="314"/>
      <c r="S447" s="314"/>
      <c r="T447" s="314"/>
      <c r="U447" s="314"/>
      <c r="V447" s="314"/>
      <c r="W447" s="314"/>
      <c r="X447" s="314"/>
      <c r="Y447" s="314"/>
      <c r="Z447" s="314"/>
      <c r="AA447" s="314"/>
      <c r="AB447" s="314"/>
      <c r="AC447" s="314"/>
      <c r="AD447" s="314"/>
      <c r="AE447" s="314"/>
      <c r="AF447" s="314"/>
      <c r="AG447" s="314"/>
      <c r="AH447" s="314"/>
      <c r="AI447" s="314"/>
      <c r="AJ447" s="314"/>
      <c r="AK447" s="314"/>
      <c r="AL447" s="314"/>
      <c r="AM447" s="314"/>
      <c r="AN447" s="314"/>
      <c r="AO447" s="314"/>
    </row>
    <row r="448" spans="1:41" s="73" customFormat="1" x14ac:dyDescent="0.25">
      <c r="A448" s="384"/>
      <c r="B448" s="386"/>
      <c r="C448" s="131"/>
      <c r="D448" s="131" t="s">
        <v>604</v>
      </c>
      <c r="E448" s="53" t="s">
        <v>1090</v>
      </c>
      <c r="F448" s="314"/>
      <c r="G448" s="314"/>
      <c r="H448" s="314"/>
      <c r="I448" s="314"/>
      <c r="J448" s="314"/>
      <c r="K448" s="314"/>
      <c r="L448" s="314"/>
      <c r="M448" s="314"/>
      <c r="N448" s="314"/>
      <c r="O448" s="314"/>
      <c r="P448" s="314"/>
      <c r="Q448" s="314"/>
      <c r="R448" s="314"/>
      <c r="S448" s="314"/>
      <c r="T448" s="314"/>
      <c r="U448" s="314"/>
      <c r="V448" s="314"/>
      <c r="W448" s="314"/>
      <c r="X448" s="314"/>
      <c r="Y448" s="314"/>
      <c r="Z448" s="314"/>
      <c r="AA448" s="314"/>
      <c r="AB448" s="314"/>
      <c r="AC448" s="314"/>
      <c r="AD448" s="314"/>
      <c r="AE448" s="314"/>
      <c r="AF448" s="314"/>
      <c r="AG448" s="314"/>
      <c r="AH448" s="314"/>
      <c r="AI448" s="314"/>
      <c r="AJ448" s="314"/>
      <c r="AK448" s="314"/>
      <c r="AL448" s="314"/>
      <c r="AM448" s="314"/>
      <c r="AN448" s="314"/>
      <c r="AO448" s="314"/>
    </row>
    <row r="449" spans="1:41" s="73" customFormat="1" x14ac:dyDescent="0.25">
      <c r="A449" s="384"/>
      <c r="B449" s="386"/>
      <c r="C449" s="131"/>
      <c r="D449" s="131" t="s">
        <v>605</v>
      </c>
      <c r="E449" s="53" t="s">
        <v>1091</v>
      </c>
      <c r="F449" s="314"/>
      <c r="G449" s="314"/>
      <c r="H449" s="314"/>
      <c r="I449" s="314"/>
      <c r="J449" s="314"/>
      <c r="K449" s="314"/>
      <c r="L449" s="314"/>
      <c r="M449" s="314"/>
      <c r="N449" s="314"/>
      <c r="O449" s="314"/>
      <c r="P449" s="314"/>
      <c r="Q449" s="314"/>
      <c r="R449" s="314"/>
      <c r="S449" s="314"/>
      <c r="T449" s="314"/>
      <c r="U449" s="314"/>
      <c r="V449" s="314"/>
      <c r="W449" s="314"/>
      <c r="X449" s="314"/>
      <c r="Y449" s="314"/>
      <c r="Z449" s="314"/>
      <c r="AA449" s="314"/>
      <c r="AB449" s="314"/>
      <c r="AC449" s="314"/>
      <c r="AD449" s="314"/>
      <c r="AE449" s="314"/>
      <c r="AF449" s="314"/>
      <c r="AG449" s="314"/>
      <c r="AH449" s="314"/>
      <c r="AI449" s="314"/>
      <c r="AJ449" s="314"/>
      <c r="AK449" s="314"/>
      <c r="AL449" s="314"/>
      <c r="AM449" s="314"/>
      <c r="AN449" s="314"/>
      <c r="AO449" s="314"/>
    </row>
    <row r="450" spans="1:41" s="73" customFormat="1" x14ac:dyDescent="0.25">
      <c r="A450" s="384"/>
      <c r="B450" s="386"/>
      <c r="C450" s="131"/>
      <c r="D450" s="131" t="s">
        <v>606</v>
      </c>
      <c r="E450" s="53" t="s">
        <v>1092</v>
      </c>
      <c r="F450" s="314"/>
      <c r="G450" s="314"/>
      <c r="H450" s="314"/>
      <c r="I450" s="314"/>
      <c r="J450" s="314"/>
      <c r="K450" s="314"/>
      <c r="L450" s="314"/>
      <c r="M450" s="314"/>
      <c r="N450" s="314"/>
      <c r="O450" s="314"/>
      <c r="P450" s="314"/>
      <c r="Q450" s="314"/>
      <c r="R450" s="314"/>
      <c r="S450" s="314"/>
      <c r="T450" s="314"/>
      <c r="U450" s="314"/>
      <c r="V450" s="314"/>
      <c r="W450" s="314"/>
      <c r="X450" s="314"/>
      <c r="Y450" s="314"/>
      <c r="Z450" s="314"/>
      <c r="AA450" s="314"/>
      <c r="AB450" s="314"/>
      <c r="AC450" s="314"/>
      <c r="AD450" s="314"/>
      <c r="AE450" s="314"/>
      <c r="AF450" s="314"/>
      <c r="AG450" s="314"/>
      <c r="AH450" s="314"/>
      <c r="AI450" s="314"/>
      <c r="AJ450" s="314"/>
      <c r="AK450" s="314"/>
      <c r="AL450" s="314"/>
      <c r="AM450" s="314"/>
      <c r="AN450" s="314"/>
      <c r="AO450" s="314"/>
    </row>
    <row r="451" spans="1:41" s="73" customFormat="1" x14ac:dyDescent="0.25">
      <c r="A451" s="384"/>
      <c r="B451" s="386"/>
      <c r="C451" s="131"/>
      <c r="D451" s="131" t="s">
        <v>607</v>
      </c>
      <c r="E451" s="53" t="s">
        <v>1093</v>
      </c>
      <c r="F451" s="314"/>
      <c r="G451" s="314"/>
      <c r="H451" s="314"/>
      <c r="I451" s="314"/>
      <c r="J451" s="314"/>
      <c r="K451" s="314"/>
      <c r="L451" s="314"/>
      <c r="M451" s="314"/>
      <c r="N451" s="314"/>
      <c r="O451" s="314"/>
      <c r="P451" s="314"/>
      <c r="Q451" s="314"/>
      <c r="R451" s="314"/>
      <c r="S451" s="314"/>
      <c r="T451" s="314"/>
      <c r="U451" s="314"/>
      <c r="V451" s="314"/>
      <c r="W451" s="314"/>
      <c r="X451" s="314"/>
      <c r="Y451" s="314"/>
      <c r="Z451" s="314"/>
      <c r="AA451" s="314"/>
      <c r="AB451" s="314"/>
      <c r="AC451" s="314"/>
      <c r="AD451" s="314"/>
      <c r="AE451" s="314"/>
      <c r="AF451" s="314"/>
      <c r="AG451" s="314"/>
      <c r="AH451" s="314"/>
      <c r="AI451" s="314"/>
      <c r="AJ451" s="314"/>
      <c r="AK451" s="314"/>
      <c r="AL451" s="314"/>
      <c r="AM451" s="314"/>
      <c r="AN451" s="314"/>
      <c r="AO451" s="314"/>
    </row>
    <row r="452" spans="1:41" s="73" customFormat="1" x14ac:dyDescent="0.25">
      <c r="A452" s="384"/>
      <c r="B452" s="386"/>
      <c r="C452" s="131"/>
      <c r="D452" s="131" t="s">
        <v>608</v>
      </c>
      <c r="E452" s="53" t="s">
        <v>1094</v>
      </c>
      <c r="F452" s="314"/>
      <c r="G452" s="314"/>
      <c r="H452" s="314"/>
      <c r="I452" s="314"/>
      <c r="J452" s="314"/>
      <c r="K452" s="314"/>
      <c r="L452" s="314"/>
      <c r="M452" s="314"/>
      <c r="N452" s="314"/>
      <c r="O452" s="314"/>
      <c r="P452" s="314"/>
      <c r="Q452" s="314"/>
      <c r="R452" s="314"/>
      <c r="S452" s="314"/>
      <c r="T452" s="314"/>
      <c r="U452" s="314"/>
      <c r="V452" s="314"/>
      <c r="W452" s="314"/>
      <c r="X452" s="314"/>
      <c r="Y452" s="314"/>
      <c r="Z452" s="314"/>
      <c r="AA452" s="314"/>
      <c r="AB452" s="314"/>
      <c r="AC452" s="314"/>
      <c r="AD452" s="314"/>
      <c r="AE452" s="314"/>
      <c r="AF452" s="314"/>
      <c r="AG452" s="314"/>
      <c r="AH452" s="314"/>
      <c r="AI452" s="314"/>
      <c r="AJ452" s="314"/>
      <c r="AK452" s="314"/>
      <c r="AL452" s="314"/>
      <c r="AM452" s="314"/>
      <c r="AN452" s="314"/>
      <c r="AO452" s="314"/>
    </row>
    <row r="453" spans="1:41" s="73" customFormat="1" x14ac:dyDescent="0.25">
      <c r="A453" s="384"/>
      <c r="B453" s="386"/>
      <c r="C453" s="131"/>
      <c r="D453" s="131" t="s">
        <v>609</v>
      </c>
      <c r="E453" s="53" t="s">
        <v>1095</v>
      </c>
      <c r="F453" s="314"/>
      <c r="G453" s="314"/>
      <c r="H453" s="314"/>
      <c r="I453" s="314"/>
      <c r="J453" s="314"/>
      <c r="K453" s="314"/>
      <c r="L453" s="314"/>
      <c r="M453" s="314"/>
      <c r="N453" s="314"/>
      <c r="O453" s="314"/>
      <c r="P453" s="314"/>
      <c r="Q453" s="314"/>
      <c r="R453" s="314"/>
      <c r="S453" s="314"/>
      <c r="T453" s="314"/>
      <c r="U453" s="314"/>
      <c r="V453" s="314"/>
      <c r="W453" s="314"/>
      <c r="X453" s="314"/>
      <c r="Y453" s="314"/>
      <c r="Z453" s="314"/>
      <c r="AA453" s="314"/>
      <c r="AB453" s="314"/>
      <c r="AC453" s="314"/>
      <c r="AD453" s="314"/>
      <c r="AE453" s="314"/>
      <c r="AF453" s="314"/>
      <c r="AG453" s="314"/>
      <c r="AH453" s="314"/>
      <c r="AI453" s="314"/>
      <c r="AJ453" s="314"/>
      <c r="AK453" s="314"/>
      <c r="AL453" s="314"/>
      <c r="AM453" s="314"/>
      <c r="AN453" s="314"/>
      <c r="AO453" s="314"/>
    </row>
    <row r="454" spans="1:41" s="73" customFormat="1" x14ac:dyDescent="0.25">
      <c r="A454" s="384"/>
      <c r="B454" s="386"/>
      <c r="C454" s="131"/>
      <c r="D454" s="131" t="s">
        <v>610</v>
      </c>
      <c r="E454" s="53" t="s">
        <v>1096</v>
      </c>
      <c r="F454" s="314"/>
      <c r="G454" s="314"/>
      <c r="H454" s="314"/>
      <c r="I454" s="314"/>
      <c r="J454" s="314"/>
      <c r="K454" s="314"/>
      <c r="L454" s="314"/>
      <c r="M454" s="314"/>
      <c r="N454" s="314"/>
      <c r="O454" s="314"/>
      <c r="P454" s="314"/>
      <c r="Q454" s="314"/>
      <c r="R454" s="314"/>
      <c r="S454" s="314"/>
      <c r="T454" s="314"/>
      <c r="U454" s="314"/>
      <c r="V454" s="314"/>
      <c r="W454" s="314"/>
      <c r="X454" s="314"/>
      <c r="Y454" s="314"/>
      <c r="Z454" s="314"/>
      <c r="AA454" s="314"/>
      <c r="AB454" s="314"/>
      <c r="AC454" s="314"/>
      <c r="AD454" s="314"/>
      <c r="AE454" s="314"/>
      <c r="AF454" s="314"/>
      <c r="AG454" s="314"/>
      <c r="AH454" s="314"/>
      <c r="AI454" s="314"/>
      <c r="AJ454" s="314"/>
      <c r="AK454" s="314"/>
      <c r="AL454" s="314"/>
      <c r="AM454" s="314"/>
      <c r="AN454" s="314"/>
      <c r="AO454" s="314"/>
    </row>
    <row r="455" spans="1:41" s="73" customFormat="1" x14ac:dyDescent="0.25">
      <c r="A455" s="384"/>
      <c r="B455" s="386"/>
      <c r="C455" s="131"/>
      <c r="D455" s="131" t="s">
        <v>611</v>
      </c>
      <c r="E455" s="53" t="s">
        <v>1097</v>
      </c>
      <c r="F455" s="314"/>
      <c r="G455" s="314"/>
      <c r="H455" s="314"/>
      <c r="I455" s="314"/>
      <c r="J455" s="314"/>
      <c r="K455" s="314"/>
      <c r="L455" s="314"/>
      <c r="M455" s="314"/>
      <c r="N455" s="314"/>
      <c r="O455" s="314"/>
      <c r="P455" s="314"/>
      <c r="Q455" s="314"/>
      <c r="R455" s="314"/>
      <c r="S455" s="314"/>
      <c r="T455" s="314"/>
      <c r="U455" s="314"/>
      <c r="V455" s="314"/>
      <c r="W455" s="314"/>
      <c r="X455" s="314"/>
      <c r="Y455" s="314"/>
      <c r="Z455" s="314"/>
      <c r="AA455" s="314"/>
      <c r="AB455" s="314"/>
      <c r="AC455" s="314"/>
      <c r="AD455" s="314"/>
      <c r="AE455" s="314"/>
      <c r="AF455" s="314"/>
      <c r="AG455" s="314"/>
      <c r="AH455" s="314"/>
      <c r="AI455" s="314"/>
      <c r="AJ455" s="314"/>
      <c r="AK455" s="314"/>
      <c r="AL455" s="314"/>
      <c r="AM455" s="314"/>
      <c r="AN455" s="314"/>
      <c r="AO455" s="314"/>
    </row>
    <row r="456" spans="1:41" s="73" customFormat="1" x14ac:dyDescent="0.25">
      <c r="A456" s="384"/>
      <c r="B456" s="386"/>
      <c r="C456" s="131"/>
      <c r="D456" s="131" t="s">
        <v>612</v>
      </c>
      <c r="E456" s="53" t="s">
        <v>1098</v>
      </c>
      <c r="F456" s="314"/>
      <c r="G456" s="314"/>
      <c r="H456" s="314"/>
      <c r="I456" s="314"/>
      <c r="J456" s="314"/>
      <c r="K456" s="314"/>
      <c r="L456" s="314"/>
      <c r="M456" s="314"/>
      <c r="N456" s="314"/>
      <c r="O456" s="314"/>
      <c r="P456" s="314"/>
      <c r="Q456" s="314"/>
      <c r="R456" s="314"/>
      <c r="S456" s="314"/>
      <c r="T456" s="314"/>
      <c r="U456" s="314"/>
      <c r="V456" s="314"/>
      <c r="W456" s="314"/>
      <c r="X456" s="314"/>
      <c r="Y456" s="314"/>
      <c r="Z456" s="314"/>
      <c r="AA456" s="314"/>
      <c r="AB456" s="314"/>
      <c r="AC456" s="314"/>
      <c r="AD456" s="314"/>
      <c r="AE456" s="314"/>
      <c r="AF456" s="314"/>
      <c r="AG456" s="314"/>
      <c r="AH456" s="314"/>
      <c r="AI456" s="314"/>
      <c r="AJ456" s="314"/>
      <c r="AK456" s="314"/>
      <c r="AL456" s="314"/>
      <c r="AM456" s="314"/>
      <c r="AN456" s="314"/>
      <c r="AO456" s="314"/>
    </row>
    <row r="457" spans="1:41" s="73" customFormat="1" x14ac:dyDescent="0.25">
      <c r="A457" s="384"/>
      <c r="B457" s="386"/>
      <c r="C457" s="131"/>
      <c r="D457" s="131" t="s">
        <v>613</v>
      </c>
      <c r="E457" s="53" t="s">
        <v>1099</v>
      </c>
      <c r="F457" s="314"/>
      <c r="G457" s="314"/>
      <c r="H457" s="314"/>
      <c r="I457" s="314"/>
      <c r="J457" s="314"/>
      <c r="K457" s="314"/>
      <c r="L457" s="314"/>
      <c r="M457" s="314"/>
      <c r="N457" s="314"/>
      <c r="O457" s="314"/>
      <c r="P457" s="314"/>
      <c r="Q457" s="314"/>
      <c r="R457" s="314"/>
      <c r="S457" s="314"/>
      <c r="T457" s="314"/>
      <c r="U457" s="314"/>
      <c r="V457" s="314"/>
      <c r="W457" s="314"/>
      <c r="X457" s="314"/>
      <c r="Y457" s="314"/>
      <c r="Z457" s="314"/>
      <c r="AA457" s="314"/>
      <c r="AB457" s="314"/>
      <c r="AC457" s="314"/>
      <c r="AD457" s="314"/>
      <c r="AE457" s="314"/>
      <c r="AF457" s="314"/>
      <c r="AG457" s="314"/>
      <c r="AH457" s="314"/>
      <c r="AI457" s="314"/>
      <c r="AJ457" s="314"/>
      <c r="AK457" s="314"/>
      <c r="AL457" s="314"/>
      <c r="AM457" s="314"/>
      <c r="AN457" s="314"/>
      <c r="AO457" s="314"/>
    </row>
    <row r="458" spans="1:41" s="73" customFormat="1" x14ac:dyDescent="0.25">
      <c r="A458" s="384"/>
      <c r="B458" s="386"/>
      <c r="C458" s="131"/>
      <c r="D458" s="131" t="s">
        <v>614</v>
      </c>
      <c r="E458" s="53" t="s">
        <v>1100</v>
      </c>
      <c r="F458" s="314"/>
      <c r="G458" s="314"/>
      <c r="H458" s="314"/>
      <c r="I458" s="314"/>
      <c r="J458" s="314"/>
      <c r="K458" s="314"/>
      <c r="L458" s="314"/>
      <c r="M458" s="314"/>
      <c r="N458" s="314"/>
      <c r="O458" s="314"/>
      <c r="P458" s="314"/>
      <c r="Q458" s="314"/>
      <c r="R458" s="314"/>
      <c r="S458" s="314"/>
      <c r="T458" s="314"/>
      <c r="U458" s="314"/>
      <c r="V458" s="314"/>
      <c r="W458" s="314"/>
      <c r="X458" s="314"/>
      <c r="Y458" s="314"/>
      <c r="Z458" s="314"/>
      <c r="AA458" s="314"/>
      <c r="AB458" s="314"/>
      <c r="AC458" s="314"/>
      <c r="AD458" s="314"/>
      <c r="AE458" s="314"/>
      <c r="AF458" s="314"/>
      <c r="AG458" s="314"/>
      <c r="AH458" s="314"/>
      <c r="AI458" s="314"/>
      <c r="AJ458" s="314"/>
      <c r="AK458" s="314"/>
      <c r="AL458" s="314"/>
      <c r="AM458" s="314"/>
      <c r="AN458" s="314"/>
      <c r="AO458" s="314"/>
    </row>
    <row r="459" spans="1:41" s="73" customFormat="1" x14ac:dyDescent="0.25">
      <c r="A459" s="384"/>
      <c r="B459" s="386"/>
      <c r="C459" s="131"/>
      <c r="D459" s="131" t="s">
        <v>615</v>
      </c>
      <c r="E459" s="53" t="s">
        <v>1101</v>
      </c>
      <c r="F459" s="314"/>
      <c r="G459" s="314"/>
      <c r="H459" s="314"/>
      <c r="I459" s="314"/>
      <c r="J459" s="314"/>
      <c r="K459" s="314"/>
      <c r="L459" s="314"/>
      <c r="M459" s="314"/>
      <c r="N459" s="314"/>
      <c r="O459" s="314"/>
      <c r="P459" s="314"/>
      <c r="Q459" s="314"/>
      <c r="R459" s="314"/>
      <c r="S459" s="314"/>
      <c r="T459" s="314"/>
      <c r="U459" s="314"/>
      <c r="V459" s="314"/>
      <c r="W459" s="314"/>
      <c r="X459" s="314"/>
      <c r="Y459" s="314"/>
      <c r="Z459" s="314"/>
      <c r="AA459" s="314"/>
      <c r="AB459" s="314"/>
      <c r="AC459" s="314"/>
      <c r="AD459" s="314"/>
      <c r="AE459" s="314"/>
      <c r="AF459" s="314"/>
      <c r="AG459" s="314"/>
      <c r="AH459" s="314"/>
      <c r="AI459" s="314"/>
      <c r="AJ459" s="314"/>
      <c r="AK459" s="314"/>
      <c r="AL459" s="314"/>
      <c r="AM459" s="314"/>
      <c r="AN459" s="314"/>
      <c r="AO459" s="314"/>
    </row>
    <row r="460" spans="1:41" s="73" customFormat="1" x14ac:dyDescent="0.25">
      <c r="A460" s="384"/>
      <c r="B460" s="386"/>
      <c r="C460" s="131"/>
      <c r="D460" s="131" t="s">
        <v>616</v>
      </c>
      <c r="E460" s="53" t="s">
        <v>1102</v>
      </c>
      <c r="F460" s="314"/>
      <c r="G460" s="314"/>
      <c r="H460" s="314"/>
      <c r="I460" s="314"/>
      <c r="J460" s="314"/>
      <c r="K460" s="314"/>
      <c r="L460" s="314"/>
      <c r="M460" s="314"/>
      <c r="N460" s="314"/>
      <c r="O460" s="314"/>
      <c r="P460" s="314"/>
      <c r="Q460" s="314"/>
      <c r="R460" s="314"/>
      <c r="S460" s="314"/>
      <c r="T460" s="314"/>
      <c r="U460" s="314"/>
      <c r="V460" s="314"/>
      <c r="W460" s="314"/>
      <c r="X460" s="314"/>
      <c r="Y460" s="314"/>
      <c r="Z460" s="314"/>
      <c r="AA460" s="314"/>
      <c r="AB460" s="314"/>
      <c r="AC460" s="314"/>
      <c r="AD460" s="314"/>
      <c r="AE460" s="314"/>
      <c r="AF460" s="314"/>
      <c r="AG460" s="314"/>
      <c r="AH460" s="314"/>
      <c r="AI460" s="314"/>
      <c r="AJ460" s="314"/>
      <c r="AK460" s="314"/>
      <c r="AL460" s="314"/>
      <c r="AM460" s="314"/>
      <c r="AN460" s="314"/>
      <c r="AO460" s="314"/>
    </row>
    <row r="461" spans="1:41" s="73" customFormat="1" x14ac:dyDescent="0.25">
      <c r="A461" s="384"/>
      <c r="B461" s="386"/>
      <c r="C461" s="131"/>
      <c r="D461" s="131" t="s">
        <v>617</v>
      </c>
      <c r="E461" s="53" t="s">
        <v>1103</v>
      </c>
      <c r="F461" s="314"/>
      <c r="G461" s="314"/>
      <c r="H461" s="314"/>
      <c r="I461" s="314"/>
      <c r="J461" s="314"/>
      <c r="K461" s="314"/>
      <c r="L461" s="314"/>
      <c r="M461" s="314"/>
      <c r="N461" s="314"/>
      <c r="O461" s="314"/>
      <c r="P461" s="314"/>
      <c r="Q461" s="314"/>
      <c r="R461" s="314"/>
      <c r="S461" s="314"/>
      <c r="T461" s="314"/>
      <c r="U461" s="314"/>
      <c r="V461" s="314"/>
      <c r="W461" s="314"/>
      <c r="X461" s="314"/>
      <c r="Y461" s="314"/>
      <c r="Z461" s="314"/>
      <c r="AA461" s="314"/>
      <c r="AB461" s="314"/>
      <c r="AC461" s="314"/>
      <c r="AD461" s="314"/>
      <c r="AE461" s="314"/>
      <c r="AF461" s="314"/>
      <c r="AG461" s="314"/>
      <c r="AH461" s="314"/>
      <c r="AI461" s="314"/>
      <c r="AJ461" s="314"/>
      <c r="AK461" s="314"/>
      <c r="AL461" s="314"/>
      <c r="AM461" s="314"/>
      <c r="AN461" s="314"/>
      <c r="AO461" s="314"/>
    </row>
    <row r="462" spans="1:41" s="73" customFormat="1" x14ac:dyDescent="0.25">
      <c r="A462" s="384"/>
      <c r="B462" s="386"/>
      <c r="C462" s="131"/>
      <c r="D462" s="131" t="s">
        <v>618</v>
      </c>
      <c r="E462" s="53" t="s">
        <v>1104</v>
      </c>
      <c r="F462" s="314"/>
      <c r="G462" s="314"/>
      <c r="H462" s="314"/>
      <c r="I462" s="314"/>
      <c r="J462" s="314"/>
      <c r="K462" s="314"/>
      <c r="L462" s="314"/>
      <c r="M462" s="314"/>
      <c r="N462" s="314"/>
      <c r="O462" s="314"/>
      <c r="P462" s="314"/>
      <c r="Q462" s="314"/>
      <c r="R462" s="314"/>
      <c r="S462" s="314"/>
      <c r="T462" s="314"/>
      <c r="U462" s="314"/>
      <c r="V462" s="314"/>
      <c r="W462" s="314"/>
      <c r="X462" s="314"/>
      <c r="Y462" s="314"/>
      <c r="Z462" s="314"/>
      <c r="AA462" s="314"/>
      <c r="AB462" s="314"/>
      <c r="AC462" s="314"/>
      <c r="AD462" s="314"/>
      <c r="AE462" s="314"/>
      <c r="AF462" s="314"/>
      <c r="AG462" s="314"/>
      <c r="AH462" s="314"/>
      <c r="AI462" s="314"/>
      <c r="AJ462" s="314"/>
      <c r="AK462" s="314"/>
      <c r="AL462" s="314"/>
      <c r="AM462" s="314"/>
      <c r="AN462" s="314"/>
      <c r="AO462" s="314"/>
    </row>
    <row r="463" spans="1:41" s="73" customFormat="1" x14ac:dyDescent="0.25">
      <c r="A463" s="384"/>
      <c r="B463" s="386"/>
      <c r="C463" s="131"/>
      <c r="D463" s="131" t="s">
        <v>619</v>
      </c>
      <c r="E463" s="53" t="s">
        <v>1105</v>
      </c>
      <c r="F463" s="314"/>
      <c r="G463" s="314"/>
      <c r="H463" s="314"/>
      <c r="I463" s="314"/>
      <c r="J463" s="314"/>
      <c r="K463" s="314"/>
      <c r="L463" s="314"/>
      <c r="M463" s="314"/>
      <c r="N463" s="314"/>
      <c r="O463" s="314"/>
      <c r="P463" s="314"/>
      <c r="Q463" s="314"/>
      <c r="R463" s="314"/>
      <c r="S463" s="314"/>
      <c r="T463" s="314"/>
      <c r="U463" s="314"/>
      <c r="V463" s="314"/>
      <c r="W463" s="314"/>
      <c r="X463" s="314"/>
      <c r="Y463" s="314"/>
      <c r="Z463" s="314"/>
      <c r="AA463" s="314"/>
      <c r="AB463" s="314"/>
      <c r="AC463" s="314"/>
      <c r="AD463" s="314"/>
      <c r="AE463" s="314"/>
      <c r="AF463" s="314"/>
      <c r="AG463" s="314"/>
      <c r="AH463" s="314"/>
      <c r="AI463" s="314"/>
      <c r="AJ463" s="314"/>
      <c r="AK463" s="314"/>
      <c r="AL463" s="314"/>
      <c r="AM463" s="314"/>
      <c r="AN463" s="314"/>
      <c r="AO463" s="314"/>
    </row>
    <row r="464" spans="1:41" s="73" customFormat="1" x14ac:dyDescent="0.25">
      <c r="A464" s="384"/>
      <c r="B464" s="386"/>
      <c r="C464" s="131"/>
      <c r="D464" s="131" t="s">
        <v>620</v>
      </c>
      <c r="E464" s="53" t="s">
        <v>1106</v>
      </c>
      <c r="F464" s="314"/>
      <c r="G464" s="314"/>
      <c r="H464" s="314"/>
      <c r="I464" s="314"/>
      <c r="J464" s="314"/>
      <c r="K464" s="314"/>
      <c r="L464" s="314"/>
      <c r="M464" s="314"/>
      <c r="N464" s="314"/>
      <c r="O464" s="314"/>
      <c r="P464" s="314"/>
      <c r="Q464" s="314"/>
      <c r="R464" s="314"/>
      <c r="S464" s="314"/>
      <c r="T464" s="314"/>
      <c r="U464" s="314"/>
      <c r="V464" s="314"/>
      <c r="W464" s="314"/>
      <c r="X464" s="314"/>
      <c r="Y464" s="314"/>
      <c r="Z464" s="314"/>
      <c r="AA464" s="314"/>
      <c r="AB464" s="314"/>
      <c r="AC464" s="314"/>
      <c r="AD464" s="314"/>
      <c r="AE464" s="314"/>
      <c r="AF464" s="314"/>
      <c r="AG464" s="314"/>
      <c r="AH464" s="314"/>
      <c r="AI464" s="314"/>
      <c r="AJ464" s="314"/>
      <c r="AK464" s="314"/>
      <c r="AL464" s="314"/>
      <c r="AM464" s="314"/>
      <c r="AN464" s="314"/>
      <c r="AO464" s="314"/>
    </row>
    <row r="465" spans="1:41" s="73" customFormat="1" x14ac:dyDescent="0.25">
      <c r="A465" s="384"/>
      <c r="B465" s="386"/>
      <c r="C465" s="131"/>
      <c r="D465" s="131" t="s">
        <v>621</v>
      </c>
      <c r="E465" s="53" t="s">
        <v>1107</v>
      </c>
      <c r="F465" s="314"/>
      <c r="G465" s="314"/>
      <c r="H465" s="314"/>
      <c r="I465" s="314"/>
      <c r="J465" s="314"/>
      <c r="K465" s="314"/>
      <c r="L465" s="314"/>
      <c r="M465" s="314"/>
      <c r="N465" s="314"/>
      <c r="O465" s="314"/>
      <c r="P465" s="314"/>
      <c r="Q465" s="314"/>
      <c r="R465" s="314"/>
      <c r="S465" s="314"/>
      <c r="T465" s="314"/>
      <c r="U465" s="314"/>
      <c r="V465" s="314"/>
      <c r="W465" s="314"/>
      <c r="X465" s="314"/>
      <c r="Y465" s="314"/>
      <c r="Z465" s="314"/>
      <c r="AA465" s="314"/>
      <c r="AB465" s="314"/>
      <c r="AC465" s="314"/>
      <c r="AD465" s="314"/>
      <c r="AE465" s="314"/>
      <c r="AF465" s="314"/>
      <c r="AG465" s="314"/>
      <c r="AH465" s="314"/>
      <c r="AI465" s="314"/>
      <c r="AJ465" s="314"/>
      <c r="AK465" s="314"/>
      <c r="AL465" s="314"/>
      <c r="AM465" s="314"/>
      <c r="AN465" s="314"/>
      <c r="AO465" s="314"/>
    </row>
    <row r="466" spans="1:41" s="73" customFormat="1" x14ac:dyDescent="0.25">
      <c r="A466" s="384"/>
      <c r="B466" s="386"/>
      <c r="C466" s="131"/>
      <c r="D466" s="131" t="s">
        <v>622</v>
      </c>
      <c r="E466" s="53" t="s">
        <v>1108</v>
      </c>
      <c r="F466" s="314"/>
      <c r="G466" s="314"/>
      <c r="H466" s="314"/>
      <c r="I466" s="314"/>
      <c r="J466" s="314"/>
      <c r="K466" s="314"/>
      <c r="L466" s="314"/>
      <c r="M466" s="314"/>
      <c r="N466" s="314"/>
      <c r="O466" s="314"/>
      <c r="P466" s="314"/>
      <c r="Q466" s="314"/>
      <c r="R466" s="314"/>
      <c r="S466" s="314"/>
      <c r="T466" s="314"/>
      <c r="U466" s="314"/>
      <c r="V466" s="314"/>
      <c r="W466" s="314"/>
      <c r="X466" s="314"/>
      <c r="Y466" s="314"/>
      <c r="Z466" s="314"/>
      <c r="AA466" s="314"/>
      <c r="AB466" s="314"/>
      <c r="AC466" s="314"/>
      <c r="AD466" s="314"/>
      <c r="AE466" s="314"/>
      <c r="AF466" s="314"/>
      <c r="AG466" s="314"/>
      <c r="AH466" s="314"/>
      <c r="AI466" s="314"/>
      <c r="AJ466" s="314"/>
      <c r="AK466" s="314"/>
      <c r="AL466" s="314"/>
      <c r="AM466" s="314"/>
      <c r="AN466" s="314"/>
      <c r="AO466" s="314"/>
    </row>
    <row r="467" spans="1:41" s="73" customFormat="1" x14ac:dyDescent="0.25">
      <c r="A467" s="384"/>
      <c r="B467" s="386"/>
      <c r="C467" s="131"/>
      <c r="D467" s="131" t="s">
        <v>510</v>
      </c>
      <c r="E467" s="53" t="s">
        <v>1109</v>
      </c>
      <c r="F467" s="314"/>
      <c r="G467" s="314"/>
      <c r="H467" s="314"/>
      <c r="I467" s="314"/>
      <c r="J467" s="314"/>
      <c r="K467" s="314"/>
      <c r="L467" s="314"/>
      <c r="M467" s="314"/>
      <c r="N467" s="314"/>
      <c r="O467" s="314"/>
      <c r="P467" s="314"/>
      <c r="Q467" s="314"/>
      <c r="R467" s="314"/>
      <c r="S467" s="314"/>
      <c r="T467" s="314"/>
      <c r="U467" s="314"/>
      <c r="V467" s="314"/>
      <c r="W467" s="314"/>
      <c r="X467" s="314"/>
      <c r="Y467" s="314"/>
      <c r="Z467" s="314"/>
      <c r="AA467" s="314"/>
      <c r="AB467" s="314"/>
      <c r="AC467" s="314"/>
      <c r="AD467" s="314"/>
      <c r="AE467" s="314"/>
      <c r="AF467" s="314"/>
      <c r="AG467" s="314"/>
      <c r="AH467" s="314"/>
      <c r="AI467" s="314"/>
      <c r="AJ467" s="314"/>
      <c r="AK467" s="314"/>
      <c r="AL467" s="314"/>
      <c r="AM467" s="314"/>
      <c r="AN467" s="314"/>
      <c r="AO467" s="314"/>
    </row>
    <row r="468" spans="1:41" s="73" customFormat="1" x14ac:dyDescent="0.25">
      <c r="A468" s="384"/>
      <c r="B468" s="386"/>
      <c r="C468" s="131"/>
      <c r="D468" s="131" t="s">
        <v>511</v>
      </c>
      <c r="E468" s="53" t="s">
        <v>1110</v>
      </c>
      <c r="F468" s="314"/>
      <c r="G468" s="314"/>
      <c r="H468" s="314"/>
      <c r="I468" s="314"/>
      <c r="J468" s="314"/>
      <c r="K468" s="314"/>
      <c r="L468" s="314"/>
      <c r="M468" s="314"/>
      <c r="N468" s="314"/>
      <c r="O468" s="314"/>
      <c r="P468" s="314"/>
      <c r="Q468" s="314"/>
      <c r="R468" s="314"/>
      <c r="S468" s="314"/>
      <c r="T468" s="314"/>
      <c r="U468" s="314"/>
      <c r="V468" s="314"/>
      <c r="W468" s="314"/>
      <c r="X468" s="314"/>
      <c r="Y468" s="314"/>
      <c r="Z468" s="314"/>
      <c r="AA468" s="314"/>
      <c r="AB468" s="314"/>
      <c r="AC468" s="314"/>
      <c r="AD468" s="314"/>
      <c r="AE468" s="314"/>
      <c r="AF468" s="314"/>
      <c r="AG468" s="314"/>
      <c r="AH468" s="314"/>
      <c r="AI468" s="314"/>
      <c r="AJ468" s="314"/>
      <c r="AK468" s="314"/>
      <c r="AL468" s="314"/>
      <c r="AM468" s="314"/>
      <c r="AN468" s="314"/>
      <c r="AO468" s="314"/>
    </row>
    <row r="469" spans="1:41" s="73" customFormat="1" x14ac:dyDescent="0.25">
      <c r="A469" s="384"/>
      <c r="B469" s="386"/>
      <c r="C469" s="131"/>
      <c r="D469" s="131" t="s">
        <v>512</v>
      </c>
      <c r="E469" s="53" t="s">
        <v>1111</v>
      </c>
      <c r="F469" s="314"/>
      <c r="G469" s="314"/>
      <c r="H469" s="314"/>
      <c r="I469" s="314"/>
      <c r="J469" s="314"/>
      <c r="K469" s="314"/>
      <c r="L469" s="314"/>
      <c r="M469" s="314"/>
      <c r="N469" s="314"/>
      <c r="O469" s="314"/>
      <c r="P469" s="314"/>
      <c r="Q469" s="314"/>
      <c r="R469" s="314"/>
      <c r="S469" s="314"/>
      <c r="T469" s="314"/>
      <c r="U469" s="314"/>
      <c r="V469" s="314"/>
      <c r="W469" s="314"/>
      <c r="X469" s="314"/>
      <c r="Y469" s="314"/>
      <c r="Z469" s="314"/>
      <c r="AA469" s="314"/>
      <c r="AB469" s="314"/>
      <c r="AC469" s="314"/>
      <c r="AD469" s="314"/>
      <c r="AE469" s="314"/>
      <c r="AF469" s="314"/>
      <c r="AG469" s="314"/>
      <c r="AH469" s="314"/>
      <c r="AI469" s="314"/>
      <c r="AJ469" s="314"/>
      <c r="AK469" s="314"/>
      <c r="AL469" s="314"/>
      <c r="AM469" s="314"/>
      <c r="AN469" s="314"/>
      <c r="AO469" s="314"/>
    </row>
    <row r="470" spans="1:41" s="73" customFormat="1" x14ac:dyDescent="0.25">
      <c r="A470" s="384"/>
      <c r="B470" s="386"/>
      <c r="C470" s="131"/>
      <c r="D470" s="131" t="s">
        <v>513</v>
      </c>
      <c r="E470" s="53" t="s">
        <v>1112</v>
      </c>
      <c r="F470" s="314"/>
      <c r="G470" s="314"/>
      <c r="H470" s="314"/>
      <c r="I470" s="314"/>
      <c r="J470" s="314"/>
      <c r="K470" s="314"/>
      <c r="L470" s="314"/>
      <c r="M470" s="314"/>
      <c r="N470" s="314"/>
      <c r="O470" s="314"/>
      <c r="P470" s="314"/>
      <c r="Q470" s="314"/>
      <c r="R470" s="314"/>
      <c r="S470" s="314"/>
      <c r="T470" s="314"/>
      <c r="U470" s="314"/>
      <c r="V470" s="314"/>
      <c r="W470" s="314"/>
      <c r="X470" s="314"/>
      <c r="Y470" s="314"/>
      <c r="Z470" s="314"/>
      <c r="AA470" s="314"/>
      <c r="AB470" s="314"/>
      <c r="AC470" s="314"/>
      <c r="AD470" s="314"/>
      <c r="AE470" s="314"/>
      <c r="AF470" s="314"/>
      <c r="AG470" s="314"/>
      <c r="AH470" s="314"/>
      <c r="AI470" s="314"/>
      <c r="AJ470" s="314"/>
      <c r="AK470" s="314"/>
      <c r="AL470" s="314"/>
      <c r="AM470" s="314"/>
      <c r="AN470" s="314"/>
      <c r="AO470" s="314"/>
    </row>
    <row r="471" spans="1:41" s="73" customFormat="1" x14ac:dyDescent="0.25">
      <c r="A471" s="384"/>
      <c r="B471" s="386"/>
      <c r="C471" s="131"/>
      <c r="D471" s="131" t="s">
        <v>514</v>
      </c>
      <c r="E471" s="53" t="s">
        <v>1113</v>
      </c>
      <c r="F471" s="314"/>
      <c r="G471" s="314"/>
      <c r="H471" s="314"/>
      <c r="I471" s="314"/>
      <c r="J471" s="314"/>
      <c r="K471" s="314"/>
      <c r="L471" s="314"/>
      <c r="M471" s="314"/>
      <c r="N471" s="314"/>
      <c r="O471" s="314"/>
      <c r="P471" s="314"/>
      <c r="Q471" s="314"/>
      <c r="R471" s="314"/>
      <c r="S471" s="314"/>
      <c r="T471" s="314"/>
      <c r="U471" s="314"/>
      <c r="V471" s="314"/>
      <c r="W471" s="314"/>
      <c r="X471" s="314"/>
      <c r="Y471" s="314"/>
      <c r="Z471" s="314"/>
      <c r="AA471" s="314"/>
      <c r="AB471" s="314"/>
      <c r="AC471" s="314"/>
      <c r="AD471" s="314"/>
      <c r="AE471" s="314"/>
      <c r="AF471" s="314"/>
      <c r="AG471" s="314"/>
      <c r="AH471" s="314"/>
      <c r="AI471" s="314"/>
      <c r="AJ471" s="314"/>
      <c r="AK471" s="314"/>
      <c r="AL471" s="314"/>
      <c r="AM471" s="314"/>
      <c r="AN471" s="314"/>
      <c r="AO471" s="314"/>
    </row>
    <row r="472" spans="1:41" s="73" customFormat="1" x14ac:dyDescent="0.25">
      <c r="A472" s="384"/>
      <c r="B472" s="386"/>
      <c r="C472" s="131"/>
      <c r="D472" s="131" t="s">
        <v>515</v>
      </c>
      <c r="E472" s="53" t="s">
        <v>1114</v>
      </c>
      <c r="F472" s="314"/>
      <c r="G472" s="314"/>
      <c r="H472" s="314"/>
      <c r="I472" s="314"/>
      <c r="J472" s="314"/>
      <c r="K472" s="314"/>
      <c r="L472" s="314"/>
      <c r="M472" s="314"/>
      <c r="N472" s="314"/>
      <c r="O472" s="314"/>
      <c r="P472" s="314"/>
      <c r="Q472" s="314"/>
      <c r="R472" s="314"/>
      <c r="S472" s="314"/>
      <c r="T472" s="314"/>
      <c r="U472" s="314"/>
      <c r="V472" s="314"/>
      <c r="W472" s="314"/>
      <c r="X472" s="314"/>
      <c r="Y472" s="314"/>
      <c r="Z472" s="314"/>
      <c r="AA472" s="314"/>
      <c r="AB472" s="314"/>
      <c r="AC472" s="314"/>
      <c r="AD472" s="314"/>
      <c r="AE472" s="314"/>
      <c r="AF472" s="314"/>
      <c r="AG472" s="314"/>
      <c r="AH472" s="314"/>
      <c r="AI472" s="314"/>
      <c r="AJ472" s="314"/>
      <c r="AK472" s="314"/>
      <c r="AL472" s="314"/>
      <c r="AM472" s="314"/>
      <c r="AN472" s="314"/>
      <c r="AO472" s="314"/>
    </row>
    <row r="473" spans="1:41" s="73" customFormat="1" x14ac:dyDescent="0.25">
      <c r="A473" s="384"/>
      <c r="B473" s="386"/>
      <c r="C473" s="131"/>
      <c r="D473" s="131" t="s">
        <v>516</v>
      </c>
      <c r="E473" s="53" t="s">
        <v>1115</v>
      </c>
      <c r="F473" s="314"/>
      <c r="G473" s="314"/>
      <c r="H473" s="314"/>
      <c r="I473" s="314"/>
      <c r="J473" s="314"/>
      <c r="K473" s="314"/>
      <c r="L473" s="314"/>
      <c r="M473" s="314"/>
      <c r="N473" s="314"/>
      <c r="O473" s="314"/>
      <c r="P473" s="314"/>
      <c r="Q473" s="314"/>
      <c r="R473" s="314"/>
      <c r="S473" s="314"/>
      <c r="T473" s="314"/>
      <c r="U473" s="314"/>
      <c r="V473" s="314"/>
      <c r="W473" s="314"/>
      <c r="X473" s="314"/>
      <c r="Y473" s="314"/>
      <c r="Z473" s="314"/>
      <c r="AA473" s="314"/>
      <c r="AB473" s="314"/>
      <c r="AC473" s="314"/>
      <c r="AD473" s="314"/>
      <c r="AE473" s="314"/>
      <c r="AF473" s="314"/>
      <c r="AG473" s="314"/>
      <c r="AH473" s="314"/>
      <c r="AI473" s="314"/>
      <c r="AJ473" s="314"/>
      <c r="AK473" s="314"/>
      <c r="AL473" s="314"/>
      <c r="AM473" s="314"/>
      <c r="AN473" s="314"/>
      <c r="AO473" s="314"/>
    </row>
    <row r="474" spans="1:41" s="73" customFormat="1" x14ac:dyDescent="0.25">
      <c r="A474" s="384"/>
      <c r="B474" s="386"/>
      <c r="C474" s="131"/>
      <c r="D474" s="131" t="s">
        <v>517</v>
      </c>
      <c r="E474" s="53" t="s">
        <v>1116</v>
      </c>
      <c r="F474" s="314"/>
      <c r="G474" s="314"/>
      <c r="H474" s="314"/>
      <c r="I474" s="314"/>
      <c r="J474" s="314"/>
      <c r="K474" s="314"/>
      <c r="L474" s="314"/>
      <c r="M474" s="314"/>
      <c r="N474" s="314"/>
      <c r="O474" s="314"/>
      <c r="P474" s="314"/>
      <c r="Q474" s="314"/>
      <c r="R474" s="314"/>
      <c r="S474" s="314"/>
      <c r="T474" s="314"/>
      <c r="U474" s="314"/>
      <c r="V474" s="314"/>
      <c r="W474" s="314"/>
      <c r="X474" s="314"/>
      <c r="Y474" s="314"/>
      <c r="Z474" s="314"/>
      <c r="AA474" s="314"/>
      <c r="AB474" s="314"/>
      <c r="AC474" s="314"/>
      <c r="AD474" s="314"/>
      <c r="AE474" s="314"/>
      <c r="AF474" s="314"/>
      <c r="AG474" s="314"/>
      <c r="AH474" s="314"/>
      <c r="AI474" s="314"/>
      <c r="AJ474" s="314"/>
      <c r="AK474" s="314"/>
      <c r="AL474" s="314"/>
      <c r="AM474" s="314"/>
      <c r="AN474" s="314"/>
      <c r="AO474" s="314"/>
    </row>
    <row r="475" spans="1:41" s="73" customFormat="1" x14ac:dyDescent="0.25">
      <c r="A475" s="384"/>
      <c r="B475" s="386"/>
      <c r="C475" s="131"/>
      <c r="D475" s="131" t="s">
        <v>518</v>
      </c>
      <c r="E475" s="53" t="s">
        <v>1117</v>
      </c>
      <c r="F475" s="314"/>
      <c r="G475" s="314"/>
      <c r="H475" s="314"/>
      <c r="I475" s="314"/>
      <c r="J475" s="314"/>
      <c r="K475" s="314"/>
      <c r="L475" s="314"/>
      <c r="M475" s="314"/>
      <c r="N475" s="314"/>
      <c r="O475" s="314"/>
      <c r="P475" s="314"/>
      <c r="Q475" s="314"/>
      <c r="R475" s="314"/>
      <c r="S475" s="314"/>
      <c r="T475" s="314"/>
      <c r="U475" s="314"/>
      <c r="V475" s="314"/>
      <c r="W475" s="314"/>
      <c r="X475" s="314"/>
      <c r="Y475" s="314"/>
      <c r="Z475" s="314"/>
      <c r="AA475" s="314"/>
      <c r="AB475" s="314"/>
      <c r="AC475" s="314"/>
      <c r="AD475" s="314"/>
      <c r="AE475" s="314"/>
      <c r="AF475" s="314"/>
      <c r="AG475" s="314"/>
      <c r="AH475" s="314"/>
      <c r="AI475" s="314"/>
      <c r="AJ475" s="314"/>
      <c r="AK475" s="314"/>
      <c r="AL475" s="314"/>
      <c r="AM475" s="314"/>
      <c r="AN475" s="314"/>
      <c r="AO475" s="314"/>
    </row>
    <row r="476" spans="1:41" s="73" customFormat="1" x14ac:dyDescent="0.25">
      <c r="A476" s="384"/>
      <c r="B476" s="386"/>
      <c r="C476" s="169" t="s">
        <v>1085</v>
      </c>
      <c r="D476" s="131"/>
      <c r="E476" s="53"/>
      <c r="F476" s="314"/>
      <c r="G476" s="314"/>
      <c r="H476" s="314"/>
      <c r="I476" s="314"/>
      <c r="J476" s="314"/>
      <c r="K476" s="314"/>
      <c r="L476" s="314"/>
      <c r="M476" s="314"/>
      <c r="N476" s="314"/>
      <c r="O476" s="314"/>
      <c r="P476" s="314"/>
      <c r="Q476" s="314"/>
      <c r="R476" s="314"/>
      <c r="S476" s="314"/>
      <c r="T476" s="314"/>
      <c r="U476" s="314"/>
      <c r="V476" s="314"/>
      <c r="W476" s="314"/>
      <c r="X476" s="314"/>
      <c r="Y476" s="314"/>
      <c r="Z476" s="314"/>
      <c r="AA476" s="314"/>
      <c r="AB476" s="314"/>
      <c r="AC476" s="314"/>
      <c r="AD476" s="314"/>
      <c r="AE476" s="314"/>
      <c r="AF476" s="314"/>
      <c r="AG476" s="314"/>
      <c r="AH476" s="314"/>
      <c r="AI476" s="314"/>
      <c r="AJ476" s="314"/>
      <c r="AK476" s="314"/>
      <c r="AL476" s="314"/>
      <c r="AM476" s="314"/>
      <c r="AN476" s="314"/>
      <c r="AO476" s="314"/>
    </row>
    <row r="477" spans="1:41" s="73" customFormat="1" x14ac:dyDescent="0.25">
      <c r="A477" s="384"/>
      <c r="B477" s="386"/>
      <c r="C477" s="131"/>
      <c r="D477" s="131" t="s">
        <v>604</v>
      </c>
      <c r="E477" s="53" t="s">
        <v>1118</v>
      </c>
      <c r="F477" s="314"/>
      <c r="G477" s="314"/>
      <c r="H477" s="314"/>
      <c r="I477" s="314"/>
      <c r="J477" s="314"/>
      <c r="K477" s="314"/>
      <c r="L477" s="314"/>
      <c r="M477" s="314"/>
      <c r="N477" s="314"/>
      <c r="O477" s="314"/>
      <c r="P477" s="314"/>
      <c r="Q477" s="314"/>
      <c r="R477" s="314"/>
      <c r="S477" s="314"/>
      <c r="T477" s="314"/>
      <c r="U477" s="314"/>
      <c r="V477" s="314"/>
      <c r="W477" s="314"/>
      <c r="X477" s="314"/>
      <c r="Y477" s="314"/>
      <c r="Z477" s="314"/>
      <c r="AA477" s="314"/>
      <c r="AB477" s="314"/>
      <c r="AC477" s="314"/>
      <c r="AD477" s="314"/>
      <c r="AE477" s="314"/>
      <c r="AF477" s="314"/>
      <c r="AG477" s="314"/>
      <c r="AH477" s="314"/>
      <c r="AI477" s="314"/>
      <c r="AJ477" s="314"/>
      <c r="AK477" s="314"/>
      <c r="AL477" s="314"/>
      <c r="AM477" s="314"/>
      <c r="AN477" s="314"/>
      <c r="AO477" s="314"/>
    </row>
    <row r="478" spans="1:41" s="73" customFormat="1" x14ac:dyDescent="0.25">
      <c r="A478" s="384"/>
      <c r="B478" s="386"/>
      <c r="C478" s="131"/>
      <c r="D478" s="131" t="s">
        <v>605</v>
      </c>
      <c r="E478" s="53" t="s">
        <v>1119</v>
      </c>
      <c r="F478" s="314"/>
      <c r="G478" s="314"/>
      <c r="H478" s="314"/>
      <c r="I478" s="314"/>
      <c r="J478" s="314"/>
      <c r="K478" s="314"/>
      <c r="L478" s="314"/>
      <c r="M478" s="314"/>
      <c r="N478" s="314"/>
      <c r="O478" s="314"/>
      <c r="P478" s="314"/>
      <c r="Q478" s="314"/>
      <c r="R478" s="314"/>
      <c r="S478" s="314"/>
      <c r="T478" s="314"/>
      <c r="U478" s="314"/>
      <c r="V478" s="314"/>
      <c r="W478" s="314"/>
      <c r="X478" s="314"/>
      <c r="Y478" s="314"/>
      <c r="Z478" s="314"/>
      <c r="AA478" s="314"/>
      <c r="AB478" s="314"/>
      <c r="AC478" s="314"/>
      <c r="AD478" s="314"/>
      <c r="AE478" s="314"/>
      <c r="AF478" s="314"/>
      <c r="AG478" s="314"/>
      <c r="AH478" s="314"/>
      <c r="AI478" s="314"/>
      <c r="AJ478" s="314"/>
      <c r="AK478" s="314"/>
      <c r="AL478" s="314"/>
      <c r="AM478" s="314"/>
      <c r="AN478" s="314"/>
      <c r="AO478" s="314"/>
    </row>
    <row r="479" spans="1:41" s="73" customFormat="1" x14ac:dyDescent="0.25">
      <c r="A479" s="384"/>
      <c r="B479" s="386"/>
      <c r="C479" s="131"/>
      <c r="D479" s="131" t="s">
        <v>606</v>
      </c>
      <c r="E479" s="53" t="s">
        <v>1120</v>
      </c>
      <c r="F479" s="314"/>
      <c r="G479" s="314"/>
      <c r="H479" s="314"/>
      <c r="I479" s="314"/>
      <c r="J479" s="314"/>
      <c r="K479" s="314"/>
      <c r="L479" s="314"/>
      <c r="M479" s="314"/>
      <c r="N479" s="314"/>
      <c r="O479" s="314"/>
      <c r="P479" s="314"/>
      <c r="Q479" s="314"/>
      <c r="R479" s="314"/>
      <c r="S479" s="314"/>
      <c r="T479" s="314"/>
      <c r="U479" s="314"/>
      <c r="V479" s="314"/>
      <c r="W479" s="314"/>
      <c r="X479" s="314"/>
      <c r="Y479" s="314"/>
      <c r="Z479" s="314"/>
      <c r="AA479" s="314"/>
      <c r="AB479" s="314"/>
      <c r="AC479" s="314"/>
      <c r="AD479" s="314"/>
      <c r="AE479" s="314"/>
      <c r="AF479" s="314"/>
      <c r="AG479" s="314"/>
      <c r="AH479" s="314"/>
      <c r="AI479" s="314"/>
      <c r="AJ479" s="314"/>
      <c r="AK479" s="314"/>
      <c r="AL479" s="314"/>
      <c r="AM479" s="314"/>
      <c r="AN479" s="314"/>
      <c r="AO479" s="314"/>
    </row>
    <row r="480" spans="1:41" s="73" customFormat="1" x14ac:dyDescent="0.25">
      <c r="A480" s="384"/>
      <c r="B480" s="386"/>
      <c r="C480" s="131"/>
      <c r="D480" s="131" t="s">
        <v>607</v>
      </c>
      <c r="E480" s="53" t="s">
        <v>1121</v>
      </c>
      <c r="F480" s="314"/>
      <c r="G480" s="314"/>
      <c r="H480" s="314"/>
      <c r="I480" s="314"/>
      <c r="J480" s="314"/>
      <c r="K480" s="314"/>
      <c r="L480" s="314"/>
      <c r="M480" s="314"/>
      <c r="N480" s="314"/>
      <c r="O480" s="314"/>
      <c r="P480" s="314"/>
      <c r="Q480" s="314"/>
      <c r="R480" s="314"/>
      <c r="S480" s="314"/>
      <c r="T480" s="314"/>
      <c r="U480" s="314"/>
      <c r="V480" s="314"/>
      <c r="W480" s="314"/>
      <c r="X480" s="314"/>
      <c r="Y480" s="314"/>
      <c r="Z480" s="314"/>
      <c r="AA480" s="314"/>
      <c r="AB480" s="314"/>
      <c r="AC480" s="314"/>
      <c r="AD480" s="314"/>
      <c r="AE480" s="314"/>
      <c r="AF480" s="314"/>
      <c r="AG480" s="314"/>
      <c r="AH480" s="314"/>
      <c r="AI480" s="314"/>
      <c r="AJ480" s="314"/>
      <c r="AK480" s="314"/>
      <c r="AL480" s="314"/>
      <c r="AM480" s="314"/>
      <c r="AN480" s="314"/>
      <c r="AO480" s="314"/>
    </row>
    <row r="481" spans="1:41" s="73" customFormat="1" x14ac:dyDescent="0.25">
      <c r="A481" s="384"/>
      <c r="B481" s="386"/>
      <c r="C481" s="131"/>
      <c r="D481" s="131" t="s">
        <v>608</v>
      </c>
      <c r="E481" s="53" t="s">
        <v>1122</v>
      </c>
      <c r="F481" s="314"/>
      <c r="G481" s="314"/>
      <c r="H481" s="314"/>
      <c r="I481" s="314"/>
      <c r="J481" s="314"/>
      <c r="K481" s="314"/>
      <c r="L481" s="314"/>
      <c r="M481" s="314"/>
      <c r="N481" s="314"/>
      <c r="O481" s="314"/>
      <c r="P481" s="314"/>
      <c r="Q481" s="314"/>
      <c r="R481" s="314"/>
      <c r="S481" s="314"/>
      <c r="T481" s="314"/>
      <c r="U481" s="314"/>
      <c r="V481" s="314"/>
      <c r="W481" s="314"/>
      <c r="X481" s="314"/>
      <c r="Y481" s="314"/>
      <c r="Z481" s="314"/>
      <c r="AA481" s="314"/>
      <c r="AB481" s="314"/>
      <c r="AC481" s="314"/>
      <c r="AD481" s="314"/>
      <c r="AE481" s="314"/>
      <c r="AF481" s="314"/>
      <c r="AG481" s="314"/>
      <c r="AH481" s="314"/>
      <c r="AI481" s="314"/>
      <c r="AJ481" s="314"/>
      <c r="AK481" s="314"/>
      <c r="AL481" s="314"/>
      <c r="AM481" s="314"/>
      <c r="AN481" s="314"/>
      <c r="AO481" s="314"/>
    </row>
    <row r="482" spans="1:41" s="73" customFormat="1" x14ac:dyDescent="0.25">
      <c r="A482" s="384"/>
      <c r="B482" s="386"/>
      <c r="C482" s="131"/>
      <c r="D482" s="131" t="s">
        <v>609</v>
      </c>
      <c r="E482" s="53" t="s">
        <v>1123</v>
      </c>
      <c r="F482" s="314"/>
      <c r="G482" s="314"/>
      <c r="H482" s="314"/>
      <c r="I482" s="314"/>
      <c r="J482" s="314"/>
      <c r="K482" s="314"/>
      <c r="L482" s="314"/>
      <c r="M482" s="314"/>
      <c r="N482" s="314"/>
      <c r="O482" s="314"/>
      <c r="P482" s="314"/>
      <c r="Q482" s="314"/>
      <c r="R482" s="314"/>
      <c r="S482" s="314"/>
      <c r="T482" s="314"/>
      <c r="U482" s="314"/>
      <c r="V482" s="314"/>
      <c r="W482" s="314"/>
      <c r="X482" s="314"/>
      <c r="Y482" s="314"/>
      <c r="Z482" s="314"/>
      <c r="AA482" s="314"/>
      <c r="AB482" s="314"/>
      <c r="AC482" s="314"/>
      <c r="AD482" s="314"/>
      <c r="AE482" s="314"/>
      <c r="AF482" s="314"/>
      <c r="AG482" s="314"/>
      <c r="AH482" s="314"/>
      <c r="AI482" s="314"/>
      <c r="AJ482" s="314"/>
      <c r="AK482" s="314"/>
      <c r="AL482" s="314"/>
      <c r="AM482" s="314"/>
      <c r="AN482" s="314"/>
      <c r="AO482" s="314"/>
    </row>
    <row r="483" spans="1:41" s="73" customFormat="1" x14ac:dyDescent="0.25">
      <c r="A483" s="384"/>
      <c r="B483" s="386"/>
      <c r="C483" s="131"/>
      <c r="D483" s="131" t="s">
        <v>610</v>
      </c>
      <c r="E483" s="53" t="s">
        <v>1124</v>
      </c>
      <c r="F483" s="314"/>
      <c r="G483" s="314"/>
      <c r="H483" s="314"/>
      <c r="I483" s="314"/>
      <c r="J483" s="314"/>
      <c r="K483" s="314"/>
      <c r="L483" s="314"/>
      <c r="M483" s="314"/>
      <c r="N483" s="314"/>
      <c r="O483" s="314"/>
      <c r="P483" s="314"/>
      <c r="Q483" s="314"/>
      <c r="R483" s="314"/>
      <c r="S483" s="314"/>
      <c r="T483" s="314"/>
      <c r="U483" s="314"/>
      <c r="V483" s="314"/>
      <c r="W483" s="314"/>
      <c r="X483" s="314"/>
      <c r="Y483" s="314"/>
      <c r="Z483" s="314"/>
      <c r="AA483" s="314"/>
      <c r="AB483" s="314"/>
      <c r="AC483" s="314"/>
      <c r="AD483" s="314"/>
      <c r="AE483" s="314"/>
      <c r="AF483" s="314"/>
      <c r="AG483" s="314"/>
      <c r="AH483" s="314"/>
      <c r="AI483" s="314"/>
      <c r="AJ483" s="314"/>
      <c r="AK483" s="314"/>
      <c r="AL483" s="314"/>
      <c r="AM483" s="314"/>
      <c r="AN483" s="314"/>
      <c r="AO483" s="314"/>
    </row>
    <row r="484" spans="1:41" s="73" customFormat="1" x14ac:dyDescent="0.25">
      <c r="A484" s="384"/>
      <c r="B484" s="386"/>
      <c r="C484" s="131"/>
      <c r="D484" s="131" t="s">
        <v>611</v>
      </c>
      <c r="E484" s="53" t="s">
        <v>1125</v>
      </c>
      <c r="F484" s="314"/>
      <c r="G484" s="314"/>
      <c r="H484" s="314"/>
      <c r="I484" s="314"/>
      <c r="J484" s="314"/>
      <c r="K484" s="314"/>
      <c r="L484" s="314"/>
      <c r="M484" s="314"/>
      <c r="N484" s="314"/>
      <c r="O484" s="314"/>
      <c r="P484" s="314"/>
      <c r="Q484" s="314"/>
      <c r="R484" s="314"/>
      <c r="S484" s="314"/>
      <c r="T484" s="314"/>
      <c r="U484" s="314"/>
      <c r="V484" s="314"/>
      <c r="W484" s="314"/>
      <c r="X484" s="314"/>
      <c r="Y484" s="314"/>
      <c r="Z484" s="314"/>
      <c r="AA484" s="314"/>
      <c r="AB484" s="314"/>
      <c r="AC484" s="314"/>
      <c r="AD484" s="314"/>
      <c r="AE484" s="314"/>
      <c r="AF484" s="314"/>
      <c r="AG484" s="314"/>
      <c r="AH484" s="314"/>
      <c r="AI484" s="314"/>
      <c r="AJ484" s="314"/>
      <c r="AK484" s="314"/>
      <c r="AL484" s="314"/>
      <c r="AM484" s="314"/>
      <c r="AN484" s="314"/>
      <c r="AO484" s="314"/>
    </row>
    <row r="485" spans="1:41" s="73" customFormat="1" x14ac:dyDescent="0.25">
      <c r="A485" s="384"/>
      <c r="B485" s="386"/>
      <c r="C485" s="131"/>
      <c r="D485" s="131" t="s">
        <v>612</v>
      </c>
      <c r="E485" s="53" t="s">
        <v>1126</v>
      </c>
      <c r="F485" s="314"/>
      <c r="G485" s="314"/>
      <c r="H485" s="314"/>
      <c r="I485" s="314"/>
      <c r="J485" s="314"/>
      <c r="K485" s="314"/>
      <c r="L485" s="314"/>
      <c r="M485" s="314"/>
      <c r="N485" s="314"/>
      <c r="O485" s="314"/>
      <c r="P485" s="314"/>
      <c r="Q485" s="314"/>
      <c r="R485" s="314"/>
      <c r="S485" s="314"/>
      <c r="T485" s="314"/>
      <c r="U485" s="314"/>
      <c r="V485" s="314"/>
      <c r="W485" s="314"/>
      <c r="X485" s="314"/>
      <c r="Y485" s="314"/>
      <c r="Z485" s="314"/>
      <c r="AA485" s="314"/>
      <c r="AB485" s="314"/>
      <c r="AC485" s="314"/>
      <c r="AD485" s="314"/>
      <c r="AE485" s="314"/>
      <c r="AF485" s="314"/>
      <c r="AG485" s="314"/>
      <c r="AH485" s="314"/>
      <c r="AI485" s="314"/>
      <c r="AJ485" s="314"/>
      <c r="AK485" s="314"/>
      <c r="AL485" s="314"/>
      <c r="AM485" s="314"/>
      <c r="AN485" s="314"/>
      <c r="AO485" s="314"/>
    </row>
    <row r="486" spans="1:41" s="73" customFormat="1" x14ac:dyDescent="0.25">
      <c r="A486" s="384"/>
      <c r="B486" s="386"/>
      <c r="C486" s="131"/>
      <c r="D486" s="131" t="s">
        <v>613</v>
      </c>
      <c r="E486" s="53" t="s">
        <v>1127</v>
      </c>
      <c r="F486" s="314"/>
      <c r="G486" s="314"/>
      <c r="H486" s="314"/>
      <c r="I486" s="314"/>
      <c r="J486" s="314"/>
      <c r="K486" s="314"/>
      <c r="L486" s="314"/>
      <c r="M486" s="314"/>
      <c r="N486" s="314"/>
      <c r="O486" s="314"/>
      <c r="P486" s="314"/>
      <c r="Q486" s="314"/>
      <c r="R486" s="314"/>
      <c r="S486" s="314"/>
      <c r="T486" s="314"/>
      <c r="U486" s="314"/>
      <c r="V486" s="314"/>
      <c r="W486" s="314"/>
      <c r="X486" s="314"/>
      <c r="Y486" s="314"/>
      <c r="Z486" s="314"/>
      <c r="AA486" s="314"/>
      <c r="AB486" s="314"/>
      <c r="AC486" s="314"/>
      <c r="AD486" s="314"/>
      <c r="AE486" s="314"/>
      <c r="AF486" s="314"/>
      <c r="AG486" s="314"/>
      <c r="AH486" s="314"/>
      <c r="AI486" s="314"/>
      <c r="AJ486" s="314"/>
      <c r="AK486" s="314"/>
      <c r="AL486" s="314"/>
      <c r="AM486" s="314"/>
      <c r="AN486" s="314"/>
      <c r="AO486" s="314"/>
    </row>
    <row r="487" spans="1:41" s="73" customFormat="1" x14ac:dyDescent="0.25">
      <c r="A487" s="384"/>
      <c r="B487" s="386"/>
      <c r="C487" s="131"/>
      <c r="D487" s="131" t="s">
        <v>614</v>
      </c>
      <c r="E487" s="53" t="s">
        <v>1128</v>
      </c>
      <c r="F487" s="314"/>
      <c r="G487" s="314"/>
      <c r="H487" s="314"/>
      <c r="I487" s="314"/>
      <c r="J487" s="314"/>
      <c r="K487" s="314"/>
      <c r="L487" s="314"/>
      <c r="M487" s="314"/>
      <c r="N487" s="314"/>
      <c r="O487" s="314"/>
      <c r="P487" s="314"/>
      <c r="Q487" s="314"/>
      <c r="R487" s="314"/>
      <c r="S487" s="314"/>
      <c r="T487" s="314"/>
      <c r="U487" s="314"/>
      <c r="V487" s="314"/>
      <c r="W487" s="314"/>
      <c r="X487" s="314"/>
      <c r="Y487" s="314"/>
      <c r="Z487" s="314"/>
      <c r="AA487" s="314"/>
      <c r="AB487" s="314"/>
      <c r="AC487" s="314"/>
      <c r="AD487" s="314"/>
      <c r="AE487" s="314"/>
      <c r="AF487" s="314"/>
      <c r="AG487" s="314"/>
      <c r="AH487" s="314"/>
      <c r="AI487" s="314"/>
      <c r="AJ487" s="314"/>
      <c r="AK487" s="314"/>
      <c r="AL487" s="314"/>
      <c r="AM487" s="314"/>
      <c r="AN487" s="314"/>
      <c r="AO487" s="314"/>
    </row>
    <row r="488" spans="1:41" s="73" customFormat="1" x14ac:dyDescent="0.25">
      <c r="A488" s="384"/>
      <c r="B488" s="386"/>
      <c r="C488" s="131"/>
      <c r="D488" s="131" t="s">
        <v>615</v>
      </c>
      <c r="E488" s="53" t="s">
        <v>1129</v>
      </c>
      <c r="F488" s="314"/>
      <c r="G488" s="314"/>
      <c r="H488" s="314"/>
      <c r="I488" s="314"/>
      <c r="J488" s="314"/>
      <c r="K488" s="314"/>
      <c r="L488" s="314"/>
      <c r="M488" s="314"/>
      <c r="N488" s="314"/>
      <c r="O488" s="314"/>
      <c r="P488" s="314"/>
      <c r="Q488" s="314"/>
      <c r="R488" s="314"/>
      <c r="S488" s="314"/>
      <c r="T488" s="314"/>
      <c r="U488" s="314"/>
      <c r="V488" s="314"/>
      <c r="W488" s="314"/>
      <c r="X488" s="314"/>
      <c r="Y488" s="314"/>
      <c r="Z488" s="314"/>
      <c r="AA488" s="314"/>
      <c r="AB488" s="314"/>
      <c r="AC488" s="314"/>
      <c r="AD488" s="314"/>
      <c r="AE488" s="314"/>
      <c r="AF488" s="314"/>
      <c r="AG488" s="314"/>
      <c r="AH488" s="314"/>
      <c r="AI488" s="314"/>
      <c r="AJ488" s="314"/>
      <c r="AK488" s="314"/>
      <c r="AL488" s="314"/>
      <c r="AM488" s="314"/>
      <c r="AN488" s="314"/>
      <c r="AO488" s="314"/>
    </row>
    <row r="489" spans="1:41" s="73" customFormat="1" x14ac:dyDescent="0.25">
      <c r="A489" s="384"/>
      <c r="B489" s="386"/>
      <c r="C489" s="131"/>
      <c r="D489" s="131" t="s">
        <v>616</v>
      </c>
      <c r="E489" s="53" t="s">
        <v>1130</v>
      </c>
      <c r="F489" s="314"/>
      <c r="G489" s="314"/>
      <c r="H489" s="314"/>
      <c r="I489" s="314"/>
      <c r="J489" s="314"/>
      <c r="K489" s="314"/>
      <c r="L489" s="314"/>
      <c r="M489" s="314"/>
      <c r="N489" s="314"/>
      <c r="O489" s="314"/>
      <c r="P489" s="314"/>
      <c r="Q489" s="314"/>
      <c r="R489" s="314"/>
      <c r="S489" s="314"/>
      <c r="T489" s="314"/>
      <c r="U489" s="314"/>
      <c r="V489" s="314"/>
      <c r="W489" s="314"/>
      <c r="X489" s="314"/>
      <c r="Y489" s="314"/>
      <c r="Z489" s="314"/>
      <c r="AA489" s="314"/>
      <c r="AB489" s="314"/>
      <c r="AC489" s="314"/>
      <c r="AD489" s="314"/>
      <c r="AE489" s="314"/>
      <c r="AF489" s="314"/>
      <c r="AG489" s="314"/>
      <c r="AH489" s="314"/>
      <c r="AI489" s="314"/>
      <c r="AJ489" s="314"/>
      <c r="AK489" s="314"/>
      <c r="AL489" s="314"/>
      <c r="AM489" s="314"/>
      <c r="AN489" s="314"/>
      <c r="AO489" s="314"/>
    </row>
    <row r="490" spans="1:41" s="73" customFormat="1" x14ac:dyDescent="0.25">
      <c r="A490" s="384"/>
      <c r="B490" s="386"/>
      <c r="C490" s="131"/>
      <c r="D490" s="131" t="s">
        <v>617</v>
      </c>
      <c r="E490" s="53" t="s">
        <v>1131</v>
      </c>
      <c r="F490" s="314"/>
      <c r="G490" s="314"/>
      <c r="H490" s="314"/>
      <c r="I490" s="314"/>
      <c r="J490" s="314"/>
      <c r="K490" s="314"/>
      <c r="L490" s="314"/>
      <c r="M490" s="314"/>
      <c r="N490" s="314"/>
      <c r="O490" s="314"/>
      <c r="P490" s="314"/>
      <c r="Q490" s="314"/>
      <c r="R490" s="314"/>
      <c r="S490" s="314"/>
      <c r="T490" s="314"/>
      <c r="U490" s="314"/>
      <c r="V490" s="314"/>
      <c r="W490" s="314"/>
      <c r="X490" s="314"/>
      <c r="Y490" s="314"/>
      <c r="Z490" s="314"/>
      <c r="AA490" s="314"/>
      <c r="AB490" s="314"/>
      <c r="AC490" s="314"/>
      <c r="AD490" s="314"/>
      <c r="AE490" s="314"/>
      <c r="AF490" s="314"/>
      <c r="AG490" s="314"/>
      <c r="AH490" s="314"/>
      <c r="AI490" s="314"/>
      <c r="AJ490" s="314"/>
      <c r="AK490" s="314"/>
      <c r="AL490" s="314"/>
      <c r="AM490" s="314"/>
      <c r="AN490" s="314"/>
      <c r="AO490" s="314"/>
    </row>
    <row r="491" spans="1:41" s="73" customFormat="1" x14ac:dyDescent="0.25">
      <c r="A491" s="384"/>
      <c r="B491" s="386"/>
      <c r="C491" s="131"/>
      <c r="D491" s="131" t="s">
        <v>618</v>
      </c>
      <c r="E491" s="53" t="s">
        <v>1132</v>
      </c>
      <c r="F491" s="314"/>
      <c r="G491" s="314"/>
      <c r="H491" s="314"/>
      <c r="I491" s="314"/>
      <c r="J491" s="314"/>
      <c r="K491" s="314"/>
      <c r="L491" s="314"/>
      <c r="M491" s="314"/>
      <c r="N491" s="314"/>
      <c r="O491" s="314"/>
      <c r="P491" s="314"/>
      <c r="Q491" s="314"/>
      <c r="R491" s="314"/>
      <c r="S491" s="314"/>
      <c r="T491" s="314"/>
      <c r="U491" s="314"/>
      <c r="V491" s="314"/>
      <c r="W491" s="314"/>
      <c r="X491" s="314"/>
      <c r="Y491" s="314"/>
      <c r="Z491" s="314"/>
      <c r="AA491" s="314"/>
      <c r="AB491" s="314"/>
      <c r="AC491" s="314"/>
      <c r="AD491" s="314"/>
      <c r="AE491" s="314"/>
      <c r="AF491" s="314"/>
      <c r="AG491" s="314"/>
      <c r="AH491" s="314"/>
      <c r="AI491" s="314"/>
      <c r="AJ491" s="314"/>
      <c r="AK491" s="314"/>
      <c r="AL491" s="314"/>
      <c r="AM491" s="314"/>
      <c r="AN491" s="314"/>
      <c r="AO491" s="314"/>
    </row>
    <row r="492" spans="1:41" s="73" customFormat="1" x14ac:dyDescent="0.25">
      <c r="A492" s="384"/>
      <c r="B492" s="386"/>
      <c r="C492" s="131"/>
      <c r="D492" s="131" t="s">
        <v>619</v>
      </c>
      <c r="E492" s="53" t="s">
        <v>1133</v>
      </c>
      <c r="F492" s="314"/>
      <c r="G492" s="314"/>
      <c r="H492" s="314"/>
      <c r="I492" s="314"/>
      <c r="J492" s="314"/>
      <c r="K492" s="314"/>
      <c r="L492" s="314"/>
      <c r="M492" s="314"/>
      <c r="N492" s="314"/>
      <c r="O492" s="314"/>
      <c r="P492" s="314"/>
      <c r="Q492" s="314"/>
      <c r="R492" s="314"/>
      <c r="S492" s="314"/>
      <c r="T492" s="314"/>
      <c r="U492" s="314"/>
      <c r="V492" s="314"/>
      <c r="W492" s="314"/>
      <c r="X492" s="314"/>
      <c r="Y492" s="314"/>
      <c r="Z492" s="314"/>
      <c r="AA492" s="314"/>
      <c r="AB492" s="314"/>
      <c r="AC492" s="314"/>
      <c r="AD492" s="314"/>
      <c r="AE492" s="314"/>
      <c r="AF492" s="314"/>
      <c r="AG492" s="314"/>
      <c r="AH492" s="314"/>
      <c r="AI492" s="314"/>
      <c r="AJ492" s="314"/>
      <c r="AK492" s="314"/>
      <c r="AL492" s="314"/>
      <c r="AM492" s="314"/>
      <c r="AN492" s="314"/>
      <c r="AO492" s="314"/>
    </row>
    <row r="493" spans="1:41" s="73" customFormat="1" x14ac:dyDescent="0.25">
      <c r="A493" s="384"/>
      <c r="B493" s="386"/>
      <c r="C493" s="131"/>
      <c r="D493" s="131" t="s">
        <v>620</v>
      </c>
      <c r="E493" s="53" t="s">
        <v>1134</v>
      </c>
      <c r="F493" s="314"/>
      <c r="G493" s="314"/>
      <c r="H493" s="314"/>
      <c r="I493" s="314"/>
      <c r="J493" s="314"/>
      <c r="K493" s="314"/>
      <c r="L493" s="314"/>
      <c r="M493" s="314"/>
      <c r="N493" s="314"/>
      <c r="O493" s="314"/>
      <c r="P493" s="314"/>
      <c r="Q493" s="314"/>
      <c r="R493" s="314"/>
      <c r="S493" s="314"/>
      <c r="T493" s="314"/>
      <c r="U493" s="314"/>
      <c r="V493" s="314"/>
      <c r="W493" s="314"/>
      <c r="X493" s="314"/>
      <c r="Y493" s="314"/>
      <c r="Z493" s="314"/>
      <c r="AA493" s="314"/>
      <c r="AB493" s="314"/>
      <c r="AC493" s="314"/>
      <c r="AD493" s="314"/>
      <c r="AE493" s="314"/>
      <c r="AF493" s="314"/>
      <c r="AG493" s="314"/>
      <c r="AH493" s="314"/>
      <c r="AI493" s="314"/>
      <c r="AJ493" s="314"/>
      <c r="AK493" s="314"/>
      <c r="AL493" s="314"/>
      <c r="AM493" s="314"/>
      <c r="AN493" s="314"/>
      <c r="AO493" s="314"/>
    </row>
    <row r="494" spans="1:41" s="73" customFormat="1" x14ac:dyDescent="0.25">
      <c r="A494" s="384"/>
      <c r="B494" s="386"/>
      <c r="C494" s="131"/>
      <c r="D494" s="131" t="s">
        <v>621</v>
      </c>
      <c r="E494" s="53" t="s">
        <v>1135</v>
      </c>
      <c r="F494" s="314"/>
      <c r="G494" s="314"/>
      <c r="H494" s="314"/>
      <c r="I494" s="314"/>
      <c r="J494" s="314"/>
      <c r="K494" s="314"/>
      <c r="L494" s="314"/>
      <c r="M494" s="314"/>
      <c r="N494" s="314"/>
      <c r="O494" s="314"/>
      <c r="P494" s="314"/>
      <c r="Q494" s="314"/>
      <c r="R494" s="314"/>
      <c r="S494" s="314"/>
      <c r="T494" s="314"/>
      <c r="U494" s="314"/>
      <c r="V494" s="314"/>
      <c r="W494" s="314"/>
      <c r="X494" s="314"/>
      <c r="Y494" s="314"/>
      <c r="Z494" s="314"/>
      <c r="AA494" s="314"/>
      <c r="AB494" s="314"/>
      <c r="AC494" s="314"/>
      <c r="AD494" s="314"/>
      <c r="AE494" s="314"/>
      <c r="AF494" s="314"/>
      <c r="AG494" s="314"/>
      <c r="AH494" s="314"/>
      <c r="AI494" s="314"/>
      <c r="AJ494" s="314"/>
      <c r="AK494" s="314"/>
      <c r="AL494" s="314"/>
      <c r="AM494" s="314"/>
      <c r="AN494" s="314"/>
      <c r="AO494" s="314"/>
    </row>
    <row r="495" spans="1:41" s="73" customFormat="1" x14ac:dyDescent="0.25">
      <c r="A495" s="384"/>
      <c r="B495" s="386"/>
      <c r="C495" s="131"/>
      <c r="D495" s="131" t="s">
        <v>622</v>
      </c>
      <c r="E495" s="53" t="s">
        <v>1136</v>
      </c>
      <c r="F495" s="314"/>
      <c r="G495" s="314"/>
      <c r="H495" s="314"/>
      <c r="I495" s="314"/>
      <c r="J495" s="314"/>
      <c r="K495" s="314"/>
      <c r="L495" s="314"/>
      <c r="M495" s="314"/>
      <c r="N495" s="314"/>
      <c r="O495" s="314"/>
      <c r="P495" s="314"/>
      <c r="Q495" s="314"/>
      <c r="R495" s="314"/>
      <c r="S495" s="314"/>
      <c r="T495" s="314"/>
      <c r="U495" s="314"/>
      <c r="V495" s="314"/>
      <c r="W495" s="314"/>
      <c r="X495" s="314"/>
      <c r="Y495" s="314"/>
      <c r="Z495" s="314"/>
      <c r="AA495" s="314"/>
      <c r="AB495" s="314"/>
      <c r="AC495" s="314"/>
      <c r="AD495" s="314"/>
      <c r="AE495" s="314"/>
      <c r="AF495" s="314"/>
      <c r="AG495" s="314"/>
      <c r="AH495" s="314"/>
      <c r="AI495" s="314"/>
      <c r="AJ495" s="314"/>
      <c r="AK495" s="314"/>
      <c r="AL495" s="314"/>
      <c r="AM495" s="314"/>
      <c r="AN495" s="314"/>
      <c r="AO495" s="314"/>
    </row>
    <row r="496" spans="1:41" s="73" customFormat="1" x14ac:dyDescent="0.25">
      <c r="A496" s="384"/>
      <c r="B496" s="386"/>
      <c r="C496" s="131"/>
      <c r="D496" s="131" t="s">
        <v>510</v>
      </c>
      <c r="E496" s="53" t="s">
        <v>1137</v>
      </c>
      <c r="F496" s="314"/>
      <c r="G496" s="314"/>
      <c r="H496" s="314"/>
      <c r="I496" s="314"/>
      <c r="J496" s="314"/>
      <c r="K496" s="314"/>
      <c r="L496" s="314"/>
      <c r="M496" s="314"/>
      <c r="N496" s="314"/>
      <c r="O496" s="314"/>
      <c r="P496" s="314"/>
      <c r="Q496" s="314"/>
      <c r="R496" s="314"/>
      <c r="S496" s="314"/>
      <c r="T496" s="314"/>
      <c r="U496" s="314"/>
      <c r="V496" s="314"/>
      <c r="W496" s="314"/>
      <c r="X496" s="314"/>
      <c r="Y496" s="314"/>
      <c r="Z496" s="314"/>
      <c r="AA496" s="314"/>
      <c r="AB496" s="314"/>
      <c r="AC496" s="314"/>
      <c r="AD496" s="314"/>
      <c r="AE496" s="314"/>
      <c r="AF496" s="314"/>
      <c r="AG496" s="314"/>
      <c r="AH496" s="314"/>
      <c r="AI496" s="314"/>
      <c r="AJ496" s="314"/>
      <c r="AK496" s="314"/>
      <c r="AL496" s="314"/>
      <c r="AM496" s="314"/>
      <c r="AN496" s="314"/>
      <c r="AO496" s="314"/>
    </row>
    <row r="497" spans="1:41" s="73" customFormat="1" x14ac:dyDescent="0.25">
      <c r="A497" s="384"/>
      <c r="B497" s="386"/>
      <c r="C497" s="131"/>
      <c r="D497" s="131" t="s">
        <v>511</v>
      </c>
      <c r="E497" s="53" t="s">
        <v>1138</v>
      </c>
      <c r="F497" s="314"/>
      <c r="G497" s="314"/>
      <c r="H497" s="314"/>
      <c r="I497" s="314"/>
      <c r="J497" s="314"/>
      <c r="K497" s="314"/>
      <c r="L497" s="314"/>
      <c r="M497" s="314"/>
      <c r="N497" s="314"/>
      <c r="O497" s="314"/>
      <c r="P497" s="314"/>
      <c r="Q497" s="314"/>
      <c r="R497" s="314"/>
      <c r="S497" s="314"/>
      <c r="T497" s="314"/>
      <c r="U497" s="314"/>
      <c r="V497" s="314"/>
      <c r="W497" s="314"/>
      <c r="X497" s="314"/>
      <c r="Y497" s="314"/>
      <c r="Z497" s="314"/>
      <c r="AA497" s="314"/>
      <c r="AB497" s="314"/>
      <c r="AC497" s="314"/>
      <c r="AD497" s="314"/>
      <c r="AE497" s="314"/>
      <c r="AF497" s="314"/>
      <c r="AG497" s="314"/>
      <c r="AH497" s="314"/>
      <c r="AI497" s="314"/>
      <c r="AJ497" s="314"/>
      <c r="AK497" s="314"/>
      <c r="AL497" s="314"/>
      <c r="AM497" s="314"/>
      <c r="AN497" s="314"/>
      <c r="AO497" s="314"/>
    </row>
    <row r="498" spans="1:41" s="73" customFormat="1" x14ac:dyDescent="0.25">
      <c r="A498" s="384"/>
      <c r="B498" s="386"/>
      <c r="C498" s="131"/>
      <c r="D498" s="131" t="s">
        <v>512</v>
      </c>
      <c r="E498" s="53" t="s">
        <v>1139</v>
      </c>
      <c r="F498" s="314"/>
      <c r="G498" s="314"/>
      <c r="H498" s="314"/>
      <c r="I498" s="314"/>
      <c r="J498" s="314"/>
      <c r="K498" s="314"/>
      <c r="L498" s="314"/>
      <c r="M498" s="314"/>
      <c r="N498" s="314"/>
      <c r="O498" s="314"/>
      <c r="P498" s="314"/>
      <c r="Q498" s="314"/>
      <c r="R498" s="314"/>
      <c r="S498" s="314"/>
      <c r="T498" s="314"/>
      <c r="U498" s="314"/>
      <c r="V498" s="314"/>
      <c r="W498" s="314"/>
      <c r="X498" s="314"/>
      <c r="Y498" s="314"/>
      <c r="Z498" s="314"/>
      <c r="AA498" s="314"/>
      <c r="AB498" s="314"/>
      <c r="AC498" s="314"/>
      <c r="AD498" s="314"/>
      <c r="AE498" s="314"/>
      <c r="AF498" s="314"/>
      <c r="AG498" s="314"/>
      <c r="AH498" s="314"/>
      <c r="AI498" s="314"/>
      <c r="AJ498" s="314"/>
      <c r="AK498" s="314"/>
      <c r="AL498" s="314"/>
      <c r="AM498" s="314"/>
      <c r="AN498" s="314"/>
      <c r="AO498" s="314"/>
    </row>
    <row r="499" spans="1:41" s="73" customFormat="1" x14ac:dyDescent="0.25">
      <c r="A499" s="384"/>
      <c r="B499" s="386"/>
      <c r="C499" s="131"/>
      <c r="D499" s="131" t="s">
        <v>513</v>
      </c>
      <c r="E499" s="53" t="s">
        <v>1140</v>
      </c>
      <c r="F499" s="314"/>
      <c r="G499" s="314"/>
      <c r="H499" s="314"/>
      <c r="I499" s="314"/>
      <c r="J499" s="314"/>
      <c r="K499" s="314"/>
      <c r="L499" s="314"/>
      <c r="M499" s="314"/>
      <c r="N499" s="314"/>
      <c r="O499" s="314"/>
      <c r="P499" s="314"/>
      <c r="Q499" s="314"/>
      <c r="R499" s="314"/>
      <c r="S499" s="314"/>
      <c r="T499" s="314"/>
      <c r="U499" s="314"/>
      <c r="V499" s="314"/>
      <c r="W499" s="314"/>
      <c r="X499" s="314"/>
      <c r="Y499" s="314"/>
      <c r="Z499" s="314"/>
      <c r="AA499" s="314"/>
      <c r="AB499" s="314"/>
      <c r="AC499" s="314"/>
      <c r="AD499" s="314"/>
      <c r="AE499" s="314"/>
      <c r="AF499" s="314"/>
      <c r="AG499" s="314"/>
      <c r="AH499" s="314"/>
      <c r="AI499" s="314"/>
      <c r="AJ499" s="314"/>
      <c r="AK499" s="314"/>
      <c r="AL499" s="314"/>
      <c r="AM499" s="314"/>
      <c r="AN499" s="314"/>
      <c r="AO499" s="314"/>
    </row>
    <row r="500" spans="1:41" s="73" customFormat="1" x14ac:dyDescent="0.25">
      <c r="A500" s="384"/>
      <c r="B500" s="386"/>
      <c r="C500" s="131"/>
      <c r="D500" s="131" t="s">
        <v>514</v>
      </c>
      <c r="E500" s="53" t="s">
        <v>1141</v>
      </c>
      <c r="F500" s="314"/>
      <c r="G500" s="314"/>
      <c r="H500" s="314"/>
      <c r="I500" s="314"/>
      <c r="J500" s="314"/>
      <c r="K500" s="314"/>
      <c r="L500" s="314"/>
      <c r="M500" s="314"/>
      <c r="N500" s="314"/>
      <c r="O500" s="314"/>
      <c r="P500" s="314"/>
      <c r="Q500" s="314"/>
      <c r="R500" s="314"/>
      <c r="S500" s="314"/>
      <c r="T500" s="314"/>
      <c r="U500" s="314"/>
      <c r="V500" s="314"/>
      <c r="W500" s="314"/>
      <c r="X500" s="314"/>
      <c r="Y500" s="314"/>
      <c r="Z500" s="314"/>
      <c r="AA500" s="314"/>
      <c r="AB500" s="314"/>
      <c r="AC500" s="314"/>
      <c r="AD500" s="314"/>
      <c r="AE500" s="314"/>
      <c r="AF500" s="314"/>
      <c r="AG500" s="314"/>
      <c r="AH500" s="314"/>
      <c r="AI500" s="314"/>
      <c r="AJ500" s="314"/>
      <c r="AK500" s="314"/>
      <c r="AL500" s="314"/>
      <c r="AM500" s="314"/>
      <c r="AN500" s="314"/>
      <c r="AO500" s="314"/>
    </row>
    <row r="501" spans="1:41" s="73" customFormat="1" x14ac:dyDescent="0.25">
      <c r="A501" s="384"/>
      <c r="B501" s="386"/>
      <c r="C501" s="131"/>
      <c r="D501" s="131" t="s">
        <v>515</v>
      </c>
      <c r="E501" s="53" t="s">
        <v>1142</v>
      </c>
      <c r="F501" s="314"/>
      <c r="G501" s="314"/>
      <c r="H501" s="314"/>
      <c r="I501" s="314"/>
      <c r="J501" s="314"/>
      <c r="K501" s="314"/>
      <c r="L501" s="314"/>
      <c r="M501" s="314"/>
      <c r="N501" s="314"/>
      <c r="O501" s="314"/>
      <c r="P501" s="314"/>
      <c r="Q501" s="314"/>
      <c r="R501" s="314"/>
      <c r="S501" s="314"/>
      <c r="T501" s="314"/>
      <c r="U501" s="314"/>
      <c r="V501" s="314"/>
      <c r="W501" s="314"/>
      <c r="X501" s="314"/>
      <c r="Y501" s="314"/>
      <c r="Z501" s="314"/>
      <c r="AA501" s="314"/>
      <c r="AB501" s="314"/>
      <c r="AC501" s="314"/>
      <c r="AD501" s="314"/>
      <c r="AE501" s="314"/>
      <c r="AF501" s="314"/>
      <c r="AG501" s="314"/>
      <c r="AH501" s="314"/>
      <c r="AI501" s="314"/>
      <c r="AJ501" s="314"/>
      <c r="AK501" s="314"/>
      <c r="AL501" s="314"/>
      <c r="AM501" s="314"/>
      <c r="AN501" s="314"/>
      <c r="AO501" s="314"/>
    </row>
    <row r="502" spans="1:41" s="73" customFormat="1" x14ac:dyDescent="0.25">
      <c r="A502" s="384"/>
      <c r="B502" s="386"/>
      <c r="C502" s="131"/>
      <c r="D502" s="131" t="s">
        <v>516</v>
      </c>
      <c r="E502" s="53" t="s">
        <v>1143</v>
      </c>
      <c r="F502" s="314"/>
      <c r="G502" s="314"/>
      <c r="H502" s="314"/>
      <c r="I502" s="314"/>
      <c r="J502" s="314"/>
      <c r="K502" s="314"/>
      <c r="L502" s="314"/>
      <c r="M502" s="314"/>
      <c r="N502" s="314"/>
      <c r="O502" s="314"/>
      <c r="P502" s="314"/>
      <c r="Q502" s="314"/>
      <c r="R502" s="314"/>
      <c r="S502" s="314"/>
      <c r="T502" s="314"/>
      <c r="U502" s="314"/>
      <c r="V502" s="314"/>
      <c r="W502" s="314"/>
      <c r="X502" s="314"/>
      <c r="Y502" s="314"/>
      <c r="Z502" s="314"/>
      <c r="AA502" s="314"/>
      <c r="AB502" s="314"/>
      <c r="AC502" s="314"/>
      <c r="AD502" s="314"/>
      <c r="AE502" s="314"/>
      <c r="AF502" s="314"/>
      <c r="AG502" s="314"/>
      <c r="AH502" s="314"/>
      <c r="AI502" s="314"/>
      <c r="AJ502" s="314"/>
      <c r="AK502" s="314"/>
      <c r="AL502" s="314"/>
      <c r="AM502" s="314"/>
      <c r="AN502" s="314"/>
      <c r="AO502" s="314"/>
    </row>
    <row r="503" spans="1:41" s="73" customFormat="1" x14ac:dyDescent="0.25">
      <c r="A503" s="384"/>
      <c r="B503" s="386"/>
      <c r="C503" s="131"/>
      <c r="D503" s="131" t="s">
        <v>517</v>
      </c>
      <c r="E503" s="53" t="s">
        <v>1144</v>
      </c>
      <c r="F503" s="314"/>
      <c r="G503" s="314"/>
      <c r="H503" s="314"/>
      <c r="I503" s="314"/>
      <c r="J503" s="314"/>
      <c r="K503" s="314"/>
      <c r="L503" s="314"/>
      <c r="M503" s="314"/>
      <c r="N503" s="314"/>
      <c r="O503" s="314"/>
      <c r="P503" s="314"/>
      <c r="Q503" s="314"/>
      <c r="R503" s="314"/>
      <c r="S503" s="314"/>
      <c r="T503" s="314"/>
      <c r="U503" s="314"/>
      <c r="V503" s="314"/>
      <c r="W503" s="314"/>
      <c r="X503" s="314"/>
      <c r="Y503" s="314"/>
      <c r="Z503" s="314"/>
      <c r="AA503" s="314"/>
      <c r="AB503" s="314"/>
      <c r="AC503" s="314"/>
      <c r="AD503" s="314"/>
      <c r="AE503" s="314"/>
      <c r="AF503" s="314"/>
      <c r="AG503" s="314"/>
      <c r="AH503" s="314"/>
      <c r="AI503" s="314"/>
      <c r="AJ503" s="314"/>
      <c r="AK503" s="314"/>
      <c r="AL503" s="314"/>
      <c r="AM503" s="314"/>
      <c r="AN503" s="314"/>
      <c r="AO503" s="314"/>
    </row>
    <row r="504" spans="1:41" s="73" customFormat="1" x14ac:dyDescent="0.25">
      <c r="A504" s="384"/>
      <c r="B504" s="386"/>
      <c r="C504" s="131"/>
      <c r="D504" s="131" t="s">
        <v>518</v>
      </c>
      <c r="E504" s="53" t="s">
        <v>1145</v>
      </c>
      <c r="F504" s="314"/>
      <c r="G504" s="314"/>
      <c r="H504" s="314"/>
      <c r="I504" s="314"/>
      <c r="J504" s="314"/>
      <c r="K504" s="314"/>
      <c r="L504" s="314"/>
      <c r="M504" s="314"/>
      <c r="N504" s="314"/>
      <c r="O504" s="314"/>
      <c r="P504" s="314"/>
      <c r="Q504" s="314"/>
      <c r="R504" s="314"/>
      <c r="S504" s="314"/>
      <c r="T504" s="314"/>
      <c r="U504" s="314"/>
      <c r="V504" s="314"/>
      <c r="W504" s="314"/>
      <c r="X504" s="314"/>
      <c r="Y504" s="314"/>
      <c r="Z504" s="314"/>
      <c r="AA504" s="314"/>
      <c r="AB504" s="314"/>
      <c r="AC504" s="314"/>
      <c r="AD504" s="314"/>
      <c r="AE504" s="314"/>
      <c r="AF504" s="314"/>
      <c r="AG504" s="314"/>
      <c r="AH504" s="314"/>
      <c r="AI504" s="314"/>
      <c r="AJ504" s="314"/>
      <c r="AK504" s="314"/>
      <c r="AL504" s="314"/>
      <c r="AM504" s="314"/>
      <c r="AN504" s="314"/>
      <c r="AO504" s="314"/>
    </row>
    <row r="505" spans="1:41" s="73" customFormat="1" x14ac:dyDescent="0.25">
      <c r="A505" s="384"/>
      <c r="B505" s="386"/>
      <c r="C505" s="169" t="s">
        <v>1086</v>
      </c>
      <c r="D505" s="131"/>
      <c r="E505" s="53"/>
      <c r="F505" s="314"/>
      <c r="G505" s="314"/>
      <c r="H505" s="314"/>
      <c r="I505" s="314"/>
      <c r="J505" s="314"/>
      <c r="K505" s="314"/>
      <c r="L505" s="314"/>
      <c r="M505" s="314"/>
      <c r="N505" s="314"/>
      <c r="O505" s="314"/>
      <c r="P505" s="314"/>
      <c r="Q505" s="314"/>
      <c r="R505" s="314"/>
      <c r="S505" s="314"/>
      <c r="T505" s="314"/>
      <c r="U505" s="314"/>
      <c r="V505" s="314"/>
      <c r="W505" s="314"/>
      <c r="X505" s="314"/>
      <c r="Y505" s="314"/>
      <c r="Z505" s="314"/>
      <c r="AA505" s="314"/>
      <c r="AB505" s="314"/>
      <c r="AC505" s="314"/>
      <c r="AD505" s="314"/>
      <c r="AE505" s="314"/>
      <c r="AF505" s="314"/>
      <c r="AG505" s="314"/>
      <c r="AH505" s="314"/>
      <c r="AI505" s="314"/>
      <c r="AJ505" s="314"/>
      <c r="AK505" s="314"/>
      <c r="AL505" s="314"/>
      <c r="AM505" s="314"/>
      <c r="AN505" s="314"/>
      <c r="AO505" s="314"/>
    </row>
    <row r="506" spans="1:41" s="73" customFormat="1" x14ac:dyDescent="0.25">
      <c r="A506" s="384"/>
      <c r="B506" s="386"/>
      <c r="C506" s="131"/>
      <c r="D506" s="131" t="s">
        <v>604</v>
      </c>
      <c r="E506" s="53" t="s">
        <v>1146</v>
      </c>
      <c r="F506" s="314"/>
      <c r="G506" s="314"/>
      <c r="H506" s="314"/>
      <c r="I506" s="314"/>
      <c r="J506" s="314"/>
      <c r="K506" s="314"/>
      <c r="L506" s="314"/>
      <c r="M506" s="314"/>
      <c r="N506" s="314"/>
      <c r="O506" s="314"/>
      <c r="P506" s="314"/>
      <c r="Q506" s="314"/>
      <c r="R506" s="314"/>
      <c r="S506" s="314"/>
      <c r="T506" s="314"/>
      <c r="U506" s="314"/>
      <c r="V506" s="314"/>
      <c r="W506" s="314"/>
      <c r="X506" s="314"/>
      <c r="Y506" s="314"/>
      <c r="Z506" s="314"/>
      <c r="AA506" s="314"/>
      <c r="AB506" s="314"/>
      <c r="AC506" s="314"/>
      <c r="AD506" s="314"/>
      <c r="AE506" s="314"/>
      <c r="AF506" s="314"/>
      <c r="AG506" s="314"/>
      <c r="AH506" s="314"/>
      <c r="AI506" s="314"/>
      <c r="AJ506" s="314"/>
      <c r="AK506" s="314"/>
      <c r="AL506" s="314"/>
      <c r="AM506" s="314"/>
      <c r="AN506" s="314"/>
      <c r="AO506" s="314"/>
    </row>
    <row r="507" spans="1:41" s="73" customFormat="1" x14ac:dyDescent="0.25">
      <c r="A507" s="384"/>
      <c r="B507" s="386"/>
      <c r="C507" s="131"/>
      <c r="D507" s="131" t="s">
        <v>605</v>
      </c>
      <c r="E507" s="53" t="s">
        <v>1147</v>
      </c>
      <c r="F507" s="314"/>
      <c r="G507" s="314"/>
      <c r="H507" s="314"/>
      <c r="I507" s="314"/>
      <c r="J507" s="314"/>
      <c r="K507" s="314"/>
      <c r="L507" s="314"/>
      <c r="M507" s="314"/>
      <c r="N507" s="314"/>
      <c r="O507" s="314"/>
      <c r="P507" s="314"/>
      <c r="Q507" s="314"/>
      <c r="R507" s="314"/>
      <c r="S507" s="314"/>
      <c r="T507" s="314"/>
      <c r="U507" s="314"/>
      <c r="V507" s="314"/>
      <c r="W507" s="314"/>
      <c r="X507" s="314"/>
      <c r="Y507" s="314"/>
      <c r="Z507" s="314"/>
      <c r="AA507" s="314"/>
      <c r="AB507" s="314"/>
      <c r="AC507" s="314"/>
      <c r="AD507" s="314"/>
      <c r="AE507" s="314"/>
      <c r="AF507" s="314"/>
      <c r="AG507" s="314"/>
      <c r="AH507" s="314"/>
      <c r="AI507" s="314"/>
      <c r="AJ507" s="314"/>
      <c r="AK507" s="314"/>
      <c r="AL507" s="314"/>
      <c r="AM507" s="314"/>
      <c r="AN507" s="314"/>
      <c r="AO507" s="314"/>
    </row>
    <row r="508" spans="1:41" s="73" customFormat="1" x14ac:dyDescent="0.25">
      <c r="A508" s="384"/>
      <c r="B508" s="386"/>
      <c r="C508" s="131"/>
      <c r="D508" s="131" t="s">
        <v>606</v>
      </c>
      <c r="E508" s="53" t="s">
        <v>1148</v>
      </c>
      <c r="F508" s="314"/>
      <c r="G508" s="314"/>
      <c r="H508" s="314"/>
      <c r="I508" s="314"/>
      <c r="J508" s="314"/>
      <c r="K508" s="314"/>
      <c r="L508" s="314"/>
      <c r="M508" s="314"/>
      <c r="N508" s="314"/>
      <c r="O508" s="314"/>
      <c r="P508" s="314"/>
      <c r="Q508" s="314"/>
      <c r="R508" s="314"/>
      <c r="S508" s="314"/>
      <c r="T508" s="314"/>
      <c r="U508" s="314"/>
      <c r="V508" s="314"/>
      <c r="W508" s="314"/>
      <c r="X508" s="314"/>
      <c r="Y508" s="314"/>
      <c r="Z508" s="314"/>
      <c r="AA508" s="314"/>
      <c r="AB508" s="314"/>
      <c r="AC508" s="314"/>
      <c r="AD508" s="314"/>
      <c r="AE508" s="314"/>
      <c r="AF508" s="314"/>
      <c r="AG508" s="314"/>
      <c r="AH508" s="314"/>
      <c r="AI508" s="314"/>
      <c r="AJ508" s="314"/>
      <c r="AK508" s="314"/>
      <c r="AL508" s="314"/>
      <c r="AM508" s="314"/>
      <c r="AN508" s="314"/>
      <c r="AO508" s="314"/>
    </row>
    <row r="509" spans="1:41" s="73" customFormat="1" x14ac:dyDescent="0.25">
      <c r="A509" s="384"/>
      <c r="B509" s="386"/>
      <c r="C509" s="131"/>
      <c r="D509" s="131" t="s">
        <v>607</v>
      </c>
      <c r="E509" s="53" t="s">
        <v>1149</v>
      </c>
      <c r="F509" s="314"/>
      <c r="G509" s="314"/>
      <c r="H509" s="314"/>
      <c r="I509" s="314"/>
      <c r="J509" s="314"/>
      <c r="K509" s="314"/>
      <c r="L509" s="314"/>
      <c r="M509" s="314"/>
      <c r="N509" s="314"/>
      <c r="O509" s="314"/>
      <c r="P509" s="314"/>
      <c r="Q509" s="314"/>
      <c r="R509" s="314"/>
      <c r="S509" s="314"/>
      <c r="T509" s="314"/>
      <c r="U509" s="314"/>
      <c r="V509" s="314"/>
      <c r="W509" s="314"/>
      <c r="X509" s="314"/>
      <c r="Y509" s="314"/>
      <c r="Z509" s="314"/>
      <c r="AA509" s="314"/>
      <c r="AB509" s="314"/>
      <c r="AC509" s="314"/>
      <c r="AD509" s="314"/>
      <c r="AE509" s="314"/>
      <c r="AF509" s="314"/>
      <c r="AG509" s="314"/>
      <c r="AH509" s="314"/>
      <c r="AI509" s="314"/>
      <c r="AJ509" s="314"/>
      <c r="AK509" s="314"/>
      <c r="AL509" s="314"/>
      <c r="AM509" s="314"/>
      <c r="AN509" s="314"/>
      <c r="AO509" s="314"/>
    </row>
    <row r="510" spans="1:41" s="73" customFormat="1" x14ac:dyDescent="0.25">
      <c r="A510" s="384"/>
      <c r="B510" s="386"/>
      <c r="C510" s="131"/>
      <c r="D510" s="131" t="s">
        <v>608</v>
      </c>
      <c r="E510" s="53" t="s">
        <v>1150</v>
      </c>
      <c r="F510" s="314"/>
      <c r="G510" s="314"/>
      <c r="H510" s="314"/>
      <c r="I510" s="314"/>
      <c r="J510" s="314"/>
      <c r="K510" s="314"/>
      <c r="L510" s="314"/>
      <c r="M510" s="314"/>
      <c r="N510" s="314"/>
      <c r="O510" s="314"/>
      <c r="P510" s="314"/>
      <c r="Q510" s="314"/>
      <c r="R510" s="314"/>
      <c r="S510" s="314"/>
      <c r="T510" s="314"/>
      <c r="U510" s="314"/>
      <c r="V510" s="314"/>
      <c r="W510" s="314"/>
      <c r="X510" s="314"/>
      <c r="Y510" s="314"/>
      <c r="Z510" s="314"/>
      <c r="AA510" s="314"/>
      <c r="AB510" s="314"/>
      <c r="AC510" s="314"/>
      <c r="AD510" s="314"/>
      <c r="AE510" s="314"/>
      <c r="AF510" s="314"/>
      <c r="AG510" s="314"/>
      <c r="AH510" s="314"/>
      <c r="AI510" s="314"/>
      <c r="AJ510" s="314"/>
      <c r="AK510" s="314"/>
      <c r="AL510" s="314"/>
      <c r="AM510" s="314"/>
      <c r="AN510" s="314"/>
      <c r="AO510" s="314"/>
    </row>
    <row r="511" spans="1:41" s="73" customFormat="1" x14ac:dyDescent="0.25">
      <c r="A511" s="384"/>
      <c r="B511" s="386"/>
      <c r="C511" s="131"/>
      <c r="D511" s="131" t="s">
        <v>609</v>
      </c>
      <c r="E511" s="53" t="s">
        <v>1151</v>
      </c>
      <c r="F511" s="314"/>
      <c r="G511" s="314"/>
      <c r="H511" s="314"/>
      <c r="I511" s="314"/>
      <c r="J511" s="314"/>
      <c r="K511" s="314"/>
      <c r="L511" s="314"/>
      <c r="M511" s="314"/>
      <c r="N511" s="314"/>
      <c r="O511" s="314"/>
      <c r="P511" s="314"/>
      <c r="Q511" s="314"/>
      <c r="R511" s="314"/>
      <c r="S511" s="314"/>
      <c r="T511" s="314"/>
      <c r="U511" s="314"/>
      <c r="V511" s="314"/>
      <c r="W511" s="314"/>
      <c r="X511" s="314"/>
      <c r="Y511" s="314"/>
      <c r="Z511" s="314"/>
      <c r="AA511" s="314"/>
      <c r="AB511" s="314"/>
      <c r="AC511" s="314"/>
      <c r="AD511" s="314"/>
      <c r="AE511" s="314"/>
      <c r="AF511" s="314"/>
      <c r="AG511" s="314"/>
      <c r="AH511" s="314"/>
      <c r="AI511" s="314"/>
      <c r="AJ511" s="314"/>
      <c r="AK511" s="314"/>
      <c r="AL511" s="314"/>
      <c r="AM511" s="314"/>
      <c r="AN511" s="314"/>
      <c r="AO511" s="314"/>
    </row>
    <row r="512" spans="1:41" s="73" customFormat="1" x14ac:dyDescent="0.25">
      <c r="A512" s="384"/>
      <c r="B512" s="386"/>
      <c r="C512" s="131"/>
      <c r="D512" s="131" t="s">
        <v>610</v>
      </c>
      <c r="E512" s="53" t="s">
        <v>1152</v>
      </c>
      <c r="F512" s="314"/>
      <c r="G512" s="314"/>
      <c r="H512" s="314"/>
      <c r="I512" s="314"/>
      <c r="J512" s="314"/>
      <c r="K512" s="314"/>
      <c r="L512" s="314"/>
      <c r="M512" s="314"/>
      <c r="N512" s="314"/>
      <c r="O512" s="314"/>
      <c r="P512" s="314"/>
      <c r="Q512" s="314"/>
      <c r="R512" s="314"/>
      <c r="S512" s="314"/>
      <c r="T512" s="314"/>
      <c r="U512" s="314"/>
      <c r="V512" s="314"/>
      <c r="W512" s="314"/>
      <c r="X512" s="314"/>
      <c r="Y512" s="314"/>
      <c r="Z512" s="314"/>
      <c r="AA512" s="314"/>
      <c r="AB512" s="314"/>
      <c r="AC512" s="314"/>
      <c r="AD512" s="314"/>
      <c r="AE512" s="314"/>
      <c r="AF512" s="314"/>
      <c r="AG512" s="314"/>
      <c r="AH512" s="314"/>
      <c r="AI512" s="314"/>
      <c r="AJ512" s="314"/>
      <c r="AK512" s="314"/>
      <c r="AL512" s="314"/>
      <c r="AM512" s="314"/>
      <c r="AN512" s="314"/>
      <c r="AO512" s="314"/>
    </row>
    <row r="513" spans="1:41" s="73" customFormat="1" x14ac:dyDescent="0.25">
      <c r="A513" s="384"/>
      <c r="B513" s="386"/>
      <c r="C513" s="131"/>
      <c r="D513" s="131" t="s">
        <v>611</v>
      </c>
      <c r="E513" s="53" t="s">
        <v>1153</v>
      </c>
      <c r="F513" s="314"/>
      <c r="G513" s="314"/>
      <c r="H513" s="314"/>
      <c r="I513" s="314"/>
      <c r="J513" s="314"/>
      <c r="K513" s="314"/>
      <c r="L513" s="314"/>
      <c r="M513" s="314"/>
      <c r="N513" s="314"/>
      <c r="O513" s="314"/>
      <c r="P513" s="314"/>
      <c r="Q513" s="314"/>
      <c r="R513" s="314"/>
      <c r="S513" s="314"/>
      <c r="T513" s="314"/>
      <c r="U513" s="314"/>
      <c r="V513" s="314"/>
      <c r="W513" s="314"/>
      <c r="X513" s="314"/>
      <c r="Y513" s="314"/>
      <c r="Z513" s="314"/>
      <c r="AA513" s="314"/>
      <c r="AB513" s="314"/>
      <c r="AC513" s="314"/>
      <c r="AD513" s="314"/>
      <c r="AE513" s="314"/>
      <c r="AF513" s="314"/>
      <c r="AG513" s="314"/>
      <c r="AH513" s="314"/>
      <c r="AI513" s="314"/>
      <c r="AJ513" s="314"/>
      <c r="AK513" s="314"/>
      <c r="AL513" s="314"/>
      <c r="AM513" s="314"/>
      <c r="AN513" s="314"/>
      <c r="AO513" s="314"/>
    </row>
    <row r="514" spans="1:41" s="73" customFormat="1" x14ac:dyDescent="0.25">
      <c r="A514" s="384"/>
      <c r="B514" s="386"/>
      <c r="C514" s="131"/>
      <c r="D514" s="131" t="s">
        <v>612</v>
      </c>
      <c r="E514" s="53" t="s">
        <v>1154</v>
      </c>
      <c r="F514" s="314"/>
      <c r="G514" s="314"/>
      <c r="H514" s="314"/>
      <c r="I514" s="314"/>
      <c r="J514" s="314"/>
      <c r="K514" s="314"/>
      <c r="L514" s="314"/>
      <c r="M514" s="314"/>
      <c r="N514" s="314"/>
      <c r="O514" s="314"/>
      <c r="P514" s="314"/>
      <c r="Q514" s="314"/>
      <c r="R514" s="314"/>
      <c r="S514" s="314"/>
      <c r="T514" s="314"/>
      <c r="U514" s="314"/>
      <c r="V514" s="314"/>
      <c r="W514" s="314"/>
      <c r="X514" s="314"/>
      <c r="Y514" s="314"/>
      <c r="Z514" s="314"/>
      <c r="AA514" s="314"/>
      <c r="AB514" s="314"/>
      <c r="AC514" s="314"/>
      <c r="AD514" s="314"/>
      <c r="AE514" s="314"/>
      <c r="AF514" s="314"/>
      <c r="AG514" s="314"/>
      <c r="AH514" s="314"/>
      <c r="AI514" s="314"/>
      <c r="AJ514" s="314"/>
      <c r="AK514" s="314"/>
      <c r="AL514" s="314"/>
      <c r="AM514" s="314"/>
      <c r="AN514" s="314"/>
      <c r="AO514" s="314"/>
    </row>
    <row r="515" spans="1:41" s="73" customFormat="1" x14ac:dyDescent="0.25">
      <c r="A515" s="384"/>
      <c r="B515" s="386"/>
      <c r="C515" s="131"/>
      <c r="D515" s="131" t="s">
        <v>613</v>
      </c>
      <c r="E515" s="53" t="s">
        <v>1155</v>
      </c>
      <c r="F515" s="314"/>
      <c r="G515" s="314"/>
      <c r="H515" s="314"/>
      <c r="I515" s="314"/>
      <c r="J515" s="314"/>
      <c r="K515" s="314"/>
      <c r="L515" s="314"/>
      <c r="M515" s="314"/>
      <c r="N515" s="314"/>
      <c r="O515" s="314"/>
      <c r="P515" s="314"/>
      <c r="Q515" s="314"/>
      <c r="R515" s="314"/>
      <c r="S515" s="314"/>
      <c r="T515" s="314"/>
      <c r="U515" s="314"/>
      <c r="V515" s="314"/>
      <c r="W515" s="314"/>
      <c r="X515" s="314"/>
      <c r="Y515" s="314"/>
      <c r="Z515" s="314"/>
      <c r="AA515" s="314"/>
      <c r="AB515" s="314"/>
      <c r="AC515" s="314"/>
      <c r="AD515" s="314"/>
      <c r="AE515" s="314"/>
      <c r="AF515" s="314"/>
      <c r="AG515" s="314"/>
      <c r="AH515" s="314"/>
      <c r="AI515" s="314"/>
      <c r="AJ515" s="314"/>
      <c r="AK515" s="314"/>
      <c r="AL515" s="314"/>
      <c r="AM515" s="314"/>
      <c r="AN515" s="314"/>
      <c r="AO515" s="314"/>
    </row>
    <row r="516" spans="1:41" s="73" customFormat="1" x14ac:dyDescent="0.25">
      <c r="A516" s="384"/>
      <c r="B516" s="386"/>
      <c r="C516" s="131"/>
      <c r="D516" s="131" t="s">
        <v>614</v>
      </c>
      <c r="E516" s="53" t="s">
        <v>1156</v>
      </c>
      <c r="F516" s="314"/>
      <c r="G516" s="314"/>
      <c r="H516" s="314"/>
      <c r="I516" s="314"/>
      <c r="J516" s="314"/>
      <c r="K516" s="314"/>
      <c r="L516" s="314"/>
      <c r="M516" s="314"/>
      <c r="N516" s="314"/>
      <c r="O516" s="314"/>
      <c r="P516" s="314"/>
      <c r="Q516" s="314"/>
      <c r="R516" s="314"/>
      <c r="S516" s="314"/>
      <c r="T516" s="314"/>
      <c r="U516" s="314"/>
      <c r="V516" s="314"/>
      <c r="W516" s="314"/>
      <c r="X516" s="314"/>
      <c r="Y516" s="314"/>
      <c r="Z516" s="314"/>
      <c r="AA516" s="314"/>
      <c r="AB516" s="314"/>
      <c r="AC516" s="314"/>
      <c r="AD516" s="314"/>
      <c r="AE516" s="314"/>
      <c r="AF516" s="314"/>
      <c r="AG516" s="314"/>
      <c r="AH516" s="314"/>
      <c r="AI516" s="314"/>
      <c r="AJ516" s="314"/>
      <c r="AK516" s="314"/>
      <c r="AL516" s="314"/>
      <c r="AM516" s="314"/>
      <c r="AN516" s="314"/>
      <c r="AO516" s="314"/>
    </row>
    <row r="517" spans="1:41" s="73" customFormat="1" x14ac:dyDescent="0.25">
      <c r="A517" s="384"/>
      <c r="B517" s="386"/>
      <c r="C517" s="131"/>
      <c r="D517" s="131" t="s">
        <v>615</v>
      </c>
      <c r="E517" s="53" t="s">
        <v>1157</v>
      </c>
      <c r="F517" s="314"/>
      <c r="G517" s="314"/>
      <c r="H517" s="314"/>
      <c r="I517" s="314"/>
      <c r="J517" s="314"/>
      <c r="K517" s="314"/>
      <c r="L517" s="314"/>
      <c r="M517" s="314"/>
      <c r="N517" s="314"/>
      <c r="O517" s="314"/>
      <c r="P517" s="314"/>
      <c r="Q517" s="314"/>
      <c r="R517" s="314"/>
      <c r="S517" s="314"/>
      <c r="T517" s="314"/>
      <c r="U517" s="314"/>
      <c r="V517" s="314"/>
      <c r="W517" s="314"/>
      <c r="X517" s="314"/>
      <c r="Y517" s="314"/>
      <c r="Z517" s="314"/>
      <c r="AA517" s="314"/>
      <c r="AB517" s="314"/>
      <c r="AC517" s="314"/>
      <c r="AD517" s="314"/>
      <c r="AE517" s="314"/>
      <c r="AF517" s="314"/>
      <c r="AG517" s="314"/>
      <c r="AH517" s="314"/>
      <c r="AI517" s="314"/>
      <c r="AJ517" s="314"/>
      <c r="AK517" s="314"/>
      <c r="AL517" s="314"/>
      <c r="AM517" s="314"/>
      <c r="AN517" s="314"/>
      <c r="AO517" s="314"/>
    </row>
    <row r="518" spans="1:41" s="73" customFormat="1" x14ac:dyDescent="0.25">
      <c r="A518" s="384"/>
      <c r="B518" s="386"/>
      <c r="C518" s="131"/>
      <c r="D518" s="131" t="s">
        <v>616</v>
      </c>
      <c r="E518" s="53" t="s">
        <v>1158</v>
      </c>
      <c r="F518" s="314"/>
      <c r="G518" s="314"/>
      <c r="H518" s="314"/>
      <c r="I518" s="314"/>
      <c r="J518" s="314"/>
      <c r="K518" s="314"/>
      <c r="L518" s="314"/>
      <c r="M518" s="314"/>
      <c r="N518" s="314"/>
      <c r="O518" s="314"/>
      <c r="P518" s="314"/>
      <c r="Q518" s="314"/>
      <c r="R518" s="314"/>
      <c r="S518" s="314"/>
      <c r="T518" s="314"/>
      <c r="U518" s="314"/>
      <c r="V518" s="314"/>
      <c r="W518" s="314"/>
      <c r="X518" s="314"/>
      <c r="Y518" s="314"/>
      <c r="Z518" s="314"/>
      <c r="AA518" s="314"/>
      <c r="AB518" s="314"/>
      <c r="AC518" s="314"/>
      <c r="AD518" s="314"/>
      <c r="AE518" s="314"/>
      <c r="AF518" s="314"/>
      <c r="AG518" s="314"/>
      <c r="AH518" s="314"/>
      <c r="AI518" s="314"/>
      <c r="AJ518" s="314"/>
      <c r="AK518" s="314"/>
      <c r="AL518" s="314"/>
      <c r="AM518" s="314"/>
      <c r="AN518" s="314"/>
      <c r="AO518" s="314"/>
    </row>
    <row r="519" spans="1:41" s="73" customFormat="1" x14ac:dyDescent="0.25">
      <c r="A519" s="384"/>
      <c r="B519" s="386"/>
      <c r="C519" s="131"/>
      <c r="D519" s="131" t="s">
        <v>617</v>
      </c>
      <c r="E519" s="53" t="s">
        <v>1159</v>
      </c>
      <c r="F519" s="314"/>
      <c r="G519" s="314"/>
      <c r="H519" s="314"/>
      <c r="I519" s="314"/>
      <c r="J519" s="314"/>
      <c r="K519" s="314"/>
      <c r="L519" s="314"/>
      <c r="M519" s="314"/>
      <c r="N519" s="314"/>
      <c r="O519" s="314"/>
      <c r="P519" s="314"/>
      <c r="Q519" s="314"/>
      <c r="R519" s="314"/>
      <c r="S519" s="314"/>
      <c r="T519" s="314"/>
      <c r="U519" s="314"/>
      <c r="V519" s="314"/>
      <c r="W519" s="314"/>
      <c r="X519" s="314"/>
      <c r="Y519" s="314"/>
      <c r="Z519" s="314"/>
      <c r="AA519" s="314"/>
      <c r="AB519" s="314"/>
      <c r="AC519" s="314"/>
      <c r="AD519" s="314"/>
      <c r="AE519" s="314"/>
      <c r="AF519" s="314"/>
      <c r="AG519" s="314"/>
      <c r="AH519" s="314"/>
      <c r="AI519" s="314"/>
      <c r="AJ519" s="314"/>
      <c r="AK519" s="314"/>
      <c r="AL519" s="314"/>
      <c r="AM519" s="314"/>
      <c r="AN519" s="314"/>
      <c r="AO519" s="314"/>
    </row>
    <row r="520" spans="1:41" s="73" customFormat="1" x14ac:dyDescent="0.25">
      <c r="A520" s="384"/>
      <c r="B520" s="386"/>
      <c r="C520" s="131"/>
      <c r="D520" s="131" t="s">
        <v>618</v>
      </c>
      <c r="E520" s="53" t="s">
        <v>1160</v>
      </c>
      <c r="F520" s="314"/>
      <c r="G520" s="314"/>
      <c r="H520" s="314"/>
      <c r="I520" s="314"/>
      <c r="J520" s="314"/>
      <c r="K520" s="314"/>
      <c r="L520" s="314"/>
      <c r="M520" s="314"/>
      <c r="N520" s="314"/>
      <c r="O520" s="314"/>
      <c r="P520" s="314"/>
      <c r="Q520" s="314"/>
      <c r="R520" s="314"/>
      <c r="S520" s="314"/>
      <c r="T520" s="314"/>
      <c r="U520" s="314"/>
      <c r="V520" s="314"/>
      <c r="W520" s="314"/>
      <c r="X520" s="314"/>
      <c r="Y520" s="314"/>
      <c r="Z520" s="314"/>
      <c r="AA520" s="314"/>
      <c r="AB520" s="314"/>
      <c r="AC520" s="314"/>
      <c r="AD520" s="314"/>
      <c r="AE520" s="314"/>
      <c r="AF520" s="314"/>
      <c r="AG520" s="314"/>
      <c r="AH520" s="314"/>
      <c r="AI520" s="314"/>
      <c r="AJ520" s="314"/>
      <c r="AK520" s="314"/>
      <c r="AL520" s="314"/>
      <c r="AM520" s="314"/>
      <c r="AN520" s="314"/>
      <c r="AO520" s="314"/>
    </row>
    <row r="521" spans="1:41" s="73" customFormat="1" x14ac:dyDescent="0.25">
      <c r="A521" s="384"/>
      <c r="B521" s="386"/>
      <c r="C521" s="131"/>
      <c r="D521" s="131" t="s">
        <v>619</v>
      </c>
      <c r="E521" s="53" t="s">
        <v>1161</v>
      </c>
      <c r="F521" s="314"/>
      <c r="G521" s="314"/>
      <c r="H521" s="314"/>
      <c r="I521" s="314"/>
      <c r="J521" s="314"/>
      <c r="K521" s="314"/>
      <c r="L521" s="314"/>
      <c r="M521" s="314"/>
      <c r="N521" s="314"/>
      <c r="O521" s="314"/>
      <c r="P521" s="314"/>
      <c r="Q521" s="314"/>
      <c r="R521" s="314"/>
      <c r="S521" s="314"/>
      <c r="T521" s="314"/>
      <c r="U521" s="314"/>
      <c r="V521" s="314"/>
      <c r="W521" s="314"/>
      <c r="X521" s="314"/>
      <c r="Y521" s="314"/>
      <c r="Z521" s="314"/>
      <c r="AA521" s="314"/>
      <c r="AB521" s="314"/>
      <c r="AC521" s="314"/>
      <c r="AD521" s="314"/>
      <c r="AE521" s="314"/>
      <c r="AF521" s="314"/>
      <c r="AG521" s="314"/>
      <c r="AH521" s="314"/>
      <c r="AI521" s="314"/>
      <c r="AJ521" s="314"/>
      <c r="AK521" s="314"/>
      <c r="AL521" s="314"/>
      <c r="AM521" s="314"/>
      <c r="AN521" s="314"/>
      <c r="AO521" s="314"/>
    </row>
    <row r="522" spans="1:41" s="73" customFormat="1" x14ac:dyDescent="0.25">
      <c r="A522" s="384"/>
      <c r="B522" s="386"/>
      <c r="C522" s="131"/>
      <c r="D522" s="131" t="s">
        <v>620</v>
      </c>
      <c r="E522" s="53" t="s">
        <v>1162</v>
      </c>
      <c r="F522" s="314"/>
      <c r="G522" s="314"/>
      <c r="H522" s="314"/>
      <c r="I522" s="314"/>
      <c r="J522" s="314"/>
      <c r="K522" s="314"/>
      <c r="L522" s="314"/>
      <c r="M522" s="314"/>
      <c r="N522" s="314"/>
      <c r="O522" s="314"/>
      <c r="P522" s="314"/>
      <c r="Q522" s="314"/>
      <c r="R522" s="314"/>
      <c r="S522" s="314"/>
      <c r="T522" s="314"/>
      <c r="U522" s="314"/>
      <c r="V522" s="314"/>
      <c r="W522" s="314"/>
      <c r="X522" s="314"/>
      <c r="Y522" s="314"/>
      <c r="Z522" s="314"/>
      <c r="AA522" s="314"/>
      <c r="AB522" s="314"/>
      <c r="AC522" s="314"/>
      <c r="AD522" s="314"/>
      <c r="AE522" s="314"/>
      <c r="AF522" s="314"/>
      <c r="AG522" s="314"/>
      <c r="AH522" s="314"/>
      <c r="AI522" s="314"/>
      <c r="AJ522" s="314"/>
      <c r="AK522" s="314"/>
      <c r="AL522" s="314"/>
      <c r="AM522" s="314"/>
      <c r="AN522" s="314"/>
      <c r="AO522" s="314"/>
    </row>
    <row r="523" spans="1:41" s="73" customFormat="1" x14ac:dyDescent="0.25">
      <c r="A523" s="384"/>
      <c r="B523" s="386"/>
      <c r="C523" s="131"/>
      <c r="D523" s="131" t="s">
        <v>621</v>
      </c>
      <c r="E523" s="53" t="s">
        <v>1163</v>
      </c>
      <c r="F523" s="314"/>
      <c r="G523" s="314"/>
      <c r="H523" s="314"/>
      <c r="I523" s="314"/>
      <c r="J523" s="314"/>
      <c r="K523" s="314"/>
      <c r="L523" s="314"/>
      <c r="M523" s="314"/>
      <c r="N523" s="314"/>
      <c r="O523" s="314"/>
      <c r="P523" s="314"/>
      <c r="Q523" s="314"/>
      <c r="R523" s="314"/>
      <c r="S523" s="314"/>
      <c r="T523" s="314"/>
      <c r="U523" s="314"/>
      <c r="V523" s="314"/>
      <c r="W523" s="314"/>
      <c r="X523" s="314"/>
      <c r="Y523" s="314"/>
      <c r="Z523" s="314"/>
      <c r="AA523" s="314"/>
      <c r="AB523" s="314"/>
      <c r="AC523" s="314"/>
      <c r="AD523" s="314"/>
      <c r="AE523" s="314"/>
      <c r="AF523" s="314"/>
      <c r="AG523" s="314"/>
      <c r="AH523" s="314"/>
      <c r="AI523" s="314"/>
      <c r="AJ523" s="314"/>
      <c r="AK523" s="314"/>
      <c r="AL523" s="314"/>
      <c r="AM523" s="314"/>
      <c r="AN523" s="314"/>
      <c r="AO523" s="314"/>
    </row>
    <row r="524" spans="1:41" s="73" customFormat="1" x14ac:dyDescent="0.25">
      <c r="A524" s="384"/>
      <c r="B524" s="386"/>
      <c r="C524" s="131"/>
      <c r="D524" s="131" t="s">
        <v>622</v>
      </c>
      <c r="E524" s="53" t="s">
        <v>1164</v>
      </c>
      <c r="F524" s="314"/>
      <c r="G524" s="314"/>
      <c r="H524" s="314"/>
      <c r="I524" s="314"/>
      <c r="J524" s="314"/>
      <c r="K524" s="314"/>
      <c r="L524" s="314"/>
      <c r="M524" s="314"/>
      <c r="N524" s="314"/>
      <c r="O524" s="314"/>
      <c r="P524" s="314"/>
      <c r="Q524" s="314"/>
      <c r="R524" s="314"/>
      <c r="S524" s="314"/>
      <c r="T524" s="314"/>
      <c r="U524" s="314"/>
      <c r="V524" s="314"/>
      <c r="W524" s="314"/>
      <c r="X524" s="314"/>
      <c r="Y524" s="314"/>
      <c r="Z524" s="314"/>
      <c r="AA524" s="314"/>
      <c r="AB524" s="314"/>
      <c r="AC524" s="314"/>
      <c r="AD524" s="314"/>
      <c r="AE524" s="314"/>
      <c r="AF524" s="314"/>
      <c r="AG524" s="314"/>
      <c r="AH524" s="314"/>
      <c r="AI524" s="314"/>
      <c r="AJ524" s="314"/>
      <c r="AK524" s="314"/>
      <c r="AL524" s="314"/>
      <c r="AM524" s="314"/>
      <c r="AN524" s="314"/>
      <c r="AO524" s="314"/>
    </row>
    <row r="525" spans="1:41" s="73" customFormat="1" x14ac:dyDescent="0.25">
      <c r="A525" s="384"/>
      <c r="B525" s="386"/>
      <c r="C525" s="131"/>
      <c r="D525" s="131" t="s">
        <v>510</v>
      </c>
      <c r="E525" s="53" t="s">
        <v>1165</v>
      </c>
      <c r="F525" s="314"/>
      <c r="G525" s="314"/>
      <c r="H525" s="314"/>
      <c r="I525" s="314"/>
      <c r="J525" s="314"/>
      <c r="K525" s="314"/>
      <c r="L525" s="314"/>
      <c r="M525" s="314"/>
      <c r="N525" s="314"/>
      <c r="O525" s="314"/>
      <c r="P525" s="314"/>
      <c r="Q525" s="314"/>
      <c r="R525" s="314"/>
      <c r="S525" s="314"/>
      <c r="T525" s="314"/>
      <c r="U525" s="314"/>
      <c r="V525" s="314"/>
      <c r="W525" s="314"/>
      <c r="X525" s="314"/>
      <c r="Y525" s="314"/>
      <c r="Z525" s="314"/>
      <c r="AA525" s="314"/>
      <c r="AB525" s="314"/>
      <c r="AC525" s="314"/>
      <c r="AD525" s="314"/>
      <c r="AE525" s="314"/>
      <c r="AF525" s="314"/>
      <c r="AG525" s="314"/>
      <c r="AH525" s="314"/>
      <c r="AI525" s="314"/>
      <c r="AJ525" s="314"/>
      <c r="AK525" s="314"/>
      <c r="AL525" s="314"/>
      <c r="AM525" s="314"/>
      <c r="AN525" s="314"/>
      <c r="AO525" s="314"/>
    </row>
    <row r="526" spans="1:41" s="73" customFormat="1" x14ac:dyDescent="0.25">
      <c r="A526" s="384"/>
      <c r="B526" s="386"/>
      <c r="C526" s="131"/>
      <c r="D526" s="131" t="s">
        <v>511</v>
      </c>
      <c r="E526" s="53" t="s">
        <v>1166</v>
      </c>
      <c r="F526" s="314"/>
      <c r="G526" s="314"/>
      <c r="H526" s="314"/>
      <c r="I526" s="314"/>
      <c r="J526" s="314"/>
      <c r="K526" s="314"/>
      <c r="L526" s="314"/>
      <c r="M526" s="314"/>
      <c r="N526" s="314"/>
      <c r="O526" s="314"/>
      <c r="P526" s="314"/>
      <c r="Q526" s="314"/>
      <c r="R526" s="314"/>
      <c r="S526" s="314"/>
      <c r="T526" s="314"/>
      <c r="U526" s="314"/>
      <c r="V526" s="314"/>
      <c r="W526" s="314"/>
      <c r="X526" s="314"/>
      <c r="Y526" s="314"/>
      <c r="Z526" s="314"/>
      <c r="AA526" s="314"/>
      <c r="AB526" s="314"/>
      <c r="AC526" s="314"/>
      <c r="AD526" s="314"/>
      <c r="AE526" s="314"/>
      <c r="AF526" s="314"/>
      <c r="AG526" s="314"/>
      <c r="AH526" s="314"/>
      <c r="AI526" s="314"/>
      <c r="AJ526" s="314"/>
      <c r="AK526" s="314"/>
      <c r="AL526" s="314"/>
      <c r="AM526" s="314"/>
      <c r="AN526" s="314"/>
      <c r="AO526" s="314"/>
    </row>
    <row r="527" spans="1:41" s="73" customFormat="1" x14ac:dyDescent="0.25">
      <c r="A527" s="384"/>
      <c r="B527" s="386"/>
      <c r="C527" s="131"/>
      <c r="D527" s="131" t="s">
        <v>512</v>
      </c>
      <c r="E527" s="53" t="s">
        <v>1167</v>
      </c>
      <c r="F527" s="314"/>
      <c r="G527" s="314"/>
      <c r="H527" s="314"/>
      <c r="I527" s="314"/>
      <c r="J527" s="314"/>
      <c r="K527" s="314"/>
      <c r="L527" s="314"/>
      <c r="M527" s="314"/>
      <c r="N527" s="314"/>
      <c r="O527" s="314"/>
      <c r="P527" s="314"/>
      <c r="Q527" s="314"/>
      <c r="R527" s="314"/>
      <c r="S527" s="314"/>
      <c r="T527" s="314"/>
      <c r="U527" s="314"/>
      <c r="V527" s="314"/>
      <c r="W527" s="314"/>
      <c r="X527" s="314"/>
      <c r="Y527" s="314"/>
      <c r="Z527" s="314"/>
      <c r="AA527" s="314"/>
      <c r="AB527" s="314"/>
      <c r="AC527" s="314"/>
      <c r="AD527" s="314"/>
      <c r="AE527" s="314"/>
      <c r="AF527" s="314"/>
      <c r="AG527" s="314"/>
      <c r="AH527" s="314"/>
      <c r="AI527" s="314"/>
      <c r="AJ527" s="314"/>
      <c r="AK527" s="314"/>
      <c r="AL527" s="314"/>
      <c r="AM527" s="314"/>
      <c r="AN527" s="314"/>
      <c r="AO527" s="314"/>
    </row>
    <row r="528" spans="1:41" s="73" customFormat="1" x14ac:dyDescent="0.25">
      <c r="A528" s="384"/>
      <c r="B528" s="386"/>
      <c r="C528" s="131"/>
      <c r="D528" s="131" t="s">
        <v>513</v>
      </c>
      <c r="E528" s="53" t="s">
        <v>1168</v>
      </c>
      <c r="F528" s="314"/>
      <c r="G528" s="314"/>
      <c r="H528" s="314"/>
      <c r="I528" s="314"/>
      <c r="J528" s="314"/>
      <c r="K528" s="314"/>
      <c r="L528" s="314"/>
      <c r="M528" s="314"/>
      <c r="N528" s="314"/>
      <c r="O528" s="314"/>
      <c r="P528" s="314"/>
      <c r="Q528" s="314"/>
      <c r="R528" s="314"/>
      <c r="S528" s="314"/>
      <c r="T528" s="314"/>
      <c r="U528" s="314"/>
      <c r="V528" s="314"/>
      <c r="W528" s="314"/>
      <c r="X528" s="314"/>
      <c r="Y528" s="314"/>
      <c r="Z528" s="314"/>
      <c r="AA528" s="314"/>
      <c r="AB528" s="314"/>
      <c r="AC528" s="314"/>
      <c r="AD528" s="314"/>
      <c r="AE528" s="314"/>
      <c r="AF528" s="314"/>
      <c r="AG528" s="314"/>
      <c r="AH528" s="314"/>
      <c r="AI528" s="314"/>
      <c r="AJ528" s="314"/>
      <c r="AK528" s="314"/>
      <c r="AL528" s="314"/>
      <c r="AM528" s="314"/>
      <c r="AN528" s="314"/>
      <c r="AO528" s="314"/>
    </row>
    <row r="529" spans="1:41" s="73" customFormat="1" x14ac:dyDescent="0.25">
      <c r="A529" s="384"/>
      <c r="B529" s="386"/>
      <c r="C529" s="131"/>
      <c r="D529" s="131" t="s">
        <v>514</v>
      </c>
      <c r="E529" s="53" t="s">
        <v>1169</v>
      </c>
      <c r="F529" s="314"/>
      <c r="G529" s="314"/>
      <c r="H529" s="314"/>
      <c r="I529" s="314"/>
      <c r="J529" s="314"/>
      <c r="K529" s="314"/>
      <c r="L529" s="314"/>
      <c r="M529" s="314"/>
      <c r="N529" s="314"/>
      <c r="O529" s="314"/>
      <c r="P529" s="314"/>
      <c r="Q529" s="314"/>
      <c r="R529" s="314"/>
      <c r="S529" s="314"/>
      <c r="T529" s="314"/>
      <c r="U529" s="314"/>
      <c r="V529" s="314"/>
      <c r="W529" s="314"/>
      <c r="X529" s="314"/>
      <c r="Y529" s="314"/>
      <c r="Z529" s="314"/>
      <c r="AA529" s="314"/>
      <c r="AB529" s="314"/>
      <c r="AC529" s="314"/>
      <c r="AD529" s="314"/>
      <c r="AE529" s="314"/>
      <c r="AF529" s="314"/>
      <c r="AG529" s="314"/>
      <c r="AH529" s="314"/>
      <c r="AI529" s="314"/>
      <c r="AJ529" s="314"/>
      <c r="AK529" s="314"/>
      <c r="AL529" s="314"/>
      <c r="AM529" s="314"/>
      <c r="AN529" s="314"/>
      <c r="AO529" s="314"/>
    </row>
    <row r="530" spans="1:41" s="73" customFormat="1" x14ac:dyDescent="0.25">
      <c r="A530" s="384"/>
      <c r="B530" s="386"/>
      <c r="C530" s="131"/>
      <c r="D530" s="131" t="s">
        <v>515</v>
      </c>
      <c r="E530" s="53" t="s">
        <v>1170</v>
      </c>
      <c r="F530" s="314"/>
      <c r="G530" s="314"/>
      <c r="H530" s="314"/>
      <c r="I530" s="314"/>
      <c r="J530" s="314"/>
      <c r="K530" s="314"/>
      <c r="L530" s="314"/>
      <c r="M530" s="314"/>
      <c r="N530" s="314"/>
      <c r="O530" s="314"/>
      <c r="P530" s="314"/>
      <c r="Q530" s="314"/>
      <c r="R530" s="314"/>
      <c r="S530" s="314"/>
      <c r="T530" s="314"/>
      <c r="U530" s="314"/>
      <c r="V530" s="314"/>
      <c r="W530" s="314"/>
      <c r="X530" s="314"/>
      <c r="Y530" s="314"/>
      <c r="Z530" s="314"/>
      <c r="AA530" s="314"/>
      <c r="AB530" s="314"/>
      <c r="AC530" s="314"/>
      <c r="AD530" s="314"/>
      <c r="AE530" s="314"/>
      <c r="AF530" s="314"/>
      <c r="AG530" s="314"/>
      <c r="AH530" s="314"/>
      <c r="AI530" s="314"/>
      <c r="AJ530" s="314"/>
      <c r="AK530" s="314"/>
      <c r="AL530" s="314"/>
      <c r="AM530" s="314"/>
      <c r="AN530" s="314"/>
      <c r="AO530" s="314"/>
    </row>
    <row r="531" spans="1:41" s="73" customFormat="1" x14ac:dyDescent="0.25">
      <c r="A531" s="384"/>
      <c r="B531" s="386"/>
      <c r="C531" s="131"/>
      <c r="D531" s="131" t="s">
        <v>516</v>
      </c>
      <c r="E531" s="53" t="s">
        <v>1171</v>
      </c>
      <c r="F531" s="314"/>
      <c r="G531" s="314"/>
      <c r="H531" s="314"/>
      <c r="I531" s="314"/>
      <c r="J531" s="314"/>
      <c r="K531" s="314"/>
      <c r="L531" s="314"/>
      <c r="M531" s="314"/>
      <c r="N531" s="314"/>
      <c r="O531" s="314"/>
      <c r="P531" s="314"/>
      <c r="Q531" s="314"/>
      <c r="R531" s="314"/>
      <c r="S531" s="314"/>
      <c r="T531" s="314"/>
      <c r="U531" s="314"/>
      <c r="V531" s="314"/>
      <c r="W531" s="314"/>
      <c r="X531" s="314"/>
      <c r="Y531" s="314"/>
      <c r="Z531" s="314"/>
      <c r="AA531" s="314"/>
      <c r="AB531" s="314"/>
      <c r="AC531" s="314"/>
      <c r="AD531" s="314"/>
      <c r="AE531" s="314"/>
      <c r="AF531" s="314"/>
      <c r="AG531" s="314"/>
      <c r="AH531" s="314"/>
      <c r="AI531" s="314"/>
      <c r="AJ531" s="314"/>
      <c r="AK531" s="314"/>
      <c r="AL531" s="314"/>
      <c r="AM531" s="314"/>
      <c r="AN531" s="314"/>
      <c r="AO531" s="314"/>
    </row>
    <row r="532" spans="1:41" s="73" customFormat="1" x14ac:dyDescent="0.25">
      <c r="A532" s="384"/>
      <c r="B532" s="386"/>
      <c r="C532" s="131"/>
      <c r="D532" s="131" t="s">
        <v>517</v>
      </c>
      <c r="E532" s="53" t="s">
        <v>1172</v>
      </c>
      <c r="F532" s="314"/>
      <c r="G532" s="314"/>
      <c r="H532" s="314"/>
      <c r="I532" s="314"/>
      <c r="J532" s="314"/>
      <c r="K532" s="314"/>
      <c r="L532" s="314"/>
      <c r="M532" s="314"/>
      <c r="N532" s="314"/>
      <c r="O532" s="314"/>
      <c r="P532" s="314"/>
      <c r="Q532" s="314"/>
      <c r="R532" s="314"/>
      <c r="S532" s="314"/>
      <c r="T532" s="314"/>
      <c r="U532" s="314"/>
      <c r="V532" s="314"/>
      <c r="W532" s="314"/>
      <c r="X532" s="314"/>
      <c r="Y532" s="314"/>
      <c r="Z532" s="314"/>
      <c r="AA532" s="314"/>
      <c r="AB532" s="314"/>
      <c r="AC532" s="314"/>
      <c r="AD532" s="314"/>
      <c r="AE532" s="314"/>
      <c r="AF532" s="314"/>
      <c r="AG532" s="314"/>
      <c r="AH532" s="314"/>
      <c r="AI532" s="314"/>
      <c r="AJ532" s="314"/>
      <c r="AK532" s="314"/>
      <c r="AL532" s="314"/>
      <c r="AM532" s="314"/>
      <c r="AN532" s="314"/>
      <c r="AO532" s="314"/>
    </row>
    <row r="533" spans="1:41" s="73" customFormat="1" x14ac:dyDescent="0.25">
      <c r="A533" s="384"/>
      <c r="B533" s="386"/>
      <c r="C533" s="131"/>
      <c r="D533" s="131" t="s">
        <v>518</v>
      </c>
      <c r="E533" s="53" t="s">
        <v>1173</v>
      </c>
      <c r="F533" s="314"/>
      <c r="G533" s="314"/>
      <c r="H533" s="314"/>
      <c r="I533" s="314"/>
      <c r="J533" s="314"/>
      <c r="K533" s="314"/>
      <c r="L533" s="314"/>
      <c r="M533" s="314"/>
      <c r="N533" s="314"/>
      <c r="O533" s="314"/>
      <c r="P533" s="314"/>
      <c r="Q533" s="314"/>
      <c r="R533" s="314"/>
      <c r="S533" s="314"/>
      <c r="T533" s="314"/>
      <c r="U533" s="314"/>
      <c r="V533" s="314"/>
      <c r="W533" s="314"/>
      <c r="X533" s="314"/>
      <c r="Y533" s="314"/>
      <c r="Z533" s="314"/>
      <c r="AA533" s="314"/>
      <c r="AB533" s="314"/>
      <c r="AC533" s="314"/>
      <c r="AD533" s="314"/>
      <c r="AE533" s="314"/>
      <c r="AF533" s="314"/>
      <c r="AG533" s="314"/>
      <c r="AH533" s="314"/>
      <c r="AI533" s="314"/>
      <c r="AJ533" s="314"/>
      <c r="AK533" s="314"/>
      <c r="AL533" s="314"/>
      <c r="AM533" s="314"/>
      <c r="AN533" s="314"/>
      <c r="AO533" s="314"/>
    </row>
    <row r="534" spans="1:41" s="73" customFormat="1" x14ac:dyDescent="0.25">
      <c r="A534" s="384"/>
      <c r="B534" s="386"/>
      <c r="C534" s="169" t="s">
        <v>1087</v>
      </c>
      <c r="D534" s="131"/>
      <c r="E534" s="53"/>
      <c r="F534" s="314"/>
      <c r="G534" s="314"/>
      <c r="H534" s="314"/>
      <c r="I534" s="314"/>
      <c r="J534" s="314"/>
      <c r="K534" s="314"/>
      <c r="L534" s="314"/>
      <c r="M534" s="314"/>
      <c r="N534" s="314"/>
      <c r="O534" s="314"/>
      <c r="P534" s="314"/>
      <c r="Q534" s="314"/>
      <c r="R534" s="314"/>
      <c r="S534" s="314"/>
      <c r="T534" s="314"/>
      <c r="U534" s="314"/>
      <c r="V534" s="314"/>
      <c r="W534" s="314"/>
      <c r="X534" s="314"/>
      <c r="Y534" s="314"/>
      <c r="Z534" s="314"/>
      <c r="AA534" s="314"/>
      <c r="AB534" s="314"/>
      <c r="AC534" s="314"/>
      <c r="AD534" s="314"/>
      <c r="AE534" s="314"/>
      <c r="AF534" s="314"/>
      <c r="AG534" s="314"/>
      <c r="AH534" s="314"/>
      <c r="AI534" s="314"/>
      <c r="AJ534" s="314"/>
      <c r="AK534" s="314"/>
      <c r="AL534" s="314"/>
      <c r="AM534" s="314"/>
      <c r="AN534" s="314"/>
      <c r="AO534" s="314"/>
    </row>
    <row r="535" spans="1:41" s="73" customFormat="1" x14ac:dyDescent="0.25">
      <c r="A535" s="384"/>
      <c r="B535" s="386"/>
      <c r="C535" s="131"/>
      <c r="D535" s="131" t="s">
        <v>604</v>
      </c>
      <c r="E535" s="53" t="s">
        <v>1174</v>
      </c>
      <c r="F535" s="314"/>
      <c r="G535" s="314"/>
      <c r="H535" s="314"/>
      <c r="I535" s="314"/>
      <c r="J535" s="314"/>
      <c r="K535" s="314"/>
      <c r="L535" s="314"/>
      <c r="M535" s="314"/>
      <c r="N535" s="314"/>
      <c r="O535" s="314"/>
      <c r="P535" s="314"/>
      <c r="Q535" s="314"/>
      <c r="R535" s="314"/>
      <c r="S535" s="314"/>
      <c r="T535" s="314"/>
      <c r="U535" s="314"/>
      <c r="V535" s="314"/>
      <c r="W535" s="314"/>
      <c r="X535" s="314"/>
      <c r="Y535" s="314"/>
      <c r="Z535" s="314"/>
      <c r="AA535" s="314"/>
      <c r="AB535" s="314"/>
      <c r="AC535" s="314"/>
      <c r="AD535" s="314"/>
      <c r="AE535" s="314"/>
      <c r="AF535" s="314"/>
      <c r="AG535" s="314"/>
      <c r="AH535" s="314"/>
      <c r="AI535" s="314"/>
      <c r="AJ535" s="314"/>
      <c r="AK535" s="314"/>
      <c r="AL535" s="314"/>
      <c r="AM535" s="314"/>
      <c r="AN535" s="314"/>
      <c r="AO535" s="314"/>
    </row>
    <row r="536" spans="1:41" s="73" customFormat="1" x14ac:dyDescent="0.25">
      <c r="A536" s="384"/>
      <c r="B536" s="386"/>
      <c r="C536" s="131"/>
      <c r="D536" s="131" t="s">
        <v>605</v>
      </c>
      <c r="E536" s="53" t="s">
        <v>1175</v>
      </c>
      <c r="F536" s="314"/>
      <c r="G536" s="314"/>
      <c r="H536" s="314"/>
      <c r="I536" s="314"/>
      <c r="J536" s="314"/>
      <c r="K536" s="314"/>
      <c r="L536" s="314"/>
      <c r="M536" s="314"/>
      <c r="N536" s="314"/>
      <c r="O536" s="314"/>
      <c r="P536" s="314"/>
      <c r="Q536" s="314"/>
      <c r="R536" s="314"/>
      <c r="S536" s="314"/>
      <c r="T536" s="314"/>
      <c r="U536" s="314"/>
      <c r="V536" s="314"/>
      <c r="W536" s="314"/>
      <c r="X536" s="314"/>
      <c r="Y536" s="314"/>
      <c r="Z536" s="314"/>
      <c r="AA536" s="314"/>
      <c r="AB536" s="314"/>
      <c r="AC536" s="314"/>
      <c r="AD536" s="314"/>
      <c r="AE536" s="314"/>
      <c r="AF536" s="314"/>
      <c r="AG536" s="314"/>
      <c r="AH536" s="314"/>
      <c r="AI536" s="314"/>
      <c r="AJ536" s="314"/>
      <c r="AK536" s="314"/>
      <c r="AL536" s="314"/>
      <c r="AM536" s="314"/>
      <c r="AN536" s="314"/>
      <c r="AO536" s="314"/>
    </row>
    <row r="537" spans="1:41" s="73" customFormat="1" x14ac:dyDescent="0.25">
      <c r="A537" s="384"/>
      <c r="B537" s="386"/>
      <c r="C537" s="131"/>
      <c r="D537" s="131" t="s">
        <v>606</v>
      </c>
      <c r="E537" s="53" t="s">
        <v>1176</v>
      </c>
      <c r="F537" s="314"/>
      <c r="G537" s="314"/>
      <c r="H537" s="314"/>
      <c r="I537" s="314"/>
      <c r="J537" s="314"/>
      <c r="K537" s="314"/>
      <c r="L537" s="314"/>
      <c r="M537" s="314"/>
      <c r="N537" s="314"/>
      <c r="O537" s="314"/>
      <c r="P537" s="314"/>
      <c r="Q537" s="314"/>
      <c r="R537" s="314"/>
      <c r="S537" s="314"/>
      <c r="T537" s="314"/>
      <c r="U537" s="314"/>
      <c r="V537" s="314"/>
      <c r="W537" s="314"/>
      <c r="X537" s="314"/>
      <c r="Y537" s="314"/>
      <c r="Z537" s="314"/>
      <c r="AA537" s="314"/>
      <c r="AB537" s="314"/>
      <c r="AC537" s="314"/>
      <c r="AD537" s="314"/>
      <c r="AE537" s="314"/>
      <c r="AF537" s="314"/>
      <c r="AG537" s="314"/>
      <c r="AH537" s="314"/>
      <c r="AI537" s="314"/>
      <c r="AJ537" s="314"/>
      <c r="AK537" s="314"/>
      <c r="AL537" s="314"/>
      <c r="AM537" s="314"/>
      <c r="AN537" s="314"/>
      <c r="AO537" s="314"/>
    </row>
    <row r="538" spans="1:41" s="73" customFormat="1" x14ac:dyDescent="0.25">
      <c r="A538" s="384"/>
      <c r="B538" s="386"/>
      <c r="C538" s="131"/>
      <c r="D538" s="131" t="s">
        <v>607</v>
      </c>
      <c r="E538" s="53" t="s">
        <v>1177</v>
      </c>
      <c r="F538" s="314"/>
      <c r="G538" s="314"/>
      <c r="H538" s="314"/>
      <c r="I538" s="314"/>
      <c r="J538" s="314"/>
      <c r="K538" s="314"/>
      <c r="L538" s="314"/>
      <c r="M538" s="314"/>
      <c r="N538" s="314"/>
      <c r="O538" s="314"/>
      <c r="P538" s="314"/>
      <c r="Q538" s="314"/>
      <c r="R538" s="314"/>
      <c r="S538" s="314"/>
      <c r="T538" s="314"/>
      <c r="U538" s="314"/>
      <c r="V538" s="314"/>
      <c r="W538" s="314"/>
      <c r="X538" s="314"/>
      <c r="Y538" s="314"/>
      <c r="Z538" s="314"/>
      <c r="AA538" s="314"/>
      <c r="AB538" s="314"/>
      <c r="AC538" s="314"/>
      <c r="AD538" s="314"/>
      <c r="AE538" s="314"/>
      <c r="AF538" s="314"/>
      <c r="AG538" s="314"/>
      <c r="AH538" s="314"/>
      <c r="AI538" s="314"/>
      <c r="AJ538" s="314"/>
      <c r="AK538" s="314"/>
      <c r="AL538" s="314"/>
      <c r="AM538" s="314"/>
      <c r="AN538" s="314"/>
      <c r="AO538" s="314"/>
    </row>
    <row r="539" spans="1:41" s="73" customFormat="1" x14ac:dyDescent="0.25">
      <c r="A539" s="384"/>
      <c r="B539" s="386"/>
      <c r="C539" s="131"/>
      <c r="D539" s="131" t="s">
        <v>608</v>
      </c>
      <c r="E539" s="53" t="s">
        <v>1178</v>
      </c>
      <c r="F539" s="314"/>
      <c r="G539" s="314"/>
      <c r="H539" s="314"/>
      <c r="I539" s="314"/>
      <c r="J539" s="314"/>
      <c r="K539" s="314"/>
      <c r="L539" s="314"/>
      <c r="M539" s="314"/>
      <c r="N539" s="314"/>
      <c r="O539" s="314"/>
      <c r="P539" s="314"/>
      <c r="Q539" s="314"/>
      <c r="R539" s="314"/>
      <c r="S539" s="314"/>
      <c r="T539" s="314"/>
      <c r="U539" s="314"/>
      <c r="V539" s="314"/>
      <c r="W539" s="314"/>
      <c r="X539" s="314"/>
      <c r="Y539" s="314"/>
      <c r="Z539" s="314"/>
      <c r="AA539" s="314"/>
      <c r="AB539" s="314"/>
      <c r="AC539" s="314"/>
      <c r="AD539" s="314"/>
      <c r="AE539" s="314"/>
      <c r="AF539" s="314"/>
      <c r="AG539" s="314"/>
      <c r="AH539" s="314"/>
      <c r="AI539" s="314"/>
      <c r="AJ539" s="314"/>
      <c r="AK539" s="314"/>
      <c r="AL539" s="314"/>
      <c r="AM539" s="314"/>
      <c r="AN539" s="314"/>
      <c r="AO539" s="314"/>
    </row>
    <row r="540" spans="1:41" s="73" customFormat="1" x14ac:dyDescent="0.25">
      <c r="A540" s="384"/>
      <c r="B540" s="386"/>
      <c r="C540" s="131"/>
      <c r="D540" s="131" t="s">
        <v>609</v>
      </c>
      <c r="E540" s="53" t="s">
        <v>1179</v>
      </c>
      <c r="F540" s="314"/>
      <c r="G540" s="314"/>
      <c r="H540" s="314"/>
      <c r="I540" s="314"/>
      <c r="J540" s="314"/>
      <c r="K540" s="314"/>
      <c r="L540" s="314"/>
      <c r="M540" s="314"/>
      <c r="N540" s="314"/>
      <c r="O540" s="314"/>
      <c r="P540" s="314"/>
      <c r="Q540" s="314"/>
      <c r="R540" s="314"/>
      <c r="S540" s="314"/>
      <c r="T540" s="314"/>
      <c r="U540" s="314"/>
      <c r="V540" s="314"/>
      <c r="W540" s="314"/>
      <c r="X540" s="314"/>
      <c r="Y540" s="314"/>
      <c r="Z540" s="314"/>
      <c r="AA540" s="314"/>
      <c r="AB540" s="314"/>
      <c r="AC540" s="314"/>
      <c r="AD540" s="314"/>
      <c r="AE540" s="314"/>
      <c r="AF540" s="314"/>
      <c r="AG540" s="314"/>
      <c r="AH540" s="314"/>
      <c r="AI540" s="314"/>
      <c r="AJ540" s="314"/>
      <c r="AK540" s="314"/>
      <c r="AL540" s="314"/>
      <c r="AM540" s="314"/>
      <c r="AN540" s="314"/>
      <c r="AO540" s="314"/>
    </row>
    <row r="541" spans="1:41" s="73" customFormat="1" x14ac:dyDescent="0.25">
      <c r="A541" s="384"/>
      <c r="B541" s="386"/>
      <c r="C541" s="131"/>
      <c r="D541" s="131" t="s">
        <v>610</v>
      </c>
      <c r="E541" s="53" t="s">
        <v>1180</v>
      </c>
      <c r="F541" s="314"/>
      <c r="G541" s="314"/>
      <c r="H541" s="314"/>
      <c r="I541" s="314"/>
      <c r="J541" s="314"/>
      <c r="K541" s="314"/>
      <c r="L541" s="314"/>
      <c r="M541" s="314"/>
      <c r="N541" s="314"/>
      <c r="O541" s="314"/>
      <c r="P541" s="314"/>
      <c r="Q541" s="314"/>
      <c r="R541" s="314"/>
      <c r="S541" s="314"/>
      <c r="T541" s="314"/>
      <c r="U541" s="314"/>
      <c r="V541" s="314"/>
      <c r="W541" s="314"/>
      <c r="X541" s="314"/>
      <c r="Y541" s="314"/>
      <c r="Z541" s="314"/>
      <c r="AA541" s="314"/>
      <c r="AB541" s="314"/>
      <c r="AC541" s="314"/>
      <c r="AD541" s="314"/>
      <c r="AE541" s="314"/>
      <c r="AF541" s="314"/>
      <c r="AG541" s="314"/>
      <c r="AH541" s="314"/>
      <c r="AI541" s="314"/>
      <c r="AJ541" s="314"/>
      <c r="AK541" s="314"/>
      <c r="AL541" s="314"/>
      <c r="AM541" s="314"/>
      <c r="AN541" s="314"/>
      <c r="AO541" s="314"/>
    </row>
    <row r="542" spans="1:41" s="73" customFormat="1" x14ac:dyDescent="0.25">
      <c r="A542" s="384"/>
      <c r="B542" s="386"/>
      <c r="C542" s="131"/>
      <c r="D542" s="131" t="s">
        <v>611</v>
      </c>
      <c r="E542" s="53" t="s">
        <v>1181</v>
      </c>
      <c r="F542" s="314"/>
      <c r="G542" s="314"/>
      <c r="H542" s="314"/>
      <c r="I542" s="314"/>
      <c r="J542" s="314"/>
      <c r="K542" s="314"/>
      <c r="L542" s="314"/>
      <c r="M542" s="314"/>
      <c r="N542" s="314"/>
      <c r="O542" s="314"/>
      <c r="P542" s="314"/>
      <c r="Q542" s="314"/>
      <c r="R542" s="314"/>
      <c r="S542" s="314"/>
      <c r="T542" s="314"/>
      <c r="U542" s="314"/>
      <c r="V542" s="314"/>
      <c r="W542" s="314"/>
      <c r="X542" s="314"/>
      <c r="Y542" s="314"/>
      <c r="Z542" s="314"/>
      <c r="AA542" s="314"/>
      <c r="AB542" s="314"/>
      <c r="AC542" s="314"/>
      <c r="AD542" s="314"/>
      <c r="AE542" s="314"/>
      <c r="AF542" s="314"/>
      <c r="AG542" s="314"/>
      <c r="AH542" s="314"/>
      <c r="AI542" s="314"/>
      <c r="AJ542" s="314"/>
      <c r="AK542" s="314"/>
      <c r="AL542" s="314"/>
      <c r="AM542" s="314"/>
      <c r="AN542" s="314"/>
      <c r="AO542" s="314"/>
    </row>
    <row r="543" spans="1:41" s="73" customFormat="1" x14ac:dyDescent="0.25">
      <c r="A543" s="384"/>
      <c r="B543" s="386"/>
      <c r="C543" s="131"/>
      <c r="D543" s="131" t="s">
        <v>612</v>
      </c>
      <c r="E543" s="53" t="s">
        <v>1182</v>
      </c>
      <c r="F543" s="314"/>
      <c r="G543" s="314"/>
      <c r="H543" s="314"/>
      <c r="I543" s="314"/>
      <c r="J543" s="314"/>
      <c r="K543" s="314"/>
      <c r="L543" s="314"/>
      <c r="M543" s="314"/>
      <c r="N543" s="314"/>
      <c r="O543" s="314"/>
      <c r="P543" s="314"/>
      <c r="Q543" s="314"/>
      <c r="R543" s="314"/>
      <c r="S543" s="314"/>
      <c r="T543" s="314"/>
      <c r="U543" s="314"/>
      <c r="V543" s="314"/>
      <c r="W543" s="314"/>
      <c r="X543" s="314"/>
      <c r="Y543" s="314"/>
      <c r="Z543" s="314"/>
      <c r="AA543" s="314"/>
      <c r="AB543" s="314"/>
      <c r="AC543" s="314"/>
      <c r="AD543" s="314"/>
      <c r="AE543" s="314"/>
      <c r="AF543" s="314"/>
      <c r="AG543" s="314"/>
      <c r="AH543" s="314"/>
      <c r="AI543" s="314"/>
      <c r="AJ543" s="314"/>
      <c r="AK543" s="314"/>
      <c r="AL543" s="314"/>
      <c r="AM543" s="314"/>
      <c r="AN543" s="314"/>
      <c r="AO543" s="314"/>
    </row>
    <row r="544" spans="1:41" s="73" customFormat="1" x14ac:dyDescent="0.25">
      <c r="A544" s="384"/>
      <c r="B544" s="386"/>
      <c r="C544" s="131"/>
      <c r="D544" s="131" t="s">
        <v>613</v>
      </c>
      <c r="E544" s="53" t="s">
        <v>1183</v>
      </c>
      <c r="F544" s="314"/>
      <c r="G544" s="314"/>
      <c r="H544" s="314"/>
      <c r="I544" s="314"/>
      <c r="J544" s="314"/>
      <c r="K544" s="314"/>
      <c r="L544" s="314"/>
      <c r="M544" s="314"/>
      <c r="N544" s="314"/>
      <c r="O544" s="314"/>
      <c r="P544" s="314"/>
      <c r="Q544" s="314"/>
      <c r="R544" s="314"/>
      <c r="S544" s="314"/>
      <c r="T544" s="314"/>
      <c r="U544" s="314"/>
      <c r="V544" s="314"/>
      <c r="W544" s="314"/>
      <c r="X544" s="314"/>
      <c r="Y544" s="314"/>
      <c r="Z544" s="314"/>
      <c r="AA544" s="314"/>
      <c r="AB544" s="314"/>
      <c r="AC544" s="314"/>
      <c r="AD544" s="314"/>
      <c r="AE544" s="314"/>
      <c r="AF544" s="314"/>
      <c r="AG544" s="314"/>
      <c r="AH544" s="314"/>
      <c r="AI544" s="314"/>
      <c r="AJ544" s="314"/>
      <c r="AK544" s="314"/>
      <c r="AL544" s="314"/>
      <c r="AM544" s="314"/>
      <c r="AN544" s="314"/>
      <c r="AO544" s="314"/>
    </row>
    <row r="545" spans="1:41" s="73" customFormat="1" x14ac:dyDescent="0.25">
      <c r="A545" s="384"/>
      <c r="B545" s="386"/>
      <c r="C545" s="131"/>
      <c r="D545" s="131" t="s">
        <v>614</v>
      </c>
      <c r="E545" s="53" t="s">
        <v>1184</v>
      </c>
      <c r="F545" s="314"/>
      <c r="G545" s="314"/>
      <c r="H545" s="314"/>
      <c r="I545" s="314"/>
      <c r="J545" s="314"/>
      <c r="K545" s="314"/>
      <c r="L545" s="314"/>
      <c r="M545" s="314"/>
      <c r="N545" s="314"/>
      <c r="O545" s="314"/>
      <c r="P545" s="314"/>
      <c r="Q545" s="314"/>
      <c r="R545" s="314"/>
      <c r="S545" s="314"/>
      <c r="T545" s="314"/>
      <c r="U545" s="314"/>
      <c r="V545" s="314"/>
      <c r="W545" s="314"/>
      <c r="X545" s="314"/>
      <c r="Y545" s="314"/>
      <c r="Z545" s="314"/>
      <c r="AA545" s="314"/>
      <c r="AB545" s="314"/>
      <c r="AC545" s="314"/>
      <c r="AD545" s="314"/>
      <c r="AE545" s="314"/>
      <c r="AF545" s="314"/>
      <c r="AG545" s="314"/>
      <c r="AH545" s="314"/>
      <c r="AI545" s="314"/>
      <c r="AJ545" s="314"/>
      <c r="AK545" s="314"/>
      <c r="AL545" s="314"/>
      <c r="AM545" s="314"/>
      <c r="AN545" s="314"/>
      <c r="AO545" s="314"/>
    </row>
    <row r="546" spans="1:41" s="73" customFormat="1" x14ac:dyDescent="0.25">
      <c r="A546" s="384"/>
      <c r="B546" s="386"/>
      <c r="C546" s="131"/>
      <c r="D546" s="131" t="s">
        <v>615</v>
      </c>
      <c r="E546" s="53" t="s">
        <v>1185</v>
      </c>
      <c r="F546" s="314"/>
      <c r="G546" s="314"/>
      <c r="H546" s="314"/>
      <c r="I546" s="314"/>
      <c r="J546" s="314"/>
      <c r="K546" s="314"/>
      <c r="L546" s="314"/>
      <c r="M546" s="314"/>
      <c r="N546" s="314"/>
      <c r="O546" s="314"/>
      <c r="P546" s="314"/>
      <c r="Q546" s="314"/>
      <c r="R546" s="314"/>
      <c r="S546" s="314"/>
      <c r="T546" s="314"/>
      <c r="U546" s="314"/>
      <c r="V546" s="314"/>
      <c r="W546" s="314"/>
      <c r="X546" s="314"/>
      <c r="Y546" s="314"/>
      <c r="Z546" s="314"/>
      <c r="AA546" s="314"/>
      <c r="AB546" s="314"/>
      <c r="AC546" s="314"/>
      <c r="AD546" s="314"/>
      <c r="AE546" s="314"/>
      <c r="AF546" s="314"/>
      <c r="AG546" s="314"/>
      <c r="AH546" s="314"/>
      <c r="AI546" s="314"/>
      <c r="AJ546" s="314"/>
      <c r="AK546" s="314"/>
      <c r="AL546" s="314"/>
      <c r="AM546" s="314"/>
      <c r="AN546" s="314"/>
      <c r="AO546" s="314"/>
    </row>
    <row r="547" spans="1:41" s="73" customFormat="1" x14ac:dyDescent="0.25">
      <c r="A547" s="384"/>
      <c r="B547" s="386"/>
      <c r="C547" s="131"/>
      <c r="D547" s="131" t="s">
        <v>616</v>
      </c>
      <c r="E547" s="53" t="s">
        <v>1186</v>
      </c>
      <c r="F547" s="314"/>
      <c r="G547" s="314"/>
      <c r="H547" s="314"/>
      <c r="I547" s="314"/>
      <c r="J547" s="314"/>
      <c r="K547" s="314"/>
      <c r="L547" s="314"/>
      <c r="M547" s="314"/>
      <c r="N547" s="314"/>
      <c r="O547" s="314"/>
      <c r="P547" s="314"/>
      <c r="Q547" s="314"/>
      <c r="R547" s="314"/>
      <c r="S547" s="314"/>
      <c r="T547" s="314"/>
      <c r="U547" s="314"/>
      <c r="V547" s="314"/>
      <c r="W547" s="314"/>
      <c r="X547" s="314"/>
      <c r="Y547" s="314"/>
      <c r="Z547" s="314"/>
      <c r="AA547" s="314"/>
      <c r="AB547" s="314"/>
      <c r="AC547" s="314"/>
      <c r="AD547" s="314"/>
      <c r="AE547" s="314"/>
      <c r="AF547" s="314"/>
      <c r="AG547" s="314"/>
      <c r="AH547" s="314"/>
      <c r="AI547" s="314"/>
      <c r="AJ547" s="314"/>
      <c r="AK547" s="314"/>
      <c r="AL547" s="314"/>
      <c r="AM547" s="314"/>
      <c r="AN547" s="314"/>
      <c r="AO547" s="314"/>
    </row>
    <row r="548" spans="1:41" s="73" customFormat="1" x14ac:dyDescent="0.25">
      <c r="A548" s="384"/>
      <c r="B548" s="386"/>
      <c r="C548" s="131"/>
      <c r="D548" s="131" t="s">
        <v>617</v>
      </c>
      <c r="E548" s="53" t="s">
        <v>1187</v>
      </c>
      <c r="F548" s="314"/>
      <c r="G548" s="314"/>
      <c r="H548" s="314"/>
      <c r="I548" s="314"/>
      <c r="J548" s="314"/>
      <c r="K548" s="314"/>
      <c r="L548" s="314"/>
      <c r="M548" s="314"/>
      <c r="N548" s="314"/>
      <c r="O548" s="314"/>
      <c r="P548" s="314"/>
      <c r="Q548" s="314"/>
      <c r="R548" s="314"/>
      <c r="S548" s="314"/>
      <c r="T548" s="314"/>
      <c r="U548" s="314"/>
      <c r="V548" s="314"/>
      <c r="W548" s="314"/>
      <c r="X548" s="314"/>
      <c r="Y548" s="314"/>
      <c r="Z548" s="314"/>
      <c r="AA548" s="314"/>
      <c r="AB548" s="314"/>
      <c r="AC548" s="314"/>
      <c r="AD548" s="314"/>
      <c r="AE548" s="314"/>
      <c r="AF548" s="314"/>
      <c r="AG548" s="314"/>
      <c r="AH548" s="314"/>
      <c r="AI548" s="314"/>
      <c r="AJ548" s="314"/>
      <c r="AK548" s="314"/>
      <c r="AL548" s="314"/>
      <c r="AM548" s="314"/>
      <c r="AN548" s="314"/>
      <c r="AO548" s="314"/>
    </row>
    <row r="549" spans="1:41" s="73" customFormat="1" x14ac:dyDescent="0.25">
      <c r="A549" s="384"/>
      <c r="B549" s="386"/>
      <c r="C549" s="131"/>
      <c r="D549" s="131" t="s">
        <v>618</v>
      </c>
      <c r="E549" s="53" t="s">
        <v>1188</v>
      </c>
      <c r="F549" s="314"/>
      <c r="G549" s="314"/>
      <c r="H549" s="314"/>
      <c r="I549" s="314"/>
      <c r="J549" s="314"/>
      <c r="K549" s="314"/>
      <c r="L549" s="314"/>
      <c r="M549" s="314"/>
      <c r="N549" s="314"/>
      <c r="O549" s="314"/>
      <c r="P549" s="314"/>
      <c r="Q549" s="314"/>
      <c r="R549" s="314"/>
      <c r="S549" s="314"/>
      <c r="T549" s="314"/>
      <c r="U549" s="314"/>
      <c r="V549" s="314"/>
      <c r="W549" s="314"/>
      <c r="X549" s="314"/>
      <c r="Y549" s="314"/>
      <c r="Z549" s="314"/>
      <c r="AA549" s="314"/>
      <c r="AB549" s="314"/>
      <c r="AC549" s="314"/>
      <c r="AD549" s="314"/>
      <c r="AE549" s="314"/>
      <c r="AF549" s="314"/>
      <c r="AG549" s="314"/>
      <c r="AH549" s="314"/>
      <c r="AI549" s="314"/>
      <c r="AJ549" s="314"/>
      <c r="AK549" s="314"/>
      <c r="AL549" s="314"/>
      <c r="AM549" s="314"/>
      <c r="AN549" s="314"/>
      <c r="AO549" s="314"/>
    </row>
    <row r="550" spans="1:41" s="73" customFormat="1" x14ac:dyDescent="0.25">
      <c r="A550" s="384"/>
      <c r="B550" s="386"/>
      <c r="C550" s="131"/>
      <c r="D550" s="131" t="s">
        <v>619</v>
      </c>
      <c r="E550" s="53" t="s">
        <v>1189</v>
      </c>
      <c r="F550" s="314"/>
      <c r="G550" s="314"/>
      <c r="H550" s="314"/>
      <c r="I550" s="314"/>
      <c r="J550" s="314"/>
      <c r="K550" s="314"/>
      <c r="L550" s="314"/>
      <c r="M550" s="314"/>
      <c r="N550" s="314"/>
      <c r="O550" s="314"/>
      <c r="P550" s="314"/>
      <c r="Q550" s="314"/>
      <c r="R550" s="314"/>
      <c r="S550" s="314"/>
      <c r="T550" s="314"/>
      <c r="U550" s="314"/>
      <c r="V550" s="314"/>
      <c r="W550" s="314"/>
      <c r="X550" s="314"/>
      <c r="Y550" s="314"/>
      <c r="Z550" s="314"/>
      <c r="AA550" s="314"/>
      <c r="AB550" s="314"/>
      <c r="AC550" s="314"/>
      <c r="AD550" s="314"/>
      <c r="AE550" s="314"/>
      <c r="AF550" s="314"/>
      <c r="AG550" s="314"/>
      <c r="AH550" s="314"/>
      <c r="AI550" s="314"/>
      <c r="AJ550" s="314"/>
      <c r="AK550" s="314"/>
      <c r="AL550" s="314"/>
      <c r="AM550" s="314"/>
      <c r="AN550" s="314"/>
      <c r="AO550" s="314"/>
    </row>
    <row r="551" spans="1:41" s="73" customFormat="1" x14ac:dyDescent="0.25">
      <c r="A551" s="384"/>
      <c r="B551" s="386"/>
      <c r="C551" s="131"/>
      <c r="D551" s="131" t="s">
        <v>620</v>
      </c>
      <c r="E551" s="53" t="s">
        <v>1190</v>
      </c>
      <c r="F551" s="314"/>
      <c r="G551" s="314"/>
      <c r="H551" s="314"/>
      <c r="I551" s="314"/>
      <c r="J551" s="314"/>
      <c r="K551" s="314"/>
      <c r="L551" s="314"/>
      <c r="M551" s="314"/>
      <c r="N551" s="314"/>
      <c r="O551" s="314"/>
      <c r="P551" s="314"/>
      <c r="Q551" s="314"/>
      <c r="R551" s="314"/>
      <c r="S551" s="314"/>
      <c r="T551" s="314"/>
      <c r="U551" s="314"/>
      <c r="V551" s="314"/>
      <c r="W551" s="314"/>
      <c r="X551" s="314"/>
      <c r="Y551" s="314"/>
      <c r="Z551" s="314"/>
      <c r="AA551" s="314"/>
      <c r="AB551" s="314"/>
      <c r="AC551" s="314"/>
      <c r="AD551" s="314"/>
      <c r="AE551" s="314"/>
      <c r="AF551" s="314"/>
      <c r="AG551" s="314"/>
      <c r="AH551" s="314"/>
      <c r="AI551" s="314"/>
      <c r="AJ551" s="314"/>
      <c r="AK551" s="314"/>
      <c r="AL551" s="314"/>
      <c r="AM551" s="314"/>
      <c r="AN551" s="314"/>
      <c r="AO551" s="314"/>
    </row>
    <row r="552" spans="1:41" s="73" customFormat="1" x14ac:dyDescent="0.25">
      <c r="A552" s="384"/>
      <c r="B552" s="386"/>
      <c r="C552" s="131"/>
      <c r="D552" s="131" t="s">
        <v>621</v>
      </c>
      <c r="E552" s="53" t="s">
        <v>1191</v>
      </c>
      <c r="F552" s="314"/>
      <c r="G552" s="314"/>
      <c r="H552" s="314"/>
      <c r="I552" s="314"/>
      <c r="J552" s="314"/>
      <c r="K552" s="314"/>
      <c r="L552" s="314"/>
      <c r="M552" s="314"/>
      <c r="N552" s="314"/>
      <c r="O552" s="314"/>
      <c r="P552" s="314"/>
      <c r="Q552" s="314"/>
      <c r="R552" s="314"/>
      <c r="S552" s="314"/>
      <c r="T552" s="314"/>
      <c r="U552" s="314"/>
      <c r="V552" s="314"/>
      <c r="W552" s="314"/>
      <c r="X552" s="314"/>
      <c r="Y552" s="314"/>
      <c r="Z552" s="314"/>
      <c r="AA552" s="314"/>
      <c r="AB552" s="314"/>
      <c r="AC552" s="314"/>
      <c r="AD552" s="314"/>
      <c r="AE552" s="314"/>
      <c r="AF552" s="314"/>
      <c r="AG552" s="314"/>
      <c r="AH552" s="314"/>
      <c r="AI552" s="314"/>
      <c r="AJ552" s="314"/>
      <c r="AK552" s="314"/>
      <c r="AL552" s="314"/>
      <c r="AM552" s="314"/>
      <c r="AN552" s="314"/>
      <c r="AO552" s="314"/>
    </row>
    <row r="553" spans="1:41" s="73" customFormat="1" x14ac:dyDescent="0.25">
      <c r="A553" s="384"/>
      <c r="B553" s="386"/>
      <c r="C553" s="131"/>
      <c r="D553" s="131" t="s">
        <v>622</v>
      </c>
      <c r="E553" s="53" t="s">
        <v>1192</v>
      </c>
      <c r="F553" s="314"/>
      <c r="G553" s="314"/>
      <c r="H553" s="314"/>
      <c r="I553" s="314"/>
      <c r="J553" s="314"/>
      <c r="K553" s="314"/>
      <c r="L553" s="314"/>
      <c r="M553" s="314"/>
      <c r="N553" s="314"/>
      <c r="O553" s="314"/>
      <c r="P553" s="314"/>
      <c r="Q553" s="314"/>
      <c r="R553" s="314"/>
      <c r="S553" s="314"/>
      <c r="T553" s="314"/>
      <c r="U553" s="314"/>
      <c r="V553" s="314"/>
      <c r="W553" s="314"/>
      <c r="X553" s="314"/>
      <c r="Y553" s="314"/>
      <c r="Z553" s="314"/>
      <c r="AA553" s="314"/>
      <c r="AB553" s="314"/>
      <c r="AC553" s="314"/>
      <c r="AD553" s="314"/>
      <c r="AE553" s="314"/>
      <c r="AF553" s="314"/>
      <c r="AG553" s="314"/>
      <c r="AH553" s="314"/>
      <c r="AI553" s="314"/>
      <c r="AJ553" s="314"/>
      <c r="AK553" s="314"/>
      <c r="AL553" s="314"/>
      <c r="AM553" s="314"/>
      <c r="AN553" s="314"/>
      <c r="AO553" s="314"/>
    </row>
    <row r="554" spans="1:41" s="73" customFormat="1" x14ac:dyDescent="0.25">
      <c r="A554" s="384"/>
      <c r="B554" s="386"/>
      <c r="C554" s="131"/>
      <c r="D554" s="131" t="s">
        <v>510</v>
      </c>
      <c r="E554" s="53" t="s">
        <v>1193</v>
      </c>
      <c r="F554" s="314"/>
      <c r="G554" s="314"/>
      <c r="H554" s="314"/>
      <c r="I554" s="314"/>
      <c r="J554" s="314"/>
      <c r="K554" s="314"/>
      <c r="L554" s="314"/>
      <c r="M554" s="314"/>
      <c r="N554" s="314"/>
      <c r="O554" s="314"/>
      <c r="P554" s="314"/>
      <c r="Q554" s="314"/>
      <c r="R554" s="314"/>
      <c r="S554" s="314"/>
      <c r="T554" s="314"/>
      <c r="U554" s="314"/>
      <c r="V554" s="314"/>
      <c r="W554" s="314"/>
      <c r="X554" s="314"/>
      <c r="Y554" s="314"/>
      <c r="Z554" s="314"/>
      <c r="AA554" s="314"/>
      <c r="AB554" s="314"/>
      <c r="AC554" s="314"/>
      <c r="AD554" s="314"/>
      <c r="AE554" s="314"/>
      <c r="AF554" s="314"/>
      <c r="AG554" s="314"/>
      <c r="AH554" s="314"/>
      <c r="AI554" s="314"/>
      <c r="AJ554" s="314"/>
      <c r="AK554" s="314"/>
      <c r="AL554" s="314"/>
      <c r="AM554" s="314"/>
      <c r="AN554" s="314"/>
      <c r="AO554" s="314"/>
    </row>
    <row r="555" spans="1:41" s="73" customFormat="1" x14ac:dyDescent="0.25">
      <c r="A555" s="384"/>
      <c r="B555" s="386"/>
      <c r="C555" s="131"/>
      <c r="D555" s="131" t="s">
        <v>511</v>
      </c>
      <c r="E555" s="53" t="s">
        <v>1194</v>
      </c>
      <c r="F555" s="314"/>
      <c r="G555" s="314"/>
      <c r="H555" s="314"/>
      <c r="I555" s="314"/>
      <c r="J555" s="314"/>
      <c r="K555" s="314"/>
      <c r="L555" s="314"/>
      <c r="M555" s="314"/>
      <c r="N555" s="314"/>
      <c r="O555" s="314"/>
      <c r="P555" s="314"/>
      <c r="Q555" s="314"/>
      <c r="R555" s="314"/>
      <c r="S555" s="314"/>
      <c r="T555" s="314"/>
      <c r="U555" s="314"/>
      <c r="V555" s="314"/>
      <c r="W555" s="314"/>
      <c r="X555" s="314"/>
      <c r="Y555" s="314"/>
      <c r="Z555" s="314"/>
      <c r="AA555" s="314"/>
      <c r="AB555" s="314"/>
      <c r="AC555" s="314"/>
      <c r="AD555" s="314"/>
      <c r="AE555" s="314"/>
      <c r="AF555" s="314"/>
      <c r="AG555" s="314"/>
      <c r="AH555" s="314"/>
      <c r="AI555" s="314"/>
      <c r="AJ555" s="314"/>
      <c r="AK555" s="314"/>
      <c r="AL555" s="314"/>
      <c r="AM555" s="314"/>
      <c r="AN555" s="314"/>
      <c r="AO555" s="314"/>
    </row>
    <row r="556" spans="1:41" s="73" customFormat="1" x14ac:dyDescent="0.25">
      <c r="A556" s="384"/>
      <c r="B556" s="386"/>
      <c r="C556" s="131"/>
      <c r="D556" s="131" t="s">
        <v>512</v>
      </c>
      <c r="E556" s="53" t="s">
        <v>1195</v>
      </c>
      <c r="F556" s="314"/>
      <c r="G556" s="314"/>
      <c r="H556" s="314"/>
      <c r="I556" s="314"/>
      <c r="J556" s="314"/>
      <c r="K556" s="314"/>
      <c r="L556" s="314"/>
      <c r="M556" s="314"/>
      <c r="N556" s="314"/>
      <c r="O556" s="314"/>
      <c r="P556" s="314"/>
      <c r="Q556" s="314"/>
      <c r="R556" s="314"/>
      <c r="S556" s="314"/>
      <c r="T556" s="314"/>
      <c r="U556" s="314"/>
      <c r="V556" s="314"/>
      <c r="W556" s="314"/>
      <c r="X556" s="314"/>
      <c r="Y556" s="314"/>
      <c r="Z556" s="314"/>
      <c r="AA556" s="314"/>
      <c r="AB556" s="314"/>
      <c r="AC556" s="314"/>
      <c r="AD556" s="314"/>
      <c r="AE556" s="314"/>
      <c r="AF556" s="314"/>
      <c r="AG556" s="314"/>
      <c r="AH556" s="314"/>
      <c r="AI556" s="314"/>
      <c r="AJ556" s="314"/>
      <c r="AK556" s="314"/>
      <c r="AL556" s="314"/>
      <c r="AM556" s="314"/>
      <c r="AN556" s="314"/>
      <c r="AO556" s="314"/>
    </row>
    <row r="557" spans="1:41" s="73" customFormat="1" x14ac:dyDescent="0.25">
      <c r="A557" s="384"/>
      <c r="B557" s="386"/>
      <c r="C557" s="131"/>
      <c r="D557" s="131" t="s">
        <v>513</v>
      </c>
      <c r="E557" s="53" t="s">
        <v>1196</v>
      </c>
      <c r="F557" s="314"/>
      <c r="G557" s="314"/>
      <c r="H557" s="314"/>
      <c r="I557" s="314"/>
      <c r="J557" s="314"/>
      <c r="K557" s="314"/>
      <c r="L557" s="314"/>
      <c r="M557" s="314"/>
      <c r="N557" s="314"/>
      <c r="O557" s="314"/>
      <c r="P557" s="314"/>
      <c r="Q557" s="314"/>
      <c r="R557" s="314"/>
      <c r="S557" s="314"/>
      <c r="T557" s="314"/>
      <c r="U557" s="314"/>
      <c r="V557" s="314"/>
      <c r="W557" s="314"/>
      <c r="X557" s="314"/>
      <c r="Y557" s="314"/>
      <c r="Z557" s="314"/>
      <c r="AA557" s="314"/>
      <c r="AB557" s="314"/>
      <c r="AC557" s="314"/>
      <c r="AD557" s="314"/>
      <c r="AE557" s="314"/>
      <c r="AF557" s="314"/>
      <c r="AG557" s="314"/>
      <c r="AH557" s="314"/>
      <c r="AI557" s="314"/>
      <c r="AJ557" s="314"/>
      <c r="AK557" s="314"/>
      <c r="AL557" s="314"/>
      <c r="AM557" s="314"/>
      <c r="AN557" s="314"/>
      <c r="AO557" s="314"/>
    </row>
    <row r="558" spans="1:41" s="73" customFormat="1" x14ac:dyDescent="0.25">
      <c r="A558" s="384"/>
      <c r="B558" s="386"/>
      <c r="C558" s="131"/>
      <c r="D558" s="131" t="s">
        <v>514</v>
      </c>
      <c r="E558" s="53" t="s">
        <v>1197</v>
      </c>
      <c r="F558" s="314"/>
      <c r="G558" s="314"/>
      <c r="H558" s="314"/>
      <c r="I558" s="314"/>
      <c r="J558" s="314"/>
      <c r="K558" s="314"/>
      <c r="L558" s="314"/>
      <c r="M558" s="314"/>
      <c r="N558" s="314"/>
      <c r="O558" s="314"/>
      <c r="P558" s="314"/>
      <c r="Q558" s="314"/>
      <c r="R558" s="314"/>
      <c r="S558" s="314"/>
      <c r="T558" s="314"/>
      <c r="U558" s="314"/>
      <c r="V558" s="314"/>
      <c r="W558" s="314"/>
      <c r="X558" s="314"/>
      <c r="Y558" s="314"/>
      <c r="Z558" s="314"/>
      <c r="AA558" s="314"/>
      <c r="AB558" s="314"/>
      <c r="AC558" s="314"/>
      <c r="AD558" s="314"/>
      <c r="AE558" s="314"/>
      <c r="AF558" s="314"/>
      <c r="AG558" s="314"/>
      <c r="AH558" s="314"/>
      <c r="AI558" s="314"/>
      <c r="AJ558" s="314"/>
      <c r="AK558" s="314"/>
      <c r="AL558" s="314"/>
      <c r="AM558" s="314"/>
      <c r="AN558" s="314"/>
      <c r="AO558" s="314"/>
    </row>
    <row r="559" spans="1:41" s="73" customFormat="1" x14ac:dyDescent="0.25">
      <c r="A559" s="384"/>
      <c r="B559" s="386"/>
      <c r="C559" s="131"/>
      <c r="D559" s="131" t="s">
        <v>515</v>
      </c>
      <c r="E559" s="53" t="s">
        <v>1198</v>
      </c>
      <c r="F559" s="314"/>
      <c r="G559" s="314"/>
      <c r="H559" s="314"/>
      <c r="I559" s="314"/>
      <c r="J559" s="314"/>
      <c r="K559" s="314"/>
      <c r="L559" s="314"/>
      <c r="M559" s="314"/>
      <c r="N559" s="314"/>
      <c r="O559" s="314"/>
      <c r="P559" s="314"/>
      <c r="Q559" s="314"/>
      <c r="R559" s="314"/>
      <c r="S559" s="314"/>
      <c r="T559" s="314"/>
      <c r="U559" s="314"/>
      <c r="V559" s="314"/>
      <c r="W559" s="314"/>
      <c r="X559" s="314"/>
      <c r="Y559" s="314"/>
      <c r="Z559" s="314"/>
      <c r="AA559" s="314"/>
      <c r="AB559" s="314"/>
      <c r="AC559" s="314"/>
      <c r="AD559" s="314"/>
      <c r="AE559" s="314"/>
      <c r="AF559" s="314"/>
      <c r="AG559" s="314"/>
      <c r="AH559" s="314"/>
      <c r="AI559" s="314"/>
      <c r="AJ559" s="314"/>
      <c r="AK559" s="314"/>
      <c r="AL559" s="314"/>
      <c r="AM559" s="314"/>
      <c r="AN559" s="314"/>
      <c r="AO559" s="314"/>
    </row>
    <row r="560" spans="1:41" s="73" customFormat="1" x14ac:dyDescent="0.25">
      <c r="A560" s="384"/>
      <c r="B560" s="386"/>
      <c r="C560" s="131"/>
      <c r="D560" s="131" t="s">
        <v>516</v>
      </c>
      <c r="E560" s="53" t="s">
        <v>1199</v>
      </c>
      <c r="F560" s="314"/>
      <c r="G560" s="314"/>
      <c r="H560" s="314"/>
      <c r="I560" s="314"/>
      <c r="J560" s="314"/>
      <c r="K560" s="314"/>
      <c r="L560" s="314"/>
      <c r="M560" s="314"/>
      <c r="N560" s="314"/>
      <c r="O560" s="314"/>
      <c r="P560" s="314"/>
      <c r="Q560" s="314"/>
      <c r="R560" s="314"/>
      <c r="S560" s="314"/>
      <c r="T560" s="314"/>
      <c r="U560" s="314"/>
      <c r="V560" s="314"/>
      <c r="W560" s="314"/>
      <c r="X560" s="314"/>
      <c r="Y560" s="314"/>
      <c r="Z560" s="314"/>
      <c r="AA560" s="314"/>
      <c r="AB560" s="314"/>
      <c r="AC560" s="314"/>
      <c r="AD560" s="314"/>
      <c r="AE560" s="314"/>
      <c r="AF560" s="314"/>
      <c r="AG560" s="314"/>
      <c r="AH560" s="314"/>
      <c r="AI560" s="314"/>
      <c r="AJ560" s="314"/>
      <c r="AK560" s="314"/>
      <c r="AL560" s="314"/>
      <c r="AM560" s="314"/>
      <c r="AN560" s="314"/>
      <c r="AO560" s="314"/>
    </row>
    <row r="561" spans="1:41" s="73" customFormat="1" x14ac:dyDescent="0.25">
      <c r="A561" s="384"/>
      <c r="B561" s="386"/>
      <c r="C561" s="131"/>
      <c r="D561" s="131" t="s">
        <v>517</v>
      </c>
      <c r="E561" s="53" t="s">
        <v>1200</v>
      </c>
      <c r="F561" s="314"/>
      <c r="G561" s="314"/>
      <c r="H561" s="314"/>
      <c r="I561" s="314"/>
      <c r="J561" s="314"/>
      <c r="K561" s="314"/>
      <c r="L561" s="314"/>
      <c r="M561" s="314"/>
      <c r="N561" s="314"/>
      <c r="O561" s="314"/>
      <c r="P561" s="314"/>
      <c r="Q561" s="314"/>
      <c r="R561" s="314"/>
      <c r="S561" s="314"/>
      <c r="T561" s="314"/>
      <c r="U561" s="314"/>
      <c r="V561" s="314"/>
      <c r="W561" s="314"/>
      <c r="X561" s="314"/>
      <c r="Y561" s="314"/>
      <c r="Z561" s="314"/>
      <c r="AA561" s="314"/>
      <c r="AB561" s="314"/>
      <c r="AC561" s="314"/>
      <c r="AD561" s="314"/>
      <c r="AE561" s="314"/>
      <c r="AF561" s="314"/>
      <c r="AG561" s="314"/>
      <c r="AH561" s="314"/>
      <c r="AI561" s="314"/>
      <c r="AJ561" s="314"/>
      <c r="AK561" s="314"/>
      <c r="AL561" s="314"/>
      <c r="AM561" s="314"/>
      <c r="AN561" s="314"/>
      <c r="AO561" s="314"/>
    </row>
    <row r="562" spans="1:41" s="73" customFormat="1" x14ac:dyDescent="0.25">
      <c r="A562" s="384"/>
      <c r="B562" s="386"/>
      <c r="C562" s="131"/>
      <c r="D562" s="131" t="s">
        <v>518</v>
      </c>
      <c r="E562" s="53" t="s">
        <v>1201</v>
      </c>
      <c r="F562" s="314"/>
      <c r="G562" s="314"/>
      <c r="H562" s="314"/>
      <c r="I562" s="314"/>
      <c r="J562" s="314"/>
      <c r="K562" s="314"/>
      <c r="L562" s="314"/>
      <c r="M562" s="314"/>
      <c r="N562" s="314"/>
      <c r="O562" s="314"/>
      <c r="P562" s="314"/>
      <c r="Q562" s="314"/>
      <c r="R562" s="314"/>
      <c r="S562" s="314"/>
      <c r="T562" s="314"/>
      <c r="U562" s="314"/>
      <c r="V562" s="314"/>
      <c r="W562" s="314"/>
      <c r="X562" s="314"/>
      <c r="Y562" s="314"/>
      <c r="Z562" s="314"/>
      <c r="AA562" s="314"/>
      <c r="AB562" s="314"/>
      <c r="AC562" s="314"/>
      <c r="AD562" s="314"/>
      <c r="AE562" s="314"/>
      <c r="AF562" s="314"/>
      <c r="AG562" s="314"/>
      <c r="AH562" s="314"/>
      <c r="AI562" s="314"/>
      <c r="AJ562" s="314"/>
      <c r="AK562" s="314"/>
      <c r="AL562" s="314"/>
      <c r="AM562" s="314"/>
      <c r="AN562" s="314"/>
      <c r="AO562" s="314"/>
    </row>
    <row r="563" spans="1:41" s="73" customFormat="1" x14ac:dyDescent="0.25">
      <c r="A563" s="384"/>
      <c r="B563" s="386"/>
      <c r="C563" s="169" t="s">
        <v>1088</v>
      </c>
      <c r="D563" s="131"/>
      <c r="E563" s="53"/>
      <c r="F563" s="314"/>
      <c r="G563" s="314"/>
      <c r="H563" s="314"/>
      <c r="I563" s="314"/>
      <c r="J563" s="314"/>
      <c r="K563" s="314"/>
      <c r="L563" s="314"/>
      <c r="M563" s="314"/>
      <c r="N563" s="314"/>
      <c r="O563" s="314"/>
      <c r="P563" s="314"/>
      <c r="Q563" s="314"/>
      <c r="R563" s="314"/>
      <c r="S563" s="314"/>
      <c r="T563" s="314"/>
      <c r="U563" s="314"/>
      <c r="V563" s="314"/>
      <c r="W563" s="314"/>
      <c r="X563" s="314"/>
      <c r="Y563" s="314"/>
      <c r="Z563" s="314"/>
      <c r="AA563" s="314"/>
      <c r="AB563" s="314"/>
      <c r="AC563" s="314"/>
      <c r="AD563" s="314"/>
      <c r="AE563" s="314"/>
      <c r="AF563" s="314"/>
      <c r="AG563" s="314"/>
      <c r="AH563" s="314"/>
      <c r="AI563" s="314"/>
      <c r="AJ563" s="314"/>
      <c r="AK563" s="314"/>
      <c r="AL563" s="314"/>
      <c r="AM563" s="314"/>
      <c r="AN563" s="314"/>
      <c r="AO563" s="314"/>
    </row>
    <row r="564" spans="1:41" s="73" customFormat="1" x14ac:dyDescent="0.25">
      <c r="A564" s="384"/>
      <c r="B564" s="386"/>
      <c r="C564" s="131"/>
      <c r="D564" s="131" t="s">
        <v>604</v>
      </c>
      <c r="E564" s="53" t="s">
        <v>1202</v>
      </c>
      <c r="F564" s="314"/>
      <c r="G564" s="314"/>
      <c r="H564" s="314"/>
      <c r="I564" s="314"/>
      <c r="J564" s="314"/>
      <c r="K564" s="314"/>
      <c r="L564" s="314"/>
      <c r="M564" s="314"/>
      <c r="N564" s="314"/>
      <c r="O564" s="314"/>
      <c r="P564" s="314"/>
      <c r="Q564" s="314"/>
      <c r="R564" s="314"/>
      <c r="S564" s="314"/>
      <c r="T564" s="314"/>
      <c r="U564" s="314"/>
      <c r="V564" s="314"/>
      <c r="W564" s="314"/>
      <c r="X564" s="314"/>
      <c r="Y564" s="314"/>
      <c r="Z564" s="314"/>
      <c r="AA564" s="314"/>
      <c r="AB564" s="314"/>
      <c r="AC564" s="314"/>
      <c r="AD564" s="314"/>
      <c r="AE564" s="314"/>
      <c r="AF564" s="314"/>
      <c r="AG564" s="314"/>
      <c r="AH564" s="314"/>
      <c r="AI564" s="314"/>
      <c r="AJ564" s="314"/>
      <c r="AK564" s="314"/>
      <c r="AL564" s="314"/>
      <c r="AM564" s="314"/>
      <c r="AN564" s="314"/>
      <c r="AO564" s="314"/>
    </row>
    <row r="565" spans="1:41" s="73" customFormat="1" x14ac:dyDescent="0.25">
      <c r="A565" s="384"/>
      <c r="B565" s="386"/>
      <c r="C565" s="131"/>
      <c r="D565" s="131" t="s">
        <v>605</v>
      </c>
      <c r="E565" s="53" t="s">
        <v>1203</v>
      </c>
      <c r="F565" s="314"/>
      <c r="G565" s="314"/>
      <c r="H565" s="314"/>
      <c r="I565" s="314"/>
      <c r="J565" s="314"/>
      <c r="K565" s="314"/>
      <c r="L565" s="314"/>
      <c r="M565" s="314"/>
      <c r="N565" s="314"/>
      <c r="O565" s="314"/>
      <c r="P565" s="314"/>
      <c r="Q565" s="314"/>
      <c r="R565" s="314"/>
      <c r="S565" s="314"/>
      <c r="T565" s="314"/>
      <c r="U565" s="314"/>
      <c r="V565" s="314"/>
      <c r="W565" s="314"/>
      <c r="X565" s="314"/>
      <c r="Y565" s="314"/>
      <c r="Z565" s="314"/>
      <c r="AA565" s="314"/>
      <c r="AB565" s="314"/>
      <c r="AC565" s="314"/>
      <c r="AD565" s="314"/>
      <c r="AE565" s="314"/>
      <c r="AF565" s="314"/>
      <c r="AG565" s="314"/>
      <c r="AH565" s="314"/>
      <c r="AI565" s="314"/>
      <c r="AJ565" s="314"/>
      <c r="AK565" s="314"/>
      <c r="AL565" s="314"/>
      <c r="AM565" s="314"/>
      <c r="AN565" s="314"/>
      <c r="AO565" s="314"/>
    </row>
    <row r="566" spans="1:41" s="73" customFormat="1" x14ac:dyDescent="0.25">
      <c r="A566" s="384"/>
      <c r="B566" s="386"/>
      <c r="C566" s="131"/>
      <c r="D566" s="131" t="s">
        <v>606</v>
      </c>
      <c r="E566" s="53" t="s">
        <v>1204</v>
      </c>
      <c r="F566" s="314"/>
      <c r="G566" s="314"/>
      <c r="H566" s="314"/>
      <c r="I566" s="314"/>
      <c r="J566" s="314"/>
      <c r="K566" s="314"/>
      <c r="L566" s="314"/>
      <c r="M566" s="314"/>
      <c r="N566" s="314"/>
      <c r="O566" s="314"/>
      <c r="P566" s="314"/>
      <c r="Q566" s="314"/>
      <c r="R566" s="314"/>
      <c r="S566" s="314"/>
      <c r="T566" s="314"/>
      <c r="U566" s="314"/>
      <c r="V566" s="314"/>
      <c r="W566" s="314"/>
      <c r="X566" s="314"/>
      <c r="Y566" s="314"/>
      <c r="Z566" s="314"/>
      <c r="AA566" s="314"/>
      <c r="AB566" s="314"/>
      <c r="AC566" s="314"/>
      <c r="AD566" s="314"/>
      <c r="AE566" s="314"/>
      <c r="AF566" s="314"/>
      <c r="AG566" s="314"/>
      <c r="AH566" s="314"/>
      <c r="AI566" s="314"/>
      <c r="AJ566" s="314"/>
      <c r="AK566" s="314"/>
      <c r="AL566" s="314"/>
      <c r="AM566" s="314"/>
      <c r="AN566" s="314"/>
      <c r="AO566" s="314"/>
    </row>
    <row r="567" spans="1:41" s="73" customFormat="1" x14ac:dyDescent="0.25">
      <c r="A567" s="384"/>
      <c r="B567" s="386"/>
      <c r="C567" s="131"/>
      <c r="D567" s="131" t="s">
        <v>607</v>
      </c>
      <c r="E567" s="53" t="s">
        <v>1205</v>
      </c>
      <c r="F567" s="314"/>
      <c r="G567" s="314"/>
      <c r="H567" s="314"/>
      <c r="I567" s="314"/>
      <c r="J567" s="314"/>
      <c r="K567" s="314"/>
      <c r="L567" s="314"/>
      <c r="M567" s="314"/>
      <c r="N567" s="314"/>
      <c r="O567" s="314"/>
      <c r="P567" s="314"/>
      <c r="Q567" s="314"/>
      <c r="R567" s="314"/>
      <c r="S567" s="314"/>
      <c r="T567" s="314"/>
      <c r="U567" s="314"/>
      <c r="V567" s="314"/>
      <c r="W567" s="314"/>
      <c r="X567" s="314"/>
      <c r="Y567" s="314"/>
      <c r="Z567" s="314"/>
      <c r="AA567" s="314"/>
      <c r="AB567" s="314"/>
      <c r="AC567" s="314"/>
      <c r="AD567" s="314"/>
      <c r="AE567" s="314"/>
      <c r="AF567" s="314"/>
      <c r="AG567" s="314"/>
      <c r="AH567" s="314"/>
      <c r="AI567" s="314"/>
      <c r="AJ567" s="314"/>
      <c r="AK567" s="314"/>
      <c r="AL567" s="314"/>
      <c r="AM567" s="314"/>
      <c r="AN567" s="314"/>
      <c r="AO567" s="314"/>
    </row>
    <row r="568" spans="1:41" s="73" customFormat="1" x14ac:dyDescent="0.25">
      <c r="A568" s="384"/>
      <c r="B568" s="386"/>
      <c r="C568" s="131"/>
      <c r="D568" s="131" t="s">
        <v>608</v>
      </c>
      <c r="E568" s="53" t="s">
        <v>1206</v>
      </c>
      <c r="F568" s="314"/>
      <c r="G568" s="314"/>
      <c r="H568" s="314"/>
      <c r="I568" s="314"/>
      <c r="J568" s="314"/>
      <c r="K568" s="314"/>
      <c r="L568" s="314"/>
      <c r="M568" s="314"/>
      <c r="N568" s="314"/>
      <c r="O568" s="314"/>
      <c r="P568" s="314"/>
      <c r="Q568" s="314"/>
      <c r="R568" s="314"/>
      <c r="S568" s="314"/>
      <c r="T568" s="314"/>
      <c r="U568" s="314"/>
      <c r="V568" s="314"/>
      <c r="W568" s="314"/>
      <c r="X568" s="314"/>
      <c r="Y568" s="314"/>
      <c r="Z568" s="314"/>
      <c r="AA568" s="314"/>
      <c r="AB568" s="314"/>
      <c r="AC568" s="314"/>
      <c r="AD568" s="314"/>
      <c r="AE568" s="314"/>
      <c r="AF568" s="314"/>
      <c r="AG568" s="314"/>
      <c r="AH568" s="314"/>
      <c r="AI568" s="314"/>
      <c r="AJ568" s="314"/>
      <c r="AK568" s="314"/>
      <c r="AL568" s="314"/>
      <c r="AM568" s="314"/>
      <c r="AN568" s="314"/>
      <c r="AO568" s="314"/>
    </row>
    <row r="569" spans="1:41" s="73" customFormat="1" x14ac:dyDescent="0.25">
      <c r="A569" s="384"/>
      <c r="B569" s="386"/>
      <c r="C569" s="131"/>
      <c r="D569" s="131" t="s">
        <v>609</v>
      </c>
      <c r="E569" s="53" t="s">
        <v>1207</v>
      </c>
      <c r="F569" s="314"/>
      <c r="G569" s="314"/>
      <c r="H569" s="314"/>
      <c r="I569" s="314"/>
      <c r="J569" s="314"/>
      <c r="K569" s="314"/>
      <c r="L569" s="314"/>
      <c r="M569" s="314"/>
      <c r="N569" s="314"/>
      <c r="O569" s="314"/>
      <c r="P569" s="314"/>
      <c r="Q569" s="314"/>
      <c r="R569" s="314"/>
      <c r="S569" s="314"/>
      <c r="T569" s="314"/>
      <c r="U569" s="314"/>
      <c r="V569" s="314"/>
      <c r="W569" s="314"/>
      <c r="X569" s="314"/>
      <c r="Y569" s="314"/>
      <c r="Z569" s="314"/>
      <c r="AA569" s="314"/>
      <c r="AB569" s="314"/>
      <c r="AC569" s="314"/>
      <c r="AD569" s="314"/>
      <c r="AE569" s="314"/>
      <c r="AF569" s="314"/>
      <c r="AG569" s="314"/>
      <c r="AH569" s="314"/>
      <c r="AI569" s="314"/>
      <c r="AJ569" s="314"/>
      <c r="AK569" s="314"/>
      <c r="AL569" s="314"/>
      <c r="AM569" s="314"/>
      <c r="AN569" s="314"/>
      <c r="AO569" s="314"/>
    </row>
    <row r="570" spans="1:41" s="73" customFormat="1" x14ac:dyDescent="0.25">
      <c r="A570" s="384"/>
      <c r="B570" s="386"/>
      <c r="C570" s="131"/>
      <c r="D570" s="131" t="s">
        <v>610</v>
      </c>
      <c r="E570" s="53" t="s">
        <v>1208</v>
      </c>
      <c r="F570" s="314"/>
      <c r="G570" s="314"/>
      <c r="H570" s="314"/>
      <c r="I570" s="314"/>
      <c r="J570" s="314"/>
      <c r="K570" s="314"/>
      <c r="L570" s="314"/>
      <c r="M570" s="314"/>
      <c r="N570" s="314"/>
      <c r="O570" s="314"/>
      <c r="P570" s="314"/>
      <c r="Q570" s="314"/>
      <c r="R570" s="314"/>
      <c r="S570" s="314"/>
      <c r="T570" s="314"/>
      <c r="U570" s="314"/>
      <c r="V570" s="314"/>
      <c r="W570" s="314"/>
      <c r="X570" s="314"/>
      <c r="Y570" s="314"/>
      <c r="Z570" s="314"/>
      <c r="AA570" s="314"/>
      <c r="AB570" s="314"/>
      <c r="AC570" s="314"/>
      <c r="AD570" s="314"/>
      <c r="AE570" s="314"/>
      <c r="AF570" s="314"/>
      <c r="AG570" s="314"/>
      <c r="AH570" s="314"/>
      <c r="AI570" s="314"/>
      <c r="AJ570" s="314"/>
      <c r="AK570" s="314"/>
      <c r="AL570" s="314"/>
      <c r="AM570" s="314"/>
      <c r="AN570" s="314"/>
      <c r="AO570" s="314"/>
    </row>
    <row r="571" spans="1:41" s="73" customFormat="1" x14ac:dyDescent="0.25">
      <c r="A571" s="384"/>
      <c r="B571" s="386"/>
      <c r="C571" s="131"/>
      <c r="D571" s="131" t="s">
        <v>611</v>
      </c>
      <c r="E571" s="53" t="s">
        <v>1209</v>
      </c>
      <c r="F571" s="314"/>
      <c r="G571" s="314"/>
      <c r="H571" s="314"/>
      <c r="I571" s="314"/>
      <c r="J571" s="314"/>
      <c r="K571" s="314"/>
      <c r="L571" s="314"/>
      <c r="M571" s="314"/>
      <c r="N571" s="314"/>
      <c r="O571" s="314"/>
      <c r="P571" s="314"/>
      <c r="Q571" s="314"/>
      <c r="R571" s="314"/>
      <c r="S571" s="314"/>
      <c r="T571" s="314"/>
      <c r="U571" s="314"/>
      <c r="V571" s="314"/>
      <c r="W571" s="314"/>
      <c r="X571" s="314"/>
      <c r="Y571" s="314"/>
      <c r="Z571" s="314"/>
      <c r="AA571" s="314"/>
      <c r="AB571" s="314"/>
      <c r="AC571" s="314"/>
      <c r="AD571" s="314"/>
      <c r="AE571" s="314"/>
      <c r="AF571" s="314"/>
      <c r="AG571" s="314"/>
      <c r="AH571" s="314"/>
      <c r="AI571" s="314"/>
      <c r="AJ571" s="314"/>
      <c r="AK571" s="314"/>
      <c r="AL571" s="314"/>
      <c r="AM571" s="314"/>
      <c r="AN571" s="314"/>
      <c r="AO571" s="314"/>
    </row>
    <row r="572" spans="1:41" s="73" customFormat="1" x14ac:dyDescent="0.25">
      <c r="A572" s="384"/>
      <c r="B572" s="386"/>
      <c r="C572" s="131"/>
      <c r="D572" s="131" t="s">
        <v>612</v>
      </c>
      <c r="E572" s="53" t="s">
        <v>1210</v>
      </c>
      <c r="F572" s="314"/>
      <c r="G572" s="314"/>
      <c r="H572" s="314"/>
      <c r="I572" s="314"/>
      <c r="J572" s="314"/>
      <c r="K572" s="314"/>
      <c r="L572" s="314"/>
      <c r="M572" s="314"/>
      <c r="N572" s="314"/>
      <c r="O572" s="314"/>
      <c r="P572" s="314"/>
      <c r="Q572" s="314"/>
      <c r="R572" s="314"/>
      <c r="S572" s="314"/>
      <c r="T572" s="314"/>
      <c r="U572" s="314"/>
      <c r="V572" s="314"/>
      <c r="W572" s="314"/>
      <c r="X572" s="314"/>
      <c r="Y572" s="314"/>
      <c r="Z572" s="314"/>
      <c r="AA572" s="314"/>
      <c r="AB572" s="314"/>
      <c r="AC572" s="314"/>
      <c r="AD572" s="314"/>
      <c r="AE572" s="314"/>
      <c r="AF572" s="314"/>
      <c r="AG572" s="314"/>
      <c r="AH572" s="314"/>
      <c r="AI572" s="314"/>
      <c r="AJ572" s="314"/>
      <c r="AK572" s="314"/>
      <c r="AL572" s="314"/>
      <c r="AM572" s="314"/>
      <c r="AN572" s="314"/>
      <c r="AO572" s="314"/>
    </row>
    <row r="573" spans="1:41" s="73" customFormat="1" x14ac:dyDescent="0.25">
      <c r="A573" s="384"/>
      <c r="B573" s="386"/>
      <c r="C573" s="131"/>
      <c r="D573" s="131" t="s">
        <v>613</v>
      </c>
      <c r="E573" s="53" t="s">
        <v>1211</v>
      </c>
      <c r="F573" s="314"/>
      <c r="G573" s="314"/>
      <c r="H573" s="314"/>
      <c r="I573" s="314"/>
      <c r="J573" s="314"/>
      <c r="K573" s="314"/>
      <c r="L573" s="314"/>
      <c r="M573" s="314"/>
      <c r="N573" s="314"/>
      <c r="O573" s="314"/>
      <c r="P573" s="314"/>
      <c r="Q573" s="314"/>
      <c r="R573" s="314"/>
      <c r="S573" s="314"/>
      <c r="T573" s="314"/>
      <c r="U573" s="314"/>
      <c r="V573" s="314"/>
      <c r="W573" s="314"/>
      <c r="X573" s="314"/>
      <c r="Y573" s="314"/>
      <c r="Z573" s="314"/>
      <c r="AA573" s="314"/>
      <c r="AB573" s="314"/>
      <c r="AC573" s="314"/>
      <c r="AD573" s="314"/>
      <c r="AE573" s="314"/>
      <c r="AF573" s="314"/>
      <c r="AG573" s="314"/>
      <c r="AH573" s="314"/>
      <c r="AI573" s="314"/>
      <c r="AJ573" s="314"/>
      <c r="AK573" s="314"/>
      <c r="AL573" s="314"/>
      <c r="AM573" s="314"/>
      <c r="AN573" s="314"/>
      <c r="AO573" s="314"/>
    </row>
    <row r="574" spans="1:41" s="73" customFormat="1" x14ac:dyDescent="0.25">
      <c r="A574" s="384"/>
      <c r="B574" s="386"/>
      <c r="C574" s="131"/>
      <c r="D574" s="131" t="s">
        <v>614</v>
      </c>
      <c r="E574" s="53" t="s">
        <v>1212</v>
      </c>
      <c r="F574" s="314"/>
      <c r="G574" s="314"/>
      <c r="H574" s="314"/>
      <c r="I574" s="314"/>
      <c r="J574" s="314"/>
      <c r="K574" s="314"/>
      <c r="L574" s="314"/>
      <c r="M574" s="314"/>
      <c r="N574" s="314"/>
      <c r="O574" s="314"/>
      <c r="P574" s="314"/>
      <c r="Q574" s="314"/>
      <c r="R574" s="314"/>
      <c r="S574" s="314"/>
      <c r="T574" s="314"/>
      <c r="U574" s="314"/>
      <c r="V574" s="314"/>
      <c r="W574" s="314"/>
      <c r="X574" s="314"/>
      <c r="Y574" s="314"/>
      <c r="Z574" s="314"/>
      <c r="AA574" s="314"/>
      <c r="AB574" s="314"/>
      <c r="AC574" s="314"/>
      <c r="AD574" s="314"/>
      <c r="AE574" s="314"/>
      <c r="AF574" s="314"/>
      <c r="AG574" s="314"/>
      <c r="AH574" s="314"/>
      <c r="AI574" s="314"/>
      <c r="AJ574" s="314"/>
      <c r="AK574" s="314"/>
      <c r="AL574" s="314"/>
      <c r="AM574" s="314"/>
      <c r="AN574" s="314"/>
      <c r="AO574" s="314"/>
    </row>
    <row r="575" spans="1:41" s="73" customFormat="1" x14ac:dyDescent="0.25">
      <c r="A575" s="384"/>
      <c r="B575" s="386"/>
      <c r="C575" s="131"/>
      <c r="D575" s="131" t="s">
        <v>615</v>
      </c>
      <c r="E575" s="53" t="s">
        <v>1213</v>
      </c>
      <c r="F575" s="314"/>
      <c r="G575" s="314"/>
      <c r="H575" s="314"/>
      <c r="I575" s="314"/>
      <c r="J575" s="314"/>
      <c r="K575" s="314"/>
      <c r="L575" s="314"/>
      <c r="M575" s="314"/>
      <c r="N575" s="314"/>
      <c r="O575" s="314"/>
      <c r="P575" s="314"/>
      <c r="Q575" s="314"/>
      <c r="R575" s="314"/>
      <c r="S575" s="314"/>
      <c r="T575" s="314"/>
      <c r="U575" s="314"/>
      <c r="V575" s="314"/>
      <c r="W575" s="314"/>
      <c r="X575" s="314"/>
      <c r="Y575" s="314"/>
      <c r="Z575" s="314"/>
      <c r="AA575" s="314"/>
      <c r="AB575" s="314"/>
      <c r="AC575" s="314"/>
      <c r="AD575" s="314"/>
      <c r="AE575" s="314"/>
      <c r="AF575" s="314"/>
      <c r="AG575" s="314"/>
      <c r="AH575" s="314"/>
      <c r="AI575" s="314"/>
      <c r="AJ575" s="314"/>
      <c r="AK575" s="314"/>
      <c r="AL575" s="314"/>
      <c r="AM575" s="314"/>
      <c r="AN575" s="314"/>
      <c r="AO575" s="314"/>
    </row>
    <row r="576" spans="1:41" s="73" customFormat="1" x14ac:dyDescent="0.25">
      <c r="A576" s="384"/>
      <c r="B576" s="386"/>
      <c r="C576" s="131"/>
      <c r="D576" s="131" t="s">
        <v>616</v>
      </c>
      <c r="E576" s="53" t="s">
        <v>1214</v>
      </c>
      <c r="F576" s="314"/>
      <c r="G576" s="314"/>
      <c r="H576" s="314"/>
      <c r="I576" s="314"/>
      <c r="J576" s="314"/>
      <c r="K576" s="314"/>
      <c r="L576" s="314"/>
      <c r="M576" s="314"/>
      <c r="N576" s="314"/>
      <c r="O576" s="314"/>
      <c r="P576" s="314"/>
      <c r="Q576" s="314"/>
      <c r="R576" s="314"/>
      <c r="S576" s="314"/>
      <c r="T576" s="314"/>
      <c r="U576" s="314"/>
      <c r="V576" s="314"/>
      <c r="W576" s="314"/>
      <c r="X576" s="314"/>
      <c r="Y576" s="314"/>
      <c r="Z576" s="314"/>
      <c r="AA576" s="314"/>
      <c r="AB576" s="314"/>
      <c r="AC576" s="314"/>
      <c r="AD576" s="314"/>
      <c r="AE576" s="314"/>
      <c r="AF576" s="314"/>
      <c r="AG576" s="314"/>
      <c r="AH576" s="314"/>
      <c r="AI576" s="314"/>
      <c r="AJ576" s="314"/>
      <c r="AK576" s="314"/>
      <c r="AL576" s="314"/>
      <c r="AM576" s="314"/>
      <c r="AN576" s="314"/>
      <c r="AO576" s="314"/>
    </row>
    <row r="577" spans="1:41" s="73" customFormat="1" x14ac:dyDescent="0.25">
      <c r="A577" s="384"/>
      <c r="B577" s="386"/>
      <c r="C577" s="131"/>
      <c r="D577" s="131" t="s">
        <v>617</v>
      </c>
      <c r="E577" s="53" t="s">
        <v>1215</v>
      </c>
      <c r="F577" s="314"/>
      <c r="G577" s="314"/>
      <c r="H577" s="314"/>
      <c r="I577" s="314"/>
      <c r="J577" s="314"/>
      <c r="K577" s="314"/>
      <c r="L577" s="314"/>
      <c r="M577" s="314"/>
      <c r="N577" s="314"/>
      <c r="O577" s="314"/>
      <c r="P577" s="314"/>
      <c r="Q577" s="314"/>
      <c r="R577" s="314"/>
      <c r="S577" s="314"/>
      <c r="T577" s="314"/>
      <c r="U577" s="314"/>
      <c r="V577" s="314"/>
      <c r="W577" s="314"/>
      <c r="X577" s="314"/>
      <c r="Y577" s="314"/>
      <c r="Z577" s="314"/>
      <c r="AA577" s="314"/>
      <c r="AB577" s="314"/>
      <c r="AC577" s="314"/>
      <c r="AD577" s="314"/>
      <c r="AE577" s="314"/>
      <c r="AF577" s="314"/>
      <c r="AG577" s="314"/>
      <c r="AH577" s="314"/>
      <c r="AI577" s="314"/>
      <c r="AJ577" s="314"/>
      <c r="AK577" s="314"/>
      <c r="AL577" s="314"/>
      <c r="AM577" s="314"/>
      <c r="AN577" s="314"/>
      <c r="AO577" s="314"/>
    </row>
    <row r="578" spans="1:41" s="73" customFormat="1" x14ac:dyDescent="0.25">
      <c r="A578" s="384"/>
      <c r="B578" s="386"/>
      <c r="C578" s="131"/>
      <c r="D578" s="131" t="s">
        <v>618</v>
      </c>
      <c r="E578" s="53" t="s">
        <v>1216</v>
      </c>
      <c r="F578" s="314"/>
      <c r="G578" s="314"/>
      <c r="H578" s="314"/>
      <c r="I578" s="314"/>
      <c r="J578" s="314"/>
      <c r="K578" s="314"/>
      <c r="L578" s="314"/>
      <c r="M578" s="314"/>
      <c r="N578" s="314"/>
      <c r="O578" s="314"/>
      <c r="P578" s="314"/>
      <c r="Q578" s="314"/>
      <c r="R578" s="314"/>
      <c r="S578" s="314"/>
      <c r="T578" s="314"/>
      <c r="U578" s="314"/>
      <c r="V578" s="314"/>
      <c r="W578" s="314"/>
      <c r="X578" s="314"/>
      <c r="Y578" s="314"/>
      <c r="Z578" s="314"/>
      <c r="AA578" s="314"/>
      <c r="AB578" s="314"/>
      <c r="AC578" s="314"/>
      <c r="AD578" s="314"/>
      <c r="AE578" s="314"/>
      <c r="AF578" s="314"/>
      <c r="AG578" s="314"/>
      <c r="AH578" s="314"/>
      <c r="AI578" s="314"/>
      <c r="AJ578" s="314"/>
      <c r="AK578" s="314"/>
      <c r="AL578" s="314"/>
      <c r="AM578" s="314"/>
      <c r="AN578" s="314"/>
      <c r="AO578" s="314"/>
    </row>
    <row r="579" spans="1:41" s="73" customFormat="1" x14ac:dyDescent="0.25">
      <c r="A579" s="384"/>
      <c r="B579" s="386"/>
      <c r="C579" s="131"/>
      <c r="D579" s="131" t="s">
        <v>619</v>
      </c>
      <c r="E579" s="53" t="s">
        <v>1217</v>
      </c>
      <c r="F579" s="314"/>
      <c r="G579" s="314"/>
      <c r="H579" s="314"/>
      <c r="I579" s="314"/>
      <c r="J579" s="314"/>
      <c r="K579" s="314"/>
      <c r="L579" s="314"/>
      <c r="M579" s="314"/>
      <c r="N579" s="314"/>
      <c r="O579" s="314"/>
      <c r="P579" s="314"/>
      <c r="Q579" s="314"/>
      <c r="R579" s="314"/>
      <c r="S579" s="314"/>
      <c r="T579" s="314"/>
      <c r="U579" s="314"/>
      <c r="V579" s="314"/>
      <c r="W579" s="314"/>
      <c r="X579" s="314"/>
      <c r="Y579" s="314"/>
      <c r="Z579" s="314"/>
      <c r="AA579" s="314"/>
      <c r="AB579" s="314"/>
      <c r="AC579" s="314"/>
      <c r="AD579" s="314"/>
      <c r="AE579" s="314"/>
      <c r="AF579" s="314"/>
      <c r="AG579" s="314"/>
      <c r="AH579" s="314"/>
      <c r="AI579" s="314"/>
      <c r="AJ579" s="314"/>
      <c r="AK579" s="314"/>
      <c r="AL579" s="314"/>
      <c r="AM579" s="314"/>
      <c r="AN579" s="314"/>
      <c r="AO579" s="314"/>
    </row>
    <row r="580" spans="1:41" s="73" customFormat="1" x14ac:dyDescent="0.25">
      <c r="A580" s="384"/>
      <c r="B580" s="386"/>
      <c r="C580" s="131"/>
      <c r="D580" s="131" t="s">
        <v>620</v>
      </c>
      <c r="E580" s="53" t="s">
        <v>1218</v>
      </c>
      <c r="F580" s="314"/>
      <c r="G580" s="314"/>
      <c r="H580" s="314"/>
      <c r="I580" s="314"/>
      <c r="J580" s="314"/>
      <c r="K580" s="314"/>
      <c r="L580" s="314"/>
      <c r="M580" s="314"/>
      <c r="N580" s="314"/>
      <c r="O580" s="314"/>
      <c r="P580" s="314"/>
      <c r="Q580" s="314"/>
      <c r="R580" s="314"/>
      <c r="S580" s="314"/>
      <c r="T580" s="314"/>
      <c r="U580" s="314"/>
      <c r="V580" s="314"/>
      <c r="W580" s="314"/>
      <c r="X580" s="314"/>
      <c r="Y580" s="314"/>
      <c r="Z580" s="314"/>
      <c r="AA580" s="314"/>
      <c r="AB580" s="314"/>
      <c r="AC580" s="314"/>
      <c r="AD580" s="314"/>
      <c r="AE580" s="314"/>
      <c r="AF580" s="314"/>
      <c r="AG580" s="314"/>
      <c r="AH580" s="314"/>
      <c r="AI580" s="314"/>
      <c r="AJ580" s="314"/>
      <c r="AK580" s="314"/>
      <c r="AL580" s="314"/>
      <c r="AM580" s="314"/>
      <c r="AN580" s="314"/>
      <c r="AO580" s="314"/>
    </row>
    <row r="581" spans="1:41" s="73" customFormat="1" x14ac:dyDescent="0.25">
      <c r="A581" s="384"/>
      <c r="B581" s="386"/>
      <c r="C581" s="131"/>
      <c r="D581" s="131" t="s">
        <v>621</v>
      </c>
      <c r="E581" s="53" t="s">
        <v>1219</v>
      </c>
      <c r="F581" s="314"/>
      <c r="G581" s="314"/>
      <c r="H581" s="314"/>
      <c r="I581" s="314"/>
      <c r="J581" s="314"/>
      <c r="K581" s="314"/>
      <c r="L581" s="314"/>
      <c r="M581" s="314"/>
      <c r="N581" s="314"/>
      <c r="O581" s="314"/>
      <c r="P581" s="314"/>
      <c r="Q581" s="314"/>
      <c r="R581" s="314"/>
      <c r="S581" s="314"/>
      <c r="T581" s="314"/>
      <c r="U581" s="314"/>
      <c r="V581" s="314"/>
      <c r="W581" s="314"/>
      <c r="X581" s="314"/>
      <c r="Y581" s="314"/>
      <c r="Z581" s="314"/>
      <c r="AA581" s="314"/>
      <c r="AB581" s="314"/>
      <c r="AC581" s="314"/>
      <c r="AD581" s="314"/>
      <c r="AE581" s="314"/>
      <c r="AF581" s="314"/>
      <c r="AG581" s="314"/>
      <c r="AH581" s="314"/>
      <c r="AI581" s="314"/>
      <c r="AJ581" s="314"/>
      <c r="AK581" s="314"/>
      <c r="AL581" s="314"/>
      <c r="AM581" s="314"/>
      <c r="AN581" s="314"/>
      <c r="AO581" s="314"/>
    </row>
    <row r="582" spans="1:41" s="73" customFormat="1" x14ac:dyDescent="0.25">
      <c r="A582" s="384"/>
      <c r="B582" s="386"/>
      <c r="C582" s="131"/>
      <c r="D582" s="131" t="s">
        <v>622</v>
      </c>
      <c r="E582" s="53" t="s">
        <v>1220</v>
      </c>
      <c r="F582" s="314"/>
      <c r="G582" s="314"/>
      <c r="H582" s="314"/>
      <c r="I582" s="314"/>
      <c r="J582" s="314"/>
      <c r="K582" s="314"/>
      <c r="L582" s="314"/>
      <c r="M582" s="314"/>
      <c r="N582" s="314"/>
      <c r="O582" s="314"/>
      <c r="P582" s="314"/>
      <c r="Q582" s="314"/>
      <c r="R582" s="314"/>
      <c r="S582" s="314"/>
      <c r="T582" s="314"/>
      <c r="U582" s="314"/>
      <c r="V582" s="314"/>
      <c r="W582" s="314"/>
      <c r="X582" s="314"/>
      <c r="Y582" s="314"/>
      <c r="Z582" s="314"/>
      <c r="AA582" s="314"/>
      <c r="AB582" s="314"/>
      <c r="AC582" s="314"/>
      <c r="AD582" s="314"/>
      <c r="AE582" s="314"/>
      <c r="AF582" s="314"/>
      <c r="AG582" s="314"/>
      <c r="AH582" s="314"/>
      <c r="AI582" s="314"/>
      <c r="AJ582" s="314"/>
      <c r="AK582" s="314"/>
      <c r="AL582" s="314"/>
      <c r="AM582" s="314"/>
      <c r="AN582" s="314"/>
      <c r="AO582" s="314"/>
    </row>
    <row r="583" spans="1:41" s="73" customFormat="1" x14ac:dyDescent="0.25">
      <c r="A583" s="384"/>
      <c r="B583" s="386"/>
      <c r="C583" s="131"/>
      <c r="D583" s="131" t="s">
        <v>510</v>
      </c>
      <c r="E583" s="53" t="s">
        <v>1221</v>
      </c>
      <c r="F583" s="314"/>
      <c r="G583" s="314"/>
      <c r="H583" s="314"/>
      <c r="I583" s="314"/>
      <c r="J583" s="314"/>
      <c r="K583" s="314"/>
      <c r="L583" s="314"/>
      <c r="M583" s="314"/>
      <c r="N583" s="314"/>
      <c r="O583" s="314"/>
      <c r="P583" s="314"/>
      <c r="Q583" s="314"/>
      <c r="R583" s="314"/>
      <c r="S583" s="314"/>
      <c r="T583" s="314"/>
      <c r="U583" s="314"/>
      <c r="V583" s="314"/>
      <c r="W583" s="314"/>
      <c r="X583" s="314"/>
      <c r="Y583" s="314"/>
      <c r="Z583" s="314"/>
      <c r="AA583" s="314"/>
      <c r="AB583" s="314"/>
      <c r="AC583" s="314"/>
      <c r="AD583" s="314"/>
      <c r="AE583" s="314"/>
      <c r="AF583" s="314"/>
      <c r="AG583" s="314"/>
      <c r="AH583" s="314"/>
      <c r="AI583" s="314"/>
      <c r="AJ583" s="314"/>
      <c r="AK583" s="314"/>
      <c r="AL583" s="314"/>
      <c r="AM583" s="314"/>
      <c r="AN583" s="314"/>
      <c r="AO583" s="314"/>
    </row>
    <row r="584" spans="1:41" s="73" customFormat="1" x14ac:dyDescent="0.25">
      <c r="A584" s="384"/>
      <c r="B584" s="386"/>
      <c r="C584" s="131"/>
      <c r="D584" s="131" t="s">
        <v>511</v>
      </c>
      <c r="E584" s="53" t="s">
        <v>1222</v>
      </c>
      <c r="F584" s="314"/>
      <c r="G584" s="314"/>
      <c r="H584" s="314"/>
      <c r="I584" s="314"/>
      <c r="J584" s="314"/>
      <c r="K584" s="314"/>
      <c r="L584" s="314"/>
      <c r="M584" s="314"/>
      <c r="N584" s="314"/>
      <c r="O584" s="314"/>
      <c r="P584" s="314"/>
      <c r="Q584" s="314"/>
      <c r="R584" s="314"/>
      <c r="S584" s="314"/>
      <c r="T584" s="314"/>
      <c r="U584" s="314"/>
      <c r="V584" s="314"/>
      <c r="W584" s="314"/>
      <c r="X584" s="314"/>
      <c r="Y584" s="314"/>
      <c r="Z584" s="314"/>
      <c r="AA584" s="314"/>
      <c r="AB584" s="314"/>
      <c r="AC584" s="314"/>
      <c r="AD584" s="314"/>
      <c r="AE584" s="314"/>
      <c r="AF584" s="314"/>
      <c r="AG584" s="314"/>
      <c r="AH584" s="314"/>
      <c r="AI584" s="314"/>
      <c r="AJ584" s="314"/>
      <c r="AK584" s="314"/>
      <c r="AL584" s="314"/>
      <c r="AM584" s="314"/>
      <c r="AN584" s="314"/>
      <c r="AO584" s="314"/>
    </row>
    <row r="585" spans="1:41" s="73" customFormat="1" x14ac:dyDescent="0.25">
      <c r="A585" s="384"/>
      <c r="B585" s="386"/>
      <c r="C585" s="131"/>
      <c r="D585" s="131" t="s">
        <v>512</v>
      </c>
      <c r="E585" s="53" t="s">
        <v>1223</v>
      </c>
      <c r="F585" s="314"/>
      <c r="G585" s="314"/>
      <c r="H585" s="314"/>
      <c r="I585" s="314"/>
      <c r="J585" s="314"/>
      <c r="K585" s="314"/>
      <c r="L585" s="314"/>
      <c r="M585" s="314"/>
      <c r="N585" s="314"/>
      <c r="O585" s="314"/>
      <c r="P585" s="314"/>
      <c r="Q585" s="314"/>
      <c r="R585" s="314"/>
      <c r="S585" s="314"/>
      <c r="T585" s="314"/>
      <c r="U585" s="314"/>
      <c r="V585" s="314"/>
      <c r="W585" s="314"/>
      <c r="X585" s="314"/>
      <c r="Y585" s="314"/>
      <c r="Z585" s="314"/>
      <c r="AA585" s="314"/>
      <c r="AB585" s="314"/>
      <c r="AC585" s="314"/>
      <c r="AD585" s="314"/>
      <c r="AE585" s="314"/>
      <c r="AF585" s="314"/>
      <c r="AG585" s="314"/>
      <c r="AH585" s="314"/>
      <c r="AI585" s="314"/>
      <c r="AJ585" s="314"/>
      <c r="AK585" s="314"/>
      <c r="AL585" s="314"/>
      <c r="AM585" s="314"/>
      <c r="AN585" s="314"/>
      <c r="AO585" s="314"/>
    </row>
    <row r="586" spans="1:41" s="73" customFormat="1" x14ac:dyDescent="0.25">
      <c r="A586" s="384"/>
      <c r="B586" s="386"/>
      <c r="C586" s="131"/>
      <c r="D586" s="131" t="s">
        <v>513</v>
      </c>
      <c r="E586" s="53" t="s">
        <v>1224</v>
      </c>
      <c r="F586" s="314"/>
      <c r="G586" s="314"/>
      <c r="H586" s="314"/>
      <c r="I586" s="314"/>
      <c r="J586" s="314"/>
      <c r="K586" s="314"/>
      <c r="L586" s="314"/>
      <c r="M586" s="314"/>
      <c r="N586" s="314"/>
      <c r="O586" s="314"/>
      <c r="P586" s="314"/>
      <c r="Q586" s="314"/>
      <c r="R586" s="314"/>
      <c r="S586" s="314"/>
      <c r="T586" s="314"/>
      <c r="U586" s="314"/>
      <c r="V586" s="314"/>
      <c r="W586" s="314"/>
      <c r="X586" s="314"/>
      <c r="Y586" s="314"/>
      <c r="Z586" s="314"/>
      <c r="AA586" s="314"/>
      <c r="AB586" s="314"/>
      <c r="AC586" s="314"/>
      <c r="AD586" s="314"/>
      <c r="AE586" s="314"/>
      <c r="AF586" s="314"/>
      <c r="AG586" s="314"/>
      <c r="AH586" s="314"/>
      <c r="AI586" s="314"/>
      <c r="AJ586" s="314"/>
      <c r="AK586" s="314"/>
      <c r="AL586" s="314"/>
      <c r="AM586" s="314"/>
      <c r="AN586" s="314"/>
      <c r="AO586" s="314"/>
    </row>
    <row r="587" spans="1:41" s="73" customFormat="1" x14ac:dyDescent="0.25">
      <c r="A587" s="384"/>
      <c r="B587" s="386"/>
      <c r="C587" s="131"/>
      <c r="D587" s="131" t="s">
        <v>514</v>
      </c>
      <c r="E587" s="53" t="s">
        <v>1225</v>
      </c>
      <c r="F587" s="314"/>
      <c r="G587" s="314"/>
      <c r="H587" s="314"/>
      <c r="I587" s="314"/>
      <c r="J587" s="314"/>
      <c r="K587" s="314"/>
      <c r="L587" s="314"/>
      <c r="M587" s="314"/>
      <c r="N587" s="314"/>
      <c r="O587" s="314"/>
      <c r="P587" s="314"/>
      <c r="Q587" s="314"/>
      <c r="R587" s="314"/>
      <c r="S587" s="314"/>
      <c r="T587" s="314"/>
      <c r="U587" s="314"/>
      <c r="V587" s="314"/>
      <c r="W587" s="314"/>
      <c r="X587" s="314"/>
      <c r="Y587" s="314"/>
      <c r="Z587" s="314"/>
      <c r="AA587" s="314"/>
      <c r="AB587" s="314"/>
      <c r="AC587" s="314"/>
      <c r="AD587" s="314"/>
      <c r="AE587" s="314"/>
      <c r="AF587" s="314"/>
      <c r="AG587" s="314"/>
      <c r="AH587" s="314"/>
      <c r="AI587" s="314"/>
      <c r="AJ587" s="314"/>
      <c r="AK587" s="314"/>
      <c r="AL587" s="314"/>
      <c r="AM587" s="314"/>
      <c r="AN587" s="314"/>
      <c r="AO587" s="314"/>
    </row>
    <row r="588" spans="1:41" s="73" customFormat="1" x14ac:dyDescent="0.25">
      <c r="A588" s="384"/>
      <c r="B588" s="386"/>
      <c r="C588" s="131"/>
      <c r="D588" s="131" t="s">
        <v>515</v>
      </c>
      <c r="E588" s="53" t="s">
        <v>1226</v>
      </c>
      <c r="F588" s="314"/>
      <c r="G588" s="314"/>
      <c r="H588" s="314"/>
      <c r="I588" s="314"/>
      <c r="J588" s="314"/>
      <c r="K588" s="314"/>
      <c r="L588" s="314"/>
      <c r="M588" s="314"/>
      <c r="N588" s="314"/>
      <c r="O588" s="314"/>
      <c r="P588" s="314"/>
      <c r="Q588" s="314"/>
      <c r="R588" s="314"/>
      <c r="S588" s="314"/>
      <c r="T588" s="314"/>
      <c r="U588" s="314"/>
      <c r="V588" s="314"/>
      <c r="W588" s="314"/>
      <c r="X588" s="314"/>
      <c r="Y588" s="314"/>
      <c r="Z588" s="314"/>
      <c r="AA588" s="314"/>
      <c r="AB588" s="314"/>
      <c r="AC588" s="314"/>
      <c r="AD588" s="314"/>
      <c r="AE588" s="314"/>
      <c r="AF588" s="314"/>
      <c r="AG588" s="314"/>
      <c r="AH588" s="314"/>
      <c r="AI588" s="314"/>
      <c r="AJ588" s="314"/>
      <c r="AK588" s="314"/>
      <c r="AL588" s="314"/>
      <c r="AM588" s="314"/>
      <c r="AN588" s="314"/>
      <c r="AO588" s="314"/>
    </row>
    <row r="589" spans="1:41" s="73" customFormat="1" x14ac:dyDescent="0.25">
      <c r="A589" s="384"/>
      <c r="B589" s="386"/>
      <c r="C589" s="131"/>
      <c r="D589" s="131" t="s">
        <v>516</v>
      </c>
      <c r="E589" s="53" t="s">
        <v>1227</v>
      </c>
      <c r="F589" s="314"/>
      <c r="G589" s="314"/>
      <c r="H589" s="314"/>
      <c r="I589" s="314"/>
      <c r="J589" s="314"/>
      <c r="K589" s="314"/>
      <c r="L589" s="314"/>
      <c r="M589" s="314"/>
      <c r="N589" s="314"/>
      <c r="O589" s="314"/>
      <c r="P589" s="314"/>
      <c r="Q589" s="314"/>
      <c r="R589" s="314"/>
      <c r="S589" s="314"/>
      <c r="T589" s="314"/>
      <c r="U589" s="314"/>
      <c r="V589" s="314"/>
      <c r="W589" s="314"/>
      <c r="X589" s="314"/>
      <c r="Y589" s="314"/>
      <c r="Z589" s="314"/>
      <c r="AA589" s="314"/>
      <c r="AB589" s="314"/>
      <c r="AC589" s="314"/>
      <c r="AD589" s="314"/>
      <c r="AE589" s="314"/>
      <c r="AF589" s="314"/>
      <c r="AG589" s="314"/>
      <c r="AH589" s="314"/>
      <c r="AI589" s="314"/>
      <c r="AJ589" s="314"/>
      <c r="AK589" s="314"/>
      <c r="AL589" s="314"/>
      <c r="AM589" s="314"/>
      <c r="AN589" s="314"/>
      <c r="AO589" s="314"/>
    </row>
    <row r="590" spans="1:41" s="73" customFormat="1" x14ac:dyDescent="0.25">
      <c r="A590" s="384"/>
      <c r="B590" s="386"/>
      <c r="C590" s="131"/>
      <c r="D590" s="131" t="s">
        <v>517</v>
      </c>
      <c r="E590" s="53" t="s">
        <v>1228</v>
      </c>
      <c r="F590" s="314"/>
      <c r="G590" s="314"/>
      <c r="H590" s="314"/>
      <c r="I590" s="314"/>
      <c r="J590" s="314"/>
      <c r="K590" s="314"/>
      <c r="L590" s="314"/>
      <c r="M590" s="314"/>
      <c r="N590" s="314"/>
      <c r="O590" s="314"/>
      <c r="P590" s="314"/>
      <c r="Q590" s="314"/>
      <c r="R590" s="314"/>
      <c r="S590" s="314"/>
      <c r="T590" s="314"/>
      <c r="U590" s="314"/>
      <c r="V590" s="314"/>
      <c r="W590" s="314"/>
      <c r="X590" s="314"/>
      <c r="Y590" s="314"/>
      <c r="Z590" s="314"/>
      <c r="AA590" s="314"/>
      <c r="AB590" s="314"/>
      <c r="AC590" s="314"/>
      <c r="AD590" s="314"/>
      <c r="AE590" s="314"/>
      <c r="AF590" s="314"/>
      <c r="AG590" s="314"/>
      <c r="AH590" s="314"/>
      <c r="AI590" s="314"/>
      <c r="AJ590" s="314"/>
      <c r="AK590" s="314"/>
      <c r="AL590" s="314"/>
      <c r="AM590" s="314"/>
      <c r="AN590" s="314"/>
      <c r="AO590" s="314"/>
    </row>
    <row r="591" spans="1:41" s="73" customFormat="1" x14ac:dyDescent="0.25">
      <c r="A591" s="384"/>
      <c r="B591" s="386"/>
      <c r="C591" s="131"/>
      <c r="D591" s="131" t="s">
        <v>518</v>
      </c>
      <c r="E591" s="53" t="s">
        <v>1229</v>
      </c>
      <c r="F591" s="314"/>
      <c r="G591" s="314"/>
      <c r="H591" s="314"/>
      <c r="I591" s="314"/>
      <c r="J591" s="314"/>
      <c r="K591" s="314"/>
      <c r="L591" s="314"/>
      <c r="M591" s="314"/>
      <c r="N591" s="314"/>
      <c r="O591" s="314"/>
      <c r="P591" s="314"/>
      <c r="Q591" s="314"/>
      <c r="R591" s="314"/>
      <c r="S591" s="314"/>
      <c r="T591" s="314"/>
      <c r="U591" s="314"/>
      <c r="V591" s="314"/>
      <c r="W591" s="314"/>
      <c r="X591" s="314"/>
      <c r="Y591" s="314"/>
      <c r="Z591" s="314"/>
      <c r="AA591" s="314"/>
      <c r="AB591" s="314"/>
      <c r="AC591" s="314"/>
      <c r="AD591" s="314"/>
      <c r="AE591" s="314"/>
      <c r="AF591" s="314"/>
      <c r="AG591" s="314"/>
      <c r="AH591" s="314"/>
      <c r="AI591" s="314"/>
      <c r="AJ591" s="314"/>
      <c r="AK591" s="314"/>
      <c r="AL591" s="314"/>
      <c r="AM591" s="314"/>
      <c r="AN591" s="314"/>
      <c r="AO591" s="314"/>
    </row>
    <row r="592" spans="1:41" s="73" customFormat="1" x14ac:dyDescent="0.25">
      <c r="A592" s="384"/>
      <c r="B592" s="386"/>
      <c r="C592" s="169" t="s">
        <v>1089</v>
      </c>
      <c r="D592" s="131"/>
      <c r="E592" s="53"/>
      <c r="F592" s="314"/>
      <c r="G592" s="314"/>
      <c r="H592" s="314"/>
      <c r="I592" s="314"/>
      <c r="J592" s="314"/>
      <c r="K592" s="314"/>
      <c r="L592" s="314"/>
      <c r="M592" s="314"/>
      <c r="N592" s="314"/>
      <c r="O592" s="314"/>
      <c r="P592" s="314"/>
      <c r="Q592" s="314"/>
      <c r="R592" s="314"/>
      <c r="S592" s="314"/>
      <c r="T592" s="314"/>
      <c r="U592" s="314"/>
      <c r="V592" s="314"/>
      <c r="W592" s="314"/>
      <c r="X592" s="314"/>
      <c r="Y592" s="314"/>
      <c r="Z592" s="314"/>
      <c r="AA592" s="314"/>
      <c r="AB592" s="314"/>
      <c r="AC592" s="314"/>
      <c r="AD592" s="314"/>
      <c r="AE592" s="314"/>
      <c r="AF592" s="314"/>
      <c r="AG592" s="314"/>
      <c r="AH592" s="314"/>
      <c r="AI592" s="314"/>
      <c r="AJ592" s="314"/>
      <c r="AK592" s="314"/>
      <c r="AL592" s="314"/>
      <c r="AM592" s="314"/>
      <c r="AN592" s="314"/>
      <c r="AO592" s="314"/>
    </row>
    <row r="593" spans="1:41" s="73" customFormat="1" x14ac:dyDescent="0.25">
      <c r="A593" s="384"/>
      <c r="B593" s="386"/>
      <c r="C593" s="131"/>
      <c r="D593" s="131" t="s">
        <v>604</v>
      </c>
      <c r="E593" s="53" t="s">
        <v>1230</v>
      </c>
      <c r="F593" s="314"/>
      <c r="G593" s="314"/>
      <c r="H593" s="314"/>
      <c r="I593" s="314"/>
      <c r="J593" s="314"/>
      <c r="K593" s="314"/>
      <c r="L593" s="314"/>
      <c r="M593" s="314"/>
      <c r="N593" s="314"/>
      <c r="O593" s="314"/>
      <c r="P593" s="314"/>
      <c r="Q593" s="314"/>
      <c r="R593" s="314"/>
      <c r="S593" s="314"/>
      <c r="T593" s="314"/>
      <c r="U593" s="314"/>
      <c r="V593" s="314"/>
      <c r="W593" s="314"/>
      <c r="X593" s="314"/>
      <c r="Y593" s="314"/>
      <c r="Z593" s="314"/>
      <c r="AA593" s="314"/>
      <c r="AB593" s="314"/>
      <c r="AC593" s="314"/>
      <c r="AD593" s="314"/>
      <c r="AE593" s="314"/>
      <c r="AF593" s="314"/>
      <c r="AG593" s="314"/>
      <c r="AH593" s="314"/>
      <c r="AI593" s="314"/>
      <c r="AJ593" s="314"/>
      <c r="AK593" s="314"/>
      <c r="AL593" s="314"/>
      <c r="AM593" s="314"/>
      <c r="AN593" s="314"/>
      <c r="AO593" s="314"/>
    </row>
    <row r="594" spans="1:41" s="73" customFormat="1" x14ac:dyDescent="0.25">
      <c r="A594" s="384"/>
      <c r="B594" s="386"/>
      <c r="C594" s="131"/>
      <c r="D594" s="131" t="s">
        <v>605</v>
      </c>
      <c r="E594" s="53" t="s">
        <v>1231</v>
      </c>
      <c r="F594" s="314"/>
      <c r="G594" s="314"/>
      <c r="H594" s="314"/>
      <c r="I594" s="314"/>
      <c r="J594" s="314"/>
      <c r="K594" s="314"/>
      <c r="L594" s="314"/>
      <c r="M594" s="314"/>
      <c r="N594" s="314"/>
      <c r="O594" s="314"/>
      <c r="P594" s="314"/>
      <c r="Q594" s="314"/>
      <c r="R594" s="314"/>
      <c r="S594" s="314"/>
      <c r="T594" s="314"/>
      <c r="U594" s="314"/>
      <c r="V594" s="314"/>
      <c r="W594" s="314"/>
      <c r="X594" s="314"/>
      <c r="Y594" s="314"/>
      <c r="Z594" s="314"/>
      <c r="AA594" s="314"/>
      <c r="AB594" s="314"/>
      <c r="AC594" s="314"/>
      <c r="AD594" s="314"/>
      <c r="AE594" s="314"/>
      <c r="AF594" s="314"/>
      <c r="AG594" s="314"/>
      <c r="AH594" s="314"/>
      <c r="AI594" s="314"/>
      <c r="AJ594" s="314"/>
      <c r="AK594" s="314"/>
      <c r="AL594" s="314"/>
      <c r="AM594" s="314"/>
      <c r="AN594" s="314"/>
      <c r="AO594" s="314"/>
    </row>
    <row r="595" spans="1:41" s="73" customFormat="1" x14ac:dyDescent="0.25">
      <c r="A595" s="384"/>
      <c r="B595" s="386"/>
      <c r="C595" s="131"/>
      <c r="D595" s="131" t="s">
        <v>606</v>
      </c>
      <c r="E595" s="53" t="s">
        <v>1232</v>
      </c>
      <c r="F595" s="314"/>
      <c r="G595" s="314"/>
      <c r="H595" s="314"/>
      <c r="I595" s="314"/>
      <c r="J595" s="314"/>
      <c r="K595" s="314"/>
      <c r="L595" s="314"/>
      <c r="M595" s="314"/>
      <c r="N595" s="314"/>
      <c r="O595" s="314"/>
      <c r="P595" s="314"/>
      <c r="Q595" s="314"/>
      <c r="R595" s="314"/>
      <c r="S595" s="314"/>
      <c r="T595" s="314"/>
      <c r="U595" s="314"/>
      <c r="V595" s="314"/>
      <c r="W595" s="314"/>
      <c r="X595" s="314"/>
      <c r="Y595" s="314"/>
      <c r="Z595" s="314"/>
      <c r="AA595" s="314"/>
      <c r="AB595" s="314"/>
      <c r="AC595" s="314"/>
      <c r="AD595" s="314"/>
      <c r="AE595" s="314"/>
      <c r="AF595" s="314"/>
      <c r="AG595" s="314"/>
      <c r="AH595" s="314"/>
      <c r="AI595" s="314"/>
      <c r="AJ595" s="314"/>
      <c r="AK595" s="314"/>
      <c r="AL595" s="314"/>
      <c r="AM595" s="314"/>
      <c r="AN595" s="314"/>
      <c r="AO595" s="314"/>
    </row>
    <row r="596" spans="1:41" s="73" customFormat="1" x14ac:dyDescent="0.25">
      <c r="A596" s="384"/>
      <c r="B596" s="386"/>
      <c r="C596" s="131"/>
      <c r="D596" s="131" t="s">
        <v>607</v>
      </c>
      <c r="E596" s="53" t="s">
        <v>1233</v>
      </c>
      <c r="F596" s="314"/>
      <c r="G596" s="314"/>
      <c r="H596" s="314"/>
      <c r="I596" s="314"/>
      <c r="J596" s="314"/>
      <c r="K596" s="314"/>
      <c r="L596" s="314"/>
      <c r="M596" s="314"/>
      <c r="N596" s="314"/>
      <c r="O596" s="314"/>
      <c r="P596" s="314"/>
      <c r="Q596" s="314"/>
      <c r="R596" s="314"/>
      <c r="S596" s="314"/>
      <c r="T596" s="314"/>
      <c r="U596" s="314"/>
      <c r="V596" s="314"/>
      <c r="W596" s="314"/>
      <c r="X596" s="314"/>
      <c r="Y596" s="314"/>
      <c r="Z596" s="314"/>
      <c r="AA596" s="314"/>
      <c r="AB596" s="314"/>
      <c r="AC596" s="314"/>
      <c r="AD596" s="314"/>
      <c r="AE596" s="314"/>
      <c r="AF596" s="314"/>
      <c r="AG596" s="314"/>
      <c r="AH596" s="314"/>
      <c r="AI596" s="314"/>
      <c r="AJ596" s="314"/>
      <c r="AK596" s="314"/>
      <c r="AL596" s="314"/>
      <c r="AM596" s="314"/>
      <c r="AN596" s="314"/>
      <c r="AO596" s="314"/>
    </row>
    <row r="597" spans="1:41" s="73" customFormat="1" x14ac:dyDescent="0.25">
      <c r="A597" s="384"/>
      <c r="B597" s="386"/>
      <c r="C597" s="131"/>
      <c r="D597" s="131" t="s">
        <v>608</v>
      </c>
      <c r="E597" s="53" t="s">
        <v>1234</v>
      </c>
      <c r="F597" s="314"/>
      <c r="G597" s="314"/>
      <c r="H597" s="314"/>
      <c r="I597" s="314"/>
      <c r="J597" s="314"/>
      <c r="K597" s="314"/>
      <c r="L597" s="314"/>
      <c r="M597" s="314"/>
      <c r="N597" s="314"/>
      <c r="O597" s="314"/>
      <c r="P597" s="314"/>
      <c r="Q597" s="314"/>
      <c r="R597" s="314"/>
      <c r="S597" s="314"/>
      <c r="T597" s="314"/>
      <c r="U597" s="314"/>
      <c r="V597" s="314"/>
      <c r="W597" s="314"/>
      <c r="X597" s="314"/>
      <c r="Y597" s="314"/>
      <c r="Z597" s="314"/>
      <c r="AA597" s="314"/>
      <c r="AB597" s="314"/>
      <c r="AC597" s="314"/>
      <c r="AD597" s="314"/>
      <c r="AE597" s="314"/>
      <c r="AF597" s="314"/>
      <c r="AG597" s="314"/>
      <c r="AH597" s="314"/>
      <c r="AI597" s="314"/>
      <c r="AJ597" s="314"/>
      <c r="AK597" s="314"/>
      <c r="AL597" s="314"/>
      <c r="AM597" s="314"/>
      <c r="AN597" s="314"/>
      <c r="AO597" s="314"/>
    </row>
    <row r="598" spans="1:41" s="73" customFormat="1" x14ac:dyDescent="0.25">
      <c r="A598" s="384"/>
      <c r="B598" s="386"/>
      <c r="C598" s="131"/>
      <c r="D598" s="131" t="s">
        <v>609</v>
      </c>
      <c r="E598" s="53" t="s">
        <v>1235</v>
      </c>
      <c r="F598" s="314"/>
      <c r="G598" s="314"/>
      <c r="H598" s="314"/>
      <c r="I598" s="314"/>
      <c r="J598" s="314"/>
      <c r="K598" s="314"/>
      <c r="L598" s="314"/>
      <c r="M598" s="314"/>
      <c r="N598" s="314"/>
      <c r="O598" s="314"/>
      <c r="P598" s="314"/>
      <c r="Q598" s="314"/>
      <c r="R598" s="314"/>
      <c r="S598" s="314"/>
      <c r="T598" s="314"/>
      <c r="U598" s="314"/>
      <c r="V598" s="314"/>
      <c r="W598" s="314"/>
      <c r="X598" s="314"/>
      <c r="Y598" s="314"/>
      <c r="Z598" s="314"/>
      <c r="AA598" s="314"/>
      <c r="AB598" s="314"/>
      <c r="AC598" s="314"/>
      <c r="AD598" s="314"/>
      <c r="AE598" s="314"/>
      <c r="AF598" s="314"/>
      <c r="AG598" s="314"/>
      <c r="AH598" s="314"/>
      <c r="AI598" s="314"/>
      <c r="AJ598" s="314"/>
      <c r="AK598" s="314"/>
      <c r="AL598" s="314"/>
      <c r="AM598" s="314"/>
      <c r="AN598" s="314"/>
      <c r="AO598" s="314"/>
    </row>
    <row r="599" spans="1:41" s="73" customFormat="1" x14ac:dyDescent="0.25">
      <c r="A599" s="384"/>
      <c r="B599" s="386"/>
      <c r="C599" s="131"/>
      <c r="D599" s="131" t="s">
        <v>610</v>
      </c>
      <c r="E599" s="53" t="s">
        <v>1236</v>
      </c>
      <c r="F599" s="314"/>
      <c r="G599" s="314"/>
      <c r="H599" s="314"/>
      <c r="I599" s="314"/>
      <c r="J599" s="314"/>
      <c r="K599" s="314"/>
      <c r="L599" s="314"/>
      <c r="M599" s="314"/>
      <c r="N599" s="314"/>
      <c r="O599" s="314"/>
      <c r="P599" s="314"/>
      <c r="Q599" s="314"/>
      <c r="R599" s="314"/>
      <c r="S599" s="314"/>
      <c r="T599" s="314"/>
      <c r="U599" s="314"/>
      <c r="V599" s="314"/>
      <c r="W599" s="314"/>
      <c r="X599" s="314"/>
      <c r="Y599" s="314"/>
      <c r="Z599" s="314"/>
      <c r="AA599" s="314"/>
      <c r="AB599" s="314"/>
      <c r="AC599" s="314"/>
      <c r="AD599" s="314"/>
      <c r="AE599" s="314"/>
      <c r="AF599" s="314"/>
      <c r="AG599" s="314"/>
      <c r="AH599" s="314"/>
      <c r="AI599" s="314"/>
      <c r="AJ599" s="314"/>
      <c r="AK599" s="314"/>
      <c r="AL599" s="314"/>
      <c r="AM599" s="314"/>
      <c r="AN599" s="314"/>
      <c r="AO599" s="314"/>
    </row>
    <row r="600" spans="1:41" s="73" customFormat="1" x14ac:dyDescent="0.25">
      <c r="A600" s="384"/>
      <c r="B600" s="386"/>
      <c r="C600" s="131"/>
      <c r="D600" s="131" t="s">
        <v>611</v>
      </c>
      <c r="E600" s="53" t="s">
        <v>1237</v>
      </c>
      <c r="F600" s="314"/>
      <c r="G600" s="314"/>
      <c r="H600" s="314"/>
      <c r="I600" s="314"/>
      <c r="J600" s="314"/>
      <c r="K600" s="314"/>
      <c r="L600" s="314"/>
      <c r="M600" s="314"/>
      <c r="N600" s="314"/>
      <c r="O600" s="314"/>
      <c r="P600" s="314"/>
      <c r="Q600" s="314"/>
      <c r="R600" s="314"/>
      <c r="S600" s="314"/>
      <c r="T600" s="314"/>
      <c r="U600" s="314"/>
      <c r="V600" s="314"/>
      <c r="W600" s="314"/>
      <c r="X600" s="314"/>
      <c r="Y600" s="314"/>
      <c r="Z600" s="314"/>
      <c r="AA600" s="314"/>
      <c r="AB600" s="314"/>
      <c r="AC600" s="314"/>
      <c r="AD600" s="314"/>
      <c r="AE600" s="314"/>
      <c r="AF600" s="314"/>
      <c r="AG600" s="314"/>
      <c r="AH600" s="314"/>
      <c r="AI600" s="314"/>
      <c r="AJ600" s="314"/>
      <c r="AK600" s="314"/>
      <c r="AL600" s="314"/>
      <c r="AM600" s="314"/>
      <c r="AN600" s="314"/>
      <c r="AO600" s="314"/>
    </row>
    <row r="601" spans="1:41" s="73" customFormat="1" x14ac:dyDescent="0.25">
      <c r="A601" s="384"/>
      <c r="B601" s="386"/>
      <c r="C601" s="131"/>
      <c r="D601" s="131" t="s">
        <v>612</v>
      </c>
      <c r="E601" s="53" t="s">
        <v>1238</v>
      </c>
      <c r="F601" s="314"/>
      <c r="G601" s="314"/>
      <c r="H601" s="314"/>
      <c r="I601" s="314"/>
      <c r="J601" s="314"/>
      <c r="K601" s="314"/>
      <c r="L601" s="314"/>
      <c r="M601" s="314"/>
      <c r="N601" s="314"/>
      <c r="O601" s="314"/>
      <c r="P601" s="314"/>
      <c r="Q601" s="314"/>
      <c r="R601" s="314"/>
      <c r="S601" s="314"/>
      <c r="T601" s="314"/>
      <c r="U601" s="314"/>
      <c r="V601" s="314"/>
      <c r="W601" s="314"/>
      <c r="X601" s="314"/>
      <c r="Y601" s="314"/>
      <c r="Z601" s="314"/>
      <c r="AA601" s="314"/>
      <c r="AB601" s="314"/>
      <c r="AC601" s="314"/>
      <c r="AD601" s="314"/>
      <c r="AE601" s="314"/>
      <c r="AF601" s="314"/>
      <c r="AG601" s="314"/>
      <c r="AH601" s="314"/>
      <c r="AI601" s="314"/>
      <c r="AJ601" s="314"/>
      <c r="AK601" s="314"/>
      <c r="AL601" s="314"/>
      <c r="AM601" s="314"/>
      <c r="AN601" s="314"/>
      <c r="AO601" s="314"/>
    </row>
    <row r="602" spans="1:41" s="73" customFormat="1" x14ac:dyDescent="0.25">
      <c r="A602" s="384"/>
      <c r="B602" s="386"/>
      <c r="C602" s="131"/>
      <c r="D602" s="131" t="s">
        <v>613</v>
      </c>
      <c r="E602" s="53" t="s">
        <v>1239</v>
      </c>
      <c r="F602" s="314"/>
      <c r="G602" s="314"/>
      <c r="H602" s="314"/>
      <c r="I602" s="314"/>
      <c r="J602" s="314"/>
      <c r="K602" s="314"/>
      <c r="L602" s="314"/>
      <c r="M602" s="314"/>
      <c r="N602" s="314"/>
      <c r="O602" s="314"/>
      <c r="P602" s="314"/>
      <c r="Q602" s="314"/>
      <c r="R602" s="314"/>
      <c r="S602" s="314"/>
      <c r="T602" s="314"/>
      <c r="U602" s="314"/>
      <c r="V602" s="314"/>
      <c r="W602" s="314"/>
      <c r="X602" s="314"/>
      <c r="Y602" s="314"/>
      <c r="Z602" s="314"/>
      <c r="AA602" s="314"/>
      <c r="AB602" s="314"/>
      <c r="AC602" s="314"/>
      <c r="AD602" s="314"/>
      <c r="AE602" s="314"/>
      <c r="AF602" s="314"/>
      <c r="AG602" s="314"/>
      <c r="AH602" s="314"/>
      <c r="AI602" s="314"/>
      <c r="AJ602" s="314"/>
      <c r="AK602" s="314"/>
      <c r="AL602" s="314"/>
      <c r="AM602" s="314"/>
      <c r="AN602" s="314"/>
      <c r="AO602" s="314"/>
    </row>
    <row r="603" spans="1:41" s="73" customFormat="1" x14ac:dyDescent="0.25">
      <c r="A603" s="384"/>
      <c r="B603" s="386"/>
      <c r="C603" s="131"/>
      <c r="D603" s="131" t="s">
        <v>614</v>
      </c>
      <c r="E603" s="53" t="s">
        <v>1240</v>
      </c>
      <c r="F603" s="314"/>
      <c r="G603" s="314"/>
      <c r="H603" s="314"/>
      <c r="I603" s="314"/>
      <c r="J603" s="314"/>
      <c r="K603" s="314"/>
      <c r="L603" s="314"/>
      <c r="M603" s="314"/>
      <c r="N603" s="314"/>
      <c r="O603" s="314"/>
      <c r="P603" s="314"/>
      <c r="Q603" s="314"/>
      <c r="R603" s="314"/>
      <c r="S603" s="314"/>
      <c r="T603" s="314"/>
      <c r="U603" s="314"/>
      <c r="V603" s="314"/>
      <c r="W603" s="314"/>
      <c r="X603" s="314"/>
      <c r="Y603" s="314"/>
      <c r="Z603" s="314"/>
      <c r="AA603" s="314"/>
      <c r="AB603" s="314"/>
      <c r="AC603" s="314"/>
      <c r="AD603" s="314"/>
      <c r="AE603" s="314"/>
      <c r="AF603" s="314"/>
      <c r="AG603" s="314"/>
      <c r="AH603" s="314"/>
      <c r="AI603" s="314"/>
      <c r="AJ603" s="314"/>
      <c r="AK603" s="314"/>
      <c r="AL603" s="314"/>
      <c r="AM603" s="314"/>
      <c r="AN603" s="314"/>
      <c r="AO603" s="314"/>
    </row>
    <row r="604" spans="1:41" s="73" customFormat="1" x14ac:dyDescent="0.25">
      <c r="A604" s="384"/>
      <c r="B604" s="386"/>
      <c r="C604" s="131"/>
      <c r="D604" s="131" t="s">
        <v>615</v>
      </c>
      <c r="E604" s="53" t="s">
        <v>1241</v>
      </c>
      <c r="F604" s="314"/>
      <c r="G604" s="314"/>
      <c r="H604" s="314"/>
      <c r="I604" s="314"/>
      <c r="J604" s="314"/>
      <c r="K604" s="314"/>
      <c r="L604" s="314"/>
      <c r="M604" s="314"/>
      <c r="N604" s="314"/>
      <c r="O604" s="314"/>
      <c r="P604" s="314"/>
      <c r="Q604" s="314"/>
      <c r="R604" s="314"/>
      <c r="S604" s="314"/>
      <c r="T604" s="314"/>
      <c r="U604" s="314"/>
      <c r="V604" s="314"/>
      <c r="W604" s="314"/>
      <c r="X604" s="314"/>
      <c r="Y604" s="314"/>
      <c r="Z604" s="314"/>
      <c r="AA604" s="314"/>
      <c r="AB604" s="314"/>
      <c r="AC604" s="314"/>
      <c r="AD604" s="314"/>
      <c r="AE604" s="314"/>
      <c r="AF604" s="314"/>
      <c r="AG604" s="314"/>
      <c r="AH604" s="314"/>
      <c r="AI604" s="314"/>
      <c r="AJ604" s="314"/>
      <c r="AK604" s="314"/>
      <c r="AL604" s="314"/>
      <c r="AM604" s="314"/>
      <c r="AN604" s="314"/>
      <c r="AO604" s="314"/>
    </row>
    <row r="605" spans="1:41" s="73" customFormat="1" x14ac:dyDescent="0.25">
      <c r="A605" s="384"/>
      <c r="B605" s="386"/>
      <c r="C605" s="131"/>
      <c r="D605" s="131" t="s">
        <v>616</v>
      </c>
      <c r="E605" s="53" t="s">
        <v>1242</v>
      </c>
      <c r="F605" s="314"/>
      <c r="G605" s="314"/>
      <c r="H605" s="314"/>
      <c r="I605" s="314"/>
      <c r="J605" s="314"/>
      <c r="K605" s="314"/>
      <c r="L605" s="314"/>
      <c r="M605" s="314"/>
      <c r="N605" s="314"/>
      <c r="O605" s="314"/>
      <c r="P605" s="314"/>
      <c r="Q605" s="314"/>
      <c r="R605" s="314"/>
      <c r="S605" s="314"/>
      <c r="T605" s="314"/>
      <c r="U605" s="314"/>
      <c r="V605" s="314"/>
      <c r="W605" s="314"/>
      <c r="X605" s="314"/>
      <c r="Y605" s="314"/>
      <c r="Z605" s="314"/>
      <c r="AA605" s="314"/>
      <c r="AB605" s="314"/>
      <c r="AC605" s="314"/>
      <c r="AD605" s="314"/>
      <c r="AE605" s="314"/>
      <c r="AF605" s="314"/>
      <c r="AG605" s="314"/>
      <c r="AH605" s="314"/>
      <c r="AI605" s="314"/>
      <c r="AJ605" s="314"/>
      <c r="AK605" s="314"/>
      <c r="AL605" s="314"/>
      <c r="AM605" s="314"/>
      <c r="AN605" s="314"/>
      <c r="AO605" s="314"/>
    </row>
    <row r="606" spans="1:41" s="73" customFormat="1" x14ac:dyDescent="0.25">
      <c r="A606" s="384"/>
      <c r="B606" s="386"/>
      <c r="C606" s="131"/>
      <c r="D606" s="131" t="s">
        <v>617</v>
      </c>
      <c r="E606" s="53" t="s">
        <v>1243</v>
      </c>
      <c r="F606" s="314"/>
      <c r="G606" s="314"/>
      <c r="H606" s="314"/>
      <c r="I606" s="314"/>
      <c r="J606" s="314"/>
      <c r="K606" s="314"/>
      <c r="L606" s="314"/>
      <c r="M606" s="314"/>
      <c r="N606" s="314"/>
      <c r="O606" s="314"/>
      <c r="P606" s="314"/>
      <c r="Q606" s="314"/>
      <c r="R606" s="314"/>
      <c r="S606" s="314"/>
      <c r="T606" s="314"/>
      <c r="U606" s="314"/>
      <c r="V606" s="314"/>
      <c r="W606" s="314"/>
      <c r="X606" s="314"/>
      <c r="Y606" s="314"/>
      <c r="Z606" s="314"/>
      <c r="AA606" s="314"/>
      <c r="AB606" s="314"/>
      <c r="AC606" s="314"/>
      <c r="AD606" s="314"/>
      <c r="AE606" s="314"/>
      <c r="AF606" s="314"/>
      <c r="AG606" s="314"/>
      <c r="AH606" s="314"/>
      <c r="AI606" s="314"/>
      <c r="AJ606" s="314"/>
      <c r="AK606" s="314"/>
      <c r="AL606" s="314"/>
      <c r="AM606" s="314"/>
      <c r="AN606" s="314"/>
      <c r="AO606" s="314"/>
    </row>
    <row r="607" spans="1:41" s="73" customFormat="1" x14ac:dyDescent="0.25">
      <c r="A607" s="384"/>
      <c r="B607" s="386"/>
      <c r="C607" s="131"/>
      <c r="D607" s="131" t="s">
        <v>618</v>
      </c>
      <c r="E607" s="53" t="s">
        <v>1244</v>
      </c>
      <c r="F607" s="314"/>
      <c r="G607" s="314"/>
      <c r="H607" s="314"/>
      <c r="I607" s="314"/>
      <c r="J607" s="314"/>
      <c r="K607" s="314"/>
      <c r="L607" s="314"/>
      <c r="M607" s="314"/>
      <c r="N607" s="314"/>
      <c r="O607" s="314"/>
      <c r="P607" s="314"/>
      <c r="Q607" s="314"/>
      <c r="R607" s="314"/>
      <c r="S607" s="314"/>
      <c r="T607" s="314"/>
      <c r="U607" s="314"/>
      <c r="V607" s="314"/>
      <c r="W607" s="314"/>
      <c r="X607" s="314"/>
      <c r="Y607" s="314"/>
      <c r="Z607" s="314"/>
      <c r="AA607" s="314"/>
      <c r="AB607" s="314"/>
      <c r="AC607" s="314"/>
      <c r="AD607" s="314"/>
      <c r="AE607" s="314"/>
      <c r="AF607" s="314"/>
      <c r="AG607" s="314"/>
      <c r="AH607" s="314"/>
      <c r="AI607" s="314"/>
      <c r="AJ607" s="314"/>
      <c r="AK607" s="314"/>
      <c r="AL607" s="314"/>
      <c r="AM607" s="314"/>
      <c r="AN607" s="314"/>
      <c r="AO607" s="314"/>
    </row>
    <row r="608" spans="1:41" s="73" customFormat="1" x14ac:dyDescent="0.25">
      <c r="A608" s="384"/>
      <c r="B608" s="386"/>
      <c r="C608" s="131"/>
      <c r="D608" s="131" t="s">
        <v>619</v>
      </c>
      <c r="E608" s="53" t="s">
        <v>1245</v>
      </c>
      <c r="F608" s="314"/>
      <c r="G608" s="314"/>
      <c r="H608" s="314"/>
      <c r="I608" s="314"/>
      <c r="J608" s="314"/>
      <c r="K608" s="314"/>
      <c r="L608" s="314"/>
      <c r="M608" s="314"/>
      <c r="N608" s="314"/>
      <c r="O608" s="314"/>
      <c r="P608" s="314"/>
      <c r="Q608" s="314"/>
      <c r="R608" s="314"/>
      <c r="S608" s="314"/>
      <c r="T608" s="314"/>
      <c r="U608" s="314"/>
      <c r="V608" s="314"/>
      <c r="W608" s="314"/>
      <c r="X608" s="314"/>
      <c r="Y608" s="314"/>
      <c r="Z608" s="314"/>
      <c r="AA608" s="314"/>
      <c r="AB608" s="314"/>
      <c r="AC608" s="314"/>
      <c r="AD608" s="314"/>
      <c r="AE608" s="314"/>
      <c r="AF608" s="314"/>
      <c r="AG608" s="314"/>
      <c r="AH608" s="314"/>
      <c r="AI608" s="314"/>
      <c r="AJ608" s="314"/>
      <c r="AK608" s="314"/>
      <c r="AL608" s="314"/>
      <c r="AM608" s="314"/>
      <c r="AN608" s="314"/>
      <c r="AO608" s="314"/>
    </row>
    <row r="609" spans="1:41" s="73" customFormat="1" x14ac:dyDescent="0.25">
      <c r="A609" s="384"/>
      <c r="B609" s="386"/>
      <c r="C609" s="131"/>
      <c r="D609" s="131" t="s">
        <v>620</v>
      </c>
      <c r="E609" s="53" t="s">
        <v>1246</v>
      </c>
      <c r="F609" s="314"/>
      <c r="G609" s="314"/>
      <c r="H609" s="314"/>
      <c r="I609" s="314"/>
      <c r="J609" s="314"/>
      <c r="K609" s="314"/>
      <c r="L609" s="314"/>
      <c r="M609" s="314"/>
      <c r="N609" s="314"/>
      <c r="O609" s="314"/>
      <c r="P609" s="314"/>
      <c r="Q609" s="314"/>
      <c r="R609" s="314"/>
      <c r="S609" s="314"/>
      <c r="T609" s="314"/>
      <c r="U609" s="314"/>
      <c r="V609" s="314"/>
      <c r="W609" s="314"/>
      <c r="X609" s="314"/>
      <c r="Y609" s="314"/>
      <c r="Z609" s="314"/>
      <c r="AA609" s="314"/>
      <c r="AB609" s="314"/>
      <c r="AC609" s="314"/>
      <c r="AD609" s="314"/>
      <c r="AE609" s="314"/>
      <c r="AF609" s="314"/>
      <c r="AG609" s="314"/>
      <c r="AH609" s="314"/>
      <c r="AI609" s="314"/>
      <c r="AJ609" s="314"/>
      <c r="AK609" s="314"/>
      <c r="AL609" s="314"/>
      <c r="AM609" s="314"/>
      <c r="AN609" s="314"/>
      <c r="AO609" s="314"/>
    </row>
    <row r="610" spans="1:41" s="73" customFormat="1" x14ac:dyDescent="0.25">
      <c r="A610" s="384"/>
      <c r="B610" s="386"/>
      <c r="C610" s="131"/>
      <c r="D610" s="131" t="s">
        <v>621</v>
      </c>
      <c r="E610" s="53" t="s">
        <v>1247</v>
      </c>
      <c r="F610" s="314"/>
      <c r="G610" s="314"/>
      <c r="H610" s="314"/>
      <c r="I610" s="314"/>
      <c r="J610" s="314"/>
      <c r="K610" s="314"/>
      <c r="L610" s="314"/>
      <c r="M610" s="314"/>
      <c r="N610" s="314"/>
      <c r="O610" s="314"/>
      <c r="P610" s="314"/>
      <c r="Q610" s="314"/>
      <c r="R610" s="314"/>
      <c r="S610" s="314"/>
      <c r="T610" s="314"/>
      <c r="U610" s="314"/>
      <c r="V610" s="314"/>
      <c r="W610" s="314"/>
      <c r="X610" s="314"/>
      <c r="Y610" s="314"/>
      <c r="Z610" s="314"/>
      <c r="AA610" s="314"/>
      <c r="AB610" s="314"/>
      <c r="AC610" s="314"/>
      <c r="AD610" s="314"/>
      <c r="AE610" s="314"/>
      <c r="AF610" s="314"/>
      <c r="AG610" s="314"/>
      <c r="AH610" s="314"/>
      <c r="AI610" s="314"/>
      <c r="AJ610" s="314"/>
      <c r="AK610" s="314"/>
      <c r="AL610" s="314"/>
      <c r="AM610" s="314"/>
      <c r="AN610" s="314"/>
      <c r="AO610" s="314"/>
    </row>
    <row r="611" spans="1:41" s="73" customFormat="1" x14ac:dyDescent="0.25">
      <c r="A611" s="384"/>
      <c r="B611" s="386"/>
      <c r="C611" s="131"/>
      <c r="D611" s="131" t="s">
        <v>622</v>
      </c>
      <c r="E611" s="53" t="s">
        <v>1248</v>
      </c>
      <c r="F611" s="314"/>
      <c r="G611" s="314"/>
      <c r="H611" s="314"/>
      <c r="I611" s="314"/>
      <c r="J611" s="314"/>
      <c r="K611" s="314"/>
      <c r="L611" s="314"/>
      <c r="M611" s="314"/>
      <c r="N611" s="314"/>
      <c r="O611" s="314"/>
      <c r="P611" s="314"/>
      <c r="Q611" s="314"/>
      <c r="R611" s="314"/>
      <c r="S611" s="314"/>
      <c r="T611" s="314"/>
      <c r="U611" s="314"/>
      <c r="V611" s="314"/>
      <c r="W611" s="314"/>
      <c r="X611" s="314"/>
      <c r="Y611" s="314"/>
      <c r="Z611" s="314"/>
      <c r="AA611" s="314"/>
      <c r="AB611" s="314"/>
      <c r="AC611" s="314"/>
      <c r="AD611" s="314"/>
      <c r="AE611" s="314"/>
      <c r="AF611" s="314"/>
      <c r="AG611" s="314"/>
      <c r="AH611" s="314"/>
      <c r="AI611" s="314"/>
      <c r="AJ611" s="314"/>
      <c r="AK611" s="314"/>
      <c r="AL611" s="314"/>
      <c r="AM611" s="314"/>
      <c r="AN611" s="314"/>
      <c r="AO611" s="314"/>
    </row>
    <row r="612" spans="1:41" s="73" customFormat="1" x14ac:dyDescent="0.25">
      <c r="A612" s="384"/>
      <c r="B612" s="386"/>
      <c r="C612" s="131"/>
      <c r="D612" s="131" t="s">
        <v>510</v>
      </c>
      <c r="E612" s="53" t="s">
        <v>1249</v>
      </c>
      <c r="F612" s="314"/>
      <c r="G612" s="314"/>
      <c r="H612" s="314"/>
      <c r="I612" s="314"/>
      <c r="J612" s="314"/>
      <c r="K612" s="314"/>
      <c r="L612" s="314"/>
      <c r="M612" s="314"/>
      <c r="N612" s="314"/>
      <c r="O612" s="314"/>
      <c r="P612" s="314"/>
      <c r="Q612" s="314"/>
      <c r="R612" s="314"/>
      <c r="S612" s="314"/>
      <c r="T612" s="314"/>
      <c r="U612" s="314"/>
      <c r="V612" s="314"/>
      <c r="W612" s="314"/>
      <c r="X612" s="314"/>
      <c r="Y612" s="314"/>
      <c r="Z612" s="314"/>
      <c r="AA612" s="314"/>
      <c r="AB612" s="314"/>
      <c r="AC612" s="314"/>
      <c r="AD612" s="314"/>
      <c r="AE612" s="314"/>
      <c r="AF612" s="314"/>
      <c r="AG612" s="314"/>
      <c r="AH612" s="314"/>
      <c r="AI612" s="314"/>
      <c r="AJ612" s="314"/>
      <c r="AK612" s="314"/>
      <c r="AL612" s="314"/>
      <c r="AM612" s="314"/>
      <c r="AN612" s="314"/>
      <c r="AO612" s="314"/>
    </row>
    <row r="613" spans="1:41" s="73" customFormat="1" x14ac:dyDescent="0.25">
      <c r="A613" s="384"/>
      <c r="B613" s="386"/>
      <c r="C613" s="131"/>
      <c r="D613" s="131" t="s">
        <v>511</v>
      </c>
      <c r="E613" s="53" t="s">
        <v>1250</v>
      </c>
      <c r="F613" s="314"/>
      <c r="G613" s="314"/>
      <c r="H613" s="314"/>
      <c r="I613" s="314"/>
      <c r="J613" s="314"/>
      <c r="K613" s="314"/>
      <c r="L613" s="314"/>
      <c r="M613" s="314"/>
      <c r="N613" s="314"/>
      <c r="O613" s="314"/>
      <c r="P613" s="314"/>
      <c r="Q613" s="314"/>
      <c r="R613" s="314"/>
      <c r="S613" s="314"/>
      <c r="T613" s="314"/>
      <c r="U613" s="314"/>
      <c r="V613" s="314"/>
      <c r="W613" s="314"/>
      <c r="X613" s="314"/>
      <c r="Y613" s="314"/>
      <c r="Z613" s="314"/>
      <c r="AA613" s="314"/>
      <c r="AB613" s="314"/>
      <c r="AC613" s="314"/>
      <c r="AD613" s="314"/>
      <c r="AE613" s="314"/>
      <c r="AF613" s="314"/>
      <c r="AG613" s="314"/>
      <c r="AH613" s="314"/>
      <c r="AI613" s="314"/>
      <c r="AJ613" s="314"/>
      <c r="AK613" s="314"/>
      <c r="AL613" s="314"/>
      <c r="AM613" s="314"/>
      <c r="AN613" s="314"/>
      <c r="AO613" s="314"/>
    </row>
    <row r="614" spans="1:41" s="73" customFormat="1" x14ac:dyDescent="0.25">
      <c r="A614" s="384"/>
      <c r="B614" s="386"/>
      <c r="C614" s="131"/>
      <c r="D614" s="131" t="s">
        <v>512</v>
      </c>
      <c r="E614" s="53" t="s">
        <v>1251</v>
      </c>
      <c r="F614" s="314"/>
      <c r="G614" s="314"/>
      <c r="H614" s="314"/>
      <c r="I614" s="314"/>
      <c r="J614" s="314"/>
      <c r="K614" s="314"/>
      <c r="L614" s="314"/>
      <c r="M614" s="314"/>
      <c r="N614" s="314"/>
      <c r="O614" s="314"/>
      <c r="P614" s="314"/>
      <c r="Q614" s="314"/>
      <c r="R614" s="314"/>
      <c r="S614" s="314"/>
      <c r="T614" s="314"/>
      <c r="U614" s="314"/>
      <c r="V614" s="314"/>
      <c r="W614" s="314"/>
      <c r="X614" s="314"/>
      <c r="Y614" s="314"/>
      <c r="Z614" s="314"/>
      <c r="AA614" s="314"/>
      <c r="AB614" s="314"/>
      <c r="AC614" s="314"/>
      <c r="AD614" s="314"/>
      <c r="AE614" s="314"/>
      <c r="AF614" s="314"/>
      <c r="AG614" s="314"/>
      <c r="AH614" s="314"/>
      <c r="AI614" s="314"/>
      <c r="AJ614" s="314"/>
      <c r="AK614" s="314"/>
      <c r="AL614" s="314"/>
      <c r="AM614" s="314"/>
      <c r="AN614" s="314"/>
      <c r="AO614" s="314"/>
    </row>
    <row r="615" spans="1:41" s="73" customFormat="1" x14ac:dyDescent="0.25">
      <c r="A615" s="384"/>
      <c r="B615" s="386"/>
      <c r="C615" s="131"/>
      <c r="D615" s="131" t="s">
        <v>513</v>
      </c>
      <c r="E615" s="53" t="s">
        <v>1252</v>
      </c>
      <c r="F615" s="314"/>
      <c r="G615" s="314"/>
      <c r="H615" s="314"/>
      <c r="I615" s="314"/>
      <c r="J615" s="314"/>
      <c r="K615" s="314"/>
      <c r="L615" s="314"/>
      <c r="M615" s="314"/>
      <c r="N615" s="314"/>
      <c r="O615" s="314"/>
      <c r="P615" s="314"/>
      <c r="Q615" s="314"/>
      <c r="R615" s="314"/>
      <c r="S615" s="314"/>
      <c r="T615" s="314"/>
      <c r="U615" s="314"/>
      <c r="V615" s="314"/>
      <c r="W615" s="314"/>
      <c r="X615" s="314"/>
      <c r="Y615" s="314"/>
      <c r="Z615" s="314"/>
      <c r="AA615" s="314"/>
      <c r="AB615" s="314"/>
      <c r="AC615" s="314"/>
      <c r="AD615" s="314"/>
      <c r="AE615" s="314"/>
      <c r="AF615" s="314"/>
      <c r="AG615" s="314"/>
      <c r="AH615" s="314"/>
      <c r="AI615" s="314"/>
      <c r="AJ615" s="314"/>
      <c r="AK615" s="314"/>
      <c r="AL615" s="314"/>
      <c r="AM615" s="314"/>
      <c r="AN615" s="314"/>
      <c r="AO615" s="314"/>
    </row>
    <row r="616" spans="1:41" s="73" customFormat="1" x14ac:dyDescent="0.25">
      <c r="A616" s="384"/>
      <c r="B616" s="386"/>
      <c r="C616" s="131"/>
      <c r="D616" s="131" t="s">
        <v>514</v>
      </c>
      <c r="E616" s="53" t="s">
        <v>1253</v>
      </c>
      <c r="F616" s="314"/>
      <c r="G616" s="314"/>
      <c r="H616" s="314"/>
      <c r="I616" s="314"/>
      <c r="J616" s="314"/>
      <c r="K616" s="314"/>
      <c r="L616" s="314"/>
      <c r="M616" s="314"/>
      <c r="N616" s="314"/>
      <c r="O616" s="314"/>
      <c r="P616" s="314"/>
      <c r="Q616" s="314"/>
      <c r="R616" s="314"/>
      <c r="S616" s="314"/>
      <c r="T616" s="314"/>
      <c r="U616" s="314"/>
      <c r="V616" s="314"/>
      <c r="W616" s="314"/>
      <c r="X616" s="314"/>
      <c r="Y616" s="314"/>
      <c r="Z616" s="314"/>
      <c r="AA616" s="314"/>
      <c r="AB616" s="314"/>
      <c r="AC616" s="314"/>
      <c r="AD616" s="314"/>
      <c r="AE616" s="314"/>
      <c r="AF616" s="314"/>
      <c r="AG616" s="314"/>
      <c r="AH616" s="314"/>
      <c r="AI616" s="314"/>
      <c r="AJ616" s="314"/>
      <c r="AK616" s="314"/>
      <c r="AL616" s="314"/>
      <c r="AM616" s="314"/>
      <c r="AN616" s="314"/>
      <c r="AO616" s="314"/>
    </row>
    <row r="617" spans="1:41" s="73" customFormat="1" x14ac:dyDescent="0.25">
      <c r="A617" s="384"/>
      <c r="B617" s="386"/>
      <c r="C617" s="131"/>
      <c r="D617" s="131" t="s">
        <v>515</v>
      </c>
      <c r="E617" s="53" t="s">
        <v>1254</v>
      </c>
      <c r="F617" s="314"/>
      <c r="G617" s="314"/>
      <c r="H617" s="314"/>
      <c r="I617" s="314"/>
      <c r="J617" s="314"/>
      <c r="K617" s="314"/>
      <c r="L617" s="314"/>
      <c r="M617" s="314"/>
      <c r="N617" s="314"/>
      <c r="O617" s="314"/>
      <c r="P617" s="314"/>
      <c r="Q617" s="314"/>
      <c r="R617" s="314"/>
      <c r="S617" s="314"/>
      <c r="T617" s="314"/>
      <c r="U617" s="314"/>
      <c r="V617" s="314"/>
      <c r="W617" s="314"/>
      <c r="X617" s="314"/>
      <c r="Y617" s="314"/>
      <c r="Z617" s="314"/>
      <c r="AA617" s="314"/>
      <c r="AB617" s="314"/>
      <c r="AC617" s="314"/>
      <c r="AD617" s="314"/>
      <c r="AE617" s="314"/>
      <c r="AF617" s="314"/>
      <c r="AG617" s="314"/>
      <c r="AH617" s="314"/>
      <c r="AI617" s="314"/>
      <c r="AJ617" s="314"/>
      <c r="AK617" s="314"/>
      <c r="AL617" s="314"/>
      <c r="AM617" s="314"/>
      <c r="AN617" s="314"/>
      <c r="AO617" s="314"/>
    </row>
    <row r="618" spans="1:41" s="73" customFormat="1" x14ac:dyDescent="0.25">
      <c r="A618" s="384"/>
      <c r="B618" s="386"/>
      <c r="C618" s="131"/>
      <c r="D618" s="131" t="s">
        <v>516</v>
      </c>
      <c r="E618" s="53" t="s">
        <v>1255</v>
      </c>
      <c r="F618" s="314"/>
      <c r="G618" s="314"/>
      <c r="H618" s="314"/>
      <c r="I618" s="314"/>
      <c r="J618" s="314"/>
      <c r="K618" s="314"/>
      <c r="L618" s="314"/>
      <c r="M618" s="314"/>
      <c r="N618" s="314"/>
      <c r="O618" s="314"/>
      <c r="P618" s="314"/>
      <c r="Q618" s="314"/>
      <c r="R618" s="314"/>
      <c r="S618" s="314"/>
      <c r="T618" s="314"/>
      <c r="U618" s="314"/>
      <c r="V618" s="314"/>
      <c r="W618" s="314"/>
      <c r="X618" s="314"/>
      <c r="Y618" s="314"/>
      <c r="Z618" s="314"/>
      <c r="AA618" s="314"/>
      <c r="AB618" s="314"/>
      <c r="AC618" s="314"/>
      <c r="AD618" s="314"/>
      <c r="AE618" s="314"/>
      <c r="AF618" s="314"/>
      <c r="AG618" s="314"/>
      <c r="AH618" s="314"/>
      <c r="AI618" s="314"/>
      <c r="AJ618" s="314"/>
      <c r="AK618" s="314"/>
      <c r="AL618" s="314"/>
      <c r="AM618" s="314"/>
      <c r="AN618" s="314"/>
      <c r="AO618" s="314"/>
    </row>
    <row r="619" spans="1:41" s="73" customFormat="1" x14ac:dyDescent="0.25">
      <c r="A619" s="384"/>
      <c r="B619" s="386"/>
      <c r="C619" s="131"/>
      <c r="D619" s="131" t="s">
        <v>517</v>
      </c>
      <c r="E619" s="53" t="s">
        <v>1256</v>
      </c>
      <c r="F619" s="314"/>
      <c r="G619" s="314"/>
      <c r="H619" s="314"/>
      <c r="I619" s="314"/>
      <c r="J619" s="314"/>
      <c r="K619" s="314"/>
      <c r="L619" s="314"/>
      <c r="M619" s="314"/>
      <c r="N619" s="314"/>
      <c r="O619" s="314"/>
      <c r="P619" s="314"/>
      <c r="Q619" s="314"/>
      <c r="R619" s="314"/>
      <c r="S619" s="314"/>
      <c r="T619" s="314"/>
      <c r="U619" s="314"/>
      <c r="V619" s="314"/>
      <c r="W619" s="314"/>
      <c r="X619" s="314"/>
      <c r="Y619" s="314"/>
      <c r="Z619" s="314"/>
      <c r="AA619" s="314"/>
      <c r="AB619" s="314"/>
      <c r="AC619" s="314"/>
      <c r="AD619" s="314"/>
      <c r="AE619" s="314"/>
      <c r="AF619" s="314"/>
      <c r="AG619" s="314"/>
      <c r="AH619" s="314"/>
      <c r="AI619" s="314"/>
      <c r="AJ619" s="314"/>
      <c r="AK619" s="314"/>
      <c r="AL619" s="314"/>
      <c r="AM619" s="314"/>
      <c r="AN619" s="314"/>
      <c r="AO619" s="314"/>
    </row>
    <row r="620" spans="1:41" s="73" customFormat="1" x14ac:dyDescent="0.25">
      <c r="A620" s="384"/>
      <c r="B620" s="386"/>
      <c r="C620" s="170"/>
      <c r="D620" s="170" t="s">
        <v>518</v>
      </c>
      <c r="E620" s="155" t="s">
        <v>1257</v>
      </c>
      <c r="F620" s="315"/>
      <c r="G620" s="315"/>
      <c r="H620" s="315"/>
      <c r="I620" s="315"/>
      <c r="J620" s="315"/>
      <c r="K620" s="315"/>
      <c r="L620" s="315"/>
      <c r="M620" s="315"/>
      <c r="N620" s="315"/>
      <c r="O620" s="315"/>
      <c r="P620" s="315"/>
      <c r="Q620" s="315"/>
      <c r="R620" s="315"/>
      <c r="S620" s="315"/>
      <c r="T620" s="315"/>
      <c r="U620" s="315"/>
      <c r="V620" s="315"/>
      <c r="W620" s="315"/>
      <c r="X620" s="315"/>
      <c r="Y620" s="315"/>
      <c r="Z620" s="315"/>
      <c r="AA620" s="315"/>
      <c r="AB620" s="315"/>
      <c r="AC620" s="315"/>
      <c r="AD620" s="315"/>
      <c r="AE620" s="315"/>
      <c r="AF620" s="315"/>
      <c r="AG620" s="315"/>
      <c r="AH620" s="315"/>
      <c r="AI620" s="315"/>
      <c r="AJ620" s="315"/>
      <c r="AK620" s="315"/>
      <c r="AL620" s="315"/>
      <c r="AM620" s="315"/>
      <c r="AN620" s="315"/>
      <c r="AO620" s="315"/>
    </row>
    <row r="621" spans="1:41" s="73" customFormat="1" ht="15" customHeight="1" x14ac:dyDescent="0.25">
      <c r="A621" s="384"/>
      <c r="B621" s="386"/>
      <c r="C621" s="169" t="s">
        <v>1258</v>
      </c>
      <c r="D621" s="131"/>
      <c r="E621" s="53"/>
      <c r="F621" s="314"/>
      <c r="G621" s="314"/>
      <c r="H621" s="314"/>
      <c r="I621" s="314"/>
      <c r="J621" s="314"/>
      <c r="K621" s="314"/>
      <c r="L621" s="314"/>
      <c r="M621" s="314"/>
      <c r="N621" s="314"/>
      <c r="O621" s="314"/>
      <c r="P621" s="314"/>
      <c r="Q621" s="314"/>
      <c r="R621" s="314"/>
      <c r="S621" s="314"/>
      <c r="T621" s="314"/>
      <c r="U621" s="314"/>
      <c r="V621" s="314"/>
      <c r="W621" s="314"/>
      <c r="X621" s="314"/>
      <c r="Y621" s="314"/>
      <c r="Z621" s="314"/>
      <c r="AA621" s="314"/>
      <c r="AB621" s="314"/>
      <c r="AC621" s="314"/>
      <c r="AD621" s="314"/>
      <c r="AE621" s="314"/>
      <c r="AF621" s="314"/>
      <c r="AG621" s="314"/>
      <c r="AH621" s="314"/>
      <c r="AI621" s="314"/>
      <c r="AJ621" s="314"/>
      <c r="AK621" s="314"/>
      <c r="AL621" s="314"/>
      <c r="AM621" s="314"/>
      <c r="AN621" s="314"/>
      <c r="AO621" s="314"/>
    </row>
    <row r="622" spans="1:41" s="73" customFormat="1" x14ac:dyDescent="0.25">
      <c r="A622" s="384"/>
      <c r="B622" s="386"/>
      <c r="C622" s="169" t="s">
        <v>1084</v>
      </c>
      <c r="D622" s="131"/>
      <c r="E622" s="53"/>
      <c r="F622" s="314"/>
      <c r="G622" s="314"/>
      <c r="H622" s="314"/>
      <c r="I622" s="314"/>
      <c r="J622" s="314"/>
      <c r="K622" s="314"/>
      <c r="L622" s="314"/>
      <c r="M622" s="314"/>
      <c r="N622" s="314"/>
      <c r="O622" s="314"/>
      <c r="P622" s="314"/>
      <c r="Q622" s="314"/>
      <c r="R622" s="314"/>
      <c r="S622" s="314"/>
      <c r="T622" s="314"/>
      <c r="U622" s="314"/>
      <c r="V622" s="314"/>
      <c r="W622" s="314"/>
      <c r="X622" s="314"/>
      <c r="Y622" s="314"/>
      <c r="Z622" s="314"/>
      <c r="AA622" s="314"/>
      <c r="AB622" s="314"/>
      <c r="AC622" s="314"/>
      <c r="AD622" s="314"/>
      <c r="AE622" s="314"/>
      <c r="AF622" s="314"/>
      <c r="AG622" s="314"/>
      <c r="AH622" s="314"/>
      <c r="AI622" s="314"/>
      <c r="AJ622" s="314"/>
      <c r="AK622" s="314"/>
      <c r="AL622" s="314"/>
      <c r="AM622" s="314"/>
      <c r="AN622" s="314"/>
      <c r="AO622" s="314"/>
    </row>
    <row r="623" spans="1:41" s="73" customFormat="1" x14ac:dyDescent="0.25">
      <c r="A623" s="384"/>
      <c r="B623" s="386"/>
      <c r="C623" s="131"/>
      <c r="D623" s="131" t="s">
        <v>604</v>
      </c>
      <c r="E623" s="53" t="s">
        <v>1259</v>
      </c>
      <c r="F623" s="314"/>
      <c r="G623" s="314"/>
      <c r="H623" s="314"/>
      <c r="I623" s="314"/>
      <c r="J623" s="314"/>
      <c r="K623" s="314"/>
      <c r="L623" s="314"/>
      <c r="M623" s="314"/>
      <c r="N623" s="314"/>
      <c r="O623" s="314"/>
      <c r="P623" s="314"/>
      <c r="Q623" s="314"/>
      <c r="R623" s="314"/>
      <c r="S623" s="314"/>
      <c r="T623" s="314"/>
      <c r="U623" s="314"/>
      <c r="V623" s="314"/>
      <c r="W623" s="314"/>
      <c r="X623" s="314"/>
      <c r="Y623" s="314"/>
      <c r="Z623" s="314"/>
      <c r="AA623" s="314"/>
      <c r="AB623" s="314"/>
      <c r="AC623" s="314"/>
      <c r="AD623" s="314"/>
      <c r="AE623" s="314"/>
      <c r="AF623" s="314"/>
      <c r="AG623" s="314"/>
      <c r="AH623" s="314"/>
      <c r="AI623" s="314"/>
      <c r="AJ623" s="314"/>
      <c r="AK623" s="314"/>
      <c r="AL623" s="314"/>
      <c r="AM623" s="314"/>
      <c r="AN623" s="314"/>
      <c r="AO623" s="314"/>
    </row>
    <row r="624" spans="1:41" s="73" customFormat="1" x14ac:dyDescent="0.25">
      <c r="A624" s="384"/>
      <c r="B624" s="386"/>
      <c r="C624" s="131"/>
      <c r="D624" s="131" t="s">
        <v>605</v>
      </c>
      <c r="E624" s="53" t="s">
        <v>1260</v>
      </c>
      <c r="F624" s="314"/>
      <c r="G624" s="314"/>
      <c r="H624" s="314"/>
      <c r="I624" s="314"/>
      <c r="J624" s="314"/>
      <c r="K624" s="314"/>
      <c r="L624" s="314"/>
      <c r="M624" s="314"/>
      <c r="N624" s="314"/>
      <c r="O624" s="314"/>
      <c r="P624" s="314"/>
      <c r="Q624" s="314"/>
      <c r="R624" s="314"/>
      <c r="S624" s="314"/>
      <c r="T624" s="314"/>
      <c r="U624" s="314"/>
      <c r="V624" s="314"/>
      <c r="W624" s="314"/>
      <c r="X624" s="314"/>
      <c r="Y624" s="314"/>
      <c r="Z624" s="314"/>
      <c r="AA624" s="314"/>
      <c r="AB624" s="314"/>
      <c r="AC624" s="314"/>
      <c r="AD624" s="314"/>
      <c r="AE624" s="314"/>
      <c r="AF624" s="314"/>
      <c r="AG624" s="314"/>
      <c r="AH624" s="314"/>
      <c r="AI624" s="314"/>
      <c r="AJ624" s="314"/>
      <c r="AK624" s="314"/>
      <c r="AL624" s="314"/>
      <c r="AM624" s="314"/>
      <c r="AN624" s="314"/>
      <c r="AO624" s="314"/>
    </row>
    <row r="625" spans="1:41" s="73" customFormat="1" x14ac:dyDescent="0.25">
      <c r="A625" s="384"/>
      <c r="B625" s="386"/>
      <c r="C625" s="131"/>
      <c r="D625" s="131" t="s">
        <v>606</v>
      </c>
      <c r="E625" s="53" t="s">
        <v>1261</v>
      </c>
      <c r="F625" s="314"/>
      <c r="G625" s="314"/>
      <c r="H625" s="314"/>
      <c r="I625" s="314"/>
      <c r="J625" s="314"/>
      <c r="K625" s="314"/>
      <c r="L625" s="314"/>
      <c r="M625" s="314"/>
      <c r="N625" s="314"/>
      <c r="O625" s="314"/>
      <c r="P625" s="314"/>
      <c r="Q625" s="314"/>
      <c r="R625" s="314"/>
      <c r="S625" s="314"/>
      <c r="T625" s="314"/>
      <c r="U625" s="314"/>
      <c r="V625" s="314"/>
      <c r="W625" s="314"/>
      <c r="X625" s="314"/>
      <c r="Y625" s="314"/>
      <c r="Z625" s="314"/>
      <c r="AA625" s="314"/>
      <c r="AB625" s="314"/>
      <c r="AC625" s="314"/>
      <c r="AD625" s="314"/>
      <c r="AE625" s="314"/>
      <c r="AF625" s="314"/>
      <c r="AG625" s="314"/>
      <c r="AH625" s="314"/>
      <c r="AI625" s="314"/>
      <c r="AJ625" s="314"/>
      <c r="AK625" s="314"/>
      <c r="AL625" s="314"/>
      <c r="AM625" s="314"/>
      <c r="AN625" s="314"/>
      <c r="AO625" s="314"/>
    </row>
    <row r="626" spans="1:41" s="73" customFormat="1" x14ac:dyDescent="0.25">
      <c r="A626" s="384"/>
      <c r="B626" s="386"/>
      <c r="C626" s="131"/>
      <c r="D626" s="131" t="s">
        <v>607</v>
      </c>
      <c r="E626" s="53" t="s">
        <v>1262</v>
      </c>
      <c r="F626" s="314"/>
      <c r="G626" s="314"/>
      <c r="H626" s="314"/>
      <c r="I626" s="314"/>
      <c r="J626" s="314"/>
      <c r="K626" s="314"/>
      <c r="L626" s="314"/>
      <c r="M626" s="314"/>
      <c r="N626" s="314"/>
      <c r="O626" s="314"/>
      <c r="P626" s="314"/>
      <c r="Q626" s="314"/>
      <c r="R626" s="314"/>
      <c r="S626" s="314"/>
      <c r="T626" s="314"/>
      <c r="U626" s="314"/>
      <c r="V626" s="314"/>
      <c r="W626" s="314"/>
      <c r="X626" s="314"/>
      <c r="Y626" s="314"/>
      <c r="Z626" s="314"/>
      <c r="AA626" s="314"/>
      <c r="AB626" s="314"/>
      <c r="AC626" s="314"/>
      <c r="AD626" s="314"/>
      <c r="AE626" s="314"/>
      <c r="AF626" s="314"/>
      <c r="AG626" s="314"/>
      <c r="AH626" s="314"/>
      <c r="AI626" s="314"/>
      <c r="AJ626" s="314"/>
      <c r="AK626" s="314"/>
      <c r="AL626" s="314"/>
      <c r="AM626" s="314"/>
      <c r="AN626" s="314"/>
      <c r="AO626" s="314"/>
    </row>
    <row r="627" spans="1:41" s="73" customFormat="1" x14ac:dyDescent="0.25">
      <c r="A627" s="384"/>
      <c r="B627" s="386"/>
      <c r="C627" s="131"/>
      <c r="D627" s="131" t="s">
        <v>608</v>
      </c>
      <c r="E627" s="53" t="s">
        <v>1263</v>
      </c>
      <c r="F627" s="314"/>
      <c r="G627" s="314"/>
      <c r="H627" s="314"/>
      <c r="I627" s="314"/>
      <c r="J627" s="314"/>
      <c r="K627" s="314"/>
      <c r="L627" s="314"/>
      <c r="M627" s="314"/>
      <c r="N627" s="314"/>
      <c r="O627" s="314"/>
      <c r="P627" s="314"/>
      <c r="Q627" s="314"/>
      <c r="R627" s="314"/>
      <c r="S627" s="314"/>
      <c r="T627" s="314"/>
      <c r="U627" s="314"/>
      <c r="V627" s="314"/>
      <c r="W627" s="314"/>
      <c r="X627" s="314"/>
      <c r="Y627" s="314"/>
      <c r="Z627" s="314"/>
      <c r="AA627" s="314"/>
      <c r="AB627" s="314"/>
      <c r="AC627" s="314"/>
      <c r="AD627" s="314"/>
      <c r="AE627" s="314"/>
      <c r="AF627" s="314"/>
      <c r="AG627" s="314"/>
      <c r="AH627" s="314"/>
      <c r="AI627" s="314"/>
      <c r="AJ627" s="314"/>
      <c r="AK627" s="314"/>
      <c r="AL627" s="314"/>
      <c r="AM627" s="314"/>
      <c r="AN627" s="314"/>
      <c r="AO627" s="314"/>
    </row>
    <row r="628" spans="1:41" s="73" customFormat="1" x14ac:dyDescent="0.25">
      <c r="A628" s="384"/>
      <c r="B628" s="386"/>
      <c r="C628" s="131"/>
      <c r="D628" s="131" t="s">
        <v>609</v>
      </c>
      <c r="E628" s="53" t="s">
        <v>1264</v>
      </c>
      <c r="F628" s="314"/>
      <c r="G628" s="314"/>
      <c r="H628" s="314"/>
      <c r="I628" s="314"/>
      <c r="J628" s="314"/>
      <c r="K628" s="314"/>
      <c r="L628" s="314"/>
      <c r="M628" s="314"/>
      <c r="N628" s="314"/>
      <c r="O628" s="314"/>
      <c r="P628" s="314"/>
      <c r="Q628" s="314"/>
      <c r="R628" s="314"/>
      <c r="S628" s="314"/>
      <c r="T628" s="314"/>
      <c r="U628" s="314"/>
      <c r="V628" s="314"/>
      <c r="W628" s="314"/>
      <c r="X628" s="314"/>
      <c r="Y628" s="314"/>
      <c r="Z628" s="314"/>
      <c r="AA628" s="314"/>
      <c r="AB628" s="314"/>
      <c r="AC628" s="314"/>
      <c r="AD628" s="314"/>
      <c r="AE628" s="314"/>
      <c r="AF628" s="314"/>
      <c r="AG628" s="314"/>
      <c r="AH628" s="314"/>
      <c r="AI628" s="314"/>
      <c r="AJ628" s="314"/>
      <c r="AK628" s="314"/>
      <c r="AL628" s="314"/>
      <c r="AM628" s="314"/>
      <c r="AN628" s="314"/>
      <c r="AO628" s="314"/>
    </row>
    <row r="629" spans="1:41" s="73" customFormat="1" x14ac:dyDescent="0.25">
      <c r="A629" s="384"/>
      <c r="B629" s="386"/>
      <c r="C629" s="131"/>
      <c r="D629" s="131" t="s">
        <v>610</v>
      </c>
      <c r="E629" s="53" t="s">
        <v>1265</v>
      </c>
      <c r="F629" s="314"/>
      <c r="G629" s="314"/>
      <c r="H629" s="314"/>
      <c r="I629" s="314"/>
      <c r="J629" s="314"/>
      <c r="K629" s="314"/>
      <c r="L629" s="314"/>
      <c r="M629" s="314"/>
      <c r="N629" s="314"/>
      <c r="O629" s="314"/>
      <c r="P629" s="314"/>
      <c r="Q629" s="314"/>
      <c r="R629" s="314"/>
      <c r="S629" s="314"/>
      <c r="T629" s="314"/>
      <c r="U629" s="314"/>
      <c r="V629" s="314"/>
      <c r="W629" s="314"/>
      <c r="X629" s="314"/>
      <c r="Y629" s="314"/>
      <c r="Z629" s="314"/>
      <c r="AA629" s="314"/>
      <c r="AB629" s="314"/>
      <c r="AC629" s="314"/>
      <c r="AD629" s="314"/>
      <c r="AE629" s="314"/>
      <c r="AF629" s="314"/>
      <c r="AG629" s="314"/>
      <c r="AH629" s="314"/>
      <c r="AI629" s="314"/>
      <c r="AJ629" s="314"/>
      <c r="AK629" s="314"/>
      <c r="AL629" s="314"/>
      <c r="AM629" s="314"/>
      <c r="AN629" s="314"/>
      <c r="AO629" s="314"/>
    </row>
    <row r="630" spans="1:41" s="73" customFormat="1" x14ac:dyDescent="0.25">
      <c r="A630" s="384"/>
      <c r="B630" s="386"/>
      <c r="C630" s="131"/>
      <c r="D630" s="131" t="s">
        <v>611</v>
      </c>
      <c r="E630" s="53" t="s">
        <v>1266</v>
      </c>
      <c r="F630" s="314"/>
      <c r="G630" s="314"/>
      <c r="H630" s="314"/>
      <c r="I630" s="314"/>
      <c r="J630" s="314"/>
      <c r="K630" s="314"/>
      <c r="L630" s="314"/>
      <c r="M630" s="314"/>
      <c r="N630" s="314"/>
      <c r="O630" s="314"/>
      <c r="P630" s="314"/>
      <c r="Q630" s="314"/>
      <c r="R630" s="314"/>
      <c r="S630" s="314"/>
      <c r="T630" s="314"/>
      <c r="U630" s="314"/>
      <c r="V630" s="314"/>
      <c r="W630" s="314"/>
      <c r="X630" s="314"/>
      <c r="Y630" s="314"/>
      <c r="Z630" s="314"/>
      <c r="AA630" s="314"/>
      <c r="AB630" s="314"/>
      <c r="AC630" s="314"/>
      <c r="AD630" s="314"/>
      <c r="AE630" s="314"/>
      <c r="AF630" s="314"/>
      <c r="AG630" s="314"/>
      <c r="AH630" s="314"/>
      <c r="AI630" s="314"/>
      <c r="AJ630" s="314"/>
      <c r="AK630" s="314"/>
      <c r="AL630" s="314"/>
      <c r="AM630" s="314"/>
      <c r="AN630" s="314"/>
      <c r="AO630" s="314"/>
    </row>
    <row r="631" spans="1:41" s="73" customFormat="1" x14ac:dyDescent="0.25">
      <c r="A631" s="384"/>
      <c r="B631" s="386"/>
      <c r="C631" s="131"/>
      <c r="D631" s="131" t="s">
        <v>612</v>
      </c>
      <c r="E631" s="53" t="s">
        <v>1267</v>
      </c>
      <c r="F631" s="314"/>
      <c r="G631" s="314"/>
      <c r="H631" s="314"/>
      <c r="I631" s="314"/>
      <c r="J631" s="314"/>
      <c r="K631" s="314"/>
      <c r="L631" s="314"/>
      <c r="M631" s="314"/>
      <c r="N631" s="314"/>
      <c r="O631" s="314"/>
      <c r="P631" s="314"/>
      <c r="Q631" s="314"/>
      <c r="R631" s="314"/>
      <c r="S631" s="314"/>
      <c r="T631" s="314"/>
      <c r="U631" s="314"/>
      <c r="V631" s="314"/>
      <c r="W631" s="314"/>
      <c r="X631" s="314"/>
      <c r="Y631" s="314"/>
      <c r="Z631" s="314"/>
      <c r="AA631" s="314"/>
      <c r="AB631" s="314"/>
      <c r="AC631" s="314"/>
      <c r="AD631" s="314"/>
      <c r="AE631" s="314"/>
      <c r="AF631" s="314"/>
      <c r="AG631" s="314"/>
      <c r="AH631" s="314"/>
      <c r="AI631" s="314"/>
      <c r="AJ631" s="314"/>
      <c r="AK631" s="314"/>
      <c r="AL631" s="314"/>
      <c r="AM631" s="314"/>
      <c r="AN631" s="314"/>
      <c r="AO631" s="314"/>
    </row>
    <row r="632" spans="1:41" s="73" customFormat="1" x14ac:dyDescent="0.25">
      <c r="A632" s="384"/>
      <c r="B632" s="386"/>
      <c r="C632" s="131"/>
      <c r="D632" s="131" t="s">
        <v>613</v>
      </c>
      <c r="E632" s="53" t="s">
        <v>1268</v>
      </c>
      <c r="F632" s="314"/>
      <c r="G632" s="314"/>
      <c r="H632" s="314"/>
      <c r="I632" s="314"/>
      <c r="J632" s="314"/>
      <c r="K632" s="314"/>
      <c r="L632" s="314"/>
      <c r="M632" s="314"/>
      <c r="N632" s="314"/>
      <c r="O632" s="314"/>
      <c r="P632" s="314"/>
      <c r="Q632" s="314"/>
      <c r="R632" s="314"/>
      <c r="S632" s="314"/>
      <c r="T632" s="314"/>
      <c r="U632" s="314"/>
      <c r="V632" s="314"/>
      <c r="W632" s="314"/>
      <c r="X632" s="314"/>
      <c r="Y632" s="314"/>
      <c r="Z632" s="314"/>
      <c r="AA632" s="314"/>
      <c r="AB632" s="314"/>
      <c r="AC632" s="314"/>
      <c r="AD632" s="314"/>
      <c r="AE632" s="314"/>
      <c r="AF632" s="314"/>
      <c r="AG632" s="314"/>
      <c r="AH632" s="314"/>
      <c r="AI632" s="314"/>
      <c r="AJ632" s="314"/>
      <c r="AK632" s="314"/>
      <c r="AL632" s="314"/>
      <c r="AM632" s="314"/>
      <c r="AN632" s="314"/>
      <c r="AO632" s="314"/>
    </row>
    <row r="633" spans="1:41" s="73" customFormat="1" x14ac:dyDescent="0.25">
      <c r="A633" s="384"/>
      <c r="B633" s="386"/>
      <c r="C633" s="131"/>
      <c r="D633" s="131" t="s">
        <v>614</v>
      </c>
      <c r="E633" s="53" t="s">
        <v>1269</v>
      </c>
      <c r="F633" s="314"/>
      <c r="G633" s="314"/>
      <c r="H633" s="314"/>
      <c r="I633" s="314"/>
      <c r="J633" s="314"/>
      <c r="K633" s="314"/>
      <c r="L633" s="314"/>
      <c r="M633" s="314"/>
      <c r="N633" s="314"/>
      <c r="O633" s="314"/>
      <c r="P633" s="314"/>
      <c r="Q633" s="314"/>
      <c r="R633" s="314"/>
      <c r="S633" s="314"/>
      <c r="T633" s="314"/>
      <c r="U633" s="314"/>
      <c r="V633" s="314"/>
      <c r="W633" s="314"/>
      <c r="X633" s="314"/>
      <c r="Y633" s="314"/>
      <c r="Z633" s="314"/>
      <c r="AA633" s="314"/>
      <c r="AB633" s="314"/>
      <c r="AC633" s="314"/>
      <c r="AD633" s="314"/>
      <c r="AE633" s="314"/>
      <c r="AF633" s="314"/>
      <c r="AG633" s="314"/>
      <c r="AH633" s="314"/>
      <c r="AI633" s="314"/>
      <c r="AJ633" s="314"/>
      <c r="AK633" s="314"/>
      <c r="AL633" s="314"/>
      <c r="AM633" s="314"/>
      <c r="AN633" s="314"/>
      <c r="AO633" s="314"/>
    </row>
    <row r="634" spans="1:41" s="73" customFormat="1" x14ac:dyDescent="0.25">
      <c r="A634" s="384"/>
      <c r="B634" s="386"/>
      <c r="C634" s="131"/>
      <c r="D634" s="131" t="s">
        <v>615</v>
      </c>
      <c r="E634" s="53" t="s">
        <v>1270</v>
      </c>
      <c r="F634" s="314"/>
      <c r="G634" s="314"/>
      <c r="H634" s="314"/>
      <c r="I634" s="314"/>
      <c r="J634" s="314"/>
      <c r="K634" s="314"/>
      <c r="L634" s="314"/>
      <c r="M634" s="314"/>
      <c r="N634" s="314"/>
      <c r="O634" s="314"/>
      <c r="P634" s="314"/>
      <c r="Q634" s="314"/>
      <c r="R634" s="314"/>
      <c r="S634" s="314"/>
      <c r="T634" s="314"/>
      <c r="U634" s="314"/>
      <c r="V634" s="314"/>
      <c r="W634" s="314"/>
      <c r="X634" s="314"/>
      <c r="Y634" s="314"/>
      <c r="Z634" s="314"/>
      <c r="AA634" s="314"/>
      <c r="AB634" s="314"/>
      <c r="AC634" s="314"/>
      <c r="AD634" s="314"/>
      <c r="AE634" s="314"/>
      <c r="AF634" s="314"/>
      <c r="AG634" s="314"/>
      <c r="AH634" s="314"/>
      <c r="AI634" s="314"/>
      <c r="AJ634" s="314"/>
      <c r="AK634" s="314"/>
      <c r="AL634" s="314"/>
      <c r="AM634" s="314"/>
      <c r="AN634" s="314"/>
      <c r="AO634" s="314"/>
    </row>
    <row r="635" spans="1:41" s="73" customFormat="1" x14ac:dyDescent="0.25">
      <c r="A635" s="384"/>
      <c r="B635" s="386"/>
      <c r="C635" s="131"/>
      <c r="D635" s="131" t="s">
        <v>616</v>
      </c>
      <c r="E635" s="53" t="s">
        <v>1271</v>
      </c>
      <c r="F635" s="314"/>
      <c r="G635" s="314"/>
      <c r="H635" s="314"/>
      <c r="I635" s="314"/>
      <c r="J635" s="314"/>
      <c r="K635" s="314"/>
      <c r="L635" s="314"/>
      <c r="M635" s="314"/>
      <c r="N635" s="314"/>
      <c r="O635" s="314"/>
      <c r="P635" s="314"/>
      <c r="Q635" s="314"/>
      <c r="R635" s="314"/>
      <c r="S635" s="314"/>
      <c r="T635" s="314"/>
      <c r="U635" s="314"/>
      <c r="V635" s="314"/>
      <c r="W635" s="314"/>
      <c r="X635" s="314"/>
      <c r="Y635" s="314"/>
      <c r="Z635" s="314"/>
      <c r="AA635" s="314"/>
      <c r="AB635" s="314"/>
      <c r="AC635" s="314"/>
      <c r="AD635" s="314"/>
      <c r="AE635" s="314"/>
      <c r="AF635" s="314"/>
      <c r="AG635" s="314"/>
      <c r="AH635" s="314"/>
      <c r="AI635" s="314"/>
      <c r="AJ635" s="314"/>
      <c r="AK635" s="314"/>
      <c r="AL635" s="314"/>
      <c r="AM635" s="314"/>
      <c r="AN635" s="314"/>
      <c r="AO635" s="314"/>
    </row>
    <row r="636" spans="1:41" s="73" customFormat="1" x14ac:dyDescent="0.25">
      <c r="A636" s="384"/>
      <c r="B636" s="386"/>
      <c r="C636" s="131"/>
      <c r="D636" s="131" t="s">
        <v>617</v>
      </c>
      <c r="E636" s="53" t="s">
        <v>1272</v>
      </c>
      <c r="F636" s="314"/>
      <c r="G636" s="314"/>
      <c r="H636" s="314"/>
      <c r="I636" s="314"/>
      <c r="J636" s="314"/>
      <c r="K636" s="314"/>
      <c r="L636" s="314"/>
      <c r="M636" s="314"/>
      <c r="N636" s="314"/>
      <c r="O636" s="314"/>
      <c r="P636" s="314"/>
      <c r="Q636" s="314"/>
      <c r="R636" s="314"/>
      <c r="S636" s="314"/>
      <c r="T636" s="314"/>
      <c r="U636" s="314"/>
      <c r="V636" s="314"/>
      <c r="W636" s="314"/>
      <c r="X636" s="314"/>
      <c r="Y636" s="314"/>
      <c r="Z636" s="314"/>
      <c r="AA636" s="314"/>
      <c r="AB636" s="314"/>
      <c r="AC636" s="314"/>
      <c r="AD636" s="314"/>
      <c r="AE636" s="314"/>
      <c r="AF636" s="314"/>
      <c r="AG636" s="314"/>
      <c r="AH636" s="314"/>
      <c r="AI636" s="314"/>
      <c r="AJ636" s="314"/>
      <c r="AK636" s="314"/>
      <c r="AL636" s="314"/>
      <c r="AM636" s="314"/>
      <c r="AN636" s="314"/>
      <c r="AO636" s="314"/>
    </row>
    <row r="637" spans="1:41" s="73" customFormat="1" x14ac:dyDescent="0.25">
      <c r="A637" s="384"/>
      <c r="B637" s="386"/>
      <c r="C637" s="131"/>
      <c r="D637" s="131" t="s">
        <v>618</v>
      </c>
      <c r="E637" s="53" t="s">
        <v>1273</v>
      </c>
      <c r="F637" s="314"/>
      <c r="G637" s="314"/>
      <c r="H637" s="314"/>
      <c r="I637" s="314"/>
      <c r="J637" s="314"/>
      <c r="K637" s="314"/>
      <c r="L637" s="314"/>
      <c r="M637" s="314"/>
      <c r="N637" s="314"/>
      <c r="O637" s="314"/>
      <c r="P637" s="314"/>
      <c r="Q637" s="314"/>
      <c r="R637" s="314"/>
      <c r="S637" s="314"/>
      <c r="T637" s="314"/>
      <c r="U637" s="314"/>
      <c r="V637" s="314"/>
      <c r="W637" s="314"/>
      <c r="X637" s="314"/>
      <c r="Y637" s="314"/>
      <c r="Z637" s="314"/>
      <c r="AA637" s="314"/>
      <c r="AB637" s="314"/>
      <c r="AC637" s="314"/>
      <c r="AD637" s="314"/>
      <c r="AE637" s="314"/>
      <c r="AF637" s="314"/>
      <c r="AG637" s="314"/>
      <c r="AH637" s="314"/>
      <c r="AI637" s="314"/>
      <c r="AJ637" s="314"/>
      <c r="AK637" s="314"/>
      <c r="AL637" s="314"/>
      <c r="AM637" s="314"/>
      <c r="AN637" s="314"/>
      <c r="AO637" s="314"/>
    </row>
    <row r="638" spans="1:41" s="73" customFormat="1" x14ac:dyDescent="0.25">
      <c r="A638" s="384"/>
      <c r="B638" s="386"/>
      <c r="C638" s="131"/>
      <c r="D638" s="131" t="s">
        <v>619</v>
      </c>
      <c r="E638" s="53" t="s">
        <v>1274</v>
      </c>
      <c r="F638" s="314"/>
      <c r="G638" s="314"/>
      <c r="H638" s="314"/>
      <c r="I638" s="314"/>
      <c r="J638" s="314"/>
      <c r="K638" s="314"/>
      <c r="L638" s="314"/>
      <c r="M638" s="314"/>
      <c r="N638" s="314"/>
      <c r="O638" s="314"/>
      <c r="P638" s="314"/>
      <c r="Q638" s="314"/>
      <c r="R638" s="314"/>
      <c r="S638" s="314"/>
      <c r="T638" s="314"/>
      <c r="U638" s="314"/>
      <c r="V638" s="314"/>
      <c r="W638" s="314"/>
      <c r="X638" s="314"/>
      <c r="Y638" s="314"/>
      <c r="Z638" s="314"/>
      <c r="AA638" s="314"/>
      <c r="AB638" s="314"/>
      <c r="AC638" s="314"/>
      <c r="AD638" s="314"/>
      <c r="AE638" s="314"/>
      <c r="AF638" s="314"/>
      <c r="AG638" s="314"/>
      <c r="AH638" s="314"/>
      <c r="AI638" s="314"/>
      <c r="AJ638" s="314"/>
      <c r="AK638" s="314"/>
      <c r="AL638" s="314"/>
      <c r="AM638" s="314"/>
      <c r="AN638" s="314"/>
      <c r="AO638" s="314"/>
    </row>
    <row r="639" spans="1:41" s="73" customFormat="1" x14ac:dyDescent="0.25">
      <c r="A639" s="384"/>
      <c r="B639" s="386"/>
      <c r="C639" s="131"/>
      <c r="D639" s="131" t="s">
        <v>620</v>
      </c>
      <c r="E639" s="53" t="s">
        <v>1275</v>
      </c>
      <c r="F639" s="314"/>
      <c r="G639" s="314"/>
      <c r="H639" s="314"/>
      <c r="I639" s="314"/>
      <c r="J639" s="314"/>
      <c r="K639" s="314"/>
      <c r="L639" s="314"/>
      <c r="M639" s="314"/>
      <c r="N639" s="314"/>
      <c r="O639" s="314"/>
      <c r="P639" s="314"/>
      <c r="Q639" s="314"/>
      <c r="R639" s="314"/>
      <c r="S639" s="314"/>
      <c r="T639" s="314"/>
      <c r="U639" s="314"/>
      <c r="V639" s="314"/>
      <c r="W639" s="314"/>
      <c r="X639" s="314"/>
      <c r="Y639" s="314"/>
      <c r="Z639" s="314"/>
      <c r="AA639" s="314"/>
      <c r="AB639" s="314"/>
      <c r="AC639" s="314"/>
      <c r="AD639" s="314"/>
      <c r="AE639" s="314"/>
      <c r="AF639" s="314"/>
      <c r="AG639" s="314"/>
      <c r="AH639" s="314"/>
      <c r="AI639" s="314"/>
      <c r="AJ639" s="314"/>
      <c r="AK639" s="314"/>
      <c r="AL639" s="314"/>
      <c r="AM639" s="314"/>
      <c r="AN639" s="314"/>
      <c r="AO639" s="314"/>
    </row>
    <row r="640" spans="1:41" s="73" customFormat="1" x14ac:dyDescent="0.25">
      <c r="A640" s="384"/>
      <c r="B640" s="386"/>
      <c r="C640" s="131"/>
      <c r="D640" s="131" t="s">
        <v>621</v>
      </c>
      <c r="E640" s="53" t="s">
        <v>1276</v>
      </c>
      <c r="F640" s="314"/>
      <c r="G640" s="314"/>
      <c r="H640" s="314"/>
      <c r="I640" s="314"/>
      <c r="J640" s="314"/>
      <c r="K640" s="314"/>
      <c r="L640" s="314"/>
      <c r="M640" s="314"/>
      <c r="N640" s="314"/>
      <c r="O640" s="314"/>
      <c r="P640" s="314"/>
      <c r="Q640" s="314"/>
      <c r="R640" s="314"/>
      <c r="S640" s="314"/>
      <c r="T640" s="314"/>
      <c r="U640" s="314"/>
      <c r="V640" s="314"/>
      <c r="W640" s="314"/>
      <c r="X640" s="314"/>
      <c r="Y640" s="314"/>
      <c r="Z640" s="314"/>
      <c r="AA640" s="314"/>
      <c r="AB640" s="314"/>
      <c r="AC640" s="314"/>
      <c r="AD640" s="314"/>
      <c r="AE640" s="314"/>
      <c r="AF640" s="314"/>
      <c r="AG640" s="314"/>
      <c r="AH640" s="314"/>
      <c r="AI640" s="314"/>
      <c r="AJ640" s="314"/>
      <c r="AK640" s="314"/>
      <c r="AL640" s="314"/>
      <c r="AM640" s="314"/>
      <c r="AN640" s="314"/>
      <c r="AO640" s="314"/>
    </row>
    <row r="641" spans="1:41" s="73" customFormat="1" x14ac:dyDescent="0.25">
      <c r="A641" s="384"/>
      <c r="B641" s="386"/>
      <c r="C641" s="131"/>
      <c r="D641" s="131" t="s">
        <v>622</v>
      </c>
      <c r="E641" s="53" t="s">
        <v>1277</v>
      </c>
      <c r="F641" s="314"/>
      <c r="G641" s="314"/>
      <c r="H641" s="314"/>
      <c r="I641" s="314"/>
      <c r="J641" s="314"/>
      <c r="K641" s="314"/>
      <c r="L641" s="314"/>
      <c r="M641" s="314"/>
      <c r="N641" s="314"/>
      <c r="O641" s="314"/>
      <c r="P641" s="314"/>
      <c r="Q641" s="314"/>
      <c r="R641" s="314"/>
      <c r="S641" s="314"/>
      <c r="T641" s="314"/>
      <c r="U641" s="314"/>
      <c r="V641" s="314"/>
      <c r="W641" s="314"/>
      <c r="X641" s="314"/>
      <c r="Y641" s="314"/>
      <c r="Z641" s="314"/>
      <c r="AA641" s="314"/>
      <c r="AB641" s="314"/>
      <c r="AC641" s="314"/>
      <c r="AD641" s="314"/>
      <c r="AE641" s="314"/>
      <c r="AF641" s="314"/>
      <c r="AG641" s="314"/>
      <c r="AH641" s="314"/>
      <c r="AI641" s="314"/>
      <c r="AJ641" s="314"/>
      <c r="AK641" s="314"/>
      <c r="AL641" s="314"/>
      <c r="AM641" s="314"/>
      <c r="AN641" s="314"/>
      <c r="AO641" s="314"/>
    </row>
    <row r="642" spans="1:41" s="73" customFormat="1" x14ac:dyDescent="0.25">
      <c r="A642" s="384"/>
      <c r="B642" s="386"/>
      <c r="C642" s="131"/>
      <c r="D642" s="131" t="s">
        <v>510</v>
      </c>
      <c r="E642" s="53" t="s">
        <v>1278</v>
      </c>
      <c r="F642" s="314"/>
      <c r="G642" s="314"/>
      <c r="H642" s="314"/>
      <c r="I642" s="314"/>
      <c r="J642" s="314"/>
      <c r="K642" s="314"/>
      <c r="L642" s="314"/>
      <c r="M642" s="314"/>
      <c r="N642" s="314"/>
      <c r="O642" s="314"/>
      <c r="P642" s="314"/>
      <c r="Q642" s="314"/>
      <c r="R642" s="314"/>
      <c r="S642" s="314"/>
      <c r="T642" s="314"/>
      <c r="U642" s="314"/>
      <c r="V642" s="314"/>
      <c r="W642" s="314"/>
      <c r="X642" s="314"/>
      <c r="Y642" s="314"/>
      <c r="Z642" s="314"/>
      <c r="AA642" s="314"/>
      <c r="AB642" s="314"/>
      <c r="AC642" s="314"/>
      <c r="AD642" s="314"/>
      <c r="AE642" s="314"/>
      <c r="AF642" s="314"/>
      <c r="AG642" s="314"/>
      <c r="AH642" s="314"/>
      <c r="AI642" s="314"/>
      <c r="AJ642" s="314"/>
      <c r="AK642" s="314"/>
      <c r="AL642" s="314"/>
      <c r="AM642" s="314"/>
      <c r="AN642" s="314"/>
      <c r="AO642" s="314"/>
    </row>
    <row r="643" spans="1:41" s="73" customFormat="1" x14ac:dyDescent="0.25">
      <c r="A643" s="384"/>
      <c r="B643" s="386"/>
      <c r="C643" s="131"/>
      <c r="D643" s="131" t="s">
        <v>511</v>
      </c>
      <c r="E643" s="53" t="s">
        <v>1279</v>
      </c>
      <c r="F643" s="314"/>
      <c r="G643" s="314"/>
      <c r="H643" s="314"/>
      <c r="I643" s="314"/>
      <c r="J643" s="314"/>
      <c r="K643" s="314"/>
      <c r="L643" s="314"/>
      <c r="M643" s="314"/>
      <c r="N643" s="314"/>
      <c r="O643" s="314"/>
      <c r="P643" s="314"/>
      <c r="Q643" s="314"/>
      <c r="R643" s="314"/>
      <c r="S643" s="314"/>
      <c r="T643" s="314"/>
      <c r="U643" s="314"/>
      <c r="V643" s="314"/>
      <c r="W643" s="314"/>
      <c r="X643" s="314"/>
      <c r="Y643" s="314"/>
      <c r="Z643" s="314"/>
      <c r="AA643" s="314"/>
      <c r="AB643" s="314"/>
      <c r="AC643" s="314"/>
      <c r="AD643" s="314"/>
      <c r="AE643" s="314"/>
      <c r="AF643" s="314"/>
      <c r="AG643" s="314"/>
      <c r="AH643" s="314"/>
      <c r="AI643" s="314"/>
      <c r="AJ643" s="314"/>
      <c r="AK643" s="314"/>
      <c r="AL643" s="314"/>
      <c r="AM643" s="314"/>
      <c r="AN643" s="314"/>
      <c r="AO643" s="314"/>
    </row>
    <row r="644" spans="1:41" s="73" customFormat="1" x14ac:dyDescent="0.25">
      <c r="A644" s="384"/>
      <c r="B644" s="386"/>
      <c r="C644" s="131"/>
      <c r="D644" s="131" t="s">
        <v>512</v>
      </c>
      <c r="E644" s="53" t="s">
        <v>1280</v>
      </c>
      <c r="F644" s="314"/>
      <c r="G644" s="314"/>
      <c r="H644" s="314"/>
      <c r="I644" s="314"/>
      <c r="J644" s="314"/>
      <c r="K644" s="314"/>
      <c r="L644" s="314"/>
      <c r="M644" s="314"/>
      <c r="N644" s="314"/>
      <c r="O644" s="314"/>
      <c r="P644" s="314"/>
      <c r="Q644" s="314"/>
      <c r="R644" s="314"/>
      <c r="S644" s="314"/>
      <c r="T644" s="314"/>
      <c r="U644" s="314"/>
      <c r="V644" s="314"/>
      <c r="W644" s="314"/>
      <c r="X644" s="314"/>
      <c r="Y644" s="314"/>
      <c r="Z644" s="314"/>
      <c r="AA644" s="314"/>
      <c r="AB644" s="314"/>
      <c r="AC644" s="314"/>
      <c r="AD644" s="314"/>
      <c r="AE644" s="314"/>
      <c r="AF644" s="314"/>
      <c r="AG644" s="314"/>
      <c r="AH644" s="314"/>
      <c r="AI644" s="314"/>
      <c r="AJ644" s="314"/>
      <c r="AK644" s="314"/>
      <c r="AL644" s="314"/>
      <c r="AM644" s="314"/>
      <c r="AN644" s="314"/>
      <c r="AO644" s="314"/>
    </row>
    <row r="645" spans="1:41" s="73" customFormat="1" x14ac:dyDescent="0.25">
      <c r="A645" s="384"/>
      <c r="B645" s="386"/>
      <c r="C645" s="131"/>
      <c r="D645" s="131" t="s">
        <v>513</v>
      </c>
      <c r="E645" s="53" t="s">
        <v>1281</v>
      </c>
      <c r="F645" s="314"/>
      <c r="G645" s="314"/>
      <c r="H645" s="314"/>
      <c r="I645" s="314"/>
      <c r="J645" s="314"/>
      <c r="K645" s="314"/>
      <c r="L645" s="314"/>
      <c r="M645" s="314"/>
      <c r="N645" s="314"/>
      <c r="O645" s="314"/>
      <c r="P645" s="314"/>
      <c r="Q645" s="314"/>
      <c r="R645" s="314"/>
      <c r="S645" s="314"/>
      <c r="T645" s="314"/>
      <c r="U645" s="314"/>
      <c r="V645" s="314"/>
      <c r="W645" s="314"/>
      <c r="X645" s="314"/>
      <c r="Y645" s="314"/>
      <c r="Z645" s="314"/>
      <c r="AA645" s="314"/>
      <c r="AB645" s="314"/>
      <c r="AC645" s="314"/>
      <c r="AD645" s="314"/>
      <c r="AE645" s="314"/>
      <c r="AF645" s="314"/>
      <c r="AG645" s="314"/>
      <c r="AH645" s="314"/>
      <c r="AI645" s="314"/>
      <c r="AJ645" s="314"/>
      <c r="AK645" s="314"/>
      <c r="AL645" s="314"/>
      <c r="AM645" s="314"/>
      <c r="AN645" s="314"/>
      <c r="AO645" s="314"/>
    </row>
    <row r="646" spans="1:41" s="73" customFormat="1" x14ac:dyDescent="0.25">
      <c r="A646" s="384"/>
      <c r="B646" s="386"/>
      <c r="C646" s="131"/>
      <c r="D646" s="131" t="s">
        <v>514</v>
      </c>
      <c r="E646" s="53" t="s">
        <v>1282</v>
      </c>
      <c r="F646" s="314"/>
      <c r="G646" s="314"/>
      <c r="H646" s="314"/>
      <c r="I646" s="314"/>
      <c r="J646" s="314"/>
      <c r="K646" s="314"/>
      <c r="L646" s="314"/>
      <c r="M646" s="314"/>
      <c r="N646" s="314"/>
      <c r="O646" s="314"/>
      <c r="P646" s="314"/>
      <c r="Q646" s="314"/>
      <c r="R646" s="314"/>
      <c r="S646" s="314"/>
      <c r="T646" s="314"/>
      <c r="U646" s="314"/>
      <c r="V646" s="314"/>
      <c r="W646" s="314"/>
      <c r="X646" s="314"/>
      <c r="Y646" s="314"/>
      <c r="Z646" s="314"/>
      <c r="AA646" s="314"/>
      <c r="AB646" s="314"/>
      <c r="AC646" s="314"/>
      <c r="AD646" s="314"/>
      <c r="AE646" s="314"/>
      <c r="AF646" s="314"/>
      <c r="AG646" s="314"/>
      <c r="AH646" s="314"/>
      <c r="AI646" s="314"/>
      <c r="AJ646" s="314"/>
      <c r="AK646" s="314"/>
      <c r="AL646" s="314"/>
      <c r="AM646" s="314"/>
      <c r="AN646" s="314"/>
      <c r="AO646" s="314"/>
    </row>
    <row r="647" spans="1:41" s="73" customFormat="1" x14ac:dyDescent="0.25">
      <c r="A647" s="384"/>
      <c r="B647" s="386"/>
      <c r="C647" s="131"/>
      <c r="D647" s="131" t="s">
        <v>515</v>
      </c>
      <c r="E647" s="53" t="s">
        <v>1283</v>
      </c>
      <c r="F647" s="314"/>
      <c r="G647" s="314"/>
      <c r="H647" s="314"/>
      <c r="I647" s="314"/>
      <c r="J647" s="314"/>
      <c r="K647" s="314"/>
      <c r="L647" s="314"/>
      <c r="M647" s="314"/>
      <c r="N647" s="314"/>
      <c r="O647" s="314"/>
      <c r="P647" s="314"/>
      <c r="Q647" s="314"/>
      <c r="R647" s="314"/>
      <c r="S647" s="314"/>
      <c r="T647" s="314"/>
      <c r="U647" s="314"/>
      <c r="V647" s="314"/>
      <c r="W647" s="314"/>
      <c r="X647" s="314"/>
      <c r="Y647" s="314"/>
      <c r="Z647" s="314"/>
      <c r="AA647" s="314"/>
      <c r="AB647" s="314"/>
      <c r="AC647" s="314"/>
      <c r="AD647" s="314"/>
      <c r="AE647" s="314"/>
      <c r="AF647" s="314"/>
      <c r="AG647" s="314"/>
      <c r="AH647" s="314"/>
      <c r="AI647" s="314"/>
      <c r="AJ647" s="314"/>
      <c r="AK647" s="314"/>
      <c r="AL647" s="314"/>
      <c r="AM647" s="314"/>
      <c r="AN647" s="314"/>
      <c r="AO647" s="314"/>
    </row>
    <row r="648" spans="1:41" s="73" customFormat="1" x14ac:dyDescent="0.25">
      <c r="A648" s="384"/>
      <c r="B648" s="386"/>
      <c r="C648" s="131"/>
      <c r="D648" s="131" t="s">
        <v>516</v>
      </c>
      <c r="E648" s="53" t="s">
        <v>1284</v>
      </c>
      <c r="F648" s="314"/>
      <c r="G648" s="314"/>
      <c r="H648" s="314"/>
      <c r="I648" s="314"/>
      <c r="J648" s="314"/>
      <c r="K648" s="314"/>
      <c r="L648" s="314"/>
      <c r="M648" s="314"/>
      <c r="N648" s="314"/>
      <c r="O648" s="314"/>
      <c r="P648" s="314"/>
      <c r="Q648" s="314"/>
      <c r="R648" s="314"/>
      <c r="S648" s="314"/>
      <c r="T648" s="314"/>
      <c r="U648" s="314"/>
      <c r="V648" s="314"/>
      <c r="W648" s="314"/>
      <c r="X648" s="314"/>
      <c r="Y648" s="314"/>
      <c r="Z648" s="314"/>
      <c r="AA648" s="314"/>
      <c r="AB648" s="314"/>
      <c r="AC648" s="314"/>
      <c r="AD648" s="314"/>
      <c r="AE648" s="314"/>
      <c r="AF648" s="314"/>
      <c r="AG648" s="314"/>
      <c r="AH648" s="314"/>
      <c r="AI648" s="314"/>
      <c r="AJ648" s="314"/>
      <c r="AK648" s="314"/>
      <c r="AL648" s="314"/>
      <c r="AM648" s="314"/>
      <c r="AN648" s="314"/>
      <c r="AO648" s="314"/>
    </row>
    <row r="649" spans="1:41" s="73" customFormat="1" x14ac:dyDescent="0.25">
      <c r="A649" s="384"/>
      <c r="B649" s="386"/>
      <c r="C649" s="131"/>
      <c r="D649" s="131" t="s">
        <v>517</v>
      </c>
      <c r="E649" s="53" t="s">
        <v>1285</v>
      </c>
      <c r="F649" s="314"/>
      <c r="G649" s="314"/>
      <c r="H649" s="314"/>
      <c r="I649" s="314"/>
      <c r="J649" s="314"/>
      <c r="K649" s="314"/>
      <c r="L649" s="314"/>
      <c r="M649" s="314"/>
      <c r="N649" s="314"/>
      <c r="O649" s="314"/>
      <c r="P649" s="314"/>
      <c r="Q649" s="314"/>
      <c r="R649" s="314"/>
      <c r="S649" s="314"/>
      <c r="T649" s="314"/>
      <c r="U649" s="314"/>
      <c r="V649" s="314"/>
      <c r="W649" s="314"/>
      <c r="X649" s="314"/>
      <c r="Y649" s="314"/>
      <c r="Z649" s="314"/>
      <c r="AA649" s="314"/>
      <c r="AB649" s="314"/>
      <c r="AC649" s="314"/>
      <c r="AD649" s="314"/>
      <c r="AE649" s="314"/>
      <c r="AF649" s="314"/>
      <c r="AG649" s="314"/>
      <c r="AH649" s="314"/>
      <c r="AI649" s="314"/>
      <c r="AJ649" s="314"/>
      <c r="AK649" s="314"/>
      <c r="AL649" s="314"/>
      <c r="AM649" s="314"/>
      <c r="AN649" s="314"/>
      <c r="AO649" s="314"/>
    </row>
    <row r="650" spans="1:41" s="73" customFormat="1" x14ac:dyDescent="0.25">
      <c r="A650" s="384"/>
      <c r="B650" s="386"/>
      <c r="C650" s="131"/>
      <c r="D650" s="131" t="s">
        <v>518</v>
      </c>
      <c r="E650" s="53" t="s">
        <v>1286</v>
      </c>
      <c r="F650" s="314"/>
      <c r="G650" s="314"/>
      <c r="H650" s="314"/>
      <c r="I650" s="314"/>
      <c r="J650" s="314"/>
      <c r="K650" s="314"/>
      <c r="L650" s="314"/>
      <c r="M650" s="314"/>
      <c r="N650" s="314"/>
      <c r="O650" s="314"/>
      <c r="P650" s="314"/>
      <c r="Q650" s="314"/>
      <c r="R650" s="314"/>
      <c r="S650" s="314"/>
      <c r="T650" s="314"/>
      <c r="U650" s="314"/>
      <c r="V650" s="314"/>
      <c r="W650" s="314"/>
      <c r="X650" s="314"/>
      <c r="Y650" s="314"/>
      <c r="Z650" s="314"/>
      <c r="AA650" s="314"/>
      <c r="AB650" s="314"/>
      <c r="AC650" s="314"/>
      <c r="AD650" s="314"/>
      <c r="AE650" s="314"/>
      <c r="AF650" s="314"/>
      <c r="AG650" s="314"/>
      <c r="AH650" s="314"/>
      <c r="AI650" s="314"/>
      <c r="AJ650" s="314"/>
      <c r="AK650" s="314"/>
      <c r="AL650" s="314"/>
      <c r="AM650" s="314"/>
      <c r="AN650" s="314"/>
      <c r="AO650" s="314"/>
    </row>
    <row r="651" spans="1:41" s="73" customFormat="1" x14ac:dyDescent="0.25">
      <c r="A651" s="384"/>
      <c r="B651" s="386"/>
      <c r="C651" s="169" t="s">
        <v>1085</v>
      </c>
      <c r="D651" s="131"/>
      <c r="E651" s="53"/>
      <c r="F651" s="314"/>
      <c r="G651" s="314"/>
      <c r="H651" s="314"/>
      <c r="I651" s="314"/>
      <c r="J651" s="314"/>
      <c r="K651" s="314"/>
      <c r="L651" s="314"/>
      <c r="M651" s="314"/>
      <c r="N651" s="314"/>
      <c r="O651" s="314"/>
      <c r="P651" s="314"/>
      <c r="Q651" s="314"/>
      <c r="R651" s="314"/>
      <c r="S651" s="314"/>
      <c r="T651" s="314"/>
      <c r="U651" s="314"/>
      <c r="V651" s="314"/>
      <c r="W651" s="314"/>
      <c r="X651" s="314"/>
      <c r="Y651" s="314"/>
      <c r="Z651" s="314"/>
      <c r="AA651" s="314"/>
      <c r="AB651" s="314"/>
      <c r="AC651" s="314"/>
      <c r="AD651" s="314"/>
      <c r="AE651" s="314"/>
      <c r="AF651" s="314"/>
      <c r="AG651" s="314"/>
      <c r="AH651" s="314"/>
      <c r="AI651" s="314"/>
      <c r="AJ651" s="314"/>
      <c r="AK651" s="314"/>
      <c r="AL651" s="314"/>
      <c r="AM651" s="314"/>
      <c r="AN651" s="314"/>
      <c r="AO651" s="314"/>
    </row>
    <row r="652" spans="1:41" s="73" customFormat="1" x14ac:dyDescent="0.25">
      <c r="A652" s="384"/>
      <c r="B652" s="386"/>
      <c r="C652" s="131"/>
      <c r="D652" s="131" t="s">
        <v>604</v>
      </c>
      <c r="E652" s="53" t="s">
        <v>1287</v>
      </c>
      <c r="F652" s="314"/>
      <c r="G652" s="314"/>
      <c r="H652" s="314"/>
      <c r="I652" s="314"/>
      <c r="J652" s="314"/>
      <c r="K652" s="314"/>
      <c r="L652" s="314"/>
      <c r="M652" s="314"/>
      <c r="N652" s="314"/>
      <c r="O652" s="314"/>
      <c r="P652" s="314"/>
      <c r="Q652" s="314"/>
      <c r="R652" s="314"/>
      <c r="S652" s="314"/>
      <c r="T652" s="314"/>
      <c r="U652" s="314"/>
      <c r="V652" s="314"/>
      <c r="W652" s="314"/>
      <c r="X652" s="314"/>
      <c r="Y652" s="314"/>
      <c r="Z652" s="314"/>
      <c r="AA652" s="314"/>
      <c r="AB652" s="314"/>
      <c r="AC652" s="314"/>
      <c r="AD652" s="314"/>
      <c r="AE652" s="314"/>
      <c r="AF652" s="314"/>
      <c r="AG652" s="314"/>
      <c r="AH652" s="314"/>
      <c r="AI652" s="314"/>
      <c r="AJ652" s="314"/>
      <c r="AK652" s="314"/>
      <c r="AL652" s="314"/>
      <c r="AM652" s="314"/>
      <c r="AN652" s="314"/>
      <c r="AO652" s="314"/>
    </row>
    <row r="653" spans="1:41" s="73" customFormat="1" x14ac:dyDescent="0.25">
      <c r="A653" s="384"/>
      <c r="B653" s="386"/>
      <c r="C653" s="131"/>
      <c r="D653" s="131" t="s">
        <v>605</v>
      </c>
      <c r="E653" s="53" t="s">
        <v>1288</v>
      </c>
      <c r="F653" s="314"/>
      <c r="G653" s="314"/>
      <c r="H653" s="314"/>
      <c r="I653" s="314"/>
      <c r="J653" s="314"/>
      <c r="K653" s="314"/>
      <c r="L653" s="314"/>
      <c r="M653" s="314"/>
      <c r="N653" s="314"/>
      <c r="O653" s="314"/>
      <c r="P653" s="314"/>
      <c r="Q653" s="314"/>
      <c r="R653" s="314"/>
      <c r="S653" s="314"/>
      <c r="T653" s="314"/>
      <c r="U653" s="314"/>
      <c r="V653" s="314"/>
      <c r="W653" s="314"/>
      <c r="X653" s="314"/>
      <c r="Y653" s="314"/>
      <c r="Z653" s="314"/>
      <c r="AA653" s="314"/>
      <c r="AB653" s="314"/>
      <c r="AC653" s="314"/>
      <c r="AD653" s="314"/>
      <c r="AE653" s="314"/>
      <c r="AF653" s="314"/>
      <c r="AG653" s="314"/>
      <c r="AH653" s="314"/>
      <c r="AI653" s="314"/>
      <c r="AJ653" s="314"/>
      <c r="AK653" s="314"/>
      <c r="AL653" s="314"/>
      <c r="AM653" s="314"/>
      <c r="AN653" s="314"/>
      <c r="AO653" s="314"/>
    </row>
    <row r="654" spans="1:41" s="73" customFormat="1" x14ac:dyDescent="0.25">
      <c r="A654" s="384"/>
      <c r="B654" s="386"/>
      <c r="C654" s="131"/>
      <c r="D654" s="131" t="s">
        <v>606</v>
      </c>
      <c r="E654" s="53" t="s">
        <v>1289</v>
      </c>
      <c r="F654" s="314"/>
      <c r="G654" s="314"/>
      <c r="H654" s="314"/>
      <c r="I654" s="314"/>
      <c r="J654" s="314"/>
      <c r="K654" s="314"/>
      <c r="L654" s="314"/>
      <c r="M654" s="314"/>
      <c r="N654" s="314"/>
      <c r="O654" s="314"/>
      <c r="P654" s="314"/>
      <c r="Q654" s="314"/>
      <c r="R654" s="314"/>
      <c r="S654" s="314"/>
      <c r="T654" s="314"/>
      <c r="U654" s="314"/>
      <c r="V654" s="314"/>
      <c r="W654" s="314"/>
      <c r="X654" s="314"/>
      <c r="Y654" s="314"/>
      <c r="Z654" s="314"/>
      <c r="AA654" s="314"/>
      <c r="AB654" s="314"/>
      <c r="AC654" s="314"/>
      <c r="AD654" s="314"/>
      <c r="AE654" s="314"/>
      <c r="AF654" s="314"/>
      <c r="AG654" s="314"/>
      <c r="AH654" s="314"/>
      <c r="AI654" s="314"/>
      <c r="AJ654" s="314"/>
      <c r="AK654" s="314"/>
      <c r="AL654" s="314"/>
      <c r="AM654" s="314"/>
      <c r="AN654" s="314"/>
      <c r="AO654" s="314"/>
    </row>
    <row r="655" spans="1:41" s="73" customFormat="1" x14ac:dyDescent="0.25">
      <c r="A655" s="384"/>
      <c r="B655" s="386"/>
      <c r="C655" s="131"/>
      <c r="D655" s="131" t="s">
        <v>607</v>
      </c>
      <c r="E655" s="53" t="s">
        <v>1290</v>
      </c>
      <c r="F655" s="314"/>
      <c r="G655" s="314"/>
      <c r="H655" s="314"/>
      <c r="I655" s="314"/>
      <c r="J655" s="314"/>
      <c r="K655" s="314"/>
      <c r="L655" s="314"/>
      <c r="M655" s="314"/>
      <c r="N655" s="314"/>
      <c r="O655" s="314"/>
      <c r="P655" s="314"/>
      <c r="Q655" s="314"/>
      <c r="R655" s="314"/>
      <c r="S655" s="314"/>
      <c r="T655" s="314"/>
      <c r="U655" s="314"/>
      <c r="V655" s="314"/>
      <c r="W655" s="314"/>
      <c r="X655" s="314"/>
      <c r="Y655" s="314"/>
      <c r="Z655" s="314"/>
      <c r="AA655" s="314"/>
      <c r="AB655" s="314"/>
      <c r="AC655" s="314"/>
      <c r="AD655" s="314"/>
      <c r="AE655" s="314"/>
      <c r="AF655" s="314"/>
      <c r="AG655" s="314"/>
      <c r="AH655" s="314"/>
      <c r="AI655" s="314"/>
      <c r="AJ655" s="314"/>
      <c r="AK655" s="314"/>
      <c r="AL655" s="314"/>
      <c r="AM655" s="314"/>
      <c r="AN655" s="314"/>
      <c r="AO655" s="314"/>
    </row>
    <row r="656" spans="1:41" s="73" customFormat="1" x14ac:dyDescent="0.25">
      <c r="A656" s="384"/>
      <c r="B656" s="386"/>
      <c r="C656" s="131"/>
      <c r="D656" s="131" t="s">
        <v>608</v>
      </c>
      <c r="E656" s="53" t="s">
        <v>1291</v>
      </c>
      <c r="F656" s="314"/>
      <c r="G656" s="314"/>
      <c r="H656" s="314"/>
      <c r="I656" s="314"/>
      <c r="J656" s="314"/>
      <c r="K656" s="314"/>
      <c r="L656" s="314"/>
      <c r="M656" s="314"/>
      <c r="N656" s="314"/>
      <c r="O656" s="314"/>
      <c r="P656" s="314"/>
      <c r="Q656" s="314"/>
      <c r="R656" s="314"/>
      <c r="S656" s="314"/>
      <c r="T656" s="314"/>
      <c r="U656" s="314"/>
      <c r="V656" s="314"/>
      <c r="W656" s="314"/>
      <c r="X656" s="314"/>
      <c r="Y656" s="314"/>
      <c r="Z656" s="314"/>
      <c r="AA656" s="314"/>
      <c r="AB656" s="314"/>
      <c r="AC656" s="314"/>
      <c r="AD656" s="314"/>
      <c r="AE656" s="314"/>
      <c r="AF656" s="314"/>
      <c r="AG656" s="314"/>
      <c r="AH656" s="314"/>
      <c r="AI656" s="314"/>
      <c r="AJ656" s="314"/>
      <c r="AK656" s="314"/>
      <c r="AL656" s="314"/>
      <c r="AM656" s="314"/>
      <c r="AN656" s="314"/>
      <c r="AO656" s="314"/>
    </row>
    <row r="657" spans="1:41" s="73" customFormat="1" x14ac:dyDescent="0.25">
      <c r="A657" s="384"/>
      <c r="B657" s="386"/>
      <c r="C657" s="131"/>
      <c r="D657" s="131" t="s">
        <v>609</v>
      </c>
      <c r="E657" s="53" t="s">
        <v>1292</v>
      </c>
      <c r="F657" s="314"/>
      <c r="G657" s="314"/>
      <c r="H657" s="314"/>
      <c r="I657" s="314"/>
      <c r="J657" s="314"/>
      <c r="K657" s="314"/>
      <c r="L657" s="314"/>
      <c r="M657" s="314"/>
      <c r="N657" s="314"/>
      <c r="O657" s="314"/>
      <c r="P657" s="314"/>
      <c r="Q657" s="314"/>
      <c r="R657" s="314"/>
      <c r="S657" s="314"/>
      <c r="T657" s="314"/>
      <c r="U657" s="314"/>
      <c r="V657" s="314"/>
      <c r="W657" s="314"/>
      <c r="X657" s="314"/>
      <c r="Y657" s="314"/>
      <c r="Z657" s="314"/>
      <c r="AA657" s="314"/>
      <c r="AB657" s="314"/>
      <c r="AC657" s="314"/>
      <c r="AD657" s="314"/>
      <c r="AE657" s="314"/>
      <c r="AF657" s="314"/>
      <c r="AG657" s="314"/>
      <c r="AH657" s="314"/>
      <c r="AI657" s="314"/>
      <c r="AJ657" s="314"/>
      <c r="AK657" s="314"/>
      <c r="AL657" s="314"/>
      <c r="AM657" s="314"/>
      <c r="AN657" s="314"/>
      <c r="AO657" s="314"/>
    </row>
    <row r="658" spans="1:41" s="73" customFormat="1" x14ac:dyDescent="0.25">
      <c r="A658" s="384"/>
      <c r="B658" s="386"/>
      <c r="C658" s="131"/>
      <c r="D658" s="131" t="s">
        <v>610</v>
      </c>
      <c r="E658" s="53" t="s">
        <v>1293</v>
      </c>
      <c r="F658" s="314"/>
      <c r="G658" s="314"/>
      <c r="H658" s="314"/>
      <c r="I658" s="314"/>
      <c r="J658" s="314"/>
      <c r="K658" s="314"/>
      <c r="L658" s="314"/>
      <c r="M658" s="314"/>
      <c r="N658" s="314"/>
      <c r="O658" s="314"/>
      <c r="P658" s="314"/>
      <c r="Q658" s="314"/>
      <c r="R658" s="314"/>
      <c r="S658" s="314"/>
      <c r="T658" s="314"/>
      <c r="U658" s="314"/>
      <c r="V658" s="314"/>
      <c r="W658" s="314"/>
      <c r="X658" s="314"/>
      <c r="Y658" s="314"/>
      <c r="Z658" s="314"/>
      <c r="AA658" s="314"/>
      <c r="AB658" s="314"/>
      <c r="AC658" s="314"/>
      <c r="AD658" s="314"/>
      <c r="AE658" s="314"/>
      <c r="AF658" s="314"/>
      <c r="AG658" s="314"/>
      <c r="AH658" s="314"/>
      <c r="AI658" s="314"/>
      <c r="AJ658" s="314"/>
      <c r="AK658" s="314"/>
      <c r="AL658" s="314"/>
      <c r="AM658" s="314"/>
      <c r="AN658" s="314"/>
      <c r="AO658" s="314"/>
    </row>
    <row r="659" spans="1:41" s="73" customFormat="1" x14ac:dyDescent="0.25">
      <c r="A659" s="384"/>
      <c r="B659" s="386"/>
      <c r="C659" s="131"/>
      <c r="D659" s="131" t="s">
        <v>611</v>
      </c>
      <c r="E659" s="53" t="s">
        <v>1294</v>
      </c>
      <c r="F659" s="314"/>
      <c r="G659" s="314"/>
      <c r="H659" s="314"/>
      <c r="I659" s="314"/>
      <c r="J659" s="314"/>
      <c r="K659" s="314"/>
      <c r="L659" s="314"/>
      <c r="M659" s="314"/>
      <c r="N659" s="314"/>
      <c r="O659" s="314"/>
      <c r="P659" s="314"/>
      <c r="Q659" s="314"/>
      <c r="R659" s="314"/>
      <c r="S659" s="314"/>
      <c r="T659" s="314"/>
      <c r="U659" s="314"/>
      <c r="V659" s="314"/>
      <c r="W659" s="314"/>
      <c r="X659" s="314"/>
      <c r="Y659" s="314"/>
      <c r="Z659" s="314"/>
      <c r="AA659" s="314"/>
      <c r="AB659" s="314"/>
      <c r="AC659" s="314"/>
      <c r="AD659" s="314"/>
      <c r="AE659" s="314"/>
      <c r="AF659" s="314"/>
      <c r="AG659" s="314"/>
      <c r="AH659" s="314"/>
      <c r="AI659" s="314"/>
      <c r="AJ659" s="314"/>
      <c r="AK659" s="314"/>
      <c r="AL659" s="314"/>
      <c r="AM659" s="314"/>
      <c r="AN659" s="314"/>
      <c r="AO659" s="314"/>
    </row>
    <row r="660" spans="1:41" s="73" customFormat="1" x14ac:dyDescent="0.25">
      <c r="A660" s="384"/>
      <c r="B660" s="386"/>
      <c r="C660" s="131"/>
      <c r="D660" s="131" t="s">
        <v>612</v>
      </c>
      <c r="E660" s="53" t="s">
        <v>1295</v>
      </c>
      <c r="F660" s="314"/>
      <c r="G660" s="314"/>
      <c r="H660" s="314"/>
      <c r="I660" s="314"/>
      <c r="J660" s="314"/>
      <c r="K660" s="314"/>
      <c r="L660" s="314"/>
      <c r="M660" s="314"/>
      <c r="N660" s="314"/>
      <c r="O660" s="314"/>
      <c r="P660" s="314"/>
      <c r="Q660" s="314"/>
      <c r="R660" s="314"/>
      <c r="S660" s="314"/>
      <c r="T660" s="314"/>
      <c r="U660" s="314"/>
      <c r="V660" s="314"/>
      <c r="W660" s="314"/>
      <c r="X660" s="314"/>
      <c r="Y660" s="314"/>
      <c r="Z660" s="314"/>
      <c r="AA660" s="314"/>
      <c r="AB660" s="314"/>
      <c r="AC660" s="314"/>
      <c r="AD660" s="314"/>
      <c r="AE660" s="314"/>
      <c r="AF660" s="314"/>
      <c r="AG660" s="314"/>
      <c r="AH660" s="314"/>
      <c r="AI660" s="314"/>
      <c r="AJ660" s="314"/>
      <c r="AK660" s="314"/>
      <c r="AL660" s="314"/>
      <c r="AM660" s="314"/>
      <c r="AN660" s="314"/>
      <c r="AO660" s="314"/>
    </row>
    <row r="661" spans="1:41" s="73" customFormat="1" x14ac:dyDescent="0.25">
      <c r="A661" s="384"/>
      <c r="B661" s="386"/>
      <c r="C661" s="131"/>
      <c r="D661" s="131" t="s">
        <v>613</v>
      </c>
      <c r="E661" s="53" t="s">
        <v>1296</v>
      </c>
      <c r="F661" s="314"/>
      <c r="G661" s="314"/>
      <c r="H661" s="314"/>
      <c r="I661" s="314"/>
      <c r="J661" s="314"/>
      <c r="K661" s="314"/>
      <c r="L661" s="314"/>
      <c r="M661" s="314"/>
      <c r="N661" s="314"/>
      <c r="O661" s="314"/>
      <c r="P661" s="314"/>
      <c r="Q661" s="314"/>
      <c r="R661" s="314"/>
      <c r="S661" s="314"/>
      <c r="T661" s="314"/>
      <c r="U661" s="314"/>
      <c r="V661" s="314"/>
      <c r="W661" s="314"/>
      <c r="X661" s="314"/>
      <c r="Y661" s="314"/>
      <c r="Z661" s="314"/>
      <c r="AA661" s="314"/>
      <c r="AB661" s="314"/>
      <c r="AC661" s="314"/>
      <c r="AD661" s="314"/>
      <c r="AE661" s="314"/>
      <c r="AF661" s="314"/>
      <c r="AG661" s="314"/>
      <c r="AH661" s="314"/>
      <c r="AI661" s="314"/>
      <c r="AJ661" s="314"/>
      <c r="AK661" s="314"/>
      <c r="AL661" s="314"/>
      <c r="AM661" s="314"/>
      <c r="AN661" s="314"/>
      <c r="AO661" s="314"/>
    </row>
    <row r="662" spans="1:41" s="73" customFormat="1" x14ac:dyDescent="0.25">
      <c r="A662" s="384"/>
      <c r="B662" s="386"/>
      <c r="C662" s="131"/>
      <c r="D662" s="131" t="s">
        <v>614</v>
      </c>
      <c r="E662" s="53" t="s">
        <v>1297</v>
      </c>
      <c r="F662" s="314"/>
      <c r="G662" s="314"/>
      <c r="H662" s="314"/>
      <c r="I662" s="314"/>
      <c r="J662" s="314"/>
      <c r="K662" s="314"/>
      <c r="L662" s="314"/>
      <c r="M662" s="314"/>
      <c r="N662" s="314"/>
      <c r="O662" s="314"/>
      <c r="P662" s="314"/>
      <c r="Q662" s="314"/>
      <c r="R662" s="314"/>
      <c r="S662" s="314"/>
      <c r="T662" s="314"/>
      <c r="U662" s="314"/>
      <c r="V662" s="314"/>
      <c r="W662" s="314"/>
      <c r="X662" s="314"/>
      <c r="Y662" s="314"/>
      <c r="Z662" s="314"/>
      <c r="AA662" s="314"/>
      <c r="AB662" s="314"/>
      <c r="AC662" s="314"/>
      <c r="AD662" s="314"/>
      <c r="AE662" s="314"/>
      <c r="AF662" s="314"/>
      <c r="AG662" s="314"/>
      <c r="AH662" s="314"/>
      <c r="AI662" s="314"/>
      <c r="AJ662" s="314"/>
      <c r="AK662" s="314"/>
      <c r="AL662" s="314"/>
      <c r="AM662" s="314"/>
      <c r="AN662" s="314"/>
      <c r="AO662" s="314"/>
    </row>
    <row r="663" spans="1:41" s="73" customFormat="1" x14ac:dyDescent="0.25">
      <c r="A663" s="384"/>
      <c r="B663" s="386"/>
      <c r="C663" s="131"/>
      <c r="D663" s="131" t="s">
        <v>615</v>
      </c>
      <c r="E663" s="53" t="s">
        <v>1298</v>
      </c>
      <c r="F663" s="314"/>
      <c r="G663" s="314"/>
      <c r="H663" s="314"/>
      <c r="I663" s="314"/>
      <c r="J663" s="314"/>
      <c r="K663" s="314"/>
      <c r="L663" s="314"/>
      <c r="M663" s="314"/>
      <c r="N663" s="314"/>
      <c r="O663" s="314"/>
      <c r="P663" s="314"/>
      <c r="Q663" s="314"/>
      <c r="R663" s="314"/>
      <c r="S663" s="314"/>
      <c r="T663" s="314"/>
      <c r="U663" s="314"/>
      <c r="V663" s="314"/>
      <c r="W663" s="314"/>
      <c r="X663" s="314"/>
      <c r="Y663" s="314"/>
      <c r="Z663" s="314"/>
      <c r="AA663" s="314"/>
      <c r="AB663" s="314"/>
      <c r="AC663" s="314"/>
      <c r="AD663" s="314"/>
      <c r="AE663" s="314"/>
      <c r="AF663" s="314"/>
      <c r="AG663" s="314"/>
      <c r="AH663" s="314"/>
      <c r="AI663" s="314"/>
      <c r="AJ663" s="314"/>
      <c r="AK663" s="314"/>
      <c r="AL663" s="314"/>
      <c r="AM663" s="314"/>
      <c r="AN663" s="314"/>
      <c r="AO663" s="314"/>
    </row>
    <row r="664" spans="1:41" s="73" customFormat="1" x14ac:dyDescent="0.25">
      <c r="A664" s="384"/>
      <c r="B664" s="386"/>
      <c r="C664" s="131"/>
      <c r="D664" s="131" t="s">
        <v>616</v>
      </c>
      <c r="E664" s="53" t="s">
        <v>1299</v>
      </c>
      <c r="F664" s="314"/>
      <c r="G664" s="314"/>
      <c r="H664" s="314"/>
      <c r="I664" s="314"/>
      <c r="J664" s="314"/>
      <c r="K664" s="314"/>
      <c r="L664" s="314"/>
      <c r="M664" s="314"/>
      <c r="N664" s="314"/>
      <c r="O664" s="314"/>
      <c r="P664" s="314"/>
      <c r="Q664" s="314"/>
      <c r="R664" s="314"/>
      <c r="S664" s="314"/>
      <c r="T664" s="314"/>
      <c r="U664" s="314"/>
      <c r="V664" s="314"/>
      <c r="W664" s="314"/>
      <c r="X664" s="314"/>
      <c r="Y664" s="314"/>
      <c r="Z664" s="314"/>
      <c r="AA664" s="314"/>
      <c r="AB664" s="314"/>
      <c r="AC664" s="314"/>
      <c r="AD664" s="314"/>
      <c r="AE664" s="314"/>
      <c r="AF664" s="314"/>
      <c r="AG664" s="314"/>
      <c r="AH664" s="314"/>
      <c r="AI664" s="314"/>
      <c r="AJ664" s="314"/>
      <c r="AK664" s="314"/>
      <c r="AL664" s="314"/>
      <c r="AM664" s="314"/>
      <c r="AN664" s="314"/>
      <c r="AO664" s="314"/>
    </row>
    <row r="665" spans="1:41" s="73" customFormat="1" x14ac:dyDescent="0.25">
      <c r="A665" s="384"/>
      <c r="B665" s="386"/>
      <c r="C665" s="131"/>
      <c r="D665" s="131" t="s">
        <v>617</v>
      </c>
      <c r="E665" s="53" t="s">
        <v>1300</v>
      </c>
      <c r="F665" s="314"/>
      <c r="G665" s="314"/>
      <c r="H665" s="314"/>
      <c r="I665" s="314"/>
      <c r="J665" s="314"/>
      <c r="K665" s="314"/>
      <c r="L665" s="314"/>
      <c r="M665" s="314"/>
      <c r="N665" s="314"/>
      <c r="O665" s="314"/>
      <c r="P665" s="314"/>
      <c r="Q665" s="314"/>
      <c r="R665" s="314"/>
      <c r="S665" s="314"/>
      <c r="T665" s="314"/>
      <c r="U665" s="314"/>
      <c r="V665" s="314"/>
      <c r="W665" s="314"/>
      <c r="X665" s="314"/>
      <c r="Y665" s="314"/>
      <c r="Z665" s="314"/>
      <c r="AA665" s="314"/>
      <c r="AB665" s="314"/>
      <c r="AC665" s="314"/>
      <c r="AD665" s="314"/>
      <c r="AE665" s="314"/>
      <c r="AF665" s="314"/>
      <c r="AG665" s="314"/>
      <c r="AH665" s="314"/>
      <c r="AI665" s="314"/>
      <c r="AJ665" s="314"/>
      <c r="AK665" s="314"/>
      <c r="AL665" s="314"/>
      <c r="AM665" s="314"/>
      <c r="AN665" s="314"/>
      <c r="AO665" s="314"/>
    </row>
    <row r="666" spans="1:41" s="73" customFormat="1" x14ac:dyDescent="0.25">
      <c r="A666" s="384"/>
      <c r="B666" s="386"/>
      <c r="C666" s="131"/>
      <c r="D666" s="131" t="s">
        <v>618</v>
      </c>
      <c r="E666" s="53" t="s">
        <v>1301</v>
      </c>
      <c r="F666" s="314"/>
      <c r="G666" s="314"/>
      <c r="H666" s="314"/>
      <c r="I666" s="314"/>
      <c r="J666" s="314"/>
      <c r="K666" s="314"/>
      <c r="L666" s="314"/>
      <c r="M666" s="314"/>
      <c r="N666" s="314"/>
      <c r="O666" s="314"/>
      <c r="P666" s="314"/>
      <c r="Q666" s="314"/>
      <c r="R666" s="314"/>
      <c r="S666" s="314"/>
      <c r="T666" s="314"/>
      <c r="U666" s="314"/>
      <c r="V666" s="314"/>
      <c r="W666" s="314"/>
      <c r="X666" s="314"/>
      <c r="Y666" s="314"/>
      <c r="Z666" s="314"/>
      <c r="AA666" s="314"/>
      <c r="AB666" s="314"/>
      <c r="AC666" s="314"/>
      <c r="AD666" s="314"/>
      <c r="AE666" s="314"/>
      <c r="AF666" s="314"/>
      <c r="AG666" s="314"/>
      <c r="AH666" s="314"/>
      <c r="AI666" s="314"/>
      <c r="AJ666" s="314"/>
      <c r="AK666" s="314"/>
      <c r="AL666" s="314"/>
      <c r="AM666" s="314"/>
      <c r="AN666" s="314"/>
      <c r="AO666" s="314"/>
    </row>
    <row r="667" spans="1:41" s="73" customFormat="1" x14ac:dyDescent="0.25">
      <c r="A667" s="384"/>
      <c r="B667" s="386"/>
      <c r="C667" s="131"/>
      <c r="D667" s="131" t="s">
        <v>619</v>
      </c>
      <c r="E667" s="53" t="s">
        <v>1302</v>
      </c>
      <c r="F667" s="314"/>
      <c r="G667" s="314"/>
      <c r="H667" s="314"/>
      <c r="I667" s="314"/>
      <c r="J667" s="314"/>
      <c r="K667" s="314"/>
      <c r="L667" s="314"/>
      <c r="M667" s="314"/>
      <c r="N667" s="314"/>
      <c r="O667" s="314"/>
      <c r="P667" s="314"/>
      <c r="Q667" s="314"/>
      <c r="R667" s="314"/>
      <c r="S667" s="314"/>
      <c r="T667" s="314"/>
      <c r="U667" s="314"/>
      <c r="V667" s="314"/>
      <c r="W667" s="314"/>
      <c r="X667" s="314"/>
      <c r="Y667" s="314"/>
      <c r="Z667" s="314"/>
      <c r="AA667" s="314"/>
      <c r="AB667" s="314"/>
      <c r="AC667" s="314"/>
      <c r="AD667" s="314"/>
      <c r="AE667" s="314"/>
      <c r="AF667" s="314"/>
      <c r="AG667" s="314"/>
      <c r="AH667" s="314"/>
      <c r="AI667" s="314"/>
      <c r="AJ667" s="314"/>
      <c r="AK667" s="314"/>
      <c r="AL667" s="314"/>
      <c r="AM667" s="314"/>
      <c r="AN667" s="314"/>
      <c r="AO667" s="314"/>
    </row>
    <row r="668" spans="1:41" s="73" customFormat="1" x14ac:dyDescent="0.25">
      <c r="A668" s="384"/>
      <c r="B668" s="386"/>
      <c r="C668" s="131"/>
      <c r="D668" s="131" t="s">
        <v>620</v>
      </c>
      <c r="E668" s="53" t="s">
        <v>1303</v>
      </c>
      <c r="F668" s="314"/>
      <c r="G668" s="314"/>
      <c r="H668" s="314"/>
      <c r="I668" s="314"/>
      <c r="J668" s="314"/>
      <c r="K668" s="314"/>
      <c r="L668" s="314"/>
      <c r="M668" s="314"/>
      <c r="N668" s="314"/>
      <c r="O668" s="314"/>
      <c r="P668" s="314"/>
      <c r="Q668" s="314"/>
      <c r="R668" s="314"/>
      <c r="S668" s="314"/>
      <c r="T668" s="314"/>
      <c r="U668" s="314"/>
      <c r="V668" s="314"/>
      <c r="W668" s="314"/>
      <c r="X668" s="314"/>
      <c r="Y668" s="314"/>
      <c r="Z668" s="314"/>
      <c r="AA668" s="314"/>
      <c r="AB668" s="314"/>
      <c r="AC668" s="314"/>
      <c r="AD668" s="314"/>
      <c r="AE668" s="314"/>
      <c r="AF668" s="314"/>
      <c r="AG668" s="314"/>
      <c r="AH668" s="314"/>
      <c r="AI668" s="314"/>
      <c r="AJ668" s="314"/>
      <c r="AK668" s="314"/>
      <c r="AL668" s="314"/>
      <c r="AM668" s="314"/>
      <c r="AN668" s="314"/>
      <c r="AO668" s="314"/>
    </row>
    <row r="669" spans="1:41" s="73" customFormat="1" x14ac:dyDescent="0.25">
      <c r="A669" s="384"/>
      <c r="B669" s="386"/>
      <c r="C669" s="131"/>
      <c r="D669" s="131" t="s">
        <v>621</v>
      </c>
      <c r="E669" s="53" t="s">
        <v>1304</v>
      </c>
      <c r="F669" s="314"/>
      <c r="G669" s="314"/>
      <c r="H669" s="314"/>
      <c r="I669" s="314"/>
      <c r="J669" s="314"/>
      <c r="K669" s="314"/>
      <c r="L669" s="314"/>
      <c r="M669" s="314"/>
      <c r="N669" s="314"/>
      <c r="O669" s="314"/>
      <c r="P669" s="314"/>
      <c r="Q669" s="314"/>
      <c r="R669" s="314"/>
      <c r="S669" s="314"/>
      <c r="T669" s="314"/>
      <c r="U669" s="314"/>
      <c r="V669" s="314"/>
      <c r="W669" s="314"/>
      <c r="X669" s="314"/>
      <c r="Y669" s="314"/>
      <c r="Z669" s="314"/>
      <c r="AA669" s="314"/>
      <c r="AB669" s="314"/>
      <c r="AC669" s="314"/>
      <c r="AD669" s="314"/>
      <c r="AE669" s="314"/>
      <c r="AF669" s="314"/>
      <c r="AG669" s="314"/>
      <c r="AH669" s="314"/>
      <c r="AI669" s="314"/>
      <c r="AJ669" s="314"/>
      <c r="AK669" s="314"/>
      <c r="AL669" s="314"/>
      <c r="AM669" s="314"/>
      <c r="AN669" s="314"/>
      <c r="AO669" s="314"/>
    </row>
    <row r="670" spans="1:41" s="73" customFormat="1" x14ac:dyDescent="0.25">
      <c r="A670" s="384"/>
      <c r="B670" s="386"/>
      <c r="C670" s="131"/>
      <c r="D670" s="131" t="s">
        <v>622</v>
      </c>
      <c r="E670" s="53" t="s">
        <v>1305</v>
      </c>
      <c r="F670" s="314"/>
      <c r="G670" s="314"/>
      <c r="H670" s="314"/>
      <c r="I670" s="314"/>
      <c r="J670" s="314"/>
      <c r="K670" s="314"/>
      <c r="L670" s="314"/>
      <c r="M670" s="314"/>
      <c r="N670" s="314"/>
      <c r="O670" s="314"/>
      <c r="P670" s="314"/>
      <c r="Q670" s="314"/>
      <c r="R670" s="314"/>
      <c r="S670" s="314"/>
      <c r="T670" s="314"/>
      <c r="U670" s="314"/>
      <c r="V670" s="314"/>
      <c r="W670" s="314"/>
      <c r="X670" s="314"/>
      <c r="Y670" s="314"/>
      <c r="Z670" s="314"/>
      <c r="AA670" s="314"/>
      <c r="AB670" s="314"/>
      <c r="AC670" s="314"/>
      <c r="AD670" s="314"/>
      <c r="AE670" s="314"/>
      <c r="AF670" s="314"/>
      <c r="AG670" s="314"/>
      <c r="AH670" s="314"/>
      <c r="AI670" s="314"/>
      <c r="AJ670" s="314"/>
      <c r="AK670" s="314"/>
      <c r="AL670" s="314"/>
      <c r="AM670" s="314"/>
      <c r="AN670" s="314"/>
      <c r="AO670" s="314"/>
    </row>
    <row r="671" spans="1:41" s="73" customFormat="1" x14ac:dyDescent="0.25">
      <c r="A671" s="384"/>
      <c r="B671" s="386"/>
      <c r="C671" s="131"/>
      <c r="D671" s="131" t="s">
        <v>510</v>
      </c>
      <c r="E671" s="53" t="s">
        <v>1306</v>
      </c>
      <c r="F671" s="314"/>
      <c r="G671" s="314"/>
      <c r="H671" s="314"/>
      <c r="I671" s="314"/>
      <c r="J671" s="314"/>
      <c r="K671" s="314"/>
      <c r="L671" s="314"/>
      <c r="M671" s="314"/>
      <c r="N671" s="314"/>
      <c r="O671" s="314"/>
      <c r="P671" s="314"/>
      <c r="Q671" s="314"/>
      <c r="R671" s="314"/>
      <c r="S671" s="314"/>
      <c r="T671" s="314"/>
      <c r="U671" s="314"/>
      <c r="V671" s="314"/>
      <c r="W671" s="314"/>
      <c r="X671" s="314"/>
      <c r="Y671" s="314"/>
      <c r="Z671" s="314"/>
      <c r="AA671" s="314"/>
      <c r="AB671" s="314"/>
      <c r="AC671" s="314"/>
      <c r="AD671" s="314"/>
      <c r="AE671" s="314"/>
      <c r="AF671" s="314"/>
      <c r="AG671" s="314"/>
      <c r="AH671" s="314"/>
      <c r="AI671" s="314"/>
      <c r="AJ671" s="314"/>
      <c r="AK671" s="314"/>
      <c r="AL671" s="314"/>
      <c r="AM671" s="314"/>
      <c r="AN671" s="314"/>
      <c r="AO671" s="314"/>
    </row>
    <row r="672" spans="1:41" s="73" customFormat="1" x14ac:dyDescent="0.25">
      <c r="A672" s="384"/>
      <c r="B672" s="386"/>
      <c r="C672" s="131"/>
      <c r="D672" s="131" t="s">
        <v>511</v>
      </c>
      <c r="E672" s="53" t="s">
        <v>1307</v>
      </c>
      <c r="F672" s="314"/>
      <c r="G672" s="314"/>
      <c r="H672" s="314"/>
      <c r="I672" s="314"/>
      <c r="J672" s="314"/>
      <c r="K672" s="314"/>
      <c r="L672" s="314"/>
      <c r="M672" s="314"/>
      <c r="N672" s="314"/>
      <c r="O672" s="314"/>
      <c r="P672" s="314"/>
      <c r="Q672" s="314"/>
      <c r="R672" s="314"/>
      <c r="S672" s="314"/>
      <c r="T672" s="314"/>
      <c r="U672" s="314"/>
      <c r="V672" s="314"/>
      <c r="W672" s="314"/>
      <c r="X672" s="314"/>
      <c r="Y672" s="314"/>
      <c r="Z672" s="314"/>
      <c r="AA672" s="314"/>
      <c r="AB672" s="314"/>
      <c r="AC672" s="314"/>
      <c r="AD672" s="314"/>
      <c r="AE672" s="314"/>
      <c r="AF672" s="314"/>
      <c r="AG672" s="314"/>
      <c r="AH672" s="314"/>
      <c r="AI672" s="314"/>
      <c r="AJ672" s="314"/>
      <c r="AK672" s="314"/>
      <c r="AL672" s="314"/>
      <c r="AM672" s="314"/>
      <c r="AN672" s="314"/>
      <c r="AO672" s="314"/>
    </row>
    <row r="673" spans="1:41" s="73" customFormat="1" x14ac:dyDescent="0.25">
      <c r="A673" s="384"/>
      <c r="B673" s="386"/>
      <c r="C673" s="131"/>
      <c r="D673" s="131" t="s">
        <v>512</v>
      </c>
      <c r="E673" s="53" t="s">
        <v>1308</v>
      </c>
      <c r="F673" s="314"/>
      <c r="G673" s="314"/>
      <c r="H673" s="314"/>
      <c r="I673" s="314"/>
      <c r="J673" s="314"/>
      <c r="K673" s="314"/>
      <c r="L673" s="314"/>
      <c r="M673" s="314"/>
      <c r="N673" s="314"/>
      <c r="O673" s="314"/>
      <c r="P673" s="314"/>
      <c r="Q673" s="314"/>
      <c r="R673" s="314"/>
      <c r="S673" s="314"/>
      <c r="T673" s="314"/>
      <c r="U673" s="314"/>
      <c r="V673" s="314"/>
      <c r="W673" s="314"/>
      <c r="X673" s="314"/>
      <c r="Y673" s="314"/>
      <c r="Z673" s="314"/>
      <c r="AA673" s="314"/>
      <c r="AB673" s="314"/>
      <c r="AC673" s="314"/>
      <c r="AD673" s="314"/>
      <c r="AE673" s="314"/>
      <c r="AF673" s="314"/>
      <c r="AG673" s="314"/>
      <c r="AH673" s="314"/>
      <c r="AI673" s="314"/>
      <c r="AJ673" s="314"/>
      <c r="AK673" s="314"/>
      <c r="AL673" s="314"/>
      <c r="AM673" s="314"/>
      <c r="AN673" s="314"/>
      <c r="AO673" s="314"/>
    </row>
    <row r="674" spans="1:41" s="73" customFormat="1" x14ac:dyDescent="0.25">
      <c r="A674" s="384"/>
      <c r="B674" s="386"/>
      <c r="C674" s="131"/>
      <c r="D674" s="131" t="s">
        <v>513</v>
      </c>
      <c r="E674" s="53" t="s">
        <v>1309</v>
      </c>
      <c r="F674" s="314"/>
      <c r="G674" s="314"/>
      <c r="H674" s="314"/>
      <c r="I674" s="314"/>
      <c r="J674" s="314"/>
      <c r="K674" s="314"/>
      <c r="L674" s="314"/>
      <c r="M674" s="314"/>
      <c r="N674" s="314"/>
      <c r="O674" s="314"/>
      <c r="P674" s="314"/>
      <c r="Q674" s="314"/>
      <c r="R674" s="314"/>
      <c r="S674" s="314"/>
      <c r="T674" s="314"/>
      <c r="U674" s="314"/>
      <c r="V674" s="314"/>
      <c r="W674" s="314"/>
      <c r="X674" s="314"/>
      <c r="Y674" s="314"/>
      <c r="Z674" s="314"/>
      <c r="AA674" s="314"/>
      <c r="AB674" s="314"/>
      <c r="AC674" s="314"/>
      <c r="AD674" s="314"/>
      <c r="AE674" s="314"/>
      <c r="AF674" s="314"/>
      <c r="AG674" s="314"/>
      <c r="AH674" s="314"/>
      <c r="AI674" s="314"/>
      <c r="AJ674" s="314"/>
      <c r="AK674" s="314"/>
      <c r="AL674" s="314"/>
      <c r="AM674" s="314"/>
      <c r="AN674" s="314"/>
      <c r="AO674" s="314"/>
    </row>
    <row r="675" spans="1:41" s="73" customFormat="1" x14ac:dyDescent="0.25">
      <c r="A675" s="384"/>
      <c r="B675" s="386"/>
      <c r="C675" s="131"/>
      <c r="D675" s="131" t="s">
        <v>514</v>
      </c>
      <c r="E675" s="53" t="s">
        <v>1310</v>
      </c>
      <c r="F675" s="314"/>
      <c r="G675" s="314"/>
      <c r="H675" s="314"/>
      <c r="I675" s="314"/>
      <c r="J675" s="314"/>
      <c r="K675" s="314"/>
      <c r="L675" s="314"/>
      <c r="M675" s="314"/>
      <c r="N675" s="314"/>
      <c r="O675" s="314"/>
      <c r="P675" s="314"/>
      <c r="Q675" s="314"/>
      <c r="R675" s="314"/>
      <c r="S675" s="314"/>
      <c r="T675" s="314"/>
      <c r="U675" s="314"/>
      <c r="V675" s="314"/>
      <c r="W675" s="314"/>
      <c r="X675" s="314"/>
      <c r="Y675" s="314"/>
      <c r="Z675" s="314"/>
      <c r="AA675" s="314"/>
      <c r="AB675" s="314"/>
      <c r="AC675" s="314"/>
      <c r="AD675" s="314"/>
      <c r="AE675" s="314"/>
      <c r="AF675" s="314"/>
      <c r="AG675" s="314"/>
      <c r="AH675" s="314"/>
      <c r="AI675" s="314"/>
      <c r="AJ675" s="314"/>
      <c r="AK675" s="314"/>
      <c r="AL675" s="314"/>
      <c r="AM675" s="314"/>
      <c r="AN675" s="314"/>
      <c r="AO675" s="314"/>
    </row>
    <row r="676" spans="1:41" s="73" customFormat="1" x14ac:dyDescent="0.25">
      <c r="A676" s="384"/>
      <c r="B676" s="386"/>
      <c r="C676" s="131"/>
      <c r="D676" s="131" t="s">
        <v>515</v>
      </c>
      <c r="E676" s="53" t="s">
        <v>1311</v>
      </c>
      <c r="F676" s="314"/>
      <c r="G676" s="314"/>
      <c r="H676" s="314"/>
      <c r="I676" s="314"/>
      <c r="J676" s="314"/>
      <c r="K676" s="314"/>
      <c r="L676" s="314"/>
      <c r="M676" s="314"/>
      <c r="N676" s="314"/>
      <c r="O676" s="314"/>
      <c r="P676" s="314"/>
      <c r="Q676" s="314"/>
      <c r="R676" s="314"/>
      <c r="S676" s="314"/>
      <c r="T676" s="314"/>
      <c r="U676" s="314"/>
      <c r="V676" s="314"/>
      <c r="W676" s="314"/>
      <c r="X676" s="314"/>
      <c r="Y676" s="314"/>
      <c r="Z676" s="314"/>
      <c r="AA676" s="314"/>
      <c r="AB676" s="314"/>
      <c r="AC676" s="314"/>
      <c r="AD676" s="314"/>
      <c r="AE676" s="314"/>
      <c r="AF676" s="314"/>
      <c r="AG676" s="314"/>
      <c r="AH676" s="314"/>
      <c r="AI676" s="314"/>
      <c r="AJ676" s="314"/>
      <c r="AK676" s="314"/>
      <c r="AL676" s="314"/>
      <c r="AM676" s="314"/>
      <c r="AN676" s="314"/>
      <c r="AO676" s="314"/>
    </row>
    <row r="677" spans="1:41" s="73" customFormat="1" x14ac:dyDescent="0.25">
      <c r="A677" s="384"/>
      <c r="B677" s="386"/>
      <c r="C677" s="131"/>
      <c r="D677" s="131" t="s">
        <v>516</v>
      </c>
      <c r="E677" s="53" t="s">
        <v>1312</v>
      </c>
      <c r="F677" s="314"/>
      <c r="G677" s="314"/>
      <c r="H677" s="314"/>
      <c r="I677" s="314"/>
      <c r="J677" s="314"/>
      <c r="K677" s="314"/>
      <c r="L677" s="314"/>
      <c r="M677" s="314"/>
      <c r="N677" s="314"/>
      <c r="O677" s="314"/>
      <c r="P677" s="314"/>
      <c r="Q677" s="314"/>
      <c r="R677" s="314"/>
      <c r="S677" s="314"/>
      <c r="T677" s="314"/>
      <c r="U677" s="314"/>
      <c r="V677" s="314"/>
      <c r="W677" s="314"/>
      <c r="X677" s="314"/>
      <c r="Y677" s="314"/>
      <c r="Z677" s="314"/>
      <c r="AA677" s="314"/>
      <c r="AB677" s="314"/>
      <c r="AC677" s="314"/>
      <c r="AD677" s="314"/>
      <c r="AE677" s="314"/>
      <c r="AF677" s="314"/>
      <c r="AG677" s="314"/>
      <c r="AH677" s="314"/>
      <c r="AI677" s="314"/>
      <c r="AJ677" s="314"/>
      <c r="AK677" s="314"/>
      <c r="AL677" s="314"/>
      <c r="AM677" s="314"/>
      <c r="AN677" s="314"/>
      <c r="AO677" s="314"/>
    </row>
    <row r="678" spans="1:41" s="73" customFormat="1" x14ac:dyDescent="0.25">
      <c r="A678" s="384"/>
      <c r="B678" s="386"/>
      <c r="C678" s="131"/>
      <c r="D678" s="131" t="s">
        <v>517</v>
      </c>
      <c r="E678" s="53" t="s">
        <v>1313</v>
      </c>
      <c r="F678" s="314"/>
      <c r="G678" s="314"/>
      <c r="H678" s="314"/>
      <c r="I678" s="314"/>
      <c r="J678" s="314"/>
      <c r="K678" s="314"/>
      <c r="L678" s="314"/>
      <c r="M678" s="314"/>
      <c r="N678" s="314"/>
      <c r="O678" s="314"/>
      <c r="P678" s="314"/>
      <c r="Q678" s="314"/>
      <c r="R678" s="314"/>
      <c r="S678" s="314"/>
      <c r="T678" s="314"/>
      <c r="U678" s="314"/>
      <c r="V678" s="314"/>
      <c r="W678" s="314"/>
      <c r="X678" s="314"/>
      <c r="Y678" s="314"/>
      <c r="Z678" s="314"/>
      <c r="AA678" s="314"/>
      <c r="AB678" s="314"/>
      <c r="AC678" s="314"/>
      <c r="AD678" s="314"/>
      <c r="AE678" s="314"/>
      <c r="AF678" s="314"/>
      <c r="AG678" s="314"/>
      <c r="AH678" s="314"/>
      <c r="AI678" s="314"/>
      <c r="AJ678" s="314"/>
      <c r="AK678" s="314"/>
      <c r="AL678" s="314"/>
      <c r="AM678" s="314"/>
      <c r="AN678" s="314"/>
      <c r="AO678" s="314"/>
    </row>
    <row r="679" spans="1:41" s="73" customFormat="1" x14ac:dyDescent="0.25">
      <c r="A679" s="384"/>
      <c r="B679" s="386"/>
      <c r="C679" s="131"/>
      <c r="D679" s="131" t="s">
        <v>518</v>
      </c>
      <c r="E679" s="53" t="s">
        <v>1314</v>
      </c>
      <c r="F679" s="314"/>
      <c r="G679" s="314"/>
      <c r="H679" s="314"/>
      <c r="I679" s="314"/>
      <c r="J679" s="314"/>
      <c r="K679" s="314"/>
      <c r="L679" s="314"/>
      <c r="M679" s="314"/>
      <c r="N679" s="314"/>
      <c r="O679" s="314"/>
      <c r="P679" s="314"/>
      <c r="Q679" s="314"/>
      <c r="R679" s="314"/>
      <c r="S679" s="314"/>
      <c r="T679" s="314"/>
      <c r="U679" s="314"/>
      <c r="V679" s="314"/>
      <c r="W679" s="314"/>
      <c r="X679" s="314"/>
      <c r="Y679" s="314"/>
      <c r="Z679" s="314"/>
      <c r="AA679" s="314"/>
      <c r="AB679" s="314"/>
      <c r="AC679" s="314"/>
      <c r="AD679" s="314"/>
      <c r="AE679" s="314"/>
      <c r="AF679" s="314"/>
      <c r="AG679" s="314"/>
      <c r="AH679" s="314"/>
      <c r="AI679" s="314"/>
      <c r="AJ679" s="314"/>
      <c r="AK679" s="314"/>
      <c r="AL679" s="314"/>
      <c r="AM679" s="314"/>
      <c r="AN679" s="314"/>
      <c r="AO679" s="314"/>
    </row>
    <row r="680" spans="1:41" s="73" customFormat="1" x14ac:dyDescent="0.25">
      <c r="A680" s="384"/>
      <c r="B680" s="386"/>
      <c r="C680" s="169" t="s">
        <v>1086</v>
      </c>
      <c r="D680" s="131"/>
      <c r="E680" s="53"/>
      <c r="F680" s="314"/>
      <c r="G680" s="314"/>
      <c r="H680" s="314"/>
      <c r="I680" s="314"/>
      <c r="J680" s="314"/>
      <c r="K680" s="314"/>
      <c r="L680" s="314"/>
      <c r="M680" s="314"/>
      <c r="N680" s="314"/>
      <c r="O680" s="314"/>
      <c r="P680" s="314"/>
      <c r="Q680" s="314"/>
      <c r="R680" s="314"/>
      <c r="S680" s="314"/>
      <c r="T680" s="314"/>
      <c r="U680" s="314"/>
      <c r="V680" s="314"/>
      <c r="W680" s="314"/>
      <c r="X680" s="314"/>
      <c r="Y680" s="314"/>
      <c r="Z680" s="314"/>
      <c r="AA680" s="314"/>
      <c r="AB680" s="314"/>
      <c r="AC680" s="314"/>
      <c r="AD680" s="314"/>
      <c r="AE680" s="314"/>
      <c r="AF680" s="314"/>
      <c r="AG680" s="314"/>
      <c r="AH680" s="314"/>
      <c r="AI680" s="314"/>
      <c r="AJ680" s="314"/>
      <c r="AK680" s="314"/>
      <c r="AL680" s="314"/>
      <c r="AM680" s="314"/>
      <c r="AN680" s="314"/>
      <c r="AO680" s="314"/>
    </row>
    <row r="681" spans="1:41" s="73" customFormat="1" x14ac:dyDescent="0.25">
      <c r="A681" s="384"/>
      <c r="B681" s="386"/>
      <c r="C681" s="131"/>
      <c r="D681" s="131" t="s">
        <v>604</v>
      </c>
      <c r="E681" s="53" t="s">
        <v>1315</v>
      </c>
      <c r="F681" s="314"/>
      <c r="G681" s="314"/>
      <c r="H681" s="314"/>
      <c r="I681" s="314"/>
      <c r="J681" s="314"/>
      <c r="K681" s="314"/>
      <c r="L681" s="314"/>
      <c r="M681" s="314"/>
      <c r="N681" s="314"/>
      <c r="O681" s="314"/>
      <c r="P681" s="314"/>
      <c r="Q681" s="314"/>
      <c r="R681" s="314"/>
      <c r="S681" s="314"/>
      <c r="T681" s="314"/>
      <c r="U681" s="314"/>
      <c r="V681" s="314"/>
      <c r="W681" s="314"/>
      <c r="X681" s="314"/>
      <c r="Y681" s="314"/>
      <c r="Z681" s="314"/>
      <c r="AA681" s="314"/>
      <c r="AB681" s="314"/>
      <c r="AC681" s="314"/>
      <c r="AD681" s="314"/>
      <c r="AE681" s="314"/>
      <c r="AF681" s="314"/>
      <c r="AG681" s="314"/>
      <c r="AH681" s="314"/>
      <c r="AI681" s="314"/>
      <c r="AJ681" s="314"/>
      <c r="AK681" s="314"/>
      <c r="AL681" s="314"/>
      <c r="AM681" s="314"/>
      <c r="AN681" s="314"/>
      <c r="AO681" s="314"/>
    </row>
    <row r="682" spans="1:41" s="73" customFormat="1" x14ac:dyDescent="0.25">
      <c r="A682" s="384"/>
      <c r="B682" s="386"/>
      <c r="C682" s="131"/>
      <c r="D682" s="131" t="s">
        <v>605</v>
      </c>
      <c r="E682" s="53" t="s">
        <v>1316</v>
      </c>
      <c r="F682" s="314"/>
      <c r="G682" s="314"/>
      <c r="H682" s="314"/>
      <c r="I682" s="314"/>
      <c r="J682" s="314"/>
      <c r="K682" s="314"/>
      <c r="L682" s="314"/>
      <c r="M682" s="314"/>
      <c r="N682" s="314"/>
      <c r="O682" s="314"/>
      <c r="P682" s="314"/>
      <c r="Q682" s="314"/>
      <c r="R682" s="314"/>
      <c r="S682" s="314"/>
      <c r="T682" s="314"/>
      <c r="U682" s="314"/>
      <c r="V682" s="314"/>
      <c r="W682" s="314"/>
      <c r="X682" s="314"/>
      <c r="Y682" s="314"/>
      <c r="Z682" s="314"/>
      <c r="AA682" s="314"/>
      <c r="AB682" s="314"/>
      <c r="AC682" s="314"/>
      <c r="AD682" s="314"/>
      <c r="AE682" s="314"/>
      <c r="AF682" s="314"/>
      <c r="AG682" s="314"/>
      <c r="AH682" s="314"/>
      <c r="AI682" s="314"/>
      <c r="AJ682" s="314"/>
      <c r="AK682" s="314"/>
      <c r="AL682" s="314"/>
      <c r="AM682" s="314"/>
      <c r="AN682" s="314"/>
      <c r="AO682" s="314"/>
    </row>
    <row r="683" spans="1:41" s="73" customFormat="1" x14ac:dyDescent="0.25">
      <c r="A683" s="384"/>
      <c r="B683" s="386"/>
      <c r="C683" s="131"/>
      <c r="D683" s="131" t="s">
        <v>606</v>
      </c>
      <c r="E683" s="53" t="s">
        <v>1317</v>
      </c>
      <c r="F683" s="314"/>
      <c r="G683" s="314"/>
      <c r="H683" s="314"/>
      <c r="I683" s="314"/>
      <c r="J683" s="314"/>
      <c r="K683" s="314"/>
      <c r="L683" s="314"/>
      <c r="M683" s="314"/>
      <c r="N683" s="314"/>
      <c r="O683" s="314"/>
      <c r="P683" s="314"/>
      <c r="Q683" s="314"/>
      <c r="R683" s="314"/>
      <c r="S683" s="314"/>
      <c r="T683" s="314"/>
      <c r="U683" s="314"/>
      <c r="V683" s="314"/>
      <c r="W683" s="314"/>
      <c r="X683" s="314"/>
      <c r="Y683" s="314"/>
      <c r="Z683" s="314"/>
      <c r="AA683" s="314"/>
      <c r="AB683" s="314"/>
      <c r="AC683" s="314"/>
      <c r="AD683" s="314"/>
      <c r="AE683" s="314"/>
      <c r="AF683" s="314"/>
      <c r="AG683" s="314"/>
      <c r="AH683" s="314"/>
      <c r="AI683" s="314"/>
      <c r="AJ683" s="314"/>
      <c r="AK683" s="314"/>
      <c r="AL683" s="314"/>
      <c r="AM683" s="314"/>
      <c r="AN683" s="314"/>
      <c r="AO683" s="314"/>
    </row>
    <row r="684" spans="1:41" s="73" customFormat="1" x14ac:dyDescent="0.25">
      <c r="A684" s="384"/>
      <c r="B684" s="386"/>
      <c r="C684" s="131"/>
      <c r="D684" s="131" t="s">
        <v>607</v>
      </c>
      <c r="E684" s="53" t="s">
        <v>1318</v>
      </c>
      <c r="F684" s="314"/>
      <c r="G684" s="314"/>
      <c r="H684" s="314"/>
      <c r="I684" s="314"/>
      <c r="J684" s="314"/>
      <c r="K684" s="314"/>
      <c r="L684" s="314"/>
      <c r="M684" s="314"/>
      <c r="N684" s="314"/>
      <c r="O684" s="314"/>
      <c r="P684" s="314"/>
      <c r="Q684" s="314"/>
      <c r="R684" s="314"/>
      <c r="S684" s="314"/>
      <c r="T684" s="314"/>
      <c r="U684" s="314"/>
      <c r="V684" s="314"/>
      <c r="W684" s="314"/>
      <c r="X684" s="314"/>
      <c r="Y684" s="314"/>
      <c r="Z684" s="314"/>
      <c r="AA684" s="314"/>
      <c r="AB684" s="314"/>
      <c r="AC684" s="314"/>
      <c r="AD684" s="314"/>
      <c r="AE684" s="314"/>
      <c r="AF684" s="314"/>
      <c r="AG684" s="314"/>
      <c r="AH684" s="314"/>
      <c r="AI684" s="314"/>
      <c r="AJ684" s="314"/>
      <c r="AK684" s="314"/>
      <c r="AL684" s="314"/>
      <c r="AM684" s="314"/>
      <c r="AN684" s="314"/>
      <c r="AO684" s="314"/>
    </row>
    <row r="685" spans="1:41" s="73" customFormat="1" x14ac:dyDescent="0.25">
      <c r="A685" s="384"/>
      <c r="B685" s="386"/>
      <c r="C685" s="131"/>
      <c r="D685" s="131" t="s">
        <v>608</v>
      </c>
      <c r="E685" s="53" t="s">
        <v>1319</v>
      </c>
      <c r="F685" s="314"/>
      <c r="G685" s="314"/>
      <c r="H685" s="314"/>
      <c r="I685" s="314"/>
      <c r="J685" s="314"/>
      <c r="K685" s="314"/>
      <c r="L685" s="314"/>
      <c r="M685" s="314"/>
      <c r="N685" s="314"/>
      <c r="O685" s="314"/>
      <c r="P685" s="314"/>
      <c r="Q685" s="314"/>
      <c r="R685" s="314"/>
      <c r="S685" s="314"/>
      <c r="T685" s="314"/>
      <c r="U685" s="314"/>
      <c r="V685" s="314"/>
      <c r="W685" s="314"/>
      <c r="X685" s="314"/>
      <c r="Y685" s="314"/>
      <c r="Z685" s="314"/>
      <c r="AA685" s="314"/>
      <c r="AB685" s="314"/>
      <c r="AC685" s="314"/>
      <c r="AD685" s="314"/>
      <c r="AE685" s="314"/>
      <c r="AF685" s="314"/>
      <c r="AG685" s="314"/>
      <c r="AH685" s="314"/>
      <c r="AI685" s="314"/>
      <c r="AJ685" s="314"/>
      <c r="AK685" s="314"/>
      <c r="AL685" s="314"/>
      <c r="AM685" s="314"/>
      <c r="AN685" s="314"/>
      <c r="AO685" s="314"/>
    </row>
    <row r="686" spans="1:41" s="73" customFormat="1" x14ac:dyDescent="0.25">
      <c r="A686" s="384"/>
      <c r="B686" s="386"/>
      <c r="C686" s="131"/>
      <c r="D686" s="131" t="s">
        <v>609</v>
      </c>
      <c r="E686" s="53" t="s">
        <v>1320</v>
      </c>
      <c r="F686" s="314"/>
      <c r="G686" s="314"/>
      <c r="H686" s="314"/>
      <c r="I686" s="314"/>
      <c r="J686" s="314"/>
      <c r="K686" s="314"/>
      <c r="L686" s="314"/>
      <c r="M686" s="314"/>
      <c r="N686" s="314"/>
      <c r="O686" s="314"/>
      <c r="P686" s="314"/>
      <c r="Q686" s="314"/>
      <c r="R686" s="314"/>
      <c r="S686" s="314"/>
      <c r="T686" s="314"/>
      <c r="U686" s="314"/>
      <c r="V686" s="314"/>
      <c r="W686" s="314"/>
      <c r="X686" s="314"/>
      <c r="Y686" s="314"/>
      <c r="Z686" s="314"/>
      <c r="AA686" s="314"/>
      <c r="AB686" s="314"/>
      <c r="AC686" s="314"/>
      <c r="AD686" s="314"/>
      <c r="AE686" s="314"/>
      <c r="AF686" s="314"/>
      <c r="AG686" s="314"/>
      <c r="AH686" s="314"/>
      <c r="AI686" s="314"/>
      <c r="AJ686" s="314"/>
      <c r="AK686" s="314"/>
      <c r="AL686" s="314"/>
      <c r="AM686" s="314"/>
      <c r="AN686" s="314"/>
      <c r="AO686" s="314"/>
    </row>
    <row r="687" spans="1:41" s="73" customFormat="1" x14ac:dyDescent="0.25">
      <c r="A687" s="384"/>
      <c r="B687" s="386"/>
      <c r="C687" s="131"/>
      <c r="D687" s="131" t="s">
        <v>610</v>
      </c>
      <c r="E687" s="53" t="s">
        <v>1321</v>
      </c>
      <c r="F687" s="314"/>
      <c r="G687" s="314"/>
      <c r="H687" s="314"/>
      <c r="I687" s="314"/>
      <c r="J687" s="314"/>
      <c r="K687" s="314"/>
      <c r="L687" s="314"/>
      <c r="M687" s="314"/>
      <c r="N687" s="314"/>
      <c r="O687" s="314"/>
      <c r="P687" s="314"/>
      <c r="Q687" s="314"/>
      <c r="R687" s="314"/>
      <c r="S687" s="314"/>
      <c r="T687" s="314"/>
      <c r="U687" s="314"/>
      <c r="V687" s="314"/>
      <c r="W687" s="314"/>
      <c r="X687" s="314"/>
      <c r="Y687" s="314"/>
      <c r="Z687" s="314"/>
      <c r="AA687" s="314"/>
      <c r="AB687" s="314"/>
      <c r="AC687" s="314"/>
      <c r="AD687" s="314"/>
      <c r="AE687" s="314"/>
      <c r="AF687" s="314"/>
      <c r="AG687" s="314"/>
      <c r="AH687" s="314"/>
      <c r="AI687" s="314"/>
      <c r="AJ687" s="314"/>
      <c r="AK687" s="314"/>
      <c r="AL687" s="314"/>
      <c r="AM687" s="314"/>
      <c r="AN687" s="314"/>
      <c r="AO687" s="314"/>
    </row>
    <row r="688" spans="1:41" s="73" customFormat="1" x14ac:dyDescent="0.25">
      <c r="A688" s="384"/>
      <c r="B688" s="386"/>
      <c r="C688" s="131"/>
      <c r="D688" s="131" t="s">
        <v>611</v>
      </c>
      <c r="E688" s="53" t="s">
        <v>1322</v>
      </c>
      <c r="F688" s="314"/>
      <c r="G688" s="314"/>
      <c r="H688" s="314"/>
      <c r="I688" s="314"/>
      <c r="J688" s="314"/>
      <c r="K688" s="314"/>
      <c r="L688" s="314"/>
      <c r="M688" s="314"/>
      <c r="N688" s="314"/>
      <c r="O688" s="314"/>
      <c r="P688" s="314"/>
      <c r="Q688" s="314"/>
      <c r="R688" s="314"/>
      <c r="S688" s="314"/>
      <c r="T688" s="314"/>
      <c r="U688" s="314"/>
      <c r="V688" s="314"/>
      <c r="W688" s="314"/>
      <c r="X688" s="314"/>
      <c r="Y688" s="314"/>
      <c r="Z688" s="314"/>
      <c r="AA688" s="314"/>
      <c r="AB688" s="314"/>
      <c r="AC688" s="314"/>
      <c r="AD688" s="314"/>
      <c r="AE688" s="314"/>
      <c r="AF688" s="314"/>
      <c r="AG688" s="314"/>
      <c r="AH688" s="314"/>
      <c r="AI688" s="314"/>
      <c r="AJ688" s="314"/>
      <c r="AK688" s="314"/>
      <c r="AL688" s="314"/>
      <c r="AM688" s="314"/>
      <c r="AN688" s="314"/>
      <c r="AO688" s="314"/>
    </row>
    <row r="689" spans="1:41" s="73" customFormat="1" x14ac:dyDescent="0.25">
      <c r="A689" s="384"/>
      <c r="B689" s="386"/>
      <c r="C689" s="131"/>
      <c r="D689" s="131" t="s">
        <v>612</v>
      </c>
      <c r="E689" s="53" t="s">
        <v>1323</v>
      </c>
      <c r="F689" s="314"/>
      <c r="G689" s="314"/>
      <c r="H689" s="314"/>
      <c r="I689" s="314"/>
      <c r="J689" s="314"/>
      <c r="K689" s="314"/>
      <c r="L689" s="314"/>
      <c r="M689" s="314"/>
      <c r="N689" s="314"/>
      <c r="O689" s="314"/>
      <c r="P689" s="314"/>
      <c r="Q689" s="314"/>
      <c r="R689" s="314"/>
      <c r="S689" s="314"/>
      <c r="T689" s="314"/>
      <c r="U689" s="314"/>
      <c r="V689" s="314"/>
      <c r="W689" s="314"/>
      <c r="X689" s="314"/>
      <c r="Y689" s="314"/>
      <c r="Z689" s="314"/>
      <c r="AA689" s="314"/>
      <c r="AB689" s="314"/>
      <c r="AC689" s="314"/>
      <c r="AD689" s="314"/>
      <c r="AE689" s="314"/>
      <c r="AF689" s="314"/>
      <c r="AG689" s="314"/>
      <c r="AH689" s="314"/>
      <c r="AI689" s="314"/>
      <c r="AJ689" s="314"/>
      <c r="AK689" s="314"/>
      <c r="AL689" s="314"/>
      <c r="AM689" s="314"/>
      <c r="AN689" s="314"/>
      <c r="AO689" s="314"/>
    </row>
    <row r="690" spans="1:41" s="73" customFormat="1" x14ac:dyDescent="0.25">
      <c r="A690" s="384"/>
      <c r="B690" s="386"/>
      <c r="C690" s="131"/>
      <c r="D690" s="131" t="s">
        <v>613</v>
      </c>
      <c r="E690" s="53" t="s">
        <v>1324</v>
      </c>
      <c r="F690" s="314"/>
      <c r="G690" s="314"/>
      <c r="H690" s="314"/>
      <c r="I690" s="314"/>
      <c r="J690" s="314"/>
      <c r="K690" s="314"/>
      <c r="L690" s="314"/>
      <c r="M690" s="314"/>
      <c r="N690" s="314"/>
      <c r="O690" s="314"/>
      <c r="P690" s="314"/>
      <c r="Q690" s="314"/>
      <c r="R690" s="314"/>
      <c r="S690" s="314"/>
      <c r="T690" s="314"/>
      <c r="U690" s="314"/>
      <c r="V690" s="314"/>
      <c r="W690" s="314"/>
      <c r="X690" s="314"/>
      <c r="Y690" s="314"/>
      <c r="Z690" s="314"/>
      <c r="AA690" s="314"/>
      <c r="AB690" s="314"/>
      <c r="AC690" s="314"/>
      <c r="AD690" s="314"/>
      <c r="AE690" s="314"/>
      <c r="AF690" s="314"/>
      <c r="AG690" s="314"/>
      <c r="AH690" s="314"/>
      <c r="AI690" s="314"/>
      <c r="AJ690" s="314"/>
      <c r="AK690" s="314"/>
      <c r="AL690" s="314"/>
      <c r="AM690" s="314"/>
      <c r="AN690" s="314"/>
      <c r="AO690" s="314"/>
    </row>
    <row r="691" spans="1:41" s="73" customFormat="1" x14ac:dyDescent="0.25">
      <c r="A691" s="384"/>
      <c r="B691" s="386"/>
      <c r="C691" s="131"/>
      <c r="D691" s="131" t="s">
        <v>614</v>
      </c>
      <c r="E691" s="53" t="s">
        <v>1325</v>
      </c>
      <c r="F691" s="314"/>
      <c r="G691" s="314"/>
      <c r="H691" s="314"/>
      <c r="I691" s="314"/>
      <c r="J691" s="314"/>
      <c r="K691" s="314"/>
      <c r="L691" s="314"/>
      <c r="M691" s="314"/>
      <c r="N691" s="314"/>
      <c r="O691" s="314"/>
      <c r="P691" s="314"/>
      <c r="Q691" s="314"/>
      <c r="R691" s="314"/>
      <c r="S691" s="314"/>
      <c r="T691" s="314"/>
      <c r="U691" s="314"/>
      <c r="V691" s="314"/>
      <c r="W691" s="314"/>
      <c r="X691" s="314"/>
      <c r="Y691" s="314"/>
      <c r="Z691" s="314"/>
      <c r="AA691" s="314"/>
      <c r="AB691" s="314"/>
      <c r="AC691" s="314"/>
      <c r="AD691" s="314"/>
      <c r="AE691" s="314"/>
      <c r="AF691" s="314"/>
      <c r="AG691" s="314"/>
      <c r="AH691" s="314"/>
      <c r="AI691" s="314"/>
      <c r="AJ691" s="314"/>
      <c r="AK691" s="314"/>
      <c r="AL691" s="314"/>
      <c r="AM691" s="314"/>
      <c r="AN691" s="314"/>
      <c r="AO691" s="314"/>
    </row>
    <row r="692" spans="1:41" s="73" customFormat="1" x14ac:dyDescent="0.25">
      <c r="A692" s="384"/>
      <c r="B692" s="386"/>
      <c r="C692" s="131"/>
      <c r="D692" s="131" t="s">
        <v>615</v>
      </c>
      <c r="E692" s="53" t="s">
        <v>1326</v>
      </c>
      <c r="F692" s="314"/>
      <c r="G692" s="314"/>
      <c r="H692" s="314"/>
      <c r="I692" s="314"/>
      <c r="J692" s="314"/>
      <c r="K692" s="314"/>
      <c r="L692" s="314"/>
      <c r="M692" s="314"/>
      <c r="N692" s="314"/>
      <c r="O692" s="314"/>
      <c r="P692" s="314"/>
      <c r="Q692" s="314"/>
      <c r="R692" s="314"/>
      <c r="S692" s="314"/>
      <c r="T692" s="314"/>
      <c r="U692" s="314"/>
      <c r="V692" s="314"/>
      <c r="W692" s="314"/>
      <c r="X692" s="314"/>
      <c r="Y692" s="314"/>
      <c r="Z692" s="314"/>
      <c r="AA692" s="314"/>
      <c r="AB692" s="314"/>
      <c r="AC692" s="314"/>
      <c r="AD692" s="314"/>
      <c r="AE692" s="314"/>
      <c r="AF692" s="314"/>
      <c r="AG692" s="314"/>
      <c r="AH692" s="314"/>
      <c r="AI692" s="314"/>
      <c r="AJ692" s="314"/>
      <c r="AK692" s="314"/>
      <c r="AL692" s="314"/>
      <c r="AM692" s="314"/>
      <c r="AN692" s="314"/>
      <c r="AO692" s="314"/>
    </row>
    <row r="693" spans="1:41" s="73" customFormat="1" x14ac:dyDescent="0.25">
      <c r="A693" s="384"/>
      <c r="B693" s="386"/>
      <c r="C693" s="131"/>
      <c r="D693" s="131" t="s">
        <v>616</v>
      </c>
      <c r="E693" s="53" t="s">
        <v>1327</v>
      </c>
      <c r="F693" s="314"/>
      <c r="G693" s="314"/>
      <c r="H693" s="314"/>
      <c r="I693" s="314"/>
      <c r="J693" s="314"/>
      <c r="K693" s="314"/>
      <c r="L693" s="314"/>
      <c r="M693" s="314"/>
      <c r="N693" s="314"/>
      <c r="O693" s="314"/>
      <c r="P693" s="314"/>
      <c r="Q693" s="314"/>
      <c r="R693" s="314"/>
      <c r="S693" s="314"/>
      <c r="T693" s="314"/>
      <c r="U693" s="314"/>
      <c r="V693" s="314"/>
      <c r="W693" s="314"/>
      <c r="X693" s="314"/>
      <c r="Y693" s="314"/>
      <c r="Z693" s="314"/>
      <c r="AA693" s="314"/>
      <c r="AB693" s="314"/>
      <c r="AC693" s="314"/>
      <c r="AD693" s="314"/>
      <c r="AE693" s="314"/>
      <c r="AF693" s="314"/>
      <c r="AG693" s="314"/>
      <c r="AH693" s="314"/>
      <c r="AI693" s="314"/>
      <c r="AJ693" s="314"/>
      <c r="AK693" s="314"/>
      <c r="AL693" s="314"/>
      <c r="AM693" s="314"/>
      <c r="AN693" s="314"/>
      <c r="AO693" s="314"/>
    </row>
    <row r="694" spans="1:41" s="73" customFormat="1" x14ac:dyDescent="0.25">
      <c r="A694" s="384"/>
      <c r="B694" s="386"/>
      <c r="C694" s="131"/>
      <c r="D694" s="131" t="s">
        <v>617</v>
      </c>
      <c r="E694" s="53" t="s">
        <v>1328</v>
      </c>
      <c r="F694" s="314"/>
      <c r="G694" s="314"/>
      <c r="H694" s="314"/>
      <c r="I694" s="314"/>
      <c r="J694" s="314"/>
      <c r="K694" s="314"/>
      <c r="L694" s="314"/>
      <c r="M694" s="314"/>
      <c r="N694" s="314"/>
      <c r="O694" s="314"/>
      <c r="P694" s="314"/>
      <c r="Q694" s="314"/>
      <c r="R694" s="314"/>
      <c r="S694" s="314"/>
      <c r="T694" s="314"/>
      <c r="U694" s="314"/>
      <c r="V694" s="314"/>
      <c r="W694" s="314"/>
      <c r="X694" s="314"/>
      <c r="Y694" s="314"/>
      <c r="Z694" s="314"/>
      <c r="AA694" s="314"/>
      <c r="AB694" s="314"/>
      <c r="AC694" s="314"/>
      <c r="AD694" s="314"/>
      <c r="AE694" s="314"/>
      <c r="AF694" s="314"/>
      <c r="AG694" s="314"/>
      <c r="AH694" s="314"/>
      <c r="AI694" s="314"/>
      <c r="AJ694" s="314"/>
      <c r="AK694" s="314"/>
      <c r="AL694" s="314"/>
      <c r="AM694" s="314"/>
      <c r="AN694" s="314"/>
      <c r="AO694" s="314"/>
    </row>
    <row r="695" spans="1:41" s="73" customFormat="1" x14ac:dyDescent="0.25">
      <c r="A695" s="384"/>
      <c r="B695" s="386"/>
      <c r="C695" s="131"/>
      <c r="D695" s="131" t="s">
        <v>618</v>
      </c>
      <c r="E695" s="53" t="s">
        <v>1329</v>
      </c>
      <c r="F695" s="314"/>
      <c r="G695" s="314"/>
      <c r="H695" s="314"/>
      <c r="I695" s="314"/>
      <c r="J695" s="314"/>
      <c r="K695" s="314"/>
      <c r="L695" s="314"/>
      <c r="M695" s="314"/>
      <c r="N695" s="314"/>
      <c r="O695" s="314"/>
      <c r="P695" s="314"/>
      <c r="Q695" s="314"/>
      <c r="R695" s="314"/>
      <c r="S695" s="314"/>
      <c r="T695" s="314"/>
      <c r="U695" s="314"/>
      <c r="V695" s="314"/>
      <c r="W695" s="314"/>
      <c r="X695" s="314"/>
      <c r="Y695" s="314"/>
      <c r="Z695" s="314"/>
      <c r="AA695" s="314"/>
      <c r="AB695" s="314"/>
      <c r="AC695" s="314"/>
      <c r="AD695" s="314"/>
      <c r="AE695" s="314"/>
      <c r="AF695" s="314"/>
      <c r="AG695" s="314"/>
      <c r="AH695" s="314"/>
      <c r="AI695" s="314"/>
      <c r="AJ695" s="314"/>
      <c r="AK695" s="314"/>
      <c r="AL695" s="314"/>
      <c r="AM695" s="314"/>
      <c r="AN695" s="314"/>
      <c r="AO695" s="314"/>
    </row>
    <row r="696" spans="1:41" s="73" customFormat="1" x14ac:dyDescent="0.25">
      <c r="A696" s="384"/>
      <c r="B696" s="386"/>
      <c r="C696" s="131"/>
      <c r="D696" s="131" t="s">
        <v>619</v>
      </c>
      <c r="E696" s="53" t="s">
        <v>1330</v>
      </c>
      <c r="F696" s="314"/>
      <c r="G696" s="314"/>
      <c r="H696" s="314"/>
      <c r="I696" s="314"/>
      <c r="J696" s="314"/>
      <c r="K696" s="314"/>
      <c r="L696" s="314"/>
      <c r="M696" s="314"/>
      <c r="N696" s="314"/>
      <c r="O696" s="314"/>
      <c r="P696" s="314"/>
      <c r="Q696" s="314"/>
      <c r="R696" s="314"/>
      <c r="S696" s="314"/>
      <c r="T696" s="314"/>
      <c r="U696" s="314"/>
      <c r="V696" s="314"/>
      <c r="W696" s="314"/>
      <c r="X696" s="314"/>
      <c r="Y696" s="314"/>
      <c r="Z696" s="314"/>
      <c r="AA696" s="314"/>
      <c r="AB696" s="314"/>
      <c r="AC696" s="314"/>
      <c r="AD696" s="314"/>
      <c r="AE696" s="314"/>
      <c r="AF696" s="314"/>
      <c r="AG696" s="314"/>
      <c r="AH696" s="314"/>
      <c r="AI696" s="314"/>
      <c r="AJ696" s="314"/>
      <c r="AK696" s="314"/>
      <c r="AL696" s="314"/>
      <c r="AM696" s="314"/>
      <c r="AN696" s="314"/>
      <c r="AO696" s="314"/>
    </row>
    <row r="697" spans="1:41" s="73" customFormat="1" x14ac:dyDescent="0.25">
      <c r="A697" s="384"/>
      <c r="B697" s="386"/>
      <c r="C697" s="131"/>
      <c r="D697" s="131" t="s">
        <v>620</v>
      </c>
      <c r="E697" s="53" t="s">
        <v>1331</v>
      </c>
      <c r="F697" s="314"/>
      <c r="G697" s="314"/>
      <c r="H697" s="314"/>
      <c r="I697" s="314"/>
      <c r="J697" s="314"/>
      <c r="K697" s="314"/>
      <c r="L697" s="314"/>
      <c r="M697" s="314"/>
      <c r="N697" s="314"/>
      <c r="O697" s="314"/>
      <c r="P697" s="314"/>
      <c r="Q697" s="314"/>
      <c r="R697" s="314"/>
      <c r="S697" s="314"/>
      <c r="T697" s="314"/>
      <c r="U697" s="314"/>
      <c r="V697" s="314"/>
      <c r="W697" s="314"/>
      <c r="X697" s="314"/>
      <c r="Y697" s="314"/>
      <c r="Z697" s="314"/>
      <c r="AA697" s="314"/>
      <c r="AB697" s="314"/>
      <c r="AC697" s="314"/>
      <c r="AD697" s="314"/>
      <c r="AE697" s="314"/>
      <c r="AF697" s="314"/>
      <c r="AG697" s="314"/>
      <c r="AH697" s="314"/>
      <c r="AI697" s="314"/>
      <c r="AJ697" s="314"/>
      <c r="AK697" s="314"/>
      <c r="AL697" s="314"/>
      <c r="AM697" s="314"/>
      <c r="AN697" s="314"/>
      <c r="AO697" s="314"/>
    </row>
    <row r="698" spans="1:41" s="73" customFormat="1" x14ac:dyDescent="0.25">
      <c r="A698" s="384"/>
      <c r="B698" s="386"/>
      <c r="C698" s="131"/>
      <c r="D698" s="131" t="s">
        <v>621</v>
      </c>
      <c r="E698" s="53" t="s">
        <v>1332</v>
      </c>
      <c r="F698" s="314"/>
      <c r="G698" s="314"/>
      <c r="H698" s="314"/>
      <c r="I698" s="314"/>
      <c r="J698" s="314"/>
      <c r="K698" s="314"/>
      <c r="L698" s="314"/>
      <c r="M698" s="314"/>
      <c r="N698" s="314"/>
      <c r="O698" s="314"/>
      <c r="P698" s="314"/>
      <c r="Q698" s="314"/>
      <c r="R698" s="314"/>
      <c r="S698" s="314"/>
      <c r="T698" s="314"/>
      <c r="U698" s="314"/>
      <c r="V698" s="314"/>
      <c r="W698" s="314"/>
      <c r="X698" s="314"/>
      <c r="Y698" s="314"/>
      <c r="Z698" s="314"/>
      <c r="AA698" s="314"/>
      <c r="AB698" s="314"/>
      <c r="AC698" s="314"/>
      <c r="AD698" s="314"/>
      <c r="AE698" s="314"/>
      <c r="AF698" s="314"/>
      <c r="AG698" s="314"/>
      <c r="AH698" s="314"/>
      <c r="AI698" s="314"/>
      <c r="AJ698" s="314"/>
      <c r="AK698" s="314"/>
      <c r="AL698" s="314"/>
      <c r="AM698" s="314"/>
      <c r="AN698" s="314"/>
      <c r="AO698" s="314"/>
    </row>
    <row r="699" spans="1:41" s="73" customFormat="1" x14ac:dyDescent="0.25">
      <c r="A699" s="384"/>
      <c r="B699" s="386"/>
      <c r="C699" s="131"/>
      <c r="D699" s="131" t="s">
        <v>622</v>
      </c>
      <c r="E699" s="53" t="s">
        <v>1333</v>
      </c>
      <c r="F699" s="314"/>
      <c r="G699" s="314"/>
      <c r="H699" s="314"/>
      <c r="I699" s="314"/>
      <c r="J699" s="314"/>
      <c r="K699" s="314"/>
      <c r="L699" s="314"/>
      <c r="M699" s="314"/>
      <c r="N699" s="314"/>
      <c r="O699" s="314"/>
      <c r="P699" s="314"/>
      <c r="Q699" s="314"/>
      <c r="R699" s="314"/>
      <c r="S699" s="314"/>
      <c r="T699" s="314"/>
      <c r="U699" s="314"/>
      <c r="V699" s="314"/>
      <c r="W699" s="314"/>
      <c r="X699" s="314"/>
      <c r="Y699" s="314"/>
      <c r="Z699" s="314"/>
      <c r="AA699" s="314"/>
      <c r="AB699" s="314"/>
      <c r="AC699" s="314"/>
      <c r="AD699" s="314"/>
      <c r="AE699" s="314"/>
      <c r="AF699" s="314"/>
      <c r="AG699" s="314"/>
      <c r="AH699" s="314"/>
      <c r="AI699" s="314"/>
      <c r="AJ699" s="314"/>
      <c r="AK699" s="314"/>
      <c r="AL699" s="314"/>
      <c r="AM699" s="314"/>
      <c r="AN699" s="314"/>
      <c r="AO699" s="314"/>
    </row>
    <row r="700" spans="1:41" s="73" customFormat="1" x14ac:dyDescent="0.25">
      <c r="A700" s="384"/>
      <c r="B700" s="386"/>
      <c r="C700" s="131"/>
      <c r="D700" s="131" t="s">
        <v>510</v>
      </c>
      <c r="E700" s="53" t="s">
        <v>1334</v>
      </c>
      <c r="F700" s="314"/>
      <c r="G700" s="314"/>
      <c r="H700" s="314"/>
      <c r="I700" s="314"/>
      <c r="J700" s="314"/>
      <c r="K700" s="314"/>
      <c r="L700" s="314"/>
      <c r="M700" s="314"/>
      <c r="N700" s="314"/>
      <c r="O700" s="314"/>
      <c r="P700" s="314"/>
      <c r="Q700" s="314"/>
      <c r="R700" s="314"/>
      <c r="S700" s="314"/>
      <c r="T700" s="314"/>
      <c r="U700" s="314"/>
      <c r="V700" s="314"/>
      <c r="W700" s="314"/>
      <c r="X700" s="314"/>
      <c r="Y700" s="314"/>
      <c r="Z700" s="314"/>
      <c r="AA700" s="314"/>
      <c r="AB700" s="314"/>
      <c r="AC700" s="314"/>
      <c r="AD700" s="314"/>
      <c r="AE700" s="314"/>
      <c r="AF700" s="314"/>
      <c r="AG700" s="314"/>
      <c r="AH700" s="314"/>
      <c r="AI700" s="314"/>
      <c r="AJ700" s="314"/>
      <c r="AK700" s="314"/>
      <c r="AL700" s="314"/>
      <c r="AM700" s="314"/>
      <c r="AN700" s="314"/>
      <c r="AO700" s="314"/>
    </row>
    <row r="701" spans="1:41" s="73" customFormat="1" x14ac:dyDescent="0.25">
      <c r="A701" s="384"/>
      <c r="B701" s="386"/>
      <c r="C701" s="131"/>
      <c r="D701" s="131" t="s">
        <v>511</v>
      </c>
      <c r="E701" s="53" t="s">
        <v>1335</v>
      </c>
      <c r="F701" s="314"/>
      <c r="G701" s="314"/>
      <c r="H701" s="314"/>
      <c r="I701" s="314"/>
      <c r="J701" s="314"/>
      <c r="K701" s="314"/>
      <c r="L701" s="314"/>
      <c r="M701" s="314"/>
      <c r="N701" s="314"/>
      <c r="O701" s="314"/>
      <c r="P701" s="314"/>
      <c r="Q701" s="314"/>
      <c r="R701" s="314"/>
      <c r="S701" s="314"/>
      <c r="T701" s="314"/>
      <c r="U701" s="314"/>
      <c r="V701" s="314"/>
      <c r="W701" s="314"/>
      <c r="X701" s="314"/>
      <c r="Y701" s="314"/>
      <c r="Z701" s="314"/>
      <c r="AA701" s="314"/>
      <c r="AB701" s="314"/>
      <c r="AC701" s="314"/>
      <c r="AD701" s="314"/>
      <c r="AE701" s="314"/>
      <c r="AF701" s="314"/>
      <c r="AG701" s="314"/>
      <c r="AH701" s="314"/>
      <c r="AI701" s="314"/>
      <c r="AJ701" s="314"/>
      <c r="AK701" s="314"/>
      <c r="AL701" s="314"/>
      <c r="AM701" s="314"/>
      <c r="AN701" s="314"/>
      <c r="AO701" s="314"/>
    </row>
    <row r="702" spans="1:41" s="73" customFormat="1" x14ac:dyDescent="0.25">
      <c r="A702" s="384"/>
      <c r="B702" s="386"/>
      <c r="C702" s="131"/>
      <c r="D702" s="131" t="s">
        <v>512</v>
      </c>
      <c r="E702" s="53" t="s">
        <v>1336</v>
      </c>
      <c r="F702" s="314"/>
      <c r="G702" s="314"/>
      <c r="H702" s="314"/>
      <c r="I702" s="314"/>
      <c r="J702" s="314"/>
      <c r="K702" s="314"/>
      <c r="L702" s="314"/>
      <c r="M702" s="314"/>
      <c r="N702" s="314"/>
      <c r="O702" s="314"/>
      <c r="P702" s="314"/>
      <c r="Q702" s="314"/>
      <c r="R702" s="314"/>
      <c r="S702" s="314"/>
      <c r="T702" s="314"/>
      <c r="U702" s="314"/>
      <c r="V702" s="314"/>
      <c r="W702" s="314"/>
      <c r="X702" s="314"/>
      <c r="Y702" s="314"/>
      <c r="Z702" s="314"/>
      <c r="AA702" s="314"/>
      <c r="AB702" s="314"/>
      <c r="AC702" s="314"/>
      <c r="AD702" s="314"/>
      <c r="AE702" s="314"/>
      <c r="AF702" s="314"/>
      <c r="AG702" s="314"/>
      <c r="AH702" s="314"/>
      <c r="AI702" s="314"/>
      <c r="AJ702" s="314"/>
      <c r="AK702" s="314"/>
      <c r="AL702" s="314"/>
      <c r="AM702" s="314"/>
      <c r="AN702" s="314"/>
      <c r="AO702" s="314"/>
    </row>
    <row r="703" spans="1:41" s="73" customFormat="1" x14ac:dyDescent="0.25">
      <c r="A703" s="384"/>
      <c r="B703" s="386"/>
      <c r="C703" s="131"/>
      <c r="D703" s="131" t="s">
        <v>513</v>
      </c>
      <c r="E703" s="53" t="s">
        <v>1337</v>
      </c>
      <c r="F703" s="314"/>
      <c r="G703" s="314"/>
      <c r="H703" s="314"/>
      <c r="I703" s="314"/>
      <c r="J703" s="314"/>
      <c r="K703" s="314"/>
      <c r="L703" s="314"/>
      <c r="M703" s="314"/>
      <c r="N703" s="314"/>
      <c r="O703" s="314"/>
      <c r="P703" s="314"/>
      <c r="Q703" s="314"/>
      <c r="R703" s="314"/>
      <c r="S703" s="314"/>
      <c r="T703" s="314"/>
      <c r="U703" s="314"/>
      <c r="V703" s="314"/>
      <c r="W703" s="314"/>
      <c r="X703" s="314"/>
      <c r="Y703" s="314"/>
      <c r="Z703" s="314"/>
      <c r="AA703" s="314"/>
      <c r="AB703" s="314"/>
      <c r="AC703" s="314"/>
      <c r="AD703" s="314"/>
      <c r="AE703" s="314"/>
      <c r="AF703" s="314"/>
      <c r="AG703" s="314"/>
      <c r="AH703" s="314"/>
      <c r="AI703" s="314"/>
      <c r="AJ703" s="314"/>
      <c r="AK703" s="314"/>
      <c r="AL703" s="314"/>
      <c r="AM703" s="314"/>
      <c r="AN703" s="314"/>
      <c r="AO703" s="314"/>
    </row>
    <row r="704" spans="1:41" s="73" customFormat="1" x14ac:dyDescent="0.25">
      <c r="A704" s="384"/>
      <c r="B704" s="386"/>
      <c r="C704" s="131"/>
      <c r="D704" s="131" t="s">
        <v>514</v>
      </c>
      <c r="E704" s="53" t="s">
        <v>1338</v>
      </c>
      <c r="F704" s="314"/>
      <c r="G704" s="314"/>
      <c r="H704" s="314"/>
      <c r="I704" s="314"/>
      <c r="J704" s="314"/>
      <c r="K704" s="314"/>
      <c r="L704" s="314"/>
      <c r="M704" s="314"/>
      <c r="N704" s="314"/>
      <c r="O704" s="314"/>
      <c r="P704" s="314"/>
      <c r="Q704" s="314"/>
      <c r="R704" s="314"/>
      <c r="S704" s="314"/>
      <c r="T704" s="314"/>
      <c r="U704" s="314"/>
      <c r="V704" s="314"/>
      <c r="W704" s="314"/>
      <c r="X704" s="314"/>
      <c r="Y704" s="314"/>
      <c r="Z704" s="314"/>
      <c r="AA704" s="314"/>
      <c r="AB704" s="314"/>
      <c r="AC704" s="314"/>
      <c r="AD704" s="314"/>
      <c r="AE704" s="314"/>
      <c r="AF704" s="314"/>
      <c r="AG704" s="314"/>
      <c r="AH704" s="314"/>
      <c r="AI704" s="314"/>
      <c r="AJ704" s="314"/>
      <c r="AK704" s="314"/>
      <c r="AL704" s="314"/>
      <c r="AM704" s="314"/>
      <c r="AN704" s="314"/>
      <c r="AO704" s="314"/>
    </row>
    <row r="705" spans="1:41" s="73" customFormat="1" x14ac:dyDescent="0.25">
      <c r="A705" s="384"/>
      <c r="B705" s="386"/>
      <c r="C705" s="131"/>
      <c r="D705" s="131" t="s">
        <v>515</v>
      </c>
      <c r="E705" s="53" t="s">
        <v>1339</v>
      </c>
      <c r="F705" s="314"/>
      <c r="G705" s="314"/>
      <c r="H705" s="314"/>
      <c r="I705" s="314"/>
      <c r="J705" s="314"/>
      <c r="K705" s="314"/>
      <c r="L705" s="314"/>
      <c r="M705" s="314"/>
      <c r="N705" s="314"/>
      <c r="O705" s="314"/>
      <c r="P705" s="314"/>
      <c r="Q705" s="314"/>
      <c r="R705" s="314"/>
      <c r="S705" s="314"/>
      <c r="T705" s="314"/>
      <c r="U705" s="314"/>
      <c r="V705" s="314"/>
      <c r="W705" s="314"/>
      <c r="X705" s="314"/>
      <c r="Y705" s="314"/>
      <c r="Z705" s="314"/>
      <c r="AA705" s="314"/>
      <c r="AB705" s="314"/>
      <c r="AC705" s="314"/>
      <c r="AD705" s="314"/>
      <c r="AE705" s="314"/>
      <c r="AF705" s="314"/>
      <c r="AG705" s="314"/>
      <c r="AH705" s="314"/>
      <c r="AI705" s="314"/>
      <c r="AJ705" s="314"/>
      <c r="AK705" s="314"/>
      <c r="AL705" s="314"/>
      <c r="AM705" s="314"/>
      <c r="AN705" s="314"/>
      <c r="AO705" s="314"/>
    </row>
    <row r="706" spans="1:41" s="73" customFormat="1" x14ac:dyDescent="0.25">
      <c r="A706" s="384"/>
      <c r="B706" s="386"/>
      <c r="C706" s="131"/>
      <c r="D706" s="131" t="s">
        <v>516</v>
      </c>
      <c r="E706" s="53" t="s">
        <v>1340</v>
      </c>
      <c r="F706" s="314"/>
      <c r="G706" s="314"/>
      <c r="H706" s="314"/>
      <c r="I706" s="314"/>
      <c r="J706" s="314"/>
      <c r="K706" s="314"/>
      <c r="L706" s="314"/>
      <c r="M706" s="314"/>
      <c r="N706" s="314"/>
      <c r="O706" s="314"/>
      <c r="P706" s="314"/>
      <c r="Q706" s="314"/>
      <c r="R706" s="314"/>
      <c r="S706" s="314"/>
      <c r="T706" s="314"/>
      <c r="U706" s="314"/>
      <c r="V706" s="314"/>
      <c r="W706" s="314"/>
      <c r="X706" s="314"/>
      <c r="Y706" s="314"/>
      <c r="Z706" s="314"/>
      <c r="AA706" s="314"/>
      <c r="AB706" s="314"/>
      <c r="AC706" s="314"/>
      <c r="AD706" s="314"/>
      <c r="AE706" s="314"/>
      <c r="AF706" s="314"/>
      <c r="AG706" s="314"/>
      <c r="AH706" s="314"/>
      <c r="AI706" s="314"/>
      <c r="AJ706" s="314"/>
      <c r="AK706" s="314"/>
      <c r="AL706" s="314"/>
      <c r="AM706" s="314"/>
      <c r="AN706" s="314"/>
      <c r="AO706" s="314"/>
    </row>
    <row r="707" spans="1:41" s="73" customFormat="1" x14ac:dyDescent="0.25">
      <c r="A707" s="384"/>
      <c r="B707" s="386"/>
      <c r="C707" s="131"/>
      <c r="D707" s="131" t="s">
        <v>517</v>
      </c>
      <c r="E707" s="53" t="s">
        <v>1341</v>
      </c>
      <c r="F707" s="314"/>
      <c r="G707" s="314"/>
      <c r="H707" s="314"/>
      <c r="I707" s="314"/>
      <c r="J707" s="314"/>
      <c r="K707" s="314"/>
      <c r="L707" s="314"/>
      <c r="M707" s="314"/>
      <c r="N707" s="314"/>
      <c r="O707" s="314"/>
      <c r="P707" s="314"/>
      <c r="Q707" s="314"/>
      <c r="R707" s="314"/>
      <c r="S707" s="314"/>
      <c r="T707" s="314"/>
      <c r="U707" s="314"/>
      <c r="V707" s="314"/>
      <c r="W707" s="314"/>
      <c r="X707" s="314"/>
      <c r="Y707" s="314"/>
      <c r="Z707" s="314"/>
      <c r="AA707" s="314"/>
      <c r="AB707" s="314"/>
      <c r="AC707" s="314"/>
      <c r="AD707" s="314"/>
      <c r="AE707" s="314"/>
      <c r="AF707" s="314"/>
      <c r="AG707" s="314"/>
      <c r="AH707" s="314"/>
      <c r="AI707" s="314"/>
      <c r="AJ707" s="314"/>
      <c r="AK707" s="314"/>
      <c r="AL707" s="314"/>
      <c r="AM707" s="314"/>
      <c r="AN707" s="314"/>
      <c r="AO707" s="314"/>
    </row>
    <row r="708" spans="1:41" s="73" customFormat="1" x14ac:dyDescent="0.25">
      <c r="A708" s="384"/>
      <c r="B708" s="386"/>
      <c r="C708" s="131"/>
      <c r="D708" s="131" t="s">
        <v>518</v>
      </c>
      <c r="E708" s="53" t="s">
        <v>1342</v>
      </c>
      <c r="F708" s="314"/>
      <c r="G708" s="314"/>
      <c r="H708" s="314"/>
      <c r="I708" s="314"/>
      <c r="J708" s="314"/>
      <c r="K708" s="314"/>
      <c r="L708" s="314"/>
      <c r="M708" s="314"/>
      <c r="N708" s="314"/>
      <c r="O708" s="314"/>
      <c r="P708" s="314"/>
      <c r="Q708" s="314"/>
      <c r="R708" s="314"/>
      <c r="S708" s="314"/>
      <c r="T708" s="314"/>
      <c r="U708" s="314"/>
      <c r="V708" s="314"/>
      <c r="W708" s="314"/>
      <c r="X708" s="314"/>
      <c r="Y708" s="314"/>
      <c r="Z708" s="314"/>
      <c r="AA708" s="314"/>
      <c r="AB708" s="314"/>
      <c r="AC708" s="314"/>
      <c r="AD708" s="314"/>
      <c r="AE708" s="314"/>
      <c r="AF708" s="314"/>
      <c r="AG708" s="314"/>
      <c r="AH708" s="314"/>
      <c r="AI708" s="314"/>
      <c r="AJ708" s="314"/>
      <c r="AK708" s="314"/>
      <c r="AL708" s="314"/>
      <c r="AM708" s="314"/>
      <c r="AN708" s="314"/>
      <c r="AO708" s="314"/>
    </row>
    <row r="709" spans="1:41" s="73" customFormat="1" x14ac:dyDescent="0.25">
      <c r="A709" s="384"/>
      <c r="B709" s="386"/>
      <c r="C709" s="169" t="s">
        <v>1087</v>
      </c>
      <c r="D709" s="131"/>
      <c r="E709" s="53"/>
      <c r="F709" s="314"/>
      <c r="G709" s="314"/>
      <c r="H709" s="314"/>
      <c r="I709" s="314"/>
      <c r="J709" s="314"/>
      <c r="K709" s="314"/>
      <c r="L709" s="314"/>
      <c r="M709" s="314"/>
      <c r="N709" s="314"/>
      <c r="O709" s="314"/>
      <c r="P709" s="314"/>
      <c r="Q709" s="314"/>
      <c r="R709" s="314"/>
      <c r="S709" s="314"/>
      <c r="T709" s="314"/>
      <c r="U709" s="314"/>
      <c r="V709" s="314"/>
      <c r="W709" s="314"/>
      <c r="X709" s="314"/>
      <c r="Y709" s="314"/>
      <c r="Z709" s="314"/>
      <c r="AA709" s="314"/>
      <c r="AB709" s="314"/>
      <c r="AC709" s="314"/>
      <c r="AD709" s="314"/>
      <c r="AE709" s="314"/>
      <c r="AF709" s="314"/>
      <c r="AG709" s="314"/>
      <c r="AH709" s="314"/>
      <c r="AI709" s="314"/>
      <c r="AJ709" s="314"/>
      <c r="AK709" s="314"/>
      <c r="AL709" s="314"/>
      <c r="AM709" s="314"/>
      <c r="AN709" s="314"/>
      <c r="AO709" s="314"/>
    </row>
    <row r="710" spans="1:41" s="73" customFormat="1" x14ac:dyDescent="0.25">
      <c r="A710" s="384"/>
      <c r="B710" s="386"/>
      <c r="C710" s="131"/>
      <c r="D710" s="131" t="s">
        <v>604</v>
      </c>
      <c r="E710" s="53" t="s">
        <v>1343</v>
      </c>
      <c r="F710" s="314"/>
      <c r="G710" s="314"/>
      <c r="H710" s="314"/>
      <c r="I710" s="314"/>
      <c r="J710" s="314"/>
      <c r="K710" s="314"/>
      <c r="L710" s="314"/>
      <c r="M710" s="314"/>
      <c r="N710" s="314"/>
      <c r="O710" s="314"/>
      <c r="P710" s="314"/>
      <c r="Q710" s="314"/>
      <c r="R710" s="314"/>
      <c r="S710" s="314"/>
      <c r="T710" s="314"/>
      <c r="U710" s="314"/>
      <c r="V710" s="314"/>
      <c r="W710" s="314"/>
      <c r="X710" s="314"/>
      <c r="Y710" s="314"/>
      <c r="Z710" s="314"/>
      <c r="AA710" s="314"/>
      <c r="AB710" s="314"/>
      <c r="AC710" s="314"/>
      <c r="AD710" s="314"/>
      <c r="AE710" s="314"/>
      <c r="AF710" s="314"/>
      <c r="AG710" s="314"/>
      <c r="AH710" s="314"/>
      <c r="AI710" s="314"/>
      <c r="AJ710" s="314"/>
      <c r="AK710" s="314"/>
      <c r="AL710" s="314"/>
      <c r="AM710" s="314"/>
      <c r="AN710" s="314"/>
      <c r="AO710" s="314"/>
    </row>
    <row r="711" spans="1:41" s="73" customFormat="1" x14ac:dyDescent="0.25">
      <c r="A711" s="384"/>
      <c r="B711" s="386"/>
      <c r="C711" s="131"/>
      <c r="D711" s="131" t="s">
        <v>605</v>
      </c>
      <c r="E711" s="53" t="s">
        <v>1344</v>
      </c>
      <c r="F711" s="314"/>
      <c r="G711" s="314"/>
      <c r="H711" s="314"/>
      <c r="I711" s="314"/>
      <c r="J711" s="314"/>
      <c r="K711" s="314"/>
      <c r="L711" s="314"/>
      <c r="M711" s="314"/>
      <c r="N711" s="314"/>
      <c r="O711" s="314"/>
      <c r="P711" s="314"/>
      <c r="Q711" s="314"/>
      <c r="R711" s="314"/>
      <c r="S711" s="314"/>
      <c r="T711" s="314"/>
      <c r="U711" s="314"/>
      <c r="V711" s="314"/>
      <c r="W711" s="314"/>
      <c r="X711" s="314"/>
      <c r="Y711" s="314"/>
      <c r="Z711" s="314"/>
      <c r="AA711" s="314"/>
      <c r="AB711" s="314"/>
      <c r="AC711" s="314"/>
      <c r="AD711" s="314"/>
      <c r="AE711" s="314"/>
      <c r="AF711" s="314"/>
      <c r="AG711" s="314"/>
      <c r="AH711" s="314"/>
      <c r="AI711" s="314"/>
      <c r="AJ711" s="314"/>
      <c r="AK711" s="314"/>
      <c r="AL711" s="314"/>
      <c r="AM711" s="314"/>
      <c r="AN711" s="314"/>
      <c r="AO711" s="314"/>
    </row>
    <row r="712" spans="1:41" s="73" customFormat="1" x14ac:dyDescent="0.25">
      <c r="A712" s="384"/>
      <c r="B712" s="386"/>
      <c r="C712" s="131"/>
      <c r="D712" s="131" t="s">
        <v>606</v>
      </c>
      <c r="E712" s="53" t="s">
        <v>1345</v>
      </c>
      <c r="F712" s="314"/>
      <c r="G712" s="314"/>
      <c r="H712" s="314"/>
      <c r="I712" s="314"/>
      <c r="J712" s="314"/>
      <c r="K712" s="314"/>
      <c r="L712" s="314"/>
      <c r="M712" s="314"/>
      <c r="N712" s="314"/>
      <c r="O712" s="314"/>
      <c r="P712" s="314"/>
      <c r="Q712" s="314"/>
      <c r="R712" s="314"/>
      <c r="S712" s="314"/>
      <c r="T712" s="314"/>
      <c r="U712" s="314"/>
      <c r="V712" s="314"/>
      <c r="W712" s="314"/>
      <c r="X712" s="314"/>
      <c r="Y712" s="314"/>
      <c r="Z712" s="314"/>
      <c r="AA712" s="314"/>
      <c r="AB712" s="314"/>
      <c r="AC712" s="314"/>
      <c r="AD712" s="314"/>
      <c r="AE712" s="314"/>
      <c r="AF712" s="314"/>
      <c r="AG712" s="314"/>
      <c r="AH712" s="314"/>
      <c r="AI712" s="314"/>
      <c r="AJ712" s="314"/>
      <c r="AK712" s="314"/>
      <c r="AL712" s="314"/>
      <c r="AM712" s="314"/>
      <c r="AN712" s="314"/>
      <c r="AO712" s="314"/>
    </row>
    <row r="713" spans="1:41" s="73" customFormat="1" x14ac:dyDescent="0.25">
      <c r="A713" s="384"/>
      <c r="B713" s="386"/>
      <c r="C713" s="131"/>
      <c r="D713" s="131" t="s">
        <v>607</v>
      </c>
      <c r="E713" s="53" t="s">
        <v>1346</v>
      </c>
      <c r="F713" s="314"/>
      <c r="G713" s="314"/>
      <c r="H713" s="314"/>
      <c r="I713" s="314"/>
      <c r="J713" s="314"/>
      <c r="K713" s="314"/>
      <c r="L713" s="314"/>
      <c r="M713" s="314"/>
      <c r="N713" s="314"/>
      <c r="O713" s="314"/>
      <c r="P713" s="314"/>
      <c r="Q713" s="314"/>
      <c r="R713" s="314"/>
      <c r="S713" s="314"/>
      <c r="T713" s="314"/>
      <c r="U713" s="314"/>
      <c r="V713" s="314"/>
      <c r="W713" s="314"/>
      <c r="X713" s="314"/>
      <c r="Y713" s="314"/>
      <c r="Z713" s="314"/>
      <c r="AA713" s="314"/>
      <c r="AB713" s="314"/>
      <c r="AC713" s="314"/>
      <c r="AD713" s="314"/>
      <c r="AE713" s="314"/>
      <c r="AF713" s="314"/>
      <c r="AG713" s="314"/>
      <c r="AH713" s="314"/>
      <c r="AI713" s="314"/>
      <c r="AJ713" s="314"/>
      <c r="AK713" s="314"/>
      <c r="AL713" s="314"/>
      <c r="AM713" s="314"/>
      <c r="AN713" s="314"/>
      <c r="AO713" s="314"/>
    </row>
    <row r="714" spans="1:41" s="73" customFormat="1" x14ac:dyDescent="0.25">
      <c r="A714" s="384"/>
      <c r="B714" s="386"/>
      <c r="C714" s="131"/>
      <c r="D714" s="131" t="s">
        <v>608</v>
      </c>
      <c r="E714" s="53" t="s">
        <v>1347</v>
      </c>
      <c r="F714" s="314"/>
      <c r="G714" s="314"/>
      <c r="H714" s="314"/>
      <c r="I714" s="314"/>
      <c r="J714" s="314"/>
      <c r="K714" s="314"/>
      <c r="L714" s="314"/>
      <c r="M714" s="314"/>
      <c r="N714" s="314"/>
      <c r="O714" s="314"/>
      <c r="P714" s="314"/>
      <c r="Q714" s="314"/>
      <c r="R714" s="314"/>
      <c r="S714" s="314"/>
      <c r="T714" s="314"/>
      <c r="U714" s="314"/>
      <c r="V714" s="314"/>
      <c r="W714" s="314"/>
      <c r="X714" s="314"/>
      <c r="Y714" s="314"/>
      <c r="Z714" s="314"/>
      <c r="AA714" s="314"/>
      <c r="AB714" s="314"/>
      <c r="AC714" s="314"/>
      <c r="AD714" s="314"/>
      <c r="AE714" s="314"/>
      <c r="AF714" s="314"/>
      <c r="AG714" s="314"/>
      <c r="AH714" s="314"/>
      <c r="AI714" s="314"/>
      <c r="AJ714" s="314"/>
      <c r="AK714" s="314"/>
      <c r="AL714" s="314"/>
      <c r="AM714" s="314"/>
      <c r="AN714" s="314"/>
      <c r="AO714" s="314"/>
    </row>
    <row r="715" spans="1:41" s="73" customFormat="1" x14ac:dyDescent="0.25">
      <c r="A715" s="384"/>
      <c r="B715" s="386"/>
      <c r="C715" s="131"/>
      <c r="D715" s="131" t="s">
        <v>609</v>
      </c>
      <c r="E715" s="53" t="s">
        <v>1348</v>
      </c>
      <c r="F715" s="314"/>
      <c r="G715" s="314"/>
      <c r="H715" s="314"/>
      <c r="I715" s="314"/>
      <c r="J715" s="314"/>
      <c r="K715" s="314"/>
      <c r="L715" s="314"/>
      <c r="M715" s="314"/>
      <c r="N715" s="314"/>
      <c r="O715" s="314"/>
      <c r="P715" s="314"/>
      <c r="Q715" s="314"/>
      <c r="R715" s="314"/>
      <c r="S715" s="314"/>
      <c r="T715" s="314"/>
      <c r="U715" s="314"/>
      <c r="V715" s="314"/>
      <c r="W715" s="314"/>
      <c r="X715" s="314"/>
      <c r="Y715" s="314"/>
      <c r="Z715" s="314"/>
      <c r="AA715" s="314"/>
      <c r="AB715" s="314"/>
      <c r="AC715" s="314"/>
      <c r="AD715" s="314"/>
      <c r="AE715" s="314"/>
      <c r="AF715" s="314"/>
      <c r="AG715" s="314"/>
      <c r="AH715" s="314"/>
      <c r="AI715" s="314"/>
      <c r="AJ715" s="314"/>
      <c r="AK715" s="314"/>
      <c r="AL715" s="314"/>
      <c r="AM715" s="314"/>
      <c r="AN715" s="314"/>
      <c r="AO715" s="314"/>
    </row>
    <row r="716" spans="1:41" s="73" customFormat="1" x14ac:dyDescent="0.25">
      <c r="A716" s="384"/>
      <c r="B716" s="386"/>
      <c r="C716" s="131"/>
      <c r="D716" s="131" t="s">
        <v>610</v>
      </c>
      <c r="E716" s="53" t="s">
        <v>1349</v>
      </c>
      <c r="F716" s="314"/>
      <c r="G716" s="314"/>
      <c r="H716" s="314"/>
      <c r="I716" s="314"/>
      <c r="J716" s="314"/>
      <c r="K716" s="314"/>
      <c r="L716" s="314"/>
      <c r="M716" s="314"/>
      <c r="N716" s="314"/>
      <c r="O716" s="314"/>
      <c r="P716" s="314"/>
      <c r="Q716" s="314"/>
      <c r="R716" s="314"/>
      <c r="S716" s="314"/>
      <c r="T716" s="314"/>
      <c r="U716" s="314"/>
      <c r="V716" s="314"/>
      <c r="W716" s="314"/>
      <c r="X716" s="314"/>
      <c r="Y716" s="314"/>
      <c r="Z716" s="314"/>
      <c r="AA716" s="314"/>
      <c r="AB716" s="314"/>
      <c r="AC716" s="314"/>
      <c r="AD716" s="314"/>
      <c r="AE716" s="314"/>
      <c r="AF716" s="314"/>
      <c r="AG716" s="314"/>
      <c r="AH716" s="314"/>
      <c r="AI716" s="314"/>
      <c r="AJ716" s="314"/>
      <c r="AK716" s="314"/>
      <c r="AL716" s="314"/>
      <c r="AM716" s="314"/>
      <c r="AN716" s="314"/>
      <c r="AO716" s="314"/>
    </row>
    <row r="717" spans="1:41" s="73" customFormat="1" x14ac:dyDescent="0.25">
      <c r="A717" s="384"/>
      <c r="B717" s="386"/>
      <c r="C717" s="131"/>
      <c r="D717" s="131" t="s">
        <v>611</v>
      </c>
      <c r="E717" s="53" t="s">
        <v>1350</v>
      </c>
      <c r="F717" s="314"/>
      <c r="G717" s="314"/>
      <c r="H717" s="314"/>
      <c r="I717" s="314"/>
      <c r="J717" s="314"/>
      <c r="K717" s="314"/>
      <c r="L717" s="314"/>
      <c r="M717" s="314"/>
      <c r="N717" s="314"/>
      <c r="O717" s="314"/>
      <c r="P717" s="314"/>
      <c r="Q717" s="314"/>
      <c r="R717" s="314"/>
      <c r="S717" s="314"/>
      <c r="T717" s="314"/>
      <c r="U717" s="314"/>
      <c r="V717" s="314"/>
      <c r="W717" s="314"/>
      <c r="X717" s="314"/>
      <c r="Y717" s="314"/>
      <c r="Z717" s="314"/>
      <c r="AA717" s="314"/>
      <c r="AB717" s="314"/>
      <c r="AC717" s="314"/>
      <c r="AD717" s="314"/>
      <c r="AE717" s="314"/>
      <c r="AF717" s="314"/>
      <c r="AG717" s="314"/>
      <c r="AH717" s="314"/>
      <c r="AI717" s="314"/>
      <c r="AJ717" s="314"/>
      <c r="AK717" s="314"/>
      <c r="AL717" s="314"/>
      <c r="AM717" s="314"/>
      <c r="AN717" s="314"/>
      <c r="AO717" s="314"/>
    </row>
    <row r="718" spans="1:41" s="73" customFormat="1" x14ac:dyDescent="0.25">
      <c r="A718" s="384"/>
      <c r="B718" s="386"/>
      <c r="C718" s="131"/>
      <c r="D718" s="131" t="s">
        <v>612</v>
      </c>
      <c r="E718" s="53" t="s">
        <v>1351</v>
      </c>
      <c r="F718" s="314"/>
      <c r="G718" s="314"/>
      <c r="H718" s="314"/>
      <c r="I718" s="314"/>
      <c r="J718" s="314"/>
      <c r="K718" s="314"/>
      <c r="L718" s="314"/>
      <c r="M718" s="314"/>
      <c r="N718" s="314"/>
      <c r="O718" s="314"/>
      <c r="P718" s="314"/>
      <c r="Q718" s="314"/>
      <c r="R718" s="314"/>
      <c r="S718" s="314"/>
      <c r="T718" s="314"/>
      <c r="U718" s="314"/>
      <c r="V718" s="314"/>
      <c r="W718" s="314"/>
      <c r="X718" s="314"/>
      <c r="Y718" s="314"/>
      <c r="Z718" s="314"/>
      <c r="AA718" s="314"/>
      <c r="AB718" s="314"/>
      <c r="AC718" s="314"/>
      <c r="AD718" s="314"/>
      <c r="AE718" s="314"/>
      <c r="AF718" s="314"/>
      <c r="AG718" s="314"/>
      <c r="AH718" s="314"/>
      <c r="AI718" s="314"/>
      <c r="AJ718" s="314"/>
      <c r="AK718" s="314"/>
      <c r="AL718" s="314"/>
      <c r="AM718" s="314"/>
      <c r="AN718" s="314"/>
      <c r="AO718" s="314"/>
    </row>
    <row r="719" spans="1:41" s="73" customFormat="1" x14ac:dyDescent="0.25">
      <c r="A719" s="384"/>
      <c r="B719" s="386"/>
      <c r="C719" s="131"/>
      <c r="D719" s="131" t="s">
        <v>613</v>
      </c>
      <c r="E719" s="53" t="s">
        <v>1352</v>
      </c>
      <c r="F719" s="314"/>
      <c r="G719" s="314"/>
      <c r="H719" s="314"/>
      <c r="I719" s="314"/>
      <c r="J719" s="314"/>
      <c r="K719" s="314"/>
      <c r="L719" s="314"/>
      <c r="M719" s="314"/>
      <c r="N719" s="314"/>
      <c r="O719" s="314"/>
      <c r="P719" s="314"/>
      <c r="Q719" s="314"/>
      <c r="R719" s="314"/>
      <c r="S719" s="314"/>
      <c r="T719" s="314"/>
      <c r="U719" s="314"/>
      <c r="V719" s="314"/>
      <c r="W719" s="314"/>
      <c r="X719" s="314"/>
      <c r="Y719" s="314"/>
      <c r="Z719" s="314"/>
      <c r="AA719" s="314"/>
      <c r="AB719" s="314"/>
      <c r="AC719" s="314"/>
      <c r="AD719" s="314"/>
      <c r="AE719" s="314"/>
      <c r="AF719" s="314"/>
      <c r="AG719" s="314"/>
      <c r="AH719" s="314"/>
      <c r="AI719" s="314"/>
      <c r="AJ719" s="314"/>
      <c r="AK719" s="314"/>
      <c r="AL719" s="314"/>
      <c r="AM719" s="314"/>
      <c r="AN719" s="314"/>
      <c r="AO719" s="314"/>
    </row>
    <row r="720" spans="1:41" s="73" customFormat="1" x14ac:dyDescent="0.25">
      <c r="A720" s="384"/>
      <c r="B720" s="386"/>
      <c r="C720" s="131"/>
      <c r="D720" s="131" t="s">
        <v>614</v>
      </c>
      <c r="E720" s="53" t="s">
        <v>1353</v>
      </c>
      <c r="F720" s="314"/>
      <c r="G720" s="314"/>
      <c r="H720" s="314"/>
      <c r="I720" s="314"/>
      <c r="J720" s="314"/>
      <c r="K720" s="314"/>
      <c r="L720" s="314"/>
      <c r="M720" s="314"/>
      <c r="N720" s="314"/>
      <c r="O720" s="314"/>
      <c r="P720" s="314"/>
      <c r="Q720" s="314"/>
      <c r="R720" s="314"/>
      <c r="S720" s="314"/>
      <c r="T720" s="314"/>
      <c r="U720" s="314"/>
      <c r="V720" s="314"/>
      <c r="W720" s="314"/>
      <c r="X720" s="314"/>
      <c r="Y720" s="314"/>
      <c r="Z720" s="314"/>
      <c r="AA720" s="314"/>
      <c r="AB720" s="314"/>
      <c r="AC720" s="314"/>
      <c r="AD720" s="314"/>
      <c r="AE720" s="314"/>
      <c r="AF720" s="314"/>
      <c r="AG720" s="314"/>
      <c r="AH720" s="314"/>
      <c r="AI720" s="314"/>
      <c r="AJ720" s="314"/>
      <c r="AK720" s="314"/>
      <c r="AL720" s="314"/>
      <c r="AM720" s="314"/>
      <c r="AN720" s="314"/>
      <c r="AO720" s="314"/>
    </row>
    <row r="721" spans="1:41" s="73" customFormat="1" x14ac:dyDescent="0.25">
      <c r="A721" s="384"/>
      <c r="B721" s="386"/>
      <c r="C721" s="131"/>
      <c r="D721" s="131" t="s">
        <v>615</v>
      </c>
      <c r="E721" s="53" t="s">
        <v>1354</v>
      </c>
      <c r="F721" s="314"/>
      <c r="G721" s="314"/>
      <c r="H721" s="314"/>
      <c r="I721" s="314"/>
      <c r="J721" s="314"/>
      <c r="K721" s="314"/>
      <c r="L721" s="314"/>
      <c r="M721" s="314"/>
      <c r="N721" s="314"/>
      <c r="O721" s="314"/>
      <c r="P721" s="314"/>
      <c r="Q721" s="314"/>
      <c r="R721" s="314"/>
      <c r="S721" s="314"/>
      <c r="T721" s="314"/>
      <c r="U721" s="314"/>
      <c r="V721" s="314"/>
      <c r="W721" s="314"/>
      <c r="X721" s="314"/>
      <c r="Y721" s="314"/>
      <c r="Z721" s="314"/>
      <c r="AA721" s="314"/>
      <c r="AB721" s="314"/>
      <c r="AC721" s="314"/>
      <c r="AD721" s="314"/>
      <c r="AE721" s="314"/>
      <c r="AF721" s="314"/>
      <c r="AG721" s="314"/>
      <c r="AH721" s="314"/>
      <c r="AI721" s="314"/>
      <c r="AJ721" s="314"/>
      <c r="AK721" s="314"/>
      <c r="AL721" s="314"/>
      <c r="AM721" s="314"/>
      <c r="AN721" s="314"/>
      <c r="AO721" s="314"/>
    </row>
    <row r="722" spans="1:41" s="73" customFormat="1" x14ac:dyDescent="0.25">
      <c r="A722" s="384"/>
      <c r="B722" s="386"/>
      <c r="C722" s="131"/>
      <c r="D722" s="131" t="s">
        <v>616</v>
      </c>
      <c r="E722" s="53" t="s">
        <v>1355</v>
      </c>
      <c r="F722" s="314"/>
      <c r="G722" s="314"/>
      <c r="H722" s="314"/>
      <c r="I722" s="314"/>
      <c r="J722" s="314"/>
      <c r="K722" s="314"/>
      <c r="L722" s="314"/>
      <c r="M722" s="314"/>
      <c r="N722" s="314"/>
      <c r="O722" s="314"/>
      <c r="P722" s="314"/>
      <c r="Q722" s="314"/>
      <c r="R722" s="314"/>
      <c r="S722" s="314"/>
      <c r="T722" s="314"/>
      <c r="U722" s="314"/>
      <c r="V722" s="314"/>
      <c r="W722" s="314"/>
      <c r="X722" s="314"/>
      <c r="Y722" s="314"/>
      <c r="Z722" s="314"/>
      <c r="AA722" s="314"/>
      <c r="AB722" s="314"/>
      <c r="AC722" s="314"/>
      <c r="AD722" s="314"/>
      <c r="AE722" s="314"/>
      <c r="AF722" s="314"/>
      <c r="AG722" s="314"/>
      <c r="AH722" s="314"/>
      <c r="AI722" s="314"/>
      <c r="AJ722" s="314"/>
      <c r="AK722" s="314"/>
      <c r="AL722" s="314"/>
      <c r="AM722" s="314"/>
      <c r="AN722" s="314"/>
      <c r="AO722" s="314"/>
    </row>
    <row r="723" spans="1:41" s="73" customFormat="1" x14ac:dyDescent="0.25">
      <c r="A723" s="384"/>
      <c r="B723" s="386"/>
      <c r="C723" s="131"/>
      <c r="D723" s="131" t="s">
        <v>617</v>
      </c>
      <c r="E723" s="53" t="s">
        <v>1356</v>
      </c>
      <c r="F723" s="314"/>
      <c r="G723" s="314"/>
      <c r="H723" s="314"/>
      <c r="I723" s="314"/>
      <c r="J723" s="314"/>
      <c r="K723" s="314"/>
      <c r="L723" s="314"/>
      <c r="M723" s="314"/>
      <c r="N723" s="314"/>
      <c r="O723" s="314"/>
      <c r="P723" s="314"/>
      <c r="Q723" s="314"/>
      <c r="R723" s="314"/>
      <c r="S723" s="314"/>
      <c r="T723" s="314"/>
      <c r="U723" s="314"/>
      <c r="V723" s="314"/>
      <c r="W723" s="314"/>
      <c r="X723" s="314"/>
      <c r="Y723" s="314"/>
      <c r="Z723" s="314"/>
      <c r="AA723" s="314"/>
      <c r="AB723" s="314"/>
      <c r="AC723" s="314"/>
      <c r="AD723" s="314"/>
      <c r="AE723" s="314"/>
      <c r="AF723" s="314"/>
      <c r="AG723" s="314"/>
      <c r="AH723" s="314"/>
      <c r="AI723" s="314"/>
      <c r="AJ723" s="314"/>
      <c r="AK723" s="314"/>
      <c r="AL723" s="314"/>
      <c r="AM723" s="314"/>
      <c r="AN723" s="314"/>
      <c r="AO723" s="314"/>
    </row>
    <row r="724" spans="1:41" s="73" customFormat="1" x14ac:dyDescent="0.25">
      <c r="A724" s="384"/>
      <c r="B724" s="386"/>
      <c r="C724" s="131"/>
      <c r="D724" s="131" t="s">
        <v>618</v>
      </c>
      <c r="E724" s="53" t="s">
        <v>1357</v>
      </c>
      <c r="F724" s="314"/>
      <c r="G724" s="314"/>
      <c r="H724" s="314"/>
      <c r="I724" s="314"/>
      <c r="J724" s="314"/>
      <c r="K724" s="314"/>
      <c r="L724" s="314"/>
      <c r="M724" s="314"/>
      <c r="N724" s="314"/>
      <c r="O724" s="314"/>
      <c r="P724" s="314"/>
      <c r="Q724" s="314"/>
      <c r="R724" s="314"/>
      <c r="S724" s="314"/>
      <c r="T724" s="314"/>
      <c r="U724" s="314"/>
      <c r="V724" s="314"/>
      <c r="W724" s="314"/>
      <c r="X724" s="314"/>
      <c r="Y724" s="314"/>
      <c r="Z724" s="314"/>
      <c r="AA724" s="314"/>
      <c r="AB724" s="314"/>
      <c r="AC724" s="314"/>
      <c r="AD724" s="314"/>
      <c r="AE724" s="314"/>
      <c r="AF724" s="314"/>
      <c r="AG724" s="314"/>
      <c r="AH724" s="314"/>
      <c r="AI724" s="314"/>
      <c r="AJ724" s="314"/>
      <c r="AK724" s="314"/>
      <c r="AL724" s="314"/>
      <c r="AM724" s="314"/>
      <c r="AN724" s="314"/>
      <c r="AO724" s="314"/>
    </row>
    <row r="725" spans="1:41" s="73" customFormat="1" x14ac:dyDescent="0.25">
      <c r="A725" s="384"/>
      <c r="B725" s="386"/>
      <c r="C725" s="131"/>
      <c r="D725" s="131" t="s">
        <v>619</v>
      </c>
      <c r="E725" s="53" t="s">
        <v>1358</v>
      </c>
      <c r="F725" s="314"/>
      <c r="G725" s="314"/>
      <c r="H725" s="314"/>
      <c r="I725" s="314"/>
      <c r="J725" s="314"/>
      <c r="K725" s="314"/>
      <c r="L725" s="314"/>
      <c r="M725" s="314"/>
      <c r="N725" s="314"/>
      <c r="O725" s="314"/>
      <c r="P725" s="314"/>
      <c r="Q725" s="314"/>
      <c r="R725" s="314"/>
      <c r="S725" s="314"/>
      <c r="T725" s="314"/>
      <c r="U725" s="314"/>
      <c r="V725" s="314"/>
      <c r="W725" s="314"/>
      <c r="X725" s="314"/>
      <c r="Y725" s="314"/>
      <c r="Z725" s="314"/>
      <c r="AA725" s="314"/>
      <c r="AB725" s="314"/>
      <c r="AC725" s="314"/>
      <c r="AD725" s="314"/>
      <c r="AE725" s="314"/>
      <c r="AF725" s="314"/>
      <c r="AG725" s="314"/>
      <c r="AH725" s="314"/>
      <c r="AI725" s="314"/>
      <c r="AJ725" s="314"/>
      <c r="AK725" s="314"/>
      <c r="AL725" s="314"/>
      <c r="AM725" s="314"/>
      <c r="AN725" s="314"/>
      <c r="AO725" s="314"/>
    </row>
    <row r="726" spans="1:41" s="73" customFormat="1" x14ac:dyDescent="0.25">
      <c r="A726" s="384"/>
      <c r="B726" s="386"/>
      <c r="C726" s="131"/>
      <c r="D726" s="131" t="s">
        <v>620</v>
      </c>
      <c r="E726" s="53" t="s">
        <v>1359</v>
      </c>
      <c r="F726" s="314"/>
      <c r="G726" s="314"/>
      <c r="H726" s="314"/>
      <c r="I726" s="314"/>
      <c r="J726" s="314"/>
      <c r="K726" s="314"/>
      <c r="L726" s="314"/>
      <c r="M726" s="314"/>
      <c r="N726" s="314"/>
      <c r="O726" s="314"/>
      <c r="P726" s="314"/>
      <c r="Q726" s="314"/>
      <c r="R726" s="314"/>
      <c r="S726" s="314"/>
      <c r="T726" s="314"/>
      <c r="U726" s="314"/>
      <c r="V726" s="314"/>
      <c r="W726" s="314"/>
      <c r="X726" s="314"/>
      <c r="Y726" s="314"/>
      <c r="Z726" s="314"/>
      <c r="AA726" s="314"/>
      <c r="AB726" s="314"/>
      <c r="AC726" s="314"/>
      <c r="AD726" s="314"/>
      <c r="AE726" s="314"/>
      <c r="AF726" s="314"/>
      <c r="AG726" s="314"/>
      <c r="AH726" s="314"/>
      <c r="AI726" s="314"/>
      <c r="AJ726" s="314"/>
      <c r="AK726" s="314"/>
      <c r="AL726" s="314"/>
      <c r="AM726" s="314"/>
      <c r="AN726" s="314"/>
      <c r="AO726" s="314"/>
    </row>
    <row r="727" spans="1:41" s="73" customFormat="1" x14ac:dyDescent="0.25">
      <c r="A727" s="384"/>
      <c r="B727" s="386"/>
      <c r="C727" s="131"/>
      <c r="D727" s="131" t="s">
        <v>621</v>
      </c>
      <c r="E727" s="53" t="s">
        <v>1360</v>
      </c>
      <c r="F727" s="314"/>
      <c r="G727" s="314"/>
      <c r="H727" s="314"/>
      <c r="I727" s="314"/>
      <c r="J727" s="314"/>
      <c r="K727" s="314"/>
      <c r="L727" s="314"/>
      <c r="M727" s="314"/>
      <c r="N727" s="314"/>
      <c r="O727" s="314"/>
      <c r="P727" s="314"/>
      <c r="Q727" s="314"/>
      <c r="R727" s="314"/>
      <c r="S727" s="314"/>
      <c r="T727" s="314"/>
      <c r="U727" s="314"/>
      <c r="V727" s="314"/>
      <c r="W727" s="314"/>
      <c r="X727" s="314"/>
      <c r="Y727" s="314"/>
      <c r="Z727" s="314"/>
      <c r="AA727" s="314"/>
      <c r="AB727" s="314"/>
      <c r="AC727" s="314"/>
      <c r="AD727" s="314"/>
      <c r="AE727" s="314"/>
      <c r="AF727" s="314"/>
      <c r="AG727" s="314"/>
      <c r="AH727" s="314"/>
      <c r="AI727" s="314"/>
      <c r="AJ727" s="314"/>
      <c r="AK727" s="314"/>
      <c r="AL727" s="314"/>
      <c r="AM727" s="314"/>
      <c r="AN727" s="314"/>
      <c r="AO727" s="314"/>
    </row>
    <row r="728" spans="1:41" s="73" customFormat="1" x14ac:dyDescent="0.25">
      <c r="A728" s="384"/>
      <c r="B728" s="386"/>
      <c r="C728" s="131"/>
      <c r="D728" s="131" t="s">
        <v>622</v>
      </c>
      <c r="E728" s="53" t="s">
        <v>1361</v>
      </c>
      <c r="F728" s="314"/>
      <c r="G728" s="314"/>
      <c r="H728" s="314"/>
      <c r="I728" s="314"/>
      <c r="J728" s="314"/>
      <c r="K728" s="314"/>
      <c r="L728" s="314"/>
      <c r="M728" s="314"/>
      <c r="N728" s="314"/>
      <c r="O728" s="314"/>
      <c r="P728" s="314"/>
      <c r="Q728" s="314"/>
      <c r="R728" s="314"/>
      <c r="S728" s="314"/>
      <c r="T728" s="314"/>
      <c r="U728" s="314"/>
      <c r="V728" s="314"/>
      <c r="W728" s="314"/>
      <c r="X728" s="314"/>
      <c r="Y728" s="314"/>
      <c r="Z728" s="314"/>
      <c r="AA728" s="314"/>
      <c r="AB728" s="314"/>
      <c r="AC728" s="314"/>
      <c r="AD728" s="314"/>
      <c r="AE728" s="314"/>
      <c r="AF728" s="314"/>
      <c r="AG728" s="314"/>
      <c r="AH728" s="314"/>
      <c r="AI728" s="314"/>
      <c r="AJ728" s="314"/>
      <c r="AK728" s="314"/>
      <c r="AL728" s="314"/>
      <c r="AM728" s="314"/>
      <c r="AN728" s="314"/>
      <c r="AO728" s="314"/>
    </row>
    <row r="729" spans="1:41" s="73" customFormat="1" x14ac:dyDescent="0.25">
      <c r="A729" s="384"/>
      <c r="B729" s="386"/>
      <c r="C729" s="131"/>
      <c r="D729" s="131" t="s">
        <v>510</v>
      </c>
      <c r="E729" s="53" t="s">
        <v>1362</v>
      </c>
      <c r="F729" s="314"/>
      <c r="G729" s="314"/>
      <c r="H729" s="314"/>
      <c r="I729" s="314"/>
      <c r="J729" s="314"/>
      <c r="K729" s="314"/>
      <c r="L729" s="314"/>
      <c r="M729" s="314"/>
      <c r="N729" s="314"/>
      <c r="O729" s="314"/>
      <c r="P729" s="314"/>
      <c r="Q729" s="314"/>
      <c r="R729" s="314"/>
      <c r="S729" s="314"/>
      <c r="T729" s="314"/>
      <c r="U729" s="314"/>
      <c r="V729" s="314"/>
      <c r="W729" s="314"/>
      <c r="X729" s="314"/>
      <c r="Y729" s="314"/>
      <c r="Z729" s="314"/>
      <c r="AA729" s="314"/>
      <c r="AB729" s="314"/>
      <c r="AC729" s="314"/>
      <c r="AD729" s="314"/>
      <c r="AE729" s="314"/>
      <c r="AF729" s="314"/>
      <c r="AG729" s="314"/>
      <c r="AH729" s="314"/>
      <c r="AI729" s="314"/>
      <c r="AJ729" s="314"/>
      <c r="AK729" s="314"/>
      <c r="AL729" s="314"/>
      <c r="AM729" s="314"/>
      <c r="AN729" s="314"/>
      <c r="AO729" s="314"/>
    </row>
    <row r="730" spans="1:41" s="73" customFormat="1" x14ac:dyDescent="0.25">
      <c r="A730" s="384"/>
      <c r="B730" s="386"/>
      <c r="C730" s="131"/>
      <c r="D730" s="131" t="s">
        <v>511</v>
      </c>
      <c r="E730" s="53" t="s">
        <v>1363</v>
      </c>
      <c r="F730" s="314"/>
      <c r="G730" s="314"/>
      <c r="H730" s="314"/>
      <c r="I730" s="314"/>
      <c r="J730" s="314"/>
      <c r="K730" s="314"/>
      <c r="L730" s="314"/>
      <c r="M730" s="314"/>
      <c r="N730" s="314"/>
      <c r="O730" s="314"/>
      <c r="P730" s="314"/>
      <c r="Q730" s="314"/>
      <c r="R730" s="314"/>
      <c r="S730" s="314"/>
      <c r="T730" s="314"/>
      <c r="U730" s="314"/>
      <c r="V730" s="314"/>
      <c r="W730" s="314"/>
      <c r="X730" s="314"/>
      <c r="Y730" s="314"/>
      <c r="Z730" s="314"/>
      <c r="AA730" s="314"/>
      <c r="AB730" s="314"/>
      <c r="AC730" s="314"/>
      <c r="AD730" s="314"/>
      <c r="AE730" s="314"/>
      <c r="AF730" s="314"/>
      <c r="AG730" s="314"/>
      <c r="AH730" s="314"/>
      <c r="AI730" s="314"/>
      <c r="AJ730" s="314"/>
      <c r="AK730" s="314"/>
      <c r="AL730" s="314"/>
      <c r="AM730" s="314"/>
      <c r="AN730" s="314"/>
      <c r="AO730" s="314"/>
    </row>
    <row r="731" spans="1:41" s="73" customFormat="1" x14ac:dyDescent="0.25">
      <c r="A731" s="384"/>
      <c r="B731" s="386"/>
      <c r="C731" s="131"/>
      <c r="D731" s="131" t="s">
        <v>512</v>
      </c>
      <c r="E731" s="53" t="s">
        <v>1364</v>
      </c>
      <c r="F731" s="314"/>
      <c r="G731" s="314"/>
      <c r="H731" s="314"/>
      <c r="I731" s="314"/>
      <c r="J731" s="314"/>
      <c r="K731" s="314"/>
      <c r="L731" s="314"/>
      <c r="M731" s="314"/>
      <c r="N731" s="314"/>
      <c r="O731" s="314"/>
      <c r="P731" s="314"/>
      <c r="Q731" s="314"/>
      <c r="R731" s="314"/>
      <c r="S731" s="314"/>
      <c r="T731" s="314"/>
      <c r="U731" s="314"/>
      <c r="V731" s="314"/>
      <c r="W731" s="314"/>
      <c r="X731" s="314"/>
      <c r="Y731" s="314"/>
      <c r="Z731" s="314"/>
      <c r="AA731" s="314"/>
      <c r="AB731" s="314"/>
      <c r="AC731" s="314"/>
      <c r="AD731" s="314"/>
      <c r="AE731" s="314"/>
      <c r="AF731" s="314"/>
      <c r="AG731" s="314"/>
      <c r="AH731" s="314"/>
      <c r="AI731" s="314"/>
      <c r="AJ731" s="314"/>
      <c r="AK731" s="314"/>
      <c r="AL731" s="314"/>
      <c r="AM731" s="314"/>
      <c r="AN731" s="314"/>
      <c r="AO731" s="314"/>
    </row>
    <row r="732" spans="1:41" s="73" customFormat="1" x14ac:dyDescent="0.25">
      <c r="A732" s="384"/>
      <c r="B732" s="386"/>
      <c r="C732" s="131"/>
      <c r="D732" s="131" t="s">
        <v>513</v>
      </c>
      <c r="E732" s="53" t="s">
        <v>1365</v>
      </c>
      <c r="F732" s="314"/>
      <c r="G732" s="314"/>
      <c r="H732" s="314"/>
      <c r="I732" s="314"/>
      <c r="J732" s="314"/>
      <c r="K732" s="314"/>
      <c r="L732" s="314"/>
      <c r="M732" s="314"/>
      <c r="N732" s="314"/>
      <c r="O732" s="314"/>
      <c r="P732" s="314"/>
      <c r="Q732" s="314"/>
      <c r="R732" s="314"/>
      <c r="S732" s="314"/>
      <c r="T732" s="314"/>
      <c r="U732" s="314"/>
      <c r="V732" s="314"/>
      <c r="W732" s="314"/>
      <c r="X732" s="314"/>
      <c r="Y732" s="314"/>
      <c r="Z732" s="314"/>
      <c r="AA732" s="314"/>
      <c r="AB732" s="314"/>
      <c r="AC732" s="314"/>
      <c r="AD732" s="314"/>
      <c r="AE732" s="314"/>
      <c r="AF732" s="314"/>
      <c r="AG732" s="314"/>
      <c r="AH732" s="314"/>
      <c r="AI732" s="314"/>
      <c r="AJ732" s="314"/>
      <c r="AK732" s="314"/>
      <c r="AL732" s="314"/>
      <c r="AM732" s="314"/>
      <c r="AN732" s="314"/>
      <c r="AO732" s="314"/>
    </row>
    <row r="733" spans="1:41" s="73" customFormat="1" x14ac:dyDescent="0.25">
      <c r="A733" s="384"/>
      <c r="B733" s="386"/>
      <c r="C733" s="131"/>
      <c r="D733" s="131" t="s">
        <v>514</v>
      </c>
      <c r="E733" s="53" t="s">
        <v>1366</v>
      </c>
      <c r="F733" s="314"/>
      <c r="G733" s="314"/>
      <c r="H733" s="314"/>
      <c r="I733" s="314"/>
      <c r="J733" s="314"/>
      <c r="K733" s="314"/>
      <c r="L733" s="314"/>
      <c r="M733" s="314"/>
      <c r="N733" s="314"/>
      <c r="O733" s="314"/>
      <c r="P733" s="314"/>
      <c r="Q733" s="314"/>
      <c r="R733" s="314"/>
      <c r="S733" s="314"/>
      <c r="T733" s="314"/>
      <c r="U733" s="314"/>
      <c r="V733" s="314"/>
      <c r="W733" s="314"/>
      <c r="X733" s="314"/>
      <c r="Y733" s="314"/>
      <c r="Z733" s="314"/>
      <c r="AA733" s="314"/>
      <c r="AB733" s="314"/>
      <c r="AC733" s="314"/>
      <c r="AD733" s="314"/>
      <c r="AE733" s="314"/>
      <c r="AF733" s="314"/>
      <c r="AG733" s="314"/>
      <c r="AH733" s="314"/>
      <c r="AI733" s="314"/>
      <c r="AJ733" s="314"/>
      <c r="AK733" s="314"/>
      <c r="AL733" s="314"/>
      <c r="AM733" s="314"/>
      <c r="AN733" s="314"/>
      <c r="AO733" s="314"/>
    </row>
    <row r="734" spans="1:41" s="73" customFormat="1" x14ac:dyDescent="0.25">
      <c r="A734" s="384"/>
      <c r="B734" s="386"/>
      <c r="C734" s="131"/>
      <c r="D734" s="131" t="s">
        <v>515</v>
      </c>
      <c r="E734" s="53" t="s">
        <v>1367</v>
      </c>
      <c r="F734" s="314"/>
      <c r="G734" s="314"/>
      <c r="H734" s="314"/>
      <c r="I734" s="314"/>
      <c r="J734" s="314"/>
      <c r="K734" s="314"/>
      <c r="L734" s="314"/>
      <c r="M734" s="314"/>
      <c r="N734" s="314"/>
      <c r="O734" s="314"/>
      <c r="P734" s="314"/>
      <c r="Q734" s="314"/>
      <c r="R734" s="314"/>
      <c r="S734" s="314"/>
      <c r="T734" s="314"/>
      <c r="U734" s="314"/>
      <c r="V734" s="314"/>
      <c r="W734" s="314"/>
      <c r="X734" s="314"/>
      <c r="Y734" s="314"/>
      <c r="Z734" s="314"/>
      <c r="AA734" s="314"/>
      <c r="AB734" s="314"/>
      <c r="AC734" s="314"/>
      <c r="AD734" s="314"/>
      <c r="AE734" s="314"/>
      <c r="AF734" s="314"/>
      <c r="AG734" s="314"/>
      <c r="AH734" s="314"/>
      <c r="AI734" s="314"/>
      <c r="AJ734" s="314"/>
      <c r="AK734" s="314"/>
      <c r="AL734" s="314"/>
      <c r="AM734" s="314"/>
      <c r="AN734" s="314"/>
      <c r="AO734" s="314"/>
    </row>
    <row r="735" spans="1:41" s="73" customFormat="1" x14ac:dyDescent="0.25">
      <c r="A735" s="384"/>
      <c r="B735" s="386"/>
      <c r="C735" s="131"/>
      <c r="D735" s="131" t="s">
        <v>516</v>
      </c>
      <c r="E735" s="53" t="s">
        <v>1368</v>
      </c>
      <c r="F735" s="314"/>
      <c r="G735" s="314"/>
      <c r="H735" s="314"/>
      <c r="I735" s="314"/>
      <c r="J735" s="314"/>
      <c r="K735" s="314"/>
      <c r="L735" s="314"/>
      <c r="M735" s="314"/>
      <c r="N735" s="314"/>
      <c r="O735" s="314"/>
      <c r="P735" s="314"/>
      <c r="Q735" s="314"/>
      <c r="R735" s="314"/>
      <c r="S735" s="314"/>
      <c r="T735" s="314"/>
      <c r="U735" s="314"/>
      <c r="V735" s="314"/>
      <c r="W735" s="314"/>
      <c r="X735" s="314"/>
      <c r="Y735" s="314"/>
      <c r="Z735" s="314"/>
      <c r="AA735" s="314"/>
      <c r="AB735" s="314"/>
      <c r="AC735" s="314"/>
      <c r="AD735" s="314"/>
      <c r="AE735" s="314"/>
      <c r="AF735" s="314"/>
      <c r="AG735" s="314"/>
      <c r="AH735" s="314"/>
      <c r="AI735" s="314"/>
      <c r="AJ735" s="314"/>
      <c r="AK735" s="314"/>
      <c r="AL735" s="314"/>
      <c r="AM735" s="314"/>
      <c r="AN735" s="314"/>
      <c r="AO735" s="314"/>
    </row>
    <row r="736" spans="1:41" s="73" customFormat="1" x14ac:dyDescent="0.25">
      <c r="A736" s="384"/>
      <c r="B736" s="386"/>
      <c r="C736" s="131"/>
      <c r="D736" s="131" t="s">
        <v>517</v>
      </c>
      <c r="E736" s="53" t="s">
        <v>1369</v>
      </c>
      <c r="F736" s="314"/>
      <c r="G736" s="314"/>
      <c r="H736" s="314"/>
      <c r="I736" s="314"/>
      <c r="J736" s="314"/>
      <c r="K736" s="314"/>
      <c r="L736" s="314"/>
      <c r="M736" s="314"/>
      <c r="N736" s="314"/>
      <c r="O736" s="314"/>
      <c r="P736" s="314"/>
      <c r="Q736" s="314"/>
      <c r="R736" s="314"/>
      <c r="S736" s="314"/>
      <c r="T736" s="314"/>
      <c r="U736" s="314"/>
      <c r="V736" s="314"/>
      <c r="W736" s="314"/>
      <c r="X736" s="314"/>
      <c r="Y736" s="314"/>
      <c r="Z736" s="314"/>
      <c r="AA736" s="314"/>
      <c r="AB736" s="314"/>
      <c r="AC736" s="314"/>
      <c r="AD736" s="314"/>
      <c r="AE736" s="314"/>
      <c r="AF736" s="314"/>
      <c r="AG736" s="314"/>
      <c r="AH736" s="314"/>
      <c r="AI736" s="314"/>
      <c r="AJ736" s="314"/>
      <c r="AK736" s="314"/>
      <c r="AL736" s="314"/>
      <c r="AM736" s="314"/>
      <c r="AN736" s="314"/>
      <c r="AO736" s="314"/>
    </row>
    <row r="737" spans="1:41" s="73" customFormat="1" x14ac:dyDescent="0.25">
      <c r="A737" s="384"/>
      <c r="B737" s="386"/>
      <c r="C737" s="131"/>
      <c r="D737" s="131" t="s">
        <v>518</v>
      </c>
      <c r="E737" s="53" t="s">
        <v>1370</v>
      </c>
      <c r="F737" s="314"/>
      <c r="G737" s="314"/>
      <c r="H737" s="314"/>
      <c r="I737" s="314"/>
      <c r="J737" s="314"/>
      <c r="K737" s="314"/>
      <c r="L737" s="314"/>
      <c r="M737" s="314"/>
      <c r="N737" s="314"/>
      <c r="O737" s="314"/>
      <c r="P737" s="314"/>
      <c r="Q737" s="314"/>
      <c r="R737" s="314"/>
      <c r="S737" s="314"/>
      <c r="T737" s="314"/>
      <c r="U737" s="314"/>
      <c r="V737" s="314"/>
      <c r="W737" s="314"/>
      <c r="X737" s="314"/>
      <c r="Y737" s="314"/>
      <c r="Z737" s="314"/>
      <c r="AA737" s="314"/>
      <c r="AB737" s="314"/>
      <c r="AC737" s="314"/>
      <c r="AD737" s="314"/>
      <c r="AE737" s="314"/>
      <c r="AF737" s="314"/>
      <c r="AG737" s="314"/>
      <c r="AH737" s="314"/>
      <c r="AI737" s="314"/>
      <c r="AJ737" s="314"/>
      <c r="AK737" s="314"/>
      <c r="AL737" s="314"/>
      <c r="AM737" s="314"/>
      <c r="AN737" s="314"/>
      <c r="AO737" s="314"/>
    </row>
    <row r="738" spans="1:41" s="73" customFormat="1" x14ac:dyDescent="0.25">
      <c r="A738" s="384"/>
      <c r="B738" s="386"/>
      <c r="C738" s="169" t="s">
        <v>1088</v>
      </c>
      <c r="D738" s="131"/>
      <c r="E738" s="53"/>
      <c r="F738" s="314"/>
      <c r="G738" s="314"/>
      <c r="H738" s="314"/>
      <c r="I738" s="314"/>
      <c r="J738" s="314"/>
      <c r="K738" s="314"/>
      <c r="L738" s="314"/>
      <c r="M738" s="314"/>
      <c r="N738" s="314"/>
      <c r="O738" s="314"/>
      <c r="P738" s="314"/>
      <c r="Q738" s="314"/>
      <c r="R738" s="314"/>
      <c r="S738" s="314"/>
      <c r="T738" s="314"/>
      <c r="U738" s="314"/>
      <c r="V738" s="314"/>
      <c r="W738" s="314"/>
      <c r="X738" s="314"/>
      <c r="Y738" s="314"/>
      <c r="Z738" s="314"/>
      <c r="AA738" s="314"/>
      <c r="AB738" s="314"/>
      <c r="AC738" s="314"/>
      <c r="AD738" s="314"/>
      <c r="AE738" s="314"/>
      <c r="AF738" s="314"/>
      <c r="AG738" s="314"/>
      <c r="AH738" s="314"/>
      <c r="AI738" s="314"/>
      <c r="AJ738" s="314"/>
      <c r="AK738" s="314"/>
      <c r="AL738" s="314"/>
      <c r="AM738" s="314"/>
      <c r="AN738" s="314"/>
      <c r="AO738" s="314"/>
    </row>
    <row r="739" spans="1:41" s="73" customFormat="1" x14ac:dyDescent="0.25">
      <c r="A739" s="384"/>
      <c r="B739" s="386"/>
      <c r="C739" s="131"/>
      <c r="D739" s="131" t="s">
        <v>604</v>
      </c>
      <c r="E739" s="53" t="s">
        <v>1371</v>
      </c>
      <c r="F739" s="314"/>
      <c r="G739" s="314"/>
      <c r="H739" s="314"/>
      <c r="I739" s="314"/>
      <c r="J739" s="314"/>
      <c r="K739" s="314"/>
      <c r="L739" s="314"/>
      <c r="M739" s="314"/>
      <c r="N739" s="314"/>
      <c r="O739" s="314"/>
      <c r="P739" s="314"/>
      <c r="Q739" s="314"/>
      <c r="R739" s="314"/>
      <c r="S739" s="314"/>
      <c r="T739" s="314"/>
      <c r="U739" s="314"/>
      <c r="V739" s="314"/>
      <c r="W739" s="314"/>
      <c r="X739" s="314"/>
      <c r="Y739" s="314"/>
      <c r="Z739" s="314"/>
      <c r="AA739" s="314"/>
      <c r="AB739" s="314"/>
      <c r="AC739" s="314"/>
      <c r="AD739" s="314"/>
      <c r="AE739" s="314"/>
      <c r="AF739" s="314"/>
      <c r="AG739" s="314"/>
      <c r="AH739" s="314"/>
      <c r="AI739" s="314"/>
      <c r="AJ739" s="314"/>
      <c r="AK739" s="314"/>
      <c r="AL739" s="314"/>
      <c r="AM739" s="314"/>
      <c r="AN739" s="314"/>
      <c r="AO739" s="314"/>
    </row>
    <row r="740" spans="1:41" s="73" customFormat="1" x14ac:dyDescent="0.25">
      <c r="A740" s="384"/>
      <c r="B740" s="386"/>
      <c r="C740" s="131"/>
      <c r="D740" s="131" t="s">
        <v>605</v>
      </c>
      <c r="E740" s="53" t="s">
        <v>1372</v>
      </c>
      <c r="F740" s="314"/>
      <c r="G740" s="314"/>
      <c r="H740" s="314"/>
      <c r="I740" s="314"/>
      <c r="J740" s="314"/>
      <c r="K740" s="314"/>
      <c r="L740" s="314"/>
      <c r="M740" s="314"/>
      <c r="N740" s="314"/>
      <c r="O740" s="314"/>
      <c r="P740" s="314"/>
      <c r="Q740" s="314"/>
      <c r="R740" s="314"/>
      <c r="S740" s="314"/>
      <c r="T740" s="314"/>
      <c r="U740" s="314"/>
      <c r="V740" s="314"/>
      <c r="W740" s="314"/>
      <c r="X740" s="314"/>
      <c r="Y740" s="314"/>
      <c r="Z740" s="314"/>
      <c r="AA740" s="314"/>
      <c r="AB740" s="314"/>
      <c r="AC740" s="314"/>
      <c r="AD740" s="314"/>
      <c r="AE740" s="314"/>
      <c r="AF740" s="314"/>
      <c r="AG740" s="314"/>
      <c r="AH740" s="314"/>
      <c r="AI740" s="314"/>
      <c r="AJ740" s="314"/>
      <c r="AK740" s="314"/>
      <c r="AL740" s="314"/>
      <c r="AM740" s="314"/>
      <c r="AN740" s="314"/>
      <c r="AO740" s="314"/>
    </row>
    <row r="741" spans="1:41" s="73" customFormat="1" x14ac:dyDescent="0.25">
      <c r="A741" s="384"/>
      <c r="B741" s="386"/>
      <c r="C741" s="131"/>
      <c r="D741" s="131" t="s">
        <v>606</v>
      </c>
      <c r="E741" s="53" t="s">
        <v>1373</v>
      </c>
      <c r="F741" s="314"/>
      <c r="G741" s="314"/>
      <c r="H741" s="314"/>
      <c r="I741" s="314"/>
      <c r="J741" s="314"/>
      <c r="K741" s="314"/>
      <c r="L741" s="314"/>
      <c r="M741" s="314"/>
      <c r="N741" s="314"/>
      <c r="O741" s="314"/>
      <c r="P741" s="314"/>
      <c r="Q741" s="314"/>
      <c r="R741" s="314"/>
      <c r="S741" s="314"/>
      <c r="T741" s="314"/>
      <c r="U741" s="314"/>
      <c r="V741" s="314"/>
      <c r="W741" s="314"/>
      <c r="X741" s="314"/>
      <c r="Y741" s="314"/>
      <c r="Z741" s="314"/>
      <c r="AA741" s="314"/>
      <c r="AB741" s="314"/>
      <c r="AC741" s="314"/>
      <c r="AD741" s="314"/>
      <c r="AE741" s="314"/>
      <c r="AF741" s="314"/>
      <c r="AG741" s="314"/>
      <c r="AH741" s="314"/>
      <c r="AI741" s="314"/>
      <c r="AJ741" s="314"/>
      <c r="AK741" s="314"/>
      <c r="AL741" s="314"/>
      <c r="AM741" s="314"/>
      <c r="AN741" s="314"/>
      <c r="AO741" s="314"/>
    </row>
    <row r="742" spans="1:41" s="73" customFormat="1" x14ac:dyDescent="0.25">
      <c r="A742" s="384"/>
      <c r="B742" s="386"/>
      <c r="C742" s="131"/>
      <c r="D742" s="131" t="s">
        <v>607</v>
      </c>
      <c r="E742" s="53" t="s">
        <v>1374</v>
      </c>
      <c r="F742" s="314"/>
      <c r="G742" s="314"/>
      <c r="H742" s="314"/>
      <c r="I742" s="314"/>
      <c r="J742" s="314"/>
      <c r="K742" s="314"/>
      <c r="L742" s="314"/>
      <c r="M742" s="314"/>
      <c r="N742" s="314"/>
      <c r="O742" s="314"/>
      <c r="P742" s="314"/>
      <c r="Q742" s="314"/>
      <c r="R742" s="314"/>
      <c r="S742" s="314"/>
      <c r="T742" s="314"/>
      <c r="U742" s="314"/>
      <c r="V742" s="314"/>
      <c r="W742" s="314"/>
      <c r="X742" s="314"/>
      <c r="Y742" s="314"/>
      <c r="Z742" s="314"/>
      <c r="AA742" s="314"/>
      <c r="AB742" s="314"/>
      <c r="AC742" s="314"/>
      <c r="AD742" s="314"/>
      <c r="AE742" s="314"/>
      <c r="AF742" s="314"/>
      <c r="AG742" s="314"/>
      <c r="AH742" s="314"/>
      <c r="AI742" s="314"/>
      <c r="AJ742" s="314"/>
      <c r="AK742" s="314"/>
      <c r="AL742" s="314"/>
      <c r="AM742" s="314"/>
      <c r="AN742" s="314"/>
      <c r="AO742" s="314"/>
    </row>
    <row r="743" spans="1:41" s="73" customFormat="1" x14ac:dyDescent="0.25">
      <c r="A743" s="384"/>
      <c r="B743" s="386"/>
      <c r="C743" s="131"/>
      <c r="D743" s="131" t="s">
        <v>608</v>
      </c>
      <c r="E743" s="53" t="s">
        <v>1375</v>
      </c>
      <c r="F743" s="314"/>
      <c r="G743" s="314"/>
      <c r="H743" s="314"/>
      <c r="I743" s="314"/>
      <c r="J743" s="314"/>
      <c r="K743" s="314"/>
      <c r="L743" s="314"/>
      <c r="M743" s="314"/>
      <c r="N743" s="314"/>
      <c r="O743" s="314"/>
      <c r="P743" s="314"/>
      <c r="Q743" s="314"/>
      <c r="R743" s="314"/>
      <c r="S743" s="314"/>
      <c r="T743" s="314"/>
      <c r="U743" s="314"/>
      <c r="V743" s="314"/>
      <c r="W743" s="314"/>
      <c r="X743" s="314"/>
      <c r="Y743" s="314"/>
      <c r="Z743" s="314"/>
      <c r="AA743" s="314"/>
      <c r="AB743" s="314"/>
      <c r="AC743" s="314"/>
      <c r="AD743" s="314"/>
      <c r="AE743" s="314"/>
      <c r="AF743" s="314"/>
      <c r="AG743" s="314"/>
      <c r="AH743" s="314"/>
      <c r="AI743" s="314"/>
      <c r="AJ743" s="314"/>
      <c r="AK743" s="314"/>
      <c r="AL743" s="314"/>
      <c r="AM743" s="314"/>
      <c r="AN743" s="314"/>
      <c r="AO743" s="314"/>
    </row>
    <row r="744" spans="1:41" s="73" customFormat="1" x14ac:dyDescent="0.25">
      <c r="A744" s="384"/>
      <c r="B744" s="386"/>
      <c r="C744" s="131"/>
      <c r="D744" s="131" t="s">
        <v>609</v>
      </c>
      <c r="E744" s="53" t="s">
        <v>1376</v>
      </c>
      <c r="F744" s="314"/>
      <c r="G744" s="314"/>
      <c r="H744" s="314"/>
      <c r="I744" s="314"/>
      <c r="J744" s="314"/>
      <c r="K744" s="314"/>
      <c r="L744" s="314"/>
      <c r="M744" s="314"/>
      <c r="N744" s="314"/>
      <c r="O744" s="314"/>
      <c r="P744" s="314"/>
      <c r="Q744" s="314"/>
      <c r="R744" s="314"/>
      <c r="S744" s="314"/>
      <c r="T744" s="314"/>
      <c r="U744" s="314"/>
      <c r="V744" s="314"/>
      <c r="W744" s="314"/>
      <c r="X744" s="314"/>
      <c r="Y744" s="314"/>
      <c r="Z744" s="314"/>
      <c r="AA744" s="314"/>
      <c r="AB744" s="314"/>
      <c r="AC744" s="314"/>
      <c r="AD744" s="314"/>
      <c r="AE744" s="314"/>
      <c r="AF744" s="314"/>
      <c r="AG744" s="314"/>
      <c r="AH744" s="314"/>
      <c r="AI744" s="314"/>
      <c r="AJ744" s="314"/>
      <c r="AK744" s="314"/>
      <c r="AL744" s="314"/>
      <c r="AM744" s="314"/>
      <c r="AN744" s="314"/>
      <c r="AO744" s="314"/>
    </row>
    <row r="745" spans="1:41" s="73" customFormat="1" x14ac:dyDescent="0.25">
      <c r="A745" s="384"/>
      <c r="B745" s="386"/>
      <c r="C745" s="131"/>
      <c r="D745" s="131" t="s">
        <v>610</v>
      </c>
      <c r="E745" s="53" t="s">
        <v>1377</v>
      </c>
      <c r="F745" s="314"/>
      <c r="G745" s="314"/>
      <c r="H745" s="314"/>
      <c r="I745" s="314"/>
      <c r="J745" s="314"/>
      <c r="K745" s="314"/>
      <c r="L745" s="314"/>
      <c r="M745" s="314"/>
      <c r="N745" s="314"/>
      <c r="O745" s="314"/>
      <c r="P745" s="314"/>
      <c r="Q745" s="314"/>
      <c r="R745" s="314"/>
      <c r="S745" s="314"/>
      <c r="T745" s="314"/>
      <c r="U745" s="314"/>
      <c r="V745" s="314"/>
      <c r="W745" s="314"/>
      <c r="X745" s="314"/>
      <c r="Y745" s="314"/>
      <c r="Z745" s="314"/>
      <c r="AA745" s="314"/>
      <c r="AB745" s="314"/>
      <c r="AC745" s="314"/>
      <c r="AD745" s="314"/>
      <c r="AE745" s="314"/>
      <c r="AF745" s="314"/>
      <c r="AG745" s="314"/>
      <c r="AH745" s="314"/>
      <c r="AI745" s="314"/>
      <c r="AJ745" s="314"/>
      <c r="AK745" s="314"/>
      <c r="AL745" s="314"/>
      <c r="AM745" s="314"/>
      <c r="AN745" s="314"/>
      <c r="AO745" s="314"/>
    </row>
    <row r="746" spans="1:41" s="73" customFormat="1" x14ac:dyDescent="0.25">
      <c r="A746" s="384"/>
      <c r="B746" s="386"/>
      <c r="C746" s="131"/>
      <c r="D746" s="131" t="s">
        <v>611</v>
      </c>
      <c r="E746" s="53" t="s">
        <v>1378</v>
      </c>
      <c r="F746" s="314"/>
      <c r="G746" s="314"/>
      <c r="H746" s="314"/>
      <c r="I746" s="314"/>
      <c r="J746" s="314"/>
      <c r="K746" s="314"/>
      <c r="L746" s="314"/>
      <c r="M746" s="314"/>
      <c r="N746" s="314"/>
      <c r="O746" s="314"/>
      <c r="P746" s="314"/>
      <c r="Q746" s="314"/>
      <c r="R746" s="314"/>
      <c r="S746" s="314"/>
      <c r="T746" s="314"/>
      <c r="U746" s="314"/>
      <c r="V746" s="314"/>
      <c r="W746" s="314"/>
      <c r="X746" s="314"/>
      <c r="Y746" s="314"/>
      <c r="Z746" s="314"/>
      <c r="AA746" s="314"/>
      <c r="AB746" s="314"/>
      <c r="AC746" s="314"/>
      <c r="AD746" s="314"/>
      <c r="AE746" s="314"/>
      <c r="AF746" s="314"/>
      <c r="AG746" s="314"/>
      <c r="AH746" s="314"/>
      <c r="AI746" s="314"/>
      <c r="AJ746" s="314"/>
      <c r="AK746" s="314"/>
      <c r="AL746" s="314"/>
      <c r="AM746" s="314"/>
      <c r="AN746" s="314"/>
      <c r="AO746" s="314"/>
    </row>
    <row r="747" spans="1:41" s="73" customFormat="1" x14ac:dyDescent="0.25">
      <c r="A747" s="384"/>
      <c r="B747" s="386"/>
      <c r="C747" s="131"/>
      <c r="D747" s="131" t="s">
        <v>612</v>
      </c>
      <c r="E747" s="53" t="s">
        <v>1379</v>
      </c>
      <c r="F747" s="314"/>
      <c r="G747" s="314"/>
      <c r="H747" s="314"/>
      <c r="I747" s="314"/>
      <c r="J747" s="314"/>
      <c r="K747" s="314"/>
      <c r="L747" s="314"/>
      <c r="M747" s="314"/>
      <c r="N747" s="314"/>
      <c r="O747" s="314"/>
      <c r="P747" s="314"/>
      <c r="Q747" s="314"/>
      <c r="R747" s="314"/>
      <c r="S747" s="314"/>
      <c r="T747" s="314"/>
      <c r="U747" s="314"/>
      <c r="V747" s="314"/>
      <c r="W747" s="314"/>
      <c r="X747" s="314"/>
      <c r="Y747" s="314"/>
      <c r="Z747" s="314"/>
      <c r="AA747" s="314"/>
      <c r="AB747" s="314"/>
      <c r="AC747" s="314"/>
      <c r="AD747" s="314"/>
      <c r="AE747" s="314"/>
      <c r="AF747" s="314"/>
      <c r="AG747" s="314"/>
      <c r="AH747" s="314"/>
      <c r="AI747" s="314"/>
      <c r="AJ747" s="314"/>
      <c r="AK747" s="314"/>
      <c r="AL747" s="314"/>
      <c r="AM747" s="314"/>
      <c r="AN747" s="314"/>
      <c r="AO747" s="314"/>
    </row>
    <row r="748" spans="1:41" s="73" customFormat="1" x14ac:dyDescent="0.25">
      <c r="A748" s="384"/>
      <c r="B748" s="386"/>
      <c r="C748" s="131"/>
      <c r="D748" s="131" t="s">
        <v>613</v>
      </c>
      <c r="E748" s="53" t="s">
        <v>1380</v>
      </c>
      <c r="F748" s="314"/>
      <c r="G748" s="314"/>
      <c r="H748" s="314"/>
      <c r="I748" s="314"/>
      <c r="J748" s="314"/>
      <c r="K748" s="314"/>
      <c r="L748" s="314"/>
      <c r="M748" s="314"/>
      <c r="N748" s="314"/>
      <c r="O748" s="314"/>
      <c r="P748" s="314"/>
      <c r="Q748" s="314"/>
      <c r="R748" s="314"/>
      <c r="S748" s="314"/>
      <c r="T748" s="314"/>
      <c r="U748" s="314"/>
      <c r="V748" s="314"/>
      <c r="W748" s="314"/>
      <c r="X748" s="314"/>
      <c r="Y748" s="314"/>
      <c r="Z748" s="314"/>
      <c r="AA748" s="314"/>
      <c r="AB748" s="314"/>
      <c r="AC748" s="314"/>
      <c r="AD748" s="314"/>
      <c r="AE748" s="314"/>
      <c r="AF748" s="314"/>
      <c r="AG748" s="314"/>
      <c r="AH748" s="314"/>
      <c r="AI748" s="314"/>
      <c r="AJ748" s="314"/>
      <c r="AK748" s="314"/>
      <c r="AL748" s="314"/>
      <c r="AM748" s="314"/>
      <c r="AN748" s="314"/>
      <c r="AO748" s="314"/>
    </row>
    <row r="749" spans="1:41" s="73" customFormat="1" x14ac:dyDescent="0.25">
      <c r="A749" s="384"/>
      <c r="B749" s="386"/>
      <c r="C749" s="131"/>
      <c r="D749" s="131" t="s">
        <v>614</v>
      </c>
      <c r="E749" s="53" t="s">
        <v>1381</v>
      </c>
      <c r="F749" s="314"/>
      <c r="G749" s="314"/>
      <c r="H749" s="314"/>
      <c r="I749" s="314"/>
      <c r="J749" s="314"/>
      <c r="K749" s="314"/>
      <c r="L749" s="314"/>
      <c r="M749" s="314"/>
      <c r="N749" s="314"/>
      <c r="O749" s="314"/>
      <c r="P749" s="314"/>
      <c r="Q749" s="314"/>
      <c r="R749" s="314"/>
      <c r="S749" s="314"/>
      <c r="T749" s="314"/>
      <c r="U749" s="314"/>
      <c r="V749" s="314"/>
      <c r="W749" s="314"/>
      <c r="X749" s="314"/>
      <c r="Y749" s="314"/>
      <c r="Z749" s="314"/>
      <c r="AA749" s="314"/>
      <c r="AB749" s="314"/>
      <c r="AC749" s="314"/>
      <c r="AD749" s="314"/>
      <c r="AE749" s="314"/>
      <c r="AF749" s="314"/>
      <c r="AG749" s="314"/>
      <c r="AH749" s="314"/>
      <c r="AI749" s="314"/>
      <c r="AJ749" s="314"/>
      <c r="AK749" s="314"/>
      <c r="AL749" s="314"/>
      <c r="AM749" s="314"/>
      <c r="AN749" s="314"/>
      <c r="AO749" s="314"/>
    </row>
    <row r="750" spans="1:41" s="73" customFormat="1" x14ac:dyDescent="0.25">
      <c r="A750" s="384"/>
      <c r="B750" s="386"/>
      <c r="C750" s="131"/>
      <c r="D750" s="131" t="s">
        <v>615</v>
      </c>
      <c r="E750" s="53" t="s">
        <v>1382</v>
      </c>
      <c r="F750" s="314"/>
      <c r="G750" s="314"/>
      <c r="H750" s="314"/>
      <c r="I750" s="314"/>
      <c r="J750" s="314"/>
      <c r="K750" s="314"/>
      <c r="L750" s="314"/>
      <c r="M750" s="314"/>
      <c r="N750" s="314"/>
      <c r="O750" s="314"/>
      <c r="P750" s="314"/>
      <c r="Q750" s="314"/>
      <c r="R750" s="314"/>
      <c r="S750" s="314"/>
      <c r="T750" s="314"/>
      <c r="U750" s="314"/>
      <c r="V750" s="314"/>
      <c r="W750" s="314"/>
      <c r="X750" s="314"/>
      <c r="Y750" s="314"/>
      <c r="Z750" s="314"/>
      <c r="AA750" s="314"/>
      <c r="AB750" s="314"/>
      <c r="AC750" s="314"/>
      <c r="AD750" s="314"/>
      <c r="AE750" s="314"/>
      <c r="AF750" s="314"/>
      <c r="AG750" s="314"/>
      <c r="AH750" s="314"/>
      <c r="AI750" s="314"/>
      <c r="AJ750" s="314"/>
      <c r="AK750" s="314"/>
      <c r="AL750" s="314"/>
      <c r="AM750" s="314"/>
      <c r="AN750" s="314"/>
      <c r="AO750" s="314"/>
    </row>
    <row r="751" spans="1:41" s="73" customFormat="1" x14ac:dyDescent="0.25">
      <c r="A751" s="384"/>
      <c r="B751" s="386"/>
      <c r="C751" s="131"/>
      <c r="D751" s="131" t="s">
        <v>616</v>
      </c>
      <c r="E751" s="53" t="s">
        <v>1383</v>
      </c>
      <c r="F751" s="314"/>
      <c r="G751" s="314"/>
      <c r="H751" s="314"/>
      <c r="I751" s="314"/>
      <c r="J751" s="314"/>
      <c r="K751" s="314"/>
      <c r="L751" s="314"/>
      <c r="M751" s="314"/>
      <c r="N751" s="314"/>
      <c r="O751" s="314"/>
      <c r="P751" s="314"/>
      <c r="Q751" s="314"/>
      <c r="R751" s="314"/>
      <c r="S751" s="314"/>
      <c r="T751" s="314"/>
      <c r="U751" s="314"/>
      <c r="V751" s="314"/>
      <c r="W751" s="314"/>
      <c r="X751" s="314"/>
      <c r="Y751" s="314"/>
      <c r="Z751" s="314"/>
      <c r="AA751" s="314"/>
      <c r="AB751" s="314"/>
      <c r="AC751" s="314"/>
      <c r="AD751" s="314"/>
      <c r="AE751" s="314"/>
      <c r="AF751" s="314"/>
      <c r="AG751" s="314"/>
      <c r="AH751" s="314"/>
      <c r="AI751" s="314"/>
      <c r="AJ751" s="314"/>
      <c r="AK751" s="314"/>
      <c r="AL751" s="314"/>
      <c r="AM751" s="314"/>
      <c r="AN751" s="314"/>
      <c r="AO751" s="314"/>
    </row>
    <row r="752" spans="1:41" s="73" customFormat="1" x14ac:dyDescent="0.25">
      <c r="A752" s="384"/>
      <c r="B752" s="386"/>
      <c r="C752" s="131"/>
      <c r="D752" s="131" t="s">
        <v>617</v>
      </c>
      <c r="E752" s="53" t="s">
        <v>1384</v>
      </c>
      <c r="F752" s="314"/>
      <c r="G752" s="314"/>
      <c r="H752" s="314"/>
      <c r="I752" s="314"/>
      <c r="J752" s="314"/>
      <c r="K752" s="314"/>
      <c r="L752" s="314"/>
      <c r="M752" s="314"/>
      <c r="N752" s="314"/>
      <c r="O752" s="314"/>
      <c r="P752" s="314"/>
      <c r="Q752" s="314"/>
      <c r="R752" s="314"/>
      <c r="S752" s="314"/>
      <c r="T752" s="314"/>
      <c r="U752" s="314"/>
      <c r="V752" s="314"/>
      <c r="W752" s="314"/>
      <c r="X752" s="314"/>
      <c r="Y752" s="314"/>
      <c r="Z752" s="314"/>
      <c r="AA752" s="314"/>
      <c r="AB752" s="314"/>
      <c r="AC752" s="314"/>
      <c r="AD752" s="314"/>
      <c r="AE752" s="314"/>
      <c r="AF752" s="314"/>
      <c r="AG752" s="314"/>
      <c r="AH752" s="314"/>
      <c r="AI752" s="314"/>
      <c r="AJ752" s="314"/>
      <c r="AK752" s="314"/>
      <c r="AL752" s="314"/>
      <c r="AM752" s="314"/>
      <c r="AN752" s="314"/>
      <c r="AO752" s="314"/>
    </row>
    <row r="753" spans="1:41" s="73" customFormat="1" x14ac:dyDescent="0.25">
      <c r="A753" s="384"/>
      <c r="B753" s="386"/>
      <c r="C753" s="131"/>
      <c r="D753" s="131" t="s">
        <v>618</v>
      </c>
      <c r="E753" s="53" t="s">
        <v>1385</v>
      </c>
      <c r="F753" s="314"/>
      <c r="G753" s="314"/>
      <c r="H753" s="314"/>
      <c r="I753" s="314"/>
      <c r="J753" s="314"/>
      <c r="K753" s="314"/>
      <c r="L753" s="314"/>
      <c r="M753" s="314"/>
      <c r="N753" s="314"/>
      <c r="O753" s="314"/>
      <c r="P753" s="314"/>
      <c r="Q753" s="314"/>
      <c r="R753" s="314"/>
      <c r="S753" s="314"/>
      <c r="T753" s="314"/>
      <c r="U753" s="314"/>
      <c r="V753" s="314"/>
      <c r="W753" s="314"/>
      <c r="X753" s="314"/>
      <c r="Y753" s="314"/>
      <c r="Z753" s="314"/>
      <c r="AA753" s="314"/>
      <c r="AB753" s="314"/>
      <c r="AC753" s="314"/>
      <c r="AD753" s="314"/>
      <c r="AE753" s="314"/>
      <c r="AF753" s="314"/>
      <c r="AG753" s="314"/>
      <c r="AH753" s="314"/>
      <c r="AI753" s="314"/>
      <c r="AJ753" s="314"/>
      <c r="AK753" s="314"/>
      <c r="AL753" s="314"/>
      <c r="AM753" s="314"/>
      <c r="AN753" s="314"/>
      <c r="AO753" s="314"/>
    </row>
    <row r="754" spans="1:41" s="73" customFormat="1" x14ac:dyDescent="0.25">
      <c r="A754" s="384"/>
      <c r="B754" s="386"/>
      <c r="C754" s="131"/>
      <c r="D754" s="131" t="s">
        <v>619</v>
      </c>
      <c r="E754" s="53" t="s">
        <v>1386</v>
      </c>
      <c r="F754" s="314"/>
      <c r="G754" s="314"/>
      <c r="H754" s="314"/>
      <c r="I754" s="314"/>
      <c r="J754" s="314"/>
      <c r="K754" s="314"/>
      <c r="L754" s="314"/>
      <c r="M754" s="314"/>
      <c r="N754" s="314"/>
      <c r="O754" s="314"/>
      <c r="P754" s="314"/>
      <c r="Q754" s="314"/>
      <c r="R754" s="314"/>
      <c r="S754" s="314"/>
      <c r="T754" s="314"/>
      <c r="U754" s="314"/>
      <c r="V754" s="314"/>
      <c r="W754" s="314"/>
      <c r="X754" s="314"/>
      <c r="Y754" s="314"/>
      <c r="Z754" s="314"/>
      <c r="AA754" s="314"/>
      <c r="AB754" s="314"/>
      <c r="AC754" s="314"/>
      <c r="AD754" s="314"/>
      <c r="AE754" s="314"/>
      <c r="AF754" s="314"/>
      <c r="AG754" s="314"/>
      <c r="AH754" s="314"/>
      <c r="AI754" s="314"/>
      <c r="AJ754" s="314"/>
      <c r="AK754" s="314"/>
      <c r="AL754" s="314"/>
      <c r="AM754" s="314"/>
      <c r="AN754" s="314"/>
      <c r="AO754" s="314"/>
    </row>
    <row r="755" spans="1:41" s="73" customFormat="1" x14ac:dyDescent="0.25">
      <c r="A755" s="384"/>
      <c r="B755" s="386"/>
      <c r="C755" s="131"/>
      <c r="D755" s="131" t="s">
        <v>620</v>
      </c>
      <c r="E755" s="53" t="s">
        <v>1387</v>
      </c>
      <c r="F755" s="314"/>
      <c r="G755" s="314"/>
      <c r="H755" s="314"/>
      <c r="I755" s="314"/>
      <c r="J755" s="314"/>
      <c r="K755" s="314"/>
      <c r="L755" s="314"/>
      <c r="M755" s="314"/>
      <c r="N755" s="314"/>
      <c r="O755" s="314"/>
      <c r="P755" s="314"/>
      <c r="Q755" s="314"/>
      <c r="R755" s="314"/>
      <c r="S755" s="314"/>
      <c r="T755" s="314"/>
      <c r="U755" s="314"/>
      <c r="V755" s="314"/>
      <c r="W755" s="314"/>
      <c r="X755" s="314"/>
      <c r="Y755" s="314"/>
      <c r="Z755" s="314"/>
      <c r="AA755" s="314"/>
      <c r="AB755" s="314"/>
      <c r="AC755" s="314"/>
      <c r="AD755" s="314"/>
      <c r="AE755" s="314"/>
      <c r="AF755" s="314"/>
      <c r="AG755" s="314"/>
      <c r="AH755" s="314"/>
      <c r="AI755" s="314"/>
      <c r="AJ755" s="314"/>
      <c r="AK755" s="314"/>
      <c r="AL755" s="314"/>
      <c r="AM755" s="314"/>
      <c r="AN755" s="314"/>
      <c r="AO755" s="314"/>
    </row>
    <row r="756" spans="1:41" s="73" customFormat="1" x14ac:dyDescent="0.25">
      <c r="A756" s="384"/>
      <c r="B756" s="386"/>
      <c r="C756" s="131"/>
      <c r="D756" s="131" t="s">
        <v>621</v>
      </c>
      <c r="E756" s="53" t="s">
        <v>1388</v>
      </c>
      <c r="F756" s="314"/>
      <c r="G756" s="314"/>
      <c r="H756" s="314"/>
      <c r="I756" s="314"/>
      <c r="J756" s="314"/>
      <c r="K756" s="314"/>
      <c r="L756" s="314"/>
      <c r="M756" s="314"/>
      <c r="N756" s="314"/>
      <c r="O756" s="314"/>
      <c r="P756" s="314"/>
      <c r="Q756" s="314"/>
      <c r="R756" s="314"/>
      <c r="S756" s="314"/>
      <c r="T756" s="314"/>
      <c r="U756" s="314"/>
      <c r="V756" s="314"/>
      <c r="W756" s="314"/>
      <c r="X756" s="314"/>
      <c r="Y756" s="314"/>
      <c r="Z756" s="314"/>
      <c r="AA756" s="314"/>
      <c r="AB756" s="314"/>
      <c r="AC756" s="314"/>
      <c r="AD756" s="314"/>
      <c r="AE756" s="314"/>
      <c r="AF756" s="314"/>
      <c r="AG756" s="314"/>
      <c r="AH756" s="314"/>
      <c r="AI756" s="314"/>
      <c r="AJ756" s="314"/>
      <c r="AK756" s="314"/>
      <c r="AL756" s="314"/>
      <c r="AM756" s="314"/>
      <c r="AN756" s="314"/>
      <c r="AO756" s="314"/>
    </row>
    <row r="757" spans="1:41" s="73" customFormat="1" x14ac:dyDescent="0.25">
      <c r="A757" s="384"/>
      <c r="B757" s="386"/>
      <c r="C757" s="131"/>
      <c r="D757" s="131" t="s">
        <v>622</v>
      </c>
      <c r="E757" s="53" t="s">
        <v>1389</v>
      </c>
      <c r="F757" s="314"/>
      <c r="G757" s="314"/>
      <c r="H757" s="314"/>
      <c r="I757" s="314"/>
      <c r="J757" s="314"/>
      <c r="K757" s="314"/>
      <c r="L757" s="314"/>
      <c r="M757" s="314"/>
      <c r="N757" s="314"/>
      <c r="O757" s="314"/>
      <c r="P757" s="314"/>
      <c r="Q757" s="314"/>
      <c r="R757" s="314"/>
      <c r="S757" s="314"/>
      <c r="T757" s="314"/>
      <c r="U757" s="314"/>
      <c r="V757" s="314"/>
      <c r="W757" s="314"/>
      <c r="X757" s="314"/>
      <c r="Y757" s="314"/>
      <c r="Z757" s="314"/>
      <c r="AA757" s="314"/>
      <c r="AB757" s="314"/>
      <c r="AC757" s="314"/>
      <c r="AD757" s="314"/>
      <c r="AE757" s="314"/>
      <c r="AF757" s="314"/>
      <c r="AG757" s="314"/>
      <c r="AH757" s="314"/>
      <c r="AI757" s="314"/>
      <c r="AJ757" s="314"/>
      <c r="AK757" s="314"/>
      <c r="AL757" s="314"/>
      <c r="AM757" s="314"/>
      <c r="AN757" s="314"/>
      <c r="AO757" s="314"/>
    </row>
    <row r="758" spans="1:41" s="73" customFormat="1" x14ac:dyDescent="0.25">
      <c r="A758" s="384"/>
      <c r="B758" s="386"/>
      <c r="C758" s="131"/>
      <c r="D758" s="131" t="s">
        <v>510</v>
      </c>
      <c r="E758" s="53" t="s">
        <v>1390</v>
      </c>
      <c r="F758" s="314"/>
      <c r="G758" s="314"/>
      <c r="H758" s="314"/>
      <c r="I758" s="314"/>
      <c r="J758" s="314"/>
      <c r="K758" s="314"/>
      <c r="L758" s="314"/>
      <c r="M758" s="314"/>
      <c r="N758" s="314"/>
      <c r="O758" s="314"/>
      <c r="P758" s="314"/>
      <c r="Q758" s="314"/>
      <c r="R758" s="314"/>
      <c r="S758" s="314"/>
      <c r="T758" s="314"/>
      <c r="U758" s="314"/>
      <c r="V758" s="314"/>
      <c r="W758" s="314"/>
      <c r="X758" s="314"/>
      <c r="Y758" s="314"/>
      <c r="Z758" s="314"/>
      <c r="AA758" s="314"/>
      <c r="AB758" s="314"/>
      <c r="AC758" s="314"/>
      <c r="AD758" s="314"/>
      <c r="AE758" s="314"/>
      <c r="AF758" s="314"/>
      <c r="AG758" s="314"/>
      <c r="AH758" s="314"/>
      <c r="AI758" s="314"/>
      <c r="AJ758" s="314"/>
      <c r="AK758" s="314"/>
      <c r="AL758" s="314"/>
      <c r="AM758" s="314"/>
      <c r="AN758" s="314"/>
      <c r="AO758" s="314"/>
    </row>
    <row r="759" spans="1:41" s="73" customFormat="1" x14ac:dyDescent="0.25">
      <c r="A759" s="384"/>
      <c r="B759" s="386"/>
      <c r="C759" s="131"/>
      <c r="D759" s="131" t="s">
        <v>511</v>
      </c>
      <c r="E759" s="53" t="s">
        <v>1391</v>
      </c>
      <c r="F759" s="314"/>
      <c r="G759" s="314"/>
      <c r="H759" s="314"/>
      <c r="I759" s="314"/>
      <c r="J759" s="314"/>
      <c r="K759" s="314"/>
      <c r="L759" s="314"/>
      <c r="M759" s="314"/>
      <c r="N759" s="314"/>
      <c r="O759" s="314"/>
      <c r="P759" s="314"/>
      <c r="Q759" s="314"/>
      <c r="R759" s="314"/>
      <c r="S759" s="314"/>
      <c r="T759" s="314"/>
      <c r="U759" s="314"/>
      <c r="V759" s="314"/>
      <c r="W759" s="314"/>
      <c r="X759" s="314"/>
      <c r="Y759" s="314"/>
      <c r="Z759" s="314"/>
      <c r="AA759" s="314"/>
      <c r="AB759" s="314"/>
      <c r="AC759" s="314"/>
      <c r="AD759" s="314"/>
      <c r="AE759" s="314"/>
      <c r="AF759" s="314"/>
      <c r="AG759" s="314"/>
      <c r="AH759" s="314"/>
      <c r="AI759" s="314"/>
      <c r="AJ759" s="314"/>
      <c r="AK759" s="314"/>
      <c r="AL759" s="314"/>
      <c r="AM759" s="314"/>
      <c r="AN759" s="314"/>
      <c r="AO759" s="314"/>
    </row>
    <row r="760" spans="1:41" s="73" customFormat="1" x14ac:dyDescent="0.25">
      <c r="A760" s="384"/>
      <c r="B760" s="386"/>
      <c r="C760" s="131"/>
      <c r="D760" s="131" t="s">
        <v>512</v>
      </c>
      <c r="E760" s="53" t="s">
        <v>1392</v>
      </c>
      <c r="F760" s="314"/>
      <c r="G760" s="314"/>
      <c r="H760" s="314"/>
      <c r="I760" s="314"/>
      <c r="J760" s="314"/>
      <c r="K760" s="314"/>
      <c r="L760" s="314"/>
      <c r="M760" s="314"/>
      <c r="N760" s="314"/>
      <c r="O760" s="314"/>
      <c r="P760" s="314"/>
      <c r="Q760" s="314"/>
      <c r="R760" s="314"/>
      <c r="S760" s="314"/>
      <c r="T760" s="314"/>
      <c r="U760" s="314"/>
      <c r="V760" s="314"/>
      <c r="W760" s="314"/>
      <c r="X760" s="314"/>
      <c r="Y760" s="314"/>
      <c r="Z760" s="314"/>
      <c r="AA760" s="314"/>
      <c r="AB760" s="314"/>
      <c r="AC760" s="314"/>
      <c r="AD760" s="314"/>
      <c r="AE760" s="314"/>
      <c r="AF760" s="314"/>
      <c r="AG760" s="314"/>
      <c r="AH760" s="314"/>
      <c r="AI760" s="314"/>
      <c r="AJ760" s="314"/>
      <c r="AK760" s="314"/>
      <c r="AL760" s="314"/>
      <c r="AM760" s="314"/>
      <c r="AN760" s="314"/>
      <c r="AO760" s="314"/>
    </row>
    <row r="761" spans="1:41" s="73" customFormat="1" x14ac:dyDescent="0.25">
      <c r="A761" s="384"/>
      <c r="B761" s="386"/>
      <c r="C761" s="131"/>
      <c r="D761" s="131" t="s">
        <v>513</v>
      </c>
      <c r="E761" s="53" t="s">
        <v>1393</v>
      </c>
      <c r="F761" s="314"/>
      <c r="G761" s="314"/>
      <c r="H761" s="314"/>
      <c r="I761" s="314"/>
      <c r="J761" s="314"/>
      <c r="K761" s="314"/>
      <c r="L761" s="314"/>
      <c r="M761" s="314"/>
      <c r="N761" s="314"/>
      <c r="O761" s="314"/>
      <c r="P761" s="314"/>
      <c r="Q761" s="314"/>
      <c r="R761" s="314"/>
      <c r="S761" s="314"/>
      <c r="T761" s="314"/>
      <c r="U761" s="314"/>
      <c r="V761" s="314"/>
      <c r="W761" s="314"/>
      <c r="X761" s="314"/>
      <c r="Y761" s="314"/>
      <c r="Z761" s="314"/>
      <c r="AA761" s="314"/>
      <c r="AB761" s="314"/>
      <c r="AC761" s="314"/>
      <c r="AD761" s="314"/>
      <c r="AE761" s="314"/>
      <c r="AF761" s="314"/>
      <c r="AG761" s="314"/>
      <c r="AH761" s="314"/>
      <c r="AI761" s="314"/>
      <c r="AJ761" s="314"/>
      <c r="AK761" s="314"/>
      <c r="AL761" s="314"/>
      <c r="AM761" s="314"/>
      <c r="AN761" s="314"/>
      <c r="AO761" s="314"/>
    </row>
    <row r="762" spans="1:41" s="73" customFormat="1" x14ac:dyDescent="0.25">
      <c r="A762" s="384"/>
      <c r="B762" s="386"/>
      <c r="C762" s="131"/>
      <c r="D762" s="131" t="s">
        <v>514</v>
      </c>
      <c r="E762" s="53" t="s">
        <v>1394</v>
      </c>
      <c r="F762" s="314"/>
      <c r="G762" s="314"/>
      <c r="H762" s="314"/>
      <c r="I762" s="314"/>
      <c r="J762" s="314"/>
      <c r="K762" s="314"/>
      <c r="L762" s="314"/>
      <c r="M762" s="314"/>
      <c r="N762" s="314"/>
      <c r="O762" s="314"/>
      <c r="P762" s="314"/>
      <c r="Q762" s="314"/>
      <c r="R762" s="314"/>
      <c r="S762" s="314"/>
      <c r="T762" s="314"/>
      <c r="U762" s="314"/>
      <c r="V762" s="314"/>
      <c r="W762" s="314"/>
      <c r="X762" s="314"/>
      <c r="Y762" s="314"/>
      <c r="Z762" s="314"/>
      <c r="AA762" s="314"/>
      <c r="AB762" s="314"/>
      <c r="AC762" s="314"/>
      <c r="AD762" s="314"/>
      <c r="AE762" s="314"/>
      <c r="AF762" s="314"/>
      <c r="AG762" s="314"/>
      <c r="AH762" s="314"/>
      <c r="AI762" s="314"/>
      <c r="AJ762" s="314"/>
      <c r="AK762" s="314"/>
      <c r="AL762" s="314"/>
      <c r="AM762" s="314"/>
      <c r="AN762" s="314"/>
      <c r="AO762" s="314"/>
    </row>
    <row r="763" spans="1:41" s="73" customFormat="1" x14ac:dyDescent="0.25">
      <c r="A763" s="384"/>
      <c r="B763" s="386"/>
      <c r="C763" s="131"/>
      <c r="D763" s="131" t="s">
        <v>515</v>
      </c>
      <c r="E763" s="53" t="s">
        <v>1395</v>
      </c>
      <c r="F763" s="314"/>
      <c r="G763" s="314"/>
      <c r="H763" s="314"/>
      <c r="I763" s="314"/>
      <c r="J763" s="314"/>
      <c r="K763" s="314"/>
      <c r="L763" s="314"/>
      <c r="M763" s="314"/>
      <c r="N763" s="314"/>
      <c r="O763" s="314"/>
      <c r="P763" s="314"/>
      <c r="Q763" s="314"/>
      <c r="R763" s="314"/>
      <c r="S763" s="314"/>
      <c r="T763" s="314"/>
      <c r="U763" s="314"/>
      <c r="V763" s="314"/>
      <c r="W763" s="314"/>
      <c r="X763" s="314"/>
      <c r="Y763" s="314"/>
      <c r="Z763" s="314"/>
      <c r="AA763" s="314"/>
      <c r="AB763" s="314"/>
      <c r="AC763" s="314"/>
      <c r="AD763" s="314"/>
      <c r="AE763" s="314"/>
      <c r="AF763" s="314"/>
      <c r="AG763" s="314"/>
      <c r="AH763" s="314"/>
      <c r="AI763" s="314"/>
      <c r="AJ763" s="314"/>
      <c r="AK763" s="314"/>
      <c r="AL763" s="314"/>
      <c r="AM763" s="314"/>
      <c r="AN763" s="314"/>
      <c r="AO763" s="314"/>
    </row>
    <row r="764" spans="1:41" s="73" customFormat="1" x14ac:dyDescent="0.25">
      <c r="A764" s="384"/>
      <c r="B764" s="386"/>
      <c r="C764" s="131"/>
      <c r="D764" s="131" t="s">
        <v>516</v>
      </c>
      <c r="E764" s="53" t="s">
        <v>1396</v>
      </c>
      <c r="F764" s="314"/>
      <c r="G764" s="314"/>
      <c r="H764" s="314"/>
      <c r="I764" s="314"/>
      <c r="J764" s="314"/>
      <c r="K764" s="314"/>
      <c r="L764" s="314"/>
      <c r="M764" s="314"/>
      <c r="N764" s="314"/>
      <c r="O764" s="314"/>
      <c r="P764" s="314"/>
      <c r="Q764" s="314"/>
      <c r="R764" s="314"/>
      <c r="S764" s="314"/>
      <c r="T764" s="314"/>
      <c r="U764" s="314"/>
      <c r="V764" s="314"/>
      <c r="W764" s="314"/>
      <c r="X764" s="314"/>
      <c r="Y764" s="314"/>
      <c r="Z764" s="314"/>
      <c r="AA764" s="314"/>
      <c r="AB764" s="314"/>
      <c r="AC764" s="314"/>
      <c r="AD764" s="314"/>
      <c r="AE764" s="314"/>
      <c r="AF764" s="314"/>
      <c r="AG764" s="314"/>
      <c r="AH764" s="314"/>
      <c r="AI764" s="314"/>
      <c r="AJ764" s="314"/>
      <c r="AK764" s="314"/>
      <c r="AL764" s="314"/>
      <c r="AM764" s="314"/>
      <c r="AN764" s="314"/>
      <c r="AO764" s="314"/>
    </row>
    <row r="765" spans="1:41" s="73" customFormat="1" x14ac:dyDescent="0.25">
      <c r="A765" s="384"/>
      <c r="B765" s="386"/>
      <c r="C765" s="131"/>
      <c r="D765" s="131" t="s">
        <v>517</v>
      </c>
      <c r="E765" s="53" t="s">
        <v>1397</v>
      </c>
      <c r="F765" s="314"/>
      <c r="G765" s="314"/>
      <c r="H765" s="314"/>
      <c r="I765" s="314"/>
      <c r="J765" s="314"/>
      <c r="K765" s="314"/>
      <c r="L765" s="314"/>
      <c r="M765" s="314"/>
      <c r="N765" s="314"/>
      <c r="O765" s="314"/>
      <c r="P765" s="314"/>
      <c r="Q765" s="314"/>
      <c r="R765" s="314"/>
      <c r="S765" s="314"/>
      <c r="T765" s="314"/>
      <c r="U765" s="314"/>
      <c r="V765" s="314"/>
      <c r="W765" s="314"/>
      <c r="X765" s="314"/>
      <c r="Y765" s="314"/>
      <c r="Z765" s="314"/>
      <c r="AA765" s="314"/>
      <c r="AB765" s="314"/>
      <c r="AC765" s="314"/>
      <c r="AD765" s="314"/>
      <c r="AE765" s="314"/>
      <c r="AF765" s="314"/>
      <c r="AG765" s="314"/>
      <c r="AH765" s="314"/>
      <c r="AI765" s="314"/>
      <c r="AJ765" s="314"/>
      <c r="AK765" s="314"/>
      <c r="AL765" s="314"/>
      <c r="AM765" s="314"/>
      <c r="AN765" s="314"/>
      <c r="AO765" s="314"/>
    </row>
    <row r="766" spans="1:41" s="73" customFormat="1" x14ac:dyDescent="0.25">
      <c r="A766" s="384"/>
      <c r="B766" s="386"/>
      <c r="C766" s="131"/>
      <c r="D766" s="131" t="s">
        <v>518</v>
      </c>
      <c r="E766" s="53" t="s">
        <v>1398</v>
      </c>
      <c r="F766" s="314"/>
      <c r="G766" s="314"/>
      <c r="H766" s="314"/>
      <c r="I766" s="314"/>
      <c r="J766" s="314"/>
      <c r="K766" s="314"/>
      <c r="L766" s="314"/>
      <c r="M766" s="314"/>
      <c r="N766" s="314"/>
      <c r="O766" s="314"/>
      <c r="P766" s="314"/>
      <c r="Q766" s="314"/>
      <c r="R766" s="314"/>
      <c r="S766" s="314"/>
      <c r="T766" s="314"/>
      <c r="U766" s="314"/>
      <c r="V766" s="314"/>
      <c r="W766" s="314"/>
      <c r="X766" s="314"/>
      <c r="Y766" s="314"/>
      <c r="Z766" s="314"/>
      <c r="AA766" s="314"/>
      <c r="AB766" s="314"/>
      <c r="AC766" s="314"/>
      <c r="AD766" s="314"/>
      <c r="AE766" s="314"/>
      <c r="AF766" s="314"/>
      <c r="AG766" s="314"/>
      <c r="AH766" s="314"/>
      <c r="AI766" s="314"/>
      <c r="AJ766" s="314"/>
      <c r="AK766" s="314"/>
      <c r="AL766" s="314"/>
      <c r="AM766" s="314"/>
      <c r="AN766" s="314"/>
      <c r="AO766" s="314"/>
    </row>
    <row r="767" spans="1:41" s="73" customFormat="1" x14ac:dyDescent="0.25">
      <c r="A767" s="384"/>
      <c r="B767" s="386"/>
      <c r="C767" s="169" t="s">
        <v>1089</v>
      </c>
      <c r="D767" s="131"/>
      <c r="E767" s="53"/>
      <c r="F767" s="314"/>
      <c r="G767" s="314"/>
      <c r="H767" s="314"/>
      <c r="I767" s="314"/>
      <c r="J767" s="314"/>
      <c r="K767" s="314"/>
      <c r="L767" s="314"/>
      <c r="M767" s="314"/>
      <c r="N767" s="314"/>
      <c r="O767" s="314"/>
      <c r="P767" s="314"/>
      <c r="Q767" s="314"/>
      <c r="R767" s="314"/>
      <c r="S767" s="314"/>
      <c r="T767" s="314"/>
      <c r="U767" s="314"/>
      <c r="V767" s="314"/>
      <c r="W767" s="314"/>
      <c r="X767" s="314"/>
      <c r="Y767" s="314"/>
      <c r="Z767" s="314"/>
      <c r="AA767" s="314"/>
      <c r="AB767" s="314"/>
      <c r="AC767" s="314"/>
      <c r="AD767" s="314"/>
      <c r="AE767" s="314"/>
      <c r="AF767" s="314"/>
      <c r="AG767" s="314"/>
      <c r="AH767" s="314"/>
      <c r="AI767" s="314"/>
      <c r="AJ767" s="314"/>
      <c r="AK767" s="314"/>
      <c r="AL767" s="314"/>
      <c r="AM767" s="314"/>
      <c r="AN767" s="314"/>
      <c r="AO767" s="314"/>
    </row>
    <row r="768" spans="1:41" s="73" customFormat="1" x14ac:dyDescent="0.25">
      <c r="A768" s="384"/>
      <c r="B768" s="386"/>
      <c r="C768" s="131"/>
      <c r="D768" s="131" t="s">
        <v>604</v>
      </c>
      <c r="E768" s="53" t="s">
        <v>1399</v>
      </c>
      <c r="F768" s="314"/>
      <c r="G768" s="314"/>
      <c r="H768" s="314"/>
      <c r="I768" s="314"/>
      <c r="J768" s="314"/>
      <c r="K768" s="314"/>
      <c r="L768" s="314"/>
      <c r="M768" s="314"/>
      <c r="N768" s="314"/>
      <c r="O768" s="314"/>
      <c r="P768" s="314"/>
      <c r="Q768" s="314"/>
      <c r="R768" s="314"/>
      <c r="S768" s="314"/>
      <c r="T768" s="314"/>
      <c r="U768" s="314"/>
      <c r="V768" s="314"/>
      <c r="W768" s="314"/>
      <c r="X768" s="314"/>
      <c r="Y768" s="314"/>
      <c r="Z768" s="314"/>
      <c r="AA768" s="314"/>
      <c r="AB768" s="314"/>
      <c r="AC768" s="314"/>
      <c r="AD768" s="314"/>
      <c r="AE768" s="314"/>
      <c r="AF768" s="314"/>
      <c r="AG768" s="314"/>
      <c r="AH768" s="314"/>
      <c r="AI768" s="314"/>
      <c r="AJ768" s="314"/>
      <c r="AK768" s="314"/>
      <c r="AL768" s="314"/>
      <c r="AM768" s="314"/>
      <c r="AN768" s="314"/>
      <c r="AO768" s="314"/>
    </row>
    <row r="769" spans="1:41" s="73" customFormat="1" x14ac:dyDescent="0.25">
      <c r="A769" s="384"/>
      <c r="B769" s="386"/>
      <c r="C769" s="131"/>
      <c r="D769" s="131" t="s">
        <v>605</v>
      </c>
      <c r="E769" s="53" t="s">
        <v>1400</v>
      </c>
      <c r="F769" s="314"/>
      <c r="G769" s="314"/>
      <c r="H769" s="314"/>
      <c r="I769" s="314"/>
      <c r="J769" s="314"/>
      <c r="K769" s="314"/>
      <c r="L769" s="314"/>
      <c r="M769" s="314"/>
      <c r="N769" s="314"/>
      <c r="O769" s="314"/>
      <c r="P769" s="314"/>
      <c r="Q769" s="314"/>
      <c r="R769" s="314"/>
      <c r="S769" s="314"/>
      <c r="T769" s="314"/>
      <c r="U769" s="314"/>
      <c r="V769" s="314"/>
      <c r="W769" s="314"/>
      <c r="X769" s="314"/>
      <c r="Y769" s="314"/>
      <c r="Z769" s="314"/>
      <c r="AA769" s="314"/>
      <c r="AB769" s="314"/>
      <c r="AC769" s="314"/>
      <c r="AD769" s="314"/>
      <c r="AE769" s="314"/>
      <c r="AF769" s="314"/>
      <c r="AG769" s="314"/>
      <c r="AH769" s="314"/>
      <c r="AI769" s="314"/>
      <c r="AJ769" s="314"/>
      <c r="AK769" s="314"/>
      <c r="AL769" s="314"/>
      <c r="AM769" s="314"/>
      <c r="AN769" s="314"/>
      <c r="AO769" s="314"/>
    </row>
    <row r="770" spans="1:41" s="73" customFormat="1" x14ac:dyDescent="0.25">
      <c r="A770" s="384"/>
      <c r="B770" s="386"/>
      <c r="C770" s="131"/>
      <c r="D770" s="131" t="s">
        <v>606</v>
      </c>
      <c r="E770" s="53" t="s">
        <v>1401</v>
      </c>
      <c r="F770" s="314"/>
      <c r="G770" s="314"/>
      <c r="H770" s="314"/>
      <c r="I770" s="314"/>
      <c r="J770" s="314"/>
      <c r="K770" s="314"/>
      <c r="L770" s="314"/>
      <c r="M770" s="314"/>
      <c r="N770" s="314"/>
      <c r="O770" s="314"/>
      <c r="P770" s="314"/>
      <c r="Q770" s="314"/>
      <c r="R770" s="314"/>
      <c r="S770" s="314"/>
      <c r="T770" s="314"/>
      <c r="U770" s="314"/>
      <c r="V770" s="314"/>
      <c r="W770" s="314"/>
      <c r="X770" s="314"/>
      <c r="Y770" s="314"/>
      <c r="Z770" s="314"/>
      <c r="AA770" s="314"/>
      <c r="AB770" s="314"/>
      <c r="AC770" s="314"/>
      <c r="AD770" s="314"/>
      <c r="AE770" s="314"/>
      <c r="AF770" s="314"/>
      <c r="AG770" s="314"/>
      <c r="AH770" s="314"/>
      <c r="AI770" s="314"/>
      <c r="AJ770" s="314"/>
      <c r="AK770" s="314"/>
      <c r="AL770" s="314"/>
      <c r="AM770" s="314"/>
      <c r="AN770" s="314"/>
      <c r="AO770" s="314"/>
    </row>
    <row r="771" spans="1:41" s="73" customFormat="1" x14ac:dyDescent="0.25">
      <c r="A771" s="384"/>
      <c r="B771" s="386"/>
      <c r="C771" s="131"/>
      <c r="D771" s="131" t="s">
        <v>607</v>
      </c>
      <c r="E771" s="53" t="s">
        <v>1402</v>
      </c>
      <c r="F771" s="314"/>
      <c r="G771" s="314"/>
      <c r="H771" s="314"/>
      <c r="I771" s="314"/>
      <c r="J771" s="314"/>
      <c r="K771" s="314"/>
      <c r="L771" s="314"/>
      <c r="M771" s="314"/>
      <c r="N771" s="314"/>
      <c r="O771" s="314"/>
      <c r="P771" s="314"/>
      <c r="Q771" s="314"/>
      <c r="R771" s="314"/>
      <c r="S771" s="314"/>
      <c r="T771" s="314"/>
      <c r="U771" s="314"/>
      <c r="V771" s="314"/>
      <c r="W771" s="314"/>
      <c r="X771" s="314"/>
      <c r="Y771" s="314"/>
      <c r="Z771" s="314"/>
      <c r="AA771" s="314"/>
      <c r="AB771" s="314"/>
      <c r="AC771" s="314"/>
      <c r="AD771" s="314"/>
      <c r="AE771" s="314"/>
      <c r="AF771" s="314"/>
      <c r="AG771" s="314"/>
      <c r="AH771" s="314"/>
      <c r="AI771" s="314"/>
      <c r="AJ771" s="314"/>
      <c r="AK771" s="314"/>
      <c r="AL771" s="314"/>
      <c r="AM771" s="314"/>
      <c r="AN771" s="314"/>
      <c r="AO771" s="314"/>
    </row>
    <row r="772" spans="1:41" s="73" customFormat="1" x14ac:dyDescent="0.25">
      <c r="A772" s="384"/>
      <c r="B772" s="386"/>
      <c r="C772" s="131"/>
      <c r="D772" s="131" t="s">
        <v>608</v>
      </c>
      <c r="E772" s="53" t="s">
        <v>1403</v>
      </c>
      <c r="F772" s="314"/>
      <c r="G772" s="314"/>
      <c r="H772" s="314"/>
      <c r="I772" s="314"/>
      <c r="J772" s="314"/>
      <c r="K772" s="314"/>
      <c r="L772" s="314"/>
      <c r="M772" s="314"/>
      <c r="N772" s="314"/>
      <c r="O772" s="314"/>
      <c r="P772" s="314"/>
      <c r="Q772" s="314"/>
      <c r="R772" s="314"/>
      <c r="S772" s="314"/>
      <c r="T772" s="314"/>
      <c r="U772" s="314"/>
      <c r="V772" s="314"/>
      <c r="W772" s="314"/>
      <c r="X772" s="314"/>
      <c r="Y772" s="314"/>
      <c r="Z772" s="314"/>
      <c r="AA772" s="314"/>
      <c r="AB772" s="314"/>
      <c r="AC772" s="314"/>
      <c r="AD772" s="314"/>
      <c r="AE772" s="314"/>
      <c r="AF772" s="314"/>
      <c r="AG772" s="314"/>
      <c r="AH772" s="314"/>
      <c r="AI772" s="314"/>
      <c r="AJ772" s="314"/>
      <c r="AK772" s="314"/>
      <c r="AL772" s="314"/>
      <c r="AM772" s="314"/>
      <c r="AN772" s="314"/>
      <c r="AO772" s="314"/>
    </row>
    <row r="773" spans="1:41" s="73" customFormat="1" x14ac:dyDescent="0.25">
      <c r="A773" s="384"/>
      <c r="B773" s="386"/>
      <c r="C773" s="131"/>
      <c r="D773" s="131" t="s">
        <v>609</v>
      </c>
      <c r="E773" s="53" t="s">
        <v>1404</v>
      </c>
      <c r="F773" s="314"/>
      <c r="G773" s="314"/>
      <c r="H773" s="314"/>
      <c r="I773" s="314"/>
      <c r="J773" s="314"/>
      <c r="K773" s="314"/>
      <c r="L773" s="314"/>
      <c r="M773" s="314"/>
      <c r="N773" s="314"/>
      <c r="O773" s="314"/>
      <c r="P773" s="314"/>
      <c r="Q773" s="314"/>
      <c r="R773" s="314"/>
      <c r="S773" s="314"/>
      <c r="T773" s="314"/>
      <c r="U773" s="314"/>
      <c r="V773" s="314"/>
      <c r="W773" s="314"/>
      <c r="X773" s="314"/>
      <c r="Y773" s="314"/>
      <c r="Z773" s="314"/>
      <c r="AA773" s="314"/>
      <c r="AB773" s="314"/>
      <c r="AC773" s="314"/>
      <c r="AD773" s="314"/>
      <c r="AE773" s="314"/>
      <c r="AF773" s="314"/>
      <c r="AG773" s="314"/>
      <c r="AH773" s="314"/>
      <c r="AI773" s="314"/>
      <c r="AJ773" s="314"/>
      <c r="AK773" s="314"/>
      <c r="AL773" s="314"/>
      <c r="AM773" s="314"/>
      <c r="AN773" s="314"/>
      <c r="AO773" s="314"/>
    </row>
    <row r="774" spans="1:41" s="73" customFormat="1" x14ac:dyDescent="0.25">
      <c r="A774" s="384"/>
      <c r="B774" s="386"/>
      <c r="C774" s="131"/>
      <c r="D774" s="131" t="s">
        <v>610</v>
      </c>
      <c r="E774" s="53" t="s">
        <v>1405</v>
      </c>
      <c r="F774" s="314"/>
      <c r="G774" s="314"/>
      <c r="H774" s="314"/>
      <c r="I774" s="314"/>
      <c r="J774" s="314"/>
      <c r="K774" s="314"/>
      <c r="L774" s="314"/>
      <c r="M774" s="314"/>
      <c r="N774" s="314"/>
      <c r="O774" s="314"/>
      <c r="P774" s="314"/>
      <c r="Q774" s="314"/>
      <c r="R774" s="314"/>
      <c r="S774" s="314"/>
      <c r="T774" s="314"/>
      <c r="U774" s="314"/>
      <c r="V774" s="314"/>
      <c r="W774" s="314"/>
      <c r="X774" s="314"/>
      <c r="Y774" s="314"/>
      <c r="Z774" s="314"/>
      <c r="AA774" s="314"/>
      <c r="AB774" s="314"/>
      <c r="AC774" s="314"/>
      <c r="AD774" s="314"/>
      <c r="AE774" s="314"/>
      <c r="AF774" s="314"/>
      <c r="AG774" s="314"/>
      <c r="AH774" s="314"/>
      <c r="AI774" s="314"/>
      <c r="AJ774" s="314"/>
      <c r="AK774" s="314"/>
      <c r="AL774" s="314"/>
      <c r="AM774" s="314"/>
      <c r="AN774" s="314"/>
      <c r="AO774" s="314"/>
    </row>
    <row r="775" spans="1:41" s="73" customFormat="1" x14ac:dyDescent="0.25">
      <c r="A775" s="384"/>
      <c r="B775" s="386"/>
      <c r="C775" s="131"/>
      <c r="D775" s="131" t="s">
        <v>611</v>
      </c>
      <c r="E775" s="53" t="s">
        <v>1406</v>
      </c>
      <c r="F775" s="314"/>
      <c r="G775" s="314"/>
      <c r="H775" s="314"/>
      <c r="I775" s="314"/>
      <c r="J775" s="314"/>
      <c r="K775" s="314"/>
      <c r="L775" s="314"/>
      <c r="M775" s="314"/>
      <c r="N775" s="314"/>
      <c r="O775" s="314"/>
      <c r="P775" s="314"/>
      <c r="Q775" s="314"/>
      <c r="R775" s="314"/>
      <c r="S775" s="314"/>
      <c r="T775" s="314"/>
      <c r="U775" s="314"/>
      <c r="V775" s="314"/>
      <c r="W775" s="314"/>
      <c r="X775" s="314"/>
      <c r="Y775" s="314"/>
      <c r="Z775" s="314"/>
      <c r="AA775" s="314"/>
      <c r="AB775" s="314"/>
      <c r="AC775" s="314"/>
      <c r="AD775" s="314"/>
      <c r="AE775" s="314"/>
      <c r="AF775" s="314"/>
      <c r="AG775" s="314"/>
      <c r="AH775" s="314"/>
      <c r="AI775" s="314"/>
      <c r="AJ775" s="314"/>
      <c r="AK775" s="314"/>
      <c r="AL775" s="314"/>
      <c r="AM775" s="314"/>
      <c r="AN775" s="314"/>
      <c r="AO775" s="314"/>
    </row>
    <row r="776" spans="1:41" s="73" customFormat="1" x14ac:dyDescent="0.25">
      <c r="A776" s="384"/>
      <c r="B776" s="386"/>
      <c r="C776" s="131"/>
      <c r="D776" s="131" t="s">
        <v>612</v>
      </c>
      <c r="E776" s="53" t="s">
        <v>1407</v>
      </c>
      <c r="F776" s="314"/>
      <c r="G776" s="314"/>
      <c r="H776" s="314"/>
      <c r="I776" s="314"/>
      <c r="J776" s="314"/>
      <c r="K776" s="314"/>
      <c r="L776" s="314"/>
      <c r="M776" s="314"/>
      <c r="N776" s="314"/>
      <c r="O776" s="314"/>
      <c r="P776" s="314"/>
      <c r="Q776" s="314"/>
      <c r="R776" s="314"/>
      <c r="S776" s="314"/>
      <c r="T776" s="314"/>
      <c r="U776" s="314"/>
      <c r="V776" s="314"/>
      <c r="W776" s="314"/>
      <c r="X776" s="314"/>
      <c r="Y776" s="314"/>
      <c r="Z776" s="314"/>
      <c r="AA776" s="314"/>
      <c r="AB776" s="314"/>
      <c r="AC776" s="314"/>
      <c r="AD776" s="314"/>
      <c r="AE776" s="314"/>
      <c r="AF776" s="314"/>
      <c r="AG776" s="314"/>
      <c r="AH776" s="314"/>
      <c r="AI776" s="314"/>
      <c r="AJ776" s="314"/>
      <c r="AK776" s="314"/>
      <c r="AL776" s="314"/>
      <c r="AM776" s="314"/>
      <c r="AN776" s="314"/>
      <c r="AO776" s="314"/>
    </row>
    <row r="777" spans="1:41" s="73" customFormat="1" x14ac:dyDescent="0.25">
      <c r="A777" s="384"/>
      <c r="B777" s="386"/>
      <c r="C777" s="131"/>
      <c r="D777" s="131" t="s">
        <v>613</v>
      </c>
      <c r="E777" s="53" t="s">
        <v>1408</v>
      </c>
      <c r="F777" s="314"/>
      <c r="G777" s="314"/>
      <c r="H777" s="314"/>
      <c r="I777" s="314"/>
      <c r="J777" s="314"/>
      <c r="K777" s="314"/>
      <c r="L777" s="314"/>
      <c r="M777" s="314"/>
      <c r="N777" s="314"/>
      <c r="O777" s="314"/>
      <c r="P777" s="314"/>
      <c r="Q777" s="314"/>
      <c r="R777" s="314"/>
      <c r="S777" s="314"/>
      <c r="T777" s="314"/>
      <c r="U777" s="314"/>
      <c r="V777" s="314"/>
      <c r="W777" s="314"/>
      <c r="X777" s="314"/>
      <c r="Y777" s="314"/>
      <c r="Z777" s="314"/>
      <c r="AA777" s="314"/>
      <c r="AB777" s="314"/>
      <c r="AC777" s="314"/>
      <c r="AD777" s="314"/>
      <c r="AE777" s="314"/>
      <c r="AF777" s="314"/>
      <c r="AG777" s="314"/>
      <c r="AH777" s="314"/>
      <c r="AI777" s="314"/>
      <c r="AJ777" s="314"/>
      <c r="AK777" s="314"/>
      <c r="AL777" s="314"/>
      <c r="AM777" s="314"/>
      <c r="AN777" s="314"/>
      <c r="AO777" s="314"/>
    </row>
    <row r="778" spans="1:41" s="73" customFormat="1" x14ac:dyDescent="0.25">
      <c r="A778" s="384"/>
      <c r="B778" s="386"/>
      <c r="C778" s="131"/>
      <c r="D778" s="131" t="s">
        <v>614</v>
      </c>
      <c r="E778" s="53" t="s">
        <v>1409</v>
      </c>
      <c r="F778" s="314"/>
      <c r="G778" s="314"/>
      <c r="H778" s="314"/>
      <c r="I778" s="314"/>
      <c r="J778" s="314"/>
      <c r="K778" s="314"/>
      <c r="L778" s="314"/>
      <c r="M778" s="314"/>
      <c r="N778" s="314"/>
      <c r="O778" s="314"/>
      <c r="P778" s="314"/>
      <c r="Q778" s="314"/>
      <c r="R778" s="314"/>
      <c r="S778" s="314"/>
      <c r="T778" s="314"/>
      <c r="U778" s="314"/>
      <c r="V778" s="314"/>
      <c r="W778" s="314"/>
      <c r="X778" s="314"/>
      <c r="Y778" s="314"/>
      <c r="Z778" s="314"/>
      <c r="AA778" s="314"/>
      <c r="AB778" s="314"/>
      <c r="AC778" s="314"/>
      <c r="AD778" s="314"/>
      <c r="AE778" s="314"/>
      <c r="AF778" s="314"/>
      <c r="AG778" s="314"/>
      <c r="AH778" s="314"/>
      <c r="AI778" s="314"/>
      <c r="AJ778" s="314"/>
      <c r="AK778" s="314"/>
      <c r="AL778" s="314"/>
      <c r="AM778" s="314"/>
      <c r="AN778" s="314"/>
      <c r="AO778" s="314"/>
    </row>
    <row r="779" spans="1:41" s="73" customFormat="1" x14ac:dyDescent="0.25">
      <c r="A779" s="384"/>
      <c r="B779" s="386"/>
      <c r="C779" s="131"/>
      <c r="D779" s="131" t="s">
        <v>615</v>
      </c>
      <c r="E779" s="53" t="s">
        <v>1410</v>
      </c>
      <c r="F779" s="314"/>
      <c r="G779" s="314"/>
      <c r="H779" s="314"/>
      <c r="I779" s="314"/>
      <c r="J779" s="314"/>
      <c r="K779" s="314"/>
      <c r="L779" s="314"/>
      <c r="M779" s="314"/>
      <c r="N779" s="314"/>
      <c r="O779" s="314"/>
      <c r="P779" s="314"/>
      <c r="Q779" s="314"/>
      <c r="R779" s="314"/>
      <c r="S779" s="314"/>
      <c r="T779" s="314"/>
      <c r="U779" s="314"/>
      <c r="V779" s="314"/>
      <c r="W779" s="314"/>
      <c r="X779" s="314"/>
      <c r="Y779" s="314"/>
      <c r="Z779" s="314"/>
      <c r="AA779" s="314"/>
      <c r="AB779" s="314"/>
      <c r="AC779" s="314"/>
      <c r="AD779" s="314"/>
      <c r="AE779" s="314"/>
      <c r="AF779" s="314"/>
      <c r="AG779" s="314"/>
      <c r="AH779" s="314"/>
      <c r="AI779" s="314"/>
      <c r="AJ779" s="314"/>
      <c r="AK779" s="314"/>
      <c r="AL779" s="314"/>
      <c r="AM779" s="314"/>
      <c r="AN779" s="314"/>
      <c r="AO779" s="314"/>
    </row>
    <row r="780" spans="1:41" s="73" customFormat="1" x14ac:dyDescent="0.25">
      <c r="A780" s="384"/>
      <c r="B780" s="386"/>
      <c r="C780" s="131"/>
      <c r="D780" s="131" t="s">
        <v>616</v>
      </c>
      <c r="E780" s="53" t="s">
        <v>1411</v>
      </c>
      <c r="F780" s="314"/>
      <c r="G780" s="314"/>
      <c r="H780" s="314"/>
      <c r="I780" s="314"/>
      <c r="J780" s="314"/>
      <c r="K780" s="314"/>
      <c r="L780" s="314"/>
      <c r="M780" s="314"/>
      <c r="N780" s="314"/>
      <c r="O780" s="314"/>
      <c r="P780" s="314"/>
      <c r="Q780" s="314"/>
      <c r="R780" s="314"/>
      <c r="S780" s="314"/>
      <c r="T780" s="314"/>
      <c r="U780" s="314"/>
      <c r="V780" s="314"/>
      <c r="W780" s="314"/>
      <c r="X780" s="314"/>
      <c r="Y780" s="314"/>
      <c r="Z780" s="314"/>
      <c r="AA780" s="314"/>
      <c r="AB780" s="314"/>
      <c r="AC780" s="314"/>
      <c r="AD780" s="314"/>
      <c r="AE780" s="314"/>
      <c r="AF780" s="314"/>
      <c r="AG780" s="314"/>
      <c r="AH780" s="314"/>
      <c r="AI780" s="314"/>
      <c r="AJ780" s="314"/>
      <c r="AK780" s="314"/>
      <c r="AL780" s="314"/>
      <c r="AM780" s="314"/>
      <c r="AN780" s="314"/>
      <c r="AO780" s="314"/>
    </row>
    <row r="781" spans="1:41" s="73" customFormat="1" x14ac:dyDescent="0.25">
      <c r="A781" s="384"/>
      <c r="B781" s="386"/>
      <c r="C781" s="131"/>
      <c r="D781" s="131" t="s">
        <v>617</v>
      </c>
      <c r="E781" s="53" t="s">
        <v>1412</v>
      </c>
      <c r="F781" s="314"/>
      <c r="G781" s="314"/>
      <c r="H781" s="314"/>
      <c r="I781" s="314"/>
      <c r="J781" s="314"/>
      <c r="K781" s="314"/>
      <c r="L781" s="314"/>
      <c r="M781" s="314"/>
      <c r="N781" s="314"/>
      <c r="O781" s="314"/>
      <c r="P781" s="314"/>
      <c r="Q781" s="314"/>
      <c r="R781" s="314"/>
      <c r="S781" s="314"/>
      <c r="T781" s="314"/>
      <c r="U781" s="314"/>
      <c r="V781" s="314"/>
      <c r="W781" s="314"/>
      <c r="X781" s="314"/>
      <c r="Y781" s="314"/>
      <c r="Z781" s="314"/>
      <c r="AA781" s="314"/>
      <c r="AB781" s="314"/>
      <c r="AC781" s="314"/>
      <c r="AD781" s="314"/>
      <c r="AE781" s="314"/>
      <c r="AF781" s="314"/>
      <c r="AG781" s="314"/>
      <c r="AH781" s="314"/>
      <c r="AI781" s="314"/>
      <c r="AJ781" s="314"/>
      <c r="AK781" s="314"/>
      <c r="AL781" s="314"/>
      <c r="AM781" s="314"/>
      <c r="AN781" s="314"/>
      <c r="AO781" s="314"/>
    </row>
    <row r="782" spans="1:41" s="73" customFormat="1" x14ac:dyDescent="0.25">
      <c r="A782" s="384"/>
      <c r="B782" s="386"/>
      <c r="C782" s="131"/>
      <c r="D782" s="131" t="s">
        <v>618</v>
      </c>
      <c r="E782" s="53" t="s">
        <v>1413</v>
      </c>
      <c r="F782" s="314"/>
      <c r="G782" s="314"/>
      <c r="H782" s="314"/>
      <c r="I782" s="314"/>
      <c r="J782" s="314"/>
      <c r="K782" s="314"/>
      <c r="L782" s="314"/>
      <c r="M782" s="314"/>
      <c r="N782" s="314"/>
      <c r="O782" s="314"/>
      <c r="P782" s="314"/>
      <c r="Q782" s="314"/>
      <c r="R782" s="314"/>
      <c r="S782" s="314"/>
      <c r="T782" s="314"/>
      <c r="U782" s="314"/>
      <c r="V782" s="314"/>
      <c r="W782" s="314"/>
      <c r="X782" s="314"/>
      <c r="Y782" s="314"/>
      <c r="Z782" s="314"/>
      <c r="AA782" s="314"/>
      <c r="AB782" s="314"/>
      <c r="AC782" s="314"/>
      <c r="AD782" s="314"/>
      <c r="AE782" s="314"/>
      <c r="AF782" s="314"/>
      <c r="AG782" s="314"/>
      <c r="AH782" s="314"/>
      <c r="AI782" s="314"/>
      <c r="AJ782" s="314"/>
      <c r="AK782" s="314"/>
      <c r="AL782" s="314"/>
      <c r="AM782" s="314"/>
      <c r="AN782" s="314"/>
      <c r="AO782" s="314"/>
    </row>
    <row r="783" spans="1:41" s="73" customFormat="1" x14ac:dyDescent="0.25">
      <c r="A783" s="384"/>
      <c r="B783" s="386"/>
      <c r="C783" s="131"/>
      <c r="D783" s="131" t="s">
        <v>619</v>
      </c>
      <c r="E783" s="53" t="s">
        <v>1414</v>
      </c>
      <c r="F783" s="314"/>
      <c r="G783" s="314"/>
      <c r="H783" s="314"/>
      <c r="I783" s="314"/>
      <c r="J783" s="314"/>
      <c r="K783" s="314"/>
      <c r="L783" s="314"/>
      <c r="M783" s="314"/>
      <c r="N783" s="314"/>
      <c r="O783" s="314"/>
      <c r="P783" s="314"/>
      <c r="Q783" s="314"/>
      <c r="R783" s="314"/>
      <c r="S783" s="314"/>
      <c r="T783" s="314"/>
      <c r="U783" s="314"/>
      <c r="V783" s="314"/>
      <c r="W783" s="314"/>
      <c r="X783" s="314"/>
      <c r="Y783" s="314"/>
      <c r="Z783" s="314"/>
      <c r="AA783" s="314"/>
      <c r="AB783" s="314"/>
      <c r="AC783" s="314"/>
      <c r="AD783" s="314"/>
      <c r="AE783" s="314"/>
      <c r="AF783" s="314"/>
      <c r="AG783" s="314"/>
      <c r="AH783" s="314"/>
      <c r="AI783" s="314"/>
      <c r="AJ783" s="314"/>
      <c r="AK783" s="314"/>
      <c r="AL783" s="314"/>
      <c r="AM783" s="314"/>
      <c r="AN783" s="314"/>
      <c r="AO783" s="314"/>
    </row>
    <row r="784" spans="1:41" s="73" customFormat="1" x14ac:dyDescent="0.25">
      <c r="A784" s="384"/>
      <c r="B784" s="386"/>
      <c r="C784" s="131"/>
      <c r="D784" s="131" t="s">
        <v>620</v>
      </c>
      <c r="E784" s="53" t="s">
        <v>1415</v>
      </c>
      <c r="F784" s="314"/>
      <c r="G784" s="314"/>
      <c r="H784" s="314"/>
      <c r="I784" s="314"/>
      <c r="J784" s="314"/>
      <c r="K784" s="314"/>
      <c r="L784" s="314"/>
      <c r="M784" s="314"/>
      <c r="N784" s="314"/>
      <c r="O784" s="314"/>
      <c r="P784" s="314"/>
      <c r="Q784" s="314"/>
      <c r="R784" s="314"/>
      <c r="S784" s="314"/>
      <c r="T784" s="314"/>
      <c r="U784" s="314"/>
      <c r="V784" s="314"/>
      <c r="W784" s="314"/>
      <c r="X784" s="314"/>
      <c r="Y784" s="314"/>
      <c r="Z784" s="314"/>
      <c r="AA784" s="314"/>
      <c r="AB784" s="314"/>
      <c r="AC784" s="314"/>
      <c r="AD784" s="314"/>
      <c r="AE784" s="314"/>
      <c r="AF784" s="314"/>
      <c r="AG784" s="314"/>
      <c r="AH784" s="314"/>
      <c r="AI784" s="314"/>
      <c r="AJ784" s="314"/>
      <c r="AK784" s="314"/>
      <c r="AL784" s="314"/>
      <c r="AM784" s="314"/>
      <c r="AN784" s="314"/>
      <c r="AO784" s="314"/>
    </row>
    <row r="785" spans="1:41" s="73" customFormat="1" x14ac:dyDescent="0.25">
      <c r="A785" s="384"/>
      <c r="B785" s="386"/>
      <c r="C785" s="131"/>
      <c r="D785" s="131" t="s">
        <v>621</v>
      </c>
      <c r="E785" s="53" t="s">
        <v>1416</v>
      </c>
      <c r="F785" s="314"/>
      <c r="G785" s="314"/>
      <c r="H785" s="314"/>
      <c r="I785" s="314"/>
      <c r="J785" s="314"/>
      <c r="K785" s="314"/>
      <c r="L785" s="314"/>
      <c r="M785" s="314"/>
      <c r="N785" s="314"/>
      <c r="O785" s="314"/>
      <c r="P785" s="314"/>
      <c r="Q785" s="314"/>
      <c r="R785" s="314"/>
      <c r="S785" s="314"/>
      <c r="T785" s="314"/>
      <c r="U785" s="314"/>
      <c r="V785" s="314"/>
      <c r="W785" s="314"/>
      <c r="X785" s="314"/>
      <c r="Y785" s="314"/>
      <c r="Z785" s="314"/>
      <c r="AA785" s="314"/>
      <c r="AB785" s="314"/>
      <c r="AC785" s="314"/>
      <c r="AD785" s="314"/>
      <c r="AE785" s="314"/>
      <c r="AF785" s="314"/>
      <c r="AG785" s="314"/>
      <c r="AH785" s="314"/>
      <c r="AI785" s="314"/>
      <c r="AJ785" s="314"/>
      <c r="AK785" s="314"/>
      <c r="AL785" s="314"/>
      <c r="AM785" s="314"/>
      <c r="AN785" s="314"/>
      <c r="AO785" s="314"/>
    </row>
    <row r="786" spans="1:41" s="73" customFormat="1" x14ac:dyDescent="0.25">
      <c r="A786" s="384"/>
      <c r="B786" s="386"/>
      <c r="C786" s="131"/>
      <c r="D786" s="131" t="s">
        <v>622</v>
      </c>
      <c r="E786" s="53" t="s">
        <v>1417</v>
      </c>
      <c r="F786" s="314"/>
      <c r="G786" s="314"/>
      <c r="H786" s="314"/>
      <c r="I786" s="314"/>
      <c r="J786" s="314"/>
      <c r="K786" s="314"/>
      <c r="L786" s="314"/>
      <c r="M786" s="314"/>
      <c r="N786" s="314"/>
      <c r="O786" s="314"/>
      <c r="P786" s="314"/>
      <c r="Q786" s="314"/>
      <c r="R786" s="314"/>
      <c r="S786" s="314"/>
      <c r="T786" s="314"/>
      <c r="U786" s="314"/>
      <c r="V786" s="314"/>
      <c r="W786" s="314"/>
      <c r="X786" s="314"/>
      <c r="Y786" s="314"/>
      <c r="Z786" s="314"/>
      <c r="AA786" s="314"/>
      <c r="AB786" s="314"/>
      <c r="AC786" s="314"/>
      <c r="AD786" s="314"/>
      <c r="AE786" s="314"/>
      <c r="AF786" s="314"/>
      <c r="AG786" s="314"/>
      <c r="AH786" s="314"/>
      <c r="AI786" s="314"/>
      <c r="AJ786" s="314"/>
      <c r="AK786" s="314"/>
      <c r="AL786" s="314"/>
      <c r="AM786" s="314"/>
      <c r="AN786" s="314"/>
      <c r="AO786" s="314"/>
    </row>
    <row r="787" spans="1:41" s="73" customFormat="1" x14ac:dyDescent="0.25">
      <c r="A787" s="384"/>
      <c r="B787" s="386"/>
      <c r="C787" s="131"/>
      <c r="D787" s="131" t="s">
        <v>510</v>
      </c>
      <c r="E787" s="53" t="s">
        <v>1418</v>
      </c>
      <c r="F787" s="314"/>
      <c r="G787" s="314"/>
      <c r="H787" s="314"/>
      <c r="I787" s="314"/>
      <c r="J787" s="314"/>
      <c r="K787" s="314"/>
      <c r="L787" s="314"/>
      <c r="M787" s="314"/>
      <c r="N787" s="314"/>
      <c r="O787" s="314"/>
      <c r="P787" s="314"/>
      <c r="Q787" s="314"/>
      <c r="R787" s="314"/>
      <c r="S787" s="314"/>
      <c r="T787" s="314"/>
      <c r="U787" s="314"/>
      <c r="V787" s="314"/>
      <c r="W787" s="314"/>
      <c r="X787" s="314"/>
      <c r="Y787" s="314"/>
      <c r="Z787" s="314"/>
      <c r="AA787" s="314"/>
      <c r="AB787" s="314"/>
      <c r="AC787" s="314"/>
      <c r="AD787" s="314"/>
      <c r="AE787" s="314"/>
      <c r="AF787" s="314"/>
      <c r="AG787" s="314"/>
      <c r="AH787" s="314"/>
      <c r="AI787" s="314"/>
      <c r="AJ787" s="314"/>
      <c r="AK787" s="314"/>
      <c r="AL787" s="314"/>
      <c r="AM787" s="314"/>
      <c r="AN787" s="314"/>
      <c r="AO787" s="314"/>
    </row>
    <row r="788" spans="1:41" s="73" customFormat="1" x14ac:dyDescent="0.25">
      <c r="A788" s="384"/>
      <c r="B788" s="386"/>
      <c r="C788" s="131"/>
      <c r="D788" s="131" t="s">
        <v>511</v>
      </c>
      <c r="E788" s="53" t="s">
        <v>1419</v>
      </c>
      <c r="F788" s="314"/>
      <c r="G788" s="314"/>
      <c r="H788" s="314"/>
      <c r="I788" s="314"/>
      <c r="J788" s="314"/>
      <c r="K788" s="314"/>
      <c r="L788" s="314"/>
      <c r="M788" s="314"/>
      <c r="N788" s="314"/>
      <c r="O788" s="314"/>
      <c r="P788" s="314"/>
      <c r="Q788" s="314"/>
      <c r="R788" s="314"/>
      <c r="S788" s="314"/>
      <c r="T788" s="314"/>
      <c r="U788" s="314"/>
      <c r="V788" s="314"/>
      <c r="W788" s="314"/>
      <c r="X788" s="314"/>
      <c r="Y788" s="314"/>
      <c r="Z788" s="314"/>
      <c r="AA788" s="314"/>
      <c r="AB788" s="314"/>
      <c r="AC788" s="314"/>
      <c r="AD788" s="314"/>
      <c r="AE788" s="314"/>
      <c r="AF788" s="314"/>
      <c r="AG788" s="314"/>
      <c r="AH788" s="314"/>
      <c r="AI788" s="314"/>
      <c r="AJ788" s="314"/>
      <c r="AK788" s="314"/>
      <c r="AL788" s="314"/>
      <c r="AM788" s="314"/>
      <c r="AN788" s="314"/>
      <c r="AO788" s="314"/>
    </row>
    <row r="789" spans="1:41" s="73" customFormat="1" x14ac:dyDescent="0.25">
      <c r="A789" s="384"/>
      <c r="B789" s="386"/>
      <c r="C789" s="131"/>
      <c r="D789" s="131" t="s">
        <v>512</v>
      </c>
      <c r="E789" s="53" t="s">
        <v>1420</v>
      </c>
      <c r="F789" s="314"/>
      <c r="G789" s="314"/>
      <c r="H789" s="314"/>
      <c r="I789" s="314"/>
      <c r="J789" s="314"/>
      <c r="K789" s="314"/>
      <c r="L789" s="314"/>
      <c r="M789" s="314"/>
      <c r="N789" s="314"/>
      <c r="O789" s="314"/>
      <c r="P789" s="314"/>
      <c r="Q789" s="314"/>
      <c r="R789" s="314"/>
      <c r="S789" s="314"/>
      <c r="T789" s="314"/>
      <c r="U789" s="314"/>
      <c r="V789" s="314"/>
      <c r="W789" s="314"/>
      <c r="X789" s="314"/>
      <c r="Y789" s="314"/>
      <c r="Z789" s="314"/>
      <c r="AA789" s="314"/>
      <c r="AB789" s="314"/>
      <c r="AC789" s="314"/>
      <c r="AD789" s="314"/>
      <c r="AE789" s="314"/>
      <c r="AF789" s="314"/>
      <c r="AG789" s="314"/>
      <c r="AH789" s="314"/>
      <c r="AI789" s="314"/>
      <c r="AJ789" s="314"/>
      <c r="AK789" s="314"/>
      <c r="AL789" s="314"/>
      <c r="AM789" s="314"/>
      <c r="AN789" s="314"/>
      <c r="AO789" s="314"/>
    </row>
    <row r="790" spans="1:41" s="73" customFormat="1" x14ac:dyDescent="0.25">
      <c r="A790" s="384"/>
      <c r="B790" s="386"/>
      <c r="C790" s="131"/>
      <c r="D790" s="131" t="s">
        <v>513</v>
      </c>
      <c r="E790" s="53" t="s">
        <v>1421</v>
      </c>
      <c r="F790" s="314"/>
      <c r="G790" s="314"/>
      <c r="H790" s="314"/>
      <c r="I790" s="314"/>
      <c r="J790" s="314"/>
      <c r="K790" s="314"/>
      <c r="L790" s="314"/>
      <c r="M790" s="314"/>
      <c r="N790" s="314"/>
      <c r="O790" s="314"/>
      <c r="P790" s="314"/>
      <c r="Q790" s="314"/>
      <c r="R790" s="314"/>
      <c r="S790" s="314"/>
      <c r="T790" s="314"/>
      <c r="U790" s="314"/>
      <c r="V790" s="314"/>
      <c r="W790" s="314"/>
      <c r="X790" s="314"/>
      <c r="Y790" s="314"/>
      <c r="Z790" s="314"/>
      <c r="AA790" s="314"/>
      <c r="AB790" s="314"/>
      <c r="AC790" s="314"/>
      <c r="AD790" s="314"/>
      <c r="AE790" s="314"/>
      <c r="AF790" s="314"/>
      <c r="AG790" s="314"/>
      <c r="AH790" s="314"/>
      <c r="AI790" s="314"/>
      <c r="AJ790" s="314"/>
      <c r="AK790" s="314"/>
      <c r="AL790" s="314"/>
      <c r="AM790" s="314"/>
      <c r="AN790" s="314"/>
      <c r="AO790" s="314"/>
    </row>
    <row r="791" spans="1:41" s="73" customFormat="1" x14ac:dyDescent="0.25">
      <c r="A791" s="384"/>
      <c r="B791" s="386"/>
      <c r="C791" s="131"/>
      <c r="D791" s="131" t="s">
        <v>514</v>
      </c>
      <c r="E791" s="53" t="s">
        <v>1422</v>
      </c>
      <c r="F791" s="314"/>
      <c r="G791" s="314"/>
      <c r="H791" s="314"/>
      <c r="I791" s="314"/>
      <c r="J791" s="314"/>
      <c r="K791" s="314"/>
      <c r="L791" s="314"/>
      <c r="M791" s="314"/>
      <c r="N791" s="314"/>
      <c r="O791" s="314"/>
      <c r="P791" s="314"/>
      <c r="Q791" s="314"/>
      <c r="R791" s="314"/>
      <c r="S791" s="314"/>
      <c r="T791" s="314"/>
      <c r="U791" s="314"/>
      <c r="V791" s="314"/>
      <c r="W791" s="314"/>
      <c r="X791" s="314"/>
      <c r="Y791" s="314"/>
      <c r="Z791" s="314"/>
      <c r="AA791" s="314"/>
      <c r="AB791" s="314"/>
      <c r="AC791" s="314"/>
      <c r="AD791" s="314"/>
      <c r="AE791" s="314"/>
      <c r="AF791" s="314"/>
      <c r="AG791" s="314"/>
      <c r="AH791" s="314"/>
      <c r="AI791" s="314"/>
      <c r="AJ791" s="314"/>
      <c r="AK791" s="314"/>
      <c r="AL791" s="314"/>
      <c r="AM791" s="314"/>
      <c r="AN791" s="314"/>
      <c r="AO791" s="314"/>
    </row>
    <row r="792" spans="1:41" s="73" customFormat="1" x14ac:dyDescent="0.25">
      <c r="A792" s="384"/>
      <c r="B792" s="386"/>
      <c r="C792" s="131"/>
      <c r="D792" s="131" t="s">
        <v>515</v>
      </c>
      <c r="E792" s="53" t="s">
        <v>1423</v>
      </c>
      <c r="F792" s="314"/>
      <c r="G792" s="314"/>
      <c r="H792" s="314"/>
      <c r="I792" s="314"/>
      <c r="J792" s="314"/>
      <c r="K792" s="314"/>
      <c r="L792" s="314"/>
      <c r="M792" s="314"/>
      <c r="N792" s="314"/>
      <c r="O792" s="314"/>
      <c r="P792" s="314"/>
      <c r="Q792" s="314"/>
      <c r="R792" s="314"/>
      <c r="S792" s="314"/>
      <c r="T792" s="314"/>
      <c r="U792" s="314"/>
      <c r="V792" s="314"/>
      <c r="W792" s="314"/>
      <c r="X792" s="314"/>
      <c r="Y792" s="314"/>
      <c r="Z792" s="314"/>
      <c r="AA792" s="314"/>
      <c r="AB792" s="314"/>
      <c r="AC792" s="314"/>
      <c r="AD792" s="314"/>
      <c r="AE792" s="314"/>
      <c r="AF792" s="314"/>
      <c r="AG792" s="314"/>
      <c r="AH792" s="314"/>
      <c r="AI792" s="314"/>
      <c r="AJ792" s="314"/>
      <c r="AK792" s="314"/>
      <c r="AL792" s="314"/>
      <c r="AM792" s="314"/>
      <c r="AN792" s="314"/>
      <c r="AO792" s="314"/>
    </row>
    <row r="793" spans="1:41" s="73" customFormat="1" x14ac:dyDescent="0.25">
      <c r="A793" s="384"/>
      <c r="B793" s="386"/>
      <c r="C793" s="131"/>
      <c r="D793" s="131" t="s">
        <v>516</v>
      </c>
      <c r="E793" s="53" t="s">
        <v>1424</v>
      </c>
      <c r="F793" s="314"/>
      <c r="G793" s="314"/>
      <c r="H793" s="314"/>
      <c r="I793" s="314"/>
      <c r="J793" s="314"/>
      <c r="K793" s="314"/>
      <c r="L793" s="314"/>
      <c r="M793" s="314"/>
      <c r="N793" s="314"/>
      <c r="O793" s="314"/>
      <c r="P793" s="314"/>
      <c r="Q793" s="314"/>
      <c r="R793" s="314"/>
      <c r="S793" s="314"/>
      <c r="T793" s="314"/>
      <c r="U793" s="314"/>
      <c r="V793" s="314"/>
      <c r="W793" s="314"/>
      <c r="X793" s="314"/>
      <c r="Y793" s="314"/>
      <c r="Z793" s="314"/>
      <c r="AA793" s="314"/>
      <c r="AB793" s="314"/>
      <c r="AC793" s="314"/>
      <c r="AD793" s="314"/>
      <c r="AE793" s="314"/>
      <c r="AF793" s="314"/>
      <c r="AG793" s="314"/>
      <c r="AH793" s="314"/>
      <c r="AI793" s="314"/>
      <c r="AJ793" s="314"/>
      <c r="AK793" s="314"/>
      <c r="AL793" s="314"/>
      <c r="AM793" s="314"/>
      <c r="AN793" s="314"/>
      <c r="AO793" s="314"/>
    </row>
    <row r="794" spans="1:41" s="73" customFormat="1" x14ac:dyDescent="0.25">
      <c r="A794" s="384"/>
      <c r="B794" s="386"/>
      <c r="C794" s="131"/>
      <c r="D794" s="131" t="s">
        <v>517</v>
      </c>
      <c r="E794" s="53" t="s">
        <v>1425</v>
      </c>
      <c r="F794" s="314"/>
      <c r="G794" s="314"/>
      <c r="H794" s="314"/>
      <c r="I794" s="314"/>
      <c r="J794" s="314"/>
      <c r="K794" s="314"/>
      <c r="L794" s="314"/>
      <c r="M794" s="314"/>
      <c r="N794" s="314"/>
      <c r="O794" s="314"/>
      <c r="P794" s="314"/>
      <c r="Q794" s="314"/>
      <c r="R794" s="314"/>
      <c r="S794" s="314"/>
      <c r="T794" s="314"/>
      <c r="U794" s="314"/>
      <c r="V794" s="314"/>
      <c r="W794" s="314"/>
      <c r="X794" s="314"/>
      <c r="Y794" s="314"/>
      <c r="Z794" s="314"/>
      <c r="AA794" s="314"/>
      <c r="AB794" s="314"/>
      <c r="AC794" s="314"/>
      <c r="AD794" s="314"/>
      <c r="AE794" s="314"/>
      <c r="AF794" s="314"/>
      <c r="AG794" s="314"/>
      <c r="AH794" s="314"/>
      <c r="AI794" s="314"/>
      <c r="AJ794" s="314"/>
      <c r="AK794" s="314"/>
      <c r="AL794" s="314"/>
      <c r="AM794" s="314"/>
      <c r="AN794" s="314"/>
      <c r="AO794" s="314"/>
    </row>
    <row r="795" spans="1:41" s="73" customFormat="1" x14ac:dyDescent="0.25">
      <c r="A795" s="384"/>
      <c r="B795" s="386"/>
      <c r="C795" s="131"/>
      <c r="D795" s="131" t="s">
        <v>518</v>
      </c>
      <c r="E795" s="53" t="s">
        <v>1426</v>
      </c>
      <c r="F795" s="314"/>
      <c r="G795" s="314"/>
      <c r="H795" s="314"/>
      <c r="I795" s="314"/>
      <c r="J795" s="314"/>
      <c r="K795" s="314"/>
      <c r="L795" s="314"/>
      <c r="M795" s="314"/>
      <c r="N795" s="314"/>
      <c r="O795" s="314"/>
      <c r="P795" s="314"/>
      <c r="Q795" s="314"/>
      <c r="R795" s="314"/>
      <c r="S795" s="314"/>
      <c r="T795" s="314"/>
      <c r="U795" s="314"/>
      <c r="V795" s="314"/>
      <c r="W795" s="314"/>
      <c r="X795" s="314"/>
      <c r="Y795" s="314"/>
      <c r="Z795" s="314"/>
      <c r="AA795" s="314"/>
      <c r="AB795" s="314"/>
      <c r="AC795" s="314"/>
      <c r="AD795" s="314"/>
      <c r="AE795" s="314"/>
      <c r="AF795" s="314"/>
      <c r="AG795" s="314"/>
      <c r="AH795" s="314"/>
      <c r="AI795" s="314"/>
      <c r="AJ795" s="314"/>
      <c r="AK795" s="314"/>
      <c r="AL795" s="314"/>
      <c r="AM795" s="314"/>
      <c r="AN795" s="314"/>
      <c r="AO795" s="314"/>
    </row>
    <row r="796" spans="1:41" s="108" customFormat="1" ht="15" customHeight="1" x14ac:dyDescent="0.25">
      <c r="A796" s="384"/>
      <c r="B796" s="195" t="s">
        <v>1007</v>
      </c>
      <c r="C796" s="171" t="s">
        <v>1580</v>
      </c>
      <c r="D796" s="171"/>
      <c r="E796" s="156"/>
      <c r="F796" s="360"/>
      <c r="G796" s="360"/>
      <c r="H796" s="360"/>
      <c r="I796" s="360"/>
      <c r="J796" s="360"/>
      <c r="K796" s="360"/>
      <c r="L796" s="360"/>
      <c r="M796" s="360"/>
      <c r="N796" s="360"/>
      <c r="O796" s="360"/>
      <c r="P796" s="360"/>
      <c r="Q796" s="360"/>
      <c r="R796" s="360"/>
      <c r="S796" s="360"/>
      <c r="T796" s="360"/>
      <c r="U796" s="360"/>
      <c r="V796" s="360"/>
      <c r="W796" s="360"/>
      <c r="X796" s="360"/>
      <c r="Y796" s="360"/>
      <c r="Z796" s="360"/>
      <c r="AA796" s="360"/>
      <c r="AB796" s="360"/>
      <c r="AC796" s="360"/>
      <c r="AD796" s="360"/>
      <c r="AE796" s="360"/>
      <c r="AF796" s="360"/>
      <c r="AG796" s="360"/>
      <c r="AH796" s="360"/>
      <c r="AI796" s="360"/>
      <c r="AJ796" s="360"/>
      <c r="AK796" s="360"/>
      <c r="AL796" s="360"/>
      <c r="AM796" s="360"/>
      <c r="AN796" s="360"/>
      <c r="AO796" s="360"/>
    </row>
    <row r="797" spans="1:41" ht="15" customHeight="1" x14ac:dyDescent="0.25">
      <c r="A797" s="384"/>
      <c r="B797" s="195"/>
      <c r="C797" s="132"/>
      <c r="D797" s="132" t="s">
        <v>1064</v>
      </c>
      <c r="E797" s="54" t="s">
        <v>1586</v>
      </c>
      <c r="F797" s="361"/>
      <c r="G797" s="361"/>
      <c r="H797" s="361"/>
      <c r="I797" s="361" t="s">
        <v>1594</v>
      </c>
      <c r="J797" s="361"/>
      <c r="K797" s="361"/>
      <c r="L797" s="361"/>
      <c r="M797" s="361"/>
      <c r="N797" s="361"/>
      <c r="O797" s="361"/>
      <c r="P797" s="361"/>
      <c r="Q797" s="361"/>
      <c r="R797" s="361"/>
      <c r="S797" s="361"/>
      <c r="T797" s="361"/>
      <c r="U797" s="361"/>
      <c r="V797" s="361"/>
      <c r="W797" s="361"/>
      <c r="X797" s="361"/>
      <c r="Y797" s="361"/>
      <c r="Z797" s="361"/>
      <c r="AA797" s="361"/>
      <c r="AB797" s="361"/>
      <c r="AC797" s="361"/>
      <c r="AD797" s="361"/>
      <c r="AE797" s="361"/>
      <c r="AF797" s="361"/>
      <c r="AG797" s="361"/>
      <c r="AH797" s="361"/>
      <c r="AI797" s="361"/>
      <c r="AJ797" s="361"/>
      <c r="AK797" s="361"/>
      <c r="AL797" s="361"/>
      <c r="AM797" s="361"/>
      <c r="AN797" s="361"/>
      <c r="AO797" s="361"/>
    </row>
    <row r="798" spans="1:41" ht="15" customHeight="1" x14ac:dyDescent="0.25">
      <c r="A798" s="384"/>
      <c r="B798" s="195"/>
      <c r="C798" s="132"/>
      <c r="D798" s="132" t="s">
        <v>1070</v>
      </c>
      <c r="E798" s="54" t="s">
        <v>1587</v>
      </c>
      <c r="F798" s="361"/>
      <c r="G798" s="361"/>
      <c r="H798" s="361"/>
      <c r="I798" s="361"/>
      <c r="J798" s="361"/>
      <c r="K798" s="361"/>
      <c r="L798" s="361"/>
      <c r="M798" s="361"/>
      <c r="N798" s="361"/>
      <c r="O798" s="361"/>
      <c r="P798" s="361"/>
      <c r="Q798" s="361"/>
      <c r="R798" s="361"/>
      <c r="S798" s="361"/>
      <c r="T798" s="361"/>
      <c r="U798" s="361"/>
      <c r="V798" s="361"/>
      <c r="W798" s="361"/>
      <c r="X798" s="361"/>
      <c r="Y798" s="361"/>
      <c r="Z798" s="361"/>
      <c r="AA798" s="361"/>
      <c r="AB798" s="361"/>
      <c r="AC798" s="361"/>
      <c r="AD798" s="361"/>
      <c r="AE798" s="361"/>
      <c r="AF798" s="361"/>
      <c r="AG798" s="361"/>
      <c r="AH798" s="361"/>
      <c r="AI798" s="361"/>
      <c r="AJ798" s="361"/>
      <c r="AK798" s="361"/>
      <c r="AL798" s="361"/>
      <c r="AM798" s="361"/>
      <c r="AN798" s="361"/>
      <c r="AO798" s="361"/>
    </row>
    <row r="799" spans="1:41" ht="15" customHeight="1" x14ac:dyDescent="0.25">
      <c r="A799" s="384"/>
      <c r="B799" s="195"/>
      <c r="C799" s="132"/>
      <c r="D799" s="132" t="s">
        <v>1065</v>
      </c>
      <c r="E799" s="54" t="s">
        <v>1588</v>
      </c>
      <c r="F799" s="361"/>
      <c r="G799" s="361"/>
      <c r="H799" s="361"/>
      <c r="I799" s="361"/>
      <c r="J799" s="361"/>
      <c r="K799" s="361"/>
      <c r="L799" s="361"/>
      <c r="M799" s="361"/>
      <c r="N799" s="361"/>
      <c r="O799" s="361"/>
      <c r="P799" s="361"/>
      <c r="Q799" s="361"/>
      <c r="R799" s="361"/>
      <c r="S799" s="361"/>
      <c r="T799" s="361"/>
      <c r="U799" s="361"/>
      <c r="V799" s="361"/>
      <c r="W799" s="361"/>
      <c r="X799" s="361"/>
      <c r="Y799" s="361"/>
      <c r="Z799" s="361"/>
      <c r="AA799" s="361"/>
      <c r="AB799" s="361"/>
      <c r="AC799" s="361"/>
      <c r="AD799" s="361"/>
      <c r="AE799" s="361"/>
      <c r="AF799" s="361"/>
      <c r="AG799" s="361"/>
      <c r="AH799" s="361"/>
      <c r="AI799" s="361"/>
      <c r="AJ799" s="361"/>
      <c r="AK799" s="361"/>
      <c r="AL799" s="361"/>
      <c r="AM799" s="361"/>
      <c r="AN799" s="361"/>
      <c r="AO799" s="361"/>
    </row>
    <row r="800" spans="1:41" s="73" customFormat="1" ht="15" customHeight="1" x14ac:dyDescent="0.25">
      <c r="A800" s="384"/>
      <c r="B800" s="195"/>
      <c r="C800" s="132"/>
      <c r="D800" s="132" t="s">
        <v>1066</v>
      </c>
      <c r="E800" s="54" t="s">
        <v>1589</v>
      </c>
      <c r="F800" s="361"/>
      <c r="G800" s="361"/>
      <c r="H800" s="361"/>
      <c r="I800" s="361"/>
      <c r="J800" s="361"/>
      <c r="K800" s="361"/>
      <c r="L800" s="361"/>
      <c r="M800" s="361"/>
      <c r="N800" s="361"/>
      <c r="O800" s="361"/>
      <c r="P800" s="361"/>
      <c r="Q800" s="361"/>
      <c r="R800" s="361"/>
      <c r="S800" s="361"/>
      <c r="T800" s="361"/>
      <c r="U800" s="361"/>
      <c r="V800" s="361"/>
      <c r="W800" s="361"/>
      <c r="X800" s="361"/>
      <c r="Y800" s="361"/>
      <c r="Z800" s="361"/>
      <c r="AA800" s="361"/>
      <c r="AB800" s="361"/>
      <c r="AC800" s="361"/>
      <c r="AD800" s="361"/>
      <c r="AE800" s="361"/>
      <c r="AF800" s="361"/>
      <c r="AG800" s="361"/>
      <c r="AH800" s="361"/>
      <c r="AI800" s="361"/>
      <c r="AJ800" s="361"/>
      <c r="AK800" s="361"/>
      <c r="AL800" s="361"/>
      <c r="AM800" s="361"/>
      <c r="AN800" s="361"/>
      <c r="AO800" s="361"/>
    </row>
    <row r="801" spans="1:41" s="73" customFormat="1" ht="15" customHeight="1" x14ac:dyDescent="0.25">
      <c r="A801" s="384"/>
      <c r="B801" s="195"/>
      <c r="C801" s="132"/>
      <c r="D801" s="132" t="s">
        <v>1067</v>
      </c>
      <c r="E801" s="54" t="s">
        <v>1590</v>
      </c>
      <c r="F801" s="361"/>
      <c r="G801" s="361"/>
      <c r="H801" s="361"/>
      <c r="I801" s="361"/>
      <c r="J801" s="361"/>
      <c r="K801" s="361"/>
      <c r="L801" s="361"/>
      <c r="M801" s="361"/>
      <c r="N801" s="361"/>
      <c r="O801" s="361"/>
      <c r="P801" s="361"/>
      <c r="Q801" s="361"/>
      <c r="R801" s="361"/>
      <c r="S801" s="361"/>
      <c r="T801" s="361"/>
      <c r="U801" s="361"/>
      <c r="V801" s="361"/>
      <c r="W801" s="361"/>
      <c r="X801" s="361"/>
      <c r="Y801" s="361"/>
      <c r="Z801" s="361"/>
      <c r="AA801" s="361"/>
      <c r="AB801" s="361"/>
      <c r="AC801" s="361"/>
      <c r="AD801" s="361"/>
      <c r="AE801" s="361"/>
      <c r="AF801" s="361"/>
      <c r="AG801" s="361"/>
      <c r="AH801" s="361"/>
      <c r="AI801" s="361"/>
      <c r="AJ801" s="361"/>
      <c r="AK801" s="361"/>
      <c r="AL801" s="361"/>
      <c r="AM801" s="361"/>
      <c r="AN801" s="361"/>
      <c r="AO801" s="361"/>
    </row>
    <row r="802" spans="1:41" s="73" customFormat="1" ht="15" customHeight="1" x14ac:dyDescent="0.25">
      <c r="A802" s="384"/>
      <c r="B802" s="195"/>
      <c r="C802" s="132"/>
      <c r="D802" s="132" t="s">
        <v>1068</v>
      </c>
      <c r="E802" s="54" t="s">
        <v>1591</v>
      </c>
      <c r="F802" s="361"/>
      <c r="G802" s="361"/>
      <c r="H802" s="361"/>
      <c r="I802" s="361"/>
      <c r="J802" s="361"/>
      <c r="K802" s="361"/>
      <c r="L802" s="361"/>
      <c r="M802" s="361"/>
      <c r="N802" s="361"/>
      <c r="O802" s="361"/>
      <c r="P802" s="361"/>
      <c r="Q802" s="361"/>
      <c r="R802" s="361"/>
      <c r="S802" s="361"/>
      <c r="T802" s="361"/>
      <c r="U802" s="361"/>
      <c r="V802" s="361"/>
      <c r="W802" s="361"/>
      <c r="X802" s="361"/>
      <c r="Y802" s="361"/>
      <c r="Z802" s="361"/>
      <c r="AA802" s="361"/>
      <c r="AB802" s="361"/>
      <c r="AC802" s="361"/>
      <c r="AD802" s="361"/>
      <c r="AE802" s="361"/>
      <c r="AF802" s="361"/>
      <c r="AG802" s="361"/>
      <c r="AH802" s="361"/>
      <c r="AI802" s="361"/>
      <c r="AJ802" s="361"/>
      <c r="AK802" s="361"/>
      <c r="AL802" s="361"/>
      <c r="AM802" s="361"/>
      <c r="AN802" s="361"/>
      <c r="AO802" s="361"/>
    </row>
    <row r="803" spans="1:41" s="73" customFormat="1" ht="15" customHeight="1" x14ac:dyDescent="0.25">
      <c r="A803" s="384"/>
      <c r="B803" s="195"/>
      <c r="C803" s="132"/>
      <c r="D803" s="132" t="s">
        <v>1069</v>
      </c>
      <c r="E803" s="54" t="s">
        <v>1592</v>
      </c>
      <c r="F803" s="361"/>
      <c r="G803" s="361"/>
      <c r="H803" s="361"/>
      <c r="I803" s="361"/>
      <c r="J803" s="361"/>
      <c r="K803" s="361"/>
      <c r="L803" s="361"/>
      <c r="M803" s="361"/>
      <c r="N803" s="361"/>
      <c r="O803" s="361"/>
      <c r="P803" s="361"/>
      <c r="Q803" s="361"/>
      <c r="R803" s="361"/>
      <c r="S803" s="361"/>
      <c r="T803" s="361"/>
      <c r="U803" s="361"/>
      <c r="V803" s="361"/>
      <c r="W803" s="361"/>
      <c r="X803" s="361"/>
      <c r="Y803" s="361"/>
      <c r="Z803" s="361"/>
      <c r="AA803" s="361"/>
      <c r="AB803" s="361"/>
      <c r="AC803" s="361"/>
      <c r="AD803" s="361"/>
      <c r="AE803" s="361"/>
      <c r="AF803" s="361"/>
      <c r="AG803" s="361"/>
      <c r="AH803" s="361"/>
      <c r="AI803" s="361"/>
      <c r="AJ803" s="361"/>
      <c r="AK803" s="361"/>
      <c r="AL803" s="361"/>
      <c r="AM803" s="361"/>
      <c r="AN803" s="361"/>
      <c r="AO803" s="361"/>
    </row>
    <row r="804" spans="1:41" ht="15" customHeight="1" x14ac:dyDescent="0.25">
      <c r="A804" s="384"/>
      <c r="B804" s="195"/>
      <c r="C804" s="132"/>
      <c r="D804" s="132" t="s">
        <v>1071</v>
      </c>
      <c r="E804" s="54" t="s">
        <v>1593</v>
      </c>
      <c r="F804" s="361"/>
      <c r="G804" s="361"/>
      <c r="H804" s="361"/>
      <c r="I804" s="361"/>
      <c r="J804" s="361"/>
      <c r="K804" s="361"/>
      <c r="L804" s="361"/>
      <c r="M804" s="361"/>
      <c r="N804" s="361"/>
      <c r="O804" s="361"/>
      <c r="P804" s="361"/>
      <c r="Q804" s="361"/>
      <c r="R804" s="361"/>
      <c r="S804" s="361"/>
      <c r="T804" s="361"/>
      <c r="U804" s="361"/>
      <c r="V804" s="361"/>
      <c r="W804" s="361"/>
      <c r="X804" s="361"/>
      <c r="Y804" s="361"/>
      <c r="Z804" s="361"/>
      <c r="AA804" s="361"/>
      <c r="AB804" s="361"/>
      <c r="AC804" s="361"/>
      <c r="AD804" s="361"/>
      <c r="AE804" s="361"/>
      <c r="AF804" s="361"/>
      <c r="AG804" s="361"/>
      <c r="AH804" s="361"/>
      <c r="AI804" s="361"/>
      <c r="AJ804" s="361"/>
      <c r="AK804" s="361"/>
      <c r="AL804" s="361"/>
      <c r="AM804" s="361"/>
      <c r="AN804" s="361"/>
      <c r="AO804" s="361"/>
    </row>
    <row r="805" spans="1:41" s="73" customFormat="1" ht="15" customHeight="1" x14ac:dyDescent="0.25">
      <c r="A805" s="384"/>
      <c r="B805" s="195"/>
      <c r="C805" s="132"/>
      <c r="D805" s="132"/>
      <c r="E805" s="54"/>
      <c r="F805" s="361"/>
      <c r="G805" s="361"/>
      <c r="H805" s="361"/>
      <c r="I805" s="361"/>
      <c r="J805" s="361"/>
      <c r="K805" s="361"/>
      <c r="L805" s="361"/>
      <c r="M805" s="361"/>
      <c r="N805" s="361"/>
      <c r="O805" s="361"/>
      <c r="P805" s="361"/>
      <c r="Q805" s="361"/>
      <c r="R805" s="361"/>
      <c r="S805" s="361"/>
      <c r="T805" s="361"/>
      <c r="U805" s="361"/>
      <c r="V805" s="361"/>
      <c r="W805" s="361"/>
      <c r="X805" s="361"/>
      <c r="Y805" s="361"/>
      <c r="Z805" s="361"/>
      <c r="AA805" s="361"/>
      <c r="AB805" s="361"/>
      <c r="AC805" s="361"/>
      <c r="AD805" s="361"/>
      <c r="AE805" s="361"/>
      <c r="AF805" s="361"/>
      <c r="AG805" s="361"/>
      <c r="AH805" s="361"/>
      <c r="AI805" s="361"/>
      <c r="AJ805" s="361"/>
      <c r="AK805" s="361"/>
      <c r="AL805" s="361"/>
      <c r="AM805" s="361"/>
      <c r="AN805" s="361"/>
      <c r="AO805" s="361"/>
    </row>
    <row r="806" spans="1:41" s="108" customFormat="1" ht="15" customHeight="1" x14ac:dyDescent="0.25">
      <c r="A806" s="384"/>
      <c r="B806" s="195"/>
      <c r="C806" s="171" t="s">
        <v>1581</v>
      </c>
      <c r="D806" s="171"/>
      <c r="E806" s="156" t="s">
        <v>1427</v>
      </c>
      <c r="F806" s="360"/>
      <c r="G806" s="360"/>
      <c r="H806" s="360"/>
      <c r="I806" s="360"/>
      <c r="J806" s="360"/>
      <c r="K806" s="360"/>
      <c r="L806" s="360"/>
      <c r="M806" s="360"/>
      <c r="N806" s="360"/>
      <c r="O806" s="360"/>
      <c r="P806" s="360"/>
      <c r="Q806" s="360"/>
      <c r="R806" s="360"/>
      <c r="S806" s="360"/>
      <c r="T806" s="360"/>
      <c r="U806" s="360"/>
      <c r="V806" s="360"/>
      <c r="W806" s="360"/>
      <c r="X806" s="360"/>
      <c r="Y806" s="360"/>
      <c r="Z806" s="360"/>
      <c r="AA806" s="360"/>
      <c r="AB806" s="360"/>
      <c r="AC806" s="360"/>
      <c r="AD806" s="360"/>
      <c r="AE806" s="360"/>
      <c r="AF806" s="360"/>
      <c r="AG806" s="360"/>
      <c r="AH806" s="360"/>
      <c r="AI806" s="360"/>
      <c r="AJ806" s="360"/>
      <c r="AK806" s="360"/>
      <c r="AL806" s="360"/>
      <c r="AM806" s="360"/>
      <c r="AN806" s="360"/>
      <c r="AO806" s="360"/>
    </row>
    <row r="807" spans="1:41" s="73" customFormat="1" ht="15" customHeight="1" x14ac:dyDescent="0.25">
      <c r="A807" s="384"/>
      <c r="B807" s="195"/>
      <c r="C807" s="132"/>
      <c r="D807" s="132" t="s">
        <v>1064</v>
      </c>
      <c r="E807" s="54" t="s">
        <v>1428</v>
      </c>
      <c r="F807" s="361"/>
      <c r="G807" s="361"/>
      <c r="H807" s="361"/>
      <c r="I807" s="361" t="s">
        <v>1750</v>
      </c>
      <c r="J807" s="361"/>
      <c r="K807" s="361"/>
      <c r="L807" s="361"/>
      <c r="M807" s="361"/>
      <c r="N807" s="361"/>
      <c r="O807" s="361"/>
      <c r="P807" s="361"/>
      <c r="Q807" s="361"/>
      <c r="R807" s="361"/>
      <c r="S807" s="361"/>
      <c r="T807" s="361"/>
      <c r="U807" s="361"/>
      <c r="V807" s="361"/>
      <c r="W807" s="361"/>
      <c r="X807" s="361"/>
      <c r="Y807" s="361"/>
      <c r="Z807" s="361"/>
      <c r="AA807" s="361"/>
      <c r="AB807" s="361"/>
      <c r="AC807" s="361"/>
      <c r="AD807" s="361"/>
      <c r="AE807" s="361"/>
      <c r="AF807" s="361"/>
      <c r="AG807" s="361"/>
      <c r="AH807" s="361"/>
      <c r="AI807" s="361"/>
      <c r="AJ807" s="361"/>
      <c r="AK807" s="361"/>
      <c r="AL807" s="361"/>
      <c r="AM807" s="361"/>
      <c r="AN807" s="361"/>
      <c r="AO807" s="361"/>
    </row>
    <row r="808" spans="1:41" s="73" customFormat="1" ht="15" customHeight="1" x14ac:dyDescent="0.25">
      <c r="A808" s="384"/>
      <c r="B808" s="195"/>
      <c r="C808" s="132"/>
      <c r="D808" s="132" t="s">
        <v>1070</v>
      </c>
      <c r="E808" s="54" t="s">
        <v>1429</v>
      </c>
      <c r="F808" s="361"/>
      <c r="G808" s="361"/>
      <c r="H808" s="361"/>
      <c r="I808" s="361"/>
      <c r="J808" s="361"/>
      <c r="K808" s="361"/>
      <c r="L808" s="361"/>
      <c r="M808" s="361"/>
      <c r="N808" s="361"/>
      <c r="O808" s="361"/>
      <c r="P808" s="361"/>
      <c r="Q808" s="361"/>
      <c r="R808" s="361"/>
      <c r="S808" s="361"/>
      <c r="T808" s="361"/>
      <c r="U808" s="361"/>
      <c r="V808" s="361"/>
      <c r="W808" s="361"/>
      <c r="X808" s="361"/>
      <c r="Y808" s="361"/>
      <c r="Z808" s="361"/>
      <c r="AA808" s="361"/>
      <c r="AB808" s="361"/>
      <c r="AC808" s="361"/>
      <c r="AD808" s="361"/>
      <c r="AE808" s="361"/>
      <c r="AF808" s="361"/>
      <c r="AG808" s="361"/>
      <c r="AH808" s="361"/>
      <c r="AI808" s="361"/>
      <c r="AJ808" s="361"/>
      <c r="AK808" s="361"/>
      <c r="AL808" s="361"/>
      <c r="AM808" s="361"/>
      <c r="AN808" s="361"/>
      <c r="AO808" s="361"/>
    </row>
    <row r="809" spans="1:41" s="73" customFormat="1" ht="15" customHeight="1" x14ac:dyDescent="0.25">
      <c r="A809" s="384"/>
      <c r="B809" s="195"/>
      <c r="C809" s="132"/>
      <c r="D809" s="132" t="s">
        <v>1065</v>
      </c>
      <c r="E809" s="54" t="s">
        <v>1430</v>
      </c>
      <c r="F809" s="361"/>
      <c r="G809" s="361"/>
      <c r="H809" s="361"/>
      <c r="I809" s="361"/>
      <c r="J809" s="361"/>
      <c r="K809" s="361"/>
      <c r="L809" s="361"/>
      <c r="M809" s="361"/>
      <c r="N809" s="361"/>
      <c r="O809" s="361"/>
      <c r="P809" s="361"/>
      <c r="Q809" s="361"/>
      <c r="R809" s="361"/>
      <c r="S809" s="361"/>
      <c r="T809" s="361"/>
      <c r="U809" s="361"/>
      <c r="V809" s="361"/>
      <c r="W809" s="361"/>
      <c r="X809" s="361"/>
      <c r="Y809" s="361"/>
      <c r="Z809" s="361"/>
      <c r="AA809" s="361"/>
      <c r="AB809" s="361"/>
      <c r="AC809" s="361"/>
      <c r="AD809" s="361"/>
      <c r="AE809" s="361"/>
      <c r="AF809" s="361"/>
      <c r="AG809" s="361"/>
      <c r="AH809" s="361"/>
      <c r="AI809" s="361"/>
      <c r="AJ809" s="361"/>
      <c r="AK809" s="361"/>
      <c r="AL809" s="361"/>
      <c r="AM809" s="361"/>
      <c r="AN809" s="361"/>
      <c r="AO809" s="361"/>
    </row>
    <row r="810" spans="1:41" s="73" customFormat="1" ht="15" customHeight="1" x14ac:dyDescent="0.25">
      <c r="A810" s="384"/>
      <c r="B810" s="195"/>
      <c r="C810" s="132"/>
      <c r="D810" s="132" t="s">
        <v>1066</v>
      </c>
      <c r="E810" s="54" t="s">
        <v>1431</v>
      </c>
      <c r="F810" s="361"/>
      <c r="G810" s="361"/>
      <c r="H810" s="361"/>
      <c r="I810" s="361"/>
      <c r="J810" s="361"/>
      <c r="K810" s="361"/>
      <c r="L810" s="361"/>
      <c r="M810" s="361"/>
      <c r="N810" s="361"/>
      <c r="O810" s="361"/>
      <c r="P810" s="361"/>
      <c r="Q810" s="361"/>
      <c r="R810" s="361"/>
      <c r="S810" s="361"/>
      <c r="T810" s="361"/>
      <c r="U810" s="361"/>
      <c r="V810" s="361"/>
      <c r="W810" s="361"/>
      <c r="X810" s="361"/>
      <c r="Y810" s="361"/>
      <c r="Z810" s="361"/>
      <c r="AA810" s="361"/>
      <c r="AB810" s="361"/>
      <c r="AC810" s="361"/>
      <c r="AD810" s="361"/>
      <c r="AE810" s="361"/>
      <c r="AF810" s="361"/>
      <c r="AG810" s="361"/>
      <c r="AH810" s="361"/>
      <c r="AI810" s="361"/>
      <c r="AJ810" s="361"/>
      <c r="AK810" s="361"/>
      <c r="AL810" s="361"/>
      <c r="AM810" s="361"/>
      <c r="AN810" s="361"/>
      <c r="AO810" s="361"/>
    </row>
    <row r="811" spans="1:41" s="73" customFormat="1" ht="15" customHeight="1" x14ac:dyDescent="0.25">
      <c r="A811" s="384"/>
      <c r="B811" s="195"/>
      <c r="C811" s="132"/>
      <c r="D811" s="132" t="s">
        <v>1067</v>
      </c>
      <c r="E811" s="54" t="s">
        <v>1432</v>
      </c>
      <c r="F811" s="361"/>
      <c r="G811" s="361"/>
      <c r="H811" s="361"/>
      <c r="I811" s="361"/>
      <c r="J811" s="361"/>
      <c r="K811" s="361"/>
      <c r="L811" s="361"/>
      <c r="M811" s="361"/>
      <c r="N811" s="361"/>
      <c r="O811" s="361"/>
      <c r="P811" s="361"/>
      <c r="Q811" s="361"/>
      <c r="R811" s="361"/>
      <c r="S811" s="361"/>
      <c r="T811" s="361"/>
      <c r="U811" s="361"/>
      <c r="V811" s="361"/>
      <c r="W811" s="361"/>
      <c r="X811" s="361"/>
      <c r="Y811" s="361"/>
      <c r="Z811" s="361"/>
      <c r="AA811" s="361"/>
      <c r="AB811" s="361"/>
      <c r="AC811" s="361"/>
      <c r="AD811" s="361"/>
      <c r="AE811" s="361"/>
      <c r="AF811" s="361"/>
      <c r="AG811" s="361"/>
      <c r="AH811" s="361"/>
      <c r="AI811" s="361"/>
      <c r="AJ811" s="361"/>
      <c r="AK811" s="361"/>
      <c r="AL811" s="361"/>
      <c r="AM811" s="361"/>
      <c r="AN811" s="361"/>
      <c r="AO811" s="361"/>
    </row>
    <row r="812" spans="1:41" s="73" customFormat="1" ht="15" customHeight="1" x14ac:dyDescent="0.25">
      <c r="A812" s="384"/>
      <c r="B812" s="195"/>
      <c r="C812" s="132"/>
      <c r="D812" s="132" t="s">
        <v>1068</v>
      </c>
      <c r="E812" s="54" t="s">
        <v>1433</v>
      </c>
      <c r="F812" s="361"/>
      <c r="G812" s="361"/>
      <c r="H812" s="361"/>
      <c r="I812" s="361"/>
      <c r="J812" s="361"/>
      <c r="K812" s="361"/>
      <c r="L812" s="361"/>
      <c r="M812" s="361"/>
      <c r="N812" s="361"/>
      <c r="O812" s="361"/>
      <c r="P812" s="361"/>
      <c r="Q812" s="361"/>
      <c r="R812" s="361"/>
      <c r="S812" s="361"/>
      <c r="T812" s="361"/>
      <c r="U812" s="361"/>
      <c r="V812" s="361"/>
      <c r="W812" s="361"/>
      <c r="X812" s="361"/>
      <c r="Y812" s="361"/>
      <c r="Z812" s="361"/>
      <c r="AA812" s="361"/>
      <c r="AB812" s="361"/>
      <c r="AC812" s="361"/>
      <c r="AD812" s="361"/>
      <c r="AE812" s="361"/>
      <c r="AF812" s="361"/>
      <c r="AG812" s="361"/>
      <c r="AH812" s="361"/>
      <c r="AI812" s="361"/>
      <c r="AJ812" s="361"/>
      <c r="AK812" s="361"/>
      <c r="AL812" s="361"/>
      <c r="AM812" s="361"/>
      <c r="AN812" s="361"/>
      <c r="AO812" s="361"/>
    </row>
    <row r="813" spans="1:41" s="73" customFormat="1" ht="15" customHeight="1" x14ac:dyDescent="0.25">
      <c r="A813" s="384"/>
      <c r="B813" s="195"/>
      <c r="C813" s="132"/>
      <c r="D813" s="132" t="s">
        <v>1069</v>
      </c>
      <c r="E813" s="54" t="s">
        <v>1434</v>
      </c>
      <c r="F813" s="361"/>
      <c r="G813" s="361"/>
      <c r="H813" s="361"/>
      <c r="I813" s="361"/>
      <c r="J813" s="361"/>
      <c r="K813" s="361"/>
      <c r="L813" s="361"/>
      <c r="M813" s="361"/>
      <c r="N813" s="361"/>
      <c r="O813" s="361"/>
      <c r="P813" s="361"/>
      <c r="Q813" s="361"/>
      <c r="R813" s="361"/>
      <c r="S813" s="361"/>
      <c r="T813" s="361"/>
      <c r="U813" s="361"/>
      <c r="V813" s="361"/>
      <c r="W813" s="361"/>
      <c r="X813" s="361"/>
      <c r="Y813" s="361"/>
      <c r="Z813" s="361"/>
      <c r="AA813" s="361"/>
      <c r="AB813" s="361"/>
      <c r="AC813" s="361"/>
      <c r="AD813" s="361"/>
      <c r="AE813" s="361"/>
      <c r="AF813" s="361"/>
      <c r="AG813" s="361"/>
      <c r="AH813" s="361"/>
      <c r="AI813" s="361"/>
      <c r="AJ813" s="361"/>
      <c r="AK813" s="361"/>
      <c r="AL813" s="361"/>
      <c r="AM813" s="361"/>
      <c r="AN813" s="361"/>
      <c r="AO813" s="361"/>
    </row>
    <row r="814" spans="1:41" s="73" customFormat="1" ht="15" customHeight="1" x14ac:dyDescent="0.25">
      <c r="A814" s="384"/>
      <c r="B814" s="195"/>
      <c r="C814" s="132"/>
      <c r="D814" s="132" t="s">
        <v>1071</v>
      </c>
      <c r="E814" s="54" t="s">
        <v>1435</v>
      </c>
      <c r="F814" s="361"/>
      <c r="G814" s="361"/>
      <c r="H814" s="361"/>
      <c r="I814" s="361"/>
      <c r="J814" s="361"/>
      <c r="K814" s="361"/>
      <c r="L814" s="361"/>
      <c r="M814" s="361"/>
      <c r="N814" s="361"/>
      <c r="O814" s="361"/>
      <c r="P814" s="361"/>
      <c r="Q814" s="361"/>
      <c r="R814" s="361"/>
      <c r="S814" s="361"/>
      <c r="T814" s="361"/>
      <c r="U814" s="361"/>
      <c r="V814" s="361"/>
      <c r="W814" s="361"/>
      <c r="X814" s="361"/>
      <c r="Y814" s="361"/>
      <c r="Z814" s="361"/>
      <c r="AA814" s="361"/>
      <c r="AB814" s="361"/>
      <c r="AC814" s="361"/>
      <c r="AD814" s="361"/>
      <c r="AE814" s="361"/>
      <c r="AF814" s="361"/>
      <c r="AG814" s="361"/>
      <c r="AH814" s="361"/>
      <c r="AI814" s="361"/>
      <c r="AJ814" s="361"/>
      <c r="AK814" s="361"/>
      <c r="AL814" s="361"/>
      <c r="AM814" s="361"/>
      <c r="AN814" s="361"/>
      <c r="AO814" s="361"/>
    </row>
    <row r="815" spans="1:41" ht="15" customHeight="1" x14ac:dyDescent="0.25">
      <c r="A815" s="384"/>
      <c r="B815" s="195"/>
      <c r="C815" s="132" t="s">
        <v>1436</v>
      </c>
      <c r="D815" s="132"/>
      <c r="E815" s="63" t="s">
        <v>1577</v>
      </c>
      <c r="F815" s="361"/>
      <c r="G815" s="361"/>
      <c r="H815" s="361"/>
      <c r="I815" s="361" t="s">
        <v>1576</v>
      </c>
      <c r="J815" s="361"/>
      <c r="K815" s="361"/>
      <c r="L815" s="361"/>
      <c r="M815" s="361"/>
      <c r="N815" s="361"/>
      <c r="O815" s="361"/>
      <c r="P815" s="361"/>
      <c r="Q815" s="361"/>
      <c r="R815" s="361"/>
      <c r="S815" s="361"/>
      <c r="T815" s="361"/>
      <c r="U815" s="361"/>
      <c r="V815" s="361"/>
      <c r="W815" s="361"/>
      <c r="X815" s="361"/>
      <c r="Y815" s="361"/>
      <c r="Z815" s="361"/>
      <c r="AA815" s="361"/>
      <c r="AB815" s="361"/>
      <c r="AC815" s="361"/>
      <c r="AD815" s="361"/>
      <c r="AE815" s="361"/>
      <c r="AF815" s="361"/>
      <c r="AG815" s="361"/>
      <c r="AH815" s="361"/>
      <c r="AI815" s="361"/>
      <c r="AJ815" s="361"/>
      <c r="AK815" s="361"/>
      <c r="AL815" s="361"/>
      <c r="AM815" s="361"/>
      <c r="AN815" s="361"/>
      <c r="AO815" s="361"/>
    </row>
    <row r="816" spans="1:41" ht="15" customHeight="1" x14ac:dyDescent="0.25">
      <c r="A816" s="384"/>
      <c r="B816" s="195"/>
      <c r="C816" s="132" t="s">
        <v>168</v>
      </c>
      <c r="D816" s="132"/>
      <c r="E816" s="63" t="s">
        <v>1578</v>
      </c>
      <c r="F816" s="361"/>
      <c r="G816" s="361"/>
      <c r="H816" s="361"/>
      <c r="I816" s="361" t="s">
        <v>1576</v>
      </c>
      <c r="J816" s="361"/>
      <c r="K816" s="361"/>
      <c r="L816" s="361"/>
      <c r="M816" s="361"/>
      <c r="N816" s="361"/>
      <c r="O816" s="361"/>
      <c r="P816" s="361"/>
      <c r="Q816" s="361"/>
      <c r="R816" s="361"/>
      <c r="S816" s="361"/>
      <c r="T816" s="361"/>
      <c r="U816" s="361"/>
      <c r="V816" s="361"/>
      <c r="W816" s="361"/>
      <c r="X816" s="361"/>
      <c r="Y816" s="361"/>
      <c r="Z816" s="361"/>
      <c r="AA816" s="361"/>
      <c r="AB816" s="361"/>
      <c r="AC816" s="361"/>
      <c r="AD816" s="361"/>
      <c r="AE816" s="361"/>
      <c r="AF816" s="361"/>
      <c r="AG816" s="361"/>
      <c r="AH816" s="361"/>
      <c r="AI816" s="361"/>
      <c r="AJ816" s="361"/>
      <c r="AK816" s="361"/>
      <c r="AL816" s="361"/>
      <c r="AM816" s="361"/>
      <c r="AN816" s="361"/>
      <c r="AO816" s="361"/>
    </row>
    <row r="817" spans="1:41" s="73" customFormat="1" ht="15" customHeight="1" x14ac:dyDescent="0.25">
      <c r="A817" s="384"/>
      <c r="B817" s="195"/>
      <c r="C817" s="132"/>
      <c r="D817" s="132"/>
      <c r="E817" s="54"/>
      <c r="F817" s="361"/>
      <c r="G817" s="361"/>
      <c r="H817" s="361"/>
      <c r="I817" s="361"/>
      <c r="J817" s="361"/>
      <c r="K817" s="361"/>
      <c r="L817" s="361"/>
      <c r="M817" s="361"/>
      <c r="N817" s="361"/>
      <c r="O817" s="361"/>
      <c r="P817" s="361"/>
      <c r="Q817" s="361"/>
      <c r="R817" s="361"/>
      <c r="S817" s="361"/>
      <c r="T817" s="361"/>
      <c r="U817" s="361"/>
      <c r="V817" s="361"/>
      <c r="W817" s="361"/>
      <c r="X817" s="361"/>
      <c r="Y817" s="361"/>
      <c r="Z817" s="361"/>
      <c r="AA817" s="361"/>
      <c r="AB817" s="361"/>
      <c r="AC817" s="361"/>
      <c r="AD817" s="361"/>
      <c r="AE817" s="361"/>
      <c r="AF817" s="361"/>
      <c r="AG817" s="361"/>
      <c r="AH817" s="361"/>
      <c r="AI817" s="361"/>
      <c r="AJ817" s="361"/>
      <c r="AK817" s="361"/>
      <c r="AL817" s="361"/>
      <c r="AM817" s="361"/>
      <c r="AN817" s="361"/>
      <c r="AO817" s="361"/>
    </row>
    <row r="818" spans="1:41" s="108" customFormat="1" ht="15" customHeight="1" x14ac:dyDescent="0.25">
      <c r="A818" s="384"/>
      <c r="B818" s="195"/>
      <c r="C818" s="171" t="s">
        <v>1550</v>
      </c>
      <c r="D818" s="171" t="s">
        <v>1064</v>
      </c>
      <c r="E818" s="190" t="s">
        <v>1584</v>
      </c>
      <c r="F818" s="360"/>
      <c r="G818" s="360"/>
      <c r="H818" s="360"/>
      <c r="I818" s="360" t="s">
        <v>1746</v>
      </c>
      <c r="J818" s="360"/>
      <c r="K818" s="360"/>
      <c r="L818" s="360"/>
      <c r="M818" s="360"/>
      <c r="N818" s="360"/>
      <c r="O818" s="360"/>
      <c r="P818" s="360"/>
      <c r="Q818" s="360"/>
      <c r="R818" s="360"/>
      <c r="S818" s="360"/>
      <c r="T818" s="360"/>
      <c r="U818" s="360"/>
      <c r="V818" s="360"/>
      <c r="W818" s="360"/>
      <c r="X818" s="360"/>
      <c r="Y818" s="360"/>
      <c r="Z818" s="360"/>
      <c r="AA818" s="360"/>
      <c r="AB818" s="360"/>
      <c r="AC818" s="360"/>
      <c r="AD818" s="360"/>
      <c r="AE818" s="360"/>
      <c r="AF818" s="360"/>
      <c r="AG818" s="360"/>
      <c r="AH818" s="360"/>
      <c r="AI818" s="360"/>
      <c r="AJ818" s="360"/>
      <c r="AK818" s="360"/>
      <c r="AL818" s="360"/>
      <c r="AM818" s="360"/>
      <c r="AN818" s="360"/>
      <c r="AO818" s="360"/>
    </row>
    <row r="819" spans="1:41" s="108" customFormat="1" ht="15" customHeight="1" x14ac:dyDescent="0.25">
      <c r="A819" s="384"/>
      <c r="B819" s="195"/>
      <c r="C819" s="157" t="s">
        <v>1544</v>
      </c>
      <c r="D819" s="171" t="s">
        <v>1064</v>
      </c>
      <c r="E819" s="190" t="s">
        <v>1585</v>
      </c>
      <c r="F819" s="360"/>
      <c r="G819" s="360"/>
      <c r="H819" s="360"/>
      <c r="I819" s="360" t="s">
        <v>1748</v>
      </c>
      <c r="J819" s="360"/>
      <c r="K819" s="360"/>
      <c r="L819" s="360"/>
      <c r="M819" s="360"/>
      <c r="N819" s="360"/>
      <c r="O819" s="360"/>
      <c r="P819" s="360"/>
      <c r="Q819" s="360"/>
      <c r="R819" s="360"/>
      <c r="S819" s="360"/>
      <c r="T819" s="360"/>
      <c r="U819" s="360"/>
      <c r="V819" s="360"/>
      <c r="W819" s="360"/>
      <c r="X819" s="360"/>
      <c r="Y819" s="360"/>
      <c r="Z819" s="360"/>
      <c r="AA819" s="360"/>
      <c r="AB819" s="360"/>
      <c r="AC819" s="360"/>
      <c r="AD819" s="360"/>
      <c r="AE819" s="360"/>
      <c r="AF819" s="360"/>
      <c r="AG819" s="360"/>
      <c r="AH819" s="360"/>
      <c r="AI819" s="360"/>
      <c r="AJ819" s="360"/>
      <c r="AK819" s="360"/>
      <c r="AL819" s="360"/>
      <c r="AM819" s="360"/>
      <c r="AN819" s="360"/>
      <c r="AO819" s="360"/>
    </row>
    <row r="820" spans="1:41" s="73" customFormat="1" ht="15" customHeight="1" x14ac:dyDescent="0.25">
      <c r="A820" s="384"/>
      <c r="B820" s="195"/>
      <c r="C820" s="158" t="s">
        <v>738</v>
      </c>
      <c r="D820" s="132" t="s">
        <v>1064</v>
      </c>
      <c r="E820" s="63" t="s">
        <v>1575</v>
      </c>
      <c r="F820" s="361"/>
      <c r="G820" s="361"/>
      <c r="H820" s="361"/>
      <c r="I820" s="361" t="s">
        <v>1747</v>
      </c>
      <c r="J820" s="361"/>
      <c r="K820" s="361"/>
      <c r="L820" s="361"/>
      <c r="M820" s="361"/>
      <c r="N820" s="361"/>
      <c r="O820" s="361"/>
      <c r="P820" s="361"/>
      <c r="Q820" s="361"/>
      <c r="R820" s="361"/>
      <c r="S820" s="361"/>
      <c r="T820" s="361"/>
      <c r="U820" s="361"/>
      <c r="V820" s="361"/>
      <c r="W820" s="361"/>
      <c r="X820" s="361"/>
      <c r="Y820" s="361"/>
      <c r="Z820" s="361"/>
      <c r="AA820" s="361"/>
      <c r="AB820" s="361"/>
      <c r="AC820" s="361"/>
      <c r="AD820" s="361"/>
      <c r="AE820" s="361"/>
      <c r="AF820" s="361"/>
      <c r="AG820" s="361"/>
      <c r="AH820" s="361"/>
      <c r="AI820" s="361"/>
      <c r="AJ820" s="361"/>
      <c r="AK820" s="361"/>
      <c r="AL820" s="361"/>
      <c r="AM820" s="361"/>
      <c r="AN820" s="361"/>
      <c r="AO820" s="361"/>
    </row>
    <row r="821" spans="1:41" s="73" customFormat="1" ht="15" customHeight="1" x14ac:dyDescent="0.25">
      <c r="A821" s="384"/>
      <c r="B821" s="195"/>
      <c r="C821" s="158" t="s">
        <v>739</v>
      </c>
      <c r="D821" s="132" t="s">
        <v>1064</v>
      </c>
      <c r="E821" s="54" t="s">
        <v>1468</v>
      </c>
      <c r="F821" s="361"/>
      <c r="G821" s="361"/>
      <c r="H821" s="361"/>
      <c r="I821" s="361"/>
      <c r="J821" s="361"/>
      <c r="K821" s="361"/>
      <c r="L821" s="361"/>
      <c r="M821" s="361"/>
      <c r="N821" s="361"/>
      <c r="O821" s="361"/>
      <c r="P821" s="361"/>
      <c r="Q821" s="361"/>
      <c r="R821" s="361"/>
      <c r="S821" s="361"/>
      <c r="T821" s="361"/>
      <c r="U821" s="361"/>
      <c r="V821" s="361"/>
      <c r="W821" s="361"/>
      <c r="X821" s="361"/>
      <c r="Y821" s="361"/>
      <c r="Z821" s="361"/>
      <c r="AA821" s="361"/>
      <c r="AB821" s="361"/>
      <c r="AC821" s="361"/>
      <c r="AD821" s="361"/>
      <c r="AE821" s="361"/>
      <c r="AF821" s="361"/>
      <c r="AG821" s="361"/>
      <c r="AH821" s="361"/>
      <c r="AI821" s="361"/>
      <c r="AJ821" s="361"/>
      <c r="AK821" s="361"/>
      <c r="AL821" s="361"/>
      <c r="AM821" s="361"/>
      <c r="AN821" s="361"/>
      <c r="AO821" s="361"/>
    </row>
    <row r="822" spans="1:41" s="108" customFormat="1" ht="15" customHeight="1" x14ac:dyDescent="0.25">
      <c r="A822" s="384"/>
      <c r="B822" s="195"/>
      <c r="C822" s="157" t="s">
        <v>1545</v>
      </c>
      <c r="D822" s="171" t="s">
        <v>1064</v>
      </c>
      <c r="E822" s="156" t="s">
        <v>1469</v>
      </c>
      <c r="F822" s="360"/>
      <c r="G822" s="360"/>
      <c r="H822" s="360"/>
      <c r="I822" s="360"/>
      <c r="J822" s="360"/>
      <c r="K822" s="360"/>
      <c r="L822" s="360"/>
      <c r="M822" s="360"/>
      <c r="N822" s="360"/>
      <c r="O822" s="360"/>
      <c r="P822" s="360"/>
      <c r="Q822" s="360"/>
      <c r="R822" s="360"/>
      <c r="S822" s="360"/>
      <c r="T822" s="360"/>
      <c r="U822" s="360"/>
      <c r="V822" s="360"/>
      <c r="W822" s="360"/>
      <c r="X822" s="360"/>
      <c r="Y822" s="360"/>
      <c r="Z822" s="360"/>
      <c r="AA822" s="360"/>
      <c r="AB822" s="360"/>
      <c r="AC822" s="360"/>
      <c r="AD822" s="360"/>
      <c r="AE822" s="360"/>
      <c r="AF822" s="360"/>
      <c r="AG822" s="360"/>
      <c r="AH822" s="360"/>
      <c r="AI822" s="360"/>
      <c r="AJ822" s="360"/>
      <c r="AK822" s="360"/>
      <c r="AL822" s="360"/>
      <c r="AM822" s="360"/>
      <c r="AN822" s="360"/>
      <c r="AO822" s="360"/>
    </row>
    <row r="823" spans="1:41" s="73" customFormat="1" ht="15" customHeight="1" x14ac:dyDescent="0.25">
      <c r="A823" s="384"/>
      <c r="B823" s="195"/>
      <c r="C823" s="158" t="s">
        <v>740</v>
      </c>
      <c r="D823" s="132" t="s">
        <v>1064</v>
      </c>
      <c r="E823" s="54" t="s">
        <v>1470</v>
      </c>
      <c r="F823" s="361"/>
      <c r="G823" s="361"/>
      <c r="H823" s="361"/>
      <c r="I823" s="361"/>
      <c r="J823" s="361"/>
      <c r="K823" s="361"/>
      <c r="L823" s="361"/>
      <c r="M823" s="361"/>
      <c r="N823" s="361"/>
      <c r="O823" s="361"/>
      <c r="P823" s="361"/>
      <c r="Q823" s="361"/>
      <c r="R823" s="361"/>
      <c r="S823" s="361"/>
      <c r="T823" s="361"/>
      <c r="U823" s="361"/>
      <c r="V823" s="361"/>
      <c r="W823" s="361"/>
      <c r="X823" s="361"/>
      <c r="Y823" s="361"/>
      <c r="Z823" s="361"/>
      <c r="AA823" s="361"/>
      <c r="AB823" s="361"/>
      <c r="AC823" s="361"/>
      <c r="AD823" s="361"/>
      <c r="AE823" s="361"/>
      <c r="AF823" s="361"/>
      <c r="AG823" s="361"/>
      <c r="AH823" s="361"/>
      <c r="AI823" s="361"/>
      <c r="AJ823" s="361"/>
      <c r="AK823" s="361"/>
      <c r="AL823" s="361"/>
      <c r="AM823" s="361"/>
      <c r="AN823" s="361"/>
      <c r="AO823" s="361"/>
    </row>
    <row r="824" spans="1:41" s="73" customFormat="1" ht="15" customHeight="1" x14ac:dyDescent="0.25">
      <c r="A824" s="384"/>
      <c r="B824" s="195"/>
      <c r="C824" s="158" t="s">
        <v>741</v>
      </c>
      <c r="D824" s="132" t="s">
        <v>1064</v>
      </c>
      <c r="E824" s="54" t="s">
        <v>1471</v>
      </c>
      <c r="F824" s="361"/>
      <c r="G824" s="361"/>
      <c r="H824" s="361"/>
      <c r="I824" s="361"/>
      <c r="J824" s="361"/>
      <c r="K824" s="361"/>
      <c r="L824" s="361"/>
      <c r="M824" s="361"/>
      <c r="N824" s="361"/>
      <c r="O824" s="361"/>
      <c r="P824" s="361"/>
      <c r="Q824" s="361"/>
      <c r="R824" s="361"/>
      <c r="S824" s="361"/>
      <c r="T824" s="361"/>
      <c r="U824" s="361"/>
      <c r="V824" s="361"/>
      <c r="W824" s="361"/>
      <c r="X824" s="361"/>
      <c r="Y824" s="361"/>
      <c r="Z824" s="361"/>
      <c r="AA824" s="361"/>
      <c r="AB824" s="361"/>
      <c r="AC824" s="361"/>
      <c r="AD824" s="361"/>
      <c r="AE824" s="361"/>
      <c r="AF824" s="361"/>
      <c r="AG824" s="361"/>
      <c r="AH824" s="361"/>
      <c r="AI824" s="361"/>
      <c r="AJ824" s="361"/>
      <c r="AK824" s="361"/>
      <c r="AL824" s="361"/>
      <c r="AM824" s="361"/>
      <c r="AN824" s="361"/>
      <c r="AO824" s="361"/>
    </row>
    <row r="825" spans="1:41" s="73" customFormat="1" ht="15" customHeight="1" x14ac:dyDescent="0.25">
      <c r="A825" s="384"/>
      <c r="B825" s="195"/>
      <c r="C825" s="158" t="s">
        <v>742</v>
      </c>
      <c r="D825" s="132" t="s">
        <v>1064</v>
      </c>
      <c r="E825" s="54" t="s">
        <v>1472</v>
      </c>
      <c r="F825" s="361"/>
      <c r="G825" s="361"/>
      <c r="H825" s="361"/>
      <c r="I825" s="361"/>
      <c r="J825" s="361"/>
      <c r="K825" s="361"/>
      <c r="L825" s="361"/>
      <c r="M825" s="361"/>
      <c r="N825" s="361"/>
      <c r="O825" s="361"/>
      <c r="P825" s="361"/>
      <c r="Q825" s="361"/>
      <c r="R825" s="361"/>
      <c r="S825" s="361"/>
      <c r="T825" s="361"/>
      <c r="U825" s="361"/>
      <c r="V825" s="361"/>
      <c r="W825" s="361"/>
      <c r="X825" s="361"/>
      <c r="Y825" s="361"/>
      <c r="Z825" s="361"/>
      <c r="AA825" s="361"/>
      <c r="AB825" s="361"/>
      <c r="AC825" s="361"/>
      <c r="AD825" s="361"/>
      <c r="AE825" s="361"/>
      <c r="AF825" s="361"/>
      <c r="AG825" s="361"/>
      <c r="AH825" s="361"/>
      <c r="AI825" s="361"/>
      <c r="AJ825" s="361"/>
      <c r="AK825" s="361"/>
      <c r="AL825" s="361"/>
      <c r="AM825" s="361"/>
      <c r="AN825" s="361"/>
      <c r="AO825" s="361"/>
    </row>
    <row r="826" spans="1:41" s="73" customFormat="1" ht="15" customHeight="1" x14ac:dyDescent="0.25">
      <c r="A826" s="384"/>
      <c r="B826" s="195"/>
      <c r="C826" s="158" t="s">
        <v>743</v>
      </c>
      <c r="D826" s="132" t="s">
        <v>1064</v>
      </c>
      <c r="E826" s="54" t="s">
        <v>1473</v>
      </c>
      <c r="F826" s="361"/>
      <c r="G826" s="361"/>
      <c r="H826" s="361"/>
      <c r="I826" s="361"/>
      <c r="J826" s="361"/>
      <c r="K826" s="361"/>
      <c r="L826" s="361"/>
      <c r="M826" s="361"/>
      <c r="N826" s="361"/>
      <c r="O826" s="361"/>
      <c r="P826" s="361"/>
      <c r="Q826" s="361"/>
      <c r="R826" s="361"/>
      <c r="S826" s="361"/>
      <c r="T826" s="361"/>
      <c r="U826" s="361"/>
      <c r="V826" s="361"/>
      <c r="W826" s="361"/>
      <c r="X826" s="361"/>
      <c r="Y826" s="361"/>
      <c r="Z826" s="361"/>
      <c r="AA826" s="361"/>
      <c r="AB826" s="361"/>
      <c r="AC826" s="361"/>
      <c r="AD826" s="361"/>
      <c r="AE826" s="361"/>
      <c r="AF826" s="361"/>
      <c r="AG826" s="361"/>
      <c r="AH826" s="361"/>
      <c r="AI826" s="361"/>
      <c r="AJ826" s="361"/>
      <c r="AK826" s="361"/>
      <c r="AL826" s="361"/>
      <c r="AM826" s="361"/>
      <c r="AN826" s="361"/>
      <c r="AO826" s="361"/>
    </row>
    <row r="827" spans="1:41" s="73" customFormat="1" ht="15" customHeight="1" x14ac:dyDescent="0.25">
      <c r="A827" s="384"/>
      <c r="B827" s="195"/>
      <c r="C827" s="158" t="s">
        <v>744</v>
      </c>
      <c r="D827" s="132" t="s">
        <v>1064</v>
      </c>
      <c r="E827" s="54" t="s">
        <v>1474</v>
      </c>
      <c r="F827" s="361"/>
      <c r="G827" s="361"/>
      <c r="H827" s="361"/>
      <c r="I827" s="361"/>
      <c r="J827" s="361"/>
      <c r="K827" s="361"/>
      <c r="L827" s="361"/>
      <c r="M827" s="361"/>
      <c r="N827" s="361"/>
      <c r="O827" s="361"/>
      <c r="P827" s="361"/>
      <c r="Q827" s="361"/>
      <c r="R827" s="361"/>
      <c r="S827" s="361"/>
      <c r="T827" s="361"/>
      <c r="U827" s="361"/>
      <c r="V827" s="361"/>
      <c r="W827" s="361"/>
      <c r="X827" s="361"/>
      <c r="Y827" s="361"/>
      <c r="Z827" s="361"/>
      <c r="AA827" s="361"/>
      <c r="AB827" s="361"/>
      <c r="AC827" s="361"/>
      <c r="AD827" s="361"/>
      <c r="AE827" s="361"/>
      <c r="AF827" s="361"/>
      <c r="AG827" s="361"/>
      <c r="AH827" s="361"/>
      <c r="AI827" s="361"/>
      <c r="AJ827" s="361"/>
      <c r="AK827" s="361"/>
      <c r="AL827" s="361"/>
      <c r="AM827" s="361"/>
      <c r="AN827" s="361"/>
      <c r="AO827" s="361"/>
    </row>
    <row r="828" spans="1:41" s="73" customFormat="1" ht="15" customHeight="1" x14ac:dyDescent="0.25">
      <c r="A828" s="384"/>
      <c r="B828" s="195"/>
      <c r="C828" s="158" t="s">
        <v>745</v>
      </c>
      <c r="D828" s="132" t="s">
        <v>1064</v>
      </c>
      <c r="E828" s="54" t="s">
        <v>1475</v>
      </c>
      <c r="F828" s="361"/>
      <c r="G828" s="361"/>
      <c r="H828" s="361"/>
      <c r="I828" s="361"/>
      <c r="J828" s="361"/>
      <c r="K828" s="361"/>
      <c r="L828" s="361"/>
      <c r="M828" s="361"/>
      <c r="N828" s="361"/>
      <c r="O828" s="361"/>
      <c r="P828" s="361"/>
      <c r="Q828" s="361"/>
      <c r="R828" s="361"/>
      <c r="S828" s="361"/>
      <c r="T828" s="361"/>
      <c r="U828" s="361"/>
      <c r="V828" s="361"/>
      <c r="W828" s="361"/>
      <c r="X828" s="361"/>
      <c r="Y828" s="361"/>
      <c r="Z828" s="361"/>
      <c r="AA828" s="361"/>
      <c r="AB828" s="361"/>
      <c r="AC828" s="361"/>
      <c r="AD828" s="361"/>
      <c r="AE828" s="361"/>
      <c r="AF828" s="361"/>
      <c r="AG828" s="361"/>
      <c r="AH828" s="361"/>
      <c r="AI828" s="361"/>
      <c r="AJ828" s="361"/>
      <c r="AK828" s="361"/>
      <c r="AL828" s="361"/>
      <c r="AM828" s="361"/>
      <c r="AN828" s="361"/>
      <c r="AO828" s="361"/>
    </row>
    <row r="829" spans="1:41" s="73" customFormat="1" ht="15" customHeight="1" x14ac:dyDescent="0.25">
      <c r="A829" s="384"/>
      <c r="B829" s="195"/>
      <c r="C829" s="158" t="s">
        <v>746</v>
      </c>
      <c r="D829" s="132" t="s">
        <v>1064</v>
      </c>
      <c r="E829" s="54" t="s">
        <v>1476</v>
      </c>
      <c r="F829" s="361"/>
      <c r="G829" s="361"/>
      <c r="H829" s="361"/>
      <c r="I829" s="361"/>
      <c r="J829" s="361"/>
      <c r="K829" s="361"/>
      <c r="L829" s="361"/>
      <c r="M829" s="361"/>
      <c r="N829" s="361"/>
      <c r="O829" s="361"/>
      <c r="P829" s="361"/>
      <c r="Q829" s="361"/>
      <c r="R829" s="361"/>
      <c r="S829" s="361"/>
      <c r="T829" s="361"/>
      <c r="U829" s="361"/>
      <c r="V829" s="361"/>
      <c r="W829" s="361"/>
      <c r="X829" s="361"/>
      <c r="Y829" s="361"/>
      <c r="Z829" s="361"/>
      <c r="AA829" s="361"/>
      <c r="AB829" s="361"/>
      <c r="AC829" s="361"/>
      <c r="AD829" s="361"/>
      <c r="AE829" s="361"/>
      <c r="AF829" s="361"/>
      <c r="AG829" s="361"/>
      <c r="AH829" s="361"/>
      <c r="AI829" s="361"/>
      <c r="AJ829" s="361"/>
      <c r="AK829" s="361"/>
      <c r="AL829" s="361"/>
      <c r="AM829" s="361"/>
      <c r="AN829" s="361"/>
      <c r="AO829" s="361"/>
    </row>
    <row r="830" spans="1:41" s="73" customFormat="1" ht="15" customHeight="1" x14ac:dyDescent="0.25">
      <c r="A830" s="384"/>
      <c r="B830" s="195"/>
      <c r="C830" s="158" t="s">
        <v>747</v>
      </c>
      <c r="D830" s="132" t="s">
        <v>1064</v>
      </c>
      <c r="E830" s="54" t="s">
        <v>1477</v>
      </c>
      <c r="F830" s="361"/>
      <c r="G830" s="361"/>
      <c r="H830" s="361"/>
      <c r="I830" s="361"/>
      <c r="J830" s="361"/>
      <c r="K830" s="361"/>
      <c r="L830" s="361"/>
      <c r="M830" s="361"/>
      <c r="N830" s="361"/>
      <c r="O830" s="361"/>
      <c r="P830" s="361"/>
      <c r="Q830" s="361"/>
      <c r="R830" s="361"/>
      <c r="S830" s="361"/>
      <c r="T830" s="361"/>
      <c r="U830" s="361"/>
      <c r="V830" s="361"/>
      <c r="W830" s="361"/>
      <c r="X830" s="361"/>
      <c r="Y830" s="361"/>
      <c r="Z830" s="361"/>
      <c r="AA830" s="361"/>
      <c r="AB830" s="361"/>
      <c r="AC830" s="361"/>
      <c r="AD830" s="361"/>
      <c r="AE830" s="361"/>
      <c r="AF830" s="361"/>
      <c r="AG830" s="361"/>
      <c r="AH830" s="361"/>
      <c r="AI830" s="361"/>
      <c r="AJ830" s="361"/>
      <c r="AK830" s="361"/>
      <c r="AL830" s="361"/>
      <c r="AM830" s="361"/>
      <c r="AN830" s="361"/>
      <c r="AO830" s="361"/>
    </row>
    <row r="831" spans="1:41" s="73" customFormat="1" ht="15" customHeight="1" x14ac:dyDescent="0.25">
      <c r="A831" s="384"/>
      <c r="B831" s="195"/>
      <c r="C831" s="158" t="s">
        <v>748</v>
      </c>
      <c r="D831" s="132" t="s">
        <v>1064</v>
      </c>
      <c r="E831" s="54" t="s">
        <v>1478</v>
      </c>
      <c r="F831" s="361"/>
      <c r="G831" s="361"/>
      <c r="H831" s="361"/>
      <c r="I831" s="361"/>
      <c r="J831" s="361"/>
      <c r="K831" s="361"/>
      <c r="L831" s="361"/>
      <c r="M831" s="361"/>
      <c r="N831" s="361"/>
      <c r="O831" s="361"/>
      <c r="P831" s="361"/>
      <c r="Q831" s="361"/>
      <c r="R831" s="361"/>
      <c r="S831" s="361"/>
      <c r="T831" s="361"/>
      <c r="U831" s="361"/>
      <c r="V831" s="361"/>
      <c r="W831" s="361"/>
      <c r="X831" s="361"/>
      <c r="Y831" s="361"/>
      <c r="Z831" s="361"/>
      <c r="AA831" s="361"/>
      <c r="AB831" s="361"/>
      <c r="AC831" s="361"/>
      <c r="AD831" s="361"/>
      <c r="AE831" s="361"/>
      <c r="AF831" s="361"/>
      <c r="AG831" s="361"/>
      <c r="AH831" s="361"/>
      <c r="AI831" s="361"/>
      <c r="AJ831" s="361"/>
      <c r="AK831" s="361"/>
      <c r="AL831" s="361"/>
      <c r="AM831" s="361"/>
      <c r="AN831" s="361"/>
      <c r="AO831" s="361"/>
    </row>
    <row r="832" spans="1:41" s="73" customFormat="1" ht="15" customHeight="1" x14ac:dyDescent="0.25">
      <c r="A832" s="384"/>
      <c r="B832" s="195"/>
      <c r="C832" s="158" t="s">
        <v>749</v>
      </c>
      <c r="D832" s="132" t="s">
        <v>1064</v>
      </c>
      <c r="E832" s="54" t="s">
        <v>1479</v>
      </c>
      <c r="F832" s="361"/>
      <c r="G832" s="361"/>
      <c r="H832" s="361"/>
      <c r="I832" s="361"/>
      <c r="J832" s="361"/>
      <c r="K832" s="361"/>
      <c r="L832" s="361"/>
      <c r="M832" s="361"/>
      <c r="N832" s="361"/>
      <c r="O832" s="361"/>
      <c r="P832" s="361"/>
      <c r="Q832" s="361"/>
      <c r="R832" s="361"/>
      <c r="S832" s="361"/>
      <c r="T832" s="361"/>
      <c r="U832" s="361"/>
      <c r="V832" s="361"/>
      <c r="W832" s="361"/>
      <c r="X832" s="361"/>
      <c r="Y832" s="361"/>
      <c r="Z832" s="361"/>
      <c r="AA832" s="361"/>
      <c r="AB832" s="361"/>
      <c r="AC832" s="361"/>
      <c r="AD832" s="361"/>
      <c r="AE832" s="361"/>
      <c r="AF832" s="361"/>
      <c r="AG832" s="361"/>
      <c r="AH832" s="361"/>
      <c r="AI832" s="361"/>
      <c r="AJ832" s="361"/>
      <c r="AK832" s="361"/>
      <c r="AL832" s="361"/>
      <c r="AM832" s="361"/>
      <c r="AN832" s="361"/>
      <c r="AO832" s="361"/>
    </row>
    <row r="833" spans="1:41" s="73" customFormat="1" ht="15" customHeight="1" x14ac:dyDescent="0.25">
      <c r="A833" s="384"/>
      <c r="B833" s="195"/>
      <c r="C833" s="158" t="s">
        <v>750</v>
      </c>
      <c r="D833" s="132" t="s">
        <v>1064</v>
      </c>
      <c r="E833" s="54" t="s">
        <v>1480</v>
      </c>
      <c r="F833" s="361"/>
      <c r="G833" s="361"/>
      <c r="H833" s="361"/>
      <c r="I833" s="361"/>
      <c r="J833" s="361"/>
      <c r="K833" s="361"/>
      <c r="L833" s="361"/>
      <c r="M833" s="361"/>
      <c r="N833" s="361"/>
      <c r="O833" s="361"/>
      <c r="P833" s="361"/>
      <c r="Q833" s="361"/>
      <c r="R833" s="361"/>
      <c r="S833" s="361"/>
      <c r="T833" s="361"/>
      <c r="U833" s="361"/>
      <c r="V833" s="361"/>
      <c r="W833" s="361"/>
      <c r="X833" s="361"/>
      <c r="Y833" s="361"/>
      <c r="Z833" s="361"/>
      <c r="AA833" s="361"/>
      <c r="AB833" s="361"/>
      <c r="AC833" s="361"/>
      <c r="AD833" s="361"/>
      <c r="AE833" s="361"/>
      <c r="AF833" s="361"/>
      <c r="AG833" s="361"/>
      <c r="AH833" s="361"/>
      <c r="AI833" s="361"/>
      <c r="AJ833" s="361"/>
      <c r="AK833" s="361"/>
      <c r="AL833" s="361"/>
      <c r="AM833" s="361"/>
      <c r="AN833" s="361"/>
      <c r="AO833" s="361"/>
    </row>
    <row r="834" spans="1:41" s="108" customFormat="1" ht="15" customHeight="1" x14ac:dyDescent="0.25">
      <c r="A834" s="384"/>
      <c r="B834" s="195"/>
      <c r="C834" s="157" t="s">
        <v>1546</v>
      </c>
      <c r="D834" s="171" t="s">
        <v>1064</v>
      </c>
      <c r="E834" s="156" t="s">
        <v>1481</v>
      </c>
      <c r="F834" s="360"/>
      <c r="G834" s="360"/>
      <c r="H834" s="360"/>
      <c r="I834" s="360"/>
      <c r="J834" s="360"/>
      <c r="K834" s="360"/>
      <c r="L834" s="360"/>
      <c r="M834" s="360"/>
      <c r="N834" s="360"/>
      <c r="O834" s="360"/>
      <c r="P834" s="360"/>
      <c r="Q834" s="360"/>
      <c r="R834" s="360"/>
      <c r="S834" s="360"/>
      <c r="T834" s="360"/>
      <c r="U834" s="360"/>
      <c r="V834" s="360"/>
      <c r="W834" s="360"/>
      <c r="X834" s="360"/>
      <c r="Y834" s="360"/>
      <c r="Z834" s="360"/>
      <c r="AA834" s="360"/>
      <c r="AB834" s="360"/>
      <c r="AC834" s="360"/>
      <c r="AD834" s="360"/>
      <c r="AE834" s="360"/>
      <c r="AF834" s="360"/>
      <c r="AG834" s="360"/>
      <c r="AH834" s="360"/>
      <c r="AI834" s="360"/>
      <c r="AJ834" s="360"/>
      <c r="AK834" s="360"/>
      <c r="AL834" s="360"/>
      <c r="AM834" s="360"/>
      <c r="AN834" s="360"/>
      <c r="AO834" s="360"/>
    </row>
    <row r="835" spans="1:41" s="73" customFormat="1" ht="15" customHeight="1" x14ac:dyDescent="0.25">
      <c r="A835" s="384"/>
      <c r="B835" s="195"/>
      <c r="C835" s="158" t="s">
        <v>616</v>
      </c>
      <c r="D835" s="132" t="s">
        <v>1064</v>
      </c>
      <c r="E835" s="54" t="s">
        <v>1482</v>
      </c>
      <c r="F835" s="361"/>
      <c r="G835" s="361"/>
      <c r="H835" s="361"/>
      <c r="I835" s="361"/>
      <c r="J835" s="361"/>
      <c r="K835" s="361"/>
      <c r="L835" s="361"/>
      <c r="M835" s="361"/>
      <c r="N835" s="361"/>
      <c r="O835" s="361"/>
      <c r="P835" s="361"/>
      <c r="Q835" s="361"/>
      <c r="R835" s="361"/>
      <c r="S835" s="361"/>
      <c r="T835" s="361"/>
      <c r="U835" s="361"/>
      <c r="V835" s="361"/>
      <c r="W835" s="361"/>
      <c r="X835" s="361"/>
      <c r="Y835" s="361"/>
      <c r="Z835" s="361"/>
      <c r="AA835" s="361"/>
      <c r="AB835" s="361"/>
      <c r="AC835" s="361"/>
      <c r="AD835" s="361"/>
      <c r="AE835" s="361"/>
      <c r="AF835" s="361"/>
      <c r="AG835" s="361"/>
      <c r="AH835" s="361"/>
      <c r="AI835" s="361"/>
      <c r="AJ835" s="361"/>
      <c r="AK835" s="361"/>
      <c r="AL835" s="361"/>
      <c r="AM835" s="361"/>
      <c r="AN835" s="361"/>
      <c r="AO835" s="361"/>
    </row>
    <row r="836" spans="1:41" s="73" customFormat="1" ht="15" customHeight="1" x14ac:dyDescent="0.25">
      <c r="A836" s="384"/>
      <c r="B836" s="195"/>
      <c r="C836" s="158" t="s">
        <v>617</v>
      </c>
      <c r="D836" s="132" t="s">
        <v>1064</v>
      </c>
      <c r="E836" s="54" t="s">
        <v>1483</v>
      </c>
      <c r="F836" s="361"/>
      <c r="G836" s="361"/>
      <c r="H836" s="361"/>
      <c r="I836" s="361"/>
      <c r="J836" s="361"/>
      <c r="K836" s="361"/>
      <c r="L836" s="361"/>
      <c r="M836" s="361"/>
      <c r="N836" s="361"/>
      <c r="O836" s="361"/>
      <c r="P836" s="361"/>
      <c r="Q836" s="361"/>
      <c r="R836" s="361"/>
      <c r="S836" s="361"/>
      <c r="T836" s="361"/>
      <c r="U836" s="361"/>
      <c r="V836" s="361"/>
      <c r="W836" s="361"/>
      <c r="X836" s="361"/>
      <c r="Y836" s="361"/>
      <c r="Z836" s="361"/>
      <c r="AA836" s="361"/>
      <c r="AB836" s="361"/>
      <c r="AC836" s="361"/>
      <c r="AD836" s="361"/>
      <c r="AE836" s="361"/>
      <c r="AF836" s="361"/>
      <c r="AG836" s="361"/>
      <c r="AH836" s="361"/>
      <c r="AI836" s="361"/>
      <c r="AJ836" s="361"/>
      <c r="AK836" s="361"/>
      <c r="AL836" s="361"/>
      <c r="AM836" s="361"/>
      <c r="AN836" s="361"/>
      <c r="AO836" s="361"/>
    </row>
    <row r="837" spans="1:41" s="73" customFormat="1" ht="15" customHeight="1" x14ac:dyDescent="0.25">
      <c r="A837" s="384"/>
      <c r="B837" s="195"/>
      <c r="C837" s="158" t="s">
        <v>618</v>
      </c>
      <c r="D837" s="132" t="s">
        <v>1064</v>
      </c>
      <c r="E837" s="54" t="s">
        <v>1484</v>
      </c>
      <c r="F837" s="361"/>
      <c r="G837" s="361"/>
      <c r="H837" s="361"/>
      <c r="I837" s="361"/>
      <c r="J837" s="361"/>
      <c r="K837" s="361"/>
      <c r="L837" s="361"/>
      <c r="M837" s="361"/>
      <c r="N837" s="361"/>
      <c r="O837" s="361"/>
      <c r="P837" s="361"/>
      <c r="Q837" s="361"/>
      <c r="R837" s="361"/>
      <c r="S837" s="361"/>
      <c r="T837" s="361"/>
      <c r="U837" s="361"/>
      <c r="V837" s="361"/>
      <c r="W837" s="361"/>
      <c r="X837" s="361"/>
      <c r="Y837" s="361"/>
      <c r="Z837" s="361"/>
      <c r="AA837" s="361"/>
      <c r="AB837" s="361"/>
      <c r="AC837" s="361"/>
      <c r="AD837" s="361"/>
      <c r="AE837" s="361"/>
      <c r="AF837" s="361"/>
      <c r="AG837" s="361"/>
      <c r="AH837" s="361"/>
      <c r="AI837" s="361"/>
      <c r="AJ837" s="361"/>
      <c r="AK837" s="361"/>
      <c r="AL837" s="361"/>
      <c r="AM837" s="361"/>
      <c r="AN837" s="361"/>
      <c r="AO837" s="361"/>
    </row>
    <row r="838" spans="1:41" s="73" customFormat="1" ht="15" customHeight="1" x14ac:dyDescent="0.25">
      <c r="A838" s="384"/>
      <c r="B838" s="195"/>
      <c r="C838" s="158" t="s">
        <v>619</v>
      </c>
      <c r="D838" s="132" t="s">
        <v>1064</v>
      </c>
      <c r="E838" s="54" t="s">
        <v>1485</v>
      </c>
      <c r="F838" s="361"/>
      <c r="G838" s="361"/>
      <c r="H838" s="361"/>
      <c r="I838" s="361"/>
      <c r="J838" s="361"/>
      <c r="K838" s="361"/>
      <c r="L838" s="361"/>
      <c r="M838" s="361"/>
      <c r="N838" s="361"/>
      <c r="O838" s="361"/>
      <c r="P838" s="361"/>
      <c r="Q838" s="361"/>
      <c r="R838" s="361"/>
      <c r="S838" s="361"/>
      <c r="T838" s="361"/>
      <c r="U838" s="361"/>
      <c r="V838" s="361"/>
      <c r="W838" s="361"/>
      <c r="X838" s="361"/>
      <c r="Y838" s="361"/>
      <c r="Z838" s="361"/>
      <c r="AA838" s="361"/>
      <c r="AB838" s="361"/>
      <c r="AC838" s="361"/>
      <c r="AD838" s="361"/>
      <c r="AE838" s="361"/>
      <c r="AF838" s="361"/>
      <c r="AG838" s="361"/>
      <c r="AH838" s="361"/>
      <c r="AI838" s="361"/>
      <c r="AJ838" s="361"/>
      <c r="AK838" s="361"/>
      <c r="AL838" s="361"/>
      <c r="AM838" s="361"/>
      <c r="AN838" s="361"/>
      <c r="AO838" s="361"/>
    </row>
    <row r="839" spans="1:41" s="108" customFormat="1" ht="15" customHeight="1" x14ac:dyDescent="0.25">
      <c r="A839" s="384"/>
      <c r="B839" s="195"/>
      <c r="C839" s="157" t="s">
        <v>1547</v>
      </c>
      <c r="D839" s="171" t="s">
        <v>1064</v>
      </c>
      <c r="E839" s="156" t="s">
        <v>1486</v>
      </c>
      <c r="F839" s="360"/>
      <c r="G839" s="360"/>
      <c r="H839" s="360"/>
      <c r="I839" s="360"/>
      <c r="J839" s="360"/>
      <c r="K839" s="360"/>
      <c r="L839" s="360"/>
      <c r="M839" s="360"/>
      <c r="N839" s="360"/>
      <c r="O839" s="360"/>
      <c r="P839" s="360"/>
      <c r="Q839" s="360"/>
      <c r="R839" s="360"/>
      <c r="S839" s="360"/>
      <c r="T839" s="360"/>
      <c r="U839" s="360"/>
      <c r="V839" s="360"/>
      <c r="W839" s="360"/>
      <c r="X839" s="360"/>
      <c r="Y839" s="360"/>
      <c r="Z839" s="360"/>
      <c r="AA839" s="360"/>
      <c r="AB839" s="360"/>
      <c r="AC839" s="360"/>
      <c r="AD839" s="360"/>
      <c r="AE839" s="360"/>
      <c r="AF839" s="360"/>
      <c r="AG839" s="360"/>
      <c r="AH839" s="360"/>
      <c r="AI839" s="360"/>
      <c r="AJ839" s="360"/>
      <c r="AK839" s="360"/>
      <c r="AL839" s="360"/>
      <c r="AM839" s="360"/>
      <c r="AN839" s="360"/>
      <c r="AO839" s="360"/>
    </row>
    <row r="840" spans="1:41" s="73" customFormat="1" ht="15" customHeight="1" x14ac:dyDescent="0.25">
      <c r="A840" s="384"/>
      <c r="B840" s="195"/>
      <c r="C840" s="158" t="s">
        <v>620</v>
      </c>
      <c r="D840" s="132" t="s">
        <v>1064</v>
      </c>
      <c r="E840" s="54" t="s">
        <v>1487</v>
      </c>
      <c r="F840" s="361"/>
      <c r="G840" s="361"/>
      <c r="H840" s="361"/>
      <c r="I840" s="361"/>
      <c r="J840" s="361"/>
      <c r="K840" s="361"/>
      <c r="L840" s="361"/>
      <c r="M840" s="361"/>
      <c r="N840" s="361"/>
      <c r="O840" s="361"/>
      <c r="P840" s="361"/>
      <c r="Q840" s="361"/>
      <c r="R840" s="361"/>
      <c r="S840" s="361"/>
      <c r="T840" s="361"/>
      <c r="U840" s="361"/>
      <c r="V840" s="361"/>
      <c r="W840" s="361"/>
      <c r="X840" s="361"/>
      <c r="Y840" s="361"/>
      <c r="Z840" s="361"/>
      <c r="AA840" s="361"/>
      <c r="AB840" s="361"/>
      <c r="AC840" s="361"/>
      <c r="AD840" s="361"/>
      <c r="AE840" s="361"/>
      <c r="AF840" s="361"/>
      <c r="AG840" s="361"/>
      <c r="AH840" s="361"/>
      <c r="AI840" s="361"/>
      <c r="AJ840" s="361"/>
      <c r="AK840" s="361"/>
      <c r="AL840" s="361"/>
      <c r="AM840" s="361"/>
      <c r="AN840" s="361"/>
      <c r="AO840" s="361"/>
    </row>
    <row r="841" spans="1:41" s="73" customFormat="1" ht="15" customHeight="1" x14ac:dyDescent="0.25">
      <c r="A841" s="384"/>
      <c r="B841" s="195"/>
      <c r="C841" s="158" t="s">
        <v>621</v>
      </c>
      <c r="D841" s="132" t="s">
        <v>1064</v>
      </c>
      <c r="E841" s="54" t="s">
        <v>1488</v>
      </c>
      <c r="F841" s="361"/>
      <c r="G841" s="361"/>
      <c r="H841" s="361"/>
      <c r="I841" s="361"/>
      <c r="J841" s="361"/>
      <c r="K841" s="361"/>
      <c r="L841" s="361"/>
      <c r="M841" s="361"/>
      <c r="N841" s="361"/>
      <c r="O841" s="361"/>
      <c r="P841" s="361"/>
      <c r="Q841" s="361"/>
      <c r="R841" s="361"/>
      <c r="S841" s="361"/>
      <c r="T841" s="361"/>
      <c r="U841" s="361"/>
      <c r="V841" s="361"/>
      <c r="W841" s="361"/>
      <c r="X841" s="361"/>
      <c r="Y841" s="361"/>
      <c r="Z841" s="361"/>
      <c r="AA841" s="361"/>
      <c r="AB841" s="361"/>
      <c r="AC841" s="361"/>
      <c r="AD841" s="361"/>
      <c r="AE841" s="361"/>
      <c r="AF841" s="361"/>
      <c r="AG841" s="361"/>
      <c r="AH841" s="361"/>
      <c r="AI841" s="361"/>
      <c r="AJ841" s="361"/>
      <c r="AK841" s="361"/>
      <c r="AL841" s="361"/>
      <c r="AM841" s="361"/>
      <c r="AN841" s="361"/>
      <c r="AO841" s="361"/>
    </row>
    <row r="842" spans="1:41" s="108" customFormat="1" ht="15" customHeight="1" x14ac:dyDescent="0.25">
      <c r="A842" s="384"/>
      <c r="B842" s="195"/>
      <c r="C842" s="157" t="s">
        <v>1548</v>
      </c>
      <c r="D842" s="171" t="s">
        <v>1064</v>
      </c>
      <c r="E842" s="156" t="s">
        <v>1489</v>
      </c>
      <c r="F842" s="360"/>
      <c r="G842" s="360"/>
      <c r="H842" s="360"/>
      <c r="I842" s="360"/>
      <c r="J842" s="360"/>
      <c r="K842" s="360"/>
      <c r="L842" s="360"/>
      <c r="M842" s="360"/>
      <c r="N842" s="360"/>
      <c r="O842" s="360"/>
      <c r="P842" s="360"/>
      <c r="Q842" s="360"/>
      <c r="R842" s="360"/>
      <c r="S842" s="360"/>
      <c r="T842" s="360"/>
      <c r="U842" s="360"/>
      <c r="V842" s="360"/>
      <c r="W842" s="360"/>
      <c r="X842" s="360"/>
      <c r="Y842" s="360"/>
      <c r="Z842" s="360"/>
      <c r="AA842" s="360"/>
      <c r="AB842" s="360"/>
      <c r="AC842" s="360"/>
      <c r="AD842" s="360"/>
      <c r="AE842" s="360"/>
      <c r="AF842" s="360"/>
      <c r="AG842" s="360"/>
      <c r="AH842" s="360"/>
      <c r="AI842" s="360"/>
      <c r="AJ842" s="360"/>
      <c r="AK842" s="360"/>
      <c r="AL842" s="360"/>
      <c r="AM842" s="360"/>
      <c r="AN842" s="360"/>
      <c r="AO842" s="360"/>
    </row>
    <row r="843" spans="1:41" s="73" customFormat="1" ht="15" customHeight="1" x14ac:dyDescent="0.25">
      <c r="A843" s="384"/>
      <c r="B843" s="195"/>
      <c r="C843" s="158" t="s">
        <v>466</v>
      </c>
      <c r="D843" s="132" t="s">
        <v>1064</v>
      </c>
      <c r="E843" s="54" t="s">
        <v>1490</v>
      </c>
      <c r="F843" s="361"/>
      <c r="G843" s="361"/>
      <c r="H843" s="361"/>
      <c r="I843" s="361"/>
      <c r="J843" s="361"/>
      <c r="K843" s="361"/>
      <c r="L843" s="361"/>
      <c r="M843" s="361"/>
      <c r="N843" s="361"/>
      <c r="O843" s="361"/>
      <c r="P843" s="361"/>
      <c r="Q843" s="361"/>
      <c r="R843" s="361"/>
      <c r="S843" s="361"/>
      <c r="T843" s="361"/>
      <c r="U843" s="361"/>
      <c r="V843" s="361"/>
      <c r="W843" s="361"/>
      <c r="X843" s="361"/>
      <c r="Y843" s="361"/>
      <c r="Z843" s="361"/>
      <c r="AA843" s="361"/>
      <c r="AB843" s="361"/>
      <c r="AC843" s="361"/>
      <c r="AD843" s="361"/>
      <c r="AE843" s="361"/>
      <c r="AF843" s="361"/>
      <c r="AG843" s="361"/>
      <c r="AH843" s="361"/>
      <c r="AI843" s="361"/>
      <c r="AJ843" s="361"/>
      <c r="AK843" s="361"/>
      <c r="AL843" s="361"/>
      <c r="AM843" s="361"/>
      <c r="AN843" s="361"/>
      <c r="AO843" s="361"/>
    </row>
    <row r="844" spans="1:41" s="73" customFormat="1" ht="15" customHeight="1" x14ac:dyDescent="0.25">
      <c r="A844" s="384"/>
      <c r="B844" s="195"/>
      <c r="C844" s="158" t="s">
        <v>467</v>
      </c>
      <c r="D844" s="132" t="s">
        <v>1064</v>
      </c>
      <c r="E844" s="54" t="s">
        <v>1491</v>
      </c>
      <c r="F844" s="361"/>
      <c r="G844" s="361"/>
      <c r="H844" s="361"/>
      <c r="I844" s="361"/>
      <c r="J844" s="361"/>
      <c r="K844" s="361"/>
      <c r="L844" s="361"/>
      <c r="M844" s="361"/>
      <c r="N844" s="361"/>
      <c r="O844" s="361"/>
      <c r="P844" s="361"/>
      <c r="Q844" s="361"/>
      <c r="R844" s="361"/>
      <c r="S844" s="361"/>
      <c r="T844" s="361"/>
      <c r="U844" s="361"/>
      <c r="V844" s="361"/>
      <c r="W844" s="361"/>
      <c r="X844" s="361"/>
      <c r="Y844" s="361"/>
      <c r="Z844" s="361"/>
      <c r="AA844" s="361"/>
      <c r="AB844" s="361"/>
      <c r="AC844" s="361"/>
      <c r="AD844" s="361"/>
      <c r="AE844" s="361"/>
      <c r="AF844" s="361"/>
      <c r="AG844" s="361"/>
      <c r="AH844" s="361"/>
      <c r="AI844" s="361"/>
      <c r="AJ844" s="361"/>
      <c r="AK844" s="361"/>
      <c r="AL844" s="361"/>
      <c r="AM844" s="361"/>
      <c r="AN844" s="361"/>
      <c r="AO844" s="361"/>
    </row>
    <row r="845" spans="1:41" s="73" customFormat="1" ht="15" customHeight="1" x14ac:dyDescent="0.25">
      <c r="A845" s="384"/>
      <c r="B845" s="195"/>
      <c r="C845" s="158" t="s">
        <v>470</v>
      </c>
      <c r="D845" s="132" t="s">
        <v>1064</v>
      </c>
      <c r="E845" s="54" t="s">
        <v>1492</v>
      </c>
      <c r="F845" s="361"/>
      <c r="G845" s="361"/>
      <c r="H845" s="361"/>
      <c r="I845" s="361"/>
      <c r="J845" s="361"/>
      <c r="K845" s="361"/>
      <c r="L845" s="361"/>
      <c r="M845" s="361"/>
      <c r="N845" s="361"/>
      <c r="O845" s="361"/>
      <c r="P845" s="361"/>
      <c r="Q845" s="361"/>
      <c r="R845" s="361"/>
      <c r="S845" s="361"/>
      <c r="T845" s="361"/>
      <c r="U845" s="361"/>
      <c r="V845" s="361"/>
      <c r="W845" s="361"/>
      <c r="X845" s="361"/>
      <c r="Y845" s="361"/>
      <c r="Z845" s="361"/>
      <c r="AA845" s="361"/>
      <c r="AB845" s="361"/>
      <c r="AC845" s="361"/>
      <c r="AD845" s="361"/>
      <c r="AE845" s="361"/>
      <c r="AF845" s="361"/>
      <c r="AG845" s="361"/>
      <c r="AH845" s="361"/>
      <c r="AI845" s="361"/>
      <c r="AJ845" s="361"/>
      <c r="AK845" s="361"/>
      <c r="AL845" s="361"/>
      <c r="AM845" s="361"/>
      <c r="AN845" s="361"/>
      <c r="AO845" s="361"/>
    </row>
    <row r="846" spans="1:41" s="73" customFormat="1" ht="15" customHeight="1" x14ac:dyDescent="0.25">
      <c r="A846" s="384"/>
      <c r="B846" s="195"/>
      <c r="C846" s="158" t="s">
        <v>471</v>
      </c>
      <c r="D846" s="132" t="s">
        <v>1064</v>
      </c>
      <c r="E846" s="54" t="s">
        <v>1493</v>
      </c>
      <c r="F846" s="361"/>
      <c r="G846" s="361"/>
      <c r="H846" s="361"/>
      <c r="I846" s="361"/>
      <c r="J846" s="361"/>
      <c r="K846" s="361"/>
      <c r="L846" s="361"/>
      <c r="M846" s="361"/>
      <c r="N846" s="361"/>
      <c r="O846" s="361"/>
      <c r="P846" s="361"/>
      <c r="Q846" s="361"/>
      <c r="R846" s="361"/>
      <c r="S846" s="361"/>
      <c r="T846" s="361"/>
      <c r="U846" s="361"/>
      <c r="V846" s="361"/>
      <c r="W846" s="361"/>
      <c r="X846" s="361"/>
      <c r="Y846" s="361"/>
      <c r="Z846" s="361"/>
      <c r="AA846" s="361"/>
      <c r="AB846" s="361"/>
      <c r="AC846" s="361"/>
      <c r="AD846" s="361"/>
      <c r="AE846" s="361"/>
      <c r="AF846" s="361"/>
      <c r="AG846" s="361"/>
      <c r="AH846" s="361"/>
      <c r="AI846" s="361"/>
      <c r="AJ846" s="361"/>
      <c r="AK846" s="361"/>
      <c r="AL846" s="361"/>
      <c r="AM846" s="361"/>
      <c r="AN846" s="361"/>
      <c r="AO846" s="361"/>
    </row>
    <row r="847" spans="1:41" s="108" customFormat="1" ht="15" customHeight="1" x14ac:dyDescent="0.25">
      <c r="A847" s="384"/>
      <c r="B847" s="195"/>
      <c r="C847" s="157" t="s">
        <v>1549</v>
      </c>
      <c r="D847" s="171" t="s">
        <v>1064</v>
      </c>
      <c r="E847" s="156" t="s">
        <v>1494</v>
      </c>
      <c r="F847" s="360"/>
      <c r="G847" s="360"/>
      <c r="H847" s="360"/>
      <c r="I847" s="360"/>
      <c r="J847" s="360"/>
      <c r="K847" s="360"/>
      <c r="L847" s="360"/>
      <c r="M847" s="360"/>
      <c r="N847" s="360"/>
      <c r="O847" s="360"/>
      <c r="P847" s="360"/>
      <c r="Q847" s="360"/>
      <c r="R847" s="360"/>
      <c r="S847" s="360"/>
      <c r="T847" s="360"/>
      <c r="U847" s="360"/>
      <c r="V847" s="360"/>
      <c r="W847" s="360"/>
      <c r="X847" s="360"/>
      <c r="Y847" s="360"/>
      <c r="Z847" s="360"/>
      <c r="AA847" s="360"/>
      <c r="AB847" s="360"/>
      <c r="AC847" s="360"/>
      <c r="AD847" s="360"/>
      <c r="AE847" s="360"/>
      <c r="AF847" s="360"/>
      <c r="AG847" s="360"/>
      <c r="AH847" s="360"/>
      <c r="AI847" s="360"/>
      <c r="AJ847" s="360"/>
      <c r="AK847" s="360"/>
      <c r="AL847" s="360"/>
      <c r="AM847" s="360"/>
      <c r="AN847" s="360"/>
      <c r="AO847" s="360"/>
    </row>
    <row r="848" spans="1:41" s="73" customFormat="1" ht="15" customHeight="1" x14ac:dyDescent="0.25">
      <c r="A848" s="384"/>
      <c r="B848" s="195"/>
      <c r="C848" s="158" t="s">
        <v>474</v>
      </c>
      <c r="D848" s="132" t="s">
        <v>1064</v>
      </c>
      <c r="E848" s="54" t="s">
        <v>1495</v>
      </c>
      <c r="F848" s="361"/>
      <c r="G848" s="361"/>
      <c r="H848" s="361"/>
      <c r="I848" s="361"/>
      <c r="J848" s="361"/>
      <c r="K848" s="361"/>
      <c r="L848" s="361"/>
      <c r="M848" s="361"/>
      <c r="N848" s="361"/>
      <c r="O848" s="361"/>
      <c r="P848" s="361"/>
      <c r="Q848" s="361"/>
      <c r="R848" s="361"/>
      <c r="S848" s="361"/>
      <c r="T848" s="361"/>
      <c r="U848" s="361"/>
      <c r="V848" s="361"/>
      <c r="W848" s="361"/>
      <c r="X848" s="361"/>
      <c r="Y848" s="361"/>
      <c r="Z848" s="361"/>
      <c r="AA848" s="361"/>
      <c r="AB848" s="361"/>
      <c r="AC848" s="361"/>
      <c r="AD848" s="361"/>
      <c r="AE848" s="361"/>
      <c r="AF848" s="361"/>
      <c r="AG848" s="361"/>
      <c r="AH848" s="361"/>
      <c r="AI848" s="361"/>
      <c r="AJ848" s="361"/>
      <c r="AK848" s="361"/>
      <c r="AL848" s="361"/>
      <c r="AM848" s="361"/>
      <c r="AN848" s="361"/>
      <c r="AO848" s="361"/>
    </row>
    <row r="849" spans="1:41" s="73" customFormat="1" ht="15" customHeight="1" x14ac:dyDescent="0.25">
      <c r="A849" s="384"/>
      <c r="B849" s="195"/>
      <c r="C849" s="158" t="s">
        <v>475</v>
      </c>
      <c r="D849" s="132" t="s">
        <v>1064</v>
      </c>
      <c r="E849" s="54" t="s">
        <v>1496</v>
      </c>
      <c r="F849" s="361"/>
      <c r="G849" s="361"/>
      <c r="H849" s="361"/>
      <c r="I849" s="361"/>
      <c r="J849" s="361"/>
      <c r="K849" s="361"/>
      <c r="L849" s="361"/>
      <c r="M849" s="361"/>
      <c r="N849" s="361"/>
      <c r="O849" s="361"/>
      <c r="P849" s="361"/>
      <c r="Q849" s="361"/>
      <c r="R849" s="361"/>
      <c r="S849" s="361"/>
      <c r="T849" s="361"/>
      <c r="U849" s="361"/>
      <c r="V849" s="361"/>
      <c r="W849" s="361"/>
      <c r="X849" s="361"/>
      <c r="Y849" s="361"/>
      <c r="Z849" s="361"/>
      <c r="AA849" s="361"/>
      <c r="AB849" s="361"/>
      <c r="AC849" s="361"/>
      <c r="AD849" s="361"/>
      <c r="AE849" s="361"/>
      <c r="AF849" s="361"/>
      <c r="AG849" s="361"/>
      <c r="AH849" s="361"/>
      <c r="AI849" s="361"/>
      <c r="AJ849" s="361"/>
      <c r="AK849" s="361"/>
      <c r="AL849" s="361"/>
      <c r="AM849" s="361"/>
      <c r="AN849" s="361"/>
      <c r="AO849" s="361"/>
    </row>
    <row r="850" spans="1:41" s="73" customFormat="1" ht="15" customHeight="1" x14ac:dyDescent="0.25">
      <c r="A850" s="384"/>
      <c r="B850" s="195"/>
      <c r="C850" s="158" t="s">
        <v>476</v>
      </c>
      <c r="D850" s="132" t="s">
        <v>1064</v>
      </c>
      <c r="E850" s="54" t="s">
        <v>1497</v>
      </c>
      <c r="F850" s="361"/>
      <c r="G850" s="361"/>
      <c r="H850" s="361"/>
      <c r="I850" s="361"/>
      <c r="J850" s="361"/>
      <c r="K850" s="361"/>
      <c r="L850" s="361"/>
      <c r="M850" s="361"/>
      <c r="N850" s="361"/>
      <c r="O850" s="361"/>
      <c r="P850" s="361"/>
      <c r="Q850" s="361"/>
      <c r="R850" s="361"/>
      <c r="S850" s="361"/>
      <c r="T850" s="361"/>
      <c r="U850" s="361"/>
      <c r="V850" s="361"/>
      <c r="W850" s="361"/>
      <c r="X850" s="361"/>
      <c r="Y850" s="361"/>
      <c r="Z850" s="361"/>
      <c r="AA850" s="361"/>
      <c r="AB850" s="361"/>
      <c r="AC850" s="361"/>
      <c r="AD850" s="361"/>
      <c r="AE850" s="361"/>
      <c r="AF850" s="361"/>
      <c r="AG850" s="361"/>
      <c r="AH850" s="361"/>
      <c r="AI850" s="361"/>
      <c r="AJ850" s="361"/>
      <c r="AK850" s="361"/>
      <c r="AL850" s="361"/>
      <c r="AM850" s="361"/>
      <c r="AN850" s="361"/>
      <c r="AO850" s="361"/>
    </row>
    <row r="851" spans="1:41" s="73" customFormat="1" ht="15" customHeight="1" x14ac:dyDescent="0.25">
      <c r="A851" s="384"/>
      <c r="B851" s="195"/>
      <c r="C851" s="158" t="s">
        <v>477</v>
      </c>
      <c r="D851" s="132" t="s">
        <v>1064</v>
      </c>
      <c r="E851" s="54" t="s">
        <v>1498</v>
      </c>
      <c r="F851" s="361"/>
      <c r="G851" s="361"/>
      <c r="H851" s="361"/>
      <c r="I851" s="361"/>
      <c r="J851" s="361"/>
      <c r="K851" s="361"/>
      <c r="L851" s="361"/>
      <c r="M851" s="361"/>
      <c r="N851" s="361"/>
      <c r="O851" s="361"/>
      <c r="P851" s="361"/>
      <c r="Q851" s="361"/>
      <c r="R851" s="361"/>
      <c r="S851" s="361"/>
      <c r="T851" s="361"/>
      <c r="U851" s="361"/>
      <c r="V851" s="361"/>
      <c r="W851" s="361"/>
      <c r="X851" s="361"/>
      <c r="Y851" s="361"/>
      <c r="Z851" s="361"/>
      <c r="AA851" s="361"/>
      <c r="AB851" s="361"/>
      <c r="AC851" s="361"/>
      <c r="AD851" s="361"/>
      <c r="AE851" s="361"/>
      <c r="AF851" s="361"/>
      <c r="AG851" s="361"/>
      <c r="AH851" s="361"/>
      <c r="AI851" s="361"/>
      <c r="AJ851" s="361"/>
      <c r="AK851" s="361"/>
      <c r="AL851" s="361"/>
      <c r="AM851" s="361"/>
      <c r="AN851" s="361"/>
      <c r="AO851" s="361"/>
    </row>
    <row r="852" spans="1:41" s="73" customFormat="1" ht="15" customHeight="1" x14ac:dyDescent="0.25">
      <c r="A852" s="384"/>
      <c r="B852" s="195"/>
      <c r="C852" s="158" t="s">
        <v>478</v>
      </c>
      <c r="D852" s="132" t="s">
        <v>1064</v>
      </c>
      <c r="E852" s="54" t="s">
        <v>1499</v>
      </c>
      <c r="F852" s="361"/>
      <c r="G852" s="361"/>
      <c r="H852" s="361"/>
      <c r="I852" s="361"/>
      <c r="J852" s="361"/>
      <c r="K852" s="361"/>
      <c r="L852" s="361"/>
      <c r="M852" s="361"/>
      <c r="N852" s="361"/>
      <c r="O852" s="361"/>
      <c r="P852" s="361"/>
      <c r="Q852" s="361"/>
      <c r="R852" s="361"/>
      <c r="S852" s="361"/>
      <c r="T852" s="361"/>
      <c r="U852" s="361"/>
      <c r="V852" s="361"/>
      <c r="W852" s="361"/>
      <c r="X852" s="361"/>
      <c r="Y852" s="361"/>
      <c r="Z852" s="361"/>
      <c r="AA852" s="361"/>
      <c r="AB852" s="361"/>
      <c r="AC852" s="361"/>
      <c r="AD852" s="361"/>
      <c r="AE852" s="361"/>
      <c r="AF852" s="361"/>
      <c r="AG852" s="361"/>
      <c r="AH852" s="361"/>
      <c r="AI852" s="361"/>
      <c r="AJ852" s="361"/>
      <c r="AK852" s="361"/>
      <c r="AL852" s="361"/>
      <c r="AM852" s="361"/>
      <c r="AN852" s="361"/>
      <c r="AO852" s="361"/>
    </row>
    <row r="853" spans="1:41" s="73" customFormat="1" ht="15" customHeight="1" x14ac:dyDescent="0.25">
      <c r="A853" s="384"/>
      <c r="B853" s="195"/>
      <c r="C853" s="158" t="s">
        <v>479</v>
      </c>
      <c r="D853" s="132" t="s">
        <v>1064</v>
      </c>
      <c r="E853" s="54" t="s">
        <v>1500</v>
      </c>
      <c r="F853" s="361"/>
      <c r="G853" s="361"/>
      <c r="H853" s="361"/>
      <c r="I853" s="361"/>
      <c r="J853" s="361"/>
      <c r="K853" s="361"/>
      <c r="L853" s="361"/>
      <c r="M853" s="361"/>
      <c r="N853" s="361"/>
      <c r="O853" s="361"/>
      <c r="P853" s="361"/>
      <c r="Q853" s="361"/>
      <c r="R853" s="361"/>
      <c r="S853" s="361"/>
      <c r="T853" s="361"/>
      <c r="U853" s="361"/>
      <c r="V853" s="361"/>
      <c r="W853" s="361"/>
      <c r="X853" s="361"/>
      <c r="Y853" s="361"/>
      <c r="Z853" s="361"/>
      <c r="AA853" s="361"/>
      <c r="AB853" s="361"/>
      <c r="AC853" s="361"/>
      <c r="AD853" s="361"/>
      <c r="AE853" s="361"/>
      <c r="AF853" s="361"/>
      <c r="AG853" s="361"/>
      <c r="AH853" s="361"/>
      <c r="AI853" s="361"/>
      <c r="AJ853" s="361"/>
      <c r="AK853" s="361"/>
      <c r="AL853" s="361"/>
      <c r="AM853" s="361"/>
      <c r="AN853" s="361"/>
      <c r="AO853" s="361"/>
    </row>
    <row r="854" spans="1:41" s="73" customFormat="1" ht="15" customHeight="1" x14ac:dyDescent="0.25">
      <c r="A854" s="384"/>
      <c r="B854" s="195"/>
      <c r="C854" s="158" t="s">
        <v>480</v>
      </c>
      <c r="D854" s="132" t="s">
        <v>1064</v>
      </c>
      <c r="E854" s="54" t="s">
        <v>1501</v>
      </c>
      <c r="F854" s="361"/>
      <c r="G854" s="361"/>
      <c r="H854" s="361"/>
      <c r="I854" s="361"/>
      <c r="J854" s="361"/>
      <c r="K854" s="361"/>
      <c r="L854" s="361"/>
      <c r="M854" s="361"/>
      <c r="N854" s="361"/>
      <c r="O854" s="361"/>
      <c r="P854" s="361"/>
      <c r="Q854" s="361"/>
      <c r="R854" s="361"/>
      <c r="S854" s="361"/>
      <c r="T854" s="361"/>
      <c r="U854" s="361"/>
      <c r="V854" s="361"/>
      <c r="W854" s="361"/>
      <c r="X854" s="361"/>
      <c r="Y854" s="361"/>
      <c r="Z854" s="361"/>
      <c r="AA854" s="361"/>
      <c r="AB854" s="361"/>
      <c r="AC854" s="361"/>
      <c r="AD854" s="361"/>
      <c r="AE854" s="361"/>
      <c r="AF854" s="361"/>
      <c r="AG854" s="361"/>
      <c r="AH854" s="361"/>
      <c r="AI854" s="361"/>
      <c r="AJ854" s="361"/>
      <c r="AK854" s="361"/>
      <c r="AL854" s="361"/>
      <c r="AM854" s="361"/>
      <c r="AN854" s="361"/>
      <c r="AO854" s="361"/>
    </row>
    <row r="855" spans="1:41" s="73" customFormat="1" ht="15" customHeight="1" x14ac:dyDescent="0.25">
      <c r="A855" s="384"/>
      <c r="B855" s="195"/>
      <c r="C855" s="158" t="s">
        <v>481</v>
      </c>
      <c r="D855" s="132" t="s">
        <v>1064</v>
      </c>
      <c r="E855" s="54" t="s">
        <v>1502</v>
      </c>
      <c r="F855" s="361"/>
      <c r="G855" s="361"/>
      <c r="H855" s="361"/>
      <c r="I855" s="361"/>
      <c r="J855" s="361"/>
      <c r="K855" s="361"/>
      <c r="L855" s="361"/>
      <c r="M855" s="361"/>
      <c r="N855" s="361"/>
      <c r="O855" s="361"/>
      <c r="P855" s="361"/>
      <c r="Q855" s="361"/>
      <c r="R855" s="361"/>
      <c r="S855" s="361"/>
      <c r="T855" s="361"/>
      <c r="U855" s="361"/>
      <c r="V855" s="361"/>
      <c r="W855" s="361"/>
      <c r="X855" s="361"/>
      <c r="Y855" s="361"/>
      <c r="Z855" s="361"/>
      <c r="AA855" s="361"/>
      <c r="AB855" s="361"/>
      <c r="AC855" s="361"/>
      <c r="AD855" s="361"/>
      <c r="AE855" s="361"/>
      <c r="AF855" s="361"/>
      <c r="AG855" s="361"/>
      <c r="AH855" s="361"/>
      <c r="AI855" s="361"/>
      <c r="AJ855" s="361"/>
      <c r="AK855" s="361"/>
      <c r="AL855" s="361"/>
      <c r="AM855" s="361"/>
      <c r="AN855" s="361"/>
      <c r="AO855" s="361"/>
    </row>
    <row r="856" spans="1:41" s="73" customFormat="1" ht="15" customHeight="1" x14ac:dyDescent="0.25">
      <c r="A856" s="384"/>
      <c r="B856" s="195"/>
      <c r="C856" s="192" t="s">
        <v>482</v>
      </c>
      <c r="D856" s="132" t="s">
        <v>1064</v>
      </c>
      <c r="E856" s="54" t="s">
        <v>1503</v>
      </c>
      <c r="F856" s="361"/>
      <c r="G856" s="361"/>
      <c r="H856" s="361"/>
      <c r="I856" s="361"/>
      <c r="J856" s="361"/>
      <c r="K856" s="361"/>
      <c r="L856" s="361"/>
      <c r="M856" s="361"/>
      <c r="N856" s="361"/>
      <c r="O856" s="361"/>
      <c r="P856" s="361"/>
      <c r="Q856" s="361"/>
      <c r="R856" s="361"/>
      <c r="S856" s="361"/>
      <c r="T856" s="361"/>
      <c r="U856" s="361"/>
      <c r="V856" s="361"/>
      <c r="W856" s="361"/>
      <c r="X856" s="361"/>
      <c r="Y856" s="361"/>
      <c r="Z856" s="361"/>
      <c r="AA856" s="361"/>
      <c r="AB856" s="361"/>
      <c r="AC856" s="361"/>
      <c r="AD856" s="361"/>
      <c r="AE856" s="361"/>
      <c r="AF856" s="361"/>
      <c r="AG856" s="361"/>
      <c r="AH856" s="361"/>
      <c r="AI856" s="361"/>
      <c r="AJ856" s="361"/>
      <c r="AK856" s="361"/>
      <c r="AL856" s="361"/>
      <c r="AM856" s="361"/>
      <c r="AN856" s="361"/>
      <c r="AO856" s="361"/>
    </row>
    <row r="857" spans="1:41" s="73" customFormat="1" ht="15" customHeight="1" x14ac:dyDescent="0.25">
      <c r="A857" s="384"/>
      <c r="B857" s="195"/>
      <c r="C857" s="191"/>
      <c r="D857" s="132"/>
      <c r="E857" s="191"/>
      <c r="F857" s="361"/>
      <c r="G857" s="361"/>
      <c r="H857" s="361"/>
      <c r="I857" s="361"/>
      <c r="J857" s="361"/>
      <c r="K857" s="361"/>
      <c r="L857" s="361"/>
      <c r="M857" s="361"/>
      <c r="N857" s="361"/>
      <c r="O857" s="361"/>
      <c r="P857" s="361"/>
      <c r="Q857" s="361"/>
      <c r="R857" s="361"/>
      <c r="S857" s="361"/>
      <c r="T857" s="361"/>
      <c r="U857" s="361"/>
      <c r="V857" s="361"/>
      <c r="W857" s="361"/>
      <c r="X857" s="361"/>
      <c r="Y857" s="361"/>
      <c r="Z857" s="361"/>
      <c r="AA857" s="361"/>
      <c r="AB857" s="361"/>
      <c r="AC857" s="361"/>
      <c r="AD857" s="361"/>
      <c r="AE857" s="361"/>
      <c r="AF857" s="361"/>
      <c r="AG857" s="361"/>
      <c r="AH857" s="361"/>
      <c r="AI857" s="361"/>
      <c r="AJ857" s="361"/>
      <c r="AK857" s="361"/>
      <c r="AL857" s="361"/>
      <c r="AM857" s="361"/>
      <c r="AN857" s="361"/>
      <c r="AO857" s="361"/>
    </row>
    <row r="858" spans="1:41" s="108" customFormat="1" ht="15" customHeight="1" x14ac:dyDescent="0.25">
      <c r="A858" s="384"/>
      <c r="B858" s="195"/>
      <c r="C858" s="171" t="s">
        <v>1550</v>
      </c>
      <c r="D858" s="171" t="s">
        <v>1504</v>
      </c>
      <c r="E858" s="190" t="s">
        <v>1582</v>
      </c>
      <c r="F858" s="360"/>
      <c r="G858" s="360"/>
      <c r="H858" s="360"/>
      <c r="I858" s="360"/>
      <c r="J858" s="360"/>
      <c r="K858" s="360"/>
      <c r="L858" s="360"/>
      <c r="M858" s="360"/>
      <c r="N858" s="360"/>
      <c r="O858" s="360"/>
      <c r="P858" s="360"/>
      <c r="Q858" s="360"/>
      <c r="R858" s="360"/>
      <c r="S858" s="360"/>
      <c r="T858" s="360"/>
      <c r="U858" s="360"/>
      <c r="V858" s="360"/>
      <c r="W858" s="360"/>
      <c r="X858" s="360"/>
      <c r="Y858" s="360"/>
      <c r="Z858" s="360"/>
      <c r="AA858" s="360"/>
      <c r="AB858" s="360"/>
      <c r="AC858" s="360"/>
      <c r="AD858" s="360"/>
      <c r="AE858" s="360"/>
      <c r="AF858" s="360"/>
      <c r="AG858" s="360"/>
      <c r="AH858" s="360"/>
      <c r="AI858" s="360"/>
      <c r="AJ858" s="360"/>
      <c r="AK858" s="360"/>
      <c r="AL858" s="360"/>
      <c r="AM858" s="360"/>
      <c r="AN858" s="360"/>
      <c r="AO858" s="360"/>
    </row>
    <row r="859" spans="1:41" s="108" customFormat="1" ht="15" customHeight="1" x14ac:dyDescent="0.25">
      <c r="A859" s="384"/>
      <c r="B859" s="195"/>
      <c r="C859" s="157" t="s">
        <v>1544</v>
      </c>
      <c r="D859" s="171" t="s">
        <v>1504</v>
      </c>
      <c r="E859" s="190" t="s">
        <v>1583</v>
      </c>
      <c r="F859" s="360"/>
      <c r="G859" s="360"/>
      <c r="H859" s="360"/>
      <c r="I859" s="360"/>
      <c r="J859" s="360"/>
      <c r="K859" s="360"/>
      <c r="L859" s="360"/>
      <c r="M859" s="360"/>
      <c r="N859" s="360"/>
      <c r="O859" s="360"/>
      <c r="P859" s="360"/>
      <c r="Q859" s="360"/>
      <c r="R859" s="360"/>
      <c r="S859" s="360"/>
      <c r="T859" s="360"/>
      <c r="U859" s="360"/>
      <c r="V859" s="360"/>
      <c r="W859" s="360"/>
      <c r="X859" s="360"/>
      <c r="Y859" s="360"/>
      <c r="Z859" s="360"/>
      <c r="AA859" s="360"/>
      <c r="AB859" s="360"/>
      <c r="AC859" s="360"/>
      <c r="AD859" s="360"/>
      <c r="AE859" s="360"/>
      <c r="AF859" s="360"/>
      <c r="AG859" s="360"/>
      <c r="AH859" s="360"/>
      <c r="AI859" s="360"/>
      <c r="AJ859" s="360"/>
      <c r="AK859" s="360"/>
      <c r="AL859" s="360"/>
      <c r="AM859" s="360"/>
      <c r="AN859" s="360"/>
      <c r="AO859" s="360"/>
    </row>
    <row r="860" spans="1:41" s="73" customFormat="1" ht="15" customHeight="1" x14ac:dyDescent="0.25">
      <c r="A860" s="384"/>
      <c r="B860" s="195"/>
      <c r="C860" s="158" t="s">
        <v>738</v>
      </c>
      <c r="D860" s="132" t="s">
        <v>1504</v>
      </c>
      <c r="E860" s="63" t="s">
        <v>1579</v>
      </c>
      <c r="F860" s="361"/>
      <c r="G860" s="361"/>
      <c r="H860" s="361"/>
      <c r="I860" s="361"/>
      <c r="J860" s="361"/>
      <c r="K860" s="361"/>
      <c r="L860" s="361"/>
      <c r="M860" s="361"/>
      <c r="N860" s="361"/>
      <c r="O860" s="361"/>
      <c r="P860" s="361"/>
      <c r="Q860" s="361"/>
      <c r="R860" s="361"/>
      <c r="S860" s="361"/>
      <c r="T860" s="361"/>
      <c r="U860" s="361"/>
      <c r="V860" s="361"/>
      <c r="W860" s="361"/>
      <c r="X860" s="361"/>
      <c r="Y860" s="361"/>
      <c r="Z860" s="361"/>
      <c r="AA860" s="361"/>
      <c r="AB860" s="361"/>
      <c r="AC860" s="361"/>
      <c r="AD860" s="361"/>
      <c r="AE860" s="361"/>
      <c r="AF860" s="361"/>
      <c r="AG860" s="361"/>
      <c r="AH860" s="361"/>
      <c r="AI860" s="361"/>
      <c r="AJ860" s="361"/>
      <c r="AK860" s="361"/>
      <c r="AL860" s="361"/>
      <c r="AM860" s="361"/>
      <c r="AN860" s="361"/>
      <c r="AO860" s="361"/>
    </row>
    <row r="861" spans="1:41" s="73" customFormat="1" ht="15" customHeight="1" x14ac:dyDescent="0.25">
      <c r="A861" s="384"/>
      <c r="B861" s="195"/>
      <c r="C861" s="158" t="s">
        <v>739</v>
      </c>
      <c r="D861" s="132" t="s">
        <v>1504</v>
      </c>
      <c r="E861" s="54" t="s">
        <v>1505</v>
      </c>
      <c r="F861" s="361"/>
      <c r="G861" s="361"/>
      <c r="H861" s="361"/>
      <c r="I861" s="361"/>
      <c r="J861" s="361"/>
      <c r="K861" s="361"/>
      <c r="L861" s="361"/>
      <c r="M861" s="361"/>
      <c r="N861" s="361"/>
      <c r="O861" s="361"/>
      <c r="P861" s="361"/>
      <c r="Q861" s="361"/>
      <c r="R861" s="361"/>
      <c r="S861" s="361"/>
      <c r="T861" s="361"/>
      <c r="U861" s="361"/>
      <c r="V861" s="361"/>
      <c r="W861" s="361"/>
      <c r="X861" s="361"/>
      <c r="Y861" s="361"/>
      <c r="Z861" s="361"/>
      <c r="AA861" s="361"/>
      <c r="AB861" s="361"/>
      <c r="AC861" s="361"/>
      <c r="AD861" s="361"/>
      <c r="AE861" s="361"/>
      <c r="AF861" s="361"/>
      <c r="AG861" s="361"/>
      <c r="AH861" s="361"/>
      <c r="AI861" s="361"/>
      <c r="AJ861" s="361"/>
      <c r="AK861" s="361"/>
      <c r="AL861" s="361"/>
      <c r="AM861" s="361"/>
      <c r="AN861" s="361"/>
      <c r="AO861" s="361"/>
    </row>
    <row r="862" spans="1:41" s="108" customFormat="1" ht="15" customHeight="1" x14ac:dyDescent="0.25">
      <c r="A862" s="384"/>
      <c r="B862" s="195"/>
      <c r="C862" s="157" t="s">
        <v>1545</v>
      </c>
      <c r="D862" s="171" t="s">
        <v>1504</v>
      </c>
      <c r="E862" s="156" t="s">
        <v>1506</v>
      </c>
      <c r="F862" s="360"/>
      <c r="G862" s="360"/>
      <c r="H862" s="360"/>
      <c r="I862" s="360"/>
      <c r="J862" s="360"/>
      <c r="K862" s="360"/>
      <c r="L862" s="360"/>
      <c r="M862" s="360"/>
      <c r="N862" s="360"/>
      <c r="O862" s="360"/>
      <c r="P862" s="360"/>
      <c r="Q862" s="360"/>
      <c r="R862" s="360"/>
      <c r="S862" s="360"/>
      <c r="T862" s="360"/>
      <c r="U862" s="360"/>
      <c r="V862" s="360"/>
      <c r="W862" s="360"/>
      <c r="X862" s="360"/>
      <c r="Y862" s="360"/>
      <c r="Z862" s="360"/>
      <c r="AA862" s="360"/>
      <c r="AB862" s="360"/>
      <c r="AC862" s="360"/>
      <c r="AD862" s="360"/>
      <c r="AE862" s="360"/>
      <c r="AF862" s="360"/>
      <c r="AG862" s="360"/>
      <c r="AH862" s="360"/>
      <c r="AI862" s="360"/>
      <c r="AJ862" s="360"/>
      <c r="AK862" s="360"/>
      <c r="AL862" s="360"/>
      <c r="AM862" s="360"/>
      <c r="AN862" s="360"/>
      <c r="AO862" s="360"/>
    </row>
    <row r="863" spans="1:41" s="73" customFormat="1" ht="15" customHeight="1" x14ac:dyDescent="0.25">
      <c r="A863" s="384"/>
      <c r="B863" s="195"/>
      <c r="C863" s="158" t="s">
        <v>740</v>
      </c>
      <c r="D863" s="132" t="s">
        <v>1504</v>
      </c>
      <c r="E863" s="54" t="s">
        <v>1507</v>
      </c>
      <c r="F863" s="361"/>
      <c r="G863" s="361"/>
      <c r="H863" s="361"/>
      <c r="I863" s="361"/>
      <c r="J863" s="361"/>
      <c r="K863" s="361"/>
      <c r="L863" s="361"/>
      <c r="M863" s="361"/>
      <c r="N863" s="361"/>
      <c r="O863" s="361"/>
      <c r="P863" s="361"/>
      <c r="Q863" s="361"/>
      <c r="R863" s="361"/>
      <c r="S863" s="361"/>
      <c r="T863" s="361"/>
      <c r="U863" s="361"/>
      <c r="V863" s="361"/>
      <c r="W863" s="361"/>
      <c r="X863" s="361"/>
      <c r="Y863" s="361"/>
      <c r="Z863" s="361"/>
      <c r="AA863" s="361"/>
      <c r="AB863" s="361"/>
      <c r="AC863" s="361"/>
      <c r="AD863" s="361"/>
      <c r="AE863" s="361"/>
      <c r="AF863" s="361"/>
      <c r="AG863" s="361"/>
      <c r="AH863" s="361"/>
      <c r="AI863" s="361"/>
      <c r="AJ863" s="361"/>
      <c r="AK863" s="361"/>
      <c r="AL863" s="361"/>
      <c r="AM863" s="361"/>
      <c r="AN863" s="361"/>
      <c r="AO863" s="361"/>
    </row>
    <row r="864" spans="1:41" s="73" customFormat="1" ht="15" customHeight="1" x14ac:dyDescent="0.25">
      <c r="A864" s="384"/>
      <c r="B864" s="195"/>
      <c r="C864" s="158" t="s">
        <v>741</v>
      </c>
      <c r="D864" s="132" t="s">
        <v>1504</v>
      </c>
      <c r="E864" s="54" t="s">
        <v>1508</v>
      </c>
      <c r="F864" s="361"/>
      <c r="G864" s="361"/>
      <c r="H864" s="361"/>
      <c r="I864" s="361"/>
      <c r="J864" s="361"/>
      <c r="K864" s="361"/>
      <c r="L864" s="361"/>
      <c r="M864" s="361"/>
      <c r="N864" s="361"/>
      <c r="O864" s="361"/>
      <c r="P864" s="361"/>
      <c r="Q864" s="361"/>
      <c r="R864" s="361"/>
      <c r="S864" s="361"/>
      <c r="T864" s="361"/>
      <c r="U864" s="361"/>
      <c r="V864" s="361"/>
      <c r="W864" s="361"/>
      <c r="X864" s="361"/>
      <c r="Y864" s="361"/>
      <c r="Z864" s="361"/>
      <c r="AA864" s="361"/>
      <c r="AB864" s="361"/>
      <c r="AC864" s="361"/>
      <c r="AD864" s="361"/>
      <c r="AE864" s="361"/>
      <c r="AF864" s="361"/>
      <c r="AG864" s="361"/>
      <c r="AH864" s="361"/>
      <c r="AI864" s="361"/>
      <c r="AJ864" s="361"/>
      <c r="AK864" s="361"/>
      <c r="AL864" s="361"/>
      <c r="AM864" s="361"/>
      <c r="AN864" s="361"/>
      <c r="AO864" s="361"/>
    </row>
    <row r="865" spans="1:41" s="73" customFormat="1" ht="15" customHeight="1" x14ac:dyDescent="0.25">
      <c r="A865" s="384"/>
      <c r="B865" s="195"/>
      <c r="C865" s="158" t="s">
        <v>742</v>
      </c>
      <c r="D865" s="132" t="s">
        <v>1504</v>
      </c>
      <c r="E865" s="54" t="s">
        <v>1509</v>
      </c>
      <c r="F865" s="361"/>
      <c r="G865" s="361"/>
      <c r="H865" s="361"/>
      <c r="I865" s="361"/>
      <c r="J865" s="361"/>
      <c r="K865" s="361"/>
      <c r="L865" s="361"/>
      <c r="M865" s="361"/>
      <c r="N865" s="361"/>
      <c r="O865" s="361"/>
      <c r="P865" s="361"/>
      <c r="Q865" s="361"/>
      <c r="R865" s="361"/>
      <c r="S865" s="361"/>
      <c r="T865" s="361"/>
      <c r="U865" s="361"/>
      <c r="V865" s="361"/>
      <c r="W865" s="361"/>
      <c r="X865" s="361"/>
      <c r="Y865" s="361"/>
      <c r="Z865" s="361"/>
      <c r="AA865" s="361"/>
      <c r="AB865" s="361"/>
      <c r="AC865" s="361"/>
      <c r="AD865" s="361"/>
      <c r="AE865" s="361"/>
      <c r="AF865" s="361"/>
      <c r="AG865" s="361"/>
      <c r="AH865" s="361"/>
      <c r="AI865" s="361"/>
      <c r="AJ865" s="361"/>
      <c r="AK865" s="361"/>
      <c r="AL865" s="361"/>
      <c r="AM865" s="361"/>
      <c r="AN865" s="361"/>
      <c r="AO865" s="361"/>
    </row>
    <row r="866" spans="1:41" s="73" customFormat="1" ht="15" customHeight="1" x14ac:dyDescent="0.25">
      <c r="A866" s="384"/>
      <c r="B866" s="195"/>
      <c r="C866" s="158" t="s">
        <v>743</v>
      </c>
      <c r="D866" s="132" t="s">
        <v>1504</v>
      </c>
      <c r="E866" s="54" t="s">
        <v>1510</v>
      </c>
      <c r="F866" s="361"/>
      <c r="G866" s="361"/>
      <c r="H866" s="361"/>
      <c r="I866" s="361"/>
      <c r="J866" s="361"/>
      <c r="K866" s="361"/>
      <c r="L866" s="361"/>
      <c r="M866" s="361"/>
      <c r="N866" s="361"/>
      <c r="O866" s="361"/>
      <c r="P866" s="361"/>
      <c r="Q866" s="361"/>
      <c r="R866" s="361"/>
      <c r="S866" s="361"/>
      <c r="T866" s="361"/>
      <c r="U866" s="361"/>
      <c r="V866" s="361"/>
      <c r="W866" s="361"/>
      <c r="X866" s="361"/>
      <c r="Y866" s="361"/>
      <c r="Z866" s="361"/>
      <c r="AA866" s="361"/>
      <c r="AB866" s="361"/>
      <c r="AC866" s="361"/>
      <c r="AD866" s="361"/>
      <c r="AE866" s="361"/>
      <c r="AF866" s="361"/>
      <c r="AG866" s="361"/>
      <c r="AH866" s="361"/>
      <c r="AI866" s="361"/>
      <c r="AJ866" s="361"/>
      <c r="AK866" s="361"/>
      <c r="AL866" s="361"/>
      <c r="AM866" s="361"/>
      <c r="AN866" s="361"/>
      <c r="AO866" s="361"/>
    </row>
    <row r="867" spans="1:41" s="73" customFormat="1" ht="15" customHeight="1" x14ac:dyDescent="0.25">
      <c r="A867" s="384"/>
      <c r="B867" s="195"/>
      <c r="C867" s="158" t="s">
        <v>744</v>
      </c>
      <c r="D867" s="132" t="s">
        <v>1504</v>
      </c>
      <c r="E867" s="54" t="s">
        <v>1511</v>
      </c>
      <c r="F867" s="361"/>
      <c r="G867" s="361"/>
      <c r="H867" s="361"/>
      <c r="I867" s="361"/>
      <c r="J867" s="361"/>
      <c r="K867" s="361"/>
      <c r="L867" s="361"/>
      <c r="M867" s="361"/>
      <c r="N867" s="361"/>
      <c r="O867" s="361"/>
      <c r="P867" s="361"/>
      <c r="Q867" s="361"/>
      <c r="R867" s="361"/>
      <c r="S867" s="361"/>
      <c r="T867" s="361"/>
      <c r="U867" s="361"/>
      <c r="V867" s="361"/>
      <c r="W867" s="361"/>
      <c r="X867" s="361"/>
      <c r="Y867" s="361"/>
      <c r="Z867" s="361"/>
      <c r="AA867" s="361"/>
      <c r="AB867" s="361"/>
      <c r="AC867" s="361"/>
      <c r="AD867" s="361"/>
      <c r="AE867" s="361"/>
      <c r="AF867" s="361"/>
      <c r="AG867" s="361"/>
      <c r="AH867" s="361"/>
      <c r="AI867" s="361"/>
      <c r="AJ867" s="361"/>
      <c r="AK867" s="361"/>
      <c r="AL867" s="361"/>
      <c r="AM867" s="361"/>
      <c r="AN867" s="361"/>
      <c r="AO867" s="361"/>
    </row>
    <row r="868" spans="1:41" s="73" customFormat="1" ht="15" customHeight="1" x14ac:dyDescent="0.25">
      <c r="A868" s="384"/>
      <c r="B868" s="195"/>
      <c r="C868" s="158" t="s">
        <v>745</v>
      </c>
      <c r="D868" s="132" t="s">
        <v>1504</v>
      </c>
      <c r="E868" s="54" t="s">
        <v>1512</v>
      </c>
      <c r="F868" s="361"/>
      <c r="G868" s="361"/>
      <c r="H868" s="361"/>
      <c r="I868" s="361"/>
      <c r="J868" s="361"/>
      <c r="K868" s="361"/>
      <c r="L868" s="361"/>
      <c r="M868" s="361"/>
      <c r="N868" s="361"/>
      <c r="O868" s="361"/>
      <c r="P868" s="361"/>
      <c r="Q868" s="361"/>
      <c r="R868" s="361"/>
      <c r="S868" s="361"/>
      <c r="T868" s="361"/>
      <c r="U868" s="361"/>
      <c r="V868" s="361"/>
      <c r="W868" s="361"/>
      <c r="X868" s="361"/>
      <c r="Y868" s="361"/>
      <c r="Z868" s="361"/>
      <c r="AA868" s="361"/>
      <c r="AB868" s="361"/>
      <c r="AC868" s="361"/>
      <c r="AD868" s="361"/>
      <c r="AE868" s="361"/>
      <c r="AF868" s="361"/>
      <c r="AG868" s="361"/>
      <c r="AH868" s="361"/>
      <c r="AI868" s="361"/>
      <c r="AJ868" s="361"/>
      <c r="AK868" s="361"/>
      <c r="AL868" s="361"/>
      <c r="AM868" s="361"/>
      <c r="AN868" s="361"/>
      <c r="AO868" s="361"/>
    </row>
    <row r="869" spans="1:41" s="73" customFormat="1" ht="15" customHeight="1" x14ac:dyDescent="0.25">
      <c r="A869" s="384"/>
      <c r="B869" s="195"/>
      <c r="C869" s="158" t="s">
        <v>746</v>
      </c>
      <c r="D869" s="132" t="s">
        <v>1504</v>
      </c>
      <c r="E869" s="54" t="s">
        <v>1513</v>
      </c>
      <c r="F869" s="361"/>
      <c r="G869" s="361"/>
      <c r="H869" s="361"/>
      <c r="I869" s="361"/>
      <c r="J869" s="361"/>
      <c r="K869" s="361"/>
      <c r="L869" s="361"/>
      <c r="M869" s="361"/>
      <c r="N869" s="361"/>
      <c r="O869" s="361"/>
      <c r="P869" s="361"/>
      <c r="Q869" s="361"/>
      <c r="R869" s="361"/>
      <c r="S869" s="361"/>
      <c r="T869" s="361"/>
      <c r="U869" s="361"/>
      <c r="V869" s="361"/>
      <c r="W869" s="361"/>
      <c r="X869" s="361"/>
      <c r="Y869" s="361"/>
      <c r="Z869" s="361"/>
      <c r="AA869" s="361"/>
      <c r="AB869" s="361"/>
      <c r="AC869" s="361"/>
      <c r="AD869" s="361"/>
      <c r="AE869" s="361"/>
      <c r="AF869" s="361"/>
      <c r="AG869" s="361"/>
      <c r="AH869" s="361"/>
      <c r="AI869" s="361"/>
      <c r="AJ869" s="361"/>
      <c r="AK869" s="361"/>
      <c r="AL869" s="361"/>
      <c r="AM869" s="361"/>
      <c r="AN869" s="361"/>
      <c r="AO869" s="361"/>
    </row>
    <row r="870" spans="1:41" s="73" customFormat="1" ht="15" customHeight="1" x14ac:dyDescent="0.25">
      <c r="A870" s="384"/>
      <c r="B870" s="195"/>
      <c r="C870" s="158" t="s">
        <v>747</v>
      </c>
      <c r="D870" s="132" t="s">
        <v>1504</v>
      </c>
      <c r="E870" s="54" t="s">
        <v>1514</v>
      </c>
      <c r="F870" s="361"/>
      <c r="G870" s="361"/>
      <c r="H870" s="361"/>
      <c r="I870" s="361"/>
      <c r="J870" s="361"/>
      <c r="K870" s="361"/>
      <c r="L870" s="361"/>
      <c r="M870" s="361"/>
      <c r="N870" s="361"/>
      <c r="O870" s="361"/>
      <c r="P870" s="361"/>
      <c r="Q870" s="361"/>
      <c r="R870" s="361"/>
      <c r="S870" s="361"/>
      <c r="T870" s="361"/>
      <c r="U870" s="361"/>
      <c r="V870" s="361"/>
      <c r="W870" s="361"/>
      <c r="X870" s="361"/>
      <c r="Y870" s="361"/>
      <c r="Z870" s="361"/>
      <c r="AA870" s="361"/>
      <c r="AB870" s="361"/>
      <c r="AC870" s="361"/>
      <c r="AD870" s="361"/>
      <c r="AE870" s="361"/>
      <c r="AF870" s="361"/>
      <c r="AG870" s="361"/>
      <c r="AH870" s="361"/>
      <c r="AI870" s="361"/>
      <c r="AJ870" s="361"/>
      <c r="AK870" s="361"/>
      <c r="AL870" s="361"/>
      <c r="AM870" s="361"/>
      <c r="AN870" s="361"/>
      <c r="AO870" s="361"/>
    </row>
    <row r="871" spans="1:41" s="73" customFormat="1" ht="15" customHeight="1" x14ac:dyDescent="0.25">
      <c r="A871" s="384"/>
      <c r="B871" s="195"/>
      <c r="C871" s="158" t="s">
        <v>748</v>
      </c>
      <c r="D871" s="132" t="s">
        <v>1504</v>
      </c>
      <c r="E871" s="54" t="s">
        <v>1515</v>
      </c>
      <c r="F871" s="361"/>
      <c r="G871" s="361"/>
      <c r="H871" s="361"/>
      <c r="I871" s="361"/>
      <c r="J871" s="361"/>
      <c r="K871" s="361"/>
      <c r="L871" s="361"/>
      <c r="M871" s="361"/>
      <c r="N871" s="361"/>
      <c r="O871" s="361"/>
      <c r="P871" s="361"/>
      <c r="Q871" s="361"/>
      <c r="R871" s="361"/>
      <c r="S871" s="361"/>
      <c r="T871" s="361"/>
      <c r="U871" s="361"/>
      <c r="V871" s="361"/>
      <c r="W871" s="361"/>
      <c r="X871" s="361"/>
      <c r="Y871" s="361"/>
      <c r="Z871" s="361"/>
      <c r="AA871" s="361"/>
      <c r="AB871" s="361"/>
      <c r="AC871" s="361"/>
      <c r="AD871" s="361"/>
      <c r="AE871" s="361"/>
      <c r="AF871" s="361"/>
      <c r="AG871" s="361"/>
      <c r="AH871" s="361"/>
      <c r="AI871" s="361"/>
      <c r="AJ871" s="361"/>
      <c r="AK871" s="361"/>
      <c r="AL871" s="361"/>
      <c r="AM871" s="361"/>
      <c r="AN871" s="361"/>
      <c r="AO871" s="361"/>
    </row>
    <row r="872" spans="1:41" s="73" customFormat="1" ht="15" customHeight="1" x14ac:dyDescent="0.25">
      <c r="A872" s="384"/>
      <c r="B872" s="195"/>
      <c r="C872" s="158" t="s">
        <v>749</v>
      </c>
      <c r="D872" s="132" t="s">
        <v>1504</v>
      </c>
      <c r="E872" s="54" t="s">
        <v>1516</v>
      </c>
      <c r="F872" s="361"/>
      <c r="G872" s="361"/>
      <c r="H872" s="361"/>
      <c r="I872" s="361"/>
      <c r="J872" s="361"/>
      <c r="K872" s="361"/>
      <c r="L872" s="361"/>
      <c r="M872" s="361"/>
      <c r="N872" s="361"/>
      <c r="O872" s="361"/>
      <c r="P872" s="361"/>
      <c r="Q872" s="361"/>
      <c r="R872" s="361"/>
      <c r="S872" s="361"/>
      <c r="T872" s="361"/>
      <c r="U872" s="361"/>
      <c r="V872" s="361"/>
      <c r="W872" s="361"/>
      <c r="X872" s="361"/>
      <c r="Y872" s="361"/>
      <c r="Z872" s="361"/>
      <c r="AA872" s="361"/>
      <c r="AB872" s="361"/>
      <c r="AC872" s="361"/>
      <c r="AD872" s="361"/>
      <c r="AE872" s="361"/>
      <c r="AF872" s="361"/>
      <c r="AG872" s="361"/>
      <c r="AH872" s="361"/>
      <c r="AI872" s="361"/>
      <c r="AJ872" s="361"/>
      <c r="AK872" s="361"/>
      <c r="AL872" s="361"/>
      <c r="AM872" s="361"/>
      <c r="AN872" s="361"/>
      <c r="AO872" s="361"/>
    </row>
    <row r="873" spans="1:41" s="73" customFormat="1" ht="15" customHeight="1" x14ac:dyDescent="0.25">
      <c r="A873" s="384"/>
      <c r="B873" s="195"/>
      <c r="C873" s="158" t="s">
        <v>750</v>
      </c>
      <c r="D873" s="132" t="s">
        <v>1504</v>
      </c>
      <c r="E873" s="54" t="s">
        <v>1517</v>
      </c>
      <c r="F873" s="361"/>
      <c r="G873" s="361"/>
      <c r="H873" s="361"/>
      <c r="I873" s="361"/>
      <c r="J873" s="361"/>
      <c r="K873" s="361"/>
      <c r="L873" s="361"/>
      <c r="M873" s="361"/>
      <c r="N873" s="361"/>
      <c r="O873" s="361"/>
      <c r="P873" s="361"/>
      <c r="Q873" s="361"/>
      <c r="R873" s="361"/>
      <c r="S873" s="361"/>
      <c r="T873" s="361"/>
      <c r="U873" s="361"/>
      <c r="V873" s="361"/>
      <c r="W873" s="361"/>
      <c r="X873" s="361"/>
      <c r="Y873" s="361"/>
      <c r="Z873" s="361"/>
      <c r="AA873" s="361"/>
      <c r="AB873" s="361"/>
      <c r="AC873" s="361"/>
      <c r="AD873" s="361"/>
      <c r="AE873" s="361"/>
      <c r="AF873" s="361"/>
      <c r="AG873" s="361"/>
      <c r="AH873" s="361"/>
      <c r="AI873" s="361"/>
      <c r="AJ873" s="361"/>
      <c r="AK873" s="361"/>
      <c r="AL873" s="361"/>
      <c r="AM873" s="361"/>
      <c r="AN873" s="361"/>
      <c r="AO873" s="361"/>
    </row>
    <row r="874" spans="1:41" s="108" customFormat="1" ht="15" customHeight="1" x14ac:dyDescent="0.25">
      <c r="A874" s="384"/>
      <c r="B874" s="195"/>
      <c r="C874" s="157" t="s">
        <v>1546</v>
      </c>
      <c r="D874" s="171" t="s">
        <v>1504</v>
      </c>
      <c r="E874" s="156" t="s">
        <v>1518</v>
      </c>
      <c r="F874" s="360"/>
      <c r="G874" s="360"/>
      <c r="H874" s="360"/>
      <c r="I874" s="360"/>
      <c r="J874" s="360"/>
      <c r="K874" s="360"/>
      <c r="L874" s="360"/>
      <c r="M874" s="360"/>
      <c r="N874" s="360"/>
      <c r="O874" s="360"/>
      <c r="P874" s="360"/>
      <c r="Q874" s="360"/>
      <c r="R874" s="360"/>
      <c r="S874" s="360"/>
      <c r="T874" s="360"/>
      <c r="U874" s="360"/>
      <c r="V874" s="360"/>
      <c r="W874" s="360"/>
      <c r="X874" s="360"/>
      <c r="Y874" s="360"/>
      <c r="Z874" s="360"/>
      <c r="AA874" s="360"/>
      <c r="AB874" s="360"/>
      <c r="AC874" s="360"/>
      <c r="AD874" s="360"/>
      <c r="AE874" s="360"/>
      <c r="AF874" s="360"/>
      <c r="AG874" s="360"/>
      <c r="AH874" s="360"/>
      <c r="AI874" s="360"/>
      <c r="AJ874" s="360"/>
      <c r="AK874" s="360"/>
      <c r="AL874" s="360"/>
      <c r="AM874" s="360"/>
      <c r="AN874" s="360"/>
      <c r="AO874" s="360"/>
    </row>
    <row r="875" spans="1:41" s="73" customFormat="1" ht="15" customHeight="1" x14ac:dyDescent="0.25">
      <c r="A875" s="384"/>
      <c r="B875" s="195"/>
      <c r="C875" s="158" t="s">
        <v>616</v>
      </c>
      <c r="D875" s="132" t="s">
        <v>1504</v>
      </c>
      <c r="E875" s="54" t="s">
        <v>1519</v>
      </c>
      <c r="F875" s="361"/>
      <c r="G875" s="361"/>
      <c r="H875" s="361"/>
      <c r="I875" s="361"/>
      <c r="J875" s="361"/>
      <c r="K875" s="361"/>
      <c r="L875" s="361"/>
      <c r="M875" s="361"/>
      <c r="N875" s="361"/>
      <c r="O875" s="361"/>
      <c r="P875" s="361"/>
      <c r="Q875" s="361"/>
      <c r="R875" s="361"/>
      <c r="S875" s="361"/>
      <c r="T875" s="361"/>
      <c r="U875" s="361"/>
      <c r="V875" s="361"/>
      <c r="W875" s="361"/>
      <c r="X875" s="361"/>
      <c r="Y875" s="361"/>
      <c r="Z875" s="361"/>
      <c r="AA875" s="361"/>
      <c r="AB875" s="361"/>
      <c r="AC875" s="361"/>
      <c r="AD875" s="361"/>
      <c r="AE875" s="361"/>
      <c r="AF875" s="361"/>
      <c r="AG875" s="361"/>
      <c r="AH875" s="361"/>
      <c r="AI875" s="361"/>
      <c r="AJ875" s="361"/>
      <c r="AK875" s="361"/>
      <c r="AL875" s="361"/>
      <c r="AM875" s="361"/>
      <c r="AN875" s="361"/>
      <c r="AO875" s="361"/>
    </row>
    <row r="876" spans="1:41" s="73" customFormat="1" ht="15" customHeight="1" x14ac:dyDescent="0.25">
      <c r="A876" s="384"/>
      <c r="B876" s="195"/>
      <c r="C876" s="158" t="s">
        <v>617</v>
      </c>
      <c r="D876" s="132" t="s">
        <v>1504</v>
      </c>
      <c r="E876" s="54" t="s">
        <v>1520</v>
      </c>
      <c r="F876" s="361"/>
      <c r="G876" s="361"/>
      <c r="H876" s="361"/>
      <c r="I876" s="361"/>
      <c r="J876" s="361"/>
      <c r="K876" s="361"/>
      <c r="L876" s="361"/>
      <c r="M876" s="361"/>
      <c r="N876" s="361"/>
      <c r="O876" s="361"/>
      <c r="P876" s="361"/>
      <c r="Q876" s="361"/>
      <c r="R876" s="361"/>
      <c r="S876" s="361"/>
      <c r="T876" s="361"/>
      <c r="U876" s="361"/>
      <c r="V876" s="361"/>
      <c r="W876" s="361"/>
      <c r="X876" s="361"/>
      <c r="Y876" s="361"/>
      <c r="Z876" s="361"/>
      <c r="AA876" s="361"/>
      <c r="AB876" s="361"/>
      <c r="AC876" s="361"/>
      <c r="AD876" s="361"/>
      <c r="AE876" s="361"/>
      <c r="AF876" s="361"/>
      <c r="AG876" s="361"/>
      <c r="AH876" s="361"/>
      <c r="AI876" s="361"/>
      <c r="AJ876" s="361"/>
      <c r="AK876" s="361"/>
      <c r="AL876" s="361"/>
      <c r="AM876" s="361"/>
      <c r="AN876" s="361"/>
      <c r="AO876" s="361"/>
    </row>
    <row r="877" spans="1:41" s="73" customFormat="1" ht="15" customHeight="1" x14ac:dyDescent="0.25">
      <c r="A877" s="384"/>
      <c r="B877" s="195"/>
      <c r="C877" s="158" t="s">
        <v>618</v>
      </c>
      <c r="D877" s="132" t="s">
        <v>1504</v>
      </c>
      <c r="E877" s="54" t="s">
        <v>1521</v>
      </c>
      <c r="F877" s="361"/>
      <c r="G877" s="361"/>
      <c r="H877" s="361"/>
      <c r="I877" s="361"/>
      <c r="J877" s="361"/>
      <c r="K877" s="361"/>
      <c r="L877" s="361"/>
      <c r="M877" s="361"/>
      <c r="N877" s="361"/>
      <c r="O877" s="361"/>
      <c r="P877" s="361"/>
      <c r="Q877" s="361"/>
      <c r="R877" s="361"/>
      <c r="S877" s="361"/>
      <c r="T877" s="361"/>
      <c r="U877" s="361"/>
      <c r="V877" s="361"/>
      <c r="W877" s="361"/>
      <c r="X877" s="361"/>
      <c r="Y877" s="361"/>
      <c r="Z877" s="361"/>
      <c r="AA877" s="361"/>
      <c r="AB877" s="361"/>
      <c r="AC877" s="361"/>
      <c r="AD877" s="361"/>
      <c r="AE877" s="361"/>
      <c r="AF877" s="361"/>
      <c r="AG877" s="361"/>
      <c r="AH877" s="361"/>
      <c r="AI877" s="361"/>
      <c r="AJ877" s="361"/>
      <c r="AK877" s="361"/>
      <c r="AL877" s="361"/>
      <c r="AM877" s="361"/>
      <c r="AN877" s="361"/>
      <c r="AO877" s="361"/>
    </row>
    <row r="878" spans="1:41" s="73" customFormat="1" ht="15" customHeight="1" x14ac:dyDescent="0.25">
      <c r="A878" s="384"/>
      <c r="B878" s="195"/>
      <c r="C878" s="158" t="s">
        <v>619</v>
      </c>
      <c r="D878" s="132" t="s">
        <v>1504</v>
      </c>
      <c r="E878" s="54" t="s">
        <v>1522</v>
      </c>
      <c r="F878" s="361"/>
      <c r="G878" s="361"/>
      <c r="H878" s="361"/>
      <c r="I878" s="361"/>
      <c r="J878" s="361"/>
      <c r="K878" s="361"/>
      <c r="L878" s="361"/>
      <c r="M878" s="361"/>
      <c r="N878" s="361"/>
      <c r="O878" s="361"/>
      <c r="P878" s="361"/>
      <c r="Q878" s="361"/>
      <c r="R878" s="361"/>
      <c r="S878" s="361"/>
      <c r="T878" s="361"/>
      <c r="U878" s="361"/>
      <c r="V878" s="361"/>
      <c r="W878" s="361"/>
      <c r="X878" s="361"/>
      <c r="Y878" s="361"/>
      <c r="Z878" s="361"/>
      <c r="AA878" s="361"/>
      <c r="AB878" s="361"/>
      <c r="AC878" s="361"/>
      <c r="AD878" s="361"/>
      <c r="AE878" s="361"/>
      <c r="AF878" s="361"/>
      <c r="AG878" s="361"/>
      <c r="AH878" s="361"/>
      <c r="AI878" s="361"/>
      <c r="AJ878" s="361"/>
      <c r="AK878" s="361"/>
      <c r="AL878" s="361"/>
      <c r="AM878" s="361"/>
      <c r="AN878" s="361"/>
      <c r="AO878" s="361"/>
    </row>
    <row r="879" spans="1:41" s="108" customFormat="1" ht="15" customHeight="1" x14ac:dyDescent="0.25">
      <c r="A879" s="384"/>
      <c r="B879" s="195"/>
      <c r="C879" s="157" t="s">
        <v>1547</v>
      </c>
      <c r="D879" s="171" t="s">
        <v>1504</v>
      </c>
      <c r="E879" s="156" t="s">
        <v>1523</v>
      </c>
      <c r="F879" s="360"/>
      <c r="G879" s="360"/>
      <c r="H879" s="360"/>
      <c r="I879" s="360"/>
      <c r="J879" s="360"/>
      <c r="K879" s="360"/>
      <c r="L879" s="360"/>
      <c r="M879" s="360"/>
      <c r="N879" s="360"/>
      <c r="O879" s="360"/>
      <c r="P879" s="360"/>
      <c r="Q879" s="360"/>
      <c r="R879" s="360"/>
      <c r="S879" s="360"/>
      <c r="T879" s="360"/>
      <c r="U879" s="360"/>
      <c r="V879" s="360"/>
      <c r="W879" s="360"/>
      <c r="X879" s="360"/>
      <c r="Y879" s="360"/>
      <c r="Z879" s="360"/>
      <c r="AA879" s="360"/>
      <c r="AB879" s="360"/>
      <c r="AC879" s="360"/>
      <c r="AD879" s="360"/>
      <c r="AE879" s="360"/>
      <c r="AF879" s="360"/>
      <c r="AG879" s="360"/>
      <c r="AH879" s="360"/>
      <c r="AI879" s="360"/>
      <c r="AJ879" s="360"/>
      <c r="AK879" s="360"/>
      <c r="AL879" s="360"/>
      <c r="AM879" s="360"/>
      <c r="AN879" s="360"/>
      <c r="AO879" s="360"/>
    </row>
    <row r="880" spans="1:41" s="73" customFormat="1" ht="15" customHeight="1" x14ac:dyDescent="0.25">
      <c r="A880" s="384"/>
      <c r="B880" s="195"/>
      <c r="C880" s="158" t="s">
        <v>620</v>
      </c>
      <c r="D880" s="132" t="s">
        <v>1504</v>
      </c>
      <c r="E880" s="54" t="s">
        <v>1524</v>
      </c>
      <c r="F880" s="361"/>
      <c r="G880" s="361"/>
      <c r="H880" s="361"/>
      <c r="I880" s="361"/>
      <c r="J880" s="361"/>
      <c r="K880" s="361"/>
      <c r="L880" s="361"/>
      <c r="M880" s="361"/>
      <c r="N880" s="361"/>
      <c r="O880" s="361"/>
      <c r="P880" s="361"/>
      <c r="Q880" s="361"/>
      <c r="R880" s="361"/>
      <c r="S880" s="361"/>
      <c r="T880" s="361"/>
      <c r="U880" s="361"/>
      <c r="V880" s="361"/>
      <c r="W880" s="361"/>
      <c r="X880" s="361"/>
      <c r="Y880" s="361"/>
      <c r="Z880" s="361"/>
      <c r="AA880" s="361"/>
      <c r="AB880" s="361"/>
      <c r="AC880" s="361"/>
      <c r="AD880" s="361"/>
      <c r="AE880" s="361"/>
      <c r="AF880" s="361"/>
      <c r="AG880" s="361"/>
      <c r="AH880" s="361"/>
      <c r="AI880" s="361"/>
      <c r="AJ880" s="361"/>
      <c r="AK880" s="361"/>
      <c r="AL880" s="361"/>
      <c r="AM880" s="361"/>
      <c r="AN880" s="361"/>
      <c r="AO880" s="361"/>
    </row>
    <row r="881" spans="1:41" s="73" customFormat="1" ht="15" customHeight="1" x14ac:dyDescent="0.25">
      <c r="A881" s="384"/>
      <c r="B881" s="195"/>
      <c r="C881" s="158" t="s">
        <v>621</v>
      </c>
      <c r="D881" s="132" t="s">
        <v>1504</v>
      </c>
      <c r="E881" s="54" t="s">
        <v>1525</v>
      </c>
      <c r="F881" s="361"/>
      <c r="G881" s="361"/>
      <c r="H881" s="361"/>
      <c r="I881" s="361"/>
      <c r="J881" s="361"/>
      <c r="K881" s="361"/>
      <c r="L881" s="361"/>
      <c r="M881" s="361"/>
      <c r="N881" s="361"/>
      <c r="O881" s="361"/>
      <c r="P881" s="361"/>
      <c r="Q881" s="361"/>
      <c r="R881" s="361"/>
      <c r="S881" s="361"/>
      <c r="T881" s="361"/>
      <c r="U881" s="361"/>
      <c r="V881" s="361"/>
      <c r="W881" s="361"/>
      <c r="X881" s="361"/>
      <c r="Y881" s="361"/>
      <c r="Z881" s="361"/>
      <c r="AA881" s="361"/>
      <c r="AB881" s="361"/>
      <c r="AC881" s="361"/>
      <c r="AD881" s="361"/>
      <c r="AE881" s="361"/>
      <c r="AF881" s="361"/>
      <c r="AG881" s="361"/>
      <c r="AH881" s="361"/>
      <c r="AI881" s="361"/>
      <c r="AJ881" s="361"/>
      <c r="AK881" s="361"/>
      <c r="AL881" s="361"/>
      <c r="AM881" s="361"/>
      <c r="AN881" s="361"/>
      <c r="AO881" s="361"/>
    </row>
    <row r="882" spans="1:41" s="108" customFormat="1" ht="15" customHeight="1" x14ac:dyDescent="0.25">
      <c r="A882" s="384"/>
      <c r="B882" s="195"/>
      <c r="C882" s="157" t="s">
        <v>1548</v>
      </c>
      <c r="D882" s="171" t="s">
        <v>1504</v>
      </c>
      <c r="E882" s="156" t="s">
        <v>1526</v>
      </c>
      <c r="F882" s="360"/>
      <c r="G882" s="360"/>
      <c r="H882" s="360"/>
      <c r="I882" s="360"/>
      <c r="J882" s="360"/>
      <c r="K882" s="360"/>
      <c r="L882" s="360"/>
      <c r="M882" s="360"/>
      <c r="N882" s="360"/>
      <c r="O882" s="360"/>
      <c r="P882" s="360"/>
      <c r="Q882" s="360"/>
      <c r="R882" s="360"/>
      <c r="S882" s="360"/>
      <c r="T882" s="360"/>
      <c r="U882" s="360"/>
      <c r="V882" s="360"/>
      <c r="W882" s="360"/>
      <c r="X882" s="360"/>
      <c r="Y882" s="360"/>
      <c r="Z882" s="360"/>
      <c r="AA882" s="360"/>
      <c r="AB882" s="360"/>
      <c r="AC882" s="360"/>
      <c r="AD882" s="360"/>
      <c r="AE882" s="360"/>
      <c r="AF882" s="360"/>
      <c r="AG882" s="360"/>
      <c r="AH882" s="360"/>
      <c r="AI882" s="360"/>
      <c r="AJ882" s="360"/>
      <c r="AK882" s="360"/>
      <c r="AL882" s="360"/>
      <c r="AM882" s="360"/>
      <c r="AN882" s="360"/>
      <c r="AO882" s="360"/>
    </row>
    <row r="883" spans="1:41" s="73" customFormat="1" ht="15" customHeight="1" x14ac:dyDescent="0.25">
      <c r="A883" s="384"/>
      <c r="B883" s="195"/>
      <c r="C883" s="158" t="s">
        <v>466</v>
      </c>
      <c r="D883" s="132" t="s">
        <v>1504</v>
      </c>
      <c r="E883" s="54" t="s">
        <v>1527</v>
      </c>
      <c r="F883" s="361"/>
      <c r="G883" s="361"/>
      <c r="H883" s="361"/>
      <c r="I883" s="361"/>
      <c r="J883" s="361"/>
      <c r="K883" s="361"/>
      <c r="L883" s="361"/>
      <c r="M883" s="361"/>
      <c r="N883" s="361"/>
      <c r="O883" s="361"/>
      <c r="P883" s="361"/>
      <c r="Q883" s="361"/>
      <c r="R883" s="361"/>
      <c r="S883" s="361"/>
      <c r="T883" s="361"/>
      <c r="U883" s="361"/>
      <c r="V883" s="361"/>
      <c r="W883" s="361"/>
      <c r="X883" s="361"/>
      <c r="Y883" s="361"/>
      <c r="Z883" s="361"/>
      <c r="AA883" s="361"/>
      <c r="AB883" s="361"/>
      <c r="AC883" s="361"/>
      <c r="AD883" s="361"/>
      <c r="AE883" s="361"/>
      <c r="AF883" s="361"/>
      <c r="AG883" s="361"/>
      <c r="AH883" s="361"/>
      <c r="AI883" s="361"/>
      <c r="AJ883" s="361"/>
      <c r="AK883" s="361"/>
      <c r="AL883" s="361"/>
      <c r="AM883" s="361"/>
      <c r="AN883" s="361"/>
      <c r="AO883" s="361"/>
    </row>
    <row r="884" spans="1:41" s="73" customFormat="1" ht="15" customHeight="1" x14ac:dyDescent="0.25">
      <c r="A884" s="384"/>
      <c r="B884" s="195"/>
      <c r="C884" s="158" t="s">
        <v>467</v>
      </c>
      <c r="D884" s="132" t="s">
        <v>1504</v>
      </c>
      <c r="E884" s="54" t="s">
        <v>1528</v>
      </c>
      <c r="F884" s="361"/>
      <c r="G884" s="361"/>
      <c r="H884" s="361"/>
      <c r="I884" s="361"/>
      <c r="J884" s="361"/>
      <c r="K884" s="361"/>
      <c r="L884" s="361"/>
      <c r="M884" s="361"/>
      <c r="N884" s="361"/>
      <c r="O884" s="361"/>
      <c r="P884" s="361"/>
      <c r="Q884" s="361"/>
      <c r="R884" s="361"/>
      <c r="S884" s="361"/>
      <c r="T884" s="361"/>
      <c r="U884" s="361"/>
      <c r="V884" s="361"/>
      <c r="W884" s="361"/>
      <c r="X884" s="361"/>
      <c r="Y884" s="361"/>
      <c r="Z884" s="361"/>
      <c r="AA884" s="361"/>
      <c r="AB884" s="361"/>
      <c r="AC884" s="361"/>
      <c r="AD884" s="361"/>
      <c r="AE884" s="361"/>
      <c r="AF884" s="361"/>
      <c r="AG884" s="361"/>
      <c r="AH884" s="361"/>
      <c r="AI884" s="361"/>
      <c r="AJ884" s="361"/>
      <c r="AK884" s="361"/>
      <c r="AL884" s="361"/>
      <c r="AM884" s="361"/>
      <c r="AN884" s="361"/>
      <c r="AO884" s="361"/>
    </row>
    <row r="885" spans="1:41" s="73" customFormat="1" ht="15" customHeight="1" x14ac:dyDescent="0.25">
      <c r="A885" s="384"/>
      <c r="B885" s="195"/>
      <c r="C885" s="158" t="s">
        <v>470</v>
      </c>
      <c r="D885" s="132" t="s">
        <v>1504</v>
      </c>
      <c r="E885" s="54" t="s">
        <v>1529</v>
      </c>
      <c r="F885" s="361"/>
      <c r="G885" s="361"/>
      <c r="H885" s="361"/>
      <c r="I885" s="361"/>
      <c r="J885" s="361"/>
      <c r="K885" s="361"/>
      <c r="L885" s="361"/>
      <c r="M885" s="361"/>
      <c r="N885" s="361"/>
      <c r="O885" s="361"/>
      <c r="P885" s="361"/>
      <c r="Q885" s="361"/>
      <c r="R885" s="361"/>
      <c r="S885" s="361"/>
      <c r="T885" s="361"/>
      <c r="U885" s="361"/>
      <c r="V885" s="361"/>
      <c r="W885" s="361"/>
      <c r="X885" s="361"/>
      <c r="Y885" s="361"/>
      <c r="Z885" s="361"/>
      <c r="AA885" s="361"/>
      <c r="AB885" s="361"/>
      <c r="AC885" s="361"/>
      <c r="AD885" s="361"/>
      <c r="AE885" s="361"/>
      <c r="AF885" s="361"/>
      <c r="AG885" s="361"/>
      <c r="AH885" s="361"/>
      <c r="AI885" s="361"/>
      <c r="AJ885" s="361"/>
      <c r="AK885" s="361"/>
      <c r="AL885" s="361"/>
      <c r="AM885" s="361"/>
      <c r="AN885" s="361"/>
      <c r="AO885" s="361"/>
    </row>
    <row r="886" spans="1:41" s="73" customFormat="1" ht="15" customHeight="1" x14ac:dyDescent="0.25">
      <c r="A886" s="384"/>
      <c r="B886" s="195"/>
      <c r="C886" s="158" t="s">
        <v>471</v>
      </c>
      <c r="D886" s="132" t="s">
        <v>1504</v>
      </c>
      <c r="E886" s="54" t="s">
        <v>1530</v>
      </c>
      <c r="F886" s="361"/>
      <c r="G886" s="361"/>
      <c r="H886" s="361"/>
      <c r="I886" s="361"/>
      <c r="J886" s="361"/>
      <c r="K886" s="361"/>
      <c r="L886" s="361"/>
      <c r="M886" s="361"/>
      <c r="N886" s="361"/>
      <c r="O886" s="361"/>
      <c r="P886" s="361"/>
      <c r="Q886" s="361"/>
      <c r="R886" s="361"/>
      <c r="S886" s="361"/>
      <c r="T886" s="361"/>
      <c r="U886" s="361"/>
      <c r="V886" s="361"/>
      <c r="W886" s="361"/>
      <c r="X886" s="361"/>
      <c r="Y886" s="361"/>
      <c r="Z886" s="361"/>
      <c r="AA886" s="361"/>
      <c r="AB886" s="361"/>
      <c r="AC886" s="361"/>
      <c r="AD886" s="361"/>
      <c r="AE886" s="361"/>
      <c r="AF886" s="361"/>
      <c r="AG886" s="361"/>
      <c r="AH886" s="361"/>
      <c r="AI886" s="361"/>
      <c r="AJ886" s="361"/>
      <c r="AK886" s="361"/>
      <c r="AL886" s="361"/>
      <c r="AM886" s="361"/>
      <c r="AN886" s="361"/>
      <c r="AO886" s="361"/>
    </row>
    <row r="887" spans="1:41" s="108" customFormat="1" ht="15" customHeight="1" x14ac:dyDescent="0.25">
      <c r="A887" s="384"/>
      <c r="B887" s="195"/>
      <c r="C887" s="157" t="s">
        <v>1549</v>
      </c>
      <c r="D887" s="171" t="s">
        <v>1504</v>
      </c>
      <c r="E887" s="156" t="s">
        <v>1531</v>
      </c>
      <c r="F887" s="360"/>
      <c r="G887" s="360"/>
      <c r="H887" s="360"/>
      <c r="I887" s="360"/>
      <c r="J887" s="360"/>
      <c r="K887" s="360"/>
      <c r="L887" s="360"/>
      <c r="M887" s="360"/>
      <c r="N887" s="360"/>
      <c r="O887" s="360"/>
      <c r="P887" s="360"/>
      <c r="Q887" s="360"/>
      <c r="R887" s="360"/>
      <c r="S887" s="360"/>
      <c r="T887" s="360"/>
      <c r="U887" s="360"/>
      <c r="V887" s="360"/>
      <c r="W887" s="360"/>
      <c r="X887" s="360"/>
      <c r="Y887" s="360"/>
      <c r="Z887" s="360"/>
      <c r="AA887" s="360"/>
      <c r="AB887" s="360"/>
      <c r="AC887" s="360"/>
      <c r="AD887" s="360"/>
      <c r="AE887" s="360"/>
      <c r="AF887" s="360"/>
      <c r="AG887" s="360"/>
      <c r="AH887" s="360"/>
      <c r="AI887" s="360"/>
      <c r="AJ887" s="360"/>
      <c r="AK887" s="360"/>
      <c r="AL887" s="360"/>
      <c r="AM887" s="360"/>
      <c r="AN887" s="360"/>
      <c r="AO887" s="360"/>
    </row>
    <row r="888" spans="1:41" s="73" customFormat="1" ht="15" customHeight="1" x14ac:dyDescent="0.25">
      <c r="A888" s="384"/>
      <c r="B888" s="195"/>
      <c r="C888" s="158" t="s">
        <v>474</v>
      </c>
      <c r="D888" s="132" t="s">
        <v>1504</v>
      </c>
      <c r="E888" s="54" t="s">
        <v>1532</v>
      </c>
      <c r="F888" s="361"/>
      <c r="G888" s="361"/>
      <c r="H888" s="361"/>
      <c r="I888" s="361"/>
      <c r="J888" s="361"/>
      <c r="K888" s="361"/>
      <c r="L888" s="361"/>
      <c r="M888" s="361"/>
      <c r="N888" s="361"/>
      <c r="O888" s="361"/>
      <c r="P888" s="361"/>
      <c r="Q888" s="361"/>
      <c r="R888" s="361"/>
      <c r="S888" s="361"/>
      <c r="T888" s="361"/>
      <c r="U888" s="361"/>
      <c r="V888" s="361"/>
      <c r="W888" s="361"/>
      <c r="X888" s="361"/>
      <c r="Y888" s="361"/>
      <c r="Z888" s="361"/>
      <c r="AA888" s="361"/>
      <c r="AB888" s="361"/>
      <c r="AC888" s="361"/>
      <c r="AD888" s="361"/>
      <c r="AE888" s="361"/>
      <c r="AF888" s="361"/>
      <c r="AG888" s="361"/>
      <c r="AH888" s="361"/>
      <c r="AI888" s="361"/>
      <c r="AJ888" s="361"/>
      <c r="AK888" s="361"/>
      <c r="AL888" s="361"/>
      <c r="AM888" s="361"/>
      <c r="AN888" s="361"/>
      <c r="AO888" s="361"/>
    </row>
    <row r="889" spans="1:41" s="73" customFormat="1" ht="15" customHeight="1" x14ac:dyDescent="0.25">
      <c r="A889" s="384"/>
      <c r="B889" s="195"/>
      <c r="C889" s="158" t="s">
        <v>475</v>
      </c>
      <c r="D889" s="132" t="s">
        <v>1504</v>
      </c>
      <c r="E889" s="54" t="s">
        <v>1533</v>
      </c>
      <c r="F889" s="361"/>
      <c r="G889" s="361"/>
      <c r="H889" s="361"/>
      <c r="I889" s="361"/>
      <c r="J889" s="361"/>
      <c r="K889" s="361"/>
      <c r="L889" s="361"/>
      <c r="M889" s="361"/>
      <c r="N889" s="361"/>
      <c r="O889" s="361"/>
      <c r="P889" s="361"/>
      <c r="Q889" s="361"/>
      <c r="R889" s="361"/>
      <c r="S889" s="361"/>
      <c r="T889" s="361"/>
      <c r="U889" s="361"/>
      <c r="V889" s="361"/>
      <c r="W889" s="361"/>
      <c r="X889" s="361"/>
      <c r="Y889" s="361"/>
      <c r="Z889" s="361"/>
      <c r="AA889" s="361"/>
      <c r="AB889" s="361"/>
      <c r="AC889" s="361"/>
      <c r="AD889" s="361"/>
      <c r="AE889" s="361"/>
      <c r="AF889" s="361"/>
      <c r="AG889" s="361"/>
      <c r="AH889" s="361"/>
      <c r="AI889" s="361"/>
      <c r="AJ889" s="361"/>
      <c r="AK889" s="361"/>
      <c r="AL889" s="361"/>
      <c r="AM889" s="361"/>
      <c r="AN889" s="361"/>
      <c r="AO889" s="361"/>
    </row>
    <row r="890" spans="1:41" s="73" customFormat="1" ht="15" customHeight="1" x14ac:dyDescent="0.25">
      <c r="A890" s="384"/>
      <c r="B890" s="195"/>
      <c r="C890" s="158" t="s">
        <v>476</v>
      </c>
      <c r="D890" s="132" t="s">
        <v>1504</v>
      </c>
      <c r="E890" s="54" t="s">
        <v>1534</v>
      </c>
      <c r="F890" s="361"/>
      <c r="G890" s="361"/>
      <c r="H890" s="361"/>
      <c r="I890" s="361"/>
      <c r="J890" s="361"/>
      <c r="K890" s="361"/>
      <c r="L890" s="361"/>
      <c r="M890" s="361"/>
      <c r="N890" s="361"/>
      <c r="O890" s="361"/>
      <c r="P890" s="361"/>
      <c r="Q890" s="361"/>
      <c r="R890" s="361"/>
      <c r="S890" s="361"/>
      <c r="T890" s="361"/>
      <c r="U890" s="361"/>
      <c r="V890" s="361"/>
      <c r="W890" s="361"/>
      <c r="X890" s="361"/>
      <c r="Y890" s="361"/>
      <c r="Z890" s="361"/>
      <c r="AA890" s="361"/>
      <c r="AB890" s="361"/>
      <c r="AC890" s="361"/>
      <c r="AD890" s="361"/>
      <c r="AE890" s="361"/>
      <c r="AF890" s="361"/>
      <c r="AG890" s="361"/>
      <c r="AH890" s="361"/>
      <c r="AI890" s="361"/>
      <c r="AJ890" s="361"/>
      <c r="AK890" s="361"/>
      <c r="AL890" s="361"/>
      <c r="AM890" s="361"/>
      <c r="AN890" s="361"/>
      <c r="AO890" s="361"/>
    </row>
    <row r="891" spans="1:41" s="73" customFormat="1" ht="15" customHeight="1" x14ac:dyDescent="0.25">
      <c r="A891" s="384"/>
      <c r="B891" s="195"/>
      <c r="C891" s="158" t="s">
        <v>477</v>
      </c>
      <c r="D891" s="132" t="s">
        <v>1504</v>
      </c>
      <c r="E891" s="54" t="s">
        <v>1535</v>
      </c>
      <c r="F891" s="361"/>
      <c r="G891" s="361"/>
      <c r="H891" s="361"/>
      <c r="I891" s="361"/>
      <c r="J891" s="361"/>
      <c r="K891" s="361"/>
      <c r="L891" s="361"/>
      <c r="M891" s="361"/>
      <c r="N891" s="361"/>
      <c r="O891" s="361"/>
      <c r="P891" s="361"/>
      <c r="Q891" s="361"/>
      <c r="R891" s="361"/>
      <c r="S891" s="361"/>
      <c r="T891" s="361"/>
      <c r="U891" s="361"/>
      <c r="V891" s="361"/>
      <c r="W891" s="361"/>
      <c r="X891" s="361"/>
      <c r="Y891" s="361"/>
      <c r="Z891" s="361"/>
      <c r="AA891" s="361"/>
      <c r="AB891" s="361"/>
      <c r="AC891" s="361"/>
      <c r="AD891" s="361"/>
      <c r="AE891" s="361"/>
      <c r="AF891" s="361"/>
      <c r="AG891" s="361"/>
      <c r="AH891" s="361"/>
      <c r="AI891" s="361"/>
      <c r="AJ891" s="361"/>
      <c r="AK891" s="361"/>
      <c r="AL891" s="361"/>
      <c r="AM891" s="361"/>
      <c r="AN891" s="361"/>
      <c r="AO891" s="361"/>
    </row>
    <row r="892" spans="1:41" s="73" customFormat="1" ht="15" customHeight="1" x14ac:dyDescent="0.25">
      <c r="A892" s="384"/>
      <c r="B892" s="195"/>
      <c r="C892" s="158" t="s">
        <v>478</v>
      </c>
      <c r="D892" s="132" t="s">
        <v>1504</v>
      </c>
      <c r="E892" s="54" t="s">
        <v>1536</v>
      </c>
      <c r="F892" s="361"/>
      <c r="G892" s="361"/>
      <c r="H892" s="361"/>
      <c r="I892" s="361"/>
      <c r="J892" s="361"/>
      <c r="K892" s="361"/>
      <c r="L892" s="361"/>
      <c r="M892" s="361"/>
      <c r="N892" s="361"/>
      <c r="O892" s="361"/>
      <c r="P892" s="361"/>
      <c r="Q892" s="361"/>
      <c r="R892" s="361"/>
      <c r="S892" s="361"/>
      <c r="T892" s="361"/>
      <c r="U892" s="361"/>
      <c r="V892" s="361"/>
      <c r="W892" s="361"/>
      <c r="X892" s="361"/>
      <c r="Y892" s="361"/>
      <c r="Z892" s="361"/>
      <c r="AA892" s="361"/>
      <c r="AB892" s="361"/>
      <c r="AC892" s="361"/>
      <c r="AD892" s="361"/>
      <c r="AE892" s="361"/>
      <c r="AF892" s="361"/>
      <c r="AG892" s="361"/>
      <c r="AH892" s="361"/>
      <c r="AI892" s="361"/>
      <c r="AJ892" s="361"/>
      <c r="AK892" s="361"/>
      <c r="AL892" s="361"/>
      <c r="AM892" s="361"/>
      <c r="AN892" s="361"/>
      <c r="AO892" s="361"/>
    </row>
    <row r="893" spans="1:41" s="73" customFormat="1" ht="15" customHeight="1" x14ac:dyDescent="0.25">
      <c r="A893" s="384"/>
      <c r="B893" s="195"/>
      <c r="C893" s="158" t="s">
        <v>479</v>
      </c>
      <c r="D893" s="132" t="s">
        <v>1504</v>
      </c>
      <c r="E893" s="54" t="s">
        <v>1537</v>
      </c>
      <c r="F893" s="361"/>
      <c r="G893" s="361"/>
      <c r="H893" s="361"/>
      <c r="I893" s="361"/>
      <c r="J893" s="361"/>
      <c r="K893" s="361"/>
      <c r="L893" s="361"/>
      <c r="M893" s="361"/>
      <c r="N893" s="361"/>
      <c r="O893" s="361"/>
      <c r="P893" s="361"/>
      <c r="Q893" s="361"/>
      <c r="R893" s="361"/>
      <c r="S893" s="361"/>
      <c r="T893" s="361"/>
      <c r="U893" s="361"/>
      <c r="V893" s="361"/>
      <c r="W893" s="361"/>
      <c r="X893" s="361"/>
      <c r="Y893" s="361"/>
      <c r="Z893" s="361"/>
      <c r="AA893" s="361"/>
      <c r="AB893" s="361"/>
      <c r="AC893" s="361"/>
      <c r="AD893" s="361"/>
      <c r="AE893" s="361"/>
      <c r="AF893" s="361"/>
      <c r="AG893" s="361"/>
      <c r="AH893" s="361"/>
      <c r="AI893" s="361"/>
      <c r="AJ893" s="361"/>
      <c r="AK893" s="361"/>
      <c r="AL893" s="361"/>
      <c r="AM893" s="361"/>
      <c r="AN893" s="361"/>
      <c r="AO893" s="361"/>
    </row>
    <row r="894" spans="1:41" s="73" customFormat="1" ht="15" customHeight="1" x14ac:dyDescent="0.25">
      <c r="A894" s="384"/>
      <c r="B894" s="195"/>
      <c r="C894" s="158" t="s">
        <v>480</v>
      </c>
      <c r="D894" s="132" t="s">
        <v>1504</v>
      </c>
      <c r="E894" s="54" t="s">
        <v>1538</v>
      </c>
      <c r="F894" s="361"/>
      <c r="G894" s="361"/>
      <c r="H894" s="361"/>
      <c r="I894" s="361"/>
      <c r="J894" s="361"/>
      <c r="K894" s="361"/>
      <c r="L894" s="361"/>
      <c r="M894" s="361"/>
      <c r="N894" s="361"/>
      <c r="O894" s="361"/>
      <c r="P894" s="361"/>
      <c r="Q894" s="361"/>
      <c r="R894" s="361"/>
      <c r="S894" s="361"/>
      <c r="T894" s="361"/>
      <c r="U894" s="361"/>
      <c r="V894" s="361"/>
      <c r="W894" s="361"/>
      <c r="X894" s="361"/>
      <c r="Y894" s="361"/>
      <c r="Z894" s="361"/>
      <c r="AA894" s="361"/>
      <c r="AB894" s="361"/>
      <c r="AC894" s="361"/>
      <c r="AD894" s="361"/>
      <c r="AE894" s="361"/>
      <c r="AF894" s="361"/>
      <c r="AG894" s="361"/>
      <c r="AH894" s="361"/>
      <c r="AI894" s="361"/>
      <c r="AJ894" s="361"/>
      <c r="AK894" s="361"/>
      <c r="AL894" s="361"/>
      <c r="AM894" s="361"/>
      <c r="AN894" s="361"/>
      <c r="AO894" s="361"/>
    </row>
    <row r="895" spans="1:41" s="73" customFormat="1" ht="15" customHeight="1" x14ac:dyDescent="0.25">
      <c r="A895" s="384"/>
      <c r="B895" s="195"/>
      <c r="C895" s="158" t="s">
        <v>481</v>
      </c>
      <c r="D895" s="132" t="s">
        <v>1504</v>
      </c>
      <c r="E895" s="54" t="s">
        <v>1539</v>
      </c>
      <c r="F895" s="361"/>
      <c r="G895" s="361"/>
      <c r="H895" s="361"/>
      <c r="I895" s="361"/>
      <c r="J895" s="361"/>
      <c r="K895" s="361"/>
      <c r="L895" s="361"/>
      <c r="M895" s="361"/>
      <c r="N895" s="361"/>
      <c r="O895" s="361"/>
      <c r="P895" s="361"/>
      <c r="Q895" s="361"/>
      <c r="R895" s="361"/>
      <c r="S895" s="361"/>
      <c r="T895" s="361"/>
      <c r="U895" s="361"/>
      <c r="V895" s="361"/>
      <c r="W895" s="361"/>
      <c r="X895" s="361"/>
      <c r="Y895" s="361"/>
      <c r="Z895" s="361"/>
      <c r="AA895" s="361"/>
      <c r="AB895" s="361"/>
      <c r="AC895" s="361"/>
      <c r="AD895" s="361"/>
      <c r="AE895" s="361"/>
      <c r="AF895" s="361"/>
      <c r="AG895" s="361"/>
      <c r="AH895" s="361"/>
      <c r="AI895" s="361"/>
      <c r="AJ895" s="361"/>
      <c r="AK895" s="361"/>
      <c r="AL895" s="361"/>
      <c r="AM895" s="361"/>
      <c r="AN895" s="361"/>
      <c r="AO895" s="361"/>
    </row>
    <row r="896" spans="1:41" s="73" customFormat="1" ht="15" customHeight="1" x14ac:dyDescent="0.25">
      <c r="A896" s="384"/>
      <c r="B896" s="195"/>
      <c r="C896" s="192" t="s">
        <v>482</v>
      </c>
      <c r="D896" s="132" t="s">
        <v>1504</v>
      </c>
      <c r="E896" s="54" t="s">
        <v>1540</v>
      </c>
      <c r="F896" s="361"/>
      <c r="G896" s="361"/>
      <c r="H896" s="361"/>
      <c r="I896" s="361"/>
      <c r="J896" s="361"/>
      <c r="K896" s="361"/>
      <c r="L896" s="361"/>
      <c r="M896" s="361"/>
      <c r="N896" s="361"/>
      <c r="O896" s="361"/>
      <c r="P896" s="361"/>
      <c r="Q896" s="361"/>
      <c r="R896" s="361"/>
      <c r="S896" s="361"/>
      <c r="T896" s="361"/>
      <c r="U896" s="361"/>
      <c r="V896" s="361"/>
      <c r="W896" s="361"/>
      <c r="X896" s="361"/>
      <c r="Y896" s="361"/>
      <c r="Z896" s="361"/>
      <c r="AA896" s="361"/>
      <c r="AB896" s="361"/>
      <c r="AC896" s="361"/>
      <c r="AD896" s="361"/>
      <c r="AE896" s="361"/>
      <c r="AF896" s="361"/>
      <c r="AG896" s="361"/>
      <c r="AH896" s="361"/>
      <c r="AI896" s="361"/>
      <c r="AJ896" s="361"/>
      <c r="AK896" s="361"/>
      <c r="AL896" s="361"/>
      <c r="AM896" s="361"/>
      <c r="AN896" s="361"/>
      <c r="AO896" s="361"/>
    </row>
    <row r="897" spans="1:41" s="73" customFormat="1" ht="15" customHeight="1" x14ac:dyDescent="0.25">
      <c r="A897" s="384"/>
      <c r="B897" s="195"/>
      <c r="C897" s="192"/>
      <c r="D897" s="132"/>
      <c r="E897" s="54"/>
      <c r="F897" s="361"/>
      <c r="G897" s="361"/>
      <c r="H897" s="361"/>
      <c r="I897" s="361"/>
      <c r="J897" s="361"/>
      <c r="K897" s="361"/>
      <c r="L897" s="361"/>
      <c r="M897" s="361"/>
      <c r="N897" s="361"/>
      <c r="O897" s="361"/>
      <c r="P897" s="361"/>
      <c r="Q897" s="361"/>
      <c r="R897" s="361"/>
      <c r="S897" s="361"/>
      <c r="T897" s="361"/>
      <c r="U897" s="361"/>
      <c r="V897" s="361"/>
      <c r="W897" s="361"/>
      <c r="X897" s="361"/>
      <c r="Y897" s="361"/>
      <c r="Z897" s="361"/>
      <c r="AA897" s="361"/>
      <c r="AB897" s="361"/>
      <c r="AC897" s="361"/>
      <c r="AD897" s="361"/>
      <c r="AE897" s="361"/>
      <c r="AF897" s="361"/>
      <c r="AG897" s="361"/>
      <c r="AH897" s="361"/>
      <c r="AI897" s="361"/>
      <c r="AJ897" s="361"/>
      <c r="AK897" s="361"/>
      <c r="AL897" s="361"/>
      <c r="AM897" s="361"/>
      <c r="AN897" s="361"/>
      <c r="AO897" s="361"/>
    </row>
    <row r="898" spans="1:41" s="108" customFormat="1" ht="15" customHeight="1" x14ac:dyDescent="0.25">
      <c r="A898" s="384"/>
      <c r="B898" s="195"/>
      <c r="C898" s="171" t="s">
        <v>1551</v>
      </c>
      <c r="D898" s="171"/>
      <c r="E898" s="190" t="s">
        <v>174</v>
      </c>
      <c r="F898" s="360"/>
      <c r="G898" s="360"/>
      <c r="H898" s="360"/>
      <c r="I898" s="360"/>
      <c r="J898" s="360"/>
      <c r="K898" s="360"/>
      <c r="L898" s="360"/>
      <c r="M898" s="360"/>
      <c r="N898" s="360"/>
      <c r="O898" s="360"/>
      <c r="P898" s="360"/>
      <c r="Q898" s="360"/>
      <c r="R898" s="360"/>
      <c r="S898" s="360"/>
      <c r="T898" s="360"/>
      <c r="U898" s="360"/>
      <c r="V898" s="360"/>
      <c r="W898" s="360"/>
      <c r="X898" s="360"/>
      <c r="Y898" s="360"/>
      <c r="Z898" s="360"/>
      <c r="AA898" s="360"/>
      <c r="AB898" s="360"/>
      <c r="AC898" s="360"/>
      <c r="AD898" s="360"/>
      <c r="AE898" s="360"/>
      <c r="AF898" s="360"/>
      <c r="AG898" s="360"/>
      <c r="AH898" s="360"/>
      <c r="AI898" s="360"/>
      <c r="AJ898" s="360"/>
      <c r="AK898" s="360"/>
      <c r="AL898" s="360"/>
      <c r="AM898" s="360"/>
      <c r="AN898" s="360"/>
      <c r="AO898" s="360"/>
    </row>
    <row r="899" spans="1:41" s="73" customFormat="1" ht="15" customHeight="1" x14ac:dyDescent="0.25">
      <c r="A899" s="384"/>
      <c r="B899" s="195"/>
      <c r="C899" s="158" t="s">
        <v>738</v>
      </c>
      <c r="D899" s="132"/>
      <c r="E899" s="54"/>
      <c r="F899" s="361"/>
      <c r="G899" s="361"/>
      <c r="H899" s="361"/>
      <c r="I899" s="361"/>
      <c r="J899" s="361"/>
      <c r="K899" s="361"/>
      <c r="L899" s="361"/>
      <c r="M899" s="361"/>
      <c r="N899" s="361"/>
      <c r="O899" s="361"/>
      <c r="P899" s="361"/>
      <c r="Q899" s="361"/>
      <c r="R899" s="361"/>
      <c r="S899" s="361"/>
      <c r="T899" s="361"/>
      <c r="U899" s="361"/>
      <c r="V899" s="361"/>
      <c r="W899" s="361"/>
      <c r="X899" s="361"/>
      <c r="Y899" s="361"/>
      <c r="Z899" s="361"/>
      <c r="AA899" s="361"/>
      <c r="AB899" s="361"/>
      <c r="AC899" s="361"/>
      <c r="AD899" s="361"/>
      <c r="AE899" s="361"/>
      <c r="AF899" s="361"/>
      <c r="AG899" s="361"/>
      <c r="AH899" s="361"/>
      <c r="AI899" s="361"/>
      <c r="AJ899" s="361"/>
      <c r="AK899" s="361"/>
      <c r="AL899" s="361"/>
      <c r="AM899" s="361"/>
      <c r="AN899" s="361"/>
      <c r="AO899" s="361"/>
    </row>
    <row r="900" spans="1:41" s="73" customFormat="1" ht="15" customHeight="1" x14ac:dyDescent="0.25">
      <c r="A900" s="384"/>
      <c r="B900" s="195"/>
      <c r="C900" s="158" t="s">
        <v>742</v>
      </c>
      <c r="D900" s="132"/>
      <c r="E900" s="54"/>
      <c r="F900" s="361"/>
      <c r="G900" s="361"/>
      <c r="H900" s="361"/>
      <c r="I900" s="361"/>
      <c r="J900" s="361"/>
      <c r="K900" s="361"/>
      <c r="L900" s="361"/>
      <c r="M900" s="361"/>
      <c r="N900" s="361"/>
      <c r="O900" s="361"/>
      <c r="P900" s="361"/>
      <c r="Q900" s="361"/>
      <c r="R900" s="361"/>
      <c r="S900" s="361"/>
      <c r="T900" s="361"/>
      <c r="U900" s="361"/>
      <c r="V900" s="361"/>
      <c r="W900" s="361"/>
      <c r="X900" s="361"/>
      <c r="Y900" s="361"/>
      <c r="Z900" s="361"/>
      <c r="AA900" s="361"/>
      <c r="AB900" s="361"/>
      <c r="AC900" s="361"/>
      <c r="AD900" s="361"/>
      <c r="AE900" s="361"/>
      <c r="AF900" s="361"/>
      <c r="AG900" s="361"/>
      <c r="AH900" s="361"/>
      <c r="AI900" s="361"/>
      <c r="AJ900" s="361"/>
      <c r="AK900" s="361"/>
      <c r="AL900" s="361"/>
      <c r="AM900" s="361"/>
      <c r="AN900" s="361"/>
      <c r="AO900" s="361"/>
    </row>
    <row r="901" spans="1:41" s="73" customFormat="1" ht="15" customHeight="1" x14ac:dyDescent="0.25">
      <c r="A901" s="384"/>
      <c r="B901" s="195"/>
      <c r="C901" s="158"/>
      <c r="D901" s="132"/>
      <c r="E901" s="54"/>
      <c r="F901" s="361"/>
      <c r="G901" s="361"/>
      <c r="H901" s="361"/>
      <c r="I901" s="361"/>
      <c r="J901" s="361"/>
      <c r="K901" s="361"/>
      <c r="L901" s="361"/>
      <c r="M901" s="361"/>
      <c r="N901" s="361"/>
      <c r="O901" s="361"/>
      <c r="P901" s="361"/>
      <c r="Q901" s="361"/>
      <c r="R901" s="361"/>
      <c r="S901" s="361"/>
      <c r="T901" s="361"/>
      <c r="U901" s="361"/>
      <c r="V901" s="361"/>
      <c r="W901" s="361"/>
      <c r="X901" s="361"/>
      <c r="Y901" s="361"/>
      <c r="Z901" s="361"/>
      <c r="AA901" s="361"/>
      <c r="AB901" s="361"/>
      <c r="AC901" s="361"/>
      <c r="AD901" s="361"/>
      <c r="AE901" s="361"/>
      <c r="AF901" s="361"/>
      <c r="AG901" s="361"/>
      <c r="AH901" s="361"/>
      <c r="AI901" s="361"/>
      <c r="AJ901" s="361"/>
      <c r="AK901" s="361"/>
      <c r="AL901" s="361"/>
      <c r="AM901" s="361"/>
      <c r="AN901" s="361"/>
      <c r="AO901" s="361"/>
    </row>
    <row r="902" spans="1:41" s="108" customFormat="1" ht="15" customHeight="1" x14ac:dyDescent="0.25">
      <c r="A902" s="384"/>
      <c r="B902" s="195"/>
      <c r="C902" s="171" t="s">
        <v>1543</v>
      </c>
      <c r="D902" s="171"/>
      <c r="E902" s="190" t="s">
        <v>1554</v>
      </c>
      <c r="F902" s="360"/>
      <c r="G902" s="360"/>
      <c r="H902" s="360"/>
      <c r="I902" s="360" t="s">
        <v>1556</v>
      </c>
      <c r="J902" s="360"/>
      <c r="K902" s="360"/>
      <c r="L902" s="360"/>
      <c r="M902" s="360"/>
      <c r="N902" s="360"/>
      <c r="O902" s="360"/>
      <c r="P902" s="360"/>
      <c r="Q902" s="360"/>
      <c r="R902" s="360"/>
      <c r="S902" s="360"/>
      <c r="T902" s="360"/>
      <c r="U902" s="360"/>
      <c r="V902" s="360"/>
      <c r="W902" s="360"/>
      <c r="X902" s="360"/>
      <c r="Y902" s="360"/>
      <c r="Z902" s="360"/>
      <c r="AA902" s="360"/>
      <c r="AB902" s="360"/>
      <c r="AC902" s="360"/>
      <c r="AD902" s="360"/>
      <c r="AE902" s="360"/>
      <c r="AF902" s="360"/>
      <c r="AG902" s="360"/>
      <c r="AH902" s="360"/>
      <c r="AI902" s="360"/>
      <c r="AJ902" s="360"/>
      <c r="AK902" s="360"/>
      <c r="AL902" s="360"/>
      <c r="AM902" s="360"/>
      <c r="AN902" s="360"/>
      <c r="AO902" s="360"/>
    </row>
    <row r="903" spans="1:41" s="108" customFormat="1" ht="15" customHeight="1" x14ac:dyDescent="0.25">
      <c r="A903" s="384"/>
      <c r="B903" s="195"/>
      <c r="C903" s="157" t="s">
        <v>1544</v>
      </c>
      <c r="D903" s="171"/>
      <c r="E903" s="190" t="s">
        <v>1561</v>
      </c>
      <c r="F903" s="360"/>
      <c r="G903" s="360"/>
      <c r="H903" s="360"/>
      <c r="I903" s="360" t="s">
        <v>1749</v>
      </c>
      <c r="J903" s="360"/>
      <c r="K903" s="360"/>
      <c r="L903" s="360"/>
      <c r="M903" s="360"/>
      <c r="N903" s="360"/>
      <c r="O903" s="360"/>
      <c r="P903" s="360"/>
      <c r="Q903" s="360"/>
      <c r="R903" s="360"/>
      <c r="S903" s="360"/>
      <c r="T903" s="360"/>
      <c r="U903" s="360"/>
      <c r="V903" s="360"/>
      <c r="W903" s="360"/>
      <c r="X903" s="360"/>
      <c r="Y903" s="360"/>
      <c r="Z903" s="360"/>
      <c r="AA903" s="360"/>
      <c r="AB903" s="360"/>
      <c r="AC903" s="360"/>
      <c r="AD903" s="360"/>
      <c r="AE903" s="360"/>
      <c r="AF903" s="360"/>
      <c r="AG903" s="360"/>
      <c r="AH903" s="360"/>
      <c r="AI903" s="360"/>
      <c r="AJ903" s="360"/>
      <c r="AK903" s="360"/>
      <c r="AL903" s="360"/>
      <c r="AM903" s="360"/>
      <c r="AN903" s="360"/>
      <c r="AO903" s="360"/>
    </row>
    <row r="904" spans="1:41" s="73" customFormat="1" ht="15" customHeight="1" x14ac:dyDescent="0.25">
      <c r="A904" s="384"/>
      <c r="B904" s="195"/>
      <c r="C904" s="158" t="s">
        <v>738</v>
      </c>
      <c r="D904" s="132"/>
      <c r="E904" s="63" t="s">
        <v>1555</v>
      </c>
      <c r="F904" s="361"/>
      <c r="G904" s="361"/>
      <c r="H904" s="361"/>
      <c r="I904" s="361" t="s">
        <v>1557</v>
      </c>
      <c r="J904" s="361"/>
      <c r="K904" s="361"/>
      <c r="L904" s="361"/>
      <c r="M904" s="361"/>
      <c r="N904" s="361"/>
      <c r="O904" s="361"/>
      <c r="P904" s="361"/>
      <c r="Q904" s="361"/>
      <c r="R904" s="361"/>
      <c r="S904" s="361"/>
      <c r="T904" s="361"/>
      <c r="U904" s="361"/>
      <c r="V904" s="361"/>
      <c r="W904" s="361"/>
      <c r="X904" s="361"/>
      <c r="Y904" s="361"/>
      <c r="Z904" s="361"/>
      <c r="AA904" s="361"/>
      <c r="AB904" s="361"/>
      <c r="AC904" s="361"/>
      <c r="AD904" s="361"/>
      <c r="AE904" s="361"/>
      <c r="AF904" s="361"/>
      <c r="AG904" s="361"/>
      <c r="AH904" s="361"/>
      <c r="AI904" s="361"/>
      <c r="AJ904" s="361"/>
      <c r="AK904" s="361"/>
      <c r="AL904" s="361"/>
      <c r="AM904" s="361"/>
      <c r="AN904" s="361"/>
      <c r="AO904" s="361"/>
    </row>
    <row r="905" spans="1:41" s="73" customFormat="1" ht="15" customHeight="1" x14ac:dyDescent="0.25">
      <c r="A905" s="384"/>
      <c r="B905" s="195"/>
      <c r="C905" s="158" t="s">
        <v>739</v>
      </c>
      <c r="D905" s="132"/>
      <c r="E905" s="54" t="s">
        <v>1437</v>
      </c>
      <c r="F905" s="361"/>
      <c r="G905" s="361"/>
      <c r="H905" s="361"/>
      <c r="I905" s="361"/>
      <c r="J905" s="361"/>
      <c r="K905" s="361"/>
      <c r="L905" s="361"/>
      <c r="M905" s="361"/>
      <c r="N905" s="361"/>
      <c r="O905" s="361"/>
      <c r="P905" s="361"/>
      <c r="Q905" s="361"/>
      <c r="R905" s="361"/>
      <c r="S905" s="361"/>
      <c r="T905" s="361"/>
      <c r="U905" s="361"/>
      <c r="V905" s="361"/>
      <c r="W905" s="361"/>
      <c r="X905" s="361"/>
      <c r="Y905" s="361"/>
      <c r="Z905" s="361"/>
      <c r="AA905" s="361"/>
      <c r="AB905" s="361"/>
      <c r="AC905" s="361"/>
      <c r="AD905" s="361"/>
      <c r="AE905" s="361"/>
      <c r="AF905" s="361"/>
      <c r="AG905" s="361"/>
      <c r="AH905" s="361"/>
      <c r="AI905" s="361"/>
      <c r="AJ905" s="361"/>
      <c r="AK905" s="361"/>
      <c r="AL905" s="361"/>
      <c r="AM905" s="361"/>
      <c r="AN905" s="361"/>
      <c r="AO905" s="361"/>
    </row>
    <row r="906" spans="1:41" s="108" customFormat="1" ht="15" customHeight="1" x14ac:dyDescent="0.25">
      <c r="A906" s="384"/>
      <c r="B906" s="195"/>
      <c r="C906" s="157" t="s">
        <v>1545</v>
      </c>
      <c r="D906" s="171"/>
      <c r="E906" s="156" t="s">
        <v>1567</v>
      </c>
      <c r="F906" s="360"/>
      <c r="G906" s="360"/>
      <c r="H906" s="360"/>
      <c r="I906" s="360" t="s">
        <v>1571</v>
      </c>
      <c r="J906" s="360"/>
      <c r="K906" s="360"/>
      <c r="L906" s="360"/>
      <c r="M906" s="360"/>
      <c r="N906" s="360"/>
      <c r="O906" s="360"/>
      <c r="P906" s="360"/>
      <c r="Q906" s="360"/>
      <c r="R906" s="360"/>
      <c r="S906" s="360"/>
      <c r="T906" s="360"/>
      <c r="U906" s="360"/>
      <c r="V906" s="360"/>
      <c r="W906" s="360"/>
      <c r="X906" s="360"/>
      <c r="Y906" s="360"/>
      <c r="Z906" s="360"/>
      <c r="AA906" s="360"/>
      <c r="AB906" s="360"/>
      <c r="AC906" s="360"/>
      <c r="AD906" s="360"/>
      <c r="AE906" s="360"/>
      <c r="AF906" s="360"/>
      <c r="AG906" s="360"/>
      <c r="AH906" s="360"/>
      <c r="AI906" s="360"/>
      <c r="AJ906" s="360"/>
      <c r="AK906" s="360"/>
      <c r="AL906" s="360"/>
      <c r="AM906" s="360"/>
      <c r="AN906" s="360"/>
      <c r="AO906" s="360"/>
    </row>
    <row r="907" spans="1:41" s="73" customFormat="1" ht="15" customHeight="1" x14ac:dyDescent="0.25">
      <c r="A907" s="384"/>
      <c r="B907" s="195"/>
      <c r="C907" s="158" t="s">
        <v>740</v>
      </c>
      <c r="D907" s="132"/>
      <c r="E907" s="54" t="s">
        <v>1438</v>
      </c>
      <c r="F907" s="361"/>
      <c r="G907" s="361"/>
      <c r="H907" s="361"/>
      <c r="I907" s="361"/>
      <c r="J907" s="361"/>
      <c r="K907" s="361"/>
      <c r="L907" s="361"/>
      <c r="M907" s="361"/>
      <c r="N907" s="361"/>
      <c r="O907" s="361"/>
      <c r="P907" s="361"/>
      <c r="Q907" s="361"/>
      <c r="R907" s="361"/>
      <c r="S907" s="361"/>
      <c r="T907" s="361"/>
      <c r="U907" s="361"/>
      <c r="V907" s="361"/>
      <c r="W907" s="361"/>
      <c r="X907" s="361"/>
      <c r="Y907" s="361"/>
      <c r="Z907" s="361"/>
      <c r="AA907" s="361"/>
      <c r="AB907" s="361"/>
      <c r="AC907" s="361"/>
      <c r="AD907" s="361"/>
      <c r="AE907" s="361"/>
      <c r="AF907" s="361"/>
      <c r="AG907" s="361"/>
      <c r="AH907" s="361"/>
      <c r="AI907" s="361"/>
      <c r="AJ907" s="361"/>
      <c r="AK907" s="361"/>
      <c r="AL907" s="361"/>
      <c r="AM907" s="361"/>
      <c r="AN907" s="361"/>
      <c r="AO907" s="361"/>
    </row>
    <row r="908" spans="1:41" s="73" customFormat="1" ht="15" customHeight="1" x14ac:dyDescent="0.25">
      <c r="A908" s="384"/>
      <c r="B908" s="195"/>
      <c r="C908" s="158" t="s">
        <v>741</v>
      </c>
      <c r="D908" s="132"/>
      <c r="E908" s="54" t="s">
        <v>1439</v>
      </c>
      <c r="F908" s="361"/>
      <c r="G908" s="361"/>
      <c r="H908" s="361"/>
      <c r="I908" s="361"/>
      <c r="J908" s="361"/>
      <c r="K908" s="361"/>
      <c r="L908" s="361"/>
      <c r="M908" s="361"/>
      <c r="N908" s="361"/>
      <c r="O908" s="361"/>
      <c r="P908" s="361"/>
      <c r="Q908" s="361"/>
      <c r="R908" s="361"/>
      <c r="S908" s="361"/>
      <c r="T908" s="361"/>
      <c r="U908" s="361"/>
      <c r="V908" s="361"/>
      <c r="W908" s="361"/>
      <c r="X908" s="361"/>
      <c r="Y908" s="361"/>
      <c r="Z908" s="361"/>
      <c r="AA908" s="361"/>
      <c r="AB908" s="361"/>
      <c r="AC908" s="361"/>
      <c r="AD908" s="361"/>
      <c r="AE908" s="361"/>
      <c r="AF908" s="361"/>
      <c r="AG908" s="361"/>
      <c r="AH908" s="361"/>
      <c r="AI908" s="361"/>
      <c r="AJ908" s="361"/>
      <c r="AK908" s="361"/>
      <c r="AL908" s="361"/>
      <c r="AM908" s="361"/>
      <c r="AN908" s="361"/>
      <c r="AO908" s="361"/>
    </row>
    <row r="909" spans="1:41" s="73" customFormat="1" ht="15" customHeight="1" x14ac:dyDescent="0.25">
      <c r="A909" s="384"/>
      <c r="B909" s="195"/>
      <c r="C909" s="158" t="s">
        <v>742</v>
      </c>
      <c r="D909" s="132"/>
      <c r="E909" s="54" t="s">
        <v>1440</v>
      </c>
      <c r="F909" s="361"/>
      <c r="G909" s="361"/>
      <c r="H909" s="361"/>
      <c r="I909" s="361"/>
      <c r="J909" s="361"/>
      <c r="K909" s="361"/>
      <c r="L909" s="361"/>
      <c r="M909" s="361"/>
      <c r="N909" s="361"/>
      <c r="O909" s="361"/>
      <c r="P909" s="361"/>
      <c r="Q909" s="361"/>
      <c r="R909" s="361"/>
      <c r="S909" s="361"/>
      <c r="T909" s="361"/>
      <c r="U909" s="361"/>
      <c r="V909" s="361"/>
      <c r="W909" s="361"/>
      <c r="X909" s="361"/>
      <c r="Y909" s="361"/>
      <c r="Z909" s="361"/>
      <c r="AA909" s="361"/>
      <c r="AB909" s="361"/>
      <c r="AC909" s="361"/>
      <c r="AD909" s="361"/>
      <c r="AE909" s="361"/>
      <c r="AF909" s="361"/>
      <c r="AG909" s="361"/>
      <c r="AH909" s="361"/>
      <c r="AI909" s="361"/>
      <c r="AJ909" s="361"/>
      <c r="AK909" s="361"/>
      <c r="AL909" s="361"/>
      <c r="AM909" s="361"/>
      <c r="AN909" s="361"/>
      <c r="AO909" s="361"/>
    </row>
    <row r="910" spans="1:41" s="73" customFormat="1" ht="15" customHeight="1" x14ac:dyDescent="0.25">
      <c r="A910" s="384"/>
      <c r="B910" s="195"/>
      <c r="C910" s="158" t="s">
        <v>743</v>
      </c>
      <c r="D910" s="132"/>
      <c r="E910" s="54" t="s">
        <v>1441</v>
      </c>
      <c r="F910" s="361"/>
      <c r="G910" s="361"/>
      <c r="H910" s="361"/>
      <c r="I910" s="361"/>
      <c r="J910" s="361"/>
      <c r="K910" s="361"/>
      <c r="L910" s="361"/>
      <c r="M910" s="361"/>
      <c r="N910" s="361"/>
      <c r="O910" s="361"/>
      <c r="P910" s="361"/>
      <c r="Q910" s="361"/>
      <c r="R910" s="361"/>
      <c r="S910" s="361"/>
      <c r="T910" s="361"/>
      <c r="U910" s="361"/>
      <c r="V910" s="361"/>
      <c r="W910" s="361"/>
      <c r="X910" s="361"/>
      <c r="Y910" s="361"/>
      <c r="Z910" s="361"/>
      <c r="AA910" s="361"/>
      <c r="AB910" s="361"/>
      <c r="AC910" s="361"/>
      <c r="AD910" s="361"/>
      <c r="AE910" s="361"/>
      <c r="AF910" s="361"/>
      <c r="AG910" s="361"/>
      <c r="AH910" s="361"/>
      <c r="AI910" s="361"/>
      <c r="AJ910" s="361"/>
      <c r="AK910" s="361"/>
      <c r="AL910" s="361"/>
      <c r="AM910" s="361"/>
      <c r="AN910" s="361"/>
      <c r="AO910" s="361"/>
    </row>
    <row r="911" spans="1:41" s="73" customFormat="1" ht="15" customHeight="1" x14ac:dyDescent="0.25">
      <c r="A911" s="384"/>
      <c r="B911" s="195"/>
      <c r="C911" s="158" t="s">
        <v>744</v>
      </c>
      <c r="D911" s="132"/>
      <c r="E911" s="54" t="s">
        <v>1442</v>
      </c>
      <c r="F911" s="361"/>
      <c r="G911" s="361"/>
      <c r="H911" s="361"/>
      <c r="I911" s="361"/>
      <c r="J911" s="361"/>
      <c r="K911" s="361"/>
      <c r="L911" s="361"/>
      <c r="M911" s="361"/>
      <c r="N911" s="361"/>
      <c r="O911" s="361"/>
      <c r="P911" s="361"/>
      <c r="Q911" s="361"/>
      <c r="R911" s="361"/>
      <c r="S911" s="361"/>
      <c r="T911" s="361"/>
      <c r="U911" s="361"/>
      <c r="V911" s="361"/>
      <c r="W911" s="361"/>
      <c r="X911" s="361"/>
      <c r="Y911" s="361"/>
      <c r="Z911" s="361"/>
      <c r="AA911" s="361"/>
      <c r="AB911" s="361"/>
      <c r="AC911" s="361"/>
      <c r="AD911" s="361"/>
      <c r="AE911" s="361"/>
      <c r="AF911" s="361"/>
      <c r="AG911" s="361"/>
      <c r="AH911" s="361"/>
      <c r="AI911" s="361"/>
      <c r="AJ911" s="361"/>
      <c r="AK911" s="361"/>
      <c r="AL911" s="361"/>
      <c r="AM911" s="361"/>
      <c r="AN911" s="361"/>
      <c r="AO911" s="361"/>
    </row>
    <row r="912" spans="1:41" s="73" customFormat="1" ht="15" customHeight="1" x14ac:dyDescent="0.25">
      <c r="A912" s="384"/>
      <c r="B912" s="195"/>
      <c r="C912" s="158" t="s">
        <v>745</v>
      </c>
      <c r="D912" s="132"/>
      <c r="E912" s="54" t="s">
        <v>1443</v>
      </c>
      <c r="F912" s="361"/>
      <c r="G912" s="361"/>
      <c r="H912" s="361"/>
      <c r="I912" s="361"/>
      <c r="J912" s="361"/>
      <c r="K912" s="361"/>
      <c r="L912" s="361"/>
      <c r="M912" s="361"/>
      <c r="N912" s="361"/>
      <c r="O912" s="361"/>
      <c r="P912" s="361"/>
      <c r="Q912" s="361"/>
      <c r="R912" s="361"/>
      <c r="S912" s="361"/>
      <c r="T912" s="361"/>
      <c r="U912" s="361"/>
      <c r="V912" s="361"/>
      <c r="W912" s="361"/>
      <c r="X912" s="361"/>
      <c r="Y912" s="361"/>
      <c r="Z912" s="361"/>
      <c r="AA912" s="361"/>
      <c r="AB912" s="361"/>
      <c r="AC912" s="361"/>
      <c r="AD912" s="361"/>
      <c r="AE912" s="361"/>
      <c r="AF912" s="361"/>
      <c r="AG912" s="361"/>
      <c r="AH912" s="361"/>
      <c r="AI912" s="361"/>
      <c r="AJ912" s="361"/>
      <c r="AK912" s="361"/>
      <c r="AL912" s="361"/>
      <c r="AM912" s="361"/>
      <c r="AN912" s="361"/>
      <c r="AO912" s="361"/>
    </row>
    <row r="913" spans="1:41" s="73" customFormat="1" ht="15" customHeight="1" x14ac:dyDescent="0.25">
      <c r="A913" s="384"/>
      <c r="B913" s="195"/>
      <c r="C913" s="158" t="s">
        <v>746</v>
      </c>
      <c r="D913" s="132"/>
      <c r="E913" s="54" t="s">
        <v>1444</v>
      </c>
      <c r="F913" s="361"/>
      <c r="G913" s="361"/>
      <c r="H913" s="361"/>
      <c r="I913" s="361"/>
      <c r="J913" s="361"/>
      <c r="K913" s="361"/>
      <c r="L913" s="361"/>
      <c r="M913" s="361"/>
      <c r="N913" s="361"/>
      <c r="O913" s="361"/>
      <c r="P913" s="361"/>
      <c r="Q913" s="361"/>
      <c r="R913" s="361"/>
      <c r="S913" s="361"/>
      <c r="T913" s="361"/>
      <c r="U913" s="361"/>
      <c r="V913" s="361"/>
      <c r="W913" s="361"/>
      <c r="X913" s="361"/>
      <c r="Y913" s="361"/>
      <c r="Z913" s="361"/>
      <c r="AA913" s="361"/>
      <c r="AB913" s="361"/>
      <c r="AC913" s="361"/>
      <c r="AD913" s="361"/>
      <c r="AE913" s="361"/>
      <c r="AF913" s="361"/>
      <c r="AG913" s="361"/>
      <c r="AH913" s="361"/>
      <c r="AI913" s="361"/>
      <c r="AJ913" s="361"/>
      <c r="AK913" s="361"/>
      <c r="AL913" s="361"/>
      <c r="AM913" s="361"/>
      <c r="AN913" s="361"/>
      <c r="AO913" s="361"/>
    </row>
    <row r="914" spans="1:41" s="73" customFormat="1" ht="15" customHeight="1" x14ac:dyDescent="0.25">
      <c r="A914" s="384"/>
      <c r="B914" s="195"/>
      <c r="C914" s="158" t="s">
        <v>747</v>
      </c>
      <c r="D914" s="132"/>
      <c r="E914" s="54" t="s">
        <v>1445</v>
      </c>
      <c r="F914" s="361"/>
      <c r="G914" s="361"/>
      <c r="H914" s="361"/>
      <c r="I914" s="361"/>
      <c r="J914" s="361"/>
      <c r="K914" s="361"/>
      <c r="L914" s="361"/>
      <c r="M914" s="361"/>
      <c r="N914" s="361"/>
      <c r="O914" s="361"/>
      <c r="P914" s="361"/>
      <c r="Q914" s="361"/>
      <c r="R914" s="361"/>
      <c r="S914" s="361"/>
      <c r="T914" s="361"/>
      <c r="U914" s="361"/>
      <c r="V914" s="361"/>
      <c r="W914" s="361"/>
      <c r="X914" s="361"/>
      <c r="Y914" s="361"/>
      <c r="Z914" s="361"/>
      <c r="AA914" s="361"/>
      <c r="AB914" s="361"/>
      <c r="AC914" s="361"/>
      <c r="AD914" s="361"/>
      <c r="AE914" s="361"/>
      <c r="AF914" s="361"/>
      <c r="AG914" s="361"/>
      <c r="AH914" s="361"/>
      <c r="AI914" s="361"/>
      <c r="AJ914" s="361"/>
      <c r="AK914" s="361"/>
      <c r="AL914" s="361"/>
      <c r="AM914" s="361"/>
      <c r="AN914" s="361"/>
      <c r="AO914" s="361"/>
    </row>
    <row r="915" spans="1:41" s="73" customFormat="1" ht="15" customHeight="1" x14ac:dyDescent="0.25">
      <c r="A915" s="384"/>
      <c r="B915" s="195"/>
      <c r="C915" s="158" t="s">
        <v>748</v>
      </c>
      <c r="D915" s="132"/>
      <c r="E915" s="54" t="s">
        <v>1446</v>
      </c>
      <c r="F915" s="361"/>
      <c r="G915" s="361"/>
      <c r="H915" s="361"/>
      <c r="I915" s="361"/>
      <c r="J915" s="361"/>
      <c r="K915" s="361"/>
      <c r="L915" s="361"/>
      <c r="M915" s="361"/>
      <c r="N915" s="361"/>
      <c r="O915" s="361"/>
      <c r="P915" s="361"/>
      <c r="Q915" s="361"/>
      <c r="R915" s="361"/>
      <c r="S915" s="361"/>
      <c r="T915" s="361"/>
      <c r="U915" s="361"/>
      <c r="V915" s="361"/>
      <c r="W915" s="361"/>
      <c r="X915" s="361"/>
      <c r="Y915" s="361"/>
      <c r="Z915" s="361"/>
      <c r="AA915" s="361"/>
      <c r="AB915" s="361"/>
      <c r="AC915" s="361"/>
      <c r="AD915" s="361"/>
      <c r="AE915" s="361"/>
      <c r="AF915" s="361"/>
      <c r="AG915" s="361"/>
      <c r="AH915" s="361"/>
      <c r="AI915" s="361"/>
      <c r="AJ915" s="361"/>
      <c r="AK915" s="361"/>
      <c r="AL915" s="361"/>
      <c r="AM915" s="361"/>
      <c r="AN915" s="361"/>
      <c r="AO915" s="361"/>
    </row>
    <row r="916" spans="1:41" s="73" customFormat="1" ht="15" customHeight="1" x14ac:dyDescent="0.25">
      <c r="A916" s="384"/>
      <c r="B916" s="195"/>
      <c r="C916" s="158" t="s">
        <v>749</v>
      </c>
      <c r="D916" s="132"/>
      <c r="E916" s="54" t="s">
        <v>1447</v>
      </c>
      <c r="F916" s="361"/>
      <c r="G916" s="361"/>
      <c r="H916" s="361"/>
      <c r="I916" s="361"/>
      <c r="J916" s="361"/>
      <c r="K916" s="361"/>
      <c r="L916" s="361"/>
      <c r="M916" s="361"/>
      <c r="N916" s="361"/>
      <c r="O916" s="361"/>
      <c r="P916" s="361"/>
      <c r="Q916" s="361"/>
      <c r="R916" s="361"/>
      <c r="S916" s="361"/>
      <c r="T916" s="361"/>
      <c r="U916" s="361"/>
      <c r="V916" s="361"/>
      <c r="W916" s="361"/>
      <c r="X916" s="361"/>
      <c r="Y916" s="361"/>
      <c r="Z916" s="361"/>
      <c r="AA916" s="361"/>
      <c r="AB916" s="361"/>
      <c r="AC916" s="361"/>
      <c r="AD916" s="361"/>
      <c r="AE916" s="361"/>
      <c r="AF916" s="361"/>
      <c r="AG916" s="361"/>
      <c r="AH916" s="361"/>
      <c r="AI916" s="361"/>
      <c r="AJ916" s="361"/>
      <c r="AK916" s="361"/>
      <c r="AL916" s="361"/>
      <c r="AM916" s="361"/>
      <c r="AN916" s="361"/>
      <c r="AO916" s="361"/>
    </row>
    <row r="917" spans="1:41" s="73" customFormat="1" ht="15" customHeight="1" x14ac:dyDescent="0.25">
      <c r="A917" s="384"/>
      <c r="B917" s="195"/>
      <c r="C917" s="158" t="s">
        <v>750</v>
      </c>
      <c r="D917" s="132"/>
      <c r="E917" s="54" t="s">
        <v>1448</v>
      </c>
      <c r="F917" s="361"/>
      <c r="G917" s="361"/>
      <c r="H917" s="361"/>
      <c r="I917" s="361"/>
      <c r="J917" s="361"/>
      <c r="K917" s="361"/>
      <c r="L917" s="361"/>
      <c r="M917" s="361"/>
      <c r="N917" s="361"/>
      <c r="O917" s="361"/>
      <c r="P917" s="361"/>
      <c r="Q917" s="361"/>
      <c r="R917" s="361"/>
      <c r="S917" s="361"/>
      <c r="T917" s="361"/>
      <c r="U917" s="361"/>
      <c r="V917" s="361"/>
      <c r="W917" s="361"/>
      <c r="X917" s="361"/>
      <c r="Y917" s="361"/>
      <c r="Z917" s="361"/>
      <c r="AA917" s="361"/>
      <c r="AB917" s="361"/>
      <c r="AC917" s="361"/>
      <c r="AD917" s="361"/>
      <c r="AE917" s="361"/>
      <c r="AF917" s="361"/>
      <c r="AG917" s="361"/>
      <c r="AH917" s="361"/>
      <c r="AI917" s="361"/>
      <c r="AJ917" s="361"/>
      <c r="AK917" s="361"/>
      <c r="AL917" s="361"/>
      <c r="AM917" s="361"/>
      <c r="AN917" s="361"/>
      <c r="AO917" s="361"/>
    </row>
    <row r="918" spans="1:41" s="108" customFormat="1" ht="15" customHeight="1" x14ac:dyDescent="0.25">
      <c r="A918" s="384"/>
      <c r="B918" s="195"/>
      <c r="C918" s="157" t="s">
        <v>1546</v>
      </c>
      <c r="D918" s="171"/>
      <c r="E918" s="156" t="s">
        <v>1563</v>
      </c>
      <c r="F918" s="360"/>
      <c r="G918" s="360"/>
      <c r="H918" s="360"/>
      <c r="I918" s="360" t="s">
        <v>1566</v>
      </c>
      <c r="J918" s="360"/>
      <c r="K918" s="360"/>
      <c r="L918" s="360"/>
      <c r="M918" s="360"/>
      <c r="N918" s="360"/>
      <c r="O918" s="360"/>
      <c r="P918" s="360"/>
      <c r="Q918" s="360"/>
      <c r="R918" s="360"/>
      <c r="S918" s="360"/>
      <c r="T918" s="360"/>
      <c r="U918" s="360"/>
      <c r="V918" s="360"/>
      <c r="W918" s="360"/>
      <c r="X918" s="360"/>
      <c r="Y918" s="360"/>
      <c r="Z918" s="360"/>
      <c r="AA918" s="360"/>
      <c r="AB918" s="360"/>
      <c r="AC918" s="360"/>
      <c r="AD918" s="360"/>
      <c r="AE918" s="360"/>
      <c r="AF918" s="360"/>
      <c r="AG918" s="360"/>
      <c r="AH918" s="360"/>
      <c r="AI918" s="360"/>
      <c r="AJ918" s="360"/>
      <c r="AK918" s="360"/>
      <c r="AL918" s="360"/>
      <c r="AM918" s="360"/>
      <c r="AN918" s="360"/>
      <c r="AO918" s="360"/>
    </row>
    <row r="919" spans="1:41" s="73" customFormat="1" ht="15" customHeight="1" x14ac:dyDescent="0.25">
      <c r="A919" s="384"/>
      <c r="B919" s="195"/>
      <c r="C919" s="158" t="s">
        <v>616</v>
      </c>
      <c r="D919" s="132"/>
      <c r="E919" s="54" t="s">
        <v>1449</v>
      </c>
      <c r="F919" s="361"/>
      <c r="G919" s="361"/>
      <c r="H919" s="361"/>
      <c r="I919" s="361"/>
      <c r="J919" s="361"/>
      <c r="K919" s="361"/>
      <c r="L919" s="361"/>
      <c r="M919" s="361"/>
      <c r="N919" s="361"/>
      <c r="O919" s="361"/>
      <c r="P919" s="361"/>
      <c r="Q919" s="361"/>
      <c r="R919" s="361"/>
      <c r="S919" s="361"/>
      <c r="T919" s="361"/>
      <c r="U919" s="361"/>
      <c r="V919" s="361"/>
      <c r="W919" s="361"/>
      <c r="X919" s="361"/>
      <c r="Y919" s="361"/>
      <c r="Z919" s="361"/>
      <c r="AA919" s="361"/>
      <c r="AB919" s="361"/>
      <c r="AC919" s="361"/>
      <c r="AD919" s="361"/>
      <c r="AE919" s="361"/>
      <c r="AF919" s="361"/>
      <c r="AG919" s="361"/>
      <c r="AH919" s="361"/>
      <c r="AI919" s="361"/>
      <c r="AJ919" s="361"/>
      <c r="AK919" s="361"/>
      <c r="AL919" s="361"/>
      <c r="AM919" s="361"/>
      <c r="AN919" s="361"/>
      <c r="AO919" s="361"/>
    </row>
    <row r="920" spans="1:41" s="73" customFormat="1" ht="15" customHeight="1" x14ac:dyDescent="0.25">
      <c r="A920" s="384"/>
      <c r="B920" s="195"/>
      <c r="C920" s="158" t="s">
        <v>617</v>
      </c>
      <c r="D920" s="132"/>
      <c r="E920" s="54" t="s">
        <v>1450</v>
      </c>
      <c r="F920" s="361"/>
      <c r="G920" s="361"/>
      <c r="H920" s="361"/>
      <c r="I920" s="361"/>
      <c r="J920" s="361"/>
      <c r="K920" s="361"/>
      <c r="L920" s="361"/>
      <c r="M920" s="361"/>
      <c r="N920" s="361"/>
      <c r="O920" s="361"/>
      <c r="P920" s="361"/>
      <c r="Q920" s="361"/>
      <c r="R920" s="361"/>
      <c r="S920" s="361"/>
      <c r="T920" s="361"/>
      <c r="U920" s="361"/>
      <c r="V920" s="361"/>
      <c r="W920" s="361"/>
      <c r="X920" s="361"/>
      <c r="Y920" s="361"/>
      <c r="Z920" s="361"/>
      <c r="AA920" s="361"/>
      <c r="AB920" s="361"/>
      <c r="AC920" s="361"/>
      <c r="AD920" s="361"/>
      <c r="AE920" s="361"/>
      <c r="AF920" s="361"/>
      <c r="AG920" s="361"/>
      <c r="AH920" s="361"/>
      <c r="AI920" s="361"/>
      <c r="AJ920" s="361"/>
      <c r="AK920" s="361"/>
      <c r="AL920" s="361"/>
      <c r="AM920" s="361"/>
      <c r="AN920" s="361"/>
      <c r="AO920" s="361"/>
    </row>
    <row r="921" spans="1:41" s="73" customFormat="1" ht="15" customHeight="1" x14ac:dyDescent="0.25">
      <c r="A921" s="384"/>
      <c r="B921" s="195"/>
      <c r="C921" s="158" t="s">
        <v>618</v>
      </c>
      <c r="D921" s="132"/>
      <c r="E921" s="54" t="s">
        <v>1451</v>
      </c>
      <c r="F921" s="361"/>
      <c r="G921" s="361"/>
      <c r="H921" s="361"/>
      <c r="I921" s="361"/>
      <c r="J921" s="361"/>
      <c r="K921" s="361"/>
      <c r="L921" s="361"/>
      <c r="M921" s="361"/>
      <c r="N921" s="361"/>
      <c r="O921" s="361"/>
      <c r="P921" s="361"/>
      <c r="Q921" s="361"/>
      <c r="R921" s="361"/>
      <c r="S921" s="361"/>
      <c r="T921" s="361"/>
      <c r="U921" s="361"/>
      <c r="V921" s="361"/>
      <c r="W921" s="361"/>
      <c r="X921" s="361"/>
      <c r="Y921" s="361"/>
      <c r="Z921" s="361"/>
      <c r="AA921" s="361"/>
      <c r="AB921" s="361"/>
      <c r="AC921" s="361"/>
      <c r="AD921" s="361"/>
      <c r="AE921" s="361"/>
      <c r="AF921" s="361"/>
      <c r="AG921" s="361"/>
      <c r="AH921" s="361"/>
      <c r="AI921" s="361"/>
      <c r="AJ921" s="361"/>
      <c r="AK921" s="361"/>
      <c r="AL921" s="361"/>
      <c r="AM921" s="361"/>
      <c r="AN921" s="361"/>
      <c r="AO921" s="361"/>
    </row>
    <row r="922" spans="1:41" s="73" customFormat="1" ht="15" customHeight="1" x14ac:dyDescent="0.25">
      <c r="A922" s="384"/>
      <c r="B922" s="195"/>
      <c r="C922" s="158" t="s">
        <v>619</v>
      </c>
      <c r="D922" s="132"/>
      <c r="E922" s="54" t="s">
        <v>1452</v>
      </c>
      <c r="F922" s="361"/>
      <c r="G922" s="361"/>
      <c r="H922" s="361"/>
      <c r="I922" s="361"/>
      <c r="J922" s="361"/>
      <c r="K922" s="361"/>
      <c r="L922" s="361"/>
      <c r="M922" s="361"/>
      <c r="N922" s="361"/>
      <c r="O922" s="361"/>
      <c r="P922" s="361"/>
      <c r="Q922" s="361"/>
      <c r="R922" s="361"/>
      <c r="S922" s="361"/>
      <c r="T922" s="361"/>
      <c r="U922" s="361"/>
      <c r="V922" s="361"/>
      <c r="W922" s="361"/>
      <c r="X922" s="361"/>
      <c r="Y922" s="361"/>
      <c r="Z922" s="361"/>
      <c r="AA922" s="361"/>
      <c r="AB922" s="361"/>
      <c r="AC922" s="361"/>
      <c r="AD922" s="361"/>
      <c r="AE922" s="361"/>
      <c r="AF922" s="361"/>
      <c r="AG922" s="361"/>
      <c r="AH922" s="361"/>
      <c r="AI922" s="361"/>
      <c r="AJ922" s="361"/>
      <c r="AK922" s="361"/>
      <c r="AL922" s="361"/>
      <c r="AM922" s="361"/>
      <c r="AN922" s="361"/>
      <c r="AO922" s="361"/>
    </row>
    <row r="923" spans="1:41" s="108" customFormat="1" ht="15" customHeight="1" x14ac:dyDescent="0.25">
      <c r="A923" s="384"/>
      <c r="B923" s="195"/>
      <c r="C923" s="157" t="s">
        <v>1547</v>
      </c>
      <c r="D923" s="171"/>
      <c r="E923" s="156" t="s">
        <v>1568</v>
      </c>
      <c r="F923" s="360"/>
      <c r="G923" s="360"/>
      <c r="H923" s="360"/>
      <c r="I923" s="360" t="s">
        <v>1572</v>
      </c>
      <c r="J923" s="360"/>
      <c r="K923" s="360"/>
      <c r="L923" s="360"/>
      <c r="M923" s="360"/>
      <c r="N923" s="360"/>
      <c r="O923" s="360"/>
      <c r="P923" s="360"/>
      <c r="Q923" s="360"/>
      <c r="R923" s="360"/>
      <c r="S923" s="360"/>
      <c r="T923" s="360"/>
      <c r="U923" s="360"/>
      <c r="V923" s="360"/>
      <c r="W923" s="360"/>
      <c r="X923" s="360"/>
      <c r="Y923" s="360"/>
      <c r="Z923" s="360"/>
      <c r="AA923" s="360"/>
      <c r="AB923" s="360"/>
      <c r="AC923" s="360"/>
      <c r="AD923" s="360"/>
      <c r="AE923" s="360"/>
      <c r="AF923" s="360"/>
      <c r="AG923" s="360"/>
      <c r="AH923" s="360"/>
      <c r="AI923" s="360"/>
      <c r="AJ923" s="360"/>
      <c r="AK923" s="360"/>
      <c r="AL923" s="360"/>
      <c r="AM923" s="360"/>
      <c r="AN923" s="360"/>
      <c r="AO923" s="360"/>
    </row>
    <row r="924" spans="1:41" s="73" customFormat="1" ht="15" customHeight="1" x14ac:dyDescent="0.25">
      <c r="A924" s="384"/>
      <c r="B924" s="195"/>
      <c r="C924" s="158" t="s">
        <v>620</v>
      </c>
      <c r="D924" s="132"/>
      <c r="E924" s="54" t="s">
        <v>1453</v>
      </c>
      <c r="F924" s="361"/>
      <c r="G924" s="361"/>
      <c r="H924" s="361"/>
      <c r="I924" s="361"/>
      <c r="J924" s="361"/>
      <c r="K924" s="361"/>
      <c r="L924" s="361"/>
      <c r="M924" s="361"/>
      <c r="N924" s="361"/>
      <c r="O924" s="361"/>
      <c r="P924" s="361"/>
      <c r="Q924" s="361"/>
      <c r="R924" s="361"/>
      <c r="S924" s="361"/>
      <c r="T924" s="361"/>
      <c r="U924" s="361"/>
      <c r="V924" s="361"/>
      <c r="W924" s="361"/>
      <c r="X924" s="361"/>
      <c r="Y924" s="361"/>
      <c r="Z924" s="361"/>
      <c r="AA924" s="361"/>
      <c r="AB924" s="361"/>
      <c r="AC924" s="361"/>
      <c r="AD924" s="361"/>
      <c r="AE924" s="361"/>
      <c r="AF924" s="361"/>
      <c r="AG924" s="361"/>
      <c r="AH924" s="361"/>
      <c r="AI924" s="361"/>
      <c r="AJ924" s="361"/>
      <c r="AK924" s="361"/>
      <c r="AL924" s="361"/>
      <c r="AM924" s="361"/>
      <c r="AN924" s="361"/>
      <c r="AO924" s="361"/>
    </row>
    <row r="925" spans="1:41" s="73" customFormat="1" ht="15" customHeight="1" x14ac:dyDescent="0.25">
      <c r="A925" s="384"/>
      <c r="B925" s="195"/>
      <c r="C925" s="158" t="s">
        <v>621</v>
      </c>
      <c r="D925" s="132"/>
      <c r="E925" s="54" t="s">
        <v>1454</v>
      </c>
      <c r="F925" s="361"/>
      <c r="G925" s="361"/>
      <c r="H925" s="361"/>
      <c r="I925" s="361"/>
      <c r="J925" s="361"/>
      <c r="K925" s="361"/>
      <c r="L925" s="361"/>
      <c r="M925" s="361"/>
      <c r="N925" s="361"/>
      <c r="O925" s="361"/>
      <c r="P925" s="361"/>
      <c r="Q925" s="361"/>
      <c r="R925" s="361"/>
      <c r="S925" s="361"/>
      <c r="T925" s="361"/>
      <c r="U925" s="361"/>
      <c r="V925" s="361"/>
      <c r="W925" s="361"/>
      <c r="X925" s="361"/>
      <c r="Y925" s="361"/>
      <c r="Z925" s="361"/>
      <c r="AA925" s="361"/>
      <c r="AB925" s="361"/>
      <c r="AC925" s="361"/>
      <c r="AD925" s="361"/>
      <c r="AE925" s="361"/>
      <c r="AF925" s="361"/>
      <c r="AG925" s="361"/>
      <c r="AH925" s="361"/>
      <c r="AI925" s="361"/>
      <c r="AJ925" s="361"/>
      <c r="AK925" s="361"/>
      <c r="AL925" s="361"/>
      <c r="AM925" s="361"/>
      <c r="AN925" s="361"/>
      <c r="AO925" s="361"/>
    </row>
    <row r="926" spans="1:41" s="108" customFormat="1" ht="15" customHeight="1" x14ac:dyDescent="0.25">
      <c r="A926" s="384"/>
      <c r="B926" s="195"/>
      <c r="C926" s="157" t="s">
        <v>1548</v>
      </c>
      <c r="D926" s="171"/>
      <c r="E926" s="156" t="s">
        <v>1569</v>
      </c>
      <c r="F926" s="360"/>
      <c r="G926" s="360"/>
      <c r="H926" s="360"/>
      <c r="I926" s="360" t="s">
        <v>1573</v>
      </c>
      <c r="J926" s="360"/>
      <c r="K926" s="360"/>
      <c r="L926" s="360"/>
      <c r="M926" s="360"/>
      <c r="N926" s="360"/>
      <c r="O926" s="360"/>
      <c r="P926" s="360"/>
      <c r="Q926" s="360"/>
      <c r="R926" s="360"/>
      <c r="S926" s="360"/>
      <c r="T926" s="360"/>
      <c r="U926" s="360"/>
      <c r="V926" s="360"/>
      <c r="W926" s="360"/>
      <c r="X926" s="360"/>
      <c r="Y926" s="360"/>
      <c r="Z926" s="360"/>
      <c r="AA926" s="360"/>
      <c r="AB926" s="360"/>
      <c r="AC926" s="360"/>
      <c r="AD926" s="360"/>
      <c r="AE926" s="360"/>
      <c r="AF926" s="360"/>
      <c r="AG926" s="360"/>
      <c r="AH926" s="360"/>
      <c r="AI926" s="360"/>
      <c r="AJ926" s="360"/>
      <c r="AK926" s="360"/>
      <c r="AL926" s="360"/>
      <c r="AM926" s="360"/>
      <c r="AN926" s="360"/>
      <c r="AO926" s="360"/>
    </row>
    <row r="927" spans="1:41" s="73" customFormat="1" ht="15" customHeight="1" x14ac:dyDescent="0.25">
      <c r="A927" s="384"/>
      <c r="B927" s="195"/>
      <c r="C927" s="158" t="s">
        <v>466</v>
      </c>
      <c r="D927" s="132"/>
      <c r="E927" s="54" t="s">
        <v>1455</v>
      </c>
      <c r="F927" s="361"/>
      <c r="G927" s="361"/>
      <c r="H927" s="361"/>
      <c r="I927" s="361"/>
      <c r="J927" s="361"/>
      <c r="K927" s="361"/>
      <c r="L927" s="361"/>
      <c r="M927" s="361"/>
      <c r="N927" s="361"/>
      <c r="O927" s="361"/>
      <c r="P927" s="361"/>
      <c r="Q927" s="361"/>
      <c r="R927" s="361"/>
      <c r="S927" s="361"/>
      <c r="T927" s="361"/>
      <c r="U927" s="361"/>
      <c r="V927" s="361"/>
      <c r="W927" s="361"/>
      <c r="X927" s="361"/>
      <c r="Y927" s="361"/>
      <c r="Z927" s="361"/>
      <c r="AA927" s="361"/>
      <c r="AB927" s="361"/>
      <c r="AC927" s="361"/>
      <c r="AD927" s="361"/>
      <c r="AE927" s="361"/>
      <c r="AF927" s="361"/>
      <c r="AG927" s="361"/>
      <c r="AH927" s="361"/>
      <c r="AI927" s="361"/>
      <c r="AJ927" s="361"/>
      <c r="AK927" s="361"/>
      <c r="AL927" s="361"/>
      <c r="AM927" s="361"/>
      <c r="AN927" s="361"/>
      <c r="AO927" s="361"/>
    </row>
    <row r="928" spans="1:41" s="73" customFormat="1" ht="15" customHeight="1" x14ac:dyDescent="0.25">
      <c r="A928" s="384"/>
      <c r="B928" s="195"/>
      <c r="C928" s="158" t="s">
        <v>467</v>
      </c>
      <c r="D928" s="132"/>
      <c r="E928" s="54" t="s">
        <v>1456</v>
      </c>
      <c r="F928" s="361"/>
      <c r="G928" s="361"/>
      <c r="H928" s="361"/>
      <c r="I928" s="361"/>
      <c r="J928" s="361"/>
      <c r="K928" s="361"/>
      <c r="L928" s="361"/>
      <c r="M928" s="361"/>
      <c r="N928" s="361"/>
      <c r="O928" s="361"/>
      <c r="P928" s="361"/>
      <c r="Q928" s="361"/>
      <c r="R928" s="361"/>
      <c r="S928" s="361"/>
      <c r="T928" s="361"/>
      <c r="U928" s="361"/>
      <c r="V928" s="361"/>
      <c r="W928" s="361"/>
      <c r="X928" s="361"/>
      <c r="Y928" s="361"/>
      <c r="Z928" s="361"/>
      <c r="AA928" s="361"/>
      <c r="AB928" s="361"/>
      <c r="AC928" s="361"/>
      <c r="AD928" s="361"/>
      <c r="AE928" s="361"/>
      <c r="AF928" s="361"/>
      <c r="AG928" s="361"/>
      <c r="AH928" s="361"/>
      <c r="AI928" s="361"/>
      <c r="AJ928" s="361"/>
      <c r="AK928" s="361"/>
      <c r="AL928" s="361"/>
      <c r="AM928" s="361"/>
      <c r="AN928" s="361"/>
      <c r="AO928" s="361"/>
    </row>
    <row r="929" spans="1:41" s="73" customFormat="1" ht="15" customHeight="1" x14ac:dyDescent="0.25">
      <c r="A929" s="384"/>
      <c r="B929" s="195"/>
      <c r="C929" s="158" t="s">
        <v>470</v>
      </c>
      <c r="D929" s="132"/>
      <c r="E929" s="54" t="s">
        <v>1457</v>
      </c>
      <c r="F929" s="361"/>
      <c r="G929" s="361"/>
      <c r="H929" s="361"/>
      <c r="I929" s="361"/>
      <c r="J929" s="361"/>
      <c r="K929" s="361"/>
      <c r="L929" s="361"/>
      <c r="M929" s="361"/>
      <c r="N929" s="361"/>
      <c r="O929" s="361"/>
      <c r="P929" s="361"/>
      <c r="Q929" s="361"/>
      <c r="R929" s="361"/>
      <c r="S929" s="361"/>
      <c r="T929" s="361"/>
      <c r="U929" s="361"/>
      <c r="V929" s="361"/>
      <c r="W929" s="361"/>
      <c r="X929" s="361"/>
      <c r="Y929" s="361"/>
      <c r="Z929" s="361"/>
      <c r="AA929" s="361"/>
      <c r="AB929" s="361"/>
      <c r="AC929" s="361"/>
      <c r="AD929" s="361"/>
      <c r="AE929" s="361"/>
      <c r="AF929" s="361"/>
      <c r="AG929" s="361"/>
      <c r="AH929" s="361"/>
      <c r="AI929" s="361"/>
      <c r="AJ929" s="361"/>
      <c r="AK929" s="361"/>
      <c r="AL929" s="361"/>
      <c r="AM929" s="361"/>
      <c r="AN929" s="361"/>
      <c r="AO929" s="361"/>
    </row>
    <row r="930" spans="1:41" s="73" customFormat="1" ht="15" customHeight="1" x14ac:dyDescent="0.25">
      <c r="A930" s="384"/>
      <c r="B930" s="195"/>
      <c r="C930" s="158" t="s">
        <v>471</v>
      </c>
      <c r="D930" s="132"/>
      <c r="E930" s="54" t="s">
        <v>1458</v>
      </c>
      <c r="F930" s="361"/>
      <c r="G930" s="361"/>
      <c r="H930" s="361"/>
      <c r="I930" s="361"/>
      <c r="J930" s="361"/>
      <c r="K930" s="361"/>
      <c r="L930" s="361"/>
      <c r="M930" s="361"/>
      <c r="N930" s="361"/>
      <c r="O930" s="361"/>
      <c r="P930" s="361"/>
      <c r="Q930" s="361"/>
      <c r="R930" s="361"/>
      <c r="S930" s="361"/>
      <c r="T930" s="361"/>
      <c r="U930" s="361"/>
      <c r="V930" s="361"/>
      <c r="W930" s="361"/>
      <c r="X930" s="361"/>
      <c r="Y930" s="361"/>
      <c r="Z930" s="361"/>
      <c r="AA930" s="361"/>
      <c r="AB930" s="361"/>
      <c r="AC930" s="361"/>
      <c r="AD930" s="361"/>
      <c r="AE930" s="361"/>
      <c r="AF930" s="361"/>
      <c r="AG930" s="361"/>
      <c r="AH930" s="361"/>
      <c r="AI930" s="361"/>
      <c r="AJ930" s="361"/>
      <c r="AK930" s="361"/>
      <c r="AL930" s="361"/>
      <c r="AM930" s="361"/>
      <c r="AN930" s="361"/>
      <c r="AO930" s="361"/>
    </row>
    <row r="931" spans="1:41" s="108" customFormat="1" ht="15" customHeight="1" x14ac:dyDescent="0.25">
      <c r="A931" s="384"/>
      <c r="B931" s="195"/>
      <c r="C931" s="157" t="s">
        <v>1549</v>
      </c>
      <c r="D931" s="171"/>
      <c r="E931" s="156" t="s">
        <v>1570</v>
      </c>
      <c r="F931" s="360"/>
      <c r="G931" s="360"/>
      <c r="H931" s="360"/>
      <c r="I931" s="360" t="s">
        <v>1574</v>
      </c>
      <c r="J931" s="360"/>
      <c r="K931" s="360"/>
      <c r="L931" s="360"/>
      <c r="M931" s="360"/>
      <c r="N931" s="360"/>
      <c r="O931" s="360"/>
      <c r="P931" s="360"/>
      <c r="Q931" s="360"/>
      <c r="R931" s="360"/>
      <c r="S931" s="360"/>
      <c r="T931" s="360"/>
      <c r="U931" s="360"/>
      <c r="V931" s="360"/>
      <c r="W931" s="360"/>
      <c r="X931" s="360"/>
      <c r="Y931" s="360"/>
      <c r="Z931" s="360"/>
      <c r="AA931" s="360"/>
      <c r="AB931" s="360"/>
      <c r="AC931" s="360"/>
      <c r="AD931" s="360"/>
      <c r="AE931" s="360"/>
      <c r="AF931" s="360"/>
      <c r="AG931" s="360"/>
      <c r="AH931" s="360"/>
      <c r="AI931" s="360"/>
      <c r="AJ931" s="360"/>
      <c r="AK931" s="360"/>
      <c r="AL931" s="360"/>
      <c r="AM931" s="360"/>
      <c r="AN931" s="360"/>
      <c r="AO931" s="360"/>
    </row>
    <row r="932" spans="1:41" s="73" customFormat="1" ht="15" customHeight="1" x14ac:dyDescent="0.25">
      <c r="A932" s="384"/>
      <c r="B932" s="195"/>
      <c r="C932" s="158" t="s">
        <v>474</v>
      </c>
      <c r="D932" s="132"/>
      <c r="E932" s="54" t="s">
        <v>1459</v>
      </c>
      <c r="F932" s="361"/>
      <c r="G932" s="361"/>
      <c r="H932" s="361"/>
      <c r="I932" s="361"/>
      <c r="J932" s="361"/>
      <c r="K932" s="361"/>
      <c r="L932" s="361"/>
      <c r="M932" s="361"/>
      <c r="N932" s="361"/>
      <c r="O932" s="361"/>
      <c r="P932" s="361"/>
      <c r="Q932" s="361"/>
      <c r="R932" s="361"/>
      <c r="S932" s="361"/>
      <c r="T932" s="361"/>
      <c r="U932" s="361"/>
      <c r="V932" s="361"/>
      <c r="W932" s="361"/>
      <c r="X932" s="361"/>
      <c r="Y932" s="361"/>
      <c r="Z932" s="361"/>
      <c r="AA932" s="361"/>
      <c r="AB932" s="361"/>
      <c r="AC932" s="361"/>
      <c r="AD932" s="361"/>
      <c r="AE932" s="361"/>
      <c r="AF932" s="361"/>
      <c r="AG932" s="361"/>
      <c r="AH932" s="361"/>
      <c r="AI932" s="361"/>
      <c r="AJ932" s="361"/>
      <c r="AK932" s="361"/>
      <c r="AL932" s="361"/>
      <c r="AM932" s="361"/>
      <c r="AN932" s="361"/>
      <c r="AO932" s="361"/>
    </row>
    <row r="933" spans="1:41" s="73" customFormat="1" ht="15" customHeight="1" x14ac:dyDescent="0.25">
      <c r="A933" s="384"/>
      <c r="B933" s="195"/>
      <c r="C933" s="158" t="s">
        <v>475</v>
      </c>
      <c r="D933" s="132"/>
      <c r="E933" s="54" t="s">
        <v>1460</v>
      </c>
      <c r="F933" s="361"/>
      <c r="G933" s="361"/>
      <c r="H933" s="361"/>
      <c r="I933" s="361"/>
      <c r="J933" s="361"/>
      <c r="K933" s="361"/>
      <c r="L933" s="361"/>
      <c r="M933" s="361"/>
      <c r="N933" s="361"/>
      <c r="O933" s="361"/>
      <c r="P933" s="361"/>
      <c r="Q933" s="361"/>
      <c r="R933" s="361"/>
      <c r="S933" s="361"/>
      <c r="T933" s="361"/>
      <c r="U933" s="361"/>
      <c r="V933" s="361"/>
      <c r="W933" s="361"/>
      <c r="X933" s="361"/>
      <c r="Y933" s="361"/>
      <c r="Z933" s="361"/>
      <c r="AA933" s="361"/>
      <c r="AB933" s="361"/>
      <c r="AC933" s="361"/>
      <c r="AD933" s="361"/>
      <c r="AE933" s="361"/>
      <c r="AF933" s="361"/>
      <c r="AG933" s="361"/>
      <c r="AH933" s="361"/>
      <c r="AI933" s="361"/>
      <c r="AJ933" s="361"/>
      <c r="AK933" s="361"/>
      <c r="AL933" s="361"/>
      <c r="AM933" s="361"/>
      <c r="AN933" s="361"/>
      <c r="AO933" s="361"/>
    </row>
    <row r="934" spans="1:41" s="73" customFormat="1" ht="15" customHeight="1" x14ac:dyDescent="0.25">
      <c r="A934" s="384"/>
      <c r="B934" s="195"/>
      <c r="C934" s="158" t="s">
        <v>476</v>
      </c>
      <c r="D934" s="132"/>
      <c r="E934" s="54" t="s">
        <v>1461</v>
      </c>
      <c r="F934" s="361"/>
      <c r="G934" s="361"/>
      <c r="H934" s="361"/>
      <c r="I934" s="361"/>
      <c r="J934" s="361"/>
      <c r="K934" s="361"/>
      <c r="L934" s="361"/>
      <c r="M934" s="361"/>
      <c r="N934" s="361"/>
      <c r="O934" s="361"/>
      <c r="P934" s="361"/>
      <c r="Q934" s="361"/>
      <c r="R934" s="361"/>
      <c r="S934" s="361"/>
      <c r="T934" s="361"/>
      <c r="U934" s="361"/>
      <c r="V934" s="361"/>
      <c r="W934" s="361"/>
      <c r="X934" s="361"/>
      <c r="Y934" s="361"/>
      <c r="Z934" s="361"/>
      <c r="AA934" s="361"/>
      <c r="AB934" s="361"/>
      <c r="AC934" s="361"/>
      <c r="AD934" s="361"/>
      <c r="AE934" s="361"/>
      <c r="AF934" s="361"/>
      <c r="AG934" s="361"/>
      <c r="AH934" s="361"/>
      <c r="AI934" s="361"/>
      <c r="AJ934" s="361"/>
      <c r="AK934" s="361"/>
      <c r="AL934" s="361"/>
      <c r="AM934" s="361"/>
      <c r="AN934" s="361"/>
      <c r="AO934" s="361"/>
    </row>
    <row r="935" spans="1:41" s="73" customFormat="1" ht="15" customHeight="1" x14ac:dyDescent="0.25">
      <c r="A935" s="384"/>
      <c r="B935" s="195"/>
      <c r="C935" s="158" t="s">
        <v>477</v>
      </c>
      <c r="D935" s="132"/>
      <c r="E935" s="54" t="s">
        <v>1466</v>
      </c>
      <c r="F935" s="361"/>
      <c r="G935" s="361"/>
      <c r="H935" s="361"/>
      <c r="I935" s="361"/>
      <c r="J935" s="361"/>
      <c r="K935" s="361"/>
      <c r="L935" s="361"/>
      <c r="M935" s="361"/>
      <c r="N935" s="361"/>
      <c r="O935" s="361"/>
      <c r="P935" s="361"/>
      <c r="Q935" s="361"/>
      <c r="R935" s="361"/>
      <c r="S935" s="361"/>
      <c r="T935" s="361"/>
      <c r="U935" s="361"/>
      <c r="V935" s="361"/>
      <c r="W935" s="361"/>
      <c r="X935" s="361"/>
      <c r="Y935" s="361"/>
      <c r="Z935" s="361"/>
      <c r="AA935" s="361"/>
      <c r="AB935" s="361"/>
      <c r="AC935" s="361"/>
      <c r="AD935" s="361"/>
      <c r="AE935" s="361"/>
      <c r="AF935" s="361"/>
      <c r="AG935" s="361"/>
      <c r="AH935" s="361"/>
      <c r="AI935" s="361"/>
      <c r="AJ935" s="361"/>
      <c r="AK935" s="361"/>
      <c r="AL935" s="361"/>
      <c r="AM935" s="361"/>
      <c r="AN935" s="361"/>
      <c r="AO935" s="361"/>
    </row>
    <row r="936" spans="1:41" s="73" customFormat="1" ht="15" customHeight="1" x14ac:dyDescent="0.25">
      <c r="A936" s="384"/>
      <c r="B936" s="195"/>
      <c r="C936" s="158" t="s">
        <v>478</v>
      </c>
      <c r="D936" s="132"/>
      <c r="E936" s="54" t="s">
        <v>1462</v>
      </c>
      <c r="F936" s="361"/>
      <c r="G936" s="361"/>
      <c r="H936" s="361"/>
      <c r="I936" s="361"/>
      <c r="J936" s="361"/>
      <c r="K936" s="361"/>
      <c r="L936" s="361"/>
      <c r="M936" s="361"/>
      <c r="N936" s="361"/>
      <c r="O936" s="361"/>
      <c r="P936" s="361"/>
      <c r="Q936" s="361"/>
      <c r="R936" s="361"/>
      <c r="S936" s="361"/>
      <c r="T936" s="361"/>
      <c r="U936" s="361"/>
      <c r="V936" s="361"/>
      <c r="W936" s="361"/>
      <c r="X936" s="361"/>
      <c r="Y936" s="361"/>
      <c r="Z936" s="361"/>
      <c r="AA936" s="361"/>
      <c r="AB936" s="361"/>
      <c r="AC936" s="361"/>
      <c r="AD936" s="361"/>
      <c r="AE936" s="361"/>
      <c r="AF936" s="361"/>
      <c r="AG936" s="361"/>
      <c r="AH936" s="361"/>
      <c r="AI936" s="361"/>
      <c r="AJ936" s="361"/>
      <c r="AK936" s="361"/>
      <c r="AL936" s="361"/>
      <c r="AM936" s="361"/>
      <c r="AN936" s="361"/>
      <c r="AO936" s="361"/>
    </row>
    <row r="937" spans="1:41" s="73" customFormat="1" ht="15" customHeight="1" x14ac:dyDescent="0.25">
      <c r="A937" s="384"/>
      <c r="B937" s="195"/>
      <c r="C937" s="158" t="s">
        <v>479</v>
      </c>
      <c r="D937" s="132"/>
      <c r="E937" s="54" t="s">
        <v>1463</v>
      </c>
      <c r="F937" s="361"/>
      <c r="G937" s="361"/>
      <c r="H937" s="361"/>
      <c r="I937" s="361"/>
      <c r="J937" s="361"/>
      <c r="K937" s="361"/>
      <c r="L937" s="361"/>
      <c r="M937" s="361"/>
      <c r="N937" s="361"/>
      <c r="O937" s="361"/>
      <c r="P937" s="361"/>
      <c r="Q937" s="361"/>
      <c r="R937" s="361"/>
      <c r="S937" s="361"/>
      <c r="T937" s="361"/>
      <c r="U937" s="361"/>
      <c r="V937" s="361"/>
      <c r="W937" s="361"/>
      <c r="X937" s="361"/>
      <c r="Y937" s="361"/>
      <c r="Z937" s="361"/>
      <c r="AA937" s="361"/>
      <c r="AB937" s="361"/>
      <c r="AC937" s="361"/>
      <c r="AD937" s="361"/>
      <c r="AE937" s="361"/>
      <c r="AF937" s="361"/>
      <c r="AG937" s="361"/>
      <c r="AH937" s="361"/>
      <c r="AI937" s="361"/>
      <c r="AJ937" s="361"/>
      <c r="AK937" s="361"/>
      <c r="AL937" s="361"/>
      <c r="AM937" s="361"/>
      <c r="AN937" s="361"/>
      <c r="AO937" s="361"/>
    </row>
    <row r="938" spans="1:41" s="73" customFormat="1" ht="15" customHeight="1" x14ac:dyDescent="0.25">
      <c r="A938" s="384"/>
      <c r="B938" s="195"/>
      <c r="C938" s="158" t="s">
        <v>480</v>
      </c>
      <c r="D938" s="132"/>
      <c r="E938" s="54" t="s">
        <v>1464</v>
      </c>
      <c r="F938" s="361"/>
      <c r="G938" s="361"/>
      <c r="H938" s="361"/>
      <c r="I938" s="361"/>
      <c r="J938" s="361"/>
      <c r="K938" s="361"/>
      <c r="L938" s="361"/>
      <c r="M938" s="361"/>
      <c r="N938" s="361"/>
      <c r="O938" s="361"/>
      <c r="P938" s="361"/>
      <c r="Q938" s="361"/>
      <c r="R938" s="361"/>
      <c r="S938" s="361"/>
      <c r="T938" s="361"/>
      <c r="U938" s="361"/>
      <c r="V938" s="361"/>
      <c r="W938" s="361"/>
      <c r="X938" s="361"/>
      <c r="Y938" s="361"/>
      <c r="Z938" s="361"/>
      <c r="AA938" s="361"/>
      <c r="AB938" s="361"/>
      <c r="AC938" s="361"/>
      <c r="AD938" s="361"/>
      <c r="AE938" s="361"/>
      <c r="AF938" s="361"/>
      <c r="AG938" s="361"/>
      <c r="AH938" s="361"/>
      <c r="AI938" s="361"/>
      <c r="AJ938" s="361"/>
      <c r="AK938" s="361"/>
      <c r="AL938" s="361"/>
      <c r="AM938" s="361"/>
      <c r="AN938" s="361"/>
      <c r="AO938" s="361"/>
    </row>
    <row r="939" spans="1:41" s="73" customFormat="1" ht="15" customHeight="1" x14ac:dyDescent="0.25">
      <c r="A939" s="384"/>
      <c r="B939" s="195"/>
      <c r="C939" s="158" t="s">
        <v>481</v>
      </c>
      <c r="D939" s="132"/>
      <c r="E939" s="54" t="s">
        <v>1467</v>
      </c>
      <c r="F939" s="361"/>
      <c r="G939" s="361"/>
      <c r="H939" s="361"/>
      <c r="I939" s="361"/>
      <c r="J939" s="361"/>
      <c r="K939" s="361"/>
      <c r="L939" s="361"/>
      <c r="M939" s="361"/>
      <c r="N939" s="361"/>
      <c r="O939" s="361"/>
      <c r="P939" s="361"/>
      <c r="Q939" s="361"/>
      <c r="R939" s="361"/>
      <c r="S939" s="361"/>
      <c r="T939" s="361"/>
      <c r="U939" s="361"/>
      <c r="V939" s="361"/>
      <c r="W939" s="361"/>
      <c r="X939" s="361"/>
      <c r="Y939" s="361"/>
      <c r="Z939" s="361"/>
      <c r="AA939" s="361"/>
      <c r="AB939" s="361"/>
      <c r="AC939" s="361"/>
      <c r="AD939" s="361"/>
      <c r="AE939" s="361"/>
      <c r="AF939" s="361"/>
      <c r="AG939" s="361"/>
      <c r="AH939" s="361"/>
      <c r="AI939" s="361"/>
      <c r="AJ939" s="361"/>
      <c r="AK939" s="361"/>
      <c r="AL939" s="361"/>
      <c r="AM939" s="361"/>
      <c r="AN939" s="361"/>
      <c r="AO939" s="361"/>
    </row>
    <row r="940" spans="1:41" s="73" customFormat="1" ht="15" customHeight="1" x14ac:dyDescent="0.25">
      <c r="A940" s="384"/>
      <c r="B940" s="195"/>
      <c r="C940" s="192" t="s">
        <v>482</v>
      </c>
      <c r="D940" s="132"/>
      <c r="E940" s="191" t="s">
        <v>1465</v>
      </c>
      <c r="F940" s="361"/>
      <c r="G940" s="361"/>
      <c r="H940" s="361"/>
      <c r="I940" s="361"/>
      <c r="J940" s="361"/>
      <c r="K940" s="361"/>
      <c r="L940" s="361"/>
      <c r="M940" s="361"/>
      <c r="N940" s="361"/>
      <c r="O940" s="361"/>
      <c r="P940" s="361"/>
      <c r="Q940" s="361"/>
      <c r="R940" s="361"/>
      <c r="S940" s="361"/>
      <c r="T940" s="361"/>
      <c r="U940" s="361"/>
      <c r="V940" s="361"/>
      <c r="W940" s="361"/>
      <c r="X940" s="361"/>
      <c r="Y940" s="361"/>
      <c r="Z940" s="361"/>
      <c r="AA940" s="361"/>
      <c r="AB940" s="361"/>
      <c r="AC940" s="361"/>
      <c r="AD940" s="361"/>
      <c r="AE940" s="361"/>
      <c r="AF940" s="361"/>
      <c r="AG940" s="361"/>
      <c r="AH940" s="361"/>
      <c r="AI940" s="361"/>
      <c r="AJ940" s="361"/>
      <c r="AK940" s="361"/>
      <c r="AL940" s="361"/>
      <c r="AM940" s="361"/>
      <c r="AN940" s="361"/>
      <c r="AO940" s="361"/>
    </row>
    <row r="941" spans="1:41" s="73" customFormat="1" ht="15" customHeight="1" x14ac:dyDescent="0.25">
      <c r="A941" s="384"/>
      <c r="B941" s="195"/>
      <c r="C941" s="191"/>
      <c r="D941" s="132"/>
      <c r="E941" s="54"/>
      <c r="F941" s="361"/>
      <c r="G941" s="361"/>
      <c r="H941" s="361"/>
      <c r="I941" s="361"/>
      <c r="J941" s="361"/>
      <c r="K941" s="361"/>
      <c r="L941" s="361"/>
      <c r="M941" s="361"/>
      <c r="N941" s="361"/>
      <c r="O941" s="361"/>
      <c r="P941" s="361"/>
      <c r="Q941" s="361"/>
      <c r="R941" s="361"/>
      <c r="S941" s="361"/>
      <c r="T941" s="361"/>
      <c r="U941" s="361"/>
      <c r="V941" s="361"/>
      <c r="W941" s="361"/>
      <c r="X941" s="361"/>
      <c r="Y941" s="361"/>
      <c r="Z941" s="361"/>
      <c r="AA941" s="361"/>
      <c r="AB941" s="361"/>
      <c r="AC941" s="361"/>
      <c r="AD941" s="361"/>
      <c r="AE941" s="361"/>
      <c r="AF941" s="361"/>
      <c r="AG941" s="361"/>
      <c r="AH941" s="361"/>
      <c r="AI941" s="361"/>
      <c r="AJ941" s="361"/>
      <c r="AK941" s="361"/>
      <c r="AL941" s="361"/>
      <c r="AM941" s="361"/>
      <c r="AN941" s="361"/>
      <c r="AO941" s="361"/>
    </row>
    <row r="942" spans="1:41" s="108" customFormat="1" ht="15" customHeight="1" x14ac:dyDescent="0.25">
      <c r="A942" s="384"/>
      <c r="B942" s="195"/>
      <c r="C942" s="171" t="s">
        <v>1552</v>
      </c>
      <c r="D942" s="171"/>
      <c r="E942" s="193" t="s">
        <v>1559</v>
      </c>
      <c r="F942" s="360"/>
      <c r="G942" s="360"/>
      <c r="H942" s="360"/>
      <c r="I942" s="360" t="s">
        <v>1558</v>
      </c>
      <c r="J942" s="360"/>
      <c r="K942" s="360"/>
      <c r="L942" s="362"/>
      <c r="M942" s="360"/>
      <c r="N942" s="360"/>
      <c r="O942" s="360"/>
      <c r="P942" s="360"/>
      <c r="Q942" s="360"/>
      <c r="R942" s="360"/>
      <c r="S942" s="360"/>
      <c r="T942" s="360"/>
      <c r="U942" s="360"/>
      <c r="V942" s="360"/>
      <c r="W942" s="360"/>
      <c r="X942" s="360"/>
      <c r="Y942" s="360"/>
      <c r="Z942" s="360"/>
      <c r="AA942" s="360"/>
      <c r="AB942" s="360"/>
      <c r="AC942" s="360"/>
      <c r="AD942" s="360"/>
      <c r="AE942" s="360"/>
      <c r="AF942" s="360"/>
      <c r="AG942" s="360"/>
      <c r="AH942" s="360"/>
      <c r="AI942" s="360"/>
      <c r="AJ942" s="360"/>
      <c r="AK942" s="360"/>
      <c r="AL942" s="360"/>
      <c r="AM942" s="360"/>
      <c r="AN942" s="360"/>
      <c r="AO942" s="360"/>
    </row>
    <row r="943" spans="1:41" s="108" customFormat="1" ht="15" customHeight="1" x14ac:dyDescent="0.25">
      <c r="A943" s="384"/>
      <c r="B943" s="195"/>
      <c r="C943" s="171" t="s">
        <v>1553</v>
      </c>
      <c r="D943" s="171"/>
      <c r="E943" s="190" t="s">
        <v>1560</v>
      </c>
      <c r="F943" s="360"/>
      <c r="G943" s="360"/>
      <c r="H943" s="360"/>
      <c r="I943" s="360" t="s">
        <v>170</v>
      </c>
      <c r="J943" s="360"/>
      <c r="K943" s="360"/>
      <c r="L943" s="360"/>
      <c r="M943" s="360"/>
      <c r="N943" s="360"/>
      <c r="O943" s="360"/>
      <c r="P943" s="360"/>
      <c r="Q943" s="360"/>
      <c r="R943" s="360"/>
      <c r="S943" s="360"/>
      <c r="T943" s="360"/>
      <c r="U943" s="360"/>
      <c r="V943" s="360"/>
      <c r="W943" s="360"/>
      <c r="X943" s="360"/>
      <c r="Y943" s="360"/>
      <c r="Z943" s="360"/>
      <c r="AA943" s="360"/>
      <c r="AB943" s="360"/>
      <c r="AC943" s="360"/>
      <c r="AD943" s="360"/>
      <c r="AE943" s="360"/>
      <c r="AF943" s="360"/>
      <c r="AG943" s="360"/>
      <c r="AH943" s="360"/>
      <c r="AI943" s="360"/>
      <c r="AJ943" s="360"/>
      <c r="AK943" s="360"/>
      <c r="AL943" s="360"/>
      <c r="AM943" s="360"/>
      <c r="AN943" s="360"/>
      <c r="AO943" s="360"/>
    </row>
    <row r="944" spans="1:41" ht="15" customHeight="1" x14ac:dyDescent="0.25">
      <c r="A944" s="384"/>
      <c r="B944" s="195"/>
      <c r="C944" s="132" t="s">
        <v>1541</v>
      </c>
      <c r="D944" s="132"/>
      <c r="E944" s="63" t="s">
        <v>1562</v>
      </c>
      <c r="F944" s="361"/>
      <c r="G944" s="361"/>
      <c r="H944" s="361"/>
      <c r="I944" s="361" t="s">
        <v>1565</v>
      </c>
      <c r="J944" s="361"/>
      <c r="K944" s="361"/>
      <c r="L944" s="361"/>
      <c r="M944" s="361"/>
      <c r="N944" s="361"/>
      <c r="O944" s="361"/>
      <c r="P944" s="361"/>
      <c r="Q944" s="361"/>
      <c r="R944" s="361"/>
      <c r="S944" s="361"/>
      <c r="T944" s="361"/>
      <c r="U944" s="361"/>
      <c r="V944" s="361"/>
      <c r="W944" s="361"/>
      <c r="X944" s="361"/>
      <c r="Y944" s="361"/>
      <c r="Z944" s="361"/>
      <c r="AA944" s="361"/>
      <c r="AB944" s="361"/>
      <c r="AC944" s="361"/>
      <c r="AD944" s="361"/>
      <c r="AE944" s="361"/>
      <c r="AF944" s="361"/>
      <c r="AG944" s="361"/>
      <c r="AH944" s="361"/>
      <c r="AI944" s="361"/>
      <c r="AJ944" s="361"/>
      <c r="AK944" s="361"/>
      <c r="AL944" s="361"/>
      <c r="AM944" s="361"/>
      <c r="AN944" s="361"/>
      <c r="AO944" s="361"/>
    </row>
    <row r="945" spans="1:41" ht="15" customHeight="1" x14ac:dyDescent="0.25">
      <c r="A945" s="384"/>
      <c r="B945" s="195"/>
      <c r="C945" s="132" t="s">
        <v>1542</v>
      </c>
      <c r="D945" s="132"/>
      <c r="E945" s="54" t="s">
        <v>1564</v>
      </c>
      <c r="F945" s="361"/>
      <c r="G945" s="361"/>
      <c r="H945" s="361"/>
      <c r="I945" s="361"/>
      <c r="J945" s="361"/>
      <c r="K945" s="361"/>
      <c r="L945" s="361"/>
      <c r="M945" s="361"/>
      <c r="N945" s="361"/>
      <c r="O945" s="361"/>
      <c r="P945" s="361"/>
      <c r="Q945" s="361"/>
      <c r="R945" s="361"/>
      <c r="S945" s="361"/>
      <c r="T945" s="361"/>
      <c r="U945" s="361"/>
      <c r="V945" s="361"/>
      <c r="W945" s="361"/>
      <c r="X945" s="361"/>
      <c r="Y945" s="361"/>
      <c r="Z945" s="361"/>
      <c r="AA945" s="361"/>
      <c r="AB945" s="361"/>
      <c r="AC945" s="361"/>
      <c r="AD945" s="361"/>
      <c r="AE945" s="361"/>
      <c r="AF945" s="361"/>
      <c r="AG945" s="361"/>
      <c r="AH945" s="361"/>
      <c r="AI945" s="361"/>
      <c r="AJ945" s="361"/>
      <c r="AK945" s="361"/>
      <c r="AL945" s="361"/>
      <c r="AM945" s="361"/>
      <c r="AN945" s="361"/>
      <c r="AO945" s="361"/>
    </row>
    <row r="946" spans="1:41" ht="15" customHeight="1" x14ac:dyDescent="0.25">
      <c r="A946" s="385"/>
      <c r="B946" s="55" t="s">
        <v>1006</v>
      </c>
      <c r="C946" s="172"/>
      <c r="D946" s="133"/>
      <c r="E946" s="56"/>
      <c r="F946" s="238"/>
      <c r="G946" s="238"/>
      <c r="H946" s="238"/>
      <c r="I946" s="238"/>
      <c r="J946" s="238"/>
      <c r="K946" s="238"/>
      <c r="L946" s="238"/>
      <c r="M946" s="238"/>
      <c r="N946" s="238"/>
      <c r="O946" s="238"/>
      <c r="P946" s="238"/>
      <c r="Q946" s="238"/>
      <c r="R946" s="238"/>
      <c r="S946" s="238"/>
      <c r="T946" s="238"/>
      <c r="U946" s="238"/>
      <c r="V946" s="238"/>
      <c r="W946" s="238"/>
      <c r="X946" s="238"/>
      <c r="Y946" s="238"/>
      <c r="Z946" s="238"/>
      <c r="AA946" s="238"/>
      <c r="AB946" s="238"/>
      <c r="AC946" s="238"/>
      <c r="AD946" s="238"/>
      <c r="AE946" s="238"/>
      <c r="AF946" s="238"/>
      <c r="AG946" s="238"/>
      <c r="AH946" s="238"/>
      <c r="AI946" s="238"/>
      <c r="AJ946" s="238"/>
      <c r="AK946" s="238"/>
      <c r="AL946" s="238"/>
      <c r="AM946" s="238"/>
      <c r="AN946" s="238"/>
      <c r="AO946" s="238"/>
    </row>
    <row r="947" spans="1:41" ht="15" customHeight="1" x14ac:dyDescent="0.25">
      <c r="A947" s="384" t="s">
        <v>1003</v>
      </c>
      <c r="B947" s="396" t="s">
        <v>1004</v>
      </c>
      <c r="C947" s="173" t="s">
        <v>175</v>
      </c>
      <c r="D947" s="134"/>
      <c r="E947" s="57" t="s">
        <v>176</v>
      </c>
      <c r="F947" s="359"/>
      <c r="G947" s="359"/>
      <c r="H947" s="359"/>
      <c r="I947" s="359"/>
      <c r="J947" s="359"/>
      <c r="K947" s="359"/>
      <c r="L947" s="359"/>
      <c r="M947" s="359"/>
      <c r="N947" s="359"/>
      <c r="O947" s="359"/>
      <c r="P947" s="359"/>
      <c r="Q947" s="359"/>
      <c r="R947" s="359"/>
      <c r="S947" s="359"/>
      <c r="T947" s="359"/>
      <c r="U947" s="359"/>
      <c r="V947" s="359"/>
      <c r="W947" s="359"/>
      <c r="X947" s="359"/>
      <c r="Y947" s="359"/>
      <c r="Z947" s="359"/>
      <c r="AA947" s="359"/>
      <c r="AB947" s="359"/>
      <c r="AC947" s="359"/>
      <c r="AD947" s="359"/>
      <c r="AE947" s="359"/>
      <c r="AF947" s="359"/>
      <c r="AG947" s="359"/>
      <c r="AH947" s="359"/>
      <c r="AI947" s="359"/>
      <c r="AJ947" s="359"/>
      <c r="AK947" s="359"/>
      <c r="AL947" s="359"/>
      <c r="AM947" s="359"/>
      <c r="AN947" s="359"/>
      <c r="AO947" s="359"/>
    </row>
    <row r="948" spans="1:41" ht="15" customHeight="1" x14ac:dyDescent="0.25">
      <c r="A948" s="384"/>
      <c r="B948" s="396"/>
      <c r="C948" s="134"/>
      <c r="D948" s="134" t="s">
        <v>157</v>
      </c>
      <c r="E948" s="58" t="s">
        <v>177</v>
      </c>
      <c r="F948" s="359"/>
      <c r="G948" s="359"/>
      <c r="H948" s="359"/>
      <c r="I948" s="359"/>
      <c r="J948" s="359"/>
      <c r="K948" s="359"/>
      <c r="L948" s="359"/>
      <c r="M948" s="359"/>
      <c r="N948" s="359"/>
      <c r="O948" s="359"/>
      <c r="P948" s="359"/>
      <c r="Q948" s="359"/>
      <c r="R948" s="359"/>
      <c r="S948" s="359"/>
      <c r="T948" s="359"/>
      <c r="U948" s="359"/>
      <c r="V948" s="359"/>
      <c r="W948" s="359"/>
      <c r="X948" s="359"/>
      <c r="Y948" s="359"/>
      <c r="Z948" s="359"/>
      <c r="AA948" s="359"/>
      <c r="AB948" s="359"/>
      <c r="AC948" s="359"/>
      <c r="AD948" s="359"/>
      <c r="AE948" s="359"/>
      <c r="AF948" s="359"/>
      <c r="AG948" s="359"/>
      <c r="AH948" s="359"/>
      <c r="AI948" s="359"/>
      <c r="AJ948" s="359"/>
      <c r="AK948" s="359"/>
      <c r="AL948" s="359"/>
      <c r="AM948" s="359"/>
      <c r="AN948" s="359"/>
      <c r="AO948" s="359"/>
    </row>
    <row r="949" spans="1:41" ht="15" customHeight="1" x14ac:dyDescent="0.25">
      <c r="A949" s="384"/>
      <c r="B949" s="396"/>
      <c r="C949" s="134"/>
      <c r="D949" s="134" t="s">
        <v>150</v>
      </c>
      <c r="E949" s="57" t="s">
        <v>178</v>
      </c>
      <c r="F949" s="359"/>
      <c r="G949" s="359"/>
      <c r="H949" s="359"/>
      <c r="I949" s="359"/>
      <c r="J949" s="359"/>
      <c r="K949" s="359"/>
      <c r="L949" s="359"/>
      <c r="M949" s="359"/>
      <c r="N949" s="359"/>
      <c r="O949" s="359"/>
      <c r="P949" s="359"/>
      <c r="Q949" s="359"/>
      <c r="R949" s="359"/>
      <c r="S949" s="359"/>
      <c r="T949" s="359"/>
      <c r="U949" s="359"/>
      <c r="V949" s="359"/>
      <c r="W949" s="359"/>
      <c r="X949" s="359"/>
      <c r="Y949" s="359"/>
      <c r="Z949" s="359"/>
      <c r="AA949" s="359"/>
      <c r="AB949" s="359"/>
      <c r="AC949" s="359"/>
      <c r="AD949" s="359"/>
      <c r="AE949" s="359"/>
      <c r="AF949" s="359"/>
      <c r="AG949" s="359"/>
      <c r="AH949" s="359"/>
      <c r="AI949" s="359"/>
      <c r="AJ949" s="359"/>
      <c r="AK949" s="359"/>
      <c r="AL949" s="359"/>
      <c r="AM949" s="359"/>
      <c r="AN949" s="359"/>
      <c r="AO949" s="359"/>
    </row>
    <row r="950" spans="1:41" ht="15" customHeight="1" x14ac:dyDescent="0.25">
      <c r="A950" s="384"/>
      <c r="B950" s="396"/>
      <c r="C950" s="134"/>
      <c r="D950" s="134" t="s">
        <v>152</v>
      </c>
      <c r="E950" s="59" t="s">
        <v>179</v>
      </c>
      <c r="F950" s="359"/>
      <c r="G950" s="359"/>
      <c r="H950" s="359"/>
      <c r="I950" s="359"/>
      <c r="J950" s="359"/>
      <c r="K950" s="359"/>
      <c r="L950" s="359"/>
      <c r="M950" s="359"/>
      <c r="N950" s="359"/>
      <c r="O950" s="359"/>
      <c r="P950" s="359"/>
      <c r="Q950" s="359"/>
      <c r="R950" s="359"/>
      <c r="S950" s="359"/>
      <c r="T950" s="359"/>
      <c r="U950" s="359"/>
      <c r="V950" s="359"/>
      <c r="W950" s="359"/>
      <c r="X950" s="359"/>
      <c r="Y950" s="359"/>
      <c r="Z950" s="359"/>
      <c r="AA950" s="359"/>
      <c r="AB950" s="359"/>
      <c r="AC950" s="359"/>
      <c r="AD950" s="359"/>
      <c r="AE950" s="359"/>
      <c r="AF950" s="359"/>
      <c r="AG950" s="359"/>
      <c r="AH950" s="359"/>
      <c r="AI950" s="359"/>
      <c r="AJ950" s="359"/>
      <c r="AK950" s="359"/>
      <c r="AL950" s="359"/>
      <c r="AM950" s="359"/>
      <c r="AN950" s="359"/>
      <c r="AO950" s="359"/>
    </row>
    <row r="951" spans="1:41" ht="15" customHeight="1" x14ac:dyDescent="0.25">
      <c r="A951" s="384"/>
      <c r="B951" s="396"/>
      <c r="C951" s="173" t="s">
        <v>180</v>
      </c>
      <c r="D951" s="134"/>
      <c r="E951" s="57" t="s">
        <v>181</v>
      </c>
      <c r="F951" s="359"/>
      <c r="G951" s="359"/>
      <c r="H951" s="359"/>
      <c r="I951" s="359"/>
      <c r="J951" s="359"/>
      <c r="K951" s="359"/>
      <c r="L951" s="359"/>
      <c r="M951" s="359"/>
      <c r="N951" s="359"/>
      <c r="O951" s="359"/>
      <c r="P951" s="359"/>
      <c r="Q951" s="359"/>
      <c r="R951" s="359"/>
      <c r="S951" s="359"/>
      <c r="T951" s="359"/>
      <c r="U951" s="359"/>
      <c r="V951" s="359"/>
      <c r="W951" s="359"/>
      <c r="X951" s="359"/>
      <c r="Y951" s="359"/>
      <c r="Z951" s="359"/>
      <c r="AA951" s="359"/>
      <c r="AB951" s="359"/>
      <c r="AC951" s="359"/>
      <c r="AD951" s="359"/>
      <c r="AE951" s="359"/>
      <c r="AF951" s="359"/>
      <c r="AG951" s="359"/>
      <c r="AH951" s="359"/>
      <c r="AI951" s="359"/>
      <c r="AJ951" s="359"/>
      <c r="AK951" s="359"/>
      <c r="AL951" s="359"/>
      <c r="AM951" s="359"/>
      <c r="AN951" s="359"/>
      <c r="AO951" s="359"/>
    </row>
    <row r="952" spans="1:41" ht="15" customHeight="1" x14ac:dyDescent="0.25">
      <c r="A952" s="384"/>
      <c r="B952" s="396"/>
      <c r="C952" s="173" t="s">
        <v>182</v>
      </c>
      <c r="D952" s="134"/>
      <c r="E952" s="57" t="s">
        <v>183</v>
      </c>
      <c r="F952" s="359"/>
      <c r="G952" s="359"/>
      <c r="H952" s="359"/>
      <c r="I952" s="359"/>
      <c r="J952" s="359"/>
      <c r="K952" s="359"/>
      <c r="L952" s="359"/>
      <c r="M952" s="359"/>
      <c r="N952" s="359"/>
      <c r="O952" s="359"/>
      <c r="P952" s="359"/>
      <c r="Q952" s="359"/>
      <c r="R952" s="359"/>
      <c r="S952" s="359"/>
      <c r="T952" s="359"/>
      <c r="U952" s="359"/>
      <c r="V952" s="359"/>
      <c r="W952" s="359"/>
      <c r="X952" s="359"/>
      <c r="Y952" s="359"/>
      <c r="Z952" s="359"/>
      <c r="AA952" s="359"/>
      <c r="AB952" s="359"/>
      <c r="AC952" s="359"/>
      <c r="AD952" s="359"/>
      <c r="AE952" s="359"/>
      <c r="AF952" s="359"/>
      <c r="AG952" s="359"/>
      <c r="AH952" s="359"/>
      <c r="AI952" s="359"/>
      <c r="AJ952" s="359"/>
      <c r="AK952" s="359"/>
      <c r="AL952" s="359"/>
      <c r="AM952" s="359"/>
      <c r="AN952" s="359"/>
      <c r="AO952" s="359"/>
    </row>
    <row r="953" spans="1:41" ht="15" customHeight="1" x14ac:dyDescent="0.25">
      <c r="A953" s="384"/>
      <c r="B953" s="396"/>
      <c r="C953" s="134" t="s">
        <v>167</v>
      </c>
      <c r="D953" s="134"/>
      <c r="E953" s="57" t="s">
        <v>184</v>
      </c>
      <c r="F953" s="359"/>
      <c r="G953" s="359"/>
      <c r="H953" s="359"/>
      <c r="I953" s="359"/>
      <c r="J953" s="359"/>
      <c r="K953" s="359"/>
      <c r="L953" s="359"/>
      <c r="M953" s="359"/>
      <c r="N953" s="359"/>
      <c r="O953" s="359"/>
      <c r="P953" s="359"/>
      <c r="Q953" s="359"/>
      <c r="R953" s="359"/>
      <c r="S953" s="359"/>
      <c r="T953" s="359"/>
      <c r="U953" s="359"/>
      <c r="V953" s="359"/>
      <c r="W953" s="359"/>
      <c r="X953" s="359"/>
      <c r="Y953" s="359"/>
      <c r="Z953" s="359"/>
      <c r="AA953" s="359"/>
      <c r="AB953" s="359"/>
      <c r="AC953" s="359"/>
      <c r="AD953" s="359"/>
      <c r="AE953" s="359"/>
      <c r="AF953" s="359"/>
      <c r="AG953" s="359"/>
      <c r="AH953" s="359"/>
      <c r="AI953" s="359"/>
      <c r="AJ953" s="359"/>
      <c r="AK953" s="359"/>
      <c r="AL953" s="359"/>
      <c r="AM953" s="359"/>
      <c r="AN953" s="359"/>
      <c r="AO953" s="359"/>
    </row>
    <row r="954" spans="1:41" ht="15" customHeight="1" x14ac:dyDescent="0.25">
      <c r="A954" s="384"/>
      <c r="B954" s="396"/>
      <c r="C954" s="134"/>
      <c r="D954" s="134" t="s">
        <v>157</v>
      </c>
      <c r="E954" s="57" t="s">
        <v>185</v>
      </c>
      <c r="F954" s="359"/>
      <c r="G954" s="359"/>
      <c r="H954" s="359"/>
      <c r="I954" s="359"/>
      <c r="J954" s="359"/>
      <c r="K954" s="359"/>
      <c r="L954" s="359"/>
      <c r="M954" s="359"/>
      <c r="N954" s="359"/>
      <c r="O954" s="359"/>
      <c r="P954" s="359"/>
      <c r="Q954" s="359"/>
      <c r="R954" s="359"/>
      <c r="S954" s="359"/>
      <c r="T954" s="359"/>
      <c r="U954" s="359"/>
      <c r="V954" s="359"/>
      <c r="W954" s="359"/>
      <c r="X954" s="359"/>
      <c r="Y954" s="359"/>
      <c r="Z954" s="359"/>
      <c r="AA954" s="359"/>
      <c r="AB954" s="359"/>
      <c r="AC954" s="359"/>
      <c r="AD954" s="359"/>
      <c r="AE954" s="359"/>
      <c r="AF954" s="359"/>
      <c r="AG954" s="359"/>
      <c r="AH954" s="359"/>
      <c r="AI954" s="359"/>
      <c r="AJ954" s="359"/>
      <c r="AK954" s="359"/>
      <c r="AL954" s="359"/>
      <c r="AM954" s="359"/>
      <c r="AN954" s="359"/>
      <c r="AO954" s="359"/>
    </row>
    <row r="955" spans="1:41" ht="15" customHeight="1" x14ac:dyDescent="0.25">
      <c r="A955" s="384"/>
      <c r="B955" s="396"/>
      <c r="C955" s="134"/>
      <c r="D955" s="134" t="s">
        <v>150</v>
      </c>
      <c r="E955" s="57" t="s">
        <v>151</v>
      </c>
      <c r="F955" s="359"/>
      <c r="G955" s="359"/>
      <c r="H955" s="359"/>
      <c r="I955" s="359"/>
      <c r="J955" s="359"/>
      <c r="K955" s="359"/>
      <c r="L955" s="359"/>
      <c r="M955" s="359"/>
      <c r="N955" s="359"/>
      <c r="O955" s="359"/>
      <c r="P955" s="359"/>
      <c r="Q955" s="359"/>
      <c r="R955" s="359"/>
      <c r="S955" s="359"/>
      <c r="T955" s="359"/>
      <c r="U955" s="359"/>
      <c r="V955" s="359"/>
      <c r="W955" s="359"/>
      <c r="X955" s="359"/>
      <c r="Y955" s="359"/>
      <c r="Z955" s="359"/>
      <c r="AA955" s="359"/>
      <c r="AB955" s="359"/>
      <c r="AC955" s="359"/>
      <c r="AD955" s="359"/>
      <c r="AE955" s="359"/>
      <c r="AF955" s="359"/>
      <c r="AG955" s="359"/>
      <c r="AH955" s="359"/>
      <c r="AI955" s="359"/>
      <c r="AJ955" s="359"/>
      <c r="AK955" s="359"/>
      <c r="AL955" s="359"/>
      <c r="AM955" s="359"/>
      <c r="AN955" s="359"/>
      <c r="AO955" s="359"/>
    </row>
    <row r="956" spans="1:41" ht="15" customHeight="1" x14ac:dyDescent="0.25">
      <c r="A956" s="384"/>
      <c r="B956" s="396"/>
      <c r="C956" s="134"/>
      <c r="D956" s="134" t="s">
        <v>152</v>
      </c>
      <c r="E956" s="57" t="s">
        <v>151</v>
      </c>
      <c r="F956" s="359"/>
      <c r="G956" s="359"/>
      <c r="H956" s="359"/>
      <c r="I956" s="359"/>
      <c r="J956" s="359"/>
      <c r="K956" s="359"/>
      <c r="L956" s="359"/>
      <c r="M956" s="359"/>
      <c r="N956" s="359"/>
      <c r="O956" s="359"/>
      <c r="P956" s="359"/>
      <c r="Q956" s="359"/>
      <c r="R956" s="359"/>
      <c r="S956" s="359"/>
      <c r="T956" s="359"/>
      <c r="U956" s="359"/>
      <c r="V956" s="359"/>
      <c r="W956" s="359"/>
      <c r="X956" s="359"/>
      <c r="Y956" s="359"/>
      <c r="Z956" s="359"/>
      <c r="AA956" s="359"/>
      <c r="AB956" s="359"/>
      <c r="AC956" s="359"/>
      <c r="AD956" s="359"/>
      <c r="AE956" s="359"/>
      <c r="AF956" s="359"/>
      <c r="AG956" s="359"/>
      <c r="AH956" s="359"/>
      <c r="AI956" s="359"/>
      <c r="AJ956" s="359"/>
      <c r="AK956" s="359"/>
      <c r="AL956" s="359"/>
      <c r="AM956" s="359"/>
      <c r="AN956" s="359"/>
      <c r="AO956" s="359"/>
    </row>
    <row r="957" spans="1:41" ht="15" customHeight="1" x14ac:dyDescent="0.25">
      <c r="A957" s="384"/>
      <c r="B957" s="396"/>
      <c r="C957" s="134" t="s">
        <v>168</v>
      </c>
      <c r="D957" s="134"/>
      <c r="E957" s="57" t="s">
        <v>186</v>
      </c>
      <c r="F957" s="359"/>
      <c r="G957" s="359"/>
      <c r="H957" s="359"/>
      <c r="I957" s="359"/>
      <c r="J957" s="359"/>
      <c r="K957" s="359"/>
      <c r="L957" s="359"/>
      <c r="M957" s="359"/>
      <c r="N957" s="359"/>
      <c r="O957" s="359"/>
      <c r="P957" s="359"/>
      <c r="Q957" s="359"/>
      <c r="R957" s="359"/>
      <c r="S957" s="359"/>
      <c r="T957" s="359"/>
      <c r="U957" s="359"/>
      <c r="V957" s="359"/>
      <c r="W957" s="359"/>
      <c r="X957" s="359"/>
      <c r="Y957" s="359"/>
      <c r="Z957" s="359"/>
      <c r="AA957" s="359"/>
      <c r="AB957" s="359"/>
      <c r="AC957" s="359"/>
      <c r="AD957" s="359"/>
      <c r="AE957" s="359"/>
      <c r="AF957" s="359"/>
      <c r="AG957" s="359"/>
      <c r="AH957" s="359"/>
      <c r="AI957" s="359"/>
      <c r="AJ957" s="359"/>
      <c r="AK957" s="359"/>
      <c r="AL957" s="359"/>
      <c r="AM957" s="359"/>
      <c r="AN957" s="359"/>
      <c r="AO957" s="359"/>
    </row>
    <row r="958" spans="1:41" ht="15" customHeight="1" x14ac:dyDescent="0.25">
      <c r="A958" s="384"/>
      <c r="B958" s="396"/>
      <c r="C958" s="173" t="s">
        <v>187</v>
      </c>
      <c r="D958" s="134"/>
      <c r="E958" s="57" t="s">
        <v>188</v>
      </c>
      <c r="F958" s="359"/>
      <c r="G958" s="359"/>
      <c r="H958" s="359"/>
      <c r="I958" s="359"/>
      <c r="J958" s="359"/>
      <c r="K958" s="359"/>
      <c r="L958" s="359"/>
      <c r="M958" s="359"/>
      <c r="N958" s="359"/>
      <c r="O958" s="359"/>
      <c r="P958" s="359"/>
      <c r="Q958" s="359"/>
      <c r="R958" s="359"/>
      <c r="S958" s="359"/>
      <c r="T958" s="359"/>
      <c r="U958" s="359"/>
      <c r="V958" s="359"/>
      <c r="W958" s="359"/>
      <c r="X958" s="359"/>
      <c r="Y958" s="359"/>
      <c r="Z958" s="359"/>
      <c r="AA958" s="359"/>
      <c r="AB958" s="359"/>
      <c r="AC958" s="359"/>
      <c r="AD958" s="359"/>
      <c r="AE958" s="359"/>
      <c r="AF958" s="359"/>
      <c r="AG958" s="359"/>
      <c r="AH958" s="359"/>
      <c r="AI958" s="359"/>
      <c r="AJ958" s="359"/>
      <c r="AK958" s="359"/>
      <c r="AL958" s="359"/>
      <c r="AM958" s="359"/>
      <c r="AN958" s="359"/>
      <c r="AO958" s="359"/>
    </row>
    <row r="959" spans="1:41" ht="15" customHeight="1" x14ac:dyDescent="0.25">
      <c r="A959" s="384"/>
      <c r="B959" s="396"/>
      <c r="C959" s="173" t="s">
        <v>189</v>
      </c>
      <c r="D959" s="134"/>
      <c r="E959" s="57" t="s">
        <v>190</v>
      </c>
      <c r="F959" s="359"/>
      <c r="G959" s="359"/>
      <c r="H959" s="359"/>
      <c r="I959" s="359"/>
      <c r="J959" s="359"/>
      <c r="K959" s="359"/>
      <c r="L959" s="359"/>
      <c r="M959" s="359"/>
      <c r="N959" s="359"/>
      <c r="O959" s="359"/>
      <c r="P959" s="359"/>
      <c r="Q959" s="359"/>
      <c r="R959" s="359"/>
      <c r="S959" s="359"/>
      <c r="T959" s="359"/>
      <c r="U959" s="359"/>
      <c r="V959" s="359"/>
      <c r="W959" s="359"/>
      <c r="X959" s="359"/>
      <c r="Y959" s="359"/>
      <c r="Z959" s="359"/>
      <c r="AA959" s="359"/>
      <c r="AB959" s="359"/>
      <c r="AC959" s="359"/>
      <c r="AD959" s="359"/>
      <c r="AE959" s="359"/>
      <c r="AF959" s="359"/>
      <c r="AG959" s="359"/>
      <c r="AH959" s="359"/>
      <c r="AI959" s="359"/>
      <c r="AJ959" s="359"/>
      <c r="AK959" s="359"/>
      <c r="AL959" s="359"/>
      <c r="AM959" s="359"/>
      <c r="AN959" s="359"/>
      <c r="AO959" s="359"/>
    </row>
    <row r="960" spans="1:41" ht="15" customHeight="1" x14ac:dyDescent="0.25">
      <c r="A960" s="384"/>
      <c r="B960" s="396"/>
      <c r="C960" s="134"/>
      <c r="D960" s="134" t="s">
        <v>157</v>
      </c>
      <c r="E960" s="57" t="s">
        <v>191</v>
      </c>
      <c r="F960" s="359"/>
      <c r="G960" s="359"/>
      <c r="H960" s="359"/>
      <c r="I960" s="359"/>
      <c r="J960" s="359"/>
      <c r="K960" s="359"/>
      <c r="L960" s="359"/>
      <c r="M960" s="359"/>
      <c r="N960" s="359"/>
      <c r="O960" s="359"/>
      <c r="P960" s="359"/>
      <c r="Q960" s="359"/>
      <c r="R960" s="359"/>
      <c r="S960" s="359"/>
      <c r="T960" s="359"/>
      <c r="U960" s="359"/>
      <c r="V960" s="359"/>
      <c r="W960" s="359"/>
      <c r="X960" s="359"/>
      <c r="Y960" s="359"/>
      <c r="Z960" s="359"/>
      <c r="AA960" s="359"/>
      <c r="AB960" s="359"/>
      <c r="AC960" s="359"/>
      <c r="AD960" s="359"/>
      <c r="AE960" s="359"/>
      <c r="AF960" s="359"/>
      <c r="AG960" s="359"/>
      <c r="AH960" s="359"/>
      <c r="AI960" s="359"/>
      <c r="AJ960" s="359"/>
      <c r="AK960" s="359"/>
      <c r="AL960" s="359"/>
      <c r="AM960" s="359"/>
      <c r="AN960" s="359"/>
      <c r="AO960" s="359"/>
    </row>
    <row r="961" spans="1:41" ht="15" customHeight="1" x14ac:dyDescent="0.25">
      <c r="A961" s="384"/>
      <c r="B961" s="396"/>
      <c r="C961" s="134"/>
      <c r="D961" s="134" t="s">
        <v>150</v>
      </c>
      <c r="E961" s="57" t="s">
        <v>192</v>
      </c>
      <c r="F961" s="359"/>
      <c r="G961" s="359"/>
      <c r="H961" s="359"/>
      <c r="I961" s="359"/>
      <c r="J961" s="359"/>
      <c r="K961" s="359"/>
      <c r="L961" s="359"/>
      <c r="M961" s="359"/>
      <c r="N961" s="359"/>
      <c r="O961" s="359"/>
      <c r="P961" s="359"/>
      <c r="Q961" s="359"/>
      <c r="R961" s="359"/>
      <c r="S961" s="359"/>
      <c r="T961" s="359"/>
      <c r="U961" s="359"/>
      <c r="V961" s="359"/>
      <c r="W961" s="359"/>
      <c r="X961" s="359"/>
      <c r="Y961" s="359"/>
      <c r="Z961" s="359"/>
      <c r="AA961" s="359"/>
      <c r="AB961" s="359"/>
      <c r="AC961" s="359"/>
      <c r="AD961" s="359"/>
      <c r="AE961" s="359"/>
      <c r="AF961" s="359"/>
      <c r="AG961" s="359"/>
      <c r="AH961" s="359"/>
      <c r="AI961" s="359"/>
      <c r="AJ961" s="359"/>
      <c r="AK961" s="359"/>
      <c r="AL961" s="359"/>
      <c r="AM961" s="359"/>
      <c r="AN961" s="359"/>
      <c r="AO961" s="359"/>
    </row>
    <row r="962" spans="1:41" ht="15" customHeight="1" x14ac:dyDescent="0.25">
      <c r="A962" s="384"/>
      <c r="B962" s="396"/>
      <c r="C962" s="134"/>
      <c r="D962" s="134" t="s">
        <v>152</v>
      </c>
      <c r="E962" s="57" t="s">
        <v>193</v>
      </c>
      <c r="F962" s="359"/>
      <c r="G962" s="359"/>
      <c r="H962" s="359"/>
      <c r="I962" s="359"/>
      <c r="J962" s="359"/>
      <c r="K962" s="359"/>
      <c r="L962" s="359"/>
      <c r="M962" s="359"/>
      <c r="N962" s="359"/>
      <c r="O962" s="359"/>
      <c r="P962" s="359"/>
      <c r="Q962" s="359"/>
      <c r="R962" s="359"/>
      <c r="S962" s="359"/>
      <c r="T962" s="359"/>
      <c r="U962" s="359"/>
      <c r="V962" s="359"/>
      <c r="W962" s="359"/>
      <c r="X962" s="359"/>
      <c r="Y962" s="359"/>
      <c r="Z962" s="359"/>
      <c r="AA962" s="359"/>
      <c r="AB962" s="359"/>
      <c r="AC962" s="359"/>
      <c r="AD962" s="359"/>
      <c r="AE962" s="359"/>
      <c r="AF962" s="359"/>
      <c r="AG962" s="359"/>
      <c r="AH962" s="359"/>
      <c r="AI962" s="359"/>
      <c r="AJ962" s="359"/>
      <c r="AK962" s="359"/>
      <c r="AL962" s="359"/>
      <c r="AM962" s="359"/>
      <c r="AN962" s="359"/>
      <c r="AO962" s="359"/>
    </row>
    <row r="963" spans="1:41" ht="15" customHeight="1" x14ac:dyDescent="0.25">
      <c r="A963" s="384"/>
      <c r="B963" s="396"/>
      <c r="C963" s="173" t="s">
        <v>194</v>
      </c>
      <c r="D963" s="134"/>
      <c r="E963" s="57" t="s">
        <v>195</v>
      </c>
      <c r="F963" s="359"/>
      <c r="G963" s="359"/>
      <c r="H963" s="359"/>
      <c r="I963" s="359"/>
      <c r="J963" s="359"/>
      <c r="K963" s="359"/>
      <c r="L963" s="359"/>
      <c r="M963" s="359"/>
      <c r="N963" s="359"/>
      <c r="O963" s="359"/>
      <c r="P963" s="359"/>
      <c r="Q963" s="359"/>
      <c r="R963" s="359"/>
      <c r="S963" s="359"/>
      <c r="T963" s="359"/>
      <c r="U963" s="359"/>
      <c r="V963" s="359"/>
      <c r="W963" s="359"/>
      <c r="X963" s="359"/>
      <c r="Y963" s="359"/>
      <c r="Z963" s="359"/>
      <c r="AA963" s="359"/>
      <c r="AB963" s="359"/>
      <c r="AC963" s="359"/>
      <c r="AD963" s="359"/>
      <c r="AE963" s="359"/>
      <c r="AF963" s="359"/>
      <c r="AG963" s="359"/>
      <c r="AH963" s="359"/>
      <c r="AI963" s="359"/>
      <c r="AJ963" s="359"/>
      <c r="AK963" s="359"/>
      <c r="AL963" s="359"/>
      <c r="AM963" s="359"/>
      <c r="AN963" s="359"/>
      <c r="AO963" s="359"/>
    </row>
    <row r="964" spans="1:41" ht="15" customHeight="1" x14ac:dyDescent="0.25">
      <c r="A964" s="384"/>
      <c r="B964" s="396"/>
      <c r="C964" s="134" t="s">
        <v>171</v>
      </c>
      <c r="D964" s="134"/>
      <c r="E964" s="57" t="s">
        <v>196</v>
      </c>
      <c r="F964" s="359"/>
      <c r="G964" s="359"/>
      <c r="H964" s="359"/>
      <c r="I964" s="359"/>
      <c r="J964" s="359"/>
      <c r="K964" s="359"/>
      <c r="L964" s="359"/>
      <c r="M964" s="359"/>
      <c r="N964" s="359"/>
      <c r="O964" s="359"/>
      <c r="P964" s="359"/>
      <c r="Q964" s="359"/>
      <c r="R964" s="359"/>
      <c r="S964" s="359"/>
      <c r="T964" s="359"/>
      <c r="U964" s="359"/>
      <c r="V964" s="359"/>
      <c r="W964" s="359"/>
      <c r="X964" s="359"/>
      <c r="Y964" s="359"/>
      <c r="Z964" s="359"/>
      <c r="AA964" s="359"/>
      <c r="AB964" s="359"/>
      <c r="AC964" s="359"/>
      <c r="AD964" s="359"/>
      <c r="AE964" s="359"/>
      <c r="AF964" s="359"/>
      <c r="AG964" s="359"/>
      <c r="AH964" s="359"/>
      <c r="AI964" s="359"/>
      <c r="AJ964" s="359"/>
      <c r="AK964" s="359"/>
      <c r="AL964" s="359"/>
      <c r="AM964" s="359"/>
      <c r="AN964" s="359"/>
      <c r="AO964" s="359"/>
    </row>
    <row r="965" spans="1:41" ht="15" customHeight="1" x14ac:dyDescent="0.25">
      <c r="A965" s="384"/>
      <c r="B965" s="396"/>
      <c r="C965" s="134"/>
      <c r="D965" s="134" t="s">
        <v>157</v>
      </c>
      <c r="E965" s="57" t="s">
        <v>197</v>
      </c>
      <c r="F965" s="359"/>
      <c r="G965" s="359"/>
      <c r="H965" s="359"/>
      <c r="I965" s="359"/>
      <c r="J965" s="359"/>
      <c r="K965" s="359"/>
      <c r="L965" s="359"/>
      <c r="M965" s="359"/>
      <c r="N965" s="359"/>
      <c r="O965" s="359"/>
      <c r="P965" s="359"/>
      <c r="Q965" s="359"/>
      <c r="R965" s="359"/>
      <c r="S965" s="359"/>
      <c r="T965" s="359"/>
      <c r="U965" s="359"/>
      <c r="V965" s="359"/>
      <c r="W965" s="359"/>
      <c r="X965" s="359"/>
      <c r="Y965" s="359"/>
      <c r="Z965" s="359"/>
      <c r="AA965" s="359"/>
      <c r="AB965" s="359"/>
      <c r="AC965" s="359"/>
      <c r="AD965" s="359"/>
      <c r="AE965" s="359"/>
      <c r="AF965" s="359"/>
      <c r="AG965" s="359"/>
      <c r="AH965" s="359"/>
      <c r="AI965" s="359"/>
      <c r="AJ965" s="359"/>
      <c r="AK965" s="359"/>
      <c r="AL965" s="359"/>
      <c r="AM965" s="359"/>
      <c r="AN965" s="359"/>
      <c r="AO965" s="359"/>
    </row>
    <row r="966" spans="1:41" ht="15" customHeight="1" x14ac:dyDescent="0.25">
      <c r="A966" s="384"/>
      <c r="B966" s="396"/>
      <c r="C966" s="134"/>
      <c r="D966" s="134" t="s">
        <v>150</v>
      </c>
      <c r="E966" s="57" t="s">
        <v>198</v>
      </c>
      <c r="F966" s="359"/>
      <c r="G966" s="359"/>
      <c r="H966" s="359"/>
      <c r="I966" s="359"/>
      <c r="J966" s="359"/>
      <c r="K966" s="359"/>
      <c r="L966" s="359"/>
      <c r="M966" s="359"/>
      <c r="N966" s="359"/>
      <c r="O966" s="359"/>
      <c r="P966" s="359"/>
      <c r="Q966" s="359"/>
      <c r="R966" s="359"/>
      <c r="S966" s="359"/>
      <c r="T966" s="359"/>
      <c r="U966" s="359"/>
      <c r="V966" s="359"/>
      <c r="W966" s="359"/>
      <c r="X966" s="359"/>
      <c r="Y966" s="359"/>
      <c r="Z966" s="359"/>
      <c r="AA966" s="359"/>
      <c r="AB966" s="359"/>
      <c r="AC966" s="359"/>
      <c r="AD966" s="359"/>
      <c r="AE966" s="359"/>
      <c r="AF966" s="359"/>
      <c r="AG966" s="359"/>
      <c r="AH966" s="359"/>
      <c r="AI966" s="359"/>
      <c r="AJ966" s="359"/>
      <c r="AK966" s="359"/>
      <c r="AL966" s="359"/>
      <c r="AM966" s="359"/>
      <c r="AN966" s="359"/>
      <c r="AO966" s="359"/>
    </row>
    <row r="967" spans="1:41" ht="15" customHeight="1" x14ac:dyDescent="0.25">
      <c r="A967" s="384"/>
      <c r="B967" s="396"/>
      <c r="C967" s="134"/>
      <c r="D967" s="134" t="s">
        <v>152</v>
      </c>
      <c r="E967" s="57" t="s">
        <v>199</v>
      </c>
      <c r="F967" s="359"/>
      <c r="G967" s="359"/>
      <c r="H967" s="359"/>
      <c r="I967" s="359"/>
      <c r="J967" s="359"/>
      <c r="K967" s="359"/>
      <c r="L967" s="359"/>
      <c r="M967" s="359"/>
      <c r="N967" s="359"/>
      <c r="O967" s="359"/>
      <c r="P967" s="359"/>
      <c r="Q967" s="359"/>
      <c r="R967" s="359"/>
      <c r="S967" s="359"/>
      <c r="T967" s="359"/>
      <c r="U967" s="359"/>
      <c r="V967" s="359"/>
      <c r="W967" s="359"/>
      <c r="X967" s="359"/>
      <c r="Y967" s="359"/>
      <c r="Z967" s="359"/>
      <c r="AA967" s="359"/>
      <c r="AB967" s="359"/>
      <c r="AC967" s="359"/>
      <c r="AD967" s="359"/>
      <c r="AE967" s="359"/>
      <c r="AF967" s="359"/>
      <c r="AG967" s="359"/>
      <c r="AH967" s="359"/>
      <c r="AI967" s="359"/>
      <c r="AJ967" s="359"/>
      <c r="AK967" s="359"/>
      <c r="AL967" s="359"/>
      <c r="AM967" s="359"/>
      <c r="AN967" s="359"/>
      <c r="AO967" s="359"/>
    </row>
    <row r="968" spans="1:41" ht="15" customHeight="1" x14ac:dyDescent="0.25">
      <c r="A968" s="384"/>
      <c r="B968" s="396"/>
      <c r="C968" s="134" t="s">
        <v>172</v>
      </c>
      <c r="D968" s="134"/>
      <c r="E968" s="57" t="s">
        <v>200</v>
      </c>
      <c r="F968" s="359"/>
      <c r="G968" s="359"/>
      <c r="H968" s="359"/>
      <c r="I968" s="359"/>
      <c r="J968" s="359"/>
      <c r="K968" s="359"/>
      <c r="L968" s="359"/>
      <c r="M968" s="359"/>
      <c r="N968" s="359"/>
      <c r="O968" s="359"/>
      <c r="P968" s="359"/>
      <c r="Q968" s="359"/>
      <c r="R968" s="359"/>
      <c r="S968" s="359"/>
      <c r="T968" s="359"/>
      <c r="U968" s="359"/>
      <c r="V968" s="359"/>
      <c r="W968" s="359"/>
      <c r="X968" s="359"/>
      <c r="Y968" s="359"/>
      <c r="Z968" s="359"/>
      <c r="AA968" s="359"/>
      <c r="AB968" s="359"/>
      <c r="AC968" s="359"/>
      <c r="AD968" s="359"/>
      <c r="AE968" s="359"/>
      <c r="AF968" s="359"/>
      <c r="AG968" s="359"/>
      <c r="AH968" s="359"/>
      <c r="AI968" s="359"/>
      <c r="AJ968" s="359"/>
      <c r="AK968" s="359"/>
      <c r="AL968" s="359"/>
      <c r="AM968" s="359"/>
      <c r="AN968" s="359"/>
      <c r="AO968" s="359"/>
    </row>
    <row r="969" spans="1:41" ht="15" customHeight="1" x14ac:dyDescent="0.25">
      <c r="A969" s="384"/>
      <c r="B969" s="396"/>
      <c r="C969" s="134"/>
      <c r="D969" s="134" t="s">
        <v>157</v>
      </c>
      <c r="E969" s="57" t="s">
        <v>201</v>
      </c>
      <c r="F969" s="359"/>
      <c r="G969" s="359"/>
      <c r="H969" s="359"/>
      <c r="I969" s="359"/>
      <c r="J969" s="359"/>
      <c r="K969" s="359"/>
      <c r="L969" s="359"/>
      <c r="M969" s="359"/>
      <c r="N969" s="359"/>
      <c r="O969" s="359"/>
      <c r="P969" s="359"/>
      <c r="Q969" s="359"/>
      <c r="R969" s="359"/>
      <c r="S969" s="359"/>
      <c r="T969" s="359"/>
      <c r="U969" s="359"/>
      <c r="V969" s="359"/>
      <c r="W969" s="359"/>
      <c r="X969" s="359"/>
      <c r="Y969" s="359"/>
      <c r="Z969" s="359"/>
      <c r="AA969" s="359"/>
      <c r="AB969" s="359"/>
      <c r="AC969" s="359"/>
      <c r="AD969" s="359"/>
      <c r="AE969" s="359"/>
      <c r="AF969" s="359"/>
      <c r="AG969" s="359"/>
      <c r="AH969" s="359"/>
      <c r="AI969" s="359"/>
      <c r="AJ969" s="359"/>
      <c r="AK969" s="359"/>
      <c r="AL969" s="359"/>
      <c r="AM969" s="359"/>
      <c r="AN969" s="359"/>
      <c r="AO969" s="359"/>
    </row>
    <row r="970" spans="1:41" ht="15" customHeight="1" x14ac:dyDescent="0.25">
      <c r="A970" s="384"/>
      <c r="B970" s="396"/>
      <c r="C970" s="134"/>
      <c r="D970" s="134" t="s">
        <v>150</v>
      </c>
      <c r="E970" s="57" t="s">
        <v>202</v>
      </c>
      <c r="F970" s="359"/>
      <c r="G970" s="359"/>
      <c r="H970" s="359"/>
      <c r="I970" s="359"/>
      <c r="J970" s="359"/>
      <c r="K970" s="359"/>
      <c r="L970" s="359"/>
      <c r="M970" s="359"/>
      <c r="N970" s="359"/>
      <c r="O970" s="359"/>
      <c r="P970" s="359"/>
      <c r="Q970" s="359"/>
      <c r="R970" s="359"/>
      <c r="S970" s="359"/>
      <c r="T970" s="359"/>
      <c r="U970" s="359"/>
      <c r="V970" s="359"/>
      <c r="W970" s="359"/>
      <c r="X970" s="359"/>
      <c r="Y970" s="359"/>
      <c r="Z970" s="359"/>
      <c r="AA970" s="359"/>
      <c r="AB970" s="359"/>
      <c r="AC970" s="359"/>
      <c r="AD970" s="359"/>
      <c r="AE970" s="359"/>
      <c r="AF970" s="359"/>
      <c r="AG970" s="359"/>
      <c r="AH970" s="359"/>
      <c r="AI970" s="359"/>
      <c r="AJ970" s="359"/>
      <c r="AK970" s="359"/>
      <c r="AL970" s="359"/>
      <c r="AM970" s="359"/>
      <c r="AN970" s="359"/>
      <c r="AO970" s="359"/>
    </row>
    <row r="971" spans="1:41" ht="15" customHeight="1" x14ac:dyDescent="0.25">
      <c r="A971" s="384"/>
      <c r="B971" s="396"/>
      <c r="C971" s="134"/>
      <c r="D971" s="134" t="s">
        <v>152</v>
      </c>
      <c r="E971" s="57" t="s">
        <v>203</v>
      </c>
      <c r="F971" s="359"/>
      <c r="G971" s="359"/>
      <c r="H971" s="359"/>
      <c r="I971" s="359"/>
      <c r="J971" s="359"/>
      <c r="K971" s="359"/>
      <c r="L971" s="359"/>
      <c r="M971" s="359"/>
      <c r="N971" s="359"/>
      <c r="O971" s="359"/>
      <c r="P971" s="359"/>
      <c r="Q971" s="359"/>
      <c r="R971" s="359"/>
      <c r="S971" s="359"/>
      <c r="T971" s="359"/>
      <c r="U971" s="359"/>
      <c r="V971" s="359"/>
      <c r="W971" s="359"/>
      <c r="X971" s="359"/>
      <c r="Y971" s="359"/>
      <c r="Z971" s="359"/>
      <c r="AA971" s="359"/>
      <c r="AB971" s="359"/>
      <c r="AC971" s="359"/>
      <c r="AD971" s="359"/>
      <c r="AE971" s="359"/>
      <c r="AF971" s="359"/>
      <c r="AG971" s="359"/>
      <c r="AH971" s="359"/>
      <c r="AI971" s="359"/>
      <c r="AJ971" s="359"/>
      <c r="AK971" s="359"/>
      <c r="AL971" s="359"/>
      <c r="AM971" s="359"/>
      <c r="AN971" s="359"/>
      <c r="AO971" s="359"/>
    </row>
    <row r="972" spans="1:41" ht="15" customHeight="1" x14ac:dyDescent="0.25">
      <c r="A972" s="384"/>
      <c r="B972" s="396"/>
      <c r="C972" s="134" t="s">
        <v>173</v>
      </c>
      <c r="D972" s="134"/>
      <c r="E972" s="57" t="s">
        <v>204</v>
      </c>
      <c r="F972" s="359"/>
      <c r="G972" s="359"/>
      <c r="H972" s="359"/>
      <c r="I972" s="359"/>
      <c r="J972" s="359"/>
      <c r="K972" s="359"/>
      <c r="L972" s="359"/>
      <c r="M972" s="359"/>
      <c r="N972" s="359"/>
      <c r="O972" s="359"/>
      <c r="P972" s="359"/>
      <c r="Q972" s="359"/>
      <c r="R972" s="359"/>
      <c r="S972" s="359"/>
      <c r="T972" s="359"/>
      <c r="U972" s="359"/>
      <c r="V972" s="359"/>
      <c r="W972" s="359"/>
      <c r="X972" s="359"/>
      <c r="Y972" s="359"/>
      <c r="Z972" s="359"/>
      <c r="AA972" s="359"/>
      <c r="AB972" s="359"/>
      <c r="AC972" s="359"/>
      <c r="AD972" s="359"/>
      <c r="AE972" s="359"/>
      <c r="AF972" s="359"/>
      <c r="AG972" s="359"/>
      <c r="AH972" s="359"/>
      <c r="AI972" s="359"/>
      <c r="AJ972" s="359"/>
      <c r="AK972" s="359"/>
      <c r="AL972" s="359"/>
      <c r="AM972" s="359"/>
      <c r="AN972" s="359"/>
      <c r="AO972" s="359"/>
    </row>
    <row r="973" spans="1:41" ht="15" customHeight="1" x14ac:dyDescent="0.25">
      <c r="A973" s="384"/>
      <c r="B973" s="396"/>
      <c r="C973" s="134"/>
      <c r="D973" s="134" t="s">
        <v>157</v>
      </c>
      <c r="E973" s="57" t="s">
        <v>205</v>
      </c>
      <c r="F973" s="359"/>
      <c r="G973" s="359"/>
      <c r="H973" s="359"/>
      <c r="I973" s="359"/>
      <c r="J973" s="359"/>
      <c r="K973" s="359"/>
      <c r="L973" s="359"/>
      <c r="M973" s="359"/>
      <c r="N973" s="359"/>
      <c r="O973" s="359"/>
      <c r="P973" s="359"/>
      <c r="Q973" s="359"/>
      <c r="R973" s="359"/>
      <c r="S973" s="359"/>
      <c r="T973" s="359"/>
      <c r="U973" s="359"/>
      <c r="V973" s="359"/>
      <c r="W973" s="359"/>
      <c r="X973" s="359"/>
      <c r="Y973" s="359"/>
      <c r="Z973" s="359"/>
      <c r="AA973" s="359"/>
      <c r="AB973" s="359"/>
      <c r="AC973" s="359"/>
      <c r="AD973" s="359"/>
      <c r="AE973" s="359"/>
      <c r="AF973" s="359"/>
      <c r="AG973" s="359"/>
      <c r="AH973" s="359"/>
      <c r="AI973" s="359"/>
      <c r="AJ973" s="359"/>
      <c r="AK973" s="359"/>
      <c r="AL973" s="359"/>
      <c r="AM973" s="359"/>
      <c r="AN973" s="359"/>
      <c r="AO973" s="359"/>
    </row>
    <row r="974" spans="1:41" ht="15" customHeight="1" x14ac:dyDescent="0.25">
      <c r="A974" s="384"/>
      <c r="B974" s="396"/>
      <c r="C974" s="134"/>
      <c r="D974" s="134" t="s">
        <v>150</v>
      </c>
      <c r="E974" s="57" t="s">
        <v>206</v>
      </c>
      <c r="F974" s="359"/>
      <c r="G974" s="359"/>
      <c r="H974" s="359"/>
      <c r="I974" s="359"/>
      <c r="J974" s="359"/>
      <c r="K974" s="359"/>
      <c r="L974" s="359"/>
      <c r="M974" s="359"/>
      <c r="N974" s="359"/>
      <c r="O974" s="359"/>
      <c r="P974" s="359"/>
      <c r="Q974" s="359"/>
      <c r="R974" s="359"/>
      <c r="S974" s="359"/>
      <c r="T974" s="359"/>
      <c r="U974" s="359"/>
      <c r="V974" s="359"/>
      <c r="W974" s="359"/>
      <c r="X974" s="359"/>
      <c r="Y974" s="359"/>
      <c r="Z974" s="359"/>
      <c r="AA974" s="359"/>
      <c r="AB974" s="359"/>
      <c r="AC974" s="359"/>
      <c r="AD974" s="359"/>
      <c r="AE974" s="359"/>
      <c r="AF974" s="359"/>
      <c r="AG974" s="359"/>
      <c r="AH974" s="359"/>
      <c r="AI974" s="359"/>
      <c r="AJ974" s="359"/>
      <c r="AK974" s="359"/>
      <c r="AL974" s="359"/>
      <c r="AM974" s="359"/>
      <c r="AN974" s="359"/>
      <c r="AO974" s="359"/>
    </row>
    <row r="975" spans="1:41" ht="15" customHeight="1" x14ac:dyDescent="0.25">
      <c r="A975" s="384"/>
      <c r="B975" s="396"/>
      <c r="C975" s="134"/>
      <c r="D975" s="134" t="s">
        <v>152</v>
      </c>
      <c r="E975" s="57" t="s">
        <v>207</v>
      </c>
      <c r="F975" s="359"/>
      <c r="G975" s="359"/>
      <c r="H975" s="359"/>
      <c r="I975" s="359"/>
      <c r="J975" s="359"/>
      <c r="K975" s="359"/>
      <c r="L975" s="359"/>
      <c r="M975" s="359"/>
      <c r="N975" s="359"/>
      <c r="O975" s="359"/>
      <c r="P975" s="359"/>
      <c r="Q975" s="359"/>
      <c r="R975" s="359"/>
      <c r="S975" s="359"/>
      <c r="T975" s="359"/>
      <c r="U975" s="359"/>
      <c r="V975" s="359"/>
      <c r="W975" s="359"/>
      <c r="X975" s="359"/>
      <c r="Y975" s="359"/>
      <c r="Z975" s="359"/>
      <c r="AA975" s="359"/>
      <c r="AB975" s="359"/>
      <c r="AC975" s="359"/>
      <c r="AD975" s="359"/>
      <c r="AE975" s="359"/>
      <c r="AF975" s="359"/>
      <c r="AG975" s="359"/>
      <c r="AH975" s="359"/>
      <c r="AI975" s="359"/>
      <c r="AJ975" s="359"/>
      <c r="AK975" s="359"/>
      <c r="AL975" s="359"/>
      <c r="AM975" s="359"/>
      <c r="AN975" s="359"/>
      <c r="AO975" s="359"/>
    </row>
    <row r="976" spans="1:41" ht="15" customHeight="1" x14ac:dyDescent="0.25">
      <c r="A976" s="384"/>
      <c r="B976" s="396"/>
      <c r="C976" s="134" t="s">
        <v>169</v>
      </c>
      <c r="D976" s="134"/>
      <c r="E976" s="57" t="s">
        <v>208</v>
      </c>
      <c r="F976" s="359"/>
      <c r="G976" s="359"/>
      <c r="H976" s="359"/>
      <c r="I976" s="359"/>
      <c r="J976" s="359"/>
      <c r="K976" s="359"/>
      <c r="L976" s="359"/>
      <c r="M976" s="359"/>
      <c r="N976" s="359"/>
      <c r="O976" s="359"/>
      <c r="P976" s="359"/>
      <c r="Q976" s="359"/>
      <c r="R976" s="359"/>
      <c r="S976" s="359"/>
      <c r="T976" s="359"/>
      <c r="U976" s="359"/>
      <c r="V976" s="359"/>
      <c r="W976" s="359"/>
      <c r="X976" s="359"/>
      <c r="Y976" s="359"/>
      <c r="Z976" s="359"/>
      <c r="AA976" s="359"/>
      <c r="AB976" s="359"/>
      <c r="AC976" s="359"/>
      <c r="AD976" s="359"/>
      <c r="AE976" s="359"/>
      <c r="AF976" s="359"/>
      <c r="AG976" s="359"/>
      <c r="AH976" s="359"/>
      <c r="AI976" s="359"/>
      <c r="AJ976" s="359"/>
      <c r="AK976" s="359"/>
      <c r="AL976" s="359"/>
      <c r="AM976" s="359"/>
      <c r="AN976" s="359"/>
      <c r="AO976" s="359"/>
    </row>
    <row r="977" spans="1:41" ht="15" customHeight="1" x14ac:dyDescent="0.25">
      <c r="A977" s="384"/>
      <c r="B977" s="396"/>
      <c r="C977" s="134"/>
      <c r="D977" s="134" t="s">
        <v>157</v>
      </c>
      <c r="E977" s="57" t="s">
        <v>209</v>
      </c>
      <c r="F977" s="359"/>
      <c r="G977" s="359"/>
      <c r="H977" s="359"/>
      <c r="I977" s="359"/>
      <c r="J977" s="359"/>
      <c r="K977" s="359"/>
      <c r="L977" s="359"/>
      <c r="M977" s="359"/>
      <c r="N977" s="359"/>
      <c r="O977" s="359"/>
      <c r="P977" s="359"/>
      <c r="Q977" s="359"/>
      <c r="R977" s="359"/>
      <c r="S977" s="359"/>
      <c r="T977" s="359"/>
      <c r="U977" s="359"/>
      <c r="V977" s="359"/>
      <c r="W977" s="359"/>
      <c r="X977" s="359"/>
      <c r="Y977" s="359"/>
      <c r="Z977" s="359"/>
      <c r="AA977" s="359"/>
      <c r="AB977" s="359"/>
      <c r="AC977" s="359"/>
      <c r="AD977" s="359"/>
      <c r="AE977" s="359"/>
      <c r="AF977" s="359"/>
      <c r="AG977" s="359"/>
      <c r="AH977" s="359"/>
      <c r="AI977" s="359"/>
      <c r="AJ977" s="359"/>
      <c r="AK977" s="359"/>
      <c r="AL977" s="359"/>
      <c r="AM977" s="359"/>
      <c r="AN977" s="359"/>
      <c r="AO977" s="359"/>
    </row>
    <row r="978" spans="1:41" ht="15" customHeight="1" x14ac:dyDescent="0.25">
      <c r="A978" s="384"/>
      <c r="B978" s="396"/>
      <c r="C978" s="134"/>
      <c r="D978" s="134" t="s">
        <v>150</v>
      </c>
      <c r="E978" s="57" t="s">
        <v>210</v>
      </c>
      <c r="F978" s="359"/>
      <c r="G978" s="359"/>
      <c r="H978" s="359"/>
      <c r="I978" s="359"/>
      <c r="J978" s="359"/>
      <c r="K978" s="359"/>
      <c r="L978" s="359"/>
      <c r="M978" s="359"/>
      <c r="N978" s="359"/>
      <c r="O978" s="359"/>
      <c r="P978" s="359"/>
      <c r="Q978" s="359"/>
      <c r="R978" s="359"/>
      <c r="S978" s="359"/>
      <c r="T978" s="359"/>
      <c r="U978" s="359"/>
      <c r="V978" s="359"/>
      <c r="W978" s="359"/>
      <c r="X978" s="359"/>
      <c r="Y978" s="359"/>
      <c r="Z978" s="359"/>
      <c r="AA978" s="359"/>
      <c r="AB978" s="359"/>
      <c r="AC978" s="359"/>
      <c r="AD978" s="359"/>
      <c r="AE978" s="359"/>
      <c r="AF978" s="359"/>
      <c r="AG978" s="359"/>
      <c r="AH978" s="359"/>
      <c r="AI978" s="359"/>
      <c r="AJ978" s="359"/>
      <c r="AK978" s="359"/>
      <c r="AL978" s="359"/>
      <c r="AM978" s="359"/>
      <c r="AN978" s="359"/>
      <c r="AO978" s="359"/>
    </row>
    <row r="979" spans="1:41" ht="15" customHeight="1" x14ac:dyDescent="0.25">
      <c r="A979" s="384"/>
      <c r="B979" s="396"/>
      <c r="C979" s="134"/>
      <c r="D979" s="134" t="s">
        <v>152</v>
      </c>
      <c r="E979" s="59" t="s">
        <v>211</v>
      </c>
      <c r="F979" s="359"/>
      <c r="G979" s="359"/>
      <c r="H979" s="359"/>
      <c r="I979" s="359"/>
      <c r="J979" s="359"/>
      <c r="K979" s="359"/>
      <c r="L979" s="359"/>
      <c r="M979" s="359"/>
      <c r="N979" s="359"/>
      <c r="O979" s="359"/>
      <c r="P979" s="359"/>
      <c r="Q979" s="359"/>
      <c r="R979" s="359"/>
      <c r="S979" s="359"/>
      <c r="T979" s="359"/>
      <c r="U979" s="359"/>
      <c r="V979" s="359"/>
      <c r="W979" s="359"/>
      <c r="X979" s="359"/>
      <c r="Y979" s="359"/>
      <c r="Z979" s="359"/>
      <c r="AA979" s="359"/>
      <c r="AB979" s="359"/>
      <c r="AC979" s="359"/>
      <c r="AD979" s="359"/>
      <c r="AE979" s="359"/>
      <c r="AF979" s="359"/>
      <c r="AG979" s="359"/>
      <c r="AH979" s="359"/>
      <c r="AI979" s="359"/>
      <c r="AJ979" s="359"/>
      <c r="AK979" s="359"/>
      <c r="AL979" s="359"/>
      <c r="AM979" s="359"/>
      <c r="AN979" s="359"/>
      <c r="AO979" s="359"/>
    </row>
    <row r="980" spans="1:41" ht="15" customHeight="1" x14ac:dyDescent="0.25">
      <c r="A980" s="384"/>
      <c r="B980" s="397" t="s">
        <v>1005</v>
      </c>
      <c r="C980" s="174" t="s">
        <v>212</v>
      </c>
      <c r="D980" s="125"/>
      <c r="E980" s="47"/>
      <c r="F980" s="312"/>
      <c r="G980" s="312"/>
      <c r="H980" s="312"/>
      <c r="I980" s="312"/>
      <c r="J980" s="312"/>
      <c r="K980" s="312"/>
      <c r="L980" s="312"/>
      <c r="M980" s="312"/>
      <c r="N980" s="312"/>
      <c r="O980" s="312"/>
      <c r="P980" s="312"/>
      <c r="Q980" s="312"/>
      <c r="R980" s="312"/>
      <c r="S980" s="312"/>
      <c r="T980" s="312"/>
      <c r="U980" s="312"/>
      <c r="V980" s="312"/>
      <c r="W980" s="312"/>
      <c r="X980" s="312"/>
      <c r="Y980" s="312"/>
      <c r="Z980" s="312"/>
      <c r="AA980" s="312"/>
      <c r="AB980" s="312"/>
      <c r="AC980" s="312"/>
      <c r="AD980" s="312"/>
      <c r="AE980" s="312"/>
      <c r="AF980" s="312"/>
      <c r="AG980" s="312"/>
      <c r="AH980" s="312"/>
      <c r="AI980" s="312"/>
      <c r="AJ980" s="312"/>
      <c r="AK980" s="312"/>
      <c r="AL980" s="312"/>
      <c r="AM980" s="312"/>
      <c r="AN980" s="312"/>
      <c r="AO980" s="312"/>
    </row>
    <row r="981" spans="1:41" ht="15" customHeight="1" x14ac:dyDescent="0.25">
      <c r="A981" s="384"/>
      <c r="B981" s="397"/>
      <c r="C981" s="174" t="s">
        <v>213</v>
      </c>
      <c r="D981" s="125"/>
      <c r="E981" s="47"/>
      <c r="F981" s="312"/>
      <c r="G981" s="312"/>
      <c r="H981" s="312"/>
      <c r="I981" s="312"/>
      <c r="J981" s="312"/>
      <c r="K981" s="312"/>
      <c r="L981" s="312"/>
      <c r="M981" s="312"/>
      <c r="N981" s="312"/>
      <c r="O981" s="312"/>
      <c r="P981" s="312"/>
      <c r="Q981" s="312"/>
      <c r="R981" s="312"/>
      <c r="S981" s="312"/>
      <c r="T981" s="312"/>
      <c r="U981" s="312"/>
      <c r="V981" s="312"/>
      <c r="W981" s="312"/>
      <c r="X981" s="312"/>
      <c r="Y981" s="312"/>
      <c r="Z981" s="312"/>
      <c r="AA981" s="312"/>
      <c r="AB981" s="312"/>
      <c r="AC981" s="312"/>
      <c r="AD981" s="312"/>
      <c r="AE981" s="312"/>
      <c r="AF981" s="312"/>
      <c r="AG981" s="312"/>
      <c r="AH981" s="312"/>
      <c r="AI981" s="312"/>
      <c r="AJ981" s="312"/>
      <c r="AK981" s="312"/>
      <c r="AL981" s="312"/>
      <c r="AM981" s="312"/>
      <c r="AN981" s="312"/>
      <c r="AO981" s="312"/>
    </row>
    <row r="982" spans="1:41" ht="15" customHeight="1" x14ac:dyDescent="0.25">
      <c r="A982" s="384"/>
      <c r="B982" s="397"/>
      <c r="C982" s="174" t="s">
        <v>214</v>
      </c>
      <c r="D982" s="125"/>
      <c r="E982" s="47"/>
      <c r="F982" s="312"/>
      <c r="G982" s="312"/>
      <c r="H982" s="312"/>
      <c r="I982" s="312"/>
      <c r="J982" s="312"/>
      <c r="K982" s="312"/>
      <c r="L982" s="312"/>
      <c r="M982" s="312"/>
      <c r="N982" s="312"/>
      <c r="O982" s="312"/>
      <c r="P982" s="312"/>
      <c r="Q982" s="312"/>
      <c r="R982" s="312"/>
      <c r="S982" s="312"/>
      <c r="T982" s="312"/>
      <c r="U982" s="312"/>
      <c r="V982" s="312"/>
      <c r="W982" s="312"/>
      <c r="X982" s="312"/>
      <c r="Y982" s="312"/>
      <c r="Z982" s="312"/>
      <c r="AA982" s="312"/>
      <c r="AB982" s="312"/>
      <c r="AC982" s="312"/>
      <c r="AD982" s="312"/>
      <c r="AE982" s="312"/>
      <c r="AF982" s="312"/>
      <c r="AG982" s="312"/>
      <c r="AH982" s="312"/>
      <c r="AI982" s="312"/>
      <c r="AJ982" s="312"/>
      <c r="AK982" s="312"/>
      <c r="AL982" s="312"/>
      <c r="AM982" s="312"/>
      <c r="AN982" s="312"/>
      <c r="AO982" s="312"/>
    </row>
    <row r="983" spans="1:41" ht="15" customHeight="1" x14ac:dyDescent="0.25">
      <c r="A983" s="385"/>
      <c r="B983" s="398"/>
      <c r="C983" s="175" t="s">
        <v>215</v>
      </c>
      <c r="D983" s="124"/>
      <c r="E983" s="52"/>
      <c r="F983" s="313"/>
      <c r="G983" s="313"/>
      <c r="H983" s="313"/>
      <c r="I983" s="313"/>
      <c r="J983" s="313"/>
      <c r="K983" s="313"/>
      <c r="L983" s="313"/>
      <c r="M983" s="313"/>
      <c r="N983" s="313"/>
      <c r="O983" s="313"/>
      <c r="P983" s="313"/>
      <c r="Q983" s="313"/>
      <c r="R983" s="313"/>
      <c r="S983" s="313"/>
      <c r="T983" s="313"/>
      <c r="U983" s="313"/>
      <c r="V983" s="313"/>
      <c r="W983" s="313"/>
      <c r="X983" s="313"/>
      <c r="Y983" s="313"/>
      <c r="Z983" s="313"/>
      <c r="AA983" s="313"/>
      <c r="AB983" s="313"/>
      <c r="AC983" s="313"/>
      <c r="AD983" s="313"/>
      <c r="AE983" s="313"/>
      <c r="AF983" s="313"/>
      <c r="AG983" s="313"/>
      <c r="AH983" s="313"/>
      <c r="AI983" s="313"/>
      <c r="AJ983" s="313"/>
      <c r="AK983" s="313"/>
      <c r="AL983" s="313"/>
      <c r="AM983" s="313"/>
      <c r="AN983" s="313"/>
      <c r="AO983" s="313"/>
    </row>
    <row r="984" spans="1:41" ht="15" customHeight="1" x14ac:dyDescent="0.25">
      <c r="A984" s="401" t="s">
        <v>987</v>
      </c>
      <c r="B984" s="399" t="s">
        <v>2216</v>
      </c>
      <c r="C984" s="132" t="s">
        <v>216</v>
      </c>
      <c r="D984" s="132"/>
      <c r="E984" s="54" t="s">
        <v>217</v>
      </c>
      <c r="F984" s="379">
        <f>+VLOOKUP($E984,Macro!$1:$1048576,F$2,FALSE)</f>
        <v>0</v>
      </c>
      <c r="G984" s="379">
        <f>+VLOOKUP($E984,Macro!$1:$1048576,G$2,FALSE)</f>
        <v>3.3641187997091038E-3</v>
      </c>
      <c r="H984" s="379">
        <f>+VLOOKUP($E984,Macro!$1:$1048576,H$2,FALSE)</f>
        <v>9.0822910460808259E-3</v>
      </c>
      <c r="I984" s="379">
        <f>+VLOOKUP($E984,Macro!$1:$1048576,I$2,FALSE)</f>
        <v>1.6620142947432193E-2</v>
      </c>
      <c r="J984" s="379">
        <f>+VLOOKUP($E984,Macro!$1:$1048576,J$2,FALSE)</f>
        <v>2.5773819693153399E-2</v>
      </c>
      <c r="K984" s="379">
        <f>+VLOOKUP($E984,Macro!$1:$1048576,K$2,FALSE)</f>
        <v>3.675428841194428E-2</v>
      </c>
      <c r="L984" s="379">
        <f>+VLOOKUP($E984,Macro!$1:$1048576,L$2,FALSE)</f>
        <v>4.8738572254336532E-2</v>
      </c>
      <c r="M984" s="379">
        <f>+VLOOKUP($E984,Macro!$1:$1048576,M$2,FALSE)</f>
        <v>6.009585893678171E-2</v>
      </c>
      <c r="N984" s="379">
        <f>+VLOOKUP($E984,Macro!$1:$1048576,N$2,FALSE)</f>
        <v>7.0015106790588533E-2</v>
      </c>
      <c r="O984" s="379">
        <f>+VLOOKUP($E984,Macro!$1:$1048576,O$2,FALSE)</f>
        <v>7.8444432843594036E-2</v>
      </c>
      <c r="P984" s="379">
        <f>+VLOOKUP($E984,Macro!$1:$1048576,P$2,FALSE)</f>
        <v>8.596298329950347E-2</v>
      </c>
      <c r="Q984" s="379">
        <f>+VLOOKUP($E984,Macro!$1:$1048576,Q$2,FALSE)</f>
        <v>9.3517875039306197E-2</v>
      </c>
      <c r="R984" s="379">
        <f>+VLOOKUP($E984,Macro!$1:$1048576,R$2,FALSE)</f>
        <v>0.10215197422387412</v>
      </c>
      <c r="S984" s="379">
        <f>+VLOOKUP($E984,Macro!$1:$1048576,S$2,FALSE)</f>
        <v>0.11279883931964996</v>
      </c>
      <c r="T984" s="379">
        <f>+VLOOKUP($E984,Macro!$1:$1048576,T$2,FALSE)</f>
        <v>0.1261599893421117</v>
      </c>
      <c r="U984" s="379">
        <f>+VLOOKUP($E984,Macro!$1:$1048576,U$2,FALSE)</f>
        <v>0.1426524117757566</v>
      </c>
      <c r="V984" s="379">
        <f>+VLOOKUP($E984,Macro!$1:$1048576,V$2,FALSE)</f>
        <v>0.16135000682691025</v>
      </c>
      <c r="W984" s="379">
        <f>+VLOOKUP($E984,Macro!$1:$1048576,W$2,FALSE)</f>
        <v>0.1802489086113912</v>
      </c>
      <c r="X984" s="379">
        <f>+VLOOKUP($E984,Macro!$1:$1048576,X$2,FALSE)</f>
        <v>0.19776241417297502</v>
      </c>
      <c r="Y984" s="379">
        <f>+VLOOKUP($E984,Macro!$1:$1048576,Y$2,FALSE)</f>
        <v>0.21281821933873957</v>
      </c>
      <c r="Z984" s="379">
        <f>+VLOOKUP($E984,Macro!$1:$1048576,Z$2,FALSE)</f>
        <v>0.22488162556755231</v>
      </c>
      <c r="AA984" s="379">
        <f>+VLOOKUP($E984,Macro!$1:$1048576,AA$2,FALSE)</f>
        <v>0.23384640340853302</v>
      </c>
      <c r="AB984" s="379">
        <f>+VLOOKUP($E984,Macro!$1:$1048576,AB$2,FALSE)</f>
        <v>0.23987807168803776</v>
      </c>
      <c r="AC984" s="379">
        <f>+VLOOKUP($E984,Macro!$1:$1048576,AC$2,FALSE)</f>
        <v>0.24327290629826415</v>
      </c>
      <c r="AD984" s="379">
        <f>+VLOOKUP($E984,Macro!$1:$1048576,AD$2,FALSE)</f>
        <v>0.24435604380725895</v>
      </c>
      <c r="AE984" s="379">
        <f>+VLOOKUP($E984,Macro!$1:$1048576,AE$2,FALSE)</f>
        <v>0.24341917386956347</v>
      </c>
      <c r="AF984" s="379">
        <f>+VLOOKUP($E984,Macro!$1:$1048576,AF$2,FALSE)</f>
        <v>0.24069008633054167</v>
      </c>
      <c r="AG984" s="379">
        <f>+VLOOKUP($E984,Macro!$1:$1048576,AG$2,FALSE)</f>
        <v>0.23632354167872904</v>
      </c>
      <c r="AH984" s="379">
        <f>+VLOOKUP($E984,Macro!$1:$1048576,AH$2,FALSE)</f>
        <v>0.23040663748350454</v>
      </c>
      <c r="AI984" s="379">
        <f>+VLOOKUP($E984,Macro!$1:$1048576,AI$2,FALSE)</f>
        <v>0.22297109119497893</v>
      </c>
      <c r="AJ984" s="379">
        <f>+VLOOKUP($E984,Macro!$1:$1048576,AJ$2,FALSE)</f>
        <v>0.21400903031845164</v>
      </c>
      <c r="AK984" s="379">
        <f>+VLOOKUP($E984,Macro!$1:$1048576,AK$2,FALSE)</f>
        <v>0.20348859299632593</v>
      </c>
      <c r="AL984" s="379">
        <f>+VLOOKUP($E984,Macro!$1:$1048576,AL$2,FALSE)</f>
        <v>0.19136789527074427</v>
      </c>
      <c r="AM984" s="379">
        <f>+VLOOKUP($E984,Macro!$1:$1048576,AM$2,FALSE)</f>
        <v>0.17760608603039074</v>
      </c>
      <c r="AN984" s="379">
        <f>+VLOOKUP($E984,Macro!$1:$1048576,AN$2,FALSE)</f>
        <v>0.16217137907874601</v>
      </c>
      <c r="AO984" s="379">
        <f>+VLOOKUP($E984,Macro!$1:$1048576,AO$2,FALSE)</f>
        <v>0.14504591145982904</v>
      </c>
    </row>
    <row r="985" spans="1:41" ht="15" customHeight="1" x14ac:dyDescent="0.25">
      <c r="A985" s="402"/>
      <c r="B985" s="399"/>
      <c r="C985" s="132" t="s">
        <v>218</v>
      </c>
      <c r="D985" s="132"/>
      <c r="E985" s="63" t="s">
        <v>2179</v>
      </c>
      <c r="F985" s="379">
        <f>+VLOOKUP($E985,Macro!$1:$1048576,F$2,FALSE)</f>
        <v>0</v>
      </c>
      <c r="G985" s="379">
        <f>+VLOOKUP($E985,Macro!$1:$1048576,G$2,FALSE)</f>
        <v>4.6308796759042536E-3</v>
      </c>
      <c r="H985" s="379">
        <f>+VLOOKUP($E985,Macro!$1:$1048576,H$2,FALSE)</f>
        <v>1.2257928092296311E-2</v>
      </c>
      <c r="I985" s="379">
        <f>+VLOOKUP($E985,Macro!$1:$1048576,I$2,FALSE)</f>
        <v>2.2103622141611545E-2</v>
      </c>
      <c r="J985" s="379">
        <f>+VLOOKUP($E985,Macro!$1:$1048576,J$2,FALSE)</f>
        <v>3.3966799724649555E-2</v>
      </c>
      <c r="K985" s="379">
        <f>+VLOOKUP($E985,Macro!$1:$1048576,K$2,FALSE)</f>
        <v>4.8189742919402256E-2</v>
      </c>
      <c r="L985" s="379">
        <f>+VLOOKUP($E985,Macro!$1:$1048576,L$2,FALSE)</f>
        <v>6.3591594584266886E-2</v>
      </c>
      <c r="M985" s="379">
        <f>+VLOOKUP($E985,Macro!$1:$1048576,M$2,FALSE)</f>
        <v>7.7928069822319479E-2</v>
      </c>
      <c r="N985" s="379">
        <f>+VLOOKUP($E985,Macro!$1:$1048576,N$2,FALSE)</f>
        <v>9.02087233562332E-2</v>
      </c>
      <c r="O985" s="379">
        <f>+VLOOKUP($E985,Macro!$1:$1048576,O$2,FALSE)</f>
        <v>0.10045819690156499</v>
      </c>
      <c r="P985" s="379">
        <f>+VLOOKUP($E985,Macro!$1:$1048576,P$2,FALSE)</f>
        <v>0.10946525905444204</v>
      </c>
      <c r="Q985" s="379">
        <f>+VLOOKUP($E985,Macro!$1:$1048576,Q$2,FALSE)</f>
        <v>0.11843945174434545</v>
      </c>
      <c r="R985" s="379">
        <f>+VLOOKUP($E985,Macro!$1:$1048576,R$2,FALSE)</f>
        <v>0.12868421007021791</v>
      </c>
      <c r="S985" s="379">
        <f>+VLOOKUP($E985,Macro!$1:$1048576,S$2,FALSE)</f>
        <v>0.14135396586505422</v>
      </c>
      <c r="T985" s="379">
        <f>+VLOOKUP($E985,Macro!$1:$1048576,T$2,FALSE)</f>
        <v>0.15730597916434608</v>
      </c>
      <c r="U985" s="379">
        <f>+VLOOKUP($E985,Macro!$1:$1048576,U$2,FALSE)</f>
        <v>0.17703502751251765</v>
      </c>
      <c r="V985" s="379">
        <f>+VLOOKUP($E985,Macro!$1:$1048576,V$2,FALSE)</f>
        <v>0.19924260673838123</v>
      </c>
      <c r="W985" s="379">
        <f>+VLOOKUP($E985,Macro!$1:$1048576,W$2,FALSE)</f>
        <v>0.22128356813886363</v>
      </c>
      <c r="X985" s="379">
        <f>+VLOOKUP($E985,Macro!$1:$1048576,X$2,FALSE)</f>
        <v>0.2411940001093793</v>
      </c>
      <c r="Y985" s="379">
        <f>+VLOOKUP($E985,Macro!$1:$1048576,Y$2,FALSE)</f>
        <v>0.25769970001905396</v>
      </c>
      <c r="Z985" s="379">
        <f>+VLOOKUP($E985,Macro!$1:$1048576,Z$2,FALSE)</f>
        <v>0.27018278400470219</v>
      </c>
      <c r="AA985" s="379">
        <f>+VLOOKUP($E985,Macro!$1:$1048576,AA$2,FALSE)</f>
        <v>0.27853424837995799</v>
      </c>
      <c r="AB985" s="379">
        <f>+VLOOKUP($E985,Macro!$1:$1048576,AB$2,FALSE)</f>
        <v>0.28297033888056156</v>
      </c>
      <c r="AC985" s="379">
        <f>+VLOOKUP($E985,Macro!$1:$1048576,AC$2,FALSE)</f>
        <v>0.28387016083613048</v>
      </c>
      <c r="AD985" s="379">
        <f>+VLOOKUP($E985,Macro!$1:$1048576,AD$2,FALSE)</f>
        <v>0.28165927123013912</v>
      </c>
      <c r="AE985" s="379">
        <f>+VLOOKUP($E985,Macro!$1:$1048576,AE$2,FALSE)</f>
        <v>0.27673714314147002</v>
      </c>
      <c r="AF985" s="379">
        <f>+VLOOKUP($E985,Macro!$1:$1048576,AF$2,FALSE)</f>
        <v>0.26944027608224452</v>
      </c>
      <c r="AG985" s="379">
        <f>+VLOOKUP($E985,Macro!$1:$1048576,AG$2,FALSE)</f>
        <v>0.26002945625880347</v>
      </c>
      <c r="AH985" s="379">
        <f>+VLOOKUP($E985,Macro!$1:$1048576,AH$2,FALSE)</f>
        <v>0.2486932849681267</v>
      </c>
      <c r="AI985" s="379">
        <f>+VLOOKUP($E985,Macro!$1:$1048576,AI$2,FALSE)</f>
        <v>0.2355598298219741</v>
      </c>
      <c r="AJ985" s="379">
        <f>+VLOOKUP($E985,Macro!$1:$1048576,AJ$2,FALSE)</f>
        <v>0.22071209572083195</v>
      </c>
      <c r="AK985" s="379">
        <f>+VLOOKUP($E985,Macro!$1:$1048576,AK$2,FALSE)</f>
        <v>0.2042038321153461</v>
      </c>
      <c r="AL985" s="379">
        <f>+VLOOKUP($E985,Macro!$1:$1048576,AL$2,FALSE)</f>
        <v>0.18607387573639222</v>
      </c>
      <c r="AM985" s="379">
        <f>+VLOOKUP($E985,Macro!$1:$1048576,AM$2,FALSE)</f>
        <v>0.16635668872682086</v>
      </c>
      <c r="AN985" s="379">
        <f>+VLOOKUP($E985,Macro!$1:$1048576,AN$2,FALSE)</f>
        <v>0.14509107777014307</v>
      </c>
      <c r="AO985" s="379">
        <f>+VLOOKUP($E985,Macro!$1:$1048576,AO$2,FALSE)</f>
        <v>0.12232398277054468</v>
      </c>
    </row>
    <row r="986" spans="1:41" ht="15" customHeight="1" x14ac:dyDescent="0.25">
      <c r="A986" s="402"/>
      <c r="B986" s="399"/>
      <c r="C986" s="132" t="s">
        <v>2</v>
      </c>
      <c r="D986" s="132"/>
      <c r="E986" s="54" t="s">
        <v>219</v>
      </c>
      <c r="F986" s="379">
        <f>+VLOOKUP($E986,Macro!$1:$1048576,F$2,FALSE)</f>
        <v>0</v>
      </c>
      <c r="G986" s="379">
        <f>+VLOOKUP($E986,Macro!$1:$1048576,G$2,FALSE)</f>
        <v>2.1929801292342515E-3</v>
      </c>
      <c r="H986" s="379">
        <f>+VLOOKUP($E986,Macro!$1:$1048576,H$2,FALSE)</f>
        <v>7.5184546232595437E-3</v>
      </c>
      <c r="I986" s="379">
        <f>+VLOOKUP($E986,Macro!$1:$1048576,I$2,FALSE)</f>
        <v>1.6082426605885086E-2</v>
      </c>
      <c r="J986" s="379">
        <f>+VLOOKUP($E986,Macro!$1:$1048576,J$2,FALSE)</f>
        <v>2.779542057663829E-2</v>
      </c>
      <c r="K986" s="379">
        <f>+VLOOKUP($E986,Macro!$1:$1048576,K$2,FALSE)</f>
        <v>4.2970976653522189E-2</v>
      </c>
      <c r="L986" s="379">
        <f>+VLOOKUP($E986,Macro!$1:$1048576,L$2,FALSE)</f>
        <v>6.161111292635673E-2</v>
      </c>
      <c r="M986" s="379">
        <f>+VLOOKUP($E986,Macro!$1:$1048576,M$2,FALSE)</f>
        <v>8.2784009888299509E-2</v>
      </c>
      <c r="N986" s="379">
        <f>+VLOOKUP($E986,Macro!$1:$1048576,N$2,FALSE)</f>
        <v>0.10533604742285797</v>
      </c>
      <c r="O986" s="379">
        <f>+VLOOKUP($E986,Macro!$1:$1048576,O$2,FALSE)</f>
        <v>0.12861588418264552</v>
      </c>
      <c r="P986" s="379">
        <f>+VLOOKUP($E986,Macro!$1:$1048576,P$2,FALSE)</f>
        <v>0.15272544968731303</v>
      </c>
      <c r="Q986" s="379">
        <f>+VLOOKUP($E986,Macro!$1:$1048576,Q$2,FALSE)</f>
        <v>0.17837011329577754</v>
      </c>
      <c r="R986" s="379">
        <f>+VLOOKUP($E986,Macro!$1:$1048576,R$2,FALSE)</f>
        <v>0.2066003486214345</v>
      </c>
      <c r="S986" s="379">
        <f>+VLOOKUP($E986,Macro!$1:$1048576,S$2,FALSE)</f>
        <v>0.23859338027940094</v>
      </c>
      <c r="T986" s="379">
        <f>+VLOOKUP($E986,Macro!$1:$1048576,T$2,FALSE)</f>
        <v>0.27551308756453591</v>
      </c>
      <c r="U986" s="379">
        <f>+VLOOKUP($E986,Macro!$1:$1048576,U$2,FALSE)</f>
        <v>0.31843770756627326</v>
      </c>
      <c r="V986" s="379">
        <f>+VLOOKUP($E986,Macro!$1:$1048576,V$2,FALSE)</f>
        <v>0.36765925482624789</v>
      </c>
      <c r="W986" s="379">
        <f>+VLOOKUP($E986,Macro!$1:$1048576,W$2,FALSE)</f>
        <v>0.4222669465773824</v>
      </c>
      <c r="X986" s="379">
        <f>+VLOOKUP($E986,Macro!$1:$1048576,X$2,FALSE)</f>
        <v>0.48084151497357946</v>
      </c>
      <c r="Y986" s="379">
        <f>+VLOOKUP($E986,Macro!$1:$1048576,Y$2,FALSE)</f>
        <v>0.54207887069117711</v>
      </c>
      <c r="Z986" s="379">
        <f>+VLOOKUP($E986,Macro!$1:$1048576,Z$2,FALSE)</f>
        <v>0.60507626449336915</v>
      </c>
      <c r="AA986" s="379">
        <f>+VLOOKUP($E986,Macro!$1:$1048576,AA$2,FALSE)</f>
        <v>0.66931450264482373</v>
      </c>
      <c r="AB986" s="379">
        <f>+VLOOKUP($E986,Macro!$1:$1048576,AB$2,FALSE)</f>
        <v>0.73452829882733828</v>
      </c>
      <c r="AC986" s="379">
        <f>+VLOOKUP($E986,Macro!$1:$1048576,AC$2,FALSE)</f>
        <v>0.80057284992926903</v>
      </c>
      <c r="AD986" s="379">
        <f>+VLOOKUP($E986,Macro!$1:$1048576,AD$2,FALSE)</f>
        <v>0.86732603850980072</v>
      </c>
      <c r="AE986" s="379">
        <f>+VLOOKUP($E986,Macro!$1:$1048576,AE$2,FALSE)</f>
        <v>0.93463019624380017</v>
      </c>
      <c r="AF986" s="379">
        <f>+VLOOKUP($E986,Macro!$1:$1048576,AF$2,FALSE)</f>
        <v>1.0022654131686779</v>
      </c>
      <c r="AG986" s="379">
        <f>+VLOOKUP($E986,Macro!$1:$1048576,AG$2,FALSE)</f>
        <v>1.0699443439920737</v>
      </c>
      <c r="AH986" s="379">
        <f>+VLOOKUP($E986,Macro!$1:$1048576,AH$2,FALSE)</f>
        <v>1.1373208059819049</v>
      </c>
      <c r="AI986" s="379">
        <f>+VLOOKUP($E986,Macro!$1:$1048576,AI$2,FALSE)</f>
        <v>1.2040053514960867</v>
      </c>
      <c r="AJ986" s="379">
        <f>+VLOOKUP($E986,Macro!$1:$1048576,AJ$2,FALSE)</f>
        <v>1.2695831772577528</v>
      </c>
      <c r="AK986" s="379">
        <f>+VLOOKUP($E986,Macro!$1:$1048576,AK$2,FALSE)</f>
        <v>1.333632416750254</v>
      </c>
      <c r="AL986" s="379">
        <f>+VLOOKUP($E986,Macro!$1:$1048576,AL$2,FALSE)</f>
        <v>1.3957395880125809</v>
      </c>
      <c r="AM986" s="379">
        <f>+VLOOKUP($E986,Macro!$1:$1048576,AM$2,FALSE)</f>
        <v>1.4555121056877598</v>
      </c>
      <c r="AN986" s="379">
        <f>+VLOOKUP($E986,Macro!$1:$1048576,AN$2,FALSE)</f>
        <v>1.5125875871955849</v>
      </c>
      <c r="AO986" s="379">
        <f>+VLOOKUP($E986,Macro!$1:$1048576,AO$2,FALSE)</f>
        <v>1.5666395386702621</v>
      </c>
    </row>
    <row r="987" spans="1:41" ht="15" customHeight="1" x14ac:dyDescent="0.25">
      <c r="A987" s="402"/>
      <c r="B987" s="399"/>
      <c r="C987" s="132" t="s">
        <v>220</v>
      </c>
      <c r="D987" s="132"/>
      <c r="E987" s="54" t="s">
        <v>221</v>
      </c>
      <c r="F987" s="379">
        <f>+VLOOKUP($E987,Macro!$1:$1048576,F$2,FALSE)</f>
        <v>0</v>
      </c>
      <c r="G987" s="379">
        <f>+VLOOKUP($E987,Macro!$1:$1048576,G$2,FALSE)</f>
        <v>-3.8211488652738971E-3</v>
      </c>
      <c r="H987" s="379">
        <f>+VLOOKUP($E987,Macro!$1:$1048576,H$2,FALSE)</f>
        <v>-7.8287765196658719E-3</v>
      </c>
      <c r="I987" s="379">
        <f>+VLOOKUP($E987,Macro!$1:$1048576,I$2,FALSE)</f>
        <v>-1.1437916914153403E-2</v>
      </c>
      <c r="J987" s="379">
        <f>+VLOOKUP($E987,Macro!$1:$1048576,J$2,FALSE)</f>
        <v>-1.5222180233613583E-2</v>
      </c>
      <c r="K987" s="379">
        <f>+VLOOKUP($E987,Macro!$1:$1048576,K$2,FALSE)</f>
        <v>-1.9979751518479822E-2</v>
      </c>
      <c r="L987" s="379">
        <f>+VLOOKUP($E987,Macro!$1:$1048576,L$2,FALSE)</f>
        <v>-2.458739536398466E-2</v>
      </c>
      <c r="M987" s="379">
        <f>+VLOOKUP($E987,Macro!$1:$1048576,M$2,FALSE)</f>
        <v>-2.7517746887767192E-2</v>
      </c>
      <c r="N987" s="379">
        <f>+VLOOKUP($E987,Macro!$1:$1048576,N$2,FALSE)</f>
        <v>-2.9270482574077768E-2</v>
      </c>
      <c r="O987" s="379">
        <f>+VLOOKUP($E987,Macro!$1:$1048576,O$2,FALSE)</f>
        <v>-3.0830200532651175E-2</v>
      </c>
      <c r="P987" s="379">
        <f>+VLOOKUP($E987,Macro!$1:$1048576,P$2,FALSE)</f>
        <v>-3.3062853977156456E-2</v>
      </c>
      <c r="Q987" s="379">
        <f>+VLOOKUP($E987,Macro!$1:$1048576,Q$2,FALSE)</f>
        <v>-3.6601608296022964E-2</v>
      </c>
      <c r="R987" s="379">
        <f>+VLOOKUP($E987,Macro!$1:$1048576,R$2,FALSE)</f>
        <v>-4.188813949321081E-2</v>
      </c>
      <c r="S987" s="379">
        <f>+VLOOKUP($E987,Macro!$1:$1048576,S$2,FALSE)</f>
        <v>-4.923832168137246E-2</v>
      </c>
      <c r="T987" s="379">
        <f>+VLOOKUP($E987,Macro!$1:$1048576,T$2,FALSE)</f>
        <v>-5.8893358819564881E-2</v>
      </c>
      <c r="U987" s="379">
        <f>+VLOOKUP($E987,Macro!$1:$1048576,U$2,FALSE)</f>
        <v>-7.1051220043408803E-2</v>
      </c>
      <c r="V987" s="379">
        <f>+VLOOKUP($E987,Macro!$1:$1048576,V$2,FALSE)</f>
        <v>-8.4293781003437637E-2</v>
      </c>
      <c r="W987" s="379">
        <f>+VLOOKUP($E987,Macro!$1:$1048576,W$2,FALSE)</f>
        <v>-9.6698205406679505E-2</v>
      </c>
      <c r="X987" s="379">
        <f>+VLOOKUP($E987,Macro!$1:$1048576,X$2,FALSE)</f>
        <v>-0.10805853900272269</v>
      </c>
      <c r="Y987" s="379">
        <f>+VLOOKUP($E987,Macro!$1:$1048576,Y$2,FALSE)</f>
        <v>-0.11869867098060838</v>
      </c>
      <c r="Z987" s="379">
        <f>+VLOOKUP($E987,Macro!$1:$1048576,Z$2,FALSE)</f>
        <v>-0.12898095056954045</v>
      </c>
      <c r="AA987" s="379">
        <f>+VLOOKUP($E987,Macro!$1:$1048576,AA$2,FALSE)</f>
        <v>-0.1391758360926787</v>
      </c>
      <c r="AB987" s="379">
        <f>+VLOOKUP($E987,Macro!$1:$1048576,AB$2,FALSE)</f>
        <v>-0.14945747698224596</v>
      </c>
      <c r="AC987" s="379">
        <f>+VLOOKUP($E987,Macro!$1:$1048576,AC$2,FALSE)</f>
        <v>-0.15993073274983863</v>
      </c>
      <c r="AD987" s="379">
        <f>+VLOOKUP($E987,Macro!$1:$1048576,AD$2,FALSE)</f>
        <v>-0.17065772348827221</v>
      </c>
      <c r="AE987" s="379">
        <f>+VLOOKUP($E987,Macro!$1:$1048576,AE$2,FALSE)</f>
        <v>-0.18167634580310263</v>
      </c>
      <c r="AF987" s="379">
        <f>+VLOOKUP($E987,Macro!$1:$1048576,AF$2,FALSE)</f>
        <v>-0.19301120208205449</v>
      </c>
      <c r="AG987" s="379">
        <f>+VLOOKUP($E987,Macro!$1:$1048576,AG$2,FALSE)</f>
        <v>-0.20467918158217105</v>
      </c>
      <c r="AH987" s="379">
        <f>+VLOOKUP($E987,Macro!$1:$1048576,AH$2,FALSE)</f>
        <v>-0.2166917900547646</v>
      </c>
      <c r="AI987" s="379">
        <f>+VLOOKUP($E987,Macro!$1:$1048576,AI$2,FALSE)</f>
        <v>-0.2290557326631438</v>
      </c>
      <c r="AJ987" s="379">
        <f>+VLOOKUP($E987,Macro!$1:$1048576,AJ$2,FALSE)</f>
        <v>-0.24177267841221828</v>
      </c>
      <c r="AK987" s="379">
        <f>+VLOOKUP($E987,Macro!$1:$1048576,AK$2,FALSE)</f>
        <v>-0.25483882127544777</v>
      </c>
      <c r="AL987" s="379">
        <f>+VLOOKUP($E987,Macro!$1:$1048576,AL$2,FALSE)</f>
        <v>-0.26824449288639146</v>
      </c>
      <c r="AM987" s="379">
        <f>+VLOOKUP($E987,Macro!$1:$1048576,AM$2,FALSE)</f>
        <v>-0.28197399255425998</v>
      </c>
      <c r="AN987" s="379">
        <f>+VLOOKUP($E987,Macro!$1:$1048576,AN$2,FALSE)</f>
        <v>-0.29600565994063216</v>
      </c>
      <c r="AO987" s="379">
        <f>+VLOOKUP($E987,Macro!$1:$1048576,AO$2,FALSE)</f>
        <v>-0.31031218889782231</v>
      </c>
    </row>
    <row r="988" spans="1:41" ht="15" customHeight="1" x14ac:dyDescent="0.25">
      <c r="A988" s="402"/>
      <c r="B988" s="399"/>
      <c r="C988" s="132" t="s">
        <v>222</v>
      </c>
      <c r="D988" s="132"/>
      <c r="E988" s="54" t="s">
        <v>223</v>
      </c>
      <c r="F988" s="379">
        <f>+VLOOKUP($E988,Macro!$1:$1048576,F$2,FALSE)</f>
        <v>0</v>
      </c>
      <c r="G988" s="379">
        <f>+VLOOKUP($E988,Macro!$1:$1048576,G$2,FALSE)</f>
        <v>0</v>
      </c>
      <c r="H988" s="379">
        <f>+VLOOKUP($E988,Macro!$1:$1048576,H$2,FALSE)</f>
        <v>0</v>
      </c>
      <c r="I988" s="379">
        <f>+VLOOKUP($E988,Macro!$1:$1048576,I$2,FALSE)</f>
        <v>0</v>
      </c>
      <c r="J988" s="379">
        <f>+VLOOKUP($E988,Macro!$1:$1048576,J$2,FALSE)</f>
        <v>0</v>
      </c>
      <c r="K988" s="379">
        <f>+VLOOKUP($E988,Macro!$1:$1048576,K$2,FALSE)</f>
        <v>0</v>
      </c>
      <c r="L988" s="379">
        <f>+VLOOKUP($E988,Macro!$1:$1048576,L$2,FALSE)</f>
        <v>0</v>
      </c>
      <c r="M988" s="379">
        <f>+VLOOKUP($E988,Macro!$1:$1048576,M$2,FALSE)</f>
        <v>0</v>
      </c>
      <c r="N988" s="379">
        <f>+VLOOKUP($E988,Macro!$1:$1048576,N$2,FALSE)</f>
        <v>0</v>
      </c>
      <c r="O988" s="379">
        <f>+VLOOKUP($E988,Macro!$1:$1048576,O$2,FALSE)</f>
        <v>0</v>
      </c>
      <c r="P988" s="379">
        <f>+VLOOKUP($E988,Macro!$1:$1048576,P$2,FALSE)</f>
        <v>0</v>
      </c>
      <c r="Q988" s="379">
        <f>+VLOOKUP($E988,Macro!$1:$1048576,Q$2,FALSE)</f>
        <v>0</v>
      </c>
      <c r="R988" s="379">
        <f>+VLOOKUP($E988,Macro!$1:$1048576,R$2,FALSE)</f>
        <v>0</v>
      </c>
      <c r="S988" s="379">
        <f>+VLOOKUP($E988,Macro!$1:$1048576,S$2,FALSE)</f>
        <v>0</v>
      </c>
      <c r="T988" s="379">
        <f>+VLOOKUP($E988,Macro!$1:$1048576,T$2,FALSE)</f>
        <v>0</v>
      </c>
      <c r="U988" s="379">
        <f>+VLOOKUP($E988,Macro!$1:$1048576,U$2,FALSE)</f>
        <v>0</v>
      </c>
      <c r="V988" s="379">
        <f>+VLOOKUP($E988,Macro!$1:$1048576,V$2,FALSE)</f>
        <v>0</v>
      </c>
      <c r="W988" s="379">
        <f>+VLOOKUP($E988,Macro!$1:$1048576,W$2,FALSE)</f>
        <v>0</v>
      </c>
      <c r="X988" s="379">
        <f>+VLOOKUP($E988,Macro!$1:$1048576,X$2,FALSE)</f>
        <v>0</v>
      </c>
      <c r="Y988" s="379">
        <f>+VLOOKUP($E988,Macro!$1:$1048576,Y$2,FALSE)</f>
        <v>0</v>
      </c>
      <c r="Z988" s="379">
        <f>+VLOOKUP($E988,Macro!$1:$1048576,Z$2,FALSE)</f>
        <v>0</v>
      </c>
      <c r="AA988" s="379">
        <f>+VLOOKUP($E988,Macro!$1:$1048576,AA$2,FALSE)</f>
        <v>0</v>
      </c>
      <c r="AB988" s="379">
        <f>+VLOOKUP($E988,Macro!$1:$1048576,AB$2,FALSE)</f>
        <v>0</v>
      </c>
      <c r="AC988" s="379">
        <f>+VLOOKUP($E988,Macro!$1:$1048576,AC$2,FALSE)</f>
        <v>0</v>
      </c>
      <c r="AD988" s="379">
        <f>+VLOOKUP($E988,Macro!$1:$1048576,AD$2,FALSE)</f>
        <v>0</v>
      </c>
      <c r="AE988" s="379">
        <f>+VLOOKUP($E988,Macro!$1:$1048576,AE$2,FALSE)</f>
        <v>0</v>
      </c>
      <c r="AF988" s="379">
        <f>+VLOOKUP($E988,Macro!$1:$1048576,AF$2,FALSE)</f>
        <v>0</v>
      </c>
      <c r="AG988" s="379">
        <f>+VLOOKUP($E988,Macro!$1:$1048576,AG$2,FALSE)</f>
        <v>0</v>
      </c>
      <c r="AH988" s="379">
        <f>+VLOOKUP($E988,Macro!$1:$1048576,AH$2,FALSE)</f>
        <v>0</v>
      </c>
      <c r="AI988" s="379">
        <f>+VLOOKUP($E988,Macro!$1:$1048576,AI$2,FALSE)</f>
        <v>0</v>
      </c>
      <c r="AJ988" s="379">
        <f>+VLOOKUP($E988,Macro!$1:$1048576,AJ$2,FALSE)</f>
        <v>0</v>
      </c>
      <c r="AK988" s="379">
        <f>+VLOOKUP($E988,Macro!$1:$1048576,AK$2,FALSE)</f>
        <v>0</v>
      </c>
      <c r="AL988" s="379">
        <f>+VLOOKUP($E988,Macro!$1:$1048576,AL$2,FALSE)</f>
        <v>0</v>
      </c>
      <c r="AM988" s="379">
        <f>+VLOOKUP($E988,Macro!$1:$1048576,AM$2,FALSE)</f>
        <v>0</v>
      </c>
      <c r="AN988" s="379">
        <f>+VLOOKUP($E988,Macro!$1:$1048576,AN$2,FALSE)</f>
        <v>0</v>
      </c>
      <c r="AO988" s="379">
        <f>+VLOOKUP($E988,Macro!$1:$1048576,AO$2,FALSE)</f>
        <v>0</v>
      </c>
    </row>
    <row r="989" spans="1:41" ht="15" customHeight="1" x14ac:dyDescent="0.25">
      <c r="A989" s="402"/>
      <c r="B989" s="399"/>
      <c r="C989" s="132" t="s">
        <v>3</v>
      </c>
      <c r="D989" s="132"/>
      <c r="E989" s="54" t="s">
        <v>224</v>
      </c>
      <c r="F989" s="379">
        <f>+VLOOKUP($E989,Macro!$1:$1048576,F$2,FALSE)</f>
        <v>0</v>
      </c>
      <c r="G989" s="379">
        <f>+VLOOKUP($E989,Macro!$1:$1048576,G$2,FALSE)</f>
        <v>-9.9763864684323405E-4</v>
      </c>
      <c r="H989" s="379">
        <f>+VLOOKUP($E989,Macro!$1:$1048576,H$2,FALSE)</f>
        <v>-2.4626903512388453E-3</v>
      </c>
      <c r="I989" s="379">
        <f>+VLOOKUP($E989,Macro!$1:$1048576,I$2,FALSE)</f>
        <v>-4.253711843167654E-3</v>
      </c>
      <c r="J989" s="379">
        <f>+VLOOKUP($E989,Macro!$1:$1048576,J$2,FALSE)</f>
        <v>-6.4880603463444049E-3</v>
      </c>
      <c r="K989" s="379">
        <f>+VLOOKUP($E989,Macro!$1:$1048576,K$2,FALSE)</f>
        <v>-9.397500662846019E-3</v>
      </c>
      <c r="L989" s="379">
        <f>+VLOOKUP($E989,Macro!$1:$1048576,L$2,FALSE)</f>
        <v>-1.2798618492636783E-2</v>
      </c>
      <c r="M989" s="379">
        <f>+VLOOKUP($E989,Macro!$1:$1048576,M$2,FALSE)</f>
        <v>-1.6283173430287286E-2</v>
      </c>
      <c r="N989" s="379">
        <f>+VLOOKUP($E989,Macro!$1:$1048576,N$2,FALSE)</f>
        <v>-1.9770476254850473E-2</v>
      </c>
      <c r="O989" s="379">
        <f>+VLOOKUP($E989,Macro!$1:$1048576,O$2,FALSE)</f>
        <v>-2.3334814080218581E-2</v>
      </c>
      <c r="P989" s="379">
        <f>+VLOOKUP($E989,Macro!$1:$1048576,P$2,FALSE)</f>
        <v>-2.709223314837236E-2</v>
      </c>
      <c r="Q989" s="379">
        <f>+VLOOKUP($E989,Macro!$1:$1048576,Q$2,FALSE)</f>
        <v>-3.1158342958252469E-2</v>
      </c>
      <c r="R989" s="379">
        <f>+VLOOKUP($E989,Macro!$1:$1048576,R$2,FALSE)</f>
        <v>-3.5648542828729327E-2</v>
      </c>
      <c r="S989" s="379">
        <f>+VLOOKUP($E989,Macro!$1:$1048576,S$2,FALSE)</f>
        <v>-4.0691918324186872E-2</v>
      </c>
      <c r="T989" s="379">
        <f>+VLOOKUP($E989,Macro!$1:$1048576,T$2,FALSE)</f>
        <v>-4.6442577464372269E-2</v>
      </c>
      <c r="U989" s="379">
        <f>+VLOOKUP($E989,Macro!$1:$1048576,U$2,FALSE)</f>
        <v>-5.3082542528644493E-2</v>
      </c>
      <c r="V989" s="379">
        <f>+VLOOKUP($E989,Macro!$1:$1048576,V$2,FALSE)</f>
        <v>-6.0521403437573333E-2</v>
      </c>
      <c r="W989" s="379">
        <f>+VLOOKUP($E989,Macro!$1:$1048576,W$2,FALSE)</f>
        <v>-6.8495843217575375E-2</v>
      </c>
      <c r="X989" s="379">
        <f>+VLOOKUP($E989,Macro!$1:$1048576,X$2,FALSE)</f>
        <v>-7.6931207019790296E-2</v>
      </c>
      <c r="Y989" s="379">
        <f>+VLOOKUP($E989,Macro!$1:$1048576,Y$2,FALSE)</f>
        <v>-8.5824172437211355E-2</v>
      </c>
      <c r="Z989" s="379">
        <f>+VLOOKUP($E989,Macro!$1:$1048576,Z$2,FALSE)</f>
        <v>-9.5163523808783707E-2</v>
      </c>
      <c r="AA989" s="379">
        <f>+VLOOKUP($E989,Macro!$1:$1048576,AA$2,FALSE)</f>
        <v>-0.1049008570541697</v>
      </c>
      <c r="AB989" s="379">
        <f>+VLOOKUP($E989,Macro!$1:$1048576,AB$2,FALSE)</f>
        <v>-0.11495414160961141</v>
      </c>
      <c r="AC989" s="379">
        <f>+VLOOKUP($E989,Macro!$1:$1048576,AC$2,FALSE)</f>
        <v>-0.12522462561397471</v>
      </c>
      <c r="AD989" s="379">
        <f>+VLOOKUP($E989,Macro!$1:$1048576,AD$2,FALSE)</f>
        <v>-0.13561464815759333</v>
      </c>
      <c r="AE989" s="379">
        <f>+VLOOKUP($E989,Macro!$1:$1048576,AE$2,FALSE)</f>
        <v>-0.14604089689023186</v>
      </c>
      <c r="AF989" s="379">
        <f>+VLOOKUP($E989,Macro!$1:$1048576,AF$2,FALSE)</f>
        <v>-0.15644188361829148</v>
      </c>
      <c r="AG989" s="379">
        <f>+VLOOKUP($E989,Macro!$1:$1048576,AG$2,FALSE)</f>
        <v>-0.16678053866974718</v>
      </c>
      <c r="AH989" s="379">
        <f>+VLOOKUP($E989,Macro!$1:$1048576,AH$2,FALSE)</f>
        <v>-0.17704333043301421</v>
      </c>
      <c r="AI989" s="379">
        <f>+VLOOKUP($E989,Macro!$1:$1048576,AI$2,FALSE)</f>
        <v>-0.18723732920923197</v>
      </c>
      <c r="AJ989" s="379">
        <f>+VLOOKUP($E989,Macro!$1:$1048576,AJ$2,FALSE)</f>
        <v>-0.19738626947088414</v>
      </c>
      <c r="AK989" s="379">
        <f>+VLOOKUP($E989,Macro!$1:$1048576,AK$2,FALSE)</f>
        <v>-0.20752639330270153</v>
      </c>
      <c r="AL989" s="379">
        <f>+VLOOKUP($E989,Macro!$1:$1048576,AL$2,FALSE)</f>
        <v>-0.21770260073032607</v>
      </c>
      <c r="AM989" s="379">
        <f>+VLOOKUP($E989,Macro!$1:$1048576,AM$2,FALSE)</f>
        <v>-0.22796510530214642</v>
      </c>
      <c r="AN989" s="379">
        <f>+VLOOKUP($E989,Macro!$1:$1048576,AN$2,FALSE)</f>
        <v>-0.23836680321383777</v>
      </c>
      <c r="AO989" s="379">
        <f>+VLOOKUP($E989,Macro!$1:$1048576,AO$2,FALSE)</f>
        <v>-0.24896131887889877</v>
      </c>
    </row>
    <row r="990" spans="1:41" ht="15" customHeight="1" x14ac:dyDescent="0.25">
      <c r="A990" s="402"/>
      <c r="B990" s="399"/>
      <c r="C990" s="132" t="s">
        <v>225</v>
      </c>
      <c r="D990" s="132"/>
      <c r="E990" s="54" t="s">
        <v>226</v>
      </c>
      <c r="F990" s="379">
        <f>+VLOOKUP($E990,Macro!$1:$1048576,F$2,FALSE)</f>
        <v>0</v>
      </c>
      <c r="G990" s="379">
        <f>+VLOOKUP($E990,Macro!$1:$1048576,G$2,FALSE)</f>
        <v>0</v>
      </c>
      <c r="H990" s="379">
        <f>+VLOOKUP($E990,Macro!$1:$1048576,H$2,FALSE)</f>
        <v>0</v>
      </c>
      <c r="I990" s="379">
        <f>+VLOOKUP($E990,Macro!$1:$1048576,I$2,FALSE)</f>
        <v>0</v>
      </c>
      <c r="J990" s="379">
        <f>+VLOOKUP($E990,Macro!$1:$1048576,J$2,FALSE)</f>
        <v>0</v>
      </c>
      <c r="K990" s="379">
        <f>+VLOOKUP($E990,Macro!$1:$1048576,K$2,FALSE)</f>
        <v>0</v>
      </c>
      <c r="L990" s="379">
        <f>+VLOOKUP($E990,Macro!$1:$1048576,L$2,FALSE)</f>
        <v>0</v>
      </c>
      <c r="M990" s="379">
        <f>+VLOOKUP($E990,Macro!$1:$1048576,M$2,FALSE)</f>
        <v>0</v>
      </c>
      <c r="N990" s="379">
        <f>+VLOOKUP($E990,Macro!$1:$1048576,N$2,FALSE)</f>
        <v>0</v>
      </c>
      <c r="O990" s="379">
        <f>+VLOOKUP($E990,Macro!$1:$1048576,O$2,FALSE)</f>
        <v>0</v>
      </c>
      <c r="P990" s="379">
        <f>+VLOOKUP($E990,Macro!$1:$1048576,P$2,FALSE)</f>
        <v>0</v>
      </c>
      <c r="Q990" s="379">
        <f>+VLOOKUP($E990,Macro!$1:$1048576,Q$2,FALSE)</f>
        <v>0</v>
      </c>
      <c r="R990" s="379">
        <f>+VLOOKUP($E990,Macro!$1:$1048576,R$2,FALSE)</f>
        <v>0</v>
      </c>
      <c r="S990" s="379">
        <f>+VLOOKUP($E990,Macro!$1:$1048576,S$2,FALSE)</f>
        <v>0</v>
      </c>
      <c r="T990" s="379">
        <f>+VLOOKUP($E990,Macro!$1:$1048576,T$2,FALSE)</f>
        <v>0</v>
      </c>
      <c r="U990" s="379">
        <f>+VLOOKUP($E990,Macro!$1:$1048576,U$2,FALSE)</f>
        <v>0</v>
      </c>
      <c r="V990" s="379">
        <f>+VLOOKUP($E990,Macro!$1:$1048576,V$2,FALSE)</f>
        <v>0</v>
      </c>
      <c r="W990" s="379">
        <f>+VLOOKUP($E990,Macro!$1:$1048576,W$2,FALSE)</f>
        <v>0</v>
      </c>
      <c r="X990" s="379">
        <f>+VLOOKUP($E990,Macro!$1:$1048576,X$2,FALSE)</f>
        <v>0</v>
      </c>
      <c r="Y990" s="379">
        <f>+VLOOKUP($E990,Macro!$1:$1048576,Y$2,FALSE)</f>
        <v>0</v>
      </c>
      <c r="Z990" s="379">
        <f>+VLOOKUP($E990,Macro!$1:$1048576,Z$2,FALSE)</f>
        <v>0</v>
      </c>
      <c r="AA990" s="379">
        <f>+VLOOKUP($E990,Macro!$1:$1048576,AA$2,FALSE)</f>
        <v>0</v>
      </c>
      <c r="AB990" s="379">
        <f>+VLOOKUP($E990,Macro!$1:$1048576,AB$2,FALSE)</f>
        <v>0</v>
      </c>
      <c r="AC990" s="379">
        <f>+VLOOKUP($E990,Macro!$1:$1048576,AC$2,FALSE)</f>
        <v>0</v>
      </c>
      <c r="AD990" s="379">
        <f>+VLOOKUP($E990,Macro!$1:$1048576,AD$2,FALSE)</f>
        <v>0</v>
      </c>
      <c r="AE990" s="379">
        <f>+VLOOKUP($E990,Macro!$1:$1048576,AE$2,FALSE)</f>
        <v>0</v>
      </c>
      <c r="AF990" s="379">
        <f>+VLOOKUP($E990,Macro!$1:$1048576,AF$2,FALSE)</f>
        <v>0</v>
      </c>
      <c r="AG990" s="379">
        <f>+VLOOKUP($E990,Macro!$1:$1048576,AG$2,FALSE)</f>
        <v>0</v>
      </c>
      <c r="AH990" s="379">
        <f>+VLOOKUP($E990,Macro!$1:$1048576,AH$2,FALSE)</f>
        <v>0</v>
      </c>
      <c r="AI990" s="379">
        <f>+VLOOKUP($E990,Macro!$1:$1048576,AI$2,FALSE)</f>
        <v>0</v>
      </c>
      <c r="AJ990" s="379">
        <f>+VLOOKUP($E990,Macro!$1:$1048576,AJ$2,FALSE)</f>
        <v>0</v>
      </c>
      <c r="AK990" s="379">
        <f>+VLOOKUP($E990,Macro!$1:$1048576,AK$2,FALSE)</f>
        <v>0</v>
      </c>
      <c r="AL990" s="379">
        <f>+VLOOKUP($E990,Macro!$1:$1048576,AL$2,FALSE)</f>
        <v>0</v>
      </c>
      <c r="AM990" s="379">
        <f>+VLOOKUP($E990,Macro!$1:$1048576,AM$2,FALSE)</f>
        <v>0</v>
      </c>
      <c r="AN990" s="379">
        <f>+VLOOKUP($E990,Macro!$1:$1048576,AN$2,FALSE)</f>
        <v>0</v>
      </c>
      <c r="AO990" s="379">
        <f>+VLOOKUP($E990,Macro!$1:$1048576,AO$2,FALSE)</f>
        <v>0</v>
      </c>
    </row>
    <row r="991" spans="1:41" ht="15" customHeight="1" x14ac:dyDescent="0.25">
      <c r="A991" s="402"/>
      <c r="B991" s="399"/>
      <c r="C991" s="132" t="s">
        <v>227</v>
      </c>
      <c r="D991" s="132"/>
      <c r="E991" s="54" t="s">
        <v>228</v>
      </c>
      <c r="F991" s="379">
        <f>+VLOOKUP($E991,Macro!$1:$1048576,F$2,FALSE)</f>
        <v>0</v>
      </c>
      <c r="G991" s="379">
        <f>+VLOOKUP($E991,Macro!$1:$1048576,G$2,FALSE)</f>
        <v>2.1687683099262597E-3</v>
      </c>
      <c r="H991" s="379">
        <f>+VLOOKUP($E991,Macro!$1:$1048576,H$2,FALSE)</f>
        <v>4.0265624211144766E-3</v>
      </c>
      <c r="I991" s="379">
        <f>+VLOOKUP($E991,Macro!$1:$1048576,I$2,FALSE)</f>
        <v>4.7914325929475695E-3</v>
      </c>
      <c r="J991" s="379">
        <f>+VLOOKUP($E991,Macro!$1:$1048576,J$2,FALSE)</f>
        <v>4.4664594628585023E-3</v>
      </c>
      <c r="K991" s="379">
        <f>+VLOOKUP($E991,Macro!$1:$1048576,K$2,FALSE)</f>
        <v>3.180795171029243E-3</v>
      </c>
      <c r="L991" s="379">
        <f>+VLOOKUP($E991,Macro!$1:$1048576,L$2,FALSE)</f>
        <v>-7.3934973113441715E-5</v>
      </c>
      <c r="M991" s="379">
        <f>+VLOOKUP($E991,Macro!$1:$1048576,M$2,FALSE)</f>
        <v>-6.4049606547936407E-3</v>
      </c>
      <c r="N991" s="379">
        <f>+VLOOKUP($E991,Macro!$1:$1048576,N$2,FALSE)</f>
        <v>-1.555047688372168E-2</v>
      </c>
      <c r="O991" s="379">
        <f>+VLOOKUP($E991,Macro!$1:$1048576,O$2,FALSE)</f>
        <v>-2.6836641379988944E-2</v>
      </c>
      <c r="P991" s="379">
        <f>+VLOOKUP($E991,Macro!$1:$1048576,P$2,FALSE)</f>
        <v>-3.9670208796402699E-2</v>
      </c>
      <c r="Q991" s="379">
        <f>+VLOOKUP($E991,Macro!$1:$1048576,Q$2,FALSE)</f>
        <v>-5.3693895298208859E-2</v>
      </c>
      <c r="R991" s="379">
        <f>+VLOOKUP($E991,Macro!$1:$1048576,R$2,FALSE)</f>
        <v>-6.8799803706163093E-2</v>
      </c>
      <c r="S991" s="379">
        <f>+VLOOKUP($E991,Macro!$1:$1048576,S$2,FALSE)</f>
        <v>-8.5102599029611023E-2</v>
      </c>
      <c r="T991" s="379">
        <f>+VLOOKUP($E991,Macro!$1:$1048576,T$2,FALSE)</f>
        <v>-0.10291054797933863</v>
      </c>
      <c r="U991" s="379">
        <f>+VLOOKUP($E991,Macro!$1:$1048576,U$2,FALSE)</f>
        <v>-0.12270277248028133</v>
      </c>
      <c r="V991" s="379">
        <f>+VLOOKUP($E991,Macro!$1:$1048576,V$2,FALSE)</f>
        <v>-0.14578785975824196</v>
      </c>
      <c r="W991" s="379">
        <f>+VLOOKUP($E991,Macro!$1:$1048576,W$2,FALSE)</f>
        <v>-0.17352223980913228</v>
      </c>
      <c r="X991" s="379">
        <f>+VLOOKUP($E991,Macro!$1:$1048576,X$2,FALSE)</f>
        <v>-0.20614789749233203</v>
      </c>
      <c r="Y991" s="379">
        <f>+VLOOKUP($E991,Macro!$1:$1048576,Y$2,FALSE)</f>
        <v>-0.24343649725758992</v>
      </c>
      <c r="Z991" s="379">
        <f>+VLOOKUP($E991,Macro!$1:$1048576,Z$2,FALSE)</f>
        <v>-0.2850311151170426</v>
      </c>
      <c r="AA991" s="379">
        <f>+VLOOKUP($E991,Macro!$1:$1048576,AA$2,FALSE)</f>
        <v>-0.33056725651768409</v>
      </c>
      <c r="AB991" s="379">
        <f>+VLOOKUP($E991,Macro!$1:$1048576,AB$2,FALSE)</f>
        <v>-0.37969609261439274</v>
      </c>
      <c r="AC991" s="379">
        <f>+VLOOKUP($E991,Macro!$1:$1048576,AC$2,FALSE)</f>
        <v>-0.43207530051055509</v>
      </c>
      <c r="AD991" s="379">
        <f>+VLOOKUP($E991,Macro!$1:$1048576,AD$2,FALSE)</f>
        <v>-0.48735534654494828</v>
      </c>
      <c r="AE991" s="379">
        <f>+VLOOKUP($E991,Macro!$1:$1048576,AE$2,FALSE)</f>
        <v>-0.54517012206335913</v>
      </c>
      <c r="AF991" s="379">
        <f>+VLOOKUP($E991,Macro!$1:$1048576,AF$2,FALSE)</f>
        <v>-0.60513344321984563</v>
      </c>
      <c r="AG991" s="379">
        <f>+VLOOKUP($E991,Macro!$1:$1048576,AG$2,FALSE)</f>
        <v>-0.66684024693399413</v>
      </c>
      <c r="AH991" s="379">
        <f>+VLOOKUP($E991,Macro!$1:$1048576,AH$2,FALSE)</f>
        <v>-0.72987085788497541</v>
      </c>
      <c r="AI991" s="379">
        <f>+VLOOKUP($E991,Macro!$1:$1048576,AI$2,FALSE)</f>
        <v>-0.79379690823635118</v>
      </c>
      <c r="AJ991" s="379">
        <f>+VLOOKUP($E991,Macro!$1:$1048576,AJ$2,FALSE)</f>
        <v>-0.85818789360515146</v>
      </c>
      <c r="AK991" s="379">
        <f>+VLOOKUP($E991,Macro!$1:$1048576,AK$2,FALSE)</f>
        <v>-0.92261744959165826</v>
      </c>
      <c r="AL991" s="379">
        <f>+VLOOKUP($E991,Macro!$1:$1048576,AL$2,FALSE)</f>
        <v>-0.98666908570501277</v>
      </c>
      <c r="AM991" s="379">
        <f>+VLOOKUP($E991,Macro!$1:$1048576,AM$2,FALSE)</f>
        <v>-1.049940901887737</v>
      </c>
      <c r="AN991" s="379">
        <f>+VLOOKUP($E991,Macro!$1:$1048576,AN$2,FALSE)</f>
        <v>-1.1120493925792918</v>
      </c>
      <c r="AO991" s="379">
        <f>+VLOOKUP($E991,Macro!$1:$1048576,AO$2,FALSE)</f>
        <v>-1.1726322991952836</v>
      </c>
    </row>
    <row r="992" spans="1:41" ht="15" customHeight="1" x14ac:dyDescent="0.25">
      <c r="A992" s="402"/>
      <c r="B992" s="399"/>
      <c r="C992" s="132" t="s">
        <v>2</v>
      </c>
      <c r="D992" s="132" t="s">
        <v>229</v>
      </c>
      <c r="E992" s="54" t="s">
        <v>230</v>
      </c>
      <c r="F992" s="379">
        <f>+VLOOKUP($E992,Macro!$1:$1048576,F$2,FALSE)</f>
        <v>0</v>
      </c>
      <c r="G992" s="379">
        <f>+VLOOKUP($E992,Macro!$1:$1048576,G$2,FALSE)</f>
        <v>2.1207018136686251E-3</v>
      </c>
      <c r="H992" s="379">
        <f>+VLOOKUP($E992,Macro!$1:$1048576,H$2,FALSE)</f>
        <v>7.3378229611323715E-3</v>
      </c>
      <c r="I992" s="379">
        <f>+VLOOKUP($E992,Macro!$1:$1048576,I$2,FALSE)</f>
        <v>1.5756902354742065E-2</v>
      </c>
      <c r="J992" s="379">
        <f>+VLOOKUP($E992,Macro!$1:$1048576,J$2,FALSE)</f>
        <v>2.7279421362477876E-2</v>
      </c>
      <c r="K992" s="379">
        <f>+VLOOKUP($E992,Macro!$1:$1048576,K$2,FALSE)</f>
        <v>4.2204700276896455E-2</v>
      </c>
      <c r="L992" s="379">
        <f>+VLOOKUP($E992,Macro!$1:$1048576,L$2,FALSE)</f>
        <v>6.0548049809366539E-2</v>
      </c>
      <c r="M992" s="379">
        <f>+VLOOKUP($E992,Macro!$1:$1048576,M$2,FALSE)</f>
        <v>8.140503720736611E-2</v>
      </c>
      <c r="N992" s="379">
        <f>+VLOOKUP($E992,Macro!$1:$1048576,N$2,FALSE)</f>
        <v>0.10362740476226617</v>
      </c>
      <c r="O992" s="379">
        <f>+VLOOKUP($E992,Macro!$1:$1048576,O$2,FALSE)</f>
        <v>0.12656018597388691</v>
      </c>
      <c r="P992" s="379">
        <f>+VLOOKUP($E992,Macro!$1:$1048576,P$2,FALSE)</f>
        <v>0.15029513786227572</v>
      </c>
      <c r="Q992" s="379">
        <f>+VLOOKUP($E992,Macro!$1:$1048576,Q$2,FALSE)</f>
        <v>0.17552297237181322</v>
      </c>
      <c r="R992" s="379">
        <f>+VLOOKUP($E992,Macro!$1:$1048576,R$2,FALSE)</f>
        <v>0.20327752089797238</v>
      </c>
      <c r="S992" s="379">
        <f>+VLOOKUP($E992,Macro!$1:$1048576,S$2,FALSE)</f>
        <v>0.23471943596348094</v>
      </c>
      <c r="T992" s="379">
        <f>+VLOOKUP($E992,Macro!$1:$1048576,T$2,FALSE)</f>
        <v>0.27099731228766633</v>
      </c>
      <c r="U992" s="379">
        <f>+VLOOKUP($E992,Macro!$1:$1048576,U$2,FALSE)</f>
        <v>0.31317578236460603</v>
      </c>
      <c r="V992" s="379">
        <f>+VLOOKUP($E992,Macro!$1:$1048576,V$2,FALSE)</f>
        <v>0.3615627901876971</v>
      </c>
      <c r="W992" s="379">
        <f>+VLOOKUP($E992,Macro!$1:$1048576,W$2,FALSE)</f>
        <v>0.41528178429686891</v>
      </c>
      <c r="X992" s="379">
        <f>+VLOOKUP($E992,Macro!$1:$1048576,X$2,FALSE)</f>
        <v>0.4729304219665979</v>
      </c>
      <c r="Y992" s="379">
        <f>+VLOOKUP($E992,Macro!$1:$1048576,Y$2,FALSE)</f>
        <v>0.53321458173353586</v>
      </c>
      <c r="Z992" s="379">
        <f>+VLOOKUP($E992,Macro!$1:$1048576,Z$2,FALSE)</f>
        <v>0.59523669511046873</v>
      </c>
      <c r="AA992" s="379">
        <f>+VLOOKUP($E992,Macro!$1:$1048576,AA$2,FALSE)</f>
        <v>0.65847951715792619</v>
      </c>
      <c r="AB992" s="379">
        <f>+VLOOKUP($E992,Macro!$1:$1048576,AB$2,FALSE)</f>
        <v>0.72267832472146121</v>
      </c>
      <c r="AC992" s="379">
        <f>+VLOOKUP($E992,Macro!$1:$1048576,AC$2,FALSE)</f>
        <v>0.7876890715973891</v>
      </c>
      <c r="AD992" s="379">
        <f>+VLOOKUP($E992,Macro!$1:$1048576,AD$2,FALSE)</f>
        <v>0.85339157657690745</v>
      </c>
      <c r="AE992" s="379">
        <f>+VLOOKUP($E992,Macro!$1:$1048576,AE$2,FALSE)</f>
        <v>0.91963167189966244</v>
      </c>
      <c r="AF992" s="379">
        <f>+VLOOKUP($E992,Macro!$1:$1048576,AF$2,FALSE)</f>
        <v>0.98619446497763619</v>
      </c>
      <c r="AG992" s="379">
        <f>+VLOOKUP($E992,Macro!$1:$1048576,AG$2,FALSE)</f>
        <v>1.0527988439396956</v>
      </c>
      <c r="AH992" s="379">
        <f>+VLOOKUP($E992,Macro!$1:$1048576,AH$2,FALSE)</f>
        <v>1.1191056761026512</v>
      </c>
      <c r="AI992" s="379">
        <f>+VLOOKUP($E992,Macro!$1:$1048576,AI$2,FALSE)</f>
        <v>1.1847329741464201</v>
      </c>
      <c r="AJ992" s="379">
        <f>+VLOOKUP($E992,Macro!$1:$1048576,AJ$2,FALSE)</f>
        <v>1.2492734509164647</v>
      </c>
      <c r="AK992" s="379">
        <f>+VLOOKUP($E992,Macro!$1:$1048576,AK$2,FALSE)</f>
        <v>1.3123125306915253</v>
      </c>
      <c r="AL992" s="379">
        <f>+VLOOKUP($E992,Macro!$1:$1048576,AL$2,FALSE)</f>
        <v>1.3734435955083335</v>
      </c>
      <c r="AM992" s="379">
        <f>+VLOOKUP($E992,Macro!$1:$1048576,AM$2,FALSE)</f>
        <v>1.4322803705261395</v>
      </c>
      <c r="AN992" s="379">
        <f>+VLOOKUP($E992,Macro!$1:$1048576,AN$2,FALSE)</f>
        <v>1.4884661614783676</v>
      </c>
      <c r="AO992" s="379">
        <f>+VLOOKUP($E992,Macro!$1:$1048576,AO$2,FALSE)</f>
        <v>1.54167952370202</v>
      </c>
    </row>
    <row r="993" spans="1:41" ht="15" customHeight="1" x14ac:dyDescent="0.25">
      <c r="A993" s="402"/>
      <c r="B993" s="399"/>
      <c r="C993" s="132" t="s">
        <v>3</v>
      </c>
      <c r="D993" s="132" t="s">
        <v>231</v>
      </c>
      <c r="E993" s="54" t="s">
        <v>232</v>
      </c>
      <c r="F993" s="379">
        <f>+VLOOKUP($E993,Macro!$1:$1048576,F$2,FALSE)</f>
        <v>0</v>
      </c>
      <c r="G993" s="379">
        <f>+VLOOKUP($E993,Macro!$1:$1048576,G$2,FALSE)</f>
        <v>-9.2536033127498603E-4</v>
      </c>
      <c r="H993" s="379">
        <f>+VLOOKUP($E993,Macro!$1:$1048576,H$2,FALSE)</f>
        <v>-2.2820586891090806E-3</v>
      </c>
      <c r="I993" s="379">
        <f>+VLOOKUP($E993,Macro!$1:$1048576,I$2,FALSE)</f>
        <v>-3.9281875920169325E-3</v>
      </c>
      <c r="J993" s="379">
        <f>+VLOOKUP($E993,Macro!$1:$1048576,J$2,FALSE)</f>
        <v>-5.9720611321865307E-3</v>
      </c>
      <c r="K993" s="379">
        <f>+VLOOKUP($E993,Macro!$1:$1048576,K$2,FALSE)</f>
        <v>-8.6312242862202817E-3</v>
      </c>
      <c r="L993" s="379">
        <f>+VLOOKUP($E993,Macro!$1:$1048576,L$2,FALSE)</f>
        <v>-1.1735555375646601E-2</v>
      </c>
      <c r="M993" s="379">
        <f>+VLOOKUP($E993,Macro!$1:$1048576,M$2,FALSE)</f>
        <v>-1.4904200749353896E-2</v>
      </c>
      <c r="N993" s="379">
        <f>+VLOOKUP($E993,Macro!$1:$1048576,N$2,FALSE)</f>
        <v>-1.8061833594263527E-2</v>
      </c>
      <c r="O993" s="379">
        <f>+VLOOKUP($E993,Macro!$1:$1048576,O$2,FALSE)</f>
        <v>-2.1279115871459961E-2</v>
      </c>
      <c r="P993" s="379">
        <f>+VLOOKUP($E993,Macro!$1:$1048576,P$2,FALSE)</f>
        <v>-2.4661921323325543E-2</v>
      </c>
      <c r="Q993" s="379">
        <f>+VLOOKUP($E993,Macro!$1:$1048576,Q$2,FALSE)</f>
        <v>-2.8311202034288139E-2</v>
      </c>
      <c r="R993" s="379">
        <f>+VLOOKUP($E993,Macro!$1:$1048576,R$2,FALSE)</f>
        <v>-3.232571510526721E-2</v>
      </c>
      <c r="S993" s="379">
        <f>+VLOOKUP($E993,Macro!$1:$1048576,S$2,FALSE)</f>
        <v>-3.6817974008262255E-2</v>
      </c>
      <c r="T993" s="379">
        <f>+VLOOKUP($E993,Macro!$1:$1048576,T$2,FALSE)</f>
        <v>-4.1926802187502686E-2</v>
      </c>
      <c r="U993" s="379">
        <f>+VLOOKUP($E993,Macro!$1:$1048576,U$2,FALSE)</f>
        <v>-4.7820617326972785E-2</v>
      </c>
      <c r="V993" s="379">
        <f>+VLOOKUP($E993,Macro!$1:$1048576,V$2,FALSE)</f>
        <v>-5.4424938799018135E-2</v>
      </c>
      <c r="W993" s="379">
        <f>+VLOOKUP($E993,Macro!$1:$1048576,W$2,FALSE)</f>
        <v>-6.1510680937061885E-2</v>
      </c>
      <c r="X993" s="379">
        <f>+VLOOKUP($E993,Macro!$1:$1048576,X$2,FALSE)</f>
        <v>-6.9020114012812994E-2</v>
      </c>
      <c r="Y993" s="379">
        <f>+VLOOKUP($E993,Macro!$1:$1048576,Y$2,FALSE)</f>
        <v>-7.6959883479574248E-2</v>
      </c>
      <c r="Z993" s="379">
        <f>+VLOOKUP($E993,Macro!$1:$1048576,Z$2,FALSE)</f>
        <v>-8.5323954425883322E-2</v>
      </c>
      <c r="AA993" s="379">
        <f>+VLOOKUP($E993,Macro!$1:$1048576,AA$2,FALSE)</f>
        <v>-9.4065871567263842E-2</v>
      </c>
      <c r="AB993" s="379">
        <f>+VLOOKUP($E993,Macro!$1:$1048576,AB$2,FALSE)</f>
        <v>-0.10310416750373015</v>
      </c>
      <c r="AC993" s="379">
        <f>+VLOOKUP($E993,Macro!$1:$1048576,AC$2,FALSE)</f>
        <v>-0.11234084728209859</v>
      </c>
      <c r="AD993" s="379">
        <f>+VLOOKUP($E993,Macro!$1:$1048576,AD$2,FALSE)</f>
        <v>-0.12168018622470002</v>
      </c>
      <c r="AE993" s="379">
        <f>+VLOOKUP($E993,Macro!$1:$1048576,AE$2,FALSE)</f>
        <v>-0.13104237254609413</v>
      </c>
      <c r="AF993" s="379">
        <f>+VLOOKUP($E993,Macro!$1:$1048576,AF$2,FALSE)</f>
        <v>-0.14037093542724974</v>
      </c>
      <c r="AG993" s="379">
        <f>+VLOOKUP($E993,Macro!$1:$1048576,AG$2,FALSE)</f>
        <v>-0.14963503861737318</v>
      </c>
      <c r="AH993" s="379">
        <f>+VLOOKUP($E993,Macro!$1:$1048576,AH$2,FALSE)</f>
        <v>-0.1588282005537606</v>
      </c>
      <c r="AI993" s="379">
        <f>+VLOOKUP($E993,Macro!$1:$1048576,AI$2,FALSE)</f>
        <v>-0.16796495185956548</v>
      </c>
      <c r="AJ993" s="379">
        <f>+VLOOKUP($E993,Macro!$1:$1048576,AJ$2,FALSE)</f>
        <v>-0.17707654312959586</v>
      </c>
      <c r="AK993" s="379">
        <f>+VLOOKUP($E993,Macro!$1:$1048576,AK$2,FALSE)</f>
        <v>-0.18620650724396912</v>
      </c>
      <c r="AL993" s="379">
        <f>+VLOOKUP($E993,Macro!$1:$1048576,AL$2,FALSE)</f>
        <v>-0.19540660822607875</v>
      </c>
      <c r="AM993" s="379">
        <f>+VLOOKUP($E993,Macro!$1:$1048576,AM$2,FALSE)</f>
        <v>-0.20473337014052245</v>
      </c>
      <c r="AN993" s="379">
        <f>+VLOOKUP($E993,Macro!$1:$1048576,AN$2,FALSE)</f>
        <v>-0.21424537749661671</v>
      </c>
      <c r="AO993" s="379">
        <f>+VLOOKUP($E993,Macro!$1:$1048576,AO$2,FALSE)</f>
        <v>-0.22400130391065295</v>
      </c>
    </row>
    <row r="994" spans="1:41" ht="15" customHeight="1" x14ac:dyDescent="0.25">
      <c r="A994" s="402"/>
      <c r="B994" s="399"/>
      <c r="C994" s="132" t="s">
        <v>233</v>
      </c>
      <c r="D994" s="132"/>
      <c r="E994" s="63" t="s">
        <v>2180</v>
      </c>
      <c r="F994" s="379">
        <f>+VLOOKUP($E994,Macro!$1:$1048576,F$2,FALSE)</f>
        <v>0</v>
      </c>
      <c r="G994" s="379">
        <f>+VLOOKUP($E994,Macro!$1:$1048576,G$2,FALSE)</f>
        <v>-8.7467223902449557E-4</v>
      </c>
      <c r="H994" s="379">
        <f>+VLOOKUP($E994,Macro!$1:$1048576,H$2,FALSE)</f>
        <v>-2.155797256204304E-3</v>
      </c>
      <c r="I994" s="379">
        <f>+VLOOKUP($E994,Macro!$1:$1048576,I$2,FALSE)</f>
        <v>-3.7131923058346841E-3</v>
      </c>
      <c r="J994" s="379">
        <f>+VLOOKUP($E994,Macro!$1:$1048576,J$2,FALSE)</f>
        <v>-5.6511227259310242E-3</v>
      </c>
      <c r="K994" s="379">
        <f>+VLOOKUP($E994,Macro!$1:$1048576,K$2,FALSE)</f>
        <v>-8.178003291370391E-3</v>
      </c>
      <c r="L994" s="379">
        <f>+VLOOKUP($E994,Macro!$1:$1048576,L$2,FALSE)</f>
        <v>-1.1136827942001583E-2</v>
      </c>
      <c r="M994" s="379">
        <f>+VLOOKUP($E994,Macro!$1:$1048576,M$2,FALSE)</f>
        <v>-1.4171641304326989E-2</v>
      </c>
      <c r="N994" s="379">
        <f>+VLOOKUP($E994,Macro!$1:$1048576,N$2,FALSE)</f>
        <v>-1.7215765176679904E-2</v>
      </c>
      <c r="O994" s="379">
        <f>+VLOOKUP($E994,Macro!$1:$1048576,O$2,FALSE)</f>
        <v>-2.0339604225431004E-2</v>
      </c>
      <c r="P994" s="379">
        <f>+VLOOKUP($E994,Macro!$1:$1048576,P$2,FALSE)</f>
        <v>-2.3646684820399042E-2</v>
      </c>
      <c r="Q994" s="379">
        <f>+VLOOKUP($E994,Macro!$1:$1048576,Q$2,FALSE)</f>
        <v>-2.7235147994178161E-2</v>
      </c>
      <c r="R994" s="379">
        <f>+VLOOKUP($E994,Macro!$1:$1048576,R$2,FALSE)</f>
        <v>-3.119940352170773E-2</v>
      </c>
      <c r="S994" s="379">
        <f>+VLOOKUP($E994,Macro!$1:$1048576,S$2,FALSE)</f>
        <v>-3.5644877803623902E-2</v>
      </c>
      <c r="T994" s="379">
        <f>+VLOOKUP($E994,Macro!$1:$1048576,T$2,FALSE)</f>
        <v>-4.0700247740156507E-2</v>
      </c>
      <c r="U994" s="379">
        <f>+VLOOKUP($E994,Macro!$1:$1048576,U$2,FALSE)</f>
        <v>-4.652139480104283E-2</v>
      </c>
      <c r="V994" s="379">
        <f>+VLOOKUP($E994,Macro!$1:$1048576,V$2,FALSE)</f>
        <v>-5.3028776700620478E-2</v>
      </c>
      <c r="W994" s="379">
        <f>+VLOOKUP($E994,Macro!$1:$1048576,W$2,FALSE)</f>
        <v>-5.9995981184128848E-2</v>
      </c>
      <c r="X994" s="379">
        <f>+VLOOKUP($E994,Macro!$1:$1048576,X$2,FALSE)</f>
        <v>-6.7367641007562193E-2</v>
      </c>
      <c r="Y994" s="379">
        <f>+VLOOKUP($E994,Macro!$1:$1048576,Y$2,FALSE)</f>
        <v>-7.5153306939761508E-2</v>
      </c>
      <c r="Z994" s="379">
        <f>+VLOOKUP($E994,Macro!$1:$1048576,Z$2,FALSE)</f>
        <v>-8.3352680398396245E-2</v>
      </c>
      <c r="AA994" s="379">
        <f>+VLOOKUP($E994,Macro!$1:$1048576,AA$2,FALSE)</f>
        <v>-9.1927434576298456E-2</v>
      </c>
      <c r="AB994" s="379">
        <f>+VLOOKUP($E994,Macro!$1:$1048576,AB$2,FALSE)</f>
        <v>-0.10080454807672626</v>
      </c>
      <c r="AC994" s="379">
        <f>+VLOOKUP($E994,Macro!$1:$1048576,AC$2,FALSE)</f>
        <v>-0.10989270551925009</v>
      </c>
      <c r="AD994" s="379">
        <f>+VLOOKUP($E994,Macro!$1:$1048576,AD$2,FALSE)</f>
        <v>-0.11909976880220652</v>
      </c>
      <c r="AE994" s="379">
        <f>+VLOOKUP($E994,Macro!$1:$1048576,AE$2,FALSE)</f>
        <v>-0.12834594875001931</v>
      </c>
      <c r="AF994" s="379">
        <f>+VLOOKUP($E994,Macro!$1:$1048576,AF$2,FALSE)</f>
        <v>-0.13757141282975768</v>
      </c>
      <c r="AG994" s="379">
        <f>+VLOOKUP($E994,Macro!$1:$1048576,AG$2,FALSE)</f>
        <v>-0.14673913341163594</v>
      </c>
      <c r="AH994" s="379">
        <f>+VLOOKUP($E994,Macro!$1:$1048576,AH$2,FALSE)</f>
        <v>-0.15583432413324697</v>
      </c>
      <c r="AI994" s="379">
        <f>+VLOOKUP($E994,Macro!$1:$1048576,AI$2,FALSE)</f>
        <v>-0.16486182202408367</v>
      </c>
      <c r="AJ994" s="379">
        <f>+VLOOKUP($E994,Macro!$1:$1048576,AJ$2,FALSE)</f>
        <v>-0.1738424425251405</v>
      </c>
      <c r="AK994" s="379">
        <f>+VLOOKUP($E994,Macro!$1:$1048576,AK$2,FALSE)</f>
        <v>-0.18280907525234921</v>
      </c>
      <c r="AL994" s="379">
        <f>+VLOOKUP($E994,Macro!$1:$1048576,AL$2,FALSE)</f>
        <v>-0.19180303547943814</v>
      </c>
      <c r="AM994" s="379">
        <f>+VLOOKUP($E994,Macro!$1:$1048576,AM$2,FALSE)</f>
        <v>-0.20087087808166182</v>
      </c>
      <c r="AN994" s="379">
        <f>+VLOOKUP($E994,Macro!$1:$1048576,AN$2,FALSE)</f>
        <v>-0.21006187757271169</v>
      </c>
      <c r="AO994" s="379">
        <f>+VLOOKUP($E994,Macro!$1:$1048576,AO$2,FALSE)</f>
        <v>-0.21942615366974949</v>
      </c>
    </row>
    <row r="995" spans="1:41" ht="15" customHeight="1" x14ac:dyDescent="0.25">
      <c r="A995" s="402"/>
      <c r="B995" s="399"/>
      <c r="C995" s="132" t="s">
        <v>234</v>
      </c>
      <c r="D995" s="132" t="s">
        <v>231</v>
      </c>
      <c r="E995" s="54" t="s">
        <v>235</v>
      </c>
      <c r="F995" s="379">
        <f>+VLOOKUP($E995,Macro!$1:$1048576,F$2,FALSE)</f>
        <v>0</v>
      </c>
      <c r="G995" s="379">
        <f>+VLOOKUP($E995,Macro!$1:$1048576,G$2,FALSE)</f>
        <v>7.2278315569231135E-5</v>
      </c>
      <c r="H995" s="379">
        <f>+VLOOKUP($E995,Macro!$1:$1048576,H$2,FALSE)</f>
        <v>1.8063166212911662E-4</v>
      </c>
      <c r="I995" s="379">
        <f>+VLOOKUP($E995,Macro!$1:$1048576,I$2,FALSE)</f>
        <v>3.255242511492791E-4</v>
      </c>
      <c r="J995" s="379">
        <f>+VLOOKUP($E995,Macro!$1:$1048576,J$2,FALSE)</f>
        <v>5.1599921415977905E-4</v>
      </c>
      <c r="K995" s="379">
        <f>+VLOOKUP($E995,Macro!$1:$1048576,K$2,FALSE)</f>
        <v>7.6627637662526633E-4</v>
      </c>
      <c r="L995" s="379">
        <f>+VLOOKUP($E995,Macro!$1:$1048576,L$2,FALSE)</f>
        <v>1.0630631169887867E-3</v>
      </c>
      <c r="M995" s="379">
        <f>+VLOOKUP($E995,Macro!$1:$1048576,M$2,FALSE)</f>
        <v>1.3789726809330842E-3</v>
      </c>
      <c r="N995" s="379">
        <f>+VLOOKUP($E995,Macro!$1:$1048576,N$2,FALSE)</f>
        <v>1.7086426605884607E-3</v>
      </c>
      <c r="O995" s="379">
        <f>+VLOOKUP($E995,Macro!$1:$1048576,O$2,FALSE)</f>
        <v>2.0556982087572692E-3</v>
      </c>
      <c r="P995" s="379">
        <f>+VLOOKUP($E995,Macro!$1:$1048576,P$2,FALSE)</f>
        <v>2.4303118250426688E-3</v>
      </c>
      <c r="Q995" s="379">
        <f>+VLOOKUP($E995,Macro!$1:$1048576,Q$2,FALSE)</f>
        <v>2.8471409239628686E-3</v>
      </c>
      <c r="R995" s="379">
        <f>+VLOOKUP($E995,Macro!$1:$1048576,R$2,FALSE)</f>
        <v>3.3228277234639957E-3</v>
      </c>
      <c r="S995" s="379">
        <f>+VLOOKUP($E995,Macro!$1:$1048576,S$2,FALSE)</f>
        <v>3.8739443159247636E-3</v>
      </c>
      <c r="T995" s="379">
        <f>+VLOOKUP($E995,Macro!$1:$1048576,T$2,FALSE)</f>
        <v>4.5157752768728307E-3</v>
      </c>
      <c r="U995" s="379">
        <f>+VLOOKUP($E995,Macro!$1:$1048576,U$2,FALSE)</f>
        <v>5.2619252016715672E-3</v>
      </c>
      <c r="V995" s="379">
        <f>+VLOOKUP($E995,Macro!$1:$1048576,V$2,FALSE)</f>
        <v>6.0964646385520248E-3</v>
      </c>
      <c r="W995" s="379">
        <f>+VLOOKUP($E995,Macro!$1:$1048576,W$2,FALSE)</f>
        <v>6.9851622805126787E-3</v>
      </c>
      <c r="X995" s="379">
        <f>+VLOOKUP($E995,Macro!$1:$1048576,X$2,FALSE)</f>
        <v>7.9110930069799853E-3</v>
      </c>
      <c r="Y995" s="379">
        <f>+VLOOKUP($E995,Macro!$1:$1048576,Y$2,FALSE)</f>
        <v>8.8642889576409627E-3</v>
      </c>
      <c r="Z995" s="379">
        <f>+VLOOKUP($E995,Macro!$1:$1048576,Z$2,FALSE)</f>
        <v>9.8395693829010505E-3</v>
      </c>
      <c r="AA995" s="379">
        <f>+VLOOKUP($E995,Macro!$1:$1048576,AA$2,FALSE)</f>
        <v>1.0834985486902465E-2</v>
      </c>
      <c r="AB995" s="379">
        <f>+VLOOKUP($E995,Macro!$1:$1048576,AB$2,FALSE)</f>
        <v>1.1849974105882023E-2</v>
      </c>
      <c r="AC995" s="379">
        <f>+VLOOKUP($E995,Macro!$1:$1048576,AC$2,FALSE)</f>
        <v>1.2883778331876863E-2</v>
      </c>
      <c r="AD995" s="379">
        <f>+VLOOKUP($E995,Macro!$1:$1048576,AD$2,FALSE)</f>
        <v>1.3934461932893575E-2</v>
      </c>
      <c r="AE995" s="379">
        <f>+VLOOKUP($E995,Macro!$1:$1048576,AE$2,FALSE)</f>
        <v>1.4998524344139619E-2</v>
      </c>
      <c r="AF995" s="379">
        <f>+VLOOKUP($E995,Macro!$1:$1048576,AF$2,FALSE)</f>
        <v>1.607094819104123E-2</v>
      </c>
      <c r="AG995" s="379">
        <f>+VLOOKUP($E995,Macro!$1:$1048576,AG$2,FALSE)</f>
        <v>1.7145500052374502E-2</v>
      </c>
      <c r="AH995" s="379">
        <f>+VLOOKUP($E995,Macro!$1:$1048576,AH$2,FALSE)</f>
        <v>1.8215129879253625E-2</v>
      </c>
      <c r="AI995" s="379">
        <f>+VLOOKUP($E995,Macro!$1:$1048576,AI$2,FALSE)</f>
        <v>1.9272377349667556E-2</v>
      </c>
      <c r="AJ995" s="379">
        <f>+VLOOKUP($E995,Macro!$1:$1048576,AJ$2,FALSE)</f>
        <v>2.0309726341288865E-2</v>
      </c>
      <c r="AK995" s="379">
        <f>+VLOOKUP($E995,Macro!$1:$1048576,AK$2,FALSE)</f>
        <v>2.1319886058732185E-2</v>
      </c>
      <c r="AL995" s="379">
        <f>+VLOOKUP($E995,Macro!$1:$1048576,AL$2,FALSE)</f>
        <v>2.2295992504244546E-2</v>
      </c>
      <c r="AM995" s="379">
        <f>+VLOOKUP($E995,Macro!$1:$1048576,AM$2,FALSE)</f>
        <v>2.3231735161622691E-2</v>
      </c>
      <c r="AN995" s="379">
        <f>+VLOOKUP($E995,Macro!$1:$1048576,AN$2,FALSE)</f>
        <v>2.4121425717220722E-2</v>
      </c>
      <c r="AO995" s="379">
        <f>+VLOOKUP($E995,Macro!$1:$1048576,AO$2,FALSE)</f>
        <v>2.4960014968243578E-2</v>
      </c>
    </row>
    <row r="996" spans="1:41" ht="15" customHeight="1" x14ac:dyDescent="0.25">
      <c r="A996" s="402"/>
      <c r="B996" s="399"/>
      <c r="C996" s="132" t="s">
        <v>236</v>
      </c>
      <c r="D996" s="132"/>
      <c r="E996" s="63" t="s">
        <v>2181</v>
      </c>
      <c r="F996" s="380">
        <f>+VLOOKUP($E996,Macro!$1:$1048576,F$2,FALSE)</f>
        <v>0</v>
      </c>
      <c r="G996" s="380">
        <f>+VLOOKUP($E996,Macro!$1:$1048576,G$2,FALSE)</f>
        <v>-1.2296640781742782E-4</v>
      </c>
      <c r="H996" s="380">
        <f>+VLOOKUP($E996,Macro!$1:$1048576,H$2,FALSE)</f>
        <v>-3.0689309503648652E-4</v>
      </c>
      <c r="I996" s="380">
        <f>+VLOOKUP($E996,Macro!$1:$1048576,I$2,FALSE)</f>
        <v>-5.405195373326501E-4</v>
      </c>
      <c r="J996" s="380">
        <f>+VLOOKUP($E996,Macro!$1:$1048576,J$2,FALSE)</f>
        <v>-8.3693762041179534E-4</v>
      </c>
      <c r="K996" s="380">
        <f>+VLOOKUP($E996,Macro!$1:$1048576,K$2,FALSE)</f>
        <v>-1.2194973714771949E-3</v>
      </c>
      <c r="L996" s="380">
        <f>+VLOOKUP($E996,Macro!$1:$1048576,L$2,FALSE)</f>
        <v>-1.6617905506367534E-3</v>
      </c>
      <c r="M996" s="380">
        <f>+VLOOKUP($E996,Macro!$1:$1048576,M$2,FALSE)</f>
        <v>-2.1115321259602962E-3</v>
      </c>
      <c r="N996" s="380">
        <f>+VLOOKUP($E996,Macro!$1:$1048576,N$2,FALSE)</f>
        <v>-2.5547110781720841E-3</v>
      </c>
      <c r="O996" s="380">
        <f>+VLOOKUP($E996,Macro!$1:$1048576,O$2,FALSE)</f>
        <v>-2.9952098547881738E-3</v>
      </c>
      <c r="P996" s="380">
        <f>+VLOOKUP($E996,Macro!$1:$1048576,P$2,FALSE)</f>
        <v>-3.4455483279727272E-3</v>
      </c>
      <c r="Q996" s="380">
        <f>+VLOOKUP($E996,Macro!$1:$1048576,Q$2,FALSE)</f>
        <v>-3.9231949640743079E-3</v>
      </c>
      <c r="R996" s="380">
        <f>+VLOOKUP($E996,Macro!$1:$1048576,R$2,FALSE)</f>
        <v>-4.4491393070218805E-3</v>
      </c>
      <c r="S996" s="380">
        <f>+VLOOKUP($E996,Macro!$1:$1048576,S$2,FALSE)</f>
        <v>-5.047040520563542E-3</v>
      </c>
      <c r="T996" s="380">
        <f>+VLOOKUP($E996,Macro!$1:$1048576,T$2,FALSE)</f>
        <v>-5.7423297242151922E-3</v>
      </c>
      <c r="U996" s="380">
        <f>+VLOOKUP($E996,Macro!$1:$1048576,U$2,FALSE)</f>
        <v>-6.5611477276011024E-3</v>
      </c>
      <c r="V996" s="380">
        <f>+VLOOKUP($E996,Macro!$1:$1048576,V$2,FALSE)</f>
        <v>-7.4926267369517501E-3</v>
      </c>
      <c r="W996" s="380">
        <f>+VLOOKUP($E996,Macro!$1:$1048576,W$2,FALSE)</f>
        <v>-8.4998620334473494E-3</v>
      </c>
      <c r="X996" s="380">
        <f>+VLOOKUP($E996,Macro!$1:$1048576,X$2,FALSE)</f>
        <v>-9.5635660122270205E-3</v>
      </c>
      <c r="Y996" s="380">
        <f>+VLOOKUP($E996,Macro!$1:$1048576,Y$2,FALSE)</f>
        <v>-1.0670865497449314E-2</v>
      </c>
      <c r="Z996" s="380">
        <f>+VLOOKUP($E996,Macro!$1:$1048576,Z$2,FALSE)</f>
        <v>-1.1810843410386934E-2</v>
      </c>
      <c r="AA996" s="380">
        <f>+VLOOKUP($E996,Macro!$1:$1048576,AA$2,FALSE)</f>
        <v>-1.297342247787125E-2</v>
      </c>
      <c r="AB996" s="380">
        <f>+VLOOKUP($E996,Macro!$1:$1048576,AB$2,FALSE)</f>
        <v>-1.4149593532884907E-2</v>
      </c>
      <c r="AC996" s="380">
        <f>+VLOOKUP($E996,Macro!$1:$1048576,AC$2,FALSE)</f>
        <v>-1.5331920094727921E-2</v>
      </c>
      <c r="AD996" s="380">
        <f>+VLOOKUP($E996,Macro!$1:$1048576,AD$2,FALSE)</f>
        <v>-1.6514879355386057E-2</v>
      </c>
      <c r="AE996" s="380">
        <f>+VLOOKUP($E996,Macro!$1:$1048576,AE$2,FALSE)</f>
        <v>-1.7694948140214311E-2</v>
      </c>
      <c r="AF996" s="380">
        <f>+VLOOKUP($E996,Macro!$1:$1048576,AF$2,FALSE)</f>
        <v>-1.8870470788535255E-2</v>
      </c>
      <c r="AG996" s="380">
        <f>+VLOOKUP($E996,Macro!$1:$1048576,AG$2,FALSE)</f>
        <v>-2.0041405258111718E-2</v>
      </c>
      <c r="AH996" s="380">
        <f>+VLOOKUP($E996,Macro!$1:$1048576,AH$2,FALSE)</f>
        <v>-2.1209006299766284E-2</v>
      </c>
      <c r="AI996" s="380">
        <f>+VLOOKUP($E996,Macro!$1:$1048576,AI$2,FALSE)</f>
        <v>-2.2375507185147105E-2</v>
      </c>
      <c r="AJ996" s="380">
        <f>+VLOOKUP($E996,Macro!$1:$1048576,AJ$2,FALSE)</f>
        <v>-2.3543826945746946E-2</v>
      </c>
      <c r="AK996" s="380">
        <f>+VLOOKUP($E996,Macro!$1:$1048576,AK$2,FALSE)</f>
        <v>-2.4717318050352783E-2</v>
      </c>
      <c r="AL996" s="380">
        <f>+VLOOKUP($E996,Macro!$1:$1048576,AL$2,FALSE)</f>
        <v>-2.5899565250888833E-2</v>
      </c>
      <c r="AM996" s="380">
        <f>+VLOOKUP($E996,Macro!$1:$1048576,AM$2,FALSE)</f>
        <v>-2.7094227220487294E-2</v>
      </c>
      <c r="AN996" s="380">
        <f>+VLOOKUP($E996,Macro!$1:$1048576,AN$2,FALSE)</f>
        <v>-2.8304925641126983E-2</v>
      </c>
      <c r="AO996" s="380">
        <f>+VLOOKUP($E996,Macro!$1:$1048576,AO$2,FALSE)</f>
        <v>-2.9535165209147288E-2</v>
      </c>
    </row>
    <row r="997" spans="1:41" ht="15" customHeight="1" x14ac:dyDescent="0.25">
      <c r="A997" s="402"/>
      <c r="B997" s="399"/>
      <c r="C997" s="135" t="s">
        <v>2</v>
      </c>
      <c r="D997" s="135"/>
      <c r="E997" s="60" t="s">
        <v>237</v>
      </c>
      <c r="F997" s="379">
        <f>+VLOOKUP($E997,Macro!$1:$1048576,F$2,FALSE)</f>
        <v>0</v>
      </c>
      <c r="G997" s="379">
        <f>+VLOOKUP($E997,Macro!$1:$1048576,G$2,FALSE)</f>
        <v>4.0055392577897919E-3</v>
      </c>
      <c r="H997" s="379">
        <f>+VLOOKUP($E997,Macro!$1:$1048576,H$2,FALSE)</f>
        <v>1.3727548382114207E-2</v>
      </c>
      <c r="I997" s="379">
        <f>+VLOOKUP($E997,Macro!$1:$1048576,I$2,FALSE)</f>
        <v>2.9358830272774306E-2</v>
      </c>
      <c r="J997" s="379">
        <f>+VLOOKUP($E997,Macro!$1:$1048576,J$2,FALSE)</f>
        <v>5.0742052921504133E-2</v>
      </c>
      <c r="K997" s="379">
        <f>+VLOOKUP($E997,Macro!$1:$1048576,K$2,FALSE)</f>
        <v>7.8457722130753638E-2</v>
      </c>
      <c r="L997" s="379">
        <f>+VLOOKUP($E997,Macro!$1:$1048576,L$2,FALSE)</f>
        <v>0.11251556631557413</v>
      </c>
      <c r="M997" s="379">
        <f>+VLOOKUP($E997,Macro!$1:$1048576,M$2,FALSE)</f>
        <v>0.15121566866254099</v>
      </c>
      <c r="N997" s="379">
        <f>+VLOOKUP($E997,Macro!$1:$1048576,N$2,FALSE)</f>
        <v>0.19244796452977386</v>
      </c>
      <c r="O997" s="379">
        <f>+VLOOKUP($E997,Macro!$1:$1048576,O$2,FALSE)</f>
        <v>0.23501692141201236</v>
      </c>
      <c r="P997" s="379">
        <f>+VLOOKUP($E997,Macro!$1:$1048576,P$2,FALSE)</f>
        <v>0.27910298405513512</v>
      </c>
      <c r="Q997" s="379">
        <f>+VLOOKUP($E997,Macro!$1:$1048576,Q$2,FALSE)</f>
        <v>0.32599045153041128</v>
      </c>
      <c r="R997" s="379">
        <f>+VLOOKUP($E997,Macro!$1:$1048576,R$2,FALSE)</f>
        <v>0.37759554731375822</v>
      </c>
      <c r="S997" s="379">
        <f>+VLOOKUP($E997,Macro!$1:$1048576,S$2,FALSE)</f>
        <v>0.43606675607372747</v>
      </c>
      <c r="T997" s="379">
        <f>+VLOOKUP($E997,Macro!$1:$1048576,T$2,FALSE)</f>
        <v>0.50352805569837678</v>
      </c>
      <c r="U997" s="379">
        <f>+VLOOKUP($E997,Macro!$1:$1048576,U$2,FALSE)</f>
        <v>0.58194624165135433</v>
      </c>
      <c r="V997" s="379">
        <f>+VLOOKUP($E997,Macro!$1:$1048576,V$2,FALSE)</f>
        <v>0.67185041528592393</v>
      </c>
      <c r="W997" s="379">
        <f>+VLOOKUP($E997,Macro!$1:$1048576,W$2,FALSE)</f>
        <v>0.77157128575227052</v>
      </c>
      <c r="X997" s="379">
        <f>+VLOOKUP($E997,Macro!$1:$1048576,X$2,FALSE)</f>
        <v>0.87851096397639772</v>
      </c>
      <c r="Y997" s="379">
        <f>+VLOOKUP($E997,Macro!$1:$1048576,Y$2,FALSE)</f>
        <v>0.99028321912326689</v>
      </c>
      <c r="Z997" s="379">
        <f>+VLOOKUP($E997,Macro!$1:$1048576,Z$2,FALSE)</f>
        <v>1.10523647917673</v>
      </c>
      <c r="AA997" s="379">
        <f>+VLOOKUP($E997,Macro!$1:$1048576,AA$2,FALSE)</f>
        <v>1.2224211707336563</v>
      </c>
      <c r="AB997" s="379">
        <f>+VLOOKUP($E997,Macro!$1:$1048576,AB$2,FALSE)</f>
        <v>1.3413526472340287</v>
      </c>
      <c r="AC997" s="379">
        <f>+VLOOKUP($E997,Macro!$1:$1048576,AC$2,FALSE)</f>
        <v>1.461767286362825</v>
      </c>
      <c r="AD997" s="379">
        <f>+VLOOKUP($E997,Macro!$1:$1048576,AD$2,FALSE)</f>
        <v>1.5834437545064528</v>
      </c>
      <c r="AE997" s="379">
        <f>+VLOOKUP($E997,Macro!$1:$1048576,AE$2,FALSE)</f>
        <v>1.7060965799519767</v>
      </c>
      <c r="AF997" s="379">
        <f>+VLOOKUP($E997,Macro!$1:$1048576,AF$2,FALSE)</f>
        <v>1.8293273655509701</v>
      </c>
      <c r="AG997" s="379">
        <f>+VLOOKUP($E997,Macro!$1:$1048576,AG$2,FALSE)</f>
        <v>1.9526152289849108</v>
      </c>
      <c r="AH997" s="379">
        <f>+VLOOKUP($E997,Macro!$1:$1048576,AH$2,FALSE)</f>
        <v>2.0753324063535805</v>
      </c>
      <c r="AI997" s="379">
        <f>+VLOOKUP($E997,Macro!$1:$1048576,AI$2,FALSE)</f>
        <v>2.196772555877069</v>
      </c>
      <c r="AJ997" s="379">
        <f>+VLOOKUP($E997,Macro!$1:$1048576,AJ$2,FALSE)</f>
        <v>2.3161832912837799</v>
      </c>
      <c r="AK997" s="379">
        <f>+VLOOKUP($E997,Macro!$1:$1048576,AK$2,FALSE)</f>
        <v>2.4327994142356646</v>
      </c>
      <c r="AL997" s="379">
        <f>+VLOOKUP($E997,Macro!$1:$1048576,AL$2,FALSE)</f>
        <v>2.5458709371255273</v>
      </c>
      <c r="AM997" s="379">
        <f>+VLOOKUP($E997,Macro!$1:$1048576,AM$2,FALSE)</f>
        <v>2.6546857633344745</v>
      </c>
      <c r="AN997" s="379">
        <f>+VLOOKUP($E997,Macro!$1:$1048576,AN$2,FALSE)</f>
        <v>2.7585865444856639</v>
      </c>
      <c r="AO997" s="379">
        <f>+VLOOKUP($E997,Macro!$1:$1048576,AO$2,FALSE)</f>
        <v>2.8569809500042398</v>
      </c>
    </row>
    <row r="998" spans="1:41" ht="15" customHeight="1" x14ac:dyDescent="0.25">
      <c r="A998" s="402"/>
      <c r="B998" s="399"/>
      <c r="C998" s="132" t="s">
        <v>220</v>
      </c>
      <c r="D998" s="132"/>
      <c r="E998" s="54" t="s">
        <v>238</v>
      </c>
      <c r="F998" s="379">
        <f>+VLOOKUP($E998,Macro!$1:$1048576,F$2,FALSE)</f>
        <v>0</v>
      </c>
      <c r="G998" s="379">
        <f>+VLOOKUP($E998,Macro!$1:$1048576,G$2,FALSE)</f>
        <v>-0.12818640285678917</v>
      </c>
      <c r="H998" s="379">
        <f>+VLOOKUP($E998,Macro!$1:$1048576,H$2,FALSE)</f>
        <v>-0.24915638774554161</v>
      </c>
      <c r="I998" s="379">
        <f>+VLOOKUP($E998,Macro!$1:$1048576,I$2,FALSE)</f>
        <v>-0.35010184709628467</v>
      </c>
      <c r="J998" s="379">
        <f>+VLOOKUP($E998,Macro!$1:$1048576,J$2,FALSE)</f>
        <v>-0.45456507986797456</v>
      </c>
      <c r="K998" s="379">
        <f>+VLOOKUP($E998,Macro!$1:$1048576,K$2,FALSE)</f>
        <v>-0.58853153980998885</v>
      </c>
      <c r="L998" s="379">
        <f>+VLOOKUP($E998,Macro!$1:$1048576,L$2,FALSE)</f>
        <v>-0.71977661044603236</v>
      </c>
      <c r="M998" s="379">
        <f>+VLOOKUP($E998,Macro!$1:$1048576,M$2,FALSE)</f>
        <v>-0.80433362973462152</v>
      </c>
      <c r="N998" s="379">
        <f>+VLOOKUP($E998,Macro!$1:$1048576,N$2,FALSE)</f>
        <v>-0.8566327355430059</v>
      </c>
      <c r="O998" s="379">
        <f>+VLOOKUP($E998,Macro!$1:$1048576,O$2,FALSE)</f>
        <v>-0.90482457748967127</v>
      </c>
      <c r="P998" s="379">
        <f>+VLOOKUP($E998,Macro!$1:$1048576,P$2,FALSE)</f>
        <v>-0.9739255123451307</v>
      </c>
      <c r="Q998" s="379">
        <f>+VLOOKUP($E998,Macro!$1:$1048576,Q$2,FALSE)</f>
        <v>-1.082643176043252</v>
      </c>
      <c r="R998" s="379">
        <f>+VLOOKUP($E998,Macro!$1:$1048576,R$2,FALSE)</f>
        <v>-1.2444798178507854</v>
      </c>
      <c r="S998" s="379">
        <f>+VLOOKUP($E998,Macro!$1:$1048576,S$2,FALSE)</f>
        <v>-1.4695306668948804</v>
      </c>
      <c r="T998" s="379">
        <f>+VLOOKUP($E998,Macro!$1:$1048576,T$2,FALSE)</f>
        <v>-1.7659031859150187</v>
      </c>
      <c r="U998" s="379">
        <f>+VLOOKUP($E998,Macro!$1:$1048576,U$2,FALSE)</f>
        <v>-2.1405995181563719</v>
      </c>
      <c r="V998" s="379">
        <f>+VLOOKUP($E998,Macro!$1:$1048576,V$2,FALSE)</f>
        <v>-2.5518670290415546</v>
      </c>
      <c r="W998" s="379">
        <f>+VLOOKUP($E998,Macro!$1:$1048576,W$2,FALSE)</f>
        <v>-2.9418066432970402</v>
      </c>
      <c r="X998" s="379">
        <f>+VLOOKUP($E998,Macro!$1:$1048576,X$2,FALSE)</f>
        <v>-3.3038658617215777</v>
      </c>
      <c r="Y998" s="379">
        <f>+VLOOKUP($E998,Macro!$1:$1048576,Y$2,FALSE)</f>
        <v>-3.6476307492549598</v>
      </c>
      <c r="Z998" s="379">
        <f>+VLOOKUP($E998,Macro!$1:$1048576,Z$2,FALSE)</f>
        <v>-3.9840585337417411</v>
      </c>
      <c r="AA998" s="379">
        <f>+VLOOKUP($E998,Macro!$1:$1048576,AA$2,FALSE)</f>
        <v>-4.3214698188701277</v>
      </c>
      <c r="AB998" s="379">
        <f>+VLOOKUP($E998,Macro!$1:$1048576,AB$2,FALSE)</f>
        <v>-4.665345401519283</v>
      </c>
      <c r="AC998" s="379">
        <f>+VLOOKUP($E998,Macro!$1:$1048576,AC$2,FALSE)</f>
        <v>-5.0191012012431262</v>
      </c>
      <c r="AD998" s="379">
        <f>+VLOOKUP($E998,Macro!$1:$1048576,AD$2,FALSE)</f>
        <v>-5.3848717707757343</v>
      </c>
      <c r="AE998" s="379">
        <f>+VLOOKUP($E998,Macro!$1:$1048576,AE$2,FALSE)</f>
        <v>-5.7640634885474995</v>
      </c>
      <c r="AF998" s="379">
        <f>+VLOOKUP($E998,Macro!$1:$1048576,AF$2,FALSE)</f>
        <v>-6.1576834919226169</v>
      </c>
      <c r="AG998" s="379">
        <f>+VLOOKUP($E998,Macro!$1:$1048576,AG$2,FALSE)</f>
        <v>-6.5665078134149795</v>
      </c>
      <c r="AH998" s="379">
        <f>+VLOOKUP($E998,Macro!$1:$1048576,AH$2,FALSE)</f>
        <v>-6.9911502144103572</v>
      </c>
      <c r="AI998" s="379">
        <f>+VLOOKUP($E998,Macro!$1:$1048576,AI$2,FALSE)</f>
        <v>-7.4320767240803605</v>
      </c>
      <c r="AJ998" s="379">
        <f>+VLOOKUP($E998,Macro!$1:$1048576,AJ$2,FALSE)</f>
        <v>-7.8895939734715643</v>
      </c>
      <c r="AK998" s="379">
        <f>+VLOOKUP($E998,Macro!$1:$1048576,AK$2,FALSE)</f>
        <v>-8.3638305021908828</v>
      </c>
      <c r="AL998" s="379">
        <f>+VLOOKUP($E998,Macro!$1:$1048576,AL$2,FALSE)</f>
        <v>-8.8547191774886116</v>
      </c>
      <c r="AM998" s="379">
        <f>+VLOOKUP($E998,Macro!$1:$1048576,AM$2,FALSE)</f>
        <v>-9.3619862377309015</v>
      </c>
      <c r="AN998" s="379">
        <f>+VLOOKUP($E998,Macro!$1:$1048576,AN$2,FALSE)</f>
        <v>-9.8851481269724655</v>
      </c>
      <c r="AO998" s="379">
        <f>+VLOOKUP($E998,Macro!$1:$1048576,AO$2,FALSE)</f>
        <v>-10.423516376344001</v>
      </c>
    </row>
    <row r="999" spans="1:41" ht="15" customHeight="1" x14ac:dyDescent="0.25">
      <c r="A999" s="402"/>
      <c r="B999" s="399"/>
      <c r="C999" s="132" t="s">
        <v>222</v>
      </c>
      <c r="D999" s="132"/>
      <c r="E999" s="54" t="s">
        <v>239</v>
      </c>
      <c r="F999" s="379">
        <f>+VLOOKUP($E999,Macro!$1:$1048576,F$2,FALSE)</f>
        <v>0</v>
      </c>
      <c r="G999" s="379">
        <f>+VLOOKUP($E999,Macro!$1:$1048576,G$2,FALSE)</f>
        <v>0</v>
      </c>
      <c r="H999" s="379">
        <f>+VLOOKUP($E999,Macro!$1:$1048576,H$2,FALSE)</f>
        <v>0</v>
      </c>
      <c r="I999" s="379">
        <f>+VLOOKUP($E999,Macro!$1:$1048576,I$2,FALSE)</f>
        <v>0</v>
      </c>
      <c r="J999" s="379">
        <f>+VLOOKUP($E999,Macro!$1:$1048576,J$2,FALSE)</f>
        <v>0</v>
      </c>
      <c r="K999" s="379">
        <f>+VLOOKUP($E999,Macro!$1:$1048576,K$2,FALSE)</f>
        <v>0</v>
      </c>
      <c r="L999" s="379">
        <f>+VLOOKUP($E999,Macro!$1:$1048576,L$2,FALSE)</f>
        <v>0</v>
      </c>
      <c r="M999" s="379">
        <f>+VLOOKUP($E999,Macro!$1:$1048576,M$2,FALSE)</f>
        <v>0</v>
      </c>
      <c r="N999" s="379">
        <f>+VLOOKUP($E999,Macro!$1:$1048576,N$2,FALSE)</f>
        <v>0</v>
      </c>
      <c r="O999" s="379">
        <f>+VLOOKUP($E999,Macro!$1:$1048576,O$2,FALSE)</f>
        <v>0</v>
      </c>
      <c r="P999" s="379">
        <f>+VLOOKUP($E999,Macro!$1:$1048576,P$2,FALSE)</f>
        <v>0</v>
      </c>
      <c r="Q999" s="379">
        <f>+VLOOKUP($E999,Macro!$1:$1048576,Q$2,FALSE)</f>
        <v>0</v>
      </c>
      <c r="R999" s="379">
        <f>+VLOOKUP($E999,Macro!$1:$1048576,R$2,FALSE)</f>
        <v>0</v>
      </c>
      <c r="S999" s="379">
        <f>+VLOOKUP($E999,Macro!$1:$1048576,S$2,FALSE)</f>
        <v>0</v>
      </c>
      <c r="T999" s="379">
        <f>+VLOOKUP($E999,Macro!$1:$1048576,T$2,FALSE)</f>
        <v>0</v>
      </c>
      <c r="U999" s="379">
        <f>+VLOOKUP($E999,Macro!$1:$1048576,U$2,FALSE)</f>
        <v>0</v>
      </c>
      <c r="V999" s="379">
        <f>+VLOOKUP($E999,Macro!$1:$1048576,V$2,FALSE)</f>
        <v>0</v>
      </c>
      <c r="W999" s="379">
        <f>+VLOOKUP($E999,Macro!$1:$1048576,W$2,FALSE)</f>
        <v>0</v>
      </c>
      <c r="X999" s="379">
        <f>+VLOOKUP($E999,Macro!$1:$1048576,X$2,FALSE)</f>
        <v>0</v>
      </c>
      <c r="Y999" s="379">
        <f>+VLOOKUP($E999,Macro!$1:$1048576,Y$2,FALSE)</f>
        <v>0</v>
      </c>
      <c r="Z999" s="379">
        <f>+VLOOKUP($E999,Macro!$1:$1048576,Z$2,FALSE)</f>
        <v>0</v>
      </c>
      <c r="AA999" s="379">
        <f>+VLOOKUP($E999,Macro!$1:$1048576,AA$2,FALSE)</f>
        <v>0</v>
      </c>
      <c r="AB999" s="379">
        <f>+VLOOKUP($E999,Macro!$1:$1048576,AB$2,FALSE)</f>
        <v>0</v>
      </c>
      <c r="AC999" s="379">
        <f>+VLOOKUP($E999,Macro!$1:$1048576,AC$2,FALSE)</f>
        <v>0</v>
      </c>
      <c r="AD999" s="379">
        <f>+VLOOKUP($E999,Macro!$1:$1048576,AD$2,FALSE)</f>
        <v>0</v>
      </c>
      <c r="AE999" s="379">
        <f>+VLOOKUP($E999,Macro!$1:$1048576,AE$2,FALSE)</f>
        <v>0</v>
      </c>
      <c r="AF999" s="379">
        <f>+VLOOKUP($E999,Macro!$1:$1048576,AF$2,FALSE)</f>
        <v>0</v>
      </c>
      <c r="AG999" s="379">
        <f>+VLOOKUP($E999,Macro!$1:$1048576,AG$2,FALSE)</f>
        <v>0</v>
      </c>
      <c r="AH999" s="379">
        <f>+VLOOKUP($E999,Macro!$1:$1048576,AH$2,FALSE)</f>
        <v>0</v>
      </c>
      <c r="AI999" s="379">
        <f>+VLOOKUP($E999,Macro!$1:$1048576,AI$2,FALSE)</f>
        <v>0</v>
      </c>
      <c r="AJ999" s="379">
        <f>+VLOOKUP($E999,Macro!$1:$1048576,AJ$2,FALSE)</f>
        <v>0</v>
      </c>
      <c r="AK999" s="379">
        <f>+VLOOKUP($E999,Macro!$1:$1048576,AK$2,FALSE)</f>
        <v>0</v>
      </c>
      <c r="AL999" s="379">
        <f>+VLOOKUP($E999,Macro!$1:$1048576,AL$2,FALSE)</f>
        <v>0</v>
      </c>
      <c r="AM999" s="379">
        <f>+VLOOKUP($E999,Macro!$1:$1048576,AM$2,FALSE)</f>
        <v>0</v>
      </c>
      <c r="AN999" s="379">
        <f>+VLOOKUP($E999,Macro!$1:$1048576,AN$2,FALSE)</f>
        <v>0</v>
      </c>
      <c r="AO999" s="379">
        <f>+VLOOKUP($E999,Macro!$1:$1048576,AO$2,FALSE)</f>
        <v>0</v>
      </c>
    </row>
    <row r="1000" spans="1:41" ht="15" customHeight="1" x14ac:dyDescent="0.25">
      <c r="A1000" s="402"/>
      <c r="B1000" s="399"/>
      <c r="C1000" s="132" t="s">
        <v>3</v>
      </c>
      <c r="D1000" s="132"/>
      <c r="E1000" s="54" t="s">
        <v>240</v>
      </c>
      <c r="F1000" s="379">
        <f>+VLOOKUP($E1000,Macro!$1:$1048576,F$2,FALSE)</f>
        <v>0</v>
      </c>
      <c r="G1000" s="379">
        <f>+VLOOKUP($E1000,Macro!$1:$1048576,G$2,FALSE)</f>
        <v>-4.6338231390774531E-3</v>
      </c>
      <c r="H1000" s="379">
        <f>+VLOOKUP($E1000,Macro!$1:$1048576,H$2,FALSE)</f>
        <v>-1.1432338218120286E-2</v>
      </c>
      <c r="I1000" s="379">
        <f>+VLOOKUP($E1000,Macro!$1:$1048576,I$2,FALSE)</f>
        <v>-1.9738649162925892E-2</v>
      </c>
      <c r="J1000" s="379">
        <f>+VLOOKUP($E1000,Macro!$1:$1048576,J$2,FALSE)</f>
        <v>-3.0099289925600292E-2</v>
      </c>
      <c r="K1000" s="379">
        <f>+VLOOKUP($E1000,Macro!$1:$1048576,K$2,FALSE)</f>
        <v>-4.3591278743360107E-2</v>
      </c>
      <c r="L1000" s="379">
        <f>+VLOOKUP($E1000,Macro!$1:$1048576,L$2,FALSE)</f>
        <v>-5.9365516176024258E-2</v>
      </c>
      <c r="M1000" s="379">
        <f>+VLOOKUP($E1000,Macro!$1:$1048576,M$2,FALSE)</f>
        <v>-7.5529889180436793E-2</v>
      </c>
      <c r="N1000" s="379">
        <f>+VLOOKUP($E1000,Macro!$1:$1048576,N$2,FALSE)</f>
        <v>-9.1710764186325733E-2</v>
      </c>
      <c r="O1000" s="379">
        <f>+VLOOKUP($E1000,Macro!$1:$1048576,O$2,FALSE)</f>
        <v>-0.1082526553606189</v>
      </c>
      <c r="P1000" s="379">
        <f>+VLOOKUP($E1000,Macro!$1:$1048576,P$2,FALSE)</f>
        <v>-0.12569350278309743</v>
      </c>
      <c r="Q1000" s="379">
        <f>+VLOOKUP($E1000,Macro!$1:$1048576,Q$2,FALSE)</f>
        <v>-0.14456916272882481</v>
      </c>
      <c r="R1000" s="379">
        <f>+VLOOKUP($E1000,Macro!$1:$1048576,R$2,FALSE)</f>
        <v>-0.16541451695339937</v>
      </c>
      <c r="S1000" s="379">
        <f>+VLOOKUP($E1000,Macro!$1:$1048576,S$2,FALSE)</f>
        <v>-0.18882793431833633</v>
      </c>
      <c r="T1000" s="379">
        <f>+VLOOKUP($E1000,Macro!$1:$1048576,T$2,FALSE)</f>
        <v>-0.21552383094205485</v>
      </c>
      <c r="U1000" s="379">
        <f>+VLOOKUP($E1000,Macro!$1:$1048576,U$2,FALSE)</f>
        <v>-0.24634602124126159</v>
      </c>
      <c r="V1000" s="379">
        <f>+VLOOKUP($E1000,Macro!$1:$1048576,V$2,FALSE)</f>
        <v>-0.28087374221729133</v>
      </c>
      <c r="W1000" s="379">
        <f>+VLOOKUP($E1000,Macro!$1:$1048576,W$2,FALSE)</f>
        <v>-0.31788339104479313</v>
      </c>
      <c r="X1000" s="379">
        <f>+VLOOKUP($E1000,Macro!$1:$1048576,X$2,FALSE)</f>
        <v>-0.35702665098213959</v>
      </c>
      <c r="Y1000" s="379">
        <f>+VLOOKUP($E1000,Macro!$1:$1048576,Y$2,FALSE)</f>
        <v>-0.39828610098511241</v>
      </c>
      <c r="Z1000" s="379">
        <f>+VLOOKUP($E1000,Macro!$1:$1048576,Z$2,FALSE)</f>
        <v>-0.44160759310606368</v>
      </c>
      <c r="AA1000" s="379">
        <f>+VLOOKUP($E1000,Macro!$1:$1048576,AA$2,FALSE)</f>
        <v>-0.48676437698925712</v>
      </c>
      <c r="AB1000" s="379">
        <f>+VLOOKUP($E1000,Macro!$1:$1048576,AB$2,FALSE)</f>
        <v>-0.53337375017448174</v>
      </c>
      <c r="AC1000" s="379">
        <f>+VLOOKUP($E1000,Macro!$1:$1048576,AC$2,FALSE)</f>
        <v>-0.58097564111110334</v>
      </c>
      <c r="AD1000" s="379">
        <f>+VLOOKUP($E1000,Macro!$1:$1048576,AD$2,FALSE)</f>
        <v>-0.629115377651146</v>
      </c>
      <c r="AE1000" s="379">
        <f>+VLOOKUP($E1000,Macro!$1:$1048576,AE$2,FALSE)</f>
        <v>-0.67740527239373849</v>
      </c>
      <c r="AF1000" s="379">
        <f>+VLOOKUP($E1000,Macro!$1:$1048576,AF$2,FALSE)</f>
        <v>-0.72555932896060105</v>
      </c>
      <c r="AG1000" s="379">
        <f>+VLOOKUP($E1000,Macro!$1:$1048576,AG$2,FALSE)</f>
        <v>-0.77340525642467517</v>
      </c>
      <c r="AH1000" s="379">
        <f>+VLOOKUP($E1000,Macro!$1:$1048576,AH$2,FALSE)</f>
        <v>-0.82088032963462121</v>
      </c>
      <c r="AI1000" s="379">
        <f>+VLOOKUP($E1000,Macro!$1:$1048576,AI$2,FALSE)</f>
        <v>-0.86801770131952338</v>
      </c>
      <c r="AJ1000" s="379">
        <f>+VLOOKUP($E1000,Macro!$1:$1048576,AJ$2,FALSE)</f>
        <v>-0.91492806052884124</v>
      </c>
      <c r="AK1000" s="379">
        <f>+VLOOKUP($E1000,Macro!$1:$1048576,AK$2,FALSE)</f>
        <v>-0.96178028429029228</v>
      </c>
      <c r="AL1000" s="379">
        <f>+VLOOKUP($E1000,Macro!$1:$1048576,AL$2,FALSE)</f>
        <v>-1.0087835254926292</v>
      </c>
      <c r="AM1000" s="379">
        <f>+VLOOKUP($E1000,Macro!$1:$1048576,AM$2,FALSE)</f>
        <v>-1.0561716562439316</v>
      </c>
      <c r="AN1000" s="379">
        <f>+VLOOKUP($E1000,Macro!$1:$1048576,AN$2,FALSE)</f>
        <v>-1.1041910350297668</v>
      </c>
      <c r="AO1000" s="379">
        <f>+VLOOKUP($E1000,Macro!$1:$1048576,AO$2,FALSE)</f>
        <v>-1.153091425806807</v>
      </c>
    </row>
    <row r="1001" spans="1:41" ht="15" customHeight="1" x14ac:dyDescent="0.25">
      <c r="A1001" s="402"/>
      <c r="B1001" s="399"/>
      <c r="C1001" s="132" t="s">
        <v>233</v>
      </c>
      <c r="D1001" s="132"/>
      <c r="E1001" s="63" t="s">
        <v>2182</v>
      </c>
      <c r="F1001" s="379">
        <f>+VLOOKUP($E1001,Macro!$1:$1048576,F$2,FALSE)</f>
        <v>0</v>
      </c>
      <c r="G1001" s="379">
        <f>+VLOOKUP($E1001,Macro!$1:$1048576,G$2,FALSE)</f>
        <v>-4.4331026836985643E-3</v>
      </c>
      <c r="H1001" s="379">
        <f>+VLOOKUP($E1001,Macro!$1:$1048576,H$2,FALSE)</f>
        <v>-1.092013479542242E-2</v>
      </c>
      <c r="I1001" s="379">
        <f>+VLOOKUP($E1001,Macro!$1:$1048576,I$2,FALSE)</f>
        <v>-1.8801570095217102E-2</v>
      </c>
      <c r="J1001" s="379">
        <f>+VLOOKUP($E1001,Macro!$1:$1048576,J$2,FALSE)</f>
        <v>-2.8607456838403156E-2</v>
      </c>
      <c r="K1001" s="379">
        <f>+VLOOKUP($E1001,Macro!$1:$1048576,K$2,FALSE)</f>
        <v>-4.139475404237869E-2</v>
      </c>
      <c r="L1001" s="379">
        <f>+VLOOKUP($E1001,Macro!$1:$1048576,L$2,FALSE)</f>
        <v>-5.6370435751496029E-2</v>
      </c>
      <c r="M1001" s="379">
        <f>+VLOOKUP($E1001,Macro!$1:$1048576,M$2,FALSE)</f>
        <v>-7.1734134018019979E-2</v>
      </c>
      <c r="N1001" s="379">
        <f>+VLOOKUP($E1001,Macro!$1:$1048576,N$2,FALSE)</f>
        <v>-8.7148768233158425E-2</v>
      </c>
      <c r="O1001" s="379">
        <f>+VLOOKUP($E1001,Macro!$1:$1048576,O$2,FALSE)</f>
        <v>-0.10297047886418387</v>
      </c>
      <c r="P1001" s="379">
        <f>+VLOOKUP($E1001,Macro!$1:$1048576,P$2,FALSE)</f>
        <v>-0.11972285831647334</v>
      </c>
      <c r="Q1001" s="379">
        <f>+VLOOKUP($E1001,Macro!$1:$1048576,Q$2,FALSE)</f>
        <v>-0.1379022225151072</v>
      </c>
      <c r="R1001" s="379">
        <f>+VLOOKUP($E1001,Macro!$1:$1048576,R$2,FALSE)</f>
        <v>-0.15798601167867909</v>
      </c>
      <c r="S1001" s="379">
        <f>+VLOOKUP($E1001,Macro!$1:$1048576,S$2,FALSE)</f>
        <v>-0.18050742865921565</v>
      </c>
      <c r="T1001" s="379">
        <f>+VLOOKUP($E1001,Macro!$1:$1048576,T$2,FALSE)</f>
        <v>-0.20611733679914979</v>
      </c>
      <c r="U1001" s="379">
        <f>+VLOOKUP($E1001,Macro!$1:$1048576,U$2,FALSE)</f>
        <v>-0.23560421129062981</v>
      </c>
      <c r="V1001" s="379">
        <f>+VLOOKUP($E1001,Macro!$1:$1048576,V$2,FALSE)</f>
        <v>-0.26856395939609534</v>
      </c>
      <c r="W1001" s="379">
        <f>+VLOOKUP($E1001,Macro!$1:$1048576,W$2,FALSE)</f>
        <v>-0.30384829011784742</v>
      </c>
      <c r="X1001" s="379">
        <f>+VLOOKUP($E1001,Macro!$1:$1048576,X$2,FALSE)</f>
        <v>-0.34117491738721029</v>
      </c>
      <c r="Y1001" s="379">
        <f>+VLOOKUP($E1001,Macro!$1:$1048576,Y$2,FALSE)</f>
        <v>-0.38059017904009673</v>
      </c>
      <c r="Z1001" s="379">
        <f>+VLOOKUP($E1001,Macro!$1:$1048576,Z$2,FALSE)</f>
        <v>-0.42209042333469782</v>
      </c>
      <c r="AA1001" s="379">
        <f>+VLOOKUP($E1001,Macro!$1:$1048576,AA$2,FALSE)</f>
        <v>-0.46547938121307419</v>
      </c>
      <c r="AB1001" s="379">
        <f>+VLOOKUP($E1001,Macro!$1:$1048576,AB$2,FALSE)</f>
        <v>-0.51038517968893249</v>
      </c>
      <c r="AC1001" s="379">
        <f>+VLOOKUP($E1001,Macro!$1:$1048576,AC$2,FALSE)</f>
        <v>-0.5563435411889639</v>
      </c>
      <c r="AD1001" s="379">
        <f>+VLOOKUP($E1001,Macro!$1:$1048576,AD$2,FALSE)</f>
        <v>-0.60288637730017136</v>
      </c>
      <c r="AE1001" s="379">
        <f>+VLOOKUP($E1001,Macro!$1:$1048576,AE$2,FALSE)</f>
        <v>-0.64960855649963678</v>
      </c>
      <c r="AF1001" s="379">
        <f>+VLOOKUP($E1001,Macro!$1:$1048576,AF$2,FALSE)</f>
        <v>-0.69620644343988403</v>
      </c>
      <c r="AG1001" s="379">
        <f>+VLOOKUP($E1001,Macro!$1:$1048576,AG$2,FALSE)</f>
        <v>-0.7424922923765731</v>
      </c>
      <c r="AH1001" s="379">
        <f>+VLOOKUP($E1001,Macro!$1:$1048576,AH$2,FALSE)</f>
        <v>-0.78839133161956454</v>
      </c>
      <c r="AI1001" s="379">
        <f>+VLOOKUP($E1001,Macro!$1:$1048576,AI$2,FALSE)</f>
        <v>-0.8339284362311794</v>
      </c>
      <c r="AJ1001" s="379">
        <f>+VLOOKUP($E1001,Macro!$1:$1048576,AJ$2,FALSE)</f>
        <v>-0.87920959465725979</v>
      </c>
      <c r="AK1001" s="379">
        <f>+VLOOKUP($E1001,Macro!$1:$1048576,AK$2,FALSE)</f>
        <v>-0.92440207272549424</v>
      </c>
      <c r="AL1001" s="379">
        <f>+VLOOKUP($E1001,Macro!$1:$1048576,AL$2,FALSE)</f>
        <v>-0.96971588657923657</v>
      </c>
      <c r="AM1001" s="379">
        <f>+VLOOKUP($E1001,Macro!$1:$1048576,AM$2,FALSE)</f>
        <v>-1.0153876302732345</v>
      </c>
      <c r="AN1001" s="379">
        <f>+VLOOKUP($E1001,Macro!$1:$1048576,AN$2,FALSE)</f>
        <v>-1.0616676906768263</v>
      </c>
      <c r="AO1001" s="379">
        <f>+VLOOKUP($E1001,Macro!$1:$1048576,AO$2,FALSE)</f>
        <v>-1.1088107452405849</v>
      </c>
    </row>
    <row r="1002" spans="1:41" ht="15" customHeight="1" x14ac:dyDescent="0.25">
      <c r="A1002" s="402"/>
      <c r="B1002" s="399"/>
      <c r="C1002" s="132" t="s">
        <v>4</v>
      </c>
      <c r="D1002" s="132"/>
      <c r="E1002" s="54" t="s">
        <v>241</v>
      </c>
      <c r="F1002" s="379">
        <f>+VLOOKUP($E1002,Macro!$1:$1048576,F$2,FALSE)</f>
        <v>0</v>
      </c>
      <c r="G1002" s="379">
        <f>+VLOOKUP($E1002,Macro!$1:$1048576,G$2,FALSE)</f>
        <v>-2.5491856302295446E-3</v>
      </c>
      <c r="H1002" s="379">
        <f>+VLOOKUP($E1002,Macro!$1:$1048576,H$2,FALSE)</f>
        <v>-8.5910816649659161E-3</v>
      </c>
      <c r="I1002" s="379">
        <f>+VLOOKUP($E1002,Macro!$1:$1048576,I$2,FALSE)</f>
        <v>-1.8818883106908046E-2</v>
      </c>
      <c r="J1002" s="379">
        <f>+VLOOKUP($E1002,Macro!$1:$1048576,J$2,FALSE)</f>
        <v>-3.4155167018723454E-2</v>
      </c>
      <c r="K1002" s="379">
        <f>+VLOOKUP($E1002,Macro!$1:$1048576,K$2,FALSE)</f>
        <v>-5.5920622417393595E-2</v>
      </c>
      <c r="L1002" s="379">
        <f>+VLOOKUP($E1002,Macro!$1:$1048576,L$2,FALSE)</f>
        <v>-8.4743656817842794E-2</v>
      </c>
      <c r="M1002" s="379">
        <f>+VLOOKUP($E1002,Macro!$1:$1048576,M$2,FALSE)</f>
        <v>-0.12011475921420711</v>
      </c>
      <c r="N1002" s="379">
        <f>+VLOOKUP($E1002,Macro!$1:$1048576,N$2,FALSE)</f>
        <v>-0.16133862827192313</v>
      </c>
      <c r="O1002" s="379">
        <f>+VLOOKUP($E1002,Macro!$1:$1048576,O$2,FALSE)</f>
        <v>-0.20791035179900108</v>
      </c>
      <c r="P1002" s="379">
        <f>+VLOOKUP($E1002,Macro!$1:$1048576,P$2,FALSE)</f>
        <v>-0.25968196953497502</v>
      </c>
      <c r="Q1002" s="379">
        <f>+VLOOKUP($E1002,Macro!$1:$1048576,Q$2,FALSE)</f>
        <v>-0.31694183765166306</v>
      </c>
      <c r="R1002" s="379">
        <f>+VLOOKUP($E1002,Macro!$1:$1048576,R$2,FALSE)</f>
        <v>-0.38044514976971477</v>
      </c>
      <c r="S1002" s="379">
        <f>+VLOOKUP($E1002,Macro!$1:$1048576,S$2,FALSE)</f>
        <v>-0.45141088649005567</v>
      </c>
      <c r="T1002" s="379">
        <f>+VLOOKUP($E1002,Macro!$1:$1048576,T$2,FALSE)</f>
        <v>-0.53149316996680129</v>
      </c>
      <c r="U1002" s="379">
        <f>+VLOOKUP($E1002,Macro!$1:$1048576,U$2,FALSE)</f>
        <v>-0.62273485779784643</v>
      </c>
      <c r="V1002" s="379">
        <f>+VLOOKUP($E1002,Macro!$1:$1048576,V$2,FALSE)</f>
        <v>-0.72664833176684374</v>
      </c>
      <c r="W1002" s="379">
        <f>+VLOOKUP($E1002,Macro!$1:$1048576,W$2,FALSE)</f>
        <v>-0.84365631243028538</v>
      </c>
      <c r="X1002" s="379">
        <f>+VLOOKUP($E1002,Macro!$1:$1048576,X$2,FALSE)</f>
        <v>-0.97362659854567379</v>
      </c>
      <c r="Y1002" s="379">
        <f>+VLOOKUP($E1002,Macro!$1:$1048576,Y$2,FALSE)</f>
        <v>-1.116090505123446</v>
      </c>
      <c r="Z1002" s="379">
        <f>+VLOOKUP($E1002,Macro!$1:$1048576,Z$2,FALSE)</f>
        <v>-1.2703568867630022</v>
      </c>
      <c r="AA1002" s="379">
        <f>+VLOOKUP($E1002,Macro!$1:$1048576,AA$2,FALSE)</f>
        <v>-1.4355883316849671</v>
      </c>
      <c r="AB1002" s="379">
        <f>+VLOOKUP($E1002,Macro!$1:$1048576,AB$2,FALSE)</f>
        <v>-1.6108573804437754</v>
      </c>
      <c r="AC1002" s="379">
        <f>+VLOOKUP($E1002,Macro!$1:$1048576,AC$2,FALSE)</f>
        <v>-1.7951870531409009</v>
      </c>
      <c r="AD1002" s="379">
        <f>+VLOOKUP($E1002,Macro!$1:$1048576,AD$2,FALSE)</f>
        <v>-1.9875783680686654</v>
      </c>
      <c r="AE1002" s="379">
        <f>+VLOOKUP($E1002,Macro!$1:$1048576,AE$2,FALSE)</f>
        <v>-2.1870276704960889</v>
      </c>
      <c r="AF1002" s="379">
        <f>+VLOOKUP($E1002,Macro!$1:$1048576,AF$2,FALSE)</f>
        <v>-2.3925368006765591</v>
      </c>
      <c r="AG1002" s="379">
        <f>+VLOOKUP($E1002,Macro!$1:$1048576,AG$2,FALSE)</f>
        <v>-2.6031189380972375</v>
      </c>
      <c r="AH1002" s="379">
        <f>+VLOOKUP($E1002,Macro!$1:$1048576,AH$2,FALSE)</f>
        <v>-2.8178016998180677</v>
      </c>
      <c r="AI1002" s="379">
        <f>+VLOOKUP($E1002,Macro!$1:$1048576,AI$2,FALSE)</f>
        <v>-3.0356291911333377</v>
      </c>
      <c r="AJ1002" s="379">
        <f>+VLOOKUP($E1002,Macro!$1:$1048576,AJ$2,FALSE)</f>
        <v>-3.255663481902149</v>
      </c>
      <c r="AK1002" s="379">
        <f>+VLOOKUP($E1002,Macro!$1:$1048576,AK$2,FALSE)</f>
        <v>-3.4769860226307459</v>
      </c>
      <c r="AL1002" s="379">
        <f>+VLOOKUP($E1002,Macro!$1:$1048576,AL$2,FALSE)</f>
        <v>-3.6986991698695681</v>
      </c>
      <c r="AM1002" s="379">
        <f>+VLOOKUP($E1002,Macro!$1:$1048576,AM$2,FALSE)</f>
        <v>-3.9199277359178497</v>
      </c>
      <c r="AN1002" s="379">
        <f>+VLOOKUP($E1002,Macro!$1:$1048576,AN$2,FALSE)</f>
        <v>-4.1398207354947587</v>
      </c>
      <c r="AO1002" s="379">
        <f>+VLOOKUP($E1002,Macro!$1:$1048576,AO$2,FALSE)</f>
        <v>-4.3575532745635641</v>
      </c>
    </row>
    <row r="1003" spans="1:41" ht="15" customHeight="1" x14ac:dyDescent="0.25">
      <c r="A1003" s="402"/>
      <c r="B1003" s="399"/>
      <c r="C1003" s="132" t="s">
        <v>5</v>
      </c>
      <c r="D1003" s="132"/>
      <c r="E1003" s="54" t="s">
        <v>242</v>
      </c>
      <c r="F1003" s="379">
        <f>+VLOOKUP($E1003,Macro!$1:$1048576,F$2,FALSE)</f>
        <v>0</v>
      </c>
      <c r="G1003" s="379">
        <f>+VLOOKUP($E1003,Macro!$1:$1048576,G$2,FALSE)</f>
        <v>-9.7074529827434475E-3</v>
      </c>
      <c r="H1003" s="379">
        <f>+VLOOKUP($E1003,Macro!$1:$1048576,H$2,FALSE)</f>
        <v>-2.1687179759621866E-2</v>
      </c>
      <c r="I1003" s="379">
        <f>+VLOOKUP($E1003,Macro!$1:$1048576,I$2,FALSE)</f>
        <v>-3.4010922366944918E-2</v>
      </c>
      <c r="J1003" s="379">
        <f>+VLOOKUP($E1003,Macro!$1:$1048576,J$2,FALSE)</f>
        <v>-4.7603819238506428E-2</v>
      </c>
      <c r="K1003" s="379">
        <f>+VLOOKUP($E1003,Macro!$1:$1048576,K$2,FALSE)</f>
        <v>-6.4181484608138994E-2</v>
      </c>
      <c r="L1003" s="379">
        <f>+VLOOKUP($E1003,Macro!$1:$1048576,L$2,FALSE)</f>
        <v>-8.1006384895143668E-2</v>
      </c>
      <c r="M1003" s="379">
        <f>+VLOOKUP($E1003,Macro!$1:$1048576,M$2,FALSE)</f>
        <v>-9.3915886507911495E-2</v>
      </c>
      <c r="N1003" s="379">
        <f>+VLOOKUP($E1003,Macro!$1:$1048576,N$2,FALSE)</f>
        <v>-0.10310887444271444</v>
      </c>
      <c r="O1003" s="379">
        <f>+VLOOKUP($E1003,Macro!$1:$1048576,O$2,FALSE)</f>
        <v>-0.11033069662231831</v>
      </c>
      <c r="P1003" s="379">
        <f>+VLOOKUP($E1003,Macro!$1:$1048576,P$2,FALSE)</f>
        <v>-0.11740134376440059</v>
      </c>
      <c r="Q1003" s="379">
        <f>+VLOOKUP($E1003,Macro!$1:$1048576,Q$2,FALSE)</f>
        <v>-0.12577706943327494</v>
      </c>
      <c r="R1003" s="379">
        <f>+VLOOKUP($E1003,Macro!$1:$1048576,R$2,FALSE)</f>
        <v>-0.13653471307765175</v>
      </c>
      <c r="S1003" s="379">
        <f>+VLOOKUP($E1003,Macro!$1:$1048576,S$2,FALSE)</f>
        <v>-0.1504568711977905</v>
      </c>
      <c r="T1003" s="379">
        <f>+VLOOKUP($E1003,Macro!$1:$1048576,T$2,FALSE)</f>
        <v>-0.16809946355931249</v>
      </c>
      <c r="U1003" s="379">
        <f>+VLOOKUP($E1003,Macro!$1:$1048576,U$2,FALSE)</f>
        <v>-0.18982160993969988</v>
      </c>
      <c r="V1003" s="379">
        <f>+VLOOKUP($E1003,Macro!$1:$1048576,V$2,FALSE)</f>
        <v>-0.2127070505132389</v>
      </c>
      <c r="W1003" s="379">
        <f>+VLOOKUP($E1003,Macro!$1:$1048576,W$2,FALSE)</f>
        <v>-0.23262718864660581</v>
      </c>
      <c r="X1003" s="379">
        <f>+VLOOKUP($E1003,Macro!$1:$1048576,X$2,FALSE)</f>
        <v>-0.24862889259933407</v>
      </c>
      <c r="Y1003" s="379">
        <f>+VLOOKUP($E1003,Macro!$1:$1048576,Y$2,FALSE)</f>
        <v>-0.26100229766630179</v>
      </c>
      <c r="Z1003" s="379">
        <f>+VLOOKUP($E1003,Macro!$1:$1048576,Z$2,FALSE)</f>
        <v>-0.27025332345886888</v>
      </c>
      <c r="AA1003" s="379">
        <f>+VLOOKUP($E1003,Macro!$1:$1048576,AA$2,FALSE)</f>
        <v>-0.27677430952776083</v>
      </c>
      <c r="AB1003" s="379">
        <f>+VLOOKUP($E1003,Macro!$1:$1048576,AB$2,FALSE)</f>
        <v>-0.28082104880805536</v>
      </c>
      <c r="AC1003" s="379">
        <f>+VLOOKUP($E1003,Macro!$1:$1048576,AC$2,FALSE)</f>
        <v>-0.28258265608067656</v>
      </c>
      <c r="AD1003" s="379">
        <f>+VLOOKUP($E1003,Macro!$1:$1048576,AD$2,FALSE)</f>
        <v>-0.28225407517774581</v>
      </c>
      <c r="AE1003" s="379">
        <f>+VLOOKUP($E1003,Macro!$1:$1048576,AE$2,FALSE)</f>
        <v>-0.280084202406361</v>
      </c>
      <c r="AF1003" s="379">
        <f>+VLOOKUP($E1003,Macro!$1:$1048576,AF$2,FALSE)</f>
        <v>-0.27639747199564857</v>
      </c>
      <c r="AG1003" s="379">
        <f>+VLOOKUP($E1003,Macro!$1:$1048576,AG$2,FALSE)</f>
        <v>-0.27159551047148955</v>
      </c>
      <c r="AH1003" s="379">
        <f>+VLOOKUP($E1003,Macro!$1:$1048576,AH$2,FALSE)</f>
        <v>-0.26614580748079986</v>
      </c>
      <c r="AI1003" s="379">
        <f>+VLOOKUP($E1003,Macro!$1:$1048576,AI$2,FALSE)</f>
        <v>-0.26056376299383732</v>
      </c>
      <c r="AJ1003" s="379">
        <f>+VLOOKUP($E1003,Macro!$1:$1048576,AJ$2,FALSE)</f>
        <v>-0.25539199689675884</v>
      </c>
      <c r="AK1003" s="379">
        <f>+VLOOKUP($E1003,Macro!$1:$1048576,AK$2,FALSE)</f>
        <v>-0.25118047443831726</v>
      </c>
      <c r="AL1003" s="379">
        <f>+VLOOKUP($E1003,Macro!$1:$1048576,AL$2,FALSE)</f>
        <v>-0.24846850734993042</v>
      </c>
      <c r="AM1003" s="379">
        <f>+VLOOKUP($E1003,Macro!$1:$1048576,AM$2,FALSE)</f>
        <v>-0.24777016434299748</v>
      </c>
      <c r="AN1003" s="379">
        <f>+VLOOKUP($E1003,Macro!$1:$1048576,AN$2,FALSE)</f>
        <v>-0.24956290490996125</v>
      </c>
      <c r="AO1003" s="379">
        <f>+VLOOKUP($E1003,Macro!$1:$1048576,AO$2,FALSE)</f>
        <v>-0.25427953200130027</v>
      </c>
    </row>
    <row r="1004" spans="1:41" ht="15" customHeight="1" x14ac:dyDescent="0.25">
      <c r="A1004" s="402"/>
      <c r="B1004" s="399"/>
      <c r="C1004" s="132" t="s">
        <v>2</v>
      </c>
      <c r="D1004" s="132" t="s">
        <v>229</v>
      </c>
      <c r="E1004" s="54" t="s">
        <v>243</v>
      </c>
      <c r="F1004" s="379">
        <f>+VLOOKUP($E1004,Macro!$1:$1048576,F$2,FALSE)</f>
        <v>0</v>
      </c>
      <c r="G1004" s="379">
        <f>+VLOOKUP($E1004,Macro!$1:$1048576,G$2,FALSE)</f>
        <v>3.9319584434593935E-3</v>
      </c>
      <c r="H1004" s="379">
        <f>+VLOOKUP($E1004,Macro!$1:$1048576,H$2,FALSE)</f>
        <v>1.359943040140088E-2</v>
      </c>
      <c r="I1004" s="379">
        <f>+VLOOKUP($E1004,Macro!$1:$1048576,I$2,FALSE)</f>
        <v>2.9197011508852455E-2</v>
      </c>
      <c r="J1004" s="379">
        <f>+VLOOKUP($E1004,Macro!$1:$1048576,J$2,FALSE)</f>
        <v>5.0548376217585123E-2</v>
      </c>
      <c r="K1004" s="379">
        <f>+VLOOKUP($E1004,Macro!$1:$1048576,K$2,FALSE)</f>
        <v>7.8216755308191388E-2</v>
      </c>
      <c r="L1004" s="379">
        <f>+VLOOKUP($E1004,Macro!$1:$1048576,L$2,FALSE)</f>
        <v>0.11223706446170656</v>
      </c>
      <c r="M1004" s="379">
        <f>+VLOOKUP($E1004,Macro!$1:$1048576,M$2,FALSE)</f>
        <v>0.15093497354670138</v>
      </c>
      <c r="N1004" s="379">
        <f>+VLOOKUP($E1004,Macro!$1:$1048576,N$2,FALSE)</f>
        <v>0.19217887326734573</v>
      </c>
      <c r="O1004" s="379">
        <f>+VLOOKUP($E1004,Macro!$1:$1048576,O$2,FALSE)</f>
        <v>0.23474862385821638</v>
      </c>
      <c r="P1004" s="379">
        <f>+VLOOKUP($E1004,Macro!$1:$1048576,P$2,FALSE)</f>
        <v>0.27880857789897018</v>
      </c>
      <c r="Q1004" s="379">
        <f>+VLOOKUP($E1004,Macro!$1:$1048576,Q$2,FALSE)</f>
        <v>0.32563530579223787</v>
      </c>
      <c r="R1004" s="379">
        <f>+VLOOKUP($E1004,Macro!$1:$1048576,R$2,FALSE)</f>
        <v>0.37714326659907815</v>
      </c>
      <c r="S1004" s="379">
        <f>+VLOOKUP($E1004,Macro!$1:$1048576,S$2,FALSE)</f>
        <v>0.43548295837549933</v>
      </c>
      <c r="T1004" s="379">
        <f>+VLOOKUP($E1004,Macro!$1:$1048576,T$2,FALSE)</f>
        <v>0.50278253331290657</v>
      </c>
      <c r="U1004" s="379">
        <f>+VLOOKUP($E1004,Macro!$1:$1048576,U$2,FALSE)</f>
        <v>0.58101383180091393</v>
      </c>
      <c r="V1004" s="379">
        <f>+VLOOKUP($E1004,Macro!$1:$1048576,V$2,FALSE)</f>
        <v>0.67074408067491209</v>
      </c>
      <c r="W1004" s="379">
        <f>+VLOOKUP($E1004,Macro!$1:$1048576,W$2,FALSE)</f>
        <v>0.77034267022042524</v>
      </c>
      <c r="X1004" s="379">
        <f>+VLOOKUP($E1004,Macro!$1:$1048576,X$2,FALSE)</f>
        <v>0.87720404049507206</v>
      </c>
      <c r="Y1004" s="379">
        <f>+VLOOKUP($E1004,Macro!$1:$1048576,Y$2,FALSE)</f>
        <v>0.98892443592291102</v>
      </c>
      <c r="Z1004" s="379">
        <f>+VLOOKUP($E1004,Macro!$1:$1048576,Z$2,FALSE)</f>
        <v>1.1038369199364739</v>
      </c>
      <c r="AA1004" s="379">
        <f>+VLOOKUP($E1004,Macro!$1:$1048576,AA$2,FALSE)</f>
        <v>1.2209811555277783</v>
      </c>
      <c r="AB1004" s="379">
        <f>+VLOOKUP($E1004,Macro!$1:$1048576,AB$2,FALSE)</f>
        <v>1.3398661896873776</v>
      </c>
      <c r="AC1004" s="379">
        <f>+VLOOKUP($E1004,Macro!$1:$1048576,AC$2,FALSE)</f>
        <v>1.4602257866998203</v>
      </c>
      <c r="AD1004" s="379">
        <f>+VLOOKUP($E1004,Macro!$1:$1048576,AD$2,FALSE)</f>
        <v>1.5818388030475417</v>
      </c>
      <c r="AE1004" s="379">
        <f>+VLOOKUP($E1004,Macro!$1:$1048576,AE$2,FALSE)</f>
        <v>1.7044218494976171</v>
      </c>
      <c r="AF1004" s="379">
        <f>+VLOOKUP($E1004,Macro!$1:$1048576,AF$2,FALSE)</f>
        <v>1.8275796656169296</v>
      </c>
      <c r="AG1004" s="379">
        <f>+VLOOKUP($E1004,Macro!$1:$1048576,AG$2,FALSE)</f>
        <v>1.9507948506875206</v>
      </c>
      <c r="AH1004" s="379">
        <f>+VLOOKUP($E1004,Macro!$1:$1048576,AH$2,FALSE)</f>
        <v>2.0734429615224537</v>
      </c>
      <c r="AI1004" s="379">
        <f>+VLOOKUP($E1004,Macro!$1:$1048576,AI$2,FALSE)</f>
        <v>2.1948204942755289</v>
      </c>
      <c r="AJ1004" s="379">
        <f>+VLOOKUP($E1004,Macro!$1:$1048576,AJ$2,FALSE)</f>
        <v>2.3141772599369892</v>
      </c>
      <c r="AK1004" s="379">
        <f>+VLOOKUP($E1004,Macro!$1:$1048576,AK$2,FALSE)</f>
        <v>2.4307496078344704</v>
      </c>
      <c r="AL1004" s="379">
        <f>+VLOOKUP($E1004,Macro!$1:$1048576,AL$2,FALSE)</f>
        <v>2.5437885093220869</v>
      </c>
      <c r="AM1004" s="379">
        <f>+VLOOKUP($E1004,Macro!$1:$1048576,AM$2,FALSE)</f>
        <v>2.6525823568257278</v>
      </c>
      <c r="AN1004" s="379">
        <f>+VLOOKUP($E1004,Macro!$1:$1048576,AN$2,FALSE)</f>
        <v>2.7564739584502451</v>
      </c>
      <c r="AO1004" s="379">
        <f>+VLOOKUP($E1004,Macro!$1:$1048576,AO$2,FALSE)</f>
        <v>2.8548709398699357</v>
      </c>
    </row>
    <row r="1005" spans="1:41" ht="15" customHeight="1" x14ac:dyDescent="0.25">
      <c r="A1005" s="402"/>
      <c r="B1005" s="399"/>
      <c r="C1005" s="132" t="s">
        <v>3</v>
      </c>
      <c r="D1005" s="132" t="s">
        <v>231</v>
      </c>
      <c r="E1005" s="54" t="s">
        <v>244</v>
      </c>
      <c r="F1005" s="379">
        <f>+VLOOKUP($E1005,Macro!$1:$1048576,F$2,FALSE)</f>
        <v>0</v>
      </c>
      <c r="G1005" s="379">
        <f>+VLOOKUP($E1005,Macro!$1:$1048576,G$2,FALSE)</f>
        <v>-4.1415786195209137E-3</v>
      </c>
      <c r="H1005" s="379">
        <f>+VLOOKUP($E1005,Macro!$1:$1048576,H$2,FALSE)</f>
        <v>-1.0208863522787048E-2</v>
      </c>
      <c r="I1005" s="379">
        <f>+VLOOKUP($E1005,Macro!$1:$1048576,I$2,FALSE)</f>
        <v>-1.7566753207398644E-2</v>
      </c>
      <c r="J1005" s="379">
        <f>+VLOOKUP($E1005,Macro!$1:$1048576,J$2,FALSE)</f>
        <v>-2.6700982740734958E-2</v>
      </c>
      <c r="K1005" s="379">
        <f>+VLOOKUP($E1005,Macro!$1:$1048576,K$2,FALSE)</f>
        <v>-3.8585367817700611E-2</v>
      </c>
      <c r="L1005" s="379">
        <f>+VLOOKUP($E1005,Macro!$1:$1048576,L$2,FALSE)</f>
        <v>-5.2460439283585902E-2</v>
      </c>
      <c r="M1005" s="379">
        <f>+VLOOKUP($E1005,Macro!$1:$1048576,M$2,FALSE)</f>
        <v>-6.6624674499116132E-2</v>
      </c>
      <c r="N1005" s="379">
        <f>+VLOOKUP($E1005,Macro!$1:$1048576,N$2,FALSE)</f>
        <v>-8.0741786455429398E-2</v>
      </c>
      <c r="O1005" s="379">
        <f>+VLOOKUP($E1005,Macro!$1:$1048576,O$2,FALSE)</f>
        <v>-9.5127549797358046E-2</v>
      </c>
      <c r="P1005" s="379">
        <f>+VLOOKUP($E1005,Macro!$1:$1048576,P$2,FALSE)</f>
        <v>-0.11025488010639739</v>
      </c>
      <c r="Q1005" s="379">
        <f>+VLOOKUP($E1005,Macro!$1:$1048576,Q$2,FALSE)</f>
        <v>-0.12657457660855131</v>
      </c>
      <c r="R1005" s="379">
        <f>+VLOOKUP($E1005,Macro!$1:$1048576,R$2,FALSE)</f>
        <v>-0.14452754928568901</v>
      </c>
      <c r="S1005" s="379">
        <f>+VLOOKUP($E1005,Macro!$1:$1048576,S$2,FALSE)</f>
        <v>-0.16461611857319092</v>
      </c>
      <c r="T1005" s="379">
        <f>+VLOOKUP($E1005,Macro!$1:$1048576,T$2,FALSE)</f>
        <v>-0.18746010037885563</v>
      </c>
      <c r="U1005" s="379">
        <f>+VLOOKUP($E1005,Macro!$1:$1048576,U$2,FALSE)</f>
        <v>-0.21381141984629926</v>
      </c>
      <c r="V1005" s="379">
        <f>+VLOOKUP($E1005,Macro!$1:$1048576,V$2,FALSE)</f>
        <v>-0.24333568735104283</v>
      </c>
      <c r="W1005" s="379">
        <f>+VLOOKUP($E1005,Macro!$1:$1048576,W$2,FALSE)</f>
        <v>-0.27500701978463438</v>
      </c>
      <c r="X1005" s="379">
        <f>+VLOOKUP($E1005,Macro!$1:$1048576,X$2,FALSE)</f>
        <v>-0.30856554497260547</v>
      </c>
      <c r="Y1005" s="379">
        <f>+VLOOKUP($E1005,Macro!$1:$1048576,Y$2,FALSE)</f>
        <v>-0.34403910139499949</v>
      </c>
      <c r="Z1005" s="379">
        <f>+VLOOKUP($E1005,Macro!$1:$1048576,Z$2,FALSE)</f>
        <v>-0.3813987621956616</v>
      </c>
      <c r="AA1005" s="379">
        <f>+VLOOKUP($E1005,Macro!$1:$1048576,AA$2,FALSE)</f>
        <v>-0.42043491222960583</v>
      </c>
      <c r="AB1005" s="379">
        <f>+VLOOKUP($E1005,Macro!$1:$1048576,AB$2,FALSE)</f>
        <v>-0.46078156405162662</v>
      </c>
      <c r="AC1005" s="379">
        <f>+VLOOKUP($E1005,Macro!$1:$1048576,AC$2,FALSE)</f>
        <v>-0.50199912352306697</v>
      </c>
      <c r="AD1005" s="379">
        <f>+VLOOKUP($E1005,Macro!$1:$1048576,AD$2,FALSE)</f>
        <v>-0.54365851177079483</v>
      </c>
      <c r="AE1005" s="379">
        <f>+VLOOKUP($E1005,Macro!$1:$1048576,AE$2,FALSE)</f>
        <v>-0.58540218268380295</v>
      </c>
      <c r="AF1005" s="379">
        <f>+VLOOKUP($E1005,Macro!$1:$1048576,AF$2,FALSE)</f>
        <v>-0.62697730897990356</v>
      </c>
      <c r="AG1005" s="379">
        <f>+VLOOKUP($E1005,Macro!$1:$1048576,AG$2,FALSE)</f>
        <v>-0.66824597951580245</v>
      </c>
      <c r="AH1005" s="379">
        <f>+VLOOKUP($E1005,Macro!$1:$1048576,AH$2,FALSE)</f>
        <v>-0.70917940122218193</v>
      </c>
      <c r="AI1005" s="379">
        <f>+VLOOKUP($E1005,Macro!$1:$1048576,AI$2,FALSE)</f>
        <v>-0.74984288049442238</v>
      </c>
      <c r="AJ1005" s="379">
        <f>+VLOOKUP($E1005,Macro!$1:$1048576,AJ$2,FALSE)</f>
        <v>-0.79037656266495171</v>
      </c>
      <c r="AK1005" s="379">
        <f>+VLOOKUP($E1005,Macro!$1:$1048576,AK$2,FALSE)</f>
        <v>-0.83097553699247317</v>
      </c>
      <c r="AL1005" s="379">
        <f>+VLOOKUP($E1005,Macro!$1:$1048576,AL$2,FALSE)</f>
        <v>-0.87187168676630122</v>
      </c>
      <c r="AM1005" s="379">
        <f>+VLOOKUP($E1005,Macro!$1:$1048576,AM$2,FALSE)</f>
        <v>-0.91331814708837111</v>
      </c>
      <c r="AN1005" s="379">
        <f>+VLOOKUP($E1005,Macro!$1:$1048576,AN$2,FALSE)</f>
        <v>-0.95557722584244109</v>
      </c>
      <c r="AO1005" s="379">
        <f>+VLOOKUP($E1005,Macro!$1:$1048576,AO$2,FALSE)</f>
        <v>-0.99891159300079524</v>
      </c>
    </row>
    <row r="1006" spans="1:41" ht="15" customHeight="1" x14ac:dyDescent="0.25">
      <c r="A1006" s="402"/>
      <c r="B1006" s="399"/>
      <c r="C1006" s="132" t="s">
        <v>234</v>
      </c>
      <c r="D1006" s="132" t="s">
        <v>231</v>
      </c>
      <c r="E1006" s="54" t="s">
        <v>245</v>
      </c>
      <c r="F1006" s="379">
        <f>+VLOOKUP($E1006,Macro!$1:$1048576,F$2,FALSE)</f>
        <v>0</v>
      </c>
      <c r="G1006" s="379">
        <f>+VLOOKUP($E1006,Macro!$1:$1048576,G$2,FALSE)</f>
        <v>8.8828290308207158E-3</v>
      </c>
      <c r="H1006" s="379">
        <f>+VLOOKUP($E1006,Macro!$1:$1048576,H$2,FALSE)</f>
        <v>2.2238185273426581E-2</v>
      </c>
      <c r="I1006" s="379">
        <f>+VLOOKUP($E1006,Macro!$1:$1048576,I$2,FALSE)</f>
        <v>4.0122689541033374E-2</v>
      </c>
      <c r="J1006" s="379">
        <f>+VLOOKUP($E1006,Macro!$1:$1048576,J$2,FALSE)</f>
        <v>6.3631282779241793E-2</v>
      </c>
      <c r="K1006" s="379">
        <f>+VLOOKUP($E1006,Macro!$1:$1048576,K$2,FALSE)</f>
        <v>9.4491042874289555E-2</v>
      </c>
      <c r="L1006" s="379">
        <f>+VLOOKUP($E1006,Macro!$1:$1048576,L$2,FALSE)</f>
        <v>0.13103462809751498</v>
      </c>
      <c r="M1006" s="379">
        <f>+VLOOKUP($E1006,Macro!$1:$1048576,M$2,FALSE)</f>
        <v>0.16986409451336115</v>
      </c>
      <c r="N1006" s="379">
        <f>+VLOOKUP($E1006,Macro!$1:$1048576,N$2,FALSE)</f>
        <v>0.21030758682045736</v>
      </c>
      <c r="O1006" s="379">
        <f>+VLOOKUP($E1006,Macro!$1:$1048576,O$2,FALSE)</f>
        <v>0.25280535355454159</v>
      </c>
      <c r="P1006" s="379">
        <f>+VLOOKUP($E1006,Macro!$1:$1048576,P$2,FALSE)</f>
        <v>0.2986021779582515</v>
      </c>
      <c r="Q1006" s="379">
        <f>+VLOOKUP($E1006,Macro!$1:$1048576,Q$2,FALSE)</f>
        <v>0.34948857061256611</v>
      </c>
      <c r="R1006" s="379">
        <f>+VLOOKUP($E1006,Macro!$1:$1048576,R$2,FALSE)</f>
        <v>0.40749071242660584</v>
      </c>
      <c r="S1006" s="379">
        <f>+VLOOKUP($E1006,Macro!$1:$1048576,S$2,FALSE)</f>
        <v>0.4746172948879579</v>
      </c>
      <c r="T1006" s="379">
        <f>+VLOOKUP($E1006,Macro!$1:$1048576,T$2,FALSE)</f>
        <v>0.55271059632064912</v>
      </c>
      <c r="U1006" s="379">
        <f>+VLOOKUP($E1006,Macro!$1:$1048576,U$2,FALSE)</f>
        <v>0.6433994509568608</v>
      </c>
      <c r="V1006" s="379">
        <f>+VLOOKUP($E1006,Macro!$1:$1048576,V$2,FALSE)</f>
        <v>0.74469806524928295</v>
      </c>
      <c r="W1006" s="379">
        <f>+VLOOKUP($E1006,Macro!$1:$1048576,W$2,FALSE)</f>
        <v>0.85239510636381244</v>
      </c>
      <c r="X1006" s="379">
        <f>+VLOOKUP($E1006,Macro!$1:$1048576,X$2,FALSE)</f>
        <v>0.96440646382043305</v>
      </c>
      <c r="Y1006" s="379">
        <f>+VLOOKUP($E1006,Macro!$1:$1048576,Y$2,FALSE)</f>
        <v>1.0795047634831523</v>
      </c>
      <c r="Z1006" s="379">
        <f>+VLOOKUP($E1006,Macro!$1:$1048576,Z$2,FALSE)</f>
        <v>1.1970512876340988</v>
      </c>
      <c r="AA1006" s="379">
        <f>+VLOOKUP($E1006,Macro!$1:$1048576,AA$2,FALSE)</f>
        <v>1.3168040464677011</v>
      </c>
      <c r="AB1006" s="379">
        <f>+VLOOKUP($E1006,Macro!$1:$1048576,AB$2,FALSE)</f>
        <v>1.4386915394674071</v>
      </c>
      <c r="AC1006" s="379">
        <f>+VLOOKUP($E1006,Macro!$1:$1048576,AC$2,FALSE)</f>
        <v>1.5626201953444996</v>
      </c>
      <c r="AD1006" s="379">
        <f>+VLOOKUP($E1006,Macro!$1:$1048576,AD$2,FALSE)</f>
        <v>1.6883548843201091</v>
      </c>
      <c r="AE1006" s="379">
        <f>+VLOOKUP($E1006,Macro!$1:$1048576,AE$2,FALSE)</f>
        <v>1.8154728130229891</v>
      </c>
      <c r="AF1006" s="379">
        <f>+VLOOKUP($E1006,Macro!$1:$1048576,AF$2,FALSE)</f>
        <v>1.9433699624118672</v>
      </c>
      <c r="AG1006" s="379">
        <f>+VLOOKUP($E1006,Macro!$1:$1048576,AG$2,FALSE)</f>
        <v>2.0712980580360529</v>
      </c>
      <c r="AH1006" s="379">
        <f>+VLOOKUP($E1006,Macro!$1:$1048576,AH$2,FALSE)</f>
        <v>2.1984131952489383</v>
      </c>
      <c r="AI1006" s="379">
        <f>+VLOOKUP($E1006,Macro!$1:$1048576,AI$2,FALSE)</f>
        <v>2.3238250288029505</v>
      </c>
      <c r="AJ1006" s="379">
        <f>+VLOOKUP($E1006,Macro!$1:$1048576,AJ$2,FALSE)</f>
        <v>2.446639424589736</v>
      </c>
      <c r="AK1006" s="379">
        <f>+VLOOKUP($E1006,Macro!$1:$1048576,AK$2,FALSE)</f>
        <v>2.5659920856698104</v>
      </c>
      <c r="AL1006" s="379">
        <f>+VLOOKUP($E1006,Macro!$1:$1048576,AL$2,FALSE)</f>
        <v>2.6810724401389763</v>
      </c>
      <c r="AM1006" s="379">
        <f>+VLOOKUP($E1006,Macro!$1:$1048576,AM$2,FALSE)</f>
        <v>2.7911384556220442</v>
      </c>
      <c r="AN1006" s="379">
        <f>+VLOOKUP($E1006,Macro!$1:$1048576,AN$2,FALSE)</f>
        <v>2.8955244694244042</v>
      </c>
      <c r="AO1006" s="379">
        <f>+VLOOKUP($E1006,Macro!$1:$1048576,AO$2,FALSE)</f>
        <v>2.9936428026082318</v>
      </c>
    </row>
    <row r="1007" spans="1:41" ht="15" customHeight="1" x14ac:dyDescent="0.25">
      <c r="A1007" s="402"/>
      <c r="B1007" s="399"/>
      <c r="C1007" s="136" t="s">
        <v>236</v>
      </c>
      <c r="D1007" s="136"/>
      <c r="E1007" s="103" t="s">
        <v>2183</v>
      </c>
      <c r="F1007" s="380">
        <f>+VLOOKUP($E1007,Macro!$1:$1048576,F$2,FALSE)</f>
        <v>0</v>
      </c>
      <c r="G1007" s="380">
        <f>+VLOOKUP($E1007,Macro!$1:$1048576,G$2,FALSE)</f>
        <v>-6.8351964752633165E-3</v>
      </c>
      <c r="H1007" s="380">
        <f>+VLOOKUP($E1007,Macro!$1:$1048576,H$2,FALSE)</f>
        <v>-1.7050078509373012E-2</v>
      </c>
      <c r="I1007" s="380">
        <f>+VLOOKUP($E1007,Macro!$1:$1048576,I$2,FALSE)</f>
        <v>-3.0015632902757883E-2</v>
      </c>
      <c r="J1007" s="380">
        <f>+VLOOKUP($E1007,Macro!$1:$1048576,J$2,FALSE)</f>
        <v>-4.6457656230314281E-2</v>
      </c>
      <c r="K1007" s="380">
        <f>+VLOOKUP($E1007,Macro!$1:$1048576,K$2,FALSE)</f>
        <v>-6.7671717562145517E-2</v>
      </c>
      <c r="L1007" s="380">
        <f>+VLOOKUP($E1007,Macro!$1:$1048576,L$2,FALSE)</f>
        <v>-9.2193313770316809E-2</v>
      </c>
      <c r="M1007" s="380">
        <f>+VLOOKUP($E1007,Macro!$1:$1048576,M$2,FALSE)</f>
        <v>-0.11712531305365648</v>
      </c>
      <c r="N1007" s="380">
        <f>+VLOOKUP($E1007,Macro!$1:$1048576,N$2,FALSE)</f>
        <v>-0.1416949378177601</v>
      </c>
      <c r="O1007" s="380">
        <f>+VLOOKUP($E1007,Macro!$1:$1048576,O$2,FALSE)</f>
        <v>-0.16612077417137439</v>
      </c>
      <c r="P1007" s="380">
        <f>+VLOOKUP($E1007,Macro!$1:$1048576,P$2,FALSE)</f>
        <v>-0.19109904903609198</v>
      </c>
      <c r="Q1007" s="380">
        <f>+VLOOKUP($E1007,Macro!$1:$1048576,Q$2,FALSE)</f>
        <v>-0.21759943173605967</v>
      </c>
      <c r="R1007" s="380">
        <f>+VLOOKUP($E1007,Macro!$1:$1048576,R$2,FALSE)</f>
        <v>-0.24678638435097211</v>
      </c>
      <c r="S1007" s="380">
        <f>+VLOOKUP($E1007,Macro!$1:$1048576,S$2,FALSE)</f>
        <v>-0.27997236770731515</v>
      </c>
      <c r="T1007" s="380">
        <f>+VLOOKUP($E1007,Macro!$1:$1048576,T$2,FALSE)</f>
        <v>-0.31856832309415939</v>
      </c>
      <c r="U1007" s="380">
        <f>+VLOOKUP($E1007,Macro!$1:$1048576,U$2,FALSE)</f>
        <v>-0.3640248583016259</v>
      </c>
      <c r="V1007" s="380">
        <f>+VLOOKUP($E1007,Macro!$1:$1048576,V$2,FALSE)</f>
        <v>-0.41573939116640313</v>
      </c>
      <c r="W1007" s="380">
        <f>+VLOOKUP($E1007,Macro!$1:$1048576,W$2,FALSE)</f>
        <v>-0.47166409482601868</v>
      </c>
      <c r="X1007" s="380">
        <f>+VLOOKUP($E1007,Macro!$1:$1048576,X$2,FALSE)</f>
        <v>-0.53072797581651399</v>
      </c>
      <c r="Y1007" s="380">
        <f>+VLOOKUP($E1007,Macro!$1:$1048576,Y$2,FALSE)</f>
        <v>-0.59221562260538541</v>
      </c>
      <c r="Z1007" s="380">
        <f>+VLOOKUP($E1007,Macro!$1:$1048576,Z$2,FALSE)</f>
        <v>-0.65551997950201724</v>
      </c>
      <c r="AA1007" s="380">
        <f>+VLOOKUP($E1007,Macro!$1:$1048576,AA$2,FALSE)</f>
        <v>-0.72008049874303648</v>
      </c>
      <c r="AB1007" s="380">
        <f>+VLOOKUP($E1007,Macro!$1:$1048576,AB$2,FALSE)</f>
        <v>-0.78539589275488098</v>
      </c>
      <c r="AC1007" s="380">
        <f>+VLOOKUP($E1007,Macro!$1:$1048576,AC$2,FALSE)</f>
        <v>-0.85105221169079481</v>
      </c>
      <c r="AD1007" s="380">
        <f>+VLOOKUP($E1007,Macro!$1:$1048576,AD$2,FALSE)</f>
        <v>-0.91674183460448422</v>
      </c>
      <c r="AE1007" s="380">
        <f>+VLOOKUP($E1007,Macro!$1:$1048576,AE$2,FALSE)</f>
        <v>-0.98226829223845291</v>
      </c>
      <c r="AF1007" s="380">
        <f>+VLOOKUP($E1007,Macro!$1:$1048576,AF$2,FALSE)</f>
        <v>-1.0475389710802085</v>
      </c>
      <c r="AG1007" s="380">
        <f>+VLOOKUP($E1007,Macro!$1:$1048576,AG$2,FALSE)</f>
        <v>-1.1125510411295614</v>
      </c>
      <c r="AH1007" s="380">
        <f>+VLOOKUP($E1007,Macro!$1:$1048576,AH$2,FALSE)</f>
        <v>-1.1773738769358721</v>
      </c>
      <c r="AI1007" s="380">
        <f>+VLOOKUP($E1007,Macro!$1:$1048576,AI$2,FALSE)</f>
        <v>-1.2421313904311337</v>
      </c>
      <c r="AJ1007" s="380">
        <f>+VLOOKUP($E1007,Macro!$1:$1048576,AJ$2,FALSE)</f>
        <v>-1.3069857672274199</v>
      </c>
      <c r="AK1007" s="380">
        <f>+VLOOKUP($E1007,Macro!$1:$1048576,AK$2,FALSE)</f>
        <v>-1.3721234434138974</v>
      </c>
      <c r="AL1007" s="380">
        <f>+VLOOKUP($E1007,Macro!$1:$1048576,AL$2,FALSE)</f>
        <v>-1.4377439201010644</v>
      </c>
      <c r="AM1007" s="380">
        <f>+VLOOKUP($E1007,Macro!$1:$1048576,AM$2,FALSE)</f>
        <v>-1.504050948958946</v>
      </c>
      <c r="AN1007" s="380">
        <f>+VLOOKUP($E1007,Macro!$1:$1048576,AN$2,FALSE)</f>
        <v>-1.5712463506211471</v>
      </c>
      <c r="AO1007" s="380">
        <f>+VLOOKUP($E1007,Macro!$1:$1048576,AO$2,FALSE)</f>
        <v>-1.6395255535650022</v>
      </c>
    </row>
    <row r="1008" spans="1:41" ht="15" customHeight="1" x14ac:dyDescent="0.25">
      <c r="A1008" s="402"/>
      <c r="B1008" s="399"/>
      <c r="C1008" s="132" t="s">
        <v>246</v>
      </c>
      <c r="D1008" s="135"/>
      <c r="E1008" s="60" t="s">
        <v>247</v>
      </c>
      <c r="F1008" s="379">
        <f>+VLOOKUP($E1008,Macro!$1:$1048576,F$2,FALSE)</f>
        <v>0</v>
      </c>
      <c r="G1008" s="379">
        <f>+VLOOKUP($E1008,Macro!$1:$1048576,G$2,FALSE)</f>
        <v>4.1046687829937589E-2</v>
      </c>
      <c r="H1008" s="379">
        <f>+VLOOKUP($E1008,Macro!$1:$1048576,H$2,FALSE)</f>
        <v>9.1779881602560565E-2</v>
      </c>
      <c r="I1008" s="379">
        <f>+VLOOKUP($E1008,Macro!$1:$1048576,I$2,FALSE)</f>
        <v>0.15747596311324052</v>
      </c>
      <c r="J1008" s="379">
        <f>+VLOOKUP($E1008,Macro!$1:$1048576,J$2,FALSE)</f>
        <v>0.24389721123074803</v>
      </c>
      <c r="K1008" s="379">
        <f>+VLOOKUP($E1008,Macro!$1:$1048576,K$2,FALSE)</f>
        <v>0.35828427421777942</v>
      </c>
      <c r="L1008" s="379">
        <f>+VLOOKUP($E1008,Macro!$1:$1048576,L$2,FALSE)</f>
        <v>0.49154503870889599</v>
      </c>
      <c r="M1008" s="379">
        <f>+VLOOKUP($E1008,Macro!$1:$1048576,M$2,FALSE)</f>
        <v>0.63102845822824438</v>
      </c>
      <c r="N1008" s="379">
        <f>+VLOOKUP($E1008,Macro!$1:$1048576,N$2,FALSE)</f>
        <v>0.77779151765338117</v>
      </c>
      <c r="O1008" s="379">
        <f>+VLOOKUP($E1008,Macro!$1:$1048576,O$2,FALSE)</f>
        <v>0.93411162704710726</v>
      </c>
      <c r="P1008" s="379">
        <f>+VLOOKUP($E1008,Macro!$1:$1048576,P$2,FALSE)</f>
        <v>1.1037621888837945</v>
      </c>
      <c r="Q1008" s="379">
        <f>+VLOOKUP($E1008,Macro!$1:$1048576,Q$2,FALSE)</f>
        <v>1.2917352980632346</v>
      </c>
      <c r="R1008" s="379">
        <f>+VLOOKUP($E1008,Macro!$1:$1048576,R$2,FALSE)</f>
        <v>1.503941450080104</v>
      </c>
      <c r="S1008" s="379">
        <f>+VLOOKUP($E1008,Macro!$1:$1048576,S$2,FALSE)</f>
        <v>1.7469766409196064</v>
      </c>
      <c r="T1008" s="379">
        <f>+VLOOKUP($E1008,Macro!$1:$1048576,T$2,FALSE)</f>
        <v>2.0279513546322958</v>
      </c>
      <c r="U1008" s="379">
        <f>+VLOOKUP($E1008,Macro!$1:$1048576,U$2,FALSE)</f>
        <v>2.3543692231283497</v>
      </c>
      <c r="V1008" s="379">
        <f>+VLOOKUP($E1008,Macro!$1:$1048576,V$2,FALSE)</f>
        <v>2.7212360979624206</v>
      </c>
      <c r="W1008" s="379">
        <f>+VLOOKUP($E1008,Macro!$1:$1048576,W$2,FALSE)</f>
        <v>3.1180880592949212</v>
      </c>
      <c r="X1008" s="379">
        <f>+VLOOKUP($E1008,Macro!$1:$1048576,X$2,FALSE)</f>
        <v>3.5424177747392926</v>
      </c>
      <c r="Y1008" s="379">
        <f>+VLOOKUP($E1008,Macro!$1:$1048576,Y$2,FALSE)</f>
        <v>3.9916019618194243</v>
      </c>
      <c r="Z1008" s="379">
        <f>+VLOOKUP($E1008,Macro!$1:$1048576,Z$2,FALSE)</f>
        <v>4.4632444030588525</v>
      </c>
      <c r="AA1008" s="379">
        <f>+VLOOKUP($E1008,Macro!$1:$1048576,AA$2,FALSE)</f>
        <v>4.9551109612455679</v>
      </c>
      <c r="AB1008" s="379">
        <f>+VLOOKUP($E1008,Macro!$1:$1048576,AB$2,FALSE)</f>
        <v>5.4650183514792339</v>
      </c>
      <c r="AC1008" s="379">
        <f>+VLOOKUP($E1008,Macro!$1:$1048576,AC$2,FALSE)</f>
        <v>5.9907479478509718</v>
      </c>
      <c r="AD1008" s="379">
        <f>+VLOOKUP($E1008,Macro!$1:$1048576,AD$2,FALSE)</f>
        <v>6.529991330051943</v>
      </c>
      <c r="AE1008" s="379">
        <f>+VLOOKUP($E1008,Macro!$1:$1048576,AE$2,FALSE)</f>
        <v>7.0803218818371816</v>
      </c>
      <c r="AF1008" s="379">
        <f>+VLOOKUP($E1008,Macro!$1:$1048576,AF$2,FALSE)</f>
        <v>7.6391872132073546</v>
      </c>
      <c r="AG1008" s="379">
        <f>+VLOOKUP($E1008,Macro!$1:$1048576,AG$2,FALSE)</f>
        <v>8.2039174130240422</v>
      </c>
      <c r="AH1008" s="379">
        <f>+VLOOKUP($E1008,Macro!$1:$1048576,AH$2,FALSE)</f>
        <v>8.7717442414962932</v>
      </c>
      <c r="AI1008" s="379">
        <f>+VLOOKUP($E1008,Macro!$1:$1048576,AI$2,FALSE)</f>
        <v>9.3398281133854297</v>
      </c>
      <c r="AJ1008" s="379">
        <f>+VLOOKUP($E1008,Macro!$1:$1048576,AJ$2,FALSE)</f>
        <v>9.9052880669554746</v>
      </c>
      <c r="AK1008" s="379">
        <f>+VLOOKUP($E1008,Macro!$1:$1048576,AK$2,FALSE)</f>
        <v>10.465232730702191</v>
      </c>
      <c r="AL1008" s="379">
        <f>+VLOOKUP($E1008,Macro!$1:$1048576,AL$2,FALSE)</f>
        <v>11.016790120664343</v>
      </c>
      <c r="AM1008" s="379">
        <f>+VLOOKUP($E1008,Macro!$1:$1048576,AM$2,FALSE)</f>
        <v>11.557135483596781</v>
      </c>
      <c r="AN1008" s="379">
        <f>+VLOOKUP($E1008,Macro!$1:$1048576,AN$2,FALSE)</f>
        <v>12.083516511008717</v>
      </c>
      <c r="AO1008" s="379">
        <f>+VLOOKUP($E1008,Macro!$1:$1048576,AO$2,FALSE)</f>
        <v>12.593276457400005</v>
      </c>
    </row>
    <row r="1009" spans="1:41" ht="15" customHeight="1" x14ac:dyDescent="0.25">
      <c r="A1009" s="402"/>
      <c r="B1009" s="399"/>
      <c r="C1009" s="132" t="s">
        <v>248</v>
      </c>
      <c r="D1009" s="132"/>
      <c r="E1009" s="54" t="s">
        <v>249</v>
      </c>
      <c r="F1009" s="379">
        <f>+VLOOKUP($E1009,Macro!$1:$1048576,F$2,FALSE)</f>
        <v>0</v>
      </c>
      <c r="G1009" s="379">
        <f>+VLOOKUP($E1009,Macro!$1:$1048576,G$2,FALSE)</f>
        <v>5.4018744541250996E-3</v>
      </c>
      <c r="H1009" s="379">
        <f>+VLOOKUP($E1009,Macro!$1:$1048576,H$2,FALSE)</f>
        <v>1.7268128290082174E-2</v>
      </c>
      <c r="I1009" s="379">
        <f>+VLOOKUP($E1009,Macro!$1:$1048576,I$2,FALSE)</f>
        <v>3.4814729166865455E-2</v>
      </c>
      <c r="J1009" s="379">
        <f>+VLOOKUP($E1009,Macro!$1:$1048576,J$2,FALSE)</f>
        <v>5.7630422757504185E-2</v>
      </c>
      <c r="K1009" s="379">
        <f>+VLOOKUP($E1009,Macro!$1:$1048576,K$2,FALSE)</f>
        <v>8.6775346700673772E-2</v>
      </c>
      <c r="L1009" s="379">
        <f>+VLOOKUP($E1009,Macro!$1:$1048576,L$2,FALSE)</f>
        <v>0.1220244558099548</v>
      </c>
      <c r="M1009" s="379">
        <f>+VLOOKUP($E1009,Macro!$1:$1048576,M$2,FALSE)</f>
        <v>0.16092552531430382</v>
      </c>
      <c r="N1009" s="379">
        <f>+VLOOKUP($E1009,Macro!$1:$1048576,N$2,FALSE)</f>
        <v>0.2014517850344566</v>
      </c>
      <c r="O1009" s="379">
        <f>+VLOOKUP($E1009,Macro!$1:$1048576,O$2,FALSE)</f>
        <v>0.24312008942135588</v>
      </c>
      <c r="P1009" s="379">
        <f>+VLOOKUP($E1009,Macro!$1:$1048576,P$2,FALSE)</f>
        <v>0.28685860850701239</v>
      </c>
      <c r="Q1009" s="379">
        <f>+VLOOKUP($E1009,Macro!$1:$1048576,Q$2,FALSE)</f>
        <v>0.33439270645529984</v>
      </c>
      <c r="R1009" s="379">
        <f>+VLOOKUP($E1009,Macro!$1:$1048576,R$2,FALSE)</f>
        <v>0.38777299255239317</v>
      </c>
      <c r="S1009" s="379">
        <f>+VLOOKUP($E1009,Macro!$1:$1048576,S$2,FALSE)</f>
        <v>0.44910492442873373</v>
      </c>
      <c r="T1009" s="379">
        <f>+VLOOKUP($E1009,Macro!$1:$1048576,T$2,FALSE)</f>
        <v>0.52041915601030997</v>
      </c>
      <c r="U1009" s="379">
        <f>+VLOOKUP($E1009,Macro!$1:$1048576,U$2,FALSE)</f>
        <v>0.60363056903240953</v>
      </c>
      <c r="V1009" s="379">
        <f>+VLOOKUP($E1009,Macro!$1:$1048576,V$2,FALSE)</f>
        <v>0.69873901507628844</v>
      </c>
      <c r="W1009" s="379">
        <f>+VLOOKUP($E1009,Macro!$1:$1048576,W$2,FALSE)</f>
        <v>0.80332705002643667</v>
      </c>
      <c r="X1009" s="379">
        <f>+VLOOKUP($E1009,Macro!$1:$1048576,X$2,FALSE)</f>
        <v>0.91474996544451681</v>
      </c>
      <c r="Y1009" s="379">
        <f>+VLOOKUP($E1009,Macro!$1:$1048576,Y$2,FALSE)</f>
        <v>1.0311104029918194</v>
      </c>
      <c r="Z1009" s="379">
        <f>+VLOOKUP($E1009,Macro!$1:$1048576,Z$2,FALSE)</f>
        <v>1.1513666688407254</v>
      </c>
      <c r="AA1009" s="379">
        <f>+VLOOKUP($E1009,Macro!$1:$1048576,AA$2,FALSE)</f>
        <v>1.2750149336384631</v>
      </c>
      <c r="AB1009" s="379">
        <f>+VLOOKUP($E1009,Macro!$1:$1048576,AB$2,FALSE)</f>
        <v>1.4017977190703634</v>
      </c>
      <c r="AC1009" s="379">
        <f>+VLOOKUP($E1009,Macro!$1:$1048576,AC$2,FALSE)</f>
        <v>1.5315098722262999</v>
      </c>
      <c r="AD1009" s="379">
        <f>+VLOOKUP($E1009,Macro!$1:$1048576,AD$2,FALSE)</f>
        <v>1.6638874678536864</v>
      </c>
      <c r="AE1009" s="379">
        <f>+VLOOKUP($E1009,Macro!$1:$1048576,AE$2,FALSE)</f>
        <v>1.7985528304202303</v>
      </c>
      <c r="AF1009" s="379">
        <f>+VLOOKUP($E1009,Macro!$1:$1048576,AF$2,FALSE)</f>
        <v>1.9349970613765421</v>
      </c>
      <c r="AG1009" s="379">
        <f>+VLOOKUP($E1009,Macro!$1:$1048576,AG$2,FALSE)</f>
        <v>2.0725854689541912</v>
      </c>
      <c r="AH1009" s="379">
        <f>+VLOOKUP($E1009,Macro!$1:$1048576,AH$2,FALSE)</f>
        <v>2.2105768211366783</v>
      </c>
      <c r="AI1009" s="379">
        <f>+VLOOKUP($E1009,Macro!$1:$1048576,AI$2,FALSE)</f>
        <v>2.3481516191313343</v>
      </c>
      <c r="AJ1009" s="379">
        <f>+VLOOKUP($E1009,Macro!$1:$1048576,AJ$2,FALSE)</f>
        <v>2.4844407129231296</v>
      </c>
      <c r="AK1009" s="379">
        <f>+VLOOKUP($E1009,Macro!$1:$1048576,AK$2,FALSE)</f>
        <v>2.6185547394042672</v>
      </c>
      <c r="AL1009" s="379">
        <f>+VLOOKUP($E1009,Macro!$1:$1048576,AL$2,FALSE)</f>
        <v>2.7496094753856504</v>
      </c>
      <c r="AM1009" s="379">
        <f>+VLOOKUP($E1009,Macro!$1:$1048576,AM$2,FALSE)</f>
        <v>2.8767470718686905</v>
      </c>
      <c r="AN1009" s="379">
        <f>+VLOOKUP($E1009,Macro!$1:$1048576,AN$2,FALSE)</f>
        <v>2.9991522757832669</v>
      </c>
      <c r="AO1009" s="379">
        <f>+VLOOKUP($E1009,Macro!$1:$1048576,AO$2,FALSE)</f>
        <v>3.1160641877905348</v>
      </c>
    </row>
    <row r="1010" spans="1:41" ht="15" customHeight="1" x14ac:dyDescent="0.25">
      <c r="A1010" s="402"/>
      <c r="B1010" s="399"/>
      <c r="C1010" s="132" t="s">
        <v>250</v>
      </c>
      <c r="D1010" s="132"/>
      <c r="E1010" s="54" t="s">
        <v>251</v>
      </c>
      <c r="F1010" s="379">
        <f>+VLOOKUP($E1010,Macro!$1:$1048576,F$2,FALSE)</f>
        <v>0</v>
      </c>
      <c r="G1010" s="379">
        <f>+VLOOKUP($E1010,Macro!$1:$1048576,G$2,FALSE)</f>
        <v>3.6268384175275337E-2</v>
      </c>
      <c r="H1010" s="379">
        <f>+VLOOKUP($E1010,Macro!$1:$1048576,H$2,FALSE)</f>
        <v>7.7133745011193078E-2</v>
      </c>
      <c r="I1010" s="379">
        <f>+VLOOKUP($E1010,Macro!$1:$1048576,I$2,FALSE)</f>
        <v>0.12850720908121893</v>
      </c>
      <c r="J1010" s="379">
        <f>+VLOOKUP($E1010,Macro!$1:$1048576,J$2,FALSE)</f>
        <v>0.19643549895957957</v>
      </c>
      <c r="K1010" s="379">
        <f>+VLOOKUP($E1010,Macro!$1:$1048576,K$2,FALSE)</f>
        <v>0.28770770935626633</v>
      </c>
      <c r="L1010" s="379">
        <f>+VLOOKUP($E1010,Macro!$1:$1048576,L$2,FALSE)</f>
        <v>0.39418350550224357</v>
      </c>
      <c r="M1010" s="379">
        <f>+VLOOKUP($E1010,Macro!$1:$1048576,M$2,FALSE)</f>
        <v>0.50599563882860465</v>
      </c>
      <c r="N1010" s="379">
        <f>+VLOOKUP($E1010,Macro!$1:$1048576,N$2,FALSE)</f>
        <v>0.62642487597084351</v>
      </c>
      <c r="O1010" s="379">
        <f>+VLOOKUP($E1010,Macro!$1:$1048576,O$2,FALSE)</f>
        <v>0.75866881330093339</v>
      </c>
      <c r="P1010" s="379">
        <f>+VLOOKUP($E1010,Macro!$1:$1048576,P$2,FALSE)</f>
        <v>0.90609042397016282</v>
      </c>
      <c r="Q1010" s="379">
        <f>+VLOOKUP($E1010,Macro!$1:$1048576,Q$2,FALSE)</f>
        <v>1.0722383002732094</v>
      </c>
      <c r="R1010" s="379">
        <f>+VLOOKUP($E1010,Macro!$1:$1048576,R$2,FALSE)</f>
        <v>1.2609512983864368</v>
      </c>
      <c r="S1010" s="379">
        <f>+VLOOKUP($E1010,Macro!$1:$1048576,S$2,FALSE)</f>
        <v>1.4765115171567311</v>
      </c>
      <c r="T1010" s="379">
        <f>+VLOOKUP($E1010,Macro!$1:$1048576,T$2,FALSE)</f>
        <v>1.723775115931736</v>
      </c>
      <c r="U1010" s="379">
        <f>+VLOOKUP($E1010,Macro!$1:$1048576,U$2,FALSE)</f>
        <v>2.0082509790593228</v>
      </c>
      <c r="V1010" s="379">
        <f>+VLOOKUP($E1010,Macro!$1:$1048576,V$2,FALSE)</f>
        <v>2.324983315767537</v>
      </c>
      <c r="W1010" s="379">
        <f>+VLOOKUP($E1010,Macro!$1:$1048576,W$2,FALSE)</f>
        <v>2.6660451892402515</v>
      </c>
      <c r="X1010" s="379">
        <f>+VLOOKUP($E1010,Macro!$1:$1048576,X$2,FALSE)</f>
        <v>3.031963284770911</v>
      </c>
      <c r="Y1010" s="379">
        <f>+VLOOKUP($E1010,Macro!$1:$1048576,Y$2,FALSE)</f>
        <v>3.4227538446218952</v>
      </c>
      <c r="Z1010" s="379">
        <f>+VLOOKUP($E1010,Macro!$1:$1048576,Z$2,FALSE)</f>
        <v>3.8379274448505418</v>
      </c>
      <c r="AA1010" s="379">
        <f>+VLOOKUP($E1010,Macro!$1:$1048576,AA$2,FALSE)</f>
        <v>4.2763906330317347</v>
      </c>
      <c r="AB1010" s="379">
        <f>+VLOOKUP($E1010,Macro!$1:$1048576,AB$2,FALSE)</f>
        <v>4.7364608651727425</v>
      </c>
      <c r="AC1010" s="379">
        <f>+VLOOKUP($E1010,Macro!$1:$1048576,AC$2,FALSE)</f>
        <v>5.2159644461540644</v>
      </c>
      <c r="AD1010" s="379">
        <f>+VLOOKUP($E1010,Macro!$1:$1048576,AD$2,FALSE)</f>
        <v>5.7123627570647706</v>
      </c>
      <c r="AE1010" s="379">
        <f>+VLOOKUP($E1010,Macro!$1:$1048576,AE$2,FALSE)</f>
        <v>6.2228707773423153</v>
      </c>
      <c r="AF1010" s="379">
        <f>+VLOOKUP($E1010,Macro!$1:$1048576,AF$2,FALSE)</f>
        <v>6.7445527526368121</v>
      </c>
      <c r="AG1010" s="379">
        <f>+VLOOKUP($E1010,Macro!$1:$1048576,AG$2,FALSE)</f>
        <v>7.2743936826513034</v>
      </c>
      <c r="AH1010" s="379">
        <f>+VLOOKUP($E1010,Macro!$1:$1048576,AH$2,FALSE)</f>
        <v>7.8093493906854938</v>
      </c>
      <c r="AI1010" s="379">
        <f>+VLOOKUP($E1010,Macro!$1:$1048576,AI$2,FALSE)</f>
        <v>8.3463814743351961</v>
      </c>
      <c r="AJ1010" s="379">
        <f>+VLOOKUP($E1010,Macro!$1:$1048576,AJ$2,FALSE)</f>
        <v>8.8824809365382276</v>
      </c>
      <c r="AK1010" s="379">
        <f>+VLOOKUP($E1010,Macro!$1:$1048576,AK$2,FALSE)</f>
        <v>9.414685140720259</v>
      </c>
      <c r="AL1010" s="379">
        <f>+VLOOKUP($E1010,Macro!$1:$1048576,AL$2,FALSE)</f>
        <v>9.9400905627806679</v>
      </c>
      <c r="AM1010" s="379">
        <f>+VLOOKUP($E1010,Macro!$1:$1048576,AM$2,FALSE)</f>
        <v>10.455864498359846</v>
      </c>
      <c r="AN1010" s="379">
        <f>+VLOOKUP($E1010,Macro!$1:$1048576,AN$2,FALSE)</f>
        <v>10.959256236477776</v>
      </c>
      <c r="AO1010" s="379">
        <f>+VLOOKUP($E1010,Macro!$1:$1048576,AO$2,FALSE)</f>
        <v>11.447609454665187</v>
      </c>
    </row>
    <row r="1011" spans="1:41" ht="15" customHeight="1" x14ac:dyDescent="0.25">
      <c r="A1011" s="402"/>
      <c r="B1011" s="399"/>
      <c r="C1011" s="132" t="s">
        <v>252</v>
      </c>
      <c r="D1011" s="132"/>
      <c r="E1011" s="54" t="s">
        <v>253</v>
      </c>
      <c r="F1011" s="379">
        <f>+VLOOKUP($E1011,Macro!$1:$1048576,F$2,FALSE)</f>
        <v>0</v>
      </c>
      <c r="G1011" s="379">
        <f>+VLOOKUP($E1011,Macro!$1:$1048576,G$2,FALSE)</f>
        <v>6.2357079946284699E-4</v>
      </c>
      <c r="H1011" s="379">
        <f>+VLOOKUP($E1011,Macro!$1:$1048576,H$2,FALSE)</f>
        <v>2.6219916987146874E-3</v>
      </c>
      <c r="I1011" s="379">
        <f>+VLOOKUP($E1011,Macro!$1:$1048576,I$2,FALSE)</f>
        <v>5.8459751348438616E-3</v>
      </c>
      <c r="J1011" s="379">
        <f>+VLOOKUP($E1011,Macro!$1:$1048576,J$2,FALSE)</f>
        <v>1.0168710486335719E-2</v>
      </c>
      <c r="K1011" s="379">
        <f>+VLOOKUP($E1011,Macro!$1:$1048576,K$2,FALSE)</f>
        <v>1.6198781839160681E-2</v>
      </c>
      <c r="L1011" s="379">
        <f>+VLOOKUP($E1011,Macro!$1:$1048576,L$2,FALSE)</f>
        <v>2.4662922603302384E-2</v>
      </c>
      <c r="M1011" s="379">
        <f>+VLOOKUP($E1011,Macro!$1:$1048576,M$2,FALSE)</f>
        <v>3.5892705914664091E-2</v>
      </c>
      <c r="N1011" s="379">
        <f>+VLOOKUP($E1011,Macro!$1:$1048576,N$2,FALSE)</f>
        <v>5.0085143351918937E-2</v>
      </c>
      <c r="O1011" s="379">
        <f>+VLOOKUP($E1011,Macro!$1:$1048576,O$2,FALSE)</f>
        <v>6.7677275675182003E-2</v>
      </c>
      <c r="P1011" s="379">
        <f>+VLOOKUP($E1011,Macro!$1:$1048576,P$2,FALSE)</f>
        <v>8.9186843593380694E-2</v>
      </c>
      <c r="Q1011" s="379">
        <f>+VLOOKUP($E1011,Macro!$1:$1048576,Q$2,FALSE)</f>
        <v>0.11489570866527465</v>
      </c>
      <c r="R1011" s="379">
        <f>+VLOOKUP($E1011,Macro!$1:$1048576,R$2,FALSE)</f>
        <v>0.14478284085872595</v>
      </c>
      <c r="S1011" s="379">
        <f>+VLOOKUP($E1011,Macro!$1:$1048576,S$2,FALSE)</f>
        <v>0.17863980066585849</v>
      </c>
      <c r="T1011" s="379">
        <f>+VLOOKUP($E1011,Macro!$1:$1048576,T$2,FALSE)</f>
        <v>0.2162429173097502</v>
      </c>
      <c r="U1011" s="379">
        <f>+VLOOKUP($E1011,Macro!$1:$1048576,U$2,FALSE)</f>
        <v>0.25751232496338261</v>
      </c>
      <c r="V1011" s="379">
        <f>+VLOOKUP($E1011,Macro!$1:$1048576,V$2,FALSE)</f>
        <v>0.30248623288140486</v>
      </c>
      <c r="W1011" s="379">
        <f>+VLOOKUP($E1011,Macro!$1:$1048576,W$2,FALSE)</f>
        <v>0.35128417997176697</v>
      </c>
      <c r="X1011" s="379">
        <f>+VLOOKUP($E1011,Macro!$1:$1048576,X$2,FALSE)</f>
        <v>0.4042954754761352</v>
      </c>
      <c r="Y1011" s="379">
        <f>+VLOOKUP($E1011,Macro!$1:$1048576,Y$2,FALSE)</f>
        <v>0.46226228579429041</v>
      </c>
      <c r="Z1011" s="379">
        <f>+VLOOKUP($E1011,Macro!$1:$1048576,Z$2,FALSE)</f>
        <v>0.52604971063241468</v>
      </c>
      <c r="AA1011" s="379">
        <f>+VLOOKUP($E1011,Macro!$1:$1048576,AA$2,FALSE)</f>
        <v>0.59629460542462986</v>
      </c>
      <c r="AB1011" s="379">
        <f>+VLOOKUP($E1011,Macro!$1:$1048576,AB$2,FALSE)</f>
        <v>0.67324023276387202</v>
      </c>
      <c r="AC1011" s="379">
        <f>+VLOOKUP($E1011,Macro!$1:$1048576,AC$2,FALSE)</f>
        <v>0.75672637052939251</v>
      </c>
      <c r="AD1011" s="379">
        <f>+VLOOKUP($E1011,Macro!$1:$1048576,AD$2,FALSE)</f>
        <v>0.84625889486651396</v>
      </c>
      <c r="AE1011" s="379">
        <f>+VLOOKUP($E1011,Macro!$1:$1048576,AE$2,FALSE)</f>
        <v>0.94110172592536401</v>
      </c>
      <c r="AF1011" s="379">
        <f>+VLOOKUP($E1011,Macro!$1:$1048576,AF$2,FALSE)</f>
        <v>1.0403626008059996</v>
      </c>
      <c r="AG1011" s="379">
        <f>+VLOOKUP($E1011,Macro!$1:$1048576,AG$2,FALSE)</f>
        <v>1.1430617385814523</v>
      </c>
      <c r="AH1011" s="379">
        <f>+VLOOKUP($E1011,Macro!$1:$1048576,AH$2,FALSE)</f>
        <v>1.248181970325879</v>
      </c>
      <c r="AI1011" s="379">
        <f>+VLOOKUP($E1011,Macro!$1:$1048576,AI$2,FALSE)</f>
        <v>1.3547049800811006</v>
      </c>
      <c r="AJ1011" s="379">
        <f>+VLOOKUP($E1011,Macro!$1:$1048576,AJ$2,FALSE)</f>
        <v>1.4616335825058826</v>
      </c>
      <c r="AK1011" s="379">
        <f>+VLOOKUP($E1011,Macro!$1:$1048576,AK$2,FALSE)</f>
        <v>1.5680071494223355</v>
      </c>
      <c r="AL1011" s="379">
        <f>+VLOOKUP($E1011,Macro!$1:$1048576,AL$2,FALSE)</f>
        <v>1.6729099175019755</v>
      </c>
      <c r="AM1011" s="379">
        <f>+VLOOKUP($E1011,Macro!$1:$1048576,AM$2,FALSE)</f>
        <v>1.7754760866317554</v>
      </c>
      <c r="AN1011" s="379">
        <f>+VLOOKUP($E1011,Macro!$1:$1048576,AN$2,FALSE)</f>
        <v>1.8748920012523254</v>
      </c>
      <c r="AO1011" s="379">
        <f>+VLOOKUP($E1011,Macro!$1:$1048576,AO$2,FALSE)</f>
        <v>1.9703971850557167</v>
      </c>
    </row>
    <row r="1012" spans="1:41" ht="15" customHeight="1" x14ac:dyDescent="0.25">
      <c r="A1012" s="402"/>
      <c r="B1012" s="399"/>
      <c r="C1012" s="132" t="s">
        <v>254</v>
      </c>
      <c r="D1012" s="136"/>
      <c r="E1012" s="61" t="s">
        <v>255</v>
      </c>
      <c r="F1012" s="380">
        <f>+VLOOKUP($E1012,Macro!$1:$1048576,F$2,FALSE)</f>
        <v>0</v>
      </c>
      <c r="G1012" s="380">
        <f>+VLOOKUP($E1012,Macro!$1:$1048576,G$2,FALSE)</f>
        <v>0</v>
      </c>
      <c r="H1012" s="380">
        <f>+VLOOKUP($E1012,Macro!$1:$1048576,H$2,FALSE)</f>
        <v>0</v>
      </c>
      <c r="I1012" s="380">
        <f>+VLOOKUP($E1012,Macro!$1:$1048576,I$2,FALSE)</f>
        <v>0</v>
      </c>
      <c r="J1012" s="380">
        <f>+VLOOKUP($E1012,Macro!$1:$1048576,J$2,FALSE)</f>
        <v>0</v>
      </c>
      <c r="K1012" s="380">
        <f>+VLOOKUP($E1012,Macro!$1:$1048576,K$2,FALSE)</f>
        <v>0</v>
      </c>
      <c r="L1012" s="380">
        <f>+VLOOKUP($E1012,Macro!$1:$1048576,L$2,FALSE)</f>
        <v>0</v>
      </c>
      <c r="M1012" s="380">
        <f>+VLOOKUP($E1012,Macro!$1:$1048576,M$2,FALSE)</f>
        <v>0</v>
      </c>
      <c r="N1012" s="380">
        <f>+VLOOKUP($E1012,Macro!$1:$1048576,N$2,FALSE)</f>
        <v>0</v>
      </c>
      <c r="O1012" s="380">
        <f>+VLOOKUP($E1012,Macro!$1:$1048576,O$2,FALSE)</f>
        <v>0</v>
      </c>
      <c r="P1012" s="380">
        <f>+VLOOKUP($E1012,Macro!$1:$1048576,P$2,FALSE)</f>
        <v>0</v>
      </c>
      <c r="Q1012" s="380">
        <f>+VLOOKUP($E1012,Macro!$1:$1048576,Q$2,FALSE)</f>
        <v>0</v>
      </c>
      <c r="R1012" s="380">
        <f>+VLOOKUP($E1012,Macro!$1:$1048576,R$2,FALSE)</f>
        <v>0</v>
      </c>
      <c r="S1012" s="380">
        <f>+VLOOKUP($E1012,Macro!$1:$1048576,S$2,FALSE)</f>
        <v>0</v>
      </c>
      <c r="T1012" s="380">
        <f>+VLOOKUP($E1012,Macro!$1:$1048576,T$2,FALSE)</f>
        <v>0</v>
      </c>
      <c r="U1012" s="380">
        <f>+VLOOKUP($E1012,Macro!$1:$1048576,U$2,FALSE)</f>
        <v>0</v>
      </c>
      <c r="V1012" s="380">
        <f>+VLOOKUP($E1012,Macro!$1:$1048576,V$2,FALSE)</f>
        <v>0</v>
      </c>
      <c r="W1012" s="380">
        <f>+VLOOKUP($E1012,Macro!$1:$1048576,W$2,FALSE)</f>
        <v>0</v>
      </c>
      <c r="X1012" s="380">
        <f>+VLOOKUP($E1012,Macro!$1:$1048576,X$2,FALSE)</f>
        <v>0</v>
      </c>
      <c r="Y1012" s="380">
        <f>+VLOOKUP($E1012,Macro!$1:$1048576,Y$2,FALSE)</f>
        <v>0</v>
      </c>
      <c r="Z1012" s="380">
        <f>+VLOOKUP($E1012,Macro!$1:$1048576,Z$2,FALSE)</f>
        <v>0</v>
      </c>
      <c r="AA1012" s="380">
        <f>+VLOOKUP($E1012,Macro!$1:$1048576,AA$2,FALSE)</f>
        <v>0</v>
      </c>
      <c r="AB1012" s="380">
        <f>+VLOOKUP($E1012,Macro!$1:$1048576,AB$2,FALSE)</f>
        <v>0</v>
      </c>
      <c r="AC1012" s="380">
        <f>+VLOOKUP($E1012,Macro!$1:$1048576,AC$2,FALSE)</f>
        <v>0</v>
      </c>
      <c r="AD1012" s="380">
        <f>+VLOOKUP($E1012,Macro!$1:$1048576,AD$2,FALSE)</f>
        <v>0</v>
      </c>
      <c r="AE1012" s="380">
        <f>+VLOOKUP($E1012,Macro!$1:$1048576,AE$2,FALSE)</f>
        <v>0</v>
      </c>
      <c r="AF1012" s="380">
        <f>+VLOOKUP($E1012,Macro!$1:$1048576,AF$2,FALSE)</f>
        <v>0</v>
      </c>
      <c r="AG1012" s="380">
        <f>+VLOOKUP($E1012,Macro!$1:$1048576,AG$2,FALSE)</f>
        <v>0</v>
      </c>
      <c r="AH1012" s="380">
        <f>+VLOOKUP($E1012,Macro!$1:$1048576,AH$2,FALSE)</f>
        <v>0</v>
      </c>
      <c r="AI1012" s="380">
        <f>+VLOOKUP($E1012,Macro!$1:$1048576,AI$2,FALSE)</f>
        <v>0</v>
      </c>
      <c r="AJ1012" s="380">
        <f>+VLOOKUP($E1012,Macro!$1:$1048576,AJ$2,FALSE)</f>
        <v>0</v>
      </c>
      <c r="AK1012" s="380">
        <f>+VLOOKUP($E1012,Macro!$1:$1048576,AK$2,FALSE)</f>
        <v>0</v>
      </c>
      <c r="AL1012" s="380">
        <f>+VLOOKUP($E1012,Macro!$1:$1048576,AL$2,FALSE)</f>
        <v>0</v>
      </c>
      <c r="AM1012" s="380">
        <f>+VLOOKUP($E1012,Macro!$1:$1048576,AM$2,FALSE)</f>
        <v>0</v>
      </c>
      <c r="AN1012" s="380">
        <f>+VLOOKUP($E1012,Macro!$1:$1048576,AN$2,FALSE)</f>
        <v>0</v>
      </c>
      <c r="AO1012" s="380">
        <f>+VLOOKUP($E1012,Macro!$1:$1048576,AO$2,FALSE)</f>
        <v>0</v>
      </c>
    </row>
    <row r="1013" spans="1:41" ht="15" customHeight="1" x14ac:dyDescent="0.25">
      <c r="A1013" s="402"/>
      <c r="B1013" s="399"/>
      <c r="C1013" s="135" t="s">
        <v>256</v>
      </c>
      <c r="D1013" s="135"/>
      <c r="E1013" s="60" t="s">
        <v>257</v>
      </c>
      <c r="F1013" s="379">
        <f>+VLOOKUP($E1013,Macro!$1:$1048576,F$2,FALSE)</f>
        <v>0</v>
      </c>
      <c r="G1013" s="379">
        <f>+VLOOKUP($E1013,Macro!$1:$1048576,G$2,FALSE)</f>
        <v>5.4018744541250996E-3</v>
      </c>
      <c r="H1013" s="379">
        <f>+VLOOKUP($E1013,Macro!$1:$1048576,H$2,FALSE)</f>
        <v>1.7268128290082174E-2</v>
      </c>
      <c r="I1013" s="379">
        <f>+VLOOKUP($E1013,Macro!$1:$1048576,I$2,FALSE)</f>
        <v>3.4814729166865455E-2</v>
      </c>
      <c r="J1013" s="379">
        <f>+VLOOKUP($E1013,Macro!$1:$1048576,J$2,FALSE)</f>
        <v>5.7630422757504185E-2</v>
      </c>
      <c r="K1013" s="379">
        <f>+VLOOKUP($E1013,Macro!$1:$1048576,K$2,FALSE)</f>
        <v>8.6775346700673772E-2</v>
      </c>
      <c r="L1013" s="379">
        <f>+VLOOKUP($E1013,Macro!$1:$1048576,L$2,FALSE)</f>
        <v>0.1220244558099548</v>
      </c>
      <c r="M1013" s="379">
        <f>+VLOOKUP($E1013,Macro!$1:$1048576,M$2,FALSE)</f>
        <v>0.16092552531430382</v>
      </c>
      <c r="N1013" s="379">
        <f>+VLOOKUP($E1013,Macro!$1:$1048576,N$2,FALSE)</f>
        <v>0.2014517850344566</v>
      </c>
      <c r="O1013" s="379">
        <f>+VLOOKUP($E1013,Macro!$1:$1048576,O$2,FALSE)</f>
        <v>0.24312008942135588</v>
      </c>
      <c r="P1013" s="379">
        <f>+VLOOKUP($E1013,Macro!$1:$1048576,P$2,FALSE)</f>
        <v>0.28685860850701239</v>
      </c>
      <c r="Q1013" s="379">
        <f>+VLOOKUP($E1013,Macro!$1:$1048576,Q$2,FALSE)</f>
        <v>0.33439270645529984</v>
      </c>
      <c r="R1013" s="379">
        <f>+VLOOKUP($E1013,Macro!$1:$1048576,R$2,FALSE)</f>
        <v>0.38777299255239317</v>
      </c>
      <c r="S1013" s="379">
        <f>+VLOOKUP($E1013,Macro!$1:$1048576,S$2,FALSE)</f>
        <v>0.44910492442873373</v>
      </c>
      <c r="T1013" s="379">
        <f>+VLOOKUP($E1013,Macro!$1:$1048576,T$2,FALSE)</f>
        <v>0.52041915601030997</v>
      </c>
      <c r="U1013" s="379">
        <f>+VLOOKUP($E1013,Macro!$1:$1048576,U$2,FALSE)</f>
        <v>0.60363056903240953</v>
      </c>
      <c r="V1013" s="379">
        <f>+VLOOKUP($E1013,Macro!$1:$1048576,V$2,FALSE)</f>
        <v>0.69873901507628844</v>
      </c>
      <c r="W1013" s="379">
        <f>+VLOOKUP($E1013,Macro!$1:$1048576,W$2,FALSE)</f>
        <v>0.80332705002643667</v>
      </c>
      <c r="X1013" s="379">
        <f>+VLOOKUP($E1013,Macro!$1:$1048576,X$2,FALSE)</f>
        <v>0.91474996544451681</v>
      </c>
      <c r="Y1013" s="379">
        <f>+VLOOKUP($E1013,Macro!$1:$1048576,Y$2,FALSE)</f>
        <v>1.0311104029918194</v>
      </c>
      <c r="Z1013" s="379">
        <f>+VLOOKUP($E1013,Macro!$1:$1048576,Z$2,FALSE)</f>
        <v>1.1513666688407254</v>
      </c>
      <c r="AA1013" s="379">
        <f>+VLOOKUP($E1013,Macro!$1:$1048576,AA$2,FALSE)</f>
        <v>1.2750149336384631</v>
      </c>
      <c r="AB1013" s="379">
        <f>+VLOOKUP($E1013,Macro!$1:$1048576,AB$2,FALSE)</f>
        <v>1.4017977190703634</v>
      </c>
      <c r="AC1013" s="379">
        <f>+VLOOKUP($E1013,Macro!$1:$1048576,AC$2,FALSE)</f>
        <v>1.5315098722262999</v>
      </c>
      <c r="AD1013" s="379">
        <f>+VLOOKUP($E1013,Macro!$1:$1048576,AD$2,FALSE)</f>
        <v>1.6638874678536864</v>
      </c>
      <c r="AE1013" s="379">
        <f>+VLOOKUP($E1013,Macro!$1:$1048576,AE$2,FALSE)</f>
        <v>1.7985528304202303</v>
      </c>
      <c r="AF1013" s="379">
        <f>+VLOOKUP($E1013,Macro!$1:$1048576,AF$2,FALSE)</f>
        <v>1.9349970613765421</v>
      </c>
      <c r="AG1013" s="379">
        <f>+VLOOKUP($E1013,Macro!$1:$1048576,AG$2,FALSE)</f>
        <v>2.0725854689541912</v>
      </c>
      <c r="AH1013" s="379">
        <f>+VLOOKUP($E1013,Macro!$1:$1048576,AH$2,FALSE)</f>
        <v>2.2105768211366783</v>
      </c>
      <c r="AI1013" s="379">
        <f>+VLOOKUP($E1013,Macro!$1:$1048576,AI$2,FALSE)</f>
        <v>2.3481516191313343</v>
      </c>
      <c r="AJ1013" s="379">
        <f>+VLOOKUP($E1013,Macro!$1:$1048576,AJ$2,FALSE)</f>
        <v>2.4844407129231296</v>
      </c>
      <c r="AK1013" s="379">
        <f>+VLOOKUP($E1013,Macro!$1:$1048576,AK$2,FALSE)</f>
        <v>2.6185547394042672</v>
      </c>
      <c r="AL1013" s="379">
        <f>+VLOOKUP($E1013,Macro!$1:$1048576,AL$2,FALSE)</f>
        <v>2.7496094753856504</v>
      </c>
      <c r="AM1013" s="379">
        <f>+VLOOKUP($E1013,Macro!$1:$1048576,AM$2,FALSE)</f>
        <v>2.8767470718686905</v>
      </c>
      <c r="AN1013" s="379">
        <f>+VLOOKUP($E1013,Macro!$1:$1048576,AN$2,FALSE)</f>
        <v>2.9991522757832669</v>
      </c>
      <c r="AO1013" s="379">
        <f>+VLOOKUP($E1013,Macro!$1:$1048576,AO$2,FALSE)</f>
        <v>3.1160641877905348</v>
      </c>
    </row>
    <row r="1014" spans="1:41" ht="15" customHeight="1" x14ac:dyDescent="0.25">
      <c r="A1014" s="402"/>
      <c r="B1014" s="399"/>
      <c r="C1014" s="132" t="s">
        <v>258</v>
      </c>
      <c r="D1014" s="132"/>
      <c r="E1014" s="54" t="s">
        <v>259</v>
      </c>
      <c r="F1014" s="379">
        <f>+VLOOKUP($E1014,Macro!$1:$1048576,F$2,FALSE)</f>
        <v>0</v>
      </c>
      <c r="G1014" s="379">
        <f>+VLOOKUP($E1014,Macro!$1:$1048576,G$2,FALSE)</f>
        <v>5.8105778391714935E-3</v>
      </c>
      <c r="H1014" s="379">
        <f>+VLOOKUP($E1014,Macro!$1:$1048576,H$2,FALSE)</f>
        <v>1.7409199864637515E-2</v>
      </c>
      <c r="I1014" s="379">
        <f>+VLOOKUP($E1014,Macro!$1:$1048576,I$2,FALSE)</f>
        <v>3.660132915010994E-2</v>
      </c>
      <c r="J1014" s="379">
        <f>+VLOOKUP($E1014,Macro!$1:$1048576,J$2,FALSE)</f>
        <v>6.5554012837920617E-2</v>
      </c>
      <c r="K1014" s="379">
        <f>+VLOOKUP($E1014,Macro!$1:$1048576,K$2,FALSE)</f>
        <v>0.10680856174265507</v>
      </c>
      <c r="L1014" s="379">
        <f>+VLOOKUP($E1014,Macro!$1:$1048576,L$2,FALSE)</f>
        <v>0.16101627796076823</v>
      </c>
      <c r="M1014" s="379">
        <f>+VLOOKUP($E1014,Macro!$1:$1048576,M$2,FALSE)</f>
        <v>0.22699330874180745</v>
      </c>
      <c r="N1014" s="379">
        <f>+VLOOKUP($E1014,Macro!$1:$1048576,N$2,FALSE)</f>
        <v>0.30376118517134731</v>
      </c>
      <c r="O1014" s="379">
        <f>+VLOOKUP($E1014,Macro!$1:$1048576,O$2,FALSE)</f>
        <v>0.39035096581423456</v>
      </c>
      <c r="P1014" s="379">
        <f>+VLOOKUP($E1014,Macro!$1:$1048576,P$2,FALSE)</f>
        <v>0.48622175052746019</v>
      </c>
      <c r="Q1014" s="379">
        <f>+VLOOKUP($E1014,Macro!$1:$1048576,Q$2,FALSE)</f>
        <v>0.59162577386466797</v>
      </c>
      <c r="R1014" s="379">
        <f>+VLOOKUP($E1014,Macro!$1:$1048576,R$2,FALSE)</f>
        <v>0.70778923165957242</v>
      </c>
      <c r="S1014" s="379">
        <f>+VLOOKUP($E1014,Macro!$1:$1048576,S$2,FALSE)</f>
        <v>0.83694583479712037</v>
      </c>
      <c r="T1014" s="379">
        <f>+VLOOKUP($E1014,Macro!$1:$1048576,T$2,FALSE)</f>
        <v>0.98227978411451478</v>
      </c>
      <c r="U1014" s="379">
        <f>+VLOOKUP($E1014,Macro!$1:$1048576,U$2,FALSE)</f>
        <v>1.1478252411117884</v>
      </c>
      <c r="V1014" s="379">
        <f>+VLOOKUP($E1014,Macro!$1:$1048576,V$2,FALSE)</f>
        <v>1.3364189955936467</v>
      </c>
      <c r="W1014" s="379">
        <f>+VLOOKUP($E1014,Macro!$1:$1048576,W$2,FALSE)</f>
        <v>1.549013912075714</v>
      </c>
      <c r="X1014" s="379">
        <f>+VLOOKUP($E1014,Macro!$1:$1048576,X$2,FALSE)</f>
        <v>1.785831894099621</v>
      </c>
      <c r="Y1014" s="379">
        <f>+VLOOKUP($E1014,Macro!$1:$1048576,Y$2,FALSE)</f>
        <v>2.0461511823092415</v>
      </c>
      <c r="Z1014" s="379">
        <f>+VLOOKUP($E1014,Macro!$1:$1048576,Z$2,FALSE)</f>
        <v>2.3285825191145637</v>
      </c>
      <c r="AA1014" s="379">
        <f>+VLOOKUP($E1014,Macro!$1:$1048576,AA$2,FALSE)</f>
        <v>2.6313651799968252</v>
      </c>
      <c r="AB1014" s="379">
        <f>+VLOOKUP($E1014,Macro!$1:$1048576,AB$2,FALSE)</f>
        <v>2.9525727863084494</v>
      </c>
      <c r="AC1014" s="379">
        <f>+VLOOKUP($E1014,Macro!$1:$1048576,AC$2,FALSE)</f>
        <v>3.2902295563524975</v>
      </c>
      <c r="AD1014" s="379">
        <f>+VLOOKUP($E1014,Macro!$1:$1048576,AD$2,FALSE)</f>
        <v>3.6423653098894837</v>
      </c>
      <c r="AE1014" s="379">
        <f>+VLOOKUP($E1014,Macro!$1:$1048576,AE$2,FALSE)</f>
        <v>4.0070350899589213</v>
      </c>
      <c r="AF1014" s="379">
        <f>+VLOOKUP($E1014,Macro!$1:$1048576,AF$2,FALSE)</f>
        <v>4.3823223347437157</v>
      </c>
      <c r="AG1014" s="379">
        <f>+VLOOKUP($E1014,Macro!$1:$1048576,AG$2,FALSE)</f>
        <v>4.7663351336242998</v>
      </c>
      <c r="AH1014" s="379">
        <f>+VLOOKUP($E1014,Macro!$1:$1048576,AH$2,FALSE)</f>
        <v>5.157200851833732</v>
      </c>
      <c r="AI1014" s="379">
        <f>+VLOOKUP($E1014,Macro!$1:$1048576,AI$2,FALSE)</f>
        <v>5.5530621125526425</v>
      </c>
      <c r="AJ1014" s="379">
        <f>+VLOOKUP($E1014,Macro!$1:$1048576,AJ$2,FALSE)</f>
        <v>5.952074587052536</v>
      </c>
      <c r="AK1014" s="379">
        <f>+VLOOKUP($E1014,Macro!$1:$1048576,AK$2,FALSE)</f>
        <v>6.3524064604046249</v>
      </c>
      <c r="AL1014" s="379">
        <f>+VLOOKUP($E1014,Macro!$1:$1048576,AL$2,FALSE)</f>
        <v>6.7522403940404097</v>
      </c>
      <c r="AM1014" s="379">
        <f>+VLOOKUP($E1014,Macro!$1:$1048576,AM$2,FALSE)</f>
        <v>7.1497764352109749</v>
      </c>
      <c r="AN1014" s="379">
        <f>+VLOOKUP($E1014,Macro!$1:$1048576,AN$2,FALSE)</f>
        <v>7.5432367594374217</v>
      </c>
      <c r="AO1014" s="379">
        <f>+VLOOKUP($E1014,Macro!$1:$1048576,AO$2,FALSE)</f>
        <v>7.9308716263475576</v>
      </c>
    </row>
    <row r="1015" spans="1:41" ht="15" customHeight="1" x14ac:dyDescent="0.25">
      <c r="A1015" s="402"/>
      <c r="B1015" s="399"/>
      <c r="C1015" s="132" t="s">
        <v>7</v>
      </c>
      <c r="D1015" s="132"/>
      <c r="E1015" s="54" t="s">
        <v>260</v>
      </c>
      <c r="F1015" s="379">
        <f>+VLOOKUP($E1015,Macro!$1:$1048576,F$2,FALSE)</f>
        <v>0</v>
      </c>
      <c r="G1015" s="379">
        <f>+VLOOKUP($E1015,Macro!$1:$1048576,G$2,FALSE)</f>
        <v>1.4166794160597185E-2</v>
      </c>
      <c r="H1015" s="379">
        <f>+VLOOKUP($E1015,Macro!$1:$1048576,H$2,FALSE)</f>
        <v>3.7844698782163455E-2</v>
      </c>
      <c r="I1015" s="379">
        <f>+VLOOKUP($E1015,Macro!$1:$1048576,I$2,FALSE)</f>
        <v>7.1235258308255389E-2</v>
      </c>
      <c r="J1015" s="379">
        <f>+VLOOKUP($E1015,Macro!$1:$1048576,J$2,FALSE)</f>
        <v>0.11680205840070013</v>
      </c>
      <c r="K1015" s="379">
        <f>+VLOOKUP($E1015,Macro!$1:$1048576,K$2,FALSE)</f>
        <v>0.17835931550487238</v>
      </c>
      <c r="L1015" s="379">
        <f>+VLOOKUP($E1015,Macro!$1:$1048576,L$2,FALSE)</f>
        <v>0.25431324482032558</v>
      </c>
      <c r="M1015" s="379">
        <f>+VLOOKUP($E1015,Macro!$1:$1048576,M$2,FALSE)</f>
        <v>0.33938229040177958</v>
      </c>
      <c r="N1015" s="379">
        <f>+VLOOKUP($E1015,Macro!$1:$1048576,N$2,FALSE)</f>
        <v>0.4316857719868894</v>
      </c>
      <c r="O1015" s="379">
        <f>+VLOOKUP($E1015,Macro!$1:$1048576,O$2,FALSE)</f>
        <v>0.53115289606366911</v>
      </c>
      <c r="P1015" s="379">
        <f>+VLOOKUP($E1015,Macro!$1:$1048576,P$2,FALSE)</f>
        <v>0.63899438838832534</v>
      </c>
      <c r="Q1015" s="379">
        <f>+VLOOKUP($E1015,Macro!$1:$1048576,Q$2,FALSE)</f>
        <v>0.75749896013792561</v>
      </c>
      <c r="R1015" s="379">
        <f>+VLOOKUP($E1015,Macro!$1:$1048576,R$2,FALSE)</f>
        <v>0.88990517344422759</v>
      </c>
      <c r="S1015" s="379">
        <f>+VLOOKUP($E1015,Macro!$1:$1048576,S$2,FALSE)</f>
        <v>1.0402760915505294</v>
      </c>
      <c r="T1015" s="379">
        <f>+VLOOKUP($E1015,Macro!$1:$1048576,T$2,FALSE)</f>
        <v>1.2133729336131216</v>
      </c>
      <c r="U1015" s="379">
        <f>+VLOOKUP($E1015,Macro!$1:$1048576,U$2,FALSE)</f>
        <v>1.4145330871613515</v>
      </c>
      <c r="V1015" s="379">
        <f>+VLOOKUP($E1015,Macro!$1:$1048576,V$2,FALSE)</f>
        <v>1.6445182286069837</v>
      </c>
      <c r="W1015" s="379">
        <f>+VLOOKUP($E1015,Macro!$1:$1048576,W$2,FALSE)</f>
        <v>1.8998964734671775</v>
      </c>
      <c r="X1015" s="379">
        <f>+VLOOKUP($E1015,Macro!$1:$1048576,X$2,FALSE)</f>
        <v>2.1784281472318368</v>
      </c>
      <c r="Y1015" s="379">
        <f>+VLOOKUP($E1015,Macro!$1:$1048576,Y$2,FALSE)</f>
        <v>2.4781825831838855</v>
      </c>
      <c r="Z1015" s="379">
        <f>+VLOOKUP($E1015,Macro!$1:$1048576,Z$2,FALSE)</f>
        <v>2.7973098004947738</v>
      </c>
      <c r="AA1015" s="379">
        <f>+VLOOKUP($E1015,Macro!$1:$1048576,AA$2,FALSE)</f>
        <v>3.1340103518742835</v>
      </c>
      <c r="AB1015" s="379">
        <f>+VLOOKUP($E1015,Macro!$1:$1048576,AB$2,FALSE)</f>
        <v>3.4865403773429726</v>
      </c>
      <c r="AC1015" s="379">
        <f>+VLOOKUP($E1015,Macro!$1:$1048576,AC$2,FALSE)</f>
        <v>3.8532107292365225</v>
      </c>
      <c r="AD1015" s="379">
        <f>+VLOOKUP($E1015,Macro!$1:$1048576,AD$2,FALSE)</f>
        <v>4.2323755683345787</v>
      </c>
      <c r="AE1015" s="379">
        <f>+VLOOKUP($E1015,Macro!$1:$1048576,AE$2,FALSE)</f>
        <v>4.6224172293187982</v>
      </c>
      <c r="AF1015" s="379">
        <f>+VLOOKUP($E1015,Macro!$1:$1048576,AF$2,FALSE)</f>
        <v>5.0217317333273392</v>
      </c>
      <c r="AG1015" s="379">
        <f>+VLOOKUP($E1015,Macro!$1:$1048576,AG$2,FALSE)</f>
        <v>5.4287191452327521</v>
      </c>
      <c r="AH1015" s="379">
        <f>+VLOOKUP($E1015,Macro!$1:$1048576,AH$2,FALSE)</f>
        <v>5.8417771170086841</v>
      </c>
      <c r="AI1015" s="379">
        <f>+VLOOKUP($E1015,Macro!$1:$1048576,AI$2,FALSE)</f>
        <v>6.259299353490988</v>
      </c>
      <c r="AJ1015" s="379">
        <f>+VLOOKUP($E1015,Macro!$1:$1048576,AJ$2,FALSE)</f>
        <v>6.679675898885562</v>
      </c>
      <c r="AK1015" s="379">
        <f>+VLOOKUP($E1015,Macro!$1:$1048576,AK$2,FALSE)</f>
        <v>7.1012959905422335</v>
      </c>
      <c r="AL1015" s="379">
        <f>+VLOOKUP($E1015,Macro!$1:$1048576,AL$2,FALSE)</f>
        <v>7.5225518293691396</v>
      </c>
      <c r="AM1015" s="379">
        <f>+VLOOKUP($E1015,Macro!$1:$1048576,AM$2,FALSE)</f>
        <v>7.9418435845699742</v>
      </c>
      <c r="AN1015" s="379">
        <f>+VLOOKUP($E1015,Macro!$1:$1048576,AN$2,FALSE)</f>
        <v>8.3575848186848702</v>
      </c>
      <c r="AO1015" s="379">
        <f>+VLOOKUP($E1015,Macro!$1:$1048576,AO$2,FALSE)</f>
        <v>8.7682090831969752</v>
      </c>
    </row>
    <row r="1016" spans="1:41" ht="15" customHeight="1" x14ac:dyDescent="0.25">
      <c r="A1016" s="402"/>
      <c r="B1016" s="399"/>
      <c r="C1016" s="136" t="s">
        <v>8</v>
      </c>
      <c r="D1016" s="136"/>
      <c r="E1016" s="61" t="s">
        <v>261</v>
      </c>
      <c r="F1016" s="380">
        <f>+VLOOKUP($E1016,Macro!$1:$1048576,F$2,FALSE)</f>
        <v>0</v>
      </c>
      <c r="G1016" s="380">
        <f>+VLOOKUP($E1016,Macro!$1:$1048576,G$2,FALSE)</f>
        <v>0</v>
      </c>
      <c r="H1016" s="380">
        <f>+VLOOKUP($E1016,Macro!$1:$1048576,H$2,FALSE)</f>
        <v>0</v>
      </c>
      <c r="I1016" s="380">
        <f>+VLOOKUP($E1016,Macro!$1:$1048576,I$2,FALSE)</f>
        <v>0</v>
      </c>
      <c r="J1016" s="380">
        <f>+VLOOKUP($E1016,Macro!$1:$1048576,J$2,FALSE)</f>
        <v>0</v>
      </c>
      <c r="K1016" s="380">
        <f>+VLOOKUP($E1016,Macro!$1:$1048576,K$2,FALSE)</f>
        <v>0</v>
      </c>
      <c r="L1016" s="380">
        <f>+VLOOKUP($E1016,Macro!$1:$1048576,L$2,FALSE)</f>
        <v>0</v>
      </c>
      <c r="M1016" s="380">
        <f>+VLOOKUP($E1016,Macro!$1:$1048576,M$2,FALSE)</f>
        <v>0</v>
      </c>
      <c r="N1016" s="380">
        <f>+VLOOKUP($E1016,Macro!$1:$1048576,N$2,FALSE)</f>
        <v>0</v>
      </c>
      <c r="O1016" s="380">
        <f>+VLOOKUP($E1016,Macro!$1:$1048576,O$2,FALSE)</f>
        <v>0</v>
      </c>
      <c r="P1016" s="380">
        <f>+VLOOKUP($E1016,Macro!$1:$1048576,P$2,FALSE)</f>
        <v>0</v>
      </c>
      <c r="Q1016" s="380">
        <f>+VLOOKUP($E1016,Macro!$1:$1048576,Q$2,FALSE)</f>
        <v>0</v>
      </c>
      <c r="R1016" s="380">
        <f>+VLOOKUP($E1016,Macro!$1:$1048576,R$2,FALSE)</f>
        <v>0</v>
      </c>
      <c r="S1016" s="380">
        <f>+VLOOKUP($E1016,Macro!$1:$1048576,S$2,FALSE)</f>
        <v>0</v>
      </c>
      <c r="T1016" s="380">
        <f>+VLOOKUP($E1016,Macro!$1:$1048576,T$2,FALSE)</f>
        <v>0</v>
      </c>
      <c r="U1016" s="380">
        <f>+VLOOKUP($E1016,Macro!$1:$1048576,U$2,FALSE)</f>
        <v>0</v>
      </c>
      <c r="V1016" s="380">
        <f>+VLOOKUP($E1016,Macro!$1:$1048576,V$2,FALSE)</f>
        <v>0</v>
      </c>
      <c r="W1016" s="380">
        <f>+VLOOKUP($E1016,Macro!$1:$1048576,W$2,FALSE)</f>
        <v>0</v>
      </c>
      <c r="X1016" s="380">
        <f>+VLOOKUP($E1016,Macro!$1:$1048576,X$2,FALSE)</f>
        <v>0</v>
      </c>
      <c r="Y1016" s="380">
        <f>+VLOOKUP($E1016,Macro!$1:$1048576,Y$2,FALSE)</f>
        <v>0</v>
      </c>
      <c r="Z1016" s="380">
        <f>+VLOOKUP($E1016,Macro!$1:$1048576,Z$2,FALSE)</f>
        <v>0</v>
      </c>
      <c r="AA1016" s="380">
        <f>+VLOOKUP($E1016,Macro!$1:$1048576,AA$2,FALSE)</f>
        <v>0</v>
      </c>
      <c r="AB1016" s="380">
        <f>+VLOOKUP($E1016,Macro!$1:$1048576,AB$2,FALSE)</f>
        <v>0</v>
      </c>
      <c r="AC1016" s="380">
        <f>+VLOOKUP($E1016,Macro!$1:$1048576,AC$2,FALSE)</f>
        <v>0</v>
      </c>
      <c r="AD1016" s="380">
        <f>+VLOOKUP($E1016,Macro!$1:$1048576,AD$2,FALSE)</f>
        <v>0</v>
      </c>
      <c r="AE1016" s="380">
        <f>+VLOOKUP($E1016,Macro!$1:$1048576,AE$2,FALSE)</f>
        <v>0</v>
      </c>
      <c r="AF1016" s="380">
        <f>+VLOOKUP($E1016,Macro!$1:$1048576,AF$2,FALSE)</f>
        <v>0</v>
      </c>
      <c r="AG1016" s="380">
        <f>+VLOOKUP($E1016,Macro!$1:$1048576,AG$2,FALSE)</f>
        <v>0</v>
      </c>
      <c r="AH1016" s="380">
        <f>+VLOOKUP($E1016,Macro!$1:$1048576,AH$2,FALSE)</f>
        <v>0</v>
      </c>
      <c r="AI1016" s="380">
        <f>+VLOOKUP($E1016,Macro!$1:$1048576,AI$2,FALSE)</f>
        <v>0</v>
      </c>
      <c r="AJ1016" s="380">
        <f>+VLOOKUP($E1016,Macro!$1:$1048576,AJ$2,FALSE)</f>
        <v>0</v>
      </c>
      <c r="AK1016" s="380">
        <f>+VLOOKUP($E1016,Macro!$1:$1048576,AK$2,FALSE)</f>
        <v>0</v>
      </c>
      <c r="AL1016" s="380">
        <f>+VLOOKUP($E1016,Macro!$1:$1048576,AL$2,FALSE)</f>
        <v>0</v>
      </c>
      <c r="AM1016" s="380">
        <f>+VLOOKUP($E1016,Macro!$1:$1048576,AM$2,FALSE)</f>
        <v>0</v>
      </c>
      <c r="AN1016" s="380">
        <f>+VLOOKUP($E1016,Macro!$1:$1048576,AN$2,FALSE)</f>
        <v>0</v>
      </c>
      <c r="AO1016" s="380">
        <f>+VLOOKUP($E1016,Macro!$1:$1048576,AO$2,FALSE)</f>
        <v>0</v>
      </c>
    </row>
    <row r="1017" spans="1:41" ht="15" customHeight="1" x14ac:dyDescent="0.25">
      <c r="A1017" s="402"/>
      <c r="B1017" s="399"/>
      <c r="C1017" s="135" t="s">
        <v>262</v>
      </c>
      <c r="D1017" s="135"/>
      <c r="E1017" s="60" t="s">
        <v>263</v>
      </c>
      <c r="F1017" s="379">
        <f>+VLOOKUP($E1017,Macro!$1:$1048576,F$2,FALSE)</f>
        <v>0</v>
      </c>
      <c r="G1017" s="379">
        <f>+VLOOKUP($E1017,Macro!$1:$1048576,G$2,FALSE)</f>
        <v>6.0117937170645064E-4</v>
      </c>
      <c r="H1017" s="379">
        <f>+VLOOKUP($E1017,Macro!$1:$1048576,H$2,FALSE)</f>
        <v>1.2267696218115631E-2</v>
      </c>
      <c r="I1017" s="379">
        <f>+VLOOKUP($E1017,Macro!$1:$1048576,I$2,FALSE)</f>
        <v>3.5864523555328987E-2</v>
      </c>
      <c r="J1017" s="379">
        <f>+VLOOKUP($E1017,Macro!$1:$1048576,J$2,FALSE)</f>
        <v>7.1671214529689387E-2</v>
      </c>
      <c r="K1017" s="379">
        <f>+VLOOKUP($E1017,Macro!$1:$1048576,K$2,FALSE)</f>
        <v>0.12149582221829824</v>
      </c>
      <c r="L1017" s="379">
        <f>+VLOOKUP($E1017,Macro!$1:$1048576,L$2,FALSE)</f>
        <v>0.18858050410446303</v>
      </c>
      <c r="M1017" s="379">
        <f>+VLOOKUP($E1017,Macro!$1:$1048576,M$2,FALSE)</f>
        <v>0.27285209051604031</v>
      </c>
      <c r="N1017" s="379">
        <f>+VLOOKUP($E1017,Macro!$1:$1048576,N$2,FALSE)</f>
        <v>0.37044544246807032</v>
      </c>
      <c r="O1017" s="379">
        <f>+VLOOKUP($E1017,Macro!$1:$1048576,O$2,FALSE)</f>
        <v>0.47836434897368107</v>
      </c>
      <c r="P1017" s="379">
        <f>+VLOOKUP($E1017,Macro!$1:$1048576,P$2,FALSE)</f>
        <v>0.595315274699737</v>
      </c>
      <c r="Q1017" s="379">
        <f>+VLOOKUP($E1017,Macro!$1:$1048576,Q$2,FALSE)</f>
        <v>0.72162009701715046</v>
      </c>
      <c r="R1017" s="379">
        <f>+VLOOKUP($E1017,Macro!$1:$1048576,R$2,FALSE)</f>
        <v>0.85899338485386778</v>
      </c>
      <c r="S1017" s="379">
        <f>+VLOOKUP($E1017,Macro!$1:$1048576,S$2,FALSE)</f>
        <v>1.0103419216497933</v>
      </c>
      <c r="T1017" s="379">
        <f>+VLOOKUP($E1017,Macro!$1:$1048576,T$2,FALSE)</f>
        <v>1.1795910700872714</v>
      </c>
      <c r="U1017" s="379">
        <f>+VLOOKUP($E1017,Macro!$1:$1048576,U$2,FALSE)</f>
        <v>1.3715251531530415</v>
      </c>
      <c r="V1017" s="379">
        <f>+VLOOKUP($E1017,Macro!$1:$1048576,V$2,FALSE)</f>
        <v>1.591447600326279</v>
      </c>
      <c r="W1017" s="379">
        <f>+VLOOKUP($E1017,Macro!$1:$1048576,W$2,FALSE)</f>
        <v>1.8417563770623424</v>
      </c>
      <c r="X1017" s="379">
        <f>+VLOOKUP($E1017,Macro!$1:$1048576,X$2,FALSE)</f>
        <v>2.1210270619247629</v>
      </c>
      <c r="Y1017" s="379">
        <f>+VLOOKUP($E1017,Macro!$1:$1048576,Y$2,FALSE)</f>
        <v>2.4270691177683101</v>
      </c>
      <c r="Z1017" s="379">
        <f>+VLOOKUP($E1017,Macro!$1:$1048576,Z$2,FALSE)</f>
        <v>2.7576065808719186</v>
      </c>
      <c r="AA1017" s="379">
        <f>+VLOOKUP($E1017,Macro!$1:$1048576,AA$2,FALSE)</f>
        <v>3.1103672572253327</v>
      </c>
      <c r="AB1017" s="379">
        <f>+VLOOKUP($E1017,Macro!$1:$1048576,AB$2,FALSE)</f>
        <v>3.4830756706548005</v>
      </c>
      <c r="AC1017" s="379">
        <f>+VLOOKUP($E1017,Macro!$1:$1048576,AC$2,FALSE)</f>
        <v>3.8734527941521213</v>
      </c>
      <c r="AD1017" s="379">
        <f>+VLOOKUP($E1017,Macro!$1:$1048576,AD$2,FALSE)</f>
        <v>4.2792260523359493</v>
      </c>
      <c r="AE1017" s="379">
        <f>+VLOOKUP($E1017,Macro!$1:$1048576,AE$2,FALSE)</f>
        <v>4.698139689993619</v>
      </c>
      <c r="AF1017" s="379">
        <f>+VLOOKUP($E1017,Macro!$1:$1048576,AF$2,FALSE)</f>
        <v>5.1279600167020378</v>
      </c>
      <c r="AG1017" s="379">
        <f>+VLOOKUP($E1017,Macro!$1:$1048576,AG$2,FALSE)</f>
        <v>5.566475372437818</v>
      </c>
      <c r="AH1017" s="379">
        <f>+VLOOKUP($E1017,Macro!$1:$1048576,AH$2,FALSE)</f>
        <v>6.0114929601477352</v>
      </c>
      <c r="AI1017" s="379">
        <f>+VLOOKUP($E1017,Macro!$1:$1048576,AI$2,FALSE)</f>
        <v>6.4608350444962381</v>
      </c>
      <c r="AJ1017" s="379">
        <f>+VLOOKUP($E1017,Macro!$1:$1048576,AJ$2,FALSE)</f>
        <v>6.9123363757949141</v>
      </c>
      <c r="AK1017" s="379">
        <f>+VLOOKUP($E1017,Macro!$1:$1048576,AK$2,FALSE)</f>
        <v>7.3638430422306778</v>
      </c>
      <c r="AL1017" s="379">
        <f>+VLOOKUP($E1017,Macro!$1:$1048576,AL$2,FALSE)</f>
        <v>7.8132149200365486</v>
      </c>
      <c r="AM1017" s="379">
        <f>+VLOOKUP($E1017,Macro!$1:$1048576,AM$2,FALSE)</f>
        <v>8.2583290009827781</v>
      </c>
      <c r="AN1017" s="379">
        <f>+VLOOKUP($E1017,Macro!$1:$1048576,AN$2,FALSE)</f>
        <v>8.6970861152653178</v>
      </c>
      <c r="AO1017" s="379">
        <f>+VLOOKUP($E1017,Macro!$1:$1048576,AO$2,FALSE)</f>
        <v>9.1274191390819492</v>
      </c>
    </row>
    <row r="1018" spans="1:41" ht="15" customHeight="1" x14ac:dyDescent="0.25">
      <c r="A1018" s="402"/>
      <c r="B1018" s="399"/>
      <c r="C1018" s="132" t="s">
        <v>264</v>
      </c>
      <c r="D1018" s="132"/>
      <c r="E1018" s="54" t="s">
        <v>265</v>
      </c>
      <c r="F1018" s="379">
        <f>+VLOOKUP($E1018,Macro!$1:$1048576,F$2,FALSE)</f>
        <v>0</v>
      </c>
      <c r="G1018" s="379">
        <f>+VLOOKUP($E1018,Macro!$1:$1048576,G$2,FALSE)</f>
        <v>-3.5031147217035041E-2</v>
      </c>
      <c r="H1018" s="379">
        <f>+VLOOKUP($E1018,Macro!$1:$1048576,H$2,FALSE)</f>
        <v>-6.2197712488265555E-2</v>
      </c>
      <c r="I1018" s="379">
        <f>+VLOOKUP($E1018,Macro!$1:$1048576,I$2,FALSE)</f>
        <v>-8.669037490746101E-2</v>
      </c>
      <c r="J1018" s="379">
        <f>+VLOOKUP($E1018,Macro!$1:$1048576,J$2,FALSE)</f>
        <v>-0.114382517302003</v>
      </c>
      <c r="K1018" s="379">
        <f>+VLOOKUP($E1018,Macro!$1:$1048576,K$2,FALSE)</f>
        <v>-0.14960690918420783</v>
      </c>
      <c r="L1018" s="379">
        <f>+VLOOKUP($E1018,Macro!$1:$1048576,L$2,FALSE)</f>
        <v>-0.18027392951932564</v>
      </c>
      <c r="M1018" s="379">
        <f>+VLOOKUP($E1018,Macro!$1:$1048576,M$2,FALSE)</f>
        <v>-0.19632789918569982</v>
      </c>
      <c r="N1018" s="379">
        <f>+VLOOKUP($E1018,Macro!$1:$1048576,N$2,FALSE)</f>
        <v>-0.20471443949761081</v>
      </c>
      <c r="O1018" s="379">
        <f>+VLOOKUP($E1018,Macro!$1:$1048576,O$2,FALSE)</f>
        <v>-0.21116803539729112</v>
      </c>
      <c r="P1018" s="379">
        <f>+VLOOKUP($E1018,Macro!$1:$1048576,P$2,FALSE)</f>
        <v>-0.21979281033998044</v>
      </c>
      <c r="Q1018" s="379">
        <f>+VLOOKUP($E1018,Macro!$1:$1048576,Q$2,FALSE)</f>
        <v>-0.23348722196890881</v>
      </c>
      <c r="R1018" s="379">
        <f>+VLOOKUP($E1018,Macro!$1:$1048576,R$2,FALSE)</f>
        <v>-0.25433625165680596</v>
      </c>
      <c r="S1018" s="379">
        <f>+VLOOKUP($E1018,Macro!$1:$1048576,S$2,FALSE)</f>
        <v>-0.28384583996571289</v>
      </c>
      <c r="T1018" s="379">
        <f>+VLOOKUP($E1018,Macro!$1:$1048576,T$2,FALSE)</f>
        <v>-0.32307073320729796</v>
      </c>
      <c r="U1018" s="379">
        <f>+VLOOKUP($E1018,Macro!$1:$1048576,U$2,FALSE)</f>
        <v>-0.37268869588458209</v>
      </c>
      <c r="V1018" s="379">
        <f>+VLOOKUP($E1018,Macro!$1:$1048576,V$2,FALSE)</f>
        <v>-0.42250434451692742</v>
      </c>
      <c r="W1018" s="379">
        <f>+VLOOKUP($E1018,Macro!$1:$1048576,W$2,FALSE)</f>
        <v>-0.46230341305617539</v>
      </c>
      <c r="X1018" s="379">
        <f>+VLOOKUP($E1018,Macro!$1:$1048576,X$2,FALSE)</f>
        <v>-0.4936687719645616</v>
      </c>
      <c r="Y1018" s="379">
        <f>+VLOOKUP($E1018,Macro!$1:$1048576,Y$2,FALSE)</f>
        <v>-0.51808459049025313</v>
      </c>
      <c r="Z1018" s="379">
        <f>+VLOOKUP($E1018,Macro!$1:$1048576,Z$2,FALSE)</f>
        <v>-0.53650283539723453</v>
      </c>
      <c r="AA1018" s="379">
        <f>+VLOOKUP($E1018,Macro!$1:$1048576,AA$2,FALSE)</f>
        <v>-0.5495064069289346</v>
      </c>
      <c r="AB1018" s="379">
        <f>+VLOOKUP($E1018,Macro!$1:$1048576,AB$2,FALSE)</f>
        <v>-0.55749279930836781</v>
      </c>
      <c r="AC1018" s="379">
        <f>+VLOOKUP($E1018,Macro!$1:$1048576,AC$2,FALSE)</f>
        <v>-0.56077881886182901</v>
      </c>
      <c r="AD1018" s="379">
        <f>+VLOOKUP($E1018,Macro!$1:$1048576,AD$2,FALSE)</f>
        <v>-0.55964490740830763</v>
      </c>
      <c r="AE1018" s="379">
        <f>+VLOOKUP($E1018,Macro!$1:$1048576,AE$2,FALSE)</f>
        <v>-0.55434988097350368</v>
      </c>
      <c r="AF1018" s="379">
        <f>+VLOOKUP($E1018,Macro!$1:$1048576,AF$2,FALSE)</f>
        <v>-0.54513461983020095</v>
      </c>
      <c r="AG1018" s="379">
        <f>+VLOOKUP($E1018,Macro!$1:$1048576,AG$2,FALSE)</f>
        <v>-0.53222414275334584</v>
      </c>
      <c r="AH1018" s="379">
        <f>+VLOOKUP($E1018,Macro!$1:$1048576,AH$2,FALSE)</f>
        <v>-0.51582999090422632</v>
      </c>
      <c r="AI1018" s="379">
        <f>+VLOOKUP($E1018,Macro!$1:$1048576,AI$2,FALSE)</f>
        <v>-0.49615210000597543</v>
      </c>
      <c r="AJ1018" s="379">
        <f>+VLOOKUP($E1018,Macro!$1:$1048576,AJ$2,FALSE)</f>
        <v>-0.47338202105360327</v>
      </c>
      <c r="AK1018" s="379">
        <f>+VLOOKUP($E1018,Macro!$1:$1048576,AK$2,FALSE)</f>
        <v>-0.44770498086758037</v>
      </c>
      <c r="AL1018" s="379">
        <f>+VLOOKUP($E1018,Macro!$1:$1048576,AL$2,FALSE)</f>
        <v>-0.41930132708406509</v>
      </c>
      <c r="AM1018" s="379">
        <f>+VLOOKUP($E1018,Macro!$1:$1048576,AM$2,FALSE)</f>
        <v>-0.38834919244707944</v>
      </c>
      <c r="AN1018" s="379">
        <f>+VLOOKUP($E1018,Macro!$1:$1048576,AN$2,FALSE)</f>
        <v>-0.35502624292241824</v>
      </c>
      <c r="AO1018" s="379">
        <f>+VLOOKUP($E1018,Macro!$1:$1048576,AO$2,FALSE)</f>
        <v>-0.31951227408503202</v>
      </c>
    </row>
    <row r="1019" spans="1:41" ht="15" customHeight="1" x14ac:dyDescent="0.25">
      <c r="A1019" s="402"/>
      <c r="B1019" s="399"/>
      <c r="C1019" s="132" t="s">
        <v>266</v>
      </c>
      <c r="D1019" s="132"/>
      <c r="E1019" s="54" t="s">
        <v>267</v>
      </c>
      <c r="F1019" s="379">
        <f>+VLOOKUP($E1019,Macro!$1:$1048576,F$2,FALSE)</f>
        <v>0</v>
      </c>
      <c r="G1019" s="379">
        <f>+VLOOKUP($E1019,Macro!$1:$1048576,G$2,FALSE)</f>
        <v>6.0117763549527581E-4</v>
      </c>
      <c r="H1019" s="379">
        <f>+VLOOKUP($E1019,Macro!$1:$1048576,H$2,FALSE)</f>
        <v>1.2267692372791572E-2</v>
      </c>
      <c r="I1019" s="379">
        <f>+VLOOKUP($E1019,Macro!$1:$1048576,I$2,FALSE)</f>
        <v>3.5864516665906621E-2</v>
      </c>
      <c r="J1019" s="379">
        <f>+VLOOKUP($E1019,Macro!$1:$1048576,J$2,FALSE)</f>
        <v>7.167122667968151E-2</v>
      </c>
      <c r="K1019" s="379">
        <f>+VLOOKUP($E1019,Macro!$1:$1048576,K$2,FALSE)</f>
        <v>0.12149582171863127</v>
      </c>
      <c r="L1019" s="379">
        <f>+VLOOKUP($E1019,Macro!$1:$1048576,L$2,FALSE)</f>
        <v>0.18858050596530784</v>
      </c>
      <c r="M1019" s="379">
        <f>+VLOOKUP($E1019,Macro!$1:$1048576,M$2,FALSE)</f>
        <v>0.27285210225689305</v>
      </c>
      <c r="N1019" s="379">
        <f>+VLOOKUP($E1019,Macro!$1:$1048576,N$2,FALSE)</f>
        <v>0.37044543571431721</v>
      </c>
      <c r="O1019" s="379">
        <f>+VLOOKUP($E1019,Macro!$1:$1048576,O$2,FALSE)</f>
        <v>0.47836433317773874</v>
      </c>
      <c r="P1019" s="379">
        <f>+VLOOKUP($E1019,Macro!$1:$1048576,P$2,FALSE)</f>
        <v>0.59531528507690279</v>
      </c>
      <c r="Q1019" s="379">
        <f>+VLOOKUP($E1019,Macro!$1:$1048576,Q$2,FALSE)</f>
        <v>0.72162010306084934</v>
      </c>
      <c r="R1019" s="379">
        <f>+VLOOKUP($E1019,Macro!$1:$1048576,R$2,FALSE)</f>
        <v>0.85899339256452212</v>
      </c>
      <c r="S1019" s="379">
        <f>+VLOOKUP($E1019,Macro!$1:$1048576,S$2,FALSE)</f>
        <v>1.0103419386166212</v>
      </c>
      <c r="T1019" s="379">
        <f>+VLOOKUP($E1019,Macro!$1:$1048576,T$2,FALSE)</f>
        <v>1.1795910619341488</v>
      </c>
      <c r="U1019" s="379">
        <f>+VLOOKUP($E1019,Macro!$1:$1048576,U$2,FALSE)</f>
        <v>1.3715251560545871</v>
      </c>
      <c r="V1019" s="379">
        <f>+VLOOKUP($E1019,Macro!$1:$1048576,V$2,FALSE)</f>
        <v>1.5914475943918038</v>
      </c>
      <c r="W1019" s="379">
        <f>+VLOOKUP($E1019,Macro!$1:$1048576,W$2,FALSE)</f>
        <v>1.8417563885430921</v>
      </c>
      <c r="X1019" s="379">
        <f>+VLOOKUP($E1019,Macro!$1:$1048576,X$2,FALSE)</f>
        <v>2.1210270541566212</v>
      </c>
      <c r="Y1019" s="379">
        <f>+VLOOKUP($E1019,Macro!$1:$1048576,Y$2,FALSE)</f>
        <v>2.4270691275112943</v>
      </c>
      <c r="Z1019" s="379">
        <f>+VLOOKUP($E1019,Macro!$1:$1048576,Z$2,FALSE)</f>
        <v>2.7576065861947718</v>
      </c>
      <c r="AA1019" s="379">
        <f>+VLOOKUP($E1019,Macro!$1:$1048576,AA$2,FALSE)</f>
        <v>3.1103672480424116</v>
      </c>
      <c r="AB1019" s="379">
        <f>+VLOOKUP($E1019,Macro!$1:$1048576,AB$2,FALSE)</f>
        <v>3.4830756305777699</v>
      </c>
      <c r="AC1019" s="379">
        <f>+VLOOKUP($E1019,Macro!$1:$1048576,AC$2,FALSE)</f>
        <v>3.8734527725639234</v>
      </c>
      <c r="AD1019" s="379">
        <f>+VLOOKUP($E1019,Macro!$1:$1048576,AD$2,FALSE)</f>
        <v>4.2792260136504057</v>
      </c>
      <c r="AE1019" s="379">
        <f>+VLOOKUP($E1019,Macro!$1:$1048576,AE$2,FALSE)</f>
        <v>4.6981397223754717</v>
      </c>
      <c r="AF1019" s="379">
        <f>+VLOOKUP($E1019,Macro!$1:$1048576,AF$2,FALSE)</f>
        <v>5.12795993730919</v>
      </c>
      <c r="AG1019" s="379">
        <f>+VLOOKUP($E1019,Macro!$1:$1048576,AG$2,FALSE)</f>
        <v>5.5664753569598435</v>
      </c>
      <c r="AH1019" s="379">
        <f>+VLOOKUP($E1019,Macro!$1:$1048576,AH$2,FALSE)</f>
        <v>6.0114929206609879</v>
      </c>
      <c r="AI1019" s="379">
        <f>+VLOOKUP($E1019,Macro!$1:$1048576,AI$2,FALSE)</f>
        <v>6.4608350643134971</v>
      </c>
      <c r="AJ1019" s="379">
        <f>+VLOOKUP($E1019,Macro!$1:$1048576,AJ$2,FALSE)</f>
        <v>6.9123363260907178</v>
      </c>
      <c r="AK1019" s="379">
        <f>+VLOOKUP($E1019,Macro!$1:$1048576,AK$2,FALSE)</f>
        <v>7.363843035048534</v>
      </c>
      <c r="AL1019" s="379">
        <f>+VLOOKUP($E1019,Macro!$1:$1048576,AL$2,FALSE)</f>
        <v>7.8132148813492286</v>
      </c>
      <c r="AM1019" s="379">
        <f>+VLOOKUP($E1019,Macro!$1:$1048576,AM$2,FALSE)</f>
        <v>8.2583289794722514</v>
      </c>
      <c r="AN1019" s="379">
        <f>+VLOOKUP($E1019,Macro!$1:$1048576,AN$2,FALSE)</f>
        <v>8.6970861333579563</v>
      </c>
      <c r="AO1019" s="379">
        <f>+VLOOKUP($E1019,Macro!$1:$1048576,AO$2,FALSE)</f>
        <v>9.1274190985872963</v>
      </c>
    </row>
    <row r="1020" spans="1:41" ht="15" customHeight="1" x14ac:dyDescent="0.25">
      <c r="A1020" s="402"/>
      <c r="B1020" s="399"/>
      <c r="C1020" s="132" t="s">
        <v>268</v>
      </c>
      <c r="D1020" s="132"/>
      <c r="E1020" s="54" t="s">
        <v>269</v>
      </c>
      <c r="F1020" s="379">
        <f>+VLOOKUP($E1020,Macro!$1:$1048576,F$2,FALSE)</f>
        <v>0</v>
      </c>
      <c r="G1020" s="379">
        <f>+VLOOKUP($E1020,Macro!$1:$1048576,G$2,FALSE)</f>
        <v>2.9985186784320383E-2</v>
      </c>
      <c r="H1020" s="379">
        <f>+VLOOKUP($E1020,Macro!$1:$1048576,H$2,FALSE)</f>
        <v>6.4376672268484647E-2</v>
      </c>
      <c r="I1020" s="379">
        <f>+VLOOKUP($E1020,Macro!$1:$1048576,I$2,FALSE)</f>
        <v>0.10678858192383345</v>
      </c>
      <c r="J1020" s="379">
        <f>+VLOOKUP($E1020,Macro!$1:$1048576,J$2,FALSE)</f>
        <v>0.16014588160320198</v>
      </c>
      <c r="K1020" s="379">
        <f>+VLOOKUP($E1020,Macro!$1:$1048576,K$2,FALSE)</f>
        <v>0.22855027718549081</v>
      </c>
      <c r="L1020" s="379">
        <f>+VLOOKUP($E1020,Macro!$1:$1048576,L$2,FALSE)</f>
        <v>0.30301773065501969</v>
      </c>
      <c r="M1020" s="379">
        <f>+VLOOKUP($E1020,Macro!$1:$1048576,M$2,FALSE)</f>
        <v>0.37271217410255186</v>
      </c>
      <c r="N1020" s="379">
        <f>+VLOOKUP($E1020,Macro!$1:$1048576,N$2,FALSE)</f>
        <v>0.43913626518283788</v>
      </c>
      <c r="O1020" s="379">
        <f>+VLOOKUP($E1020,Macro!$1:$1048576,O$2,FALSE)</f>
        <v>0.5049096950506371</v>
      </c>
      <c r="P1020" s="379">
        <f>+VLOOKUP($E1020,Macro!$1:$1048576,P$2,FALSE)</f>
        <v>0.57389903546454235</v>
      </c>
      <c r="Q1020" s="379">
        <f>+VLOOKUP($E1020,Macro!$1:$1048576,Q$2,FALSE)</f>
        <v>0.65057536494024237</v>
      </c>
      <c r="R1020" s="379">
        <f>+VLOOKUP($E1020,Macro!$1:$1048576,R$2,FALSE)</f>
        <v>0.73950368268824729</v>
      </c>
      <c r="S1020" s="379">
        <f>+VLOOKUP($E1020,Macro!$1:$1048576,S$2,FALSE)</f>
        <v>0.84505558162579764</v>
      </c>
      <c r="T1020" s="379">
        <f>+VLOOKUP($E1020,Macro!$1:$1048576,T$2,FALSE)</f>
        <v>0.97126966490712618</v>
      </c>
      <c r="U1020" s="379">
        <f>+VLOOKUP($E1020,Macro!$1:$1048576,U$2,FALSE)</f>
        <v>1.1217838924006296</v>
      </c>
      <c r="V1020" s="379">
        <f>+VLOOKUP($E1020,Macro!$1:$1048576,V$2,FALSE)</f>
        <v>1.2888220716192444</v>
      </c>
      <c r="W1020" s="379">
        <f>+VLOOKUP($E1020,Macro!$1:$1048576,W$2,FALSE)</f>
        <v>1.4610147277477559</v>
      </c>
      <c r="X1020" s="379">
        <f>+VLOOKUP($E1020,Macro!$1:$1048576,X$2,FALSE)</f>
        <v>1.6358655718960335</v>
      </c>
      <c r="Y1020" s="379">
        <f>+VLOOKUP($E1020,Macro!$1:$1048576,Y$2,FALSE)</f>
        <v>1.8115344516346221</v>
      </c>
      <c r="Z1020" s="379">
        <f>+VLOOKUP($E1020,Macro!$1:$1048576,Z$2,FALSE)</f>
        <v>1.987061268486956</v>
      </c>
      <c r="AA1020" s="379">
        <f>+VLOOKUP($E1020,Macro!$1:$1048576,AA$2,FALSE)</f>
        <v>2.1620167251650946</v>
      </c>
      <c r="AB1020" s="379">
        <f>+VLOOKUP($E1020,Macro!$1:$1048576,AB$2,FALSE)</f>
        <v>2.3362006067054519</v>
      </c>
      <c r="AC1020" s="379">
        <f>+VLOOKUP($E1020,Macro!$1:$1048576,AC$2,FALSE)</f>
        <v>2.5094746591787898</v>
      </c>
      <c r="AD1020" s="379">
        <f>+VLOOKUP($E1020,Macro!$1:$1048576,AD$2,FALSE)</f>
        <v>2.6816960544890023</v>
      </c>
      <c r="AE1020" s="379">
        <f>+VLOOKUP($E1020,Macro!$1:$1048576,AE$2,FALSE)</f>
        <v>2.852700482137549</v>
      </c>
      <c r="AF1020" s="379">
        <f>+VLOOKUP($E1020,Macro!$1:$1048576,AF$2,FALSE)</f>
        <v>3.0223047021361582</v>
      </c>
      <c r="AG1020" s="379">
        <f>+VLOOKUP($E1020,Macro!$1:$1048576,AG$2,FALSE)</f>
        <v>3.1903154774315379</v>
      </c>
      <c r="AH1020" s="379">
        <f>+VLOOKUP($E1020,Macro!$1:$1048576,AH$2,FALSE)</f>
        <v>3.3565341293535278</v>
      </c>
      <c r="AI1020" s="379">
        <f>+VLOOKUP($E1020,Macro!$1:$1048576,AI$2,FALSE)</f>
        <v>3.520761781539794</v>
      </c>
      <c r="AJ1020" s="379">
        <f>+VLOOKUP($E1020,Macro!$1:$1048576,AJ$2,FALSE)</f>
        <v>3.6828001995304227</v>
      </c>
      <c r="AK1020" s="379">
        <f>+VLOOKUP($E1020,Macro!$1:$1048576,AK$2,FALSE)</f>
        <v>3.8424531538209905</v>
      </c>
      <c r="AL1020" s="379">
        <f>+VLOOKUP($E1020,Macro!$1:$1048576,AL$2,FALSE)</f>
        <v>3.9995265225987175</v>
      </c>
      <c r="AM1020" s="379">
        <f>+VLOOKUP($E1020,Macro!$1:$1048576,AM$2,FALSE)</f>
        <v>4.1538284719610186</v>
      </c>
      <c r="AN1020" s="379">
        <f>+VLOOKUP($E1020,Macro!$1:$1048576,AN$2,FALSE)</f>
        <v>4.3051699125945309</v>
      </c>
      <c r="AO1020" s="379">
        <f>+VLOOKUP($E1020,Macro!$1:$1048576,AO$2,FALSE)</f>
        <v>4.453365260608666</v>
      </c>
    </row>
    <row r="1021" spans="1:41" ht="15" customHeight="1" x14ac:dyDescent="0.25">
      <c r="A1021" s="402"/>
      <c r="B1021" s="399"/>
      <c r="C1021" s="132" t="s">
        <v>270</v>
      </c>
      <c r="D1021" s="132"/>
      <c r="E1021" s="54" t="s">
        <v>271</v>
      </c>
      <c r="F1021" s="379">
        <f>+VLOOKUP($E1021,Macro!$1:$1048576,F$2,FALSE)</f>
        <v>0</v>
      </c>
      <c r="G1021" s="379">
        <f>+VLOOKUP($E1021,Macro!$1:$1048576,G$2,FALSE)</f>
        <v>4.7783036546622526E-3</v>
      </c>
      <c r="H1021" s="379">
        <f>+VLOOKUP($E1021,Macro!$1:$1048576,H$2,FALSE)</f>
        <v>1.4646136591367487E-2</v>
      </c>
      <c r="I1021" s="379">
        <f>+VLOOKUP($E1021,Macro!$1:$1048576,I$2,FALSE)</f>
        <v>2.8968754032021593E-2</v>
      </c>
      <c r="J1021" s="379">
        <f>+VLOOKUP($E1021,Macro!$1:$1048576,J$2,FALSE)</f>
        <v>4.7461712271168466E-2</v>
      </c>
      <c r="K1021" s="379">
        <f>+VLOOKUP($E1021,Macro!$1:$1048576,K$2,FALSE)</f>
        <v>7.0576564861513091E-2</v>
      </c>
      <c r="L1021" s="379">
        <f>+VLOOKUP($E1021,Macro!$1:$1048576,L$2,FALSE)</f>
        <v>9.7361533206652418E-2</v>
      </c>
      <c r="M1021" s="379">
        <f>+VLOOKUP($E1021,Macro!$1:$1048576,M$2,FALSE)</f>
        <v>0.12503281939963973</v>
      </c>
      <c r="N1021" s="379">
        <f>+VLOOKUP($E1021,Macro!$1:$1048576,N$2,FALSE)</f>
        <v>0.15136664168253766</v>
      </c>
      <c r="O1021" s="379">
        <f>+VLOOKUP($E1021,Macro!$1:$1048576,O$2,FALSE)</f>
        <v>0.17544281374617388</v>
      </c>
      <c r="P1021" s="379">
        <f>+VLOOKUP($E1021,Macro!$1:$1048576,P$2,FALSE)</f>
        <v>0.1976717649136317</v>
      </c>
      <c r="Q1021" s="379">
        <f>+VLOOKUP($E1021,Macro!$1:$1048576,Q$2,FALSE)</f>
        <v>0.21949699779002518</v>
      </c>
      <c r="R1021" s="379">
        <f>+VLOOKUP($E1021,Macro!$1:$1048576,R$2,FALSE)</f>
        <v>0.24299015169366722</v>
      </c>
      <c r="S1021" s="379">
        <f>+VLOOKUP($E1021,Macro!$1:$1048576,S$2,FALSE)</f>
        <v>0.27046512376287524</v>
      </c>
      <c r="T1021" s="379">
        <f>+VLOOKUP($E1021,Macro!$1:$1048576,T$2,FALSE)</f>
        <v>0.30417623870055976</v>
      </c>
      <c r="U1021" s="379">
        <f>+VLOOKUP($E1021,Macro!$1:$1048576,U$2,FALSE)</f>
        <v>0.34611824406902691</v>
      </c>
      <c r="V1021" s="379">
        <f>+VLOOKUP($E1021,Macro!$1:$1048576,V$2,FALSE)</f>
        <v>0.39625278219488358</v>
      </c>
      <c r="W1021" s="379">
        <f>+VLOOKUP($E1021,Macro!$1:$1048576,W$2,FALSE)</f>
        <v>0.4520428700546697</v>
      </c>
      <c r="X1021" s="379">
        <f>+VLOOKUP($E1021,Macro!$1:$1048576,X$2,FALSE)</f>
        <v>0.51045448996838161</v>
      </c>
      <c r="Y1021" s="379">
        <f>+VLOOKUP($E1021,Macro!$1:$1048576,Y$2,FALSE)</f>
        <v>0.56884811719752904</v>
      </c>
      <c r="Z1021" s="379">
        <f>+VLOOKUP($E1021,Macro!$1:$1048576,Z$2,FALSE)</f>
        <v>0.62531695820831068</v>
      </c>
      <c r="AA1021" s="379">
        <f>+VLOOKUP($E1021,Macro!$1:$1048576,AA$2,FALSE)</f>
        <v>0.67872032821383321</v>
      </c>
      <c r="AB1021" s="379">
        <f>+VLOOKUP($E1021,Macro!$1:$1048576,AB$2,FALSE)</f>
        <v>0.72855748630649142</v>
      </c>
      <c r="AC1021" s="379">
        <f>+VLOOKUP($E1021,Macro!$1:$1048576,AC$2,FALSE)</f>
        <v>0.77478350169690735</v>
      </c>
      <c r="AD1021" s="379">
        <f>+VLOOKUP($E1021,Macro!$1:$1048576,AD$2,FALSE)</f>
        <v>0.8176285729871724</v>
      </c>
      <c r="AE1021" s="379">
        <f>+VLOOKUP($E1021,Macro!$1:$1048576,AE$2,FALSE)</f>
        <v>0.85745110449486628</v>
      </c>
      <c r="AF1021" s="379">
        <f>+VLOOKUP($E1021,Macro!$1:$1048576,AF$2,FALSE)</f>
        <v>0.89463446057054252</v>
      </c>
      <c r="AG1021" s="379">
        <f>+VLOOKUP($E1021,Macro!$1:$1048576,AG$2,FALSE)</f>
        <v>0.92952373037273883</v>
      </c>
      <c r="AH1021" s="379">
        <f>+VLOOKUP($E1021,Macro!$1:$1048576,AH$2,FALSE)</f>
        <v>0.96239485081079934</v>
      </c>
      <c r="AI1021" s="379">
        <f>+VLOOKUP($E1021,Macro!$1:$1048576,AI$2,FALSE)</f>
        <v>0.99344663905023278</v>
      </c>
      <c r="AJ1021" s="379">
        <f>+VLOOKUP($E1021,Macro!$1:$1048576,AJ$2,FALSE)</f>
        <v>1.022807130417247</v>
      </c>
      <c r="AK1021" s="379">
        <f>+VLOOKUP($E1021,Macro!$1:$1048576,AK$2,FALSE)</f>
        <v>1.0505475899819317</v>
      </c>
      <c r="AL1021" s="379">
        <f>+VLOOKUP($E1021,Macro!$1:$1048576,AL$2,FALSE)</f>
        <v>1.0766995578836758</v>
      </c>
      <c r="AM1021" s="379">
        <f>+VLOOKUP($E1021,Macro!$1:$1048576,AM$2,FALSE)</f>
        <v>1.1012709852369351</v>
      </c>
      <c r="AN1021" s="379">
        <f>+VLOOKUP($E1021,Macro!$1:$1048576,AN$2,FALSE)</f>
        <v>1.1242602745309416</v>
      </c>
      <c r="AO1021" s="379">
        <f>+VLOOKUP($E1021,Macro!$1:$1048576,AO$2,FALSE)</f>
        <v>1.1456670027348181</v>
      </c>
    </row>
    <row r="1022" spans="1:41" ht="15" customHeight="1" x14ac:dyDescent="0.25">
      <c r="A1022" s="402"/>
      <c r="B1022" s="399"/>
      <c r="C1022" s="132" t="s">
        <v>272</v>
      </c>
      <c r="D1022" s="132"/>
      <c r="E1022" s="54" t="s">
        <v>273</v>
      </c>
      <c r="F1022" s="379">
        <f>+VLOOKUP($E1022,Macro!$1:$1048576,F$2,FALSE)</f>
        <v>0</v>
      </c>
      <c r="G1022" s="379">
        <f>+VLOOKUP($E1022,Macro!$1:$1048576,G$2,FALSE)</f>
        <v>1.3115900000011607</v>
      </c>
      <c r="H1022" s="379">
        <f>+VLOOKUP($E1022,Macro!$1:$1048576,H$2,FALSE)</f>
        <v>4.027620000000752</v>
      </c>
      <c r="I1022" s="379">
        <f>+VLOOKUP($E1022,Macro!$1:$1048576,I$2,FALSE)</f>
        <v>7.9804599999988568</v>
      </c>
      <c r="J1022" s="379">
        <f>+VLOOKUP($E1022,Macro!$1:$1048576,J$2,FALSE)</f>
        <v>13.099419999998645</v>
      </c>
      <c r="K1022" s="379">
        <f>+VLOOKUP($E1022,Macro!$1:$1048576,K$2,FALSE)</f>
        <v>19.518749999999272</v>
      </c>
      <c r="L1022" s="379">
        <f>+VLOOKUP($E1022,Macro!$1:$1048576,L$2,FALSE)</f>
        <v>26.986350000002858</v>
      </c>
      <c r="M1022" s="379">
        <f>+VLOOKUP($E1022,Macro!$1:$1048576,M$2,FALSE)</f>
        <v>34.739529999998922</v>
      </c>
      <c r="N1022" s="379">
        <f>+VLOOKUP($E1022,Macro!$1:$1048576,N$2,FALSE)</f>
        <v>42.163759999999456</v>
      </c>
      <c r="O1022" s="379">
        <f>+VLOOKUP($E1022,Macro!$1:$1048576,O$2,FALSE)</f>
        <v>49.001090000001568</v>
      </c>
      <c r="P1022" s="379">
        <f>+VLOOKUP($E1022,Macro!$1:$1048576,P$2,FALSE)</f>
        <v>55.362229999998817</v>
      </c>
      <c r="Q1022" s="379">
        <f>+VLOOKUP($E1022,Macro!$1:$1048576,Q$2,FALSE)</f>
        <v>61.648409999997966</v>
      </c>
      <c r="R1022" s="379">
        <f>+VLOOKUP($E1022,Macro!$1:$1048576,R$2,FALSE)</f>
        <v>68.441899999997986</v>
      </c>
      <c r="S1022" s="379">
        <f>+VLOOKUP($E1022,Macro!$1:$1048576,S$2,FALSE)</f>
        <v>76.399939999999333</v>
      </c>
      <c r="T1022" s="379">
        <f>+VLOOKUP($E1022,Macro!$1:$1048576,T$2,FALSE)</f>
        <v>86.170450000001438</v>
      </c>
      <c r="U1022" s="379">
        <f>+VLOOKUP($E1022,Macro!$1:$1048576,U$2,FALSE)</f>
        <v>98.335049999997864</v>
      </c>
      <c r="V1022" s="379">
        <f>+VLOOKUP($E1022,Macro!$1:$1048576,V$2,FALSE)</f>
        <v>112.90267999999924</v>
      </c>
      <c r="W1022" s="379">
        <f>+VLOOKUP($E1022,Macro!$1:$1048576,W$2,FALSE)</f>
        <v>129.16825000000244</v>
      </c>
      <c r="X1022" s="379">
        <f>+VLOOKUP($E1022,Macro!$1:$1048576,X$2,FALSE)</f>
        <v>146.27600000000166</v>
      </c>
      <c r="Y1022" s="379">
        <f>+VLOOKUP($E1022,Macro!$1:$1048576,Y$2,FALSE)</f>
        <v>163.4736899999989</v>
      </c>
      <c r="Z1022" s="379">
        <f>+VLOOKUP($E1022,Macro!$1:$1048576,Z$2,FALSE)</f>
        <v>180.21169999999984</v>
      </c>
      <c r="AA1022" s="379">
        <f>+VLOOKUP($E1022,Macro!$1:$1048576,AA$2,FALSE)</f>
        <v>196.15566000000035</v>
      </c>
      <c r="AB1022" s="379">
        <f>+VLOOKUP($E1022,Macro!$1:$1048576,AB$2,FALSE)</f>
        <v>211.15298999999868</v>
      </c>
      <c r="AC1022" s="379">
        <f>+VLOOKUP($E1022,Macro!$1:$1048576,AC$2,FALSE)</f>
        <v>225.18197000000146</v>
      </c>
      <c r="AD1022" s="379">
        <f>+VLOOKUP($E1022,Macro!$1:$1048576,AD$2,FALSE)</f>
        <v>238.3009200000015</v>
      </c>
      <c r="AE1022" s="379">
        <f>+VLOOKUP($E1022,Macro!$1:$1048576,AE$2,FALSE)</f>
        <v>250.60637000000133</v>
      </c>
      <c r="AF1022" s="379">
        <f>+VLOOKUP($E1022,Macro!$1:$1048576,AF$2,FALSE)</f>
        <v>262.20332000000053</v>
      </c>
      <c r="AG1022" s="379">
        <f>+VLOOKUP($E1022,Macro!$1:$1048576,AG$2,FALSE)</f>
        <v>273.18675999999687</v>
      </c>
      <c r="AH1022" s="379">
        <f>+VLOOKUP($E1022,Macro!$1:$1048576,AH$2,FALSE)</f>
        <v>283.63241999999809</v>
      </c>
      <c r="AI1022" s="379">
        <f>+VLOOKUP($E1022,Macro!$1:$1048576,AI$2,FALSE)</f>
        <v>293.59414000000106</v>
      </c>
      <c r="AJ1022" s="379">
        <f>+VLOOKUP($E1022,Macro!$1:$1048576,AJ$2,FALSE)</f>
        <v>303.10543999999936</v>
      </c>
      <c r="AK1022" s="379">
        <f>+VLOOKUP($E1022,Macro!$1:$1048576,AK$2,FALSE)</f>
        <v>312.18340000000171</v>
      </c>
      <c r="AL1022" s="379">
        <f>+VLOOKUP($E1022,Macro!$1:$1048576,AL$2,FALSE)</f>
        <v>320.83351000000039</v>
      </c>
      <c r="AM1022" s="379">
        <f>+VLOOKUP($E1022,Macro!$1:$1048576,AM$2,FALSE)</f>
        <v>329.05432999999903</v>
      </c>
      <c r="AN1022" s="379">
        <f>+VLOOKUP($E1022,Macro!$1:$1048576,AN$2,FALSE)</f>
        <v>336.84159999999974</v>
      </c>
      <c r="AO1022" s="379">
        <f>+VLOOKUP($E1022,Macro!$1:$1048576,AO$2,FALSE)</f>
        <v>344.19142000000284</v>
      </c>
    </row>
    <row r="1023" spans="1:41" ht="15" customHeight="1" x14ac:dyDescent="0.25">
      <c r="A1023" s="402"/>
      <c r="B1023" s="399"/>
      <c r="C1023" s="132" t="s">
        <v>274</v>
      </c>
      <c r="D1023" s="136"/>
      <c r="E1023" s="61" t="s">
        <v>275</v>
      </c>
      <c r="F1023" s="380">
        <f>+VLOOKUP($E1023,Macro!$1:$1048576,F$2,FALSE)</f>
        <v>0</v>
      </c>
      <c r="G1023" s="380">
        <f>+VLOOKUP($E1023,Macro!$1:$1048576,G$2,FALSE)</f>
        <v>-3.4888499999996547E-3</v>
      </c>
      <c r="H1023" s="380">
        <f>+VLOOKUP($E1023,Macro!$1:$1048576,H$2,FALSE)</f>
        <v>-1.042947999999877E-2</v>
      </c>
      <c r="I1023" s="380">
        <f>+VLOOKUP($E1023,Macro!$1:$1048576,I$2,FALSE)</f>
        <v>-2.0226100000000913E-2</v>
      </c>
      <c r="J1023" s="380">
        <f>+VLOOKUP($E1023,Macro!$1:$1048576,J$2,FALSE)</f>
        <v>-3.2649889999999959E-2</v>
      </c>
      <c r="K1023" s="380">
        <f>+VLOOKUP($E1023,Macro!$1:$1048576,K$2,FALSE)</f>
        <v>-4.8038379999998382E-2</v>
      </c>
      <c r="L1023" s="380">
        <f>+VLOOKUP($E1023,Macro!$1:$1048576,L$2,FALSE)</f>
        <v>-6.5679769999998916E-2</v>
      </c>
      <c r="M1023" s="380">
        <f>+VLOOKUP($E1023,Macro!$1:$1048576,M$2,FALSE)</f>
        <v>-8.3592529999998444E-2</v>
      </c>
      <c r="N1023" s="380">
        <f>+VLOOKUP($E1023,Macro!$1:$1048576,N$2,FALSE)</f>
        <v>-0.1003292299999986</v>
      </c>
      <c r="O1023" s="380">
        <f>+VLOOKUP($E1023,Macro!$1:$1048576,O$2,FALSE)</f>
        <v>-0.11541371000000078</v>
      </c>
      <c r="P1023" s="380">
        <f>+VLOOKUP($E1023,Macro!$1:$1048576,P$2,FALSE)</f>
        <v>-0.12927664999999866</v>
      </c>
      <c r="Q1023" s="380">
        <f>+VLOOKUP($E1023,Macro!$1:$1048576,Q$2,FALSE)</f>
        <v>-0.14300297000000017</v>
      </c>
      <c r="R1023" s="380">
        <f>+VLOOKUP($E1023,Macro!$1:$1048576,R$2,FALSE)</f>
        <v>-0.15803775999999881</v>
      </c>
      <c r="S1023" s="380">
        <f>+VLOOKUP($E1023,Macro!$1:$1048576,S$2,FALSE)</f>
        <v>-0.17592809000000209</v>
      </c>
      <c r="T1023" s="380">
        <f>+VLOOKUP($E1023,Macro!$1:$1048576,T$2,FALSE)</f>
        <v>-0.1981331599999997</v>
      </c>
      <c r="U1023" s="380">
        <f>+VLOOKUP($E1023,Macro!$1:$1048576,U$2,FALSE)</f>
        <v>-0.22590734000000057</v>
      </c>
      <c r="V1023" s="380">
        <f>+VLOOKUP($E1023,Macro!$1:$1048576,V$2,FALSE)</f>
        <v>-0.25902955000000061</v>
      </c>
      <c r="W1023" s="380">
        <f>+VLOOKUP($E1023,Macro!$1:$1048576,W$2,FALSE)</f>
        <v>-0.29556917000000127</v>
      </c>
      <c r="X1023" s="380">
        <f>+VLOOKUP($E1023,Macro!$1:$1048576,X$2,FALSE)</f>
        <v>-0.33341608999999939</v>
      </c>
      <c r="Y1023" s="380">
        <f>+VLOOKUP($E1023,Macro!$1:$1048576,Y$2,FALSE)</f>
        <v>-0.37085292999999853</v>
      </c>
      <c r="Z1023" s="380">
        <f>+VLOOKUP($E1023,Macro!$1:$1048576,Z$2,FALSE)</f>
        <v>-0.40672053999999958</v>
      </c>
      <c r="AA1023" s="380">
        <f>+VLOOKUP($E1023,Macro!$1:$1048576,AA$2,FALSE)</f>
        <v>-0.4403887199999984</v>
      </c>
      <c r="AB1023" s="380">
        <f>+VLOOKUP($E1023,Macro!$1:$1048576,AB$2,FALSE)</f>
        <v>-0.47164000000000095</v>
      </c>
      <c r="AC1023" s="380">
        <f>+VLOOKUP($E1023,Macro!$1:$1048576,AC$2,FALSE)</f>
        <v>-0.50053154000000155</v>
      </c>
      <c r="AD1023" s="380">
        <f>+VLOOKUP($E1023,Macro!$1:$1048576,AD$2,FALSE)</f>
        <v>-0.5272716599999977</v>
      </c>
      <c r="AE1023" s="380">
        <f>+VLOOKUP($E1023,Macro!$1:$1048576,AE$2,FALSE)</f>
        <v>-0.55212634000000038</v>
      </c>
      <c r="AF1023" s="380">
        <f>+VLOOKUP($E1023,Macro!$1:$1048576,AF$2,FALSE)</f>
        <v>-0.57535733999999894</v>
      </c>
      <c r="AG1023" s="380">
        <f>+VLOOKUP($E1023,Macro!$1:$1048576,AG$2,FALSE)</f>
        <v>-0.59718773999999919</v>
      </c>
      <c r="AH1023" s="380">
        <f>+VLOOKUP($E1023,Macro!$1:$1048576,AH$2,FALSE)</f>
        <v>-0.61778763000000236</v>
      </c>
      <c r="AI1023" s="380">
        <f>+VLOOKUP($E1023,Macro!$1:$1048576,AI$2,FALSE)</f>
        <v>-0.6372735200000007</v>
      </c>
      <c r="AJ1023" s="380">
        <f>+VLOOKUP($E1023,Macro!$1:$1048576,AJ$2,FALSE)</f>
        <v>-0.65571570000000079</v>
      </c>
      <c r="AK1023" s="380">
        <f>+VLOOKUP($E1023,Macro!$1:$1048576,AK$2,FALSE)</f>
        <v>-0.67314919999999778</v>
      </c>
      <c r="AL1023" s="380">
        <f>+VLOOKUP($E1023,Macro!$1:$1048576,AL$2,FALSE)</f>
        <v>-0.68958574000000106</v>
      </c>
      <c r="AM1023" s="380">
        <f>+VLOOKUP($E1023,Macro!$1:$1048576,AM$2,FALSE)</f>
        <v>-0.70502446999999857</v>
      </c>
      <c r="AN1023" s="380">
        <f>+VLOOKUP($E1023,Macro!$1:$1048576,AN$2,FALSE)</f>
        <v>-0.71946084999999771</v>
      </c>
      <c r="AO1023" s="380">
        <f>+VLOOKUP($E1023,Macro!$1:$1048576,AO$2,FALSE)</f>
        <v>-0.73289311999999995</v>
      </c>
    </row>
    <row r="1024" spans="1:41" ht="15" customHeight="1" x14ac:dyDescent="0.25">
      <c r="A1024" s="402"/>
      <c r="B1024" s="399"/>
      <c r="C1024" s="135" t="s">
        <v>276</v>
      </c>
      <c r="D1024" s="135"/>
      <c r="E1024" s="54" t="s">
        <v>277</v>
      </c>
      <c r="F1024" s="379">
        <f>+VLOOKUP($E1024,Macro!$1:$1048576,F$2,FALSE)</f>
        <v>0</v>
      </c>
      <c r="G1024" s="379">
        <f>+VLOOKUP($E1024,Macro!$1:$1048576,G$2,FALSE)</f>
        <v>6.5387852089966378E-3</v>
      </c>
      <c r="H1024" s="379">
        <f>+VLOOKUP($E1024,Macro!$1:$1048576,H$2,FALSE)</f>
        <v>1.5627134416842416E-2</v>
      </c>
      <c r="I1024" s="379">
        <f>+VLOOKUP($E1024,Macro!$1:$1048576,I$2,FALSE)</f>
        <v>2.659354875167632E-2</v>
      </c>
      <c r="J1024" s="379">
        <f>+VLOOKUP($E1024,Macro!$1:$1048576,J$2,FALSE)</f>
        <v>4.019623713260416E-2</v>
      </c>
      <c r="K1024" s="379">
        <f>+VLOOKUP($E1024,Macro!$1:$1048576,K$2,FALSE)</f>
        <v>5.7704959414650071E-2</v>
      </c>
      <c r="L1024" s="379">
        <f>+VLOOKUP($E1024,Macro!$1:$1048576,L$2,FALSE)</f>
        <v>7.7560874798342228E-2</v>
      </c>
      <c r="M1024" s="379">
        <f>+VLOOKUP($E1024,Macro!$1:$1048576,M$2,FALSE)</f>
        <v>9.7017175325096572E-2</v>
      </c>
      <c r="N1024" s="379">
        <f>+VLOOKUP($E1024,Macro!$1:$1048576,N$2,FALSE)</f>
        <v>0.11577688861272237</v>
      </c>
      <c r="O1024" s="379">
        <f>+VLOOKUP($E1024,Macro!$1:$1048576,O$2,FALSE)</f>
        <v>0.13448084565083862</v>
      </c>
      <c r="P1024" s="379">
        <f>+VLOOKUP($E1024,Macro!$1:$1048576,P$2,FALSE)</f>
        <v>0.15406327418590898</v>
      </c>
      <c r="Q1024" s="379">
        <f>+VLOOKUP($E1024,Macro!$1:$1048576,Q$2,FALSE)</f>
        <v>0.17553527859173851</v>
      </c>
      <c r="R1024" s="379">
        <f>+VLOOKUP($E1024,Macro!$1:$1048576,R$2,FALSE)</f>
        <v>0.19992762411228174</v>
      </c>
      <c r="S1024" s="379">
        <f>+VLOOKUP($E1024,Macro!$1:$1048576,S$2,FALSE)</f>
        <v>0.22827307521343584</v>
      </c>
      <c r="T1024" s="379">
        <f>+VLOOKUP($E1024,Macro!$1:$1048576,T$2,FALSE)</f>
        <v>0.26158842777791858</v>
      </c>
      <c r="U1024" s="379">
        <f>+VLOOKUP($E1024,Macro!$1:$1048576,U$2,FALSE)</f>
        <v>0.30085052193434514</v>
      </c>
      <c r="V1024" s="379">
        <f>+VLOOKUP($E1024,Macro!$1:$1048576,V$2,FALSE)</f>
        <v>0.34482179763176674</v>
      </c>
      <c r="W1024" s="379">
        <f>+VLOOKUP($E1024,Macro!$1:$1048576,W$2,FALSE)</f>
        <v>0.39101565647372949</v>
      </c>
      <c r="X1024" s="379">
        <f>+VLOOKUP($E1024,Macro!$1:$1048576,X$2,FALSE)</f>
        <v>0.43843659765817505</v>
      </c>
      <c r="Y1024" s="379">
        <f>+VLOOKUP($E1024,Macro!$1:$1048576,Y$2,FALSE)</f>
        <v>0.486642265846288</v>
      </c>
      <c r="Z1024" s="379">
        <f>+VLOOKUP($E1024,Macro!$1:$1048576,Z$2,FALSE)</f>
        <v>0.53534705759371848</v>
      </c>
      <c r="AA1024" s="379">
        <f>+VLOOKUP($E1024,Macro!$1:$1048576,AA$2,FALSE)</f>
        <v>0.58429876179936768</v>
      </c>
      <c r="AB1024" s="379">
        <f>+VLOOKUP($E1024,Macro!$1:$1048576,AB$2,FALSE)</f>
        <v>0.63325969027241868</v>
      </c>
      <c r="AC1024" s="379">
        <f>+VLOOKUP($E1024,Macro!$1:$1048576,AC$2,FALSE)</f>
        <v>0.68201603519610465</v>
      </c>
      <c r="AD1024" s="379">
        <f>+VLOOKUP($E1024,Macro!$1:$1048576,AD$2,FALSE)</f>
        <v>0.73038805358034609</v>
      </c>
      <c r="AE1024" s="379">
        <f>+VLOOKUP($E1024,Macro!$1:$1048576,AE$2,FALSE)</f>
        <v>0.77823449710377501</v>
      </c>
      <c r="AF1024" s="379">
        <f>+VLOOKUP($E1024,Macro!$1:$1048576,AF$2,FALSE)</f>
        <v>0.82545168213129583</v>
      </c>
      <c r="AG1024" s="379">
        <f>+VLOOKUP($E1024,Macro!$1:$1048576,AG$2,FALSE)</f>
        <v>0.87196914737282494</v>
      </c>
      <c r="AH1024" s="379">
        <f>+VLOOKUP($E1024,Macro!$1:$1048576,AH$2,FALSE)</f>
        <v>0.91774361329104059</v>
      </c>
      <c r="AI1024" s="379">
        <f>+VLOOKUP($E1024,Macro!$1:$1048576,AI$2,FALSE)</f>
        <v>0.96275240446763111</v>
      </c>
      <c r="AJ1024" s="379">
        <f>+VLOOKUP($E1024,Macro!$1:$1048576,AJ$2,FALSE)</f>
        <v>1.0069871471230403</v>
      </c>
      <c r="AK1024" s="379">
        <f>+VLOOKUP($E1024,Macro!$1:$1048576,AK$2,FALSE)</f>
        <v>1.0504481625373443</v>
      </c>
      <c r="AL1024" s="379">
        <f>+VLOOKUP($E1024,Macro!$1:$1048576,AL$2,FALSE)</f>
        <v>1.0931398005238371</v>
      </c>
      <c r="AM1024" s="379">
        <f>+VLOOKUP($E1024,Macro!$1:$1048576,AM$2,FALSE)</f>
        <v>1.1350668257610208</v>
      </c>
      <c r="AN1024" s="379">
        <f>+VLOOKUP($E1024,Macro!$1:$1048576,AN$2,FALSE)</f>
        <v>1.1762318353860239</v>
      </c>
      <c r="AO1024" s="379">
        <f>+VLOOKUP($E1024,Macro!$1:$1048576,AO$2,FALSE)</f>
        <v>1.2166336119822343</v>
      </c>
    </row>
    <row r="1025" spans="1:41" ht="15" customHeight="1" x14ac:dyDescent="0.25">
      <c r="A1025" s="402"/>
      <c r="B1025" s="399"/>
      <c r="C1025" s="132" t="s">
        <v>278</v>
      </c>
      <c r="D1025" s="132"/>
      <c r="E1025" s="54" t="s">
        <v>279</v>
      </c>
      <c r="F1025" s="379">
        <f>+VLOOKUP($E1025,Macro!$1:$1048576,F$2,FALSE)</f>
        <v>28912.2957781351</v>
      </c>
      <c r="G1025" s="379">
        <f>+VLOOKUP($E1025,Macro!$1:$1048576,G$2,FALSE)</f>
        <v>29830.346460363427</v>
      </c>
      <c r="H1025" s="379">
        <f>+VLOOKUP($E1025,Macro!$1:$1048576,H$2,FALSE)</f>
        <v>30777.547960002015</v>
      </c>
      <c r="I1025" s="379">
        <f>+VLOOKUP($E1025,Macro!$1:$1048576,I$2,FALSE)</f>
        <v>31754.82590149856</v>
      </c>
      <c r="J1025" s="379">
        <f>+VLOOKUP($E1025,Macro!$1:$1048576,J$2,FALSE)</f>
        <v>32763.135300607551</v>
      </c>
      <c r="K1025" s="379">
        <f>+VLOOKUP($E1025,Macro!$1:$1048576,K$2,FALSE)</f>
        <v>33803.461497650984</v>
      </c>
      <c r="L1025" s="379">
        <f>+VLOOKUP($E1025,Macro!$1:$1048576,L$2,FALSE)</f>
        <v>34876.821120412809</v>
      </c>
      <c r="M1025" s="379">
        <f>+VLOOKUP($E1025,Macro!$1:$1048576,M$2,FALSE)</f>
        <v>35984.263077608215</v>
      </c>
      <c r="N1025" s="379">
        <f>+VLOOKUP($E1025,Macro!$1:$1048576,N$2,FALSE)</f>
        <v>37126.869583898348</v>
      </c>
      <c r="O1025" s="379">
        <f>+VLOOKUP($E1025,Macro!$1:$1048576,O$2,FALSE)</f>
        <v>38305.757217452396</v>
      </c>
      <c r="P1025" s="379">
        <f>+VLOOKUP($E1025,Macro!$1:$1048576,P$2,FALSE)</f>
        <v>39522.078011090292</v>
      </c>
      <c r="Q1025" s="379">
        <f>+VLOOKUP($E1025,Macro!$1:$1048576,Q$2,FALSE)</f>
        <v>40777.020578072545</v>
      </c>
      <c r="R1025" s="379">
        <f>+VLOOKUP($E1025,Macro!$1:$1048576,R$2,FALSE)</f>
        <v>42071.81127363706</v>
      </c>
      <c r="S1025" s="379">
        <f>+VLOOKUP($E1025,Macro!$1:$1048576,S$2,FALSE)</f>
        <v>43407.715393418279</v>
      </c>
      <c r="T1025" s="379">
        <f>+VLOOKUP($E1025,Macro!$1:$1048576,T$2,FALSE)</f>
        <v>44786.038409919711</v>
      </c>
      <c r="U1025" s="379">
        <f>+VLOOKUP($E1025,Macro!$1:$1048576,U$2,FALSE)</f>
        <v>46208.127248247962</v>
      </c>
      <c r="V1025" s="379">
        <f>+VLOOKUP($E1025,Macro!$1:$1048576,V$2,FALSE)</f>
        <v>47675.371602355219</v>
      </c>
      <c r="W1025" s="379">
        <f>+VLOOKUP($E1025,Macro!$1:$1048576,W$2,FALSE)</f>
        <v>49189.205293076215</v>
      </c>
      <c r="X1025" s="379">
        <f>+VLOOKUP($E1025,Macro!$1:$1048576,X$2,FALSE)</f>
        <v>50751.107669287005</v>
      </c>
      <c r="Y1025" s="379">
        <f>+VLOOKUP($E1025,Macro!$1:$1048576,Y$2,FALSE)</f>
        <v>52362.6050535545</v>
      </c>
      <c r="Z1025" s="379">
        <f>+VLOOKUP($E1025,Macro!$1:$1048576,Z$2,FALSE)</f>
        <v>54025.272233689735</v>
      </c>
      <c r="AA1025" s="379">
        <f>+VLOOKUP($E1025,Macro!$1:$1048576,AA$2,FALSE)</f>
        <v>55740.73400166248</v>
      </c>
      <c r="AB1025" s="379">
        <f>+VLOOKUP($E1025,Macro!$1:$1048576,AB$2,FALSE)</f>
        <v>57510.666741380577</v>
      </c>
      <c r="AC1025" s="379">
        <f>+VLOOKUP($E1025,Macro!$1:$1048576,AC$2,FALSE)</f>
        <v>59336.800066886273</v>
      </c>
      <c r="AD1025" s="379">
        <f>+VLOOKUP($E1025,Macro!$1:$1048576,AD$2,FALSE)</f>
        <v>61220.918512570104</v>
      </c>
      <c r="AE1025" s="379">
        <f>+VLOOKUP($E1025,Macro!$1:$1048576,AE$2,FALSE)</f>
        <v>63164.863277053795</v>
      </c>
      <c r="AF1025" s="379">
        <f>+VLOOKUP($E1025,Macro!$1:$1048576,AF$2,FALSE)</f>
        <v>65170.534022446904</v>
      </c>
      <c r="AG1025" s="379">
        <f>+VLOOKUP($E1025,Macro!$1:$1048576,AG$2,FALSE)</f>
        <v>67239.890730734987</v>
      </c>
      <c r="AH1025" s="379">
        <f>+VLOOKUP($E1025,Macro!$1:$1048576,AH$2,FALSE)</f>
        <v>69374.955619113476</v>
      </c>
      <c r="AI1025" s="379">
        <f>+VLOOKUP($E1025,Macro!$1:$1048576,AI$2,FALSE)</f>
        <v>71577.815116139405</v>
      </c>
      <c r="AJ1025" s="379">
        <f>+VLOOKUP($E1025,Macro!$1:$1048576,AJ$2,FALSE)</f>
        <v>73850.621900631391</v>
      </c>
      <c r="AK1025" s="379">
        <f>+VLOOKUP($E1025,Macro!$1:$1048576,AK$2,FALSE)</f>
        <v>76195.597005311036</v>
      </c>
      <c r="AL1025" s="379">
        <f>+VLOOKUP($E1025,Macro!$1:$1048576,AL$2,FALSE)</f>
        <v>78615.031987240814</v>
      </c>
      <c r="AM1025" s="379">
        <f>+VLOOKUP($E1025,Macro!$1:$1048576,AM$2,FALSE)</f>
        <v>81111.291167180068</v>
      </c>
      <c r="AN1025" s="379">
        <f>+VLOOKUP($E1025,Macro!$1:$1048576,AN$2,FALSE)</f>
        <v>83686.813940046981</v>
      </c>
      <c r="AO1025" s="379">
        <f>+VLOOKUP($E1025,Macro!$1:$1048576,AO$2,FALSE)</f>
        <v>86344.117158744571</v>
      </c>
    </row>
    <row r="1026" spans="1:41" ht="15" customHeight="1" x14ac:dyDescent="0.25">
      <c r="A1026" s="402"/>
      <c r="B1026" s="399"/>
      <c r="C1026" s="132" t="s">
        <v>280</v>
      </c>
      <c r="D1026" s="132"/>
      <c r="E1026" s="54" t="s">
        <v>281</v>
      </c>
      <c r="F1026" s="379">
        <f>+VLOOKUP($E1026,Macro!$1:$1048576,F$2,FALSE)</f>
        <v>0</v>
      </c>
      <c r="G1026" s="379">
        <f>+VLOOKUP($E1026,Macro!$1:$1048576,G$2,FALSE)</f>
        <v>6.1921318439579764E-5</v>
      </c>
      <c r="H1026" s="379">
        <f>+VLOOKUP($E1026,Macro!$1:$1048576,H$2,FALSE)</f>
        <v>-4.8148313880138488E-3</v>
      </c>
      <c r="I1026" s="379">
        <f>+VLOOKUP($E1026,Macro!$1:$1048576,I$2,FALSE)</f>
        <v>-1.2596927950974182E-2</v>
      </c>
      <c r="J1026" s="379">
        <f>+VLOOKUP($E1026,Macro!$1:$1048576,J$2,FALSE)</f>
        <v>-2.2305484243861744E-2</v>
      </c>
      <c r="K1026" s="379">
        <f>+VLOOKUP($E1026,Macro!$1:$1048576,K$2,FALSE)</f>
        <v>-3.4082960906624792E-2</v>
      </c>
      <c r="L1026" s="379">
        <f>+VLOOKUP($E1026,Macro!$1:$1048576,L$2,FALSE)</f>
        <v>-4.8717009413499698E-2</v>
      </c>
      <c r="M1026" s="379">
        <f>+VLOOKUP($E1026,Macro!$1:$1048576,M$2,FALSE)</f>
        <v>-6.5151405902540496E-2</v>
      </c>
      <c r="N1026" s="379">
        <f>+VLOOKUP($E1026,Macro!$1:$1048576,N$2,FALSE)</f>
        <v>-8.1226257895609597E-2</v>
      </c>
      <c r="O1026" s="379">
        <f>+VLOOKUP($E1026,Macro!$1:$1048576,O$2,FALSE)</f>
        <v>-9.6342759405987521E-2</v>
      </c>
      <c r="P1026" s="379">
        <f>+VLOOKUP($E1026,Macro!$1:$1048576,P$2,FALSE)</f>
        <v>-0.11100171465355785</v>
      </c>
      <c r="Q1026" s="379">
        <f>+VLOOKUP($E1026,Macro!$1:$1048576,Q$2,FALSE)</f>
        <v>-0.12627739503024288</v>
      </c>
      <c r="R1026" s="379">
        <f>+VLOOKUP($E1026,Macro!$1:$1048576,R$2,FALSE)</f>
        <v>-0.14343961656370416</v>
      </c>
      <c r="S1026" s="379">
        <f>+VLOOKUP($E1026,Macro!$1:$1048576,S$2,FALSE)</f>
        <v>-0.16372731124787346</v>
      </c>
      <c r="T1026" s="379">
        <f>+VLOOKUP($E1026,Macro!$1:$1048576,T$2,FALSE)</f>
        <v>-0.18823305089258127</v>
      </c>
      <c r="U1026" s="379">
        <f>+VLOOKUP($E1026,Macro!$1:$1048576,U$2,FALSE)</f>
        <v>-0.21785925740163015</v>
      </c>
      <c r="V1026" s="379">
        <f>+VLOOKUP($E1026,Macro!$1:$1048576,V$2,FALSE)</f>
        <v>-0.25311526848962229</v>
      </c>
      <c r="W1026" s="379">
        <f>+VLOOKUP($E1026,Macro!$1:$1048576,W$2,FALSE)</f>
        <v>-0.29269831496999876</v>
      </c>
      <c r="X1026" s="379">
        <f>+VLOOKUP($E1026,Macro!$1:$1048576,X$2,FALSE)</f>
        <v>-0.33419094259475918</v>
      </c>
      <c r="Y1026" s="379">
        <f>+VLOOKUP($E1026,Macro!$1:$1048576,Y$2,FALSE)</f>
        <v>-0.37607814599381956</v>
      </c>
      <c r="Z1026" s="379">
        <f>+VLOOKUP($E1026,Macro!$1:$1048576,Z$2,FALSE)</f>
        <v>-0.41761501894751901</v>
      </c>
      <c r="AA1026" s="379">
        <f>+VLOOKUP($E1026,Macro!$1:$1048576,AA$2,FALSE)</f>
        <v>-0.45855980592066903</v>
      </c>
      <c r="AB1026" s="379">
        <f>+VLOOKUP($E1026,Macro!$1:$1048576,AB$2,FALSE)</f>
        <v>-0.49894471520656708</v>
      </c>
      <c r="AC1026" s="379">
        <f>+VLOOKUP($E1026,Macro!$1:$1048576,AC$2,FALSE)</f>
        <v>-0.53891407849117701</v>
      </c>
      <c r="AD1026" s="379">
        <f>+VLOOKUP($E1026,Macro!$1:$1048576,AD$2,FALSE)</f>
        <v>-0.57862221552723692</v>
      </c>
      <c r="AE1026" s="379">
        <f>+VLOOKUP($E1026,Macro!$1:$1048576,AE$2,FALSE)</f>
        <v>-0.61817667243144492</v>
      </c>
      <c r="AF1026" s="379">
        <f>+VLOOKUP($E1026,Macro!$1:$1048576,AF$2,FALSE)</f>
        <v>-0.6576135495998473</v>
      </c>
      <c r="AG1026" s="379">
        <f>+VLOOKUP($E1026,Macro!$1:$1048576,AG$2,FALSE)</f>
        <v>-0.69689416202129018</v>
      </c>
      <c r="AH1026" s="379">
        <f>+VLOOKUP($E1026,Macro!$1:$1048576,AH$2,FALSE)</f>
        <v>-0.73591467106723552</v>
      </c>
      <c r="AI1026" s="379">
        <f>+VLOOKUP($E1026,Macro!$1:$1048576,AI$2,FALSE)</f>
        <v>-0.77452245029892053</v>
      </c>
      <c r="AJ1026" s="379">
        <f>+VLOOKUP($E1026,Macro!$1:$1048576,AJ$2,FALSE)</f>
        <v>-0.81253462329898607</v>
      </c>
      <c r="AK1026" s="379">
        <f>+VLOOKUP($E1026,Macro!$1:$1048576,AK$2,FALSE)</f>
        <v>-0.84975578274837149</v>
      </c>
      <c r="AL1026" s="379">
        <f>+VLOOKUP($E1026,Macro!$1:$1048576,AL$2,FALSE)</f>
        <v>-0.88599303361131654</v>
      </c>
      <c r="AM1026" s="379">
        <f>+VLOOKUP($E1026,Macro!$1:$1048576,AM$2,FALSE)</f>
        <v>-0.92106745722152272</v>
      </c>
      <c r="AN1026" s="379">
        <f>+VLOOKUP($E1026,Macro!$1:$1048576,AN$2,FALSE)</f>
        <v>-0.95482178901104398</v>
      </c>
      <c r="AO1026" s="379">
        <f>+VLOOKUP($E1026,Macro!$1:$1048576,AO$2,FALSE)</f>
        <v>-0.9871245671436778</v>
      </c>
    </row>
    <row r="1027" spans="1:41" ht="15" customHeight="1" x14ac:dyDescent="0.25">
      <c r="A1027" s="402"/>
      <c r="B1027" s="399"/>
      <c r="C1027" s="132" t="s">
        <v>282</v>
      </c>
      <c r="D1027" s="132"/>
      <c r="E1027" s="54" t="s">
        <v>283</v>
      </c>
      <c r="F1027" s="379">
        <f>+VLOOKUP($E1027,Macro!$1:$1048576,F$2,FALSE)</f>
        <v>0</v>
      </c>
      <c r="G1027" s="379">
        <f>+VLOOKUP($E1027,Macro!$1:$1048576,G$2,FALSE)</f>
        <v>-4.6698417892274136E-4</v>
      </c>
      <c r="H1027" s="379">
        <f>+VLOOKUP($E1027,Macro!$1:$1048576,H$2,FALSE)</f>
        <v>-5.2595375805639111E-4</v>
      </c>
      <c r="I1027" s="379">
        <f>+VLOOKUP($E1027,Macro!$1:$1048576,I$2,FALSE)</f>
        <v>-5.6243416903679205E-3</v>
      </c>
      <c r="J1027" s="379">
        <f>+VLOOKUP($E1027,Macro!$1:$1048576,J$2,FALSE)</f>
        <v>-1.2965539463342945E-2</v>
      </c>
      <c r="K1027" s="379">
        <f>+VLOOKUP($E1027,Macro!$1:$1048576,K$2,FALSE)</f>
        <v>-2.1817738459441183E-2</v>
      </c>
      <c r="L1027" s="379">
        <f>+VLOOKUP($E1027,Macro!$1:$1048576,L$2,FALSE)</f>
        <v>-3.2356110969793822E-2</v>
      </c>
      <c r="M1027" s="379">
        <f>+VLOOKUP($E1027,Macro!$1:$1048576,M$2,FALSE)</f>
        <v>-4.5423280364322721E-2</v>
      </c>
      <c r="N1027" s="379">
        <f>+VLOOKUP($E1027,Macro!$1:$1048576,N$2,FALSE)</f>
        <v>-6.0230636028608259E-2</v>
      </c>
      <c r="O1027" s="379">
        <f>+VLOOKUP($E1027,Macro!$1:$1048576,O$2,FALSE)</f>
        <v>-7.4964322402033129E-2</v>
      </c>
      <c r="P1027" s="379">
        <f>+VLOOKUP($E1027,Macro!$1:$1048576,P$2,FALSE)</f>
        <v>-8.9592023868698828E-2</v>
      </c>
      <c r="Q1027" s="379">
        <f>+VLOOKUP($E1027,Macro!$1:$1048576,Q$2,FALSE)</f>
        <v>-0.1049232928264112</v>
      </c>
      <c r="R1027" s="379">
        <f>+VLOOKUP($E1027,Macro!$1:$1048576,R$2,FALSE)</f>
        <v>-0.12204338638832878</v>
      </c>
      <c r="S1027" s="379">
        <f>+VLOOKUP($E1027,Macro!$1:$1048576,S$2,FALSE)</f>
        <v>-0.14202663044297903</v>
      </c>
      <c r="T1027" s="379">
        <f>+VLOOKUP($E1027,Macro!$1:$1048576,T$2,FALSE)</f>
        <v>-0.16581903460092423</v>
      </c>
      <c r="U1027" s="379">
        <f>+VLOOKUP($E1027,Macro!$1:$1048576,U$2,FALSE)</f>
        <v>-0.19421194986359025</v>
      </c>
      <c r="V1027" s="379">
        <f>+VLOOKUP($E1027,Macro!$1:$1048576,V$2,FALSE)</f>
        <v>-0.22748883551738652</v>
      </c>
      <c r="W1027" s="379">
        <f>+VLOOKUP($E1027,Macro!$1:$1048576,W$2,FALSE)</f>
        <v>-0.26576587602377305</v>
      </c>
      <c r="X1027" s="379">
        <f>+VLOOKUP($E1027,Macro!$1:$1048576,X$2,FALSE)</f>
        <v>-0.30793998881654022</v>
      </c>
      <c r="Y1027" s="379">
        <f>+VLOOKUP($E1027,Macro!$1:$1048576,Y$2,FALSE)</f>
        <v>-0.35203778557529425</v>
      </c>
      <c r="Z1027" s="379">
        <f>+VLOOKUP($E1027,Macro!$1:$1048576,Z$2,FALSE)</f>
        <v>-0.39725235396883934</v>
      </c>
      <c r="AA1027" s="379">
        <f>+VLOOKUP($E1027,Macro!$1:$1048576,AA$2,FALSE)</f>
        <v>-0.44341764251092064</v>
      </c>
      <c r="AB1027" s="379">
        <f>+VLOOKUP($E1027,Macro!$1:$1048576,AB$2,FALSE)</f>
        <v>-0.49065132046687898</v>
      </c>
      <c r="AC1027" s="379">
        <f>+VLOOKUP($E1027,Macro!$1:$1048576,AC$2,FALSE)</f>
        <v>-0.53914522188384906</v>
      </c>
      <c r="AD1027" s="379">
        <f>+VLOOKUP($E1027,Macro!$1:$1048576,AD$2,FALSE)</f>
        <v>-0.5890557296244634</v>
      </c>
      <c r="AE1027" s="379">
        <f>+VLOOKUP($E1027,Macro!$1:$1048576,AE$2,FALSE)</f>
        <v>-0.64045541067697875</v>
      </c>
      <c r="AF1027" s="379">
        <f>+VLOOKUP($E1027,Macro!$1:$1048576,AF$2,FALSE)</f>
        <v>-0.69332026427666027</v>
      </c>
      <c r="AG1027" s="379">
        <f>+VLOOKUP($E1027,Macro!$1:$1048576,AG$2,FALSE)</f>
        <v>-0.74753670453026544</v>
      </c>
      <c r="AH1027" s="379">
        <f>+VLOOKUP($E1027,Macro!$1:$1048576,AH$2,FALSE)</f>
        <v>-0.80291840733932029</v>
      </c>
      <c r="AI1027" s="379">
        <f>+VLOOKUP($E1027,Macro!$1:$1048576,AI$2,FALSE)</f>
        <v>-0.85922706347722055</v>
      </c>
      <c r="AJ1027" s="379">
        <f>+VLOOKUP($E1027,Macro!$1:$1048576,AJ$2,FALSE)</f>
        <v>-0.91619317553307333</v>
      </c>
      <c r="AK1027" s="379">
        <f>+VLOOKUP($E1027,Macro!$1:$1048576,AK$2,FALSE)</f>
        <v>-0.97353464445577398</v>
      </c>
      <c r="AL1027" s="379">
        <f>+VLOOKUP($E1027,Macro!$1:$1048576,AL$2,FALSE)</f>
        <v>-1.0309719505787951</v>
      </c>
      <c r="AM1027" s="379">
        <f>+VLOOKUP($E1027,Macro!$1:$1048576,AM$2,FALSE)</f>
        <v>-1.088239396378099</v>
      </c>
      <c r="AN1027" s="379">
        <f>+VLOOKUP($E1027,Macro!$1:$1048576,AN$2,FALSE)</f>
        <v>-1.1450925035399937</v>
      </c>
      <c r="AO1027" s="379">
        <f>+VLOOKUP($E1027,Macro!$1:$1048576,AO$2,FALSE)</f>
        <v>-1.2013119585527143</v>
      </c>
    </row>
    <row r="1028" spans="1:41" ht="15" customHeight="1" x14ac:dyDescent="0.25">
      <c r="A1028" s="402"/>
      <c r="B1028" s="399"/>
      <c r="C1028" s="132" t="s">
        <v>284</v>
      </c>
      <c r="D1028" s="132"/>
      <c r="E1028" s="54" t="s">
        <v>285</v>
      </c>
      <c r="F1028" s="379">
        <f>+VLOOKUP($E1028,Macro!$1:$1048576,F$2,FALSE)</f>
        <v>0</v>
      </c>
      <c r="G1028" s="379">
        <f>+VLOOKUP($E1028,Macro!$1:$1048576,G$2,FALSE)</f>
        <v>-2.4781181835775712E-2</v>
      </c>
      <c r="H1028" s="379">
        <f>+VLOOKUP($E1028,Macro!$1:$1048576,H$2,FALSE)</f>
        <v>-5.6029557096481941E-2</v>
      </c>
      <c r="I1028" s="379">
        <f>+VLOOKUP($E1028,Macro!$1:$1048576,I$2,FALSE)</f>
        <v>-0.10247766491535693</v>
      </c>
      <c r="J1028" s="379">
        <f>+VLOOKUP($E1028,Macro!$1:$1048576,J$2,FALSE)</f>
        <v>-0.17025423004529694</v>
      </c>
      <c r="K1028" s="379">
        <f>+VLOOKUP($E1028,Macro!$1:$1048576,K$2,FALSE)</f>
        <v>-0.26509138828748613</v>
      </c>
      <c r="L1028" s="379">
        <f>+VLOOKUP($E1028,Macro!$1:$1048576,L$2,FALSE)</f>
        <v>-0.38307166566069473</v>
      </c>
      <c r="M1028" s="379">
        <f>+VLOOKUP($E1028,Macro!$1:$1048576,M$2,FALSE)</f>
        <v>-0.51876309848984947</v>
      </c>
      <c r="N1028" s="379">
        <f>+VLOOKUP($E1028,Macro!$1:$1048576,N$2,FALSE)</f>
        <v>-0.67357823048190824</v>
      </c>
      <c r="O1028" s="379">
        <f>+VLOOKUP($E1028,Macro!$1:$1048576,O$2,FALSE)</f>
        <v>-0.84745626304868482</v>
      </c>
      <c r="P1028" s="379">
        <f>+VLOOKUP($E1028,Macro!$1:$1048576,P$2,FALSE)</f>
        <v>-1.0411177389862858</v>
      </c>
      <c r="Q1028" s="379">
        <f>+VLOOKUP($E1028,Macro!$1:$1048576,Q$2,FALSE)</f>
        <v>-1.257087629631426</v>
      </c>
      <c r="R1028" s="379">
        <f>+VLOOKUP($E1028,Macro!$1:$1048576,R$2,FALSE)</f>
        <v>-1.4998753111518659</v>
      </c>
      <c r="S1028" s="379">
        <f>+VLOOKUP($E1028,Macro!$1:$1048576,S$2,FALSE)</f>
        <v>-1.7757328058433441</v>
      </c>
      <c r="T1028" s="379">
        <f>+VLOOKUP($E1028,Macro!$1:$1048576,T$2,FALSE)</f>
        <v>-2.0922606409437883</v>
      </c>
      <c r="U1028" s="379">
        <f>+VLOOKUP($E1028,Macro!$1:$1048576,U$2,FALSE)</f>
        <v>-2.4580049208919874</v>
      </c>
      <c r="V1028" s="379">
        <f>+VLOOKUP($E1028,Macro!$1:$1048576,V$2,FALSE)</f>
        <v>-2.8742686516648241</v>
      </c>
      <c r="W1028" s="379">
        <f>+VLOOKUP($E1028,Macro!$1:$1048576,W$2,FALSE)</f>
        <v>-3.3388587680099002</v>
      </c>
      <c r="X1028" s="379">
        <f>+VLOOKUP($E1028,Macro!$1:$1048576,X$2,FALSE)</f>
        <v>-3.8524406240867282</v>
      </c>
      <c r="Y1028" s="379">
        <f>+VLOOKUP($E1028,Macro!$1:$1048576,Y$2,FALSE)</f>
        <v>-4.4130114408714398</v>
      </c>
      <c r="Z1028" s="379">
        <f>+VLOOKUP($E1028,Macro!$1:$1048576,Z$2,FALSE)</f>
        <v>-5.0175449517385502</v>
      </c>
      <c r="AA1028" s="379">
        <f>+VLOOKUP($E1028,Macro!$1:$1048576,AA$2,FALSE)</f>
        <v>-5.6629382547704772</v>
      </c>
      <c r="AB1028" s="379">
        <f>+VLOOKUP($E1028,Macro!$1:$1048576,AB$2,FALSE)</f>
        <v>-6.3464113858284099</v>
      </c>
      <c r="AC1028" s="379">
        <f>+VLOOKUP($E1028,Macro!$1:$1048576,AC$2,FALSE)</f>
        <v>-7.0655892223692511</v>
      </c>
      <c r="AD1028" s="379">
        <f>+VLOOKUP($E1028,Macro!$1:$1048576,AD$2,FALSE)</f>
        <v>-7.8184326164721156</v>
      </c>
      <c r="AE1028" s="379">
        <f>+VLOOKUP($E1028,Macro!$1:$1048576,AE$2,FALSE)</f>
        <v>-8.6031178144692078</v>
      </c>
      <c r="AF1028" s="379">
        <f>+VLOOKUP($E1028,Macro!$1:$1048576,AF$2,FALSE)</f>
        <v>-9.4179148580542993</v>
      </c>
      <c r="AG1028" s="379">
        <f>+VLOOKUP($E1028,Macro!$1:$1048576,AG$2,FALSE)</f>
        <v>-10.261088508382322</v>
      </c>
      <c r="AH1028" s="379">
        <f>+VLOOKUP($E1028,Macro!$1:$1048576,AH$2,FALSE)</f>
        <v>-11.13082973748214</v>
      </c>
      <c r="AI1028" s="379">
        <f>+VLOOKUP($E1028,Macro!$1:$1048576,AI$2,FALSE)</f>
        <v>-12.025216430842335</v>
      </c>
      <c r="AJ1028" s="379">
        <f>+VLOOKUP($E1028,Macro!$1:$1048576,AJ$2,FALSE)</f>
        <v>-12.942201387785746</v>
      </c>
      <c r="AK1028" s="379">
        <f>+VLOOKUP($E1028,Macro!$1:$1048576,AK$2,FALSE)</f>
        <v>-13.879619184578196</v>
      </c>
      <c r="AL1028" s="379">
        <f>+VLOOKUP($E1028,Macro!$1:$1048576,AL$2,FALSE)</f>
        <v>-14.835207524829686</v>
      </c>
      <c r="AM1028" s="379">
        <f>+VLOOKUP($E1028,Macro!$1:$1048576,AM$2,FALSE)</f>
        <v>-15.806637041346594</v>
      </c>
      <c r="AN1028" s="379">
        <f>+VLOOKUP($E1028,Macro!$1:$1048576,AN$2,FALSE)</f>
        <v>-16.791544756511811</v>
      </c>
      <c r="AO1028" s="379">
        <f>+VLOOKUP($E1028,Macro!$1:$1048576,AO$2,FALSE)</f>
        <v>-17.787567570434614</v>
      </c>
    </row>
    <row r="1029" spans="1:41" ht="15" customHeight="1" x14ac:dyDescent="0.25">
      <c r="A1029" s="402"/>
      <c r="B1029" s="400" t="s">
        <v>2217</v>
      </c>
      <c r="C1029" s="176" t="s">
        <v>216</v>
      </c>
      <c r="D1029" s="137"/>
      <c r="E1029" s="62" t="s">
        <v>286</v>
      </c>
      <c r="F1029" s="363">
        <f>+VLOOKUP($E1029,Macro!$1:$1048576,F$2,FALSE)</f>
        <v>2196558.2549999999</v>
      </c>
      <c r="G1029" s="363">
        <f>+VLOOKUP($E1029,Macro!$1:$1048576,G$2,FALSE)</f>
        <v>2220477.8530000001</v>
      </c>
      <c r="H1029" s="363">
        <f>+VLOOKUP($E1029,Macro!$1:$1048576,H$2,FALSE)</f>
        <v>2244428.318</v>
      </c>
      <c r="I1029" s="363">
        <f>+VLOOKUP($E1029,Macro!$1:$1048576,I$2,FALSE)</f>
        <v>2268859.3190000001</v>
      </c>
      <c r="J1029" s="363">
        <f>+VLOOKUP($E1029,Macro!$1:$1048576,J$2,FALSE)</f>
        <v>2293922.091</v>
      </c>
      <c r="K1029" s="363">
        <f>+VLOOKUP($E1029,Macro!$1:$1048576,K$2,FALSE)</f>
        <v>2319659.227</v>
      </c>
      <c r="L1029" s="363">
        <f>+VLOOKUP($E1029,Macro!$1:$1048576,L$2,FALSE)</f>
        <v>2346041.2680000002</v>
      </c>
      <c r="M1029" s="363">
        <f>+VLOOKUP($E1029,Macro!$1:$1048576,M$2,FALSE)</f>
        <v>2372997.943</v>
      </c>
      <c r="N1029" s="363">
        <f>+VLOOKUP($E1029,Macro!$1:$1048576,N$2,FALSE)</f>
        <v>2400468.9720000001</v>
      </c>
      <c r="O1029" s="363">
        <f>+VLOOKUP($E1029,Macro!$1:$1048576,O$2,FALSE)</f>
        <v>2428410.9010000001</v>
      </c>
      <c r="P1029" s="363">
        <f>+VLOOKUP($E1029,Macro!$1:$1048576,P$2,FALSE)</f>
        <v>2456799.2459999998</v>
      </c>
      <c r="Q1029" s="363">
        <f>+VLOOKUP($E1029,Macro!$1:$1048576,Q$2,FALSE)</f>
        <v>2485625.122</v>
      </c>
      <c r="R1029" s="363">
        <f>+VLOOKUP($E1029,Macro!$1:$1048576,R$2,FALSE)</f>
        <v>2514889.835</v>
      </c>
      <c r="S1029" s="363">
        <f>+VLOOKUP($E1029,Macro!$1:$1048576,S$2,FALSE)</f>
        <v>2544599.7590000001</v>
      </c>
      <c r="T1029" s="363">
        <f>+VLOOKUP($E1029,Macro!$1:$1048576,T$2,FALSE)</f>
        <v>2574762.358</v>
      </c>
      <c r="U1029" s="363">
        <f>+VLOOKUP($E1029,Macro!$1:$1048576,U$2,FALSE)</f>
        <v>2605383.4500000002</v>
      </c>
      <c r="V1029" s="363">
        <f>+VLOOKUP($E1029,Macro!$1:$1048576,V$2,FALSE)</f>
        <v>2636437.818</v>
      </c>
      <c r="W1029" s="363">
        <f>+VLOOKUP($E1029,Macro!$1:$1048576,W$2,FALSE)</f>
        <v>2667873.15</v>
      </c>
      <c r="X1029" s="363">
        <f>+VLOOKUP($E1029,Macro!$1:$1048576,X$2,FALSE)</f>
        <v>2699647.7050000001</v>
      </c>
      <c r="Y1029" s="363">
        <f>+VLOOKUP($E1029,Macro!$1:$1048576,Y$2,FALSE)</f>
        <v>2731732.8360000001</v>
      </c>
      <c r="Z1029" s="363">
        <f>+VLOOKUP($E1029,Macro!$1:$1048576,Z$2,FALSE)</f>
        <v>2764113.8870000001</v>
      </c>
      <c r="AA1029" s="363">
        <f>+VLOOKUP($E1029,Macro!$1:$1048576,AA$2,FALSE)</f>
        <v>2796787.642</v>
      </c>
      <c r="AB1029" s="363">
        <f>+VLOOKUP($E1029,Macro!$1:$1048576,AB$2,FALSE)</f>
        <v>2829758.4010000001</v>
      </c>
      <c r="AC1029" s="363">
        <f>+VLOOKUP($E1029,Macro!$1:$1048576,AC$2,FALSE)</f>
        <v>2863034.3229999999</v>
      </c>
      <c r="AD1029" s="363">
        <f>+VLOOKUP($E1029,Macro!$1:$1048576,AD$2,FALSE)</f>
        <v>2896624.7119999998</v>
      </c>
      <c r="AE1029" s="363">
        <f>+VLOOKUP($E1029,Macro!$1:$1048576,AE$2,FALSE)</f>
        <v>2930538.301</v>
      </c>
      <c r="AF1029" s="363">
        <f>+VLOOKUP($E1029,Macro!$1:$1048576,AF$2,FALSE)</f>
        <v>2964782.3730000001</v>
      </c>
      <c r="AG1029" s="363">
        <f>+VLOOKUP($E1029,Macro!$1:$1048576,AG$2,FALSE)</f>
        <v>2999362.4589999998</v>
      </c>
      <c r="AH1029" s="363">
        <f>+VLOOKUP($E1029,Macro!$1:$1048576,AH$2,FALSE)</f>
        <v>3034282.4360000002</v>
      </c>
      <c r="AI1029" s="363">
        <f>+VLOOKUP($E1029,Macro!$1:$1048576,AI$2,FALSE)</f>
        <v>3069544.8429999999</v>
      </c>
      <c r="AJ1029" s="363">
        <f>+VLOOKUP($E1029,Macro!$1:$1048576,AJ$2,FALSE)</f>
        <v>3105151.2969999998</v>
      </c>
      <c r="AK1029" s="363">
        <f>+VLOOKUP($E1029,Macro!$1:$1048576,AK$2,FALSE)</f>
        <v>3141102.923</v>
      </c>
      <c r="AL1029" s="363">
        <f>+VLOOKUP($E1029,Macro!$1:$1048576,AL$2,FALSE)</f>
        <v>3177400.7540000002</v>
      </c>
      <c r="AM1029" s="363">
        <f>+VLOOKUP($E1029,Macro!$1:$1048576,AM$2,FALSE)</f>
        <v>3214046.0469999998</v>
      </c>
      <c r="AN1029" s="363">
        <f>+VLOOKUP($E1029,Macro!$1:$1048576,AN$2,FALSE)</f>
        <v>3251040.5219999999</v>
      </c>
      <c r="AO1029" s="363">
        <f>+VLOOKUP($E1029,Macro!$1:$1048576,AO$2,FALSE)</f>
        <v>3288386.514</v>
      </c>
    </row>
    <row r="1030" spans="1:41" ht="15" customHeight="1" x14ac:dyDescent="0.25">
      <c r="A1030" s="402"/>
      <c r="B1030" s="400"/>
      <c r="C1030" s="176" t="s">
        <v>287</v>
      </c>
      <c r="D1030" s="137"/>
      <c r="E1030" s="62" t="s">
        <v>288</v>
      </c>
      <c r="F1030" s="363">
        <f>+VLOOKUP($E1030,Macro!$1:$1048576,F$2,FALSE)</f>
        <v>0</v>
      </c>
      <c r="G1030" s="363">
        <f>+VLOOKUP($E1030,Macro!$1:$1048576,G$2,FALSE)</f>
        <v>0</v>
      </c>
      <c r="H1030" s="363">
        <f>+VLOOKUP($E1030,Macro!$1:$1048576,H$2,FALSE)</f>
        <v>0</v>
      </c>
      <c r="I1030" s="363">
        <f>+VLOOKUP($E1030,Macro!$1:$1048576,I$2,FALSE)</f>
        <v>0</v>
      </c>
      <c r="J1030" s="363">
        <f>+VLOOKUP($E1030,Macro!$1:$1048576,J$2,FALSE)</f>
        <v>0</v>
      </c>
      <c r="K1030" s="363">
        <f>+VLOOKUP($E1030,Macro!$1:$1048576,K$2,FALSE)</f>
        <v>0</v>
      </c>
      <c r="L1030" s="363">
        <f>+VLOOKUP($E1030,Macro!$1:$1048576,L$2,FALSE)</f>
        <v>0</v>
      </c>
      <c r="M1030" s="363">
        <f>+VLOOKUP($E1030,Macro!$1:$1048576,M$2,FALSE)</f>
        <v>4.2140801959078544E-8</v>
      </c>
      <c r="N1030" s="363">
        <f>+VLOOKUP($E1030,Macro!$1:$1048576,N$2,FALSE)</f>
        <v>4.1658543281641869E-8</v>
      </c>
      <c r="O1030" s="363">
        <f>+VLOOKUP($E1030,Macro!$1:$1048576,O$2,FALSE)</f>
        <v>8.2358386777059422E-8</v>
      </c>
      <c r="P1030" s="363">
        <f>+VLOOKUP($E1030,Macro!$1:$1048576,P$2,FALSE)</f>
        <v>8.1406748009271723E-8</v>
      </c>
      <c r="Q1030" s="363">
        <f>+VLOOKUP($E1030,Macro!$1:$1048576,Q$2,FALSE)</f>
        <v>8.0462658758051475E-8</v>
      </c>
      <c r="R1030" s="363">
        <f>+VLOOKUP($E1030,Macro!$1:$1048576,R$2,FALSE)</f>
        <v>0</v>
      </c>
      <c r="S1030" s="363">
        <f>+VLOOKUP($E1030,Macro!$1:$1048576,S$2,FALSE)</f>
        <v>0</v>
      </c>
      <c r="T1030" s="363">
        <f>+VLOOKUP($E1030,Macro!$1:$1048576,T$2,FALSE)</f>
        <v>0</v>
      </c>
      <c r="U1030" s="363">
        <f>+VLOOKUP($E1030,Macro!$1:$1048576,U$2,FALSE)</f>
        <v>0</v>
      </c>
      <c r="V1030" s="363">
        <f>+VLOOKUP($E1030,Macro!$1:$1048576,V$2,FALSE)</f>
        <v>0</v>
      </c>
      <c r="W1030" s="363">
        <f>+VLOOKUP($E1030,Macro!$1:$1048576,W$2,FALSE)</f>
        <v>0</v>
      </c>
      <c r="X1030" s="363">
        <f>+VLOOKUP($E1030,Macro!$1:$1048576,X$2,FALSE)</f>
        <v>0</v>
      </c>
      <c r="Y1030" s="363">
        <f>+VLOOKUP($E1030,Macro!$1:$1048576,Y$2,FALSE)</f>
        <v>0</v>
      </c>
      <c r="Z1030" s="363">
        <f>+VLOOKUP($E1030,Macro!$1:$1048576,Z$2,FALSE)</f>
        <v>0</v>
      </c>
      <c r="AA1030" s="363">
        <f>+VLOOKUP($E1030,Macro!$1:$1048576,AA$2,FALSE)</f>
        <v>0</v>
      </c>
      <c r="AB1030" s="363">
        <f>+VLOOKUP($E1030,Macro!$1:$1048576,AB$2,FALSE)</f>
        <v>0</v>
      </c>
      <c r="AC1030" s="363">
        <f>+VLOOKUP($E1030,Macro!$1:$1048576,AC$2,FALSE)</f>
        <v>0</v>
      </c>
      <c r="AD1030" s="363">
        <f>+VLOOKUP($E1030,Macro!$1:$1048576,AD$2,FALSE)</f>
        <v>0</v>
      </c>
      <c r="AE1030" s="363">
        <f>+VLOOKUP($E1030,Macro!$1:$1048576,AE$2,FALSE)</f>
        <v>0</v>
      </c>
      <c r="AF1030" s="363">
        <f>+VLOOKUP($E1030,Macro!$1:$1048576,AF$2,FALSE)</f>
        <v>0</v>
      </c>
      <c r="AG1030" s="363">
        <f>+VLOOKUP($E1030,Macro!$1:$1048576,AG$2,FALSE)</f>
        <v>0</v>
      </c>
      <c r="AH1030" s="363">
        <f>+VLOOKUP($E1030,Macro!$1:$1048576,AH$2,FALSE)</f>
        <v>0</v>
      </c>
      <c r="AI1030" s="363">
        <f>+VLOOKUP($E1030,Macro!$1:$1048576,AI$2,FALSE)</f>
        <v>0</v>
      </c>
      <c r="AJ1030" s="363">
        <f>+VLOOKUP($E1030,Macro!$1:$1048576,AJ$2,FALSE)</f>
        <v>-3.2204539035518565E-8</v>
      </c>
      <c r="AK1030" s="363">
        <f>+VLOOKUP($E1030,Macro!$1:$1048576,AK$2,FALSE)</f>
        <v>0</v>
      </c>
      <c r="AL1030" s="363">
        <f>+VLOOKUP($E1030,Macro!$1:$1048576,AL$2,FALSE)</f>
        <v>0</v>
      </c>
      <c r="AM1030" s="363">
        <f>+VLOOKUP($E1030,Macro!$1:$1048576,AM$2,FALSE)</f>
        <v>0</v>
      </c>
      <c r="AN1030" s="363">
        <f>+VLOOKUP($E1030,Macro!$1:$1048576,AN$2,FALSE)</f>
        <v>0</v>
      </c>
      <c r="AO1030" s="363">
        <f>+VLOOKUP($E1030,Macro!$1:$1048576,AO$2,FALSE)</f>
        <v>0</v>
      </c>
    </row>
    <row r="1031" spans="1:41" ht="15" customHeight="1" x14ac:dyDescent="0.25">
      <c r="A1031" s="402"/>
      <c r="B1031" s="400"/>
      <c r="C1031" s="176" t="s">
        <v>222</v>
      </c>
      <c r="D1031" s="137"/>
      <c r="E1031" s="62" t="s">
        <v>289</v>
      </c>
      <c r="F1031" s="363">
        <f>+VLOOKUP($E1031,Macro!$1:$1048576,F$2,FALSE)</f>
        <v>1177035.638</v>
      </c>
      <c r="G1031" s="363">
        <f>+VLOOKUP($E1031,Macro!$1:$1048576,G$2,FALSE)</f>
        <v>1214534.932</v>
      </c>
      <c r="H1031" s="363">
        <f>+VLOOKUP($E1031,Macro!$1:$1048576,H$2,FALSE)</f>
        <v>1253279.263</v>
      </c>
      <c r="I1031" s="363">
        <f>+VLOOKUP($E1031,Macro!$1:$1048576,I$2,FALSE)</f>
        <v>1293173.345</v>
      </c>
      <c r="J1031" s="363">
        <f>+VLOOKUP($E1031,Macro!$1:$1048576,J$2,FALSE)</f>
        <v>1334370.7620000001</v>
      </c>
      <c r="K1031" s="363">
        <f>+VLOOKUP($E1031,Macro!$1:$1048576,K$2,FALSE)</f>
        <v>1377026.09</v>
      </c>
      <c r="L1031" s="363">
        <f>+VLOOKUP($E1031,Macro!$1:$1048576,L$2,FALSE)</f>
        <v>1421236.797</v>
      </c>
      <c r="M1031" s="363">
        <f>+VLOOKUP($E1031,Macro!$1:$1048576,M$2,FALSE)</f>
        <v>1467025.175</v>
      </c>
      <c r="N1031" s="363">
        <f>+VLOOKUP($E1031,Macro!$1:$1048576,N$2,FALSE)</f>
        <v>1514454.409</v>
      </c>
      <c r="O1031" s="363">
        <f>+VLOOKUP($E1031,Macro!$1:$1048576,O$2,FALSE)</f>
        <v>1563632.442</v>
      </c>
      <c r="P1031" s="363">
        <f>+VLOOKUP($E1031,Macro!$1:$1048576,P$2,FALSE)</f>
        <v>1614642.8430000001</v>
      </c>
      <c r="Q1031" s="363">
        <f>+VLOOKUP($E1031,Macro!$1:$1048576,Q$2,FALSE)</f>
        <v>1667564.571</v>
      </c>
      <c r="R1031" s="363">
        <f>+VLOOKUP($E1031,Macro!$1:$1048576,R$2,FALSE)</f>
        <v>1722484.03</v>
      </c>
      <c r="S1031" s="363">
        <f>+VLOOKUP($E1031,Macro!$1:$1048576,S$2,FALSE)</f>
        <v>1779501.8289999999</v>
      </c>
      <c r="T1031" s="363">
        <f>+VLOOKUP($E1031,Macro!$1:$1048576,T$2,FALSE)</f>
        <v>1838736.3929999999</v>
      </c>
      <c r="U1031" s="363">
        <f>+VLOOKUP($E1031,Macro!$1:$1048576,U$2,FALSE)</f>
        <v>1900325.8589999999</v>
      </c>
      <c r="V1031" s="363">
        <f>+VLOOKUP($E1031,Macro!$1:$1048576,V$2,FALSE)</f>
        <v>1964379.3359999999</v>
      </c>
      <c r="W1031" s="363">
        <f>+VLOOKUP($E1031,Macro!$1:$1048576,W$2,FALSE)</f>
        <v>2030943.1029999999</v>
      </c>
      <c r="X1031" s="363">
        <f>+VLOOKUP($E1031,Macro!$1:$1048576,X$2,FALSE)</f>
        <v>2100095.068</v>
      </c>
      <c r="Y1031" s="363">
        <f>+VLOOKUP($E1031,Macro!$1:$1048576,Y$2,FALSE)</f>
        <v>2171952.2089999998</v>
      </c>
      <c r="Z1031" s="363">
        <f>+VLOOKUP($E1031,Macro!$1:$1048576,Z$2,FALSE)</f>
        <v>2246600.5279999999</v>
      </c>
      <c r="AA1031" s="363">
        <f>+VLOOKUP($E1031,Macro!$1:$1048576,AA$2,FALSE)</f>
        <v>2324108.3560000001</v>
      </c>
      <c r="AB1031" s="363">
        <f>+VLOOKUP($E1031,Macro!$1:$1048576,AB$2,FALSE)</f>
        <v>2404534.7629999998</v>
      </c>
      <c r="AC1031" s="363">
        <f>+VLOOKUP($E1031,Macro!$1:$1048576,AC$2,FALSE)</f>
        <v>2487934.2769999998</v>
      </c>
      <c r="AD1031" s="363">
        <f>+VLOOKUP($E1031,Macro!$1:$1048576,AD$2,FALSE)</f>
        <v>2574359.284</v>
      </c>
      <c r="AE1031" s="363">
        <f>+VLOOKUP($E1031,Macro!$1:$1048576,AE$2,FALSE)</f>
        <v>2663861.0869999998</v>
      </c>
      <c r="AF1031" s="363">
        <f>+VLOOKUP($E1031,Macro!$1:$1048576,AF$2,FALSE)</f>
        <v>2756490.287</v>
      </c>
      <c r="AG1031" s="363">
        <f>+VLOOKUP($E1031,Macro!$1:$1048576,AG$2,FALSE)</f>
        <v>2852296.8160000001</v>
      </c>
      <c r="AH1031" s="363">
        <f>+VLOOKUP($E1031,Macro!$1:$1048576,AH$2,FALSE)</f>
        <v>2951329.8339999998</v>
      </c>
      <c r="AI1031" s="363">
        <f>+VLOOKUP($E1031,Macro!$1:$1048576,AI$2,FALSE)</f>
        <v>3053637.5610000002</v>
      </c>
      <c r="AJ1031" s="363">
        <f>+VLOOKUP($E1031,Macro!$1:$1048576,AJ$2,FALSE)</f>
        <v>3159267.1129999999</v>
      </c>
      <c r="AK1031" s="363">
        <f>+VLOOKUP($E1031,Macro!$1:$1048576,AK$2,FALSE)</f>
        <v>3268264.3459999999</v>
      </c>
      <c r="AL1031" s="363">
        <f>+VLOOKUP($E1031,Macro!$1:$1048576,AL$2,FALSE)</f>
        <v>3380673.7340000002</v>
      </c>
      <c r="AM1031" s="363">
        <f>+VLOOKUP($E1031,Macro!$1:$1048576,AM$2,FALSE)</f>
        <v>3496538.2829999998</v>
      </c>
      <c r="AN1031" s="363">
        <f>+VLOOKUP($E1031,Macro!$1:$1048576,AN$2,FALSE)</f>
        <v>3615899.5049999999</v>
      </c>
      <c r="AO1031" s="363">
        <f>+VLOOKUP($E1031,Macro!$1:$1048576,AO$2,FALSE)</f>
        <v>3738797.452</v>
      </c>
    </row>
    <row r="1032" spans="1:41" ht="15" customHeight="1" x14ac:dyDescent="0.25">
      <c r="A1032" s="402"/>
      <c r="B1032" s="400"/>
      <c r="C1032" s="176" t="s">
        <v>290</v>
      </c>
      <c r="D1032" s="137"/>
      <c r="E1032" s="62" t="s">
        <v>291</v>
      </c>
      <c r="F1032" s="363">
        <f>+VLOOKUP($E1032,Macro!$1:$1048576,F$2,FALSE)</f>
        <v>1010297.115</v>
      </c>
      <c r="G1032" s="363">
        <f>+VLOOKUP($E1032,Macro!$1:$1048576,G$2,FALSE)</f>
        <v>1041943.361</v>
      </c>
      <c r="H1032" s="363">
        <f>+VLOOKUP($E1032,Macro!$1:$1048576,H$2,FALSE)</f>
        <v>1074276.0079999999</v>
      </c>
      <c r="I1032" s="363">
        <f>+VLOOKUP($E1032,Macro!$1:$1048576,I$2,FALSE)</f>
        <v>1107523.5660000001</v>
      </c>
      <c r="J1032" s="363">
        <f>+VLOOKUP($E1032,Macro!$1:$1048576,J$2,FALSE)</f>
        <v>1141909.8640000001</v>
      </c>
      <c r="K1032" s="363">
        <f>+VLOOKUP($E1032,Macro!$1:$1048576,K$2,FALSE)</f>
        <v>1177645.861</v>
      </c>
      <c r="L1032" s="363">
        <f>+VLOOKUP($E1032,Macro!$1:$1048576,L$2,FALSE)</f>
        <v>1214877.608</v>
      </c>
      <c r="M1032" s="363">
        <f>+VLOOKUP($E1032,Macro!$1:$1048576,M$2,FALSE)</f>
        <v>1253673.5190000001</v>
      </c>
      <c r="N1032" s="363">
        <f>+VLOOKUP($E1032,Macro!$1:$1048576,N$2,FALSE)</f>
        <v>1294079.348</v>
      </c>
      <c r="O1032" s="363">
        <f>+VLOOKUP($E1032,Macro!$1:$1048576,O$2,FALSE)</f>
        <v>1336142.6610000001</v>
      </c>
      <c r="P1032" s="363">
        <f>+VLOOKUP($E1032,Macro!$1:$1048576,P$2,FALSE)</f>
        <v>1379926.068</v>
      </c>
      <c r="Q1032" s="363">
        <f>+VLOOKUP($E1032,Macro!$1:$1048576,Q$2,FALSE)</f>
        <v>1425511.696</v>
      </c>
      <c r="R1032" s="363">
        <f>+VLOOKUP($E1032,Macro!$1:$1048576,R$2,FALSE)</f>
        <v>1473002.8</v>
      </c>
      <c r="S1032" s="363">
        <f>+VLOOKUP($E1032,Macro!$1:$1048576,S$2,FALSE)</f>
        <v>1522524.476</v>
      </c>
      <c r="T1032" s="363">
        <f>+VLOOKUP($E1032,Macro!$1:$1048576,T$2,FALSE)</f>
        <v>1574224.1329999999</v>
      </c>
      <c r="U1032" s="363">
        <f>+VLOOKUP($E1032,Macro!$1:$1048576,U$2,FALSE)</f>
        <v>1628272.048</v>
      </c>
      <c r="V1032" s="363">
        <f>+VLOOKUP($E1032,Macro!$1:$1048576,V$2,FALSE)</f>
        <v>1684807.415</v>
      </c>
      <c r="W1032" s="363">
        <f>+VLOOKUP($E1032,Macro!$1:$1048576,W$2,FALSE)</f>
        <v>1743910.3230000001</v>
      </c>
      <c r="X1032" s="363">
        <f>+VLOOKUP($E1032,Macro!$1:$1048576,X$2,FALSE)</f>
        <v>1805644.5689999999</v>
      </c>
      <c r="Y1032" s="363">
        <f>+VLOOKUP($E1032,Macro!$1:$1048576,Y$2,FALSE)</f>
        <v>1870072.9809999999</v>
      </c>
      <c r="Z1032" s="363">
        <f>+VLOOKUP($E1032,Macro!$1:$1048576,Z$2,FALSE)</f>
        <v>1937263.855</v>
      </c>
      <c r="AA1032" s="363">
        <f>+VLOOKUP($E1032,Macro!$1:$1048576,AA$2,FALSE)</f>
        <v>2007290.4609999999</v>
      </c>
      <c r="AB1032" s="363">
        <f>+VLOOKUP($E1032,Macro!$1:$1048576,AB$2,FALSE)</f>
        <v>2080228.8259999999</v>
      </c>
      <c r="AC1032" s="363">
        <f>+VLOOKUP($E1032,Macro!$1:$1048576,AC$2,FALSE)</f>
        <v>2156155.4449999998</v>
      </c>
      <c r="AD1032" s="363">
        <f>+VLOOKUP($E1032,Macro!$1:$1048576,AD$2,FALSE)</f>
        <v>2235145.3640000001</v>
      </c>
      <c r="AE1032" s="363">
        <f>+VLOOKUP($E1032,Macro!$1:$1048576,AE$2,FALSE)</f>
        <v>2317270.7790000001</v>
      </c>
      <c r="AF1032" s="363">
        <f>+VLOOKUP($E1032,Macro!$1:$1048576,AF$2,FALSE)</f>
        <v>2402600.1170000001</v>
      </c>
      <c r="AG1032" s="363">
        <f>+VLOOKUP($E1032,Macro!$1:$1048576,AG$2,FALSE)</f>
        <v>2491197.5580000002</v>
      </c>
      <c r="AH1032" s="363">
        <f>+VLOOKUP($E1032,Macro!$1:$1048576,AH$2,FALSE)</f>
        <v>2583122.9049999998</v>
      </c>
      <c r="AI1032" s="363">
        <f>+VLOOKUP($E1032,Macro!$1:$1048576,AI$2,FALSE)</f>
        <v>2678431.716</v>
      </c>
      <c r="AJ1032" s="363">
        <f>+VLOOKUP($E1032,Macro!$1:$1048576,AJ$2,FALSE)</f>
        <v>2777175.6189999999</v>
      </c>
      <c r="AK1032" s="363">
        <f>+VLOOKUP($E1032,Macro!$1:$1048576,AK$2,FALSE)</f>
        <v>2879402.7140000002</v>
      </c>
      <c r="AL1032" s="363">
        <f>+VLOOKUP($E1032,Macro!$1:$1048576,AL$2,FALSE)</f>
        <v>2985158.0180000002</v>
      </c>
      <c r="AM1032" s="363">
        <f>+VLOOKUP($E1032,Macro!$1:$1048576,AM$2,FALSE)</f>
        <v>3094483.8909999998</v>
      </c>
      <c r="AN1032" s="363">
        <f>+VLOOKUP($E1032,Macro!$1:$1048576,AN$2,FALSE)</f>
        <v>3207420.426</v>
      </c>
      <c r="AO1032" s="363">
        <f>+VLOOKUP($E1032,Macro!$1:$1048576,AO$2,FALSE)</f>
        <v>3324005.7940000002</v>
      </c>
    </row>
    <row r="1033" spans="1:41" ht="15" customHeight="1" x14ac:dyDescent="0.25">
      <c r="A1033" s="402"/>
      <c r="B1033" s="400"/>
      <c r="C1033" s="176" t="s">
        <v>292</v>
      </c>
      <c r="D1033" s="137"/>
      <c r="E1033" s="62" t="s">
        <v>293</v>
      </c>
      <c r="F1033" s="363">
        <f>+VLOOKUP($E1033,Macro!$1:$1048576,F$2,FALSE)</f>
        <v>-64761.454550000002</v>
      </c>
      <c r="G1033" s="363">
        <f>+VLOOKUP($E1033,Macro!$1:$1048576,G$2,FALSE)</f>
        <v>-67376.430789999999</v>
      </c>
      <c r="H1033" s="363">
        <f>+VLOOKUP($E1033,Macro!$1:$1048576,H$2,FALSE)</f>
        <v>-70419.293449999997</v>
      </c>
      <c r="I1033" s="363">
        <f>+VLOOKUP($E1033,Macro!$1:$1048576,I$2,FALSE)</f>
        <v>-73544.852880000006</v>
      </c>
      <c r="J1033" s="363">
        <f>+VLOOKUP($E1033,Macro!$1:$1048576,J$2,FALSE)</f>
        <v>-76678.728470000002</v>
      </c>
      <c r="K1033" s="363">
        <f>+VLOOKUP($E1033,Macro!$1:$1048576,K$2,FALSE)</f>
        <v>-79764.123389999993</v>
      </c>
      <c r="L1033" s="363">
        <f>+VLOOKUP($E1033,Macro!$1:$1048576,L$2,FALSE)</f>
        <v>-82754.876839999997</v>
      </c>
      <c r="M1033" s="363">
        <f>+VLOOKUP($E1033,Macro!$1:$1048576,M$2,FALSE)</f>
        <v>-85609.60007</v>
      </c>
      <c r="N1033" s="363">
        <f>+VLOOKUP($E1033,Macro!$1:$1048576,N$2,FALSE)</f>
        <v>-88352.524720000001</v>
      </c>
      <c r="O1033" s="363">
        <f>+VLOOKUP($E1033,Macro!$1:$1048576,O$2,FALSE)</f>
        <v>-91049.61911</v>
      </c>
      <c r="P1033" s="363">
        <f>+VLOOKUP($E1033,Macro!$1:$1048576,P$2,FALSE)</f>
        <v>-93724.132469999997</v>
      </c>
      <c r="Q1033" s="363">
        <f>+VLOOKUP($E1033,Macro!$1:$1048576,Q$2,FALSE)</f>
        <v>-96374.025370000003</v>
      </c>
      <c r="R1033" s="363">
        <f>+VLOOKUP($E1033,Macro!$1:$1048576,R$2,FALSE)</f>
        <v>-98983.678459999996</v>
      </c>
      <c r="S1033" s="363">
        <f>+VLOOKUP($E1033,Macro!$1:$1048576,S$2,FALSE)</f>
        <v>-101530.61870000001</v>
      </c>
      <c r="T1033" s="363">
        <f>+VLOOKUP($E1033,Macro!$1:$1048576,T$2,FALSE)</f>
        <v>-103988.9947</v>
      </c>
      <c r="U1033" s="363">
        <f>+VLOOKUP($E1033,Macro!$1:$1048576,U$2,FALSE)</f>
        <v>-106331.0959</v>
      </c>
      <c r="V1033" s="363">
        <f>+VLOOKUP($E1033,Macro!$1:$1048576,V$2,FALSE)</f>
        <v>-108532.6511</v>
      </c>
      <c r="W1033" s="363">
        <f>+VLOOKUP($E1033,Macro!$1:$1048576,W$2,FALSE)</f>
        <v>-110566.8777</v>
      </c>
      <c r="X1033" s="363">
        <f>+VLOOKUP($E1033,Macro!$1:$1048576,X$2,FALSE)</f>
        <v>-112456.253</v>
      </c>
      <c r="Y1033" s="363">
        <f>+VLOOKUP($E1033,Macro!$1:$1048576,Y$2,FALSE)</f>
        <v>-114262.1685</v>
      </c>
      <c r="Z1033" s="363">
        <f>+VLOOKUP($E1033,Macro!$1:$1048576,Z$2,FALSE)</f>
        <v>-116006.50509999999</v>
      </c>
      <c r="AA1033" s="363">
        <f>+VLOOKUP($E1033,Macro!$1:$1048576,AA$2,FALSE)</f>
        <v>-117687.4028</v>
      </c>
      <c r="AB1033" s="363">
        <f>+VLOOKUP($E1033,Macro!$1:$1048576,AB$2,FALSE)</f>
        <v>-119291.0732</v>
      </c>
      <c r="AC1033" s="363">
        <f>+VLOOKUP($E1033,Macro!$1:$1048576,AC$2,FALSE)</f>
        <v>-120799.4155</v>
      </c>
      <c r="AD1033" s="363">
        <f>+VLOOKUP($E1033,Macro!$1:$1048576,AD$2,FALSE)</f>
        <v>-122194.53230000001</v>
      </c>
      <c r="AE1033" s="363">
        <f>+VLOOKUP($E1033,Macro!$1:$1048576,AE$2,FALSE)</f>
        <v>-123461.1943</v>
      </c>
      <c r="AF1033" s="363">
        <f>+VLOOKUP($E1033,Macro!$1:$1048576,AF$2,FALSE)</f>
        <v>-124587.996</v>
      </c>
      <c r="AG1033" s="363">
        <f>+VLOOKUP($E1033,Macro!$1:$1048576,AG$2,FALSE)</f>
        <v>-125567.68399999999</v>
      </c>
      <c r="AH1033" s="363">
        <f>+VLOOKUP($E1033,Macro!$1:$1048576,AH$2,FALSE)</f>
        <v>-126396.97070000001</v>
      </c>
      <c r="AI1033" s="363">
        <f>+VLOOKUP($E1033,Macro!$1:$1048576,AI$2,FALSE)</f>
        <v>-127076.038</v>
      </c>
      <c r="AJ1033" s="363">
        <f>+VLOOKUP($E1033,Macro!$1:$1048576,AJ$2,FALSE)</f>
        <v>-127607.8855</v>
      </c>
      <c r="AK1033" s="363">
        <f>+VLOOKUP($E1033,Macro!$1:$1048576,AK$2,FALSE)</f>
        <v>-127997.6295</v>
      </c>
      <c r="AL1033" s="363">
        <f>+VLOOKUP($E1033,Macro!$1:$1048576,AL$2,FALSE)</f>
        <v>-128251.8318</v>
      </c>
      <c r="AM1033" s="363">
        <f>+VLOOKUP($E1033,Macro!$1:$1048576,AM$2,FALSE)</f>
        <v>-128377.9166</v>
      </c>
      <c r="AN1033" s="363">
        <f>+VLOOKUP($E1033,Macro!$1:$1048576,AN$2,FALSE)</f>
        <v>-128383.70729999999</v>
      </c>
      <c r="AO1033" s="363">
        <f>+VLOOKUP($E1033,Macro!$1:$1048576,AO$2,FALSE)</f>
        <v>-128277.10129999999</v>
      </c>
    </row>
    <row r="1034" spans="1:41" ht="15" customHeight="1" x14ac:dyDescent="0.25">
      <c r="A1034" s="402"/>
      <c r="B1034" s="400"/>
      <c r="C1034" s="176" t="s">
        <v>284</v>
      </c>
      <c r="D1034" s="137"/>
      <c r="E1034" s="62" t="s">
        <v>294</v>
      </c>
      <c r="F1034" s="363">
        <f>+VLOOKUP($E1034,Macro!$1:$1048576,F$2,FALSE)</f>
        <v>2104302.8080000002</v>
      </c>
      <c r="G1034" s="363">
        <f>+VLOOKUP($E1034,Macro!$1:$1048576,G$2,FALSE)</f>
        <v>2171679.2390000001</v>
      </c>
      <c r="H1034" s="363">
        <f>+VLOOKUP($E1034,Macro!$1:$1048576,H$2,FALSE)</f>
        <v>2242098.5320000001</v>
      </c>
      <c r="I1034" s="363">
        <f>+VLOOKUP($E1034,Macro!$1:$1048576,I$2,FALSE)</f>
        <v>2315643.3849999998</v>
      </c>
      <c r="J1034" s="363">
        <f>+VLOOKUP($E1034,Macro!$1:$1048576,J$2,FALSE)</f>
        <v>2392322.1140000001</v>
      </c>
      <c r="K1034" s="363">
        <f>+VLOOKUP($E1034,Macro!$1:$1048576,K$2,FALSE)</f>
        <v>2472086.2370000002</v>
      </c>
      <c r="L1034" s="363">
        <f>+VLOOKUP($E1034,Macro!$1:$1048576,L$2,FALSE)</f>
        <v>2554841.1140000001</v>
      </c>
      <c r="M1034" s="363">
        <f>+VLOOKUP($E1034,Macro!$1:$1048576,M$2,FALSE)</f>
        <v>2640450.7140000002</v>
      </c>
      <c r="N1034" s="363">
        <f>+VLOOKUP($E1034,Macro!$1:$1048576,N$2,FALSE)</f>
        <v>2728803.2390000001</v>
      </c>
      <c r="O1034" s="363">
        <f>+VLOOKUP($E1034,Macro!$1:$1048576,O$2,FALSE)</f>
        <v>2819852.858</v>
      </c>
      <c r="P1034" s="363">
        <f>+VLOOKUP($E1034,Macro!$1:$1048576,P$2,FALSE)</f>
        <v>2913576.99</v>
      </c>
      <c r="Q1034" s="363">
        <f>+VLOOKUP($E1034,Macro!$1:$1048576,Q$2,FALSE)</f>
        <v>3009951.0159999998</v>
      </c>
      <c r="R1034" s="363">
        <f>+VLOOKUP($E1034,Macro!$1:$1048576,R$2,FALSE)</f>
        <v>3108934.6940000001</v>
      </c>
      <c r="S1034" s="363">
        <f>+VLOOKUP($E1034,Macro!$1:$1048576,S$2,FALSE)</f>
        <v>3210465.3130000001</v>
      </c>
      <c r="T1034" s="363">
        <f>+VLOOKUP($E1034,Macro!$1:$1048576,T$2,FALSE)</f>
        <v>3314454.307</v>
      </c>
      <c r="U1034" s="363">
        <f>+VLOOKUP($E1034,Macro!$1:$1048576,U$2,FALSE)</f>
        <v>3420785.4029999999</v>
      </c>
      <c r="V1034" s="363">
        <f>+VLOOKUP($E1034,Macro!$1:$1048576,V$2,FALSE)</f>
        <v>3529318.054</v>
      </c>
      <c r="W1034" s="363">
        <f>+VLOOKUP($E1034,Macro!$1:$1048576,W$2,FALSE)</f>
        <v>3639884.932</v>
      </c>
      <c r="X1034" s="363">
        <f>+VLOOKUP($E1034,Macro!$1:$1048576,X$2,FALSE)</f>
        <v>3752341.1850000001</v>
      </c>
      <c r="Y1034" s="363">
        <f>+VLOOKUP($E1034,Macro!$1:$1048576,Y$2,FALSE)</f>
        <v>3866603.3539999998</v>
      </c>
      <c r="Z1034" s="363">
        <f>+VLOOKUP($E1034,Macro!$1:$1048576,Z$2,FALSE)</f>
        <v>3982609.8590000002</v>
      </c>
      <c r="AA1034" s="363">
        <f>+VLOOKUP($E1034,Macro!$1:$1048576,AA$2,FALSE)</f>
        <v>4100297.2609999999</v>
      </c>
      <c r="AB1034" s="363">
        <f>+VLOOKUP($E1034,Macro!$1:$1048576,AB$2,FALSE)</f>
        <v>4219588.335</v>
      </c>
      <c r="AC1034" s="363">
        <f>+VLOOKUP($E1034,Macro!$1:$1048576,AC$2,FALSE)</f>
        <v>4340387.75</v>
      </c>
      <c r="AD1034" s="363">
        <f>+VLOOKUP($E1034,Macro!$1:$1048576,AD$2,FALSE)</f>
        <v>4462582.2819999997</v>
      </c>
      <c r="AE1034" s="363">
        <f>+VLOOKUP($E1034,Macro!$1:$1048576,AE$2,FALSE)</f>
        <v>4586043.477</v>
      </c>
      <c r="AF1034" s="363">
        <f>+VLOOKUP($E1034,Macro!$1:$1048576,AF$2,FALSE)</f>
        <v>4710631.4730000002</v>
      </c>
      <c r="AG1034" s="363">
        <f>+VLOOKUP($E1034,Macro!$1:$1048576,AG$2,FALSE)</f>
        <v>4836199.1569999997</v>
      </c>
      <c r="AH1034" s="363">
        <f>+VLOOKUP($E1034,Macro!$1:$1048576,AH$2,FALSE)</f>
        <v>4962596.1270000003</v>
      </c>
      <c r="AI1034" s="363">
        <f>+VLOOKUP($E1034,Macro!$1:$1048576,AI$2,FALSE)</f>
        <v>5089672.165</v>
      </c>
      <c r="AJ1034" s="363">
        <f>+VLOOKUP($E1034,Macro!$1:$1048576,AJ$2,FALSE)</f>
        <v>5217280.051</v>
      </c>
      <c r="AK1034" s="363">
        <f>+VLOOKUP($E1034,Macro!$1:$1048576,AK$2,FALSE)</f>
        <v>5345277.68</v>
      </c>
      <c r="AL1034" s="363">
        <f>+VLOOKUP($E1034,Macro!$1:$1048576,AL$2,FALSE)</f>
        <v>5473529.5120000001</v>
      </c>
      <c r="AM1034" s="363">
        <f>+VLOOKUP($E1034,Macro!$1:$1048576,AM$2,FALSE)</f>
        <v>5601907.4289999995</v>
      </c>
      <c r="AN1034" s="363">
        <f>+VLOOKUP($E1034,Macro!$1:$1048576,AN$2,FALSE)</f>
        <v>5730291.1359999999</v>
      </c>
      <c r="AO1034" s="363">
        <f>+VLOOKUP($E1034,Macro!$1:$1048576,AO$2,FALSE)</f>
        <v>5858568.2369999997</v>
      </c>
    </row>
    <row r="1035" spans="1:41" ht="15" customHeight="1" x14ac:dyDescent="0.25">
      <c r="A1035" s="402"/>
      <c r="B1035" s="407" t="s">
        <v>2218</v>
      </c>
      <c r="C1035" s="177"/>
      <c r="D1035" s="138"/>
      <c r="E1035" s="63" t="s">
        <v>295</v>
      </c>
      <c r="F1035" s="317">
        <f>+VLOOKUP($E1035,Macro!$1:$1048576,F$2,FALSE)</f>
        <v>1</v>
      </c>
      <c r="G1035" s="317">
        <f>+VLOOKUP($E1035,Macro!$1:$1048576,G$2,FALSE)</f>
        <v>1.020262274</v>
      </c>
      <c r="H1035" s="317">
        <f>+VLOOKUP($E1035,Macro!$1:$1048576,H$2,FALSE)</f>
        <v>1.040844447</v>
      </c>
      <c r="I1035" s="317">
        <f>+VLOOKUP($E1035,Macro!$1:$1048576,I$2,FALSE)</f>
        <v>1.061844585</v>
      </c>
      <c r="J1035" s="317">
        <f>+VLOOKUP($E1035,Macro!$1:$1048576,J$2,FALSE)</f>
        <v>1.0833819899999999</v>
      </c>
      <c r="K1035" s="317">
        <f>+VLOOKUP($E1035,Macro!$1:$1048576,K$2,FALSE)</f>
        <v>1.105579463</v>
      </c>
      <c r="L1035" s="317">
        <f>+VLOOKUP($E1035,Macro!$1:$1048576,L$2,FALSE)</f>
        <v>1.1283896259999999</v>
      </c>
      <c r="M1035" s="317">
        <f>+VLOOKUP($E1035,Macro!$1:$1048576,M$2,FALSE)</f>
        <v>1.151736039</v>
      </c>
      <c r="N1035" s="317">
        <f>+VLOOKUP($E1035,Macro!$1:$1048576,N$2,FALSE)</f>
        <v>1.1756835800000001</v>
      </c>
      <c r="O1035" s="317">
        <f>+VLOOKUP($E1035,Macro!$1:$1048576,O$2,FALSE)</f>
        <v>1.2002924109999999</v>
      </c>
      <c r="P1035" s="317">
        <f>+VLOOKUP($E1035,Macro!$1:$1048576,P$2,FALSE)</f>
        <v>1.2256235900000001</v>
      </c>
      <c r="Q1035" s="317">
        <f>+VLOOKUP($E1035,Macro!$1:$1048576,Q$2,FALSE)</f>
        <v>1.251744065</v>
      </c>
      <c r="R1035" s="317">
        <f>+VLOOKUP($E1035,Macro!$1:$1048576,R$2,FALSE)</f>
        <v>1.2787298949999999</v>
      </c>
      <c r="S1035" s="317">
        <f>+VLOOKUP($E1035,Macro!$1:$1048576,S$2,FALSE)</f>
        <v>1.3066679969999999</v>
      </c>
      <c r="T1035" s="317">
        <f>+VLOOKUP($E1035,Macro!$1:$1048576,T$2,FALSE)</f>
        <v>1.335656937</v>
      </c>
      <c r="U1035" s="317">
        <f>+VLOOKUP($E1035,Macro!$1:$1048576,U$2,FALSE)</f>
        <v>1.3658072000000001</v>
      </c>
      <c r="V1035" s="317">
        <f>+VLOOKUP($E1035,Macro!$1:$1048576,V$2,FALSE)</f>
        <v>1.3970905739999999</v>
      </c>
      <c r="W1035" s="317">
        <f>+VLOOKUP($E1035,Macro!$1:$1048576,W$2,FALSE)</f>
        <v>1.429431302</v>
      </c>
      <c r="X1035" s="317">
        <f>+VLOOKUP($E1035,Macro!$1:$1048576,X$2,FALSE)</f>
        <v>1.462861848</v>
      </c>
      <c r="Y1035" s="317">
        <f>+VLOOKUP($E1035,Macro!$1:$1048576,Y$2,FALSE)</f>
        <v>1.497402849</v>
      </c>
      <c r="Z1035" s="317">
        <f>+VLOOKUP($E1035,Macro!$1:$1048576,Z$2,FALSE)</f>
        <v>1.5330654889999999</v>
      </c>
      <c r="AA1035" s="317">
        <f>+VLOOKUP($E1035,Macro!$1:$1048576,AA$2,FALSE)</f>
        <v>1.569854453</v>
      </c>
      <c r="AB1035" s="317">
        <f>+VLOOKUP($E1035,Macro!$1:$1048576,AB$2,FALSE)</f>
        <v>1.607770157</v>
      </c>
      <c r="AC1035" s="317">
        <f>+VLOOKUP($E1035,Macro!$1:$1048576,AC$2,FALSE)</f>
        <v>1.646810119</v>
      </c>
      <c r="AD1035" s="317">
        <f>+VLOOKUP($E1035,Macro!$1:$1048576,AD$2,FALSE)</f>
        <v>1.6869696810000001</v>
      </c>
      <c r="AE1035" s="317">
        <f>+VLOOKUP($E1035,Macro!$1:$1048576,AE$2,FALSE)</f>
        <v>1.728242338</v>
      </c>
      <c r="AF1035" s="317">
        <f>+VLOOKUP($E1035,Macro!$1:$1048576,AF$2,FALSE)</f>
        <v>1.770619827</v>
      </c>
      <c r="AG1035" s="317">
        <f>+VLOOKUP($E1035,Macro!$1:$1048576,AG$2,FALSE)</f>
        <v>1.814092109</v>
      </c>
      <c r="AH1035" s="317">
        <f>+VLOOKUP($E1035,Macro!$1:$1048576,AH$2,FALSE)</f>
        <v>1.8586473020000001</v>
      </c>
      <c r="AI1035" s="317">
        <f>+VLOOKUP($E1035,Macro!$1:$1048576,AI$2,FALSE)</f>
        <v>1.9042715969999999</v>
      </c>
      <c r="AJ1035" s="317">
        <f>+VLOOKUP($E1035,Macro!$1:$1048576,AJ$2,FALSE)</f>
        <v>1.950949193</v>
      </c>
      <c r="AK1035" s="317">
        <f>+VLOOKUP($E1035,Macro!$1:$1048576,AK$2,FALSE)</f>
        <v>1.998662253</v>
      </c>
      <c r="AL1035" s="317">
        <f>+VLOOKUP($E1035,Macro!$1:$1048576,AL$2,FALSE)</f>
        <v>2.0473908989999998</v>
      </c>
      <c r="AM1035" s="317">
        <f>+VLOOKUP($E1035,Macro!$1:$1048576,AM$2,FALSE)</f>
        <v>2.0971132539999999</v>
      </c>
      <c r="AN1035" s="317">
        <f>+VLOOKUP($E1035,Macro!$1:$1048576,AN$2,FALSE)</f>
        <v>2.1478055349999998</v>
      </c>
      <c r="AO1035" s="317">
        <f>+VLOOKUP($E1035,Macro!$1:$1048576,AO$2,FALSE)</f>
        <v>2.1994422170000001</v>
      </c>
    </row>
    <row r="1036" spans="1:41" ht="15" customHeight="1" x14ac:dyDescent="0.25">
      <c r="A1036" s="402"/>
      <c r="B1036" s="408"/>
      <c r="C1036" s="177"/>
      <c r="D1036" s="138"/>
      <c r="E1036" s="63" t="s">
        <v>296</v>
      </c>
      <c r="F1036" s="317">
        <f>+VLOOKUP($E1036,Macro!$1:$1048576,F$2,FALSE)</f>
        <v>1</v>
      </c>
      <c r="G1036" s="317">
        <f>+VLOOKUP($E1036,Macro!$1:$1048576,G$2,FALSE)</f>
        <v>1.0201265930000001</v>
      </c>
      <c r="H1036" s="317">
        <f>+VLOOKUP($E1036,Macro!$1:$1048576,H$2,FALSE)</f>
        <v>1.0405606089999999</v>
      </c>
      <c r="I1036" s="317">
        <f>+VLOOKUP($E1036,Macro!$1:$1048576,I$2,FALSE)</f>
        <v>1.0613710709999999</v>
      </c>
      <c r="J1036" s="317">
        <f>+VLOOKUP($E1036,Macro!$1:$1048576,J$2,FALSE)</f>
        <v>1.0826636190000001</v>
      </c>
      <c r="K1036" s="317">
        <f>+VLOOKUP($E1036,Macro!$1:$1048576,K$2,FALSE)</f>
        <v>1.1045591610000001</v>
      </c>
      <c r="L1036" s="317">
        <f>+VLOOKUP($E1036,Macro!$1:$1048576,L$2,FALSE)</f>
        <v>1.127076618</v>
      </c>
      <c r="M1036" s="317">
        <f>+VLOOKUP($E1036,Macro!$1:$1048576,M$2,FALSE)</f>
        <v>1.1502039399999999</v>
      </c>
      <c r="N1036" s="317">
        <f>+VLOOKUP($E1036,Macro!$1:$1048576,N$2,FALSE)</f>
        <v>1.1740000960000001</v>
      </c>
      <c r="O1036" s="317">
        <f>+VLOOKUP($E1036,Macro!$1:$1048576,O$2,FALSE)</f>
        <v>1.198513867</v>
      </c>
      <c r="P1036" s="317">
        <f>+VLOOKUP($E1036,Macro!$1:$1048576,P$2,FALSE)</f>
        <v>1.2237918569999999</v>
      </c>
      <c r="Q1036" s="317">
        <f>+VLOOKUP($E1036,Macro!$1:$1048576,Q$2,FALSE)</f>
        <v>1.24988626</v>
      </c>
      <c r="R1036" s="317">
        <f>+VLOOKUP($E1036,Macro!$1:$1048576,R$2,FALSE)</f>
        <v>1.2768601959999999</v>
      </c>
      <c r="S1036" s="317">
        <f>+VLOOKUP($E1036,Macro!$1:$1048576,S$2,FALSE)</f>
        <v>1.304790796</v>
      </c>
      <c r="T1036" s="317">
        <f>+VLOOKUP($E1036,Macro!$1:$1048576,T$2,FALSE)</f>
        <v>1.333770718</v>
      </c>
      <c r="U1036" s="317">
        <f>+VLOOKUP($E1036,Macro!$1:$1048576,U$2,FALSE)</f>
        <v>1.363908739</v>
      </c>
      <c r="V1036" s="317">
        <f>+VLOOKUP($E1036,Macro!$1:$1048576,V$2,FALSE)</f>
        <v>1.395232539</v>
      </c>
      <c r="W1036" s="317">
        <f>+VLOOKUP($E1036,Macro!$1:$1048576,W$2,FALSE)</f>
        <v>1.4277310249999999</v>
      </c>
      <c r="X1036" s="317">
        <f>+VLOOKUP($E1036,Macro!$1:$1048576,X$2,FALSE)</f>
        <v>1.4614450919999999</v>
      </c>
      <c r="Y1036" s="317">
        <f>+VLOOKUP($E1036,Macro!$1:$1048576,Y$2,FALSE)</f>
        <v>1.496399145</v>
      </c>
      <c r="Z1036" s="317">
        <f>+VLOOKUP($E1036,Macro!$1:$1048576,Z$2,FALSE)</f>
        <v>1.5326048480000001</v>
      </c>
      <c r="AA1036" s="317">
        <f>+VLOOKUP($E1036,Macro!$1:$1048576,AA$2,FALSE)</f>
        <v>1.5700656289999999</v>
      </c>
      <c r="AB1036" s="317">
        <f>+VLOOKUP($E1036,Macro!$1:$1048576,AB$2,FALSE)</f>
        <v>1.608779993</v>
      </c>
      <c r="AC1036" s="317">
        <f>+VLOOKUP($E1036,Macro!$1:$1048576,AC$2,FALSE)</f>
        <v>1.6487434649999999</v>
      </c>
      <c r="AD1036" s="317">
        <f>+VLOOKUP($E1036,Macro!$1:$1048576,AD$2,FALSE)</f>
        <v>1.6899495360000001</v>
      </c>
      <c r="AE1036" s="317">
        <f>+VLOOKUP($E1036,Macro!$1:$1048576,AE$2,FALSE)</f>
        <v>1.7323899810000001</v>
      </c>
      <c r="AF1036" s="317">
        <f>+VLOOKUP($E1036,Macro!$1:$1048576,AF$2,FALSE)</f>
        <v>1.7760548540000001</v>
      </c>
      <c r="AG1036" s="317">
        <f>+VLOOKUP($E1036,Macro!$1:$1048576,AG$2,FALSE)</f>
        <v>1.8209323470000001</v>
      </c>
      <c r="AH1036" s="317">
        <f>+VLOOKUP($E1036,Macro!$1:$1048576,AH$2,FALSE)</f>
        <v>1.8670086020000001</v>
      </c>
      <c r="AI1036" s="317">
        <f>+VLOOKUP($E1036,Macro!$1:$1048576,AI$2,FALSE)</f>
        <v>1.9142675469999999</v>
      </c>
      <c r="AJ1036" s="317">
        <f>+VLOOKUP($E1036,Macro!$1:$1048576,AJ$2,FALSE)</f>
        <v>1.9626907739999999</v>
      </c>
      <c r="AK1036" s="317">
        <f>+VLOOKUP($E1036,Macro!$1:$1048576,AK$2,FALSE)</f>
        <v>2.0122574659999999</v>
      </c>
      <c r="AL1036" s="317">
        <f>+VLOOKUP($E1036,Macro!$1:$1048576,AL$2,FALSE)</f>
        <v>2.0629443790000002</v>
      </c>
      <c r="AM1036" s="317">
        <f>+VLOOKUP($E1036,Macro!$1:$1048576,AM$2,FALSE)</f>
        <v>2.1147258839999998</v>
      </c>
      <c r="AN1036" s="317">
        <f>+VLOOKUP($E1036,Macro!$1:$1048576,AN$2,FALSE)</f>
        <v>2.1675740530000001</v>
      </c>
      <c r="AO1036" s="317">
        <f>+VLOOKUP($E1036,Macro!$1:$1048576,AO$2,FALSE)</f>
        <v>2.2214588229999999</v>
      </c>
    </row>
    <row r="1037" spans="1:41" ht="15" customHeight="1" x14ac:dyDescent="0.3">
      <c r="A1037" s="402"/>
      <c r="B1037" s="64" t="s">
        <v>297</v>
      </c>
      <c r="C1037" s="178" t="s">
        <v>298</v>
      </c>
      <c r="D1037" s="139"/>
      <c r="E1037" s="65" t="s">
        <v>299</v>
      </c>
      <c r="F1037" s="65">
        <f>+VLOOKUP($E1037,Macro!$1:$1048576,F$2,FALSE)</f>
        <v>66422.5</v>
      </c>
      <c r="G1037" s="65">
        <f>+VLOOKUP($E1037,Macro!$1:$1048576,G$2,FALSE)</f>
        <v>66588.556249999994</v>
      </c>
      <c r="H1037" s="65">
        <f>+VLOOKUP($E1037,Macro!$1:$1048576,H$2,FALSE)</f>
        <v>66755.02764062499</v>
      </c>
      <c r="I1037" s="65">
        <f>+VLOOKUP($E1037,Macro!$1:$1048576,I$2,FALSE)</f>
        <v>66921.915209726547</v>
      </c>
      <c r="J1037" s="65">
        <f>+VLOOKUP($E1037,Macro!$1:$1048576,J$2,FALSE)</f>
        <v>67089.219997750872</v>
      </c>
      <c r="K1037" s="65">
        <f>+VLOOKUP($E1037,Macro!$1:$1048576,K$2,FALSE)</f>
        <v>67256.943047745241</v>
      </c>
      <c r="L1037" s="65">
        <f>+VLOOKUP($E1037,Macro!$1:$1048576,L$2,FALSE)</f>
        <v>67425.085405364589</v>
      </c>
      <c r="M1037" s="65">
        <f>+VLOOKUP($E1037,Macro!$1:$1048576,M$2,FALSE)</f>
        <v>67593.648118878002</v>
      </c>
      <c r="N1037" s="65">
        <f>+VLOOKUP($E1037,Macro!$1:$1048576,N$2,FALSE)</f>
        <v>67762.632239175204</v>
      </c>
      <c r="O1037" s="65">
        <f>+VLOOKUP($E1037,Macro!$1:$1048576,O$2,FALSE)</f>
        <v>67932.038819773137</v>
      </c>
      <c r="P1037" s="65">
        <f>+VLOOKUP($E1037,Macro!$1:$1048576,P$2,FALSE)</f>
        <v>68101.868916822568</v>
      </c>
      <c r="Q1037" s="65">
        <f>+VLOOKUP($E1037,Macro!$1:$1048576,Q$2,FALSE)</f>
        <v>68272.123589114606</v>
      </c>
      <c r="R1037" s="65">
        <f>+VLOOKUP($E1037,Macro!$1:$1048576,R$2,FALSE)</f>
        <v>68442.803898087397</v>
      </c>
      <c r="S1037" s="65">
        <f>+VLOOKUP($E1037,Macro!$1:$1048576,S$2,FALSE)</f>
        <v>68613.910907832615</v>
      </c>
      <c r="T1037" s="65">
        <f>+VLOOKUP($E1037,Macro!$1:$1048576,T$2,FALSE)</f>
        <v>68785.445685102182</v>
      </c>
      <c r="U1037" s="65">
        <f>+VLOOKUP($E1037,Macro!$1:$1048576,U$2,FALSE)</f>
        <v>68957.409299314939</v>
      </c>
      <c r="V1037" s="65">
        <f>+VLOOKUP($E1037,Macro!$1:$1048576,V$2,FALSE)</f>
        <v>69129.802822563215</v>
      </c>
      <c r="W1037" s="65">
        <f>+VLOOKUP($E1037,Macro!$1:$1048576,W$2,FALSE)</f>
        <v>69302.62732961963</v>
      </c>
      <c r="X1037" s="65">
        <f>+VLOOKUP($E1037,Macro!$1:$1048576,X$2,FALSE)</f>
        <v>69475.88389794367</v>
      </c>
      <c r="Y1037" s="65">
        <f>+VLOOKUP($E1037,Macro!$1:$1048576,Y$2,FALSE)</f>
        <v>69649.573607688537</v>
      </c>
      <c r="Z1037" s="65">
        <f>+VLOOKUP($E1037,Macro!$1:$1048576,Z$2,FALSE)</f>
        <v>69823.697541707748</v>
      </c>
      <c r="AA1037" s="65">
        <f>+VLOOKUP($E1037,Macro!$1:$1048576,AA$2,FALSE)</f>
        <v>69998.256785562015</v>
      </c>
      <c r="AB1037" s="65">
        <f>+VLOOKUP($E1037,Macro!$1:$1048576,AB$2,FALSE)</f>
        <v>70173.252427525906</v>
      </c>
      <c r="AC1037" s="65">
        <f>+VLOOKUP($E1037,Macro!$1:$1048576,AC$2,FALSE)</f>
        <v>70348.685558594734</v>
      </c>
      <c r="AD1037" s="65">
        <f>+VLOOKUP($E1037,Macro!$1:$1048576,AD$2,FALSE)</f>
        <v>70524.55727249122</v>
      </c>
      <c r="AE1037" s="65">
        <f>+VLOOKUP($E1037,Macro!$1:$1048576,AE$2,FALSE)</f>
        <v>70700.868665672431</v>
      </c>
      <c r="AF1037" s="65">
        <f>+VLOOKUP($E1037,Macro!$1:$1048576,AF$2,FALSE)</f>
        <v>70877.62083733661</v>
      </c>
      <c r="AG1037" s="65">
        <f>+VLOOKUP($E1037,Macro!$1:$1048576,AG$2,FALSE)</f>
        <v>71054.814889429937</v>
      </c>
      <c r="AH1037" s="65">
        <f>+VLOOKUP($E1037,Macro!$1:$1048576,AH$2,FALSE)</f>
        <v>71232.451926653521</v>
      </c>
      <c r="AI1037" s="65">
        <f>+VLOOKUP($E1037,Macro!$1:$1048576,AI$2,FALSE)</f>
        <v>71410.533056470143</v>
      </c>
      <c r="AJ1037" s="65">
        <f>+VLOOKUP($E1037,Macro!$1:$1048576,AJ$2,FALSE)</f>
        <v>71589.059389111309</v>
      </c>
      <c r="AK1037" s="65">
        <f>+VLOOKUP($E1037,Macro!$1:$1048576,AK$2,FALSE)</f>
        <v>71768.032037584097</v>
      </c>
      <c r="AL1037" s="65">
        <f>+VLOOKUP($E1037,Macro!$1:$1048576,AL$2,FALSE)</f>
        <v>71947.452117678054</v>
      </c>
      <c r="AM1037" s="65">
        <f>+VLOOKUP($E1037,Macro!$1:$1048576,AM$2,FALSE)</f>
        <v>72127.320747972233</v>
      </c>
      <c r="AN1037" s="65">
        <f>+VLOOKUP($E1037,Macro!$1:$1048576,AN$2,FALSE)</f>
        <v>72307.639049842168</v>
      </c>
      <c r="AO1037" s="65">
        <f>+VLOOKUP($E1037,Macro!$1:$1048576,AO$2,FALSE)</f>
        <v>72488.408147466776</v>
      </c>
    </row>
    <row r="1038" spans="1:41" ht="15" customHeight="1" x14ac:dyDescent="0.25">
      <c r="A1038" s="402"/>
      <c r="B1038" s="409" t="s">
        <v>166</v>
      </c>
      <c r="C1038" s="179" t="s">
        <v>300</v>
      </c>
      <c r="D1038" s="140"/>
      <c r="E1038" s="66" t="s">
        <v>301</v>
      </c>
    </row>
    <row r="1039" spans="1:41" ht="15" customHeight="1" x14ac:dyDescent="0.25">
      <c r="A1039" s="402"/>
      <c r="B1039" s="409"/>
      <c r="C1039" s="180" t="s">
        <v>302</v>
      </c>
      <c r="D1039" s="140"/>
      <c r="E1039" s="66" t="s">
        <v>303</v>
      </c>
    </row>
    <row r="1040" spans="1:41" ht="15" customHeight="1" x14ac:dyDescent="0.25">
      <c r="A1040" s="402"/>
      <c r="B1040" s="409"/>
      <c r="C1040" s="180" t="s">
        <v>304</v>
      </c>
      <c r="D1040" s="140"/>
      <c r="E1040" s="67" t="s">
        <v>305</v>
      </c>
    </row>
    <row r="1041" spans="1:41" ht="15" customHeight="1" x14ac:dyDescent="0.25">
      <c r="A1041" s="402"/>
      <c r="B1041" s="409"/>
      <c r="C1041" s="180" t="s">
        <v>306</v>
      </c>
      <c r="D1041" s="140"/>
      <c r="E1041" s="66" t="s">
        <v>307</v>
      </c>
    </row>
    <row r="1042" spans="1:41" ht="15" customHeight="1" x14ac:dyDescent="0.25">
      <c r="A1042" s="402"/>
      <c r="B1042" s="409"/>
      <c r="C1042" s="180" t="s">
        <v>308</v>
      </c>
      <c r="D1042" s="140"/>
      <c r="E1042" s="68" t="s">
        <v>309</v>
      </c>
    </row>
    <row r="1043" spans="1:41" ht="15" customHeight="1" x14ac:dyDescent="0.25">
      <c r="A1043" s="402"/>
      <c r="B1043" s="409"/>
      <c r="C1043" s="180" t="s">
        <v>310</v>
      </c>
      <c r="D1043" s="140"/>
      <c r="E1043" s="69" t="s">
        <v>311</v>
      </c>
    </row>
    <row r="1044" spans="1:41" ht="15" customHeight="1" x14ac:dyDescent="0.25">
      <c r="A1044" s="402"/>
      <c r="B1044" s="409"/>
      <c r="C1044" s="180" t="s">
        <v>312</v>
      </c>
      <c r="D1044" s="140"/>
      <c r="E1044" s="69" t="s">
        <v>313</v>
      </c>
    </row>
    <row r="1045" spans="1:41" ht="15" customHeight="1" x14ac:dyDescent="0.25">
      <c r="A1045" s="402"/>
      <c r="B1045" s="409"/>
      <c r="C1045" s="180" t="s">
        <v>314</v>
      </c>
      <c r="D1045" s="140"/>
      <c r="E1045" s="68" t="s">
        <v>315</v>
      </c>
    </row>
    <row r="1046" spans="1:41" ht="15" customHeight="1" x14ac:dyDescent="0.25">
      <c r="A1046" s="402"/>
      <c r="B1046" s="409"/>
      <c r="C1046" s="180" t="s">
        <v>316</v>
      </c>
      <c r="D1046" s="140"/>
      <c r="E1046" s="68" t="s">
        <v>317</v>
      </c>
    </row>
    <row r="1047" spans="1:41" ht="15" customHeight="1" x14ac:dyDescent="0.25">
      <c r="A1047" s="402"/>
      <c r="B1047" s="409"/>
      <c r="C1047" s="180" t="s">
        <v>318</v>
      </c>
      <c r="D1047" s="140"/>
      <c r="E1047" s="69" t="s">
        <v>319</v>
      </c>
    </row>
    <row r="1048" spans="1:41" ht="15" customHeight="1" x14ac:dyDescent="0.25">
      <c r="A1048" s="402"/>
      <c r="B1048" s="409"/>
      <c r="C1048" s="179" t="s">
        <v>320</v>
      </c>
      <c r="D1048" s="141" t="s">
        <v>321</v>
      </c>
      <c r="E1048" s="68" t="s">
        <v>322</v>
      </c>
    </row>
    <row r="1049" spans="1:41" ht="15" customHeight="1" x14ac:dyDescent="0.25">
      <c r="A1049" s="402"/>
      <c r="B1049" s="409"/>
      <c r="C1049" s="180" t="s">
        <v>323</v>
      </c>
      <c r="D1049" s="140"/>
      <c r="E1049" s="66" t="s">
        <v>324</v>
      </c>
    </row>
    <row r="1050" spans="1:41" ht="15" customHeight="1" x14ac:dyDescent="0.25">
      <c r="A1050" s="402"/>
      <c r="B1050" s="409"/>
      <c r="C1050" s="180" t="s">
        <v>325</v>
      </c>
      <c r="D1050" s="140"/>
      <c r="E1050" s="66" t="s">
        <v>326</v>
      </c>
    </row>
    <row r="1051" spans="1:41" ht="15" customHeight="1" x14ac:dyDescent="0.25">
      <c r="A1051" s="402"/>
      <c r="B1051" s="409"/>
      <c r="C1051" s="180" t="s">
        <v>327</v>
      </c>
      <c r="D1051" s="140"/>
      <c r="E1051" s="66" t="s">
        <v>328</v>
      </c>
    </row>
    <row r="1052" spans="1:41" ht="15" customHeight="1" x14ac:dyDescent="0.25">
      <c r="A1052" s="402"/>
      <c r="B1052" s="409"/>
      <c r="C1052" s="179" t="s">
        <v>329</v>
      </c>
      <c r="D1052" s="141" t="s">
        <v>321</v>
      </c>
      <c r="E1052" s="66" t="s">
        <v>330</v>
      </c>
    </row>
    <row r="1053" spans="1:41" s="108" customFormat="1" ht="15" customHeight="1" x14ac:dyDescent="0.25">
      <c r="A1053" s="402"/>
      <c r="B1053" s="410" t="s">
        <v>989</v>
      </c>
      <c r="C1053" s="87" t="s">
        <v>751</v>
      </c>
      <c r="D1053" s="149"/>
      <c r="E1053" s="90" t="s">
        <v>752</v>
      </c>
      <c r="F1053" s="431">
        <f>+VLOOKUP($E1053,Labor!$1:$1048576,F$2,FALSE)</f>
        <v>27390.880000000001</v>
      </c>
      <c r="G1053" s="431">
        <f>+VLOOKUP($E1053,Labor!$1:$1048576,G$2,FALSE)</f>
        <v>27450.17409</v>
      </c>
      <c r="H1053" s="431">
        <f>+VLOOKUP($E1053,Labor!$1:$1048576,H$2,FALSE)</f>
        <v>27503.566320000002</v>
      </c>
      <c r="I1053" s="431">
        <f>+VLOOKUP($E1053,Labor!$1:$1048576,I$2,FALSE)</f>
        <v>27556.490109999999</v>
      </c>
      <c r="J1053" s="431">
        <f>+VLOOKUP($E1053,Labor!$1:$1048576,J$2,FALSE)</f>
        <v>27613.072899999999</v>
      </c>
      <c r="K1053" s="431">
        <f>+VLOOKUP($E1053,Labor!$1:$1048576,K$2,FALSE)</f>
        <v>27675.65367</v>
      </c>
      <c r="L1053" s="431">
        <f>+VLOOKUP($E1053,Labor!$1:$1048576,L$2,FALSE)</f>
        <v>27744.657910000002</v>
      </c>
      <c r="M1053" s="431">
        <f>+VLOOKUP($E1053,Labor!$1:$1048576,M$2,FALSE)</f>
        <v>27819.068609999998</v>
      </c>
      <c r="N1053" s="431">
        <f>+VLOOKUP($E1053,Labor!$1:$1048576,N$2,FALSE)</f>
        <v>27897.54823</v>
      </c>
      <c r="O1053" s="431">
        <f>+VLOOKUP($E1053,Labor!$1:$1048576,O$2,FALSE)</f>
        <v>27978.951000000001</v>
      </c>
      <c r="P1053" s="431">
        <f>+VLOOKUP($E1053,Labor!$1:$1048576,P$2,FALSE)</f>
        <v>28062.51339</v>
      </c>
      <c r="Q1053" s="431">
        <f>+VLOOKUP($E1053,Labor!$1:$1048576,Q$2,FALSE)</f>
        <v>28147.868549999999</v>
      </c>
      <c r="R1053" s="431">
        <f>+VLOOKUP($E1053,Labor!$1:$1048576,R$2,FALSE)</f>
        <v>28234.97438</v>
      </c>
      <c r="S1053" s="431">
        <f>+VLOOKUP($E1053,Labor!$1:$1048576,S$2,FALSE)</f>
        <v>28324.0124</v>
      </c>
      <c r="T1053" s="431">
        <f>+VLOOKUP($E1053,Labor!$1:$1048576,T$2,FALSE)</f>
        <v>28415.2899</v>
      </c>
      <c r="U1053" s="431">
        <f>+VLOOKUP($E1053,Labor!$1:$1048576,U$2,FALSE)</f>
        <v>28509.160449999999</v>
      </c>
      <c r="V1053" s="431">
        <f>+VLOOKUP($E1053,Labor!$1:$1048576,V$2,FALSE)</f>
        <v>28605.49253</v>
      </c>
      <c r="W1053" s="431">
        <f>+VLOOKUP($E1053,Labor!$1:$1048576,W$2,FALSE)</f>
        <v>28703.504570000001</v>
      </c>
      <c r="X1053" s="431">
        <f>+VLOOKUP($E1053,Labor!$1:$1048576,X$2,FALSE)</f>
        <v>28802.30761</v>
      </c>
      <c r="Y1053" s="431">
        <f>+VLOOKUP($E1053,Labor!$1:$1048576,Y$2,FALSE)</f>
        <v>28901.14286</v>
      </c>
      <c r="Z1053" s="431">
        <f>+VLOOKUP($E1053,Labor!$1:$1048576,Z$2,FALSE)</f>
        <v>28999.468499999999</v>
      </c>
      <c r="AA1053" s="431">
        <f>+VLOOKUP($E1053,Labor!$1:$1048576,AA$2,FALSE)</f>
        <v>29096.963820000001</v>
      </c>
      <c r="AB1053" s="431">
        <f>+VLOOKUP($E1053,Labor!$1:$1048576,AB$2,FALSE)</f>
        <v>29193.490549999999</v>
      </c>
      <c r="AC1053" s="431">
        <f>+VLOOKUP($E1053,Labor!$1:$1048576,AC$2,FALSE)</f>
        <v>29289.039100000002</v>
      </c>
      <c r="AD1053" s="431">
        <f>+VLOOKUP($E1053,Labor!$1:$1048576,AD$2,FALSE)</f>
        <v>29383.67669</v>
      </c>
      <c r="AE1053" s="431">
        <f>+VLOOKUP($E1053,Labor!$1:$1048576,AE$2,FALSE)</f>
        <v>29477.505570000001</v>
      </c>
      <c r="AF1053" s="431">
        <f>+VLOOKUP($E1053,Labor!$1:$1048576,AF$2,FALSE)</f>
        <v>29570.63392</v>
      </c>
      <c r="AG1053" s="431">
        <f>+VLOOKUP($E1053,Labor!$1:$1048576,AG$2,FALSE)</f>
        <v>29663.158319999999</v>
      </c>
      <c r="AH1053" s="431">
        <f>+VLOOKUP($E1053,Labor!$1:$1048576,AH$2,FALSE)</f>
        <v>29755.155439999999</v>
      </c>
      <c r="AI1053" s="431">
        <f>+VLOOKUP($E1053,Labor!$1:$1048576,AI$2,FALSE)</f>
        <v>29846.680179999999</v>
      </c>
      <c r="AJ1053" s="431">
        <f>+VLOOKUP($E1053,Labor!$1:$1048576,AJ$2,FALSE)</f>
        <v>29937.767830000001</v>
      </c>
      <c r="AK1053" s="431">
        <f>+VLOOKUP($E1053,Labor!$1:$1048576,AK$2,FALSE)</f>
        <v>30028.438330000001</v>
      </c>
      <c r="AL1053" s="431">
        <f>+VLOOKUP($E1053,Labor!$1:$1048576,AL$2,FALSE)</f>
        <v>30118.701229999999</v>
      </c>
      <c r="AM1053" s="431">
        <f>+VLOOKUP($E1053,Labor!$1:$1048576,AM$2,FALSE)</f>
        <v>30208.560320000001</v>
      </c>
      <c r="AN1053" s="431">
        <f>+VLOOKUP($E1053,Labor!$1:$1048576,AN$2,FALSE)</f>
        <v>30298.017639999998</v>
      </c>
      <c r="AO1053" s="431">
        <f>+VLOOKUP($E1053,Labor!$1:$1048576,AO$2,FALSE)</f>
        <v>30387.076410000001</v>
      </c>
    </row>
    <row r="1054" spans="1:41" s="108" customFormat="1" ht="15" customHeight="1" x14ac:dyDescent="0.25">
      <c r="A1054" s="402"/>
      <c r="B1054" s="411"/>
      <c r="C1054" s="87" t="s">
        <v>753</v>
      </c>
      <c r="D1054" s="149"/>
      <c r="E1054" s="90" t="s">
        <v>758</v>
      </c>
      <c r="F1054" s="354" t="e">
        <f>+VLOOKUP($E1054,Labor!$1:$1048576,F$2,FALSE)</f>
        <v>#N/A</v>
      </c>
      <c r="G1054" s="354" t="e">
        <f>+VLOOKUP($E1054,Labor!$1:$1048576,G$2,FALSE)</f>
        <v>#N/A</v>
      </c>
      <c r="H1054" s="354" t="e">
        <f>+VLOOKUP($E1054,Labor!$1:$1048576,H$2,FALSE)</f>
        <v>#N/A</v>
      </c>
      <c r="I1054" s="354" t="e">
        <f>+VLOOKUP($E1054,Labor!$1:$1048576,I$2,FALSE)</f>
        <v>#N/A</v>
      </c>
      <c r="J1054" s="354" t="e">
        <f>+VLOOKUP($E1054,Labor!$1:$1048576,J$2,FALSE)</f>
        <v>#N/A</v>
      </c>
      <c r="K1054" s="354" t="e">
        <f>+VLOOKUP($E1054,Labor!$1:$1048576,K$2,FALSE)</f>
        <v>#N/A</v>
      </c>
      <c r="L1054" s="354" t="e">
        <f>+VLOOKUP($E1054,Labor!$1:$1048576,L$2,FALSE)</f>
        <v>#N/A</v>
      </c>
      <c r="M1054" s="354" t="e">
        <f>+VLOOKUP($E1054,Labor!$1:$1048576,M$2,FALSE)</f>
        <v>#N/A</v>
      </c>
      <c r="N1054" s="354" t="e">
        <f>+VLOOKUP($E1054,Labor!$1:$1048576,N$2,FALSE)</f>
        <v>#N/A</v>
      </c>
      <c r="O1054" s="354" t="e">
        <f>+VLOOKUP($E1054,Labor!$1:$1048576,O$2,FALSE)</f>
        <v>#N/A</v>
      </c>
      <c r="P1054" s="354" t="e">
        <f>+VLOOKUP($E1054,Labor!$1:$1048576,P$2,FALSE)</f>
        <v>#N/A</v>
      </c>
      <c r="Q1054" s="354" t="e">
        <f>+VLOOKUP($E1054,Labor!$1:$1048576,Q$2,FALSE)</f>
        <v>#N/A</v>
      </c>
      <c r="R1054" s="354" t="e">
        <f>+VLOOKUP($E1054,Labor!$1:$1048576,R$2,FALSE)</f>
        <v>#N/A</v>
      </c>
      <c r="S1054" s="354" t="e">
        <f>+VLOOKUP($E1054,Labor!$1:$1048576,S$2,FALSE)</f>
        <v>#N/A</v>
      </c>
      <c r="T1054" s="354" t="e">
        <f>+VLOOKUP($E1054,Labor!$1:$1048576,T$2,FALSE)</f>
        <v>#N/A</v>
      </c>
      <c r="U1054" s="354" t="e">
        <f>+VLOOKUP($E1054,Labor!$1:$1048576,U$2,FALSE)</f>
        <v>#N/A</v>
      </c>
      <c r="V1054" s="354" t="e">
        <f>+VLOOKUP($E1054,Labor!$1:$1048576,V$2,FALSE)</f>
        <v>#N/A</v>
      </c>
      <c r="W1054" s="354" t="e">
        <f>+VLOOKUP($E1054,Labor!$1:$1048576,W$2,FALSE)</f>
        <v>#N/A</v>
      </c>
      <c r="X1054" s="354" t="e">
        <f>+VLOOKUP($E1054,Labor!$1:$1048576,X$2,FALSE)</f>
        <v>#N/A</v>
      </c>
      <c r="Y1054" s="354" t="e">
        <f>+VLOOKUP($E1054,Labor!$1:$1048576,Y$2,FALSE)</f>
        <v>#N/A</v>
      </c>
      <c r="Z1054" s="354" t="e">
        <f>+VLOOKUP($E1054,Labor!$1:$1048576,Z$2,FALSE)</f>
        <v>#N/A</v>
      </c>
      <c r="AA1054" s="354" t="e">
        <f>+VLOOKUP($E1054,Labor!$1:$1048576,AA$2,FALSE)</f>
        <v>#N/A</v>
      </c>
      <c r="AB1054" s="354" t="e">
        <f>+VLOOKUP($E1054,Labor!$1:$1048576,AB$2,FALSE)</f>
        <v>#N/A</v>
      </c>
      <c r="AC1054" s="354" t="e">
        <f>+VLOOKUP($E1054,Labor!$1:$1048576,AC$2,FALSE)</f>
        <v>#N/A</v>
      </c>
      <c r="AD1054" s="354" t="e">
        <f>+VLOOKUP($E1054,Labor!$1:$1048576,AD$2,FALSE)</f>
        <v>#N/A</v>
      </c>
      <c r="AE1054" s="354" t="e">
        <f>+VLOOKUP($E1054,Labor!$1:$1048576,AE$2,FALSE)</f>
        <v>#N/A</v>
      </c>
      <c r="AF1054" s="354" t="e">
        <f>+VLOOKUP($E1054,Labor!$1:$1048576,AF$2,FALSE)</f>
        <v>#N/A</v>
      </c>
      <c r="AG1054" s="354" t="e">
        <f>+VLOOKUP($E1054,Labor!$1:$1048576,AG$2,FALSE)</f>
        <v>#N/A</v>
      </c>
      <c r="AH1054" s="354" t="e">
        <f>+VLOOKUP($E1054,Labor!$1:$1048576,AH$2,FALSE)</f>
        <v>#N/A</v>
      </c>
      <c r="AI1054" s="354" t="e">
        <f>+VLOOKUP($E1054,Labor!$1:$1048576,AI$2,FALSE)</f>
        <v>#N/A</v>
      </c>
      <c r="AJ1054" s="354" t="e">
        <f>+VLOOKUP($E1054,Labor!$1:$1048576,AJ$2,FALSE)</f>
        <v>#N/A</v>
      </c>
      <c r="AK1054" s="354" t="e">
        <f>+VLOOKUP($E1054,Labor!$1:$1048576,AK$2,FALSE)</f>
        <v>#N/A</v>
      </c>
      <c r="AL1054" s="354" t="e">
        <f>+VLOOKUP($E1054,Labor!$1:$1048576,AL$2,FALSE)</f>
        <v>#N/A</v>
      </c>
      <c r="AM1054" s="354" t="e">
        <f>+VLOOKUP($E1054,Labor!$1:$1048576,AM$2,FALSE)</f>
        <v>#N/A</v>
      </c>
      <c r="AN1054" s="354" t="e">
        <f>+VLOOKUP($E1054,Labor!$1:$1048576,AN$2,FALSE)</f>
        <v>#N/A</v>
      </c>
      <c r="AO1054" s="354" t="e">
        <f>+VLOOKUP($E1054,Labor!$1:$1048576,AO$2,FALSE)</f>
        <v>#N/A</v>
      </c>
    </row>
    <row r="1055" spans="1:41" s="73" customFormat="1" ht="15" customHeight="1" x14ac:dyDescent="0.25">
      <c r="A1055" s="402"/>
      <c r="B1055" s="411"/>
      <c r="C1055" s="159" t="s">
        <v>738</v>
      </c>
      <c r="D1055" s="109"/>
      <c r="E1055" s="80" t="s">
        <v>764</v>
      </c>
      <c r="F1055" s="356">
        <f>+VLOOKUP($E1055,Labor!$1:$1048576,F$2,FALSE)</f>
        <v>732.13</v>
      </c>
      <c r="G1055" s="356">
        <f>+VLOOKUP($E1055,Labor!$1:$1048576,G$2,FALSE)</f>
        <v>733.53267760000006</v>
      </c>
      <c r="H1055" s="356">
        <f>+VLOOKUP($E1055,Labor!$1:$1048576,H$2,FALSE)</f>
        <v>734.74367419999999</v>
      </c>
      <c r="I1055" s="356">
        <f>+VLOOKUP($E1055,Labor!$1:$1048576,I$2,FALSE)</f>
        <v>736.10272740000005</v>
      </c>
      <c r="J1055" s="356">
        <f>+VLOOKUP($E1055,Labor!$1:$1048576,J$2,FALSE)</f>
        <v>737.85588370000005</v>
      </c>
      <c r="K1055" s="356">
        <f>+VLOOKUP($E1055,Labor!$1:$1048576,K$2,FALSE)</f>
        <v>740.14183409999998</v>
      </c>
      <c r="L1055" s="356">
        <f>+VLOOKUP($E1055,Labor!$1:$1048576,L$2,FALSE)</f>
        <v>742.95250769999996</v>
      </c>
      <c r="M1055" s="356">
        <f>+VLOOKUP($E1055,Labor!$1:$1048576,M$2,FALSE)</f>
        <v>746.15883459999998</v>
      </c>
      <c r="N1055" s="356">
        <f>+VLOOKUP($E1055,Labor!$1:$1048576,N$2,FALSE)</f>
        <v>749.62815620000003</v>
      </c>
      <c r="O1055" s="356">
        <f>+VLOOKUP($E1055,Labor!$1:$1048576,O$2,FALSE)</f>
        <v>753.26910769999995</v>
      </c>
      <c r="P1055" s="356">
        <f>+VLOOKUP($E1055,Labor!$1:$1048576,P$2,FALSE)</f>
        <v>757.04110460000004</v>
      </c>
      <c r="Q1055" s="356">
        <f>+VLOOKUP($E1055,Labor!$1:$1048576,Q$2,FALSE)</f>
        <v>760.94854740000005</v>
      </c>
      <c r="R1055" s="356">
        <f>+VLOOKUP($E1055,Labor!$1:$1048576,R$2,FALSE)</f>
        <v>765.02987250000001</v>
      </c>
      <c r="S1055" s="356">
        <f>+VLOOKUP($E1055,Labor!$1:$1048576,S$2,FALSE)</f>
        <v>769.34625600000004</v>
      </c>
      <c r="T1055" s="356">
        <f>+VLOOKUP($E1055,Labor!$1:$1048576,T$2,FALSE)</f>
        <v>773.97192140000004</v>
      </c>
      <c r="U1055" s="356">
        <f>+VLOOKUP($E1055,Labor!$1:$1048576,U$2,FALSE)</f>
        <v>778.98656240000003</v>
      </c>
      <c r="V1055" s="356">
        <f>+VLOOKUP($E1055,Labor!$1:$1048576,V$2,FALSE)</f>
        <v>784.40725480000003</v>
      </c>
      <c r="W1055" s="356">
        <f>+VLOOKUP($E1055,Labor!$1:$1048576,W$2,FALSE)</f>
        <v>790.16516750000005</v>
      </c>
      <c r="X1055" s="356">
        <f>+VLOOKUP($E1055,Labor!$1:$1048576,X$2,FALSE)</f>
        <v>796.17248240000004</v>
      </c>
      <c r="Y1055" s="356">
        <f>+VLOOKUP($E1055,Labor!$1:$1048576,Y$2,FALSE)</f>
        <v>802.35009419999994</v>
      </c>
      <c r="Z1055" s="356">
        <f>+VLOOKUP($E1055,Labor!$1:$1048576,Z$2,FALSE)</f>
        <v>808.63627970000005</v>
      </c>
      <c r="AA1055" s="356">
        <f>+VLOOKUP($E1055,Labor!$1:$1048576,AA$2,FALSE)</f>
        <v>814.98690690000001</v>
      </c>
      <c r="AB1055" s="356">
        <f>+VLOOKUP($E1055,Labor!$1:$1048576,AB$2,FALSE)</f>
        <v>821.37234699999999</v>
      </c>
      <c r="AC1055" s="356">
        <f>+VLOOKUP($E1055,Labor!$1:$1048576,AC$2,FALSE)</f>
        <v>827.77360339999996</v>
      </c>
      <c r="AD1055" s="356">
        <f>+VLOOKUP($E1055,Labor!$1:$1048576,AD$2,FALSE)</f>
        <v>834.17879189999996</v>
      </c>
      <c r="AE1055" s="356">
        <f>+VLOOKUP($E1055,Labor!$1:$1048576,AE$2,FALSE)</f>
        <v>840.58038009999996</v>
      </c>
      <c r="AF1055" s="356">
        <f>+VLOOKUP($E1055,Labor!$1:$1048576,AF$2,FALSE)</f>
        <v>846.97323029999995</v>
      </c>
      <c r="AG1055" s="356">
        <f>+VLOOKUP($E1055,Labor!$1:$1048576,AG$2,FALSE)</f>
        <v>853.35333200000002</v>
      </c>
      <c r="AH1055" s="356">
        <f>+VLOOKUP($E1055,Labor!$1:$1048576,AH$2,FALSE)</f>
        <v>859.71706310000002</v>
      </c>
      <c r="AI1055" s="356">
        <f>+VLOOKUP($E1055,Labor!$1:$1048576,AI$2,FALSE)</f>
        <v>866.06082460000005</v>
      </c>
      <c r="AJ1055" s="356">
        <f>+VLOOKUP($E1055,Labor!$1:$1048576,AJ$2,FALSE)</f>
        <v>872.38091659999998</v>
      </c>
      <c r="AK1055" s="356">
        <f>+VLOOKUP($E1055,Labor!$1:$1048576,AK$2,FALSE)</f>
        <v>878.67355640000005</v>
      </c>
      <c r="AL1055" s="356">
        <f>+VLOOKUP($E1055,Labor!$1:$1048576,AL$2,FALSE)</f>
        <v>884.93496670000002</v>
      </c>
      <c r="AM1055" s="356">
        <f>+VLOOKUP($E1055,Labor!$1:$1048576,AM$2,FALSE)</f>
        <v>891.16148639999994</v>
      </c>
      <c r="AN1055" s="356">
        <f>+VLOOKUP($E1055,Labor!$1:$1048576,AN$2,FALSE)</f>
        <v>897.34967310000002</v>
      </c>
      <c r="AO1055" s="356">
        <f>+VLOOKUP($E1055,Labor!$1:$1048576,AO$2,FALSE)</f>
        <v>903.49638449999998</v>
      </c>
    </row>
    <row r="1056" spans="1:41" s="73" customFormat="1" ht="15" customHeight="1" x14ac:dyDescent="0.25">
      <c r="A1056" s="402"/>
      <c r="B1056" s="411"/>
      <c r="C1056" s="159" t="s">
        <v>739</v>
      </c>
      <c r="D1056" s="109"/>
      <c r="E1056" s="80" t="s">
        <v>765</v>
      </c>
      <c r="F1056" s="356">
        <f>+VLOOKUP($E1056,Labor!$1:$1048576,F$2,FALSE)</f>
        <v>29.08</v>
      </c>
      <c r="G1056" s="356">
        <f>+VLOOKUP($E1056,Labor!$1:$1048576,G$2,FALSE)</f>
        <v>28.987580860000001</v>
      </c>
      <c r="H1056" s="356">
        <f>+VLOOKUP($E1056,Labor!$1:$1048576,H$2,FALSE)</f>
        <v>28.7490512</v>
      </c>
      <c r="I1056" s="356">
        <f>+VLOOKUP($E1056,Labor!$1:$1048576,I$2,FALSE)</f>
        <v>28.42179775</v>
      </c>
      <c r="J1056" s="356">
        <f>+VLOOKUP($E1056,Labor!$1:$1048576,J$2,FALSE)</f>
        <v>28.052145549999999</v>
      </c>
      <c r="K1056" s="356">
        <f>+VLOOKUP($E1056,Labor!$1:$1048576,K$2,FALSE)</f>
        <v>27.666529499999999</v>
      </c>
      <c r="L1056" s="356">
        <f>+VLOOKUP($E1056,Labor!$1:$1048576,L$2,FALSE)</f>
        <v>27.283068910000001</v>
      </c>
      <c r="M1056" s="356">
        <f>+VLOOKUP($E1056,Labor!$1:$1048576,M$2,FALSE)</f>
        <v>26.916018080000001</v>
      </c>
      <c r="N1056" s="356">
        <f>+VLOOKUP($E1056,Labor!$1:$1048576,N$2,FALSE)</f>
        <v>26.570697920000001</v>
      </c>
      <c r="O1056" s="356">
        <f>+VLOOKUP($E1056,Labor!$1:$1048576,O$2,FALSE)</f>
        <v>26.245682420000001</v>
      </c>
      <c r="P1056" s="356">
        <f>+VLOOKUP($E1056,Labor!$1:$1048576,P$2,FALSE)</f>
        <v>25.935992290000002</v>
      </c>
      <c r="Q1056" s="356">
        <f>+VLOOKUP($E1056,Labor!$1:$1048576,Q$2,FALSE)</f>
        <v>25.63550038</v>
      </c>
      <c r="R1056" s="356">
        <f>+VLOOKUP($E1056,Labor!$1:$1048576,R$2,FALSE)</f>
        <v>25.338372979999999</v>
      </c>
      <c r="S1056" s="356">
        <f>+VLOOKUP($E1056,Labor!$1:$1048576,S$2,FALSE)</f>
        <v>25.039804950000001</v>
      </c>
      <c r="T1056" s="356">
        <f>+VLOOKUP($E1056,Labor!$1:$1048576,T$2,FALSE)</f>
        <v>24.736325019999999</v>
      </c>
      <c r="U1056" s="356">
        <f>+VLOOKUP($E1056,Labor!$1:$1048576,U$2,FALSE)</f>
        <v>24.425862290000001</v>
      </c>
      <c r="V1056" s="356">
        <f>+VLOOKUP($E1056,Labor!$1:$1048576,V$2,FALSE)</f>
        <v>24.111141539999998</v>
      </c>
      <c r="W1056" s="356">
        <f>+VLOOKUP($E1056,Labor!$1:$1048576,W$2,FALSE)</f>
        <v>23.798728229999998</v>
      </c>
      <c r="X1056" s="356">
        <f>+VLOOKUP($E1056,Labor!$1:$1048576,X$2,FALSE)</f>
        <v>23.49377956</v>
      </c>
      <c r="Y1056" s="356">
        <f>+VLOOKUP($E1056,Labor!$1:$1048576,Y$2,FALSE)</f>
        <v>23.199183779999998</v>
      </c>
      <c r="Z1056" s="356">
        <f>+VLOOKUP($E1056,Labor!$1:$1048576,Z$2,FALSE)</f>
        <v>22.916058459999999</v>
      </c>
      <c r="AA1056" s="356">
        <f>+VLOOKUP($E1056,Labor!$1:$1048576,AA$2,FALSE)</f>
        <v>22.644445749999999</v>
      </c>
      <c r="AB1056" s="356">
        <f>+VLOOKUP($E1056,Labor!$1:$1048576,AB$2,FALSE)</f>
        <v>22.383852229999999</v>
      </c>
      <c r="AC1056" s="356">
        <f>+VLOOKUP($E1056,Labor!$1:$1048576,AC$2,FALSE)</f>
        <v>22.1335868</v>
      </c>
      <c r="AD1056" s="356">
        <f>+VLOOKUP($E1056,Labor!$1:$1048576,AD$2,FALSE)</f>
        <v>21.89294216</v>
      </c>
      <c r="AE1056" s="356">
        <f>+VLOOKUP($E1056,Labor!$1:$1048576,AE$2,FALSE)</f>
        <v>21.661276480000001</v>
      </c>
      <c r="AF1056" s="356">
        <f>+VLOOKUP($E1056,Labor!$1:$1048576,AF$2,FALSE)</f>
        <v>21.438039109999998</v>
      </c>
      <c r="AG1056" s="356">
        <f>+VLOOKUP($E1056,Labor!$1:$1048576,AG$2,FALSE)</f>
        <v>21.222769020000001</v>
      </c>
      <c r="AH1056" s="356">
        <f>+VLOOKUP($E1056,Labor!$1:$1048576,AH$2,FALSE)</f>
        <v>21.015082100000001</v>
      </c>
      <c r="AI1056" s="356">
        <f>+VLOOKUP($E1056,Labor!$1:$1048576,AI$2,FALSE)</f>
        <v>20.814655989999999</v>
      </c>
      <c r="AJ1056" s="356">
        <f>+VLOOKUP($E1056,Labor!$1:$1048576,AJ$2,FALSE)</f>
        <v>20.621216019999999</v>
      </c>
      <c r="AK1056" s="356">
        <f>+VLOOKUP($E1056,Labor!$1:$1048576,AK$2,FALSE)</f>
        <v>20.434523670000001</v>
      </c>
      <c r="AL1056" s="356">
        <f>+VLOOKUP($E1056,Labor!$1:$1048576,AL$2,FALSE)</f>
        <v>20.254367569999999</v>
      </c>
      <c r="AM1056" s="356">
        <f>+VLOOKUP($E1056,Labor!$1:$1048576,AM$2,FALSE)</f>
        <v>20.080556619999999</v>
      </c>
      <c r="AN1056" s="356">
        <f>+VLOOKUP($E1056,Labor!$1:$1048576,AN$2,FALSE)</f>
        <v>19.912914799999999</v>
      </c>
      <c r="AO1056" s="356">
        <f>+VLOOKUP($E1056,Labor!$1:$1048576,AO$2,FALSE)</f>
        <v>19.751277089999999</v>
      </c>
    </row>
    <row r="1057" spans="1:41" s="108" customFormat="1" ht="15" customHeight="1" x14ac:dyDescent="0.25">
      <c r="A1057" s="402"/>
      <c r="B1057" s="411"/>
      <c r="C1057" s="87" t="s">
        <v>754</v>
      </c>
      <c r="D1057" s="149"/>
      <c r="E1057" s="90" t="s">
        <v>759</v>
      </c>
      <c r="F1057" s="354" t="e">
        <f>+VLOOKUP($E1057,Labor!$1:$1048576,F$2,FALSE)</f>
        <v>#N/A</v>
      </c>
      <c r="G1057" s="354" t="e">
        <f>+VLOOKUP($E1057,Labor!$1:$1048576,G$2,FALSE)</f>
        <v>#N/A</v>
      </c>
      <c r="H1057" s="354" t="e">
        <f>+VLOOKUP($E1057,Labor!$1:$1048576,H$2,FALSE)</f>
        <v>#N/A</v>
      </c>
      <c r="I1057" s="354" t="e">
        <f>+VLOOKUP($E1057,Labor!$1:$1048576,I$2,FALSE)</f>
        <v>#N/A</v>
      </c>
      <c r="J1057" s="354" t="e">
        <f>+VLOOKUP($E1057,Labor!$1:$1048576,J$2,FALSE)</f>
        <v>#N/A</v>
      </c>
      <c r="K1057" s="354" t="e">
        <f>+VLOOKUP($E1057,Labor!$1:$1048576,K$2,FALSE)</f>
        <v>#N/A</v>
      </c>
      <c r="L1057" s="354" t="e">
        <f>+VLOOKUP($E1057,Labor!$1:$1048576,L$2,FALSE)</f>
        <v>#N/A</v>
      </c>
      <c r="M1057" s="354" t="e">
        <f>+VLOOKUP($E1057,Labor!$1:$1048576,M$2,FALSE)</f>
        <v>#N/A</v>
      </c>
      <c r="N1057" s="354" t="e">
        <f>+VLOOKUP($E1057,Labor!$1:$1048576,N$2,FALSE)</f>
        <v>#N/A</v>
      </c>
      <c r="O1057" s="354" t="e">
        <f>+VLOOKUP($E1057,Labor!$1:$1048576,O$2,FALSE)</f>
        <v>#N/A</v>
      </c>
      <c r="P1057" s="354" t="e">
        <f>+VLOOKUP($E1057,Labor!$1:$1048576,P$2,FALSE)</f>
        <v>#N/A</v>
      </c>
      <c r="Q1057" s="354" t="e">
        <f>+VLOOKUP($E1057,Labor!$1:$1048576,Q$2,FALSE)</f>
        <v>#N/A</v>
      </c>
      <c r="R1057" s="354" t="e">
        <f>+VLOOKUP($E1057,Labor!$1:$1048576,R$2,FALSE)</f>
        <v>#N/A</v>
      </c>
      <c r="S1057" s="354" t="e">
        <f>+VLOOKUP($E1057,Labor!$1:$1048576,S$2,FALSE)</f>
        <v>#N/A</v>
      </c>
      <c r="T1057" s="354" t="e">
        <f>+VLOOKUP($E1057,Labor!$1:$1048576,T$2,FALSE)</f>
        <v>#N/A</v>
      </c>
      <c r="U1057" s="354" t="e">
        <f>+VLOOKUP($E1057,Labor!$1:$1048576,U$2,FALSE)</f>
        <v>#N/A</v>
      </c>
      <c r="V1057" s="354" t="e">
        <f>+VLOOKUP($E1057,Labor!$1:$1048576,V$2,FALSE)</f>
        <v>#N/A</v>
      </c>
      <c r="W1057" s="354" t="e">
        <f>+VLOOKUP($E1057,Labor!$1:$1048576,W$2,FALSE)</f>
        <v>#N/A</v>
      </c>
      <c r="X1057" s="354" t="e">
        <f>+VLOOKUP($E1057,Labor!$1:$1048576,X$2,FALSE)</f>
        <v>#N/A</v>
      </c>
      <c r="Y1057" s="354" t="e">
        <f>+VLOOKUP($E1057,Labor!$1:$1048576,Y$2,FALSE)</f>
        <v>#N/A</v>
      </c>
      <c r="Z1057" s="354" t="e">
        <f>+VLOOKUP($E1057,Labor!$1:$1048576,Z$2,FALSE)</f>
        <v>#N/A</v>
      </c>
      <c r="AA1057" s="354" t="e">
        <f>+VLOOKUP($E1057,Labor!$1:$1048576,AA$2,FALSE)</f>
        <v>#N/A</v>
      </c>
      <c r="AB1057" s="354" t="e">
        <f>+VLOOKUP($E1057,Labor!$1:$1048576,AB$2,FALSE)</f>
        <v>#N/A</v>
      </c>
      <c r="AC1057" s="354" t="e">
        <f>+VLOOKUP($E1057,Labor!$1:$1048576,AC$2,FALSE)</f>
        <v>#N/A</v>
      </c>
      <c r="AD1057" s="354" t="e">
        <f>+VLOOKUP($E1057,Labor!$1:$1048576,AD$2,FALSE)</f>
        <v>#N/A</v>
      </c>
      <c r="AE1057" s="354" t="e">
        <f>+VLOOKUP($E1057,Labor!$1:$1048576,AE$2,FALSE)</f>
        <v>#N/A</v>
      </c>
      <c r="AF1057" s="354" t="e">
        <f>+VLOOKUP($E1057,Labor!$1:$1048576,AF$2,FALSE)</f>
        <v>#N/A</v>
      </c>
      <c r="AG1057" s="354" t="e">
        <f>+VLOOKUP($E1057,Labor!$1:$1048576,AG$2,FALSE)</f>
        <v>#N/A</v>
      </c>
      <c r="AH1057" s="354" t="e">
        <f>+VLOOKUP($E1057,Labor!$1:$1048576,AH$2,FALSE)</f>
        <v>#N/A</v>
      </c>
      <c r="AI1057" s="354" t="e">
        <f>+VLOOKUP($E1057,Labor!$1:$1048576,AI$2,FALSE)</f>
        <v>#N/A</v>
      </c>
      <c r="AJ1057" s="354" t="e">
        <f>+VLOOKUP($E1057,Labor!$1:$1048576,AJ$2,FALSE)</f>
        <v>#N/A</v>
      </c>
      <c r="AK1057" s="354" t="e">
        <f>+VLOOKUP($E1057,Labor!$1:$1048576,AK$2,FALSE)</f>
        <v>#N/A</v>
      </c>
      <c r="AL1057" s="354" t="e">
        <f>+VLOOKUP($E1057,Labor!$1:$1048576,AL$2,FALSE)</f>
        <v>#N/A</v>
      </c>
      <c r="AM1057" s="354" t="e">
        <f>+VLOOKUP($E1057,Labor!$1:$1048576,AM$2,FALSE)</f>
        <v>#N/A</v>
      </c>
      <c r="AN1057" s="354" t="e">
        <f>+VLOOKUP($E1057,Labor!$1:$1048576,AN$2,FALSE)</f>
        <v>#N/A</v>
      </c>
      <c r="AO1057" s="354" t="e">
        <f>+VLOOKUP($E1057,Labor!$1:$1048576,AO$2,FALSE)</f>
        <v>#N/A</v>
      </c>
    </row>
    <row r="1058" spans="1:41" s="73" customFormat="1" ht="15" customHeight="1" x14ac:dyDescent="0.25">
      <c r="A1058" s="402"/>
      <c r="B1058" s="411"/>
      <c r="C1058" s="159" t="s">
        <v>740</v>
      </c>
      <c r="D1058" s="109"/>
      <c r="E1058" s="80" t="s">
        <v>766</v>
      </c>
      <c r="F1058" s="356">
        <f>+VLOOKUP($E1058,Labor!$1:$1048576,F$2,FALSE)</f>
        <v>618.62</v>
      </c>
      <c r="G1058" s="356">
        <f>+VLOOKUP($E1058,Labor!$1:$1048576,G$2,FALSE)</f>
        <v>619.64983510000002</v>
      </c>
      <c r="H1058" s="356">
        <f>+VLOOKUP($E1058,Labor!$1:$1048576,H$2,FALSE)</f>
        <v>620.40811499999995</v>
      </c>
      <c r="I1058" s="356">
        <f>+VLOOKUP($E1058,Labor!$1:$1048576,I$2,FALSE)</f>
        <v>621.21782929999995</v>
      </c>
      <c r="J1058" s="356">
        <f>+VLOOKUP($E1058,Labor!$1:$1048576,J$2,FALSE)</f>
        <v>622.29155149999997</v>
      </c>
      <c r="K1058" s="356">
        <f>+VLOOKUP($E1058,Labor!$1:$1048576,K$2,FALSE)</f>
        <v>623.72675040000001</v>
      </c>
      <c r="L1058" s="356">
        <f>+VLOOKUP($E1058,Labor!$1:$1048576,L$2,FALSE)</f>
        <v>625.51685299999997</v>
      </c>
      <c r="M1058" s="356">
        <f>+VLOOKUP($E1058,Labor!$1:$1048576,M$2,FALSE)</f>
        <v>627.58699560000002</v>
      </c>
      <c r="N1058" s="356">
        <f>+VLOOKUP($E1058,Labor!$1:$1048576,N$2,FALSE)</f>
        <v>629.85654539999996</v>
      </c>
      <c r="O1058" s="356">
        <f>+VLOOKUP($E1058,Labor!$1:$1048576,O$2,FALSE)</f>
        <v>632.26336349999997</v>
      </c>
      <c r="P1058" s="356">
        <f>+VLOOKUP($E1058,Labor!$1:$1048576,P$2,FALSE)</f>
        <v>634.76972899999998</v>
      </c>
      <c r="Q1058" s="356">
        <f>+VLOOKUP($E1058,Labor!$1:$1048576,Q$2,FALSE)</f>
        <v>637.36008819999995</v>
      </c>
      <c r="R1058" s="356">
        <f>+VLOOKUP($E1058,Labor!$1:$1048576,R$2,FALSE)</f>
        <v>640.03584269999999</v>
      </c>
      <c r="S1058" s="356">
        <f>+VLOOKUP($E1058,Labor!$1:$1048576,S$2,FALSE)</f>
        <v>642.80979850000006</v>
      </c>
      <c r="T1058" s="356">
        <f>+VLOOKUP($E1058,Labor!$1:$1048576,T$2,FALSE)</f>
        <v>645.70139740000002</v>
      </c>
      <c r="U1058" s="356">
        <f>+VLOOKUP($E1058,Labor!$1:$1048576,U$2,FALSE)</f>
        <v>648.73307220000004</v>
      </c>
      <c r="V1058" s="356">
        <f>+VLOOKUP($E1058,Labor!$1:$1048576,V$2,FALSE)</f>
        <v>651.90265409999995</v>
      </c>
      <c r="W1058" s="356">
        <f>+VLOOKUP($E1058,Labor!$1:$1048576,W$2,FALSE)</f>
        <v>655.17570520000004</v>
      </c>
      <c r="X1058" s="356">
        <f>+VLOOKUP($E1058,Labor!$1:$1048576,X$2,FALSE)</f>
        <v>658.51415410000004</v>
      </c>
      <c r="Y1058" s="356">
        <f>+VLOOKUP($E1058,Labor!$1:$1048576,Y$2,FALSE)</f>
        <v>661.88657269999999</v>
      </c>
      <c r="Z1058" s="356">
        <f>+VLOOKUP($E1058,Labor!$1:$1048576,Z$2,FALSE)</f>
        <v>665.27065730000004</v>
      </c>
      <c r="AA1058" s="356">
        <f>+VLOOKUP($E1058,Labor!$1:$1048576,AA$2,FALSE)</f>
        <v>668.65245330000005</v>
      </c>
      <c r="AB1058" s="356">
        <f>+VLOOKUP($E1058,Labor!$1:$1048576,AB$2,FALSE)</f>
        <v>672.02438299999994</v>
      </c>
      <c r="AC1058" s="356">
        <f>+VLOOKUP($E1058,Labor!$1:$1048576,AC$2,FALSE)</f>
        <v>675.38310799999999</v>
      </c>
      <c r="AD1058" s="356">
        <f>+VLOOKUP($E1058,Labor!$1:$1048576,AD$2,FALSE)</f>
        <v>678.72770639999999</v>
      </c>
      <c r="AE1058" s="356">
        <f>+VLOOKUP($E1058,Labor!$1:$1048576,AE$2,FALSE)</f>
        <v>682.05832499999997</v>
      </c>
      <c r="AF1058" s="356">
        <f>+VLOOKUP($E1058,Labor!$1:$1048576,AF$2,FALSE)</f>
        <v>685.37530130000005</v>
      </c>
      <c r="AG1058" s="356">
        <f>+VLOOKUP($E1058,Labor!$1:$1048576,AG$2,FALSE)</f>
        <v>688.67866979999997</v>
      </c>
      <c r="AH1058" s="356">
        <f>+VLOOKUP($E1058,Labor!$1:$1048576,AH$2,FALSE)</f>
        <v>691.96795369999995</v>
      </c>
      <c r="AI1058" s="356">
        <f>+VLOOKUP($E1058,Labor!$1:$1048576,AI$2,FALSE)</f>
        <v>695.24214480000001</v>
      </c>
      <c r="AJ1058" s="356">
        <f>+VLOOKUP($E1058,Labor!$1:$1048576,AJ$2,FALSE)</f>
        <v>698.49979599999995</v>
      </c>
      <c r="AK1058" s="356">
        <f>+VLOOKUP($E1058,Labor!$1:$1048576,AK$2,FALSE)</f>
        <v>701.73916580000002</v>
      </c>
      <c r="AL1058" s="356">
        <f>+VLOOKUP($E1058,Labor!$1:$1048576,AL$2,FALSE)</f>
        <v>704.95837659999995</v>
      </c>
      <c r="AM1058" s="356">
        <f>+VLOOKUP($E1058,Labor!$1:$1048576,AM$2,FALSE)</f>
        <v>708.15555959999995</v>
      </c>
      <c r="AN1058" s="356">
        <f>+VLOOKUP($E1058,Labor!$1:$1048576,AN$2,FALSE)</f>
        <v>711.32897179999998</v>
      </c>
      <c r="AO1058" s="356">
        <f>+VLOOKUP($E1058,Labor!$1:$1048576,AO$2,FALSE)</f>
        <v>714.47708139999997</v>
      </c>
    </row>
    <row r="1059" spans="1:41" s="73" customFormat="1" ht="15" customHeight="1" x14ac:dyDescent="0.25">
      <c r="A1059" s="402"/>
      <c r="B1059" s="411"/>
      <c r="C1059" s="159" t="s">
        <v>741</v>
      </c>
      <c r="D1059" s="109"/>
      <c r="E1059" s="80" t="s">
        <v>767</v>
      </c>
      <c r="F1059" s="356">
        <f>+VLOOKUP($E1059,Labor!$1:$1048576,F$2,FALSE)</f>
        <v>185.81</v>
      </c>
      <c r="G1059" s="356">
        <f>+VLOOKUP($E1059,Labor!$1:$1048576,G$2,FALSE)</f>
        <v>186.90528950000001</v>
      </c>
      <c r="H1059" s="356">
        <f>+VLOOKUP($E1059,Labor!$1:$1048576,H$2,FALSE)</f>
        <v>188.36291729999999</v>
      </c>
      <c r="I1059" s="356">
        <f>+VLOOKUP($E1059,Labor!$1:$1048576,I$2,FALSE)</f>
        <v>189.83317210000001</v>
      </c>
      <c r="J1059" s="356">
        <f>+VLOOKUP($E1059,Labor!$1:$1048576,J$2,FALSE)</f>
        <v>191.1031796</v>
      </c>
      <c r="K1059" s="356">
        <f>+VLOOKUP($E1059,Labor!$1:$1048576,K$2,FALSE)</f>
        <v>192.10320730000001</v>
      </c>
      <c r="L1059" s="356">
        <f>+VLOOKUP($E1059,Labor!$1:$1048576,L$2,FALSE)</f>
        <v>192.8580231</v>
      </c>
      <c r="M1059" s="356">
        <f>+VLOOKUP($E1059,Labor!$1:$1048576,M$2,FALSE)</f>
        <v>193.43215960000001</v>
      </c>
      <c r="N1059" s="356">
        <f>+VLOOKUP($E1059,Labor!$1:$1048576,N$2,FALSE)</f>
        <v>193.88812010000001</v>
      </c>
      <c r="O1059" s="356">
        <f>+VLOOKUP($E1059,Labor!$1:$1048576,O$2,FALSE)</f>
        <v>194.27179720000001</v>
      </c>
      <c r="P1059" s="356">
        <f>+VLOOKUP($E1059,Labor!$1:$1048576,P$2,FALSE)</f>
        <v>194.61156869999999</v>
      </c>
      <c r="Q1059" s="356">
        <f>+VLOOKUP($E1059,Labor!$1:$1048576,Q$2,FALSE)</f>
        <v>194.92220270000001</v>
      </c>
      <c r="R1059" s="356">
        <f>+VLOOKUP($E1059,Labor!$1:$1048576,R$2,FALSE)</f>
        <v>195.2093917</v>
      </c>
      <c r="S1059" s="356">
        <f>+VLOOKUP($E1059,Labor!$1:$1048576,S$2,FALSE)</f>
        <v>195.4733789</v>
      </c>
      <c r="T1059" s="356">
        <f>+VLOOKUP($E1059,Labor!$1:$1048576,T$2,FALSE)</f>
        <v>195.71138830000001</v>
      </c>
      <c r="U1059" s="356">
        <f>+VLOOKUP($E1059,Labor!$1:$1048576,U$2,FALSE)</f>
        <v>195.9190625</v>
      </c>
      <c r="V1059" s="356">
        <f>+VLOOKUP($E1059,Labor!$1:$1048576,V$2,FALSE)</f>
        <v>196.09645660000001</v>
      </c>
      <c r="W1059" s="356">
        <f>+VLOOKUP($E1059,Labor!$1:$1048576,W$2,FALSE)</f>
        <v>196.24765769999999</v>
      </c>
      <c r="X1059" s="356">
        <f>+VLOOKUP($E1059,Labor!$1:$1048576,X$2,FALSE)</f>
        <v>196.37331280000001</v>
      </c>
      <c r="Y1059" s="356">
        <f>+VLOOKUP($E1059,Labor!$1:$1048576,Y$2,FALSE)</f>
        <v>196.4709857</v>
      </c>
      <c r="Z1059" s="356">
        <f>+VLOOKUP($E1059,Labor!$1:$1048576,Z$2,FALSE)</f>
        <v>196.53733980000001</v>
      </c>
      <c r="AA1059" s="356">
        <f>+VLOOKUP($E1059,Labor!$1:$1048576,AA$2,FALSE)</f>
        <v>196.56976420000001</v>
      </c>
      <c r="AB1059" s="356">
        <f>+VLOOKUP($E1059,Labor!$1:$1048576,AB$2,FALSE)</f>
        <v>196.56709219999999</v>
      </c>
      <c r="AC1059" s="356">
        <f>+VLOOKUP($E1059,Labor!$1:$1048576,AC$2,FALSE)</f>
        <v>196.52966939999999</v>
      </c>
      <c r="AD1059" s="356">
        <f>+VLOOKUP($E1059,Labor!$1:$1048576,AD$2,FALSE)</f>
        <v>196.4590944</v>
      </c>
      <c r="AE1059" s="356">
        <f>+VLOOKUP($E1059,Labor!$1:$1048576,AE$2,FALSE)</f>
        <v>196.35785630000001</v>
      </c>
      <c r="AF1059" s="356">
        <f>+VLOOKUP($E1059,Labor!$1:$1048576,AF$2,FALSE)</f>
        <v>196.22899580000001</v>
      </c>
      <c r="AG1059" s="356">
        <f>+VLOOKUP($E1059,Labor!$1:$1048576,AG$2,FALSE)</f>
        <v>196.0758395</v>
      </c>
      <c r="AH1059" s="356">
        <f>+VLOOKUP($E1059,Labor!$1:$1048576,AH$2,FALSE)</f>
        <v>195.90181519999999</v>
      </c>
      <c r="AI1059" s="356">
        <f>+VLOOKUP($E1059,Labor!$1:$1048576,AI$2,FALSE)</f>
        <v>195.71033729999999</v>
      </c>
      <c r="AJ1059" s="356">
        <f>+VLOOKUP($E1059,Labor!$1:$1048576,AJ$2,FALSE)</f>
        <v>195.50474389999999</v>
      </c>
      <c r="AK1059" s="356">
        <f>+VLOOKUP($E1059,Labor!$1:$1048576,AK$2,FALSE)</f>
        <v>195.2882674</v>
      </c>
      <c r="AL1059" s="356">
        <f>+VLOOKUP($E1059,Labor!$1:$1048576,AL$2,FALSE)</f>
        <v>195.06402610000001</v>
      </c>
      <c r="AM1059" s="356">
        <f>+VLOOKUP($E1059,Labor!$1:$1048576,AM$2,FALSE)</f>
        <v>194.8350245</v>
      </c>
      <c r="AN1059" s="356">
        <f>+VLOOKUP($E1059,Labor!$1:$1048576,AN$2,FALSE)</f>
        <v>194.6041592</v>
      </c>
      <c r="AO1059" s="356">
        <f>+VLOOKUP($E1059,Labor!$1:$1048576,AO$2,FALSE)</f>
        <v>194.37422340000001</v>
      </c>
    </row>
    <row r="1060" spans="1:41" s="73" customFormat="1" ht="15" customHeight="1" x14ac:dyDescent="0.25">
      <c r="A1060" s="402"/>
      <c r="B1060" s="411"/>
      <c r="C1060" s="159" t="s">
        <v>742</v>
      </c>
      <c r="D1060" s="109"/>
      <c r="E1060" s="80" t="s">
        <v>768</v>
      </c>
      <c r="F1060" s="356">
        <f>+VLOOKUP($E1060,Labor!$1:$1048576,F$2,FALSE)</f>
        <v>98.04</v>
      </c>
      <c r="G1060" s="356">
        <f>+VLOOKUP($E1060,Labor!$1:$1048576,G$2,FALSE)</f>
        <v>98.276364540000003</v>
      </c>
      <c r="H1060" s="356">
        <f>+VLOOKUP($E1060,Labor!$1:$1048576,H$2,FALSE)</f>
        <v>98.505875250000003</v>
      </c>
      <c r="I1060" s="356">
        <f>+VLOOKUP($E1060,Labor!$1:$1048576,I$2,FALSE)</f>
        <v>98.739175259999996</v>
      </c>
      <c r="J1060" s="356">
        <f>+VLOOKUP($E1060,Labor!$1:$1048576,J$2,FALSE)</f>
        <v>98.989680379999996</v>
      </c>
      <c r="K1060" s="356">
        <f>+VLOOKUP($E1060,Labor!$1:$1048576,K$2,FALSE)</f>
        <v>99.269662089999997</v>
      </c>
      <c r="L1060" s="356">
        <f>+VLOOKUP($E1060,Labor!$1:$1048576,L$2,FALSE)</f>
        <v>99.580784129999998</v>
      </c>
      <c r="M1060" s="356">
        <f>+VLOOKUP($E1060,Labor!$1:$1048576,M$2,FALSE)</f>
        <v>99.91422584</v>
      </c>
      <c r="N1060" s="356">
        <f>+VLOOKUP($E1060,Labor!$1:$1048576,N$2,FALSE)</f>
        <v>100.2617882</v>
      </c>
      <c r="O1060" s="356">
        <f>+VLOOKUP($E1060,Labor!$1:$1048576,O$2,FALSE)</f>
        <v>100.6189621</v>
      </c>
      <c r="P1060" s="356">
        <f>+VLOOKUP($E1060,Labor!$1:$1048576,P$2,FALSE)</f>
        <v>100.9850031</v>
      </c>
      <c r="Q1060" s="356">
        <f>+VLOOKUP($E1060,Labor!$1:$1048576,Q$2,FALSE)</f>
        <v>101.36207210000001</v>
      </c>
      <c r="R1060" s="356">
        <f>+VLOOKUP($E1060,Labor!$1:$1048576,R$2,FALSE)</f>
        <v>101.7542263</v>
      </c>
      <c r="S1060" s="356">
        <f>+VLOOKUP($E1060,Labor!$1:$1048576,S$2,FALSE)</f>
        <v>102.1665251</v>
      </c>
      <c r="T1060" s="356">
        <f>+VLOOKUP($E1060,Labor!$1:$1048576,T$2,FALSE)</f>
        <v>102.6043114</v>
      </c>
      <c r="U1060" s="356">
        <f>+VLOOKUP($E1060,Labor!$1:$1048576,U$2,FALSE)</f>
        <v>103.07265820000001</v>
      </c>
      <c r="V1060" s="356">
        <f>+VLOOKUP($E1060,Labor!$1:$1048576,V$2,FALSE)</f>
        <v>103.57005719999999</v>
      </c>
      <c r="W1060" s="356">
        <f>+VLOOKUP($E1060,Labor!$1:$1048576,W$2,FALSE)</f>
        <v>104.0875126</v>
      </c>
      <c r="X1060" s="356">
        <f>+VLOOKUP($E1060,Labor!$1:$1048576,X$2,FALSE)</f>
        <v>104.615944</v>
      </c>
      <c r="Y1060" s="356">
        <f>+VLOOKUP($E1060,Labor!$1:$1048576,Y$2,FALSE)</f>
        <v>105.1483638</v>
      </c>
      <c r="Z1060" s="356">
        <f>+VLOOKUP($E1060,Labor!$1:$1048576,Z$2,FALSE)</f>
        <v>105.6800691</v>
      </c>
      <c r="AA1060" s="356">
        <f>+VLOOKUP($E1060,Labor!$1:$1048576,AA$2,FALSE)</f>
        <v>106.2082035</v>
      </c>
      <c r="AB1060" s="356">
        <f>+VLOOKUP($E1060,Labor!$1:$1048576,AB$2,FALSE)</f>
        <v>106.7312139</v>
      </c>
      <c r="AC1060" s="356">
        <f>+VLOOKUP($E1060,Labor!$1:$1048576,AC$2,FALSE)</f>
        <v>107.2483845</v>
      </c>
      <c r="AD1060" s="356">
        <f>+VLOOKUP($E1060,Labor!$1:$1048576,AD$2,FALSE)</f>
        <v>107.759491</v>
      </c>
      <c r="AE1060" s="356">
        <f>+VLOOKUP($E1060,Labor!$1:$1048576,AE$2,FALSE)</f>
        <v>108.2645655</v>
      </c>
      <c r="AF1060" s="356">
        <f>+VLOOKUP($E1060,Labor!$1:$1048576,AF$2,FALSE)</f>
        <v>108.76375090000001</v>
      </c>
      <c r="AG1060" s="356">
        <f>+VLOOKUP($E1060,Labor!$1:$1048576,AG$2,FALSE)</f>
        <v>109.25721710000001</v>
      </c>
      <c r="AH1060" s="356">
        <f>+VLOOKUP($E1060,Labor!$1:$1048576,AH$2,FALSE)</f>
        <v>109.74512009999999</v>
      </c>
      <c r="AI1060" s="356">
        <f>+VLOOKUP($E1060,Labor!$1:$1048576,AI$2,FALSE)</f>
        <v>110.2275865</v>
      </c>
      <c r="AJ1060" s="356">
        <f>+VLOOKUP($E1060,Labor!$1:$1048576,AJ$2,FALSE)</f>
        <v>110.704714</v>
      </c>
      <c r="AK1060" s="356">
        <f>+VLOOKUP($E1060,Labor!$1:$1048576,AK$2,FALSE)</f>
        <v>111.1765779</v>
      </c>
      <c r="AL1060" s="356">
        <f>+VLOOKUP($E1060,Labor!$1:$1048576,AL$2,FALSE)</f>
        <v>111.6432417</v>
      </c>
      <c r="AM1060" s="356">
        <f>+VLOOKUP($E1060,Labor!$1:$1048576,AM$2,FALSE)</f>
        <v>112.1047658</v>
      </c>
      <c r="AN1060" s="356">
        <f>+VLOOKUP($E1060,Labor!$1:$1048576,AN$2,FALSE)</f>
        <v>112.5612155</v>
      </c>
      <c r="AO1060" s="356">
        <f>+VLOOKUP($E1060,Labor!$1:$1048576,AO$2,FALSE)</f>
        <v>113.01266579999999</v>
      </c>
    </row>
    <row r="1061" spans="1:41" s="73" customFormat="1" ht="15" customHeight="1" x14ac:dyDescent="0.25">
      <c r="A1061" s="402"/>
      <c r="B1061" s="411"/>
      <c r="C1061" s="159" t="s">
        <v>743</v>
      </c>
      <c r="D1061" s="109"/>
      <c r="E1061" s="80" t="s">
        <v>769</v>
      </c>
      <c r="F1061" s="356">
        <f>+VLOOKUP($E1061,Labor!$1:$1048576,F$2,FALSE)</f>
        <v>58.86</v>
      </c>
      <c r="G1061" s="356">
        <f>+VLOOKUP($E1061,Labor!$1:$1048576,G$2,FALSE)</f>
        <v>58.991266029999998</v>
      </c>
      <c r="H1061" s="356">
        <f>+VLOOKUP($E1061,Labor!$1:$1048576,H$2,FALSE)</f>
        <v>59.11537096</v>
      </c>
      <c r="I1061" s="356">
        <f>+VLOOKUP($E1061,Labor!$1:$1048576,I$2,FALSE)</f>
        <v>59.245096119999999</v>
      </c>
      <c r="J1061" s="356">
        <f>+VLOOKUP($E1061,Labor!$1:$1048576,J$2,FALSE)</f>
        <v>59.39012529</v>
      </c>
      <c r="K1061" s="356">
        <f>+VLOOKUP($E1061,Labor!$1:$1048576,K$2,FALSE)</f>
        <v>59.55622769</v>
      </c>
      <c r="L1061" s="356">
        <f>+VLOOKUP($E1061,Labor!$1:$1048576,L$2,FALSE)</f>
        <v>59.743039330000002</v>
      </c>
      <c r="M1061" s="356">
        <f>+VLOOKUP($E1061,Labor!$1:$1048576,M$2,FALSE)</f>
        <v>59.94499424</v>
      </c>
      <c r="N1061" s="356">
        <f>+VLOOKUP($E1061,Labor!$1:$1048576,N$2,FALSE)</f>
        <v>60.156398809999999</v>
      </c>
      <c r="O1061" s="356">
        <f>+VLOOKUP($E1061,Labor!$1:$1048576,O$2,FALSE)</f>
        <v>60.373291960000003</v>
      </c>
      <c r="P1061" s="356">
        <f>+VLOOKUP($E1061,Labor!$1:$1048576,P$2,FALSE)</f>
        <v>60.59381716</v>
      </c>
      <c r="Q1061" s="356">
        <f>+VLOOKUP($E1061,Labor!$1:$1048576,Q$2,FALSE)</f>
        <v>60.817960560000003</v>
      </c>
      <c r="R1061" s="356">
        <f>+VLOOKUP($E1061,Labor!$1:$1048576,R$2,FALSE)</f>
        <v>61.04707166</v>
      </c>
      <c r="S1061" s="356">
        <f>+VLOOKUP($E1061,Labor!$1:$1048576,S$2,FALSE)</f>
        <v>61.283366170000001</v>
      </c>
      <c r="T1061" s="356">
        <f>+VLOOKUP($E1061,Labor!$1:$1048576,T$2,FALSE)</f>
        <v>61.529496549999998</v>
      </c>
      <c r="U1061" s="356">
        <f>+VLOOKUP($E1061,Labor!$1:$1048576,U$2,FALSE)</f>
        <v>61.788215899999997</v>
      </c>
      <c r="V1061" s="356">
        <f>+VLOOKUP($E1061,Labor!$1:$1048576,V$2,FALSE)</f>
        <v>62.05949159</v>
      </c>
      <c r="W1061" s="356">
        <f>+VLOOKUP($E1061,Labor!$1:$1048576,W$2,FALSE)</f>
        <v>62.339690470000001</v>
      </c>
      <c r="X1061" s="356">
        <f>+VLOOKUP($E1061,Labor!$1:$1048576,X$2,FALSE)</f>
        <v>62.624606790000001</v>
      </c>
      <c r="Y1061" s="356">
        <f>+VLOOKUP($E1061,Labor!$1:$1048576,Y$2,FALSE)</f>
        <v>62.910651729999998</v>
      </c>
      <c r="Z1061" s="356">
        <f>+VLOOKUP($E1061,Labor!$1:$1048576,Z$2,FALSE)</f>
        <v>63.19519425</v>
      </c>
      <c r="AA1061" s="356">
        <f>+VLOOKUP($E1061,Labor!$1:$1048576,AA$2,FALSE)</f>
        <v>63.476530429999997</v>
      </c>
      <c r="AB1061" s="356">
        <f>+VLOOKUP($E1061,Labor!$1:$1048576,AB$2,FALSE)</f>
        <v>63.753709200000003</v>
      </c>
      <c r="AC1061" s="356">
        <f>+VLOOKUP($E1061,Labor!$1:$1048576,AC$2,FALSE)</f>
        <v>64.026326800000007</v>
      </c>
      <c r="AD1061" s="356">
        <f>+VLOOKUP($E1061,Labor!$1:$1048576,AD$2,FALSE)</f>
        <v>64.294341689999996</v>
      </c>
      <c r="AE1061" s="356">
        <f>+VLOOKUP($E1061,Labor!$1:$1048576,AE$2,FALSE)</f>
        <v>64.557929200000004</v>
      </c>
      <c r="AF1061" s="356">
        <f>+VLOOKUP($E1061,Labor!$1:$1048576,AF$2,FALSE)</f>
        <v>64.817377980000003</v>
      </c>
      <c r="AG1061" s="356">
        <f>+VLOOKUP($E1061,Labor!$1:$1048576,AG$2,FALSE)</f>
        <v>65.073022539999997</v>
      </c>
      <c r="AH1061" s="356">
        <f>+VLOOKUP($E1061,Labor!$1:$1048576,AH$2,FALSE)</f>
        <v>65.325203619999996</v>
      </c>
      <c r="AI1061" s="356">
        <f>+VLOOKUP($E1061,Labor!$1:$1048576,AI$2,FALSE)</f>
        <v>65.574248339999997</v>
      </c>
      <c r="AJ1061" s="356">
        <f>+VLOOKUP($E1061,Labor!$1:$1048576,AJ$2,FALSE)</f>
        <v>65.820463309999994</v>
      </c>
      <c r="AK1061" s="356">
        <f>+VLOOKUP($E1061,Labor!$1:$1048576,AK$2,FALSE)</f>
        <v>66.064135160000006</v>
      </c>
      <c r="AL1061" s="356">
        <f>+VLOOKUP($E1061,Labor!$1:$1048576,AL$2,FALSE)</f>
        <v>66.305535019999994</v>
      </c>
      <c r="AM1061" s="356">
        <f>+VLOOKUP($E1061,Labor!$1:$1048576,AM$2,FALSE)</f>
        <v>66.544924100000003</v>
      </c>
      <c r="AN1061" s="356">
        <f>+VLOOKUP($E1061,Labor!$1:$1048576,AN$2,FALSE)</f>
        <v>66.782558929999993</v>
      </c>
      <c r="AO1061" s="356">
        <f>+VLOOKUP($E1061,Labor!$1:$1048576,AO$2,FALSE)</f>
        <v>67.01869542</v>
      </c>
    </row>
    <row r="1062" spans="1:41" s="73" customFormat="1" ht="15" customHeight="1" x14ac:dyDescent="0.25">
      <c r="A1062" s="402"/>
      <c r="B1062" s="411"/>
      <c r="C1062" s="159" t="s">
        <v>744</v>
      </c>
      <c r="D1062" s="109"/>
      <c r="E1062" s="80" t="s">
        <v>770</v>
      </c>
      <c r="F1062" s="356">
        <f>+VLOOKUP($E1062,Labor!$1:$1048576,F$2,FALSE)</f>
        <v>150.0064491</v>
      </c>
      <c r="G1062" s="356">
        <f>+VLOOKUP($E1062,Labor!$1:$1048576,G$2,FALSE)</f>
        <v>150.36508380000001</v>
      </c>
      <c r="H1062" s="356">
        <f>+VLOOKUP($E1062,Labor!$1:$1048576,H$2,FALSE)</f>
        <v>150.72278850000001</v>
      </c>
      <c r="I1062" s="356">
        <f>+VLOOKUP($E1062,Labor!$1:$1048576,I$2,FALSE)</f>
        <v>151.09835330000001</v>
      </c>
      <c r="J1062" s="356">
        <f>+VLOOKUP($E1062,Labor!$1:$1048576,J$2,FALSE)</f>
        <v>151.50633690000001</v>
      </c>
      <c r="K1062" s="356">
        <f>+VLOOKUP($E1062,Labor!$1:$1048576,K$2,FALSE)</f>
        <v>151.9564724</v>
      </c>
      <c r="L1062" s="356">
        <f>+VLOOKUP($E1062,Labor!$1:$1048576,L$2,FALSE)</f>
        <v>152.44661300000001</v>
      </c>
      <c r="M1062" s="356">
        <f>+VLOOKUP($E1062,Labor!$1:$1048576,M$2,FALSE)</f>
        <v>152.96332649999999</v>
      </c>
      <c r="N1062" s="356">
        <f>+VLOOKUP($E1062,Labor!$1:$1048576,N$2,FALSE)</f>
        <v>153.4936314</v>
      </c>
      <c r="O1062" s="356">
        <f>+VLOOKUP($E1062,Labor!$1:$1048576,O$2,FALSE)</f>
        <v>154.0292116</v>
      </c>
      <c r="P1062" s="356">
        <f>+VLOOKUP($E1062,Labor!$1:$1048576,P$2,FALSE)</f>
        <v>154.56705690000001</v>
      </c>
      <c r="Q1062" s="356">
        <f>+VLOOKUP($E1062,Labor!$1:$1048576,Q$2,FALSE)</f>
        <v>155.10861850000001</v>
      </c>
      <c r="R1062" s="356">
        <f>+VLOOKUP($E1062,Labor!$1:$1048576,R$2,FALSE)</f>
        <v>155.65852100000001</v>
      </c>
      <c r="S1062" s="356">
        <f>+VLOOKUP($E1062,Labor!$1:$1048576,S$2,FALSE)</f>
        <v>156.2233123</v>
      </c>
      <c r="T1062" s="356">
        <f>+VLOOKUP($E1062,Labor!$1:$1048576,T$2,FALSE)</f>
        <v>156.81043349999999</v>
      </c>
      <c r="U1062" s="356">
        <f>+VLOOKUP($E1062,Labor!$1:$1048576,U$2,FALSE)</f>
        <v>157.42744139999999</v>
      </c>
      <c r="V1062" s="356">
        <f>+VLOOKUP($E1062,Labor!$1:$1048576,V$2,FALSE)</f>
        <v>158.07456049999999</v>
      </c>
      <c r="W1062" s="356">
        <f>+VLOOKUP($E1062,Labor!$1:$1048576,W$2,FALSE)</f>
        <v>158.7425121</v>
      </c>
      <c r="X1062" s="356">
        <f>+VLOOKUP($E1062,Labor!$1:$1048576,X$2,FALSE)</f>
        <v>159.42046339999999</v>
      </c>
      <c r="Y1062" s="356">
        <f>+VLOOKUP($E1062,Labor!$1:$1048576,Y$2,FALSE)</f>
        <v>160.0992621</v>
      </c>
      <c r="Z1062" s="356">
        <f>+VLOOKUP($E1062,Labor!$1:$1048576,Z$2,FALSE)</f>
        <v>160.77234720000001</v>
      </c>
      <c r="AA1062" s="356">
        <f>+VLOOKUP($E1062,Labor!$1:$1048576,AA$2,FALSE)</f>
        <v>161.4356243</v>
      </c>
      <c r="AB1062" s="356">
        <f>+VLOOKUP($E1062,Labor!$1:$1048576,AB$2,FALSE)</f>
        <v>162.0869601</v>
      </c>
      <c r="AC1062" s="356">
        <f>+VLOOKUP($E1062,Labor!$1:$1048576,AC$2,FALSE)</f>
        <v>162.72561930000001</v>
      </c>
      <c r="AD1062" s="356">
        <f>+VLOOKUP($E1062,Labor!$1:$1048576,AD$2,FALSE)</f>
        <v>163.35177759999999</v>
      </c>
      <c r="AE1062" s="356">
        <f>+VLOOKUP($E1062,Labor!$1:$1048576,AE$2,FALSE)</f>
        <v>163.9661524</v>
      </c>
      <c r="AF1062" s="356">
        <f>+VLOOKUP($E1062,Labor!$1:$1048576,AF$2,FALSE)</f>
        <v>164.5697471</v>
      </c>
      <c r="AG1062" s="356">
        <f>+VLOOKUP($E1062,Labor!$1:$1048576,AG$2,FALSE)</f>
        <v>165.16368829999999</v>
      </c>
      <c r="AH1062" s="356">
        <f>+VLOOKUP($E1062,Labor!$1:$1048576,AH$2,FALSE)</f>
        <v>165.74913029999999</v>
      </c>
      <c r="AI1062" s="356">
        <f>+VLOOKUP($E1062,Labor!$1:$1048576,AI$2,FALSE)</f>
        <v>166.3272054</v>
      </c>
      <c r="AJ1062" s="356">
        <f>+VLOOKUP($E1062,Labor!$1:$1048576,AJ$2,FALSE)</f>
        <v>166.89900420000001</v>
      </c>
      <c r="AK1062" s="356">
        <f>+VLOOKUP($E1062,Labor!$1:$1048576,AK$2,FALSE)</f>
        <v>167.46557200000001</v>
      </c>
      <c r="AL1062" s="356">
        <f>+VLOOKUP($E1062,Labor!$1:$1048576,AL$2,FALSE)</f>
        <v>168.02791350000001</v>
      </c>
      <c r="AM1062" s="356">
        <f>+VLOOKUP($E1062,Labor!$1:$1048576,AM$2,FALSE)</f>
        <v>168.5870012</v>
      </c>
      <c r="AN1062" s="356">
        <f>+VLOOKUP($E1062,Labor!$1:$1048576,AN$2,FALSE)</f>
        <v>169.14378249999999</v>
      </c>
      <c r="AO1062" s="356">
        <f>+VLOOKUP($E1062,Labor!$1:$1048576,AO$2,FALSE)</f>
        <v>169.699186</v>
      </c>
    </row>
    <row r="1063" spans="1:41" s="73" customFormat="1" ht="15" customHeight="1" x14ac:dyDescent="0.25">
      <c r="A1063" s="402"/>
      <c r="B1063" s="411"/>
      <c r="C1063" s="159" t="s">
        <v>745</v>
      </c>
      <c r="D1063" s="109"/>
      <c r="E1063" s="80" t="s">
        <v>771</v>
      </c>
      <c r="F1063" s="356">
        <f>+VLOOKUP($E1063,Labor!$1:$1048576,F$2,FALSE)</f>
        <v>153.44</v>
      </c>
      <c r="G1063" s="356">
        <f>+VLOOKUP($E1063,Labor!$1:$1048576,G$2,FALSE)</f>
        <v>153.81948499999999</v>
      </c>
      <c r="H1063" s="356">
        <f>+VLOOKUP($E1063,Labor!$1:$1048576,H$2,FALSE)</f>
        <v>154.1963097</v>
      </c>
      <c r="I1063" s="356">
        <f>+VLOOKUP($E1063,Labor!$1:$1048576,I$2,FALSE)</f>
        <v>154.57443480000001</v>
      </c>
      <c r="J1063" s="356">
        <f>+VLOOKUP($E1063,Labor!$1:$1048576,J$2,FALSE)</f>
        <v>154.95922859999999</v>
      </c>
      <c r="K1063" s="356">
        <f>+VLOOKUP($E1063,Labor!$1:$1048576,K$2,FALSE)</f>
        <v>155.3560057</v>
      </c>
      <c r="L1063" s="356">
        <f>+VLOOKUP($E1063,Labor!$1:$1048576,L$2,FALSE)</f>
        <v>155.76617279999999</v>
      </c>
      <c r="M1063" s="356">
        <f>+VLOOKUP($E1063,Labor!$1:$1048576,M$2,FALSE)</f>
        <v>156.18646530000001</v>
      </c>
      <c r="N1063" s="356">
        <f>+VLOOKUP($E1063,Labor!$1:$1048576,N$2,FALSE)</f>
        <v>156.61259190000001</v>
      </c>
      <c r="O1063" s="356">
        <f>+VLOOKUP($E1063,Labor!$1:$1048576,O$2,FALSE)</f>
        <v>157.04093789999999</v>
      </c>
      <c r="P1063" s="356">
        <f>+VLOOKUP($E1063,Labor!$1:$1048576,P$2,FALSE)</f>
        <v>157.46927160000001</v>
      </c>
      <c r="Q1063" s="356">
        <f>+VLOOKUP($E1063,Labor!$1:$1048576,Q$2,FALSE)</f>
        <v>157.89681179999999</v>
      </c>
      <c r="R1063" s="356">
        <f>+VLOOKUP($E1063,Labor!$1:$1048576,R$2,FALSE)</f>
        <v>158.32392680000001</v>
      </c>
      <c r="S1063" s="356">
        <f>+VLOOKUP($E1063,Labor!$1:$1048576,S$2,FALSE)</f>
        <v>158.75168170000001</v>
      </c>
      <c r="T1063" s="356">
        <f>+VLOOKUP($E1063,Labor!$1:$1048576,T$2,FALSE)</f>
        <v>159.18138260000001</v>
      </c>
      <c r="U1063" s="356">
        <f>+VLOOKUP($E1063,Labor!$1:$1048576,U$2,FALSE)</f>
        <v>159.6141958</v>
      </c>
      <c r="V1063" s="356">
        <f>+VLOOKUP($E1063,Labor!$1:$1048576,V$2,FALSE)</f>
        <v>160.04871410000001</v>
      </c>
      <c r="W1063" s="356">
        <f>+VLOOKUP($E1063,Labor!$1:$1048576,W$2,FALSE)</f>
        <v>160.48032240000001</v>
      </c>
      <c r="X1063" s="356">
        <f>+VLOOKUP($E1063,Labor!$1:$1048576,X$2,FALSE)</f>
        <v>160.90388899999999</v>
      </c>
      <c r="Y1063" s="356">
        <f>+VLOOKUP($E1063,Labor!$1:$1048576,Y$2,FALSE)</f>
        <v>161.31508869999999</v>
      </c>
      <c r="Z1063" s="356">
        <f>+VLOOKUP($E1063,Labor!$1:$1048576,Z$2,FALSE)</f>
        <v>161.71095560000001</v>
      </c>
      <c r="AA1063" s="356">
        <f>+VLOOKUP($E1063,Labor!$1:$1048576,AA$2,FALSE)</f>
        <v>162.08994559999999</v>
      </c>
      <c r="AB1063" s="356">
        <f>+VLOOKUP($E1063,Labor!$1:$1048576,AB$2,FALSE)</f>
        <v>162.45172529999999</v>
      </c>
      <c r="AC1063" s="356">
        <f>+VLOOKUP($E1063,Labor!$1:$1048576,AC$2,FALSE)</f>
        <v>162.7968535</v>
      </c>
      <c r="AD1063" s="356">
        <f>+VLOOKUP($E1063,Labor!$1:$1048576,AD$2,FALSE)</f>
        <v>163.1264659</v>
      </c>
      <c r="AE1063" s="356">
        <f>+VLOOKUP($E1063,Labor!$1:$1048576,AE$2,FALSE)</f>
        <v>163.44201480000001</v>
      </c>
      <c r="AF1063" s="356">
        <f>+VLOOKUP($E1063,Labor!$1:$1048576,AF$2,FALSE)</f>
        <v>163.745081</v>
      </c>
      <c r="AG1063" s="356">
        <f>+VLOOKUP($E1063,Labor!$1:$1048576,AG$2,FALSE)</f>
        <v>164.0372533</v>
      </c>
      <c r="AH1063" s="356">
        <f>+VLOOKUP($E1063,Labor!$1:$1048576,AH$2,FALSE)</f>
        <v>164.3200611</v>
      </c>
      <c r="AI1063" s="356">
        <f>+VLOOKUP($E1063,Labor!$1:$1048576,AI$2,FALSE)</f>
        <v>164.59494559999999</v>
      </c>
      <c r="AJ1063" s="356">
        <f>+VLOOKUP($E1063,Labor!$1:$1048576,AJ$2,FALSE)</f>
        <v>164.86325450000001</v>
      </c>
      <c r="AK1063" s="356">
        <f>+VLOOKUP($E1063,Labor!$1:$1048576,AK$2,FALSE)</f>
        <v>165.12625030000001</v>
      </c>
      <c r="AL1063" s="356">
        <f>+VLOOKUP($E1063,Labor!$1:$1048576,AL$2,FALSE)</f>
        <v>165.38512470000001</v>
      </c>
      <c r="AM1063" s="356">
        <f>+VLOOKUP($E1063,Labor!$1:$1048576,AM$2,FALSE)</f>
        <v>165.64101410000001</v>
      </c>
      <c r="AN1063" s="356">
        <f>+VLOOKUP($E1063,Labor!$1:$1048576,AN$2,FALSE)</f>
        <v>165.89501250000001</v>
      </c>
      <c r="AO1063" s="356">
        <f>+VLOOKUP($E1063,Labor!$1:$1048576,AO$2,FALSE)</f>
        <v>166.14818220000001</v>
      </c>
    </row>
    <row r="1064" spans="1:41" s="73" customFormat="1" ht="15" customHeight="1" x14ac:dyDescent="0.25">
      <c r="A1064" s="402"/>
      <c r="B1064" s="411"/>
      <c r="C1064" s="159" t="s">
        <v>746</v>
      </c>
      <c r="D1064" s="109"/>
      <c r="E1064" s="80" t="s">
        <v>772</v>
      </c>
      <c r="F1064" s="356">
        <f>+VLOOKUP($E1064,Labor!$1:$1048576,F$2,FALSE)</f>
        <v>386.42</v>
      </c>
      <c r="G1064" s="356">
        <f>+VLOOKUP($E1064,Labor!$1:$1048576,G$2,FALSE)</f>
        <v>387.48180730000001</v>
      </c>
      <c r="H1064" s="356">
        <f>+VLOOKUP($E1064,Labor!$1:$1048576,H$2,FALSE)</f>
        <v>388.62121330000002</v>
      </c>
      <c r="I1064" s="356">
        <f>+VLOOKUP($E1064,Labor!$1:$1048576,I$2,FALSE)</f>
        <v>389.80382250000002</v>
      </c>
      <c r="J1064" s="356">
        <f>+VLOOKUP($E1064,Labor!$1:$1048576,J$2,FALSE)</f>
        <v>391.01828890000002</v>
      </c>
      <c r="K1064" s="356">
        <f>+VLOOKUP($E1064,Labor!$1:$1048576,K$2,FALSE)</f>
        <v>392.27707450000003</v>
      </c>
      <c r="L1064" s="356">
        <f>+VLOOKUP($E1064,Labor!$1:$1048576,L$2,FALSE)</f>
        <v>393.58233250000001</v>
      </c>
      <c r="M1064" s="356">
        <f>+VLOOKUP($E1064,Labor!$1:$1048576,M$2,FALSE)</f>
        <v>394.91428889999997</v>
      </c>
      <c r="N1064" s="356">
        <f>+VLOOKUP($E1064,Labor!$1:$1048576,N$2,FALSE)</f>
        <v>396.2551977</v>
      </c>
      <c r="O1064" s="356">
        <f>+VLOOKUP($E1064,Labor!$1:$1048576,O$2,FALSE)</f>
        <v>397.5964664</v>
      </c>
      <c r="P1064" s="356">
        <f>+VLOOKUP($E1064,Labor!$1:$1048576,P$2,FALSE)</f>
        <v>398.93939219999999</v>
      </c>
      <c r="Q1064" s="356">
        <f>+VLOOKUP($E1064,Labor!$1:$1048576,Q$2,FALSE)</f>
        <v>400.29348010000001</v>
      </c>
      <c r="R1064" s="356">
        <f>+VLOOKUP($E1064,Labor!$1:$1048576,R$2,FALSE)</f>
        <v>401.67400500000002</v>
      </c>
      <c r="S1064" s="356">
        <f>+VLOOKUP($E1064,Labor!$1:$1048576,S$2,FALSE)</f>
        <v>403.09955209999998</v>
      </c>
      <c r="T1064" s="356">
        <f>+VLOOKUP($E1064,Labor!$1:$1048576,T$2,FALSE)</f>
        <v>404.58985280000002</v>
      </c>
      <c r="U1064" s="356">
        <f>+VLOOKUP($E1064,Labor!$1:$1048576,U$2,FALSE)</f>
        <v>406.16402110000001</v>
      </c>
      <c r="V1064" s="356">
        <f>+VLOOKUP($E1064,Labor!$1:$1048576,V$2,FALSE)</f>
        <v>407.82150630000001</v>
      </c>
      <c r="W1064" s="356">
        <f>+VLOOKUP($E1064,Labor!$1:$1048576,W$2,FALSE)</f>
        <v>409.53724010000002</v>
      </c>
      <c r="X1064" s="356">
        <f>+VLOOKUP($E1064,Labor!$1:$1048576,X$2,FALSE)</f>
        <v>411.28219589999998</v>
      </c>
      <c r="Y1064" s="356">
        <f>+VLOOKUP($E1064,Labor!$1:$1048576,Y$2,FALSE)</f>
        <v>413.03142989999998</v>
      </c>
      <c r="Z1064" s="356">
        <f>+VLOOKUP($E1064,Labor!$1:$1048576,Z$2,FALSE)</f>
        <v>414.7664876</v>
      </c>
      <c r="AA1064" s="356">
        <f>+VLOOKUP($E1064,Labor!$1:$1048576,AA$2,FALSE)</f>
        <v>416.47526340000002</v>
      </c>
      <c r="AB1064" s="356">
        <f>+VLOOKUP($E1064,Labor!$1:$1048576,AB$2,FALSE)</f>
        <v>418.15085470000002</v>
      </c>
      <c r="AC1064" s="356">
        <f>+VLOOKUP($E1064,Labor!$1:$1048576,AC$2,FALSE)</f>
        <v>419.7901908</v>
      </c>
      <c r="AD1064" s="356">
        <f>+VLOOKUP($E1064,Labor!$1:$1048576,AD$2,FALSE)</f>
        <v>421.39279679999999</v>
      </c>
      <c r="AE1064" s="356">
        <f>+VLOOKUP($E1064,Labor!$1:$1048576,AE$2,FALSE)</f>
        <v>422.9598226</v>
      </c>
      <c r="AF1064" s="356">
        <f>+VLOOKUP($E1064,Labor!$1:$1048576,AF$2,FALSE)</f>
        <v>424.4933489</v>
      </c>
      <c r="AG1064" s="356">
        <f>+VLOOKUP($E1064,Labor!$1:$1048576,AG$2,FALSE)</f>
        <v>425.99592869999998</v>
      </c>
      <c r="AH1064" s="356">
        <f>+VLOOKUP($E1064,Labor!$1:$1048576,AH$2,FALSE)</f>
        <v>427.47030699999999</v>
      </c>
      <c r="AI1064" s="356">
        <f>+VLOOKUP($E1064,Labor!$1:$1048576,AI$2,FALSE)</f>
        <v>428.91926539999997</v>
      </c>
      <c r="AJ1064" s="356">
        <f>+VLOOKUP($E1064,Labor!$1:$1048576,AJ$2,FALSE)</f>
        <v>430.34554689999999</v>
      </c>
      <c r="AK1064" s="356">
        <f>+VLOOKUP($E1064,Labor!$1:$1048576,AK$2,FALSE)</f>
        <v>431.75182910000001</v>
      </c>
      <c r="AL1064" s="356">
        <f>+VLOOKUP($E1064,Labor!$1:$1048576,AL$2,FALSE)</f>
        <v>433.14072199999998</v>
      </c>
      <c r="AM1064" s="356">
        <f>+VLOOKUP($E1064,Labor!$1:$1048576,AM$2,FALSE)</f>
        <v>434.51477720000003</v>
      </c>
      <c r="AN1064" s="356">
        <f>+VLOOKUP($E1064,Labor!$1:$1048576,AN$2,FALSE)</f>
        <v>435.87649820000001</v>
      </c>
      <c r="AO1064" s="356">
        <f>+VLOOKUP($E1064,Labor!$1:$1048576,AO$2,FALSE)</f>
        <v>437.22834849999998</v>
      </c>
    </row>
    <row r="1065" spans="1:41" s="73" customFormat="1" ht="15" customHeight="1" x14ac:dyDescent="0.25">
      <c r="A1065" s="402"/>
      <c r="B1065" s="411"/>
      <c r="C1065" s="159" t="s">
        <v>747</v>
      </c>
      <c r="D1065" s="109"/>
      <c r="E1065" s="80" t="s">
        <v>773</v>
      </c>
      <c r="F1065" s="356">
        <f>+VLOOKUP($E1065,Labor!$1:$1048576,F$2,FALSE)</f>
        <v>320.72000000000003</v>
      </c>
      <c r="G1065" s="356">
        <f>+VLOOKUP($E1065,Labor!$1:$1048576,G$2,FALSE)</f>
        <v>321.52594420000003</v>
      </c>
      <c r="H1065" s="356">
        <f>+VLOOKUP($E1065,Labor!$1:$1048576,H$2,FALSE)</f>
        <v>322.33749970000002</v>
      </c>
      <c r="I1065" s="356">
        <f>+VLOOKUP($E1065,Labor!$1:$1048576,I$2,FALSE)</f>
        <v>323.15404519999998</v>
      </c>
      <c r="J1065" s="356">
        <f>+VLOOKUP($E1065,Labor!$1:$1048576,J$2,FALSE)</f>
        <v>323.97718149999997</v>
      </c>
      <c r="K1065" s="356">
        <f>+VLOOKUP($E1065,Labor!$1:$1048576,K$2,FALSE)</f>
        <v>324.809505</v>
      </c>
      <c r="L1065" s="356">
        <f>+VLOOKUP($E1065,Labor!$1:$1048576,L$2,FALSE)</f>
        <v>325.64934110000002</v>
      </c>
      <c r="M1065" s="356">
        <f>+VLOOKUP($E1065,Labor!$1:$1048576,M$2,FALSE)</f>
        <v>326.49009119999999</v>
      </c>
      <c r="N1065" s="356">
        <f>+VLOOKUP($E1065,Labor!$1:$1048576,N$2,FALSE)</f>
        <v>327.3249634</v>
      </c>
      <c r="O1065" s="356">
        <f>+VLOOKUP($E1065,Labor!$1:$1048576,O$2,FALSE)</f>
        <v>328.14859799999999</v>
      </c>
      <c r="P1065" s="356">
        <f>+VLOOKUP($E1065,Labor!$1:$1048576,P$2,FALSE)</f>
        <v>328.95749060000003</v>
      </c>
      <c r="Q1065" s="356">
        <f>+VLOOKUP($E1065,Labor!$1:$1048576,Q$2,FALSE)</f>
        <v>329.74980679999999</v>
      </c>
      <c r="R1065" s="356">
        <f>+VLOOKUP($E1065,Labor!$1:$1048576,R$2,FALSE)</f>
        <v>330.52486279999999</v>
      </c>
      <c r="S1065" s="356">
        <f>+VLOOKUP($E1065,Labor!$1:$1048576,S$2,FALSE)</f>
        <v>331.2824756</v>
      </c>
      <c r="T1065" s="356">
        <f>+VLOOKUP($E1065,Labor!$1:$1048576,T$2,FALSE)</f>
        <v>332.02233100000001</v>
      </c>
      <c r="U1065" s="356">
        <f>+VLOOKUP($E1065,Labor!$1:$1048576,U$2,FALSE)</f>
        <v>332.74346450000002</v>
      </c>
      <c r="V1065" s="356">
        <f>+VLOOKUP($E1065,Labor!$1:$1048576,V$2,FALSE)</f>
        <v>333.44143200000002</v>
      </c>
      <c r="W1065" s="356">
        <f>+VLOOKUP($E1065,Labor!$1:$1048576,W$2,FALSE)</f>
        <v>334.1082609</v>
      </c>
      <c r="X1065" s="356">
        <f>+VLOOKUP($E1065,Labor!$1:$1048576,X$2,FALSE)</f>
        <v>334.7363636</v>
      </c>
      <c r="Y1065" s="356">
        <f>+VLOOKUP($E1065,Labor!$1:$1048576,Y$2,FALSE)</f>
        <v>335.32008860000002</v>
      </c>
      <c r="Z1065" s="356">
        <f>+VLOOKUP($E1065,Labor!$1:$1048576,Z$2,FALSE)</f>
        <v>335.85621209999999</v>
      </c>
      <c r="AA1065" s="356">
        <f>+VLOOKUP($E1065,Labor!$1:$1048576,AA$2,FALSE)</f>
        <v>336.34387400000003</v>
      </c>
      <c r="AB1065" s="356">
        <f>+VLOOKUP($E1065,Labor!$1:$1048576,AB$2,FALSE)</f>
        <v>336.78422060000003</v>
      </c>
      <c r="AC1065" s="356">
        <f>+VLOOKUP($E1065,Labor!$1:$1048576,AC$2,FALSE)</f>
        <v>337.17993039999999</v>
      </c>
      <c r="AD1065" s="356">
        <f>+VLOOKUP($E1065,Labor!$1:$1048576,AD$2,FALSE)</f>
        <v>337.53473869999999</v>
      </c>
      <c r="AE1065" s="356">
        <f>+VLOOKUP($E1065,Labor!$1:$1048576,AE$2,FALSE)</f>
        <v>337.85302410000003</v>
      </c>
      <c r="AF1065" s="356">
        <f>+VLOOKUP($E1065,Labor!$1:$1048576,AF$2,FALSE)</f>
        <v>338.13948770000002</v>
      </c>
      <c r="AG1065" s="356">
        <f>+VLOOKUP($E1065,Labor!$1:$1048576,AG$2,FALSE)</f>
        <v>338.39892300000002</v>
      </c>
      <c r="AH1065" s="356">
        <f>+VLOOKUP($E1065,Labor!$1:$1048576,AH$2,FALSE)</f>
        <v>338.6360674</v>
      </c>
      <c r="AI1065" s="356">
        <f>+VLOOKUP($E1065,Labor!$1:$1048576,AI$2,FALSE)</f>
        <v>338.85551459999999</v>
      </c>
      <c r="AJ1065" s="356">
        <f>+VLOOKUP($E1065,Labor!$1:$1048576,AJ$2,FALSE)</f>
        <v>339.06167169999998</v>
      </c>
      <c r="AK1065" s="356">
        <f>+VLOOKUP($E1065,Labor!$1:$1048576,AK$2,FALSE)</f>
        <v>339.25874490000001</v>
      </c>
      <c r="AL1065" s="356">
        <f>+VLOOKUP($E1065,Labor!$1:$1048576,AL$2,FALSE)</f>
        <v>339.45074080000001</v>
      </c>
      <c r="AM1065" s="356">
        <f>+VLOOKUP($E1065,Labor!$1:$1048576,AM$2,FALSE)</f>
        <v>339.64147659999998</v>
      </c>
      <c r="AN1065" s="356">
        <f>+VLOOKUP($E1065,Labor!$1:$1048576,AN$2,FALSE)</f>
        <v>339.83459210000001</v>
      </c>
      <c r="AO1065" s="356">
        <f>+VLOOKUP($E1065,Labor!$1:$1048576,AO$2,FALSE)</f>
        <v>340.0335609</v>
      </c>
    </row>
    <row r="1066" spans="1:41" s="73" customFormat="1" ht="15" customHeight="1" x14ac:dyDescent="0.25">
      <c r="A1066" s="402"/>
      <c r="B1066" s="411"/>
      <c r="C1066" s="159" t="s">
        <v>748</v>
      </c>
      <c r="D1066" s="109"/>
      <c r="E1066" s="80" t="s">
        <v>774</v>
      </c>
      <c r="F1066" s="356">
        <f>+VLOOKUP($E1066,Labor!$1:$1048576,F$2,FALSE)</f>
        <v>612.70000000000005</v>
      </c>
      <c r="G1066" s="356">
        <f>+VLOOKUP($E1066,Labor!$1:$1048576,G$2,FALSE)</f>
        <v>614.15892250000002</v>
      </c>
      <c r="H1066" s="356">
        <f>+VLOOKUP($E1066,Labor!$1:$1048576,H$2,FALSE)</f>
        <v>615.58321469999998</v>
      </c>
      <c r="I1066" s="356">
        <f>+VLOOKUP($E1066,Labor!$1:$1048576,I$2,FALSE)</f>
        <v>617.01746609999998</v>
      </c>
      <c r="J1066" s="356">
        <f>+VLOOKUP($E1066,Labor!$1:$1048576,J$2,FALSE)</f>
        <v>618.4963123</v>
      </c>
      <c r="K1066" s="356">
        <f>+VLOOKUP($E1066,Labor!$1:$1048576,K$2,FALSE)</f>
        <v>620.04293459999997</v>
      </c>
      <c r="L1066" s="356">
        <f>+VLOOKUP($E1066,Labor!$1:$1048576,L$2,FALSE)</f>
        <v>621.66301380000004</v>
      </c>
      <c r="M1066" s="356">
        <f>+VLOOKUP($E1066,Labor!$1:$1048576,M$2,FALSE)</f>
        <v>623.34585749999997</v>
      </c>
      <c r="N1066" s="356">
        <f>+VLOOKUP($E1066,Labor!$1:$1048576,N$2,FALSE)</f>
        <v>625.07585119999999</v>
      </c>
      <c r="O1066" s="356">
        <f>+VLOOKUP($E1066,Labor!$1:$1048576,O$2,FALSE)</f>
        <v>626.83788010000001</v>
      </c>
      <c r="P1066" s="356">
        <f>+VLOOKUP($E1066,Labor!$1:$1048576,P$2,FALSE)</f>
        <v>628.62020470000004</v>
      </c>
      <c r="Q1066" s="356">
        <f>+VLOOKUP($E1066,Labor!$1:$1048576,Q$2,FALSE)</f>
        <v>630.41544820000001</v>
      </c>
      <c r="R1066" s="356">
        <f>+VLOOKUP($E1066,Labor!$1:$1048576,R$2,FALSE)</f>
        <v>632.22020339999995</v>
      </c>
      <c r="S1066" s="356">
        <f>+VLOOKUP($E1066,Labor!$1:$1048576,S$2,FALSE)</f>
        <v>634.03387929999997</v>
      </c>
      <c r="T1066" s="356">
        <f>+VLOOKUP($E1066,Labor!$1:$1048576,T$2,FALSE)</f>
        <v>635.85732570000005</v>
      </c>
      <c r="U1066" s="356">
        <f>+VLOOKUP($E1066,Labor!$1:$1048576,U$2,FALSE)</f>
        <v>637.69159339999999</v>
      </c>
      <c r="V1066" s="356">
        <f>+VLOOKUP($E1066,Labor!$1:$1048576,V$2,FALSE)</f>
        <v>639.530799</v>
      </c>
      <c r="W1066" s="356">
        <f>+VLOOKUP($E1066,Labor!$1:$1048576,W$2,FALSE)</f>
        <v>641.36030300000004</v>
      </c>
      <c r="X1066" s="356">
        <f>+VLOOKUP($E1066,Labor!$1:$1048576,X$2,FALSE)</f>
        <v>643.16440620000003</v>
      </c>
      <c r="Y1066" s="356">
        <f>+VLOOKUP($E1066,Labor!$1:$1048576,Y$2,FALSE)</f>
        <v>644.92987370000003</v>
      </c>
      <c r="Z1066" s="356">
        <f>+VLOOKUP($E1066,Labor!$1:$1048576,Z$2,FALSE)</f>
        <v>646.64759279999998</v>
      </c>
      <c r="AA1066" s="356">
        <f>+VLOOKUP($E1066,Labor!$1:$1048576,AA$2,FALSE)</f>
        <v>648.31291529999999</v>
      </c>
      <c r="AB1066" s="356">
        <f>+VLOOKUP($E1066,Labor!$1:$1048576,AB$2,FALSE)</f>
        <v>649.92510460000005</v>
      </c>
      <c r="AC1066" s="356">
        <f>+VLOOKUP($E1066,Labor!$1:$1048576,AC$2,FALSE)</f>
        <v>651.48634259999994</v>
      </c>
      <c r="AD1066" s="356">
        <f>+VLOOKUP($E1066,Labor!$1:$1048576,AD$2,FALSE)</f>
        <v>653.00066019999997</v>
      </c>
      <c r="AE1066" s="356">
        <f>+VLOOKUP($E1066,Labor!$1:$1048576,AE$2,FALSE)</f>
        <v>654.47301400000003</v>
      </c>
      <c r="AF1066" s="356">
        <f>+VLOOKUP($E1066,Labor!$1:$1048576,AF$2,FALSE)</f>
        <v>655.90860250000003</v>
      </c>
      <c r="AG1066" s="356">
        <f>+VLOOKUP($E1066,Labor!$1:$1048576,AG$2,FALSE)</f>
        <v>657.31242780000002</v>
      </c>
      <c r="AH1066" s="356">
        <f>+VLOOKUP($E1066,Labor!$1:$1048576,AH$2,FALSE)</f>
        <v>658.68906470000002</v>
      </c>
      <c r="AI1066" s="356">
        <f>+VLOOKUP($E1066,Labor!$1:$1048576,AI$2,FALSE)</f>
        <v>660.04258219999997</v>
      </c>
      <c r="AJ1066" s="356">
        <f>+VLOOKUP($E1066,Labor!$1:$1048576,AJ$2,FALSE)</f>
        <v>661.37656370000002</v>
      </c>
      <c r="AK1066" s="356">
        <f>+VLOOKUP($E1066,Labor!$1:$1048576,AK$2,FALSE)</f>
        <v>662.69418180000002</v>
      </c>
      <c r="AL1066" s="356">
        <f>+VLOOKUP($E1066,Labor!$1:$1048576,AL$2,FALSE)</f>
        <v>663.99829420000003</v>
      </c>
      <c r="AM1066" s="356">
        <f>+VLOOKUP($E1066,Labor!$1:$1048576,AM$2,FALSE)</f>
        <v>665.29153940000003</v>
      </c>
      <c r="AN1066" s="356">
        <f>+VLOOKUP($E1066,Labor!$1:$1048576,AN$2,FALSE)</f>
        <v>666.57641850000005</v>
      </c>
      <c r="AO1066" s="356">
        <f>+VLOOKUP($E1066,Labor!$1:$1048576,AO$2,FALSE)</f>
        <v>667.85535789999994</v>
      </c>
    </row>
    <row r="1067" spans="1:41" s="73" customFormat="1" ht="15" customHeight="1" x14ac:dyDescent="0.25">
      <c r="A1067" s="402"/>
      <c r="B1067" s="411"/>
      <c r="C1067" s="159" t="s">
        <v>749</v>
      </c>
      <c r="D1067" s="109"/>
      <c r="E1067" s="80" t="s">
        <v>775</v>
      </c>
      <c r="F1067" s="356">
        <f>+VLOOKUP($E1067,Labor!$1:$1048576,F$2,FALSE)</f>
        <v>1770.63</v>
      </c>
      <c r="G1067" s="356">
        <f>+VLOOKUP($E1067,Labor!$1:$1048576,G$2,FALSE)</f>
        <v>1774.5011910000001</v>
      </c>
      <c r="H1067" s="356">
        <f>+VLOOKUP($E1067,Labor!$1:$1048576,H$2,FALSE)</f>
        <v>1777.7656300000001</v>
      </c>
      <c r="I1067" s="356">
        <f>+VLOOKUP($E1067,Labor!$1:$1048576,I$2,FALSE)</f>
        <v>1780.6542629999999</v>
      </c>
      <c r="J1067" s="356">
        <f>+VLOOKUP($E1067,Labor!$1:$1048576,J$2,FALSE)</f>
        <v>1783.4596300000001</v>
      </c>
      <c r="K1067" s="356">
        <f>+VLOOKUP($E1067,Labor!$1:$1048576,K$2,FALSE)</f>
        <v>1786.414777</v>
      </c>
      <c r="L1067" s="356">
        <f>+VLOOKUP($E1067,Labor!$1:$1048576,L$2,FALSE)</f>
        <v>1789.6384579999999</v>
      </c>
      <c r="M1067" s="356">
        <f>+VLOOKUP($E1067,Labor!$1:$1048576,M$2,FALSE)</f>
        <v>1793.152261</v>
      </c>
      <c r="N1067" s="356">
        <f>+VLOOKUP($E1067,Labor!$1:$1048576,N$2,FALSE)</f>
        <v>1796.938091</v>
      </c>
      <c r="O1067" s="356">
        <f>+VLOOKUP($E1067,Labor!$1:$1048576,O$2,FALSE)</f>
        <v>1800.9645829999999</v>
      </c>
      <c r="P1067" s="356">
        <f>+VLOOKUP($E1067,Labor!$1:$1048576,P$2,FALSE)</f>
        <v>1805.2002</v>
      </c>
      <c r="Q1067" s="356">
        <f>+VLOOKUP($E1067,Labor!$1:$1048576,Q$2,FALSE)</f>
        <v>1809.619357</v>
      </c>
      <c r="R1067" s="356">
        <f>+VLOOKUP($E1067,Labor!$1:$1048576,R$2,FALSE)</f>
        <v>1814.2040870000001</v>
      </c>
      <c r="S1067" s="356">
        <f>+VLOOKUP($E1067,Labor!$1:$1048576,S$2,FALSE)</f>
        <v>1818.9429970000001</v>
      </c>
      <c r="T1067" s="356">
        <f>+VLOOKUP($E1067,Labor!$1:$1048576,T$2,FALSE)</f>
        <v>1823.8289420000001</v>
      </c>
      <c r="U1067" s="356">
        <f>+VLOOKUP($E1067,Labor!$1:$1048576,U$2,FALSE)</f>
        <v>1828.856489</v>
      </c>
      <c r="V1067" s="356">
        <f>+VLOOKUP($E1067,Labor!$1:$1048576,V$2,FALSE)</f>
        <v>1834.001726</v>
      </c>
      <c r="W1067" s="356">
        <f>+VLOOKUP($E1067,Labor!$1:$1048576,W$2,FALSE)</f>
        <v>1839.2213830000001</v>
      </c>
      <c r="X1067" s="356">
        <f>+VLOOKUP($E1067,Labor!$1:$1048576,X$2,FALSE)</f>
        <v>1844.477989</v>
      </c>
      <c r="Y1067" s="356">
        <f>+VLOOKUP($E1067,Labor!$1:$1048576,Y$2,FALSE)</f>
        <v>1849.7455050000001</v>
      </c>
      <c r="Z1067" s="356">
        <f>+VLOOKUP($E1067,Labor!$1:$1048576,Z$2,FALSE)</f>
        <v>1855.009188</v>
      </c>
      <c r="AA1067" s="356">
        <f>+VLOOKUP($E1067,Labor!$1:$1048576,AA$2,FALSE)</f>
        <v>1860.2640060000001</v>
      </c>
      <c r="AB1067" s="356">
        <f>+VLOOKUP($E1067,Labor!$1:$1048576,AB$2,FALSE)</f>
        <v>1865.5125290000001</v>
      </c>
      <c r="AC1067" s="356">
        <f>+VLOOKUP($E1067,Labor!$1:$1048576,AC$2,FALSE)</f>
        <v>1870.762567</v>
      </c>
      <c r="AD1067" s="356">
        <f>+VLOOKUP($E1067,Labor!$1:$1048576,AD$2,FALSE)</f>
        <v>1876.024821</v>
      </c>
      <c r="AE1067" s="356">
        <f>+VLOOKUP($E1067,Labor!$1:$1048576,AE$2,FALSE)</f>
        <v>1881.3107930000001</v>
      </c>
      <c r="AF1067" s="356">
        <f>+VLOOKUP($E1067,Labor!$1:$1048576,AF$2,FALSE)</f>
        <v>1886.6311619999999</v>
      </c>
      <c r="AG1067" s="356">
        <f>+VLOOKUP($E1067,Labor!$1:$1048576,AG$2,FALSE)</f>
        <v>1891.9946649999999</v>
      </c>
      <c r="AH1067" s="356">
        <f>+VLOOKUP($E1067,Labor!$1:$1048576,AH$2,FALSE)</f>
        <v>1897.407479</v>
      </c>
      <c r="AI1067" s="356">
        <f>+VLOOKUP($E1067,Labor!$1:$1048576,AI$2,FALSE)</f>
        <v>1902.8729989999999</v>
      </c>
      <c r="AJ1067" s="356">
        <f>+VLOOKUP($E1067,Labor!$1:$1048576,AJ$2,FALSE)</f>
        <v>1908.3919249999999</v>
      </c>
      <c r="AK1067" s="356">
        <f>+VLOOKUP($E1067,Labor!$1:$1048576,AK$2,FALSE)</f>
        <v>1913.9625229999999</v>
      </c>
      <c r="AL1067" s="356">
        <f>+VLOOKUP($E1067,Labor!$1:$1048576,AL$2,FALSE)</f>
        <v>1919.5809979999999</v>
      </c>
      <c r="AM1067" s="356">
        <f>+VLOOKUP($E1067,Labor!$1:$1048576,AM$2,FALSE)</f>
        <v>1925.2418909999999</v>
      </c>
      <c r="AN1067" s="356">
        <f>+VLOOKUP($E1067,Labor!$1:$1048576,AN$2,FALSE)</f>
        <v>1930.9384689999999</v>
      </c>
      <c r="AO1067" s="356">
        <f>+VLOOKUP($E1067,Labor!$1:$1048576,AO$2,FALSE)</f>
        <v>1936.663059</v>
      </c>
    </row>
    <row r="1068" spans="1:41" s="73" customFormat="1" ht="15" customHeight="1" x14ac:dyDescent="0.25">
      <c r="A1068" s="402"/>
      <c r="B1068" s="411"/>
      <c r="C1068" s="159" t="s">
        <v>750</v>
      </c>
      <c r="D1068" s="109"/>
      <c r="E1068" s="80" t="s">
        <v>776</v>
      </c>
      <c r="F1068" s="356">
        <f>+VLOOKUP($E1068,Labor!$1:$1048576,F$2,FALSE)</f>
        <v>15.482067349999999</v>
      </c>
      <c r="G1068" s="356">
        <f>+VLOOKUP($E1068,Labor!$1:$1048576,G$2,FALSE)</f>
        <v>15.512840860000001</v>
      </c>
      <c r="H1068" s="356">
        <f>+VLOOKUP($E1068,Labor!$1:$1048576,H$2,FALSE)</f>
        <v>15.53725335</v>
      </c>
      <c r="I1068" s="356">
        <f>+VLOOKUP($E1068,Labor!$1:$1048576,I$2,FALSE)</f>
        <v>15.559813610000001</v>
      </c>
      <c r="J1068" s="356">
        <f>+VLOOKUP($E1068,Labor!$1:$1048576,J$2,FALSE)</f>
        <v>15.584267029999999</v>
      </c>
      <c r="K1068" s="356">
        <f>+VLOOKUP($E1068,Labor!$1:$1048576,K$2,FALSE)</f>
        <v>15.61278328</v>
      </c>
      <c r="L1068" s="356">
        <f>+VLOOKUP($E1068,Labor!$1:$1048576,L$2,FALSE)</f>
        <v>15.64572837</v>
      </c>
      <c r="M1068" s="356">
        <f>+VLOOKUP($E1068,Labor!$1:$1048576,M$2,FALSE)</f>
        <v>15.68218982</v>
      </c>
      <c r="N1068" s="356">
        <f>+VLOOKUP($E1068,Labor!$1:$1048576,N$2,FALSE)</f>
        <v>15.72110327</v>
      </c>
      <c r="O1068" s="356">
        <f>+VLOOKUP($E1068,Labor!$1:$1048576,O$2,FALSE)</f>
        <v>15.76163938</v>
      </c>
      <c r="P1068" s="356">
        <f>+VLOOKUP($E1068,Labor!$1:$1048576,P$2,FALSE)</f>
        <v>15.80330126</v>
      </c>
      <c r="Q1068" s="356">
        <f>+VLOOKUP($E1068,Labor!$1:$1048576,Q$2,FALSE)</f>
        <v>15.84590227</v>
      </c>
      <c r="R1068" s="356">
        <f>+VLOOKUP($E1068,Labor!$1:$1048576,R$2,FALSE)</f>
        <v>15.88950015</v>
      </c>
      <c r="S1068" s="356">
        <f>+VLOOKUP($E1068,Labor!$1:$1048576,S$2,FALSE)</f>
        <v>15.934324610000001</v>
      </c>
      <c r="T1068" s="356">
        <f>+VLOOKUP($E1068,Labor!$1:$1048576,T$2,FALSE)</f>
        <v>15.98071461</v>
      </c>
      <c r="U1068" s="356">
        <f>+VLOOKUP($E1068,Labor!$1:$1048576,U$2,FALSE)</f>
        <v>16.02906969</v>
      </c>
      <c r="V1068" s="356">
        <f>+VLOOKUP($E1068,Labor!$1:$1048576,V$2,FALSE)</f>
        <v>16.07928656</v>
      </c>
      <c r="W1068" s="356">
        <f>+VLOOKUP($E1068,Labor!$1:$1048576,W$2,FALSE)</f>
        <v>16.13062429</v>
      </c>
      <c r="X1068" s="356">
        <f>+VLOOKUP($E1068,Labor!$1:$1048576,X$2,FALSE)</f>
        <v>16.18232295</v>
      </c>
      <c r="Y1068" s="356">
        <f>+VLOOKUP($E1068,Labor!$1:$1048576,Y$2,FALSE)</f>
        <v>16.233786259999999</v>
      </c>
      <c r="Z1068" s="356">
        <f>+VLOOKUP($E1068,Labor!$1:$1048576,Z$2,FALSE)</f>
        <v>16.284610489999999</v>
      </c>
      <c r="AA1068" s="356">
        <f>+VLOOKUP($E1068,Labor!$1:$1048576,AA$2,FALSE)</f>
        <v>16.334559039999998</v>
      </c>
      <c r="AB1068" s="356">
        <f>+VLOOKUP($E1068,Labor!$1:$1048576,AB$2,FALSE)</f>
        <v>16.383520969999999</v>
      </c>
      <c r="AC1068" s="356">
        <f>+VLOOKUP($E1068,Labor!$1:$1048576,AC$2,FALSE)</f>
        <v>16.431469969999998</v>
      </c>
      <c r="AD1068" s="356">
        <f>+VLOOKUP($E1068,Labor!$1:$1048576,AD$2,FALSE)</f>
        <v>16.478430320000001</v>
      </c>
      <c r="AE1068" s="356">
        <f>+VLOOKUP($E1068,Labor!$1:$1048576,AE$2,FALSE)</f>
        <v>16.524451920000001</v>
      </c>
      <c r="AF1068" s="356">
        <f>+VLOOKUP($E1068,Labor!$1:$1048576,AF$2,FALSE)</f>
        <v>16.569593780000002</v>
      </c>
      <c r="AG1068" s="356">
        <f>+VLOOKUP($E1068,Labor!$1:$1048576,AG$2,FALSE)</f>
        <v>16.613914390000001</v>
      </c>
      <c r="AH1068" s="356">
        <f>+VLOOKUP($E1068,Labor!$1:$1048576,AH$2,FALSE)</f>
        <v>16.657467140000001</v>
      </c>
      <c r="AI1068" s="356">
        <f>+VLOOKUP($E1068,Labor!$1:$1048576,AI$2,FALSE)</f>
        <v>16.70029911</v>
      </c>
      <c r="AJ1068" s="356">
        <f>+VLOOKUP($E1068,Labor!$1:$1048576,AJ$2,FALSE)</f>
        <v>16.74245195</v>
      </c>
      <c r="AK1068" s="356">
        <f>+VLOOKUP($E1068,Labor!$1:$1048576,AK$2,FALSE)</f>
        <v>16.78396377</v>
      </c>
      <c r="AL1068" s="356">
        <f>+VLOOKUP($E1068,Labor!$1:$1048576,AL$2,FALSE)</f>
        <v>16.824871519999999</v>
      </c>
      <c r="AM1068" s="356">
        <f>+VLOOKUP($E1068,Labor!$1:$1048576,AM$2,FALSE)</f>
        <v>16.865213300000001</v>
      </c>
      <c r="AN1068" s="356">
        <f>+VLOOKUP($E1068,Labor!$1:$1048576,AN$2,FALSE)</f>
        <v>16.905030320000002</v>
      </c>
      <c r="AO1068" s="356">
        <f>+VLOOKUP($E1068,Labor!$1:$1048576,AO$2,FALSE)</f>
        <v>16.94436859</v>
      </c>
    </row>
    <row r="1069" spans="1:41" s="108" customFormat="1" ht="15" customHeight="1" x14ac:dyDescent="0.25">
      <c r="A1069" s="402"/>
      <c r="B1069" s="411"/>
      <c r="C1069" s="87" t="s">
        <v>755</v>
      </c>
      <c r="D1069" s="149"/>
      <c r="E1069" s="90" t="s">
        <v>760</v>
      </c>
      <c r="F1069" s="354" t="e">
        <f>+VLOOKUP($E1069,Labor!$1:$1048576,F$2,FALSE)</f>
        <v>#N/A</v>
      </c>
      <c r="G1069" s="354" t="e">
        <f>+VLOOKUP($E1069,Labor!$1:$1048576,G$2,FALSE)</f>
        <v>#N/A</v>
      </c>
      <c r="H1069" s="354" t="e">
        <f>+VLOOKUP($E1069,Labor!$1:$1048576,H$2,FALSE)</f>
        <v>#N/A</v>
      </c>
      <c r="I1069" s="354" t="e">
        <f>+VLOOKUP($E1069,Labor!$1:$1048576,I$2,FALSE)</f>
        <v>#N/A</v>
      </c>
      <c r="J1069" s="354" t="e">
        <f>+VLOOKUP($E1069,Labor!$1:$1048576,J$2,FALSE)</f>
        <v>#N/A</v>
      </c>
      <c r="K1069" s="354" t="e">
        <f>+VLOOKUP($E1069,Labor!$1:$1048576,K$2,FALSE)</f>
        <v>#N/A</v>
      </c>
      <c r="L1069" s="354" t="e">
        <f>+VLOOKUP($E1069,Labor!$1:$1048576,L$2,FALSE)</f>
        <v>#N/A</v>
      </c>
      <c r="M1069" s="354" t="e">
        <f>+VLOOKUP($E1069,Labor!$1:$1048576,M$2,FALSE)</f>
        <v>#N/A</v>
      </c>
      <c r="N1069" s="354" t="e">
        <f>+VLOOKUP($E1069,Labor!$1:$1048576,N$2,FALSE)</f>
        <v>#N/A</v>
      </c>
      <c r="O1069" s="354" t="e">
        <f>+VLOOKUP($E1069,Labor!$1:$1048576,O$2,FALSE)</f>
        <v>#N/A</v>
      </c>
      <c r="P1069" s="354" t="e">
        <f>+VLOOKUP($E1069,Labor!$1:$1048576,P$2,FALSE)</f>
        <v>#N/A</v>
      </c>
      <c r="Q1069" s="354" t="e">
        <f>+VLOOKUP($E1069,Labor!$1:$1048576,Q$2,FALSE)</f>
        <v>#N/A</v>
      </c>
      <c r="R1069" s="354" t="e">
        <f>+VLOOKUP($E1069,Labor!$1:$1048576,R$2,FALSE)</f>
        <v>#N/A</v>
      </c>
      <c r="S1069" s="354" t="e">
        <f>+VLOOKUP($E1069,Labor!$1:$1048576,S$2,FALSE)</f>
        <v>#N/A</v>
      </c>
      <c r="T1069" s="354" t="e">
        <f>+VLOOKUP($E1069,Labor!$1:$1048576,T$2,FALSE)</f>
        <v>#N/A</v>
      </c>
      <c r="U1069" s="354" t="e">
        <f>+VLOOKUP($E1069,Labor!$1:$1048576,U$2,FALSE)</f>
        <v>#N/A</v>
      </c>
      <c r="V1069" s="354" t="e">
        <f>+VLOOKUP($E1069,Labor!$1:$1048576,V$2,FALSE)</f>
        <v>#N/A</v>
      </c>
      <c r="W1069" s="354" t="e">
        <f>+VLOOKUP($E1069,Labor!$1:$1048576,W$2,FALSE)</f>
        <v>#N/A</v>
      </c>
      <c r="X1069" s="354" t="e">
        <f>+VLOOKUP($E1069,Labor!$1:$1048576,X$2,FALSE)</f>
        <v>#N/A</v>
      </c>
      <c r="Y1069" s="354" t="e">
        <f>+VLOOKUP($E1069,Labor!$1:$1048576,Y$2,FALSE)</f>
        <v>#N/A</v>
      </c>
      <c r="Z1069" s="354" t="e">
        <f>+VLOOKUP($E1069,Labor!$1:$1048576,Z$2,FALSE)</f>
        <v>#N/A</v>
      </c>
      <c r="AA1069" s="354" t="e">
        <f>+VLOOKUP($E1069,Labor!$1:$1048576,AA$2,FALSE)</f>
        <v>#N/A</v>
      </c>
      <c r="AB1069" s="354" t="e">
        <f>+VLOOKUP($E1069,Labor!$1:$1048576,AB$2,FALSE)</f>
        <v>#N/A</v>
      </c>
      <c r="AC1069" s="354" t="e">
        <f>+VLOOKUP($E1069,Labor!$1:$1048576,AC$2,FALSE)</f>
        <v>#N/A</v>
      </c>
      <c r="AD1069" s="354" t="e">
        <f>+VLOOKUP($E1069,Labor!$1:$1048576,AD$2,FALSE)</f>
        <v>#N/A</v>
      </c>
      <c r="AE1069" s="354" t="e">
        <f>+VLOOKUP($E1069,Labor!$1:$1048576,AE$2,FALSE)</f>
        <v>#N/A</v>
      </c>
      <c r="AF1069" s="354" t="e">
        <f>+VLOOKUP($E1069,Labor!$1:$1048576,AF$2,FALSE)</f>
        <v>#N/A</v>
      </c>
      <c r="AG1069" s="354" t="e">
        <f>+VLOOKUP($E1069,Labor!$1:$1048576,AG$2,FALSE)</f>
        <v>#N/A</v>
      </c>
      <c r="AH1069" s="354" t="e">
        <f>+VLOOKUP($E1069,Labor!$1:$1048576,AH$2,FALSE)</f>
        <v>#N/A</v>
      </c>
      <c r="AI1069" s="354" t="e">
        <f>+VLOOKUP($E1069,Labor!$1:$1048576,AI$2,FALSE)</f>
        <v>#N/A</v>
      </c>
      <c r="AJ1069" s="354" t="e">
        <f>+VLOOKUP($E1069,Labor!$1:$1048576,AJ$2,FALSE)</f>
        <v>#N/A</v>
      </c>
      <c r="AK1069" s="354" t="e">
        <f>+VLOOKUP($E1069,Labor!$1:$1048576,AK$2,FALSE)</f>
        <v>#N/A</v>
      </c>
      <c r="AL1069" s="354" t="e">
        <f>+VLOOKUP($E1069,Labor!$1:$1048576,AL$2,FALSE)</f>
        <v>#N/A</v>
      </c>
      <c r="AM1069" s="354" t="e">
        <f>+VLOOKUP($E1069,Labor!$1:$1048576,AM$2,FALSE)</f>
        <v>#N/A</v>
      </c>
      <c r="AN1069" s="354" t="e">
        <f>+VLOOKUP($E1069,Labor!$1:$1048576,AN$2,FALSE)</f>
        <v>#N/A</v>
      </c>
      <c r="AO1069" s="354" t="e">
        <f>+VLOOKUP($E1069,Labor!$1:$1048576,AO$2,FALSE)</f>
        <v>#N/A</v>
      </c>
    </row>
    <row r="1070" spans="1:41" s="73" customFormat="1" ht="15" customHeight="1" x14ac:dyDescent="0.25">
      <c r="A1070" s="402"/>
      <c r="B1070" s="411"/>
      <c r="C1070" s="159" t="s">
        <v>616</v>
      </c>
      <c r="D1070" s="109"/>
      <c r="E1070" s="80" t="s">
        <v>777</v>
      </c>
      <c r="F1070" s="356">
        <f>+VLOOKUP($E1070,Labor!$1:$1048576,F$2,FALSE)</f>
        <v>32.31221129</v>
      </c>
      <c r="G1070" s="356">
        <f>+VLOOKUP($E1070,Labor!$1:$1048576,G$2,FALSE)</f>
        <v>32.366165109999997</v>
      </c>
      <c r="H1070" s="356">
        <f>+VLOOKUP($E1070,Labor!$1:$1048576,H$2,FALSE)</f>
        <v>32.399939189999998</v>
      </c>
      <c r="I1070" s="356">
        <f>+VLOOKUP($E1070,Labor!$1:$1048576,I$2,FALSE)</f>
        <v>32.426598779999999</v>
      </c>
      <c r="J1070" s="356">
        <f>+VLOOKUP($E1070,Labor!$1:$1048576,J$2,FALSE)</f>
        <v>32.456686490000003</v>
      </c>
      <c r="K1070" s="356">
        <f>+VLOOKUP($E1070,Labor!$1:$1048576,K$2,FALSE)</f>
        <v>32.4969702</v>
      </c>
      <c r="L1070" s="356">
        <f>+VLOOKUP($E1070,Labor!$1:$1048576,L$2,FALSE)</f>
        <v>32.549483619999997</v>
      </c>
      <c r="M1070" s="356">
        <f>+VLOOKUP($E1070,Labor!$1:$1048576,M$2,FALSE)</f>
        <v>32.612283390000002</v>
      </c>
      <c r="N1070" s="356">
        <f>+VLOOKUP($E1070,Labor!$1:$1048576,N$2,FALSE)</f>
        <v>32.68251841</v>
      </c>
      <c r="O1070" s="356">
        <f>+VLOOKUP($E1070,Labor!$1:$1048576,O$2,FALSE)</f>
        <v>32.757856250000003</v>
      </c>
      <c r="P1070" s="356">
        <f>+VLOOKUP($E1070,Labor!$1:$1048576,P$2,FALSE)</f>
        <v>32.837010460000002</v>
      </c>
      <c r="Q1070" s="356">
        <f>+VLOOKUP($E1070,Labor!$1:$1048576,Q$2,FALSE)</f>
        <v>32.919790630000001</v>
      </c>
      <c r="R1070" s="356">
        <f>+VLOOKUP($E1070,Labor!$1:$1048576,R$2,FALSE)</f>
        <v>33.006929049999997</v>
      </c>
      <c r="S1070" s="356">
        <f>+VLOOKUP($E1070,Labor!$1:$1048576,S$2,FALSE)</f>
        <v>33.099832149999997</v>
      </c>
      <c r="T1070" s="356">
        <f>+VLOOKUP($E1070,Labor!$1:$1048576,T$2,FALSE)</f>
        <v>33.200334239999997</v>
      </c>
      <c r="U1070" s="356">
        <f>+VLOOKUP($E1070,Labor!$1:$1048576,U$2,FALSE)</f>
        <v>33.310487909999999</v>
      </c>
      <c r="V1070" s="356">
        <f>+VLOOKUP($E1070,Labor!$1:$1048576,V$2,FALSE)</f>
        <v>33.430864479999997</v>
      </c>
      <c r="W1070" s="356">
        <f>+VLOOKUP($E1070,Labor!$1:$1048576,W$2,FALSE)</f>
        <v>33.559850570000002</v>
      </c>
      <c r="X1070" s="356">
        <f>+VLOOKUP($E1070,Labor!$1:$1048576,X$2,FALSE)</f>
        <v>33.695172450000001</v>
      </c>
      <c r="Y1070" s="356">
        <f>+VLOOKUP($E1070,Labor!$1:$1048576,Y$2,FALSE)</f>
        <v>33.834634719999997</v>
      </c>
      <c r="Z1070" s="356">
        <f>+VLOOKUP($E1070,Labor!$1:$1048576,Z$2,FALSE)</f>
        <v>33.976432750000001</v>
      </c>
      <c r="AA1070" s="356">
        <f>+VLOOKUP($E1070,Labor!$1:$1048576,AA$2,FALSE)</f>
        <v>34.119230559999998</v>
      </c>
      <c r="AB1070" s="356">
        <f>+VLOOKUP($E1070,Labor!$1:$1048576,AB$2,FALSE)</f>
        <v>34.262119910000003</v>
      </c>
      <c r="AC1070" s="356">
        <f>+VLOOKUP($E1070,Labor!$1:$1048576,AC$2,FALSE)</f>
        <v>34.404531919999997</v>
      </c>
      <c r="AD1070" s="356">
        <f>+VLOOKUP($E1070,Labor!$1:$1048576,AD$2,FALSE)</f>
        <v>34.546141599999999</v>
      </c>
      <c r="AE1070" s="356">
        <f>+VLOOKUP($E1070,Labor!$1:$1048576,AE$2,FALSE)</f>
        <v>34.686784729999999</v>
      </c>
      <c r="AF1070" s="356">
        <f>+VLOOKUP($E1070,Labor!$1:$1048576,AF$2,FALSE)</f>
        <v>34.826394180000001</v>
      </c>
      <c r="AG1070" s="356">
        <f>+VLOOKUP($E1070,Labor!$1:$1048576,AG$2,FALSE)</f>
        <v>34.964955430000003</v>
      </c>
      <c r="AH1070" s="356">
        <f>+VLOOKUP($E1070,Labor!$1:$1048576,AH$2,FALSE)</f>
        <v>35.102478480000002</v>
      </c>
      <c r="AI1070" s="356">
        <f>+VLOOKUP($E1070,Labor!$1:$1048576,AI$2,FALSE)</f>
        <v>35.238982020000002</v>
      </c>
      <c r="AJ1070" s="356">
        <f>+VLOOKUP($E1070,Labor!$1:$1048576,AJ$2,FALSE)</f>
        <v>35.374486179999998</v>
      </c>
      <c r="AK1070" s="356">
        <f>+VLOOKUP($E1070,Labor!$1:$1048576,AK$2,FALSE)</f>
        <v>35.509010519999997</v>
      </c>
      <c r="AL1070" s="356">
        <f>+VLOOKUP($E1070,Labor!$1:$1048576,AL$2,FALSE)</f>
        <v>35.642575049999998</v>
      </c>
      <c r="AM1070" s="356">
        <f>+VLOOKUP($E1070,Labor!$1:$1048576,AM$2,FALSE)</f>
        <v>35.775202470000004</v>
      </c>
      <c r="AN1070" s="356">
        <f>+VLOOKUP($E1070,Labor!$1:$1048576,AN$2,FALSE)</f>
        <v>35.906920550000002</v>
      </c>
      <c r="AO1070" s="356">
        <f>+VLOOKUP($E1070,Labor!$1:$1048576,AO$2,FALSE)</f>
        <v>36.037764039999999</v>
      </c>
    </row>
    <row r="1071" spans="1:41" s="73" customFormat="1" ht="15" customHeight="1" x14ac:dyDescent="0.25">
      <c r="A1071" s="402"/>
      <c r="B1071" s="411"/>
      <c r="C1071" s="159" t="s">
        <v>617</v>
      </c>
      <c r="D1071" s="109"/>
      <c r="E1071" s="80" t="s">
        <v>778</v>
      </c>
      <c r="F1071" s="356">
        <f>+VLOOKUP($E1071,Labor!$1:$1048576,F$2,FALSE)</f>
        <v>759.65778869999997</v>
      </c>
      <c r="G1071" s="356">
        <f>+VLOOKUP($E1071,Labor!$1:$1048576,G$2,FALSE)</f>
        <v>760.89740300000005</v>
      </c>
      <c r="H1071" s="356">
        <f>+VLOOKUP($E1071,Labor!$1:$1048576,H$2,FALSE)</f>
        <v>761.62849789999996</v>
      </c>
      <c r="I1071" s="356">
        <f>+VLOOKUP($E1071,Labor!$1:$1048576,I$2,FALSE)</f>
        <v>762.15810710000005</v>
      </c>
      <c r="J1071" s="356">
        <f>+VLOOKUP($E1071,Labor!$1:$1048576,J$2,FALSE)</f>
        <v>762.73114759999999</v>
      </c>
      <c r="K1071" s="356">
        <f>+VLOOKUP($E1071,Labor!$1:$1048576,K$2,FALSE)</f>
        <v>763.49882209999998</v>
      </c>
      <c r="L1071" s="356">
        <f>+VLOOKUP($E1071,Labor!$1:$1048576,L$2,FALSE)</f>
        <v>764.51009750000003</v>
      </c>
      <c r="M1071" s="356">
        <f>+VLOOKUP($E1071,Labor!$1:$1048576,M$2,FALSE)</f>
        <v>765.73390619999998</v>
      </c>
      <c r="N1071" s="356">
        <f>+VLOOKUP($E1071,Labor!$1:$1048576,N$2,FALSE)</f>
        <v>767.1172014</v>
      </c>
      <c r="O1071" s="356">
        <f>+VLOOKUP($E1071,Labor!$1:$1048576,O$2,FALSE)</f>
        <v>768.61294650000002</v>
      </c>
      <c r="P1071" s="356">
        <f>+VLOOKUP($E1071,Labor!$1:$1048576,P$2,FALSE)</f>
        <v>770.19132720000005</v>
      </c>
      <c r="Q1071" s="356">
        <f>+VLOOKUP($E1071,Labor!$1:$1048576,Q$2,FALSE)</f>
        <v>771.84171230000004</v>
      </c>
      <c r="R1071" s="356">
        <f>+VLOOKUP($E1071,Labor!$1:$1048576,R$2,FALSE)</f>
        <v>773.57006639999997</v>
      </c>
      <c r="S1071" s="356">
        <f>+VLOOKUP($E1071,Labor!$1:$1048576,S$2,FALSE)</f>
        <v>775.39468069999998</v>
      </c>
      <c r="T1071" s="356">
        <f>+VLOOKUP($E1071,Labor!$1:$1048576,T$2,FALSE)</f>
        <v>777.3417796</v>
      </c>
      <c r="U1071" s="356">
        <f>+VLOOKUP($E1071,Labor!$1:$1048576,U$2,FALSE)</f>
        <v>779.44172379999998</v>
      </c>
      <c r="V1071" s="356">
        <f>+VLOOKUP($E1071,Labor!$1:$1048576,V$2,FALSE)</f>
        <v>781.70068100000003</v>
      </c>
      <c r="W1071" s="356">
        <f>+VLOOKUP($E1071,Labor!$1:$1048576,W$2,FALSE)</f>
        <v>784.08914349999998</v>
      </c>
      <c r="X1071" s="356">
        <f>+VLOOKUP($E1071,Labor!$1:$1048576,X$2,FALSE)</f>
        <v>786.56740349999995</v>
      </c>
      <c r="Y1071" s="356">
        <f>+VLOOKUP($E1071,Labor!$1:$1048576,Y$2,FALSE)</f>
        <v>789.09780679999994</v>
      </c>
      <c r="Z1071" s="356">
        <f>+VLOOKUP($E1071,Labor!$1:$1048576,Z$2,FALSE)</f>
        <v>791.64995260000001</v>
      </c>
      <c r="AA1071" s="356">
        <f>+VLOOKUP($E1071,Labor!$1:$1048576,AA$2,FALSE)</f>
        <v>794.20191829999999</v>
      </c>
      <c r="AB1071" s="356">
        <f>+VLOOKUP($E1071,Labor!$1:$1048576,AB$2,FALSE)</f>
        <v>796.73942450000004</v>
      </c>
      <c r="AC1071" s="356">
        <f>+VLOOKUP($E1071,Labor!$1:$1048576,AC$2,FALSE)</f>
        <v>799.25417149999998</v>
      </c>
      <c r="AD1071" s="356">
        <f>+VLOOKUP($E1071,Labor!$1:$1048576,AD$2,FALSE)</f>
        <v>801.74207049999995</v>
      </c>
      <c r="AE1071" s="356">
        <f>+VLOOKUP($E1071,Labor!$1:$1048576,AE$2,FALSE)</f>
        <v>804.20172500000001</v>
      </c>
      <c r="AF1071" s="356">
        <f>+VLOOKUP($E1071,Labor!$1:$1048576,AF$2,FALSE)</f>
        <v>806.63328409999997</v>
      </c>
      <c r="AG1071" s="356">
        <f>+VLOOKUP($E1071,Labor!$1:$1048576,AG$2,FALSE)</f>
        <v>809.03766380000002</v>
      </c>
      <c r="AH1071" s="356">
        <f>+VLOOKUP($E1071,Labor!$1:$1048576,AH$2,FALSE)</f>
        <v>811.41607290000002</v>
      </c>
      <c r="AI1071" s="356">
        <f>+VLOOKUP($E1071,Labor!$1:$1048576,AI$2,FALSE)</f>
        <v>813.76976609999997</v>
      </c>
      <c r="AJ1071" s="356">
        <f>+VLOOKUP($E1071,Labor!$1:$1048576,AJ$2,FALSE)</f>
        <v>816.09995000000004</v>
      </c>
      <c r="AK1071" s="356">
        <f>+VLOOKUP($E1071,Labor!$1:$1048576,AK$2,FALSE)</f>
        <v>818.40778269999998</v>
      </c>
      <c r="AL1071" s="356">
        <f>+VLOOKUP($E1071,Labor!$1:$1048576,AL$2,FALSE)</f>
        <v>820.69441949999998</v>
      </c>
      <c r="AM1071" s="356">
        <f>+VLOOKUP($E1071,Labor!$1:$1048576,AM$2,FALSE)</f>
        <v>822.96107500000005</v>
      </c>
      <c r="AN1071" s="356">
        <f>+VLOOKUP($E1071,Labor!$1:$1048576,AN$2,FALSE)</f>
        <v>825.20908059999999</v>
      </c>
      <c r="AO1071" s="356">
        <f>+VLOOKUP($E1071,Labor!$1:$1048576,AO$2,FALSE)</f>
        <v>827.43992639999999</v>
      </c>
    </row>
    <row r="1072" spans="1:41" s="73" customFormat="1" ht="15" customHeight="1" x14ac:dyDescent="0.25">
      <c r="A1072" s="402"/>
      <c r="B1072" s="411"/>
      <c r="C1072" s="159" t="s">
        <v>618</v>
      </c>
      <c r="D1072" s="109"/>
      <c r="E1072" s="80" t="s">
        <v>779</v>
      </c>
      <c r="F1072" s="356">
        <f>+VLOOKUP($E1072,Labor!$1:$1048576,F$2,FALSE)</f>
        <v>14.44</v>
      </c>
      <c r="G1072" s="356">
        <f>+VLOOKUP($E1072,Labor!$1:$1048576,G$2,FALSE)</f>
        <v>14.478721419999999</v>
      </c>
      <c r="H1072" s="356">
        <f>+VLOOKUP($E1072,Labor!$1:$1048576,H$2,FALSE)</f>
        <v>14.520375720000001</v>
      </c>
      <c r="I1072" s="356">
        <f>+VLOOKUP($E1072,Labor!$1:$1048576,I$2,FALSE)</f>
        <v>14.56491055</v>
      </c>
      <c r="J1072" s="356">
        <f>+VLOOKUP($E1072,Labor!$1:$1048576,J$2,FALSE)</f>
        <v>14.612623429999999</v>
      </c>
      <c r="K1072" s="356">
        <f>+VLOOKUP($E1072,Labor!$1:$1048576,K$2,FALSE)</f>
        <v>14.664179450000001</v>
      </c>
      <c r="L1072" s="356">
        <f>+VLOOKUP($E1072,Labor!$1:$1048576,L$2,FALSE)</f>
        <v>14.719168379999999</v>
      </c>
      <c r="M1072" s="356">
        <f>+VLOOKUP($E1072,Labor!$1:$1048576,M$2,FALSE)</f>
        <v>14.775893590000001</v>
      </c>
      <c r="N1072" s="356">
        <f>+VLOOKUP($E1072,Labor!$1:$1048576,N$2,FALSE)</f>
        <v>14.83292797</v>
      </c>
      <c r="O1072" s="356">
        <f>+VLOOKUP($E1072,Labor!$1:$1048576,O$2,FALSE)</f>
        <v>14.88954833</v>
      </c>
      <c r="P1072" s="356">
        <f>+VLOOKUP($E1072,Labor!$1:$1048576,P$2,FALSE)</f>
        <v>14.94572496</v>
      </c>
      <c r="Q1072" s="356">
        <f>+VLOOKUP($E1072,Labor!$1:$1048576,Q$2,FALSE)</f>
        <v>15.00196708</v>
      </c>
      <c r="R1072" s="356">
        <f>+VLOOKUP($E1072,Labor!$1:$1048576,R$2,FALSE)</f>
        <v>15.059145109999999</v>
      </c>
      <c r="S1072" s="356">
        <f>+VLOOKUP($E1072,Labor!$1:$1048576,S$2,FALSE)</f>
        <v>15.118332430000001</v>
      </c>
      <c r="T1072" s="356">
        <f>+VLOOKUP($E1072,Labor!$1:$1048576,T$2,FALSE)</f>
        <v>15.180677169999999</v>
      </c>
      <c r="U1072" s="356">
        <f>+VLOOKUP($E1072,Labor!$1:$1048576,U$2,FALSE)</f>
        <v>15.247302899999999</v>
      </c>
      <c r="V1072" s="356">
        <f>+VLOOKUP($E1072,Labor!$1:$1048576,V$2,FALSE)</f>
        <v>15.31823966</v>
      </c>
      <c r="W1072" s="356">
        <f>+VLOOKUP($E1072,Labor!$1:$1048576,W$2,FALSE)</f>
        <v>15.392170610000001</v>
      </c>
      <c r="X1072" s="356">
        <f>+VLOOKUP($E1072,Labor!$1:$1048576,X$2,FALSE)</f>
        <v>15.467603159999999</v>
      </c>
      <c r="Y1072" s="356">
        <f>+VLOOKUP($E1072,Labor!$1:$1048576,Y$2,FALSE)</f>
        <v>15.54328606</v>
      </c>
      <c r="Z1072" s="356">
        <f>+VLOOKUP($E1072,Labor!$1:$1048576,Z$2,FALSE)</f>
        <v>15.61830393</v>
      </c>
      <c r="AA1072" s="356">
        <f>+VLOOKUP($E1072,Labor!$1:$1048576,AA$2,FALSE)</f>
        <v>15.6920506</v>
      </c>
      <c r="AB1072" s="356">
        <f>+VLOOKUP($E1072,Labor!$1:$1048576,AB$2,FALSE)</f>
        <v>15.764167240000001</v>
      </c>
      <c r="AC1072" s="356">
        <f>+VLOOKUP($E1072,Labor!$1:$1048576,AC$2,FALSE)</f>
        <v>15.83447891</v>
      </c>
      <c r="AD1072" s="356">
        <f>+VLOOKUP($E1072,Labor!$1:$1048576,AD$2,FALSE)</f>
        <v>15.902940640000001</v>
      </c>
      <c r="AE1072" s="356">
        <f>+VLOOKUP($E1072,Labor!$1:$1048576,AE$2,FALSE)</f>
        <v>15.969595290000001</v>
      </c>
      <c r="AF1072" s="356">
        <f>+VLOOKUP($E1072,Labor!$1:$1048576,AF$2,FALSE)</f>
        <v>16.03454228</v>
      </c>
      <c r="AG1072" s="356">
        <f>+VLOOKUP($E1072,Labor!$1:$1048576,AG$2,FALSE)</f>
        <v>16.097915390000001</v>
      </c>
      <c r="AH1072" s="356">
        <f>+VLOOKUP($E1072,Labor!$1:$1048576,AH$2,FALSE)</f>
        <v>16.159867510000002</v>
      </c>
      <c r="AI1072" s="356">
        <f>+VLOOKUP($E1072,Labor!$1:$1048576,AI$2,FALSE)</f>
        <v>16.22056066</v>
      </c>
      <c r="AJ1072" s="356">
        <f>+VLOOKUP($E1072,Labor!$1:$1048576,AJ$2,FALSE)</f>
        <v>16.280159789999999</v>
      </c>
      <c r="AK1072" s="356">
        <f>+VLOOKUP($E1072,Labor!$1:$1048576,AK$2,FALSE)</f>
        <v>16.338829050000001</v>
      </c>
      <c r="AL1072" s="356">
        <f>+VLOOKUP($E1072,Labor!$1:$1048576,AL$2,FALSE)</f>
        <v>16.39672989</v>
      </c>
      <c r="AM1072" s="356">
        <f>+VLOOKUP($E1072,Labor!$1:$1048576,AM$2,FALSE)</f>
        <v>16.454020020000002</v>
      </c>
      <c r="AN1072" s="356">
        <f>+VLOOKUP($E1072,Labor!$1:$1048576,AN$2,FALSE)</f>
        <v>16.510853050000001</v>
      </c>
      <c r="AO1072" s="356">
        <f>+VLOOKUP($E1072,Labor!$1:$1048576,AO$2,FALSE)</f>
        <v>16.567378420000001</v>
      </c>
    </row>
    <row r="1073" spans="1:41" s="73" customFormat="1" ht="15" customHeight="1" x14ac:dyDescent="0.25">
      <c r="A1073" s="402"/>
      <c r="B1073" s="411"/>
      <c r="C1073" s="159" t="s">
        <v>619</v>
      </c>
      <c r="D1073" s="109"/>
      <c r="E1073" s="80" t="s">
        <v>780</v>
      </c>
      <c r="F1073" s="356">
        <f>+VLOOKUP($E1073,Labor!$1:$1048576,F$2,FALSE)</f>
        <v>62.59</v>
      </c>
      <c r="G1073" s="356">
        <f>+VLOOKUP($E1073,Labor!$1:$1048576,G$2,FALSE)</f>
        <v>62.806217310000001</v>
      </c>
      <c r="H1073" s="356">
        <f>+VLOOKUP($E1073,Labor!$1:$1048576,H$2,FALSE)</f>
        <v>63.074061540000002</v>
      </c>
      <c r="I1073" s="356">
        <f>+VLOOKUP($E1073,Labor!$1:$1048576,I$2,FALSE)</f>
        <v>63.377872119999999</v>
      </c>
      <c r="J1073" s="356">
        <f>+VLOOKUP($E1073,Labor!$1:$1048576,J$2,FALSE)</f>
        <v>63.70976916</v>
      </c>
      <c r="K1073" s="356">
        <f>+VLOOKUP($E1073,Labor!$1:$1048576,K$2,FALSE)</f>
        <v>64.06962858</v>
      </c>
      <c r="L1073" s="356">
        <f>+VLOOKUP($E1073,Labor!$1:$1048576,L$2,FALSE)</f>
        <v>64.45277265</v>
      </c>
      <c r="M1073" s="356">
        <f>+VLOOKUP($E1073,Labor!$1:$1048576,M$2,FALSE)</f>
        <v>64.848696649999994</v>
      </c>
      <c r="N1073" s="356">
        <f>+VLOOKUP($E1073,Labor!$1:$1048576,N$2,FALSE)</f>
        <v>65.251457349999995</v>
      </c>
      <c r="O1073" s="356">
        <f>+VLOOKUP($E1073,Labor!$1:$1048576,O$2,FALSE)</f>
        <v>65.659905820000006</v>
      </c>
      <c r="P1073" s="356">
        <f>+VLOOKUP($E1073,Labor!$1:$1048576,P$2,FALSE)</f>
        <v>66.075913979999996</v>
      </c>
      <c r="Q1073" s="356">
        <f>+VLOOKUP($E1073,Labor!$1:$1048576,Q$2,FALSE)</f>
        <v>66.502864439999996</v>
      </c>
      <c r="R1073" s="356">
        <f>+VLOOKUP($E1073,Labor!$1:$1048576,R$2,FALSE)</f>
        <v>66.944720840000002</v>
      </c>
      <c r="S1073" s="356">
        <f>+VLOOKUP($E1073,Labor!$1:$1048576,S$2,FALSE)</f>
        <v>67.405496929999998</v>
      </c>
      <c r="T1073" s="356">
        <f>+VLOOKUP($E1073,Labor!$1:$1048576,T$2,FALSE)</f>
        <v>67.888917919999997</v>
      </c>
      <c r="U1073" s="356">
        <f>+VLOOKUP($E1073,Labor!$1:$1048576,U$2,FALSE)</f>
        <v>68.398155840000001</v>
      </c>
      <c r="V1073" s="356">
        <f>+VLOOKUP($E1073,Labor!$1:$1048576,V$2,FALSE)</f>
        <v>68.929876070000006</v>
      </c>
      <c r="W1073" s="356">
        <f>+VLOOKUP($E1073,Labor!$1:$1048576,W$2,FALSE)</f>
        <v>69.474808890000006</v>
      </c>
      <c r="X1073" s="356">
        <f>+VLOOKUP($E1073,Labor!$1:$1048576,X$2,FALSE)</f>
        <v>70.025606920000001</v>
      </c>
      <c r="Y1073" s="356">
        <f>+VLOOKUP($E1073,Labor!$1:$1048576,Y$2,FALSE)</f>
        <v>70.577675409999998</v>
      </c>
      <c r="Z1073" s="356">
        <f>+VLOOKUP($E1073,Labor!$1:$1048576,Z$2,FALSE)</f>
        <v>71.128326299999998</v>
      </c>
      <c r="AA1073" s="356">
        <f>+VLOOKUP($E1073,Labor!$1:$1048576,AA$2,FALSE)</f>
        <v>71.675914180000007</v>
      </c>
      <c r="AB1073" s="356">
        <f>+VLOOKUP($E1073,Labor!$1:$1048576,AB$2,FALSE)</f>
        <v>72.219300459999999</v>
      </c>
      <c r="AC1073" s="356">
        <f>+VLOOKUP($E1073,Labor!$1:$1048576,AC$2,FALSE)</f>
        <v>72.757597029999999</v>
      </c>
      <c r="AD1073" s="356">
        <f>+VLOOKUP($E1073,Labor!$1:$1048576,AD$2,FALSE)</f>
        <v>73.290072210000005</v>
      </c>
      <c r="AE1073" s="356">
        <f>+VLOOKUP($E1073,Labor!$1:$1048576,AE$2,FALSE)</f>
        <v>73.81612853</v>
      </c>
      <c r="AF1073" s="356">
        <f>+VLOOKUP($E1073,Labor!$1:$1048576,AF$2,FALSE)</f>
        <v>74.335301740000006</v>
      </c>
      <c r="AG1073" s="356">
        <f>+VLOOKUP($E1073,Labor!$1:$1048576,AG$2,FALSE)</f>
        <v>74.847259649999998</v>
      </c>
      <c r="AH1073" s="356">
        <f>+VLOOKUP($E1073,Labor!$1:$1048576,AH$2,FALSE)</f>
        <v>75.35179522</v>
      </c>
      <c r="AI1073" s="356">
        <f>+VLOOKUP($E1073,Labor!$1:$1048576,AI$2,FALSE)</f>
        <v>75.848815110000004</v>
      </c>
      <c r="AJ1073" s="356">
        <f>+VLOOKUP($E1073,Labor!$1:$1048576,AJ$2,FALSE)</f>
        <v>76.338326429999995</v>
      </c>
      <c r="AK1073" s="356">
        <f>+VLOOKUP($E1073,Labor!$1:$1048576,AK$2,FALSE)</f>
        <v>76.820423790000007</v>
      </c>
      <c r="AL1073" s="356">
        <f>+VLOOKUP($E1073,Labor!$1:$1048576,AL$2,FALSE)</f>
        <v>77.295277870000007</v>
      </c>
      <c r="AM1073" s="356">
        <f>+VLOOKUP($E1073,Labor!$1:$1048576,AM$2,FALSE)</f>
        <v>77.763125630000005</v>
      </c>
      <c r="AN1073" s="356">
        <f>+VLOOKUP($E1073,Labor!$1:$1048576,AN$2,FALSE)</f>
        <v>78.224262039999999</v>
      </c>
      <c r="AO1073" s="356">
        <f>+VLOOKUP($E1073,Labor!$1:$1048576,AO$2,FALSE)</f>
        <v>78.679032759999998</v>
      </c>
    </row>
    <row r="1074" spans="1:41" s="108" customFormat="1" ht="15" customHeight="1" x14ac:dyDescent="0.25">
      <c r="A1074" s="402"/>
      <c r="B1074" s="411"/>
      <c r="C1074" s="87" t="s">
        <v>756</v>
      </c>
      <c r="D1074" s="149"/>
      <c r="E1074" s="90" t="s">
        <v>761</v>
      </c>
      <c r="F1074" s="354" t="e">
        <f>+VLOOKUP($E1074,Labor!$1:$1048576,F$2,FALSE)</f>
        <v>#N/A</v>
      </c>
      <c r="G1074" s="354" t="e">
        <f>+VLOOKUP($E1074,Labor!$1:$1048576,G$2,FALSE)</f>
        <v>#N/A</v>
      </c>
      <c r="H1074" s="354" t="e">
        <f>+VLOOKUP($E1074,Labor!$1:$1048576,H$2,FALSE)</f>
        <v>#N/A</v>
      </c>
      <c r="I1074" s="354" t="e">
        <f>+VLOOKUP($E1074,Labor!$1:$1048576,I$2,FALSE)</f>
        <v>#N/A</v>
      </c>
      <c r="J1074" s="354" t="e">
        <f>+VLOOKUP($E1074,Labor!$1:$1048576,J$2,FALSE)</f>
        <v>#N/A</v>
      </c>
      <c r="K1074" s="354" t="e">
        <f>+VLOOKUP($E1074,Labor!$1:$1048576,K$2,FALSE)</f>
        <v>#N/A</v>
      </c>
      <c r="L1074" s="354" t="e">
        <f>+VLOOKUP($E1074,Labor!$1:$1048576,L$2,FALSE)</f>
        <v>#N/A</v>
      </c>
      <c r="M1074" s="354" t="e">
        <f>+VLOOKUP($E1074,Labor!$1:$1048576,M$2,FALSE)</f>
        <v>#N/A</v>
      </c>
      <c r="N1074" s="354" t="e">
        <f>+VLOOKUP($E1074,Labor!$1:$1048576,N$2,FALSE)</f>
        <v>#N/A</v>
      </c>
      <c r="O1074" s="354" t="e">
        <f>+VLOOKUP($E1074,Labor!$1:$1048576,O$2,FALSE)</f>
        <v>#N/A</v>
      </c>
      <c r="P1074" s="354" t="e">
        <f>+VLOOKUP($E1074,Labor!$1:$1048576,P$2,FALSE)</f>
        <v>#N/A</v>
      </c>
      <c r="Q1074" s="354" t="e">
        <f>+VLOOKUP($E1074,Labor!$1:$1048576,Q$2,FALSE)</f>
        <v>#N/A</v>
      </c>
      <c r="R1074" s="354" t="e">
        <f>+VLOOKUP($E1074,Labor!$1:$1048576,R$2,FALSE)</f>
        <v>#N/A</v>
      </c>
      <c r="S1074" s="354" t="e">
        <f>+VLOOKUP($E1074,Labor!$1:$1048576,S$2,FALSE)</f>
        <v>#N/A</v>
      </c>
      <c r="T1074" s="354" t="e">
        <f>+VLOOKUP($E1074,Labor!$1:$1048576,T$2,FALSE)</f>
        <v>#N/A</v>
      </c>
      <c r="U1074" s="354" t="e">
        <f>+VLOOKUP($E1074,Labor!$1:$1048576,U$2,FALSE)</f>
        <v>#N/A</v>
      </c>
      <c r="V1074" s="354" t="e">
        <f>+VLOOKUP($E1074,Labor!$1:$1048576,V$2,FALSE)</f>
        <v>#N/A</v>
      </c>
      <c r="W1074" s="354" t="e">
        <f>+VLOOKUP($E1074,Labor!$1:$1048576,W$2,FALSE)</f>
        <v>#N/A</v>
      </c>
      <c r="X1074" s="354" t="e">
        <f>+VLOOKUP($E1074,Labor!$1:$1048576,X$2,FALSE)</f>
        <v>#N/A</v>
      </c>
      <c r="Y1074" s="354" t="e">
        <f>+VLOOKUP($E1074,Labor!$1:$1048576,Y$2,FALSE)</f>
        <v>#N/A</v>
      </c>
      <c r="Z1074" s="354" t="e">
        <f>+VLOOKUP($E1074,Labor!$1:$1048576,Z$2,FALSE)</f>
        <v>#N/A</v>
      </c>
      <c r="AA1074" s="354" t="e">
        <f>+VLOOKUP($E1074,Labor!$1:$1048576,AA$2,FALSE)</f>
        <v>#N/A</v>
      </c>
      <c r="AB1074" s="354" t="e">
        <f>+VLOOKUP($E1074,Labor!$1:$1048576,AB$2,FALSE)</f>
        <v>#N/A</v>
      </c>
      <c r="AC1074" s="354" t="e">
        <f>+VLOOKUP($E1074,Labor!$1:$1048576,AC$2,FALSE)</f>
        <v>#N/A</v>
      </c>
      <c r="AD1074" s="354" t="e">
        <f>+VLOOKUP($E1074,Labor!$1:$1048576,AD$2,FALSE)</f>
        <v>#N/A</v>
      </c>
      <c r="AE1074" s="354" t="e">
        <f>+VLOOKUP($E1074,Labor!$1:$1048576,AE$2,FALSE)</f>
        <v>#N/A</v>
      </c>
      <c r="AF1074" s="354" t="e">
        <f>+VLOOKUP($E1074,Labor!$1:$1048576,AF$2,FALSE)</f>
        <v>#N/A</v>
      </c>
      <c r="AG1074" s="354" t="e">
        <f>+VLOOKUP($E1074,Labor!$1:$1048576,AG$2,FALSE)</f>
        <v>#N/A</v>
      </c>
      <c r="AH1074" s="354" t="e">
        <f>+VLOOKUP($E1074,Labor!$1:$1048576,AH$2,FALSE)</f>
        <v>#N/A</v>
      </c>
      <c r="AI1074" s="354" t="e">
        <f>+VLOOKUP($E1074,Labor!$1:$1048576,AI$2,FALSE)</f>
        <v>#N/A</v>
      </c>
      <c r="AJ1074" s="354" t="e">
        <f>+VLOOKUP($E1074,Labor!$1:$1048576,AJ$2,FALSE)</f>
        <v>#N/A</v>
      </c>
      <c r="AK1074" s="354" t="e">
        <f>+VLOOKUP($E1074,Labor!$1:$1048576,AK$2,FALSE)</f>
        <v>#N/A</v>
      </c>
      <c r="AL1074" s="354" t="e">
        <f>+VLOOKUP($E1074,Labor!$1:$1048576,AL$2,FALSE)</f>
        <v>#N/A</v>
      </c>
      <c r="AM1074" s="354" t="e">
        <f>+VLOOKUP($E1074,Labor!$1:$1048576,AM$2,FALSE)</f>
        <v>#N/A</v>
      </c>
      <c r="AN1074" s="354" t="e">
        <f>+VLOOKUP($E1074,Labor!$1:$1048576,AN$2,FALSE)</f>
        <v>#N/A</v>
      </c>
      <c r="AO1074" s="354" t="e">
        <f>+VLOOKUP($E1074,Labor!$1:$1048576,AO$2,FALSE)</f>
        <v>#N/A</v>
      </c>
    </row>
    <row r="1075" spans="1:41" s="73" customFormat="1" ht="15" customHeight="1" x14ac:dyDescent="0.25">
      <c r="A1075" s="402"/>
      <c r="B1075" s="411"/>
      <c r="C1075" s="159" t="s">
        <v>620</v>
      </c>
      <c r="D1075" s="109"/>
      <c r="E1075" s="80" t="s">
        <v>781</v>
      </c>
      <c r="F1075" s="356">
        <f>+VLOOKUP($E1075,Labor!$1:$1048576,F$2,FALSE)</f>
        <v>14811.39848</v>
      </c>
      <c r="G1075" s="356">
        <f>+VLOOKUP($E1075,Labor!$1:$1048576,G$2,FALSE)</f>
        <v>14842.226559999999</v>
      </c>
      <c r="H1075" s="356">
        <f>+VLOOKUP($E1075,Labor!$1:$1048576,H$2,FALSE)</f>
        <v>14869.24387</v>
      </c>
      <c r="I1075" s="356">
        <f>+VLOOKUP($E1075,Labor!$1:$1048576,I$2,FALSE)</f>
        <v>14896.18296</v>
      </c>
      <c r="J1075" s="356">
        <f>+VLOOKUP($E1075,Labor!$1:$1048576,J$2,FALSE)</f>
        <v>14925.734119999999</v>
      </c>
      <c r="K1075" s="356">
        <f>+VLOOKUP($E1075,Labor!$1:$1048576,K$2,FALSE)</f>
        <v>14959.290919999999</v>
      </c>
      <c r="L1075" s="356">
        <f>+VLOOKUP($E1075,Labor!$1:$1048576,L$2,FALSE)</f>
        <v>14997.047350000001</v>
      </c>
      <c r="M1075" s="356">
        <f>+VLOOKUP($E1075,Labor!$1:$1048576,M$2,FALSE)</f>
        <v>15038.35565</v>
      </c>
      <c r="N1075" s="356">
        <f>+VLOOKUP($E1075,Labor!$1:$1048576,N$2,FALSE)</f>
        <v>15082.352279999999</v>
      </c>
      <c r="O1075" s="356">
        <f>+VLOOKUP($E1075,Labor!$1:$1048576,O$2,FALSE)</f>
        <v>15128.268889999999</v>
      </c>
      <c r="P1075" s="356">
        <f>+VLOOKUP($E1075,Labor!$1:$1048576,P$2,FALSE)</f>
        <v>15175.55969</v>
      </c>
      <c r="Q1075" s="356">
        <f>+VLOOKUP($E1075,Labor!$1:$1048576,Q$2,FALSE)</f>
        <v>15223.91856</v>
      </c>
      <c r="R1075" s="356">
        <f>+VLOOKUP($E1075,Labor!$1:$1048576,R$2,FALSE)</f>
        <v>15273.23828</v>
      </c>
      <c r="S1075" s="356">
        <f>+VLOOKUP($E1075,Labor!$1:$1048576,S$2,FALSE)</f>
        <v>15323.549129999999</v>
      </c>
      <c r="T1075" s="356">
        <f>+VLOOKUP($E1075,Labor!$1:$1048576,T$2,FALSE)</f>
        <v>15374.95882</v>
      </c>
      <c r="U1075" s="356">
        <f>+VLOOKUP($E1075,Labor!$1:$1048576,U$2,FALSE)</f>
        <v>15427.60412</v>
      </c>
      <c r="V1075" s="356">
        <f>+VLOOKUP($E1075,Labor!$1:$1048576,V$2,FALSE)</f>
        <v>15481.382610000001</v>
      </c>
      <c r="W1075" s="356">
        <f>+VLOOKUP($E1075,Labor!$1:$1048576,W$2,FALSE)</f>
        <v>15535.862150000001</v>
      </c>
      <c r="X1075" s="356">
        <f>+VLOOKUP($E1075,Labor!$1:$1048576,X$2,FALSE)</f>
        <v>15590.549419999999</v>
      </c>
      <c r="Y1075" s="356">
        <f>+VLOOKUP($E1075,Labor!$1:$1048576,Y$2,FALSE)</f>
        <v>15645.020850000001</v>
      </c>
      <c r="Z1075" s="356">
        <f>+VLOOKUP($E1075,Labor!$1:$1048576,Z$2,FALSE)</f>
        <v>15698.97748</v>
      </c>
      <c r="AA1075" s="356">
        <f>+VLOOKUP($E1075,Labor!$1:$1048576,AA$2,FALSE)</f>
        <v>15752.25116</v>
      </c>
      <c r="AB1075" s="356">
        <f>+VLOOKUP($E1075,Labor!$1:$1048576,AB$2,FALSE)</f>
        <v>15804.782440000001</v>
      </c>
      <c r="AC1075" s="356">
        <f>+VLOOKUP($E1075,Labor!$1:$1048576,AC$2,FALSE)</f>
        <v>15856.58757</v>
      </c>
      <c r="AD1075" s="356">
        <f>+VLOOKUP($E1075,Labor!$1:$1048576,AD$2,FALSE)</f>
        <v>15907.72579</v>
      </c>
      <c r="AE1075" s="356">
        <f>+VLOOKUP($E1075,Labor!$1:$1048576,AE$2,FALSE)</f>
        <v>15958.27318</v>
      </c>
      <c r="AF1075" s="356">
        <f>+VLOOKUP($E1075,Labor!$1:$1048576,AF$2,FALSE)</f>
        <v>16008.30466</v>
      </c>
      <c r="AG1075" s="356">
        <f>+VLOOKUP($E1075,Labor!$1:$1048576,AG$2,FALSE)</f>
        <v>16057.88358</v>
      </c>
      <c r="AH1075" s="356">
        <f>+VLOOKUP($E1075,Labor!$1:$1048576,AH$2,FALSE)</f>
        <v>16107.05737</v>
      </c>
      <c r="AI1075" s="356">
        <f>+VLOOKUP($E1075,Labor!$1:$1048576,AI$2,FALSE)</f>
        <v>16155.85735</v>
      </c>
      <c r="AJ1075" s="356">
        <f>+VLOOKUP($E1075,Labor!$1:$1048576,AJ$2,FALSE)</f>
        <v>16204.301009999999</v>
      </c>
      <c r="AK1075" s="356">
        <f>+VLOOKUP($E1075,Labor!$1:$1048576,AK$2,FALSE)</f>
        <v>16252.395479999999</v>
      </c>
      <c r="AL1075" s="356">
        <f>+VLOOKUP($E1075,Labor!$1:$1048576,AL$2,FALSE)</f>
        <v>16300.141369999999</v>
      </c>
      <c r="AM1075" s="356">
        <f>+VLOOKUP($E1075,Labor!$1:$1048576,AM$2,FALSE)</f>
        <v>16347.536249999999</v>
      </c>
      <c r="AN1075" s="356">
        <f>+VLOOKUP($E1075,Labor!$1:$1048576,AN$2,FALSE)</f>
        <v>16394.577499999999</v>
      </c>
      <c r="AO1075" s="356">
        <f>+VLOOKUP($E1075,Labor!$1:$1048576,AO$2,FALSE)</f>
        <v>16441.26441</v>
      </c>
    </row>
    <row r="1076" spans="1:41" s="73" customFormat="1" ht="15" customHeight="1" x14ac:dyDescent="0.25">
      <c r="A1076" s="402"/>
      <c r="B1076" s="411"/>
      <c r="C1076" s="159" t="s">
        <v>621</v>
      </c>
      <c r="D1076" s="109"/>
      <c r="E1076" s="80" t="s">
        <v>782</v>
      </c>
      <c r="F1076" s="356">
        <f>+VLOOKUP($E1076,Labor!$1:$1048576,F$2,FALSE)</f>
        <v>6473.47</v>
      </c>
      <c r="G1076" s="356">
        <f>+VLOOKUP($E1076,Labor!$1:$1048576,G$2,FALSE)</f>
        <v>6488.6406749999996</v>
      </c>
      <c r="H1076" s="356">
        <f>+VLOOKUP($E1076,Labor!$1:$1048576,H$2,FALSE)</f>
        <v>6503.2716630000004</v>
      </c>
      <c r="I1076" s="356">
        <f>+VLOOKUP($E1076,Labor!$1:$1048576,I$2,FALSE)</f>
        <v>6517.9823370000004</v>
      </c>
      <c r="J1076" s="356">
        <f>+VLOOKUP($E1076,Labor!$1:$1048576,J$2,FALSE)</f>
        <v>6533.2067209999996</v>
      </c>
      <c r="K1076" s="356">
        <f>+VLOOKUP($E1076,Labor!$1:$1048576,K$2,FALSE)</f>
        <v>6549.1698379999998</v>
      </c>
      <c r="L1076" s="356">
        <f>+VLOOKUP($E1076,Labor!$1:$1048576,L$2,FALSE)</f>
        <v>6565.8814830000001</v>
      </c>
      <c r="M1076" s="356">
        <f>+VLOOKUP($E1076,Labor!$1:$1048576,M$2,FALSE)</f>
        <v>6583.1955369999996</v>
      </c>
      <c r="N1076" s="356">
        <f>+VLOOKUP($E1076,Labor!$1:$1048576,N$2,FALSE)</f>
        <v>6600.9464909999997</v>
      </c>
      <c r="O1076" s="356">
        <f>+VLOOKUP($E1076,Labor!$1:$1048576,O$2,FALSE)</f>
        <v>6619.0057070000003</v>
      </c>
      <c r="P1076" s="356">
        <f>+VLOOKUP($E1076,Labor!$1:$1048576,P$2,FALSE)</f>
        <v>6637.2969069999999</v>
      </c>
      <c r="Q1076" s="356">
        <f>+VLOOKUP($E1076,Labor!$1:$1048576,Q$2,FALSE)</f>
        <v>6655.7922859999999</v>
      </c>
      <c r="R1076" s="356">
        <f>+VLOOKUP($E1076,Labor!$1:$1048576,R$2,FALSE)</f>
        <v>6674.501045</v>
      </c>
      <c r="S1076" s="356">
        <f>+VLOOKUP($E1076,Labor!$1:$1048576,S$2,FALSE)</f>
        <v>6693.4566329999998</v>
      </c>
      <c r="T1076" s="356">
        <f>+VLOOKUP($E1076,Labor!$1:$1048576,T$2,FALSE)</f>
        <v>6712.7056130000001</v>
      </c>
      <c r="U1076" s="356">
        <f>+VLOOKUP($E1076,Labor!$1:$1048576,U$2,FALSE)</f>
        <v>6732.2991959999999</v>
      </c>
      <c r="V1076" s="356">
        <f>+VLOOKUP($E1076,Labor!$1:$1048576,V$2,FALSE)</f>
        <v>6752.2291509999995</v>
      </c>
      <c r="W1076" s="356">
        <f>+VLOOKUP($E1076,Labor!$1:$1048576,W$2,FALSE)</f>
        <v>6772.4092330000003</v>
      </c>
      <c r="X1076" s="356">
        <f>+VLOOKUP($E1076,Labor!$1:$1048576,X$2,FALSE)</f>
        <v>6792.7424019999999</v>
      </c>
      <c r="Y1076" s="356">
        <f>+VLOOKUP($E1076,Labor!$1:$1048576,Y$2,FALSE)</f>
        <v>6813.1479900000004</v>
      </c>
      <c r="Z1076" s="356">
        <f>+VLOOKUP($E1076,Labor!$1:$1048576,Z$2,FALSE)</f>
        <v>6833.5696349999998</v>
      </c>
      <c r="AA1076" s="356">
        <f>+VLOOKUP($E1076,Labor!$1:$1048576,AA$2,FALSE)</f>
        <v>6853.9741110000004</v>
      </c>
      <c r="AB1076" s="356">
        <f>+VLOOKUP($E1076,Labor!$1:$1048576,AB$2,FALSE)</f>
        <v>6874.3463670000001</v>
      </c>
      <c r="AC1076" s="356">
        <f>+VLOOKUP($E1076,Labor!$1:$1048576,AC$2,FALSE)</f>
        <v>6894.6837269999996</v>
      </c>
      <c r="AD1076" s="356">
        <f>+VLOOKUP($E1076,Labor!$1:$1048576,AD$2,FALSE)</f>
        <v>6914.9907300000004</v>
      </c>
      <c r="AE1076" s="356">
        <f>+VLOOKUP($E1076,Labor!$1:$1048576,AE$2,FALSE)</f>
        <v>6935.2751840000001</v>
      </c>
      <c r="AF1076" s="356">
        <f>+VLOOKUP($E1076,Labor!$1:$1048576,AF$2,FALSE)</f>
        <v>6955.5455089999996</v>
      </c>
      <c r="AG1076" s="356">
        <f>+VLOOKUP($E1076,Labor!$1:$1048576,AG$2,FALSE)</f>
        <v>6975.809158</v>
      </c>
      <c r="AH1076" s="356">
        <f>+VLOOKUP($E1076,Labor!$1:$1048576,AH$2,FALSE)</f>
        <v>6996.0718809999998</v>
      </c>
      <c r="AI1076" s="356">
        <f>+VLOOKUP($E1076,Labor!$1:$1048576,AI$2,FALSE)</f>
        <v>7016.3375550000001</v>
      </c>
      <c r="AJ1076" s="356">
        <f>+VLOOKUP($E1076,Labor!$1:$1048576,AJ$2,FALSE)</f>
        <v>7036.6083600000002</v>
      </c>
      <c r="AK1076" s="356">
        <f>+VLOOKUP($E1076,Labor!$1:$1048576,AK$2,FALSE)</f>
        <v>7056.8851329999998</v>
      </c>
      <c r="AL1076" s="356">
        <f>+VLOOKUP($E1076,Labor!$1:$1048576,AL$2,FALSE)</f>
        <v>7077.1677829999999</v>
      </c>
      <c r="AM1076" s="356">
        <f>+VLOOKUP($E1076,Labor!$1:$1048576,AM$2,FALSE)</f>
        <v>7097.4556849999999</v>
      </c>
      <c r="AN1076" s="356">
        <f>+VLOOKUP($E1076,Labor!$1:$1048576,AN$2,FALSE)</f>
        <v>7117.7480089999999</v>
      </c>
      <c r="AO1076" s="356">
        <f>+VLOOKUP($E1076,Labor!$1:$1048576,AO$2,FALSE)</f>
        <v>7138.0439749999996</v>
      </c>
    </row>
    <row r="1077" spans="1:41" s="108" customFormat="1" ht="15" customHeight="1" x14ac:dyDescent="0.25">
      <c r="A1077" s="402"/>
      <c r="B1077" s="411"/>
      <c r="C1077" s="87" t="s">
        <v>757</v>
      </c>
      <c r="D1077" s="149"/>
      <c r="E1077" s="90" t="s">
        <v>762</v>
      </c>
      <c r="F1077" s="354" t="e">
        <f>+VLOOKUP($E1077,Labor!$1:$1048576,F$2,FALSE)</f>
        <v>#N/A</v>
      </c>
      <c r="G1077" s="354" t="e">
        <f>+VLOOKUP($E1077,Labor!$1:$1048576,G$2,FALSE)</f>
        <v>#N/A</v>
      </c>
      <c r="H1077" s="354" t="e">
        <f>+VLOOKUP($E1077,Labor!$1:$1048576,H$2,FALSE)</f>
        <v>#N/A</v>
      </c>
      <c r="I1077" s="354" t="e">
        <f>+VLOOKUP($E1077,Labor!$1:$1048576,I$2,FALSE)</f>
        <v>#N/A</v>
      </c>
      <c r="J1077" s="354" t="e">
        <f>+VLOOKUP($E1077,Labor!$1:$1048576,J$2,FALSE)</f>
        <v>#N/A</v>
      </c>
      <c r="K1077" s="354" t="e">
        <f>+VLOOKUP($E1077,Labor!$1:$1048576,K$2,FALSE)</f>
        <v>#N/A</v>
      </c>
      <c r="L1077" s="354" t="e">
        <f>+VLOOKUP($E1077,Labor!$1:$1048576,L$2,FALSE)</f>
        <v>#N/A</v>
      </c>
      <c r="M1077" s="354" t="e">
        <f>+VLOOKUP($E1077,Labor!$1:$1048576,M$2,FALSE)</f>
        <v>#N/A</v>
      </c>
      <c r="N1077" s="354" t="e">
        <f>+VLOOKUP($E1077,Labor!$1:$1048576,N$2,FALSE)</f>
        <v>#N/A</v>
      </c>
      <c r="O1077" s="354" t="e">
        <f>+VLOOKUP($E1077,Labor!$1:$1048576,O$2,FALSE)</f>
        <v>#N/A</v>
      </c>
      <c r="P1077" s="354" t="e">
        <f>+VLOOKUP($E1077,Labor!$1:$1048576,P$2,FALSE)</f>
        <v>#N/A</v>
      </c>
      <c r="Q1077" s="354" t="e">
        <f>+VLOOKUP($E1077,Labor!$1:$1048576,Q$2,FALSE)</f>
        <v>#N/A</v>
      </c>
      <c r="R1077" s="354" t="e">
        <f>+VLOOKUP($E1077,Labor!$1:$1048576,R$2,FALSE)</f>
        <v>#N/A</v>
      </c>
      <c r="S1077" s="354" t="e">
        <f>+VLOOKUP($E1077,Labor!$1:$1048576,S$2,FALSE)</f>
        <v>#N/A</v>
      </c>
      <c r="T1077" s="354" t="e">
        <f>+VLOOKUP($E1077,Labor!$1:$1048576,T$2,FALSE)</f>
        <v>#N/A</v>
      </c>
      <c r="U1077" s="354" t="e">
        <f>+VLOOKUP($E1077,Labor!$1:$1048576,U$2,FALSE)</f>
        <v>#N/A</v>
      </c>
      <c r="V1077" s="354" t="e">
        <f>+VLOOKUP($E1077,Labor!$1:$1048576,V$2,FALSE)</f>
        <v>#N/A</v>
      </c>
      <c r="W1077" s="354" t="e">
        <f>+VLOOKUP($E1077,Labor!$1:$1048576,W$2,FALSE)</f>
        <v>#N/A</v>
      </c>
      <c r="X1077" s="354" t="e">
        <f>+VLOOKUP($E1077,Labor!$1:$1048576,X$2,FALSE)</f>
        <v>#N/A</v>
      </c>
      <c r="Y1077" s="354" t="e">
        <f>+VLOOKUP($E1077,Labor!$1:$1048576,Y$2,FALSE)</f>
        <v>#N/A</v>
      </c>
      <c r="Z1077" s="354" t="e">
        <f>+VLOOKUP($E1077,Labor!$1:$1048576,Z$2,FALSE)</f>
        <v>#N/A</v>
      </c>
      <c r="AA1077" s="354" t="e">
        <f>+VLOOKUP($E1077,Labor!$1:$1048576,AA$2,FALSE)</f>
        <v>#N/A</v>
      </c>
      <c r="AB1077" s="354" t="e">
        <f>+VLOOKUP($E1077,Labor!$1:$1048576,AB$2,FALSE)</f>
        <v>#N/A</v>
      </c>
      <c r="AC1077" s="354" t="e">
        <f>+VLOOKUP($E1077,Labor!$1:$1048576,AC$2,FALSE)</f>
        <v>#N/A</v>
      </c>
      <c r="AD1077" s="354" t="e">
        <f>+VLOOKUP($E1077,Labor!$1:$1048576,AD$2,FALSE)</f>
        <v>#N/A</v>
      </c>
      <c r="AE1077" s="354" t="e">
        <f>+VLOOKUP($E1077,Labor!$1:$1048576,AE$2,FALSE)</f>
        <v>#N/A</v>
      </c>
      <c r="AF1077" s="354" t="e">
        <f>+VLOOKUP($E1077,Labor!$1:$1048576,AF$2,FALSE)</f>
        <v>#N/A</v>
      </c>
      <c r="AG1077" s="354" t="e">
        <f>+VLOOKUP($E1077,Labor!$1:$1048576,AG$2,FALSE)</f>
        <v>#N/A</v>
      </c>
      <c r="AH1077" s="354" t="e">
        <f>+VLOOKUP($E1077,Labor!$1:$1048576,AH$2,FALSE)</f>
        <v>#N/A</v>
      </c>
      <c r="AI1077" s="354" t="e">
        <f>+VLOOKUP($E1077,Labor!$1:$1048576,AI$2,FALSE)</f>
        <v>#N/A</v>
      </c>
      <c r="AJ1077" s="354" t="e">
        <f>+VLOOKUP($E1077,Labor!$1:$1048576,AJ$2,FALSE)</f>
        <v>#N/A</v>
      </c>
      <c r="AK1077" s="354" t="e">
        <f>+VLOOKUP($E1077,Labor!$1:$1048576,AK$2,FALSE)</f>
        <v>#N/A</v>
      </c>
      <c r="AL1077" s="354" t="e">
        <f>+VLOOKUP($E1077,Labor!$1:$1048576,AL$2,FALSE)</f>
        <v>#N/A</v>
      </c>
      <c r="AM1077" s="354" t="e">
        <f>+VLOOKUP($E1077,Labor!$1:$1048576,AM$2,FALSE)</f>
        <v>#N/A</v>
      </c>
      <c r="AN1077" s="354" t="e">
        <f>+VLOOKUP($E1077,Labor!$1:$1048576,AN$2,FALSE)</f>
        <v>#N/A</v>
      </c>
      <c r="AO1077" s="354" t="e">
        <f>+VLOOKUP($E1077,Labor!$1:$1048576,AO$2,FALSE)</f>
        <v>#N/A</v>
      </c>
    </row>
    <row r="1078" spans="1:41" s="73" customFormat="1" ht="15" customHeight="1" x14ac:dyDescent="0.25">
      <c r="A1078" s="402"/>
      <c r="B1078" s="411"/>
      <c r="C1078" s="159" t="s">
        <v>466</v>
      </c>
      <c r="D1078" s="109"/>
      <c r="E1078" s="80" t="s">
        <v>783</v>
      </c>
      <c r="F1078" s="356">
        <f>+VLOOKUP($E1078,Labor!$1:$1048576,F$2,FALSE)</f>
        <v>9.1300000000000008</v>
      </c>
      <c r="G1078" s="356">
        <f>+VLOOKUP($E1078,Labor!$1:$1048576,G$2,FALSE)</f>
        <v>9.1230052839999995</v>
      </c>
      <c r="H1078" s="356">
        <f>+VLOOKUP($E1078,Labor!$1:$1048576,H$2,FALSE)</f>
        <v>9.0941601399999996</v>
      </c>
      <c r="I1078" s="356">
        <f>+VLOOKUP($E1078,Labor!$1:$1048576,I$2,FALSE)</f>
        <v>9.0569931019999999</v>
      </c>
      <c r="J1078" s="356">
        <f>+VLOOKUP($E1078,Labor!$1:$1048576,J$2,FALSE)</f>
        <v>9.0206664080000003</v>
      </c>
      <c r="K1078" s="356">
        <f>+VLOOKUP($E1078,Labor!$1:$1048576,K$2,FALSE)</f>
        <v>8.9891702529999993</v>
      </c>
      <c r="L1078" s="356">
        <f>+VLOOKUP($E1078,Labor!$1:$1048576,L$2,FALSE)</f>
        <v>8.9633114000000003</v>
      </c>
      <c r="M1078" s="356">
        <f>+VLOOKUP($E1078,Labor!$1:$1048576,M$2,FALSE)</f>
        <v>8.9425543330000004</v>
      </c>
      <c r="N1078" s="356">
        <f>+VLOOKUP($E1078,Labor!$1:$1048576,N$2,FALSE)</f>
        <v>8.9258554130000007</v>
      </c>
      <c r="O1078" s="356">
        <f>+VLOOKUP($E1078,Labor!$1:$1048576,O$2,FALSE)</f>
        <v>8.9120441160000006</v>
      </c>
      <c r="P1078" s="356">
        <f>+VLOOKUP($E1078,Labor!$1:$1048576,P$2,FALSE)</f>
        <v>8.8999993400000008</v>
      </c>
      <c r="Q1078" s="356">
        <f>+VLOOKUP($E1078,Labor!$1:$1048576,Q$2,FALSE)</f>
        <v>8.8887186800000002</v>
      </c>
      <c r="R1078" s="356">
        <f>+VLOOKUP($E1078,Labor!$1:$1048576,R$2,FALSE)</f>
        <v>8.8773356470000007</v>
      </c>
      <c r="S1078" s="356">
        <f>+VLOOKUP($E1078,Labor!$1:$1048576,S$2,FALSE)</f>
        <v>8.8651164770000008</v>
      </c>
      <c r="T1078" s="356">
        <f>+VLOOKUP($E1078,Labor!$1:$1048576,T$2,FALSE)</f>
        <v>8.8514526440000001</v>
      </c>
      <c r="U1078" s="356">
        <f>+VLOOKUP($E1078,Labor!$1:$1048576,U$2,FALSE)</f>
        <v>8.8358552499999998</v>
      </c>
      <c r="V1078" s="356">
        <f>+VLOOKUP($E1078,Labor!$1:$1048576,V$2,FALSE)</f>
        <v>8.8180650860000007</v>
      </c>
      <c r="W1078" s="356">
        <f>+VLOOKUP($E1078,Labor!$1:$1048576,W$2,FALSE)</f>
        <v>8.7981266659999999</v>
      </c>
      <c r="X1078" s="356">
        <f>+VLOOKUP($E1078,Labor!$1:$1048576,X$2,FALSE)</f>
        <v>8.7762858250000004</v>
      </c>
      <c r="Y1078" s="356">
        <f>+VLOOKUP($E1078,Labor!$1:$1048576,Y$2,FALSE)</f>
        <v>8.752844756</v>
      </c>
      <c r="Z1078" s="356">
        <f>+VLOOKUP($E1078,Labor!$1:$1048576,Z$2,FALSE)</f>
        <v>8.7280776000000007</v>
      </c>
      <c r="AA1078" s="356">
        <f>+VLOOKUP($E1078,Labor!$1:$1048576,AA$2,FALSE)</f>
        <v>8.7021965229999996</v>
      </c>
      <c r="AB1078" s="356">
        <f>+VLOOKUP($E1078,Labor!$1:$1048576,AB$2,FALSE)</f>
        <v>8.6753463790000005</v>
      </c>
      <c r="AC1078" s="356">
        <f>+VLOOKUP($E1078,Labor!$1:$1048576,AC$2,FALSE)</f>
        <v>8.6476121020000001</v>
      </c>
      <c r="AD1078" s="356">
        <f>+VLOOKUP($E1078,Labor!$1:$1048576,AD$2,FALSE)</f>
        <v>8.6190299699999997</v>
      </c>
      <c r="AE1078" s="356">
        <f>+VLOOKUP($E1078,Labor!$1:$1048576,AE$2,FALSE)</f>
        <v>8.589598617</v>
      </c>
      <c r="AF1078" s="356">
        <f>+VLOOKUP($E1078,Labor!$1:$1048576,AF$2,FALSE)</f>
        <v>8.5592883579999999</v>
      </c>
      <c r="AG1078" s="356">
        <f>+VLOOKUP($E1078,Labor!$1:$1048576,AG$2,FALSE)</f>
        <v>8.528048686</v>
      </c>
      <c r="AH1078" s="356">
        <f>+VLOOKUP($E1078,Labor!$1:$1048576,AH$2,FALSE)</f>
        <v>8.4958142799999994</v>
      </c>
      <c r="AI1078" s="356">
        <f>+VLOOKUP($E1078,Labor!$1:$1048576,AI$2,FALSE)</f>
        <v>8.4625100280000005</v>
      </c>
      <c r="AJ1078" s="356">
        <f>+VLOOKUP($E1078,Labor!$1:$1048576,AJ$2,FALSE)</f>
        <v>8.4280554589999994</v>
      </c>
      <c r="AK1078" s="356">
        <f>+VLOOKUP($E1078,Labor!$1:$1048576,AK$2,FALSE)</f>
        <v>8.3923689130000003</v>
      </c>
      <c r="AL1078" s="356">
        <f>+VLOOKUP($E1078,Labor!$1:$1048576,AL$2,FALSE)</f>
        <v>8.3553716599999994</v>
      </c>
      <c r="AM1078" s="356">
        <f>+VLOOKUP($E1078,Labor!$1:$1048576,AM$2,FALSE)</f>
        <v>8.3169920519999998</v>
      </c>
      <c r="AN1078" s="356">
        <f>+VLOOKUP($E1078,Labor!$1:$1048576,AN$2,FALSE)</f>
        <v>8.2771697730000007</v>
      </c>
      <c r="AO1078" s="356">
        <f>+VLOOKUP($E1078,Labor!$1:$1048576,AO$2,FALSE)</f>
        <v>8.2358601250000003</v>
      </c>
    </row>
    <row r="1079" spans="1:41" s="73" customFormat="1" ht="15" customHeight="1" x14ac:dyDescent="0.25">
      <c r="A1079" s="402"/>
      <c r="B1079" s="411"/>
      <c r="C1079" s="159" t="s">
        <v>467</v>
      </c>
      <c r="D1079" s="109"/>
      <c r="E1079" s="80" t="s">
        <v>784</v>
      </c>
      <c r="F1079" s="356">
        <f>+VLOOKUP($E1079,Labor!$1:$1048576,F$2,FALSE)</f>
        <v>6.6935508700000002</v>
      </c>
      <c r="G1079" s="356">
        <f>+VLOOKUP($E1079,Labor!$1:$1048576,G$2,FALSE)</f>
        <v>6.6818689940000002</v>
      </c>
      <c r="H1079" s="356">
        <f>+VLOOKUP($E1079,Labor!$1:$1048576,H$2,FALSE)</f>
        <v>6.6514784630000001</v>
      </c>
      <c r="I1079" s="356">
        <f>+VLOOKUP($E1079,Labor!$1:$1048576,I$2,FALSE)</f>
        <v>6.6166069099999998</v>
      </c>
      <c r="J1079" s="356">
        <f>+VLOOKUP($E1079,Labor!$1:$1048576,J$2,FALSE)</f>
        <v>6.5865052549999996</v>
      </c>
      <c r="K1079" s="356">
        <f>+VLOOKUP($E1079,Labor!$1:$1048576,K$2,FALSE)</f>
        <v>6.5651839860000001</v>
      </c>
      <c r="L1079" s="356">
        <f>+VLOOKUP($E1079,Labor!$1:$1048576,L$2,FALSE)</f>
        <v>6.5529647320000004</v>
      </c>
      <c r="M1079" s="356">
        <f>+VLOOKUP($E1079,Labor!$1:$1048576,M$2,FALSE)</f>
        <v>6.548188187</v>
      </c>
      <c r="N1079" s="356">
        <f>+VLOOKUP($E1079,Labor!$1:$1048576,N$2,FALSE)</f>
        <v>6.5487803769999999</v>
      </c>
      <c r="O1079" s="356">
        <f>+VLOOKUP($E1079,Labor!$1:$1048576,O$2,FALSE)</f>
        <v>6.5529440909999996</v>
      </c>
      <c r="P1079" s="356">
        <f>+VLOOKUP($E1079,Labor!$1:$1048576,P$2,FALSE)</f>
        <v>6.559397723</v>
      </c>
      <c r="Q1079" s="356">
        <f>+VLOOKUP($E1079,Labor!$1:$1048576,Q$2,FALSE)</f>
        <v>6.5673876939999998</v>
      </c>
      <c r="R1079" s="356">
        <f>+VLOOKUP($E1079,Labor!$1:$1048576,R$2,FALSE)</f>
        <v>6.5766028639999998</v>
      </c>
      <c r="S1079" s="356">
        <f>+VLOOKUP($E1079,Labor!$1:$1048576,S$2,FALSE)</f>
        <v>6.587060395</v>
      </c>
      <c r="T1079" s="356">
        <f>+VLOOKUP($E1079,Labor!$1:$1048576,T$2,FALSE)</f>
        <v>6.5989965909999997</v>
      </c>
      <c r="U1079" s="356">
        <f>+VLOOKUP($E1079,Labor!$1:$1048576,U$2,FALSE)</f>
        <v>6.612775311</v>
      </c>
      <c r="V1079" s="356">
        <f>+VLOOKUP($E1079,Labor!$1:$1048576,V$2,FALSE)</f>
        <v>6.6284719240000003</v>
      </c>
      <c r="W1079" s="356">
        <f>+VLOOKUP($E1079,Labor!$1:$1048576,W$2,FALSE)</f>
        <v>6.645708655</v>
      </c>
      <c r="X1079" s="356">
        <f>+VLOOKUP($E1079,Labor!$1:$1048576,X$2,FALSE)</f>
        <v>6.6639802389999998</v>
      </c>
      <c r="Y1079" s="356">
        <f>+VLOOKUP($E1079,Labor!$1:$1048576,Y$2,FALSE)</f>
        <v>6.6827712979999996</v>
      </c>
      <c r="Z1079" s="356">
        <f>+VLOOKUP($E1079,Labor!$1:$1048576,Z$2,FALSE)</f>
        <v>6.7016034869999999</v>
      </c>
      <c r="AA1079" s="356">
        <f>+VLOOKUP($E1079,Labor!$1:$1048576,AA$2,FALSE)</f>
        <v>6.7200517089999998</v>
      </c>
      <c r="AB1079" s="356">
        <f>+VLOOKUP($E1079,Labor!$1:$1048576,AB$2,FALSE)</f>
        <v>6.7377444410000003</v>
      </c>
      <c r="AC1079" s="356">
        <f>+VLOOKUP($E1079,Labor!$1:$1048576,AC$2,FALSE)</f>
        <v>6.754356005</v>
      </c>
      <c r="AD1079" s="356">
        <f>+VLOOKUP($E1079,Labor!$1:$1048576,AD$2,FALSE)</f>
        <v>6.769595732</v>
      </c>
      <c r="AE1079" s="356">
        <f>+VLOOKUP($E1079,Labor!$1:$1048576,AE$2,FALSE)</f>
        <v>6.7831970950000002</v>
      </c>
      <c r="AF1079" s="356">
        <f>+VLOOKUP($E1079,Labor!$1:$1048576,AF$2,FALSE)</f>
        <v>6.7949085780000003</v>
      </c>
      <c r="AG1079" s="356">
        <f>+VLOOKUP($E1079,Labor!$1:$1048576,AG$2,FALSE)</f>
        <v>6.8044870570000002</v>
      </c>
      <c r="AH1079" s="356">
        <f>+VLOOKUP($E1079,Labor!$1:$1048576,AH$2,FALSE)</f>
        <v>6.8116938920000001</v>
      </c>
      <c r="AI1079" s="356">
        <f>+VLOOKUP($E1079,Labor!$1:$1048576,AI$2,FALSE)</f>
        <v>6.8162935229999997</v>
      </c>
      <c r="AJ1079" s="356">
        <f>+VLOOKUP($E1079,Labor!$1:$1048576,AJ$2,FALSE)</f>
        <v>6.8180542519999996</v>
      </c>
      <c r="AK1079" s="356">
        <f>+VLOOKUP($E1079,Labor!$1:$1048576,AK$2,FALSE)</f>
        <v>6.8167508080000001</v>
      </c>
      <c r="AL1079" s="356">
        <f>+VLOOKUP($E1079,Labor!$1:$1048576,AL$2,FALSE)</f>
        <v>6.8121683490000002</v>
      </c>
      <c r="AM1079" s="356">
        <f>+VLOOKUP($E1079,Labor!$1:$1048576,AM$2,FALSE)</f>
        <v>6.8041075390000003</v>
      </c>
      <c r="AN1079" s="356">
        <f>+VLOOKUP($E1079,Labor!$1:$1048576,AN$2,FALSE)</f>
        <v>6.7923904300000002</v>
      </c>
      <c r="AO1079" s="356">
        <f>+VLOOKUP($E1079,Labor!$1:$1048576,AO$2,FALSE)</f>
        <v>6.7768668380000001</v>
      </c>
    </row>
    <row r="1080" spans="1:41" s="73" customFormat="1" ht="15" customHeight="1" x14ac:dyDescent="0.25">
      <c r="A1080" s="402"/>
      <c r="B1080" s="411"/>
      <c r="C1080" s="159" t="s">
        <v>470</v>
      </c>
      <c r="D1080" s="109"/>
      <c r="E1080" s="80" t="s">
        <v>785</v>
      </c>
      <c r="F1080" s="356">
        <f>+VLOOKUP($E1080,Labor!$1:$1048576,F$2,FALSE)</f>
        <v>1.4679326509999999</v>
      </c>
      <c r="G1080" s="356">
        <f>+VLOOKUP($E1080,Labor!$1:$1048576,G$2,FALSE)</f>
        <v>1.4683754929999999</v>
      </c>
      <c r="H1080" s="356">
        <f>+VLOOKUP($E1080,Labor!$1:$1048576,H$2,FALSE)</f>
        <v>1.4657807599999999</v>
      </c>
      <c r="I1080" s="356">
        <f>+VLOOKUP($E1080,Labor!$1:$1048576,I$2,FALSE)</f>
        <v>1.461170866</v>
      </c>
      <c r="J1080" s="356">
        <f>+VLOOKUP($E1080,Labor!$1:$1048576,J$2,FALSE)</f>
        <v>1.4553523479999999</v>
      </c>
      <c r="K1080" s="356">
        <f>+VLOOKUP($E1080,Labor!$1:$1048576,K$2,FALSE)</f>
        <v>1.4486931700000001</v>
      </c>
      <c r="L1080" s="356">
        <f>+VLOOKUP($E1080,Labor!$1:$1048576,L$2,FALSE)</f>
        <v>1.441552408</v>
      </c>
      <c r="M1080" s="356">
        <f>+VLOOKUP($E1080,Labor!$1:$1048576,M$2,FALSE)</f>
        <v>1.434416312</v>
      </c>
      <c r="N1080" s="356">
        <f>+VLOOKUP($E1080,Labor!$1:$1048576,N$2,FALSE)</f>
        <v>1.4275811089999999</v>
      </c>
      <c r="O1080" s="356">
        <f>+VLOOKUP($E1080,Labor!$1:$1048576,O$2,FALSE)</f>
        <v>1.4211121440000001</v>
      </c>
      <c r="P1080" s="356">
        <f>+VLOOKUP($E1080,Labor!$1:$1048576,P$2,FALSE)</f>
        <v>1.414896342</v>
      </c>
      <c r="Q1080" s="356">
        <f>+VLOOKUP($E1080,Labor!$1:$1048576,Q$2,FALSE)</f>
        <v>1.4087106700000001</v>
      </c>
      <c r="R1080" s="356">
        <f>+VLOOKUP($E1080,Labor!$1:$1048576,R$2,FALSE)</f>
        <v>1.40228073</v>
      </c>
      <c r="S1080" s="356">
        <f>+VLOOKUP($E1080,Labor!$1:$1048576,S$2,FALSE)</f>
        <v>1.3953244149999999</v>
      </c>
      <c r="T1080" s="356">
        <f>+VLOOKUP($E1080,Labor!$1:$1048576,T$2,FALSE)</f>
        <v>1.3875822959999999</v>
      </c>
      <c r="U1080" s="356">
        <f>+VLOOKUP($E1080,Labor!$1:$1048576,U$2,FALSE)</f>
        <v>1.378837474</v>
      </c>
      <c r="V1080" s="356">
        <f>+VLOOKUP($E1080,Labor!$1:$1048576,V$2,FALSE)</f>
        <v>1.3691035199999999</v>
      </c>
      <c r="W1080" s="356">
        <f>+VLOOKUP($E1080,Labor!$1:$1048576,W$2,FALSE)</f>
        <v>1.3586454560000001</v>
      </c>
      <c r="X1080" s="356">
        <f>+VLOOKUP($E1080,Labor!$1:$1048576,X$2,FALSE)</f>
        <v>1.34776026</v>
      </c>
      <c r="Y1080" s="356">
        <f>+VLOOKUP($E1080,Labor!$1:$1048576,Y$2,FALSE)</f>
        <v>1.336693916</v>
      </c>
      <c r="Z1080" s="356">
        <f>+VLOOKUP($E1080,Labor!$1:$1048576,Z$2,FALSE)</f>
        <v>1.325623969</v>
      </c>
      <c r="AA1080" s="356">
        <f>+VLOOKUP($E1080,Labor!$1:$1048576,AA$2,FALSE)</f>
        <v>1.314667883</v>
      </c>
      <c r="AB1080" s="356">
        <f>+VLOOKUP($E1080,Labor!$1:$1048576,AB$2,FALSE)</f>
        <v>1.3038983049999999</v>
      </c>
      <c r="AC1080" s="356">
        <f>+VLOOKUP($E1080,Labor!$1:$1048576,AC$2,FALSE)</f>
        <v>1.2933574889999999</v>
      </c>
      <c r="AD1080" s="356">
        <f>+VLOOKUP($E1080,Labor!$1:$1048576,AD$2,FALSE)</f>
        <v>1.2830684649999999</v>
      </c>
      <c r="AE1080" s="356">
        <f>+VLOOKUP($E1080,Labor!$1:$1048576,AE$2,FALSE)</f>
        <v>1.273042835</v>
      </c>
      <c r="AF1080" s="356">
        <f>+VLOOKUP($E1080,Labor!$1:$1048576,AF$2,FALSE)</f>
        <v>1.263285843</v>
      </c>
      <c r="AG1080" s="356">
        <f>+VLOOKUP($E1080,Labor!$1:$1048576,AG$2,FALSE)</f>
        <v>1.2537994720000001</v>
      </c>
      <c r="AH1080" s="356">
        <f>+VLOOKUP($E1080,Labor!$1:$1048576,AH$2,FALSE)</f>
        <v>1.244584245</v>
      </c>
      <c r="AI1080" s="356">
        <f>+VLOOKUP($E1080,Labor!$1:$1048576,AI$2,FALSE)</f>
        <v>1.235640201</v>
      </c>
      <c r="AJ1080" s="356">
        <f>+VLOOKUP($E1080,Labor!$1:$1048576,AJ$2,FALSE)</f>
        <v>1.22696739</v>
      </c>
      <c r="AK1080" s="356">
        <f>+VLOOKUP($E1080,Labor!$1:$1048576,AK$2,FALSE)</f>
        <v>1.218566072</v>
      </c>
      <c r="AL1080" s="356">
        <f>+VLOOKUP($E1080,Labor!$1:$1048576,AL$2,FALSE)</f>
        <v>1.2104367789999999</v>
      </c>
      <c r="AM1080" s="356">
        <f>+VLOOKUP($E1080,Labor!$1:$1048576,AM$2,FALSE)</f>
        <v>1.202580277</v>
      </c>
      <c r="AN1080" s="356">
        <f>+VLOOKUP($E1080,Labor!$1:$1048576,AN$2,FALSE)</f>
        <v>1.194997498</v>
      </c>
      <c r="AO1080" s="356">
        <f>+VLOOKUP($E1080,Labor!$1:$1048576,AO$2,FALSE)</f>
        <v>1.1876894419999999</v>
      </c>
    </row>
    <row r="1081" spans="1:41" s="73" customFormat="1" ht="15" customHeight="1" x14ac:dyDescent="0.25">
      <c r="A1081" s="402"/>
      <c r="B1081" s="411"/>
      <c r="C1081" s="159" t="s">
        <v>471</v>
      </c>
      <c r="D1081" s="109"/>
      <c r="E1081" s="80" t="s">
        <v>786</v>
      </c>
      <c r="F1081" s="356">
        <f>+VLOOKUP($E1081,Labor!$1:$1048576,F$2,FALSE)</f>
        <v>0.72081410260000001</v>
      </c>
      <c r="G1081" s="356">
        <f>+VLOOKUP($E1081,Labor!$1:$1048576,G$2,FALSE)</f>
        <v>0.72103060610000003</v>
      </c>
      <c r="H1081" s="356">
        <f>+VLOOKUP($E1081,Labor!$1:$1048576,H$2,FALSE)</f>
        <v>0.71975627659999997</v>
      </c>
      <c r="I1081" s="356">
        <f>+VLOOKUP($E1081,Labor!$1:$1048576,I$2,FALSE)</f>
        <v>0.71749420239999995</v>
      </c>
      <c r="J1081" s="356">
        <f>+VLOOKUP($E1081,Labor!$1:$1048576,J$2,FALSE)</f>
        <v>0.71464021690000001</v>
      </c>
      <c r="K1081" s="356">
        <f>+VLOOKUP($E1081,Labor!$1:$1048576,K$2,FALSE)</f>
        <v>0.71137409549999997</v>
      </c>
      <c r="L1081" s="356">
        <f>+VLOOKUP($E1081,Labor!$1:$1048576,L$2,FALSE)</f>
        <v>0.70787201970000002</v>
      </c>
      <c r="M1081" s="356">
        <f>+VLOOKUP($E1081,Labor!$1:$1048576,M$2,FALSE)</f>
        <v>0.70437348020000001</v>
      </c>
      <c r="N1081" s="356">
        <f>+VLOOKUP($E1081,Labor!$1:$1048576,N$2,FALSE)</f>
        <v>0.70102439780000003</v>
      </c>
      <c r="O1081" s="356">
        <f>+VLOOKUP($E1081,Labor!$1:$1048576,O$2,FALSE)</f>
        <v>0.69785698060000001</v>
      </c>
      <c r="P1081" s="356">
        <f>+VLOOKUP($E1081,Labor!$1:$1048576,P$2,FALSE)</f>
        <v>0.69481565229999998</v>
      </c>
      <c r="Q1081" s="356">
        <f>+VLOOKUP($E1081,Labor!$1:$1048576,Q$2,FALSE)</f>
        <v>0.69179082069999998</v>
      </c>
      <c r="R1081" s="356">
        <f>+VLOOKUP($E1081,Labor!$1:$1048576,R$2,FALSE)</f>
        <v>0.68864772880000003</v>
      </c>
      <c r="S1081" s="356">
        <f>+VLOOKUP($E1081,Labor!$1:$1048576,S$2,FALSE)</f>
        <v>0.68524793080000002</v>
      </c>
      <c r="T1081" s="356">
        <f>+VLOOKUP($E1081,Labor!$1:$1048576,T$2,FALSE)</f>
        <v>0.68146422699999998</v>
      </c>
      <c r="U1081" s="356">
        <f>+VLOOKUP($E1081,Labor!$1:$1048576,U$2,FALSE)</f>
        <v>0.67719041810000002</v>
      </c>
      <c r="V1081" s="356">
        <f>+VLOOKUP($E1081,Labor!$1:$1048576,V$2,FALSE)</f>
        <v>0.67243412489999999</v>
      </c>
      <c r="W1081" s="356">
        <f>+VLOOKUP($E1081,Labor!$1:$1048576,W$2,FALSE)</f>
        <v>0.66732694100000001</v>
      </c>
      <c r="X1081" s="356">
        <f>+VLOOKUP($E1081,Labor!$1:$1048576,X$2,FALSE)</f>
        <v>0.6620157606</v>
      </c>
      <c r="Y1081" s="356">
        <f>+VLOOKUP($E1081,Labor!$1:$1048576,Y$2,FALSE)</f>
        <v>0.65662190610000004</v>
      </c>
      <c r="Z1081" s="356">
        <f>+VLOOKUP($E1081,Labor!$1:$1048576,Z$2,FALSE)</f>
        <v>0.6512326544</v>
      </c>
      <c r="AA1081" s="356">
        <f>+VLOOKUP($E1081,Labor!$1:$1048576,AA$2,FALSE)</f>
        <v>0.64590546989999997</v>
      </c>
      <c r="AB1081" s="356">
        <f>+VLOOKUP($E1081,Labor!$1:$1048576,AB$2,FALSE)</f>
        <v>0.64067560069999996</v>
      </c>
      <c r="AC1081" s="356">
        <f>+VLOOKUP($E1081,Labor!$1:$1048576,AC$2,FALSE)</f>
        <v>0.63556323130000003</v>
      </c>
      <c r="AD1081" s="356">
        <f>+VLOOKUP($E1081,Labor!$1:$1048576,AD$2,FALSE)</f>
        <v>0.63057902249999997</v>
      </c>
      <c r="AE1081" s="356">
        <f>+VLOOKUP($E1081,Labor!$1:$1048576,AE$2,FALSE)</f>
        <v>0.62572798169999999</v>
      </c>
      <c r="AF1081" s="356">
        <f>+VLOOKUP($E1081,Labor!$1:$1048576,AF$2,FALSE)</f>
        <v>0.62101198209999997</v>
      </c>
      <c r="AG1081" s="356">
        <f>+VLOOKUP($E1081,Labor!$1:$1048576,AG$2,FALSE)</f>
        <v>0.61643131210000002</v>
      </c>
      <c r="AH1081" s="356">
        <f>+VLOOKUP($E1081,Labor!$1:$1048576,AH$2,FALSE)</f>
        <v>0.61198557639999995</v>
      </c>
      <c r="AI1081" s="356">
        <f>+VLOOKUP($E1081,Labor!$1:$1048576,AI$2,FALSE)</f>
        <v>0.60767418829999997</v>
      </c>
      <c r="AJ1081" s="356">
        <f>+VLOOKUP($E1081,Labor!$1:$1048576,AJ$2,FALSE)</f>
        <v>0.60349661629999996</v>
      </c>
      <c r="AK1081" s="356">
        <f>+VLOOKUP($E1081,Labor!$1:$1048576,AK$2,FALSE)</f>
        <v>0.59945248740000001</v>
      </c>
      <c r="AL1081" s="356">
        <f>+VLOOKUP($E1081,Labor!$1:$1048576,AL$2,FALSE)</f>
        <v>0.59554161139999995</v>
      </c>
      <c r="AM1081" s="356">
        <f>+VLOOKUP($E1081,Labor!$1:$1048576,AM$2,FALSE)</f>
        <v>0.59176396330000003</v>
      </c>
      <c r="AN1081" s="356">
        <f>+VLOOKUP($E1081,Labor!$1:$1048576,AN$2,FALSE)</f>
        <v>0.58811964169999997</v>
      </c>
      <c r="AO1081" s="356">
        <f>+VLOOKUP($E1081,Labor!$1:$1048576,AO$2,FALSE)</f>
        <v>0.58460881779999996</v>
      </c>
    </row>
    <row r="1082" spans="1:41" s="108" customFormat="1" ht="15" customHeight="1" x14ac:dyDescent="0.25">
      <c r="A1082" s="402"/>
      <c r="B1082" s="411"/>
      <c r="C1082" s="87" t="s">
        <v>543</v>
      </c>
      <c r="D1082" s="149"/>
      <c r="E1082" s="90" t="s">
        <v>763</v>
      </c>
      <c r="F1082" s="354" t="e">
        <f>+VLOOKUP($E1082,Labor!$1:$1048576,F$2,FALSE)</f>
        <v>#N/A</v>
      </c>
      <c r="G1082" s="354" t="e">
        <f>+VLOOKUP($E1082,Labor!$1:$1048576,G$2,FALSE)</f>
        <v>#N/A</v>
      </c>
      <c r="H1082" s="354" t="e">
        <f>+VLOOKUP($E1082,Labor!$1:$1048576,H$2,FALSE)</f>
        <v>#N/A</v>
      </c>
      <c r="I1082" s="354" t="e">
        <f>+VLOOKUP($E1082,Labor!$1:$1048576,I$2,FALSE)</f>
        <v>#N/A</v>
      </c>
      <c r="J1082" s="354" t="e">
        <f>+VLOOKUP($E1082,Labor!$1:$1048576,J$2,FALSE)</f>
        <v>#N/A</v>
      </c>
      <c r="K1082" s="354" t="e">
        <f>+VLOOKUP($E1082,Labor!$1:$1048576,K$2,FALSE)</f>
        <v>#N/A</v>
      </c>
      <c r="L1082" s="354" t="e">
        <f>+VLOOKUP($E1082,Labor!$1:$1048576,L$2,FALSE)</f>
        <v>#N/A</v>
      </c>
      <c r="M1082" s="354" t="e">
        <f>+VLOOKUP($E1082,Labor!$1:$1048576,M$2,FALSE)</f>
        <v>#N/A</v>
      </c>
      <c r="N1082" s="354" t="e">
        <f>+VLOOKUP($E1082,Labor!$1:$1048576,N$2,FALSE)</f>
        <v>#N/A</v>
      </c>
      <c r="O1082" s="354" t="e">
        <f>+VLOOKUP($E1082,Labor!$1:$1048576,O$2,FALSE)</f>
        <v>#N/A</v>
      </c>
      <c r="P1082" s="354" t="e">
        <f>+VLOOKUP($E1082,Labor!$1:$1048576,P$2,FALSE)</f>
        <v>#N/A</v>
      </c>
      <c r="Q1082" s="354" t="e">
        <f>+VLOOKUP($E1082,Labor!$1:$1048576,Q$2,FALSE)</f>
        <v>#N/A</v>
      </c>
      <c r="R1082" s="354" t="e">
        <f>+VLOOKUP($E1082,Labor!$1:$1048576,R$2,FALSE)</f>
        <v>#N/A</v>
      </c>
      <c r="S1082" s="354" t="e">
        <f>+VLOOKUP($E1082,Labor!$1:$1048576,S$2,FALSE)</f>
        <v>#N/A</v>
      </c>
      <c r="T1082" s="354" t="e">
        <f>+VLOOKUP($E1082,Labor!$1:$1048576,T$2,FALSE)</f>
        <v>#N/A</v>
      </c>
      <c r="U1082" s="354" t="e">
        <f>+VLOOKUP($E1082,Labor!$1:$1048576,U$2,FALSE)</f>
        <v>#N/A</v>
      </c>
      <c r="V1082" s="354" t="e">
        <f>+VLOOKUP($E1082,Labor!$1:$1048576,V$2,FALSE)</f>
        <v>#N/A</v>
      </c>
      <c r="W1082" s="354" t="e">
        <f>+VLOOKUP($E1082,Labor!$1:$1048576,W$2,FALSE)</f>
        <v>#N/A</v>
      </c>
      <c r="X1082" s="354" t="e">
        <f>+VLOOKUP($E1082,Labor!$1:$1048576,X$2,FALSE)</f>
        <v>#N/A</v>
      </c>
      <c r="Y1082" s="354" t="e">
        <f>+VLOOKUP($E1082,Labor!$1:$1048576,Y$2,FALSE)</f>
        <v>#N/A</v>
      </c>
      <c r="Z1082" s="354" t="e">
        <f>+VLOOKUP($E1082,Labor!$1:$1048576,Z$2,FALSE)</f>
        <v>#N/A</v>
      </c>
      <c r="AA1082" s="354" t="e">
        <f>+VLOOKUP($E1082,Labor!$1:$1048576,AA$2,FALSE)</f>
        <v>#N/A</v>
      </c>
      <c r="AB1082" s="354" t="e">
        <f>+VLOOKUP($E1082,Labor!$1:$1048576,AB$2,FALSE)</f>
        <v>#N/A</v>
      </c>
      <c r="AC1082" s="354" t="e">
        <f>+VLOOKUP($E1082,Labor!$1:$1048576,AC$2,FALSE)</f>
        <v>#N/A</v>
      </c>
      <c r="AD1082" s="354" t="e">
        <f>+VLOOKUP($E1082,Labor!$1:$1048576,AD$2,FALSE)</f>
        <v>#N/A</v>
      </c>
      <c r="AE1082" s="354" t="e">
        <f>+VLOOKUP($E1082,Labor!$1:$1048576,AE$2,FALSE)</f>
        <v>#N/A</v>
      </c>
      <c r="AF1082" s="354" t="e">
        <f>+VLOOKUP($E1082,Labor!$1:$1048576,AF$2,FALSE)</f>
        <v>#N/A</v>
      </c>
      <c r="AG1082" s="354" t="e">
        <f>+VLOOKUP($E1082,Labor!$1:$1048576,AG$2,FALSE)</f>
        <v>#N/A</v>
      </c>
      <c r="AH1082" s="354" t="e">
        <f>+VLOOKUP($E1082,Labor!$1:$1048576,AH$2,FALSE)</f>
        <v>#N/A</v>
      </c>
      <c r="AI1082" s="354" t="e">
        <f>+VLOOKUP($E1082,Labor!$1:$1048576,AI$2,FALSE)</f>
        <v>#N/A</v>
      </c>
      <c r="AJ1082" s="354" t="e">
        <f>+VLOOKUP($E1082,Labor!$1:$1048576,AJ$2,FALSE)</f>
        <v>#N/A</v>
      </c>
      <c r="AK1082" s="354" t="e">
        <f>+VLOOKUP($E1082,Labor!$1:$1048576,AK$2,FALSE)</f>
        <v>#N/A</v>
      </c>
      <c r="AL1082" s="354" t="e">
        <f>+VLOOKUP($E1082,Labor!$1:$1048576,AL$2,FALSE)</f>
        <v>#N/A</v>
      </c>
      <c r="AM1082" s="354" t="e">
        <f>+VLOOKUP($E1082,Labor!$1:$1048576,AM$2,FALSE)</f>
        <v>#N/A</v>
      </c>
      <c r="AN1082" s="354" t="e">
        <f>+VLOOKUP($E1082,Labor!$1:$1048576,AN$2,FALSE)</f>
        <v>#N/A</v>
      </c>
      <c r="AO1082" s="354" t="e">
        <f>+VLOOKUP($E1082,Labor!$1:$1048576,AO$2,FALSE)</f>
        <v>#N/A</v>
      </c>
    </row>
    <row r="1083" spans="1:41" s="73" customFormat="1" ht="15" customHeight="1" x14ac:dyDescent="0.25">
      <c r="A1083" s="402"/>
      <c r="B1083" s="411"/>
      <c r="C1083" s="159" t="s">
        <v>474</v>
      </c>
      <c r="D1083" s="109"/>
      <c r="E1083" s="80" t="s">
        <v>787</v>
      </c>
      <c r="F1083" s="356">
        <f>+VLOOKUP($E1083,Labor!$1:$1048576,F$2,FALSE)</f>
        <v>59.475652169999996</v>
      </c>
      <c r="G1083" s="356">
        <f>+VLOOKUP($E1083,Labor!$1:$1048576,G$2,FALSE)</f>
        <v>59.453552620000004</v>
      </c>
      <c r="H1083" s="356">
        <f>+VLOOKUP($E1083,Labor!$1:$1048576,H$2,FALSE)</f>
        <v>59.273819860000003</v>
      </c>
      <c r="I1083" s="356">
        <f>+VLOOKUP($E1083,Labor!$1:$1048576,I$2,FALSE)</f>
        <v>58.999266859999999</v>
      </c>
      <c r="J1083" s="356">
        <f>+VLOOKUP($E1083,Labor!$1:$1048576,J$2,FALSE)</f>
        <v>58.686600980000001</v>
      </c>
      <c r="K1083" s="356">
        <f>+VLOOKUP($E1083,Labor!$1:$1048576,K$2,FALSE)</f>
        <v>58.372428360000001</v>
      </c>
      <c r="L1083" s="356">
        <f>+VLOOKUP($E1083,Labor!$1:$1048576,L$2,FALSE)</f>
        <v>58.072022939999997</v>
      </c>
      <c r="M1083" s="356">
        <f>+VLOOKUP($E1083,Labor!$1:$1048576,M$2,FALSE)</f>
        <v>57.787450839999998</v>
      </c>
      <c r="N1083" s="356">
        <f>+VLOOKUP($E1083,Labor!$1:$1048576,N$2,FALSE)</f>
        <v>57.518132270000002</v>
      </c>
      <c r="O1083" s="356">
        <f>+VLOOKUP($E1083,Labor!$1:$1048576,O$2,FALSE)</f>
        <v>57.263322989999999</v>
      </c>
      <c r="P1083" s="356">
        <f>+VLOOKUP($E1083,Labor!$1:$1048576,P$2,FALSE)</f>
        <v>57.02231578</v>
      </c>
      <c r="Q1083" s="356">
        <f>+VLOOKUP($E1083,Labor!$1:$1048576,Q$2,FALSE)</f>
        <v>56.794226559999998</v>
      </c>
      <c r="R1083" s="356">
        <f>+VLOOKUP($E1083,Labor!$1:$1048576,R$2,FALSE)</f>
        <v>56.577845369999999</v>
      </c>
      <c r="S1083" s="356">
        <f>+VLOOKUP($E1083,Labor!$1:$1048576,S$2,FALSE)</f>
        <v>56.37160257</v>
      </c>
      <c r="T1083" s="356">
        <f>+VLOOKUP($E1083,Labor!$1:$1048576,T$2,FALSE)</f>
        <v>56.173605760000001</v>
      </c>
      <c r="U1083" s="356">
        <f>+VLOOKUP($E1083,Labor!$1:$1048576,U$2,FALSE)</f>
        <v>55.981708349999998</v>
      </c>
      <c r="V1083" s="356">
        <f>+VLOOKUP($E1083,Labor!$1:$1048576,V$2,FALSE)</f>
        <v>55.791803819999998</v>
      </c>
      <c r="W1083" s="356">
        <f>+VLOOKUP($E1083,Labor!$1:$1048576,W$2,FALSE)</f>
        <v>55.599261079999998</v>
      </c>
      <c r="X1083" s="356">
        <f>+VLOOKUP($E1083,Labor!$1:$1048576,X$2,FALSE)</f>
        <v>55.402294990000001</v>
      </c>
      <c r="Y1083" s="356">
        <f>+VLOOKUP($E1083,Labor!$1:$1048576,Y$2,FALSE)</f>
        <v>55.201521550000002</v>
      </c>
      <c r="Z1083" s="356">
        <f>+VLOOKUP($E1083,Labor!$1:$1048576,Z$2,FALSE)</f>
        <v>54.998884590000003</v>
      </c>
      <c r="AA1083" s="356">
        <f>+VLOOKUP($E1083,Labor!$1:$1048576,AA$2,FALSE)</f>
        <v>54.796830489999998</v>
      </c>
      <c r="AB1083" s="356">
        <f>+VLOOKUP($E1083,Labor!$1:$1048576,AB$2,FALSE)</f>
        <v>54.59784346</v>
      </c>
      <c r="AC1083" s="356">
        <f>+VLOOKUP($E1083,Labor!$1:$1048576,AC$2,FALSE)</f>
        <v>54.404247230000003</v>
      </c>
      <c r="AD1083" s="356">
        <f>+VLOOKUP($E1083,Labor!$1:$1048576,AD$2,FALSE)</f>
        <v>54.218160109999999</v>
      </c>
      <c r="AE1083" s="356">
        <f>+VLOOKUP($E1083,Labor!$1:$1048576,AE$2,FALSE)</f>
        <v>54.041521179999997</v>
      </c>
      <c r="AF1083" s="356">
        <f>+VLOOKUP($E1083,Labor!$1:$1048576,AF$2,FALSE)</f>
        <v>53.876138789999999</v>
      </c>
      <c r="AG1083" s="356">
        <f>+VLOOKUP($E1083,Labor!$1:$1048576,AG$2,FALSE)</f>
        <v>53.723736729999999</v>
      </c>
      <c r="AH1083" s="356">
        <f>+VLOOKUP($E1083,Labor!$1:$1048576,AH$2,FALSE)</f>
        <v>53.585987899999999</v>
      </c>
      <c r="AI1083" s="356">
        <f>+VLOOKUP($E1083,Labor!$1:$1048576,AI$2,FALSE)</f>
        <v>53.464532910000003</v>
      </c>
      <c r="AJ1083" s="356">
        <f>+VLOOKUP($E1083,Labor!$1:$1048576,AJ$2,FALSE)</f>
        <v>53.360984250000001</v>
      </c>
      <c r="AK1083" s="356">
        <f>+VLOOKUP($E1083,Labor!$1:$1048576,AK$2,FALSE)</f>
        <v>53.276917840000003</v>
      </c>
      <c r="AL1083" s="356">
        <f>+VLOOKUP($E1083,Labor!$1:$1048576,AL$2,FALSE)</f>
        <v>53.213854079999997</v>
      </c>
      <c r="AM1083" s="356">
        <f>+VLOOKUP($E1083,Labor!$1:$1048576,AM$2,FALSE)</f>
        <v>53.173230340000003</v>
      </c>
      <c r="AN1083" s="356">
        <f>+VLOOKUP($E1083,Labor!$1:$1048576,AN$2,FALSE)</f>
        <v>53.156366519999999</v>
      </c>
      <c r="AO1083" s="356">
        <f>+VLOOKUP($E1083,Labor!$1:$1048576,AO$2,FALSE)</f>
        <v>53.16442576</v>
      </c>
    </row>
    <row r="1084" spans="1:41" s="73" customFormat="1" ht="15" customHeight="1" x14ac:dyDescent="0.25">
      <c r="A1084" s="402"/>
      <c r="B1084" s="411"/>
      <c r="C1084" s="159" t="s">
        <v>475</v>
      </c>
      <c r="D1084" s="109"/>
      <c r="E1084" s="80" t="s">
        <v>788</v>
      </c>
      <c r="F1084" s="356">
        <f>+VLOOKUP($E1084,Labor!$1:$1048576,F$2,FALSE)</f>
        <v>1.185341397</v>
      </c>
      <c r="G1084" s="356">
        <f>+VLOOKUP($E1084,Labor!$1:$1048576,G$2,FALSE)</f>
        <v>1.1865627160000001</v>
      </c>
      <c r="H1084" s="356">
        <f>+VLOOKUP($E1084,Labor!$1:$1048576,H$2,FALSE)</f>
        <v>1.186599741</v>
      </c>
      <c r="I1084" s="356">
        <f>+VLOOKUP($E1084,Labor!$1:$1048576,I$2,FALSE)</f>
        <v>1.1866602829999999</v>
      </c>
      <c r="J1084" s="356">
        <f>+VLOOKUP($E1084,Labor!$1:$1048576,J$2,FALSE)</f>
        <v>1.1879373339999999</v>
      </c>
      <c r="K1084" s="356">
        <f>+VLOOKUP($E1084,Labor!$1:$1048576,K$2,FALSE)</f>
        <v>1.191461476</v>
      </c>
      <c r="L1084" s="356">
        <f>+VLOOKUP($E1084,Labor!$1:$1048576,L$2,FALSE)</f>
        <v>1.1973702749999999</v>
      </c>
      <c r="M1084" s="356">
        <f>+VLOOKUP($E1084,Labor!$1:$1048576,M$2,FALSE)</f>
        <v>1.2048968760000001</v>
      </c>
      <c r="N1084" s="356">
        <f>+VLOOKUP($E1084,Labor!$1:$1048576,N$2,FALSE)</f>
        <v>1.2133085910000001</v>
      </c>
      <c r="O1084" s="356">
        <f>+VLOOKUP($E1084,Labor!$1:$1048576,O$2,FALSE)</f>
        <v>1.222209179</v>
      </c>
      <c r="P1084" s="356">
        <f>+VLOOKUP($E1084,Labor!$1:$1048576,P$2,FALSE)</f>
        <v>1.2315733369999999</v>
      </c>
      <c r="Q1084" s="356">
        <f>+VLOOKUP($E1084,Labor!$1:$1048576,Q$2,FALSE)</f>
        <v>1.2416794579999999</v>
      </c>
      <c r="R1084" s="356">
        <f>+VLOOKUP($E1084,Labor!$1:$1048576,R$2,FALSE)</f>
        <v>1.253014735</v>
      </c>
      <c r="S1084" s="356">
        <f>+VLOOKUP($E1084,Labor!$1:$1048576,S$2,FALSE)</f>
        <v>1.266184065</v>
      </c>
      <c r="T1084" s="356">
        <f>+VLOOKUP($E1084,Labor!$1:$1048576,T$2,FALSE)</f>
        <v>1.2818342739999999</v>
      </c>
      <c r="U1084" s="356">
        <f>+VLOOKUP($E1084,Labor!$1:$1048576,U$2,FALSE)</f>
        <v>1.3005961500000001</v>
      </c>
      <c r="V1084" s="356">
        <f>+VLOOKUP($E1084,Labor!$1:$1048576,V$2,FALSE)</f>
        <v>1.322559998</v>
      </c>
      <c r="W1084" s="356">
        <f>+VLOOKUP($E1084,Labor!$1:$1048576,W$2,FALSE)</f>
        <v>1.34714402</v>
      </c>
      <c r="X1084" s="356">
        <f>+VLOOKUP($E1084,Labor!$1:$1048576,X$2,FALSE)</f>
        <v>1.3736337160000001</v>
      </c>
      <c r="Y1084" s="356">
        <f>+VLOOKUP($E1084,Labor!$1:$1048576,Y$2,FALSE)</f>
        <v>1.4013896180000001</v>
      </c>
      <c r="Z1084" s="356">
        <f>+VLOOKUP($E1084,Labor!$1:$1048576,Z$2,FALSE)</f>
        <v>1.429909452</v>
      </c>
      <c r="AA1084" s="356">
        <f>+VLOOKUP($E1084,Labor!$1:$1048576,AA$2,FALSE)</f>
        <v>1.4588295680000001</v>
      </c>
      <c r="AB1084" s="356">
        <f>+VLOOKUP($E1084,Labor!$1:$1048576,AB$2,FALSE)</f>
        <v>1.487904221</v>
      </c>
      <c r="AC1084" s="356">
        <f>+VLOOKUP($E1084,Labor!$1:$1048576,AC$2,FALSE)</f>
        <v>1.5169798459999999</v>
      </c>
      <c r="AD1084" s="356">
        <f>+VLOOKUP($E1084,Labor!$1:$1048576,AD$2,FALSE)</f>
        <v>1.545971408</v>
      </c>
      <c r="AE1084" s="356">
        <f>+VLOOKUP($E1084,Labor!$1:$1048576,AE$2,FALSE)</f>
        <v>1.574843172</v>
      </c>
      <c r="AF1084" s="356">
        <f>+VLOOKUP($E1084,Labor!$1:$1048576,AF$2,FALSE)</f>
        <v>1.603594143</v>
      </c>
      <c r="AG1084" s="356">
        <f>+VLOOKUP($E1084,Labor!$1:$1048576,AG$2,FALSE)</f>
        <v>1.6322475240000001</v>
      </c>
      <c r="AH1084" s="356">
        <f>+VLOOKUP($E1084,Labor!$1:$1048576,AH$2,FALSE)</f>
        <v>1.6608433069999999</v>
      </c>
      <c r="AI1084" s="356">
        <f>+VLOOKUP($E1084,Labor!$1:$1048576,AI$2,FALSE)</f>
        <v>1.689433108</v>
      </c>
      <c r="AJ1084" s="356">
        <f>+VLOOKUP($E1084,Labor!$1:$1048576,AJ$2,FALSE)</f>
        <v>1.718076519</v>
      </c>
      <c r="AK1084" s="356">
        <f>+VLOOKUP($E1084,Labor!$1:$1048576,AK$2,FALSE)</f>
        <v>1.7468383869999999</v>
      </c>
      <c r="AL1084" s="356">
        <f>+VLOOKUP($E1084,Labor!$1:$1048576,AL$2,FALSE)</f>
        <v>1.775786584</v>
      </c>
      <c r="AM1084" s="356">
        <f>+VLOOKUP($E1084,Labor!$1:$1048576,AM$2,FALSE)</f>
        <v>1.8049899840000001</v>
      </c>
      <c r="AN1084" s="356">
        <f>+VLOOKUP($E1084,Labor!$1:$1048576,AN$2,FALSE)</f>
        <v>1.834516461</v>
      </c>
      <c r="AO1084" s="356">
        <f>+VLOOKUP($E1084,Labor!$1:$1048576,AO$2,FALSE)</f>
        <v>1.864430799</v>
      </c>
    </row>
    <row r="1085" spans="1:41" s="73" customFormat="1" ht="15" customHeight="1" x14ac:dyDescent="0.25">
      <c r="A1085" s="402"/>
      <c r="B1085" s="411"/>
      <c r="C1085" s="159" t="s">
        <v>476</v>
      </c>
      <c r="D1085" s="109"/>
      <c r="E1085" s="80" t="s">
        <v>789</v>
      </c>
      <c r="F1085" s="356">
        <f>+VLOOKUP($E1085,Labor!$1:$1048576,F$2,FALSE)</f>
        <v>1.7225001719999999</v>
      </c>
      <c r="G1085" s="356">
        <f>+VLOOKUP($E1085,Labor!$1:$1048576,G$2,FALSE)</f>
        <v>1.7232989999999999</v>
      </c>
      <c r="H1085" s="356">
        <f>+VLOOKUP($E1085,Labor!$1:$1048576,H$2,FALSE)</f>
        <v>1.7212317180000001</v>
      </c>
      <c r="I1085" s="356">
        <f>+VLOOKUP($E1085,Labor!$1:$1048576,I$2,FALSE)</f>
        <v>1.718085313</v>
      </c>
      <c r="J1085" s="356">
        <f>+VLOOKUP($E1085,Labor!$1:$1048576,J$2,FALSE)</f>
        <v>1.715566782</v>
      </c>
      <c r="K1085" s="356">
        <f>+VLOOKUP($E1085,Labor!$1:$1048576,K$2,FALSE)</f>
        <v>1.7150163089999999</v>
      </c>
      <c r="L1085" s="356">
        <f>+VLOOKUP($E1085,Labor!$1:$1048576,L$2,FALSE)</f>
        <v>1.716740573</v>
      </c>
      <c r="M1085" s="356">
        <f>+VLOOKUP($E1085,Labor!$1:$1048576,M$2,FALSE)</f>
        <v>1.7200851740000001</v>
      </c>
      <c r="N1085" s="356">
        <f>+VLOOKUP($E1085,Labor!$1:$1048576,N$2,FALSE)</f>
        <v>1.7243977450000001</v>
      </c>
      <c r="O1085" s="356">
        <f>+VLOOKUP($E1085,Labor!$1:$1048576,O$2,FALSE)</f>
        <v>1.7293282619999999</v>
      </c>
      <c r="P1085" s="356">
        <f>+VLOOKUP($E1085,Labor!$1:$1048576,P$2,FALSE)</f>
        <v>1.7348622840000001</v>
      </c>
      <c r="Q1085" s="356">
        <f>+VLOOKUP($E1085,Labor!$1:$1048576,Q$2,FALSE)</f>
        <v>1.7412593590000001</v>
      </c>
      <c r="R1085" s="356">
        <f>+VLOOKUP($E1085,Labor!$1:$1048576,R$2,FALSE)</f>
        <v>1.748969145</v>
      </c>
      <c r="S1085" s="356">
        <f>+VLOOKUP($E1085,Labor!$1:$1048576,S$2,FALSE)</f>
        <v>1.7585533470000001</v>
      </c>
      <c r="T1085" s="356">
        <f>+VLOOKUP($E1085,Labor!$1:$1048576,T$2,FALSE)</f>
        <v>1.7706221289999999</v>
      </c>
      <c r="U1085" s="356">
        <f>+VLOOKUP($E1085,Labor!$1:$1048576,U$2,FALSE)</f>
        <v>1.785785714</v>
      </c>
      <c r="V1085" s="356">
        <f>+VLOOKUP($E1085,Labor!$1:$1048576,V$2,FALSE)</f>
        <v>1.8041282300000001</v>
      </c>
      <c r="W1085" s="356">
        <f>+VLOOKUP($E1085,Labor!$1:$1048576,W$2,FALSE)</f>
        <v>1.8250798450000001</v>
      </c>
      <c r="X1085" s="356">
        <f>+VLOOKUP($E1085,Labor!$1:$1048576,X$2,FALSE)</f>
        <v>1.847968952</v>
      </c>
      <c r="Y1085" s="356">
        <f>+VLOOKUP($E1085,Labor!$1:$1048576,Y$2,FALSE)</f>
        <v>1.872216211</v>
      </c>
      <c r="Z1085" s="356">
        <f>+VLOOKUP($E1085,Labor!$1:$1048576,Z$2,FALSE)</f>
        <v>1.89738166</v>
      </c>
      <c r="AA1085" s="356">
        <f>+VLOOKUP($E1085,Labor!$1:$1048576,AA$2,FALSE)</f>
        <v>1.9231563220000001</v>
      </c>
      <c r="AB1085" s="356">
        <f>+VLOOKUP($E1085,Labor!$1:$1048576,AB$2,FALSE)</f>
        <v>1.9493371509999999</v>
      </c>
      <c r="AC1085" s="356">
        <f>+VLOOKUP($E1085,Labor!$1:$1048576,AC$2,FALSE)</f>
        <v>1.975800829</v>
      </c>
      <c r="AD1085" s="356">
        <f>+VLOOKUP($E1085,Labor!$1:$1048576,AD$2,FALSE)</f>
        <v>2.0024817810000002</v>
      </c>
      <c r="AE1085" s="356">
        <f>+VLOOKUP($E1085,Labor!$1:$1048576,AE$2,FALSE)</f>
        <v>2.0293554469999999</v>
      </c>
      <c r="AF1085" s="356">
        <f>+VLOOKUP($E1085,Labor!$1:$1048576,AF$2,FALSE)</f>
        <v>2.0564262640000002</v>
      </c>
      <c r="AG1085" s="356">
        <f>+VLOOKUP($E1085,Labor!$1:$1048576,AG$2,FALSE)</f>
        <v>2.083719307</v>
      </c>
      <c r="AH1085" s="356">
        <f>+VLOOKUP($E1085,Labor!$1:$1048576,AH$2,FALSE)</f>
        <v>2.1112745510000002</v>
      </c>
      <c r="AI1085" s="356">
        <f>+VLOOKUP($E1085,Labor!$1:$1048576,AI$2,FALSE)</f>
        <v>2.139142879</v>
      </c>
      <c r="AJ1085" s="356">
        <f>+VLOOKUP($E1085,Labor!$1:$1048576,AJ$2,FALSE)</f>
        <v>2.1673831510000001</v>
      </c>
      <c r="AK1085" s="356">
        <f>+VLOOKUP($E1085,Labor!$1:$1048576,AK$2,FALSE)</f>
        <v>2.1960598450000002</v>
      </c>
      <c r="AL1085" s="356">
        <f>+VLOOKUP($E1085,Labor!$1:$1048576,AL$2,FALSE)</f>
        <v>2.2252409210000001</v>
      </c>
      <c r="AM1085" s="356">
        <f>+VLOOKUP($E1085,Labor!$1:$1048576,AM$2,FALSE)</f>
        <v>2.254995686</v>
      </c>
      <c r="AN1085" s="356">
        <f>+VLOOKUP($E1085,Labor!$1:$1048576,AN$2,FALSE)</f>
        <v>2.285392527</v>
      </c>
      <c r="AO1085" s="356">
        <f>+VLOOKUP($E1085,Labor!$1:$1048576,AO$2,FALSE)</f>
        <v>2.3164964669999999</v>
      </c>
    </row>
    <row r="1086" spans="1:41" s="73" customFormat="1" ht="15" customHeight="1" x14ac:dyDescent="0.25">
      <c r="A1086" s="402"/>
      <c r="B1086" s="411"/>
      <c r="C1086" s="159" t="s">
        <v>477</v>
      </c>
      <c r="D1086" s="109"/>
      <c r="E1086" s="80" t="s">
        <v>790</v>
      </c>
      <c r="F1086" s="356">
        <f>+VLOOKUP($E1086,Labor!$1:$1048576,F$2,FALSE)</f>
        <v>1.5649011639999999</v>
      </c>
      <c r="G1086" s="356">
        <f>+VLOOKUP($E1086,Labor!$1:$1048576,G$2,FALSE)</f>
        <v>1.568298813</v>
      </c>
      <c r="H1086" s="356">
        <f>+VLOOKUP($E1086,Labor!$1:$1048576,H$2,FALSE)</f>
        <v>1.572152547</v>
      </c>
      <c r="I1086" s="356">
        <f>+VLOOKUP($E1086,Labor!$1:$1048576,I$2,FALSE)</f>
        <v>1.5779301539999999</v>
      </c>
      <c r="J1086" s="356">
        <f>+VLOOKUP($E1086,Labor!$1:$1048576,J$2,FALSE)</f>
        <v>1.5871884890000001</v>
      </c>
      <c r="K1086" s="356">
        <f>+VLOOKUP($E1086,Labor!$1:$1048576,K$2,FALSE)</f>
        <v>1.6014865140000001</v>
      </c>
      <c r="L1086" s="356">
        <f>+VLOOKUP($E1086,Labor!$1:$1048576,L$2,FALSE)</f>
        <v>1.6207507560000001</v>
      </c>
      <c r="M1086" s="356">
        <f>+VLOOKUP($E1086,Labor!$1:$1048576,M$2,FALSE)</f>
        <v>1.6431569619999999</v>
      </c>
      <c r="N1086" s="356">
        <f>+VLOOKUP($E1086,Labor!$1:$1048576,N$2,FALSE)</f>
        <v>1.667047739</v>
      </c>
      <c r="O1086" s="356">
        <f>+VLOOKUP($E1086,Labor!$1:$1048576,O$2,FALSE)</f>
        <v>1.691537987</v>
      </c>
      <c r="P1086" s="356">
        <f>+VLOOKUP($E1086,Labor!$1:$1048576,P$2,FALSE)</f>
        <v>1.716565312</v>
      </c>
      <c r="Q1086" s="356">
        <f>+VLOOKUP($E1086,Labor!$1:$1048576,Q$2,FALSE)</f>
        <v>1.742726072</v>
      </c>
      <c r="R1086" s="356">
        <f>+VLOOKUP($E1086,Labor!$1:$1048576,R$2,FALSE)</f>
        <v>1.7710528889999999</v>
      </c>
      <c r="S1086" s="356">
        <f>+VLOOKUP($E1086,Labor!$1:$1048576,S$2,FALSE)</f>
        <v>1.8028033109999999</v>
      </c>
      <c r="T1086" s="356">
        <f>+VLOOKUP($E1086,Labor!$1:$1048576,T$2,FALSE)</f>
        <v>1.8392870299999999</v>
      </c>
      <c r="U1086" s="356">
        <f>+VLOOKUP($E1086,Labor!$1:$1048576,U$2,FALSE)</f>
        <v>1.8817383590000001</v>
      </c>
      <c r="V1086" s="356">
        <f>+VLOOKUP($E1086,Labor!$1:$1048576,V$2,FALSE)</f>
        <v>1.9302840050000001</v>
      </c>
      <c r="W1086" s="356">
        <f>+VLOOKUP($E1086,Labor!$1:$1048576,W$2,FALSE)</f>
        <v>1.9837062169999999</v>
      </c>
      <c r="X1086" s="356">
        <f>+VLOOKUP($E1086,Labor!$1:$1048576,X$2,FALSE)</f>
        <v>2.0405141219999998</v>
      </c>
      <c r="Y1086" s="356">
        <f>+VLOOKUP($E1086,Labor!$1:$1048576,Y$2,FALSE)</f>
        <v>2.099370113</v>
      </c>
      <c r="Z1086" s="356">
        <f>+VLOOKUP($E1086,Labor!$1:$1048576,Z$2,FALSE)</f>
        <v>2.1592243070000001</v>
      </c>
      <c r="AA1086" s="356">
        <f>+VLOOKUP($E1086,Labor!$1:$1048576,AA$2,FALSE)</f>
        <v>2.219322155</v>
      </c>
      <c r="AB1086" s="356">
        <f>+VLOOKUP($E1086,Labor!$1:$1048576,AB$2,FALSE)</f>
        <v>2.27916279</v>
      </c>
      <c r="AC1086" s="356">
        <f>+VLOOKUP($E1086,Labor!$1:$1048576,AC$2,FALSE)</f>
        <v>2.338444279</v>
      </c>
      <c r="AD1086" s="356">
        <f>+VLOOKUP($E1086,Labor!$1:$1048576,AD$2,FALSE)</f>
        <v>2.397011789</v>
      </c>
      <c r="AE1086" s="356">
        <f>+VLOOKUP($E1086,Labor!$1:$1048576,AE$2,FALSE)</f>
        <v>2.4548146609999999</v>
      </c>
      <c r="AF1086" s="356">
        <f>+VLOOKUP($E1086,Labor!$1:$1048576,AF$2,FALSE)</f>
        <v>2.511873563</v>
      </c>
      <c r="AG1086" s="356">
        <f>+VLOOKUP($E1086,Labor!$1:$1048576,AG$2,FALSE)</f>
        <v>2.5682566690000002</v>
      </c>
      <c r="AH1086" s="356">
        <f>+VLOOKUP($E1086,Labor!$1:$1048576,AH$2,FALSE)</f>
        <v>2.6240630660000002</v>
      </c>
      <c r="AI1086" s="356">
        <f>+VLOOKUP($E1086,Labor!$1:$1048576,AI$2,FALSE)</f>
        <v>2.6794114840000001</v>
      </c>
      <c r="AJ1086" s="356">
        <f>+VLOOKUP($E1086,Labor!$1:$1048576,AJ$2,FALSE)</f>
        <v>2.7344326780000001</v>
      </c>
      <c r="AK1086" s="356">
        <f>+VLOOKUP($E1086,Labor!$1:$1048576,AK$2,FALSE)</f>
        <v>2.789264127</v>
      </c>
      <c r="AL1086" s="356">
        <f>+VLOOKUP($E1086,Labor!$1:$1048576,AL$2,FALSE)</f>
        <v>2.8440460559999998</v>
      </c>
      <c r="AM1086" s="356">
        <f>+VLOOKUP($E1086,Labor!$1:$1048576,AM$2,FALSE)</f>
        <v>2.8989180939999999</v>
      </c>
      <c r="AN1086" s="356">
        <f>+VLOOKUP($E1086,Labor!$1:$1048576,AN$2,FALSE)</f>
        <v>2.9540161039999999</v>
      </c>
      <c r="AO1086" s="356">
        <f>+VLOOKUP($E1086,Labor!$1:$1048576,AO$2,FALSE)</f>
        <v>3.0094689400000001</v>
      </c>
    </row>
    <row r="1087" spans="1:41" s="73" customFormat="1" ht="15" customHeight="1" x14ac:dyDescent="0.25">
      <c r="A1087" s="402"/>
      <c r="B1087" s="411"/>
      <c r="C1087" s="159" t="s">
        <v>478</v>
      </c>
      <c r="D1087" s="109"/>
      <c r="E1087" s="80" t="s">
        <v>791</v>
      </c>
      <c r="F1087" s="356">
        <f>+VLOOKUP($E1087,Labor!$1:$1048576,F$2,FALSE)</f>
        <v>3.0796981940000001</v>
      </c>
      <c r="G1087" s="356">
        <f>+VLOOKUP($E1087,Labor!$1:$1048576,G$2,FALSE)</f>
        <v>3.0786372829999999</v>
      </c>
      <c r="H1087" s="356">
        <f>+VLOOKUP($E1087,Labor!$1:$1048576,H$2,FALSE)</f>
        <v>3.069550284</v>
      </c>
      <c r="I1087" s="356">
        <f>+VLOOKUP($E1087,Labor!$1:$1048576,I$2,FALSE)</f>
        <v>3.0557192550000001</v>
      </c>
      <c r="J1087" s="356">
        <f>+VLOOKUP($E1087,Labor!$1:$1048576,J$2,FALSE)</f>
        <v>3.0401451640000001</v>
      </c>
      <c r="K1087" s="356">
        <f>+VLOOKUP($E1087,Labor!$1:$1048576,K$2,FALSE)</f>
        <v>3.024840245</v>
      </c>
      <c r="L1087" s="356">
        <f>+VLOOKUP($E1087,Labor!$1:$1048576,L$2,FALSE)</f>
        <v>3.0106818340000001</v>
      </c>
      <c r="M1087" s="356">
        <f>+VLOOKUP($E1087,Labor!$1:$1048576,M$2,FALSE)</f>
        <v>2.9977542229999998</v>
      </c>
      <c r="N1087" s="356">
        <f>+VLOOKUP($E1087,Labor!$1:$1048576,N$2,FALSE)</f>
        <v>2.9859339650000001</v>
      </c>
      <c r="O1087" s="356">
        <f>+VLOOKUP($E1087,Labor!$1:$1048576,O$2,FALSE)</f>
        <v>2.9750842130000001</v>
      </c>
      <c r="P1087" s="356">
        <f>+VLOOKUP($E1087,Labor!$1:$1048576,P$2,FALSE)</f>
        <v>2.965110723</v>
      </c>
      <c r="Q1087" s="356">
        <f>+VLOOKUP($E1087,Labor!$1:$1048576,Q$2,FALSE)</f>
        <v>2.9559698679999999</v>
      </c>
      <c r="R1087" s="356">
        <f>+VLOOKUP($E1087,Labor!$1:$1048576,R$2,FALSE)</f>
        <v>2.947660629</v>
      </c>
      <c r="S1087" s="356">
        <f>+VLOOKUP($E1087,Labor!$1:$1048576,S$2,FALSE)</f>
        <v>2.9402121430000001</v>
      </c>
      <c r="T1087" s="356">
        <f>+VLOOKUP($E1087,Labor!$1:$1048576,T$2,FALSE)</f>
        <v>2.9336713649999999</v>
      </c>
      <c r="U1087" s="356">
        <f>+VLOOKUP($E1087,Labor!$1:$1048576,U$2,FALSE)</f>
        <v>2.9280929549999999</v>
      </c>
      <c r="V1087" s="356">
        <f>+VLOOKUP($E1087,Labor!$1:$1048576,V$2,FALSE)</f>
        <v>2.9233836200000001</v>
      </c>
      <c r="W1087" s="356">
        <f>+VLOOKUP($E1087,Labor!$1:$1048576,W$2,FALSE)</f>
        <v>2.9193112210000001</v>
      </c>
      <c r="X1087" s="356">
        <f>+VLOOKUP($E1087,Labor!$1:$1048576,X$2,FALSE)</f>
        <v>2.915701173</v>
      </c>
      <c r="Y1087" s="356">
        <f>+VLOOKUP($E1087,Labor!$1:$1048576,Y$2,FALSE)</f>
        <v>2.9124595850000001</v>
      </c>
      <c r="Z1087" s="356">
        <f>+VLOOKUP($E1087,Labor!$1:$1048576,Z$2,FALSE)</f>
        <v>2.9095549489999999</v>
      </c>
      <c r="AA1087" s="356">
        <f>+VLOOKUP($E1087,Labor!$1:$1048576,AA$2,FALSE)</f>
        <v>2.90699716</v>
      </c>
      <c r="AB1087" s="356">
        <f>+VLOOKUP($E1087,Labor!$1:$1048576,AB$2,FALSE)</f>
        <v>2.9048223279999998</v>
      </c>
      <c r="AC1087" s="356">
        <f>+VLOOKUP($E1087,Labor!$1:$1048576,AC$2,FALSE)</f>
        <v>2.9030831990000001</v>
      </c>
      <c r="AD1087" s="356">
        <f>+VLOOKUP($E1087,Labor!$1:$1048576,AD$2,FALSE)</f>
        <v>2.9018434320000002</v>
      </c>
      <c r="AE1087" s="356">
        <f>+VLOOKUP($E1087,Labor!$1:$1048576,AE$2,FALSE)</f>
        <v>2.901174159</v>
      </c>
      <c r="AF1087" s="356">
        <f>+VLOOKUP($E1087,Labor!$1:$1048576,AF$2,FALSE)</f>
        <v>2.901151864</v>
      </c>
      <c r="AG1087" s="356">
        <f>+VLOOKUP($E1087,Labor!$1:$1048576,AG$2,FALSE)</f>
        <v>2.9018569539999999</v>
      </c>
      <c r="AH1087" s="356">
        <f>+VLOOKUP($E1087,Labor!$1:$1048576,AH$2,FALSE)</f>
        <v>2.9033726529999999</v>
      </c>
      <c r="AI1087" s="356">
        <f>+VLOOKUP($E1087,Labor!$1:$1048576,AI$2,FALSE)</f>
        <v>2.9057840009999998</v>
      </c>
      <c r="AJ1087" s="356">
        <f>+VLOOKUP($E1087,Labor!$1:$1048576,AJ$2,FALSE)</f>
        <v>2.909176779</v>
      </c>
      <c r="AK1087" s="356">
        <f>+VLOOKUP($E1087,Labor!$1:$1048576,AK$2,FALSE)</f>
        <v>2.913636254</v>
      </c>
      <c r="AL1087" s="356">
        <f>+VLOOKUP($E1087,Labor!$1:$1048576,AL$2,FALSE)</f>
        <v>2.9192456760000001</v>
      </c>
      <c r="AM1087" s="356">
        <f>+VLOOKUP($E1087,Labor!$1:$1048576,AM$2,FALSE)</f>
        <v>2.9260844800000001</v>
      </c>
      <c r="AN1087" s="356">
        <f>+VLOOKUP($E1087,Labor!$1:$1048576,AN$2,FALSE)</f>
        <v>2.9342262080000001</v>
      </c>
      <c r="AO1087" s="356">
        <f>+VLOOKUP($E1087,Labor!$1:$1048576,AO$2,FALSE)</f>
        <v>2.943736157</v>
      </c>
    </row>
    <row r="1088" spans="1:41" s="73" customFormat="1" ht="15" customHeight="1" x14ac:dyDescent="0.25">
      <c r="A1088" s="402"/>
      <c r="B1088" s="411"/>
      <c r="C1088" s="159" t="s">
        <v>479</v>
      </c>
      <c r="D1088" s="109"/>
      <c r="E1088" s="80" t="s">
        <v>792</v>
      </c>
      <c r="F1088" s="356">
        <f>+VLOOKUP($E1088,Labor!$1:$1048576,F$2,FALSE)</f>
        <v>1.119587919</v>
      </c>
      <c r="G1088" s="356">
        <f>+VLOOKUP($E1088,Labor!$1:$1048576,G$2,FALSE)</f>
        <v>1.1192032590000001</v>
      </c>
      <c r="H1088" s="356">
        <f>+VLOOKUP($E1088,Labor!$1:$1048576,H$2,FALSE)</f>
        <v>1.115900259</v>
      </c>
      <c r="I1088" s="356">
        <f>+VLOOKUP($E1088,Labor!$1:$1048576,I$2,FALSE)</f>
        <v>1.1108723</v>
      </c>
      <c r="J1088" s="356">
        <f>+VLOOKUP($E1088,Labor!$1:$1048576,J$2,FALSE)</f>
        <v>1.1052104760000001</v>
      </c>
      <c r="K1088" s="356">
        <f>+VLOOKUP($E1088,Labor!$1:$1048576,K$2,FALSE)</f>
        <v>1.0996463649999999</v>
      </c>
      <c r="L1088" s="356">
        <f>+VLOOKUP($E1088,Labor!$1:$1048576,L$2,FALSE)</f>
        <v>1.0944989389999999</v>
      </c>
      <c r="M1088" s="356">
        <f>+VLOOKUP($E1088,Labor!$1:$1048576,M$2,FALSE)</f>
        <v>1.0897988670000001</v>
      </c>
      <c r="N1088" s="356">
        <f>+VLOOKUP($E1088,Labor!$1:$1048576,N$2,FALSE)</f>
        <v>1.085501297</v>
      </c>
      <c r="O1088" s="356">
        <f>+VLOOKUP($E1088,Labor!$1:$1048576,O$2,FALSE)</f>
        <v>1.0815565060000001</v>
      </c>
      <c r="P1088" s="356">
        <f>+VLOOKUP($E1088,Labor!$1:$1048576,P$2,FALSE)</f>
        <v>1.077930243</v>
      </c>
      <c r="Q1088" s="356">
        <f>+VLOOKUP($E1088,Labor!$1:$1048576,Q$2,FALSE)</f>
        <v>1.0746066480000001</v>
      </c>
      <c r="R1088" s="356">
        <f>+VLOOKUP($E1088,Labor!$1:$1048576,R$2,FALSE)</f>
        <v>1.0715853369999999</v>
      </c>
      <c r="S1088" s="356">
        <f>+VLOOKUP($E1088,Labor!$1:$1048576,S$2,FALSE)</f>
        <v>1.0688768799999999</v>
      </c>
      <c r="T1088" s="356">
        <f>+VLOOKUP($E1088,Labor!$1:$1048576,T$2,FALSE)</f>
        <v>1.066498317</v>
      </c>
      <c r="U1088" s="356">
        <f>+VLOOKUP($E1088,Labor!$1:$1048576,U$2,FALSE)</f>
        <v>1.064469487</v>
      </c>
      <c r="V1088" s="356">
        <f>+VLOOKUP($E1088,Labor!$1:$1048576,V$2,FALSE)</f>
        <v>1.0627564490000001</v>
      </c>
      <c r="W1088" s="356">
        <f>+VLOOKUP($E1088,Labor!$1:$1048576,W$2,FALSE)</f>
        <v>1.0612748110000001</v>
      </c>
      <c r="X1088" s="356">
        <f>+VLOOKUP($E1088,Labor!$1:$1048576,X$2,FALSE)</f>
        <v>1.059961121</v>
      </c>
      <c r="Y1088" s="356">
        <f>+VLOOKUP($E1088,Labor!$1:$1048576,Y$2,FALSE)</f>
        <v>1.0587812700000001</v>
      </c>
      <c r="Z1088" s="356">
        <f>+VLOOKUP($E1088,Labor!$1:$1048576,Z$2,FALSE)</f>
        <v>1.0577238289999999</v>
      </c>
      <c r="AA1088" s="356">
        <f>+VLOOKUP($E1088,Labor!$1:$1048576,AA$2,FALSE)</f>
        <v>1.0567924200000001</v>
      </c>
      <c r="AB1088" s="356">
        <f>+VLOOKUP($E1088,Labor!$1:$1048576,AB$2,FALSE)</f>
        <v>1.0560001880000001</v>
      </c>
      <c r="AC1088" s="356">
        <f>+VLOOKUP($E1088,Labor!$1:$1048576,AC$2,FALSE)</f>
        <v>1.055366322</v>
      </c>
      <c r="AD1088" s="356">
        <f>+VLOOKUP($E1088,Labor!$1:$1048576,AD$2,FALSE)</f>
        <v>1.054913972</v>
      </c>
      <c r="AE1088" s="356">
        <f>+VLOOKUP($E1088,Labor!$1:$1048576,AE$2,FALSE)</f>
        <v>1.054669005</v>
      </c>
      <c r="AF1088" s="356">
        <f>+VLOOKUP($E1088,Labor!$1:$1048576,AF$2,FALSE)</f>
        <v>1.054659228</v>
      </c>
      <c r="AG1088" s="356">
        <f>+VLOOKUP($E1088,Labor!$1:$1048576,AG$2,FALSE)</f>
        <v>1.0549138739999999</v>
      </c>
      <c r="AH1088" s="356">
        <f>+VLOOKUP($E1088,Labor!$1:$1048576,AH$2,FALSE)</f>
        <v>1.0554631999999999</v>
      </c>
      <c r="AI1088" s="356">
        <f>+VLOOKUP($E1088,Labor!$1:$1048576,AI$2,FALSE)</f>
        <v>1.0563381199999999</v>
      </c>
      <c r="AJ1088" s="356">
        <f>+VLOOKUP($E1088,Labor!$1:$1048576,AJ$2,FALSE)</f>
        <v>1.0575698179999999</v>
      </c>
      <c r="AK1088" s="356">
        <f>+VLOOKUP($E1088,Labor!$1:$1048576,AK$2,FALSE)</f>
        <v>1.059189293</v>
      </c>
      <c r="AL1088" s="356">
        <f>+VLOOKUP($E1088,Labor!$1:$1048576,AL$2,FALSE)</f>
        <v>1.0612268060000001</v>
      </c>
      <c r="AM1088" s="356">
        <f>+VLOOKUP($E1088,Labor!$1:$1048576,AM$2,FALSE)</f>
        <v>1.063711235</v>
      </c>
      <c r="AN1088" s="356">
        <f>+VLOOKUP($E1088,Labor!$1:$1048576,AN$2,FALSE)</f>
        <v>1.066669315</v>
      </c>
      <c r="AO1088" s="356">
        <f>+VLOOKUP($E1088,Labor!$1:$1048576,AO$2,FALSE)</f>
        <v>1.0701247810000001</v>
      </c>
    </row>
    <row r="1089" spans="1:41" s="73" customFormat="1" ht="15" customHeight="1" x14ac:dyDescent="0.25">
      <c r="A1089" s="402"/>
      <c r="B1089" s="411"/>
      <c r="C1089" s="159" t="s">
        <v>480</v>
      </c>
      <c r="D1089" s="109"/>
      <c r="E1089" s="80" t="s">
        <v>793</v>
      </c>
      <c r="F1089" s="356">
        <f>+VLOOKUP($E1089,Labor!$1:$1048576,F$2,FALSE)</f>
        <v>8.6187571799999994</v>
      </c>
      <c r="G1089" s="356">
        <f>+VLOOKUP($E1089,Labor!$1:$1048576,G$2,FALSE)</f>
        <v>8.6157937849999993</v>
      </c>
      <c r="H1089" s="356">
        <f>+VLOOKUP($E1089,Labor!$1:$1048576,H$2,FALSE)</f>
        <v>8.5903610930000003</v>
      </c>
      <c r="I1089" s="356">
        <f>+VLOOKUP($E1089,Labor!$1:$1048576,I$2,FALSE)</f>
        <v>8.5516451599999996</v>
      </c>
      <c r="J1089" s="356">
        <f>+VLOOKUP($E1089,Labor!$1:$1048576,J$2,FALSE)</f>
        <v>8.5080437050000004</v>
      </c>
      <c r="K1089" s="356">
        <f>+VLOOKUP($E1089,Labor!$1:$1048576,K$2,FALSE)</f>
        <v>8.4651855309999995</v>
      </c>
      <c r="L1089" s="356">
        <f>+VLOOKUP($E1089,Labor!$1:$1048576,L$2,FALSE)</f>
        <v>8.4255238929999994</v>
      </c>
      <c r="M1089" s="356">
        <f>+VLOOKUP($E1089,Labor!$1:$1048576,M$2,FALSE)</f>
        <v>8.3892954759999991</v>
      </c>
      <c r="N1089" s="356">
        <f>+VLOOKUP($E1089,Labor!$1:$1048576,N$2,FALSE)</f>
        <v>8.3561574279999995</v>
      </c>
      <c r="O1089" s="356">
        <f>+VLOOKUP($E1089,Labor!$1:$1048576,O$2,FALSE)</f>
        <v>8.3257294870000003</v>
      </c>
      <c r="P1089" s="356">
        <f>+VLOOKUP($E1089,Labor!$1:$1048576,P$2,FALSE)</f>
        <v>8.2977494830000005</v>
      </c>
      <c r="Q1089" s="356">
        <f>+VLOOKUP($E1089,Labor!$1:$1048576,Q$2,FALSE)</f>
        <v>8.2720952659999991</v>
      </c>
      <c r="R1089" s="356">
        <f>+VLOOKUP($E1089,Labor!$1:$1048576,R$2,FALSE)</f>
        <v>8.2487623059999997</v>
      </c>
      <c r="S1089" s="356">
        <f>+VLOOKUP($E1089,Labor!$1:$1048576,S$2,FALSE)</f>
        <v>8.2278291299999999</v>
      </c>
      <c r="T1089" s="356">
        <f>+VLOOKUP($E1089,Labor!$1:$1048576,T$2,FALSE)</f>
        <v>8.2094232120000008</v>
      </c>
      <c r="U1089" s="356">
        <f>+VLOOKUP($E1089,Labor!$1:$1048576,U$2,FALSE)</f>
        <v>8.1936930110000006</v>
      </c>
      <c r="V1089" s="356">
        <f>+VLOOKUP($E1089,Labor!$1:$1048576,V$2,FALSE)</f>
        <v>8.1803742190000008</v>
      </c>
      <c r="W1089" s="356">
        <f>+VLOOKUP($E1089,Labor!$1:$1048576,W$2,FALSE)</f>
        <v>8.1688169899999998</v>
      </c>
      <c r="X1089" s="356">
        <f>+VLOOKUP($E1089,Labor!$1:$1048576,X$2,FALSE)</f>
        <v>8.1585350040000009</v>
      </c>
      <c r="Y1089" s="356">
        <f>+VLOOKUP($E1089,Labor!$1:$1048576,Y$2,FALSE)</f>
        <v>8.1492689370000004</v>
      </c>
      <c r="Z1089" s="356">
        <f>+VLOOKUP($E1089,Labor!$1:$1048576,Z$2,FALSE)</f>
        <v>8.1409342250000005</v>
      </c>
      <c r="AA1089" s="356">
        <f>+VLOOKUP($E1089,Labor!$1:$1048576,AA$2,FALSE)</f>
        <v>8.1335617550000006</v>
      </c>
      <c r="AB1089" s="356">
        <f>+VLOOKUP($E1089,Labor!$1:$1048576,AB$2,FALSE)</f>
        <v>8.127255108</v>
      </c>
      <c r="AC1089" s="356">
        <f>+VLOOKUP($E1089,Labor!$1:$1048576,AC$2,FALSE)</f>
        <v>8.1221637550000008</v>
      </c>
      <c r="AD1089" s="356">
        <f>+VLOOKUP($E1089,Labor!$1:$1048576,AD$2,FALSE)</f>
        <v>8.1184671000000002</v>
      </c>
      <c r="AE1089" s="356">
        <f>+VLOOKUP($E1089,Labor!$1:$1048576,AE$2,FALSE)</f>
        <v>8.1163650169999997</v>
      </c>
      <c r="AF1089" s="356">
        <f>+VLOOKUP($E1089,Labor!$1:$1048576,AF$2,FALSE)</f>
        <v>8.1160720210000008</v>
      </c>
      <c r="AG1089" s="356">
        <f>+VLOOKUP($E1089,Labor!$1:$1048576,AG$2,FALSE)</f>
        <v>8.1178133720000005</v>
      </c>
      <c r="AH1089" s="356">
        <f>+VLOOKUP($E1089,Labor!$1:$1048576,AH$2,FALSE)</f>
        <v>8.1218220720000005</v>
      </c>
      <c r="AI1089" s="356">
        <f>+VLOOKUP($E1089,Labor!$1:$1048576,AI$2,FALSE)</f>
        <v>8.1283361020000005</v>
      </c>
      <c r="AJ1089" s="356">
        <f>+VLOOKUP($E1089,Labor!$1:$1048576,AJ$2,FALSE)</f>
        <v>8.1375954569999998</v>
      </c>
      <c r="AK1089" s="356">
        <f>+VLOOKUP($E1089,Labor!$1:$1048576,AK$2,FALSE)</f>
        <v>8.149838656</v>
      </c>
      <c r="AL1089" s="356">
        <f>+VLOOKUP($E1089,Labor!$1:$1048576,AL$2,FALSE)</f>
        <v>8.1652985499999993</v>
      </c>
      <c r="AM1089" s="356">
        <f>+VLOOKUP($E1089,Labor!$1:$1048576,AM$2,FALSE)</f>
        <v>8.1841973029999995</v>
      </c>
      <c r="AN1089" s="356">
        <f>+VLOOKUP($E1089,Labor!$1:$1048576,AN$2,FALSE)</f>
        <v>8.2067405709999992</v>
      </c>
      <c r="AO1089" s="356">
        <f>+VLOOKUP($E1089,Labor!$1:$1048576,AO$2,FALSE)</f>
        <v>8.2331109500000004</v>
      </c>
    </row>
    <row r="1090" spans="1:41" s="73" customFormat="1" ht="15" customHeight="1" x14ac:dyDescent="0.25">
      <c r="A1090" s="402"/>
      <c r="B1090" s="411"/>
      <c r="C1090" s="159" t="s">
        <v>481</v>
      </c>
      <c r="D1090" s="109"/>
      <c r="E1090" s="80" t="s">
        <v>794</v>
      </c>
      <c r="F1090" s="356">
        <f>+VLOOKUP($E1090,Labor!$1:$1048576,F$2,FALSE)</f>
        <v>10.15347684</v>
      </c>
      <c r="G1090" s="356">
        <f>+VLOOKUP($E1090,Labor!$1:$1048576,G$2,FALSE)</f>
        <v>10.169655329999999</v>
      </c>
      <c r="H1090" s="356">
        <f>+VLOOKUP($E1090,Labor!$1:$1048576,H$2,FALSE)</f>
        <v>10.17778028</v>
      </c>
      <c r="I1090" s="356">
        <f>+VLOOKUP($E1090,Labor!$1:$1048576,I$2,FALSE)</f>
        <v>10.18296847</v>
      </c>
      <c r="J1090" s="356">
        <f>+VLOOKUP($E1090,Labor!$1:$1048576,J$2,FALSE)</f>
        <v>10.190816740000001</v>
      </c>
      <c r="K1090" s="356">
        <f>+VLOOKUP($E1090,Labor!$1:$1048576,K$2,FALSE)</f>
        <v>10.20620261</v>
      </c>
      <c r="L1090" s="356">
        <f>+VLOOKUP($E1090,Labor!$1:$1048576,L$2,FALSE)</f>
        <v>10.22987968</v>
      </c>
      <c r="M1090" s="356">
        <f>+VLOOKUP($E1090,Labor!$1:$1048576,M$2,FALSE)</f>
        <v>10.258832</v>
      </c>
      <c r="N1090" s="356">
        <f>+VLOOKUP($E1090,Labor!$1:$1048576,N$2,FALSE)</f>
        <v>10.29061774</v>
      </c>
      <c r="O1090" s="356">
        <f>+VLOOKUP($E1090,Labor!$1:$1048576,O$2,FALSE)</f>
        <v>10.3242317</v>
      </c>
      <c r="P1090" s="356">
        <f>+VLOOKUP($E1090,Labor!$1:$1048576,P$2,FALSE)</f>
        <v>10.35995346</v>
      </c>
      <c r="Q1090" s="356">
        <f>+VLOOKUP($E1090,Labor!$1:$1048576,Q$2,FALSE)</f>
        <v>10.39899861</v>
      </c>
      <c r="R1090" s="356">
        <f>+VLOOKUP($E1090,Labor!$1:$1048576,R$2,FALSE)</f>
        <v>10.44319864</v>
      </c>
      <c r="S1090" s="356">
        <f>+VLOOKUP($E1090,Labor!$1:$1048576,S$2,FALSE)</f>
        <v>10.494745030000001</v>
      </c>
      <c r="T1090" s="356">
        <f>+VLOOKUP($E1090,Labor!$1:$1048576,T$2,FALSE)</f>
        <v>10.55598644</v>
      </c>
      <c r="U1090" s="356">
        <f>+VLOOKUP($E1090,Labor!$1:$1048576,U$2,FALSE)</f>
        <v>10.62926506</v>
      </c>
      <c r="V1090" s="356">
        <f>+VLOOKUP($E1090,Labor!$1:$1048576,V$2,FALSE)</f>
        <v>10.71454482</v>
      </c>
      <c r="W1090" s="356">
        <f>+VLOOKUP($E1090,Labor!$1:$1048576,W$2,FALSE)</f>
        <v>10.809130659999999</v>
      </c>
      <c r="X1090" s="356">
        <f>+VLOOKUP($E1090,Labor!$1:$1048576,X$2,FALSE)</f>
        <v>10.910348239999999</v>
      </c>
      <c r="Y1090" s="356">
        <f>+VLOOKUP($E1090,Labor!$1:$1048576,Y$2,FALSE)</f>
        <v>11.01611997</v>
      </c>
      <c r="Z1090" s="356">
        <f>+VLOOKUP($E1090,Labor!$1:$1048576,Z$2,FALSE)</f>
        <v>11.124931719999999</v>
      </c>
      <c r="AA1090" s="356">
        <f>+VLOOKUP($E1090,Labor!$1:$1048576,AA$2,FALSE)</f>
        <v>11.235688270000001</v>
      </c>
      <c r="AB1090" s="356">
        <f>+VLOOKUP($E1090,Labor!$1:$1048576,AB$2,FALSE)</f>
        <v>11.34759287</v>
      </c>
      <c r="AC1090" s="356">
        <f>+VLOOKUP($E1090,Labor!$1:$1048576,AC$2,FALSE)</f>
        <v>11.460068059999999</v>
      </c>
      <c r="AD1090" s="356">
        <f>+VLOOKUP($E1090,Labor!$1:$1048576,AD$2,FALSE)</f>
        <v>11.572705920000001</v>
      </c>
      <c r="AE1090" s="356">
        <f>+VLOOKUP($E1090,Labor!$1:$1048576,AE$2,FALSE)</f>
        <v>11.685234550000001</v>
      </c>
      <c r="AF1090" s="356">
        <f>+VLOOKUP($E1090,Labor!$1:$1048576,AF$2,FALSE)</f>
        <v>11.79749281</v>
      </c>
      <c r="AG1090" s="356">
        <f>+VLOOKUP($E1090,Labor!$1:$1048576,AG$2,FALSE)</f>
        <v>11.90940934</v>
      </c>
      <c r="AH1090" s="356">
        <f>+VLOOKUP($E1090,Labor!$1:$1048576,AH$2,FALSE)</f>
        <v>12.020984520000001</v>
      </c>
      <c r="AI1090" s="356">
        <f>+VLOOKUP($E1090,Labor!$1:$1048576,AI$2,FALSE)</f>
        <v>12.1322747</v>
      </c>
      <c r="AJ1090" s="356">
        <f>+VLOOKUP($E1090,Labor!$1:$1048576,AJ$2,FALSE)</f>
        <v>12.24337867</v>
      </c>
      <c r="AK1090" s="356">
        <f>+VLOOKUP($E1090,Labor!$1:$1048576,AK$2,FALSE)</f>
        <v>12.35442589</v>
      </c>
      <c r="AL1090" s="356">
        <f>+VLOOKUP($E1090,Labor!$1:$1048576,AL$2,FALSE)</f>
        <v>12.46556625</v>
      </c>
      <c r="AM1090" s="356">
        <f>+VLOOKUP($E1090,Labor!$1:$1048576,AM$2,FALSE)</f>
        <v>12.576960769999999</v>
      </c>
      <c r="AN1090" s="356">
        <f>+VLOOKUP($E1090,Labor!$1:$1048576,AN$2,FALSE)</f>
        <v>12.688773039999999</v>
      </c>
      <c r="AO1090" s="356">
        <f>+VLOOKUP($E1090,Labor!$1:$1048576,AO$2,FALSE)</f>
        <v>12.80116093</v>
      </c>
    </row>
    <row r="1091" spans="1:41" s="73" customFormat="1" ht="15" customHeight="1" x14ac:dyDescent="0.25">
      <c r="A1091" s="402"/>
      <c r="B1091" s="411"/>
      <c r="C1091" s="115" t="s">
        <v>482</v>
      </c>
      <c r="D1091" s="110"/>
      <c r="E1091" s="95" t="s">
        <v>795</v>
      </c>
      <c r="F1091" s="358">
        <f>+VLOOKUP($E1091,Labor!$1:$1048576,F$2,FALSE)</f>
        <v>0.14078781609999999</v>
      </c>
      <c r="G1091" s="358">
        <f>+VLOOKUP($E1091,Labor!$1:$1048576,G$2,FALSE)</f>
        <v>0.14077291789999999</v>
      </c>
      <c r="H1091" s="358">
        <f>+VLOOKUP($E1091,Labor!$1:$1048576,H$2,FALSE)</f>
        <v>0.14043081469999999</v>
      </c>
      <c r="I1091" s="358">
        <f>+VLOOKUP($E1091,Labor!$1:$1048576,I$2,FALSE)</f>
        <v>0.13991103769999999</v>
      </c>
      <c r="J1091" s="358">
        <f>+VLOOKUP($E1091,Labor!$1:$1048576,J$2,FALSE)</f>
        <v>0.13935243929999999</v>
      </c>
      <c r="K1091" s="358">
        <f>+VLOOKUP($E1091,Labor!$1:$1048576,K$2,FALSE)</f>
        <v>0.13885371569999999</v>
      </c>
      <c r="L1091" s="358">
        <f>+VLOOKUP($E1091,Labor!$1:$1048576,L$2,FALSE)</f>
        <v>0.13845181449999999</v>
      </c>
      <c r="M1091" s="358">
        <f>+VLOOKUP($E1091,Labor!$1:$1048576,M$2,FALSE)</f>
        <v>0.1381336497</v>
      </c>
      <c r="N1091" s="358">
        <f>+VLOOKUP($E1091,Labor!$1:$1048576,N$2,FALSE)</f>
        <v>0.13787857880000001</v>
      </c>
      <c r="O1091" s="358">
        <f>+VLOOKUP($E1091,Labor!$1:$1048576,O$2,FALSE)</f>
        <v>0.13767271510000001</v>
      </c>
      <c r="P1091" s="358">
        <f>+VLOOKUP($E1091,Labor!$1:$1048576,P$2,FALSE)</f>
        <v>0.1375121014</v>
      </c>
      <c r="Q1091" s="358">
        <f>+VLOOKUP($E1091,Labor!$1:$1048576,Q$2,FALSE)</f>
        <v>0.1374017465</v>
      </c>
      <c r="R1091" s="358">
        <f>+VLOOKUP($E1091,Labor!$1:$1048576,R$2,FALSE)</f>
        <v>0.13735339429999999</v>
      </c>
      <c r="S1091" s="358">
        <f>+VLOOKUP($E1091,Labor!$1:$1048576,S$2,FALSE)</f>
        <v>0.13738317250000001</v>
      </c>
      <c r="T1091" s="358">
        <f>+VLOOKUP($E1091,Labor!$1:$1048576,T$2,FALSE)</f>
        <v>0.1375095439</v>
      </c>
      <c r="U1091" s="358">
        <f>+VLOOKUP($E1091,Labor!$1:$1048576,U$2,FALSE)</f>
        <v>0.13775168609999999</v>
      </c>
      <c r="V1091" s="358">
        <f>+VLOOKUP($E1091,Labor!$1:$1048576,V$2,FALSE)</f>
        <v>0.13811056469999999</v>
      </c>
      <c r="W1091" s="358">
        <f>+VLOOKUP($E1091,Labor!$1:$1048576,W$2,FALSE)</f>
        <v>0.13856501039999999</v>
      </c>
      <c r="X1091" s="358">
        <f>+VLOOKUP($E1091,Labor!$1:$1048576,X$2,FALSE)</f>
        <v>0.13909201369999999</v>
      </c>
      <c r="Y1091" s="358">
        <f>+VLOOKUP($E1091,Labor!$1:$1048576,Y$2,FALSE)</f>
        <v>0.1396728881</v>
      </c>
      <c r="Z1091" s="358">
        <f>+VLOOKUP($E1091,Labor!$1:$1048576,Z$2,FALSE)</f>
        <v>0.14029431449999999</v>
      </c>
      <c r="AA1091" s="358">
        <f>+VLOOKUP($E1091,Labor!$1:$1048576,AA$2,FALSE)</f>
        <v>0.14094771240000001</v>
      </c>
      <c r="AB1091" s="358">
        <f>+VLOOKUP($E1091,Labor!$1:$1048576,AB$2,FALSE)</f>
        <v>0.14162822310000001</v>
      </c>
      <c r="AC1091" s="358">
        <f>+VLOOKUP($E1091,Labor!$1:$1048576,AC$2,FALSE)</f>
        <v>0.1423337516</v>
      </c>
      <c r="AD1091" s="358">
        <f>+VLOOKUP($E1091,Labor!$1:$1048576,AD$2,FALSE)</f>
        <v>0.14306419319999999</v>
      </c>
      <c r="AE1091" s="358">
        <f>+VLOOKUP($E1091,Labor!$1:$1048576,AE$2,FALSE)</f>
        <v>0.14382085389999999</v>
      </c>
      <c r="AF1091" s="358">
        <f>+VLOOKUP($E1091,Labor!$1:$1048576,AF$2,FALSE)</f>
        <v>0.14460603450000001</v>
      </c>
      <c r="AG1091" s="358">
        <f>+VLOOKUP($E1091,Labor!$1:$1048576,AG$2,FALSE)</f>
        <v>0.1454227391</v>
      </c>
      <c r="AH1091" s="358">
        <f>+VLOOKUP($E1091,Labor!$1:$1048576,AH$2,FALSE)</f>
        <v>0.14627447160000001</v>
      </c>
      <c r="AI1091" s="358">
        <f>+VLOOKUP($E1091,Labor!$1:$1048576,AI$2,FALSE)</f>
        <v>0.14716508810000001</v>
      </c>
      <c r="AJ1091" s="358">
        <f>+VLOOKUP($E1091,Labor!$1:$1048576,AJ$2,FALSE)</f>
        <v>0.1480986809</v>
      </c>
      <c r="AK1091" s="358">
        <f>+VLOOKUP($E1091,Labor!$1:$1048576,AK$2,FALSE)</f>
        <v>0.14907947630000001</v>
      </c>
      <c r="AL1091" s="358">
        <f>+VLOOKUP($E1091,Labor!$1:$1048576,AL$2,FALSE)</f>
        <v>0.15011173180000001</v>
      </c>
      <c r="AM1091" s="358">
        <f>+VLOOKUP($E1091,Labor!$1:$1048576,AM$2,FALSE)</f>
        <v>0.15119962479999999</v>
      </c>
      <c r="AN1091" s="358">
        <f>+VLOOKUP($E1091,Labor!$1:$1048576,AN$2,FALSE)</f>
        <v>0.15234712980000001</v>
      </c>
      <c r="AO1091" s="358">
        <f>+VLOOKUP($E1091,Labor!$1:$1048576,AO$2,FALSE)</f>
        <v>0.15355788070000001</v>
      </c>
    </row>
    <row r="1092" spans="1:41" s="108" customFormat="1" ht="15" customHeight="1" x14ac:dyDescent="0.25">
      <c r="A1092" s="402"/>
      <c r="B1092" s="411"/>
      <c r="C1092" s="87" t="s">
        <v>796</v>
      </c>
      <c r="D1092" s="149"/>
      <c r="E1092" s="90" t="s">
        <v>752</v>
      </c>
      <c r="F1092" s="354">
        <f>+VLOOKUP($E1092,Labor!$1:$1048576,F$2,FALSE)</f>
        <v>27390.880000000001</v>
      </c>
      <c r="G1092" s="354">
        <f>+VLOOKUP($E1092,Labor!$1:$1048576,G$2,FALSE)</f>
        <v>27450.17409</v>
      </c>
      <c r="H1092" s="354">
        <f>+VLOOKUP($E1092,Labor!$1:$1048576,H$2,FALSE)</f>
        <v>27503.566320000002</v>
      </c>
      <c r="I1092" s="354">
        <f>+VLOOKUP($E1092,Labor!$1:$1048576,I$2,FALSE)</f>
        <v>27556.490109999999</v>
      </c>
      <c r="J1092" s="354">
        <f>+VLOOKUP($E1092,Labor!$1:$1048576,J$2,FALSE)</f>
        <v>27613.072899999999</v>
      </c>
      <c r="K1092" s="354">
        <f>+VLOOKUP($E1092,Labor!$1:$1048576,K$2,FALSE)</f>
        <v>27675.65367</v>
      </c>
      <c r="L1092" s="354">
        <f>+VLOOKUP($E1092,Labor!$1:$1048576,L$2,FALSE)</f>
        <v>27744.657910000002</v>
      </c>
      <c r="M1092" s="354">
        <f>+VLOOKUP($E1092,Labor!$1:$1048576,M$2,FALSE)</f>
        <v>27819.068609999998</v>
      </c>
      <c r="N1092" s="354">
        <f>+VLOOKUP($E1092,Labor!$1:$1048576,N$2,FALSE)</f>
        <v>27897.54823</v>
      </c>
      <c r="O1092" s="354">
        <f>+VLOOKUP($E1092,Labor!$1:$1048576,O$2,FALSE)</f>
        <v>27978.951000000001</v>
      </c>
      <c r="P1092" s="354">
        <f>+VLOOKUP($E1092,Labor!$1:$1048576,P$2,FALSE)</f>
        <v>28062.51339</v>
      </c>
      <c r="Q1092" s="354">
        <f>+VLOOKUP($E1092,Labor!$1:$1048576,Q$2,FALSE)</f>
        <v>28147.868549999999</v>
      </c>
      <c r="R1092" s="354">
        <f>+VLOOKUP($E1092,Labor!$1:$1048576,R$2,FALSE)</f>
        <v>28234.97438</v>
      </c>
      <c r="S1092" s="354">
        <f>+VLOOKUP($E1092,Labor!$1:$1048576,S$2,FALSE)</f>
        <v>28324.0124</v>
      </c>
      <c r="T1092" s="354">
        <f>+VLOOKUP($E1092,Labor!$1:$1048576,T$2,FALSE)</f>
        <v>28415.2899</v>
      </c>
      <c r="U1092" s="354">
        <f>+VLOOKUP($E1092,Labor!$1:$1048576,U$2,FALSE)</f>
        <v>28509.160449999999</v>
      </c>
      <c r="V1092" s="354">
        <f>+VLOOKUP($E1092,Labor!$1:$1048576,V$2,FALSE)</f>
        <v>28605.49253</v>
      </c>
      <c r="W1092" s="354">
        <f>+VLOOKUP($E1092,Labor!$1:$1048576,W$2,FALSE)</f>
        <v>28703.504570000001</v>
      </c>
      <c r="X1092" s="354">
        <f>+VLOOKUP($E1092,Labor!$1:$1048576,X$2,FALSE)</f>
        <v>28802.30761</v>
      </c>
      <c r="Y1092" s="354">
        <f>+VLOOKUP($E1092,Labor!$1:$1048576,Y$2,FALSE)</f>
        <v>28901.14286</v>
      </c>
      <c r="Z1092" s="354">
        <f>+VLOOKUP($E1092,Labor!$1:$1048576,Z$2,FALSE)</f>
        <v>28999.468499999999</v>
      </c>
      <c r="AA1092" s="354">
        <f>+VLOOKUP($E1092,Labor!$1:$1048576,AA$2,FALSE)</f>
        <v>29096.963820000001</v>
      </c>
      <c r="AB1092" s="354">
        <f>+VLOOKUP($E1092,Labor!$1:$1048576,AB$2,FALSE)</f>
        <v>29193.490549999999</v>
      </c>
      <c r="AC1092" s="354">
        <f>+VLOOKUP($E1092,Labor!$1:$1048576,AC$2,FALSE)</f>
        <v>29289.039100000002</v>
      </c>
      <c r="AD1092" s="354">
        <f>+VLOOKUP($E1092,Labor!$1:$1048576,AD$2,FALSE)</f>
        <v>29383.67669</v>
      </c>
      <c r="AE1092" s="354">
        <f>+VLOOKUP($E1092,Labor!$1:$1048576,AE$2,FALSE)</f>
        <v>29477.505570000001</v>
      </c>
      <c r="AF1092" s="354">
        <f>+VLOOKUP($E1092,Labor!$1:$1048576,AF$2,FALSE)</f>
        <v>29570.63392</v>
      </c>
      <c r="AG1092" s="354">
        <f>+VLOOKUP($E1092,Labor!$1:$1048576,AG$2,FALSE)</f>
        <v>29663.158319999999</v>
      </c>
      <c r="AH1092" s="354">
        <f>+VLOOKUP($E1092,Labor!$1:$1048576,AH$2,FALSE)</f>
        <v>29755.155439999999</v>
      </c>
      <c r="AI1092" s="354">
        <f>+VLOOKUP($E1092,Labor!$1:$1048576,AI$2,FALSE)</f>
        <v>29846.680179999999</v>
      </c>
      <c r="AJ1092" s="354">
        <f>+VLOOKUP($E1092,Labor!$1:$1048576,AJ$2,FALSE)</f>
        <v>29937.767830000001</v>
      </c>
      <c r="AK1092" s="354">
        <f>+VLOOKUP($E1092,Labor!$1:$1048576,AK$2,FALSE)</f>
        <v>30028.438330000001</v>
      </c>
      <c r="AL1092" s="354">
        <f>+VLOOKUP($E1092,Labor!$1:$1048576,AL$2,FALSE)</f>
        <v>30118.701229999999</v>
      </c>
      <c r="AM1092" s="354">
        <f>+VLOOKUP($E1092,Labor!$1:$1048576,AM$2,FALSE)</f>
        <v>30208.560320000001</v>
      </c>
      <c r="AN1092" s="354">
        <f>+VLOOKUP($E1092,Labor!$1:$1048576,AN$2,FALSE)</f>
        <v>30298.017639999998</v>
      </c>
      <c r="AO1092" s="354">
        <f>+VLOOKUP($E1092,Labor!$1:$1048576,AO$2,FALSE)</f>
        <v>30387.076410000001</v>
      </c>
    </row>
    <row r="1093" spans="1:41" s="108" customFormat="1" ht="15" customHeight="1" x14ac:dyDescent="0.25">
      <c r="A1093" s="402"/>
      <c r="B1093" s="411"/>
      <c r="C1093" s="87" t="s">
        <v>797</v>
      </c>
      <c r="D1093" s="149"/>
      <c r="E1093" s="90" t="s">
        <v>758</v>
      </c>
      <c r="F1093" s="354" t="e">
        <f>+VLOOKUP($E1093,Labor!$1:$1048576,F$2,FALSE)</f>
        <v>#N/A</v>
      </c>
      <c r="G1093" s="354" t="e">
        <f>+VLOOKUP($E1093,Labor!$1:$1048576,G$2,FALSE)</f>
        <v>#N/A</v>
      </c>
      <c r="H1093" s="354" t="e">
        <f>+VLOOKUP($E1093,Labor!$1:$1048576,H$2,FALSE)</f>
        <v>#N/A</v>
      </c>
      <c r="I1093" s="354" t="e">
        <f>+VLOOKUP($E1093,Labor!$1:$1048576,I$2,FALSE)</f>
        <v>#N/A</v>
      </c>
      <c r="J1093" s="354" t="e">
        <f>+VLOOKUP($E1093,Labor!$1:$1048576,J$2,FALSE)</f>
        <v>#N/A</v>
      </c>
      <c r="K1093" s="354" t="e">
        <f>+VLOOKUP($E1093,Labor!$1:$1048576,K$2,FALSE)</f>
        <v>#N/A</v>
      </c>
      <c r="L1093" s="354" t="e">
        <f>+VLOOKUP($E1093,Labor!$1:$1048576,L$2,FALSE)</f>
        <v>#N/A</v>
      </c>
      <c r="M1093" s="354" t="e">
        <f>+VLOOKUP($E1093,Labor!$1:$1048576,M$2,FALSE)</f>
        <v>#N/A</v>
      </c>
      <c r="N1093" s="354" t="e">
        <f>+VLOOKUP($E1093,Labor!$1:$1048576,N$2,FALSE)</f>
        <v>#N/A</v>
      </c>
      <c r="O1093" s="354" t="e">
        <f>+VLOOKUP($E1093,Labor!$1:$1048576,O$2,FALSE)</f>
        <v>#N/A</v>
      </c>
      <c r="P1093" s="354" t="e">
        <f>+VLOOKUP($E1093,Labor!$1:$1048576,P$2,FALSE)</f>
        <v>#N/A</v>
      </c>
      <c r="Q1093" s="354" t="e">
        <f>+VLOOKUP($E1093,Labor!$1:$1048576,Q$2,FALSE)</f>
        <v>#N/A</v>
      </c>
      <c r="R1093" s="354" t="e">
        <f>+VLOOKUP($E1093,Labor!$1:$1048576,R$2,FALSE)</f>
        <v>#N/A</v>
      </c>
      <c r="S1093" s="354" t="e">
        <f>+VLOOKUP($E1093,Labor!$1:$1048576,S$2,FALSE)</f>
        <v>#N/A</v>
      </c>
      <c r="T1093" s="354" t="e">
        <f>+VLOOKUP($E1093,Labor!$1:$1048576,T$2,FALSE)</f>
        <v>#N/A</v>
      </c>
      <c r="U1093" s="354" t="e">
        <f>+VLOOKUP($E1093,Labor!$1:$1048576,U$2,FALSE)</f>
        <v>#N/A</v>
      </c>
      <c r="V1093" s="354" t="e">
        <f>+VLOOKUP($E1093,Labor!$1:$1048576,V$2,FALSE)</f>
        <v>#N/A</v>
      </c>
      <c r="W1093" s="354" t="e">
        <f>+VLOOKUP($E1093,Labor!$1:$1048576,W$2,FALSE)</f>
        <v>#N/A</v>
      </c>
      <c r="X1093" s="354" t="e">
        <f>+VLOOKUP($E1093,Labor!$1:$1048576,X$2,FALSE)</f>
        <v>#N/A</v>
      </c>
      <c r="Y1093" s="354" t="e">
        <f>+VLOOKUP($E1093,Labor!$1:$1048576,Y$2,FALSE)</f>
        <v>#N/A</v>
      </c>
      <c r="Z1093" s="354" t="e">
        <f>+VLOOKUP($E1093,Labor!$1:$1048576,Z$2,FALSE)</f>
        <v>#N/A</v>
      </c>
      <c r="AA1093" s="354" t="e">
        <f>+VLOOKUP($E1093,Labor!$1:$1048576,AA$2,FALSE)</f>
        <v>#N/A</v>
      </c>
      <c r="AB1093" s="354" t="e">
        <f>+VLOOKUP($E1093,Labor!$1:$1048576,AB$2,FALSE)</f>
        <v>#N/A</v>
      </c>
      <c r="AC1093" s="354" t="e">
        <f>+VLOOKUP($E1093,Labor!$1:$1048576,AC$2,FALSE)</f>
        <v>#N/A</v>
      </c>
      <c r="AD1093" s="354" t="e">
        <f>+VLOOKUP($E1093,Labor!$1:$1048576,AD$2,FALSE)</f>
        <v>#N/A</v>
      </c>
      <c r="AE1093" s="354" t="e">
        <f>+VLOOKUP($E1093,Labor!$1:$1048576,AE$2,FALSE)</f>
        <v>#N/A</v>
      </c>
      <c r="AF1093" s="354" t="e">
        <f>+VLOOKUP($E1093,Labor!$1:$1048576,AF$2,FALSE)</f>
        <v>#N/A</v>
      </c>
      <c r="AG1093" s="354" t="e">
        <f>+VLOOKUP($E1093,Labor!$1:$1048576,AG$2,FALSE)</f>
        <v>#N/A</v>
      </c>
      <c r="AH1093" s="354" t="e">
        <f>+VLOOKUP($E1093,Labor!$1:$1048576,AH$2,FALSE)</f>
        <v>#N/A</v>
      </c>
      <c r="AI1093" s="354" t="e">
        <f>+VLOOKUP($E1093,Labor!$1:$1048576,AI$2,FALSE)</f>
        <v>#N/A</v>
      </c>
      <c r="AJ1093" s="354" t="e">
        <f>+VLOOKUP($E1093,Labor!$1:$1048576,AJ$2,FALSE)</f>
        <v>#N/A</v>
      </c>
      <c r="AK1093" s="354" t="e">
        <f>+VLOOKUP($E1093,Labor!$1:$1048576,AK$2,FALSE)</f>
        <v>#N/A</v>
      </c>
      <c r="AL1093" s="354" t="e">
        <f>+VLOOKUP($E1093,Labor!$1:$1048576,AL$2,FALSE)</f>
        <v>#N/A</v>
      </c>
      <c r="AM1093" s="354" t="e">
        <f>+VLOOKUP($E1093,Labor!$1:$1048576,AM$2,FALSE)</f>
        <v>#N/A</v>
      </c>
      <c r="AN1093" s="354" t="e">
        <f>+VLOOKUP($E1093,Labor!$1:$1048576,AN$2,FALSE)</f>
        <v>#N/A</v>
      </c>
      <c r="AO1093" s="354" t="e">
        <f>+VLOOKUP($E1093,Labor!$1:$1048576,AO$2,FALSE)</f>
        <v>#N/A</v>
      </c>
    </row>
    <row r="1094" spans="1:41" s="73" customFormat="1" ht="15" customHeight="1" x14ac:dyDescent="0.25">
      <c r="A1094" s="402"/>
      <c r="B1094" s="411"/>
      <c r="C1094" s="159" t="s">
        <v>738</v>
      </c>
      <c r="D1094" s="109"/>
      <c r="E1094" s="80" t="s">
        <v>764</v>
      </c>
      <c r="F1094" s="356">
        <f>+VLOOKUP($E1094,Labor!$1:$1048576,F$2,FALSE)</f>
        <v>732.13</v>
      </c>
      <c r="G1094" s="356">
        <f>+VLOOKUP($E1094,Labor!$1:$1048576,G$2,FALSE)</f>
        <v>733.53267760000006</v>
      </c>
      <c r="H1094" s="356">
        <f>+VLOOKUP($E1094,Labor!$1:$1048576,H$2,FALSE)</f>
        <v>734.74367419999999</v>
      </c>
      <c r="I1094" s="356">
        <f>+VLOOKUP($E1094,Labor!$1:$1048576,I$2,FALSE)</f>
        <v>736.10272740000005</v>
      </c>
      <c r="J1094" s="356">
        <f>+VLOOKUP($E1094,Labor!$1:$1048576,J$2,FALSE)</f>
        <v>737.85588370000005</v>
      </c>
      <c r="K1094" s="356">
        <f>+VLOOKUP($E1094,Labor!$1:$1048576,K$2,FALSE)</f>
        <v>740.14183409999998</v>
      </c>
      <c r="L1094" s="356">
        <f>+VLOOKUP($E1094,Labor!$1:$1048576,L$2,FALSE)</f>
        <v>742.95250769999996</v>
      </c>
      <c r="M1094" s="356">
        <f>+VLOOKUP($E1094,Labor!$1:$1048576,M$2,FALSE)</f>
        <v>746.15883459999998</v>
      </c>
      <c r="N1094" s="356">
        <f>+VLOOKUP($E1094,Labor!$1:$1048576,N$2,FALSE)</f>
        <v>749.62815620000003</v>
      </c>
      <c r="O1094" s="356">
        <f>+VLOOKUP($E1094,Labor!$1:$1048576,O$2,FALSE)</f>
        <v>753.26910769999995</v>
      </c>
      <c r="P1094" s="356">
        <f>+VLOOKUP($E1094,Labor!$1:$1048576,P$2,FALSE)</f>
        <v>757.04110460000004</v>
      </c>
      <c r="Q1094" s="356">
        <f>+VLOOKUP($E1094,Labor!$1:$1048576,Q$2,FALSE)</f>
        <v>760.94854740000005</v>
      </c>
      <c r="R1094" s="356">
        <f>+VLOOKUP($E1094,Labor!$1:$1048576,R$2,FALSE)</f>
        <v>765.02987250000001</v>
      </c>
      <c r="S1094" s="356">
        <f>+VLOOKUP($E1094,Labor!$1:$1048576,S$2,FALSE)</f>
        <v>769.34625600000004</v>
      </c>
      <c r="T1094" s="356">
        <f>+VLOOKUP($E1094,Labor!$1:$1048576,T$2,FALSE)</f>
        <v>773.97192140000004</v>
      </c>
      <c r="U1094" s="356">
        <f>+VLOOKUP($E1094,Labor!$1:$1048576,U$2,FALSE)</f>
        <v>778.98656240000003</v>
      </c>
      <c r="V1094" s="356">
        <f>+VLOOKUP($E1094,Labor!$1:$1048576,V$2,FALSE)</f>
        <v>784.40725480000003</v>
      </c>
      <c r="W1094" s="356">
        <f>+VLOOKUP($E1094,Labor!$1:$1048576,W$2,FALSE)</f>
        <v>790.16516750000005</v>
      </c>
      <c r="X1094" s="356">
        <f>+VLOOKUP($E1094,Labor!$1:$1048576,X$2,FALSE)</f>
        <v>796.17248240000004</v>
      </c>
      <c r="Y1094" s="356">
        <f>+VLOOKUP($E1094,Labor!$1:$1048576,Y$2,FALSE)</f>
        <v>802.35009419999994</v>
      </c>
      <c r="Z1094" s="356">
        <f>+VLOOKUP($E1094,Labor!$1:$1048576,Z$2,FALSE)</f>
        <v>808.63627970000005</v>
      </c>
      <c r="AA1094" s="356">
        <f>+VLOOKUP($E1094,Labor!$1:$1048576,AA$2,FALSE)</f>
        <v>814.98690690000001</v>
      </c>
      <c r="AB1094" s="356">
        <f>+VLOOKUP($E1094,Labor!$1:$1048576,AB$2,FALSE)</f>
        <v>821.37234699999999</v>
      </c>
      <c r="AC1094" s="356">
        <f>+VLOOKUP($E1094,Labor!$1:$1048576,AC$2,FALSE)</f>
        <v>827.77360339999996</v>
      </c>
      <c r="AD1094" s="356">
        <f>+VLOOKUP($E1094,Labor!$1:$1048576,AD$2,FALSE)</f>
        <v>834.17879189999996</v>
      </c>
      <c r="AE1094" s="356">
        <f>+VLOOKUP($E1094,Labor!$1:$1048576,AE$2,FALSE)</f>
        <v>840.58038009999996</v>
      </c>
      <c r="AF1094" s="356">
        <f>+VLOOKUP($E1094,Labor!$1:$1048576,AF$2,FALSE)</f>
        <v>846.97323029999995</v>
      </c>
      <c r="AG1094" s="356">
        <f>+VLOOKUP($E1094,Labor!$1:$1048576,AG$2,FALSE)</f>
        <v>853.35333200000002</v>
      </c>
      <c r="AH1094" s="356">
        <f>+VLOOKUP($E1094,Labor!$1:$1048576,AH$2,FALSE)</f>
        <v>859.71706310000002</v>
      </c>
      <c r="AI1094" s="356">
        <f>+VLOOKUP($E1094,Labor!$1:$1048576,AI$2,FALSE)</f>
        <v>866.06082460000005</v>
      </c>
      <c r="AJ1094" s="356">
        <f>+VLOOKUP($E1094,Labor!$1:$1048576,AJ$2,FALSE)</f>
        <v>872.38091659999998</v>
      </c>
      <c r="AK1094" s="356">
        <f>+VLOOKUP($E1094,Labor!$1:$1048576,AK$2,FALSE)</f>
        <v>878.67355640000005</v>
      </c>
      <c r="AL1094" s="356">
        <f>+VLOOKUP($E1094,Labor!$1:$1048576,AL$2,FALSE)</f>
        <v>884.93496670000002</v>
      </c>
      <c r="AM1094" s="356">
        <f>+VLOOKUP($E1094,Labor!$1:$1048576,AM$2,FALSE)</f>
        <v>891.16148639999994</v>
      </c>
      <c r="AN1094" s="356">
        <f>+VLOOKUP($E1094,Labor!$1:$1048576,AN$2,FALSE)</f>
        <v>897.34967310000002</v>
      </c>
      <c r="AO1094" s="356">
        <f>+VLOOKUP($E1094,Labor!$1:$1048576,AO$2,FALSE)</f>
        <v>903.49638449999998</v>
      </c>
    </row>
    <row r="1095" spans="1:41" s="73" customFormat="1" ht="15" customHeight="1" x14ac:dyDescent="0.25">
      <c r="A1095" s="402"/>
      <c r="B1095" s="411"/>
      <c r="C1095" s="159" t="s">
        <v>739</v>
      </c>
      <c r="D1095" s="109"/>
      <c r="E1095" s="80" t="s">
        <v>765</v>
      </c>
      <c r="F1095" s="356">
        <f>+VLOOKUP($E1095,Labor!$1:$1048576,F$2,FALSE)</f>
        <v>29.08</v>
      </c>
      <c r="G1095" s="356">
        <f>+VLOOKUP($E1095,Labor!$1:$1048576,G$2,FALSE)</f>
        <v>28.987580860000001</v>
      </c>
      <c r="H1095" s="356">
        <f>+VLOOKUP($E1095,Labor!$1:$1048576,H$2,FALSE)</f>
        <v>28.7490512</v>
      </c>
      <c r="I1095" s="356">
        <f>+VLOOKUP($E1095,Labor!$1:$1048576,I$2,FALSE)</f>
        <v>28.42179775</v>
      </c>
      <c r="J1095" s="356">
        <f>+VLOOKUP($E1095,Labor!$1:$1048576,J$2,FALSE)</f>
        <v>28.052145549999999</v>
      </c>
      <c r="K1095" s="356">
        <f>+VLOOKUP($E1095,Labor!$1:$1048576,K$2,FALSE)</f>
        <v>27.666529499999999</v>
      </c>
      <c r="L1095" s="356">
        <f>+VLOOKUP($E1095,Labor!$1:$1048576,L$2,FALSE)</f>
        <v>27.283068910000001</v>
      </c>
      <c r="M1095" s="356">
        <f>+VLOOKUP($E1095,Labor!$1:$1048576,M$2,FALSE)</f>
        <v>26.916018080000001</v>
      </c>
      <c r="N1095" s="356">
        <f>+VLOOKUP($E1095,Labor!$1:$1048576,N$2,FALSE)</f>
        <v>26.570697920000001</v>
      </c>
      <c r="O1095" s="356">
        <f>+VLOOKUP($E1095,Labor!$1:$1048576,O$2,FALSE)</f>
        <v>26.245682420000001</v>
      </c>
      <c r="P1095" s="356">
        <f>+VLOOKUP($E1095,Labor!$1:$1048576,P$2,FALSE)</f>
        <v>25.935992290000002</v>
      </c>
      <c r="Q1095" s="356">
        <f>+VLOOKUP($E1095,Labor!$1:$1048576,Q$2,FALSE)</f>
        <v>25.63550038</v>
      </c>
      <c r="R1095" s="356">
        <f>+VLOOKUP($E1095,Labor!$1:$1048576,R$2,FALSE)</f>
        <v>25.338372979999999</v>
      </c>
      <c r="S1095" s="356">
        <f>+VLOOKUP($E1095,Labor!$1:$1048576,S$2,FALSE)</f>
        <v>25.039804950000001</v>
      </c>
      <c r="T1095" s="356">
        <f>+VLOOKUP($E1095,Labor!$1:$1048576,T$2,FALSE)</f>
        <v>24.736325019999999</v>
      </c>
      <c r="U1095" s="356">
        <f>+VLOOKUP($E1095,Labor!$1:$1048576,U$2,FALSE)</f>
        <v>24.425862290000001</v>
      </c>
      <c r="V1095" s="356">
        <f>+VLOOKUP($E1095,Labor!$1:$1048576,V$2,FALSE)</f>
        <v>24.111141539999998</v>
      </c>
      <c r="W1095" s="356">
        <f>+VLOOKUP($E1095,Labor!$1:$1048576,W$2,FALSE)</f>
        <v>23.798728229999998</v>
      </c>
      <c r="X1095" s="356">
        <f>+VLOOKUP($E1095,Labor!$1:$1048576,X$2,FALSE)</f>
        <v>23.49377956</v>
      </c>
      <c r="Y1095" s="356">
        <f>+VLOOKUP($E1095,Labor!$1:$1048576,Y$2,FALSE)</f>
        <v>23.199183779999998</v>
      </c>
      <c r="Z1095" s="356">
        <f>+VLOOKUP($E1095,Labor!$1:$1048576,Z$2,FALSE)</f>
        <v>22.916058459999999</v>
      </c>
      <c r="AA1095" s="356">
        <f>+VLOOKUP($E1095,Labor!$1:$1048576,AA$2,FALSE)</f>
        <v>22.644445749999999</v>
      </c>
      <c r="AB1095" s="356">
        <f>+VLOOKUP($E1095,Labor!$1:$1048576,AB$2,FALSE)</f>
        <v>22.383852229999999</v>
      </c>
      <c r="AC1095" s="356">
        <f>+VLOOKUP($E1095,Labor!$1:$1048576,AC$2,FALSE)</f>
        <v>22.1335868</v>
      </c>
      <c r="AD1095" s="356">
        <f>+VLOOKUP($E1095,Labor!$1:$1048576,AD$2,FALSE)</f>
        <v>21.89294216</v>
      </c>
      <c r="AE1095" s="356">
        <f>+VLOOKUP($E1095,Labor!$1:$1048576,AE$2,FALSE)</f>
        <v>21.661276480000001</v>
      </c>
      <c r="AF1095" s="356">
        <f>+VLOOKUP($E1095,Labor!$1:$1048576,AF$2,FALSE)</f>
        <v>21.438039109999998</v>
      </c>
      <c r="AG1095" s="356">
        <f>+VLOOKUP($E1095,Labor!$1:$1048576,AG$2,FALSE)</f>
        <v>21.222769020000001</v>
      </c>
      <c r="AH1095" s="356">
        <f>+VLOOKUP($E1095,Labor!$1:$1048576,AH$2,FALSE)</f>
        <v>21.015082100000001</v>
      </c>
      <c r="AI1095" s="356">
        <f>+VLOOKUP($E1095,Labor!$1:$1048576,AI$2,FALSE)</f>
        <v>20.814655989999999</v>
      </c>
      <c r="AJ1095" s="356">
        <f>+VLOOKUP($E1095,Labor!$1:$1048576,AJ$2,FALSE)</f>
        <v>20.621216019999999</v>
      </c>
      <c r="AK1095" s="356">
        <f>+VLOOKUP($E1095,Labor!$1:$1048576,AK$2,FALSE)</f>
        <v>20.434523670000001</v>
      </c>
      <c r="AL1095" s="356">
        <f>+VLOOKUP($E1095,Labor!$1:$1048576,AL$2,FALSE)</f>
        <v>20.254367569999999</v>
      </c>
      <c r="AM1095" s="356">
        <f>+VLOOKUP($E1095,Labor!$1:$1048576,AM$2,FALSE)</f>
        <v>20.080556619999999</v>
      </c>
      <c r="AN1095" s="356">
        <f>+VLOOKUP($E1095,Labor!$1:$1048576,AN$2,FALSE)</f>
        <v>19.912914799999999</v>
      </c>
      <c r="AO1095" s="356">
        <f>+VLOOKUP($E1095,Labor!$1:$1048576,AO$2,FALSE)</f>
        <v>19.751277089999999</v>
      </c>
    </row>
    <row r="1096" spans="1:41" s="108" customFormat="1" ht="15" customHeight="1" x14ac:dyDescent="0.25">
      <c r="A1096" s="402"/>
      <c r="B1096" s="411"/>
      <c r="C1096" s="87" t="s">
        <v>798</v>
      </c>
      <c r="D1096" s="149"/>
      <c r="E1096" s="90" t="s">
        <v>804</v>
      </c>
      <c r="F1096" s="354" t="e">
        <f>+VLOOKUP($E1096,Labor!$1:$1048576,F$2,FALSE)</f>
        <v>#N/A</v>
      </c>
      <c r="G1096" s="354" t="e">
        <f>+VLOOKUP($E1096,Labor!$1:$1048576,G$2,FALSE)</f>
        <v>#N/A</v>
      </c>
      <c r="H1096" s="354" t="e">
        <f>+VLOOKUP($E1096,Labor!$1:$1048576,H$2,FALSE)</f>
        <v>#N/A</v>
      </c>
      <c r="I1096" s="354" t="e">
        <f>+VLOOKUP($E1096,Labor!$1:$1048576,I$2,FALSE)</f>
        <v>#N/A</v>
      </c>
      <c r="J1096" s="354" t="e">
        <f>+VLOOKUP($E1096,Labor!$1:$1048576,J$2,FALSE)</f>
        <v>#N/A</v>
      </c>
      <c r="K1096" s="354" t="e">
        <f>+VLOOKUP($E1096,Labor!$1:$1048576,K$2,FALSE)</f>
        <v>#N/A</v>
      </c>
      <c r="L1096" s="354" t="e">
        <f>+VLOOKUP($E1096,Labor!$1:$1048576,L$2,FALSE)</f>
        <v>#N/A</v>
      </c>
      <c r="M1096" s="354" t="e">
        <f>+VLOOKUP($E1096,Labor!$1:$1048576,M$2,FALSE)</f>
        <v>#N/A</v>
      </c>
      <c r="N1096" s="354" t="e">
        <f>+VLOOKUP($E1096,Labor!$1:$1048576,N$2,FALSE)</f>
        <v>#N/A</v>
      </c>
      <c r="O1096" s="354" t="e">
        <f>+VLOOKUP($E1096,Labor!$1:$1048576,O$2,FALSE)</f>
        <v>#N/A</v>
      </c>
      <c r="P1096" s="354" t="e">
        <f>+VLOOKUP($E1096,Labor!$1:$1048576,P$2,FALSE)</f>
        <v>#N/A</v>
      </c>
      <c r="Q1096" s="354" t="e">
        <f>+VLOOKUP($E1096,Labor!$1:$1048576,Q$2,FALSE)</f>
        <v>#N/A</v>
      </c>
      <c r="R1096" s="354" t="e">
        <f>+VLOOKUP($E1096,Labor!$1:$1048576,R$2,FALSE)</f>
        <v>#N/A</v>
      </c>
      <c r="S1096" s="354" t="e">
        <f>+VLOOKUP($E1096,Labor!$1:$1048576,S$2,FALSE)</f>
        <v>#N/A</v>
      </c>
      <c r="T1096" s="354" t="e">
        <f>+VLOOKUP($E1096,Labor!$1:$1048576,T$2,FALSE)</f>
        <v>#N/A</v>
      </c>
      <c r="U1096" s="354" t="e">
        <f>+VLOOKUP($E1096,Labor!$1:$1048576,U$2,FALSE)</f>
        <v>#N/A</v>
      </c>
      <c r="V1096" s="354" t="e">
        <f>+VLOOKUP($E1096,Labor!$1:$1048576,V$2,FALSE)</f>
        <v>#N/A</v>
      </c>
      <c r="W1096" s="354" t="e">
        <f>+VLOOKUP($E1096,Labor!$1:$1048576,W$2,FALSE)</f>
        <v>#N/A</v>
      </c>
      <c r="X1096" s="354" t="e">
        <f>+VLOOKUP($E1096,Labor!$1:$1048576,X$2,FALSE)</f>
        <v>#N/A</v>
      </c>
      <c r="Y1096" s="354" t="e">
        <f>+VLOOKUP($E1096,Labor!$1:$1048576,Y$2,FALSE)</f>
        <v>#N/A</v>
      </c>
      <c r="Z1096" s="354" t="e">
        <f>+VLOOKUP($E1096,Labor!$1:$1048576,Z$2,FALSE)</f>
        <v>#N/A</v>
      </c>
      <c r="AA1096" s="354" t="e">
        <f>+VLOOKUP($E1096,Labor!$1:$1048576,AA$2,FALSE)</f>
        <v>#N/A</v>
      </c>
      <c r="AB1096" s="354" t="e">
        <f>+VLOOKUP($E1096,Labor!$1:$1048576,AB$2,FALSE)</f>
        <v>#N/A</v>
      </c>
      <c r="AC1096" s="354" t="e">
        <f>+VLOOKUP($E1096,Labor!$1:$1048576,AC$2,FALSE)</f>
        <v>#N/A</v>
      </c>
      <c r="AD1096" s="354" t="e">
        <f>+VLOOKUP($E1096,Labor!$1:$1048576,AD$2,FALSE)</f>
        <v>#N/A</v>
      </c>
      <c r="AE1096" s="354" t="e">
        <f>+VLOOKUP($E1096,Labor!$1:$1048576,AE$2,FALSE)</f>
        <v>#N/A</v>
      </c>
      <c r="AF1096" s="354" t="e">
        <f>+VLOOKUP($E1096,Labor!$1:$1048576,AF$2,FALSE)</f>
        <v>#N/A</v>
      </c>
      <c r="AG1096" s="354" t="e">
        <f>+VLOOKUP($E1096,Labor!$1:$1048576,AG$2,FALSE)</f>
        <v>#N/A</v>
      </c>
      <c r="AH1096" s="354" t="e">
        <f>+VLOOKUP($E1096,Labor!$1:$1048576,AH$2,FALSE)</f>
        <v>#N/A</v>
      </c>
      <c r="AI1096" s="354" t="e">
        <f>+VLOOKUP($E1096,Labor!$1:$1048576,AI$2,FALSE)</f>
        <v>#N/A</v>
      </c>
      <c r="AJ1096" s="354" t="e">
        <f>+VLOOKUP($E1096,Labor!$1:$1048576,AJ$2,FALSE)</f>
        <v>#N/A</v>
      </c>
      <c r="AK1096" s="354" t="e">
        <f>+VLOOKUP($E1096,Labor!$1:$1048576,AK$2,FALSE)</f>
        <v>#N/A</v>
      </c>
      <c r="AL1096" s="354" t="e">
        <f>+VLOOKUP($E1096,Labor!$1:$1048576,AL$2,FALSE)</f>
        <v>#N/A</v>
      </c>
      <c r="AM1096" s="354" t="e">
        <f>+VLOOKUP($E1096,Labor!$1:$1048576,AM$2,FALSE)</f>
        <v>#N/A</v>
      </c>
      <c r="AN1096" s="354" t="e">
        <f>+VLOOKUP($E1096,Labor!$1:$1048576,AN$2,FALSE)</f>
        <v>#N/A</v>
      </c>
      <c r="AO1096" s="354" t="e">
        <f>+VLOOKUP($E1096,Labor!$1:$1048576,AO$2,FALSE)</f>
        <v>#N/A</v>
      </c>
    </row>
    <row r="1097" spans="1:41" s="73" customFormat="1" ht="15" customHeight="1" x14ac:dyDescent="0.25">
      <c r="A1097" s="402"/>
      <c r="B1097" s="411"/>
      <c r="C1097" s="159" t="s">
        <v>740</v>
      </c>
      <c r="D1097" s="109"/>
      <c r="E1097" s="80" t="s">
        <v>805</v>
      </c>
      <c r="F1097" s="356">
        <f>+VLOOKUP($E1097,Labor!$1:$1048576,F$2,FALSE)</f>
        <v>618.62</v>
      </c>
      <c r="G1097" s="356">
        <f>+VLOOKUP($E1097,Labor!$1:$1048576,G$2,FALSE)</f>
        <v>619.58096479999995</v>
      </c>
      <c r="H1097" s="356">
        <f>+VLOOKUP($E1097,Labor!$1:$1048576,H$2,FALSE)</f>
        <v>620.19798639999999</v>
      </c>
      <c r="I1097" s="356">
        <f>+VLOOKUP($E1097,Labor!$1:$1048576,I$2,FALSE)</f>
        <v>620.80188550000003</v>
      </c>
      <c r="J1097" s="356">
        <f>+VLOOKUP($E1097,Labor!$1:$1048576,J$2,FALSE)</f>
        <v>621.60557549999999</v>
      </c>
      <c r="K1097" s="356">
        <f>+VLOOKUP($E1097,Labor!$1:$1048576,K$2,FALSE)</f>
        <v>622.69514619999995</v>
      </c>
      <c r="L1097" s="356">
        <f>+VLOOKUP($E1097,Labor!$1:$1048576,L$2,FALSE)</f>
        <v>624.07325060000005</v>
      </c>
      <c r="M1097" s="356">
        <f>+VLOOKUP($E1097,Labor!$1:$1048576,M$2,FALSE)</f>
        <v>625.70096160000003</v>
      </c>
      <c r="N1097" s="356">
        <f>+VLOOKUP($E1097,Labor!$1:$1048576,N$2,FALSE)</f>
        <v>627.52546940000002</v>
      </c>
      <c r="O1097" s="356">
        <f>+VLOOKUP($E1097,Labor!$1:$1048576,O$2,FALSE)</f>
        <v>629.49500939999996</v>
      </c>
      <c r="P1097" s="356">
        <f>+VLOOKUP($E1097,Labor!$1:$1048576,P$2,FALSE)</f>
        <v>631.56537739999999</v>
      </c>
      <c r="Q1097" s="356">
        <f>+VLOOKUP($E1097,Labor!$1:$1048576,Q$2,FALSE)</f>
        <v>633.70175859999995</v>
      </c>
      <c r="R1097" s="356">
        <f>+VLOOKUP($E1097,Labor!$1:$1048576,R$2,FALSE)</f>
        <v>635.87829009999996</v>
      </c>
      <c r="S1097" s="356">
        <f>+VLOOKUP($E1097,Labor!$1:$1048576,S$2,FALSE)</f>
        <v>638.07672090000005</v>
      </c>
      <c r="T1097" s="356">
        <f>+VLOOKUP($E1097,Labor!$1:$1048576,T$2,FALSE)</f>
        <v>640.28484630000003</v>
      </c>
      <c r="U1097" s="356">
        <f>+VLOOKUP($E1097,Labor!$1:$1048576,U$2,FALSE)</f>
        <v>642.49500669999998</v>
      </c>
      <c r="V1097" s="356">
        <f>+VLOOKUP($E1097,Labor!$1:$1048576,V$2,FALSE)</f>
        <v>644.70279840000001</v>
      </c>
      <c r="W1097" s="356">
        <f>+VLOOKUP($E1097,Labor!$1:$1048576,W$2,FALSE)</f>
        <v>646.90603669999996</v>
      </c>
      <c r="X1097" s="356">
        <f>+VLOOKUP($E1097,Labor!$1:$1048576,X$2,FALSE)</f>
        <v>649.10393439999996</v>
      </c>
      <c r="Y1097" s="356">
        <f>+VLOOKUP($E1097,Labor!$1:$1048576,Y$2,FALSE)</f>
        <v>651.29649140000004</v>
      </c>
      <c r="Z1097" s="356">
        <f>+VLOOKUP($E1097,Labor!$1:$1048576,Z$2,FALSE)</f>
        <v>653.4840706</v>
      </c>
      <c r="AA1097" s="356">
        <f>+VLOOKUP($E1097,Labor!$1:$1048576,AA$2,FALSE)</f>
        <v>655.6671278</v>
      </c>
      <c r="AB1097" s="356">
        <f>+VLOOKUP($E1097,Labor!$1:$1048576,AB$2,FALSE)</f>
        <v>657.8460589</v>
      </c>
      <c r="AC1097" s="356">
        <f>+VLOOKUP($E1097,Labor!$1:$1048576,AC$2,FALSE)</f>
        <v>660.02113169999996</v>
      </c>
      <c r="AD1097" s="356">
        <f>+VLOOKUP($E1097,Labor!$1:$1048576,AD$2,FALSE)</f>
        <v>662.19247499999994</v>
      </c>
      <c r="AE1097" s="356">
        <f>+VLOOKUP($E1097,Labor!$1:$1048576,AE$2,FALSE)</f>
        <v>664.36010139999996</v>
      </c>
      <c r="AF1097" s="356">
        <f>+VLOOKUP($E1097,Labor!$1:$1048576,AF$2,FALSE)</f>
        <v>666.52394779999997</v>
      </c>
      <c r="AG1097" s="356">
        <f>+VLOOKUP($E1097,Labor!$1:$1048576,AG$2,FALSE)</f>
        <v>668.68392010000002</v>
      </c>
      <c r="AH1097" s="356">
        <f>+VLOOKUP($E1097,Labor!$1:$1048576,AH$2,FALSE)</f>
        <v>670.83993429999998</v>
      </c>
      <c r="AI1097" s="356">
        <f>+VLOOKUP($E1097,Labor!$1:$1048576,AI$2,FALSE)</f>
        <v>672.99194929999999</v>
      </c>
      <c r="AJ1097" s="356">
        <f>+VLOOKUP($E1097,Labor!$1:$1048576,AJ$2,FALSE)</f>
        <v>675.13999009999998</v>
      </c>
      <c r="AK1097" s="356">
        <f>+VLOOKUP($E1097,Labor!$1:$1048576,AK$2,FALSE)</f>
        <v>677.2841598</v>
      </c>
      <c r="AL1097" s="356">
        <f>+VLOOKUP($E1097,Labor!$1:$1048576,AL$2,FALSE)</f>
        <v>679.42464229999996</v>
      </c>
      <c r="AM1097" s="356">
        <f>+VLOOKUP($E1097,Labor!$1:$1048576,AM$2,FALSE)</f>
        <v>681.56169920000002</v>
      </c>
      <c r="AN1097" s="356">
        <f>+VLOOKUP($E1097,Labor!$1:$1048576,AN$2,FALSE)</f>
        <v>683.69565990000001</v>
      </c>
      <c r="AO1097" s="356">
        <f>+VLOOKUP($E1097,Labor!$1:$1048576,AO$2,FALSE)</f>
        <v>685.82691030000001</v>
      </c>
    </row>
    <row r="1098" spans="1:41" s="73" customFormat="1" ht="15" customHeight="1" x14ac:dyDescent="0.25">
      <c r="A1098" s="402"/>
      <c r="B1098" s="411"/>
      <c r="C1098" s="159" t="s">
        <v>741</v>
      </c>
      <c r="D1098" s="109"/>
      <c r="E1098" s="80" t="s">
        <v>806</v>
      </c>
      <c r="F1098" s="356">
        <f>+VLOOKUP($E1098,Labor!$1:$1048576,F$2,FALSE)</f>
        <v>185.81</v>
      </c>
      <c r="G1098" s="356">
        <f>+VLOOKUP($E1098,Labor!$1:$1048576,G$2,FALSE)</f>
        <v>186.91607809999999</v>
      </c>
      <c r="H1098" s="356">
        <f>+VLOOKUP($E1098,Labor!$1:$1048576,H$2,FALSE)</f>
        <v>188.3908141</v>
      </c>
      <c r="I1098" s="356">
        <f>+VLOOKUP($E1098,Labor!$1:$1048576,I$2,FALSE)</f>
        <v>189.88114719999999</v>
      </c>
      <c r="J1098" s="356">
        <f>+VLOOKUP($E1098,Labor!$1:$1048576,J$2,FALSE)</f>
        <v>191.17535609999999</v>
      </c>
      <c r="K1098" s="356">
        <f>+VLOOKUP($E1098,Labor!$1:$1048576,K$2,FALSE)</f>
        <v>192.2080684</v>
      </c>
      <c r="L1098" s="356">
        <f>+VLOOKUP($E1098,Labor!$1:$1048576,L$2,FALSE)</f>
        <v>193.0044091</v>
      </c>
      <c r="M1098" s="356">
        <f>+VLOOKUP($E1098,Labor!$1:$1048576,M$2,FALSE)</f>
        <v>193.6257593</v>
      </c>
      <c r="N1098" s="356">
        <f>+VLOOKUP($E1098,Labor!$1:$1048576,N$2,FALSE)</f>
        <v>194.1354809</v>
      </c>
      <c r="O1098" s="356">
        <f>+VLOOKUP($E1098,Labor!$1:$1048576,O$2,FALSE)</f>
        <v>194.58347749999999</v>
      </c>
      <c r="P1098" s="356">
        <f>+VLOOKUP($E1098,Labor!$1:$1048576,P$2,FALSE)</f>
        <v>195.0028106</v>
      </c>
      <c r="Q1098" s="356">
        <f>+VLOOKUP($E1098,Labor!$1:$1048576,Q$2,FALSE)</f>
        <v>195.41212630000001</v>
      </c>
      <c r="R1098" s="356">
        <f>+VLOOKUP($E1098,Labor!$1:$1048576,R$2,FALSE)</f>
        <v>195.81987290000001</v>
      </c>
      <c r="S1098" s="356">
        <f>+VLOOKUP($E1098,Labor!$1:$1048576,S$2,FALSE)</f>
        <v>196.22828430000001</v>
      </c>
      <c r="T1098" s="356">
        <f>+VLOOKUP($E1098,Labor!$1:$1048576,T$2,FALSE)</f>
        <v>196.63638950000001</v>
      </c>
      <c r="U1098" s="356">
        <f>+VLOOKUP($E1098,Labor!$1:$1048576,U$2,FALSE)</f>
        <v>197.04197819999999</v>
      </c>
      <c r="V1098" s="356">
        <f>+VLOOKUP($E1098,Labor!$1:$1048576,V$2,FALSE)</f>
        <v>197.44272430000001</v>
      </c>
      <c r="W1098" s="356">
        <f>+VLOOKUP($E1098,Labor!$1:$1048576,W$2,FALSE)</f>
        <v>197.83672580000001</v>
      </c>
      <c r="X1098" s="356">
        <f>+VLOOKUP($E1098,Labor!$1:$1048576,X$2,FALSE)</f>
        <v>198.2226895</v>
      </c>
      <c r="Y1098" s="356">
        <f>+VLOOKUP($E1098,Labor!$1:$1048576,Y$2,FALSE)</f>
        <v>198.59992159999999</v>
      </c>
      <c r="Z1098" s="356">
        <f>+VLOOKUP($E1098,Labor!$1:$1048576,Z$2,FALSE)</f>
        <v>198.968234</v>
      </c>
      <c r="AA1098" s="356">
        <f>+VLOOKUP($E1098,Labor!$1:$1048576,AA$2,FALSE)</f>
        <v>199.3278258</v>
      </c>
      <c r="AB1098" s="356">
        <f>+VLOOKUP($E1098,Labor!$1:$1048576,AB$2,FALSE)</f>
        <v>199.67917120000001</v>
      </c>
      <c r="AC1098" s="356">
        <f>+VLOOKUP($E1098,Labor!$1:$1048576,AC$2,FALSE)</f>
        <v>200.02292610000001</v>
      </c>
      <c r="AD1098" s="356">
        <f>+VLOOKUP($E1098,Labor!$1:$1048576,AD$2,FALSE)</f>
        <v>200.35985690000001</v>
      </c>
      <c r="AE1098" s="356">
        <f>+VLOOKUP($E1098,Labor!$1:$1048576,AE$2,FALSE)</f>
        <v>200.6907874</v>
      </c>
      <c r="AF1098" s="356">
        <f>+VLOOKUP($E1098,Labor!$1:$1048576,AF$2,FALSE)</f>
        <v>201.0165614</v>
      </c>
      <c r="AG1098" s="356">
        <f>+VLOOKUP($E1098,Labor!$1:$1048576,AG$2,FALSE)</f>
        <v>201.33801700000001</v>
      </c>
      <c r="AH1098" s="356">
        <f>+VLOOKUP($E1098,Labor!$1:$1048576,AH$2,FALSE)</f>
        <v>201.65596819999999</v>
      </c>
      <c r="AI1098" s="356">
        <f>+VLOOKUP($E1098,Labor!$1:$1048576,AI$2,FALSE)</f>
        <v>201.971193</v>
      </c>
      <c r="AJ1098" s="356">
        <f>+VLOOKUP($E1098,Labor!$1:$1048576,AJ$2,FALSE)</f>
        <v>202.28442469999999</v>
      </c>
      <c r="AK1098" s="356">
        <f>+VLOOKUP($E1098,Labor!$1:$1048576,AK$2,FALSE)</f>
        <v>202.5963467</v>
      </c>
      <c r="AL1098" s="356">
        <f>+VLOOKUP($E1098,Labor!$1:$1048576,AL$2,FALSE)</f>
        <v>202.90758840000001</v>
      </c>
      <c r="AM1098" s="356">
        <f>+VLOOKUP($E1098,Labor!$1:$1048576,AM$2,FALSE)</f>
        <v>203.2187237</v>
      </c>
      <c r="AN1098" s="356">
        <f>+VLOOKUP($E1098,Labor!$1:$1048576,AN$2,FALSE)</f>
        <v>203.5302701</v>
      </c>
      <c r="AO1098" s="356">
        <f>+VLOOKUP($E1098,Labor!$1:$1048576,AO$2,FALSE)</f>
        <v>203.84268839999999</v>
      </c>
    </row>
    <row r="1099" spans="1:41" s="73" customFormat="1" ht="15" customHeight="1" x14ac:dyDescent="0.25">
      <c r="A1099" s="402"/>
      <c r="B1099" s="411"/>
      <c r="C1099" s="159" t="s">
        <v>742</v>
      </c>
      <c r="D1099" s="109"/>
      <c r="E1099" s="80" t="s">
        <v>807</v>
      </c>
      <c r="F1099" s="356">
        <f>+VLOOKUP($E1099,Labor!$1:$1048576,F$2,FALSE)</f>
        <v>98.04</v>
      </c>
      <c r="G1099" s="356">
        <f>+VLOOKUP($E1099,Labor!$1:$1048576,G$2,FALSE)</f>
        <v>98.258013309999995</v>
      </c>
      <c r="H1099" s="356">
        <f>+VLOOKUP($E1099,Labor!$1:$1048576,H$2,FALSE)</f>
        <v>98.451064329999994</v>
      </c>
      <c r="I1099" s="356">
        <f>+VLOOKUP($E1099,Labor!$1:$1048576,I$2,FALSE)</f>
        <v>98.632418400000006</v>
      </c>
      <c r="J1099" s="356">
        <f>+VLOOKUP($E1099,Labor!$1:$1048576,J$2,FALSE)</f>
        <v>98.815565370000002</v>
      </c>
      <c r="K1099" s="356">
        <f>+VLOOKUP($E1099,Labor!$1:$1048576,K$2,FALSE)</f>
        <v>99.009717039999998</v>
      </c>
      <c r="L1099" s="356">
        <f>+VLOOKUP($E1099,Labor!$1:$1048576,L$2,FALSE)</f>
        <v>99.219310269999994</v>
      </c>
      <c r="M1099" s="356">
        <f>+VLOOKUP($E1099,Labor!$1:$1048576,M$2,FALSE)</f>
        <v>99.445099099999993</v>
      </c>
      <c r="N1099" s="356">
        <f>+VLOOKUP($E1099,Labor!$1:$1048576,N$2,FALSE)</f>
        <v>99.685557560000007</v>
      </c>
      <c r="O1099" s="356">
        <f>+VLOOKUP($E1099,Labor!$1:$1048576,O$2,FALSE)</f>
        <v>99.938064350000005</v>
      </c>
      <c r="P1099" s="356">
        <f>+VLOOKUP($E1099,Labor!$1:$1048576,P$2,FALSE)</f>
        <v>100.1997276</v>
      </c>
      <c r="Q1099" s="356">
        <f>+VLOOKUP($E1099,Labor!$1:$1048576,Q$2,FALSE)</f>
        <v>100.4678761</v>
      </c>
      <c r="R1099" s="356">
        <f>+VLOOKUP($E1099,Labor!$1:$1048576,R$2,FALSE)</f>
        <v>100.74029880000001</v>
      </c>
      <c r="S1099" s="356">
        <f>+VLOOKUP($E1099,Labor!$1:$1048576,S$2,FALSE)</f>
        <v>101.01531679999999</v>
      </c>
      <c r="T1099" s="356">
        <f>+VLOOKUP($E1099,Labor!$1:$1048576,T$2,FALSE)</f>
        <v>101.2917563</v>
      </c>
      <c r="U1099" s="356">
        <f>+VLOOKUP($E1099,Labor!$1:$1048576,U$2,FALSE)</f>
        <v>101.568871</v>
      </c>
      <c r="V1099" s="356">
        <f>+VLOOKUP($E1099,Labor!$1:$1048576,V$2,FALSE)</f>
        <v>101.8462475</v>
      </c>
      <c r="W1099" s="356">
        <f>+VLOOKUP($E1099,Labor!$1:$1048576,W$2,FALSE)</f>
        <v>102.1237118</v>
      </c>
      <c r="X1099" s="356">
        <f>+VLOOKUP($E1099,Labor!$1:$1048576,X$2,FALSE)</f>
        <v>102.4012482</v>
      </c>
      <c r="Y1099" s="356">
        <f>+VLOOKUP($E1099,Labor!$1:$1048576,Y$2,FALSE)</f>
        <v>102.6789338</v>
      </c>
      <c r="Z1099" s="356">
        <f>+VLOOKUP($E1099,Labor!$1:$1048576,Z$2,FALSE)</f>
        <v>102.9568901</v>
      </c>
      <c r="AA1099" s="356">
        <f>+VLOOKUP($E1099,Labor!$1:$1048576,AA$2,FALSE)</f>
        <v>103.2352497</v>
      </c>
      <c r="AB1099" s="356">
        <f>+VLOOKUP($E1099,Labor!$1:$1048576,AB$2,FALSE)</f>
        <v>103.5141351</v>
      </c>
      <c r="AC1099" s="356">
        <f>+VLOOKUP($E1099,Labor!$1:$1048576,AC$2,FALSE)</f>
        <v>103.79364769999999</v>
      </c>
      <c r="AD1099" s="356">
        <f>+VLOOKUP($E1099,Labor!$1:$1048576,AD$2,FALSE)</f>
        <v>104.07386320000001</v>
      </c>
      <c r="AE1099" s="356">
        <f>+VLOOKUP($E1099,Labor!$1:$1048576,AE$2,FALSE)</f>
        <v>104.3548316</v>
      </c>
      <c r="AF1099" s="356">
        <f>+VLOOKUP($E1099,Labor!$1:$1048576,AF$2,FALSE)</f>
        <v>104.63658</v>
      </c>
      <c r="AG1099" s="356">
        <f>+VLOOKUP($E1099,Labor!$1:$1048576,AG$2,FALSE)</f>
        <v>104.9191167</v>
      </c>
      <c r="AH1099" s="356">
        <f>+VLOOKUP($E1099,Labor!$1:$1048576,AH$2,FALSE)</f>
        <v>105.20243499999999</v>
      </c>
      <c r="AI1099" s="356">
        <f>+VLOOKUP($E1099,Labor!$1:$1048576,AI$2,FALSE)</f>
        <v>105.48651719999999</v>
      </c>
      <c r="AJ1099" s="356">
        <f>+VLOOKUP($E1099,Labor!$1:$1048576,AJ$2,FALSE)</f>
        <v>105.7713378</v>
      </c>
      <c r="AK1099" s="356">
        <f>+VLOOKUP($E1099,Labor!$1:$1048576,AK$2,FALSE)</f>
        <v>106.0568662</v>
      </c>
      <c r="AL1099" s="356">
        <f>+VLOOKUP($E1099,Labor!$1:$1048576,AL$2,FALSE)</f>
        <v>106.343068</v>
      </c>
      <c r="AM1099" s="356">
        <f>+VLOOKUP($E1099,Labor!$1:$1048576,AM$2,FALSE)</f>
        <v>106.6299063</v>
      </c>
      <c r="AN1099" s="356">
        <f>+VLOOKUP($E1099,Labor!$1:$1048576,AN$2,FALSE)</f>
        <v>106.9173428</v>
      </c>
      <c r="AO1099" s="356">
        <f>+VLOOKUP($E1099,Labor!$1:$1048576,AO$2,FALSE)</f>
        <v>107.2053378</v>
      </c>
    </row>
    <row r="1100" spans="1:41" s="73" customFormat="1" ht="15" customHeight="1" x14ac:dyDescent="0.25">
      <c r="A1100" s="402"/>
      <c r="B1100" s="411"/>
      <c r="C1100" s="159" t="s">
        <v>743</v>
      </c>
      <c r="D1100" s="109"/>
      <c r="E1100" s="80" t="s">
        <v>808</v>
      </c>
      <c r="F1100" s="356">
        <f>+VLOOKUP($E1100,Labor!$1:$1048576,F$2,FALSE)</f>
        <v>58.86</v>
      </c>
      <c r="G1100" s="356">
        <f>+VLOOKUP($E1100,Labor!$1:$1048576,G$2,FALSE)</f>
        <v>58.983775729999998</v>
      </c>
      <c r="H1100" s="356">
        <f>+VLOOKUP($E1100,Labor!$1:$1048576,H$2,FALSE)</f>
        <v>59.092436040000003</v>
      </c>
      <c r="I1100" s="356">
        <f>+VLOOKUP($E1100,Labor!$1:$1048576,I$2,FALSE)</f>
        <v>59.199643539999997</v>
      </c>
      <c r="J1100" s="356">
        <f>+VLOOKUP($E1100,Labor!$1:$1048576,J$2,FALSE)</f>
        <v>59.315211249999997</v>
      </c>
      <c r="K1100" s="356">
        <f>+VLOOKUP($E1100,Labor!$1:$1048576,K$2,FALSE)</f>
        <v>59.443796429999999</v>
      </c>
      <c r="L1100" s="356">
        <f>+VLOOKUP($E1100,Labor!$1:$1048576,L$2,FALSE)</f>
        <v>59.586231730000002</v>
      </c>
      <c r="M1100" s="356">
        <f>+VLOOKUP($E1100,Labor!$1:$1048576,M$2,FALSE)</f>
        <v>59.741138290000002</v>
      </c>
      <c r="N1100" s="356">
        <f>+VLOOKUP($E1100,Labor!$1:$1048576,N$2,FALSE)</f>
        <v>59.906143700000001</v>
      </c>
      <c r="O1100" s="356">
        <f>+VLOOKUP($E1100,Labor!$1:$1048576,O$2,FALSE)</f>
        <v>60.07864687</v>
      </c>
      <c r="P1100" s="356">
        <f>+VLOOKUP($E1100,Labor!$1:$1048576,P$2,FALSE)</f>
        <v>60.256238070000002</v>
      </c>
      <c r="Q1100" s="356">
        <f>+VLOOKUP($E1100,Labor!$1:$1048576,Q$2,FALSE)</f>
        <v>60.436892640000003</v>
      </c>
      <c r="R1100" s="356">
        <f>+VLOOKUP($E1100,Labor!$1:$1048576,R$2,FALSE)</f>
        <v>60.619028409999999</v>
      </c>
      <c r="S1100" s="356">
        <f>+VLOOKUP($E1100,Labor!$1:$1048576,S$2,FALSE)</f>
        <v>60.801487639999998</v>
      </c>
      <c r="T1100" s="356">
        <f>+VLOOKUP($E1100,Labor!$1:$1048576,T$2,FALSE)</f>
        <v>60.98348129</v>
      </c>
      <c r="U1100" s="356">
        <f>+VLOOKUP($E1100,Labor!$1:$1048576,U$2,FALSE)</f>
        <v>61.164518229999999</v>
      </c>
      <c r="V1100" s="356">
        <f>+VLOOKUP($E1100,Labor!$1:$1048576,V$2,FALSE)</f>
        <v>61.344334160000002</v>
      </c>
      <c r="W1100" s="356">
        <f>+VLOOKUP($E1100,Labor!$1:$1048576,W$2,FALSE)</f>
        <v>61.522828160000003</v>
      </c>
      <c r="X1100" s="356">
        <f>+VLOOKUP($E1100,Labor!$1:$1048576,X$2,FALSE)</f>
        <v>61.700009039999998</v>
      </c>
      <c r="Y1100" s="356">
        <f>+VLOOKUP($E1100,Labor!$1:$1048576,Y$2,FALSE)</f>
        <v>61.87595322</v>
      </c>
      <c r="Z1100" s="356">
        <f>+VLOOKUP($E1100,Labor!$1:$1048576,Z$2,FALSE)</f>
        <v>62.050773820000003</v>
      </c>
      <c r="AA1100" s="356">
        <f>+VLOOKUP($E1100,Labor!$1:$1048576,AA$2,FALSE)</f>
        <v>62.224599560000001</v>
      </c>
      <c r="AB1100" s="356">
        <f>+VLOOKUP($E1100,Labor!$1:$1048576,AB$2,FALSE)</f>
        <v>62.397561430000003</v>
      </c>
      <c r="AC1100" s="356">
        <f>+VLOOKUP($E1100,Labor!$1:$1048576,AC$2,FALSE)</f>
        <v>62.56978514</v>
      </c>
      <c r="AD1100" s="356">
        <f>+VLOOKUP($E1100,Labor!$1:$1048576,AD$2,FALSE)</f>
        <v>62.741387680000003</v>
      </c>
      <c r="AE1100" s="356">
        <f>+VLOOKUP($E1100,Labor!$1:$1048576,AE$2,FALSE)</f>
        <v>62.912476519999998</v>
      </c>
      <c r="AF1100" s="356">
        <f>+VLOOKUP($E1100,Labor!$1:$1048576,AF$2,FALSE)</f>
        <v>63.083150199999999</v>
      </c>
      <c r="AG1100" s="356">
        <f>+VLOOKUP($E1100,Labor!$1:$1048576,AG$2,FALSE)</f>
        <v>63.253499740000002</v>
      </c>
      <c r="AH1100" s="356">
        <f>+VLOOKUP($E1100,Labor!$1:$1048576,AH$2,FALSE)</f>
        <v>63.423610029999999</v>
      </c>
      <c r="AI1100" s="356">
        <f>+VLOOKUP($E1100,Labor!$1:$1048576,AI$2,FALSE)</f>
        <v>63.593561110000003</v>
      </c>
      <c r="AJ1100" s="356">
        <f>+VLOOKUP($E1100,Labor!$1:$1048576,AJ$2,FALSE)</f>
        <v>63.763429019999997</v>
      </c>
      <c r="AK1100" s="356">
        <f>+VLOOKUP($E1100,Labor!$1:$1048576,AK$2,FALSE)</f>
        <v>63.933286279999997</v>
      </c>
      <c r="AL1100" s="356">
        <f>+VLOOKUP($E1100,Labor!$1:$1048576,AL$2,FALSE)</f>
        <v>64.103202010000004</v>
      </c>
      <c r="AM1100" s="356">
        <f>+VLOOKUP($E1100,Labor!$1:$1048576,AM$2,FALSE)</f>
        <v>64.273241760000005</v>
      </c>
      <c r="AN1100" s="356">
        <f>+VLOOKUP($E1100,Labor!$1:$1048576,AN$2,FALSE)</f>
        <v>64.443467170000005</v>
      </c>
      <c r="AO1100" s="356">
        <f>+VLOOKUP($E1100,Labor!$1:$1048576,AO$2,FALSE)</f>
        <v>64.613935589999997</v>
      </c>
    </row>
    <row r="1101" spans="1:41" s="73" customFormat="1" ht="15" customHeight="1" x14ac:dyDescent="0.25">
      <c r="A1101" s="402"/>
      <c r="B1101" s="411"/>
      <c r="C1101" s="159" t="s">
        <v>744</v>
      </c>
      <c r="D1101" s="109"/>
      <c r="E1101" s="80" t="s">
        <v>809</v>
      </c>
      <c r="F1101" s="356">
        <f>+VLOOKUP($E1101,Labor!$1:$1048576,F$2,FALSE)</f>
        <v>150.0064491</v>
      </c>
      <c r="G1101" s="356">
        <f>+VLOOKUP($E1101,Labor!$1:$1048576,G$2,FALSE)</f>
        <v>150.3465626</v>
      </c>
      <c r="H1101" s="356">
        <f>+VLOOKUP($E1101,Labor!$1:$1048576,H$2,FALSE)</f>
        <v>150.66613290000001</v>
      </c>
      <c r="I1101" s="356">
        <f>+VLOOKUP($E1101,Labor!$1:$1048576,I$2,FALSE)</f>
        <v>150.98645669999999</v>
      </c>
      <c r="J1101" s="356">
        <f>+VLOOKUP($E1101,Labor!$1:$1048576,J$2,FALSE)</f>
        <v>151.32275189999999</v>
      </c>
      <c r="K1101" s="356">
        <f>+VLOOKUP($E1101,Labor!$1:$1048576,K$2,FALSE)</f>
        <v>151.6822014</v>
      </c>
      <c r="L1101" s="356">
        <f>+VLOOKUP($E1101,Labor!$1:$1048576,L$2,FALSE)</f>
        <v>152.0658334</v>
      </c>
      <c r="M1101" s="356">
        <f>+VLOOKUP($E1101,Labor!$1:$1048576,M$2,FALSE)</f>
        <v>152.47094490000001</v>
      </c>
      <c r="N1101" s="356">
        <f>+VLOOKUP($E1101,Labor!$1:$1048576,N$2,FALSE)</f>
        <v>152.89305089999999</v>
      </c>
      <c r="O1101" s="356">
        <f>+VLOOKUP($E1101,Labor!$1:$1048576,O$2,FALSE)</f>
        <v>153.3271992</v>
      </c>
      <c r="P1101" s="356">
        <f>+VLOOKUP($E1101,Labor!$1:$1048576,P$2,FALSE)</f>
        <v>153.7687507</v>
      </c>
      <c r="Q1101" s="356">
        <f>+VLOOKUP($E1101,Labor!$1:$1048576,Q$2,FALSE)</f>
        <v>154.21377530000001</v>
      </c>
      <c r="R1101" s="356">
        <f>+VLOOKUP($E1101,Labor!$1:$1048576,R$2,FALSE)</f>
        <v>154.65919299999999</v>
      </c>
      <c r="S1101" s="356">
        <f>+VLOOKUP($E1101,Labor!$1:$1048576,S$2,FALSE)</f>
        <v>155.10276150000001</v>
      </c>
      <c r="T1101" s="356">
        <f>+VLOOKUP($E1101,Labor!$1:$1048576,T$2,FALSE)</f>
        <v>155.54298120000001</v>
      </c>
      <c r="U1101" s="356">
        <f>+VLOOKUP($E1101,Labor!$1:$1048576,U$2,FALSE)</f>
        <v>155.9789629</v>
      </c>
      <c r="V1101" s="356">
        <f>+VLOOKUP($E1101,Labor!$1:$1048576,V$2,FALSE)</f>
        <v>156.41028919999999</v>
      </c>
      <c r="W1101" s="356">
        <f>+VLOOKUP($E1101,Labor!$1:$1048576,W$2,FALSE)</f>
        <v>156.83688910000001</v>
      </c>
      <c r="X1101" s="356">
        <f>+VLOOKUP($E1101,Labor!$1:$1048576,X$2,FALSE)</f>
        <v>157.25892880000001</v>
      </c>
      <c r="Y1101" s="356">
        <f>+VLOOKUP($E1101,Labor!$1:$1048576,Y$2,FALSE)</f>
        <v>157.67672640000001</v>
      </c>
      <c r="Z1101" s="356">
        <f>+VLOOKUP($E1101,Labor!$1:$1048576,Z$2,FALSE)</f>
        <v>158.0906866</v>
      </c>
      <c r="AA1101" s="356">
        <f>+VLOOKUP($E1101,Labor!$1:$1048576,AA$2,FALSE)</f>
        <v>158.50125589999999</v>
      </c>
      <c r="AB1101" s="356">
        <f>+VLOOKUP($E1101,Labor!$1:$1048576,AB$2,FALSE)</f>
        <v>158.90889189999999</v>
      </c>
      <c r="AC1101" s="356">
        <f>+VLOOKUP($E1101,Labor!$1:$1048576,AC$2,FALSE)</f>
        <v>159.3140444</v>
      </c>
      <c r="AD1101" s="356">
        <f>+VLOOKUP($E1101,Labor!$1:$1048576,AD$2,FALSE)</f>
        <v>159.7171458</v>
      </c>
      <c r="AE1101" s="356">
        <f>+VLOOKUP($E1101,Labor!$1:$1048576,AE$2,FALSE)</f>
        <v>160.11860530000001</v>
      </c>
      <c r="AF1101" s="356">
        <f>+VLOOKUP($E1101,Labor!$1:$1048576,AF$2,FALSE)</f>
        <v>160.5188077</v>
      </c>
      <c r="AG1101" s="356">
        <f>+VLOOKUP($E1101,Labor!$1:$1048576,AG$2,FALSE)</f>
        <v>160.9181135</v>
      </c>
      <c r="AH1101" s="356">
        <f>+VLOOKUP($E1101,Labor!$1:$1048576,AH$2,FALSE)</f>
        <v>161.31685970000001</v>
      </c>
      <c r="AI1101" s="356">
        <f>+VLOOKUP($E1101,Labor!$1:$1048576,AI$2,FALSE)</f>
        <v>161.71536069999999</v>
      </c>
      <c r="AJ1101" s="356">
        <f>+VLOOKUP($E1101,Labor!$1:$1048576,AJ$2,FALSE)</f>
        <v>162.1139091</v>
      </c>
      <c r="AK1101" s="356">
        <f>+VLOOKUP($E1101,Labor!$1:$1048576,AK$2,FALSE)</f>
        <v>162.512776</v>
      </c>
      <c r="AL1101" s="356">
        <f>+VLOOKUP($E1101,Labor!$1:$1048576,AL$2,FALSE)</f>
        <v>162.9122107</v>
      </c>
      <c r="AM1101" s="356">
        <f>+VLOOKUP($E1101,Labor!$1:$1048576,AM$2,FALSE)</f>
        <v>163.31244050000001</v>
      </c>
      <c r="AN1101" s="356">
        <f>+VLOOKUP($E1101,Labor!$1:$1048576,AN$2,FALSE)</f>
        <v>163.7136706</v>
      </c>
      <c r="AO1101" s="356">
        <f>+VLOOKUP($E1101,Labor!$1:$1048576,AO$2,FALSE)</f>
        <v>164.11608369999999</v>
      </c>
    </row>
    <row r="1102" spans="1:41" s="73" customFormat="1" ht="15" customHeight="1" x14ac:dyDescent="0.25">
      <c r="A1102" s="402"/>
      <c r="B1102" s="411"/>
      <c r="C1102" s="159" t="s">
        <v>745</v>
      </c>
      <c r="D1102" s="109"/>
      <c r="E1102" s="80" t="s">
        <v>810</v>
      </c>
      <c r="F1102" s="356">
        <f>+VLOOKUP($E1102,Labor!$1:$1048576,F$2,FALSE)</f>
        <v>153.44</v>
      </c>
      <c r="G1102" s="356">
        <f>+VLOOKUP($E1102,Labor!$1:$1048576,G$2,FALSE)</f>
        <v>153.81317999999999</v>
      </c>
      <c r="H1102" s="356">
        <f>+VLOOKUP($E1102,Labor!$1:$1048576,H$2,FALSE)</f>
        <v>154.17718300000001</v>
      </c>
      <c r="I1102" s="356">
        <f>+VLOOKUP($E1102,Labor!$1:$1048576,I$2,FALSE)</f>
        <v>154.5372332</v>
      </c>
      <c r="J1102" s="356">
        <f>+VLOOKUP($E1102,Labor!$1:$1048576,J$2,FALSE)</f>
        <v>154.8996779</v>
      </c>
      <c r="K1102" s="356">
        <f>+VLOOKUP($E1102,Labor!$1:$1048576,K$2,FALSE)</f>
        <v>155.26993949999999</v>
      </c>
      <c r="L1102" s="356">
        <f>+VLOOKUP($E1102,Labor!$1:$1048576,L$2,FALSE)</f>
        <v>155.65150080000001</v>
      </c>
      <c r="M1102" s="356">
        <f>+VLOOKUP($E1102,Labor!$1:$1048576,M$2,FALSE)</f>
        <v>156.04563289999999</v>
      </c>
      <c r="N1102" s="356">
        <f>+VLOOKUP($E1102,Labor!$1:$1048576,N$2,FALSE)</f>
        <v>156.45168630000001</v>
      </c>
      <c r="O1102" s="356">
        <f>+VLOOKUP($E1102,Labor!$1:$1048576,O$2,FALSE)</f>
        <v>156.8676877</v>
      </c>
      <c r="P1102" s="356">
        <f>+VLOOKUP($E1102,Labor!$1:$1048576,P$2,FALSE)</f>
        <v>157.29099479999999</v>
      </c>
      <c r="Q1102" s="356">
        <f>+VLOOKUP($E1102,Labor!$1:$1048576,Q$2,FALSE)</f>
        <v>157.7188462</v>
      </c>
      <c r="R1102" s="356">
        <f>+VLOOKUP($E1102,Labor!$1:$1048576,R$2,FALSE)</f>
        <v>158.1487396</v>
      </c>
      <c r="S1102" s="356">
        <f>+VLOOKUP($E1102,Labor!$1:$1048576,S$2,FALSE)</f>
        <v>158.57863739999999</v>
      </c>
      <c r="T1102" s="356">
        <f>+VLOOKUP($E1102,Labor!$1:$1048576,T$2,FALSE)</f>
        <v>159.00703619999999</v>
      </c>
      <c r="U1102" s="356">
        <f>+VLOOKUP($E1102,Labor!$1:$1048576,U$2,FALSE)</f>
        <v>159.43294359999999</v>
      </c>
      <c r="V1102" s="356">
        <f>+VLOOKUP($E1102,Labor!$1:$1048576,V$2,FALSE)</f>
        <v>159.85580340000001</v>
      </c>
      <c r="W1102" s="356">
        <f>+VLOOKUP($E1102,Labor!$1:$1048576,W$2,FALSE)</f>
        <v>160.27540160000001</v>
      </c>
      <c r="X1102" s="356">
        <f>+VLOOKUP($E1102,Labor!$1:$1048576,X$2,FALSE)</f>
        <v>160.69177139999999</v>
      </c>
      <c r="Y1102" s="356">
        <f>+VLOOKUP($E1102,Labor!$1:$1048576,Y$2,FALSE)</f>
        <v>161.10511070000001</v>
      </c>
      <c r="Z1102" s="356">
        <f>+VLOOKUP($E1102,Labor!$1:$1048576,Z$2,FALSE)</f>
        <v>161.51571519999999</v>
      </c>
      <c r="AA1102" s="356">
        <f>+VLOOKUP($E1102,Labor!$1:$1048576,AA$2,FALSE)</f>
        <v>161.9239297</v>
      </c>
      <c r="AB1102" s="356">
        <f>+VLOOKUP($E1102,Labor!$1:$1048576,AB$2,FALSE)</f>
        <v>162.33011490000001</v>
      </c>
      <c r="AC1102" s="356">
        <f>+VLOOKUP($E1102,Labor!$1:$1048576,AC$2,FALSE)</f>
        <v>162.73462620000001</v>
      </c>
      <c r="AD1102" s="356">
        <f>+VLOOKUP($E1102,Labor!$1:$1048576,AD$2,FALSE)</f>
        <v>163.1378019</v>
      </c>
      <c r="AE1102" s="356">
        <f>+VLOOKUP($E1102,Labor!$1:$1048576,AE$2,FALSE)</f>
        <v>163.53995810000001</v>
      </c>
      <c r="AF1102" s="356">
        <f>+VLOOKUP($E1102,Labor!$1:$1048576,AF$2,FALSE)</f>
        <v>163.9413869</v>
      </c>
      <c r="AG1102" s="356">
        <f>+VLOOKUP($E1102,Labor!$1:$1048576,AG$2,FALSE)</f>
        <v>164.3423578</v>
      </c>
      <c r="AH1102" s="356">
        <f>+VLOOKUP($E1102,Labor!$1:$1048576,AH$2,FALSE)</f>
        <v>164.7431187</v>
      </c>
      <c r="AI1102" s="356">
        <f>+VLOOKUP($E1102,Labor!$1:$1048576,AI$2,FALSE)</f>
        <v>165.14389800000001</v>
      </c>
      <c r="AJ1102" s="356">
        <f>+VLOOKUP($E1102,Labor!$1:$1048576,AJ$2,FALSE)</f>
        <v>165.54490609999999</v>
      </c>
      <c r="AK1102" s="356">
        <f>+VLOOKUP($E1102,Labor!$1:$1048576,AK$2,FALSE)</f>
        <v>165.94633619999999</v>
      </c>
      <c r="AL1102" s="356">
        <f>+VLOOKUP($E1102,Labor!$1:$1048576,AL$2,FALSE)</f>
        <v>166.3483651</v>
      </c>
      <c r="AM1102" s="356">
        <f>+VLOOKUP($E1102,Labor!$1:$1048576,AM$2,FALSE)</f>
        <v>166.7511533</v>
      </c>
      <c r="AN1102" s="356">
        <f>+VLOOKUP($E1102,Labor!$1:$1048576,AN$2,FALSE)</f>
        <v>167.1548449</v>
      </c>
      <c r="AO1102" s="356">
        <f>+VLOOKUP($E1102,Labor!$1:$1048576,AO$2,FALSE)</f>
        <v>167.5595677</v>
      </c>
    </row>
    <row r="1103" spans="1:41" s="73" customFormat="1" ht="15" customHeight="1" x14ac:dyDescent="0.25">
      <c r="A1103" s="402"/>
      <c r="B1103" s="411"/>
      <c r="C1103" s="159" t="s">
        <v>746</v>
      </c>
      <c r="D1103" s="109"/>
      <c r="E1103" s="80" t="s">
        <v>811</v>
      </c>
      <c r="F1103" s="356">
        <f>+VLOOKUP($E1103,Labor!$1:$1048576,F$2,FALSE)</f>
        <v>386.42</v>
      </c>
      <c r="G1103" s="356">
        <f>+VLOOKUP($E1103,Labor!$1:$1048576,G$2,FALSE)</f>
        <v>387.42881160000002</v>
      </c>
      <c r="H1103" s="356">
        <f>+VLOOKUP($E1103,Labor!$1:$1048576,H$2,FALSE)</f>
        <v>388.45909160000002</v>
      </c>
      <c r="I1103" s="356">
        <f>+VLOOKUP($E1103,Labor!$1:$1048576,I$2,FALSE)</f>
        <v>389.48233010000001</v>
      </c>
      <c r="J1103" s="356">
        <f>+VLOOKUP($E1103,Labor!$1:$1048576,J$2,FALSE)</f>
        <v>390.48787240000001</v>
      </c>
      <c r="K1103" s="356">
        <f>+VLOOKUP($E1103,Labor!$1:$1048576,K$2,FALSE)</f>
        <v>391.4804206</v>
      </c>
      <c r="L1103" s="356">
        <f>+VLOOKUP($E1103,Labor!$1:$1048576,L$2,FALSE)</f>
        <v>392.47094609999999</v>
      </c>
      <c r="M1103" s="356">
        <f>+VLOOKUP($E1103,Labor!$1:$1048576,M$2,FALSE)</f>
        <v>393.46946129999998</v>
      </c>
      <c r="N1103" s="356">
        <f>+VLOOKUP($E1103,Labor!$1:$1048576,N$2,FALSE)</f>
        <v>394.4816616</v>
      </c>
      <c r="O1103" s="356">
        <f>+VLOOKUP($E1103,Labor!$1:$1048576,O$2,FALSE)</f>
        <v>395.50859179999998</v>
      </c>
      <c r="P1103" s="356">
        <f>+VLOOKUP($E1103,Labor!$1:$1048576,P$2,FALSE)</f>
        <v>396.5478584</v>
      </c>
      <c r="Q1103" s="356">
        <f>+VLOOKUP($E1103,Labor!$1:$1048576,Q$2,FALSE)</f>
        <v>397.5952355</v>
      </c>
      <c r="R1103" s="356">
        <f>+VLOOKUP($E1103,Labor!$1:$1048576,R$2,FALSE)</f>
        <v>398.6460343</v>
      </c>
      <c r="S1103" s="356">
        <f>+VLOOKUP($E1103,Labor!$1:$1048576,S$2,FALSE)</f>
        <v>399.69601740000002</v>
      </c>
      <c r="T1103" s="356">
        <f>+VLOOKUP($E1103,Labor!$1:$1048576,T$2,FALSE)</f>
        <v>400.74186859999998</v>
      </c>
      <c r="U1103" s="356">
        <f>+VLOOKUP($E1103,Labor!$1:$1048576,U$2,FALSE)</f>
        <v>401.78132849999997</v>
      </c>
      <c r="V1103" s="356">
        <f>+VLOOKUP($E1103,Labor!$1:$1048576,V$2,FALSE)</f>
        <v>402.8131219</v>
      </c>
      <c r="W1103" s="356">
        <f>+VLOOKUP($E1103,Labor!$1:$1048576,W$2,FALSE)</f>
        <v>403.83678250000003</v>
      </c>
      <c r="X1103" s="356">
        <f>+VLOOKUP($E1103,Labor!$1:$1048576,X$2,FALSE)</f>
        <v>404.85244649999999</v>
      </c>
      <c r="Y1103" s="356">
        <f>+VLOOKUP($E1103,Labor!$1:$1048576,Y$2,FALSE)</f>
        <v>405.86065919999999</v>
      </c>
      <c r="Z1103" s="356">
        <f>+VLOOKUP($E1103,Labor!$1:$1048576,Z$2,FALSE)</f>
        <v>406.86221490000003</v>
      </c>
      <c r="AA1103" s="356">
        <f>+VLOOKUP($E1103,Labor!$1:$1048576,AA$2,FALSE)</f>
        <v>407.85803570000002</v>
      </c>
      <c r="AB1103" s="356">
        <f>+VLOOKUP($E1103,Labor!$1:$1048576,AB$2,FALSE)</f>
        <v>408.849087</v>
      </c>
      <c r="AC1103" s="356">
        <f>+VLOOKUP($E1103,Labor!$1:$1048576,AC$2,FALSE)</f>
        <v>409.83632299999999</v>
      </c>
      <c r="AD1103" s="356">
        <f>+VLOOKUP($E1103,Labor!$1:$1048576,AD$2,FALSE)</f>
        <v>410.82065549999999</v>
      </c>
      <c r="AE1103" s="356">
        <f>+VLOOKUP($E1103,Labor!$1:$1048576,AE$2,FALSE)</f>
        <v>411.80293719999997</v>
      </c>
      <c r="AF1103" s="356">
        <f>+VLOOKUP($E1103,Labor!$1:$1048576,AF$2,FALSE)</f>
        <v>412.78395599999999</v>
      </c>
      <c r="AG1103" s="356">
        <f>+VLOOKUP($E1103,Labor!$1:$1048576,AG$2,FALSE)</f>
        <v>413.7644343</v>
      </c>
      <c r="AH1103" s="356">
        <f>+VLOOKUP($E1103,Labor!$1:$1048576,AH$2,FALSE)</f>
        <v>414.74503140000002</v>
      </c>
      <c r="AI1103" s="356">
        <f>+VLOOKUP($E1103,Labor!$1:$1048576,AI$2,FALSE)</f>
        <v>415.7263461</v>
      </c>
      <c r="AJ1103" s="356">
        <f>+VLOOKUP($E1103,Labor!$1:$1048576,AJ$2,FALSE)</f>
        <v>416.7089201</v>
      </c>
      <c r="AK1103" s="356">
        <f>+VLOOKUP($E1103,Labor!$1:$1048576,AK$2,FALSE)</f>
        <v>417.69323939999998</v>
      </c>
      <c r="AL1103" s="356">
        <f>+VLOOKUP($E1103,Labor!$1:$1048576,AL$2,FALSE)</f>
        <v>418.6797363</v>
      </c>
      <c r="AM1103" s="356">
        <f>+VLOOKUP($E1103,Labor!$1:$1048576,AM$2,FALSE)</f>
        <v>419.66879060000002</v>
      </c>
      <c r="AN1103" s="356">
        <f>+VLOOKUP($E1103,Labor!$1:$1048576,AN$2,FALSE)</f>
        <v>420.66073010000002</v>
      </c>
      <c r="AO1103" s="356">
        <f>+VLOOKUP($E1103,Labor!$1:$1048576,AO$2,FALSE)</f>
        <v>421.65583179999999</v>
      </c>
    </row>
    <row r="1104" spans="1:41" s="73" customFormat="1" ht="15" customHeight="1" x14ac:dyDescent="0.25">
      <c r="A1104" s="402"/>
      <c r="B1104" s="411"/>
      <c r="C1104" s="159" t="s">
        <v>747</v>
      </c>
      <c r="D1104" s="109"/>
      <c r="E1104" s="80" t="s">
        <v>812</v>
      </c>
      <c r="F1104" s="356">
        <f>+VLOOKUP($E1104,Labor!$1:$1048576,F$2,FALSE)</f>
        <v>320.72000000000003</v>
      </c>
      <c r="G1104" s="356">
        <f>+VLOOKUP($E1104,Labor!$1:$1048576,G$2,FALSE)</f>
        <v>321.51887090000002</v>
      </c>
      <c r="H1104" s="356">
        <f>+VLOOKUP($E1104,Labor!$1:$1048576,H$2,FALSE)</f>
        <v>322.31847399999998</v>
      </c>
      <c r="I1104" s="356">
        <f>+VLOOKUP($E1104,Labor!$1:$1048576,I$2,FALSE)</f>
        <v>323.1219815</v>
      </c>
      <c r="J1104" s="356">
        <f>+VLOOKUP($E1104,Labor!$1:$1048576,J$2,FALSE)</f>
        <v>323.93411659999998</v>
      </c>
      <c r="K1104" s="356">
        <f>+VLOOKUP($E1104,Labor!$1:$1048576,K$2,FALSE)</f>
        <v>324.75962349999998</v>
      </c>
      <c r="L1104" s="356">
        <f>+VLOOKUP($E1104,Labor!$1:$1048576,L$2,FALSE)</f>
        <v>325.601562</v>
      </c>
      <c r="M1104" s="356">
        <f>+VLOOKUP($E1104,Labor!$1:$1048576,M$2,FALSE)</f>
        <v>326.4604377</v>
      </c>
      <c r="N1104" s="356">
        <f>+VLOOKUP($E1104,Labor!$1:$1048576,N$2,FALSE)</f>
        <v>327.33429969999997</v>
      </c>
      <c r="O1104" s="356">
        <f>+VLOOKUP($E1104,Labor!$1:$1048576,O$2,FALSE)</f>
        <v>328.21945460000001</v>
      </c>
      <c r="P1104" s="356">
        <f>+VLOOKUP($E1104,Labor!$1:$1048576,P$2,FALSE)</f>
        <v>329.11136759999999</v>
      </c>
      <c r="Q1104" s="356">
        <f>+VLOOKUP($E1104,Labor!$1:$1048576,Q$2,FALSE)</f>
        <v>330.00545679999999</v>
      </c>
      <c r="R1104" s="356">
        <f>+VLOOKUP($E1104,Labor!$1:$1048576,R$2,FALSE)</f>
        <v>330.89764819999999</v>
      </c>
      <c r="S1104" s="356">
        <f>+VLOOKUP($E1104,Labor!$1:$1048576,S$2,FALSE)</f>
        <v>331.78467660000001</v>
      </c>
      <c r="T1104" s="356">
        <f>+VLOOKUP($E1104,Labor!$1:$1048576,T$2,FALSE)</f>
        <v>332.66418279999999</v>
      </c>
      <c r="U1104" s="356">
        <f>+VLOOKUP($E1104,Labor!$1:$1048576,U$2,FALSE)</f>
        <v>333.53466959999997</v>
      </c>
      <c r="V1104" s="356">
        <f>+VLOOKUP($E1104,Labor!$1:$1048576,V$2,FALSE)</f>
        <v>334.39538290000002</v>
      </c>
      <c r="W1104" s="356">
        <f>+VLOOKUP($E1104,Labor!$1:$1048576,W$2,FALSE)</f>
        <v>335.24616150000003</v>
      </c>
      <c r="X1104" s="356">
        <f>+VLOOKUP($E1104,Labor!$1:$1048576,X$2,FALSE)</f>
        <v>336.08728789999998</v>
      </c>
      <c r="Y1104" s="356">
        <f>+VLOOKUP($E1104,Labor!$1:$1048576,Y$2,FALSE)</f>
        <v>336.91935530000001</v>
      </c>
      <c r="Z1104" s="356">
        <f>+VLOOKUP($E1104,Labor!$1:$1048576,Z$2,FALSE)</f>
        <v>337.74315999999999</v>
      </c>
      <c r="AA1104" s="356">
        <f>+VLOOKUP($E1104,Labor!$1:$1048576,AA$2,FALSE)</f>
        <v>338.55961819999999</v>
      </c>
      <c r="AB1104" s="356">
        <f>+VLOOKUP($E1104,Labor!$1:$1048576,AB$2,FALSE)</f>
        <v>339.36970480000002</v>
      </c>
      <c r="AC1104" s="356">
        <f>+VLOOKUP($E1104,Labor!$1:$1048576,AC$2,FALSE)</f>
        <v>340.17441200000002</v>
      </c>
      <c r="AD1104" s="356">
        <f>+VLOOKUP($E1104,Labor!$1:$1048576,AD$2,FALSE)</f>
        <v>340.97472019999998</v>
      </c>
      <c r="AE1104" s="356">
        <f>+VLOOKUP($E1104,Labor!$1:$1048576,AE$2,FALSE)</f>
        <v>341.77157990000001</v>
      </c>
      <c r="AF1104" s="356">
        <f>+VLOOKUP($E1104,Labor!$1:$1048576,AF$2,FALSE)</f>
        <v>342.5659005</v>
      </c>
      <c r="AG1104" s="356">
        <f>+VLOOKUP($E1104,Labor!$1:$1048576,AG$2,FALSE)</f>
        <v>343.35854269999999</v>
      </c>
      <c r="AH1104" s="356">
        <f>+VLOOKUP($E1104,Labor!$1:$1048576,AH$2,FALSE)</f>
        <v>344.15031470000002</v>
      </c>
      <c r="AI1104" s="356">
        <f>+VLOOKUP($E1104,Labor!$1:$1048576,AI$2,FALSE)</f>
        <v>344.94196909999999</v>
      </c>
      <c r="AJ1104" s="356">
        <f>+VLOOKUP($E1104,Labor!$1:$1048576,AJ$2,FALSE)</f>
        <v>345.73420069999997</v>
      </c>
      <c r="AK1104" s="356">
        <f>+VLOOKUP($E1104,Labor!$1:$1048576,AK$2,FALSE)</f>
        <v>346.52764580000002</v>
      </c>
      <c r="AL1104" s="356">
        <f>+VLOOKUP($E1104,Labor!$1:$1048576,AL$2,FALSE)</f>
        <v>347.32288069999998</v>
      </c>
      <c r="AM1104" s="356">
        <f>+VLOOKUP($E1104,Labor!$1:$1048576,AM$2,FALSE)</f>
        <v>348.12042150000002</v>
      </c>
      <c r="AN1104" s="356">
        <f>+VLOOKUP($E1104,Labor!$1:$1048576,AN$2,FALSE)</f>
        <v>348.92072430000002</v>
      </c>
      <c r="AO1104" s="356">
        <f>+VLOOKUP($E1104,Labor!$1:$1048576,AO$2,FALSE)</f>
        <v>349.72418570000002</v>
      </c>
    </row>
    <row r="1105" spans="1:41" s="73" customFormat="1" ht="15" customHeight="1" x14ac:dyDescent="0.25">
      <c r="A1105" s="402"/>
      <c r="B1105" s="411"/>
      <c r="C1105" s="159" t="s">
        <v>748</v>
      </c>
      <c r="D1105" s="109"/>
      <c r="E1105" s="80" t="s">
        <v>813</v>
      </c>
      <c r="F1105" s="356">
        <f>+VLOOKUP($E1105,Labor!$1:$1048576,F$2,FALSE)</f>
        <v>612.70000000000005</v>
      </c>
      <c r="G1105" s="356">
        <f>+VLOOKUP($E1105,Labor!$1:$1048576,G$2,FALSE)</f>
        <v>614.14214939999999</v>
      </c>
      <c r="H1105" s="356">
        <f>+VLOOKUP($E1105,Labor!$1:$1048576,H$2,FALSE)</f>
        <v>615.53343140000004</v>
      </c>
      <c r="I1105" s="356">
        <f>+VLOOKUP($E1105,Labor!$1:$1048576,I$2,FALSE)</f>
        <v>616.92232669999999</v>
      </c>
      <c r="J1105" s="356">
        <f>+VLOOKUP($E1105,Labor!$1:$1048576,J$2,FALSE)</f>
        <v>618.3466032</v>
      </c>
      <c r="K1105" s="356">
        <f>+VLOOKUP($E1105,Labor!$1:$1048576,K$2,FALSE)</f>
        <v>619.83050800000001</v>
      </c>
      <c r="L1105" s="356">
        <f>+VLOOKUP($E1105,Labor!$1:$1048576,L$2,FALSE)</f>
        <v>621.38612209999997</v>
      </c>
      <c r="M1105" s="356">
        <f>+VLOOKUP($E1105,Labor!$1:$1048576,M$2,FALSE)</f>
        <v>623.01536450000003</v>
      </c>
      <c r="N1105" s="356">
        <f>+VLOOKUP($E1105,Labor!$1:$1048576,N$2,FALSE)</f>
        <v>624.71245309999995</v>
      </c>
      <c r="O1105" s="356">
        <f>+VLOOKUP($E1105,Labor!$1:$1048576,O$2,FALSE)</f>
        <v>626.46667179999997</v>
      </c>
      <c r="P1105" s="356">
        <f>+VLOOKUP($E1105,Labor!$1:$1048576,P$2,FALSE)</f>
        <v>628.2650218</v>
      </c>
      <c r="Q1105" s="356">
        <f>+VLOOKUP($E1105,Labor!$1:$1048576,Q$2,FALSE)</f>
        <v>630.09437209999999</v>
      </c>
      <c r="R1105" s="356">
        <f>+VLOOKUP($E1105,Labor!$1:$1048576,R$2,FALSE)</f>
        <v>631.94292429999996</v>
      </c>
      <c r="S1105" s="356">
        <f>+VLOOKUP($E1105,Labor!$1:$1048576,S$2,FALSE)</f>
        <v>633.80100619999996</v>
      </c>
      <c r="T1105" s="356">
        <f>+VLOOKUP($E1105,Labor!$1:$1048576,T$2,FALSE)</f>
        <v>635.66132149999999</v>
      </c>
      <c r="U1105" s="356">
        <f>+VLOOKUP($E1105,Labor!$1:$1048576,U$2,FALSE)</f>
        <v>637.51881960000003</v>
      </c>
      <c r="V1105" s="356">
        <f>+VLOOKUP($E1105,Labor!$1:$1048576,V$2,FALSE)</f>
        <v>639.37035609999998</v>
      </c>
      <c r="W1105" s="356">
        <f>+VLOOKUP($E1105,Labor!$1:$1048576,W$2,FALSE)</f>
        <v>641.21427749999998</v>
      </c>
      <c r="X1105" s="356">
        <f>+VLOOKUP($E1105,Labor!$1:$1048576,X$2,FALSE)</f>
        <v>643.05000099999995</v>
      </c>
      <c r="Y1105" s="356">
        <f>+VLOOKUP($E1105,Labor!$1:$1048576,Y$2,FALSE)</f>
        <v>644.87764760000005</v>
      </c>
      <c r="Z1105" s="356">
        <f>+VLOOKUP($E1105,Labor!$1:$1048576,Z$2,FALSE)</f>
        <v>646.69775279999999</v>
      </c>
      <c r="AA1105" s="356">
        <f>+VLOOKUP($E1105,Labor!$1:$1048576,AA$2,FALSE)</f>
        <v>648.51105789999997</v>
      </c>
      <c r="AB1105" s="356">
        <f>+VLOOKUP($E1105,Labor!$1:$1048576,AB$2,FALSE)</f>
        <v>650.31837150000001</v>
      </c>
      <c r="AC1105" s="356">
        <f>+VLOOKUP($E1105,Labor!$1:$1048576,AC$2,FALSE)</f>
        <v>652.12048770000001</v>
      </c>
      <c r="AD1105" s="356">
        <f>+VLOOKUP($E1105,Labor!$1:$1048576,AD$2,FALSE)</f>
        <v>653.91814639999996</v>
      </c>
      <c r="AE1105" s="356">
        <f>+VLOOKUP($E1105,Labor!$1:$1048576,AE$2,FALSE)</f>
        <v>655.71201970000004</v>
      </c>
      <c r="AF1105" s="356">
        <f>+VLOOKUP($E1105,Labor!$1:$1048576,AF$2,FALSE)</f>
        <v>657.50271629999997</v>
      </c>
      <c r="AG1105" s="356">
        <f>+VLOOKUP($E1105,Labor!$1:$1048576,AG$2,FALSE)</f>
        <v>659.29079230000002</v>
      </c>
      <c r="AH1105" s="356">
        <f>+VLOOKUP($E1105,Labor!$1:$1048576,AH$2,FALSE)</f>
        <v>661.07676560000004</v>
      </c>
      <c r="AI1105" s="356">
        <f>+VLOOKUP($E1105,Labor!$1:$1048576,AI$2,FALSE)</f>
        <v>662.86112760000003</v>
      </c>
      <c r="AJ1105" s="356">
        <f>+VLOOKUP($E1105,Labor!$1:$1048576,AJ$2,FALSE)</f>
        <v>664.64435249999997</v>
      </c>
      <c r="AK1105" s="356">
        <f>+VLOOKUP($E1105,Labor!$1:$1048576,AK$2,FALSE)</f>
        <v>666.42690289999996</v>
      </c>
      <c r="AL1105" s="356">
        <f>+VLOOKUP($E1105,Labor!$1:$1048576,AL$2,FALSE)</f>
        <v>668.20923070000003</v>
      </c>
      <c r="AM1105" s="356">
        <f>+VLOOKUP($E1105,Labor!$1:$1048576,AM$2,FALSE)</f>
        <v>669.99177659999998</v>
      </c>
      <c r="AN1105" s="356">
        <f>+VLOOKUP($E1105,Labor!$1:$1048576,AN$2,FALSE)</f>
        <v>671.77496680000002</v>
      </c>
      <c r="AO1105" s="356">
        <f>+VLOOKUP($E1105,Labor!$1:$1048576,AO$2,FALSE)</f>
        <v>673.55920930000002</v>
      </c>
    </row>
    <row r="1106" spans="1:41" s="73" customFormat="1" ht="15" customHeight="1" x14ac:dyDescent="0.25">
      <c r="A1106" s="402"/>
      <c r="B1106" s="411"/>
      <c r="C1106" s="159" t="s">
        <v>749</v>
      </c>
      <c r="D1106" s="109"/>
      <c r="E1106" s="80" t="s">
        <v>814</v>
      </c>
      <c r="F1106" s="356">
        <f>+VLOOKUP($E1106,Labor!$1:$1048576,F$2,FALSE)</f>
        <v>1770.63</v>
      </c>
      <c r="G1106" s="356">
        <f>+VLOOKUP($E1106,Labor!$1:$1048576,G$2,FALSE)</f>
        <v>1774.450231</v>
      </c>
      <c r="H1106" s="356">
        <f>+VLOOKUP($E1106,Labor!$1:$1048576,H$2,FALSE)</f>
        <v>1777.6282160000001</v>
      </c>
      <c r="I1106" s="356">
        <f>+VLOOKUP($E1106,Labor!$1:$1048576,I$2,FALSE)</f>
        <v>1780.413196</v>
      </c>
      <c r="J1106" s="356">
        <f>+VLOOKUP($E1106,Labor!$1:$1048576,J$2,FALSE)</f>
        <v>1783.1055710000001</v>
      </c>
      <c r="K1106" s="356">
        <f>+VLOOKUP($E1106,Labor!$1:$1048576,K$2,FALSE)</f>
        <v>1785.937617</v>
      </c>
      <c r="L1106" s="356">
        <f>+VLOOKUP($E1106,Labor!$1:$1048576,L$2,FALSE)</f>
        <v>1789.0448799999999</v>
      </c>
      <c r="M1106" s="356">
        <f>+VLOOKUP($E1106,Labor!$1:$1048576,M$2,FALSE)</f>
        <v>1792.4805710000001</v>
      </c>
      <c r="N1106" s="356">
        <f>+VLOOKUP($E1106,Labor!$1:$1048576,N$2,FALSE)</f>
        <v>1796.242385</v>
      </c>
      <c r="O1106" s="356">
        <f>+VLOOKUP($E1106,Labor!$1:$1048576,O$2,FALSE)</f>
        <v>1800.297358</v>
      </c>
      <c r="P1106" s="356">
        <f>+VLOOKUP($E1106,Labor!$1:$1048576,P$2,FALSE)</f>
        <v>1804.6000790000001</v>
      </c>
      <c r="Q1106" s="356">
        <f>+VLOOKUP($E1106,Labor!$1:$1048576,Q$2,FALSE)</f>
        <v>1809.1041319999999</v>
      </c>
      <c r="R1106" s="356">
        <f>+VLOOKUP($E1106,Labor!$1:$1048576,R$2,FALSE)</f>
        <v>1813.768255</v>
      </c>
      <c r="S1106" s="356">
        <f>+VLOOKUP($E1106,Labor!$1:$1048576,S$2,FALSE)</f>
        <v>1818.5589219999999</v>
      </c>
      <c r="T1106" s="356">
        <f>+VLOOKUP($E1106,Labor!$1:$1048576,T$2,FALSE)</f>
        <v>1823.450748</v>
      </c>
      <c r="U1106" s="356">
        <f>+VLOOKUP($E1106,Labor!$1:$1048576,U$2,FALSE)</f>
        <v>1828.425702</v>
      </c>
      <c r="V1106" s="356">
        <f>+VLOOKUP($E1106,Labor!$1:$1048576,V$2,FALSE)</f>
        <v>1833.4717820000001</v>
      </c>
      <c r="W1106" s="356">
        <f>+VLOOKUP($E1106,Labor!$1:$1048576,W$2,FALSE)</f>
        <v>1838.581559</v>
      </c>
      <c r="X1106" s="356">
        <f>+VLOOKUP($E1106,Labor!$1:$1048576,X$2,FALSE)</f>
        <v>1843.7508009999999</v>
      </c>
      <c r="Y1106" s="356">
        <f>+VLOOKUP($E1106,Labor!$1:$1048576,Y$2,FALSE)</f>
        <v>1848.9773029999999</v>
      </c>
      <c r="Z1106" s="356">
        <f>+VLOOKUP($E1106,Labor!$1:$1048576,Z$2,FALSE)</f>
        <v>1854.2599560000001</v>
      </c>
      <c r="AA1106" s="356">
        <f>+VLOOKUP($E1106,Labor!$1:$1048576,AA$2,FALSE)</f>
        <v>1859.5980509999999</v>
      </c>
      <c r="AB1106" s="356">
        <f>+VLOOKUP($E1106,Labor!$1:$1048576,AB$2,FALSE)</f>
        <v>1864.9908069999999</v>
      </c>
      <c r="AC1106" s="356">
        <f>+VLOOKUP($E1106,Labor!$1:$1048576,AC$2,FALSE)</f>
        <v>1870.4370779999999</v>
      </c>
      <c r="AD1106" s="356">
        <f>+VLOOKUP($E1106,Labor!$1:$1048576,AD$2,FALSE)</f>
        <v>1875.9352019999999</v>
      </c>
      <c r="AE1106" s="356">
        <f>+VLOOKUP($E1106,Labor!$1:$1048576,AE$2,FALSE)</f>
        <v>1881.4829560000001</v>
      </c>
      <c r="AF1106" s="356">
        <f>+VLOOKUP($E1106,Labor!$1:$1048576,AF$2,FALSE)</f>
        <v>1887.077583</v>
      </c>
      <c r="AG1106" s="356">
        <f>+VLOOKUP($E1106,Labor!$1:$1048576,AG$2,FALSE)</f>
        <v>1892.715856</v>
      </c>
      <c r="AH1106" s="356">
        <f>+VLOOKUP($E1106,Labor!$1:$1048576,AH$2,FALSE)</f>
        <v>1898.394168</v>
      </c>
      <c r="AI1106" s="356">
        <f>+VLOOKUP($E1106,Labor!$1:$1048576,AI$2,FALSE)</f>
        <v>1904.1086290000001</v>
      </c>
      <c r="AJ1106" s="356">
        <f>+VLOOKUP($E1106,Labor!$1:$1048576,AJ$2,FALSE)</f>
        <v>1909.855157</v>
      </c>
      <c r="AK1106" s="356">
        <f>+VLOOKUP($E1106,Labor!$1:$1048576,AK$2,FALSE)</f>
        <v>1915.6295600000001</v>
      </c>
      <c r="AL1106" s="356">
        <f>+VLOOKUP($E1106,Labor!$1:$1048576,AL$2,FALSE)</f>
        <v>1921.427606</v>
      </c>
      <c r="AM1106" s="356">
        <f>+VLOOKUP($E1106,Labor!$1:$1048576,AM$2,FALSE)</f>
        <v>1927.245081</v>
      </c>
      <c r="AN1106" s="356">
        <f>+VLOOKUP($E1106,Labor!$1:$1048576,AN$2,FALSE)</f>
        <v>1933.077841</v>
      </c>
      <c r="AO1106" s="356">
        <f>+VLOOKUP($E1106,Labor!$1:$1048576,AO$2,FALSE)</f>
        <v>1938.9218430000001</v>
      </c>
    </row>
    <row r="1107" spans="1:41" s="73" customFormat="1" ht="15" customHeight="1" x14ac:dyDescent="0.25">
      <c r="A1107" s="402"/>
      <c r="B1107" s="411"/>
      <c r="C1107" s="159" t="s">
        <v>750</v>
      </c>
      <c r="D1107" s="109"/>
      <c r="E1107" s="80" t="s">
        <v>815</v>
      </c>
      <c r="F1107" s="356">
        <f>+VLOOKUP($E1107,Labor!$1:$1048576,F$2,FALSE)</f>
        <v>15.482067349999999</v>
      </c>
      <c r="G1107" s="356">
        <f>+VLOOKUP($E1107,Labor!$1:$1048576,G$2,FALSE)</f>
        <v>15.511747</v>
      </c>
      <c r="H1107" s="356">
        <f>+VLOOKUP($E1107,Labor!$1:$1048576,H$2,FALSE)</f>
        <v>15.53418235</v>
      </c>
      <c r="I1107" s="356">
        <f>+VLOOKUP($E1107,Labor!$1:$1048576,I$2,FALSE)</f>
        <v>15.55416604</v>
      </c>
      <c r="J1107" s="356">
        <f>+VLOOKUP($E1107,Labor!$1:$1048576,J$2,FALSE)</f>
        <v>15.57552007</v>
      </c>
      <c r="K1107" s="356">
        <f>+VLOOKUP($E1107,Labor!$1:$1048576,K$2,FALSE)</f>
        <v>15.600270460000001</v>
      </c>
      <c r="L1107" s="356">
        <f>+VLOOKUP($E1107,Labor!$1:$1048576,L$2,FALSE)</f>
        <v>15.629019830000001</v>
      </c>
      <c r="M1107" s="356">
        <f>+VLOOKUP($E1107,Labor!$1:$1048576,M$2,FALSE)</f>
        <v>15.661518239999999</v>
      </c>
      <c r="N1107" s="356">
        <f>+VLOOKUP($E1107,Labor!$1:$1048576,N$2,FALSE)</f>
        <v>15.697114600000001</v>
      </c>
      <c r="O1107" s="356">
        <f>+VLOOKUP($E1107,Labor!$1:$1048576,O$2,FALSE)</f>
        <v>15.73504363</v>
      </c>
      <c r="P1107" s="356">
        <f>+VLOOKUP($E1107,Labor!$1:$1048576,P$2,FALSE)</f>
        <v>15.77458264</v>
      </c>
      <c r="Q1107" s="356">
        <f>+VLOOKUP($E1107,Labor!$1:$1048576,Q$2,FALSE)</f>
        <v>15.815122779999999</v>
      </c>
      <c r="R1107" s="356">
        <f>+VLOOKUP($E1107,Labor!$1:$1048576,R$2,FALSE)</f>
        <v>15.85618992</v>
      </c>
      <c r="S1107" s="356">
        <f>+VLOOKUP($E1107,Labor!$1:$1048576,S$2,FALSE)</f>
        <v>15.89743884</v>
      </c>
      <c r="T1107" s="356">
        <f>+VLOOKUP($E1107,Labor!$1:$1048576,T$2,FALSE)</f>
        <v>15.93863479</v>
      </c>
      <c r="U1107" s="356">
        <f>+VLOOKUP($E1107,Labor!$1:$1048576,U$2,FALSE)</f>
        <v>15.979631599999999</v>
      </c>
      <c r="V1107" s="356">
        <f>+VLOOKUP($E1107,Labor!$1:$1048576,V$2,FALSE)</f>
        <v>16.020349899999999</v>
      </c>
      <c r="W1107" s="356">
        <f>+VLOOKUP($E1107,Labor!$1:$1048576,W$2,FALSE)</f>
        <v>16.060758010000001</v>
      </c>
      <c r="X1107" s="356">
        <f>+VLOOKUP($E1107,Labor!$1:$1048576,X$2,FALSE)</f>
        <v>16.100856230000002</v>
      </c>
      <c r="Y1107" s="356">
        <f>+VLOOKUP($E1107,Labor!$1:$1048576,Y$2,FALSE)</f>
        <v>16.140664560000001</v>
      </c>
      <c r="Z1107" s="356">
        <f>+VLOOKUP($E1107,Labor!$1:$1048576,Z$2,FALSE)</f>
        <v>16.18021388</v>
      </c>
      <c r="AA1107" s="356">
        <f>+VLOOKUP($E1107,Labor!$1:$1048576,AA$2,FALSE)</f>
        <v>16.21953976</v>
      </c>
      <c r="AB1107" s="356">
        <f>+VLOOKUP($E1107,Labor!$1:$1048576,AB$2,FALSE)</f>
        <v>16.25867865</v>
      </c>
      <c r="AC1107" s="356">
        <f>+VLOOKUP($E1107,Labor!$1:$1048576,AC$2,FALSE)</f>
        <v>16.29766558</v>
      </c>
      <c r="AD1107" s="356">
        <f>+VLOOKUP($E1107,Labor!$1:$1048576,AD$2,FALSE)</f>
        <v>16.33653309</v>
      </c>
      <c r="AE1107" s="356">
        <f>+VLOOKUP($E1107,Labor!$1:$1048576,AE$2,FALSE)</f>
        <v>16.37531091</v>
      </c>
      <c r="AF1107" s="356">
        <f>+VLOOKUP($E1107,Labor!$1:$1048576,AF$2,FALSE)</f>
        <v>16.414026020000001</v>
      </c>
      <c r="AG1107" s="356">
        <f>+VLOOKUP($E1107,Labor!$1:$1048576,AG$2,FALSE)</f>
        <v>16.452702980000002</v>
      </c>
      <c r="AH1107" s="356">
        <f>+VLOOKUP($E1107,Labor!$1:$1048576,AH$2,FALSE)</f>
        <v>16.491364300000001</v>
      </c>
      <c r="AI1107" s="356">
        <f>+VLOOKUP($E1107,Labor!$1:$1048576,AI$2,FALSE)</f>
        <v>16.530030750000002</v>
      </c>
      <c r="AJ1107" s="356">
        <f>+VLOOKUP($E1107,Labor!$1:$1048576,AJ$2,FALSE)</f>
        <v>16.5687216</v>
      </c>
      <c r="AK1107" s="356">
        <f>+VLOOKUP($E1107,Labor!$1:$1048576,AK$2,FALSE)</f>
        <v>16.607454799999999</v>
      </c>
      <c r="AL1107" s="356">
        <f>+VLOOKUP($E1107,Labor!$1:$1048576,AL$2,FALSE)</f>
        <v>16.646247020000001</v>
      </c>
      <c r="AM1107" s="356">
        <f>+VLOOKUP($E1107,Labor!$1:$1048576,AM$2,FALSE)</f>
        <v>16.685113690000001</v>
      </c>
      <c r="AN1107" s="356">
        <f>+VLOOKUP($E1107,Labor!$1:$1048576,AN$2,FALSE)</f>
        <v>16.724068899999999</v>
      </c>
      <c r="AO1107" s="356">
        <f>+VLOOKUP($E1107,Labor!$1:$1048576,AO$2,FALSE)</f>
        <v>16.763125389999999</v>
      </c>
    </row>
    <row r="1108" spans="1:41" s="108" customFormat="1" ht="15" customHeight="1" x14ac:dyDescent="0.25">
      <c r="A1108" s="402"/>
      <c r="B1108" s="411"/>
      <c r="C1108" s="87" t="s">
        <v>799</v>
      </c>
      <c r="D1108" s="149"/>
      <c r="E1108" s="90" t="s">
        <v>816</v>
      </c>
      <c r="F1108" s="354" t="e">
        <f>+VLOOKUP($E1108,Labor!$1:$1048576,F$2,FALSE)</f>
        <v>#N/A</v>
      </c>
      <c r="G1108" s="354" t="e">
        <f>+VLOOKUP($E1108,Labor!$1:$1048576,G$2,FALSE)</f>
        <v>#N/A</v>
      </c>
      <c r="H1108" s="354" t="e">
        <f>+VLOOKUP($E1108,Labor!$1:$1048576,H$2,FALSE)</f>
        <v>#N/A</v>
      </c>
      <c r="I1108" s="354" t="e">
        <f>+VLOOKUP($E1108,Labor!$1:$1048576,I$2,FALSE)</f>
        <v>#N/A</v>
      </c>
      <c r="J1108" s="354" t="e">
        <f>+VLOOKUP($E1108,Labor!$1:$1048576,J$2,FALSE)</f>
        <v>#N/A</v>
      </c>
      <c r="K1108" s="354" t="e">
        <f>+VLOOKUP($E1108,Labor!$1:$1048576,K$2,FALSE)</f>
        <v>#N/A</v>
      </c>
      <c r="L1108" s="354" t="e">
        <f>+VLOOKUP($E1108,Labor!$1:$1048576,L$2,FALSE)</f>
        <v>#N/A</v>
      </c>
      <c r="M1108" s="354" t="e">
        <f>+VLOOKUP($E1108,Labor!$1:$1048576,M$2,FALSE)</f>
        <v>#N/A</v>
      </c>
      <c r="N1108" s="354" t="e">
        <f>+VLOOKUP($E1108,Labor!$1:$1048576,N$2,FALSE)</f>
        <v>#N/A</v>
      </c>
      <c r="O1108" s="354" t="e">
        <f>+VLOOKUP($E1108,Labor!$1:$1048576,O$2,FALSE)</f>
        <v>#N/A</v>
      </c>
      <c r="P1108" s="354" t="e">
        <f>+VLOOKUP($E1108,Labor!$1:$1048576,P$2,FALSE)</f>
        <v>#N/A</v>
      </c>
      <c r="Q1108" s="354" t="e">
        <f>+VLOOKUP($E1108,Labor!$1:$1048576,Q$2,FALSE)</f>
        <v>#N/A</v>
      </c>
      <c r="R1108" s="354" t="e">
        <f>+VLOOKUP($E1108,Labor!$1:$1048576,R$2,FALSE)</f>
        <v>#N/A</v>
      </c>
      <c r="S1108" s="354" t="e">
        <f>+VLOOKUP($E1108,Labor!$1:$1048576,S$2,FALSE)</f>
        <v>#N/A</v>
      </c>
      <c r="T1108" s="354" t="e">
        <f>+VLOOKUP($E1108,Labor!$1:$1048576,T$2,FALSE)</f>
        <v>#N/A</v>
      </c>
      <c r="U1108" s="354" t="e">
        <f>+VLOOKUP($E1108,Labor!$1:$1048576,U$2,FALSE)</f>
        <v>#N/A</v>
      </c>
      <c r="V1108" s="354" t="e">
        <f>+VLOOKUP($E1108,Labor!$1:$1048576,V$2,FALSE)</f>
        <v>#N/A</v>
      </c>
      <c r="W1108" s="354" t="e">
        <f>+VLOOKUP($E1108,Labor!$1:$1048576,W$2,FALSE)</f>
        <v>#N/A</v>
      </c>
      <c r="X1108" s="354" t="e">
        <f>+VLOOKUP($E1108,Labor!$1:$1048576,X$2,FALSE)</f>
        <v>#N/A</v>
      </c>
      <c r="Y1108" s="354" t="e">
        <f>+VLOOKUP($E1108,Labor!$1:$1048576,Y$2,FALSE)</f>
        <v>#N/A</v>
      </c>
      <c r="Z1108" s="354" t="e">
        <f>+VLOOKUP($E1108,Labor!$1:$1048576,Z$2,FALSE)</f>
        <v>#N/A</v>
      </c>
      <c r="AA1108" s="354" t="e">
        <f>+VLOOKUP($E1108,Labor!$1:$1048576,AA$2,FALSE)</f>
        <v>#N/A</v>
      </c>
      <c r="AB1108" s="354" t="e">
        <f>+VLOOKUP($E1108,Labor!$1:$1048576,AB$2,FALSE)</f>
        <v>#N/A</v>
      </c>
      <c r="AC1108" s="354" t="e">
        <f>+VLOOKUP($E1108,Labor!$1:$1048576,AC$2,FALSE)</f>
        <v>#N/A</v>
      </c>
      <c r="AD1108" s="354" t="e">
        <f>+VLOOKUP($E1108,Labor!$1:$1048576,AD$2,FALSE)</f>
        <v>#N/A</v>
      </c>
      <c r="AE1108" s="354" t="e">
        <f>+VLOOKUP($E1108,Labor!$1:$1048576,AE$2,FALSE)</f>
        <v>#N/A</v>
      </c>
      <c r="AF1108" s="354" t="e">
        <f>+VLOOKUP($E1108,Labor!$1:$1048576,AF$2,FALSE)</f>
        <v>#N/A</v>
      </c>
      <c r="AG1108" s="354" t="e">
        <f>+VLOOKUP($E1108,Labor!$1:$1048576,AG$2,FALSE)</f>
        <v>#N/A</v>
      </c>
      <c r="AH1108" s="354" t="e">
        <f>+VLOOKUP($E1108,Labor!$1:$1048576,AH$2,FALSE)</f>
        <v>#N/A</v>
      </c>
      <c r="AI1108" s="354" t="e">
        <f>+VLOOKUP($E1108,Labor!$1:$1048576,AI$2,FALSE)</f>
        <v>#N/A</v>
      </c>
      <c r="AJ1108" s="354" t="e">
        <f>+VLOOKUP($E1108,Labor!$1:$1048576,AJ$2,FALSE)</f>
        <v>#N/A</v>
      </c>
      <c r="AK1108" s="354" t="e">
        <f>+VLOOKUP($E1108,Labor!$1:$1048576,AK$2,FALSE)</f>
        <v>#N/A</v>
      </c>
      <c r="AL1108" s="354" t="e">
        <f>+VLOOKUP($E1108,Labor!$1:$1048576,AL$2,FALSE)</f>
        <v>#N/A</v>
      </c>
      <c r="AM1108" s="354" t="e">
        <f>+VLOOKUP($E1108,Labor!$1:$1048576,AM$2,FALSE)</f>
        <v>#N/A</v>
      </c>
      <c r="AN1108" s="354" t="e">
        <f>+VLOOKUP($E1108,Labor!$1:$1048576,AN$2,FALSE)</f>
        <v>#N/A</v>
      </c>
      <c r="AO1108" s="354" t="e">
        <f>+VLOOKUP($E1108,Labor!$1:$1048576,AO$2,FALSE)</f>
        <v>#N/A</v>
      </c>
    </row>
    <row r="1109" spans="1:41" s="73" customFormat="1" ht="15" customHeight="1" x14ac:dyDescent="0.25">
      <c r="A1109" s="402"/>
      <c r="B1109" s="411"/>
      <c r="C1109" s="159" t="s">
        <v>616</v>
      </c>
      <c r="D1109" s="109"/>
      <c r="E1109" s="80" t="s">
        <v>817</v>
      </c>
      <c r="F1109" s="356">
        <f>+VLOOKUP($E1109,Labor!$1:$1048576,F$2,FALSE)</f>
        <v>32.31221129</v>
      </c>
      <c r="G1109" s="356">
        <f>+VLOOKUP($E1109,Labor!$1:$1048576,G$2,FALSE)</f>
        <v>32.361877980000003</v>
      </c>
      <c r="H1109" s="356">
        <f>+VLOOKUP($E1109,Labor!$1:$1048576,H$2,FALSE)</f>
        <v>32.386342749999997</v>
      </c>
      <c r="I1109" s="356">
        <f>+VLOOKUP($E1109,Labor!$1:$1048576,I$2,FALSE)</f>
        <v>32.398809370000002</v>
      </c>
      <c r="J1109" s="356">
        <f>+VLOOKUP($E1109,Labor!$1:$1048576,J$2,FALSE)</f>
        <v>32.40968488</v>
      </c>
      <c r="K1109" s="356">
        <f>+VLOOKUP($E1109,Labor!$1:$1048576,K$2,FALSE)</f>
        <v>32.424933799999998</v>
      </c>
      <c r="L1109" s="356">
        <f>+VLOOKUP($E1109,Labor!$1:$1048576,L$2,FALSE)</f>
        <v>32.44704772</v>
      </c>
      <c r="M1109" s="356">
        <f>+VLOOKUP($E1109,Labor!$1:$1048576,M$2,FALSE)</f>
        <v>32.47635537</v>
      </c>
      <c r="N1109" s="356">
        <f>+VLOOKUP($E1109,Labor!$1:$1048576,N$2,FALSE)</f>
        <v>32.512047070000001</v>
      </c>
      <c r="O1109" s="356">
        <f>+VLOOKUP($E1109,Labor!$1:$1048576,O$2,FALSE)</f>
        <v>32.552845169999998</v>
      </c>
      <c r="P1109" s="356">
        <f>+VLOOKUP($E1109,Labor!$1:$1048576,P$2,FALSE)</f>
        <v>32.597396770000003</v>
      </c>
      <c r="Q1109" s="356">
        <f>+VLOOKUP($E1109,Labor!$1:$1048576,Q$2,FALSE)</f>
        <v>32.644478309999997</v>
      </c>
      <c r="R1109" s="356">
        <f>+VLOOKUP($E1109,Labor!$1:$1048576,R$2,FALSE)</f>
        <v>32.693082910000001</v>
      </c>
      <c r="S1109" s="356">
        <f>+VLOOKUP($E1109,Labor!$1:$1048576,S$2,FALSE)</f>
        <v>32.742439150000003</v>
      </c>
      <c r="T1109" s="356">
        <f>+VLOOKUP($E1109,Labor!$1:$1048576,T$2,FALSE)</f>
        <v>32.791993419999997</v>
      </c>
      <c r="U1109" s="356">
        <f>+VLOOKUP($E1109,Labor!$1:$1048576,U$2,FALSE)</f>
        <v>32.841375249999999</v>
      </c>
      <c r="V1109" s="356">
        <f>+VLOOKUP($E1109,Labor!$1:$1048576,V$2,FALSE)</f>
        <v>32.890357899999998</v>
      </c>
      <c r="W1109" s="356">
        <f>+VLOOKUP($E1109,Labor!$1:$1048576,W$2,FALSE)</f>
        <v>32.938821070000003</v>
      </c>
      <c r="X1109" s="356">
        <f>+VLOOKUP($E1109,Labor!$1:$1048576,X$2,FALSE)</f>
        <v>32.986718570000001</v>
      </c>
      <c r="Y1109" s="356">
        <f>+VLOOKUP($E1109,Labor!$1:$1048576,Y$2,FALSE)</f>
        <v>33.034052379999999</v>
      </c>
      <c r="Z1109" s="356">
        <f>+VLOOKUP($E1109,Labor!$1:$1048576,Z$2,FALSE)</f>
        <v>33.080853410000003</v>
      </c>
      <c r="AA1109" s="356">
        <f>+VLOOKUP($E1109,Labor!$1:$1048576,AA$2,FALSE)</f>
        <v>33.127167849999999</v>
      </c>
      <c r="AB1109" s="356">
        <f>+VLOOKUP($E1109,Labor!$1:$1048576,AB$2,FALSE)</f>
        <v>33.173048430000001</v>
      </c>
      <c r="AC1109" s="356">
        <f>+VLOOKUP($E1109,Labor!$1:$1048576,AC$2,FALSE)</f>
        <v>33.218549060000001</v>
      </c>
      <c r="AD1109" s="356">
        <f>+VLOOKUP($E1109,Labor!$1:$1048576,AD$2,FALSE)</f>
        <v>33.263722090000002</v>
      </c>
      <c r="AE1109" s="356">
        <f>+VLOOKUP($E1109,Labor!$1:$1048576,AE$2,FALSE)</f>
        <v>33.308617210000001</v>
      </c>
      <c r="AF1109" s="356">
        <f>+VLOOKUP($E1109,Labor!$1:$1048576,AF$2,FALSE)</f>
        <v>33.353281299999999</v>
      </c>
      <c r="AG1109" s="356">
        <f>+VLOOKUP($E1109,Labor!$1:$1048576,AG$2,FALSE)</f>
        <v>33.397758789999997</v>
      </c>
      <c r="AH1109" s="356">
        <f>+VLOOKUP($E1109,Labor!$1:$1048576,AH$2,FALSE)</f>
        <v>33.442092160000001</v>
      </c>
      <c r="AI1109" s="356">
        <f>+VLOOKUP($E1109,Labor!$1:$1048576,AI$2,FALSE)</f>
        <v>33.486322340000001</v>
      </c>
      <c r="AJ1109" s="356">
        <f>+VLOOKUP($E1109,Labor!$1:$1048576,AJ$2,FALSE)</f>
        <v>33.530489070000002</v>
      </c>
      <c r="AK1109" s="356">
        <f>+VLOOKUP($E1109,Labor!$1:$1048576,AK$2,FALSE)</f>
        <v>33.57463095</v>
      </c>
      <c r="AL1109" s="356">
        <f>+VLOOKUP($E1109,Labor!$1:$1048576,AL$2,FALSE)</f>
        <v>33.618785420000002</v>
      </c>
      <c r="AM1109" s="356">
        <f>+VLOOKUP($E1109,Labor!$1:$1048576,AM$2,FALSE)</f>
        <v>33.662988589999998</v>
      </c>
      <c r="AN1109" s="356">
        <f>+VLOOKUP($E1109,Labor!$1:$1048576,AN$2,FALSE)</f>
        <v>33.707274949999999</v>
      </c>
      <c r="AO1109" s="356">
        <f>+VLOOKUP($E1109,Labor!$1:$1048576,AO$2,FALSE)</f>
        <v>33.751677129999997</v>
      </c>
    </row>
    <row r="1110" spans="1:41" s="73" customFormat="1" ht="15" customHeight="1" x14ac:dyDescent="0.25">
      <c r="A1110" s="402"/>
      <c r="B1110" s="411"/>
      <c r="C1110" s="159" t="s">
        <v>617</v>
      </c>
      <c r="D1110" s="109"/>
      <c r="E1110" s="80" t="s">
        <v>818</v>
      </c>
      <c r="F1110" s="356">
        <f>+VLOOKUP($E1110,Labor!$1:$1048576,F$2,FALSE)</f>
        <v>759.65778869999997</v>
      </c>
      <c r="G1110" s="356">
        <f>+VLOOKUP($E1110,Labor!$1:$1048576,G$2,FALSE)</f>
        <v>760.82642310000006</v>
      </c>
      <c r="H1110" s="356">
        <f>+VLOOKUP($E1110,Labor!$1:$1048576,H$2,FALSE)</f>
        <v>761.40417109999999</v>
      </c>
      <c r="I1110" s="356">
        <f>+VLOOKUP($E1110,Labor!$1:$1048576,I$2,FALSE)</f>
        <v>761.7010464</v>
      </c>
      <c r="J1110" s="356">
        <f>+VLOOKUP($E1110,Labor!$1:$1048576,J$2,FALSE)</f>
        <v>761.9605507</v>
      </c>
      <c r="K1110" s="356">
        <f>+VLOOKUP($E1110,Labor!$1:$1048576,K$2,FALSE)</f>
        <v>762.32161699999995</v>
      </c>
      <c r="L1110" s="356">
        <f>+VLOOKUP($E1110,Labor!$1:$1048576,L$2,FALSE)</f>
        <v>762.84189739999999</v>
      </c>
      <c r="M1110" s="356">
        <f>+VLOOKUP($E1110,Labor!$1:$1048576,M$2,FALSE)</f>
        <v>763.52876719999995</v>
      </c>
      <c r="N1110" s="356">
        <f>+VLOOKUP($E1110,Labor!$1:$1048576,N$2,FALSE)</f>
        <v>764.36337140000001</v>
      </c>
      <c r="O1110" s="356">
        <f>+VLOOKUP($E1110,Labor!$1:$1048576,O$2,FALSE)</f>
        <v>765.31622770000001</v>
      </c>
      <c r="P1110" s="356">
        <f>+VLOOKUP($E1110,Labor!$1:$1048576,P$2,FALSE)</f>
        <v>766.35627150000005</v>
      </c>
      <c r="Q1110" s="356">
        <f>+VLOOKUP($E1110,Labor!$1:$1048576,Q$2,FALSE)</f>
        <v>767.45551</v>
      </c>
      <c r="R1110" s="356">
        <f>+VLOOKUP($E1110,Labor!$1:$1048576,R$2,FALSE)</f>
        <v>768.59096690000001</v>
      </c>
      <c r="S1110" s="356">
        <f>+VLOOKUP($E1110,Labor!$1:$1048576,S$2,FALSE)</f>
        <v>769.74507070000004</v>
      </c>
      <c r="T1110" s="356">
        <f>+VLOOKUP($E1110,Labor!$1:$1048576,T$2,FALSE)</f>
        <v>770.90521879999994</v>
      </c>
      <c r="U1110" s="356">
        <f>+VLOOKUP($E1110,Labor!$1:$1048576,U$2,FALSE)</f>
        <v>772.06297050000001</v>
      </c>
      <c r="V1110" s="356">
        <f>+VLOOKUP($E1110,Labor!$1:$1048576,V$2,FALSE)</f>
        <v>773.21313970000006</v>
      </c>
      <c r="W1110" s="356">
        <f>+VLOOKUP($E1110,Labor!$1:$1048576,W$2,FALSE)</f>
        <v>774.35294280000005</v>
      </c>
      <c r="X1110" s="356">
        <f>+VLOOKUP($E1110,Labor!$1:$1048576,X$2,FALSE)</f>
        <v>775.48126200000002</v>
      </c>
      <c r="Y1110" s="356">
        <f>+VLOOKUP($E1110,Labor!$1:$1048576,Y$2,FALSE)</f>
        <v>776.59805789999996</v>
      </c>
      <c r="Z1110" s="356">
        <f>+VLOOKUP($E1110,Labor!$1:$1048576,Z$2,FALSE)</f>
        <v>777.70393260000003</v>
      </c>
      <c r="AA1110" s="356">
        <f>+VLOOKUP($E1110,Labor!$1:$1048576,AA$2,FALSE)</f>
        <v>778.7998245</v>
      </c>
      <c r="AB1110" s="356">
        <f>+VLOOKUP($E1110,Labor!$1:$1048576,AB$2,FALSE)</f>
        <v>779.88681099999997</v>
      </c>
      <c r="AC1110" s="356">
        <f>+VLOOKUP($E1110,Labor!$1:$1048576,AC$2,FALSE)</f>
        <v>780.96599119999996</v>
      </c>
      <c r="AD1110" s="356">
        <f>+VLOOKUP($E1110,Labor!$1:$1048576,AD$2,FALSE)</f>
        <v>782.03842699999996</v>
      </c>
      <c r="AE1110" s="356">
        <f>+VLOOKUP($E1110,Labor!$1:$1048576,AE$2,FALSE)</f>
        <v>783.10512059999996</v>
      </c>
      <c r="AF1110" s="356">
        <f>+VLOOKUP($E1110,Labor!$1:$1048576,AF$2,FALSE)</f>
        <v>784.16701460000002</v>
      </c>
      <c r="AG1110" s="356">
        <f>+VLOOKUP($E1110,Labor!$1:$1048576,AG$2,FALSE)</f>
        <v>785.22500190000005</v>
      </c>
      <c r="AH1110" s="356">
        <f>+VLOOKUP($E1110,Labor!$1:$1048576,AH$2,FALSE)</f>
        <v>786.2799387</v>
      </c>
      <c r="AI1110" s="356">
        <f>+VLOOKUP($E1110,Labor!$1:$1048576,AI$2,FALSE)</f>
        <v>787.33265610000001</v>
      </c>
      <c r="AJ1110" s="356">
        <f>+VLOOKUP($E1110,Labor!$1:$1048576,AJ$2,FALSE)</f>
        <v>788.38396780000005</v>
      </c>
      <c r="AK1110" s="356">
        <f>+VLOOKUP($E1110,Labor!$1:$1048576,AK$2,FALSE)</f>
        <v>789.43467269999996</v>
      </c>
      <c r="AL1110" s="356">
        <f>+VLOOKUP($E1110,Labor!$1:$1048576,AL$2,FALSE)</f>
        <v>790.48555429999999</v>
      </c>
      <c r="AM1110" s="356">
        <f>+VLOOKUP($E1110,Labor!$1:$1048576,AM$2,FALSE)</f>
        <v>791.53737639999997</v>
      </c>
      <c r="AN1110" s="356">
        <f>+VLOOKUP($E1110,Labor!$1:$1048576,AN$2,FALSE)</f>
        <v>792.59087709999994</v>
      </c>
      <c r="AO1110" s="356">
        <f>+VLOOKUP($E1110,Labor!$1:$1048576,AO$2,FALSE)</f>
        <v>793.64676169999996</v>
      </c>
    </row>
    <row r="1111" spans="1:41" s="73" customFormat="1" ht="15" customHeight="1" x14ac:dyDescent="0.25">
      <c r="A1111" s="402"/>
      <c r="B1111" s="411"/>
      <c r="C1111" s="159" t="s">
        <v>618</v>
      </c>
      <c r="D1111" s="109"/>
      <c r="E1111" s="80" t="s">
        <v>819</v>
      </c>
      <c r="F1111" s="356">
        <f>+VLOOKUP($E1111,Labor!$1:$1048576,F$2,FALSE)</f>
        <v>14.44</v>
      </c>
      <c r="G1111" s="356">
        <f>+VLOOKUP($E1111,Labor!$1:$1048576,G$2,FALSE)</f>
        <v>14.47586997</v>
      </c>
      <c r="H1111" s="356">
        <f>+VLOOKUP($E1111,Labor!$1:$1048576,H$2,FALSE)</f>
        <v>14.511744119999999</v>
      </c>
      <c r="I1111" s="356">
        <f>+VLOOKUP($E1111,Labor!$1:$1048576,I$2,FALSE)</f>
        <v>14.54795189</v>
      </c>
      <c r="J1111" s="356">
        <f>+VLOOKUP($E1111,Labor!$1:$1048576,J$2,FALSE)</f>
        <v>14.58483429</v>
      </c>
      <c r="K1111" s="356">
        <f>+VLOOKUP($E1111,Labor!$1:$1048576,K$2,FALSE)</f>
        <v>14.62261657</v>
      </c>
      <c r="L1111" s="356">
        <f>+VLOOKUP($E1111,Labor!$1:$1048576,L$2,FALSE)</f>
        <v>14.6613562</v>
      </c>
      <c r="M1111" s="356">
        <f>+VLOOKUP($E1111,Labor!$1:$1048576,M$2,FALSE)</f>
        <v>14.7009551</v>
      </c>
      <c r="N1111" s="356">
        <f>+VLOOKUP($E1111,Labor!$1:$1048576,N$2,FALSE)</f>
        <v>14.741206829999999</v>
      </c>
      <c r="O1111" s="356">
        <f>+VLOOKUP($E1111,Labor!$1:$1048576,O$2,FALSE)</f>
        <v>14.781851789999999</v>
      </c>
      <c r="P1111" s="356">
        <f>+VLOOKUP($E1111,Labor!$1:$1048576,P$2,FALSE)</f>
        <v>14.82262403</v>
      </c>
      <c r="Q1111" s="356">
        <f>+VLOOKUP($E1111,Labor!$1:$1048576,Q$2,FALSE)</f>
        <v>14.863283409999999</v>
      </c>
      <c r="R1111" s="356">
        <f>+VLOOKUP($E1111,Labor!$1:$1048576,R$2,FALSE)</f>
        <v>14.90363314</v>
      </c>
      <c r="S1111" s="356">
        <f>+VLOOKUP($E1111,Labor!$1:$1048576,S$2,FALSE)</f>
        <v>14.943525940000001</v>
      </c>
      <c r="T1111" s="356">
        <f>+VLOOKUP($E1111,Labor!$1:$1048576,T$2,FALSE)</f>
        <v>14.98286272</v>
      </c>
      <c r="U1111" s="356">
        <f>+VLOOKUP($E1111,Labor!$1:$1048576,U$2,FALSE)</f>
        <v>15.02158696</v>
      </c>
      <c r="V1111" s="356">
        <f>+VLOOKUP($E1111,Labor!$1:$1048576,V$2,FALSE)</f>
        <v>15.059677369999999</v>
      </c>
      <c r="W1111" s="356">
        <f>+VLOOKUP($E1111,Labor!$1:$1048576,W$2,FALSE)</f>
        <v>15.097140209999999</v>
      </c>
      <c r="X1111" s="356">
        <f>+VLOOKUP($E1111,Labor!$1:$1048576,X$2,FALSE)</f>
        <v>15.134002410000001</v>
      </c>
      <c r="Y1111" s="356">
        <f>+VLOOKUP($E1111,Labor!$1:$1048576,Y$2,FALSE)</f>
        <v>15.170305470000001</v>
      </c>
      <c r="Z1111" s="356">
        <f>+VLOOKUP($E1111,Labor!$1:$1048576,Z$2,FALSE)</f>
        <v>15.206100729999999</v>
      </c>
      <c r="AA1111" s="356">
        <f>+VLOOKUP($E1111,Labor!$1:$1048576,AA$2,FALSE)</f>
        <v>15.24144547</v>
      </c>
      <c r="AB1111" s="356">
        <f>+VLOOKUP($E1111,Labor!$1:$1048576,AB$2,FALSE)</f>
        <v>15.27640008</v>
      </c>
      <c r="AC1111" s="356">
        <f>+VLOOKUP($E1111,Labor!$1:$1048576,AC$2,FALSE)</f>
        <v>15.311025900000001</v>
      </c>
      <c r="AD1111" s="356">
        <f>+VLOOKUP($E1111,Labor!$1:$1048576,AD$2,FALSE)</f>
        <v>15.34538367</v>
      </c>
      <c r="AE1111" s="356">
        <f>+VLOOKUP($E1111,Labor!$1:$1048576,AE$2,FALSE)</f>
        <v>15.379532429999999</v>
      </c>
      <c r="AF1111" s="356">
        <f>+VLOOKUP($E1111,Labor!$1:$1048576,AF$2,FALSE)</f>
        <v>15.413528729999999</v>
      </c>
      <c r="AG1111" s="356">
        <f>+VLOOKUP($E1111,Labor!$1:$1048576,AG$2,FALSE)</f>
        <v>15.44742606</v>
      </c>
      <c r="AH1111" s="356">
        <f>+VLOOKUP($E1111,Labor!$1:$1048576,AH$2,FALSE)</f>
        <v>15.481274490000001</v>
      </c>
      <c r="AI1111" s="356">
        <f>+VLOOKUP($E1111,Labor!$1:$1048576,AI$2,FALSE)</f>
        <v>15.51512041</v>
      </c>
      <c r="AJ1111" s="356">
        <f>+VLOOKUP($E1111,Labor!$1:$1048576,AJ$2,FALSE)</f>
        <v>15.54900636</v>
      </c>
      <c r="AK1111" s="356">
        <f>+VLOOKUP($E1111,Labor!$1:$1048576,AK$2,FALSE)</f>
        <v>15.582970899999999</v>
      </c>
      <c r="AL1111" s="356">
        <f>+VLOOKUP($E1111,Labor!$1:$1048576,AL$2,FALSE)</f>
        <v>15.6170486</v>
      </c>
      <c r="AM1111" s="356">
        <f>+VLOOKUP($E1111,Labor!$1:$1048576,AM$2,FALSE)</f>
        <v>15.65127002</v>
      </c>
      <c r="AN1111" s="356">
        <f>+VLOOKUP($E1111,Labor!$1:$1048576,AN$2,FALSE)</f>
        <v>15.68566178</v>
      </c>
      <c r="AO1111" s="356">
        <f>+VLOOKUP($E1111,Labor!$1:$1048576,AO$2,FALSE)</f>
        <v>15.72024667</v>
      </c>
    </row>
    <row r="1112" spans="1:41" s="73" customFormat="1" ht="15" customHeight="1" x14ac:dyDescent="0.25">
      <c r="A1112" s="402"/>
      <c r="B1112" s="411"/>
      <c r="C1112" s="159" t="s">
        <v>619</v>
      </c>
      <c r="D1112" s="109"/>
      <c r="E1112" s="80" t="s">
        <v>820</v>
      </c>
      <c r="F1112" s="356">
        <f>+VLOOKUP($E1112,Labor!$1:$1048576,F$2,FALSE)</f>
        <v>62.59</v>
      </c>
      <c r="G1112" s="356">
        <f>+VLOOKUP($E1112,Labor!$1:$1048576,G$2,FALSE)</f>
        <v>62.784841530000001</v>
      </c>
      <c r="H1112" s="356">
        <f>+VLOOKUP($E1112,Labor!$1:$1048576,H$2,FALSE)</f>
        <v>63.012921919999997</v>
      </c>
      <c r="I1112" s="356">
        <f>+VLOOKUP($E1112,Labor!$1:$1048576,I$2,FALSE)</f>
        <v>63.262281539999996</v>
      </c>
      <c r="J1112" s="356">
        <f>+VLOOKUP($E1112,Labor!$1:$1048576,J$2,FALSE)</f>
        <v>63.524583720000003</v>
      </c>
      <c r="K1112" s="356">
        <f>+VLOOKUP($E1112,Labor!$1:$1048576,K$2,FALSE)</f>
        <v>63.795755210000003</v>
      </c>
      <c r="L1112" s="356">
        <f>+VLOOKUP($E1112,Labor!$1:$1048576,L$2,FALSE)</f>
        <v>64.074285489999994</v>
      </c>
      <c r="M1112" s="356">
        <f>+VLOOKUP($E1112,Labor!$1:$1048576,M$2,FALSE)</f>
        <v>64.35964491</v>
      </c>
      <c r="N1112" s="356">
        <f>+VLOOKUP($E1112,Labor!$1:$1048576,N$2,FALSE)</f>
        <v>64.651384210000003</v>
      </c>
      <c r="O1112" s="356">
        <f>+VLOOKUP($E1112,Labor!$1:$1048576,O$2,FALSE)</f>
        <v>64.948810649999999</v>
      </c>
      <c r="P1112" s="356">
        <f>+VLOOKUP($E1112,Labor!$1:$1048576,P$2,FALSE)</f>
        <v>65.250994570000003</v>
      </c>
      <c r="Q1112" s="356">
        <f>+VLOOKUP($E1112,Labor!$1:$1048576,Q$2,FALSE)</f>
        <v>65.556904750000001</v>
      </c>
      <c r="R1112" s="356">
        <f>+VLOOKUP($E1112,Labor!$1:$1048576,R$2,FALSE)</f>
        <v>65.86555319</v>
      </c>
      <c r="S1112" s="356">
        <f>+VLOOKUP($E1112,Labor!$1:$1048576,S$2,FALSE)</f>
        <v>66.176098120000006</v>
      </c>
      <c r="T1112" s="356">
        <f>+VLOOKUP($E1112,Labor!$1:$1048576,T$2,FALSE)</f>
        <v>66.487893639999996</v>
      </c>
      <c r="U1112" s="356">
        <f>+VLOOKUP($E1112,Labor!$1:$1048576,U$2,FALSE)</f>
        <v>66.800495549999994</v>
      </c>
      <c r="V1112" s="356">
        <f>+VLOOKUP($E1112,Labor!$1:$1048576,V$2,FALSE)</f>
        <v>67.113638649999999</v>
      </c>
      <c r="W1112" s="356">
        <f>+VLOOKUP($E1112,Labor!$1:$1048576,W$2,FALSE)</f>
        <v>67.427200189999994</v>
      </c>
      <c r="X1112" s="356">
        <f>+VLOOKUP($E1112,Labor!$1:$1048576,X$2,FALSE)</f>
        <v>67.741160170000001</v>
      </c>
      <c r="Y1112" s="356">
        <f>+VLOOKUP($E1112,Labor!$1:$1048576,Y$2,FALSE)</f>
        <v>68.055565340000001</v>
      </c>
      <c r="Z1112" s="356">
        <f>+VLOOKUP($E1112,Labor!$1:$1048576,Z$2,FALSE)</f>
        <v>68.370500269999994</v>
      </c>
      <c r="AA1112" s="356">
        <f>+VLOOKUP($E1112,Labor!$1:$1048576,AA$2,FALSE)</f>
        <v>68.686066530000005</v>
      </c>
      <c r="AB1112" s="356">
        <f>+VLOOKUP($E1112,Labor!$1:$1048576,AB$2,FALSE)</f>
        <v>69.002369150000007</v>
      </c>
      <c r="AC1112" s="356">
        <f>+VLOOKUP($E1112,Labor!$1:$1048576,AC$2,FALSE)</f>
        <v>69.319509289999999</v>
      </c>
      <c r="AD1112" s="356">
        <f>+VLOOKUP($E1112,Labor!$1:$1048576,AD$2,FALSE)</f>
        <v>69.637581109999999</v>
      </c>
      <c r="AE1112" s="356">
        <f>+VLOOKUP($E1112,Labor!$1:$1048576,AE$2,FALSE)</f>
        <v>69.956671720000003</v>
      </c>
      <c r="AF1112" s="356">
        <f>+VLOOKUP($E1112,Labor!$1:$1048576,AF$2,FALSE)</f>
        <v>70.276862550000004</v>
      </c>
      <c r="AG1112" s="356">
        <f>+VLOOKUP($E1112,Labor!$1:$1048576,AG$2,FALSE)</f>
        <v>70.598231499999997</v>
      </c>
      <c r="AH1112" s="356">
        <f>+VLOOKUP($E1112,Labor!$1:$1048576,AH$2,FALSE)</f>
        <v>70.92085496</v>
      </c>
      <c r="AI1112" s="356">
        <f>+VLOOKUP($E1112,Labor!$1:$1048576,AI$2,FALSE)</f>
        <v>71.244809509999996</v>
      </c>
      <c r="AJ1112" s="356">
        <f>+VLOOKUP($E1112,Labor!$1:$1048576,AJ$2,FALSE)</f>
        <v>71.570172900000003</v>
      </c>
      <c r="AK1112" s="356">
        <f>+VLOOKUP($E1112,Labor!$1:$1048576,AK$2,FALSE)</f>
        <v>71.897024560000006</v>
      </c>
      <c r="AL1112" s="356">
        <f>+VLOOKUP($E1112,Labor!$1:$1048576,AL$2,FALSE)</f>
        <v>72.225445440000001</v>
      </c>
      <c r="AM1112" s="356">
        <f>+VLOOKUP($E1112,Labor!$1:$1048576,AM$2,FALSE)</f>
        <v>72.555517460000004</v>
      </c>
      <c r="AN1112" s="356">
        <f>+VLOOKUP($E1112,Labor!$1:$1048576,AN$2,FALSE)</f>
        <v>72.887322699999999</v>
      </c>
      <c r="AO1112" s="356">
        <f>+VLOOKUP($E1112,Labor!$1:$1048576,AO$2,FALSE)</f>
        <v>73.220942429999994</v>
      </c>
    </row>
    <row r="1113" spans="1:41" s="108" customFormat="1" ht="15" customHeight="1" x14ac:dyDescent="0.25">
      <c r="A1113" s="402"/>
      <c r="B1113" s="411"/>
      <c r="C1113" s="87" t="s">
        <v>800</v>
      </c>
      <c r="D1113" s="149"/>
      <c r="E1113" s="90" t="s">
        <v>821</v>
      </c>
      <c r="F1113" s="354" t="e">
        <f>+VLOOKUP($E1113,Labor!$1:$1048576,F$2,FALSE)</f>
        <v>#N/A</v>
      </c>
      <c r="G1113" s="354" t="e">
        <f>+VLOOKUP($E1113,Labor!$1:$1048576,G$2,FALSE)</f>
        <v>#N/A</v>
      </c>
      <c r="H1113" s="354" t="e">
        <f>+VLOOKUP($E1113,Labor!$1:$1048576,H$2,FALSE)</f>
        <v>#N/A</v>
      </c>
      <c r="I1113" s="354" t="e">
        <f>+VLOOKUP($E1113,Labor!$1:$1048576,I$2,FALSE)</f>
        <v>#N/A</v>
      </c>
      <c r="J1113" s="354" t="e">
        <f>+VLOOKUP($E1113,Labor!$1:$1048576,J$2,FALSE)</f>
        <v>#N/A</v>
      </c>
      <c r="K1113" s="354" t="e">
        <f>+VLOOKUP($E1113,Labor!$1:$1048576,K$2,FALSE)</f>
        <v>#N/A</v>
      </c>
      <c r="L1113" s="354" t="e">
        <f>+VLOOKUP($E1113,Labor!$1:$1048576,L$2,FALSE)</f>
        <v>#N/A</v>
      </c>
      <c r="M1113" s="354" t="e">
        <f>+VLOOKUP($E1113,Labor!$1:$1048576,M$2,FALSE)</f>
        <v>#N/A</v>
      </c>
      <c r="N1113" s="354" t="e">
        <f>+VLOOKUP($E1113,Labor!$1:$1048576,N$2,FALSE)</f>
        <v>#N/A</v>
      </c>
      <c r="O1113" s="354" t="e">
        <f>+VLOOKUP($E1113,Labor!$1:$1048576,O$2,FALSE)</f>
        <v>#N/A</v>
      </c>
      <c r="P1113" s="354" t="e">
        <f>+VLOOKUP($E1113,Labor!$1:$1048576,P$2,FALSE)</f>
        <v>#N/A</v>
      </c>
      <c r="Q1113" s="354" t="e">
        <f>+VLOOKUP($E1113,Labor!$1:$1048576,Q$2,FALSE)</f>
        <v>#N/A</v>
      </c>
      <c r="R1113" s="354" t="e">
        <f>+VLOOKUP($E1113,Labor!$1:$1048576,R$2,FALSE)</f>
        <v>#N/A</v>
      </c>
      <c r="S1113" s="354" t="e">
        <f>+VLOOKUP($E1113,Labor!$1:$1048576,S$2,FALSE)</f>
        <v>#N/A</v>
      </c>
      <c r="T1113" s="354" t="e">
        <f>+VLOOKUP($E1113,Labor!$1:$1048576,T$2,FALSE)</f>
        <v>#N/A</v>
      </c>
      <c r="U1113" s="354" t="e">
        <f>+VLOOKUP($E1113,Labor!$1:$1048576,U$2,FALSE)</f>
        <v>#N/A</v>
      </c>
      <c r="V1113" s="354" t="e">
        <f>+VLOOKUP($E1113,Labor!$1:$1048576,V$2,FALSE)</f>
        <v>#N/A</v>
      </c>
      <c r="W1113" s="354" t="e">
        <f>+VLOOKUP($E1113,Labor!$1:$1048576,W$2,FALSE)</f>
        <v>#N/A</v>
      </c>
      <c r="X1113" s="354" t="e">
        <f>+VLOOKUP($E1113,Labor!$1:$1048576,X$2,FALSE)</f>
        <v>#N/A</v>
      </c>
      <c r="Y1113" s="354" t="e">
        <f>+VLOOKUP($E1113,Labor!$1:$1048576,Y$2,FALSE)</f>
        <v>#N/A</v>
      </c>
      <c r="Z1113" s="354" t="e">
        <f>+VLOOKUP($E1113,Labor!$1:$1048576,Z$2,FALSE)</f>
        <v>#N/A</v>
      </c>
      <c r="AA1113" s="354" t="e">
        <f>+VLOOKUP($E1113,Labor!$1:$1048576,AA$2,FALSE)</f>
        <v>#N/A</v>
      </c>
      <c r="AB1113" s="354" t="e">
        <f>+VLOOKUP($E1113,Labor!$1:$1048576,AB$2,FALSE)</f>
        <v>#N/A</v>
      </c>
      <c r="AC1113" s="354" t="e">
        <f>+VLOOKUP($E1113,Labor!$1:$1048576,AC$2,FALSE)</f>
        <v>#N/A</v>
      </c>
      <c r="AD1113" s="354" t="e">
        <f>+VLOOKUP($E1113,Labor!$1:$1048576,AD$2,FALSE)</f>
        <v>#N/A</v>
      </c>
      <c r="AE1113" s="354" t="e">
        <f>+VLOOKUP($E1113,Labor!$1:$1048576,AE$2,FALSE)</f>
        <v>#N/A</v>
      </c>
      <c r="AF1113" s="354" t="e">
        <f>+VLOOKUP($E1113,Labor!$1:$1048576,AF$2,FALSE)</f>
        <v>#N/A</v>
      </c>
      <c r="AG1113" s="354" t="e">
        <f>+VLOOKUP($E1113,Labor!$1:$1048576,AG$2,FALSE)</f>
        <v>#N/A</v>
      </c>
      <c r="AH1113" s="354" t="e">
        <f>+VLOOKUP($E1113,Labor!$1:$1048576,AH$2,FALSE)</f>
        <v>#N/A</v>
      </c>
      <c r="AI1113" s="354" t="e">
        <f>+VLOOKUP($E1113,Labor!$1:$1048576,AI$2,FALSE)</f>
        <v>#N/A</v>
      </c>
      <c r="AJ1113" s="354" t="e">
        <f>+VLOOKUP($E1113,Labor!$1:$1048576,AJ$2,FALSE)</f>
        <v>#N/A</v>
      </c>
      <c r="AK1113" s="354" t="e">
        <f>+VLOOKUP($E1113,Labor!$1:$1048576,AK$2,FALSE)</f>
        <v>#N/A</v>
      </c>
      <c r="AL1113" s="354" t="e">
        <f>+VLOOKUP($E1113,Labor!$1:$1048576,AL$2,FALSE)</f>
        <v>#N/A</v>
      </c>
      <c r="AM1113" s="354" t="e">
        <f>+VLOOKUP($E1113,Labor!$1:$1048576,AM$2,FALSE)</f>
        <v>#N/A</v>
      </c>
      <c r="AN1113" s="354" t="e">
        <f>+VLOOKUP($E1113,Labor!$1:$1048576,AN$2,FALSE)</f>
        <v>#N/A</v>
      </c>
      <c r="AO1113" s="354" t="e">
        <f>+VLOOKUP($E1113,Labor!$1:$1048576,AO$2,FALSE)</f>
        <v>#N/A</v>
      </c>
    </row>
    <row r="1114" spans="1:41" s="73" customFormat="1" ht="15" customHeight="1" x14ac:dyDescent="0.25">
      <c r="A1114" s="402"/>
      <c r="B1114" s="411"/>
      <c r="C1114" s="159" t="s">
        <v>620</v>
      </c>
      <c r="D1114" s="109"/>
      <c r="E1114" s="80" t="s">
        <v>822</v>
      </c>
      <c r="F1114" s="356">
        <f>+VLOOKUP($E1114,Labor!$1:$1048576,F$2,FALSE)</f>
        <v>14811.39848</v>
      </c>
      <c r="G1114" s="356">
        <f>+VLOOKUP($E1114,Labor!$1:$1048576,G$2,FALSE)</f>
        <v>14841.59794</v>
      </c>
      <c r="H1114" s="356">
        <f>+VLOOKUP($E1114,Labor!$1:$1048576,H$2,FALSE)</f>
        <v>14867.29744</v>
      </c>
      <c r="I1114" s="356">
        <f>+VLOOKUP($E1114,Labor!$1:$1048576,I$2,FALSE)</f>
        <v>14892.311320000001</v>
      </c>
      <c r="J1114" s="356">
        <f>+VLOOKUP($E1114,Labor!$1:$1048576,J$2,FALSE)</f>
        <v>14919.3824</v>
      </c>
      <c r="K1114" s="356">
        <f>+VLOOKUP($E1114,Labor!$1:$1048576,K$2,FALSE)</f>
        <v>14949.86276</v>
      </c>
      <c r="L1114" s="356">
        <f>+VLOOKUP($E1114,Labor!$1:$1048576,L$2,FALSE)</f>
        <v>14984.083780000001</v>
      </c>
      <c r="M1114" s="356">
        <f>+VLOOKUP($E1114,Labor!$1:$1048576,M$2,FALSE)</f>
        <v>15021.7817</v>
      </c>
      <c r="N1114" s="356">
        <f>+VLOOKUP($E1114,Labor!$1:$1048576,N$2,FALSE)</f>
        <v>15062.41289</v>
      </c>
      <c r="O1114" s="356">
        <f>+VLOOKUP($E1114,Labor!$1:$1048576,O$2,FALSE)</f>
        <v>15105.35151</v>
      </c>
      <c r="P1114" s="356">
        <f>+VLOOKUP($E1114,Labor!$1:$1048576,P$2,FALSE)</f>
        <v>15150</v>
      </c>
      <c r="Q1114" s="356">
        <f>+VLOOKUP($E1114,Labor!$1:$1048576,Q$2,FALSE)</f>
        <v>15195.84303</v>
      </c>
      <c r="R1114" s="356">
        <f>+VLOOKUP($E1114,Labor!$1:$1048576,R$2,FALSE)</f>
        <v>15242.466759999999</v>
      </c>
      <c r="S1114" s="356">
        <f>+VLOOKUP($E1114,Labor!$1:$1048576,S$2,FALSE)</f>
        <v>15289.558499999999</v>
      </c>
      <c r="T1114" s="356">
        <f>+VLOOKUP($E1114,Labor!$1:$1048576,T$2,FALSE)</f>
        <v>15336.895630000001</v>
      </c>
      <c r="U1114" s="356">
        <f>+VLOOKUP($E1114,Labor!$1:$1048576,U$2,FALSE)</f>
        <v>15384.32963</v>
      </c>
      <c r="V1114" s="356">
        <f>+VLOOKUP($E1114,Labor!$1:$1048576,V$2,FALSE)</f>
        <v>15431.769050000001</v>
      </c>
      <c r="W1114" s="356">
        <f>+VLOOKUP($E1114,Labor!$1:$1048576,W$2,FALSE)</f>
        <v>15479.16381</v>
      </c>
      <c r="X1114" s="356">
        <f>+VLOOKUP($E1114,Labor!$1:$1048576,X$2,FALSE)</f>
        <v>15526.491550000001</v>
      </c>
      <c r="Y1114" s="356">
        <f>+VLOOKUP($E1114,Labor!$1:$1048576,Y$2,FALSE)</f>
        <v>15573.74667</v>
      </c>
      <c r="Z1114" s="356">
        <f>+VLOOKUP($E1114,Labor!$1:$1048576,Z$2,FALSE)</f>
        <v>15620.93238</v>
      </c>
      <c r="AA1114" s="356">
        <f>+VLOOKUP($E1114,Labor!$1:$1048576,AA$2,FALSE)</f>
        <v>15668.05528</v>
      </c>
      <c r="AB1114" s="356">
        <f>+VLOOKUP($E1114,Labor!$1:$1048576,AB$2,FALSE)</f>
        <v>15715.12211</v>
      </c>
      <c r="AC1114" s="356">
        <f>+VLOOKUP($E1114,Labor!$1:$1048576,AC$2,FALSE)</f>
        <v>15762.13805</v>
      </c>
      <c r="AD1114" s="356">
        <f>+VLOOKUP($E1114,Labor!$1:$1048576,AD$2,FALSE)</f>
        <v>15809.10627</v>
      </c>
      <c r="AE1114" s="356">
        <f>+VLOOKUP($E1114,Labor!$1:$1048576,AE$2,FALSE)</f>
        <v>15856.02802</v>
      </c>
      <c r="AF1114" s="356">
        <f>+VLOOKUP($E1114,Labor!$1:$1048576,AF$2,FALSE)</f>
        <v>15902.903249999999</v>
      </c>
      <c r="AG1114" s="356">
        <f>+VLOOKUP($E1114,Labor!$1:$1048576,AG$2,FALSE)</f>
        <v>15949.731299999999</v>
      </c>
      <c r="AH1114" s="356">
        <f>+VLOOKUP($E1114,Labor!$1:$1048576,AH$2,FALSE)</f>
        <v>15996.51154</v>
      </c>
      <c r="AI1114" s="356">
        <f>+VLOOKUP($E1114,Labor!$1:$1048576,AI$2,FALSE)</f>
        <v>16043.24395</v>
      </c>
      <c r="AJ1114" s="356">
        <f>+VLOOKUP($E1114,Labor!$1:$1048576,AJ$2,FALSE)</f>
        <v>16089.9295</v>
      </c>
      <c r="AK1114" s="356">
        <f>+VLOOKUP($E1114,Labor!$1:$1048576,AK$2,FALSE)</f>
        <v>16136.570369999999</v>
      </c>
      <c r="AL1114" s="356">
        <f>+VLOOKUP($E1114,Labor!$1:$1048576,AL$2,FALSE)</f>
        <v>16183.169980000001</v>
      </c>
      <c r="AM1114" s="356">
        <f>+VLOOKUP($E1114,Labor!$1:$1048576,AM$2,FALSE)</f>
        <v>16229.732969999999</v>
      </c>
      <c r="AN1114" s="356">
        <f>+VLOOKUP($E1114,Labor!$1:$1048576,AN$2,FALSE)</f>
        <v>16276.26505</v>
      </c>
      <c r="AO1114" s="356">
        <f>+VLOOKUP($E1114,Labor!$1:$1048576,AO$2,FALSE)</f>
        <v>16322.77277</v>
      </c>
    </row>
    <row r="1115" spans="1:41" s="73" customFormat="1" ht="15" customHeight="1" x14ac:dyDescent="0.25">
      <c r="A1115" s="402"/>
      <c r="B1115" s="411"/>
      <c r="C1115" s="159" t="s">
        <v>621</v>
      </c>
      <c r="D1115" s="109"/>
      <c r="E1115" s="80" t="s">
        <v>823</v>
      </c>
      <c r="F1115" s="356">
        <f>+VLOOKUP($E1115,Labor!$1:$1048576,F$2,FALSE)</f>
        <v>6473.47</v>
      </c>
      <c r="G1115" s="356">
        <f>+VLOOKUP($E1115,Labor!$1:$1048576,G$2,FALSE)</f>
        <v>6488.4768800000002</v>
      </c>
      <c r="H1115" s="356">
        <f>+VLOOKUP($E1115,Labor!$1:$1048576,H$2,FALSE)</f>
        <v>6502.7710109999998</v>
      </c>
      <c r="I1115" s="356">
        <f>+VLOOKUP($E1115,Labor!$1:$1048576,I$2,FALSE)</f>
        <v>6516.9938309999998</v>
      </c>
      <c r="J1115" s="356">
        <f>+VLOOKUP($E1115,Labor!$1:$1048576,J$2,FALSE)</f>
        <v>6531.5859309999996</v>
      </c>
      <c r="K1115" s="356">
        <f>+VLOOKUP($E1115,Labor!$1:$1048576,K$2,FALSE)</f>
        <v>6546.7512820000002</v>
      </c>
      <c r="L1115" s="356">
        <f>+VLOOKUP($E1115,Labor!$1:$1048576,L$2,FALSE)</f>
        <v>6562.5270289999999</v>
      </c>
      <c r="M1115" s="356">
        <f>+VLOOKUP($E1115,Labor!$1:$1048576,M$2,FALSE)</f>
        <v>6578.8579520000003</v>
      </c>
      <c r="N1115" s="356">
        <f>+VLOOKUP($E1115,Labor!$1:$1048576,N$2,FALSE)</f>
        <v>6595.649703</v>
      </c>
      <c r="O1115" s="356">
        <f>+VLOOKUP($E1115,Labor!$1:$1048576,O$2,FALSE)</f>
        <v>6612.8006340000002</v>
      </c>
      <c r="P1115" s="356">
        <f>+VLOOKUP($E1115,Labor!$1:$1048576,P$2,FALSE)</f>
        <v>6630.2182119999998</v>
      </c>
      <c r="Q1115" s="356">
        <f>+VLOOKUP($E1115,Labor!$1:$1048576,Q$2,FALSE)</f>
        <v>6647.8258619999997</v>
      </c>
      <c r="R1115" s="356">
        <f>+VLOOKUP($E1115,Labor!$1:$1048576,R$2,FALSE)</f>
        <v>6665.5643840000002</v>
      </c>
      <c r="S1115" s="356">
        <f>+VLOOKUP($E1115,Labor!$1:$1048576,S$2,FALSE)</f>
        <v>6683.390609</v>
      </c>
      <c r="T1115" s="356">
        <f>+VLOOKUP($E1115,Labor!$1:$1048576,T$2,FALSE)</f>
        <v>6701.2748469999997</v>
      </c>
      <c r="U1115" s="356">
        <f>+VLOOKUP($E1115,Labor!$1:$1048576,U$2,FALSE)</f>
        <v>6719.1979760000004</v>
      </c>
      <c r="V1115" s="356">
        <f>+VLOOKUP($E1115,Labor!$1:$1048576,V$2,FALSE)</f>
        <v>6737.1486919999998</v>
      </c>
      <c r="W1115" s="356">
        <f>+VLOOKUP($E1115,Labor!$1:$1048576,W$2,FALSE)</f>
        <v>6755.1211700000003</v>
      </c>
      <c r="X1115" s="356">
        <f>+VLOOKUP($E1115,Labor!$1:$1048576,X$2,FALSE)</f>
        <v>6773.1131450000003</v>
      </c>
      <c r="Y1115" s="356">
        <f>+VLOOKUP($E1115,Labor!$1:$1048576,Y$2,FALSE)</f>
        <v>6791.1244580000002</v>
      </c>
      <c r="Z1115" s="356">
        <f>+VLOOKUP($E1115,Labor!$1:$1048576,Z$2,FALSE)</f>
        <v>6809.1560300000001</v>
      </c>
      <c r="AA1115" s="356">
        <f>+VLOOKUP($E1115,Labor!$1:$1048576,AA$2,FALSE)</f>
        <v>6827.2091890000002</v>
      </c>
      <c r="AB1115" s="356">
        <f>+VLOOKUP($E1115,Labor!$1:$1048576,AB$2,FALSE)</f>
        <v>6845.2852700000003</v>
      </c>
      <c r="AC1115" s="356">
        <f>+VLOOKUP($E1115,Labor!$1:$1048576,AC$2,FALSE)</f>
        <v>6863.3854229999997</v>
      </c>
      <c r="AD1115" s="356">
        <f>+VLOOKUP($E1115,Labor!$1:$1048576,AD$2,FALSE)</f>
        <v>6881.5105430000003</v>
      </c>
      <c r="AE1115" s="356">
        <f>+VLOOKUP($E1115,Labor!$1:$1048576,AE$2,FALSE)</f>
        <v>6899.6612960000002</v>
      </c>
      <c r="AF1115" s="356">
        <f>+VLOOKUP($E1115,Labor!$1:$1048576,AF$2,FALSE)</f>
        <v>6917.8381769999996</v>
      </c>
      <c r="AG1115" s="356">
        <f>+VLOOKUP($E1115,Labor!$1:$1048576,AG$2,FALSE)</f>
        <v>6936.0415869999997</v>
      </c>
      <c r="AH1115" s="356">
        <f>+VLOOKUP($E1115,Labor!$1:$1048576,AH$2,FALSE)</f>
        <v>6954.2719120000002</v>
      </c>
      <c r="AI1115" s="356">
        <f>+VLOOKUP($E1115,Labor!$1:$1048576,AI$2,FALSE)</f>
        <v>6972.5295749999996</v>
      </c>
      <c r="AJ1115" s="356">
        <f>+VLOOKUP($E1115,Labor!$1:$1048576,AJ$2,FALSE)</f>
        <v>6990.8150830000004</v>
      </c>
      <c r="AK1115" s="356">
        <f>+VLOOKUP($E1115,Labor!$1:$1048576,AK$2,FALSE)</f>
        <v>7009.1290440000002</v>
      </c>
      <c r="AL1115" s="356">
        <f>+VLOOKUP($E1115,Labor!$1:$1048576,AL$2,FALSE)</f>
        <v>7027.4721740000005</v>
      </c>
      <c r="AM1115" s="356">
        <f>+VLOOKUP($E1115,Labor!$1:$1048576,AM$2,FALSE)</f>
        <v>7045.8452870000001</v>
      </c>
      <c r="AN1115" s="356">
        <f>+VLOOKUP($E1115,Labor!$1:$1048576,AN$2,FALSE)</f>
        <v>7064.24928</v>
      </c>
      <c r="AO1115" s="356">
        <f>+VLOOKUP($E1115,Labor!$1:$1048576,AO$2,FALSE)</f>
        <v>7082.6851079999997</v>
      </c>
    </row>
    <row r="1116" spans="1:41" s="108" customFormat="1" ht="15" customHeight="1" x14ac:dyDescent="0.25">
      <c r="A1116" s="402"/>
      <c r="B1116" s="411"/>
      <c r="C1116" s="87" t="s">
        <v>801</v>
      </c>
      <c r="D1116" s="149"/>
      <c r="E1116" s="90" t="s">
        <v>824</v>
      </c>
      <c r="F1116" s="354" t="e">
        <f>+VLOOKUP($E1116,Labor!$1:$1048576,F$2,FALSE)</f>
        <v>#N/A</v>
      </c>
      <c r="G1116" s="354" t="e">
        <f>+VLOOKUP($E1116,Labor!$1:$1048576,G$2,FALSE)</f>
        <v>#N/A</v>
      </c>
      <c r="H1116" s="354" t="e">
        <f>+VLOOKUP($E1116,Labor!$1:$1048576,H$2,FALSE)</f>
        <v>#N/A</v>
      </c>
      <c r="I1116" s="354" t="e">
        <f>+VLOOKUP($E1116,Labor!$1:$1048576,I$2,FALSE)</f>
        <v>#N/A</v>
      </c>
      <c r="J1116" s="354" t="e">
        <f>+VLOOKUP($E1116,Labor!$1:$1048576,J$2,FALSE)</f>
        <v>#N/A</v>
      </c>
      <c r="K1116" s="354" t="e">
        <f>+VLOOKUP($E1116,Labor!$1:$1048576,K$2,FALSE)</f>
        <v>#N/A</v>
      </c>
      <c r="L1116" s="354" t="e">
        <f>+VLOOKUP($E1116,Labor!$1:$1048576,L$2,FALSE)</f>
        <v>#N/A</v>
      </c>
      <c r="M1116" s="354" t="e">
        <f>+VLOOKUP($E1116,Labor!$1:$1048576,M$2,FALSE)</f>
        <v>#N/A</v>
      </c>
      <c r="N1116" s="354" t="e">
        <f>+VLOOKUP($E1116,Labor!$1:$1048576,N$2,FALSE)</f>
        <v>#N/A</v>
      </c>
      <c r="O1116" s="354" t="e">
        <f>+VLOOKUP($E1116,Labor!$1:$1048576,O$2,FALSE)</f>
        <v>#N/A</v>
      </c>
      <c r="P1116" s="354" t="e">
        <f>+VLOOKUP($E1116,Labor!$1:$1048576,P$2,FALSE)</f>
        <v>#N/A</v>
      </c>
      <c r="Q1116" s="354" t="e">
        <f>+VLOOKUP($E1116,Labor!$1:$1048576,Q$2,FALSE)</f>
        <v>#N/A</v>
      </c>
      <c r="R1116" s="354" t="e">
        <f>+VLOOKUP($E1116,Labor!$1:$1048576,R$2,FALSE)</f>
        <v>#N/A</v>
      </c>
      <c r="S1116" s="354" t="e">
        <f>+VLOOKUP($E1116,Labor!$1:$1048576,S$2,FALSE)</f>
        <v>#N/A</v>
      </c>
      <c r="T1116" s="354" t="e">
        <f>+VLOOKUP($E1116,Labor!$1:$1048576,T$2,FALSE)</f>
        <v>#N/A</v>
      </c>
      <c r="U1116" s="354" t="e">
        <f>+VLOOKUP($E1116,Labor!$1:$1048576,U$2,FALSE)</f>
        <v>#N/A</v>
      </c>
      <c r="V1116" s="354" t="e">
        <f>+VLOOKUP($E1116,Labor!$1:$1048576,V$2,FALSE)</f>
        <v>#N/A</v>
      </c>
      <c r="W1116" s="354" t="e">
        <f>+VLOOKUP($E1116,Labor!$1:$1048576,W$2,FALSE)</f>
        <v>#N/A</v>
      </c>
      <c r="X1116" s="354" t="e">
        <f>+VLOOKUP($E1116,Labor!$1:$1048576,X$2,FALSE)</f>
        <v>#N/A</v>
      </c>
      <c r="Y1116" s="354" t="e">
        <f>+VLOOKUP($E1116,Labor!$1:$1048576,Y$2,FALSE)</f>
        <v>#N/A</v>
      </c>
      <c r="Z1116" s="354" t="e">
        <f>+VLOOKUP($E1116,Labor!$1:$1048576,Z$2,FALSE)</f>
        <v>#N/A</v>
      </c>
      <c r="AA1116" s="354" t="e">
        <f>+VLOOKUP($E1116,Labor!$1:$1048576,AA$2,FALSE)</f>
        <v>#N/A</v>
      </c>
      <c r="AB1116" s="354" t="e">
        <f>+VLOOKUP($E1116,Labor!$1:$1048576,AB$2,FALSE)</f>
        <v>#N/A</v>
      </c>
      <c r="AC1116" s="354" t="e">
        <f>+VLOOKUP($E1116,Labor!$1:$1048576,AC$2,FALSE)</f>
        <v>#N/A</v>
      </c>
      <c r="AD1116" s="354" t="e">
        <f>+VLOOKUP($E1116,Labor!$1:$1048576,AD$2,FALSE)</f>
        <v>#N/A</v>
      </c>
      <c r="AE1116" s="354" t="e">
        <f>+VLOOKUP($E1116,Labor!$1:$1048576,AE$2,FALSE)</f>
        <v>#N/A</v>
      </c>
      <c r="AF1116" s="354" t="e">
        <f>+VLOOKUP($E1116,Labor!$1:$1048576,AF$2,FALSE)</f>
        <v>#N/A</v>
      </c>
      <c r="AG1116" s="354" t="e">
        <f>+VLOOKUP($E1116,Labor!$1:$1048576,AG$2,FALSE)</f>
        <v>#N/A</v>
      </c>
      <c r="AH1116" s="354" t="e">
        <f>+VLOOKUP($E1116,Labor!$1:$1048576,AH$2,FALSE)</f>
        <v>#N/A</v>
      </c>
      <c r="AI1116" s="354" t="e">
        <f>+VLOOKUP($E1116,Labor!$1:$1048576,AI$2,FALSE)</f>
        <v>#N/A</v>
      </c>
      <c r="AJ1116" s="354" t="e">
        <f>+VLOOKUP($E1116,Labor!$1:$1048576,AJ$2,FALSE)</f>
        <v>#N/A</v>
      </c>
      <c r="AK1116" s="354" t="e">
        <f>+VLOOKUP($E1116,Labor!$1:$1048576,AK$2,FALSE)</f>
        <v>#N/A</v>
      </c>
      <c r="AL1116" s="354" t="e">
        <f>+VLOOKUP($E1116,Labor!$1:$1048576,AL$2,FALSE)</f>
        <v>#N/A</v>
      </c>
      <c r="AM1116" s="354" t="e">
        <f>+VLOOKUP($E1116,Labor!$1:$1048576,AM$2,FALSE)</f>
        <v>#N/A</v>
      </c>
      <c r="AN1116" s="354" t="e">
        <f>+VLOOKUP($E1116,Labor!$1:$1048576,AN$2,FALSE)</f>
        <v>#N/A</v>
      </c>
      <c r="AO1116" s="354" t="e">
        <f>+VLOOKUP($E1116,Labor!$1:$1048576,AO$2,FALSE)</f>
        <v>#N/A</v>
      </c>
    </row>
    <row r="1117" spans="1:41" s="73" customFormat="1" ht="15" customHeight="1" x14ac:dyDescent="0.25">
      <c r="A1117" s="402"/>
      <c r="B1117" s="411"/>
      <c r="C1117" s="159" t="s">
        <v>466</v>
      </c>
      <c r="D1117" s="109"/>
      <c r="E1117" s="80" t="s">
        <v>825</v>
      </c>
      <c r="F1117" s="356">
        <f>+VLOOKUP($E1117,Labor!$1:$1048576,F$2,FALSE)</f>
        <v>9.1300000000000008</v>
      </c>
      <c r="G1117" s="356">
        <f>+VLOOKUP($E1117,Labor!$1:$1048576,G$2,FALSE)</f>
        <v>9.1238501040000006</v>
      </c>
      <c r="H1117" s="356">
        <f>+VLOOKUP($E1117,Labor!$1:$1048576,H$2,FALSE)</f>
        <v>9.0971384010000005</v>
      </c>
      <c r="I1117" s="356">
        <f>+VLOOKUP($E1117,Labor!$1:$1048576,I$2,FALSE)</f>
        <v>9.0635182430000008</v>
      </c>
      <c r="J1117" s="356">
        <f>+VLOOKUP($E1117,Labor!$1:$1048576,J$2,FALSE)</f>
        <v>9.0322357740000001</v>
      </c>
      <c r="K1117" s="356">
        <f>+VLOOKUP($E1117,Labor!$1:$1048576,K$2,FALSE)</f>
        <v>9.0074677340000004</v>
      </c>
      <c r="L1117" s="356">
        <f>+VLOOKUP($E1117,Labor!$1:$1048576,L$2,FALSE)</f>
        <v>8.9900225799999998</v>
      </c>
      <c r="M1117" s="356">
        <f>+VLOOKUP($E1117,Labor!$1:$1048576,M$2,FALSE)</f>
        <v>8.9790160379999993</v>
      </c>
      <c r="N1117" s="356">
        <f>+VLOOKUP($E1117,Labor!$1:$1048576,N$2,FALSE)</f>
        <v>8.9729747890000002</v>
      </c>
      <c r="O1117" s="356">
        <f>+VLOOKUP($E1117,Labor!$1:$1048576,O$2,FALSE)</f>
        <v>8.970423985</v>
      </c>
      <c r="P1117" s="356">
        <f>+VLOOKUP($E1117,Labor!$1:$1048576,P$2,FALSE)</f>
        <v>8.9701356249999993</v>
      </c>
      <c r="Q1117" s="356">
        <f>+VLOOKUP($E1117,Labor!$1:$1048576,Q$2,FALSE)</f>
        <v>8.9711894640000001</v>
      </c>
      <c r="R1117" s="356">
        <f>+VLOOKUP($E1117,Labor!$1:$1048576,R$2,FALSE)</f>
        <v>8.9729462560000002</v>
      </c>
      <c r="S1117" s="356">
        <f>+VLOOKUP($E1117,Labor!$1:$1048576,S$2,FALSE)</f>
        <v>8.9749898399999992</v>
      </c>
      <c r="T1117" s="356">
        <f>+VLOOKUP($E1117,Labor!$1:$1048576,T$2,FALSE)</f>
        <v>8.9770657830000005</v>
      </c>
      <c r="U1117" s="356">
        <f>+VLOOKUP($E1117,Labor!$1:$1048576,U$2,FALSE)</f>
        <v>8.9790319309999997</v>
      </c>
      <c r="V1117" s="356">
        <f>+VLOOKUP($E1117,Labor!$1:$1048576,V$2,FALSE)</f>
        <v>8.9808196450000004</v>
      </c>
      <c r="W1117" s="356">
        <f>+VLOOKUP($E1117,Labor!$1:$1048576,W$2,FALSE)</f>
        <v>8.9824058010000005</v>
      </c>
      <c r="X1117" s="356">
        <f>+VLOOKUP($E1117,Labor!$1:$1048576,X$2,FALSE)</f>
        <v>8.9837938200000007</v>
      </c>
      <c r="Y1117" s="356">
        <f>+VLOOKUP($E1117,Labor!$1:$1048576,Y$2,FALSE)</f>
        <v>8.9850014340000008</v>
      </c>
      <c r="Z1117" s="356">
        <f>+VLOOKUP($E1117,Labor!$1:$1048576,Z$2,FALSE)</f>
        <v>8.9860531530000003</v>
      </c>
      <c r="AA1117" s="356">
        <f>+VLOOKUP($E1117,Labor!$1:$1048576,AA$2,FALSE)</f>
        <v>8.9869758780000009</v>
      </c>
      <c r="AB1117" s="356">
        <f>+VLOOKUP($E1117,Labor!$1:$1048576,AB$2,FALSE)</f>
        <v>8.9877965260000003</v>
      </c>
      <c r="AC1117" s="356">
        <f>+VLOOKUP($E1117,Labor!$1:$1048576,AC$2,FALSE)</f>
        <v>8.9885408959999999</v>
      </c>
      <c r="AD1117" s="356">
        <f>+VLOOKUP($E1117,Labor!$1:$1048576,AD$2,FALSE)</f>
        <v>8.9892332390000007</v>
      </c>
      <c r="AE1117" s="356">
        <f>+VLOOKUP($E1117,Labor!$1:$1048576,AE$2,FALSE)</f>
        <v>8.9898962040000008</v>
      </c>
      <c r="AF1117" s="356">
        <f>+VLOOKUP($E1117,Labor!$1:$1048576,AF$2,FALSE)</f>
        <v>8.9905509529999996</v>
      </c>
      <c r="AG1117" s="356">
        <f>+VLOOKUP($E1117,Labor!$1:$1048576,AG$2,FALSE)</f>
        <v>8.9912173180000003</v>
      </c>
      <c r="AH1117" s="356">
        <f>+VLOOKUP($E1117,Labor!$1:$1048576,AH$2,FALSE)</f>
        <v>8.991913942</v>
      </c>
      <c r="AI1117" s="356">
        <f>+VLOOKUP($E1117,Labor!$1:$1048576,AI$2,FALSE)</f>
        <v>8.9926583699999991</v>
      </c>
      <c r="AJ1117" s="356">
        <f>+VLOOKUP($E1117,Labor!$1:$1048576,AJ$2,FALSE)</f>
        <v>8.9934670840000006</v>
      </c>
      <c r="AK1117" s="356">
        <f>+VLOOKUP($E1117,Labor!$1:$1048576,AK$2,FALSE)</f>
        <v>8.9943555049999997</v>
      </c>
      <c r="AL1117" s="356">
        <f>+VLOOKUP($E1117,Labor!$1:$1048576,AL$2,FALSE)</f>
        <v>8.9953379610000006</v>
      </c>
      <c r="AM1117" s="356">
        <f>+VLOOKUP($E1117,Labor!$1:$1048576,AM$2,FALSE)</f>
        <v>8.9964276250000008</v>
      </c>
      <c r="AN1117" s="356">
        <f>+VLOOKUP($E1117,Labor!$1:$1048576,AN$2,FALSE)</f>
        <v>8.9976364580000006</v>
      </c>
      <c r="AO1117" s="356">
        <f>+VLOOKUP($E1117,Labor!$1:$1048576,AO$2,FALSE)</f>
        <v>8.9989751469999995</v>
      </c>
    </row>
    <row r="1118" spans="1:41" s="73" customFormat="1" ht="15" customHeight="1" x14ac:dyDescent="0.25">
      <c r="A1118" s="402"/>
      <c r="B1118" s="411"/>
      <c r="C1118" s="159" t="s">
        <v>467</v>
      </c>
      <c r="D1118" s="109"/>
      <c r="E1118" s="80" t="s">
        <v>826</v>
      </c>
      <c r="F1118" s="356">
        <f>+VLOOKUP($E1118,Labor!$1:$1048576,F$2,FALSE)</f>
        <v>6.6935508700000002</v>
      </c>
      <c r="G1118" s="356">
        <f>+VLOOKUP($E1118,Labor!$1:$1048576,G$2,FALSE)</f>
        <v>6.6809962250000003</v>
      </c>
      <c r="H1118" s="356">
        <f>+VLOOKUP($E1118,Labor!$1:$1048576,H$2,FALSE)</f>
        <v>6.6487942589999998</v>
      </c>
      <c r="I1118" s="356">
        <f>+VLOOKUP($E1118,Labor!$1:$1048576,I$2,FALSE)</f>
        <v>6.611209552</v>
      </c>
      <c r="J1118" s="356">
        <f>+VLOOKUP($E1118,Labor!$1:$1048576,J$2,FALSE)</f>
        <v>6.5774313040000001</v>
      </c>
      <c r="K1118" s="356">
        <f>+VLOOKUP($E1118,Labor!$1:$1048576,K$2,FALSE)</f>
        <v>6.5512647470000003</v>
      </c>
      <c r="L1118" s="356">
        <f>+VLOOKUP($E1118,Labor!$1:$1048576,L$2,FALSE)</f>
        <v>6.5331022970000001</v>
      </c>
      <c r="M1118" s="356">
        <f>+VLOOKUP($E1118,Labor!$1:$1048576,M$2,FALSE)</f>
        <v>6.5217250299999998</v>
      </c>
      <c r="N1118" s="356">
        <f>+VLOOKUP($E1118,Labor!$1:$1048576,N$2,FALSE)</f>
        <v>6.515437253</v>
      </c>
      <c r="O1118" s="356">
        <f>+VLOOKUP($E1118,Labor!$1:$1048576,O$2,FALSE)</f>
        <v>6.5126404090000003</v>
      </c>
      <c r="P1118" s="356">
        <f>+VLOOKUP($E1118,Labor!$1:$1048576,P$2,FALSE)</f>
        <v>6.5120538210000003</v>
      </c>
      <c r="Q1118" s="356">
        <f>+VLOOKUP($E1118,Labor!$1:$1048576,Q$2,FALSE)</f>
        <v>6.5127483960000001</v>
      </c>
      <c r="R1118" s="356">
        <f>+VLOOKUP($E1118,Labor!$1:$1048576,R$2,FALSE)</f>
        <v>6.5140984819999996</v>
      </c>
      <c r="S1118" s="356">
        <f>+VLOOKUP($E1118,Labor!$1:$1048576,S$2,FALSE)</f>
        <v>6.515709609</v>
      </c>
      <c r="T1118" s="356">
        <f>+VLOOKUP($E1118,Labor!$1:$1048576,T$2,FALSE)</f>
        <v>6.5173494600000001</v>
      </c>
      <c r="U1118" s="356">
        <f>+VLOOKUP($E1118,Labor!$1:$1048576,U$2,FALSE)</f>
        <v>6.5188923369999996</v>
      </c>
      <c r="V1118" s="356">
        <f>+VLOOKUP($E1118,Labor!$1:$1048576,V$2,FALSE)</f>
        <v>6.5202786379999997</v>
      </c>
      <c r="W1118" s="356">
        <f>+VLOOKUP($E1118,Labor!$1:$1048576,W$2,FALSE)</f>
        <v>6.5214872809999997</v>
      </c>
      <c r="X1118" s="356">
        <f>+VLOOKUP($E1118,Labor!$1:$1048576,X$2,FALSE)</f>
        <v>6.5225180439999999</v>
      </c>
      <c r="Y1118" s="356">
        <f>+VLOOKUP($E1118,Labor!$1:$1048576,Y$2,FALSE)</f>
        <v>6.5233808629999999</v>
      </c>
      <c r="Z1118" s="356">
        <f>+VLOOKUP($E1118,Labor!$1:$1048576,Z$2,FALSE)</f>
        <v>6.524089751</v>
      </c>
      <c r="AA1118" s="356">
        <f>+VLOOKUP($E1118,Labor!$1:$1048576,AA$2,FALSE)</f>
        <v>6.5246596139999999</v>
      </c>
      <c r="AB1118" s="356">
        <f>+VLOOKUP($E1118,Labor!$1:$1048576,AB$2,FALSE)</f>
        <v>6.5251047819999997</v>
      </c>
      <c r="AC1118" s="356">
        <f>+VLOOKUP($E1118,Labor!$1:$1048576,AC$2,FALSE)</f>
        <v>6.5254385140000002</v>
      </c>
      <c r="AD1118" s="356">
        <f>+VLOOKUP($E1118,Labor!$1:$1048576,AD$2,FALSE)</f>
        <v>6.5256729819999997</v>
      </c>
      <c r="AE1118" s="356">
        <f>+VLOOKUP($E1118,Labor!$1:$1048576,AE$2,FALSE)</f>
        <v>6.525819469</v>
      </c>
      <c r="AF1118" s="356">
        <f>+VLOOKUP($E1118,Labor!$1:$1048576,AF$2,FALSE)</f>
        <v>6.5258886189999998</v>
      </c>
      <c r="AG1118" s="356">
        <f>+VLOOKUP($E1118,Labor!$1:$1048576,AG$2,FALSE)</f>
        <v>6.5258906449999996</v>
      </c>
      <c r="AH1118" s="356">
        <f>+VLOOKUP($E1118,Labor!$1:$1048576,AH$2,FALSE)</f>
        <v>6.525835496</v>
      </c>
      <c r="AI1118" s="356">
        <f>+VLOOKUP($E1118,Labor!$1:$1048576,AI$2,FALSE)</f>
        <v>6.5257329339999997</v>
      </c>
      <c r="AJ1118" s="356">
        <f>+VLOOKUP($E1118,Labor!$1:$1048576,AJ$2,FALSE)</f>
        <v>6.5255925609999998</v>
      </c>
      <c r="AK1118" s="356">
        <f>+VLOOKUP($E1118,Labor!$1:$1048576,AK$2,FALSE)</f>
        <v>6.5254237909999997</v>
      </c>
      <c r="AL1118" s="356">
        <f>+VLOOKUP($E1118,Labor!$1:$1048576,AL$2,FALSE)</f>
        <v>6.5252357889999999</v>
      </c>
      <c r="AM1118" s="356">
        <f>+VLOOKUP($E1118,Labor!$1:$1048576,AM$2,FALSE)</f>
        <v>6.5250373880000003</v>
      </c>
      <c r="AN1118" s="356">
        <f>+VLOOKUP($E1118,Labor!$1:$1048576,AN$2,FALSE)</f>
        <v>6.5248369999999998</v>
      </c>
      <c r="AO1118" s="356">
        <f>+VLOOKUP($E1118,Labor!$1:$1048576,AO$2,FALSE)</f>
        <v>6.524642525</v>
      </c>
    </row>
    <row r="1119" spans="1:41" s="73" customFormat="1" ht="15" customHeight="1" x14ac:dyDescent="0.25">
      <c r="A1119" s="402"/>
      <c r="B1119" s="411"/>
      <c r="C1119" s="159" t="s">
        <v>470</v>
      </c>
      <c r="D1119" s="109"/>
      <c r="E1119" s="80" t="s">
        <v>827</v>
      </c>
      <c r="F1119" s="356">
        <f>+VLOOKUP($E1119,Labor!$1:$1048576,F$2,FALSE)</f>
        <v>1.4679326509999999</v>
      </c>
      <c r="G1119" s="356">
        <f>+VLOOKUP($E1119,Labor!$1:$1048576,G$2,FALSE)</f>
        <v>1.469261253</v>
      </c>
      <c r="H1119" s="356">
        <f>+VLOOKUP($E1119,Labor!$1:$1048576,H$2,FALSE)</f>
        <v>1.4684922979999999</v>
      </c>
      <c r="I1119" s="356">
        <f>+VLOOKUP($E1119,Labor!$1:$1048576,I$2,FALSE)</f>
        <v>1.4665432309999999</v>
      </c>
      <c r="J1119" s="356">
        <f>+VLOOKUP($E1119,Labor!$1:$1048576,J$2,FALSE)</f>
        <v>1.464205601</v>
      </c>
      <c r="K1119" s="356">
        <f>+VLOOKUP($E1119,Labor!$1:$1048576,K$2,FALSE)</f>
        <v>1.4619649800000001</v>
      </c>
      <c r="L1119" s="356">
        <f>+VLOOKUP($E1119,Labor!$1:$1048576,L$2,FALSE)</f>
        <v>1.460048893</v>
      </c>
      <c r="M1119" s="356">
        <f>+VLOOKUP($E1119,Labor!$1:$1048576,M$2,FALSE)</f>
        <v>1.4585203309999999</v>
      </c>
      <c r="N1119" s="356">
        <f>+VLOOKUP($E1119,Labor!$1:$1048576,N$2,FALSE)</f>
        <v>1.4573557210000001</v>
      </c>
      <c r="O1119" s="356">
        <f>+VLOOKUP($E1119,Labor!$1:$1048576,O$2,FALSE)</f>
        <v>1.4564959449999999</v>
      </c>
      <c r="P1119" s="356">
        <f>+VLOOKUP($E1119,Labor!$1:$1048576,P$2,FALSE)</f>
        <v>1.45587497</v>
      </c>
      <c r="Q1119" s="356">
        <f>+VLOOKUP($E1119,Labor!$1:$1048576,Q$2,FALSE)</f>
        <v>1.4554335350000001</v>
      </c>
      <c r="R1119" s="356">
        <f>+VLOOKUP($E1119,Labor!$1:$1048576,R$2,FALSE)</f>
        <v>1.4551240990000001</v>
      </c>
      <c r="S1119" s="356">
        <f>+VLOOKUP($E1119,Labor!$1:$1048576,S$2,FALSE)</f>
        <v>1.454911015</v>
      </c>
      <c r="T1119" s="356">
        <f>+VLOOKUP($E1119,Labor!$1:$1048576,T$2,FALSE)</f>
        <v>1.4547686310000001</v>
      </c>
      <c r="U1119" s="356">
        <f>+VLOOKUP($E1119,Labor!$1:$1048576,U$2,FALSE)</f>
        <v>1.4546798190000001</v>
      </c>
      <c r="V1119" s="356">
        <f>+VLOOKUP($E1119,Labor!$1:$1048576,V$2,FALSE)</f>
        <v>1.4546339230000001</v>
      </c>
      <c r="W1119" s="356">
        <f>+VLOOKUP($E1119,Labor!$1:$1048576,W$2,FALSE)</f>
        <v>1.454624787</v>
      </c>
      <c r="X1119" s="356">
        <f>+VLOOKUP($E1119,Labor!$1:$1048576,X$2,FALSE)</f>
        <v>1.454649249</v>
      </c>
      <c r="Y1119" s="356">
        <f>+VLOOKUP($E1119,Labor!$1:$1048576,Y$2,FALSE)</f>
        <v>1.454706053</v>
      </c>
      <c r="Z1119" s="356">
        <f>+VLOOKUP($E1119,Labor!$1:$1048576,Z$2,FALSE)</f>
        <v>1.4547950599999999</v>
      </c>
      <c r="AA1119" s="356">
        <f>+VLOOKUP($E1119,Labor!$1:$1048576,AA$2,FALSE)</f>
        <v>1.454916702</v>
      </c>
      <c r="AB1119" s="356">
        <f>+VLOOKUP($E1119,Labor!$1:$1048576,AB$2,FALSE)</f>
        <v>1.4550716349999999</v>
      </c>
      <c r="AC1119" s="356">
        <f>+VLOOKUP($E1119,Labor!$1:$1048576,AC$2,FALSE)</f>
        <v>1.455260534</v>
      </c>
      <c r="AD1119" s="356">
        <f>+VLOOKUP($E1119,Labor!$1:$1048576,AD$2,FALSE)</f>
        <v>1.4554839879999999</v>
      </c>
      <c r="AE1119" s="356">
        <f>+VLOOKUP($E1119,Labor!$1:$1048576,AE$2,FALSE)</f>
        <v>1.4557424619999999</v>
      </c>
      <c r="AF1119" s="356">
        <f>+VLOOKUP($E1119,Labor!$1:$1048576,AF$2,FALSE)</f>
        <v>1.456036286</v>
      </c>
      <c r="AG1119" s="356">
        <f>+VLOOKUP($E1119,Labor!$1:$1048576,AG$2,FALSE)</f>
        <v>1.4563656810000001</v>
      </c>
      <c r="AH1119" s="356">
        <f>+VLOOKUP($E1119,Labor!$1:$1048576,AH$2,FALSE)</f>
        <v>1.4567307789999999</v>
      </c>
      <c r="AI1119" s="356">
        <f>+VLOOKUP($E1119,Labor!$1:$1048576,AI$2,FALSE)</f>
        <v>1.4571316480000001</v>
      </c>
      <c r="AJ1119" s="356">
        <f>+VLOOKUP($E1119,Labor!$1:$1048576,AJ$2,FALSE)</f>
        <v>1.4575683020000001</v>
      </c>
      <c r="AK1119" s="356">
        <f>+VLOOKUP($E1119,Labor!$1:$1048576,AK$2,FALSE)</f>
        <v>1.4580407289999999</v>
      </c>
      <c r="AL1119" s="356">
        <f>+VLOOKUP($E1119,Labor!$1:$1048576,AL$2,FALSE)</f>
        <v>1.45854891</v>
      </c>
      <c r="AM1119" s="356">
        <f>+VLOOKUP($E1119,Labor!$1:$1048576,AM$2,FALSE)</f>
        <v>1.459092818</v>
      </c>
      <c r="AN1119" s="356">
        <f>+VLOOKUP($E1119,Labor!$1:$1048576,AN$2,FALSE)</f>
        <v>1.459672423</v>
      </c>
      <c r="AO1119" s="356">
        <f>+VLOOKUP($E1119,Labor!$1:$1048576,AO$2,FALSE)</f>
        <v>1.4602876849999999</v>
      </c>
    </row>
    <row r="1120" spans="1:41" s="73" customFormat="1" ht="15" customHeight="1" x14ac:dyDescent="0.25">
      <c r="A1120" s="402"/>
      <c r="B1120" s="411"/>
      <c r="C1120" s="159" t="s">
        <v>471</v>
      </c>
      <c r="D1120" s="109"/>
      <c r="E1120" s="80" t="s">
        <v>828</v>
      </c>
      <c r="F1120" s="356">
        <f>+VLOOKUP($E1120,Labor!$1:$1048576,F$2,FALSE)</f>
        <v>0.72081410260000001</v>
      </c>
      <c r="G1120" s="356">
        <f>+VLOOKUP($E1120,Labor!$1:$1048576,G$2,FALSE)</f>
        <v>0.72146737309999998</v>
      </c>
      <c r="H1120" s="356">
        <f>+VLOOKUP($E1120,Labor!$1:$1048576,H$2,FALSE)</f>
        <v>0.72109231979999999</v>
      </c>
      <c r="I1120" s="356">
        <f>+VLOOKUP($E1120,Labor!$1:$1048576,I$2,FALSE)</f>
        <v>0.7201394055</v>
      </c>
      <c r="J1120" s="356">
        <f>+VLOOKUP($E1120,Labor!$1:$1048576,J$2,FALSE)</f>
        <v>0.71899648299999996</v>
      </c>
      <c r="K1120" s="356">
        <f>+VLOOKUP($E1120,Labor!$1:$1048576,K$2,FALSE)</f>
        <v>0.71790082499999996</v>
      </c>
      <c r="L1120" s="356">
        <f>+VLOOKUP($E1120,Labor!$1:$1048576,L$2,FALSE)</f>
        <v>0.71696311130000001</v>
      </c>
      <c r="M1120" s="356">
        <f>+VLOOKUP($E1120,Labor!$1:$1048576,M$2,FALSE)</f>
        <v>0.71621361520000004</v>
      </c>
      <c r="N1120" s="356">
        <f>+VLOOKUP($E1120,Labor!$1:$1048576,N$2,FALSE)</f>
        <v>0.71564056109999996</v>
      </c>
      <c r="O1120" s="356">
        <f>+VLOOKUP($E1120,Labor!$1:$1048576,O$2,FALSE)</f>
        <v>0.7152151162</v>
      </c>
      <c r="P1120" s="356">
        <f>+VLOOKUP($E1120,Labor!$1:$1048576,P$2,FALSE)</f>
        <v>0.71490532549999997</v>
      </c>
      <c r="Q1120" s="356">
        <f>+VLOOKUP($E1120,Labor!$1:$1048576,Q$2,FALSE)</f>
        <v>0.71468270270000001</v>
      </c>
      <c r="R1120" s="356">
        <f>+VLOOKUP($E1120,Labor!$1:$1048576,R$2,FALSE)</f>
        <v>0.71452454669999999</v>
      </c>
      <c r="S1120" s="356">
        <f>+VLOOKUP($E1120,Labor!$1:$1048576,S$2,FALSE)</f>
        <v>0.71441394830000005</v>
      </c>
      <c r="T1120" s="356">
        <f>+VLOOKUP($E1120,Labor!$1:$1048576,T$2,FALSE)</f>
        <v>0.71433881050000003</v>
      </c>
      <c r="U1120" s="356">
        <f>+VLOOKUP($E1120,Labor!$1:$1048576,U$2,FALSE)</f>
        <v>0.71429110240000004</v>
      </c>
      <c r="V1120" s="356">
        <f>+VLOOKUP($E1120,Labor!$1:$1048576,V$2,FALSE)</f>
        <v>0.71426585220000005</v>
      </c>
      <c r="W1120" s="356">
        <f>+VLOOKUP($E1120,Labor!$1:$1048576,W$2,FALSE)</f>
        <v>0.71426018660000001</v>
      </c>
      <c r="X1120" s="356">
        <f>+VLOOKUP($E1120,Labor!$1:$1048576,X$2,FALSE)</f>
        <v>0.71427260930000003</v>
      </c>
      <c r="Y1120" s="356">
        <f>+VLOOKUP($E1120,Labor!$1:$1048576,Y$2,FALSE)</f>
        <v>0.71430248640000005</v>
      </c>
      <c r="Z1120" s="356">
        <f>+VLOOKUP($E1120,Labor!$1:$1048576,Z$2,FALSE)</f>
        <v>0.71434967699999996</v>
      </c>
      <c r="AA1120" s="356">
        <f>+VLOOKUP($E1120,Labor!$1:$1048576,AA$2,FALSE)</f>
        <v>0.71441428269999996</v>
      </c>
      <c r="AB1120" s="356">
        <f>+VLOOKUP($E1120,Labor!$1:$1048576,AB$2,FALSE)</f>
        <v>0.71449649150000005</v>
      </c>
      <c r="AC1120" s="356">
        <f>+VLOOKUP($E1120,Labor!$1:$1048576,AC$2,FALSE)</f>
        <v>0.71459648840000001</v>
      </c>
      <c r="AD1120" s="356">
        <f>+VLOOKUP($E1120,Labor!$1:$1048576,AD$2,FALSE)</f>
        <v>0.71471441209999997</v>
      </c>
      <c r="AE1120" s="356">
        <f>+VLOOKUP($E1120,Labor!$1:$1048576,AE$2,FALSE)</f>
        <v>0.71485034059999997</v>
      </c>
      <c r="AF1120" s="356">
        <f>+VLOOKUP($E1120,Labor!$1:$1048576,AF$2,FALSE)</f>
        <v>0.71500429369999996</v>
      </c>
      <c r="AG1120" s="356">
        <f>+VLOOKUP($E1120,Labor!$1:$1048576,AG$2,FALSE)</f>
        <v>0.71517624300000004</v>
      </c>
      <c r="AH1120" s="356">
        <f>+VLOOKUP($E1120,Labor!$1:$1048576,AH$2,FALSE)</f>
        <v>0.71536612619999995</v>
      </c>
      <c r="AI1120" s="356">
        <f>+VLOOKUP($E1120,Labor!$1:$1048576,AI$2,FALSE)</f>
        <v>0.71557385900000003</v>
      </c>
      <c r="AJ1120" s="356">
        <f>+VLOOKUP($E1120,Labor!$1:$1048576,AJ$2,FALSE)</f>
        <v>0.71579933969999998</v>
      </c>
      <c r="AK1120" s="356">
        <f>+VLOOKUP($E1120,Labor!$1:$1048576,AK$2,FALSE)</f>
        <v>0.7160424634</v>
      </c>
      <c r="AL1120" s="356">
        <f>+VLOOKUP($E1120,Labor!$1:$1048576,AL$2,FALSE)</f>
        <v>0.71630312969999999</v>
      </c>
      <c r="AM1120" s="356">
        <f>+VLOOKUP($E1120,Labor!$1:$1048576,AM$2,FALSE)</f>
        <v>0.71658124430000003</v>
      </c>
      <c r="AN1120" s="356">
        <f>+VLOOKUP($E1120,Labor!$1:$1048576,AN$2,FALSE)</f>
        <v>0.71687671870000003</v>
      </c>
      <c r="AO1120" s="356">
        <f>+VLOOKUP($E1120,Labor!$1:$1048576,AO$2,FALSE)</f>
        <v>0.71718946839999997</v>
      </c>
    </row>
    <row r="1121" spans="1:41" s="108" customFormat="1" ht="15" customHeight="1" x14ac:dyDescent="0.25">
      <c r="A1121" s="402"/>
      <c r="B1121" s="411"/>
      <c r="C1121" s="87" t="s">
        <v>495</v>
      </c>
      <c r="D1121" s="149"/>
      <c r="E1121" s="90" t="s">
        <v>829</v>
      </c>
      <c r="F1121" s="354" t="e">
        <f>+VLOOKUP($E1121,Labor!$1:$1048576,F$2,FALSE)</f>
        <v>#N/A</v>
      </c>
      <c r="G1121" s="354" t="e">
        <f>+VLOOKUP($E1121,Labor!$1:$1048576,G$2,FALSE)</f>
        <v>#N/A</v>
      </c>
      <c r="H1121" s="354" t="e">
        <f>+VLOOKUP($E1121,Labor!$1:$1048576,H$2,FALSE)</f>
        <v>#N/A</v>
      </c>
      <c r="I1121" s="354" t="e">
        <f>+VLOOKUP($E1121,Labor!$1:$1048576,I$2,FALSE)</f>
        <v>#N/A</v>
      </c>
      <c r="J1121" s="354" t="e">
        <f>+VLOOKUP($E1121,Labor!$1:$1048576,J$2,FALSE)</f>
        <v>#N/A</v>
      </c>
      <c r="K1121" s="354" t="e">
        <f>+VLOOKUP($E1121,Labor!$1:$1048576,K$2,FALSE)</f>
        <v>#N/A</v>
      </c>
      <c r="L1121" s="354" t="e">
        <f>+VLOOKUP($E1121,Labor!$1:$1048576,L$2,FALSE)</f>
        <v>#N/A</v>
      </c>
      <c r="M1121" s="354" t="e">
        <f>+VLOOKUP($E1121,Labor!$1:$1048576,M$2,FALSE)</f>
        <v>#N/A</v>
      </c>
      <c r="N1121" s="354" t="e">
        <f>+VLOOKUP($E1121,Labor!$1:$1048576,N$2,FALSE)</f>
        <v>#N/A</v>
      </c>
      <c r="O1121" s="354" t="e">
        <f>+VLOOKUP($E1121,Labor!$1:$1048576,O$2,FALSE)</f>
        <v>#N/A</v>
      </c>
      <c r="P1121" s="354" t="e">
        <f>+VLOOKUP($E1121,Labor!$1:$1048576,P$2,FALSE)</f>
        <v>#N/A</v>
      </c>
      <c r="Q1121" s="354" t="e">
        <f>+VLOOKUP($E1121,Labor!$1:$1048576,Q$2,FALSE)</f>
        <v>#N/A</v>
      </c>
      <c r="R1121" s="354" t="e">
        <f>+VLOOKUP($E1121,Labor!$1:$1048576,R$2,FALSE)</f>
        <v>#N/A</v>
      </c>
      <c r="S1121" s="354" t="e">
        <f>+VLOOKUP($E1121,Labor!$1:$1048576,S$2,FALSE)</f>
        <v>#N/A</v>
      </c>
      <c r="T1121" s="354" t="e">
        <f>+VLOOKUP($E1121,Labor!$1:$1048576,T$2,FALSE)</f>
        <v>#N/A</v>
      </c>
      <c r="U1121" s="354" t="e">
        <f>+VLOOKUP($E1121,Labor!$1:$1048576,U$2,FALSE)</f>
        <v>#N/A</v>
      </c>
      <c r="V1121" s="354" t="e">
        <f>+VLOOKUP($E1121,Labor!$1:$1048576,V$2,FALSE)</f>
        <v>#N/A</v>
      </c>
      <c r="W1121" s="354" t="e">
        <f>+VLOOKUP($E1121,Labor!$1:$1048576,W$2,FALSE)</f>
        <v>#N/A</v>
      </c>
      <c r="X1121" s="354" t="e">
        <f>+VLOOKUP($E1121,Labor!$1:$1048576,X$2,FALSE)</f>
        <v>#N/A</v>
      </c>
      <c r="Y1121" s="354" t="e">
        <f>+VLOOKUP($E1121,Labor!$1:$1048576,Y$2,FALSE)</f>
        <v>#N/A</v>
      </c>
      <c r="Z1121" s="354" t="e">
        <f>+VLOOKUP($E1121,Labor!$1:$1048576,Z$2,FALSE)</f>
        <v>#N/A</v>
      </c>
      <c r="AA1121" s="354" t="e">
        <f>+VLOOKUP($E1121,Labor!$1:$1048576,AA$2,FALSE)</f>
        <v>#N/A</v>
      </c>
      <c r="AB1121" s="354" t="e">
        <f>+VLOOKUP($E1121,Labor!$1:$1048576,AB$2,FALSE)</f>
        <v>#N/A</v>
      </c>
      <c r="AC1121" s="354" t="e">
        <f>+VLOOKUP($E1121,Labor!$1:$1048576,AC$2,FALSE)</f>
        <v>#N/A</v>
      </c>
      <c r="AD1121" s="354" t="e">
        <f>+VLOOKUP($E1121,Labor!$1:$1048576,AD$2,FALSE)</f>
        <v>#N/A</v>
      </c>
      <c r="AE1121" s="354" t="e">
        <f>+VLOOKUP($E1121,Labor!$1:$1048576,AE$2,FALSE)</f>
        <v>#N/A</v>
      </c>
      <c r="AF1121" s="354" t="e">
        <f>+VLOOKUP($E1121,Labor!$1:$1048576,AF$2,FALSE)</f>
        <v>#N/A</v>
      </c>
      <c r="AG1121" s="354" t="e">
        <f>+VLOOKUP($E1121,Labor!$1:$1048576,AG$2,FALSE)</f>
        <v>#N/A</v>
      </c>
      <c r="AH1121" s="354" t="e">
        <f>+VLOOKUP($E1121,Labor!$1:$1048576,AH$2,FALSE)</f>
        <v>#N/A</v>
      </c>
      <c r="AI1121" s="354" t="e">
        <f>+VLOOKUP($E1121,Labor!$1:$1048576,AI$2,FALSE)</f>
        <v>#N/A</v>
      </c>
      <c r="AJ1121" s="354" t="e">
        <f>+VLOOKUP($E1121,Labor!$1:$1048576,AJ$2,FALSE)</f>
        <v>#N/A</v>
      </c>
      <c r="AK1121" s="354" t="e">
        <f>+VLOOKUP($E1121,Labor!$1:$1048576,AK$2,FALSE)</f>
        <v>#N/A</v>
      </c>
      <c r="AL1121" s="354" t="e">
        <f>+VLOOKUP($E1121,Labor!$1:$1048576,AL$2,FALSE)</f>
        <v>#N/A</v>
      </c>
      <c r="AM1121" s="354" t="e">
        <f>+VLOOKUP($E1121,Labor!$1:$1048576,AM$2,FALSE)</f>
        <v>#N/A</v>
      </c>
      <c r="AN1121" s="354" t="e">
        <f>+VLOOKUP($E1121,Labor!$1:$1048576,AN$2,FALSE)</f>
        <v>#N/A</v>
      </c>
      <c r="AO1121" s="354" t="e">
        <f>+VLOOKUP($E1121,Labor!$1:$1048576,AO$2,FALSE)</f>
        <v>#N/A</v>
      </c>
    </row>
    <row r="1122" spans="1:41" s="73" customFormat="1" ht="15" customHeight="1" x14ac:dyDescent="0.25">
      <c r="A1122" s="402"/>
      <c r="B1122" s="411"/>
      <c r="C1122" s="159" t="s">
        <v>474</v>
      </c>
      <c r="D1122" s="109"/>
      <c r="E1122" s="80" t="s">
        <v>830</v>
      </c>
      <c r="F1122" s="356">
        <f>+VLOOKUP($E1122,Labor!$1:$1048576,F$2,FALSE)</f>
        <v>59.475652169999996</v>
      </c>
      <c r="G1122" s="356">
        <f>+VLOOKUP($E1122,Labor!$1:$1048576,G$2,FALSE)</f>
        <v>59.444414860000002</v>
      </c>
      <c r="H1122" s="356">
        <f>+VLOOKUP($E1122,Labor!$1:$1048576,H$2,FALSE)</f>
        <v>59.250641979999997</v>
      </c>
      <c r="I1122" s="356">
        <f>+VLOOKUP($E1122,Labor!$1:$1048576,I$2,FALSE)</f>
        <v>58.961067300000003</v>
      </c>
      <c r="J1122" s="356">
        <f>+VLOOKUP($E1122,Labor!$1:$1048576,J$2,FALSE)</f>
        <v>58.633918850000001</v>
      </c>
      <c r="K1122" s="356">
        <f>+VLOOKUP($E1122,Labor!$1:$1048576,K$2,FALSE)</f>
        <v>58.305810479999998</v>
      </c>
      <c r="L1122" s="356">
        <f>+VLOOKUP($E1122,Labor!$1:$1048576,L$2,FALSE)</f>
        <v>57.994900360000003</v>
      </c>
      <c r="M1122" s="356">
        <f>+VLOOKUP($E1122,Labor!$1:$1048576,M$2,FALSE)</f>
        <v>57.707422770000001</v>
      </c>
      <c r="N1122" s="356">
        <f>+VLOOKUP($E1122,Labor!$1:$1048576,N$2,FALSE)</f>
        <v>57.443200599999997</v>
      </c>
      <c r="O1122" s="356">
        <f>+VLOOKUP($E1122,Labor!$1:$1048576,O$2,FALSE)</f>
        <v>57.199277410000001</v>
      </c>
      <c r="P1122" s="356">
        <f>+VLOOKUP($E1122,Labor!$1:$1048576,P$2,FALSE)</f>
        <v>56.971969549999997</v>
      </c>
      <c r="Q1122" s="356">
        <f>+VLOOKUP($E1122,Labor!$1:$1048576,Q$2,FALSE)</f>
        <v>56.757860229999999</v>
      </c>
      <c r="R1122" s="356">
        <f>+VLOOKUP($E1122,Labor!$1:$1048576,R$2,FALSE)</f>
        <v>56.55417448</v>
      </c>
      <c r="S1122" s="356">
        <f>+VLOOKUP($E1122,Labor!$1:$1048576,S$2,FALSE)</f>
        <v>56.358833879999999</v>
      </c>
      <c r="T1122" s="356">
        <f>+VLOOKUP($E1122,Labor!$1:$1048576,T$2,FALSE)</f>
        <v>56.170370149999997</v>
      </c>
      <c r="U1122" s="356">
        <f>+VLOOKUP($E1122,Labor!$1:$1048576,U$2,FALSE)</f>
        <v>55.987794239999999</v>
      </c>
      <c r="V1122" s="356">
        <f>+VLOOKUP($E1122,Labor!$1:$1048576,V$2,FALSE)</f>
        <v>55.810467860000003</v>
      </c>
      <c r="W1122" s="356">
        <f>+VLOOKUP($E1122,Labor!$1:$1048576,W$2,FALSE)</f>
        <v>55.637965899999998</v>
      </c>
      <c r="X1122" s="356">
        <f>+VLOOKUP($E1122,Labor!$1:$1048576,X$2,FALSE)</f>
        <v>55.470013399999999</v>
      </c>
      <c r="Y1122" s="356">
        <f>+VLOOKUP($E1122,Labor!$1:$1048576,Y$2,FALSE)</f>
        <v>55.306451269999997</v>
      </c>
      <c r="Z1122" s="356">
        <f>+VLOOKUP($E1122,Labor!$1:$1048576,Z$2,FALSE)</f>
        <v>55.14719685</v>
      </c>
      <c r="AA1122" s="356">
        <f>+VLOOKUP($E1122,Labor!$1:$1048576,AA$2,FALSE)</f>
        <v>54.992211589999997</v>
      </c>
      <c r="AB1122" s="356">
        <f>+VLOOKUP($E1122,Labor!$1:$1048576,AB$2,FALSE)</f>
        <v>54.8414784</v>
      </c>
      <c r="AC1122" s="356">
        <f>+VLOOKUP($E1122,Labor!$1:$1048576,AC$2,FALSE)</f>
        <v>54.69498755</v>
      </c>
      <c r="AD1122" s="356">
        <f>+VLOOKUP($E1122,Labor!$1:$1048576,AD$2,FALSE)</f>
        <v>54.55272883</v>
      </c>
      <c r="AE1122" s="356">
        <f>+VLOOKUP($E1122,Labor!$1:$1048576,AE$2,FALSE)</f>
        <v>54.414687829999998</v>
      </c>
      <c r="AF1122" s="356">
        <f>+VLOOKUP($E1122,Labor!$1:$1048576,AF$2,FALSE)</f>
        <v>54.280844770000002</v>
      </c>
      <c r="AG1122" s="356">
        <f>+VLOOKUP($E1122,Labor!$1:$1048576,AG$2,FALSE)</f>
        <v>54.151174670000003</v>
      </c>
      <c r="AH1122" s="356">
        <f>+VLOOKUP($E1122,Labor!$1:$1048576,AH$2,FALSE)</f>
        <v>54.025648230000002</v>
      </c>
      <c r="AI1122" s="356">
        <f>+VLOOKUP($E1122,Labor!$1:$1048576,AI$2,FALSE)</f>
        <v>53.90423277</v>
      </c>
      <c r="AJ1122" s="356">
        <f>+VLOOKUP($E1122,Labor!$1:$1048576,AJ$2,FALSE)</f>
        <v>53.786893139999997</v>
      </c>
      <c r="AK1122" s="356">
        <f>+VLOOKUP($E1122,Labor!$1:$1048576,AK$2,FALSE)</f>
        <v>53.67359252</v>
      </c>
      <c r="AL1122" s="356">
        <f>+VLOOKUP($E1122,Labor!$1:$1048576,AL$2,FALSE)</f>
        <v>53.564292909999999</v>
      </c>
      <c r="AM1122" s="356">
        <f>+VLOOKUP($E1122,Labor!$1:$1048576,AM$2,FALSE)</f>
        <v>53.458955529999997</v>
      </c>
      <c r="AN1122" s="356">
        <f>+VLOOKUP($E1122,Labor!$1:$1048576,AN$2,FALSE)</f>
        <v>53.357540929999999</v>
      </c>
      <c r="AO1122" s="356">
        <f>+VLOOKUP($E1122,Labor!$1:$1048576,AO$2,FALSE)</f>
        <v>53.260009160000003</v>
      </c>
    </row>
    <row r="1123" spans="1:41" s="73" customFormat="1" ht="15" customHeight="1" x14ac:dyDescent="0.25">
      <c r="A1123" s="402"/>
      <c r="B1123" s="411"/>
      <c r="C1123" s="159" t="s">
        <v>475</v>
      </c>
      <c r="D1123" s="109"/>
      <c r="E1123" s="80" t="s">
        <v>831</v>
      </c>
      <c r="F1123" s="356">
        <f>+VLOOKUP($E1123,Labor!$1:$1048576,F$2,FALSE)</f>
        <v>1.185341397</v>
      </c>
      <c r="G1123" s="356">
        <f>+VLOOKUP($E1123,Labor!$1:$1048576,G$2,FALSE)</f>
        <v>1.184720548</v>
      </c>
      <c r="H1123" s="356">
        <f>+VLOOKUP($E1123,Labor!$1:$1048576,H$2,FALSE)</f>
        <v>1.1808700409999999</v>
      </c>
      <c r="I1123" s="356">
        <f>+VLOOKUP($E1123,Labor!$1:$1048576,I$2,FALSE)</f>
        <v>1.1751309029999999</v>
      </c>
      <c r="J1123" s="356">
        <f>+VLOOKUP($E1123,Labor!$1:$1048576,J$2,FALSE)</f>
        <v>1.1686721259999999</v>
      </c>
      <c r="K1123" s="356">
        <f>+VLOOKUP($E1123,Labor!$1:$1048576,K$2,FALSE)</f>
        <v>1.162226059</v>
      </c>
      <c r="L1123" s="356">
        <f>+VLOOKUP($E1123,Labor!$1:$1048576,L$2,FALSE)</f>
        <v>1.1561510960000001</v>
      </c>
      <c r="M1123" s="356">
        <f>+VLOOKUP($E1123,Labor!$1:$1048576,M$2,FALSE)</f>
        <v>1.1505635890000001</v>
      </c>
      <c r="N1123" s="356">
        <f>+VLOOKUP($E1123,Labor!$1:$1048576,N$2,FALSE)</f>
        <v>1.145450063</v>
      </c>
      <c r="O1123" s="356">
        <f>+VLOOKUP($E1123,Labor!$1:$1048576,O$2,FALSE)</f>
        <v>1.140741665</v>
      </c>
      <c r="P1123" s="356">
        <f>+VLOOKUP($E1123,Labor!$1:$1048576,P$2,FALSE)</f>
        <v>1.136356446</v>
      </c>
      <c r="Q1123" s="356">
        <f>+VLOOKUP($E1123,Labor!$1:$1048576,Q$2,FALSE)</f>
        <v>1.132219833</v>
      </c>
      <c r="R1123" s="356">
        <f>+VLOOKUP($E1123,Labor!$1:$1048576,R$2,FALSE)</f>
        <v>1.1282722119999999</v>
      </c>
      <c r="S1123" s="356">
        <f>+VLOOKUP($E1123,Labor!$1:$1048576,S$2,FALSE)</f>
        <v>1.1244697669999999</v>
      </c>
      <c r="T1123" s="356">
        <f>+VLOOKUP($E1123,Labor!$1:$1048576,T$2,FALSE)</f>
        <v>1.1207823450000001</v>
      </c>
      <c r="U1123" s="356">
        <f>+VLOOKUP($E1123,Labor!$1:$1048576,U$2,FALSE)</f>
        <v>1.117190414</v>
      </c>
      <c r="V1123" s="356">
        <f>+VLOOKUP($E1123,Labor!$1:$1048576,V$2,FALSE)</f>
        <v>1.1136821109999999</v>
      </c>
      <c r="W1123" s="356">
        <f>+VLOOKUP($E1123,Labor!$1:$1048576,W$2,FALSE)</f>
        <v>1.110250207</v>
      </c>
      <c r="X1123" s="356">
        <f>+VLOOKUP($E1123,Labor!$1:$1048576,X$2,FALSE)</f>
        <v>1.106890637</v>
      </c>
      <c r="Y1123" s="356">
        <f>+VLOOKUP($E1123,Labor!$1:$1048576,Y$2,FALSE)</f>
        <v>1.103601695</v>
      </c>
      <c r="Z1123" s="356">
        <f>+VLOOKUP($E1123,Labor!$1:$1048576,Z$2,FALSE)</f>
        <v>1.1003831749999999</v>
      </c>
      <c r="AA1123" s="356">
        <f>+VLOOKUP($E1123,Labor!$1:$1048576,AA$2,FALSE)</f>
        <v>1.097235696</v>
      </c>
      <c r="AB1123" s="356">
        <f>+VLOOKUP($E1123,Labor!$1:$1048576,AB$2,FALSE)</f>
        <v>1.0941602459999999</v>
      </c>
      <c r="AC1123" s="356">
        <f>+VLOOKUP($E1123,Labor!$1:$1048576,AC$2,FALSE)</f>
        <v>1.091157908</v>
      </c>
      <c r="AD1123" s="356">
        <f>+VLOOKUP($E1123,Labor!$1:$1048576,AD$2,FALSE)</f>
        <v>1.0882297059999999</v>
      </c>
      <c r="AE1123" s="356">
        <f>+VLOOKUP($E1123,Labor!$1:$1048576,AE$2,FALSE)</f>
        <v>1.0853765440000001</v>
      </c>
      <c r="AF1123" s="356">
        <f>+VLOOKUP($E1123,Labor!$1:$1048576,AF$2,FALSE)</f>
        <v>1.082599184</v>
      </c>
      <c r="AG1123" s="356">
        <f>+VLOOKUP($E1123,Labor!$1:$1048576,AG$2,FALSE)</f>
        <v>1.0798982479999999</v>
      </c>
      <c r="AH1123" s="356">
        <f>+VLOOKUP($E1123,Labor!$1:$1048576,AH$2,FALSE)</f>
        <v>1.077274233</v>
      </c>
      <c r="AI1123" s="356">
        <f>+VLOOKUP($E1123,Labor!$1:$1048576,AI$2,FALSE)</f>
        <v>1.0747275249999999</v>
      </c>
      <c r="AJ1123" s="356">
        <f>+VLOOKUP($E1123,Labor!$1:$1048576,AJ$2,FALSE)</f>
        <v>1.0722584079999999</v>
      </c>
      <c r="AK1123" s="356">
        <f>+VLOOKUP($E1123,Labor!$1:$1048576,AK$2,FALSE)</f>
        <v>1.069867076</v>
      </c>
      <c r="AL1123" s="356">
        <f>+VLOOKUP($E1123,Labor!$1:$1048576,AL$2,FALSE)</f>
        <v>1.0675536329999999</v>
      </c>
      <c r="AM1123" s="356">
        <f>+VLOOKUP($E1123,Labor!$1:$1048576,AM$2,FALSE)</f>
        <v>1.0653180959999999</v>
      </c>
      <c r="AN1123" s="356">
        <f>+VLOOKUP($E1123,Labor!$1:$1048576,AN$2,FALSE)</f>
        <v>1.063160399</v>
      </c>
      <c r="AO1123" s="356">
        <f>+VLOOKUP($E1123,Labor!$1:$1048576,AO$2,FALSE)</f>
        <v>1.0610803870000001</v>
      </c>
    </row>
    <row r="1124" spans="1:41" s="73" customFormat="1" ht="15" customHeight="1" x14ac:dyDescent="0.25">
      <c r="A1124" s="402"/>
      <c r="B1124" s="411"/>
      <c r="C1124" s="159" t="s">
        <v>476</v>
      </c>
      <c r="D1124" s="109"/>
      <c r="E1124" s="80" t="s">
        <v>832</v>
      </c>
      <c r="F1124" s="356">
        <f>+VLOOKUP($E1124,Labor!$1:$1048576,F$2,FALSE)</f>
        <v>1.7225001719999999</v>
      </c>
      <c r="G1124" s="356">
        <f>+VLOOKUP($E1124,Labor!$1:$1048576,G$2,FALSE)</f>
        <v>1.7216046709999999</v>
      </c>
      <c r="H1124" s="356">
        <f>+VLOOKUP($E1124,Labor!$1:$1048576,H$2,FALSE)</f>
        <v>1.7160279890000001</v>
      </c>
      <c r="I1124" s="356">
        <f>+VLOOKUP($E1124,Labor!$1:$1048576,I$2,FALSE)</f>
        <v>1.7077193020000001</v>
      </c>
      <c r="J1124" s="356">
        <f>+VLOOKUP($E1124,Labor!$1:$1048576,J$2,FALSE)</f>
        <v>1.698374252</v>
      </c>
      <c r="K1124" s="356">
        <f>+VLOOKUP($E1124,Labor!$1:$1048576,K$2,FALSE)</f>
        <v>1.689052899</v>
      </c>
      <c r="L1124" s="356">
        <f>+VLOOKUP($E1124,Labor!$1:$1048576,L$2,FALSE)</f>
        <v>1.6802723989999999</v>
      </c>
      <c r="M1124" s="356">
        <f>+VLOOKUP($E1124,Labor!$1:$1048576,M$2,FALSE)</f>
        <v>1.6721991869999999</v>
      </c>
      <c r="N1124" s="356">
        <f>+VLOOKUP($E1124,Labor!$1:$1048576,N$2,FALSE)</f>
        <v>1.6648119189999999</v>
      </c>
      <c r="O1124" s="356">
        <f>+VLOOKUP($E1124,Labor!$1:$1048576,O$2,FALSE)</f>
        <v>1.6580093629999999</v>
      </c>
      <c r="P1124" s="356">
        <f>+VLOOKUP($E1124,Labor!$1:$1048576,P$2,FALSE)</f>
        <v>1.6516715820000001</v>
      </c>
      <c r="Q1124" s="356">
        <f>+VLOOKUP($E1124,Labor!$1:$1048576,Q$2,FALSE)</f>
        <v>1.645689551</v>
      </c>
      <c r="R1124" s="356">
        <f>+VLOOKUP($E1124,Labor!$1:$1048576,R$2,FALSE)</f>
        <v>1.639976127</v>
      </c>
      <c r="S1124" s="356">
        <f>+VLOOKUP($E1124,Labor!$1:$1048576,S$2,FALSE)</f>
        <v>1.634467281</v>
      </c>
      <c r="T1124" s="356">
        <f>+VLOOKUP($E1124,Labor!$1:$1048576,T$2,FALSE)</f>
        <v>1.6291190129999999</v>
      </c>
      <c r="U1124" s="356">
        <f>+VLOOKUP($E1124,Labor!$1:$1048576,U$2,FALSE)</f>
        <v>1.6239029359999999</v>
      </c>
      <c r="V1124" s="356">
        <f>+VLOOKUP($E1124,Labor!$1:$1048576,V$2,FALSE)</f>
        <v>1.61880198</v>
      </c>
      <c r="W1124" s="356">
        <f>+VLOOKUP($E1124,Labor!$1:$1048576,W$2,FALSE)</f>
        <v>1.6138059499999999</v>
      </c>
      <c r="X1124" s="356">
        <f>+VLOOKUP($E1124,Labor!$1:$1048576,X$2,FALSE)</f>
        <v>1.6089093670000001</v>
      </c>
      <c r="Y1124" s="356">
        <f>+VLOOKUP($E1124,Labor!$1:$1048576,Y$2,FALSE)</f>
        <v>1.6041102519999999</v>
      </c>
      <c r="Z1124" s="356">
        <f>+VLOOKUP($E1124,Labor!$1:$1048576,Z$2,FALSE)</f>
        <v>1.599408846</v>
      </c>
      <c r="AA1124" s="356">
        <f>+VLOOKUP($E1124,Labor!$1:$1048576,AA$2,FALSE)</f>
        <v>1.594806605</v>
      </c>
      <c r="AB1124" s="356">
        <f>+VLOOKUP($E1124,Labor!$1:$1048576,AB$2,FALSE)</f>
        <v>1.590305517</v>
      </c>
      <c r="AC1124" s="356">
        <f>+VLOOKUP($E1124,Labor!$1:$1048576,AC$2,FALSE)</f>
        <v>1.58590768</v>
      </c>
      <c r="AD1124" s="356">
        <f>+VLOOKUP($E1124,Labor!$1:$1048576,AD$2,FALSE)</f>
        <v>1.581615083</v>
      </c>
      <c r="AE1124" s="356">
        <f>+VLOOKUP($E1124,Labor!$1:$1048576,AE$2,FALSE)</f>
        <v>1.5774295039999999</v>
      </c>
      <c r="AF1124" s="356">
        <f>+VLOOKUP($E1124,Labor!$1:$1048576,AF$2,FALSE)</f>
        <v>1.5733524759999999</v>
      </c>
      <c r="AG1124" s="356">
        <f>+VLOOKUP($E1124,Labor!$1:$1048576,AG$2,FALSE)</f>
        <v>1.569385297</v>
      </c>
      <c r="AH1124" s="356">
        <f>+VLOOKUP($E1124,Labor!$1:$1048576,AH$2,FALSE)</f>
        <v>1.5655290449999999</v>
      </c>
      <c r="AI1124" s="356">
        <f>+VLOOKUP($E1124,Labor!$1:$1048576,AI$2,FALSE)</f>
        <v>1.5617846040000001</v>
      </c>
      <c r="AJ1124" s="356">
        <f>+VLOOKUP($E1124,Labor!$1:$1048576,AJ$2,FALSE)</f>
        <v>1.5581526779999999</v>
      </c>
      <c r="AK1124" s="356">
        <f>+VLOOKUP($E1124,Labor!$1:$1048576,AK$2,FALSE)</f>
        <v>1.5546338070000001</v>
      </c>
      <c r="AL1124" s="356">
        <f>+VLOOKUP($E1124,Labor!$1:$1048576,AL$2,FALSE)</f>
        <v>1.5512283710000001</v>
      </c>
      <c r="AM1124" s="356">
        <f>+VLOOKUP($E1124,Labor!$1:$1048576,AM$2,FALSE)</f>
        <v>1.5479365970000001</v>
      </c>
      <c r="AN1124" s="356">
        <f>+VLOOKUP($E1124,Labor!$1:$1048576,AN$2,FALSE)</f>
        <v>1.54475856</v>
      </c>
      <c r="AO1124" s="356">
        <f>+VLOOKUP($E1124,Labor!$1:$1048576,AO$2,FALSE)</f>
        <v>1.5416941820000001</v>
      </c>
    </row>
    <row r="1125" spans="1:41" s="73" customFormat="1" ht="15" customHeight="1" x14ac:dyDescent="0.25">
      <c r="A1125" s="402"/>
      <c r="B1125" s="411"/>
      <c r="C1125" s="159" t="s">
        <v>477</v>
      </c>
      <c r="D1125" s="109"/>
      <c r="E1125" s="80" t="s">
        <v>833</v>
      </c>
      <c r="F1125" s="356">
        <f>+VLOOKUP($E1125,Labor!$1:$1048576,F$2,FALSE)</f>
        <v>1.5649011639999999</v>
      </c>
      <c r="G1125" s="356">
        <f>+VLOOKUP($E1125,Labor!$1:$1048576,G$2,FALSE)</f>
        <v>1.5640844620000001</v>
      </c>
      <c r="H1125" s="356">
        <f>+VLOOKUP($E1125,Labor!$1:$1048576,H$2,FALSE)</f>
        <v>1.5590078039999999</v>
      </c>
      <c r="I1125" s="356">
        <f>+VLOOKUP($E1125,Labor!$1:$1048576,I$2,FALSE)</f>
        <v>1.5514402730000001</v>
      </c>
      <c r="J1125" s="356">
        <f>+VLOOKUP($E1125,Labor!$1:$1048576,J$2,FALSE)</f>
        <v>1.542923542</v>
      </c>
      <c r="K1125" s="356">
        <f>+VLOOKUP($E1125,Labor!$1:$1048576,K$2,FALSE)</f>
        <v>1.5344237190000001</v>
      </c>
      <c r="L1125" s="356">
        <f>+VLOOKUP($E1125,Labor!$1:$1048576,L$2,FALSE)</f>
        <v>1.5264140589999999</v>
      </c>
      <c r="M1125" s="356">
        <f>+VLOOKUP($E1125,Labor!$1:$1048576,M$2,FALSE)</f>
        <v>1.519048502</v>
      </c>
      <c r="N1125" s="356">
        <f>+VLOOKUP($E1125,Labor!$1:$1048576,N$2,FALSE)</f>
        <v>1.512309288</v>
      </c>
      <c r="O1125" s="356">
        <f>+VLOOKUP($E1125,Labor!$1:$1048576,O$2,FALSE)</f>
        <v>1.506105059</v>
      </c>
      <c r="P1125" s="356">
        <f>+VLOOKUP($E1125,Labor!$1:$1048576,P$2,FALSE)</f>
        <v>1.500326761</v>
      </c>
      <c r="Q1125" s="356">
        <f>+VLOOKUP($E1125,Labor!$1:$1048576,Q$2,FALSE)</f>
        <v>1.4948749139999999</v>
      </c>
      <c r="R1125" s="356">
        <f>+VLOOKUP($E1125,Labor!$1:$1048576,R$2,FALSE)</f>
        <v>1.4896698559999999</v>
      </c>
      <c r="S1125" s="356">
        <f>+VLOOKUP($E1125,Labor!$1:$1048576,S$2,FALSE)</f>
        <v>1.484653032</v>
      </c>
      <c r="T1125" s="356">
        <f>+VLOOKUP($E1125,Labor!$1:$1048576,T$2,FALSE)</f>
        <v>1.479784258</v>
      </c>
      <c r="U1125" s="356">
        <f>+VLOOKUP($E1125,Labor!$1:$1048576,U$2,FALSE)</f>
        <v>1.475037693</v>
      </c>
      <c r="V1125" s="356">
        <f>+VLOOKUP($E1125,Labor!$1:$1048576,V$2,FALSE)</f>
        <v>1.4703978950000001</v>
      </c>
      <c r="W1125" s="356">
        <f>+VLOOKUP($E1125,Labor!$1:$1048576,W$2,FALSE)</f>
        <v>1.4658557249999999</v>
      </c>
      <c r="X1125" s="356">
        <f>+VLOOKUP($E1125,Labor!$1:$1048576,X$2,FALSE)</f>
        <v>1.4614063289999999</v>
      </c>
      <c r="Y1125" s="356">
        <f>+VLOOKUP($E1125,Labor!$1:$1048576,Y$2,FALSE)</f>
        <v>1.4570479999999999</v>
      </c>
      <c r="Z1125" s="356">
        <f>+VLOOKUP($E1125,Labor!$1:$1048576,Z$2,FALSE)</f>
        <v>1.452780993</v>
      </c>
      <c r="AA1125" s="356">
        <f>+VLOOKUP($E1125,Labor!$1:$1048576,AA$2,FALSE)</f>
        <v>1.448606606</v>
      </c>
      <c r="AB1125" s="356">
        <f>+VLOOKUP($E1125,Labor!$1:$1048576,AB$2,FALSE)</f>
        <v>1.444526559</v>
      </c>
      <c r="AC1125" s="356">
        <f>+VLOOKUP($E1125,Labor!$1:$1048576,AC$2,FALSE)</f>
        <v>1.4405426290000001</v>
      </c>
      <c r="AD1125" s="356">
        <f>+VLOOKUP($E1125,Labor!$1:$1048576,AD$2,FALSE)</f>
        <v>1.436656452</v>
      </c>
      <c r="AE1125" s="356">
        <f>+VLOOKUP($E1125,Labor!$1:$1048576,AE$2,FALSE)</f>
        <v>1.4328694449999999</v>
      </c>
      <c r="AF1125" s="356">
        <f>+VLOOKUP($E1125,Labor!$1:$1048576,AF$2,FALSE)</f>
        <v>1.4291827930000001</v>
      </c>
      <c r="AG1125" s="356">
        <f>+VLOOKUP($E1125,Labor!$1:$1048576,AG$2,FALSE)</f>
        <v>1.425597453</v>
      </c>
      <c r="AH1125" s="356">
        <f>+VLOOKUP($E1125,Labor!$1:$1048576,AH$2,FALSE)</f>
        <v>1.4221141879999999</v>
      </c>
      <c r="AI1125" s="356">
        <f>+VLOOKUP($E1125,Labor!$1:$1048576,AI$2,FALSE)</f>
        <v>1.418733588</v>
      </c>
      <c r="AJ1125" s="356">
        <f>+VLOOKUP($E1125,Labor!$1:$1048576,AJ$2,FALSE)</f>
        <v>1.4154560899999999</v>
      </c>
      <c r="AK1125" s="356">
        <f>+VLOOKUP($E1125,Labor!$1:$1048576,AK$2,FALSE)</f>
        <v>1.412281994</v>
      </c>
      <c r="AL1125" s="356">
        <f>+VLOOKUP($E1125,Labor!$1:$1048576,AL$2,FALSE)</f>
        <v>1.40921147</v>
      </c>
      <c r="AM1125" s="356">
        <f>+VLOOKUP($E1125,Labor!$1:$1048576,AM$2,FALSE)</f>
        <v>1.4062445649999999</v>
      </c>
      <c r="AN1125" s="356">
        <f>+VLOOKUP($E1125,Labor!$1:$1048576,AN$2,FALSE)</f>
        <v>1.403381202</v>
      </c>
      <c r="AO1125" s="356">
        <f>+VLOOKUP($E1125,Labor!$1:$1048576,AO$2,FALSE)</f>
        <v>1.400621181</v>
      </c>
    </row>
    <row r="1126" spans="1:41" s="73" customFormat="1" ht="15" customHeight="1" x14ac:dyDescent="0.25">
      <c r="A1126" s="402"/>
      <c r="B1126" s="411"/>
      <c r="C1126" s="159" t="s">
        <v>478</v>
      </c>
      <c r="D1126" s="109"/>
      <c r="E1126" s="80" t="s">
        <v>834</v>
      </c>
      <c r="F1126" s="356">
        <f>+VLOOKUP($E1126,Labor!$1:$1048576,F$2,FALSE)</f>
        <v>3.0796981940000001</v>
      </c>
      <c r="G1126" s="356">
        <f>+VLOOKUP($E1126,Labor!$1:$1048576,G$2,FALSE)</f>
        <v>3.078003651</v>
      </c>
      <c r="H1126" s="356">
        <f>+VLOOKUP($E1126,Labor!$1:$1048576,H$2,FALSE)</f>
        <v>3.067736714</v>
      </c>
      <c r="I1126" s="356">
        <f>+VLOOKUP($E1126,Labor!$1:$1048576,I$2,FALSE)</f>
        <v>3.052324247</v>
      </c>
      <c r="J1126" s="356">
        <f>+VLOOKUP($E1126,Labor!$1:$1048576,J$2,FALSE)</f>
        <v>3.0348177609999998</v>
      </c>
      <c r="K1126" s="356">
        <f>+VLOOKUP($E1126,Labor!$1:$1048576,K$2,FALSE)</f>
        <v>3.0171869679999999</v>
      </c>
      <c r="L1126" s="356">
        <f>+VLOOKUP($E1126,Labor!$1:$1048576,L$2,FALSE)</f>
        <v>3.0004497049999999</v>
      </c>
      <c r="M1126" s="356">
        <f>+VLOOKUP($E1126,Labor!$1:$1048576,M$2,FALSE)</f>
        <v>2.9849879320000001</v>
      </c>
      <c r="N1126" s="356">
        <f>+VLOOKUP($E1126,Labor!$1:$1048576,N$2,FALSE)</f>
        <v>2.9708253870000001</v>
      </c>
      <c r="O1126" s="356">
        <f>+VLOOKUP($E1126,Labor!$1:$1048576,O$2,FALSE)</f>
        <v>2.957818294</v>
      </c>
      <c r="P1126" s="356">
        <f>+VLOOKUP($E1126,Labor!$1:$1048576,P$2,FALSE)</f>
        <v>2.9457690909999998</v>
      </c>
      <c r="Q1126" s="356">
        <f>+VLOOKUP($E1126,Labor!$1:$1048576,Q$2,FALSE)</f>
        <v>2.934485928</v>
      </c>
      <c r="R1126" s="356">
        <f>+VLOOKUP($E1126,Labor!$1:$1048576,R$2,FALSE)</f>
        <v>2.9238083480000001</v>
      </c>
      <c r="S1126" s="356">
        <f>+VLOOKUP($E1126,Labor!$1:$1048576,S$2,FALSE)</f>
        <v>2.9136139160000001</v>
      </c>
      <c r="T1126" s="356">
        <f>+VLOOKUP($E1126,Labor!$1:$1048576,T$2,FALSE)</f>
        <v>2.903815356</v>
      </c>
      <c r="U1126" s="356">
        <f>+VLOOKUP($E1126,Labor!$1:$1048576,U$2,FALSE)</f>
        <v>2.8943538609999999</v>
      </c>
      <c r="V1126" s="356">
        <f>+VLOOKUP($E1126,Labor!$1:$1048576,V$2,FALSE)</f>
        <v>2.8851917280000001</v>
      </c>
      <c r="W1126" s="356">
        <f>+VLOOKUP($E1126,Labor!$1:$1048576,W$2,FALSE)</f>
        <v>2.8763042209999998</v>
      </c>
      <c r="X1126" s="356">
        <f>+VLOOKUP($E1126,Labor!$1:$1048576,X$2,FALSE)</f>
        <v>2.8676753910000001</v>
      </c>
      <c r="Y1126" s="356">
        <f>+VLOOKUP($E1126,Labor!$1:$1048576,Y$2,FALSE)</f>
        <v>2.859295607</v>
      </c>
      <c r="Z1126" s="356">
        <f>+VLOOKUP($E1126,Labor!$1:$1048576,Z$2,FALSE)</f>
        <v>2.851159107</v>
      </c>
      <c r="AA1126" s="356">
        <f>+VLOOKUP($E1126,Labor!$1:$1048576,AA$2,FALSE)</f>
        <v>2.843262137</v>
      </c>
      <c r="AB1126" s="356">
        <f>+VLOOKUP($E1126,Labor!$1:$1048576,AB$2,FALSE)</f>
        <v>2.835601746</v>
      </c>
      <c r="AC1126" s="356">
        <f>+VLOOKUP($E1126,Labor!$1:$1048576,AC$2,FALSE)</f>
        <v>2.828175114</v>
      </c>
      <c r="AD1126" s="356">
        <f>+VLOOKUP($E1126,Labor!$1:$1048576,AD$2,FALSE)</f>
        <v>2.820979243</v>
      </c>
      <c r="AE1126" s="356">
        <f>+VLOOKUP($E1126,Labor!$1:$1048576,AE$2,FALSE)</f>
        <v>2.814010884</v>
      </c>
      <c r="AF1126" s="356">
        <f>+VLOOKUP($E1126,Labor!$1:$1048576,AF$2,FALSE)</f>
        <v>2.8072665639999999</v>
      </c>
      <c r="AG1126" s="356">
        <f>+VLOOKUP($E1126,Labor!$1:$1048576,AG$2,FALSE)</f>
        <v>2.8007426799999999</v>
      </c>
      <c r="AH1126" s="356">
        <f>+VLOOKUP($E1126,Labor!$1:$1048576,AH$2,FALSE)</f>
        <v>2.7944355889999999</v>
      </c>
      <c r="AI1126" s="356">
        <f>+VLOOKUP($E1126,Labor!$1:$1048576,AI$2,FALSE)</f>
        <v>2.7883416940000001</v>
      </c>
      <c r="AJ1126" s="356">
        <f>+VLOOKUP($E1126,Labor!$1:$1048576,AJ$2,FALSE)</f>
        <v>2.7824575020000002</v>
      </c>
      <c r="AK1126" s="356">
        <f>+VLOOKUP($E1126,Labor!$1:$1048576,AK$2,FALSE)</f>
        <v>2.7767796599999999</v>
      </c>
      <c r="AL1126" s="356">
        <f>+VLOOKUP($E1126,Labor!$1:$1048576,AL$2,FALSE)</f>
        <v>2.771304974</v>
      </c>
      <c r="AM1126" s="356">
        <f>+VLOOKUP($E1126,Labor!$1:$1048576,AM$2,FALSE)</f>
        <v>2.7660304089999999</v>
      </c>
      <c r="AN1126" s="356">
        <f>+VLOOKUP($E1126,Labor!$1:$1048576,AN$2,FALSE)</f>
        <v>2.7609530809999998</v>
      </c>
      <c r="AO1126" s="356">
        <f>+VLOOKUP($E1126,Labor!$1:$1048576,AO$2,FALSE)</f>
        <v>2.7560702400000001</v>
      </c>
    </row>
    <row r="1127" spans="1:41" s="73" customFormat="1" ht="15" customHeight="1" x14ac:dyDescent="0.25">
      <c r="A1127" s="402"/>
      <c r="B1127" s="411"/>
      <c r="C1127" s="159" t="s">
        <v>479</v>
      </c>
      <c r="D1127" s="109"/>
      <c r="E1127" s="80" t="s">
        <v>835</v>
      </c>
      <c r="F1127" s="356">
        <f>+VLOOKUP($E1127,Labor!$1:$1048576,F$2,FALSE)</f>
        <v>1.119587919</v>
      </c>
      <c r="G1127" s="356">
        <f>+VLOOKUP($E1127,Labor!$1:$1048576,G$2,FALSE)</f>
        <v>1.118972941</v>
      </c>
      <c r="H1127" s="356">
        <f>+VLOOKUP($E1127,Labor!$1:$1048576,H$2,FALSE)</f>
        <v>1.1152410770000001</v>
      </c>
      <c r="I1127" s="356">
        <f>+VLOOKUP($E1127,Labor!$1:$1048576,I$2,FALSE)</f>
        <v>1.109638363</v>
      </c>
      <c r="J1127" s="356">
        <f>+VLOOKUP($E1127,Labor!$1:$1048576,J$2,FALSE)</f>
        <v>1.1032742719999999</v>
      </c>
      <c r="K1127" s="356">
        <f>+VLOOKUP($E1127,Labor!$1:$1048576,K$2,FALSE)</f>
        <v>1.096864933</v>
      </c>
      <c r="L1127" s="356">
        <f>+VLOOKUP($E1127,Labor!$1:$1048576,L$2,FALSE)</f>
        <v>1.0907803970000001</v>
      </c>
      <c r="M1127" s="356">
        <f>+VLOOKUP($E1127,Labor!$1:$1048576,M$2,FALSE)</f>
        <v>1.085159529</v>
      </c>
      <c r="N1127" s="356">
        <f>+VLOOKUP($E1127,Labor!$1:$1048576,N$2,FALSE)</f>
        <v>1.0800109630000001</v>
      </c>
      <c r="O1127" s="356">
        <f>+VLOOKUP($E1127,Labor!$1:$1048576,O$2,FALSE)</f>
        <v>1.0752824320000001</v>
      </c>
      <c r="P1127" s="356">
        <f>+VLOOKUP($E1127,Labor!$1:$1048576,P$2,FALSE)</f>
        <v>1.0709021169999999</v>
      </c>
      <c r="Q1127" s="356">
        <f>+VLOOKUP($E1127,Labor!$1:$1048576,Q$2,FALSE)</f>
        <v>1.0668002750000001</v>
      </c>
      <c r="R1127" s="356">
        <f>+VLOOKUP($E1127,Labor!$1:$1048576,R$2,FALSE)</f>
        <v>1.0629185779999999</v>
      </c>
      <c r="S1127" s="356">
        <f>+VLOOKUP($E1127,Labor!$1:$1048576,S$2,FALSE)</f>
        <v>1.0592125160000001</v>
      </c>
      <c r="T1127" s="356">
        <f>+VLOOKUP($E1127,Labor!$1:$1048576,T$2,FALSE)</f>
        <v>1.055650363</v>
      </c>
      <c r="U1127" s="356">
        <f>+VLOOKUP($E1127,Labor!$1:$1048576,U$2,FALSE)</f>
        <v>1.0522107409999999</v>
      </c>
      <c r="V1127" s="356">
        <f>+VLOOKUP($E1127,Labor!$1:$1048576,V$2,FALSE)</f>
        <v>1.0488799440000001</v>
      </c>
      <c r="W1127" s="356">
        <f>+VLOOKUP($E1127,Labor!$1:$1048576,W$2,FALSE)</f>
        <v>1.045648981</v>
      </c>
      <c r="X1127" s="356">
        <f>+VLOOKUP($E1127,Labor!$1:$1048576,X$2,FALSE)</f>
        <v>1.042512053</v>
      </c>
      <c r="Y1127" s="356">
        <f>+VLOOKUP($E1127,Labor!$1:$1048576,Y$2,FALSE)</f>
        <v>1.0394656579999999</v>
      </c>
      <c r="Z1127" s="356">
        <f>+VLOOKUP($E1127,Labor!$1:$1048576,Z$2,FALSE)</f>
        <v>1.036507702</v>
      </c>
      <c r="AA1127" s="356">
        <f>+VLOOKUP($E1127,Labor!$1:$1048576,AA$2,FALSE)</f>
        <v>1.0336368220000001</v>
      </c>
      <c r="AB1127" s="356">
        <f>+VLOOKUP($E1127,Labor!$1:$1048576,AB$2,FALSE)</f>
        <v>1.0308519439999999</v>
      </c>
      <c r="AC1127" s="356">
        <f>+VLOOKUP($E1127,Labor!$1:$1048576,AC$2,FALSE)</f>
        <v>1.028152043</v>
      </c>
      <c r="AD1127" s="356">
        <f>+VLOOKUP($E1127,Labor!$1:$1048576,AD$2,FALSE)</f>
        <v>1.0255360309999999</v>
      </c>
      <c r="AE1127" s="356">
        <f>+VLOOKUP($E1127,Labor!$1:$1048576,AE$2,FALSE)</f>
        <v>1.0230027269999999</v>
      </c>
      <c r="AF1127" s="356">
        <f>+VLOOKUP($E1127,Labor!$1:$1048576,AF$2,FALSE)</f>
        <v>1.0205508679999999</v>
      </c>
      <c r="AG1127" s="356">
        <f>+VLOOKUP($E1127,Labor!$1:$1048576,AG$2,FALSE)</f>
        <v>1.018179145</v>
      </c>
      <c r="AH1127" s="356">
        <f>+VLOOKUP($E1127,Labor!$1:$1048576,AH$2,FALSE)</f>
        <v>1.015886235</v>
      </c>
      <c r="AI1127" s="356">
        <f>+VLOOKUP($E1127,Labor!$1:$1048576,AI$2,FALSE)</f>
        <v>1.0136708299999999</v>
      </c>
      <c r="AJ1127" s="356">
        <f>+VLOOKUP($E1127,Labor!$1:$1048576,AJ$2,FALSE)</f>
        <v>1.0115316599999999</v>
      </c>
      <c r="AK1127" s="356">
        <f>+VLOOKUP($E1127,Labor!$1:$1048576,AK$2,FALSE)</f>
        <v>1.009467506</v>
      </c>
      <c r="AL1127" s="356">
        <f>+VLOOKUP($E1127,Labor!$1:$1048576,AL$2,FALSE)</f>
        <v>1.0074772089999999</v>
      </c>
      <c r="AM1127" s="356">
        <f>+VLOOKUP($E1127,Labor!$1:$1048576,AM$2,FALSE)</f>
        <v>1.005559665</v>
      </c>
      <c r="AN1127" s="356">
        <f>+VLOOKUP($E1127,Labor!$1:$1048576,AN$2,FALSE)</f>
        <v>1.0037138249999999</v>
      </c>
      <c r="AO1127" s="356">
        <f>+VLOOKUP($E1127,Labor!$1:$1048576,AO$2,FALSE)</f>
        <v>1.00193869</v>
      </c>
    </row>
    <row r="1128" spans="1:41" s="73" customFormat="1" ht="15" customHeight="1" x14ac:dyDescent="0.25">
      <c r="A1128" s="402"/>
      <c r="B1128" s="411"/>
      <c r="C1128" s="159" t="s">
        <v>480</v>
      </c>
      <c r="D1128" s="109"/>
      <c r="E1128" s="80" t="s">
        <v>836</v>
      </c>
      <c r="F1128" s="356">
        <f>+VLOOKUP($E1128,Labor!$1:$1048576,F$2,FALSE)</f>
        <v>8.6187571799999994</v>
      </c>
      <c r="G1128" s="356">
        <f>+VLOOKUP($E1128,Labor!$1:$1048576,G$2,FALSE)</f>
        <v>8.6140248960000001</v>
      </c>
      <c r="H1128" s="356">
        <f>+VLOOKUP($E1128,Labor!$1:$1048576,H$2,FALSE)</f>
        <v>8.5853024139999992</v>
      </c>
      <c r="I1128" s="356">
        <f>+VLOOKUP($E1128,Labor!$1:$1048576,I$2,FALSE)</f>
        <v>8.5421826230000004</v>
      </c>
      <c r="J1128" s="356">
        <f>+VLOOKUP($E1128,Labor!$1:$1048576,J$2,FALSE)</f>
        <v>8.4932054679999993</v>
      </c>
      <c r="K1128" s="356">
        <f>+VLOOKUP($E1128,Labor!$1:$1048576,K$2,FALSE)</f>
        <v>8.4438819049999996</v>
      </c>
      <c r="L1128" s="356">
        <f>+VLOOKUP($E1128,Labor!$1:$1048576,L$2,FALSE)</f>
        <v>8.3970586399999991</v>
      </c>
      <c r="M1128" s="356">
        <f>+VLOOKUP($E1128,Labor!$1:$1048576,M$2,FALSE)</f>
        <v>8.3538031539999995</v>
      </c>
      <c r="N1128" s="356">
        <f>+VLOOKUP($E1128,Labor!$1:$1048576,N$2,FALSE)</f>
        <v>8.3141810629999995</v>
      </c>
      <c r="O1128" s="356">
        <f>+VLOOKUP($E1128,Labor!$1:$1048576,O$2,FALSE)</f>
        <v>8.2777897720000002</v>
      </c>
      <c r="P1128" s="356">
        <f>+VLOOKUP($E1128,Labor!$1:$1048576,P$2,FALSE)</f>
        <v>8.244076583</v>
      </c>
      <c r="Q1128" s="356">
        <f>+VLOOKUP($E1128,Labor!$1:$1048576,Q$2,FALSE)</f>
        <v>8.2125049939999997</v>
      </c>
      <c r="R1128" s="356">
        <f>+VLOOKUP($E1128,Labor!$1:$1048576,R$2,FALSE)</f>
        <v>8.1826264050000006</v>
      </c>
      <c r="S1128" s="356">
        <f>+VLOOKUP($E1128,Labor!$1:$1048576,S$2,FALSE)</f>
        <v>8.1540985720000005</v>
      </c>
      <c r="T1128" s="356">
        <f>+VLOOKUP($E1128,Labor!$1:$1048576,T$2,FALSE)</f>
        <v>8.1266775469999999</v>
      </c>
      <c r="U1128" s="356">
        <f>+VLOOKUP($E1128,Labor!$1:$1048576,U$2,FALSE)</f>
        <v>8.1001989610000003</v>
      </c>
      <c r="V1128" s="356">
        <f>+VLOOKUP($E1128,Labor!$1:$1048576,V$2,FALSE)</f>
        <v>8.0745574159999993</v>
      </c>
      <c r="W1128" s="356">
        <f>+VLOOKUP($E1128,Labor!$1:$1048576,W$2,FALSE)</f>
        <v>8.0496837659999994</v>
      </c>
      <c r="X1128" s="356">
        <f>+VLOOKUP($E1128,Labor!$1:$1048576,X$2,FALSE)</f>
        <v>8.025533416</v>
      </c>
      <c r="Y1128" s="356">
        <f>+VLOOKUP($E1128,Labor!$1:$1048576,Y$2,FALSE)</f>
        <v>8.0020794510000002</v>
      </c>
      <c r="Z1128" s="356">
        <f>+VLOOKUP($E1128,Labor!$1:$1048576,Z$2,FALSE)</f>
        <v>7.9793057889999996</v>
      </c>
      <c r="AA1128" s="356">
        <f>+VLOOKUP($E1128,Labor!$1:$1048576,AA$2,FALSE)</f>
        <v>7.9572019689999998</v>
      </c>
      <c r="AB1128" s="356">
        <f>+VLOOKUP($E1128,Labor!$1:$1048576,AB$2,FALSE)</f>
        <v>7.9357597880000004</v>
      </c>
      <c r="AC1128" s="356">
        <f>+VLOOKUP($E1128,Labor!$1:$1048576,AC$2,FALSE)</f>
        <v>7.9149714160000002</v>
      </c>
      <c r="AD1128" s="356">
        <f>+VLOOKUP($E1128,Labor!$1:$1048576,AD$2,FALSE)</f>
        <v>7.8948285360000003</v>
      </c>
      <c r="AE1128" s="356">
        <f>+VLOOKUP($E1128,Labor!$1:$1048576,AE$2,FALSE)</f>
        <v>7.8753221179999997</v>
      </c>
      <c r="AF1128" s="356">
        <f>+VLOOKUP($E1128,Labor!$1:$1048576,AF$2,FALSE)</f>
        <v>7.8564425120000001</v>
      </c>
      <c r="AG1128" s="356">
        <f>+VLOOKUP($E1128,Labor!$1:$1048576,AG$2,FALSE)</f>
        <v>7.838179695</v>
      </c>
      <c r="AH1128" s="356">
        <f>+VLOOKUP($E1128,Labor!$1:$1048576,AH$2,FALSE)</f>
        <v>7.8205235340000003</v>
      </c>
      <c r="AI1128" s="356">
        <f>+VLOOKUP($E1128,Labor!$1:$1048576,AI$2,FALSE)</f>
        <v>7.8034640140000002</v>
      </c>
      <c r="AJ1128" s="356">
        <f>+VLOOKUP($E1128,Labor!$1:$1048576,AJ$2,FALSE)</f>
        <v>7.7869914040000001</v>
      </c>
      <c r="AK1128" s="356">
        <f>+VLOOKUP($E1128,Labor!$1:$1048576,AK$2,FALSE)</f>
        <v>7.7710963590000004</v>
      </c>
      <c r="AL1128" s="356">
        <f>+VLOOKUP($E1128,Labor!$1:$1048576,AL$2,FALSE)</f>
        <v>7.7557699759999998</v>
      </c>
      <c r="AM1128" s="356">
        <f>+VLOOKUP($E1128,Labor!$1:$1048576,AM$2,FALSE)</f>
        <v>7.7410037889999996</v>
      </c>
      <c r="AN1128" s="356">
        <f>+VLOOKUP($E1128,Labor!$1:$1048576,AN$2,FALSE)</f>
        <v>7.72678975</v>
      </c>
      <c r="AO1128" s="356">
        <f>+VLOOKUP($E1128,Labor!$1:$1048576,AO$2,FALSE)</f>
        <v>7.713120183</v>
      </c>
    </row>
    <row r="1129" spans="1:41" s="73" customFormat="1" ht="15" customHeight="1" x14ac:dyDescent="0.25">
      <c r="A1129" s="402"/>
      <c r="B1129" s="411"/>
      <c r="C1129" s="159" t="s">
        <v>481</v>
      </c>
      <c r="D1129" s="109"/>
      <c r="E1129" s="80" t="s">
        <v>837</v>
      </c>
      <c r="F1129" s="356">
        <f>+VLOOKUP($E1129,Labor!$1:$1048576,F$2,FALSE)</f>
        <v>10.15347684</v>
      </c>
      <c r="G1129" s="356">
        <f>+VLOOKUP($E1129,Labor!$1:$1048576,G$2,FALSE)</f>
        <v>10.16199866</v>
      </c>
      <c r="H1129" s="356">
        <f>+VLOOKUP($E1129,Labor!$1:$1048576,H$2,FALSE)</f>
        <v>10.15499099</v>
      </c>
      <c r="I1129" s="356">
        <f>+VLOOKUP($E1129,Labor!$1:$1048576,I$2,FALSE)</f>
        <v>10.138463850000001</v>
      </c>
      <c r="J1129" s="356">
        <f>+VLOOKUP($E1129,Labor!$1:$1048576,J$2,FALSE)</f>
        <v>10.11779683</v>
      </c>
      <c r="K1129" s="356">
        <f>+VLOOKUP($E1129,Labor!$1:$1048576,K$2,FALSE)</f>
        <v>10.096448329999999</v>
      </c>
      <c r="L1129" s="356">
        <f>+VLOOKUP($E1129,Labor!$1:$1048576,L$2,FALSE)</f>
        <v>10.076168620000001</v>
      </c>
      <c r="M1129" s="356">
        <f>+VLOOKUP($E1129,Labor!$1:$1048576,M$2,FALSE)</f>
        <v>10.057563979999999</v>
      </c>
      <c r="N1129" s="356">
        <f>+VLOOKUP($E1129,Labor!$1:$1048576,N$2,FALSE)</f>
        <v>10.04060273</v>
      </c>
      <c r="O1129" s="356">
        <f>+VLOOKUP($E1129,Labor!$1:$1048576,O$2,FALSE)</f>
        <v>10.024966640000001</v>
      </c>
      <c r="P1129" s="356">
        <f>+VLOOKUP($E1129,Labor!$1:$1048576,P$2,FALSE)</f>
        <v>10.01026038</v>
      </c>
      <c r="Q1129" s="356">
        <f>+VLOOKUP($E1129,Labor!$1:$1048576,Q$2,FALSE)</f>
        <v>9.9961188869999997</v>
      </c>
      <c r="R1129" s="356">
        <f>+VLOOKUP($E1129,Labor!$1:$1048576,R$2,FALSE)</f>
        <v>9.9822508859999992</v>
      </c>
      <c r="S1129" s="356">
        <f>+VLOOKUP($E1129,Labor!$1:$1048576,S$2,FALSE)</f>
        <v>9.9684466940000007</v>
      </c>
      <c r="T1129" s="356">
        <f>+VLOOKUP($E1129,Labor!$1:$1048576,T$2,FALSE)</f>
        <v>9.9545689169999996</v>
      </c>
      <c r="U1129" s="356">
        <f>+VLOOKUP($E1129,Labor!$1:$1048576,U$2,FALSE)</f>
        <v>9.9405369619999995</v>
      </c>
      <c r="V1129" s="356">
        <f>+VLOOKUP($E1129,Labor!$1:$1048576,V$2,FALSE)</f>
        <v>9.9263112380000003</v>
      </c>
      <c r="W1129" s="356">
        <f>+VLOOKUP($E1129,Labor!$1:$1048576,W$2,FALSE)</f>
        <v>9.9118771250000002</v>
      </c>
      <c r="X1129" s="356">
        <f>+VLOOKUP($E1129,Labor!$1:$1048576,X$2,FALSE)</f>
        <v>9.8972362480000005</v>
      </c>
      <c r="Y1129" s="356">
        <f>+VLOOKUP($E1129,Labor!$1:$1048576,Y$2,FALSE)</f>
        <v>9.8824012040000007</v>
      </c>
      <c r="Z1129" s="356">
        <f>+VLOOKUP($E1129,Labor!$1:$1048576,Z$2,FALSE)</f>
        <v>9.8673908130000001</v>
      </c>
      <c r="AA1129" s="356">
        <f>+VLOOKUP($E1129,Labor!$1:$1048576,AA$2,FALSE)</f>
        <v>9.8522266530000007</v>
      </c>
      <c r="AB1129" s="356">
        <f>+VLOOKUP($E1129,Labor!$1:$1048576,AB$2,FALSE)</f>
        <v>9.8369308790000005</v>
      </c>
      <c r="AC1129" s="356">
        <f>+VLOOKUP($E1129,Labor!$1:$1048576,AC$2,FALSE)</f>
        <v>9.8215250199999993</v>
      </c>
      <c r="AD1129" s="356">
        <f>+VLOOKUP($E1129,Labor!$1:$1048576,AD$2,FALSE)</f>
        <v>9.8060294219999999</v>
      </c>
      <c r="AE1129" s="356">
        <f>+VLOOKUP($E1129,Labor!$1:$1048576,AE$2,FALSE)</f>
        <v>9.7904630850000007</v>
      </c>
      <c r="AF1129" s="356">
        <f>+VLOOKUP($E1129,Labor!$1:$1048576,AF$2,FALSE)</f>
        <v>9.7748437100000007</v>
      </c>
      <c r="AG1129" s="356">
        <f>+VLOOKUP($E1129,Labor!$1:$1048576,AG$2,FALSE)</f>
        <v>9.7591878179999991</v>
      </c>
      <c r="AH1129" s="356">
        <f>+VLOOKUP($E1129,Labor!$1:$1048576,AH$2,FALSE)</f>
        <v>9.7435109020000006</v>
      </c>
      <c r="AI1129" s="356">
        <f>+VLOOKUP($E1129,Labor!$1:$1048576,AI$2,FALSE)</f>
        <v>9.7278275399999998</v>
      </c>
      <c r="AJ1129" s="356">
        <f>+VLOOKUP($E1129,Labor!$1:$1048576,AJ$2,FALSE)</f>
        <v>9.7121499179999997</v>
      </c>
      <c r="AK1129" s="356">
        <f>+VLOOKUP($E1129,Labor!$1:$1048576,AK$2,FALSE)</f>
        <v>9.6964896469999999</v>
      </c>
      <c r="AL1129" s="356">
        <f>+VLOOKUP($E1129,Labor!$1:$1048576,AL$2,FALSE)</f>
        <v>9.6808582229999995</v>
      </c>
      <c r="AM1129" s="356">
        <f>+VLOOKUP($E1129,Labor!$1:$1048576,AM$2,FALSE)</f>
        <v>9.6652669469999992</v>
      </c>
      <c r="AN1129" s="356">
        <f>+VLOOKUP($E1129,Labor!$1:$1048576,AN$2,FALSE)</f>
        <v>9.6497267200000003</v>
      </c>
      <c r="AO1129" s="356">
        <f>+VLOOKUP($E1129,Labor!$1:$1048576,AO$2,FALSE)</f>
        <v>9.634247878</v>
      </c>
    </row>
    <row r="1130" spans="1:41" s="73" customFormat="1" ht="15" customHeight="1" x14ac:dyDescent="0.25">
      <c r="A1130" s="402"/>
      <c r="B1130" s="411"/>
      <c r="C1130" s="159" t="s">
        <v>482</v>
      </c>
      <c r="D1130" s="109"/>
      <c r="E1130" s="80" t="s">
        <v>838</v>
      </c>
      <c r="F1130" s="356">
        <f>+VLOOKUP($E1130,Labor!$1:$1048576,F$2,FALSE)</f>
        <v>0.14078781609999999</v>
      </c>
      <c r="G1130" s="356">
        <f>+VLOOKUP($E1130,Labor!$1:$1048576,G$2,FALSE)</f>
        <v>0.1407107323</v>
      </c>
      <c r="H1130" s="356">
        <f>+VLOOKUP($E1130,Labor!$1:$1048576,H$2,FALSE)</f>
        <v>0.1402424098</v>
      </c>
      <c r="I1130" s="356">
        <f>+VLOOKUP($E1130,Labor!$1:$1048576,I$2,FALSE)</f>
        <v>0.13953993219999999</v>
      </c>
      <c r="J1130" s="356">
        <f>+VLOOKUP($E1130,Labor!$1:$1048576,J$2,FALSE)</f>
        <v>0.13874295540000001</v>
      </c>
      <c r="K1130" s="356">
        <f>+VLOOKUP($E1130,Labor!$1:$1048576,K$2,FALSE)</f>
        <v>0.13794139829999999</v>
      </c>
      <c r="L1130" s="356">
        <f>+VLOOKUP($E1130,Labor!$1:$1048576,L$2,FALSE)</f>
        <v>0.13718147689999999</v>
      </c>
      <c r="M1130" s="356">
        <f>+VLOOKUP($E1130,Labor!$1:$1048576,M$2,FALSE)</f>
        <v>0.13648026469999999</v>
      </c>
      <c r="N1130" s="356">
        <f>+VLOOKUP($E1130,Labor!$1:$1048576,N$2,FALSE)</f>
        <v>0.1358384769</v>
      </c>
      <c r="O1130" s="356">
        <f>+VLOOKUP($E1130,Labor!$1:$1048576,O$2,FALSE)</f>
        <v>0.13524923799999999</v>
      </c>
      <c r="P1130" s="356">
        <f>+VLOOKUP($E1130,Labor!$1:$1048576,P$2,FALSE)</f>
        <v>0.13470329850000001</v>
      </c>
      <c r="Q1130" s="356">
        <f>+VLOOKUP($E1130,Labor!$1:$1048576,Q$2,FALSE)</f>
        <v>0.13419174910000001</v>
      </c>
      <c r="R1130" s="356">
        <f>+VLOOKUP($E1130,Labor!$1:$1048576,R$2,FALSE)</f>
        <v>0.13370717970000001</v>
      </c>
      <c r="S1130" s="356">
        <f>+VLOOKUP($E1130,Labor!$1:$1048576,S$2,FALSE)</f>
        <v>0.13324396550000001</v>
      </c>
      <c r="T1130" s="356">
        <f>+VLOOKUP($E1130,Labor!$1:$1048576,T$2,FALSE)</f>
        <v>0.13279811969999999</v>
      </c>
      <c r="U1130" s="356">
        <f>+VLOOKUP($E1130,Labor!$1:$1048576,U$2,FALSE)</f>
        <v>0.13236697650000001</v>
      </c>
      <c r="V1130" s="356">
        <f>+VLOOKUP($E1130,Labor!$1:$1048576,V$2,FALSE)</f>
        <v>0.1319488459</v>
      </c>
      <c r="W1130" s="356">
        <f>+VLOOKUP($E1130,Labor!$1:$1048576,W$2,FALSE)</f>
        <v>0.13154263669999999</v>
      </c>
      <c r="X1130" s="356">
        <f>+VLOOKUP($E1130,Labor!$1:$1048576,X$2,FALSE)</f>
        <v>0.131147662</v>
      </c>
      <c r="Y1130" s="356">
        <f>+VLOOKUP($E1130,Labor!$1:$1048576,Y$2,FALSE)</f>
        <v>0.1307635254</v>
      </c>
      <c r="Z1130" s="356">
        <f>+VLOOKUP($E1130,Labor!$1:$1048576,Z$2,FALSE)</f>
        <v>0.13039000780000001</v>
      </c>
      <c r="AA1130" s="356">
        <f>+VLOOKUP($E1130,Labor!$1:$1048576,AA$2,FALSE)</f>
        <v>0.1300269818</v>
      </c>
      <c r="AB1130" s="356">
        <f>+VLOOKUP($E1130,Labor!$1:$1048576,AB$2,FALSE)</f>
        <v>0.1296743565</v>
      </c>
      <c r="AC1130" s="356">
        <f>+VLOOKUP($E1130,Labor!$1:$1048576,AC$2,FALSE)</f>
        <v>0.12933204619999999</v>
      </c>
      <c r="AD1130" s="356">
        <f>+VLOOKUP($E1130,Labor!$1:$1048576,AD$2,FALSE)</f>
        <v>0.128999957</v>
      </c>
      <c r="AE1130" s="356">
        <f>+VLOOKUP($E1130,Labor!$1:$1048576,AE$2,FALSE)</f>
        <v>0.1286779821</v>
      </c>
      <c r="AF1130" s="356">
        <f>+VLOOKUP($E1130,Labor!$1:$1048576,AF$2,FALSE)</f>
        <v>0.12836600340000001</v>
      </c>
      <c r="AG1130" s="356">
        <f>+VLOOKUP($E1130,Labor!$1:$1048576,AG$2,FALSE)</f>
        <v>0.1280638955</v>
      </c>
      <c r="AH1130" s="356">
        <f>+VLOOKUP($E1130,Labor!$1:$1048576,AH$2,FALSE)</f>
        <v>0.1277715294</v>
      </c>
      <c r="AI1130" s="356">
        <f>+VLOOKUP($E1130,Labor!$1:$1048576,AI$2,FALSE)</f>
        <v>0.12748877619999999</v>
      </c>
      <c r="AJ1130" s="356">
        <f>+VLOOKUP($E1130,Labor!$1:$1048576,AJ$2,FALSE)</f>
        <v>0.12721550949999999</v>
      </c>
      <c r="AK1130" s="356">
        <f>+VLOOKUP($E1130,Labor!$1:$1048576,AK$2,FALSE)</f>
        <v>0.12695160690000001</v>
      </c>
      <c r="AL1130" s="356">
        <f>+VLOOKUP($E1130,Labor!$1:$1048576,AL$2,FALSE)</f>
        <v>0.1266969506</v>
      </c>
      <c r="AM1130" s="356">
        <f>+VLOOKUP($E1130,Labor!$1:$1048576,AM$2,FALSE)</f>
        <v>0.1264514276</v>
      </c>
      <c r="AN1130" s="356">
        <f>+VLOOKUP($E1130,Labor!$1:$1048576,AN$2,FALSE)</f>
        <v>0.126214929</v>
      </c>
      <c r="AO1130" s="356">
        <f>+VLOOKUP($E1130,Labor!$1:$1048576,AO$2,FALSE)</f>
        <v>0.1259873493</v>
      </c>
    </row>
    <row r="1131" spans="1:41" s="108" customFormat="1" ht="15" customHeight="1" x14ac:dyDescent="0.25">
      <c r="A1131" s="402"/>
      <c r="B1131" s="400" t="s">
        <v>988</v>
      </c>
      <c r="C1131" s="100" t="s">
        <v>751</v>
      </c>
      <c r="D1131" s="150"/>
      <c r="E1131" s="101" t="s">
        <v>839</v>
      </c>
      <c r="F1131" s="364"/>
      <c r="G1131" s="364"/>
      <c r="H1131" s="364"/>
      <c r="I1131" s="364"/>
      <c r="J1131" s="364"/>
      <c r="K1131" s="364"/>
      <c r="L1131" s="364"/>
      <c r="M1131" s="364"/>
      <c r="N1131" s="364"/>
      <c r="O1131" s="364"/>
      <c r="P1131" s="364"/>
      <c r="Q1131" s="364"/>
      <c r="R1131" s="364"/>
      <c r="S1131" s="364"/>
      <c r="T1131" s="364"/>
      <c r="U1131" s="364"/>
      <c r="V1131" s="364"/>
      <c r="W1131" s="364"/>
      <c r="X1131" s="364"/>
      <c r="Y1131" s="364"/>
      <c r="Z1131" s="364"/>
      <c r="AA1131" s="364"/>
      <c r="AB1131" s="364"/>
      <c r="AC1131" s="364"/>
      <c r="AD1131" s="364"/>
      <c r="AE1131" s="364"/>
      <c r="AF1131" s="364"/>
      <c r="AG1131" s="364"/>
      <c r="AH1131" s="364"/>
      <c r="AI1131" s="364"/>
      <c r="AJ1131" s="364"/>
      <c r="AK1131" s="364"/>
      <c r="AL1131" s="364"/>
      <c r="AM1131" s="364"/>
      <c r="AN1131" s="364"/>
      <c r="AO1131" s="364"/>
    </row>
    <row r="1132" spans="1:41" s="108" customFormat="1" ht="15" customHeight="1" x14ac:dyDescent="0.25">
      <c r="A1132" s="402"/>
      <c r="B1132" s="400"/>
      <c r="C1132" s="100" t="s">
        <v>753</v>
      </c>
      <c r="D1132" s="150"/>
      <c r="E1132" s="101" t="s">
        <v>840</v>
      </c>
      <c r="F1132" s="364"/>
      <c r="G1132" s="364"/>
      <c r="H1132" s="364"/>
      <c r="I1132" s="364"/>
      <c r="J1132" s="364"/>
      <c r="K1132" s="364"/>
      <c r="L1132" s="364"/>
      <c r="M1132" s="364"/>
      <c r="N1132" s="364"/>
      <c r="O1132" s="364"/>
      <c r="P1132" s="364"/>
      <c r="Q1132" s="364"/>
      <c r="R1132" s="364"/>
      <c r="S1132" s="364"/>
      <c r="T1132" s="364"/>
      <c r="U1132" s="364"/>
      <c r="V1132" s="364"/>
      <c r="W1132" s="364"/>
      <c r="X1132" s="364"/>
      <c r="Y1132" s="364"/>
      <c r="Z1132" s="364"/>
      <c r="AA1132" s="364"/>
      <c r="AB1132" s="364"/>
      <c r="AC1132" s="364"/>
      <c r="AD1132" s="364"/>
      <c r="AE1132" s="364"/>
      <c r="AF1132" s="364"/>
      <c r="AG1132" s="364"/>
      <c r="AH1132" s="364"/>
      <c r="AI1132" s="364"/>
      <c r="AJ1132" s="364"/>
      <c r="AK1132" s="364"/>
      <c r="AL1132" s="364"/>
      <c r="AM1132" s="364"/>
      <c r="AN1132" s="364"/>
      <c r="AO1132" s="364"/>
    </row>
    <row r="1133" spans="1:41" s="73" customFormat="1" ht="15" customHeight="1" x14ac:dyDescent="0.25">
      <c r="A1133" s="402"/>
      <c r="B1133" s="400"/>
      <c r="C1133" s="160" t="s">
        <v>738</v>
      </c>
      <c r="D1133" s="111"/>
      <c r="E1133" s="78" t="s">
        <v>841</v>
      </c>
      <c r="F1133" s="363"/>
      <c r="G1133" s="363"/>
      <c r="H1133" s="363"/>
      <c r="I1133" s="363"/>
      <c r="J1133" s="363"/>
      <c r="K1133" s="363"/>
      <c r="L1133" s="363"/>
      <c r="M1133" s="363"/>
      <c r="N1133" s="363"/>
      <c r="O1133" s="363"/>
      <c r="P1133" s="363"/>
      <c r="Q1133" s="363"/>
      <c r="R1133" s="363"/>
      <c r="S1133" s="363"/>
      <c r="T1133" s="363"/>
      <c r="U1133" s="363"/>
      <c r="V1133" s="363"/>
      <c r="W1133" s="363"/>
      <c r="X1133" s="363"/>
      <c r="Y1133" s="363"/>
      <c r="Z1133" s="363"/>
      <c r="AA1133" s="363"/>
      <c r="AB1133" s="363"/>
      <c r="AC1133" s="363"/>
      <c r="AD1133" s="363"/>
      <c r="AE1133" s="363"/>
      <c r="AF1133" s="363"/>
      <c r="AG1133" s="363"/>
      <c r="AH1133" s="363"/>
      <c r="AI1133" s="363"/>
      <c r="AJ1133" s="363"/>
      <c r="AK1133" s="363"/>
      <c r="AL1133" s="363"/>
      <c r="AM1133" s="363"/>
      <c r="AN1133" s="363"/>
      <c r="AO1133" s="363"/>
    </row>
    <row r="1134" spans="1:41" s="73" customFormat="1" ht="15" customHeight="1" x14ac:dyDescent="0.25">
      <c r="A1134" s="402"/>
      <c r="B1134" s="400"/>
      <c r="C1134" s="160" t="s">
        <v>739</v>
      </c>
      <c r="D1134" s="111"/>
      <c r="E1134" s="78" t="s">
        <v>842</v>
      </c>
      <c r="F1134" s="363"/>
      <c r="G1134" s="363"/>
      <c r="H1134" s="363"/>
      <c r="I1134" s="363"/>
      <c r="J1134" s="363"/>
      <c r="K1134" s="363"/>
      <c r="L1134" s="363"/>
      <c r="M1134" s="363"/>
      <c r="N1134" s="363"/>
      <c r="O1134" s="363"/>
      <c r="P1134" s="363"/>
      <c r="Q1134" s="363"/>
      <c r="R1134" s="363"/>
      <c r="S1134" s="363"/>
      <c r="T1134" s="363"/>
      <c r="U1134" s="363"/>
      <c r="V1134" s="363"/>
      <c r="W1134" s="363"/>
      <c r="X1134" s="363"/>
      <c r="Y1134" s="363"/>
      <c r="Z1134" s="363"/>
      <c r="AA1134" s="363"/>
      <c r="AB1134" s="363"/>
      <c r="AC1134" s="363"/>
      <c r="AD1134" s="363"/>
      <c r="AE1134" s="363"/>
      <c r="AF1134" s="363"/>
      <c r="AG1134" s="363"/>
      <c r="AH1134" s="363"/>
      <c r="AI1134" s="363"/>
      <c r="AJ1134" s="363"/>
      <c r="AK1134" s="363"/>
      <c r="AL1134" s="363"/>
      <c r="AM1134" s="363"/>
      <c r="AN1134" s="363"/>
      <c r="AO1134" s="363"/>
    </row>
    <row r="1135" spans="1:41" s="108" customFormat="1" ht="15" customHeight="1" x14ac:dyDescent="0.25">
      <c r="A1135" s="402"/>
      <c r="B1135" s="400"/>
      <c r="C1135" s="100" t="s">
        <v>754</v>
      </c>
      <c r="D1135" s="150"/>
      <c r="E1135" s="101" t="s">
        <v>843</v>
      </c>
      <c r="F1135" s="364"/>
      <c r="G1135" s="364"/>
      <c r="H1135" s="364"/>
      <c r="I1135" s="364"/>
      <c r="J1135" s="364"/>
      <c r="K1135" s="364"/>
      <c r="L1135" s="364"/>
      <c r="M1135" s="364"/>
      <c r="N1135" s="364"/>
      <c r="O1135" s="364"/>
      <c r="P1135" s="364"/>
      <c r="Q1135" s="364"/>
      <c r="R1135" s="364"/>
      <c r="S1135" s="364"/>
      <c r="T1135" s="364"/>
      <c r="U1135" s="364"/>
      <c r="V1135" s="364"/>
      <c r="W1135" s="364"/>
      <c r="X1135" s="364"/>
      <c r="Y1135" s="364"/>
      <c r="Z1135" s="364"/>
      <c r="AA1135" s="364"/>
      <c r="AB1135" s="364"/>
      <c r="AC1135" s="364"/>
      <c r="AD1135" s="364"/>
      <c r="AE1135" s="364"/>
      <c r="AF1135" s="364"/>
      <c r="AG1135" s="364"/>
      <c r="AH1135" s="364"/>
      <c r="AI1135" s="364"/>
      <c r="AJ1135" s="364"/>
      <c r="AK1135" s="364"/>
      <c r="AL1135" s="364"/>
      <c r="AM1135" s="364"/>
      <c r="AN1135" s="364"/>
      <c r="AO1135" s="364"/>
    </row>
    <row r="1136" spans="1:41" s="73" customFormat="1" ht="15" customHeight="1" x14ac:dyDescent="0.25">
      <c r="A1136" s="402"/>
      <c r="B1136" s="400"/>
      <c r="C1136" s="160" t="s">
        <v>740</v>
      </c>
      <c r="D1136" s="111"/>
      <c r="E1136" s="78" t="s">
        <v>844</v>
      </c>
      <c r="F1136" s="363"/>
      <c r="G1136" s="363"/>
      <c r="H1136" s="363"/>
      <c r="I1136" s="363"/>
      <c r="J1136" s="363"/>
      <c r="K1136" s="363"/>
      <c r="L1136" s="363"/>
      <c r="M1136" s="363"/>
      <c r="N1136" s="363"/>
      <c r="O1136" s="363"/>
      <c r="P1136" s="363"/>
      <c r="Q1136" s="363"/>
      <c r="R1136" s="363"/>
      <c r="S1136" s="363"/>
      <c r="T1136" s="363"/>
      <c r="U1136" s="363"/>
      <c r="V1136" s="363"/>
      <c r="W1136" s="363"/>
      <c r="X1136" s="363"/>
      <c r="Y1136" s="363"/>
      <c r="Z1136" s="363"/>
      <c r="AA1136" s="363"/>
      <c r="AB1136" s="363"/>
      <c r="AC1136" s="363"/>
      <c r="AD1136" s="363"/>
      <c r="AE1136" s="363"/>
      <c r="AF1136" s="363"/>
      <c r="AG1136" s="363"/>
      <c r="AH1136" s="363"/>
      <c r="AI1136" s="363"/>
      <c r="AJ1136" s="363"/>
      <c r="AK1136" s="363"/>
      <c r="AL1136" s="363"/>
      <c r="AM1136" s="363"/>
      <c r="AN1136" s="363"/>
      <c r="AO1136" s="363"/>
    </row>
    <row r="1137" spans="1:41" s="73" customFormat="1" ht="15" customHeight="1" x14ac:dyDescent="0.25">
      <c r="A1137" s="402"/>
      <c r="B1137" s="400"/>
      <c r="C1137" s="160" t="s">
        <v>741</v>
      </c>
      <c r="D1137" s="111"/>
      <c r="E1137" s="78" t="s">
        <v>845</v>
      </c>
      <c r="F1137" s="363"/>
      <c r="G1137" s="363"/>
      <c r="H1137" s="363"/>
      <c r="I1137" s="363"/>
      <c r="J1137" s="363"/>
      <c r="K1137" s="363"/>
      <c r="L1137" s="363"/>
      <c r="M1137" s="363"/>
      <c r="N1137" s="363"/>
      <c r="O1137" s="363"/>
      <c r="P1137" s="363"/>
      <c r="Q1137" s="363"/>
      <c r="R1137" s="363"/>
      <c r="S1137" s="363"/>
      <c r="T1137" s="363"/>
      <c r="U1137" s="363"/>
      <c r="V1137" s="363"/>
      <c r="W1137" s="363"/>
      <c r="X1137" s="363"/>
      <c r="Y1137" s="363"/>
      <c r="Z1137" s="363"/>
      <c r="AA1137" s="363"/>
      <c r="AB1137" s="363"/>
      <c r="AC1137" s="363"/>
      <c r="AD1137" s="363"/>
      <c r="AE1137" s="363"/>
      <c r="AF1137" s="363"/>
      <c r="AG1137" s="363"/>
      <c r="AH1137" s="363"/>
      <c r="AI1137" s="363"/>
      <c r="AJ1137" s="363"/>
      <c r="AK1137" s="363"/>
      <c r="AL1137" s="363"/>
      <c r="AM1137" s="363"/>
      <c r="AN1137" s="363"/>
      <c r="AO1137" s="363"/>
    </row>
    <row r="1138" spans="1:41" s="73" customFormat="1" ht="15" customHeight="1" x14ac:dyDescent="0.25">
      <c r="A1138" s="402"/>
      <c r="B1138" s="400"/>
      <c r="C1138" s="160" t="s">
        <v>742</v>
      </c>
      <c r="D1138" s="111"/>
      <c r="E1138" s="78" t="s">
        <v>846</v>
      </c>
      <c r="F1138" s="363"/>
      <c r="G1138" s="363"/>
      <c r="H1138" s="363"/>
      <c r="I1138" s="363"/>
      <c r="J1138" s="363"/>
      <c r="K1138" s="363"/>
      <c r="L1138" s="363"/>
      <c r="M1138" s="363"/>
      <c r="N1138" s="363"/>
      <c r="O1138" s="363"/>
      <c r="P1138" s="363"/>
      <c r="Q1138" s="363"/>
      <c r="R1138" s="363"/>
      <c r="S1138" s="363"/>
      <c r="T1138" s="363"/>
      <c r="U1138" s="363"/>
      <c r="V1138" s="363"/>
      <c r="W1138" s="363"/>
      <c r="X1138" s="363"/>
      <c r="Y1138" s="363"/>
      <c r="Z1138" s="363"/>
      <c r="AA1138" s="363"/>
      <c r="AB1138" s="363"/>
      <c r="AC1138" s="363"/>
      <c r="AD1138" s="363"/>
      <c r="AE1138" s="363"/>
      <c r="AF1138" s="363"/>
      <c r="AG1138" s="363"/>
      <c r="AH1138" s="363"/>
      <c r="AI1138" s="363"/>
      <c r="AJ1138" s="363"/>
      <c r="AK1138" s="363"/>
      <c r="AL1138" s="363"/>
      <c r="AM1138" s="363"/>
      <c r="AN1138" s="363"/>
      <c r="AO1138" s="363"/>
    </row>
    <row r="1139" spans="1:41" s="73" customFormat="1" ht="15" customHeight="1" x14ac:dyDescent="0.25">
      <c r="A1139" s="402"/>
      <c r="B1139" s="400"/>
      <c r="C1139" s="160" t="s">
        <v>743</v>
      </c>
      <c r="D1139" s="111"/>
      <c r="E1139" s="78" t="s">
        <v>847</v>
      </c>
      <c r="F1139" s="363"/>
      <c r="G1139" s="363"/>
      <c r="H1139" s="363"/>
      <c r="I1139" s="363"/>
      <c r="J1139" s="363"/>
      <c r="K1139" s="363"/>
      <c r="L1139" s="363"/>
      <c r="M1139" s="363"/>
      <c r="N1139" s="363"/>
      <c r="O1139" s="363"/>
      <c r="P1139" s="363"/>
      <c r="Q1139" s="363"/>
      <c r="R1139" s="363"/>
      <c r="S1139" s="363"/>
      <c r="T1139" s="363"/>
      <c r="U1139" s="363"/>
      <c r="V1139" s="363"/>
      <c r="W1139" s="363"/>
      <c r="X1139" s="363"/>
      <c r="Y1139" s="363"/>
      <c r="Z1139" s="363"/>
      <c r="AA1139" s="363"/>
      <c r="AB1139" s="363"/>
      <c r="AC1139" s="363"/>
      <c r="AD1139" s="363"/>
      <c r="AE1139" s="363"/>
      <c r="AF1139" s="363"/>
      <c r="AG1139" s="363"/>
      <c r="AH1139" s="363"/>
      <c r="AI1139" s="363"/>
      <c r="AJ1139" s="363"/>
      <c r="AK1139" s="363"/>
      <c r="AL1139" s="363"/>
      <c r="AM1139" s="363"/>
      <c r="AN1139" s="363"/>
      <c r="AO1139" s="363"/>
    </row>
    <row r="1140" spans="1:41" s="73" customFormat="1" ht="15" customHeight="1" x14ac:dyDescent="0.25">
      <c r="A1140" s="402"/>
      <c r="B1140" s="400"/>
      <c r="C1140" s="160" t="s">
        <v>744</v>
      </c>
      <c r="D1140" s="111"/>
      <c r="E1140" s="78" t="s">
        <v>848</v>
      </c>
      <c r="F1140" s="363"/>
      <c r="G1140" s="363"/>
      <c r="H1140" s="363"/>
      <c r="I1140" s="363"/>
      <c r="J1140" s="363"/>
      <c r="K1140" s="363"/>
      <c r="L1140" s="363"/>
      <c r="M1140" s="363"/>
      <c r="N1140" s="363"/>
      <c r="O1140" s="363"/>
      <c r="P1140" s="363"/>
      <c r="Q1140" s="363"/>
      <c r="R1140" s="363"/>
      <c r="S1140" s="363"/>
      <c r="T1140" s="363"/>
      <c r="U1140" s="363"/>
      <c r="V1140" s="363"/>
      <c r="W1140" s="363"/>
      <c r="X1140" s="363"/>
      <c r="Y1140" s="363"/>
      <c r="Z1140" s="363"/>
      <c r="AA1140" s="363"/>
      <c r="AB1140" s="363"/>
      <c r="AC1140" s="363"/>
      <c r="AD1140" s="363"/>
      <c r="AE1140" s="363"/>
      <c r="AF1140" s="363"/>
      <c r="AG1140" s="363"/>
      <c r="AH1140" s="363"/>
      <c r="AI1140" s="363"/>
      <c r="AJ1140" s="363"/>
      <c r="AK1140" s="363"/>
      <c r="AL1140" s="363"/>
      <c r="AM1140" s="363"/>
      <c r="AN1140" s="363"/>
      <c r="AO1140" s="363"/>
    </row>
    <row r="1141" spans="1:41" s="73" customFormat="1" ht="15" customHeight="1" x14ac:dyDescent="0.25">
      <c r="A1141" s="402"/>
      <c r="B1141" s="400"/>
      <c r="C1141" s="160" t="s">
        <v>745</v>
      </c>
      <c r="D1141" s="111"/>
      <c r="E1141" s="78" t="s">
        <v>849</v>
      </c>
      <c r="F1141" s="363"/>
      <c r="G1141" s="363"/>
      <c r="H1141" s="363"/>
      <c r="I1141" s="363"/>
      <c r="J1141" s="363"/>
      <c r="K1141" s="363"/>
      <c r="L1141" s="363"/>
      <c r="M1141" s="363"/>
      <c r="N1141" s="363"/>
      <c r="O1141" s="363"/>
      <c r="P1141" s="363"/>
      <c r="Q1141" s="363"/>
      <c r="R1141" s="363"/>
      <c r="S1141" s="363"/>
      <c r="T1141" s="363"/>
      <c r="U1141" s="363"/>
      <c r="V1141" s="363"/>
      <c r="W1141" s="363"/>
      <c r="X1141" s="363"/>
      <c r="Y1141" s="363"/>
      <c r="Z1141" s="363"/>
      <c r="AA1141" s="363"/>
      <c r="AB1141" s="363"/>
      <c r="AC1141" s="363"/>
      <c r="AD1141" s="363"/>
      <c r="AE1141" s="363"/>
      <c r="AF1141" s="363"/>
      <c r="AG1141" s="363"/>
      <c r="AH1141" s="363"/>
      <c r="AI1141" s="363"/>
      <c r="AJ1141" s="363"/>
      <c r="AK1141" s="363"/>
      <c r="AL1141" s="363"/>
      <c r="AM1141" s="363"/>
      <c r="AN1141" s="363"/>
      <c r="AO1141" s="363"/>
    </row>
    <row r="1142" spans="1:41" s="73" customFormat="1" ht="15" customHeight="1" x14ac:dyDescent="0.25">
      <c r="A1142" s="402"/>
      <c r="B1142" s="400"/>
      <c r="C1142" s="160" t="s">
        <v>746</v>
      </c>
      <c r="D1142" s="111"/>
      <c r="E1142" s="78" t="s">
        <v>850</v>
      </c>
      <c r="F1142" s="363"/>
      <c r="G1142" s="363"/>
      <c r="H1142" s="363"/>
      <c r="I1142" s="363"/>
      <c r="J1142" s="363"/>
      <c r="K1142" s="363"/>
      <c r="L1142" s="363"/>
      <c r="M1142" s="363"/>
      <c r="N1142" s="363"/>
      <c r="O1142" s="363"/>
      <c r="P1142" s="363"/>
      <c r="Q1142" s="363"/>
      <c r="R1142" s="363"/>
      <c r="S1142" s="363"/>
      <c r="T1142" s="363"/>
      <c r="U1142" s="363"/>
      <c r="V1142" s="363"/>
      <c r="W1142" s="363"/>
      <c r="X1142" s="363"/>
      <c r="Y1142" s="363"/>
      <c r="Z1142" s="363"/>
      <c r="AA1142" s="363"/>
      <c r="AB1142" s="363"/>
      <c r="AC1142" s="363"/>
      <c r="AD1142" s="363"/>
      <c r="AE1142" s="363"/>
      <c r="AF1142" s="363"/>
      <c r="AG1142" s="363"/>
      <c r="AH1142" s="363"/>
      <c r="AI1142" s="363"/>
      <c r="AJ1142" s="363"/>
      <c r="AK1142" s="363"/>
      <c r="AL1142" s="363"/>
      <c r="AM1142" s="363"/>
      <c r="AN1142" s="363"/>
      <c r="AO1142" s="363"/>
    </row>
    <row r="1143" spans="1:41" s="73" customFormat="1" ht="15" customHeight="1" x14ac:dyDescent="0.25">
      <c r="A1143" s="402"/>
      <c r="B1143" s="400"/>
      <c r="C1143" s="160" t="s">
        <v>747</v>
      </c>
      <c r="D1143" s="111"/>
      <c r="E1143" s="78" t="s">
        <v>851</v>
      </c>
      <c r="F1143" s="363"/>
      <c r="G1143" s="363"/>
      <c r="H1143" s="363"/>
      <c r="I1143" s="363"/>
      <c r="J1143" s="363"/>
      <c r="K1143" s="363"/>
      <c r="L1143" s="363"/>
      <c r="M1143" s="363"/>
      <c r="N1143" s="363"/>
      <c r="O1143" s="363"/>
      <c r="P1143" s="363"/>
      <c r="Q1143" s="363"/>
      <c r="R1143" s="363"/>
      <c r="S1143" s="363"/>
      <c r="T1143" s="363"/>
      <c r="U1143" s="363"/>
      <c r="V1143" s="363"/>
      <c r="W1143" s="363"/>
      <c r="X1143" s="363"/>
      <c r="Y1143" s="363"/>
      <c r="Z1143" s="363"/>
      <c r="AA1143" s="363"/>
      <c r="AB1143" s="363"/>
      <c r="AC1143" s="363"/>
      <c r="AD1143" s="363"/>
      <c r="AE1143" s="363"/>
      <c r="AF1143" s="363"/>
      <c r="AG1143" s="363"/>
      <c r="AH1143" s="363"/>
      <c r="AI1143" s="363"/>
      <c r="AJ1143" s="363"/>
      <c r="AK1143" s="363"/>
      <c r="AL1143" s="363"/>
      <c r="AM1143" s="363"/>
      <c r="AN1143" s="363"/>
      <c r="AO1143" s="363"/>
    </row>
    <row r="1144" spans="1:41" s="73" customFormat="1" ht="15" customHeight="1" x14ac:dyDescent="0.25">
      <c r="A1144" s="402"/>
      <c r="B1144" s="400"/>
      <c r="C1144" s="160" t="s">
        <v>748</v>
      </c>
      <c r="D1144" s="111"/>
      <c r="E1144" s="78" t="s">
        <v>852</v>
      </c>
      <c r="F1144" s="363"/>
      <c r="G1144" s="363"/>
      <c r="H1144" s="363"/>
      <c r="I1144" s="363"/>
      <c r="J1144" s="363"/>
      <c r="K1144" s="363"/>
      <c r="L1144" s="363"/>
      <c r="M1144" s="363"/>
      <c r="N1144" s="363"/>
      <c r="O1144" s="363"/>
      <c r="P1144" s="363"/>
      <c r="Q1144" s="363"/>
      <c r="R1144" s="363"/>
      <c r="S1144" s="363"/>
      <c r="T1144" s="363"/>
      <c r="U1144" s="363"/>
      <c r="V1144" s="363"/>
      <c r="W1144" s="363"/>
      <c r="X1144" s="363"/>
      <c r="Y1144" s="363"/>
      <c r="Z1144" s="363"/>
      <c r="AA1144" s="363"/>
      <c r="AB1144" s="363"/>
      <c r="AC1144" s="363"/>
      <c r="AD1144" s="363"/>
      <c r="AE1144" s="363"/>
      <c r="AF1144" s="363"/>
      <c r="AG1144" s="363"/>
      <c r="AH1144" s="363"/>
      <c r="AI1144" s="363"/>
      <c r="AJ1144" s="363"/>
      <c r="AK1144" s="363"/>
      <c r="AL1144" s="363"/>
      <c r="AM1144" s="363"/>
      <c r="AN1144" s="363"/>
      <c r="AO1144" s="363"/>
    </row>
    <row r="1145" spans="1:41" s="73" customFormat="1" ht="15" customHeight="1" x14ac:dyDescent="0.25">
      <c r="A1145" s="402"/>
      <c r="B1145" s="400"/>
      <c r="C1145" s="160" t="s">
        <v>749</v>
      </c>
      <c r="D1145" s="111"/>
      <c r="E1145" s="78" t="s">
        <v>853</v>
      </c>
      <c r="F1145" s="363"/>
      <c r="G1145" s="363"/>
      <c r="H1145" s="363"/>
      <c r="I1145" s="363"/>
      <c r="J1145" s="363"/>
      <c r="K1145" s="363"/>
      <c r="L1145" s="363"/>
      <c r="M1145" s="363"/>
      <c r="N1145" s="363"/>
      <c r="O1145" s="363"/>
      <c r="P1145" s="363"/>
      <c r="Q1145" s="363"/>
      <c r="R1145" s="363"/>
      <c r="S1145" s="363"/>
      <c r="T1145" s="363"/>
      <c r="U1145" s="363"/>
      <c r="V1145" s="363"/>
      <c r="W1145" s="363"/>
      <c r="X1145" s="363"/>
      <c r="Y1145" s="363"/>
      <c r="Z1145" s="363"/>
      <c r="AA1145" s="363"/>
      <c r="AB1145" s="363"/>
      <c r="AC1145" s="363"/>
      <c r="AD1145" s="363"/>
      <c r="AE1145" s="363"/>
      <c r="AF1145" s="363"/>
      <c r="AG1145" s="363"/>
      <c r="AH1145" s="363"/>
      <c r="AI1145" s="363"/>
      <c r="AJ1145" s="363"/>
      <c r="AK1145" s="363"/>
      <c r="AL1145" s="363"/>
      <c r="AM1145" s="363"/>
      <c r="AN1145" s="363"/>
      <c r="AO1145" s="363"/>
    </row>
    <row r="1146" spans="1:41" s="73" customFormat="1" ht="15" customHeight="1" x14ac:dyDescent="0.25">
      <c r="A1146" s="402"/>
      <c r="B1146" s="400"/>
      <c r="C1146" s="160" t="s">
        <v>750</v>
      </c>
      <c r="D1146" s="111"/>
      <c r="E1146" s="78" t="s">
        <v>854</v>
      </c>
      <c r="F1146" s="363"/>
      <c r="G1146" s="363"/>
      <c r="H1146" s="363"/>
      <c r="I1146" s="363"/>
      <c r="J1146" s="363"/>
      <c r="K1146" s="363"/>
      <c r="L1146" s="363"/>
      <c r="M1146" s="363"/>
      <c r="N1146" s="363"/>
      <c r="O1146" s="363"/>
      <c r="P1146" s="363"/>
      <c r="Q1146" s="363"/>
      <c r="R1146" s="363"/>
      <c r="S1146" s="363"/>
      <c r="T1146" s="363"/>
      <c r="U1146" s="363"/>
      <c r="V1146" s="363"/>
      <c r="W1146" s="363"/>
      <c r="X1146" s="363"/>
      <c r="Y1146" s="363"/>
      <c r="Z1146" s="363"/>
      <c r="AA1146" s="363"/>
      <c r="AB1146" s="363"/>
      <c r="AC1146" s="363"/>
      <c r="AD1146" s="363"/>
      <c r="AE1146" s="363"/>
      <c r="AF1146" s="363"/>
      <c r="AG1146" s="363"/>
      <c r="AH1146" s="363"/>
      <c r="AI1146" s="363"/>
      <c r="AJ1146" s="363"/>
      <c r="AK1146" s="363"/>
      <c r="AL1146" s="363"/>
      <c r="AM1146" s="363"/>
      <c r="AN1146" s="363"/>
      <c r="AO1146" s="363"/>
    </row>
    <row r="1147" spans="1:41" s="108" customFormat="1" ht="15" customHeight="1" x14ac:dyDescent="0.25">
      <c r="A1147" s="402"/>
      <c r="B1147" s="400"/>
      <c r="C1147" s="100" t="s">
        <v>755</v>
      </c>
      <c r="D1147" s="150"/>
      <c r="E1147" s="101" t="s">
        <v>855</v>
      </c>
      <c r="F1147" s="364"/>
      <c r="G1147" s="364"/>
      <c r="H1147" s="364"/>
      <c r="I1147" s="364"/>
      <c r="J1147" s="364"/>
      <c r="K1147" s="364"/>
      <c r="L1147" s="364"/>
      <c r="M1147" s="364"/>
      <c r="N1147" s="364"/>
      <c r="O1147" s="364"/>
      <c r="P1147" s="364"/>
      <c r="Q1147" s="364"/>
      <c r="R1147" s="364"/>
      <c r="S1147" s="364"/>
      <c r="T1147" s="364"/>
      <c r="U1147" s="364"/>
      <c r="V1147" s="364"/>
      <c r="W1147" s="364"/>
      <c r="X1147" s="364"/>
      <c r="Y1147" s="364"/>
      <c r="Z1147" s="364"/>
      <c r="AA1147" s="364"/>
      <c r="AB1147" s="364"/>
      <c r="AC1147" s="364"/>
      <c r="AD1147" s="364"/>
      <c r="AE1147" s="364"/>
      <c r="AF1147" s="364"/>
      <c r="AG1147" s="364"/>
      <c r="AH1147" s="364"/>
      <c r="AI1147" s="364"/>
      <c r="AJ1147" s="364"/>
      <c r="AK1147" s="364"/>
      <c r="AL1147" s="364"/>
      <c r="AM1147" s="364"/>
      <c r="AN1147" s="364"/>
      <c r="AO1147" s="364"/>
    </row>
    <row r="1148" spans="1:41" s="73" customFormat="1" ht="15" customHeight="1" x14ac:dyDescent="0.25">
      <c r="A1148" s="402"/>
      <c r="B1148" s="400"/>
      <c r="C1148" s="160" t="s">
        <v>616</v>
      </c>
      <c r="D1148" s="111"/>
      <c r="E1148" s="78" t="s">
        <v>856</v>
      </c>
      <c r="F1148" s="363"/>
      <c r="G1148" s="363"/>
      <c r="H1148" s="363"/>
      <c r="I1148" s="363"/>
      <c r="J1148" s="363"/>
      <c r="K1148" s="363"/>
      <c r="L1148" s="363"/>
      <c r="M1148" s="363"/>
      <c r="N1148" s="363"/>
      <c r="O1148" s="363"/>
      <c r="P1148" s="363"/>
      <c r="Q1148" s="363"/>
      <c r="R1148" s="363"/>
      <c r="S1148" s="363"/>
      <c r="T1148" s="363"/>
      <c r="U1148" s="363"/>
      <c r="V1148" s="363"/>
      <c r="W1148" s="363"/>
      <c r="X1148" s="363"/>
      <c r="Y1148" s="363"/>
      <c r="Z1148" s="363"/>
      <c r="AA1148" s="363"/>
      <c r="AB1148" s="363"/>
      <c r="AC1148" s="363"/>
      <c r="AD1148" s="363"/>
      <c r="AE1148" s="363"/>
      <c r="AF1148" s="363"/>
      <c r="AG1148" s="363"/>
      <c r="AH1148" s="363"/>
      <c r="AI1148" s="363"/>
      <c r="AJ1148" s="363"/>
      <c r="AK1148" s="363"/>
      <c r="AL1148" s="363"/>
      <c r="AM1148" s="363"/>
      <c r="AN1148" s="363"/>
      <c r="AO1148" s="363"/>
    </row>
    <row r="1149" spans="1:41" s="73" customFormat="1" ht="15" customHeight="1" x14ac:dyDescent="0.25">
      <c r="A1149" s="402"/>
      <c r="B1149" s="400"/>
      <c r="C1149" s="160" t="s">
        <v>617</v>
      </c>
      <c r="D1149" s="111"/>
      <c r="E1149" s="78" t="s">
        <v>857</v>
      </c>
      <c r="F1149" s="363"/>
      <c r="G1149" s="363"/>
      <c r="H1149" s="363"/>
      <c r="I1149" s="363"/>
      <c r="J1149" s="363"/>
      <c r="K1149" s="363"/>
      <c r="L1149" s="363"/>
      <c r="M1149" s="363"/>
      <c r="N1149" s="363"/>
      <c r="O1149" s="363"/>
      <c r="P1149" s="363"/>
      <c r="Q1149" s="363"/>
      <c r="R1149" s="363"/>
      <c r="S1149" s="363"/>
      <c r="T1149" s="363"/>
      <c r="U1149" s="363"/>
      <c r="V1149" s="363"/>
      <c r="W1149" s="363"/>
      <c r="X1149" s="363"/>
      <c r="Y1149" s="363"/>
      <c r="Z1149" s="363"/>
      <c r="AA1149" s="363"/>
      <c r="AB1149" s="363"/>
      <c r="AC1149" s="363"/>
      <c r="AD1149" s="363"/>
      <c r="AE1149" s="363"/>
      <c r="AF1149" s="363"/>
      <c r="AG1149" s="363"/>
      <c r="AH1149" s="363"/>
      <c r="AI1149" s="363"/>
      <c r="AJ1149" s="363"/>
      <c r="AK1149" s="363"/>
      <c r="AL1149" s="363"/>
      <c r="AM1149" s="363"/>
      <c r="AN1149" s="363"/>
      <c r="AO1149" s="363"/>
    </row>
    <row r="1150" spans="1:41" s="73" customFormat="1" ht="15" customHeight="1" x14ac:dyDescent="0.25">
      <c r="A1150" s="402"/>
      <c r="B1150" s="400"/>
      <c r="C1150" s="160" t="s">
        <v>618</v>
      </c>
      <c r="D1150" s="111"/>
      <c r="E1150" s="78" t="s">
        <v>858</v>
      </c>
      <c r="F1150" s="363"/>
      <c r="G1150" s="363"/>
      <c r="H1150" s="363"/>
      <c r="I1150" s="363"/>
      <c r="J1150" s="363"/>
      <c r="K1150" s="363"/>
      <c r="L1150" s="363"/>
      <c r="M1150" s="363"/>
      <c r="N1150" s="363"/>
      <c r="O1150" s="363"/>
      <c r="P1150" s="363"/>
      <c r="Q1150" s="363"/>
      <c r="R1150" s="363"/>
      <c r="S1150" s="363"/>
      <c r="T1150" s="363"/>
      <c r="U1150" s="363"/>
      <c r="V1150" s="363"/>
      <c r="W1150" s="363"/>
      <c r="X1150" s="363"/>
      <c r="Y1150" s="363"/>
      <c r="Z1150" s="363"/>
      <c r="AA1150" s="363"/>
      <c r="AB1150" s="363"/>
      <c r="AC1150" s="363"/>
      <c r="AD1150" s="363"/>
      <c r="AE1150" s="363"/>
      <c r="AF1150" s="363"/>
      <c r="AG1150" s="363"/>
      <c r="AH1150" s="363"/>
      <c r="AI1150" s="363"/>
      <c r="AJ1150" s="363"/>
      <c r="AK1150" s="363"/>
      <c r="AL1150" s="363"/>
      <c r="AM1150" s="363"/>
      <c r="AN1150" s="363"/>
      <c r="AO1150" s="363"/>
    </row>
    <row r="1151" spans="1:41" s="73" customFormat="1" ht="15" customHeight="1" x14ac:dyDescent="0.25">
      <c r="A1151" s="402"/>
      <c r="B1151" s="400"/>
      <c r="C1151" s="160" t="s">
        <v>619</v>
      </c>
      <c r="D1151" s="111"/>
      <c r="E1151" s="78" t="s">
        <v>859</v>
      </c>
      <c r="F1151" s="363"/>
      <c r="G1151" s="363"/>
      <c r="H1151" s="363"/>
      <c r="I1151" s="363"/>
      <c r="J1151" s="363"/>
      <c r="K1151" s="363"/>
      <c r="L1151" s="363"/>
      <c r="M1151" s="363"/>
      <c r="N1151" s="363"/>
      <c r="O1151" s="363"/>
      <c r="P1151" s="363"/>
      <c r="Q1151" s="363"/>
      <c r="R1151" s="363"/>
      <c r="S1151" s="363"/>
      <c r="T1151" s="363"/>
      <c r="U1151" s="363"/>
      <c r="V1151" s="363"/>
      <c r="W1151" s="363"/>
      <c r="X1151" s="363"/>
      <c r="Y1151" s="363"/>
      <c r="Z1151" s="363"/>
      <c r="AA1151" s="363"/>
      <c r="AB1151" s="363"/>
      <c r="AC1151" s="363"/>
      <c r="AD1151" s="363"/>
      <c r="AE1151" s="363"/>
      <c r="AF1151" s="363"/>
      <c r="AG1151" s="363"/>
      <c r="AH1151" s="363"/>
      <c r="AI1151" s="363"/>
      <c r="AJ1151" s="363"/>
      <c r="AK1151" s="363"/>
      <c r="AL1151" s="363"/>
      <c r="AM1151" s="363"/>
      <c r="AN1151" s="363"/>
      <c r="AO1151" s="363"/>
    </row>
    <row r="1152" spans="1:41" s="108" customFormat="1" ht="15" customHeight="1" x14ac:dyDescent="0.25">
      <c r="A1152" s="402"/>
      <c r="B1152" s="400"/>
      <c r="C1152" s="100" t="s">
        <v>756</v>
      </c>
      <c r="D1152" s="150"/>
      <c r="E1152" s="101" t="s">
        <v>860</v>
      </c>
      <c r="F1152" s="364"/>
      <c r="G1152" s="364"/>
      <c r="H1152" s="364"/>
      <c r="I1152" s="364"/>
      <c r="J1152" s="364"/>
      <c r="K1152" s="364"/>
      <c r="L1152" s="364"/>
      <c r="M1152" s="364"/>
      <c r="N1152" s="364"/>
      <c r="O1152" s="364"/>
      <c r="P1152" s="364"/>
      <c r="Q1152" s="364"/>
      <c r="R1152" s="364"/>
      <c r="S1152" s="364"/>
      <c r="T1152" s="364"/>
      <c r="U1152" s="364"/>
      <c r="V1152" s="364"/>
      <c r="W1152" s="364"/>
      <c r="X1152" s="364"/>
      <c r="Y1152" s="364"/>
      <c r="Z1152" s="364"/>
      <c r="AA1152" s="364"/>
      <c r="AB1152" s="364"/>
      <c r="AC1152" s="364"/>
      <c r="AD1152" s="364"/>
      <c r="AE1152" s="364"/>
      <c r="AF1152" s="364"/>
      <c r="AG1152" s="364"/>
      <c r="AH1152" s="364"/>
      <c r="AI1152" s="364"/>
      <c r="AJ1152" s="364"/>
      <c r="AK1152" s="364"/>
      <c r="AL1152" s="364"/>
      <c r="AM1152" s="364"/>
      <c r="AN1152" s="364"/>
      <c r="AO1152" s="364"/>
    </row>
    <row r="1153" spans="1:41" s="73" customFormat="1" ht="15" customHeight="1" x14ac:dyDescent="0.25">
      <c r="A1153" s="402"/>
      <c r="B1153" s="400"/>
      <c r="C1153" s="160" t="s">
        <v>620</v>
      </c>
      <c r="D1153" s="111"/>
      <c r="E1153" s="78" t="s">
        <v>861</v>
      </c>
      <c r="F1153" s="363"/>
      <c r="G1153" s="363"/>
      <c r="H1153" s="363"/>
      <c r="I1153" s="363"/>
      <c r="J1153" s="363"/>
      <c r="K1153" s="363"/>
      <c r="L1153" s="363"/>
      <c r="M1153" s="363"/>
      <c r="N1153" s="363"/>
      <c r="O1153" s="363"/>
      <c r="P1153" s="363"/>
      <c r="Q1153" s="363"/>
      <c r="R1153" s="363"/>
      <c r="S1153" s="363"/>
      <c r="T1153" s="363"/>
      <c r="U1153" s="363"/>
      <c r="V1153" s="363"/>
      <c r="W1153" s="363"/>
      <c r="X1153" s="363"/>
      <c r="Y1153" s="363"/>
      <c r="Z1153" s="363"/>
      <c r="AA1153" s="363"/>
      <c r="AB1153" s="363"/>
      <c r="AC1153" s="363"/>
      <c r="AD1153" s="363"/>
      <c r="AE1153" s="363"/>
      <c r="AF1153" s="363"/>
      <c r="AG1153" s="363"/>
      <c r="AH1153" s="363"/>
      <c r="AI1153" s="363"/>
      <c r="AJ1153" s="363"/>
      <c r="AK1153" s="363"/>
      <c r="AL1153" s="363"/>
      <c r="AM1153" s="363"/>
      <c r="AN1153" s="363"/>
      <c r="AO1153" s="363"/>
    </row>
    <row r="1154" spans="1:41" s="73" customFormat="1" ht="15" customHeight="1" x14ac:dyDescent="0.25">
      <c r="A1154" s="402"/>
      <c r="B1154" s="400"/>
      <c r="C1154" s="160" t="s">
        <v>621</v>
      </c>
      <c r="D1154" s="111"/>
      <c r="E1154" s="78" t="s">
        <v>862</v>
      </c>
      <c r="F1154" s="363"/>
      <c r="G1154" s="363"/>
      <c r="H1154" s="363"/>
      <c r="I1154" s="363"/>
      <c r="J1154" s="363"/>
      <c r="K1154" s="363"/>
      <c r="L1154" s="363"/>
      <c r="M1154" s="363"/>
      <c r="N1154" s="363"/>
      <c r="O1154" s="363"/>
      <c r="P1154" s="363"/>
      <c r="Q1154" s="363"/>
      <c r="R1154" s="363"/>
      <c r="S1154" s="363"/>
      <c r="T1154" s="363"/>
      <c r="U1154" s="363"/>
      <c r="V1154" s="363"/>
      <c r="W1154" s="363"/>
      <c r="X1154" s="363"/>
      <c r="Y1154" s="363"/>
      <c r="Z1154" s="363"/>
      <c r="AA1154" s="363"/>
      <c r="AB1154" s="363"/>
      <c r="AC1154" s="363"/>
      <c r="AD1154" s="363"/>
      <c r="AE1154" s="363"/>
      <c r="AF1154" s="363"/>
      <c r="AG1154" s="363"/>
      <c r="AH1154" s="363"/>
      <c r="AI1154" s="363"/>
      <c r="AJ1154" s="363"/>
      <c r="AK1154" s="363"/>
      <c r="AL1154" s="363"/>
      <c r="AM1154" s="363"/>
      <c r="AN1154" s="363"/>
      <c r="AO1154" s="363"/>
    </row>
    <row r="1155" spans="1:41" s="108" customFormat="1" ht="15" customHeight="1" x14ac:dyDescent="0.25">
      <c r="A1155" s="402"/>
      <c r="B1155" s="400"/>
      <c r="C1155" s="100" t="s">
        <v>757</v>
      </c>
      <c r="D1155" s="150"/>
      <c r="E1155" s="101" t="s">
        <v>863</v>
      </c>
      <c r="F1155" s="364"/>
      <c r="G1155" s="364"/>
      <c r="H1155" s="364"/>
      <c r="I1155" s="364"/>
      <c r="J1155" s="364"/>
      <c r="K1155" s="364"/>
      <c r="L1155" s="364"/>
      <c r="M1155" s="364"/>
      <c r="N1155" s="364"/>
      <c r="O1155" s="364"/>
      <c r="P1155" s="364"/>
      <c r="Q1155" s="364"/>
      <c r="R1155" s="364"/>
      <c r="S1155" s="364"/>
      <c r="T1155" s="364"/>
      <c r="U1155" s="364"/>
      <c r="V1155" s="364"/>
      <c r="W1155" s="364"/>
      <c r="X1155" s="364"/>
      <c r="Y1155" s="364"/>
      <c r="Z1155" s="364"/>
      <c r="AA1155" s="364"/>
      <c r="AB1155" s="364"/>
      <c r="AC1155" s="364"/>
      <c r="AD1155" s="364"/>
      <c r="AE1155" s="364"/>
      <c r="AF1155" s="364"/>
      <c r="AG1155" s="364"/>
      <c r="AH1155" s="364"/>
      <c r="AI1155" s="364"/>
      <c r="AJ1155" s="364"/>
      <c r="AK1155" s="364"/>
      <c r="AL1155" s="364"/>
      <c r="AM1155" s="364"/>
      <c r="AN1155" s="364"/>
      <c r="AO1155" s="364"/>
    </row>
    <row r="1156" spans="1:41" s="73" customFormat="1" ht="15" customHeight="1" x14ac:dyDescent="0.25">
      <c r="A1156" s="402"/>
      <c r="B1156" s="400"/>
      <c r="C1156" s="160" t="s">
        <v>466</v>
      </c>
      <c r="D1156" s="111"/>
      <c r="E1156" s="78" t="s">
        <v>864</v>
      </c>
      <c r="F1156" s="363"/>
      <c r="G1156" s="363"/>
      <c r="H1156" s="363"/>
      <c r="I1156" s="363"/>
      <c r="J1156" s="363"/>
      <c r="K1156" s="363"/>
      <c r="L1156" s="363"/>
      <c r="M1156" s="363"/>
      <c r="N1156" s="363"/>
      <c r="O1156" s="363"/>
      <c r="P1156" s="363"/>
      <c r="Q1156" s="363"/>
      <c r="R1156" s="363"/>
      <c r="S1156" s="363"/>
      <c r="T1156" s="363"/>
      <c r="U1156" s="363"/>
      <c r="V1156" s="363"/>
      <c r="W1156" s="363"/>
      <c r="X1156" s="363"/>
      <c r="Y1156" s="363"/>
      <c r="Z1156" s="363"/>
      <c r="AA1156" s="363"/>
      <c r="AB1156" s="363"/>
      <c r="AC1156" s="363"/>
      <c r="AD1156" s="363"/>
      <c r="AE1156" s="363"/>
      <c r="AF1156" s="363"/>
      <c r="AG1156" s="363"/>
      <c r="AH1156" s="363"/>
      <c r="AI1156" s="363"/>
      <c r="AJ1156" s="363"/>
      <c r="AK1156" s="363"/>
      <c r="AL1156" s="363"/>
      <c r="AM1156" s="363"/>
      <c r="AN1156" s="363"/>
      <c r="AO1156" s="363"/>
    </row>
    <row r="1157" spans="1:41" s="73" customFormat="1" ht="15" customHeight="1" x14ac:dyDescent="0.25">
      <c r="A1157" s="402"/>
      <c r="B1157" s="400"/>
      <c r="C1157" s="160" t="s">
        <v>467</v>
      </c>
      <c r="D1157" s="111"/>
      <c r="E1157" s="78" t="s">
        <v>865</v>
      </c>
      <c r="F1157" s="363"/>
      <c r="G1157" s="363"/>
      <c r="H1157" s="363"/>
      <c r="I1157" s="363"/>
      <c r="J1157" s="363"/>
      <c r="K1157" s="363"/>
      <c r="L1157" s="363"/>
      <c r="M1157" s="363"/>
      <c r="N1157" s="363"/>
      <c r="O1157" s="363"/>
      <c r="P1157" s="363"/>
      <c r="Q1157" s="363"/>
      <c r="R1157" s="363"/>
      <c r="S1157" s="363"/>
      <c r="T1157" s="363"/>
      <c r="U1157" s="363"/>
      <c r="V1157" s="363"/>
      <c r="W1157" s="363"/>
      <c r="X1157" s="363"/>
      <c r="Y1157" s="363"/>
      <c r="Z1157" s="363"/>
      <c r="AA1157" s="363"/>
      <c r="AB1157" s="363"/>
      <c r="AC1157" s="363"/>
      <c r="AD1157" s="363"/>
      <c r="AE1157" s="363"/>
      <c r="AF1157" s="363"/>
      <c r="AG1157" s="363"/>
      <c r="AH1157" s="363"/>
      <c r="AI1157" s="363"/>
      <c r="AJ1157" s="363"/>
      <c r="AK1157" s="363"/>
      <c r="AL1157" s="363"/>
      <c r="AM1157" s="363"/>
      <c r="AN1157" s="363"/>
      <c r="AO1157" s="363"/>
    </row>
    <row r="1158" spans="1:41" s="73" customFormat="1" ht="15" customHeight="1" x14ac:dyDescent="0.25">
      <c r="A1158" s="402"/>
      <c r="B1158" s="400"/>
      <c r="C1158" s="160" t="s">
        <v>470</v>
      </c>
      <c r="D1158" s="111"/>
      <c r="E1158" s="78" t="s">
        <v>866</v>
      </c>
      <c r="F1158" s="363"/>
      <c r="G1158" s="363"/>
      <c r="H1158" s="363"/>
      <c r="I1158" s="363"/>
      <c r="J1158" s="363"/>
      <c r="K1158" s="363"/>
      <c r="L1158" s="363"/>
      <c r="M1158" s="363"/>
      <c r="N1158" s="363"/>
      <c r="O1158" s="363"/>
      <c r="P1158" s="363"/>
      <c r="Q1158" s="363"/>
      <c r="R1158" s="363"/>
      <c r="S1158" s="363"/>
      <c r="T1158" s="363"/>
      <c r="U1158" s="363"/>
      <c r="V1158" s="363"/>
      <c r="W1158" s="363"/>
      <c r="X1158" s="363"/>
      <c r="Y1158" s="363"/>
      <c r="Z1158" s="363"/>
      <c r="AA1158" s="363"/>
      <c r="AB1158" s="363"/>
      <c r="AC1158" s="363"/>
      <c r="AD1158" s="363"/>
      <c r="AE1158" s="363"/>
      <c r="AF1158" s="363"/>
      <c r="AG1158" s="363"/>
      <c r="AH1158" s="363"/>
      <c r="AI1158" s="363"/>
      <c r="AJ1158" s="363"/>
      <c r="AK1158" s="363"/>
      <c r="AL1158" s="363"/>
      <c r="AM1158" s="363"/>
      <c r="AN1158" s="363"/>
      <c r="AO1158" s="363"/>
    </row>
    <row r="1159" spans="1:41" s="73" customFormat="1" ht="15" customHeight="1" x14ac:dyDescent="0.25">
      <c r="A1159" s="402"/>
      <c r="B1159" s="400"/>
      <c r="C1159" s="160" t="s">
        <v>471</v>
      </c>
      <c r="D1159" s="111"/>
      <c r="E1159" s="78" t="s">
        <v>867</v>
      </c>
      <c r="F1159" s="363"/>
      <c r="G1159" s="363"/>
      <c r="H1159" s="363"/>
      <c r="I1159" s="363"/>
      <c r="J1159" s="363"/>
      <c r="K1159" s="363"/>
      <c r="L1159" s="363"/>
      <c r="M1159" s="363"/>
      <c r="N1159" s="363"/>
      <c r="O1159" s="363"/>
      <c r="P1159" s="363"/>
      <c r="Q1159" s="363"/>
      <c r="R1159" s="363"/>
      <c r="S1159" s="363"/>
      <c r="T1159" s="363"/>
      <c r="U1159" s="363"/>
      <c r="V1159" s="363"/>
      <c r="W1159" s="363"/>
      <c r="X1159" s="363"/>
      <c r="Y1159" s="363"/>
      <c r="Z1159" s="363"/>
      <c r="AA1159" s="363"/>
      <c r="AB1159" s="363"/>
      <c r="AC1159" s="363"/>
      <c r="AD1159" s="363"/>
      <c r="AE1159" s="363"/>
      <c r="AF1159" s="363"/>
      <c r="AG1159" s="363"/>
      <c r="AH1159" s="363"/>
      <c r="AI1159" s="363"/>
      <c r="AJ1159" s="363"/>
      <c r="AK1159" s="363"/>
      <c r="AL1159" s="363"/>
      <c r="AM1159" s="363"/>
      <c r="AN1159" s="363"/>
      <c r="AO1159" s="363"/>
    </row>
    <row r="1160" spans="1:41" s="108" customFormat="1" ht="15" customHeight="1" x14ac:dyDescent="0.25">
      <c r="A1160" s="402"/>
      <c r="B1160" s="400"/>
      <c r="C1160" s="100" t="s">
        <v>543</v>
      </c>
      <c r="D1160" s="150"/>
      <c r="E1160" s="101" t="s">
        <v>868</v>
      </c>
      <c r="F1160" s="364"/>
      <c r="G1160" s="364"/>
      <c r="H1160" s="364"/>
      <c r="I1160" s="364"/>
      <c r="J1160" s="364"/>
      <c r="K1160" s="364"/>
      <c r="L1160" s="364"/>
      <c r="M1160" s="364"/>
      <c r="N1160" s="364"/>
      <c r="O1160" s="364"/>
      <c r="P1160" s="364"/>
      <c r="Q1160" s="364"/>
      <c r="R1160" s="364"/>
      <c r="S1160" s="364"/>
      <c r="T1160" s="364"/>
      <c r="U1160" s="364"/>
      <c r="V1160" s="364"/>
      <c r="W1160" s="364"/>
      <c r="X1160" s="364"/>
      <c r="Y1160" s="364"/>
      <c r="Z1160" s="364"/>
      <c r="AA1160" s="364"/>
      <c r="AB1160" s="364"/>
      <c r="AC1160" s="364"/>
      <c r="AD1160" s="364"/>
      <c r="AE1160" s="364"/>
      <c r="AF1160" s="364"/>
      <c r="AG1160" s="364"/>
      <c r="AH1160" s="364"/>
      <c r="AI1160" s="364"/>
      <c r="AJ1160" s="364"/>
      <c r="AK1160" s="364"/>
      <c r="AL1160" s="364"/>
      <c r="AM1160" s="364"/>
      <c r="AN1160" s="364"/>
      <c r="AO1160" s="364"/>
    </row>
    <row r="1161" spans="1:41" s="73" customFormat="1" ht="15" customHeight="1" x14ac:dyDescent="0.25">
      <c r="A1161" s="402"/>
      <c r="B1161" s="400"/>
      <c r="C1161" s="160" t="s">
        <v>474</v>
      </c>
      <c r="D1161" s="111"/>
      <c r="E1161" s="78" t="s">
        <v>869</v>
      </c>
      <c r="F1161" s="363"/>
      <c r="G1161" s="363"/>
      <c r="H1161" s="363"/>
      <c r="I1161" s="363"/>
      <c r="J1161" s="363"/>
      <c r="K1161" s="363"/>
      <c r="L1161" s="363"/>
      <c r="M1161" s="363"/>
      <c r="N1161" s="363"/>
      <c r="O1161" s="363"/>
      <c r="P1161" s="363"/>
      <c r="Q1161" s="363"/>
      <c r="R1161" s="363"/>
      <c r="S1161" s="363"/>
      <c r="T1161" s="363"/>
      <c r="U1161" s="363"/>
      <c r="V1161" s="363"/>
      <c r="W1161" s="363"/>
      <c r="X1161" s="363"/>
      <c r="Y1161" s="363"/>
      <c r="Z1161" s="363"/>
      <c r="AA1161" s="363"/>
      <c r="AB1161" s="363"/>
      <c r="AC1161" s="363"/>
      <c r="AD1161" s="363"/>
      <c r="AE1161" s="363"/>
      <c r="AF1161" s="363"/>
      <c r="AG1161" s="363"/>
      <c r="AH1161" s="363"/>
      <c r="AI1161" s="363"/>
      <c r="AJ1161" s="363"/>
      <c r="AK1161" s="363"/>
      <c r="AL1161" s="363"/>
      <c r="AM1161" s="363"/>
      <c r="AN1161" s="363"/>
      <c r="AO1161" s="363"/>
    </row>
    <row r="1162" spans="1:41" s="73" customFormat="1" ht="15" customHeight="1" x14ac:dyDescent="0.25">
      <c r="A1162" s="402"/>
      <c r="B1162" s="400"/>
      <c r="C1162" s="160" t="s">
        <v>475</v>
      </c>
      <c r="D1162" s="111"/>
      <c r="E1162" s="78" t="s">
        <v>870</v>
      </c>
      <c r="F1162" s="363"/>
      <c r="G1162" s="363"/>
      <c r="H1162" s="363"/>
      <c r="I1162" s="363"/>
      <c r="J1162" s="363"/>
      <c r="K1162" s="363"/>
      <c r="L1162" s="363"/>
      <c r="M1162" s="363"/>
      <c r="N1162" s="363"/>
      <c r="O1162" s="363"/>
      <c r="P1162" s="363"/>
      <c r="Q1162" s="363"/>
      <c r="R1162" s="363"/>
      <c r="S1162" s="363"/>
      <c r="T1162" s="363"/>
      <c r="U1162" s="363"/>
      <c r="V1162" s="363"/>
      <c r="W1162" s="363"/>
      <c r="X1162" s="363"/>
      <c r="Y1162" s="363"/>
      <c r="Z1162" s="363"/>
      <c r="AA1162" s="363"/>
      <c r="AB1162" s="363"/>
      <c r="AC1162" s="363"/>
      <c r="AD1162" s="363"/>
      <c r="AE1162" s="363"/>
      <c r="AF1162" s="363"/>
      <c r="AG1162" s="363"/>
      <c r="AH1162" s="363"/>
      <c r="AI1162" s="363"/>
      <c r="AJ1162" s="363"/>
      <c r="AK1162" s="363"/>
      <c r="AL1162" s="363"/>
      <c r="AM1162" s="363"/>
      <c r="AN1162" s="363"/>
      <c r="AO1162" s="363"/>
    </row>
    <row r="1163" spans="1:41" s="73" customFormat="1" ht="15" customHeight="1" x14ac:dyDescent="0.25">
      <c r="A1163" s="402"/>
      <c r="B1163" s="400"/>
      <c r="C1163" s="160" t="s">
        <v>476</v>
      </c>
      <c r="D1163" s="111"/>
      <c r="E1163" s="78" t="s">
        <v>871</v>
      </c>
      <c r="F1163" s="363"/>
      <c r="G1163" s="363"/>
      <c r="H1163" s="363"/>
      <c r="I1163" s="363"/>
      <c r="J1163" s="363"/>
      <c r="K1163" s="363"/>
      <c r="L1163" s="363"/>
      <c r="M1163" s="363"/>
      <c r="N1163" s="363"/>
      <c r="O1163" s="363"/>
      <c r="P1163" s="363"/>
      <c r="Q1163" s="363"/>
      <c r="R1163" s="363"/>
      <c r="S1163" s="363"/>
      <c r="T1163" s="363"/>
      <c r="U1163" s="363"/>
      <c r="V1163" s="363"/>
      <c r="W1163" s="363"/>
      <c r="X1163" s="363"/>
      <c r="Y1163" s="363"/>
      <c r="Z1163" s="363"/>
      <c r="AA1163" s="363"/>
      <c r="AB1163" s="363"/>
      <c r="AC1163" s="363"/>
      <c r="AD1163" s="363"/>
      <c r="AE1163" s="363"/>
      <c r="AF1163" s="363"/>
      <c r="AG1163" s="363"/>
      <c r="AH1163" s="363"/>
      <c r="AI1163" s="363"/>
      <c r="AJ1163" s="363"/>
      <c r="AK1163" s="363"/>
      <c r="AL1163" s="363"/>
      <c r="AM1163" s="363"/>
      <c r="AN1163" s="363"/>
      <c r="AO1163" s="363"/>
    </row>
    <row r="1164" spans="1:41" s="73" customFormat="1" ht="15" customHeight="1" x14ac:dyDescent="0.25">
      <c r="A1164" s="402"/>
      <c r="B1164" s="400"/>
      <c r="C1164" s="160" t="s">
        <v>477</v>
      </c>
      <c r="D1164" s="111"/>
      <c r="E1164" s="78" t="s">
        <v>872</v>
      </c>
      <c r="F1164" s="363"/>
      <c r="G1164" s="363"/>
      <c r="H1164" s="363"/>
      <c r="I1164" s="363"/>
      <c r="J1164" s="363"/>
      <c r="K1164" s="363"/>
      <c r="L1164" s="363"/>
      <c r="M1164" s="363"/>
      <c r="N1164" s="363"/>
      <c r="O1164" s="363"/>
      <c r="P1164" s="363"/>
      <c r="Q1164" s="363"/>
      <c r="R1164" s="363"/>
      <c r="S1164" s="363"/>
      <c r="T1164" s="363"/>
      <c r="U1164" s="363"/>
      <c r="V1164" s="363"/>
      <c r="W1164" s="363"/>
      <c r="X1164" s="363"/>
      <c r="Y1164" s="363"/>
      <c r="Z1164" s="363"/>
      <c r="AA1164" s="363"/>
      <c r="AB1164" s="363"/>
      <c r="AC1164" s="363"/>
      <c r="AD1164" s="363"/>
      <c r="AE1164" s="363"/>
      <c r="AF1164" s="363"/>
      <c r="AG1164" s="363"/>
      <c r="AH1164" s="363"/>
      <c r="AI1164" s="363"/>
      <c r="AJ1164" s="363"/>
      <c r="AK1164" s="363"/>
      <c r="AL1164" s="363"/>
      <c r="AM1164" s="363"/>
      <c r="AN1164" s="363"/>
      <c r="AO1164" s="363"/>
    </row>
    <row r="1165" spans="1:41" s="73" customFormat="1" ht="15" customHeight="1" x14ac:dyDescent="0.25">
      <c r="A1165" s="402"/>
      <c r="B1165" s="400"/>
      <c r="C1165" s="160" t="s">
        <v>478</v>
      </c>
      <c r="D1165" s="111"/>
      <c r="E1165" s="78" t="s">
        <v>873</v>
      </c>
      <c r="F1165" s="363"/>
      <c r="G1165" s="363"/>
      <c r="H1165" s="363"/>
      <c r="I1165" s="363"/>
      <c r="J1165" s="363"/>
      <c r="K1165" s="363"/>
      <c r="L1165" s="363"/>
      <c r="M1165" s="363"/>
      <c r="N1165" s="363"/>
      <c r="O1165" s="363"/>
      <c r="P1165" s="363"/>
      <c r="Q1165" s="363"/>
      <c r="R1165" s="363"/>
      <c r="S1165" s="363"/>
      <c r="T1165" s="363"/>
      <c r="U1165" s="363"/>
      <c r="V1165" s="363"/>
      <c r="W1165" s="363"/>
      <c r="X1165" s="363"/>
      <c r="Y1165" s="363"/>
      <c r="Z1165" s="363"/>
      <c r="AA1165" s="363"/>
      <c r="AB1165" s="363"/>
      <c r="AC1165" s="363"/>
      <c r="AD1165" s="363"/>
      <c r="AE1165" s="363"/>
      <c r="AF1165" s="363"/>
      <c r="AG1165" s="363"/>
      <c r="AH1165" s="363"/>
      <c r="AI1165" s="363"/>
      <c r="AJ1165" s="363"/>
      <c r="AK1165" s="363"/>
      <c r="AL1165" s="363"/>
      <c r="AM1165" s="363"/>
      <c r="AN1165" s="363"/>
      <c r="AO1165" s="363"/>
    </row>
    <row r="1166" spans="1:41" s="73" customFormat="1" ht="15" customHeight="1" x14ac:dyDescent="0.25">
      <c r="A1166" s="402"/>
      <c r="B1166" s="400"/>
      <c r="C1166" s="160" t="s">
        <v>479</v>
      </c>
      <c r="D1166" s="111"/>
      <c r="E1166" s="78" t="s">
        <v>874</v>
      </c>
      <c r="F1166" s="363"/>
      <c r="G1166" s="363"/>
      <c r="H1166" s="363"/>
      <c r="I1166" s="363"/>
      <c r="J1166" s="363"/>
      <c r="K1166" s="363"/>
      <c r="L1166" s="363"/>
      <c r="M1166" s="363"/>
      <c r="N1166" s="363"/>
      <c r="O1166" s="363"/>
      <c r="P1166" s="363"/>
      <c r="Q1166" s="363"/>
      <c r="R1166" s="363"/>
      <c r="S1166" s="363"/>
      <c r="T1166" s="363"/>
      <c r="U1166" s="363"/>
      <c r="V1166" s="363"/>
      <c r="W1166" s="363"/>
      <c r="X1166" s="363"/>
      <c r="Y1166" s="363"/>
      <c r="Z1166" s="363"/>
      <c r="AA1166" s="363"/>
      <c r="AB1166" s="363"/>
      <c r="AC1166" s="363"/>
      <c r="AD1166" s="363"/>
      <c r="AE1166" s="363"/>
      <c r="AF1166" s="363"/>
      <c r="AG1166" s="363"/>
      <c r="AH1166" s="363"/>
      <c r="AI1166" s="363"/>
      <c r="AJ1166" s="363"/>
      <c r="AK1166" s="363"/>
      <c r="AL1166" s="363"/>
      <c r="AM1166" s="363"/>
      <c r="AN1166" s="363"/>
      <c r="AO1166" s="363"/>
    </row>
    <row r="1167" spans="1:41" s="73" customFormat="1" ht="15" customHeight="1" x14ac:dyDescent="0.25">
      <c r="A1167" s="402"/>
      <c r="B1167" s="400"/>
      <c r="C1167" s="160" t="s">
        <v>480</v>
      </c>
      <c r="D1167" s="111"/>
      <c r="E1167" s="78" t="s">
        <v>875</v>
      </c>
      <c r="F1167" s="363"/>
      <c r="G1167" s="363"/>
      <c r="H1167" s="363"/>
      <c r="I1167" s="363"/>
      <c r="J1167" s="363"/>
      <c r="K1167" s="363"/>
      <c r="L1167" s="363"/>
      <c r="M1167" s="363"/>
      <c r="N1167" s="363"/>
      <c r="O1167" s="363"/>
      <c r="P1167" s="363"/>
      <c r="Q1167" s="363"/>
      <c r="R1167" s="363"/>
      <c r="S1167" s="363"/>
      <c r="T1167" s="363"/>
      <c r="U1167" s="363"/>
      <c r="V1167" s="363"/>
      <c r="W1167" s="363"/>
      <c r="X1167" s="363"/>
      <c r="Y1167" s="363"/>
      <c r="Z1167" s="363"/>
      <c r="AA1167" s="363"/>
      <c r="AB1167" s="363"/>
      <c r="AC1167" s="363"/>
      <c r="AD1167" s="363"/>
      <c r="AE1167" s="363"/>
      <c r="AF1167" s="363"/>
      <c r="AG1167" s="363"/>
      <c r="AH1167" s="363"/>
      <c r="AI1167" s="363"/>
      <c r="AJ1167" s="363"/>
      <c r="AK1167" s="363"/>
      <c r="AL1167" s="363"/>
      <c r="AM1167" s="363"/>
      <c r="AN1167" s="363"/>
      <c r="AO1167" s="363"/>
    </row>
    <row r="1168" spans="1:41" s="73" customFormat="1" ht="15" customHeight="1" x14ac:dyDescent="0.25">
      <c r="A1168" s="402"/>
      <c r="B1168" s="400"/>
      <c r="C1168" s="160" t="s">
        <v>481</v>
      </c>
      <c r="D1168" s="111"/>
      <c r="E1168" s="78" t="s">
        <v>876</v>
      </c>
      <c r="F1168" s="363"/>
      <c r="G1168" s="363"/>
      <c r="H1168" s="363"/>
      <c r="I1168" s="363"/>
      <c r="J1168" s="363"/>
      <c r="K1168" s="363"/>
      <c r="L1168" s="363"/>
      <c r="M1168" s="363"/>
      <c r="N1168" s="363"/>
      <c r="O1168" s="363"/>
      <c r="P1168" s="363"/>
      <c r="Q1168" s="363"/>
      <c r="R1168" s="363"/>
      <c r="S1168" s="363"/>
      <c r="T1168" s="363"/>
      <c r="U1168" s="363"/>
      <c r="V1168" s="363"/>
      <c r="W1168" s="363"/>
      <c r="X1168" s="363"/>
      <c r="Y1168" s="363"/>
      <c r="Z1168" s="363"/>
      <c r="AA1168" s="363"/>
      <c r="AB1168" s="363"/>
      <c r="AC1168" s="363"/>
      <c r="AD1168" s="363"/>
      <c r="AE1168" s="363"/>
      <c r="AF1168" s="363"/>
      <c r="AG1168" s="363"/>
      <c r="AH1168" s="363"/>
      <c r="AI1168" s="363"/>
      <c r="AJ1168" s="363"/>
      <c r="AK1168" s="363"/>
      <c r="AL1168" s="363"/>
      <c r="AM1168" s="363"/>
      <c r="AN1168" s="363"/>
      <c r="AO1168" s="363"/>
    </row>
    <row r="1169" spans="1:41" s="73" customFormat="1" ht="15" customHeight="1" x14ac:dyDescent="0.25">
      <c r="A1169" s="402"/>
      <c r="B1169" s="400"/>
      <c r="C1169" s="161" t="s">
        <v>482</v>
      </c>
      <c r="D1169" s="112"/>
      <c r="E1169" s="102" t="s">
        <v>877</v>
      </c>
      <c r="F1169" s="365"/>
      <c r="G1169" s="365"/>
      <c r="H1169" s="365"/>
      <c r="I1169" s="365"/>
      <c r="J1169" s="365"/>
      <c r="K1169" s="365"/>
      <c r="L1169" s="365"/>
      <c r="M1169" s="365"/>
      <c r="N1169" s="365"/>
      <c r="O1169" s="365"/>
      <c r="P1169" s="365"/>
      <c r="Q1169" s="365"/>
      <c r="R1169" s="365"/>
      <c r="S1169" s="365"/>
      <c r="T1169" s="365"/>
      <c r="U1169" s="365"/>
      <c r="V1169" s="365"/>
      <c r="W1169" s="365"/>
      <c r="X1169" s="365"/>
      <c r="Y1169" s="365"/>
      <c r="Z1169" s="365"/>
      <c r="AA1169" s="365"/>
      <c r="AB1169" s="365"/>
      <c r="AC1169" s="365"/>
      <c r="AD1169" s="365"/>
      <c r="AE1169" s="365"/>
      <c r="AF1169" s="365"/>
      <c r="AG1169" s="365"/>
      <c r="AH1169" s="365"/>
      <c r="AI1169" s="365"/>
      <c r="AJ1169" s="365"/>
      <c r="AK1169" s="365"/>
      <c r="AL1169" s="365"/>
      <c r="AM1169" s="365"/>
      <c r="AN1169" s="365"/>
      <c r="AO1169" s="365"/>
    </row>
    <row r="1170" spans="1:41" s="108" customFormat="1" ht="15" customHeight="1" x14ac:dyDescent="0.25">
      <c r="A1170" s="402"/>
      <c r="B1170" s="400"/>
      <c r="C1170" s="100" t="s">
        <v>796</v>
      </c>
      <c r="D1170" s="150"/>
      <c r="E1170" s="101" t="s">
        <v>839</v>
      </c>
      <c r="F1170" s="364"/>
      <c r="G1170" s="364"/>
      <c r="H1170" s="364"/>
      <c r="I1170" s="364"/>
      <c r="J1170" s="364"/>
      <c r="K1170" s="364"/>
      <c r="L1170" s="364"/>
      <c r="M1170" s="364"/>
      <c r="N1170" s="364"/>
      <c r="O1170" s="364"/>
      <c r="P1170" s="364"/>
      <c r="Q1170" s="364"/>
      <c r="R1170" s="364"/>
      <c r="S1170" s="364"/>
      <c r="T1170" s="364"/>
      <c r="U1170" s="364"/>
      <c r="V1170" s="364"/>
      <c r="W1170" s="364"/>
      <c r="X1170" s="364"/>
      <c r="Y1170" s="364"/>
      <c r="Z1170" s="364"/>
      <c r="AA1170" s="364"/>
      <c r="AB1170" s="364"/>
      <c r="AC1170" s="364"/>
      <c r="AD1170" s="364"/>
      <c r="AE1170" s="364"/>
      <c r="AF1170" s="364"/>
      <c r="AG1170" s="364"/>
      <c r="AH1170" s="364"/>
      <c r="AI1170" s="364"/>
      <c r="AJ1170" s="364"/>
      <c r="AK1170" s="364"/>
      <c r="AL1170" s="364"/>
      <c r="AM1170" s="364"/>
      <c r="AN1170" s="364"/>
      <c r="AO1170" s="364"/>
    </row>
    <row r="1171" spans="1:41" s="108" customFormat="1" ht="15" customHeight="1" x14ac:dyDescent="0.25">
      <c r="A1171" s="402"/>
      <c r="B1171" s="400"/>
      <c r="C1171" s="100" t="s">
        <v>797</v>
      </c>
      <c r="D1171" s="150"/>
      <c r="E1171" s="101" t="s">
        <v>840</v>
      </c>
      <c r="F1171" s="364"/>
      <c r="G1171" s="364"/>
      <c r="H1171" s="364"/>
      <c r="I1171" s="364"/>
      <c r="J1171" s="364"/>
      <c r="K1171" s="364"/>
      <c r="L1171" s="364"/>
      <c r="M1171" s="364"/>
      <c r="N1171" s="364"/>
      <c r="O1171" s="364"/>
      <c r="P1171" s="364"/>
      <c r="Q1171" s="364"/>
      <c r="R1171" s="364"/>
      <c r="S1171" s="364"/>
      <c r="T1171" s="364"/>
      <c r="U1171" s="364"/>
      <c r="V1171" s="364"/>
      <c r="W1171" s="364"/>
      <c r="X1171" s="364"/>
      <c r="Y1171" s="364"/>
      <c r="Z1171" s="364"/>
      <c r="AA1171" s="364"/>
      <c r="AB1171" s="364"/>
      <c r="AC1171" s="364"/>
      <c r="AD1171" s="364"/>
      <c r="AE1171" s="364"/>
      <c r="AF1171" s="364"/>
      <c r="AG1171" s="364"/>
      <c r="AH1171" s="364"/>
      <c r="AI1171" s="364"/>
      <c r="AJ1171" s="364"/>
      <c r="AK1171" s="364"/>
      <c r="AL1171" s="364"/>
      <c r="AM1171" s="364"/>
      <c r="AN1171" s="364"/>
      <c r="AO1171" s="364"/>
    </row>
    <row r="1172" spans="1:41" s="73" customFormat="1" ht="15" customHeight="1" x14ac:dyDescent="0.25">
      <c r="A1172" s="402"/>
      <c r="B1172" s="400"/>
      <c r="C1172" s="160" t="s">
        <v>738</v>
      </c>
      <c r="D1172" s="111"/>
      <c r="E1172" s="78" t="s">
        <v>841</v>
      </c>
      <c r="F1172" s="363"/>
      <c r="G1172" s="363"/>
      <c r="H1172" s="363"/>
      <c r="I1172" s="363"/>
      <c r="J1172" s="363"/>
      <c r="K1172" s="363"/>
      <c r="L1172" s="363"/>
      <c r="M1172" s="363"/>
      <c r="N1172" s="363"/>
      <c r="O1172" s="363"/>
      <c r="P1172" s="363"/>
      <c r="Q1172" s="363"/>
      <c r="R1172" s="363"/>
      <c r="S1172" s="363"/>
      <c r="T1172" s="363"/>
      <c r="U1172" s="363"/>
      <c r="V1172" s="363"/>
      <c r="W1172" s="363"/>
      <c r="X1172" s="363"/>
      <c r="Y1172" s="363"/>
      <c r="Z1172" s="363"/>
      <c r="AA1172" s="363"/>
      <c r="AB1172" s="363"/>
      <c r="AC1172" s="363"/>
      <c r="AD1172" s="363"/>
      <c r="AE1172" s="363"/>
      <c r="AF1172" s="363"/>
      <c r="AG1172" s="363"/>
      <c r="AH1172" s="363"/>
      <c r="AI1172" s="363"/>
      <c r="AJ1172" s="363"/>
      <c r="AK1172" s="363"/>
      <c r="AL1172" s="363"/>
      <c r="AM1172" s="363"/>
      <c r="AN1172" s="363"/>
      <c r="AO1172" s="363"/>
    </row>
    <row r="1173" spans="1:41" s="73" customFormat="1" ht="15" customHeight="1" x14ac:dyDescent="0.25">
      <c r="A1173" s="402"/>
      <c r="B1173" s="400"/>
      <c r="C1173" s="160" t="s">
        <v>739</v>
      </c>
      <c r="D1173" s="111"/>
      <c r="E1173" s="78" t="s">
        <v>842</v>
      </c>
      <c r="F1173" s="363"/>
      <c r="G1173" s="363"/>
      <c r="H1173" s="363"/>
      <c r="I1173" s="363"/>
      <c r="J1173" s="363"/>
      <c r="K1173" s="363"/>
      <c r="L1173" s="363"/>
      <c r="M1173" s="363"/>
      <c r="N1173" s="363"/>
      <c r="O1173" s="363"/>
      <c r="P1173" s="363"/>
      <c r="Q1173" s="363"/>
      <c r="R1173" s="363"/>
      <c r="S1173" s="363"/>
      <c r="T1173" s="363"/>
      <c r="U1173" s="363"/>
      <c r="V1173" s="363"/>
      <c r="W1173" s="363"/>
      <c r="X1173" s="363"/>
      <c r="Y1173" s="363"/>
      <c r="Z1173" s="363"/>
      <c r="AA1173" s="363"/>
      <c r="AB1173" s="363"/>
      <c r="AC1173" s="363"/>
      <c r="AD1173" s="363"/>
      <c r="AE1173" s="363"/>
      <c r="AF1173" s="363"/>
      <c r="AG1173" s="363"/>
      <c r="AH1173" s="363"/>
      <c r="AI1173" s="363"/>
      <c r="AJ1173" s="363"/>
      <c r="AK1173" s="363"/>
      <c r="AL1173" s="363"/>
      <c r="AM1173" s="363"/>
      <c r="AN1173" s="363"/>
      <c r="AO1173" s="363"/>
    </row>
    <row r="1174" spans="1:41" s="108" customFormat="1" ht="15" customHeight="1" x14ac:dyDescent="0.25">
      <c r="A1174" s="402"/>
      <c r="B1174" s="400"/>
      <c r="C1174" s="100" t="s">
        <v>798</v>
      </c>
      <c r="D1174" s="150"/>
      <c r="E1174" s="101" t="s">
        <v>878</v>
      </c>
      <c r="F1174" s="364"/>
      <c r="G1174" s="364"/>
      <c r="H1174" s="364"/>
      <c r="I1174" s="364"/>
      <c r="J1174" s="364"/>
      <c r="K1174" s="364"/>
      <c r="L1174" s="364"/>
      <c r="M1174" s="364"/>
      <c r="N1174" s="364"/>
      <c r="O1174" s="364"/>
      <c r="P1174" s="364"/>
      <c r="Q1174" s="364"/>
      <c r="R1174" s="364"/>
      <c r="S1174" s="364"/>
      <c r="T1174" s="364"/>
      <c r="U1174" s="364"/>
      <c r="V1174" s="364"/>
      <c r="W1174" s="364"/>
      <c r="X1174" s="364"/>
      <c r="Y1174" s="364"/>
      <c r="Z1174" s="364"/>
      <c r="AA1174" s="364"/>
      <c r="AB1174" s="364"/>
      <c r="AC1174" s="364"/>
      <c r="AD1174" s="364"/>
      <c r="AE1174" s="364"/>
      <c r="AF1174" s="364"/>
      <c r="AG1174" s="364"/>
      <c r="AH1174" s="364"/>
      <c r="AI1174" s="364"/>
      <c r="AJ1174" s="364"/>
      <c r="AK1174" s="364"/>
      <c r="AL1174" s="364"/>
      <c r="AM1174" s="364"/>
      <c r="AN1174" s="364"/>
      <c r="AO1174" s="364"/>
    </row>
    <row r="1175" spans="1:41" s="73" customFormat="1" ht="15" customHeight="1" x14ac:dyDescent="0.25">
      <c r="A1175" s="402"/>
      <c r="B1175" s="400"/>
      <c r="C1175" s="160" t="s">
        <v>740</v>
      </c>
      <c r="D1175" s="111"/>
      <c r="E1175" s="78" t="s">
        <v>879</v>
      </c>
      <c r="F1175" s="363"/>
      <c r="G1175" s="363"/>
      <c r="H1175" s="363"/>
      <c r="I1175" s="363"/>
      <c r="J1175" s="363"/>
      <c r="K1175" s="363"/>
      <c r="L1175" s="363"/>
      <c r="M1175" s="363"/>
      <c r="N1175" s="363"/>
      <c r="O1175" s="363"/>
      <c r="P1175" s="363"/>
      <c r="Q1175" s="363"/>
      <c r="R1175" s="363"/>
      <c r="S1175" s="363"/>
      <c r="T1175" s="363"/>
      <c r="U1175" s="363"/>
      <c r="V1175" s="363"/>
      <c r="W1175" s="363"/>
      <c r="X1175" s="363"/>
      <c r="Y1175" s="363"/>
      <c r="Z1175" s="363"/>
      <c r="AA1175" s="363"/>
      <c r="AB1175" s="363"/>
      <c r="AC1175" s="363"/>
      <c r="AD1175" s="363"/>
      <c r="AE1175" s="363"/>
      <c r="AF1175" s="363"/>
      <c r="AG1175" s="363"/>
      <c r="AH1175" s="363"/>
      <c r="AI1175" s="363"/>
      <c r="AJ1175" s="363"/>
      <c r="AK1175" s="363"/>
      <c r="AL1175" s="363"/>
      <c r="AM1175" s="363"/>
      <c r="AN1175" s="363"/>
      <c r="AO1175" s="363"/>
    </row>
    <row r="1176" spans="1:41" s="73" customFormat="1" ht="15" customHeight="1" x14ac:dyDescent="0.25">
      <c r="A1176" s="402"/>
      <c r="B1176" s="400"/>
      <c r="C1176" s="160" t="s">
        <v>741</v>
      </c>
      <c r="D1176" s="111"/>
      <c r="E1176" s="78" t="s">
        <v>880</v>
      </c>
      <c r="F1176" s="363"/>
      <c r="G1176" s="363"/>
      <c r="H1176" s="363"/>
      <c r="I1176" s="363"/>
      <c r="J1176" s="363"/>
      <c r="K1176" s="363"/>
      <c r="L1176" s="363"/>
      <c r="M1176" s="363"/>
      <c r="N1176" s="363"/>
      <c r="O1176" s="363"/>
      <c r="P1176" s="363"/>
      <c r="Q1176" s="363"/>
      <c r="R1176" s="363"/>
      <c r="S1176" s="363"/>
      <c r="T1176" s="363"/>
      <c r="U1176" s="363"/>
      <c r="V1176" s="363"/>
      <c r="W1176" s="363"/>
      <c r="X1176" s="363"/>
      <c r="Y1176" s="363"/>
      <c r="Z1176" s="363"/>
      <c r="AA1176" s="363"/>
      <c r="AB1176" s="363"/>
      <c r="AC1176" s="363"/>
      <c r="AD1176" s="363"/>
      <c r="AE1176" s="363"/>
      <c r="AF1176" s="363"/>
      <c r="AG1176" s="363"/>
      <c r="AH1176" s="363"/>
      <c r="AI1176" s="363"/>
      <c r="AJ1176" s="363"/>
      <c r="AK1176" s="363"/>
      <c r="AL1176" s="363"/>
      <c r="AM1176" s="363"/>
      <c r="AN1176" s="363"/>
      <c r="AO1176" s="363"/>
    </row>
    <row r="1177" spans="1:41" s="73" customFormat="1" ht="15" customHeight="1" x14ac:dyDescent="0.25">
      <c r="A1177" s="402"/>
      <c r="B1177" s="400"/>
      <c r="C1177" s="160" t="s">
        <v>742</v>
      </c>
      <c r="D1177" s="111"/>
      <c r="E1177" s="78" t="s">
        <v>881</v>
      </c>
      <c r="F1177" s="363"/>
      <c r="G1177" s="363"/>
      <c r="H1177" s="363"/>
      <c r="I1177" s="363"/>
      <c r="J1177" s="363"/>
      <c r="K1177" s="363"/>
      <c r="L1177" s="363"/>
      <c r="M1177" s="363"/>
      <c r="N1177" s="363"/>
      <c r="O1177" s="363"/>
      <c r="P1177" s="363"/>
      <c r="Q1177" s="363"/>
      <c r="R1177" s="363"/>
      <c r="S1177" s="363"/>
      <c r="T1177" s="363"/>
      <c r="U1177" s="363"/>
      <c r="V1177" s="363"/>
      <c r="W1177" s="363"/>
      <c r="X1177" s="363"/>
      <c r="Y1177" s="363"/>
      <c r="Z1177" s="363"/>
      <c r="AA1177" s="363"/>
      <c r="AB1177" s="363"/>
      <c r="AC1177" s="363"/>
      <c r="AD1177" s="363"/>
      <c r="AE1177" s="363"/>
      <c r="AF1177" s="363"/>
      <c r="AG1177" s="363"/>
      <c r="AH1177" s="363"/>
      <c r="AI1177" s="363"/>
      <c r="AJ1177" s="363"/>
      <c r="AK1177" s="363"/>
      <c r="AL1177" s="363"/>
      <c r="AM1177" s="363"/>
      <c r="AN1177" s="363"/>
      <c r="AO1177" s="363"/>
    </row>
    <row r="1178" spans="1:41" s="73" customFormat="1" ht="15" customHeight="1" x14ac:dyDescent="0.25">
      <c r="A1178" s="402"/>
      <c r="B1178" s="400"/>
      <c r="C1178" s="160" t="s">
        <v>743</v>
      </c>
      <c r="D1178" s="111"/>
      <c r="E1178" s="78" t="s">
        <v>882</v>
      </c>
      <c r="F1178" s="363"/>
      <c r="G1178" s="363"/>
      <c r="H1178" s="363"/>
      <c r="I1178" s="363"/>
      <c r="J1178" s="363"/>
      <c r="K1178" s="363"/>
      <c r="L1178" s="363"/>
      <c r="M1178" s="363"/>
      <c r="N1178" s="363"/>
      <c r="O1178" s="363"/>
      <c r="P1178" s="363"/>
      <c r="Q1178" s="363"/>
      <c r="R1178" s="363"/>
      <c r="S1178" s="363"/>
      <c r="T1178" s="363"/>
      <c r="U1178" s="363"/>
      <c r="V1178" s="363"/>
      <c r="W1178" s="363"/>
      <c r="X1178" s="363"/>
      <c r="Y1178" s="363"/>
      <c r="Z1178" s="363"/>
      <c r="AA1178" s="363"/>
      <c r="AB1178" s="363"/>
      <c r="AC1178" s="363"/>
      <c r="AD1178" s="363"/>
      <c r="AE1178" s="363"/>
      <c r="AF1178" s="363"/>
      <c r="AG1178" s="363"/>
      <c r="AH1178" s="363"/>
      <c r="AI1178" s="363"/>
      <c r="AJ1178" s="363"/>
      <c r="AK1178" s="363"/>
      <c r="AL1178" s="363"/>
      <c r="AM1178" s="363"/>
      <c r="AN1178" s="363"/>
      <c r="AO1178" s="363"/>
    </row>
    <row r="1179" spans="1:41" s="73" customFormat="1" ht="15" customHeight="1" x14ac:dyDescent="0.25">
      <c r="A1179" s="402"/>
      <c r="B1179" s="400"/>
      <c r="C1179" s="160" t="s">
        <v>744</v>
      </c>
      <c r="D1179" s="111"/>
      <c r="E1179" s="78" t="s">
        <v>883</v>
      </c>
      <c r="F1179" s="363"/>
      <c r="G1179" s="363"/>
      <c r="H1179" s="363"/>
      <c r="I1179" s="363"/>
      <c r="J1179" s="363"/>
      <c r="K1179" s="363"/>
      <c r="L1179" s="363"/>
      <c r="M1179" s="363"/>
      <c r="N1179" s="363"/>
      <c r="O1179" s="363"/>
      <c r="P1179" s="363"/>
      <c r="Q1179" s="363"/>
      <c r="R1179" s="363"/>
      <c r="S1179" s="363"/>
      <c r="T1179" s="363"/>
      <c r="U1179" s="363"/>
      <c r="V1179" s="363"/>
      <c r="W1179" s="363"/>
      <c r="X1179" s="363"/>
      <c r="Y1179" s="363"/>
      <c r="Z1179" s="363"/>
      <c r="AA1179" s="363"/>
      <c r="AB1179" s="363"/>
      <c r="AC1179" s="363"/>
      <c r="AD1179" s="363"/>
      <c r="AE1179" s="363"/>
      <c r="AF1179" s="363"/>
      <c r="AG1179" s="363"/>
      <c r="AH1179" s="363"/>
      <c r="AI1179" s="363"/>
      <c r="AJ1179" s="363"/>
      <c r="AK1179" s="363"/>
      <c r="AL1179" s="363"/>
      <c r="AM1179" s="363"/>
      <c r="AN1179" s="363"/>
      <c r="AO1179" s="363"/>
    </row>
    <row r="1180" spans="1:41" s="73" customFormat="1" ht="15" customHeight="1" x14ac:dyDescent="0.25">
      <c r="A1180" s="402"/>
      <c r="B1180" s="400"/>
      <c r="C1180" s="160" t="s">
        <v>745</v>
      </c>
      <c r="D1180" s="111"/>
      <c r="E1180" s="78" t="s">
        <v>884</v>
      </c>
      <c r="F1180" s="363"/>
      <c r="G1180" s="363"/>
      <c r="H1180" s="363"/>
      <c r="I1180" s="363"/>
      <c r="J1180" s="363"/>
      <c r="K1180" s="363"/>
      <c r="L1180" s="363"/>
      <c r="M1180" s="363"/>
      <c r="N1180" s="363"/>
      <c r="O1180" s="363"/>
      <c r="P1180" s="363"/>
      <c r="Q1180" s="363"/>
      <c r="R1180" s="363"/>
      <c r="S1180" s="363"/>
      <c r="T1180" s="363"/>
      <c r="U1180" s="363"/>
      <c r="V1180" s="363"/>
      <c r="W1180" s="363"/>
      <c r="X1180" s="363"/>
      <c r="Y1180" s="363"/>
      <c r="Z1180" s="363"/>
      <c r="AA1180" s="363"/>
      <c r="AB1180" s="363"/>
      <c r="AC1180" s="363"/>
      <c r="AD1180" s="363"/>
      <c r="AE1180" s="363"/>
      <c r="AF1180" s="363"/>
      <c r="AG1180" s="363"/>
      <c r="AH1180" s="363"/>
      <c r="AI1180" s="363"/>
      <c r="AJ1180" s="363"/>
      <c r="AK1180" s="363"/>
      <c r="AL1180" s="363"/>
      <c r="AM1180" s="363"/>
      <c r="AN1180" s="363"/>
      <c r="AO1180" s="363"/>
    </row>
    <row r="1181" spans="1:41" s="73" customFormat="1" ht="15" customHeight="1" x14ac:dyDescent="0.25">
      <c r="A1181" s="402"/>
      <c r="B1181" s="400"/>
      <c r="C1181" s="160" t="s">
        <v>746</v>
      </c>
      <c r="D1181" s="111"/>
      <c r="E1181" s="78" t="s">
        <v>885</v>
      </c>
      <c r="F1181" s="363"/>
      <c r="G1181" s="363"/>
      <c r="H1181" s="363"/>
      <c r="I1181" s="363"/>
      <c r="J1181" s="363"/>
      <c r="K1181" s="363"/>
      <c r="L1181" s="363"/>
      <c r="M1181" s="363"/>
      <c r="N1181" s="363"/>
      <c r="O1181" s="363"/>
      <c r="P1181" s="363"/>
      <c r="Q1181" s="363"/>
      <c r="R1181" s="363"/>
      <c r="S1181" s="363"/>
      <c r="T1181" s="363"/>
      <c r="U1181" s="363"/>
      <c r="V1181" s="363"/>
      <c r="W1181" s="363"/>
      <c r="X1181" s="363"/>
      <c r="Y1181" s="363"/>
      <c r="Z1181" s="363"/>
      <c r="AA1181" s="363"/>
      <c r="AB1181" s="363"/>
      <c r="AC1181" s="363"/>
      <c r="AD1181" s="363"/>
      <c r="AE1181" s="363"/>
      <c r="AF1181" s="363"/>
      <c r="AG1181" s="363"/>
      <c r="AH1181" s="363"/>
      <c r="AI1181" s="363"/>
      <c r="AJ1181" s="363"/>
      <c r="AK1181" s="363"/>
      <c r="AL1181" s="363"/>
      <c r="AM1181" s="363"/>
      <c r="AN1181" s="363"/>
      <c r="AO1181" s="363"/>
    </row>
    <row r="1182" spans="1:41" s="73" customFormat="1" ht="15" customHeight="1" x14ac:dyDescent="0.25">
      <c r="A1182" s="402"/>
      <c r="B1182" s="400"/>
      <c r="C1182" s="160" t="s">
        <v>747</v>
      </c>
      <c r="D1182" s="111"/>
      <c r="E1182" s="78" t="s">
        <v>886</v>
      </c>
      <c r="F1182" s="363"/>
      <c r="G1182" s="363"/>
      <c r="H1182" s="363"/>
      <c r="I1182" s="363"/>
      <c r="J1182" s="363"/>
      <c r="K1182" s="363"/>
      <c r="L1182" s="363"/>
      <c r="M1182" s="363"/>
      <c r="N1182" s="363"/>
      <c r="O1182" s="363"/>
      <c r="P1182" s="363"/>
      <c r="Q1182" s="363"/>
      <c r="R1182" s="363"/>
      <c r="S1182" s="363"/>
      <c r="T1182" s="363"/>
      <c r="U1182" s="363"/>
      <c r="V1182" s="363"/>
      <c r="W1182" s="363"/>
      <c r="X1182" s="363"/>
      <c r="Y1182" s="363"/>
      <c r="Z1182" s="363"/>
      <c r="AA1182" s="363"/>
      <c r="AB1182" s="363"/>
      <c r="AC1182" s="363"/>
      <c r="AD1182" s="363"/>
      <c r="AE1182" s="363"/>
      <c r="AF1182" s="363"/>
      <c r="AG1182" s="363"/>
      <c r="AH1182" s="363"/>
      <c r="AI1182" s="363"/>
      <c r="AJ1182" s="363"/>
      <c r="AK1182" s="363"/>
      <c r="AL1182" s="363"/>
      <c r="AM1182" s="363"/>
      <c r="AN1182" s="363"/>
      <c r="AO1182" s="363"/>
    </row>
    <row r="1183" spans="1:41" s="73" customFormat="1" ht="15" customHeight="1" x14ac:dyDescent="0.25">
      <c r="A1183" s="402"/>
      <c r="B1183" s="400"/>
      <c r="C1183" s="160" t="s">
        <v>748</v>
      </c>
      <c r="D1183" s="111"/>
      <c r="E1183" s="78" t="s">
        <v>887</v>
      </c>
      <c r="F1183" s="363"/>
      <c r="G1183" s="363"/>
      <c r="H1183" s="363"/>
      <c r="I1183" s="363"/>
      <c r="J1183" s="363"/>
      <c r="K1183" s="363"/>
      <c r="L1183" s="363"/>
      <c r="M1183" s="363"/>
      <c r="N1183" s="363"/>
      <c r="O1183" s="363"/>
      <c r="P1183" s="363"/>
      <c r="Q1183" s="363"/>
      <c r="R1183" s="363"/>
      <c r="S1183" s="363"/>
      <c r="T1183" s="363"/>
      <c r="U1183" s="363"/>
      <c r="V1183" s="363"/>
      <c r="W1183" s="363"/>
      <c r="X1183" s="363"/>
      <c r="Y1183" s="363"/>
      <c r="Z1183" s="363"/>
      <c r="AA1183" s="363"/>
      <c r="AB1183" s="363"/>
      <c r="AC1183" s="363"/>
      <c r="AD1183" s="363"/>
      <c r="AE1183" s="363"/>
      <c r="AF1183" s="363"/>
      <c r="AG1183" s="363"/>
      <c r="AH1183" s="363"/>
      <c r="AI1183" s="363"/>
      <c r="AJ1183" s="363"/>
      <c r="AK1183" s="363"/>
      <c r="AL1183" s="363"/>
      <c r="AM1183" s="363"/>
      <c r="AN1183" s="363"/>
      <c r="AO1183" s="363"/>
    </row>
    <row r="1184" spans="1:41" s="73" customFormat="1" ht="15" customHeight="1" x14ac:dyDescent="0.25">
      <c r="A1184" s="402"/>
      <c r="B1184" s="400"/>
      <c r="C1184" s="160" t="s">
        <v>749</v>
      </c>
      <c r="D1184" s="111"/>
      <c r="E1184" s="78" t="s">
        <v>888</v>
      </c>
      <c r="F1184" s="363"/>
      <c r="G1184" s="363"/>
      <c r="H1184" s="363"/>
      <c r="I1184" s="363"/>
      <c r="J1184" s="363"/>
      <c r="K1184" s="363"/>
      <c r="L1184" s="363"/>
      <c r="M1184" s="363"/>
      <c r="N1184" s="363"/>
      <c r="O1184" s="363"/>
      <c r="P1184" s="363"/>
      <c r="Q1184" s="363"/>
      <c r="R1184" s="363"/>
      <c r="S1184" s="363"/>
      <c r="T1184" s="363"/>
      <c r="U1184" s="363"/>
      <c r="V1184" s="363"/>
      <c r="W1184" s="363"/>
      <c r="X1184" s="363"/>
      <c r="Y1184" s="363"/>
      <c r="Z1184" s="363"/>
      <c r="AA1184" s="363"/>
      <c r="AB1184" s="363"/>
      <c r="AC1184" s="363"/>
      <c r="AD1184" s="363"/>
      <c r="AE1184" s="363"/>
      <c r="AF1184" s="363"/>
      <c r="AG1184" s="363"/>
      <c r="AH1184" s="363"/>
      <c r="AI1184" s="363"/>
      <c r="AJ1184" s="363"/>
      <c r="AK1184" s="363"/>
      <c r="AL1184" s="363"/>
      <c r="AM1184" s="363"/>
      <c r="AN1184" s="363"/>
      <c r="AO1184" s="363"/>
    </row>
    <row r="1185" spans="1:41" s="73" customFormat="1" ht="15" customHeight="1" x14ac:dyDescent="0.25">
      <c r="A1185" s="402"/>
      <c r="B1185" s="400"/>
      <c r="C1185" s="160" t="s">
        <v>750</v>
      </c>
      <c r="D1185" s="111"/>
      <c r="E1185" s="78" t="s">
        <v>889</v>
      </c>
      <c r="F1185" s="363"/>
      <c r="G1185" s="363"/>
      <c r="H1185" s="363"/>
      <c r="I1185" s="363"/>
      <c r="J1185" s="363"/>
      <c r="K1185" s="363"/>
      <c r="L1185" s="363"/>
      <c r="M1185" s="363"/>
      <c r="N1185" s="363"/>
      <c r="O1185" s="363"/>
      <c r="P1185" s="363"/>
      <c r="Q1185" s="363"/>
      <c r="R1185" s="363"/>
      <c r="S1185" s="363"/>
      <c r="T1185" s="363"/>
      <c r="U1185" s="363"/>
      <c r="V1185" s="363"/>
      <c r="W1185" s="363"/>
      <c r="X1185" s="363"/>
      <c r="Y1185" s="363"/>
      <c r="Z1185" s="363"/>
      <c r="AA1185" s="363"/>
      <c r="AB1185" s="363"/>
      <c r="AC1185" s="363"/>
      <c r="AD1185" s="363"/>
      <c r="AE1185" s="363"/>
      <c r="AF1185" s="363"/>
      <c r="AG1185" s="363"/>
      <c r="AH1185" s="363"/>
      <c r="AI1185" s="363"/>
      <c r="AJ1185" s="363"/>
      <c r="AK1185" s="363"/>
      <c r="AL1185" s="363"/>
      <c r="AM1185" s="363"/>
      <c r="AN1185" s="363"/>
      <c r="AO1185" s="363"/>
    </row>
    <row r="1186" spans="1:41" s="108" customFormat="1" ht="15" customHeight="1" x14ac:dyDescent="0.25">
      <c r="A1186" s="402"/>
      <c r="B1186" s="400"/>
      <c r="C1186" s="100" t="s">
        <v>799</v>
      </c>
      <c r="D1186" s="150"/>
      <c r="E1186" s="101" t="s">
        <v>890</v>
      </c>
      <c r="F1186" s="364"/>
      <c r="G1186" s="364"/>
      <c r="H1186" s="364"/>
      <c r="I1186" s="364"/>
      <c r="J1186" s="364"/>
      <c r="K1186" s="364"/>
      <c r="L1186" s="364"/>
      <c r="M1186" s="364"/>
      <c r="N1186" s="364"/>
      <c r="O1186" s="364"/>
      <c r="P1186" s="364"/>
      <c r="Q1186" s="364"/>
      <c r="R1186" s="364"/>
      <c r="S1186" s="364"/>
      <c r="T1186" s="364"/>
      <c r="U1186" s="364"/>
      <c r="V1186" s="364"/>
      <c r="W1186" s="364"/>
      <c r="X1186" s="364"/>
      <c r="Y1186" s="364"/>
      <c r="Z1186" s="364"/>
      <c r="AA1186" s="364"/>
      <c r="AB1186" s="364"/>
      <c r="AC1186" s="364"/>
      <c r="AD1186" s="364"/>
      <c r="AE1186" s="364"/>
      <c r="AF1186" s="364"/>
      <c r="AG1186" s="364"/>
      <c r="AH1186" s="364"/>
      <c r="AI1186" s="364"/>
      <c r="AJ1186" s="364"/>
      <c r="AK1186" s="364"/>
      <c r="AL1186" s="364"/>
      <c r="AM1186" s="364"/>
      <c r="AN1186" s="364"/>
      <c r="AO1186" s="364"/>
    </row>
    <row r="1187" spans="1:41" s="73" customFormat="1" ht="15" customHeight="1" x14ac:dyDescent="0.25">
      <c r="A1187" s="402"/>
      <c r="B1187" s="400"/>
      <c r="C1187" s="160" t="s">
        <v>616</v>
      </c>
      <c r="D1187" s="111"/>
      <c r="E1187" s="78" t="s">
        <v>891</v>
      </c>
      <c r="F1187" s="363"/>
      <c r="G1187" s="363"/>
      <c r="H1187" s="363"/>
      <c r="I1187" s="363"/>
      <c r="J1187" s="363"/>
      <c r="K1187" s="363"/>
      <c r="L1187" s="363"/>
      <c r="M1187" s="363"/>
      <c r="N1187" s="363"/>
      <c r="O1187" s="363"/>
      <c r="P1187" s="363"/>
      <c r="Q1187" s="363"/>
      <c r="R1187" s="363"/>
      <c r="S1187" s="363"/>
      <c r="T1187" s="363"/>
      <c r="U1187" s="363"/>
      <c r="V1187" s="363"/>
      <c r="W1187" s="363"/>
      <c r="X1187" s="363"/>
      <c r="Y1187" s="363"/>
      <c r="Z1187" s="363"/>
      <c r="AA1187" s="363"/>
      <c r="AB1187" s="363"/>
      <c r="AC1187" s="363"/>
      <c r="AD1187" s="363"/>
      <c r="AE1187" s="363"/>
      <c r="AF1187" s="363"/>
      <c r="AG1187" s="363"/>
      <c r="AH1187" s="363"/>
      <c r="AI1187" s="363"/>
      <c r="AJ1187" s="363"/>
      <c r="AK1187" s="363"/>
      <c r="AL1187" s="363"/>
      <c r="AM1187" s="363"/>
      <c r="AN1187" s="363"/>
      <c r="AO1187" s="363"/>
    </row>
    <row r="1188" spans="1:41" s="73" customFormat="1" ht="15" customHeight="1" x14ac:dyDescent="0.25">
      <c r="A1188" s="402"/>
      <c r="B1188" s="400"/>
      <c r="C1188" s="160" t="s">
        <v>617</v>
      </c>
      <c r="D1188" s="111"/>
      <c r="E1188" s="78" t="s">
        <v>892</v>
      </c>
      <c r="F1188" s="363"/>
      <c r="G1188" s="363"/>
      <c r="H1188" s="363"/>
      <c r="I1188" s="363"/>
      <c r="J1188" s="363"/>
      <c r="K1188" s="363"/>
      <c r="L1188" s="363"/>
      <c r="M1188" s="363"/>
      <c r="N1188" s="363"/>
      <c r="O1188" s="363"/>
      <c r="P1188" s="363"/>
      <c r="Q1188" s="363"/>
      <c r="R1188" s="363"/>
      <c r="S1188" s="363"/>
      <c r="T1188" s="363"/>
      <c r="U1188" s="363"/>
      <c r="V1188" s="363"/>
      <c r="W1188" s="363"/>
      <c r="X1188" s="363"/>
      <c r="Y1188" s="363"/>
      <c r="Z1188" s="363"/>
      <c r="AA1188" s="363"/>
      <c r="AB1188" s="363"/>
      <c r="AC1188" s="363"/>
      <c r="AD1188" s="363"/>
      <c r="AE1188" s="363"/>
      <c r="AF1188" s="363"/>
      <c r="AG1188" s="363"/>
      <c r="AH1188" s="363"/>
      <c r="AI1188" s="363"/>
      <c r="AJ1188" s="363"/>
      <c r="AK1188" s="363"/>
      <c r="AL1188" s="363"/>
      <c r="AM1188" s="363"/>
      <c r="AN1188" s="363"/>
      <c r="AO1188" s="363"/>
    </row>
    <row r="1189" spans="1:41" s="73" customFormat="1" ht="15" customHeight="1" x14ac:dyDescent="0.25">
      <c r="A1189" s="402"/>
      <c r="B1189" s="400"/>
      <c r="C1189" s="160" t="s">
        <v>618</v>
      </c>
      <c r="D1189" s="111"/>
      <c r="E1189" s="78" t="s">
        <v>893</v>
      </c>
      <c r="F1189" s="363"/>
      <c r="G1189" s="363"/>
      <c r="H1189" s="363"/>
      <c r="I1189" s="363"/>
      <c r="J1189" s="363"/>
      <c r="K1189" s="363"/>
      <c r="L1189" s="363"/>
      <c r="M1189" s="363"/>
      <c r="N1189" s="363"/>
      <c r="O1189" s="363"/>
      <c r="P1189" s="363"/>
      <c r="Q1189" s="363"/>
      <c r="R1189" s="363"/>
      <c r="S1189" s="363"/>
      <c r="T1189" s="363"/>
      <c r="U1189" s="363"/>
      <c r="V1189" s="363"/>
      <c r="W1189" s="363"/>
      <c r="X1189" s="363"/>
      <c r="Y1189" s="363"/>
      <c r="Z1189" s="363"/>
      <c r="AA1189" s="363"/>
      <c r="AB1189" s="363"/>
      <c r="AC1189" s="363"/>
      <c r="AD1189" s="363"/>
      <c r="AE1189" s="363"/>
      <c r="AF1189" s="363"/>
      <c r="AG1189" s="363"/>
      <c r="AH1189" s="363"/>
      <c r="AI1189" s="363"/>
      <c r="AJ1189" s="363"/>
      <c r="AK1189" s="363"/>
      <c r="AL1189" s="363"/>
      <c r="AM1189" s="363"/>
      <c r="AN1189" s="363"/>
      <c r="AO1189" s="363"/>
    </row>
    <row r="1190" spans="1:41" s="73" customFormat="1" ht="15" customHeight="1" x14ac:dyDescent="0.25">
      <c r="A1190" s="402"/>
      <c r="B1190" s="400"/>
      <c r="C1190" s="160" t="s">
        <v>619</v>
      </c>
      <c r="D1190" s="111"/>
      <c r="E1190" s="78" t="s">
        <v>894</v>
      </c>
      <c r="F1190" s="363"/>
      <c r="G1190" s="363"/>
      <c r="H1190" s="363"/>
      <c r="I1190" s="363"/>
      <c r="J1190" s="363"/>
      <c r="K1190" s="363"/>
      <c r="L1190" s="363"/>
      <c r="M1190" s="363"/>
      <c r="N1190" s="363"/>
      <c r="O1190" s="363"/>
      <c r="P1190" s="363"/>
      <c r="Q1190" s="363"/>
      <c r="R1190" s="363"/>
      <c r="S1190" s="363"/>
      <c r="T1190" s="363"/>
      <c r="U1190" s="363"/>
      <c r="V1190" s="363"/>
      <c r="W1190" s="363"/>
      <c r="X1190" s="363"/>
      <c r="Y1190" s="363"/>
      <c r="Z1190" s="363"/>
      <c r="AA1190" s="363"/>
      <c r="AB1190" s="363"/>
      <c r="AC1190" s="363"/>
      <c r="AD1190" s="363"/>
      <c r="AE1190" s="363"/>
      <c r="AF1190" s="363"/>
      <c r="AG1190" s="363"/>
      <c r="AH1190" s="363"/>
      <c r="AI1190" s="363"/>
      <c r="AJ1190" s="363"/>
      <c r="AK1190" s="363"/>
      <c r="AL1190" s="363"/>
      <c r="AM1190" s="363"/>
      <c r="AN1190" s="363"/>
      <c r="AO1190" s="363"/>
    </row>
    <row r="1191" spans="1:41" s="108" customFormat="1" ht="15" customHeight="1" x14ac:dyDescent="0.25">
      <c r="A1191" s="402"/>
      <c r="B1191" s="400"/>
      <c r="C1191" s="100" t="s">
        <v>800</v>
      </c>
      <c r="D1191" s="150"/>
      <c r="E1191" s="101" t="s">
        <v>895</v>
      </c>
      <c r="F1191" s="364"/>
      <c r="G1191" s="364"/>
      <c r="H1191" s="364"/>
      <c r="I1191" s="364"/>
      <c r="J1191" s="364"/>
      <c r="K1191" s="364"/>
      <c r="L1191" s="364"/>
      <c r="M1191" s="364"/>
      <c r="N1191" s="364"/>
      <c r="O1191" s="364"/>
      <c r="P1191" s="364"/>
      <c r="Q1191" s="364"/>
      <c r="R1191" s="364"/>
      <c r="S1191" s="364"/>
      <c r="T1191" s="364"/>
      <c r="U1191" s="364"/>
      <c r="V1191" s="364"/>
      <c r="W1191" s="364"/>
      <c r="X1191" s="364"/>
      <c r="Y1191" s="364"/>
      <c r="Z1191" s="364"/>
      <c r="AA1191" s="364"/>
      <c r="AB1191" s="364"/>
      <c r="AC1191" s="364"/>
      <c r="AD1191" s="364"/>
      <c r="AE1191" s="364"/>
      <c r="AF1191" s="364"/>
      <c r="AG1191" s="364"/>
      <c r="AH1191" s="364"/>
      <c r="AI1191" s="364"/>
      <c r="AJ1191" s="364"/>
      <c r="AK1191" s="364"/>
      <c r="AL1191" s="364"/>
      <c r="AM1191" s="364"/>
      <c r="AN1191" s="364"/>
      <c r="AO1191" s="364"/>
    </row>
    <row r="1192" spans="1:41" s="73" customFormat="1" ht="15" customHeight="1" x14ac:dyDescent="0.25">
      <c r="A1192" s="402"/>
      <c r="B1192" s="400"/>
      <c r="C1192" s="160" t="s">
        <v>620</v>
      </c>
      <c r="D1192" s="111"/>
      <c r="E1192" s="78" t="s">
        <v>896</v>
      </c>
      <c r="F1192" s="363"/>
      <c r="G1192" s="363"/>
      <c r="H1192" s="363"/>
      <c r="I1192" s="363"/>
      <c r="J1192" s="363"/>
      <c r="K1192" s="363"/>
      <c r="L1192" s="363"/>
      <c r="M1192" s="363"/>
      <c r="N1192" s="363"/>
      <c r="O1192" s="363"/>
      <c r="P1192" s="363"/>
      <c r="Q1192" s="363"/>
      <c r="R1192" s="363"/>
      <c r="S1192" s="363"/>
      <c r="T1192" s="363"/>
      <c r="U1192" s="363"/>
      <c r="V1192" s="363"/>
      <c r="W1192" s="363"/>
      <c r="X1192" s="363"/>
      <c r="Y1192" s="363"/>
      <c r="Z1192" s="363"/>
      <c r="AA1192" s="363"/>
      <c r="AB1192" s="363"/>
      <c r="AC1192" s="363"/>
      <c r="AD1192" s="363"/>
      <c r="AE1192" s="363"/>
      <c r="AF1192" s="363"/>
      <c r="AG1192" s="363"/>
      <c r="AH1192" s="363"/>
      <c r="AI1192" s="363"/>
      <c r="AJ1192" s="363"/>
      <c r="AK1192" s="363"/>
      <c r="AL1192" s="363"/>
      <c r="AM1192" s="363"/>
      <c r="AN1192" s="363"/>
      <c r="AO1192" s="363"/>
    </row>
    <row r="1193" spans="1:41" s="73" customFormat="1" ht="15" customHeight="1" x14ac:dyDescent="0.25">
      <c r="A1193" s="402"/>
      <c r="B1193" s="400"/>
      <c r="C1193" s="160" t="s">
        <v>621</v>
      </c>
      <c r="D1193" s="111"/>
      <c r="E1193" s="78" t="s">
        <v>897</v>
      </c>
      <c r="F1193" s="363"/>
      <c r="G1193" s="363"/>
      <c r="H1193" s="363"/>
      <c r="I1193" s="363"/>
      <c r="J1193" s="363"/>
      <c r="K1193" s="363"/>
      <c r="L1193" s="363"/>
      <c r="M1193" s="363"/>
      <c r="N1193" s="363"/>
      <c r="O1193" s="363"/>
      <c r="P1193" s="363"/>
      <c r="Q1193" s="363"/>
      <c r="R1193" s="363"/>
      <c r="S1193" s="363"/>
      <c r="T1193" s="363"/>
      <c r="U1193" s="363"/>
      <c r="V1193" s="363"/>
      <c r="W1193" s="363"/>
      <c r="X1193" s="363"/>
      <c r="Y1193" s="363"/>
      <c r="Z1193" s="363"/>
      <c r="AA1193" s="363"/>
      <c r="AB1193" s="363"/>
      <c r="AC1193" s="363"/>
      <c r="AD1193" s="363"/>
      <c r="AE1193" s="363"/>
      <c r="AF1193" s="363"/>
      <c r="AG1193" s="363"/>
      <c r="AH1193" s="363"/>
      <c r="AI1193" s="363"/>
      <c r="AJ1193" s="363"/>
      <c r="AK1193" s="363"/>
      <c r="AL1193" s="363"/>
      <c r="AM1193" s="363"/>
      <c r="AN1193" s="363"/>
      <c r="AO1193" s="363"/>
    </row>
    <row r="1194" spans="1:41" s="108" customFormat="1" ht="15" customHeight="1" x14ac:dyDescent="0.25">
      <c r="A1194" s="402"/>
      <c r="B1194" s="400"/>
      <c r="C1194" s="100" t="s">
        <v>801</v>
      </c>
      <c r="D1194" s="150"/>
      <c r="E1194" s="101" t="s">
        <v>898</v>
      </c>
      <c r="F1194" s="364"/>
      <c r="G1194" s="364"/>
      <c r="H1194" s="364"/>
      <c r="I1194" s="364"/>
      <c r="J1194" s="364"/>
      <c r="K1194" s="364"/>
      <c r="L1194" s="364"/>
      <c r="M1194" s="364"/>
      <c r="N1194" s="364"/>
      <c r="O1194" s="364"/>
      <c r="P1194" s="364"/>
      <c r="Q1194" s="364"/>
      <c r="R1194" s="364"/>
      <c r="S1194" s="364"/>
      <c r="T1194" s="364"/>
      <c r="U1194" s="364"/>
      <c r="V1194" s="364"/>
      <c r="W1194" s="364"/>
      <c r="X1194" s="364"/>
      <c r="Y1194" s="364"/>
      <c r="Z1194" s="364"/>
      <c r="AA1194" s="364"/>
      <c r="AB1194" s="364"/>
      <c r="AC1194" s="364"/>
      <c r="AD1194" s="364"/>
      <c r="AE1194" s="364"/>
      <c r="AF1194" s="364"/>
      <c r="AG1194" s="364"/>
      <c r="AH1194" s="364"/>
      <c r="AI1194" s="364"/>
      <c r="AJ1194" s="364"/>
      <c r="AK1194" s="364"/>
      <c r="AL1194" s="364"/>
      <c r="AM1194" s="364"/>
      <c r="AN1194" s="364"/>
      <c r="AO1194" s="364"/>
    </row>
    <row r="1195" spans="1:41" s="73" customFormat="1" ht="15" customHeight="1" x14ac:dyDescent="0.25">
      <c r="A1195" s="402"/>
      <c r="B1195" s="400"/>
      <c r="C1195" s="160" t="s">
        <v>466</v>
      </c>
      <c r="D1195" s="111"/>
      <c r="E1195" s="78" t="s">
        <v>899</v>
      </c>
      <c r="F1195" s="363"/>
      <c r="G1195" s="363"/>
      <c r="H1195" s="363"/>
      <c r="I1195" s="363"/>
      <c r="J1195" s="363"/>
      <c r="K1195" s="363"/>
      <c r="L1195" s="363"/>
      <c r="M1195" s="363"/>
      <c r="N1195" s="363"/>
      <c r="O1195" s="363"/>
      <c r="P1195" s="363"/>
      <c r="Q1195" s="363"/>
      <c r="R1195" s="363"/>
      <c r="S1195" s="363"/>
      <c r="T1195" s="363"/>
      <c r="U1195" s="363"/>
      <c r="V1195" s="363"/>
      <c r="W1195" s="363"/>
      <c r="X1195" s="363"/>
      <c r="Y1195" s="363"/>
      <c r="Z1195" s="363"/>
      <c r="AA1195" s="363"/>
      <c r="AB1195" s="363"/>
      <c r="AC1195" s="363"/>
      <c r="AD1195" s="363"/>
      <c r="AE1195" s="363"/>
      <c r="AF1195" s="363"/>
      <c r="AG1195" s="363"/>
      <c r="AH1195" s="363"/>
      <c r="AI1195" s="363"/>
      <c r="AJ1195" s="363"/>
      <c r="AK1195" s="363"/>
      <c r="AL1195" s="363"/>
      <c r="AM1195" s="363"/>
      <c r="AN1195" s="363"/>
      <c r="AO1195" s="363"/>
    </row>
    <row r="1196" spans="1:41" s="73" customFormat="1" ht="15" customHeight="1" x14ac:dyDescent="0.25">
      <c r="A1196" s="402"/>
      <c r="B1196" s="400"/>
      <c r="C1196" s="160" t="s">
        <v>467</v>
      </c>
      <c r="D1196" s="111"/>
      <c r="E1196" s="78" t="s">
        <v>900</v>
      </c>
      <c r="F1196" s="363"/>
      <c r="G1196" s="363"/>
      <c r="H1196" s="363"/>
      <c r="I1196" s="363"/>
      <c r="J1196" s="363"/>
      <c r="K1196" s="363"/>
      <c r="L1196" s="363"/>
      <c r="M1196" s="363"/>
      <c r="N1196" s="363"/>
      <c r="O1196" s="363"/>
      <c r="P1196" s="363"/>
      <c r="Q1196" s="363"/>
      <c r="R1196" s="363"/>
      <c r="S1196" s="363"/>
      <c r="T1196" s="363"/>
      <c r="U1196" s="363"/>
      <c r="V1196" s="363"/>
      <c r="W1196" s="363"/>
      <c r="X1196" s="363"/>
      <c r="Y1196" s="363"/>
      <c r="Z1196" s="363"/>
      <c r="AA1196" s="363"/>
      <c r="AB1196" s="363"/>
      <c r="AC1196" s="363"/>
      <c r="AD1196" s="363"/>
      <c r="AE1196" s="363"/>
      <c r="AF1196" s="363"/>
      <c r="AG1196" s="363"/>
      <c r="AH1196" s="363"/>
      <c r="AI1196" s="363"/>
      <c r="AJ1196" s="363"/>
      <c r="AK1196" s="363"/>
      <c r="AL1196" s="363"/>
      <c r="AM1196" s="363"/>
      <c r="AN1196" s="363"/>
      <c r="AO1196" s="363"/>
    </row>
    <row r="1197" spans="1:41" s="73" customFormat="1" ht="15" customHeight="1" x14ac:dyDescent="0.25">
      <c r="A1197" s="402"/>
      <c r="B1197" s="400"/>
      <c r="C1197" s="160" t="s">
        <v>470</v>
      </c>
      <c r="D1197" s="111"/>
      <c r="E1197" s="78" t="s">
        <v>901</v>
      </c>
      <c r="F1197" s="363"/>
      <c r="G1197" s="363"/>
      <c r="H1197" s="363"/>
      <c r="I1197" s="363"/>
      <c r="J1197" s="363"/>
      <c r="K1197" s="363"/>
      <c r="L1197" s="363"/>
      <c r="M1197" s="363"/>
      <c r="N1197" s="363"/>
      <c r="O1197" s="363"/>
      <c r="P1197" s="363"/>
      <c r="Q1197" s="363"/>
      <c r="R1197" s="363"/>
      <c r="S1197" s="363"/>
      <c r="T1197" s="363"/>
      <c r="U1197" s="363"/>
      <c r="V1197" s="363"/>
      <c r="W1197" s="363"/>
      <c r="X1197" s="363"/>
      <c r="Y1197" s="363"/>
      <c r="Z1197" s="363"/>
      <c r="AA1197" s="363"/>
      <c r="AB1197" s="363"/>
      <c r="AC1197" s="363"/>
      <c r="AD1197" s="363"/>
      <c r="AE1197" s="363"/>
      <c r="AF1197" s="363"/>
      <c r="AG1197" s="363"/>
      <c r="AH1197" s="363"/>
      <c r="AI1197" s="363"/>
      <c r="AJ1197" s="363"/>
      <c r="AK1197" s="363"/>
      <c r="AL1197" s="363"/>
      <c r="AM1197" s="363"/>
      <c r="AN1197" s="363"/>
      <c r="AO1197" s="363"/>
    </row>
    <row r="1198" spans="1:41" s="73" customFormat="1" ht="15" customHeight="1" x14ac:dyDescent="0.25">
      <c r="A1198" s="402"/>
      <c r="B1198" s="400"/>
      <c r="C1198" s="160" t="s">
        <v>471</v>
      </c>
      <c r="D1198" s="111"/>
      <c r="E1198" s="78" t="s">
        <v>902</v>
      </c>
      <c r="F1198" s="363"/>
      <c r="G1198" s="363"/>
      <c r="H1198" s="363"/>
      <c r="I1198" s="363"/>
      <c r="J1198" s="363"/>
      <c r="K1198" s="363"/>
      <c r="L1198" s="363"/>
      <c r="M1198" s="363"/>
      <c r="N1198" s="363"/>
      <c r="O1198" s="363"/>
      <c r="P1198" s="363"/>
      <c r="Q1198" s="363"/>
      <c r="R1198" s="363"/>
      <c r="S1198" s="363"/>
      <c r="T1198" s="363"/>
      <c r="U1198" s="363"/>
      <c r="V1198" s="363"/>
      <c r="W1198" s="363"/>
      <c r="X1198" s="363"/>
      <c r="Y1198" s="363"/>
      <c r="Z1198" s="363"/>
      <c r="AA1198" s="363"/>
      <c r="AB1198" s="363"/>
      <c r="AC1198" s="363"/>
      <c r="AD1198" s="363"/>
      <c r="AE1198" s="363"/>
      <c r="AF1198" s="363"/>
      <c r="AG1198" s="363"/>
      <c r="AH1198" s="363"/>
      <c r="AI1198" s="363"/>
      <c r="AJ1198" s="363"/>
      <c r="AK1198" s="363"/>
      <c r="AL1198" s="363"/>
      <c r="AM1198" s="363"/>
      <c r="AN1198" s="363"/>
      <c r="AO1198" s="363"/>
    </row>
    <row r="1199" spans="1:41" s="108" customFormat="1" ht="15" customHeight="1" x14ac:dyDescent="0.25">
      <c r="A1199" s="402"/>
      <c r="B1199" s="400"/>
      <c r="C1199" s="100" t="s">
        <v>495</v>
      </c>
      <c r="D1199" s="150"/>
      <c r="E1199" s="101" t="s">
        <v>903</v>
      </c>
      <c r="F1199" s="364"/>
      <c r="G1199" s="364"/>
      <c r="H1199" s="364"/>
      <c r="I1199" s="364"/>
      <c r="J1199" s="364"/>
      <c r="K1199" s="364"/>
      <c r="L1199" s="364"/>
      <c r="M1199" s="364"/>
      <c r="N1199" s="364"/>
      <c r="O1199" s="364"/>
      <c r="P1199" s="364"/>
      <c r="Q1199" s="364"/>
      <c r="R1199" s="364"/>
      <c r="S1199" s="364"/>
      <c r="T1199" s="364"/>
      <c r="U1199" s="364"/>
      <c r="V1199" s="364"/>
      <c r="W1199" s="364"/>
      <c r="X1199" s="364"/>
      <c r="Y1199" s="364"/>
      <c r="Z1199" s="364"/>
      <c r="AA1199" s="364"/>
      <c r="AB1199" s="364"/>
      <c r="AC1199" s="364"/>
      <c r="AD1199" s="364"/>
      <c r="AE1199" s="364"/>
      <c r="AF1199" s="364"/>
      <c r="AG1199" s="364"/>
      <c r="AH1199" s="364"/>
      <c r="AI1199" s="364"/>
      <c r="AJ1199" s="364"/>
      <c r="AK1199" s="364"/>
      <c r="AL1199" s="364"/>
      <c r="AM1199" s="364"/>
      <c r="AN1199" s="364"/>
      <c r="AO1199" s="364"/>
    </row>
    <row r="1200" spans="1:41" s="73" customFormat="1" ht="15" customHeight="1" x14ac:dyDescent="0.25">
      <c r="A1200" s="402"/>
      <c r="B1200" s="400"/>
      <c r="C1200" s="160" t="s">
        <v>474</v>
      </c>
      <c r="D1200" s="111"/>
      <c r="E1200" s="78" t="s">
        <v>904</v>
      </c>
      <c r="F1200" s="363"/>
      <c r="G1200" s="363"/>
      <c r="H1200" s="363"/>
      <c r="I1200" s="363"/>
      <c r="J1200" s="363"/>
      <c r="K1200" s="363"/>
      <c r="L1200" s="363"/>
      <c r="M1200" s="363"/>
      <c r="N1200" s="363"/>
      <c r="O1200" s="363"/>
      <c r="P1200" s="363"/>
      <c r="Q1200" s="363"/>
      <c r="R1200" s="363"/>
      <c r="S1200" s="363"/>
      <c r="T1200" s="363"/>
      <c r="U1200" s="363"/>
      <c r="V1200" s="363"/>
      <c r="W1200" s="363"/>
      <c r="X1200" s="363"/>
      <c r="Y1200" s="363"/>
      <c r="Z1200" s="363"/>
      <c r="AA1200" s="363"/>
      <c r="AB1200" s="363"/>
      <c r="AC1200" s="363"/>
      <c r="AD1200" s="363"/>
      <c r="AE1200" s="363"/>
      <c r="AF1200" s="363"/>
      <c r="AG1200" s="363"/>
      <c r="AH1200" s="363"/>
      <c r="AI1200" s="363"/>
      <c r="AJ1200" s="363"/>
      <c r="AK1200" s="363"/>
      <c r="AL1200" s="363"/>
      <c r="AM1200" s="363"/>
      <c r="AN1200" s="363"/>
      <c r="AO1200" s="363"/>
    </row>
    <row r="1201" spans="1:41" s="73" customFormat="1" ht="15" customHeight="1" x14ac:dyDescent="0.25">
      <c r="A1201" s="402"/>
      <c r="B1201" s="400"/>
      <c r="C1201" s="160" t="s">
        <v>475</v>
      </c>
      <c r="D1201" s="111"/>
      <c r="E1201" s="78" t="s">
        <v>905</v>
      </c>
      <c r="F1201" s="363"/>
      <c r="G1201" s="363"/>
      <c r="H1201" s="363"/>
      <c r="I1201" s="363"/>
      <c r="J1201" s="363"/>
      <c r="K1201" s="363"/>
      <c r="L1201" s="363"/>
      <c r="M1201" s="363"/>
      <c r="N1201" s="363"/>
      <c r="O1201" s="363"/>
      <c r="P1201" s="363"/>
      <c r="Q1201" s="363"/>
      <c r="R1201" s="363"/>
      <c r="S1201" s="363"/>
      <c r="T1201" s="363"/>
      <c r="U1201" s="363"/>
      <c r="V1201" s="363"/>
      <c r="W1201" s="363"/>
      <c r="X1201" s="363"/>
      <c r="Y1201" s="363"/>
      <c r="Z1201" s="363"/>
      <c r="AA1201" s="363"/>
      <c r="AB1201" s="363"/>
      <c r="AC1201" s="363"/>
      <c r="AD1201" s="363"/>
      <c r="AE1201" s="363"/>
      <c r="AF1201" s="363"/>
      <c r="AG1201" s="363"/>
      <c r="AH1201" s="363"/>
      <c r="AI1201" s="363"/>
      <c r="AJ1201" s="363"/>
      <c r="AK1201" s="363"/>
      <c r="AL1201" s="363"/>
      <c r="AM1201" s="363"/>
      <c r="AN1201" s="363"/>
      <c r="AO1201" s="363"/>
    </row>
    <row r="1202" spans="1:41" s="73" customFormat="1" ht="15" customHeight="1" x14ac:dyDescent="0.25">
      <c r="A1202" s="402"/>
      <c r="B1202" s="400"/>
      <c r="C1202" s="160" t="s">
        <v>476</v>
      </c>
      <c r="D1202" s="111"/>
      <c r="E1202" s="78" t="s">
        <v>906</v>
      </c>
      <c r="F1202" s="363"/>
      <c r="G1202" s="363"/>
      <c r="H1202" s="363"/>
      <c r="I1202" s="363"/>
      <c r="J1202" s="363"/>
      <c r="K1202" s="363"/>
      <c r="L1202" s="363"/>
      <c r="M1202" s="363"/>
      <c r="N1202" s="363"/>
      <c r="O1202" s="363"/>
      <c r="P1202" s="363"/>
      <c r="Q1202" s="363"/>
      <c r="R1202" s="363"/>
      <c r="S1202" s="363"/>
      <c r="T1202" s="363"/>
      <c r="U1202" s="363"/>
      <c r="V1202" s="363"/>
      <c r="W1202" s="363"/>
      <c r="X1202" s="363"/>
      <c r="Y1202" s="363"/>
      <c r="Z1202" s="363"/>
      <c r="AA1202" s="363"/>
      <c r="AB1202" s="363"/>
      <c r="AC1202" s="363"/>
      <c r="AD1202" s="363"/>
      <c r="AE1202" s="363"/>
      <c r="AF1202" s="363"/>
      <c r="AG1202" s="363"/>
      <c r="AH1202" s="363"/>
      <c r="AI1202" s="363"/>
      <c r="AJ1202" s="363"/>
      <c r="AK1202" s="363"/>
      <c r="AL1202" s="363"/>
      <c r="AM1202" s="363"/>
      <c r="AN1202" s="363"/>
      <c r="AO1202" s="363"/>
    </row>
    <row r="1203" spans="1:41" s="73" customFormat="1" ht="15" customHeight="1" x14ac:dyDescent="0.25">
      <c r="A1203" s="402"/>
      <c r="B1203" s="400"/>
      <c r="C1203" s="160" t="s">
        <v>477</v>
      </c>
      <c r="D1203" s="111"/>
      <c r="E1203" s="78" t="s">
        <v>907</v>
      </c>
      <c r="F1203" s="363"/>
      <c r="G1203" s="363"/>
      <c r="H1203" s="363"/>
      <c r="I1203" s="363"/>
      <c r="J1203" s="363"/>
      <c r="K1203" s="363"/>
      <c r="L1203" s="363"/>
      <c r="M1203" s="363"/>
      <c r="N1203" s="363"/>
      <c r="O1203" s="363"/>
      <c r="P1203" s="363"/>
      <c r="Q1203" s="363"/>
      <c r="R1203" s="363"/>
      <c r="S1203" s="363"/>
      <c r="T1203" s="363"/>
      <c r="U1203" s="363"/>
      <c r="V1203" s="363"/>
      <c r="W1203" s="363"/>
      <c r="X1203" s="363"/>
      <c r="Y1203" s="363"/>
      <c r="Z1203" s="363"/>
      <c r="AA1203" s="363"/>
      <c r="AB1203" s="363"/>
      <c r="AC1203" s="363"/>
      <c r="AD1203" s="363"/>
      <c r="AE1203" s="363"/>
      <c r="AF1203" s="363"/>
      <c r="AG1203" s="363"/>
      <c r="AH1203" s="363"/>
      <c r="AI1203" s="363"/>
      <c r="AJ1203" s="363"/>
      <c r="AK1203" s="363"/>
      <c r="AL1203" s="363"/>
      <c r="AM1203" s="363"/>
      <c r="AN1203" s="363"/>
      <c r="AO1203" s="363"/>
    </row>
    <row r="1204" spans="1:41" s="73" customFormat="1" ht="15" customHeight="1" x14ac:dyDescent="0.25">
      <c r="A1204" s="402"/>
      <c r="B1204" s="400"/>
      <c r="C1204" s="160" t="s">
        <v>478</v>
      </c>
      <c r="D1204" s="111"/>
      <c r="E1204" s="78" t="s">
        <v>908</v>
      </c>
      <c r="F1204" s="363"/>
      <c r="G1204" s="363"/>
      <c r="H1204" s="363"/>
      <c r="I1204" s="363"/>
      <c r="J1204" s="363"/>
      <c r="K1204" s="363"/>
      <c r="L1204" s="363"/>
      <c r="M1204" s="363"/>
      <c r="N1204" s="363"/>
      <c r="O1204" s="363"/>
      <c r="P1204" s="363"/>
      <c r="Q1204" s="363"/>
      <c r="R1204" s="363"/>
      <c r="S1204" s="363"/>
      <c r="T1204" s="363"/>
      <c r="U1204" s="363"/>
      <c r="V1204" s="363"/>
      <c r="W1204" s="363"/>
      <c r="X1204" s="363"/>
      <c r="Y1204" s="363"/>
      <c r="Z1204" s="363"/>
      <c r="AA1204" s="363"/>
      <c r="AB1204" s="363"/>
      <c r="AC1204" s="363"/>
      <c r="AD1204" s="363"/>
      <c r="AE1204" s="363"/>
      <c r="AF1204" s="363"/>
      <c r="AG1204" s="363"/>
      <c r="AH1204" s="363"/>
      <c r="AI1204" s="363"/>
      <c r="AJ1204" s="363"/>
      <c r="AK1204" s="363"/>
      <c r="AL1204" s="363"/>
      <c r="AM1204" s="363"/>
      <c r="AN1204" s="363"/>
      <c r="AO1204" s="363"/>
    </row>
    <row r="1205" spans="1:41" s="73" customFormat="1" ht="15" customHeight="1" x14ac:dyDescent="0.25">
      <c r="A1205" s="402"/>
      <c r="B1205" s="400"/>
      <c r="C1205" s="160" t="s">
        <v>479</v>
      </c>
      <c r="D1205" s="111"/>
      <c r="E1205" s="78" t="s">
        <v>909</v>
      </c>
      <c r="F1205" s="363"/>
      <c r="G1205" s="363"/>
      <c r="H1205" s="363"/>
      <c r="I1205" s="363"/>
      <c r="J1205" s="363"/>
      <c r="K1205" s="363"/>
      <c r="L1205" s="363"/>
      <c r="M1205" s="363"/>
      <c r="N1205" s="363"/>
      <c r="O1205" s="363"/>
      <c r="P1205" s="363"/>
      <c r="Q1205" s="363"/>
      <c r="R1205" s="363"/>
      <c r="S1205" s="363"/>
      <c r="T1205" s="363"/>
      <c r="U1205" s="363"/>
      <c r="V1205" s="363"/>
      <c r="W1205" s="363"/>
      <c r="X1205" s="363"/>
      <c r="Y1205" s="363"/>
      <c r="Z1205" s="363"/>
      <c r="AA1205" s="363"/>
      <c r="AB1205" s="363"/>
      <c r="AC1205" s="363"/>
      <c r="AD1205" s="363"/>
      <c r="AE1205" s="363"/>
      <c r="AF1205" s="363"/>
      <c r="AG1205" s="363"/>
      <c r="AH1205" s="363"/>
      <c r="AI1205" s="363"/>
      <c r="AJ1205" s="363"/>
      <c r="AK1205" s="363"/>
      <c r="AL1205" s="363"/>
      <c r="AM1205" s="363"/>
      <c r="AN1205" s="363"/>
      <c r="AO1205" s="363"/>
    </row>
    <row r="1206" spans="1:41" s="73" customFormat="1" ht="15" customHeight="1" x14ac:dyDescent="0.25">
      <c r="A1206" s="402"/>
      <c r="B1206" s="400"/>
      <c r="C1206" s="160" t="s">
        <v>480</v>
      </c>
      <c r="D1206" s="111"/>
      <c r="E1206" s="78" t="s">
        <v>910</v>
      </c>
      <c r="F1206" s="363"/>
      <c r="G1206" s="363"/>
      <c r="H1206" s="363"/>
      <c r="I1206" s="363"/>
      <c r="J1206" s="363"/>
      <c r="K1206" s="363"/>
      <c r="L1206" s="363"/>
      <c r="M1206" s="363"/>
      <c r="N1206" s="363"/>
      <c r="O1206" s="363"/>
      <c r="P1206" s="363"/>
      <c r="Q1206" s="363"/>
      <c r="R1206" s="363"/>
      <c r="S1206" s="363"/>
      <c r="T1206" s="363"/>
      <c r="U1206" s="363"/>
      <c r="V1206" s="363"/>
      <c r="W1206" s="363"/>
      <c r="X1206" s="363"/>
      <c r="Y1206" s="363"/>
      <c r="Z1206" s="363"/>
      <c r="AA1206" s="363"/>
      <c r="AB1206" s="363"/>
      <c r="AC1206" s="363"/>
      <c r="AD1206" s="363"/>
      <c r="AE1206" s="363"/>
      <c r="AF1206" s="363"/>
      <c r="AG1206" s="363"/>
      <c r="AH1206" s="363"/>
      <c r="AI1206" s="363"/>
      <c r="AJ1206" s="363"/>
      <c r="AK1206" s="363"/>
      <c r="AL1206" s="363"/>
      <c r="AM1206" s="363"/>
      <c r="AN1206" s="363"/>
      <c r="AO1206" s="363"/>
    </row>
    <row r="1207" spans="1:41" s="73" customFormat="1" ht="15" customHeight="1" x14ac:dyDescent="0.25">
      <c r="A1207" s="402"/>
      <c r="B1207" s="400"/>
      <c r="C1207" s="160" t="s">
        <v>481</v>
      </c>
      <c r="D1207" s="111"/>
      <c r="E1207" s="78" t="s">
        <v>911</v>
      </c>
      <c r="F1207" s="363"/>
      <c r="G1207" s="363"/>
      <c r="H1207" s="363"/>
      <c r="I1207" s="363"/>
      <c r="J1207" s="363"/>
      <c r="K1207" s="363"/>
      <c r="L1207" s="363"/>
      <c r="M1207" s="363"/>
      <c r="N1207" s="363"/>
      <c r="O1207" s="363"/>
      <c r="P1207" s="363"/>
      <c r="Q1207" s="363"/>
      <c r="R1207" s="363"/>
      <c r="S1207" s="363"/>
      <c r="T1207" s="363"/>
      <c r="U1207" s="363"/>
      <c r="V1207" s="363"/>
      <c r="W1207" s="363"/>
      <c r="X1207" s="363"/>
      <c r="Y1207" s="363"/>
      <c r="Z1207" s="363"/>
      <c r="AA1207" s="363"/>
      <c r="AB1207" s="363"/>
      <c r="AC1207" s="363"/>
      <c r="AD1207" s="363"/>
      <c r="AE1207" s="363"/>
      <c r="AF1207" s="363"/>
      <c r="AG1207" s="363"/>
      <c r="AH1207" s="363"/>
      <c r="AI1207" s="363"/>
      <c r="AJ1207" s="363"/>
      <c r="AK1207" s="363"/>
      <c r="AL1207" s="363"/>
      <c r="AM1207" s="363"/>
      <c r="AN1207" s="363"/>
      <c r="AO1207" s="363"/>
    </row>
    <row r="1208" spans="1:41" s="73" customFormat="1" ht="15" customHeight="1" x14ac:dyDescent="0.25">
      <c r="A1208" s="402"/>
      <c r="B1208" s="400"/>
      <c r="C1208" s="160" t="s">
        <v>482</v>
      </c>
      <c r="D1208" s="111"/>
      <c r="E1208" s="78" t="s">
        <v>912</v>
      </c>
      <c r="F1208" s="363"/>
      <c r="G1208" s="363"/>
      <c r="H1208" s="363"/>
      <c r="I1208" s="363"/>
      <c r="J1208" s="363"/>
      <c r="K1208" s="363"/>
      <c r="L1208" s="363"/>
      <c r="M1208" s="363"/>
      <c r="N1208" s="363"/>
      <c r="O1208" s="363"/>
      <c r="P1208" s="363"/>
      <c r="Q1208" s="363"/>
      <c r="R1208" s="363"/>
      <c r="S1208" s="363"/>
      <c r="T1208" s="363"/>
      <c r="U1208" s="363"/>
      <c r="V1208" s="363"/>
      <c r="W1208" s="363"/>
      <c r="X1208" s="363"/>
      <c r="Y1208" s="363"/>
      <c r="Z1208" s="363"/>
      <c r="AA1208" s="363"/>
      <c r="AB1208" s="363"/>
      <c r="AC1208" s="363"/>
      <c r="AD1208" s="363"/>
      <c r="AE1208" s="363"/>
      <c r="AF1208" s="363"/>
      <c r="AG1208" s="363"/>
      <c r="AH1208" s="363"/>
      <c r="AI1208" s="363"/>
      <c r="AJ1208" s="363"/>
      <c r="AK1208" s="363"/>
      <c r="AL1208" s="363"/>
      <c r="AM1208" s="363"/>
      <c r="AN1208" s="363"/>
      <c r="AO1208" s="363"/>
    </row>
    <row r="1209" spans="1:41" s="73" customFormat="1" ht="15" customHeight="1" x14ac:dyDescent="0.25">
      <c r="A1209" s="402"/>
      <c r="B1209" s="406" t="s">
        <v>990</v>
      </c>
      <c r="C1209" s="105" t="s">
        <v>531</v>
      </c>
      <c r="D1209" s="80"/>
      <c r="E1209" s="77"/>
      <c r="F1209" s="356"/>
      <c r="G1209" s="356"/>
      <c r="H1209" s="356"/>
      <c r="I1209" s="356"/>
      <c r="J1209" s="356"/>
      <c r="K1209" s="356"/>
      <c r="L1209" s="356"/>
      <c r="M1209" s="356"/>
      <c r="N1209" s="356"/>
      <c r="O1209" s="356"/>
      <c r="P1209" s="356"/>
      <c r="Q1209" s="356"/>
      <c r="R1209" s="356"/>
      <c r="S1209" s="356"/>
      <c r="T1209" s="356"/>
      <c r="U1209" s="356"/>
      <c r="V1209" s="356"/>
      <c r="W1209" s="356"/>
      <c r="X1209" s="356"/>
      <c r="Y1209" s="356"/>
      <c r="Z1209" s="356"/>
      <c r="AA1209" s="356"/>
      <c r="AB1209" s="356"/>
      <c r="AC1209" s="356"/>
      <c r="AD1209" s="356"/>
      <c r="AE1209" s="356"/>
      <c r="AF1209" s="356"/>
      <c r="AG1209" s="356"/>
      <c r="AH1209" s="356"/>
      <c r="AI1209" s="356"/>
      <c r="AJ1209" s="356"/>
      <c r="AK1209" s="356"/>
      <c r="AL1209" s="356"/>
      <c r="AM1209" s="356"/>
      <c r="AN1209" s="356"/>
      <c r="AO1209" s="356"/>
    </row>
    <row r="1210" spans="1:41" s="73" customFormat="1" ht="15" customHeight="1" x14ac:dyDescent="0.25">
      <c r="A1210" s="402"/>
      <c r="B1210" s="406"/>
      <c r="C1210" s="113" t="s">
        <v>991</v>
      </c>
      <c r="D1210" s="113"/>
      <c r="E1210" s="77"/>
      <c r="F1210" s="356"/>
      <c r="G1210" s="356"/>
      <c r="H1210" s="356"/>
      <c r="I1210" s="356"/>
      <c r="J1210" s="356"/>
      <c r="K1210" s="356"/>
      <c r="L1210" s="356"/>
      <c r="M1210" s="356"/>
      <c r="N1210" s="356"/>
      <c r="O1210" s="356"/>
      <c r="P1210" s="356"/>
      <c r="Q1210" s="356"/>
      <c r="R1210" s="356"/>
      <c r="S1210" s="356"/>
      <c r="T1210" s="356"/>
      <c r="U1210" s="356"/>
      <c r="V1210" s="356"/>
      <c r="W1210" s="356"/>
      <c r="X1210" s="356"/>
      <c r="Y1210" s="356"/>
      <c r="Z1210" s="356"/>
      <c r="AA1210" s="356"/>
      <c r="AB1210" s="356"/>
      <c r="AC1210" s="356"/>
      <c r="AD1210" s="356"/>
      <c r="AE1210" s="356"/>
      <c r="AF1210" s="356"/>
      <c r="AG1210" s="356"/>
      <c r="AH1210" s="356"/>
      <c r="AI1210" s="356"/>
      <c r="AJ1210" s="356"/>
      <c r="AK1210" s="356"/>
      <c r="AL1210" s="356"/>
      <c r="AM1210" s="356"/>
      <c r="AN1210" s="356"/>
      <c r="AO1210" s="356"/>
    </row>
    <row r="1211" spans="1:41" s="73" customFormat="1" ht="15" customHeight="1" x14ac:dyDescent="0.25">
      <c r="A1211" s="402"/>
      <c r="B1211" s="406"/>
      <c r="C1211" s="113" t="s">
        <v>992</v>
      </c>
      <c r="D1211" s="114"/>
      <c r="E1211" s="77"/>
      <c r="F1211" s="356"/>
      <c r="G1211" s="356"/>
      <c r="H1211" s="356"/>
      <c r="I1211" s="356"/>
      <c r="J1211" s="356"/>
      <c r="K1211" s="356"/>
      <c r="L1211" s="356"/>
      <c r="M1211" s="356"/>
      <c r="N1211" s="356"/>
      <c r="O1211" s="356"/>
      <c r="P1211" s="356"/>
      <c r="Q1211" s="356"/>
      <c r="R1211" s="356"/>
      <c r="S1211" s="356"/>
      <c r="T1211" s="356"/>
      <c r="U1211" s="356"/>
      <c r="V1211" s="356"/>
      <c r="W1211" s="356"/>
      <c r="X1211" s="356"/>
      <c r="Y1211" s="356"/>
      <c r="Z1211" s="356"/>
      <c r="AA1211" s="356"/>
      <c r="AB1211" s="356"/>
      <c r="AC1211" s="356"/>
      <c r="AD1211" s="356"/>
      <c r="AE1211" s="356"/>
      <c r="AF1211" s="356"/>
      <c r="AG1211" s="356"/>
      <c r="AH1211" s="356"/>
      <c r="AI1211" s="356"/>
      <c r="AJ1211" s="356"/>
      <c r="AK1211" s="356"/>
      <c r="AL1211" s="356"/>
      <c r="AM1211" s="356"/>
      <c r="AN1211" s="356"/>
      <c r="AO1211" s="356"/>
    </row>
    <row r="1212" spans="1:41" s="73" customFormat="1" ht="15" customHeight="1" x14ac:dyDescent="0.25">
      <c r="A1212" s="402"/>
      <c r="B1212" s="406"/>
      <c r="C1212" s="114" t="s">
        <v>993</v>
      </c>
      <c r="D1212" s="80"/>
      <c r="E1212" s="77"/>
      <c r="F1212" s="356"/>
      <c r="G1212" s="356"/>
      <c r="H1212" s="356"/>
      <c r="I1212" s="356"/>
      <c r="J1212" s="356"/>
      <c r="K1212" s="356"/>
      <c r="L1212" s="356"/>
      <c r="M1212" s="356"/>
      <c r="N1212" s="356"/>
      <c r="O1212" s="356"/>
      <c r="P1212" s="356"/>
      <c r="Q1212" s="356"/>
      <c r="R1212" s="356"/>
      <c r="S1212" s="356"/>
      <c r="T1212" s="356"/>
      <c r="U1212" s="356"/>
      <c r="V1212" s="356"/>
      <c r="W1212" s="356"/>
      <c r="X1212" s="356"/>
      <c r="Y1212" s="356"/>
      <c r="Z1212" s="356"/>
      <c r="AA1212" s="356"/>
      <c r="AB1212" s="356"/>
      <c r="AC1212" s="356"/>
      <c r="AD1212" s="356"/>
      <c r="AE1212" s="356"/>
      <c r="AF1212" s="356"/>
      <c r="AG1212" s="356"/>
      <c r="AH1212" s="356"/>
      <c r="AI1212" s="356"/>
      <c r="AJ1212" s="356"/>
      <c r="AK1212" s="356"/>
      <c r="AL1212" s="356"/>
      <c r="AM1212" s="356"/>
      <c r="AN1212" s="356"/>
      <c r="AO1212" s="356"/>
    </row>
    <row r="1213" spans="1:41" s="73" customFormat="1" ht="15" customHeight="1" x14ac:dyDescent="0.25">
      <c r="A1213" s="402"/>
      <c r="B1213" s="406"/>
      <c r="C1213" s="115" t="s">
        <v>994</v>
      </c>
      <c r="D1213" s="115"/>
      <c r="E1213" s="106"/>
      <c r="F1213" s="358"/>
      <c r="G1213" s="358"/>
      <c r="H1213" s="358"/>
      <c r="I1213" s="358"/>
      <c r="J1213" s="358"/>
      <c r="K1213" s="358"/>
      <c r="L1213" s="358"/>
      <c r="M1213" s="358"/>
      <c r="N1213" s="358"/>
      <c r="O1213" s="358"/>
      <c r="P1213" s="358"/>
      <c r="Q1213" s="358"/>
      <c r="R1213" s="358"/>
      <c r="S1213" s="358"/>
      <c r="T1213" s="358"/>
      <c r="U1213" s="358"/>
      <c r="V1213" s="358"/>
      <c r="W1213" s="358"/>
      <c r="X1213" s="358"/>
      <c r="Y1213" s="358"/>
      <c r="Z1213" s="358"/>
      <c r="AA1213" s="358"/>
      <c r="AB1213" s="358"/>
      <c r="AC1213" s="358"/>
      <c r="AD1213" s="358"/>
      <c r="AE1213" s="358"/>
      <c r="AF1213" s="358"/>
      <c r="AG1213" s="358"/>
      <c r="AH1213" s="358"/>
      <c r="AI1213" s="358"/>
      <c r="AJ1213" s="358"/>
      <c r="AK1213" s="358"/>
      <c r="AL1213" s="358"/>
      <c r="AM1213" s="358"/>
      <c r="AN1213" s="358"/>
      <c r="AO1213" s="358"/>
    </row>
    <row r="1214" spans="1:41" s="73" customFormat="1" ht="15" customHeight="1" x14ac:dyDescent="0.25">
      <c r="A1214" s="402"/>
      <c r="B1214" s="406"/>
      <c r="C1214" s="105" t="s">
        <v>456</v>
      </c>
      <c r="D1214" s="80"/>
      <c r="E1214" s="77"/>
      <c r="F1214" s="356"/>
      <c r="G1214" s="356"/>
      <c r="H1214" s="356"/>
      <c r="I1214" s="356"/>
      <c r="J1214" s="356"/>
      <c r="K1214" s="356"/>
      <c r="L1214" s="356"/>
      <c r="M1214" s="356"/>
      <c r="N1214" s="356"/>
      <c r="O1214" s="356"/>
      <c r="P1214" s="356"/>
      <c r="Q1214" s="356"/>
      <c r="R1214" s="356"/>
      <c r="S1214" s="356"/>
      <c r="T1214" s="356"/>
      <c r="U1214" s="356"/>
      <c r="V1214" s="356"/>
      <c r="W1214" s="356"/>
      <c r="X1214" s="356"/>
      <c r="Y1214" s="356"/>
      <c r="Z1214" s="356"/>
      <c r="AA1214" s="356"/>
      <c r="AB1214" s="356"/>
      <c r="AC1214" s="356"/>
      <c r="AD1214" s="356"/>
      <c r="AE1214" s="356"/>
      <c r="AF1214" s="356"/>
      <c r="AG1214" s="356"/>
      <c r="AH1214" s="356"/>
      <c r="AI1214" s="356"/>
      <c r="AJ1214" s="356"/>
      <c r="AK1214" s="356"/>
      <c r="AL1214" s="356"/>
      <c r="AM1214" s="356"/>
      <c r="AN1214" s="356"/>
      <c r="AO1214" s="356"/>
    </row>
    <row r="1215" spans="1:41" s="73" customFormat="1" ht="15" customHeight="1" x14ac:dyDescent="0.25">
      <c r="A1215" s="402"/>
      <c r="B1215" s="406"/>
      <c r="C1215" s="113" t="s">
        <v>991</v>
      </c>
      <c r="D1215" s="113"/>
      <c r="E1215" s="77"/>
      <c r="F1215" s="356"/>
      <c r="G1215" s="356"/>
      <c r="H1215" s="356"/>
      <c r="I1215" s="356"/>
      <c r="J1215" s="356"/>
      <c r="K1215" s="356"/>
      <c r="L1215" s="356"/>
      <c r="M1215" s="356"/>
      <c r="N1215" s="356"/>
      <c r="O1215" s="356"/>
      <c r="P1215" s="356"/>
      <c r="Q1215" s="356"/>
      <c r="R1215" s="356"/>
      <c r="S1215" s="356"/>
      <c r="T1215" s="356"/>
      <c r="U1215" s="356"/>
      <c r="V1215" s="356"/>
      <c r="W1215" s="356"/>
      <c r="X1215" s="356"/>
      <c r="Y1215" s="356"/>
      <c r="Z1215" s="356"/>
      <c r="AA1215" s="356"/>
      <c r="AB1215" s="356"/>
      <c r="AC1215" s="356"/>
      <c r="AD1215" s="356"/>
      <c r="AE1215" s="356"/>
      <c r="AF1215" s="356"/>
      <c r="AG1215" s="356"/>
      <c r="AH1215" s="356"/>
      <c r="AI1215" s="356"/>
      <c r="AJ1215" s="356"/>
      <c r="AK1215" s="356"/>
      <c r="AL1215" s="356"/>
      <c r="AM1215" s="356"/>
      <c r="AN1215" s="356"/>
      <c r="AO1215" s="356"/>
    </row>
    <row r="1216" spans="1:41" s="73" customFormat="1" ht="15" customHeight="1" x14ac:dyDescent="0.25">
      <c r="A1216" s="402"/>
      <c r="B1216" s="406"/>
      <c r="C1216" s="113" t="s">
        <v>992</v>
      </c>
      <c r="D1216" s="114"/>
      <c r="E1216" s="77"/>
      <c r="F1216" s="356"/>
      <c r="G1216" s="356"/>
      <c r="H1216" s="356"/>
      <c r="I1216" s="356"/>
      <c r="J1216" s="356"/>
      <c r="K1216" s="356"/>
      <c r="L1216" s="356"/>
      <c r="M1216" s="356"/>
      <c r="N1216" s="356"/>
      <c r="O1216" s="356"/>
      <c r="P1216" s="356"/>
      <c r="Q1216" s="356"/>
      <c r="R1216" s="356"/>
      <c r="S1216" s="356"/>
      <c r="T1216" s="356"/>
      <c r="U1216" s="356"/>
      <c r="V1216" s="356"/>
      <c r="W1216" s="356"/>
      <c r="X1216" s="356"/>
      <c r="Y1216" s="356"/>
      <c r="Z1216" s="356"/>
      <c r="AA1216" s="356"/>
      <c r="AB1216" s="356"/>
      <c r="AC1216" s="356"/>
      <c r="AD1216" s="356"/>
      <c r="AE1216" s="356"/>
      <c r="AF1216" s="356"/>
      <c r="AG1216" s="356"/>
      <c r="AH1216" s="356"/>
      <c r="AI1216" s="356"/>
      <c r="AJ1216" s="356"/>
      <c r="AK1216" s="356"/>
      <c r="AL1216" s="356"/>
      <c r="AM1216" s="356"/>
      <c r="AN1216" s="356"/>
      <c r="AO1216" s="356"/>
    </row>
    <row r="1217" spans="1:41" s="73" customFormat="1" ht="15" customHeight="1" x14ac:dyDescent="0.25">
      <c r="A1217" s="402"/>
      <c r="B1217" s="406"/>
      <c r="C1217" s="114" t="s">
        <v>993</v>
      </c>
      <c r="D1217" s="80"/>
      <c r="E1217" s="77"/>
      <c r="F1217" s="356"/>
      <c r="G1217" s="356"/>
      <c r="H1217" s="356"/>
      <c r="I1217" s="356"/>
      <c r="J1217" s="356"/>
      <c r="K1217" s="356"/>
      <c r="L1217" s="356"/>
      <c r="M1217" s="356"/>
      <c r="N1217" s="356"/>
      <c r="O1217" s="356"/>
      <c r="P1217" s="356"/>
      <c r="Q1217" s="356"/>
      <c r="R1217" s="356"/>
      <c r="S1217" s="356"/>
      <c r="T1217" s="356"/>
      <c r="U1217" s="356"/>
      <c r="V1217" s="356"/>
      <c r="W1217" s="356"/>
      <c r="X1217" s="356"/>
      <c r="Y1217" s="356"/>
      <c r="Z1217" s="356"/>
      <c r="AA1217" s="356"/>
      <c r="AB1217" s="356"/>
      <c r="AC1217" s="356"/>
      <c r="AD1217" s="356"/>
      <c r="AE1217" s="356"/>
      <c r="AF1217" s="356"/>
      <c r="AG1217" s="356"/>
      <c r="AH1217" s="356"/>
      <c r="AI1217" s="356"/>
      <c r="AJ1217" s="356"/>
      <c r="AK1217" s="356"/>
      <c r="AL1217" s="356"/>
      <c r="AM1217" s="356"/>
      <c r="AN1217" s="356"/>
      <c r="AO1217" s="356"/>
    </row>
    <row r="1218" spans="1:41" s="73" customFormat="1" ht="15" customHeight="1" x14ac:dyDescent="0.25">
      <c r="A1218" s="402"/>
      <c r="B1218" s="406"/>
      <c r="C1218" s="114" t="s">
        <v>994</v>
      </c>
      <c r="D1218" s="114"/>
      <c r="E1218" s="77"/>
      <c r="F1218" s="356"/>
      <c r="G1218" s="356"/>
      <c r="H1218" s="356"/>
      <c r="I1218" s="356"/>
      <c r="J1218" s="356"/>
      <c r="K1218" s="356"/>
      <c r="L1218" s="356"/>
      <c r="M1218" s="356"/>
      <c r="N1218" s="356"/>
      <c r="O1218" s="356"/>
      <c r="P1218" s="356"/>
      <c r="Q1218" s="356"/>
      <c r="R1218" s="356"/>
      <c r="S1218" s="356"/>
      <c r="T1218" s="356"/>
      <c r="U1218" s="356"/>
      <c r="V1218" s="356"/>
      <c r="W1218" s="356"/>
      <c r="X1218" s="356"/>
      <c r="Y1218" s="356"/>
      <c r="Z1218" s="356"/>
      <c r="AA1218" s="356"/>
      <c r="AB1218" s="356"/>
      <c r="AC1218" s="356"/>
      <c r="AD1218" s="356"/>
      <c r="AE1218" s="356"/>
      <c r="AF1218" s="356"/>
      <c r="AG1218" s="356"/>
      <c r="AH1218" s="356"/>
      <c r="AI1218" s="356"/>
      <c r="AJ1218" s="356"/>
      <c r="AK1218" s="356"/>
      <c r="AL1218" s="356"/>
      <c r="AM1218" s="356"/>
      <c r="AN1218" s="356"/>
      <c r="AO1218" s="356"/>
    </row>
    <row r="1219" spans="1:41" s="108" customFormat="1" ht="15" customHeight="1" x14ac:dyDescent="0.25">
      <c r="A1219" s="402"/>
      <c r="B1219" s="405" t="s">
        <v>998</v>
      </c>
      <c r="C1219" s="104" t="s">
        <v>751</v>
      </c>
      <c r="D1219" s="151"/>
      <c r="E1219" s="89" t="s">
        <v>913</v>
      </c>
      <c r="F1219" s="311"/>
      <c r="G1219" s="311"/>
      <c r="H1219" s="311"/>
      <c r="I1219" s="311"/>
      <c r="J1219" s="311"/>
      <c r="K1219" s="311"/>
      <c r="L1219" s="311"/>
      <c r="M1219" s="311"/>
      <c r="N1219" s="311"/>
      <c r="O1219" s="311"/>
      <c r="P1219" s="311"/>
      <c r="Q1219" s="311"/>
      <c r="R1219" s="311"/>
      <c r="S1219" s="311"/>
      <c r="T1219" s="311"/>
      <c r="U1219" s="311"/>
      <c r="V1219" s="311"/>
      <c r="W1219" s="311"/>
      <c r="X1219" s="311"/>
      <c r="Y1219" s="311"/>
      <c r="Z1219" s="311"/>
      <c r="AA1219" s="311"/>
      <c r="AB1219" s="311"/>
      <c r="AC1219" s="311"/>
      <c r="AD1219" s="311"/>
      <c r="AE1219" s="311"/>
      <c r="AF1219" s="311"/>
      <c r="AG1219" s="311"/>
      <c r="AH1219" s="311"/>
      <c r="AI1219" s="311"/>
      <c r="AJ1219" s="311"/>
      <c r="AK1219" s="311"/>
      <c r="AL1219" s="311"/>
      <c r="AM1219" s="311"/>
      <c r="AN1219" s="311"/>
      <c r="AO1219" s="311"/>
    </row>
    <row r="1220" spans="1:41" s="108" customFormat="1" ht="15" customHeight="1" x14ac:dyDescent="0.25">
      <c r="A1220" s="402"/>
      <c r="B1220" s="405"/>
      <c r="C1220" s="104" t="s">
        <v>753</v>
      </c>
      <c r="D1220" s="151"/>
      <c r="E1220" s="89" t="s">
        <v>914</v>
      </c>
      <c r="F1220" s="311"/>
      <c r="G1220" s="311"/>
      <c r="H1220" s="311"/>
      <c r="I1220" s="311"/>
      <c r="J1220" s="311"/>
      <c r="K1220" s="311"/>
      <c r="L1220" s="311"/>
      <c r="M1220" s="311"/>
      <c r="N1220" s="311"/>
      <c r="O1220" s="311"/>
      <c r="P1220" s="311"/>
      <c r="Q1220" s="311"/>
      <c r="R1220" s="311"/>
      <c r="S1220" s="311"/>
      <c r="T1220" s="311"/>
      <c r="U1220" s="311"/>
      <c r="V1220" s="311"/>
      <c r="W1220" s="311"/>
      <c r="X1220" s="311"/>
      <c r="Y1220" s="311"/>
      <c r="Z1220" s="311"/>
      <c r="AA1220" s="311"/>
      <c r="AB1220" s="311"/>
      <c r="AC1220" s="311"/>
      <c r="AD1220" s="311"/>
      <c r="AE1220" s="311"/>
      <c r="AF1220" s="311"/>
      <c r="AG1220" s="311"/>
      <c r="AH1220" s="311"/>
      <c r="AI1220" s="311"/>
      <c r="AJ1220" s="311"/>
      <c r="AK1220" s="311"/>
      <c r="AL1220" s="311"/>
      <c r="AM1220" s="311"/>
      <c r="AN1220" s="311"/>
      <c r="AO1220" s="311"/>
    </row>
    <row r="1221" spans="1:41" s="73" customFormat="1" ht="15" customHeight="1" x14ac:dyDescent="0.25">
      <c r="A1221" s="402"/>
      <c r="B1221" s="405"/>
      <c r="C1221" s="162" t="s">
        <v>738</v>
      </c>
      <c r="D1221" s="116"/>
      <c r="E1221" s="79" t="s">
        <v>915</v>
      </c>
      <c r="F1221" s="312"/>
      <c r="G1221" s="312"/>
      <c r="H1221" s="312"/>
      <c r="I1221" s="312"/>
      <c r="J1221" s="312"/>
      <c r="K1221" s="312"/>
      <c r="L1221" s="312"/>
      <c r="M1221" s="312"/>
      <c r="N1221" s="312"/>
      <c r="O1221" s="312"/>
      <c r="P1221" s="312"/>
      <c r="Q1221" s="312"/>
      <c r="R1221" s="312"/>
      <c r="S1221" s="312"/>
      <c r="T1221" s="312"/>
      <c r="U1221" s="312"/>
      <c r="V1221" s="312"/>
      <c r="W1221" s="312"/>
      <c r="X1221" s="312"/>
      <c r="Y1221" s="312"/>
      <c r="Z1221" s="312"/>
      <c r="AA1221" s="312"/>
      <c r="AB1221" s="312"/>
      <c r="AC1221" s="312"/>
      <c r="AD1221" s="312"/>
      <c r="AE1221" s="312"/>
      <c r="AF1221" s="312"/>
      <c r="AG1221" s="312"/>
      <c r="AH1221" s="312"/>
      <c r="AI1221" s="312"/>
      <c r="AJ1221" s="312"/>
      <c r="AK1221" s="312"/>
      <c r="AL1221" s="312"/>
      <c r="AM1221" s="312"/>
      <c r="AN1221" s="312"/>
      <c r="AO1221" s="312"/>
    </row>
    <row r="1222" spans="1:41" s="73" customFormat="1" ht="15" customHeight="1" x14ac:dyDescent="0.25">
      <c r="A1222" s="402"/>
      <c r="B1222" s="405"/>
      <c r="C1222" s="162" t="s">
        <v>739</v>
      </c>
      <c r="D1222" s="116"/>
      <c r="E1222" s="79" t="s">
        <v>916</v>
      </c>
      <c r="F1222" s="312"/>
      <c r="G1222" s="312"/>
      <c r="H1222" s="312"/>
      <c r="I1222" s="312"/>
      <c r="J1222" s="312"/>
      <c r="K1222" s="312"/>
      <c r="L1222" s="312"/>
      <c r="M1222" s="312"/>
      <c r="N1222" s="312"/>
      <c r="O1222" s="312"/>
      <c r="P1222" s="312"/>
      <c r="Q1222" s="312"/>
      <c r="R1222" s="312"/>
      <c r="S1222" s="312"/>
      <c r="T1222" s="312"/>
      <c r="U1222" s="312"/>
      <c r="V1222" s="312"/>
      <c r="W1222" s="312"/>
      <c r="X1222" s="312"/>
      <c r="Y1222" s="312"/>
      <c r="Z1222" s="312"/>
      <c r="AA1222" s="312"/>
      <c r="AB1222" s="312"/>
      <c r="AC1222" s="312"/>
      <c r="AD1222" s="312"/>
      <c r="AE1222" s="312"/>
      <c r="AF1222" s="312"/>
      <c r="AG1222" s="312"/>
      <c r="AH1222" s="312"/>
      <c r="AI1222" s="312"/>
      <c r="AJ1222" s="312"/>
      <c r="AK1222" s="312"/>
      <c r="AL1222" s="312"/>
      <c r="AM1222" s="312"/>
      <c r="AN1222" s="312"/>
      <c r="AO1222" s="312"/>
    </row>
    <row r="1223" spans="1:41" s="108" customFormat="1" ht="15" customHeight="1" x14ac:dyDescent="0.25">
      <c r="A1223" s="402"/>
      <c r="B1223" s="405"/>
      <c r="C1223" s="104" t="s">
        <v>754</v>
      </c>
      <c r="D1223" s="151"/>
      <c r="E1223" s="89" t="s">
        <v>917</v>
      </c>
      <c r="F1223" s="311"/>
      <c r="G1223" s="311"/>
      <c r="H1223" s="311"/>
      <c r="I1223" s="311"/>
      <c r="J1223" s="311"/>
      <c r="K1223" s="311"/>
      <c r="L1223" s="311"/>
      <c r="M1223" s="311"/>
      <c r="N1223" s="311"/>
      <c r="O1223" s="311"/>
      <c r="P1223" s="311"/>
      <c r="Q1223" s="311"/>
      <c r="R1223" s="311"/>
      <c r="S1223" s="311"/>
      <c r="T1223" s="311"/>
      <c r="U1223" s="311"/>
      <c r="V1223" s="311"/>
      <c r="W1223" s="311"/>
      <c r="X1223" s="311"/>
      <c r="Y1223" s="311"/>
      <c r="Z1223" s="311"/>
      <c r="AA1223" s="311"/>
      <c r="AB1223" s="311"/>
      <c r="AC1223" s="311"/>
      <c r="AD1223" s="311"/>
      <c r="AE1223" s="311"/>
      <c r="AF1223" s="311"/>
      <c r="AG1223" s="311"/>
      <c r="AH1223" s="311"/>
      <c r="AI1223" s="311"/>
      <c r="AJ1223" s="311"/>
      <c r="AK1223" s="311"/>
      <c r="AL1223" s="311"/>
      <c r="AM1223" s="311"/>
      <c r="AN1223" s="311"/>
      <c r="AO1223" s="311"/>
    </row>
    <row r="1224" spans="1:41" s="73" customFormat="1" ht="15" customHeight="1" x14ac:dyDescent="0.25">
      <c r="A1224" s="402"/>
      <c r="B1224" s="405"/>
      <c r="C1224" s="162" t="s">
        <v>740</v>
      </c>
      <c r="D1224" s="116"/>
      <c r="E1224" s="79" t="s">
        <v>918</v>
      </c>
      <c r="F1224" s="312"/>
      <c r="G1224" s="312"/>
      <c r="H1224" s="312"/>
      <c r="I1224" s="312"/>
      <c r="J1224" s="312"/>
      <c r="K1224" s="312"/>
      <c r="L1224" s="312"/>
      <c r="M1224" s="312"/>
      <c r="N1224" s="312"/>
      <c r="O1224" s="312"/>
      <c r="P1224" s="312"/>
      <c r="Q1224" s="312"/>
      <c r="R1224" s="312"/>
      <c r="S1224" s="312"/>
      <c r="T1224" s="312"/>
      <c r="U1224" s="312"/>
      <c r="V1224" s="312"/>
      <c r="W1224" s="312"/>
      <c r="X1224" s="312"/>
      <c r="Y1224" s="312"/>
      <c r="Z1224" s="312"/>
      <c r="AA1224" s="312"/>
      <c r="AB1224" s="312"/>
      <c r="AC1224" s="312"/>
      <c r="AD1224" s="312"/>
      <c r="AE1224" s="312"/>
      <c r="AF1224" s="312"/>
      <c r="AG1224" s="312"/>
      <c r="AH1224" s="312"/>
      <c r="AI1224" s="312"/>
      <c r="AJ1224" s="312"/>
      <c r="AK1224" s="312"/>
      <c r="AL1224" s="312"/>
      <c r="AM1224" s="312"/>
      <c r="AN1224" s="312"/>
      <c r="AO1224" s="312"/>
    </row>
    <row r="1225" spans="1:41" s="73" customFormat="1" ht="15" customHeight="1" x14ac:dyDescent="0.25">
      <c r="A1225" s="402"/>
      <c r="B1225" s="405"/>
      <c r="C1225" s="162" t="s">
        <v>741</v>
      </c>
      <c r="D1225" s="116"/>
      <c r="E1225" s="79" t="s">
        <v>919</v>
      </c>
      <c r="F1225" s="312"/>
      <c r="G1225" s="312"/>
      <c r="H1225" s="312"/>
      <c r="I1225" s="312"/>
      <c r="J1225" s="312"/>
      <c r="K1225" s="312"/>
      <c r="L1225" s="312"/>
      <c r="M1225" s="312"/>
      <c r="N1225" s="312"/>
      <c r="O1225" s="312"/>
      <c r="P1225" s="312"/>
      <c r="Q1225" s="312"/>
      <c r="R1225" s="312"/>
      <c r="S1225" s="312"/>
      <c r="T1225" s="312"/>
      <c r="U1225" s="312"/>
      <c r="V1225" s="312"/>
      <c r="W1225" s="312"/>
      <c r="X1225" s="312"/>
      <c r="Y1225" s="312"/>
      <c r="Z1225" s="312"/>
      <c r="AA1225" s="312"/>
      <c r="AB1225" s="312"/>
      <c r="AC1225" s="312"/>
      <c r="AD1225" s="312"/>
      <c r="AE1225" s="312"/>
      <c r="AF1225" s="312"/>
      <c r="AG1225" s="312"/>
      <c r="AH1225" s="312"/>
      <c r="AI1225" s="312"/>
      <c r="AJ1225" s="312"/>
      <c r="AK1225" s="312"/>
      <c r="AL1225" s="312"/>
      <c r="AM1225" s="312"/>
      <c r="AN1225" s="312"/>
      <c r="AO1225" s="312"/>
    </row>
    <row r="1226" spans="1:41" s="73" customFormat="1" ht="15" customHeight="1" x14ac:dyDescent="0.25">
      <c r="A1226" s="402"/>
      <c r="B1226" s="405"/>
      <c r="C1226" s="162" t="s">
        <v>742</v>
      </c>
      <c r="D1226" s="116"/>
      <c r="E1226" s="79" t="s">
        <v>920</v>
      </c>
      <c r="F1226" s="312"/>
      <c r="G1226" s="312"/>
      <c r="H1226" s="312"/>
      <c r="I1226" s="312"/>
      <c r="J1226" s="312"/>
      <c r="K1226" s="312"/>
      <c r="L1226" s="312"/>
      <c r="M1226" s="312"/>
      <c r="N1226" s="312"/>
      <c r="O1226" s="312"/>
      <c r="P1226" s="312"/>
      <c r="Q1226" s="312"/>
      <c r="R1226" s="312"/>
      <c r="S1226" s="312"/>
      <c r="T1226" s="312"/>
      <c r="U1226" s="312"/>
      <c r="V1226" s="312"/>
      <c r="W1226" s="312"/>
      <c r="X1226" s="312"/>
      <c r="Y1226" s="312"/>
      <c r="Z1226" s="312"/>
      <c r="AA1226" s="312"/>
      <c r="AB1226" s="312"/>
      <c r="AC1226" s="312"/>
      <c r="AD1226" s="312"/>
      <c r="AE1226" s="312"/>
      <c r="AF1226" s="312"/>
      <c r="AG1226" s="312"/>
      <c r="AH1226" s="312"/>
      <c r="AI1226" s="312"/>
      <c r="AJ1226" s="312"/>
      <c r="AK1226" s="312"/>
      <c r="AL1226" s="312"/>
      <c r="AM1226" s="312"/>
      <c r="AN1226" s="312"/>
      <c r="AO1226" s="312"/>
    </row>
    <row r="1227" spans="1:41" s="73" customFormat="1" ht="15" customHeight="1" x14ac:dyDescent="0.25">
      <c r="A1227" s="402"/>
      <c r="B1227" s="405"/>
      <c r="C1227" s="162" t="s">
        <v>743</v>
      </c>
      <c r="D1227" s="116"/>
      <c r="E1227" s="79" t="s">
        <v>921</v>
      </c>
      <c r="F1227" s="312"/>
      <c r="G1227" s="312"/>
      <c r="H1227" s="312"/>
      <c r="I1227" s="312"/>
      <c r="J1227" s="312"/>
      <c r="K1227" s="312"/>
      <c r="L1227" s="312"/>
      <c r="M1227" s="312"/>
      <c r="N1227" s="312"/>
      <c r="O1227" s="312"/>
      <c r="P1227" s="312"/>
      <c r="Q1227" s="312"/>
      <c r="R1227" s="312"/>
      <c r="S1227" s="312"/>
      <c r="T1227" s="312"/>
      <c r="U1227" s="312"/>
      <c r="V1227" s="312"/>
      <c r="W1227" s="312"/>
      <c r="X1227" s="312"/>
      <c r="Y1227" s="312"/>
      <c r="Z1227" s="312"/>
      <c r="AA1227" s="312"/>
      <c r="AB1227" s="312"/>
      <c r="AC1227" s="312"/>
      <c r="AD1227" s="312"/>
      <c r="AE1227" s="312"/>
      <c r="AF1227" s="312"/>
      <c r="AG1227" s="312"/>
      <c r="AH1227" s="312"/>
      <c r="AI1227" s="312"/>
      <c r="AJ1227" s="312"/>
      <c r="AK1227" s="312"/>
      <c r="AL1227" s="312"/>
      <c r="AM1227" s="312"/>
      <c r="AN1227" s="312"/>
      <c r="AO1227" s="312"/>
    </row>
    <row r="1228" spans="1:41" s="73" customFormat="1" ht="15" customHeight="1" x14ac:dyDescent="0.25">
      <c r="A1228" s="402"/>
      <c r="B1228" s="405"/>
      <c r="C1228" s="162" t="s">
        <v>744</v>
      </c>
      <c r="D1228" s="116"/>
      <c r="E1228" s="79" t="s">
        <v>922</v>
      </c>
      <c r="F1228" s="312"/>
      <c r="G1228" s="312"/>
      <c r="H1228" s="312"/>
      <c r="I1228" s="312"/>
      <c r="J1228" s="312"/>
      <c r="K1228" s="312"/>
      <c r="L1228" s="312"/>
      <c r="M1228" s="312"/>
      <c r="N1228" s="312"/>
      <c r="O1228" s="312"/>
      <c r="P1228" s="312"/>
      <c r="Q1228" s="312"/>
      <c r="R1228" s="312"/>
      <c r="S1228" s="312"/>
      <c r="T1228" s="312"/>
      <c r="U1228" s="312"/>
      <c r="V1228" s="312"/>
      <c r="W1228" s="312"/>
      <c r="X1228" s="312"/>
      <c r="Y1228" s="312"/>
      <c r="Z1228" s="312"/>
      <c r="AA1228" s="312"/>
      <c r="AB1228" s="312"/>
      <c r="AC1228" s="312"/>
      <c r="AD1228" s="312"/>
      <c r="AE1228" s="312"/>
      <c r="AF1228" s="312"/>
      <c r="AG1228" s="312"/>
      <c r="AH1228" s="312"/>
      <c r="AI1228" s="312"/>
      <c r="AJ1228" s="312"/>
      <c r="AK1228" s="312"/>
      <c r="AL1228" s="312"/>
      <c r="AM1228" s="312"/>
      <c r="AN1228" s="312"/>
      <c r="AO1228" s="312"/>
    </row>
    <row r="1229" spans="1:41" s="73" customFormat="1" ht="15" customHeight="1" x14ac:dyDescent="0.25">
      <c r="A1229" s="402"/>
      <c r="B1229" s="405"/>
      <c r="C1229" s="162" t="s">
        <v>745</v>
      </c>
      <c r="D1229" s="116"/>
      <c r="E1229" s="79" t="s">
        <v>923</v>
      </c>
      <c r="F1229" s="312"/>
      <c r="G1229" s="312"/>
      <c r="H1229" s="312"/>
      <c r="I1229" s="312"/>
      <c r="J1229" s="312"/>
      <c r="K1229" s="312"/>
      <c r="L1229" s="312"/>
      <c r="M1229" s="312"/>
      <c r="N1229" s="312"/>
      <c r="O1229" s="312"/>
      <c r="P1229" s="312"/>
      <c r="Q1229" s="312"/>
      <c r="R1229" s="312"/>
      <c r="S1229" s="312"/>
      <c r="T1229" s="312"/>
      <c r="U1229" s="312"/>
      <c r="V1229" s="312"/>
      <c r="W1229" s="312"/>
      <c r="X1229" s="312"/>
      <c r="Y1229" s="312"/>
      <c r="Z1229" s="312"/>
      <c r="AA1229" s="312"/>
      <c r="AB1229" s="312"/>
      <c r="AC1229" s="312"/>
      <c r="AD1229" s="312"/>
      <c r="AE1229" s="312"/>
      <c r="AF1229" s="312"/>
      <c r="AG1229" s="312"/>
      <c r="AH1229" s="312"/>
      <c r="AI1229" s="312"/>
      <c r="AJ1229" s="312"/>
      <c r="AK1229" s="312"/>
      <c r="AL1229" s="312"/>
      <c r="AM1229" s="312"/>
      <c r="AN1229" s="312"/>
      <c r="AO1229" s="312"/>
    </row>
    <row r="1230" spans="1:41" s="73" customFormat="1" ht="15" customHeight="1" x14ac:dyDescent="0.25">
      <c r="A1230" s="402"/>
      <c r="B1230" s="405"/>
      <c r="C1230" s="162" t="s">
        <v>746</v>
      </c>
      <c r="D1230" s="116"/>
      <c r="E1230" s="79" t="s">
        <v>924</v>
      </c>
      <c r="F1230" s="312"/>
      <c r="G1230" s="312"/>
      <c r="H1230" s="312"/>
      <c r="I1230" s="312"/>
      <c r="J1230" s="312"/>
      <c r="K1230" s="312"/>
      <c r="L1230" s="312"/>
      <c r="M1230" s="312"/>
      <c r="N1230" s="312"/>
      <c r="O1230" s="312"/>
      <c r="P1230" s="312"/>
      <c r="Q1230" s="312"/>
      <c r="R1230" s="312"/>
      <c r="S1230" s="312"/>
      <c r="T1230" s="312"/>
      <c r="U1230" s="312"/>
      <c r="V1230" s="312"/>
      <c r="W1230" s="312"/>
      <c r="X1230" s="312"/>
      <c r="Y1230" s="312"/>
      <c r="Z1230" s="312"/>
      <c r="AA1230" s="312"/>
      <c r="AB1230" s="312"/>
      <c r="AC1230" s="312"/>
      <c r="AD1230" s="312"/>
      <c r="AE1230" s="312"/>
      <c r="AF1230" s="312"/>
      <c r="AG1230" s="312"/>
      <c r="AH1230" s="312"/>
      <c r="AI1230" s="312"/>
      <c r="AJ1230" s="312"/>
      <c r="AK1230" s="312"/>
      <c r="AL1230" s="312"/>
      <c r="AM1230" s="312"/>
      <c r="AN1230" s="312"/>
      <c r="AO1230" s="312"/>
    </row>
    <row r="1231" spans="1:41" s="73" customFormat="1" ht="15" customHeight="1" x14ac:dyDescent="0.25">
      <c r="A1231" s="402"/>
      <c r="B1231" s="405"/>
      <c r="C1231" s="162" t="s">
        <v>747</v>
      </c>
      <c r="D1231" s="116"/>
      <c r="E1231" s="79" t="s">
        <v>925</v>
      </c>
      <c r="F1231" s="312"/>
      <c r="G1231" s="312"/>
      <c r="H1231" s="312"/>
      <c r="I1231" s="312"/>
      <c r="J1231" s="312"/>
      <c r="K1231" s="312"/>
      <c r="L1231" s="312"/>
      <c r="M1231" s="312"/>
      <c r="N1231" s="312"/>
      <c r="O1231" s="312"/>
      <c r="P1231" s="312"/>
      <c r="Q1231" s="312"/>
      <c r="R1231" s="312"/>
      <c r="S1231" s="312"/>
      <c r="T1231" s="312"/>
      <c r="U1231" s="312"/>
      <c r="V1231" s="312"/>
      <c r="W1231" s="312"/>
      <c r="X1231" s="312"/>
      <c r="Y1231" s="312"/>
      <c r="Z1231" s="312"/>
      <c r="AA1231" s="312"/>
      <c r="AB1231" s="312"/>
      <c r="AC1231" s="312"/>
      <c r="AD1231" s="312"/>
      <c r="AE1231" s="312"/>
      <c r="AF1231" s="312"/>
      <c r="AG1231" s="312"/>
      <c r="AH1231" s="312"/>
      <c r="AI1231" s="312"/>
      <c r="AJ1231" s="312"/>
      <c r="AK1231" s="312"/>
      <c r="AL1231" s="312"/>
      <c r="AM1231" s="312"/>
      <c r="AN1231" s="312"/>
      <c r="AO1231" s="312"/>
    </row>
    <row r="1232" spans="1:41" s="73" customFormat="1" ht="15" customHeight="1" x14ac:dyDescent="0.25">
      <c r="A1232" s="402"/>
      <c r="B1232" s="405"/>
      <c r="C1232" s="162" t="s">
        <v>748</v>
      </c>
      <c r="D1232" s="116"/>
      <c r="E1232" s="79" t="s">
        <v>926</v>
      </c>
      <c r="F1232" s="312"/>
      <c r="G1232" s="312"/>
      <c r="H1232" s="312"/>
      <c r="I1232" s="312"/>
      <c r="J1232" s="312"/>
      <c r="K1232" s="312"/>
      <c r="L1232" s="312"/>
      <c r="M1232" s="312"/>
      <c r="N1232" s="312"/>
      <c r="O1232" s="312"/>
      <c r="P1232" s="312"/>
      <c r="Q1232" s="312"/>
      <c r="R1232" s="312"/>
      <c r="S1232" s="312"/>
      <c r="T1232" s="312"/>
      <c r="U1232" s="312"/>
      <c r="V1232" s="312"/>
      <c r="W1232" s="312"/>
      <c r="X1232" s="312"/>
      <c r="Y1232" s="312"/>
      <c r="Z1232" s="312"/>
      <c r="AA1232" s="312"/>
      <c r="AB1232" s="312"/>
      <c r="AC1232" s="312"/>
      <c r="AD1232" s="312"/>
      <c r="AE1232" s="312"/>
      <c r="AF1232" s="312"/>
      <c r="AG1232" s="312"/>
      <c r="AH1232" s="312"/>
      <c r="AI1232" s="312"/>
      <c r="AJ1232" s="312"/>
      <c r="AK1232" s="312"/>
      <c r="AL1232" s="312"/>
      <c r="AM1232" s="312"/>
      <c r="AN1232" s="312"/>
      <c r="AO1232" s="312"/>
    </row>
    <row r="1233" spans="1:41" s="73" customFormat="1" ht="15" customHeight="1" x14ac:dyDescent="0.25">
      <c r="A1233" s="402"/>
      <c r="B1233" s="405"/>
      <c r="C1233" s="162" t="s">
        <v>749</v>
      </c>
      <c r="D1233" s="116"/>
      <c r="E1233" s="79" t="s">
        <v>927</v>
      </c>
      <c r="F1233" s="312"/>
      <c r="G1233" s="312"/>
      <c r="H1233" s="312"/>
      <c r="I1233" s="312"/>
      <c r="J1233" s="312"/>
      <c r="K1233" s="312"/>
      <c r="L1233" s="312"/>
      <c r="M1233" s="312"/>
      <c r="N1233" s="312"/>
      <c r="O1233" s="312"/>
      <c r="P1233" s="312"/>
      <c r="Q1233" s="312"/>
      <c r="R1233" s="312"/>
      <c r="S1233" s="312"/>
      <c r="T1233" s="312"/>
      <c r="U1233" s="312"/>
      <c r="V1233" s="312"/>
      <c r="W1233" s="312"/>
      <c r="X1233" s="312"/>
      <c r="Y1233" s="312"/>
      <c r="Z1233" s="312"/>
      <c r="AA1233" s="312"/>
      <c r="AB1233" s="312"/>
      <c r="AC1233" s="312"/>
      <c r="AD1233" s="312"/>
      <c r="AE1233" s="312"/>
      <c r="AF1233" s="312"/>
      <c r="AG1233" s="312"/>
      <c r="AH1233" s="312"/>
      <c r="AI1233" s="312"/>
      <c r="AJ1233" s="312"/>
      <c r="AK1233" s="312"/>
      <c r="AL1233" s="312"/>
      <c r="AM1233" s="312"/>
      <c r="AN1233" s="312"/>
      <c r="AO1233" s="312"/>
    </row>
    <row r="1234" spans="1:41" s="73" customFormat="1" ht="15" customHeight="1" x14ac:dyDescent="0.25">
      <c r="A1234" s="402"/>
      <c r="B1234" s="405"/>
      <c r="C1234" s="162" t="s">
        <v>750</v>
      </c>
      <c r="D1234" s="116"/>
      <c r="E1234" s="79" t="s">
        <v>928</v>
      </c>
      <c r="F1234" s="312"/>
      <c r="G1234" s="312"/>
      <c r="H1234" s="312"/>
      <c r="I1234" s="312"/>
      <c r="J1234" s="312"/>
      <c r="K1234" s="312"/>
      <c r="L1234" s="312"/>
      <c r="M1234" s="312"/>
      <c r="N1234" s="312"/>
      <c r="O1234" s="312"/>
      <c r="P1234" s="312"/>
      <c r="Q1234" s="312"/>
      <c r="R1234" s="312"/>
      <c r="S1234" s="312"/>
      <c r="T1234" s="312"/>
      <c r="U1234" s="312"/>
      <c r="V1234" s="312"/>
      <c r="W1234" s="312"/>
      <c r="X1234" s="312"/>
      <c r="Y1234" s="312"/>
      <c r="Z1234" s="312"/>
      <c r="AA1234" s="312"/>
      <c r="AB1234" s="312"/>
      <c r="AC1234" s="312"/>
      <c r="AD1234" s="312"/>
      <c r="AE1234" s="312"/>
      <c r="AF1234" s="312"/>
      <c r="AG1234" s="312"/>
      <c r="AH1234" s="312"/>
      <c r="AI1234" s="312"/>
      <c r="AJ1234" s="312"/>
      <c r="AK1234" s="312"/>
      <c r="AL1234" s="312"/>
      <c r="AM1234" s="312"/>
      <c r="AN1234" s="312"/>
      <c r="AO1234" s="312"/>
    </row>
    <row r="1235" spans="1:41" s="108" customFormat="1" ht="15" customHeight="1" x14ac:dyDescent="0.25">
      <c r="A1235" s="402"/>
      <c r="B1235" s="405"/>
      <c r="C1235" s="104" t="s">
        <v>755</v>
      </c>
      <c r="D1235" s="151"/>
      <c r="E1235" s="89" t="s">
        <v>929</v>
      </c>
      <c r="F1235" s="311"/>
      <c r="G1235" s="311"/>
      <c r="H1235" s="311"/>
      <c r="I1235" s="311"/>
      <c r="J1235" s="311"/>
      <c r="K1235" s="311"/>
      <c r="L1235" s="311"/>
      <c r="M1235" s="311"/>
      <c r="N1235" s="311"/>
      <c r="O1235" s="311"/>
      <c r="P1235" s="311"/>
      <c r="Q1235" s="311"/>
      <c r="R1235" s="311"/>
      <c r="S1235" s="311"/>
      <c r="T1235" s="311"/>
      <c r="U1235" s="311"/>
      <c r="V1235" s="311"/>
      <c r="W1235" s="311"/>
      <c r="X1235" s="311"/>
      <c r="Y1235" s="311"/>
      <c r="Z1235" s="311"/>
      <c r="AA1235" s="311"/>
      <c r="AB1235" s="311"/>
      <c r="AC1235" s="311"/>
      <c r="AD1235" s="311"/>
      <c r="AE1235" s="311"/>
      <c r="AF1235" s="311"/>
      <c r="AG1235" s="311"/>
      <c r="AH1235" s="311"/>
      <c r="AI1235" s="311"/>
      <c r="AJ1235" s="311"/>
      <c r="AK1235" s="311"/>
      <c r="AL1235" s="311"/>
      <c r="AM1235" s="311"/>
      <c r="AN1235" s="311"/>
      <c r="AO1235" s="311"/>
    </row>
    <row r="1236" spans="1:41" s="73" customFormat="1" ht="15" customHeight="1" x14ac:dyDescent="0.25">
      <c r="A1236" s="402"/>
      <c r="B1236" s="405"/>
      <c r="C1236" s="162" t="s">
        <v>616</v>
      </c>
      <c r="D1236" s="116"/>
      <c r="E1236" s="79" t="s">
        <v>930</v>
      </c>
      <c r="F1236" s="312"/>
      <c r="G1236" s="312"/>
      <c r="H1236" s="312"/>
      <c r="I1236" s="312"/>
      <c r="J1236" s="312"/>
      <c r="K1236" s="312"/>
      <c r="L1236" s="312"/>
      <c r="M1236" s="312"/>
      <c r="N1236" s="312"/>
      <c r="O1236" s="312"/>
      <c r="P1236" s="312"/>
      <c r="Q1236" s="312"/>
      <c r="R1236" s="312"/>
      <c r="S1236" s="312"/>
      <c r="T1236" s="312"/>
      <c r="U1236" s="312"/>
      <c r="V1236" s="312"/>
      <c r="W1236" s="312"/>
      <c r="X1236" s="312"/>
      <c r="Y1236" s="312"/>
      <c r="Z1236" s="312"/>
      <c r="AA1236" s="312"/>
      <c r="AB1236" s="312"/>
      <c r="AC1236" s="312"/>
      <c r="AD1236" s="312"/>
      <c r="AE1236" s="312"/>
      <c r="AF1236" s="312"/>
      <c r="AG1236" s="312"/>
      <c r="AH1236" s="312"/>
      <c r="AI1236" s="312"/>
      <c r="AJ1236" s="312"/>
      <c r="AK1236" s="312"/>
      <c r="AL1236" s="312"/>
      <c r="AM1236" s="312"/>
      <c r="AN1236" s="312"/>
      <c r="AO1236" s="312"/>
    </row>
    <row r="1237" spans="1:41" s="73" customFormat="1" ht="15" customHeight="1" x14ac:dyDescent="0.25">
      <c r="A1237" s="402"/>
      <c r="B1237" s="405"/>
      <c r="C1237" s="162" t="s">
        <v>617</v>
      </c>
      <c r="D1237" s="116"/>
      <c r="E1237" s="79" t="s">
        <v>931</v>
      </c>
      <c r="F1237" s="312"/>
      <c r="G1237" s="312"/>
      <c r="H1237" s="312"/>
      <c r="I1237" s="312"/>
      <c r="J1237" s="312"/>
      <c r="K1237" s="312"/>
      <c r="L1237" s="312"/>
      <c r="M1237" s="312"/>
      <c r="N1237" s="312"/>
      <c r="O1237" s="312"/>
      <c r="P1237" s="312"/>
      <c r="Q1237" s="312"/>
      <c r="R1237" s="312"/>
      <c r="S1237" s="312"/>
      <c r="T1237" s="312"/>
      <c r="U1237" s="312"/>
      <c r="V1237" s="312"/>
      <c r="W1237" s="312"/>
      <c r="X1237" s="312"/>
      <c r="Y1237" s="312"/>
      <c r="Z1237" s="312"/>
      <c r="AA1237" s="312"/>
      <c r="AB1237" s="312"/>
      <c r="AC1237" s="312"/>
      <c r="AD1237" s="312"/>
      <c r="AE1237" s="312"/>
      <c r="AF1237" s="312"/>
      <c r="AG1237" s="312"/>
      <c r="AH1237" s="312"/>
      <c r="AI1237" s="312"/>
      <c r="AJ1237" s="312"/>
      <c r="AK1237" s="312"/>
      <c r="AL1237" s="312"/>
      <c r="AM1237" s="312"/>
      <c r="AN1237" s="312"/>
      <c r="AO1237" s="312"/>
    </row>
    <row r="1238" spans="1:41" s="73" customFormat="1" ht="15" customHeight="1" x14ac:dyDescent="0.25">
      <c r="A1238" s="402"/>
      <c r="B1238" s="405"/>
      <c r="C1238" s="162" t="s">
        <v>618</v>
      </c>
      <c r="D1238" s="116"/>
      <c r="E1238" s="79" t="s">
        <v>932</v>
      </c>
      <c r="F1238" s="312"/>
      <c r="G1238" s="312"/>
      <c r="H1238" s="312"/>
      <c r="I1238" s="312"/>
      <c r="J1238" s="312"/>
      <c r="K1238" s="312"/>
      <c r="L1238" s="312"/>
      <c r="M1238" s="312"/>
      <c r="N1238" s="312"/>
      <c r="O1238" s="312"/>
      <c r="P1238" s="312"/>
      <c r="Q1238" s="312"/>
      <c r="R1238" s="312"/>
      <c r="S1238" s="312"/>
      <c r="T1238" s="312"/>
      <c r="U1238" s="312"/>
      <c r="V1238" s="312"/>
      <c r="W1238" s="312"/>
      <c r="X1238" s="312"/>
      <c r="Y1238" s="312"/>
      <c r="Z1238" s="312"/>
      <c r="AA1238" s="312"/>
      <c r="AB1238" s="312"/>
      <c r="AC1238" s="312"/>
      <c r="AD1238" s="312"/>
      <c r="AE1238" s="312"/>
      <c r="AF1238" s="312"/>
      <c r="AG1238" s="312"/>
      <c r="AH1238" s="312"/>
      <c r="AI1238" s="312"/>
      <c r="AJ1238" s="312"/>
      <c r="AK1238" s="312"/>
      <c r="AL1238" s="312"/>
      <c r="AM1238" s="312"/>
      <c r="AN1238" s="312"/>
      <c r="AO1238" s="312"/>
    </row>
    <row r="1239" spans="1:41" s="73" customFormat="1" ht="15" customHeight="1" x14ac:dyDescent="0.25">
      <c r="A1239" s="402"/>
      <c r="B1239" s="405"/>
      <c r="C1239" s="162" t="s">
        <v>619</v>
      </c>
      <c r="D1239" s="116"/>
      <c r="E1239" s="79" t="s">
        <v>933</v>
      </c>
      <c r="F1239" s="312"/>
      <c r="G1239" s="312"/>
      <c r="H1239" s="312"/>
      <c r="I1239" s="312"/>
      <c r="J1239" s="312"/>
      <c r="K1239" s="312"/>
      <c r="L1239" s="312"/>
      <c r="M1239" s="312"/>
      <c r="N1239" s="312"/>
      <c r="O1239" s="312"/>
      <c r="P1239" s="312"/>
      <c r="Q1239" s="312"/>
      <c r="R1239" s="312"/>
      <c r="S1239" s="312"/>
      <c r="T1239" s="312"/>
      <c r="U1239" s="312"/>
      <c r="V1239" s="312"/>
      <c r="W1239" s="312"/>
      <c r="X1239" s="312"/>
      <c r="Y1239" s="312"/>
      <c r="Z1239" s="312"/>
      <c r="AA1239" s="312"/>
      <c r="AB1239" s="312"/>
      <c r="AC1239" s="312"/>
      <c r="AD1239" s="312"/>
      <c r="AE1239" s="312"/>
      <c r="AF1239" s="312"/>
      <c r="AG1239" s="312"/>
      <c r="AH1239" s="312"/>
      <c r="AI1239" s="312"/>
      <c r="AJ1239" s="312"/>
      <c r="AK1239" s="312"/>
      <c r="AL1239" s="312"/>
      <c r="AM1239" s="312"/>
      <c r="AN1239" s="312"/>
      <c r="AO1239" s="312"/>
    </row>
    <row r="1240" spans="1:41" s="108" customFormat="1" ht="15" customHeight="1" x14ac:dyDescent="0.25">
      <c r="A1240" s="402"/>
      <c r="B1240" s="405"/>
      <c r="C1240" s="104" t="s">
        <v>756</v>
      </c>
      <c r="D1240" s="151"/>
      <c r="E1240" s="89" t="s">
        <v>934</v>
      </c>
      <c r="F1240" s="311"/>
      <c r="G1240" s="311"/>
      <c r="H1240" s="311"/>
      <c r="I1240" s="311"/>
      <c r="J1240" s="311"/>
      <c r="K1240" s="311"/>
      <c r="L1240" s="311"/>
      <c r="M1240" s="311"/>
      <c r="N1240" s="311"/>
      <c r="O1240" s="311"/>
      <c r="P1240" s="311"/>
      <c r="Q1240" s="311"/>
      <c r="R1240" s="311"/>
      <c r="S1240" s="311"/>
      <c r="T1240" s="311"/>
      <c r="U1240" s="311"/>
      <c r="V1240" s="311"/>
      <c r="W1240" s="311"/>
      <c r="X1240" s="311"/>
      <c r="Y1240" s="311"/>
      <c r="Z1240" s="311"/>
      <c r="AA1240" s="311"/>
      <c r="AB1240" s="311"/>
      <c r="AC1240" s="311"/>
      <c r="AD1240" s="311"/>
      <c r="AE1240" s="311"/>
      <c r="AF1240" s="311"/>
      <c r="AG1240" s="311"/>
      <c r="AH1240" s="311"/>
      <c r="AI1240" s="311"/>
      <c r="AJ1240" s="311"/>
      <c r="AK1240" s="311"/>
      <c r="AL1240" s="311"/>
      <c r="AM1240" s="311"/>
      <c r="AN1240" s="311"/>
      <c r="AO1240" s="311"/>
    </row>
    <row r="1241" spans="1:41" s="73" customFormat="1" ht="15" customHeight="1" x14ac:dyDescent="0.25">
      <c r="A1241" s="402"/>
      <c r="B1241" s="405"/>
      <c r="C1241" s="162" t="s">
        <v>620</v>
      </c>
      <c r="D1241" s="116"/>
      <c r="E1241" s="79" t="s">
        <v>935</v>
      </c>
      <c r="F1241" s="312"/>
      <c r="G1241" s="312"/>
      <c r="H1241" s="312"/>
      <c r="I1241" s="312"/>
      <c r="J1241" s="312"/>
      <c r="K1241" s="312"/>
      <c r="L1241" s="312"/>
      <c r="M1241" s="312"/>
      <c r="N1241" s="312"/>
      <c r="O1241" s="312"/>
      <c r="P1241" s="312"/>
      <c r="Q1241" s="312"/>
      <c r="R1241" s="312"/>
      <c r="S1241" s="312"/>
      <c r="T1241" s="312"/>
      <c r="U1241" s="312"/>
      <c r="V1241" s="312"/>
      <c r="W1241" s="312"/>
      <c r="X1241" s="312"/>
      <c r="Y1241" s="312"/>
      <c r="Z1241" s="312"/>
      <c r="AA1241" s="312"/>
      <c r="AB1241" s="312"/>
      <c r="AC1241" s="312"/>
      <c r="AD1241" s="312"/>
      <c r="AE1241" s="312"/>
      <c r="AF1241" s="312"/>
      <c r="AG1241" s="312"/>
      <c r="AH1241" s="312"/>
      <c r="AI1241" s="312"/>
      <c r="AJ1241" s="312"/>
      <c r="AK1241" s="312"/>
      <c r="AL1241" s="312"/>
      <c r="AM1241" s="312"/>
      <c r="AN1241" s="312"/>
      <c r="AO1241" s="312"/>
    </row>
    <row r="1242" spans="1:41" s="73" customFormat="1" ht="15" customHeight="1" x14ac:dyDescent="0.25">
      <c r="A1242" s="402"/>
      <c r="B1242" s="405"/>
      <c r="C1242" s="162" t="s">
        <v>621</v>
      </c>
      <c r="D1242" s="116"/>
      <c r="E1242" s="79" t="s">
        <v>936</v>
      </c>
      <c r="F1242" s="312"/>
      <c r="G1242" s="312"/>
      <c r="H1242" s="312"/>
      <c r="I1242" s="312"/>
      <c r="J1242" s="312"/>
      <c r="K1242" s="312"/>
      <c r="L1242" s="312"/>
      <c r="M1242" s="312"/>
      <c r="N1242" s="312"/>
      <c r="O1242" s="312"/>
      <c r="P1242" s="312"/>
      <c r="Q1242" s="312"/>
      <c r="R1242" s="312"/>
      <c r="S1242" s="312"/>
      <c r="T1242" s="312"/>
      <c r="U1242" s="312"/>
      <c r="V1242" s="312"/>
      <c r="W1242" s="312"/>
      <c r="X1242" s="312"/>
      <c r="Y1242" s="312"/>
      <c r="Z1242" s="312"/>
      <c r="AA1242" s="312"/>
      <c r="AB1242" s="312"/>
      <c r="AC1242" s="312"/>
      <c r="AD1242" s="312"/>
      <c r="AE1242" s="312"/>
      <c r="AF1242" s="312"/>
      <c r="AG1242" s="312"/>
      <c r="AH1242" s="312"/>
      <c r="AI1242" s="312"/>
      <c r="AJ1242" s="312"/>
      <c r="AK1242" s="312"/>
      <c r="AL1242" s="312"/>
      <c r="AM1242" s="312"/>
      <c r="AN1242" s="312"/>
      <c r="AO1242" s="312"/>
    </row>
    <row r="1243" spans="1:41" s="108" customFormat="1" ht="15" customHeight="1" x14ac:dyDescent="0.25">
      <c r="A1243" s="402"/>
      <c r="B1243" s="405"/>
      <c r="C1243" s="104" t="s">
        <v>757</v>
      </c>
      <c r="D1243" s="151"/>
      <c r="E1243" s="89" t="s">
        <v>937</v>
      </c>
      <c r="F1243" s="311"/>
      <c r="G1243" s="311"/>
      <c r="H1243" s="311"/>
      <c r="I1243" s="311"/>
      <c r="J1243" s="311"/>
      <c r="K1243" s="311"/>
      <c r="L1243" s="311"/>
      <c r="M1243" s="311"/>
      <c r="N1243" s="311"/>
      <c r="O1243" s="311"/>
      <c r="P1243" s="311"/>
      <c r="Q1243" s="311"/>
      <c r="R1243" s="311"/>
      <c r="S1243" s="311"/>
      <c r="T1243" s="311"/>
      <c r="U1243" s="311"/>
      <c r="V1243" s="311"/>
      <c r="W1243" s="311"/>
      <c r="X1243" s="311"/>
      <c r="Y1243" s="311"/>
      <c r="Z1243" s="311"/>
      <c r="AA1243" s="311"/>
      <c r="AB1243" s="311"/>
      <c r="AC1243" s="311"/>
      <c r="AD1243" s="311"/>
      <c r="AE1243" s="311"/>
      <c r="AF1243" s="311"/>
      <c r="AG1243" s="311"/>
      <c r="AH1243" s="311"/>
      <c r="AI1243" s="311"/>
      <c r="AJ1243" s="311"/>
      <c r="AK1243" s="311"/>
      <c r="AL1243" s="311"/>
      <c r="AM1243" s="311"/>
      <c r="AN1243" s="311"/>
      <c r="AO1243" s="311"/>
    </row>
    <row r="1244" spans="1:41" s="73" customFormat="1" ht="15" customHeight="1" x14ac:dyDescent="0.25">
      <c r="A1244" s="402"/>
      <c r="B1244" s="405"/>
      <c r="C1244" s="162" t="s">
        <v>466</v>
      </c>
      <c r="D1244" s="116"/>
      <c r="E1244" s="79" t="s">
        <v>938</v>
      </c>
      <c r="F1244" s="312"/>
      <c r="G1244" s="312"/>
      <c r="H1244" s="312"/>
      <c r="I1244" s="312"/>
      <c r="J1244" s="312"/>
      <c r="K1244" s="312"/>
      <c r="L1244" s="312"/>
      <c r="M1244" s="312"/>
      <c r="N1244" s="312"/>
      <c r="O1244" s="312"/>
      <c r="P1244" s="312"/>
      <c r="Q1244" s="312"/>
      <c r="R1244" s="312"/>
      <c r="S1244" s="312"/>
      <c r="T1244" s="312"/>
      <c r="U1244" s="312"/>
      <c r="V1244" s="312"/>
      <c r="W1244" s="312"/>
      <c r="X1244" s="312"/>
      <c r="Y1244" s="312"/>
      <c r="Z1244" s="312"/>
      <c r="AA1244" s="312"/>
      <c r="AB1244" s="312"/>
      <c r="AC1244" s="312"/>
      <c r="AD1244" s="312"/>
      <c r="AE1244" s="312"/>
      <c r="AF1244" s="312"/>
      <c r="AG1244" s="312"/>
      <c r="AH1244" s="312"/>
      <c r="AI1244" s="312"/>
      <c r="AJ1244" s="312"/>
      <c r="AK1244" s="312"/>
      <c r="AL1244" s="312"/>
      <c r="AM1244" s="312"/>
      <c r="AN1244" s="312"/>
      <c r="AO1244" s="312"/>
    </row>
    <row r="1245" spans="1:41" s="73" customFormat="1" ht="15" customHeight="1" x14ac:dyDescent="0.25">
      <c r="A1245" s="402"/>
      <c r="B1245" s="405"/>
      <c r="C1245" s="162" t="s">
        <v>467</v>
      </c>
      <c r="D1245" s="116"/>
      <c r="E1245" s="79" t="s">
        <v>939</v>
      </c>
      <c r="F1245" s="312"/>
      <c r="G1245" s="312"/>
      <c r="H1245" s="312"/>
      <c r="I1245" s="312"/>
      <c r="J1245" s="312"/>
      <c r="K1245" s="312"/>
      <c r="L1245" s="312"/>
      <c r="M1245" s="312"/>
      <c r="N1245" s="312"/>
      <c r="O1245" s="312"/>
      <c r="P1245" s="312"/>
      <c r="Q1245" s="312"/>
      <c r="R1245" s="312"/>
      <c r="S1245" s="312"/>
      <c r="T1245" s="312"/>
      <c r="U1245" s="312"/>
      <c r="V1245" s="312"/>
      <c r="W1245" s="312"/>
      <c r="X1245" s="312"/>
      <c r="Y1245" s="312"/>
      <c r="Z1245" s="312"/>
      <c r="AA1245" s="312"/>
      <c r="AB1245" s="312"/>
      <c r="AC1245" s="312"/>
      <c r="AD1245" s="312"/>
      <c r="AE1245" s="312"/>
      <c r="AF1245" s="312"/>
      <c r="AG1245" s="312"/>
      <c r="AH1245" s="312"/>
      <c r="AI1245" s="312"/>
      <c r="AJ1245" s="312"/>
      <c r="AK1245" s="312"/>
      <c r="AL1245" s="312"/>
      <c r="AM1245" s="312"/>
      <c r="AN1245" s="312"/>
      <c r="AO1245" s="312"/>
    </row>
    <row r="1246" spans="1:41" s="73" customFormat="1" ht="15" customHeight="1" x14ac:dyDescent="0.25">
      <c r="A1246" s="402"/>
      <c r="B1246" s="405"/>
      <c r="C1246" s="162" t="s">
        <v>470</v>
      </c>
      <c r="D1246" s="116"/>
      <c r="E1246" s="79" t="s">
        <v>940</v>
      </c>
      <c r="F1246" s="312"/>
      <c r="G1246" s="312"/>
      <c r="H1246" s="312"/>
      <c r="I1246" s="312"/>
      <c r="J1246" s="312"/>
      <c r="K1246" s="312"/>
      <c r="L1246" s="312"/>
      <c r="M1246" s="312"/>
      <c r="N1246" s="312"/>
      <c r="O1246" s="312"/>
      <c r="P1246" s="312"/>
      <c r="Q1246" s="312"/>
      <c r="R1246" s="312"/>
      <c r="S1246" s="312"/>
      <c r="T1246" s="312"/>
      <c r="U1246" s="312"/>
      <c r="V1246" s="312"/>
      <c r="W1246" s="312"/>
      <c r="X1246" s="312"/>
      <c r="Y1246" s="312"/>
      <c r="Z1246" s="312"/>
      <c r="AA1246" s="312"/>
      <c r="AB1246" s="312"/>
      <c r="AC1246" s="312"/>
      <c r="AD1246" s="312"/>
      <c r="AE1246" s="312"/>
      <c r="AF1246" s="312"/>
      <c r="AG1246" s="312"/>
      <c r="AH1246" s="312"/>
      <c r="AI1246" s="312"/>
      <c r="AJ1246" s="312"/>
      <c r="AK1246" s="312"/>
      <c r="AL1246" s="312"/>
      <c r="AM1246" s="312"/>
      <c r="AN1246" s="312"/>
      <c r="AO1246" s="312"/>
    </row>
    <row r="1247" spans="1:41" s="73" customFormat="1" ht="15" customHeight="1" x14ac:dyDescent="0.25">
      <c r="A1247" s="402"/>
      <c r="B1247" s="405"/>
      <c r="C1247" s="162" t="s">
        <v>471</v>
      </c>
      <c r="D1247" s="116"/>
      <c r="E1247" s="79" t="s">
        <v>941</v>
      </c>
      <c r="F1247" s="312"/>
      <c r="G1247" s="312"/>
      <c r="H1247" s="312"/>
      <c r="I1247" s="312"/>
      <c r="J1247" s="312"/>
      <c r="K1247" s="312"/>
      <c r="L1247" s="312"/>
      <c r="M1247" s="312"/>
      <c r="N1247" s="312"/>
      <c r="O1247" s="312"/>
      <c r="P1247" s="312"/>
      <c r="Q1247" s="312"/>
      <c r="R1247" s="312"/>
      <c r="S1247" s="312"/>
      <c r="T1247" s="312"/>
      <c r="U1247" s="312"/>
      <c r="V1247" s="312"/>
      <c r="W1247" s="312"/>
      <c r="X1247" s="312"/>
      <c r="Y1247" s="312"/>
      <c r="Z1247" s="312"/>
      <c r="AA1247" s="312"/>
      <c r="AB1247" s="312"/>
      <c r="AC1247" s="312"/>
      <c r="AD1247" s="312"/>
      <c r="AE1247" s="312"/>
      <c r="AF1247" s="312"/>
      <c r="AG1247" s="312"/>
      <c r="AH1247" s="312"/>
      <c r="AI1247" s="312"/>
      <c r="AJ1247" s="312"/>
      <c r="AK1247" s="312"/>
      <c r="AL1247" s="312"/>
      <c r="AM1247" s="312"/>
      <c r="AN1247" s="312"/>
      <c r="AO1247" s="312"/>
    </row>
    <row r="1248" spans="1:41" s="108" customFormat="1" ht="15" customHeight="1" x14ac:dyDescent="0.25">
      <c r="A1248" s="402"/>
      <c r="B1248" s="405"/>
      <c r="C1248" s="104" t="s">
        <v>543</v>
      </c>
      <c r="D1248" s="151"/>
      <c r="E1248" s="89" t="s">
        <v>942</v>
      </c>
      <c r="F1248" s="311"/>
      <c r="G1248" s="311"/>
      <c r="H1248" s="311"/>
      <c r="I1248" s="311"/>
      <c r="J1248" s="311"/>
      <c r="K1248" s="311"/>
      <c r="L1248" s="311"/>
      <c r="M1248" s="311"/>
      <c r="N1248" s="311"/>
      <c r="O1248" s="311"/>
      <c r="P1248" s="311"/>
      <c r="Q1248" s="311"/>
      <c r="R1248" s="311"/>
      <c r="S1248" s="311"/>
      <c r="T1248" s="311"/>
      <c r="U1248" s="311"/>
      <c r="V1248" s="311"/>
      <c r="W1248" s="311"/>
      <c r="X1248" s="311"/>
      <c r="Y1248" s="311"/>
      <c r="Z1248" s="311"/>
      <c r="AA1248" s="311"/>
      <c r="AB1248" s="311"/>
      <c r="AC1248" s="311"/>
      <c r="AD1248" s="311"/>
      <c r="AE1248" s="311"/>
      <c r="AF1248" s="311"/>
      <c r="AG1248" s="311"/>
      <c r="AH1248" s="311"/>
      <c r="AI1248" s="311"/>
      <c r="AJ1248" s="311"/>
      <c r="AK1248" s="311"/>
      <c r="AL1248" s="311"/>
      <c r="AM1248" s="311"/>
      <c r="AN1248" s="311"/>
      <c r="AO1248" s="311"/>
    </row>
    <row r="1249" spans="1:41" s="73" customFormat="1" ht="15" customHeight="1" x14ac:dyDescent="0.25">
      <c r="A1249" s="402"/>
      <c r="B1249" s="405"/>
      <c r="C1249" s="162" t="s">
        <v>474</v>
      </c>
      <c r="D1249" s="116"/>
      <c r="E1249" s="79" t="s">
        <v>943</v>
      </c>
      <c r="F1249" s="312"/>
      <c r="G1249" s="312"/>
      <c r="H1249" s="312"/>
      <c r="I1249" s="312"/>
      <c r="J1249" s="312"/>
      <c r="K1249" s="312"/>
      <c r="L1249" s="312"/>
      <c r="M1249" s="312"/>
      <c r="N1249" s="312"/>
      <c r="O1249" s="312"/>
      <c r="P1249" s="312"/>
      <c r="Q1249" s="312"/>
      <c r="R1249" s="312"/>
      <c r="S1249" s="312"/>
      <c r="T1249" s="312"/>
      <c r="U1249" s="312"/>
      <c r="V1249" s="312"/>
      <c r="W1249" s="312"/>
      <c r="X1249" s="312"/>
      <c r="Y1249" s="312"/>
      <c r="Z1249" s="312"/>
      <c r="AA1249" s="312"/>
      <c r="AB1249" s="312"/>
      <c r="AC1249" s="312"/>
      <c r="AD1249" s="312"/>
      <c r="AE1249" s="312"/>
      <c r="AF1249" s="312"/>
      <c r="AG1249" s="312"/>
      <c r="AH1249" s="312"/>
      <c r="AI1249" s="312"/>
      <c r="AJ1249" s="312"/>
      <c r="AK1249" s="312"/>
      <c r="AL1249" s="312"/>
      <c r="AM1249" s="312"/>
      <c r="AN1249" s="312"/>
      <c r="AO1249" s="312"/>
    </row>
    <row r="1250" spans="1:41" s="73" customFormat="1" ht="15" customHeight="1" x14ac:dyDescent="0.25">
      <c r="A1250" s="402"/>
      <c r="B1250" s="405"/>
      <c r="C1250" s="162" t="s">
        <v>475</v>
      </c>
      <c r="D1250" s="116"/>
      <c r="E1250" s="79" t="s">
        <v>944</v>
      </c>
      <c r="F1250" s="312"/>
      <c r="G1250" s="312"/>
      <c r="H1250" s="312"/>
      <c r="I1250" s="312"/>
      <c r="J1250" s="312"/>
      <c r="K1250" s="312"/>
      <c r="L1250" s="312"/>
      <c r="M1250" s="312"/>
      <c r="N1250" s="312"/>
      <c r="O1250" s="312"/>
      <c r="P1250" s="312"/>
      <c r="Q1250" s="312"/>
      <c r="R1250" s="312"/>
      <c r="S1250" s="312"/>
      <c r="T1250" s="312"/>
      <c r="U1250" s="312"/>
      <c r="V1250" s="312"/>
      <c r="W1250" s="312"/>
      <c r="X1250" s="312"/>
      <c r="Y1250" s="312"/>
      <c r="Z1250" s="312"/>
      <c r="AA1250" s="312"/>
      <c r="AB1250" s="312"/>
      <c r="AC1250" s="312"/>
      <c r="AD1250" s="312"/>
      <c r="AE1250" s="312"/>
      <c r="AF1250" s="312"/>
      <c r="AG1250" s="312"/>
      <c r="AH1250" s="312"/>
      <c r="AI1250" s="312"/>
      <c r="AJ1250" s="312"/>
      <c r="AK1250" s="312"/>
      <c r="AL1250" s="312"/>
      <c r="AM1250" s="312"/>
      <c r="AN1250" s="312"/>
      <c r="AO1250" s="312"/>
    </row>
    <row r="1251" spans="1:41" s="73" customFormat="1" ht="15" customHeight="1" x14ac:dyDescent="0.25">
      <c r="A1251" s="402"/>
      <c r="B1251" s="405"/>
      <c r="C1251" s="162" t="s">
        <v>476</v>
      </c>
      <c r="D1251" s="116"/>
      <c r="E1251" s="79" t="s">
        <v>945</v>
      </c>
      <c r="F1251" s="312"/>
      <c r="G1251" s="312"/>
      <c r="H1251" s="312"/>
      <c r="I1251" s="312"/>
      <c r="J1251" s="312"/>
      <c r="K1251" s="312"/>
      <c r="L1251" s="312"/>
      <c r="M1251" s="312"/>
      <c r="N1251" s="312"/>
      <c r="O1251" s="312"/>
      <c r="P1251" s="312"/>
      <c r="Q1251" s="312"/>
      <c r="R1251" s="312"/>
      <c r="S1251" s="312"/>
      <c r="T1251" s="312"/>
      <c r="U1251" s="312"/>
      <c r="V1251" s="312"/>
      <c r="W1251" s="312"/>
      <c r="X1251" s="312"/>
      <c r="Y1251" s="312"/>
      <c r="Z1251" s="312"/>
      <c r="AA1251" s="312"/>
      <c r="AB1251" s="312"/>
      <c r="AC1251" s="312"/>
      <c r="AD1251" s="312"/>
      <c r="AE1251" s="312"/>
      <c r="AF1251" s="312"/>
      <c r="AG1251" s="312"/>
      <c r="AH1251" s="312"/>
      <c r="AI1251" s="312"/>
      <c r="AJ1251" s="312"/>
      <c r="AK1251" s="312"/>
      <c r="AL1251" s="312"/>
      <c r="AM1251" s="312"/>
      <c r="AN1251" s="312"/>
      <c r="AO1251" s="312"/>
    </row>
    <row r="1252" spans="1:41" s="73" customFormat="1" ht="15" customHeight="1" x14ac:dyDescent="0.25">
      <c r="A1252" s="402"/>
      <c r="B1252" s="405"/>
      <c r="C1252" s="162" t="s">
        <v>477</v>
      </c>
      <c r="D1252" s="116"/>
      <c r="E1252" s="79" t="s">
        <v>946</v>
      </c>
      <c r="F1252" s="312"/>
      <c r="G1252" s="312"/>
      <c r="H1252" s="312"/>
      <c r="I1252" s="312"/>
      <c r="J1252" s="312"/>
      <c r="K1252" s="312"/>
      <c r="L1252" s="312"/>
      <c r="M1252" s="312"/>
      <c r="N1252" s="312"/>
      <c r="O1252" s="312"/>
      <c r="P1252" s="312"/>
      <c r="Q1252" s="312"/>
      <c r="R1252" s="312"/>
      <c r="S1252" s="312"/>
      <c r="T1252" s="312"/>
      <c r="U1252" s="312"/>
      <c r="V1252" s="312"/>
      <c r="W1252" s="312"/>
      <c r="X1252" s="312"/>
      <c r="Y1252" s="312"/>
      <c r="Z1252" s="312"/>
      <c r="AA1252" s="312"/>
      <c r="AB1252" s="312"/>
      <c r="AC1252" s="312"/>
      <c r="AD1252" s="312"/>
      <c r="AE1252" s="312"/>
      <c r="AF1252" s="312"/>
      <c r="AG1252" s="312"/>
      <c r="AH1252" s="312"/>
      <c r="AI1252" s="312"/>
      <c r="AJ1252" s="312"/>
      <c r="AK1252" s="312"/>
      <c r="AL1252" s="312"/>
      <c r="AM1252" s="312"/>
      <c r="AN1252" s="312"/>
      <c r="AO1252" s="312"/>
    </row>
    <row r="1253" spans="1:41" s="73" customFormat="1" ht="15" customHeight="1" x14ac:dyDescent="0.25">
      <c r="A1253" s="402"/>
      <c r="B1253" s="405"/>
      <c r="C1253" s="162" t="s">
        <v>478</v>
      </c>
      <c r="D1253" s="116"/>
      <c r="E1253" s="79" t="s">
        <v>947</v>
      </c>
      <c r="F1253" s="312"/>
      <c r="G1253" s="312"/>
      <c r="H1253" s="312"/>
      <c r="I1253" s="312"/>
      <c r="J1253" s="312"/>
      <c r="K1253" s="312"/>
      <c r="L1253" s="312"/>
      <c r="M1253" s="312"/>
      <c r="N1253" s="312"/>
      <c r="O1253" s="312"/>
      <c r="P1253" s="312"/>
      <c r="Q1253" s="312"/>
      <c r="R1253" s="312"/>
      <c r="S1253" s="312"/>
      <c r="T1253" s="312"/>
      <c r="U1253" s="312"/>
      <c r="V1253" s="312"/>
      <c r="W1253" s="312"/>
      <c r="X1253" s="312"/>
      <c r="Y1253" s="312"/>
      <c r="Z1253" s="312"/>
      <c r="AA1253" s="312"/>
      <c r="AB1253" s="312"/>
      <c r="AC1253" s="312"/>
      <c r="AD1253" s="312"/>
      <c r="AE1253" s="312"/>
      <c r="AF1253" s="312"/>
      <c r="AG1253" s="312"/>
      <c r="AH1253" s="312"/>
      <c r="AI1253" s="312"/>
      <c r="AJ1253" s="312"/>
      <c r="AK1253" s="312"/>
      <c r="AL1253" s="312"/>
      <c r="AM1253" s="312"/>
      <c r="AN1253" s="312"/>
      <c r="AO1253" s="312"/>
    </row>
    <row r="1254" spans="1:41" s="73" customFormat="1" ht="15" customHeight="1" x14ac:dyDescent="0.25">
      <c r="A1254" s="402"/>
      <c r="B1254" s="405"/>
      <c r="C1254" s="162" t="s">
        <v>479</v>
      </c>
      <c r="D1254" s="116"/>
      <c r="E1254" s="79" t="s">
        <v>948</v>
      </c>
      <c r="F1254" s="312"/>
      <c r="G1254" s="312"/>
      <c r="H1254" s="312"/>
      <c r="I1254" s="312"/>
      <c r="J1254" s="312"/>
      <c r="K1254" s="312"/>
      <c r="L1254" s="312"/>
      <c r="M1254" s="312"/>
      <c r="N1254" s="312"/>
      <c r="O1254" s="312"/>
      <c r="P1254" s="312"/>
      <c r="Q1254" s="312"/>
      <c r="R1254" s="312"/>
      <c r="S1254" s="312"/>
      <c r="T1254" s="312"/>
      <c r="U1254" s="312"/>
      <c r="V1254" s="312"/>
      <c r="W1254" s="312"/>
      <c r="X1254" s="312"/>
      <c r="Y1254" s="312"/>
      <c r="Z1254" s="312"/>
      <c r="AA1254" s="312"/>
      <c r="AB1254" s="312"/>
      <c r="AC1254" s="312"/>
      <c r="AD1254" s="312"/>
      <c r="AE1254" s="312"/>
      <c r="AF1254" s="312"/>
      <c r="AG1254" s="312"/>
      <c r="AH1254" s="312"/>
      <c r="AI1254" s="312"/>
      <c r="AJ1254" s="312"/>
      <c r="AK1254" s="312"/>
      <c r="AL1254" s="312"/>
      <c r="AM1254" s="312"/>
      <c r="AN1254" s="312"/>
      <c r="AO1254" s="312"/>
    </row>
    <row r="1255" spans="1:41" s="73" customFormat="1" ht="15" customHeight="1" x14ac:dyDescent="0.25">
      <c r="A1255" s="402"/>
      <c r="B1255" s="405"/>
      <c r="C1255" s="162" t="s">
        <v>480</v>
      </c>
      <c r="D1255" s="116"/>
      <c r="E1255" s="79" t="s">
        <v>949</v>
      </c>
      <c r="F1255" s="312"/>
      <c r="G1255" s="312"/>
      <c r="H1255" s="312"/>
      <c r="I1255" s="312"/>
      <c r="J1255" s="312"/>
      <c r="K1255" s="312"/>
      <c r="L1255" s="312"/>
      <c r="M1255" s="312"/>
      <c r="N1255" s="312"/>
      <c r="O1255" s="312"/>
      <c r="P1255" s="312"/>
      <c r="Q1255" s="312"/>
      <c r="R1255" s="312"/>
      <c r="S1255" s="312"/>
      <c r="T1255" s="312"/>
      <c r="U1255" s="312"/>
      <c r="V1255" s="312"/>
      <c r="W1255" s="312"/>
      <c r="X1255" s="312"/>
      <c r="Y1255" s="312"/>
      <c r="Z1255" s="312"/>
      <c r="AA1255" s="312"/>
      <c r="AB1255" s="312"/>
      <c r="AC1255" s="312"/>
      <c r="AD1255" s="312"/>
      <c r="AE1255" s="312"/>
      <c r="AF1255" s="312"/>
      <c r="AG1255" s="312"/>
      <c r="AH1255" s="312"/>
      <c r="AI1255" s="312"/>
      <c r="AJ1255" s="312"/>
      <c r="AK1255" s="312"/>
      <c r="AL1255" s="312"/>
      <c r="AM1255" s="312"/>
      <c r="AN1255" s="312"/>
      <c r="AO1255" s="312"/>
    </row>
    <row r="1256" spans="1:41" s="73" customFormat="1" ht="15" customHeight="1" x14ac:dyDescent="0.25">
      <c r="A1256" s="402"/>
      <c r="B1256" s="405"/>
      <c r="C1256" s="162" t="s">
        <v>481</v>
      </c>
      <c r="D1256" s="116"/>
      <c r="E1256" s="79" t="s">
        <v>950</v>
      </c>
      <c r="F1256" s="312"/>
      <c r="G1256" s="312"/>
      <c r="H1256" s="312"/>
      <c r="I1256" s="312"/>
      <c r="J1256" s="312"/>
      <c r="K1256" s="312"/>
      <c r="L1256" s="312"/>
      <c r="M1256" s="312"/>
      <c r="N1256" s="312"/>
      <c r="O1256" s="312"/>
      <c r="P1256" s="312"/>
      <c r="Q1256" s="312"/>
      <c r="R1256" s="312"/>
      <c r="S1256" s="312"/>
      <c r="T1256" s="312"/>
      <c r="U1256" s="312"/>
      <c r="V1256" s="312"/>
      <c r="W1256" s="312"/>
      <c r="X1256" s="312"/>
      <c r="Y1256" s="312"/>
      <c r="Z1256" s="312"/>
      <c r="AA1256" s="312"/>
      <c r="AB1256" s="312"/>
      <c r="AC1256" s="312"/>
      <c r="AD1256" s="312"/>
      <c r="AE1256" s="312"/>
      <c r="AF1256" s="312"/>
      <c r="AG1256" s="312"/>
      <c r="AH1256" s="312"/>
      <c r="AI1256" s="312"/>
      <c r="AJ1256" s="312"/>
      <c r="AK1256" s="312"/>
      <c r="AL1256" s="312"/>
      <c r="AM1256" s="312"/>
      <c r="AN1256" s="312"/>
      <c r="AO1256" s="312"/>
    </row>
    <row r="1257" spans="1:41" s="73" customFormat="1" ht="15" customHeight="1" x14ac:dyDescent="0.25">
      <c r="A1257" s="402"/>
      <c r="B1257" s="405"/>
      <c r="C1257" s="163" t="s">
        <v>482</v>
      </c>
      <c r="D1257" s="117"/>
      <c r="E1257" s="52" t="s">
        <v>951</v>
      </c>
      <c r="F1257" s="313"/>
      <c r="G1257" s="313"/>
      <c r="H1257" s="313"/>
      <c r="I1257" s="313"/>
      <c r="J1257" s="313"/>
      <c r="K1257" s="313"/>
      <c r="L1257" s="313"/>
      <c r="M1257" s="313"/>
      <c r="N1257" s="313"/>
      <c r="O1257" s="313"/>
      <c r="P1257" s="313"/>
      <c r="Q1257" s="313"/>
      <c r="R1257" s="313"/>
      <c r="S1257" s="313"/>
      <c r="T1257" s="313"/>
      <c r="U1257" s="313"/>
      <c r="V1257" s="313"/>
      <c r="W1257" s="313"/>
      <c r="X1257" s="313"/>
      <c r="Y1257" s="313"/>
      <c r="Z1257" s="313"/>
      <c r="AA1257" s="313"/>
      <c r="AB1257" s="313"/>
      <c r="AC1257" s="313"/>
      <c r="AD1257" s="313"/>
      <c r="AE1257" s="313"/>
      <c r="AF1257" s="313"/>
      <c r="AG1257" s="313"/>
      <c r="AH1257" s="313"/>
      <c r="AI1257" s="313"/>
      <c r="AJ1257" s="313"/>
      <c r="AK1257" s="313"/>
      <c r="AL1257" s="313"/>
      <c r="AM1257" s="313"/>
      <c r="AN1257" s="313"/>
      <c r="AO1257" s="313"/>
    </row>
    <row r="1258" spans="1:41" s="108" customFormat="1" ht="15" customHeight="1" x14ac:dyDescent="0.25">
      <c r="A1258" s="402"/>
      <c r="B1258" s="405"/>
      <c r="C1258" s="104" t="s">
        <v>796</v>
      </c>
      <c r="D1258" s="151"/>
      <c r="E1258" s="89" t="s">
        <v>913</v>
      </c>
      <c r="F1258" s="311"/>
      <c r="G1258" s="311"/>
      <c r="H1258" s="311"/>
      <c r="I1258" s="311"/>
      <c r="J1258" s="311"/>
      <c r="K1258" s="311"/>
      <c r="L1258" s="311"/>
      <c r="M1258" s="311"/>
      <c r="N1258" s="311"/>
      <c r="O1258" s="311"/>
      <c r="P1258" s="311"/>
      <c r="Q1258" s="311"/>
      <c r="R1258" s="311"/>
      <c r="S1258" s="311"/>
      <c r="T1258" s="311"/>
      <c r="U1258" s="311"/>
      <c r="V1258" s="311"/>
      <c r="W1258" s="311"/>
      <c r="X1258" s="311"/>
      <c r="Y1258" s="311"/>
      <c r="Z1258" s="311"/>
      <c r="AA1258" s="311"/>
      <c r="AB1258" s="311"/>
      <c r="AC1258" s="311"/>
      <c r="AD1258" s="311"/>
      <c r="AE1258" s="311"/>
      <c r="AF1258" s="311"/>
      <c r="AG1258" s="311"/>
      <c r="AH1258" s="311"/>
      <c r="AI1258" s="311"/>
      <c r="AJ1258" s="311"/>
      <c r="AK1258" s="311"/>
      <c r="AL1258" s="311"/>
      <c r="AM1258" s="311"/>
      <c r="AN1258" s="311"/>
      <c r="AO1258" s="311"/>
    </row>
    <row r="1259" spans="1:41" s="108" customFormat="1" ht="15" customHeight="1" x14ac:dyDescent="0.25">
      <c r="A1259" s="402"/>
      <c r="B1259" s="405"/>
      <c r="C1259" s="104" t="s">
        <v>797</v>
      </c>
      <c r="D1259" s="151"/>
      <c r="E1259" s="89" t="s">
        <v>914</v>
      </c>
      <c r="F1259" s="311"/>
      <c r="G1259" s="311"/>
      <c r="H1259" s="311"/>
      <c r="I1259" s="311"/>
      <c r="J1259" s="311"/>
      <c r="K1259" s="311"/>
      <c r="L1259" s="311"/>
      <c r="M1259" s="311"/>
      <c r="N1259" s="311"/>
      <c r="O1259" s="311"/>
      <c r="P1259" s="311"/>
      <c r="Q1259" s="311"/>
      <c r="R1259" s="311"/>
      <c r="S1259" s="311"/>
      <c r="T1259" s="311"/>
      <c r="U1259" s="311"/>
      <c r="V1259" s="311"/>
      <c r="W1259" s="311"/>
      <c r="X1259" s="311"/>
      <c r="Y1259" s="311"/>
      <c r="Z1259" s="311"/>
      <c r="AA1259" s="311"/>
      <c r="AB1259" s="311"/>
      <c r="AC1259" s="311"/>
      <c r="AD1259" s="311"/>
      <c r="AE1259" s="311"/>
      <c r="AF1259" s="311"/>
      <c r="AG1259" s="311"/>
      <c r="AH1259" s="311"/>
      <c r="AI1259" s="311"/>
      <c r="AJ1259" s="311"/>
      <c r="AK1259" s="311"/>
      <c r="AL1259" s="311"/>
      <c r="AM1259" s="311"/>
      <c r="AN1259" s="311"/>
      <c r="AO1259" s="311"/>
    </row>
    <row r="1260" spans="1:41" s="73" customFormat="1" ht="15" customHeight="1" x14ac:dyDescent="0.25">
      <c r="A1260" s="402"/>
      <c r="B1260" s="405"/>
      <c r="C1260" s="162" t="s">
        <v>738</v>
      </c>
      <c r="D1260" s="116"/>
      <c r="E1260" s="79" t="s">
        <v>915</v>
      </c>
      <c r="F1260" s="312"/>
      <c r="G1260" s="312"/>
      <c r="H1260" s="312"/>
      <c r="I1260" s="312"/>
      <c r="J1260" s="312"/>
      <c r="K1260" s="312"/>
      <c r="L1260" s="312"/>
      <c r="M1260" s="312"/>
      <c r="N1260" s="312"/>
      <c r="O1260" s="312"/>
      <c r="P1260" s="312"/>
      <c r="Q1260" s="312"/>
      <c r="R1260" s="312"/>
      <c r="S1260" s="312"/>
      <c r="T1260" s="312"/>
      <c r="U1260" s="312"/>
      <c r="V1260" s="312"/>
      <c r="W1260" s="312"/>
      <c r="X1260" s="312"/>
      <c r="Y1260" s="312"/>
      <c r="Z1260" s="312"/>
      <c r="AA1260" s="312"/>
      <c r="AB1260" s="312"/>
      <c r="AC1260" s="312"/>
      <c r="AD1260" s="312"/>
      <c r="AE1260" s="312"/>
      <c r="AF1260" s="312"/>
      <c r="AG1260" s="312"/>
      <c r="AH1260" s="312"/>
      <c r="AI1260" s="312"/>
      <c r="AJ1260" s="312"/>
      <c r="AK1260" s="312"/>
      <c r="AL1260" s="312"/>
      <c r="AM1260" s="312"/>
      <c r="AN1260" s="312"/>
      <c r="AO1260" s="312"/>
    </row>
    <row r="1261" spans="1:41" s="73" customFormat="1" ht="15" customHeight="1" x14ac:dyDescent="0.25">
      <c r="A1261" s="402"/>
      <c r="B1261" s="405"/>
      <c r="C1261" s="162" t="s">
        <v>739</v>
      </c>
      <c r="D1261" s="116"/>
      <c r="E1261" s="79" t="s">
        <v>916</v>
      </c>
      <c r="F1261" s="312"/>
      <c r="G1261" s="312"/>
      <c r="H1261" s="312"/>
      <c r="I1261" s="312"/>
      <c r="J1261" s="312"/>
      <c r="K1261" s="312"/>
      <c r="L1261" s="312"/>
      <c r="M1261" s="312"/>
      <c r="N1261" s="312"/>
      <c r="O1261" s="312"/>
      <c r="P1261" s="312"/>
      <c r="Q1261" s="312"/>
      <c r="R1261" s="312"/>
      <c r="S1261" s="312"/>
      <c r="T1261" s="312"/>
      <c r="U1261" s="312"/>
      <c r="V1261" s="312"/>
      <c r="W1261" s="312"/>
      <c r="X1261" s="312"/>
      <c r="Y1261" s="312"/>
      <c r="Z1261" s="312"/>
      <c r="AA1261" s="312"/>
      <c r="AB1261" s="312"/>
      <c r="AC1261" s="312"/>
      <c r="AD1261" s="312"/>
      <c r="AE1261" s="312"/>
      <c r="AF1261" s="312"/>
      <c r="AG1261" s="312"/>
      <c r="AH1261" s="312"/>
      <c r="AI1261" s="312"/>
      <c r="AJ1261" s="312"/>
      <c r="AK1261" s="312"/>
      <c r="AL1261" s="312"/>
      <c r="AM1261" s="312"/>
      <c r="AN1261" s="312"/>
      <c r="AO1261" s="312"/>
    </row>
    <row r="1262" spans="1:41" s="108" customFormat="1" ht="15" customHeight="1" x14ac:dyDescent="0.25">
      <c r="A1262" s="402"/>
      <c r="B1262" s="405"/>
      <c r="C1262" s="104" t="s">
        <v>798</v>
      </c>
      <c r="D1262" s="151"/>
      <c r="E1262" s="89" t="s">
        <v>952</v>
      </c>
      <c r="F1262" s="311"/>
      <c r="G1262" s="311"/>
      <c r="H1262" s="311"/>
      <c r="I1262" s="311"/>
      <c r="J1262" s="311"/>
      <c r="K1262" s="311"/>
      <c r="L1262" s="311"/>
      <c r="M1262" s="311"/>
      <c r="N1262" s="311"/>
      <c r="O1262" s="311"/>
      <c r="P1262" s="311"/>
      <c r="Q1262" s="311"/>
      <c r="R1262" s="311"/>
      <c r="S1262" s="311"/>
      <c r="T1262" s="311"/>
      <c r="U1262" s="311"/>
      <c r="V1262" s="311"/>
      <c r="W1262" s="311"/>
      <c r="X1262" s="311"/>
      <c r="Y1262" s="311"/>
      <c r="Z1262" s="311"/>
      <c r="AA1262" s="311"/>
      <c r="AB1262" s="311"/>
      <c r="AC1262" s="311"/>
      <c r="AD1262" s="311"/>
      <c r="AE1262" s="311"/>
      <c r="AF1262" s="311"/>
      <c r="AG1262" s="311"/>
      <c r="AH1262" s="311"/>
      <c r="AI1262" s="311"/>
      <c r="AJ1262" s="311"/>
      <c r="AK1262" s="311"/>
      <c r="AL1262" s="311"/>
      <c r="AM1262" s="311"/>
      <c r="AN1262" s="311"/>
      <c r="AO1262" s="311"/>
    </row>
    <row r="1263" spans="1:41" s="73" customFormat="1" ht="15" customHeight="1" x14ac:dyDescent="0.25">
      <c r="A1263" s="402"/>
      <c r="B1263" s="405"/>
      <c r="C1263" s="162" t="s">
        <v>740</v>
      </c>
      <c r="D1263" s="116"/>
      <c r="E1263" s="79" t="s">
        <v>953</v>
      </c>
      <c r="F1263" s="312"/>
      <c r="G1263" s="312"/>
      <c r="H1263" s="312"/>
      <c r="I1263" s="312"/>
      <c r="J1263" s="312"/>
      <c r="K1263" s="312"/>
      <c r="L1263" s="312"/>
      <c r="M1263" s="312"/>
      <c r="N1263" s="312"/>
      <c r="O1263" s="312"/>
      <c r="P1263" s="312"/>
      <c r="Q1263" s="312"/>
      <c r="R1263" s="312"/>
      <c r="S1263" s="312"/>
      <c r="T1263" s="312"/>
      <c r="U1263" s="312"/>
      <c r="V1263" s="312"/>
      <c r="W1263" s="312"/>
      <c r="X1263" s="312"/>
      <c r="Y1263" s="312"/>
      <c r="Z1263" s="312"/>
      <c r="AA1263" s="312"/>
      <c r="AB1263" s="312"/>
      <c r="AC1263" s="312"/>
      <c r="AD1263" s="312"/>
      <c r="AE1263" s="312"/>
      <c r="AF1263" s="312"/>
      <c r="AG1263" s="312"/>
      <c r="AH1263" s="312"/>
      <c r="AI1263" s="312"/>
      <c r="AJ1263" s="312"/>
      <c r="AK1263" s="312"/>
      <c r="AL1263" s="312"/>
      <c r="AM1263" s="312"/>
      <c r="AN1263" s="312"/>
      <c r="AO1263" s="312"/>
    </row>
    <row r="1264" spans="1:41" s="73" customFormat="1" ht="15" customHeight="1" x14ac:dyDescent="0.25">
      <c r="A1264" s="402"/>
      <c r="B1264" s="405"/>
      <c r="C1264" s="162" t="s">
        <v>741</v>
      </c>
      <c r="D1264" s="116"/>
      <c r="E1264" s="79" t="s">
        <v>954</v>
      </c>
      <c r="F1264" s="312"/>
      <c r="G1264" s="312"/>
      <c r="H1264" s="312"/>
      <c r="I1264" s="312"/>
      <c r="J1264" s="312"/>
      <c r="K1264" s="312"/>
      <c r="L1264" s="312"/>
      <c r="M1264" s="312"/>
      <c r="N1264" s="312"/>
      <c r="O1264" s="312"/>
      <c r="P1264" s="312"/>
      <c r="Q1264" s="312"/>
      <c r="R1264" s="312"/>
      <c r="S1264" s="312"/>
      <c r="T1264" s="312"/>
      <c r="U1264" s="312"/>
      <c r="V1264" s="312"/>
      <c r="W1264" s="312"/>
      <c r="X1264" s="312"/>
      <c r="Y1264" s="312"/>
      <c r="Z1264" s="312"/>
      <c r="AA1264" s="312"/>
      <c r="AB1264" s="312"/>
      <c r="AC1264" s="312"/>
      <c r="AD1264" s="312"/>
      <c r="AE1264" s="312"/>
      <c r="AF1264" s="312"/>
      <c r="AG1264" s="312"/>
      <c r="AH1264" s="312"/>
      <c r="AI1264" s="312"/>
      <c r="AJ1264" s="312"/>
      <c r="AK1264" s="312"/>
      <c r="AL1264" s="312"/>
      <c r="AM1264" s="312"/>
      <c r="AN1264" s="312"/>
      <c r="AO1264" s="312"/>
    </row>
    <row r="1265" spans="1:41" s="73" customFormat="1" ht="15" customHeight="1" x14ac:dyDescent="0.25">
      <c r="A1265" s="402"/>
      <c r="B1265" s="405"/>
      <c r="C1265" s="162" t="s">
        <v>742</v>
      </c>
      <c r="D1265" s="116"/>
      <c r="E1265" s="79" t="s">
        <v>955</v>
      </c>
      <c r="F1265" s="312"/>
      <c r="G1265" s="312"/>
      <c r="H1265" s="312"/>
      <c r="I1265" s="312"/>
      <c r="J1265" s="312"/>
      <c r="K1265" s="312"/>
      <c r="L1265" s="312"/>
      <c r="M1265" s="312"/>
      <c r="N1265" s="312"/>
      <c r="O1265" s="312"/>
      <c r="P1265" s="312"/>
      <c r="Q1265" s="312"/>
      <c r="R1265" s="312"/>
      <c r="S1265" s="312"/>
      <c r="T1265" s="312"/>
      <c r="U1265" s="312"/>
      <c r="V1265" s="312"/>
      <c r="W1265" s="312"/>
      <c r="X1265" s="312"/>
      <c r="Y1265" s="312"/>
      <c r="Z1265" s="312"/>
      <c r="AA1265" s="312"/>
      <c r="AB1265" s="312"/>
      <c r="AC1265" s="312"/>
      <c r="AD1265" s="312"/>
      <c r="AE1265" s="312"/>
      <c r="AF1265" s="312"/>
      <c r="AG1265" s="312"/>
      <c r="AH1265" s="312"/>
      <c r="AI1265" s="312"/>
      <c r="AJ1265" s="312"/>
      <c r="AK1265" s="312"/>
      <c r="AL1265" s="312"/>
      <c r="AM1265" s="312"/>
      <c r="AN1265" s="312"/>
      <c r="AO1265" s="312"/>
    </row>
    <row r="1266" spans="1:41" s="73" customFormat="1" ht="15" customHeight="1" x14ac:dyDescent="0.25">
      <c r="A1266" s="402"/>
      <c r="B1266" s="405"/>
      <c r="C1266" s="162" t="s">
        <v>743</v>
      </c>
      <c r="D1266" s="116"/>
      <c r="E1266" s="79" t="s">
        <v>956</v>
      </c>
      <c r="F1266" s="312"/>
      <c r="G1266" s="312"/>
      <c r="H1266" s="312"/>
      <c r="I1266" s="312"/>
      <c r="J1266" s="312"/>
      <c r="K1266" s="312"/>
      <c r="L1266" s="312"/>
      <c r="M1266" s="312"/>
      <c r="N1266" s="312"/>
      <c r="O1266" s="312"/>
      <c r="P1266" s="312"/>
      <c r="Q1266" s="312"/>
      <c r="R1266" s="312"/>
      <c r="S1266" s="312"/>
      <c r="T1266" s="312"/>
      <c r="U1266" s="312"/>
      <c r="V1266" s="312"/>
      <c r="W1266" s="312"/>
      <c r="X1266" s="312"/>
      <c r="Y1266" s="312"/>
      <c r="Z1266" s="312"/>
      <c r="AA1266" s="312"/>
      <c r="AB1266" s="312"/>
      <c r="AC1266" s="312"/>
      <c r="AD1266" s="312"/>
      <c r="AE1266" s="312"/>
      <c r="AF1266" s="312"/>
      <c r="AG1266" s="312"/>
      <c r="AH1266" s="312"/>
      <c r="AI1266" s="312"/>
      <c r="AJ1266" s="312"/>
      <c r="AK1266" s="312"/>
      <c r="AL1266" s="312"/>
      <c r="AM1266" s="312"/>
      <c r="AN1266" s="312"/>
      <c r="AO1266" s="312"/>
    </row>
    <row r="1267" spans="1:41" s="73" customFormat="1" ht="15" customHeight="1" x14ac:dyDescent="0.25">
      <c r="A1267" s="402"/>
      <c r="B1267" s="405"/>
      <c r="C1267" s="162" t="s">
        <v>744</v>
      </c>
      <c r="D1267" s="116"/>
      <c r="E1267" s="79" t="s">
        <v>957</v>
      </c>
      <c r="F1267" s="312"/>
      <c r="G1267" s="312"/>
      <c r="H1267" s="312"/>
      <c r="I1267" s="312"/>
      <c r="J1267" s="312"/>
      <c r="K1267" s="312"/>
      <c r="L1267" s="312"/>
      <c r="M1267" s="312"/>
      <c r="N1267" s="312"/>
      <c r="O1267" s="312"/>
      <c r="P1267" s="312"/>
      <c r="Q1267" s="312"/>
      <c r="R1267" s="312"/>
      <c r="S1267" s="312"/>
      <c r="T1267" s="312"/>
      <c r="U1267" s="312"/>
      <c r="V1267" s="312"/>
      <c r="W1267" s="312"/>
      <c r="X1267" s="312"/>
      <c r="Y1267" s="312"/>
      <c r="Z1267" s="312"/>
      <c r="AA1267" s="312"/>
      <c r="AB1267" s="312"/>
      <c r="AC1267" s="312"/>
      <c r="AD1267" s="312"/>
      <c r="AE1267" s="312"/>
      <c r="AF1267" s="312"/>
      <c r="AG1267" s="312"/>
      <c r="AH1267" s="312"/>
      <c r="AI1267" s="312"/>
      <c r="AJ1267" s="312"/>
      <c r="AK1267" s="312"/>
      <c r="AL1267" s="312"/>
      <c r="AM1267" s="312"/>
      <c r="AN1267" s="312"/>
      <c r="AO1267" s="312"/>
    </row>
    <row r="1268" spans="1:41" s="73" customFormat="1" ht="15" customHeight="1" x14ac:dyDescent="0.25">
      <c r="A1268" s="402"/>
      <c r="B1268" s="405"/>
      <c r="C1268" s="162" t="s">
        <v>745</v>
      </c>
      <c r="D1268" s="116"/>
      <c r="E1268" s="79" t="s">
        <v>958</v>
      </c>
      <c r="F1268" s="312"/>
      <c r="G1268" s="312"/>
      <c r="H1268" s="312"/>
      <c r="I1268" s="312"/>
      <c r="J1268" s="312"/>
      <c r="K1268" s="312"/>
      <c r="L1268" s="312"/>
      <c r="M1268" s="312"/>
      <c r="N1268" s="312"/>
      <c r="O1268" s="312"/>
      <c r="P1268" s="312"/>
      <c r="Q1268" s="312"/>
      <c r="R1268" s="312"/>
      <c r="S1268" s="312"/>
      <c r="T1268" s="312"/>
      <c r="U1268" s="312"/>
      <c r="V1268" s="312"/>
      <c r="W1268" s="312"/>
      <c r="X1268" s="312"/>
      <c r="Y1268" s="312"/>
      <c r="Z1268" s="312"/>
      <c r="AA1268" s="312"/>
      <c r="AB1268" s="312"/>
      <c r="AC1268" s="312"/>
      <c r="AD1268" s="312"/>
      <c r="AE1268" s="312"/>
      <c r="AF1268" s="312"/>
      <c r="AG1268" s="312"/>
      <c r="AH1268" s="312"/>
      <c r="AI1268" s="312"/>
      <c r="AJ1268" s="312"/>
      <c r="AK1268" s="312"/>
      <c r="AL1268" s="312"/>
      <c r="AM1268" s="312"/>
      <c r="AN1268" s="312"/>
      <c r="AO1268" s="312"/>
    </row>
    <row r="1269" spans="1:41" s="73" customFormat="1" ht="15" customHeight="1" x14ac:dyDescent="0.25">
      <c r="A1269" s="402"/>
      <c r="B1269" s="405"/>
      <c r="C1269" s="162" t="s">
        <v>746</v>
      </c>
      <c r="D1269" s="116"/>
      <c r="E1269" s="79" t="s">
        <v>959</v>
      </c>
      <c r="F1269" s="312"/>
      <c r="G1269" s="312"/>
      <c r="H1269" s="312"/>
      <c r="I1269" s="312"/>
      <c r="J1269" s="312"/>
      <c r="K1269" s="312"/>
      <c r="L1269" s="312"/>
      <c r="M1269" s="312"/>
      <c r="N1269" s="312"/>
      <c r="O1269" s="312"/>
      <c r="P1269" s="312"/>
      <c r="Q1269" s="312"/>
      <c r="R1269" s="312"/>
      <c r="S1269" s="312"/>
      <c r="T1269" s="312"/>
      <c r="U1269" s="312"/>
      <c r="V1269" s="312"/>
      <c r="W1269" s="312"/>
      <c r="X1269" s="312"/>
      <c r="Y1269" s="312"/>
      <c r="Z1269" s="312"/>
      <c r="AA1269" s="312"/>
      <c r="AB1269" s="312"/>
      <c r="AC1269" s="312"/>
      <c r="AD1269" s="312"/>
      <c r="AE1269" s="312"/>
      <c r="AF1269" s="312"/>
      <c r="AG1269" s="312"/>
      <c r="AH1269" s="312"/>
      <c r="AI1269" s="312"/>
      <c r="AJ1269" s="312"/>
      <c r="AK1269" s="312"/>
      <c r="AL1269" s="312"/>
      <c r="AM1269" s="312"/>
      <c r="AN1269" s="312"/>
      <c r="AO1269" s="312"/>
    </row>
    <row r="1270" spans="1:41" s="73" customFormat="1" ht="15" customHeight="1" x14ac:dyDescent="0.25">
      <c r="A1270" s="402"/>
      <c r="B1270" s="405"/>
      <c r="C1270" s="162" t="s">
        <v>747</v>
      </c>
      <c r="D1270" s="116"/>
      <c r="E1270" s="79" t="s">
        <v>960</v>
      </c>
      <c r="F1270" s="312"/>
      <c r="G1270" s="312"/>
      <c r="H1270" s="312"/>
      <c r="I1270" s="312"/>
      <c r="J1270" s="312"/>
      <c r="K1270" s="312"/>
      <c r="L1270" s="312"/>
      <c r="M1270" s="312"/>
      <c r="N1270" s="312"/>
      <c r="O1270" s="312"/>
      <c r="P1270" s="312"/>
      <c r="Q1270" s="312"/>
      <c r="R1270" s="312"/>
      <c r="S1270" s="312"/>
      <c r="T1270" s="312"/>
      <c r="U1270" s="312"/>
      <c r="V1270" s="312"/>
      <c r="W1270" s="312"/>
      <c r="X1270" s="312"/>
      <c r="Y1270" s="312"/>
      <c r="Z1270" s="312"/>
      <c r="AA1270" s="312"/>
      <c r="AB1270" s="312"/>
      <c r="AC1270" s="312"/>
      <c r="AD1270" s="312"/>
      <c r="AE1270" s="312"/>
      <c r="AF1270" s="312"/>
      <c r="AG1270" s="312"/>
      <c r="AH1270" s="312"/>
      <c r="AI1270" s="312"/>
      <c r="AJ1270" s="312"/>
      <c r="AK1270" s="312"/>
      <c r="AL1270" s="312"/>
      <c r="AM1270" s="312"/>
      <c r="AN1270" s="312"/>
      <c r="AO1270" s="312"/>
    </row>
    <row r="1271" spans="1:41" s="73" customFormat="1" ht="15" customHeight="1" x14ac:dyDescent="0.25">
      <c r="A1271" s="402"/>
      <c r="B1271" s="405"/>
      <c r="C1271" s="162" t="s">
        <v>748</v>
      </c>
      <c r="D1271" s="116"/>
      <c r="E1271" s="79" t="s">
        <v>961</v>
      </c>
      <c r="F1271" s="312"/>
      <c r="G1271" s="312"/>
      <c r="H1271" s="312"/>
      <c r="I1271" s="312"/>
      <c r="J1271" s="312"/>
      <c r="K1271" s="312"/>
      <c r="L1271" s="312"/>
      <c r="M1271" s="312"/>
      <c r="N1271" s="312"/>
      <c r="O1271" s="312"/>
      <c r="P1271" s="312"/>
      <c r="Q1271" s="312"/>
      <c r="R1271" s="312"/>
      <c r="S1271" s="312"/>
      <c r="T1271" s="312"/>
      <c r="U1271" s="312"/>
      <c r="V1271" s="312"/>
      <c r="W1271" s="312"/>
      <c r="X1271" s="312"/>
      <c r="Y1271" s="312"/>
      <c r="Z1271" s="312"/>
      <c r="AA1271" s="312"/>
      <c r="AB1271" s="312"/>
      <c r="AC1271" s="312"/>
      <c r="AD1271" s="312"/>
      <c r="AE1271" s="312"/>
      <c r="AF1271" s="312"/>
      <c r="AG1271" s="312"/>
      <c r="AH1271" s="312"/>
      <c r="AI1271" s="312"/>
      <c r="AJ1271" s="312"/>
      <c r="AK1271" s="312"/>
      <c r="AL1271" s="312"/>
      <c r="AM1271" s="312"/>
      <c r="AN1271" s="312"/>
      <c r="AO1271" s="312"/>
    </row>
    <row r="1272" spans="1:41" s="73" customFormat="1" ht="15" customHeight="1" x14ac:dyDescent="0.25">
      <c r="A1272" s="402"/>
      <c r="B1272" s="405"/>
      <c r="C1272" s="162" t="s">
        <v>749</v>
      </c>
      <c r="D1272" s="116"/>
      <c r="E1272" s="79" t="s">
        <v>962</v>
      </c>
      <c r="F1272" s="312"/>
      <c r="G1272" s="312"/>
      <c r="H1272" s="312"/>
      <c r="I1272" s="312"/>
      <c r="J1272" s="312"/>
      <c r="K1272" s="312"/>
      <c r="L1272" s="312"/>
      <c r="M1272" s="312"/>
      <c r="N1272" s="312"/>
      <c r="O1272" s="312"/>
      <c r="P1272" s="312"/>
      <c r="Q1272" s="312"/>
      <c r="R1272" s="312"/>
      <c r="S1272" s="312"/>
      <c r="T1272" s="312"/>
      <c r="U1272" s="312"/>
      <c r="V1272" s="312"/>
      <c r="W1272" s="312"/>
      <c r="X1272" s="312"/>
      <c r="Y1272" s="312"/>
      <c r="Z1272" s="312"/>
      <c r="AA1272" s="312"/>
      <c r="AB1272" s="312"/>
      <c r="AC1272" s="312"/>
      <c r="AD1272" s="312"/>
      <c r="AE1272" s="312"/>
      <c r="AF1272" s="312"/>
      <c r="AG1272" s="312"/>
      <c r="AH1272" s="312"/>
      <c r="AI1272" s="312"/>
      <c r="AJ1272" s="312"/>
      <c r="AK1272" s="312"/>
      <c r="AL1272" s="312"/>
      <c r="AM1272" s="312"/>
      <c r="AN1272" s="312"/>
      <c r="AO1272" s="312"/>
    </row>
    <row r="1273" spans="1:41" s="73" customFormat="1" ht="15" customHeight="1" x14ac:dyDescent="0.25">
      <c r="A1273" s="402"/>
      <c r="B1273" s="405"/>
      <c r="C1273" s="162" t="s">
        <v>750</v>
      </c>
      <c r="D1273" s="116"/>
      <c r="E1273" s="79" t="s">
        <v>963</v>
      </c>
      <c r="F1273" s="312"/>
      <c r="G1273" s="312"/>
      <c r="H1273" s="312"/>
      <c r="I1273" s="312"/>
      <c r="J1273" s="312"/>
      <c r="K1273" s="312"/>
      <c r="L1273" s="312"/>
      <c r="M1273" s="312"/>
      <c r="N1273" s="312"/>
      <c r="O1273" s="312"/>
      <c r="P1273" s="312"/>
      <c r="Q1273" s="312"/>
      <c r="R1273" s="312"/>
      <c r="S1273" s="312"/>
      <c r="T1273" s="312"/>
      <c r="U1273" s="312"/>
      <c r="V1273" s="312"/>
      <c r="W1273" s="312"/>
      <c r="X1273" s="312"/>
      <c r="Y1273" s="312"/>
      <c r="Z1273" s="312"/>
      <c r="AA1273" s="312"/>
      <c r="AB1273" s="312"/>
      <c r="AC1273" s="312"/>
      <c r="AD1273" s="312"/>
      <c r="AE1273" s="312"/>
      <c r="AF1273" s="312"/>
      <c r="AG1273" s="312"/>
      <c r="AH1273" s="312"/>
      <c r="AI1273" s="312"/>
      <c r="AJ1273" s="312"/>
      <c r="AK1273" s="312"/>
      <c r="AL1273" s="312"/>
      <c r="AM1273" s="312"/>
      <c r="AN1273" s="312"/>
      <c r="AO1273" s="312"/>
    </row>
    <row r="1274" spans="1:41" s="108" customFormat="1" ht="15" customHeight="1" x14ac:dyDescent="0.25">
      <c r="A1274" s="402"/>
      <c r="B1274" s="405"/>
      <c r="C1274" s="104" t="s">
        <v>799</v>
      </c>
      <c r="D1274" s="151"/>
      <c r="E1274" s="89" t="s">
        <v>964</v>
      </c>
      <c r="F1274" s="311"/>
      <c r="G1274" s="311"/>
      <c r="H1274" s="311"/>
      <c r="I1274" s="311"/>
      <c r="J1274" s="311"/>
      <c r="K1274" s="311"/>
      <c r="L1274" s="311"/>
      <c r="M1274" s="311"/>
      <c r="N1274" s="311"/>
      <c r="O1274" s="311"/>
      <c r="P1274" s="311"/>
      <c r="Q1274" s="311"/>
      <c r="R1274" s="311"/>
      <c r="S1274" s="311"/>
      <c r="T1274" s="311"/>
      <c r="U1274" s="311"/>
      <c r="V1274" s="311"/>
      <c r="W1274" s="311"/>
      <c r="X1274" s="311"/>
      <c r="Y1274" s="311"/>
      <c r="Z1274" s="311"/>
      <c r="AA1274" s="311"/>
      <c r="AB1274" s="311"/>
      <c r="AC1274" s="311"/>
      <c r="AD1274" s="311"/>
      <c r="AE1274" s="311"/>
      <c r="AF1274" s="311"/>
      <c r="AG1274" s="311"/>
      <c r="AH1274" s="311"/>
      <c r="AI1274" s="311"/>
      <c r="AJ1274" s="311"/>
      <c r="AK1274" s="311"/>
      <c r="AL1274" s="311"/>
      <c r="AM1274" s="311"/>
      <c r="AN1274" s="311"/>
      <c r="AO1274" s="311"/>
    </row>
    <row r="1275" spans="1:41" s="73" customFormat="1" ht="15" customHeight="1" x14ac:dyDescent="0.25">
      <c r="A1275" s="402"/>
      <c r="B1275" s="405"/>
      <c r="C1275" s="162" t="s">
        <v>616</v>
      </c>
      <c r="D1275" s="116"/>
      <c r="E1275" s="79" t="s">
        <v>965</v>
      </c>
      <c r="F1275" s="312"/>
      <c r="G1275" s="312"/>
      <c r="H1275" s="312"/>
      <c r="I1275" s="312"/>
      <c r="J1275" s="312"/>
      <c r="K1275" s="312"/>
      <c r="L1275" s="312"/>
      <c r="M1275" s="312"/>
      <c r="N1275" s="312"/>
      <c r="O1275" s="312"/>
      <c r="P1275" s="312"/>
      <c r="Q1275" s="312"/>
      <c r="R1275" s="312"/>
      <c r="S1275" s="312"/>
      <c r="T1275" s="312"/>
      <c r="U1275" s="312"/>
      <c r="V1275" s="312"/>
      <c r="W1275" s="312"/>
      <c r="X1275" s="312"/>
      <c r="Y1275" s="312"/>
      <c r="Z1275" s="312"/>
      <c r="AA1275" s="312"/>
      <c r="AB1275" s="312"/>
      <c r="AC1275" s="312"/>
      <c r="AD1275" s="312"/>
      <c r="AE1275" s="312"/>
      <c r="AF1275" s="312"/>
      <c r="AG1275" s="312"/>
      <c r="AH1275" s="312"/>
      <c r="AI1275" s="312"/>
      <c r="AJ1275" s="312"/>
      <c r="AK1275" s="312"/>
      <c r="AL1275" s="312"/>
      <c r="AM1275" s="312"/>
      <c r="AN1275" s="312"/>
      <c r="AO1275" s="312"/>
    </row>
    <row r="1276" spans="1:41" s="73" customFormat="1" ht="15" customHeight="1" x14ac:dyDescent="0.25">
      <c r="A1276" s="402"/>
      <c r="B1276" s="405"/>
      <c r="C1276" s="162" t="s">
        <v>617</v>
      </c>
      <c r="D1276" s="116"/>
      <c r="E1276" s="79" t="s">
        <v>966</v>
      </c>
      <c r="F1276" s="312"/>
      <c r="G1276" s="312"/>
      <c r="H1276" s="312"/>
      <c r="I1276" s="312"/>
      <c r="J1276" s="312"/>
      <c r="K1276" s="312"/>
      <c r="L1276" s="312"/>
      <c r="M1276" s="312"/>
      <c r="N1276" s="312"/>
      <c r="O1276" s="312"/>
      <c r="P1276" s="312"/>
      <c r="Q1276" s="312"/>
      <c r="R1276" s="312"/>
      <c r="S1276" s="312"/>
      <c r="T1276" s="312"/>
      <c r="U1276" s="312"/>
      <c r="V1276" s="312"/>
      <c r="W1276" s="312"/>
      <c r="X1276" s="312"/>
      <c r="Y1276" s="312"/>
      <c r="Z1276" s="312"/>
      <c r="AA1276" s="312"/>
      <c r="AB1276" s="312"/>
      <c r="AC1276" s="312"/>
      <c r="AD1276" s="312"/>
      <c r="AE1276" s="312"/>
      <c r="AF1276" s="312"/>
      <c r="AG1276" s="312"/>
      <c r="AH1276" s="312"/>
      <c r="AI1276" s="312"/>
      <c r="AJ1276" s="312"/>
      <c r="AK1276" s="312"/>
      <c r="AL1276" s="312"/>
      <c r="AM1276" s="312"/>
      <c r="AN1276" s="312"/>
      <c r="AO1276" s="312"/>
    </row>
    <row r="1277" spans="1:41" s="73" customFormat="1" ht="15" customHeight="1" x14ac:dyDescent="0.25">
      <c r="A1277" s="402"/>
      <c r="B1277" s="405"/>
      <c r="C1277" s="162" t="s">
        <v>618</v>
      </c>
      <c r="D1277" s="116"/>
      <c r="E1277" s="79" t="s">
        <v>967</v>
      </c>
      <c r="F1277" s="312"/>
      <c r="G1277" s="312"/>
      <c r="H1277" s="312"/>
      <c r="I1277" s="312"/>
      <c r="J1277" s="312"/>
      <c r="K1277" s="312"/>
      <c r="L1277" s="312"/>
      <c r="M1277" s="312"/>
      <c r="N1277" s="312"/>
      <c r="O1277" s="312"/>
      <c r="P1277" s="312"/>
      <c r="Q1277" s="312"/>
      <c r="R1277" s="312"/>
      <c r="S1277" s="312"/>
      <c r="T1277" s="312"/>
      <c r="U1277" s="312"/>
      <c r="V1277" s="312"/>
      <c r="W1277" s="312"/>
      <c r="X1277" s="312"/>
      <c r="Y1277" s="312"/>
      <c r="Z1277" s="312"/>
      <c r="AA1277" s="312"/>
      <c r="AB1277" s="312"/>
      <c r="AC1277" s="312"/>
      <c r="AD1277" s="312"/>
      <c r="AE1277" s="312"/>
      <c r="AF1277" s="312"/>
      <c r="AG1277" s="312"/>
      <c r="AH1277" s="312"/>
      <c r="AI1277" s="312"/>
      <c r="AJ1277" s="312"/>
      <c r="AK1277" s="312"/>
      <c r="AL1277" s="312"/>
      <c r="AM1277" s="312"/>
      <c r="AN1277" s="312"/>
      <c r="AO1277" s="312"/>
    </row>
    <row r="1278" spans="1:41" s="73" customFormat="1" ht="15" customHeight="1" x14ac:dyDescent="0.25">
      <c r="A1278" s="402"/>
      <c r="B1278" s="405"/>
      <c r="C1278" s="162" t="s">
        <v>619</v>
      </c>
      <c r="D1278" s="116"/>
      <c r="E1278" s="79" t="s">
        <v>968</v>
      </c>
      <c r="F1278" s="312"/>
      <c r="G1278" s="312"/>
      <c r="H1278" s="312"/>
      <c r="I1278" s="312"/>
      <c r="J1278" s="312"/>
      <c r="K1278" s="312"/>
      <c r="L1278" s="312"/>
      <c r="M1278" s="312"/>
      <c r="N1278" s="312"/>
      <c r="O1278" s="312"/>
      <c r="P1278" s="312"/>
      <c r="Q1278" s="312"/>
      <c r="R1278" s="312"/>
      <c r="S1278" s="312"/>
      <c r="T1278" s="312"/>
      <c r="U1278" s="312"/>
      <c r="V1278" s="312"/>
      <c r="W1278" s="312"/>
      <c r="X1278" s="312"/>
      <c r="Y1278" s="312"/>
      <c r="Z1278" s="312"/>
      <c r="AA1278" s="312"/>
      <c r="AB1278" s="312"/>
      <c r="AC1278" s="312"/>
      <c r="AD1278" s="312"/>
      <c r="AE1278" s="312"/>
      <c r="AF1278" s="312"/>
      <c r="AG1278" s="312"/>
      <c r="AH1278" s="312"/>
      <c r="AI1278" s="312"/>
      <c r="AJ1278" s="312"/>
      <c r="AK1278" s="312"/>
      <c r="AL1278" s="312"/>
      <c r="AM1278" s="312"/>
      <c r="AN1278" s="312"/>
      <c r="AO1278" s="312"/>
    </row>
    <row r="1279" spans="1:41" s="108" customFormat="1" ht="15" customHeight="1" x14ac:dyDescent="0.25">
      <c r="A1279" s="402"/>
      <c r="B1279" s="405"/>
      <c r="C1279" s="104" t="s">
        <v>800</v>
      </c>
      <c r="D1279" s="151"/>
      <c r="E1279" s="89" t="s">
        <v>969</v>
      </c>
      <c r="F1279" s="311"/>
      <c r="G1279" s="311"/>
      <c r="H1279" s="311"/>
      <c r="I1279" s="311"/>
      <c r="J1279" s="311"/>
      <c r="K1279" s="311"/>
      <c r="L1279" s="311"/>
      <c r="M1279" s="311"/>
      <c r="N1279" s="311"/>
      <c r="O1279" s="311"/>
      <c r="P1279" s="311"/>
      <c r="Q1279" s="311"/>
      <c r="R1279" s="311"/>
      <c r="S1279" s="311"/>
      <c r="T1279" s="311"/>
      <c r="U1279" s="311"/>
      <c r="V1279" s="311"/>
      <c r="W1279" s="311"/>
      <c r="X1279" s="311"/>
      <c r="Y1279" s="311"/>
      <c r="Z1279" s="311"/>
      <c r="AA1279" s="311"/>
      <c r="AB1279" s="311"/>
      <c r="AC1279" s="311"/>
      <c r="AD1279" s="311"/>
      <c r="AE1279" s="311"/>
      <c r="AF1279" s="311"/>
      <c r="AG1279" s="311"/>
      <c r="AH1279" s="311"/>
      <c r="AI1279" s="311"/>
      <c r="AJ1279" s="311"/>
      <c r="AK1279" s="311"/>
      <c r="AL1279" s="311"/>
      <c r="AM1279" s="311"/>
      <c r="AN1279" s="311"/>
      <c r="AO1279" s="311"/>
    </row>
    <row r="1280" spans="1:41" s="73" customFormat="1" ht="15" customHeight="1" x14ac:dyDescent="0.25">
      <c r="A1280" s="402"/>
      <c r="B1280" s="405"/>
      <c r="C1280" s="162" t="s">
        <v>620</v>
      </c>
      <c r="D1280" s="116"/>
      <c r="E1280" s="79" t="s">
        <v>970</v>
      </c>
      <c r="F1280" s="312"/>
      <c r="G1280" s="312"/>
      <c r="H1280" s="312"/>
      <c r="I1280" s="312"/>
      <c r="J1280" s="312"/>
      <c r="K1280" s="312"/>
      <c r="L1280" s="312"/>
      <c r="M1280" s="312"/>
      <c r="N1280" s="312"/>
      <c r="O1280" s="312"/>
      <c r="P1280" s="312"/>
      <c r="Q1280" s="312"/>
      <c r="R1280" s="312"/>
      <c r="S1280" s="312"/>
      <c r="T1280" s="312"/>
      <c r="U1280" s="312"/>
      <c r="V1280" s="312"/>
      <c r="W1280" s="312"/>
      <c r="X1280" s="312"/>
      <c r="Y1280" s="312"/>
      <c r="Z1280" s="312"/>
      <c r="AA1280" s="312"/>
      <c r="AB1280" s="312"/>
      <c r="AC1280" s="312"/>
      <c r="AD1280" s="312"/>
      <c r="AE1280" s="312"/>
      <c r="AF1280" s="312"/>
      <c r="AG1280" s="312"/>
      <c r="AH1280" s="312"/>
      <c r="AI1280" s="312"/>
      <c r="AJ1280" s="312"/>
      <c r="AK1280" s="312"/>
      <c r="AL1280" s="312"/>
      <c r="AM1280" s="312"/>
      <c r="AN1280" s="312"/>
      <c r="AO1280" s="312"/>
    </row>
    <row r="1281" spans="1:41" s="73" customFormat="1" ht="15" customHeight="1" x14ac:dyDescent="0.25">
      <c r="A1281" s="402"/>
      <c r="B1281" s="405"/>
      <c r="C1281" s="162" t="s">
        <v>621</v>
      </c>
      <c r="D1281" s="116"/>
      <c r="E1281" s="79" t="s">
        <v>971</v>
      </c>
      <c r="F1281" s="312"/>
      <c r="G1281" s="312"/>
      <c r="H1281" s="312"/>
      <c r="I1281" s="312"/>
      <c r="J1281" s="312"/>
      <c r="K1281" s="312"/>
      <c r="L1281" s="312"/>
      <c r="M1281" s="312"/>
      <c r="N1281" s="312"/>
      <c r="O1281" s="312"/>
      <c r="P1281" s="312"/>
      <c r="Q1281" s="312"/>
      <c r="R1281" s="312"/>
      <c r="S1281" s="312"/>
      <c r="T1281" s="312"/>
      <c r="U1281" s="312"/>
      <c r="V1281" s="312"/>
      <c r="W1281" s="312"/>
      <c r="X1281" s="312"/>
      <c r="Y1281" s="312"/>
      <c r="Z1281" s="312"/>
      <c r="AA1281" s="312"/>
      <c r="AB1281" s="312"/>
      <c r="AC1281" s="312"/>
      <c r="AD1281" s="312"/>
      <c r="AE1281" s="312"/>
      <c r="AF1281" s="312"/>
      <c r="AG1281" s="312"/>
      <c r="AH1281" s="312"/>
      <c r="AI1281" s="312"/>
      <c r="AJ1281" s="312"/>
      <c r="AK1281" s="312"/>
      <c r="AL1281" s="312"/>
      <c r="AM1281" s="312"/>
      <c r="AN1281" s="312"/>
      <c r="AO1281" s="312"/>
    </row>
    <row r="1282" spans="1:41" s="108" customFormat="1" ht="15" customHeight="1" x14ac:dyDescent="0.25">
      <c r="A1282" s="402"/>
      <c r="B1282" s="405"/>
      <c r="C1282" s="104" t="s">
        <v>801</v>
      </c>
      <c r="D1282" s="151"/>
      <c r="E1282" s="89" t="s">
        <v>972</v>
      </c>
      <c r="F1282" s="311"/>
      <c r="G1282" s="311"/>
      <c r="H1282" s="311"/>
      <c r="I1282" s="311"/>
      <c r="J1282" s="311"/>
      <c r="K1282" s="311"/>
      <c r="L1282" s="311"/>
      <c r="M1282" s="311"/>
      <c r="N1282" s="311"/>
      <c r="O1282" s="311"/>
      <c r="P1282" s="311"/>
      <c r="Q1282" s="311"/>
      <c r="R1282" s="311"/>
      <c r="S1282" s="311"/>
      <c r="T1282" s="311"/>
      <c r="U1282" s="311"/>
      <c r="V1282" s="311"/>
      <c r="W1282" s="311"/>
      <c r="X1282" s="311"/>
      <c r="Y1282" s="311"/>
      <c r="Z1282" s="311"/>
      <c r="AA1282" s="311"/>
      <c r="AB1282" s="311"/>
      <c r="AC1282" s="311"/>
      <c r="AD1282" s="311"/>
      <c r="AE1282" s="311"/>
      <c r="AF1282" s="311"/>
      <c r="AG1282" s="311"/>
      <c r="AH1282" s="311"/>
      <c r="AI1282" s="311"/>
      <c r="AJ1282" s="311"/>
      <c r="AK1282" s="311"/>
      <c r="AL1282" s="311"/>
      <c r="AM1282" s="311"/>
      <c r="AN1282" s="311"/>
      <c r="AO1282" s="311"/>
    </row>
    <row r="1283" spans="1:41" s="73" customFormat="1" ht="15" customHeight="1" x14ac:dyDescent="0.25">
      <c r="A1283" s="402"/>
      <c r="B1283" s="405"/>
      <c r="C1283" s="162" t="s">
        <v>466</v>
      </c>
      <c r="D1283" s="116"/>
      <c r="E1283" s="79" t="s">
        <v>973</v>
      </c>
      <c r="F1283" s="312"/>
      <c r="G1283" s="312"/>
      <c r="H1283" s="312"/>
      <c r="I1283" s="312"/>
      <c r="J1283" s="312"/>
      <c r="K1283" s="312"/>
      <c r="L1283" s="312"/>
      <c r="M1283" s="312"/>
      <c r="N1283" s="312"/>
      <c r="O1283" s="312"/>
      <c r="P1283" s="312"/>
      <c r="Q1283" s="312"/>
      <c r="R1283" s="312"/>
      <c r="S1283" s="312"/>
      <c r="T1283" s="312"/>
      <c r="U1283" s="312"/>
      <c r="V1283" s="312"/>
      <c r="W1283" s="312"/>
      <c r="X1283" s="312"/>
      <c r="Y1283" s="312"/>
      <c r="Z1283" s="312"/>
      <c r="AA1283" s="312"/>
      <c r="AB1283" s="312"/>
      <c r="AC1283" s="312"/>
      <c r="AD1283" s="312"/>
      <c r="AE1283" s="312"/>
      <c r="AF1283" s="312"/>
      <c r="AG1283" s="312"/>
      <c r="AH1283" s="312"/>
      <c r="AI1283" s="312"/>
      <c r="AJ1283" s="312"/>
      <c r="AK1283" s="312"/>
      <c r="AL1283" s="312"/>
      <c r="AM1283" s="312"/>
      <c r="AN1283" s="312"/>
      <c r="AO1283" s="312"/>
    </row>
    <row r="1284" spans="1:41" s="73" customFormat="1" ht="15" customHeight="1" x14ac:dyDescent="0.25">
      <c r="A1284" s="402"/>
      <c r="B1284" s="405"/>
      <c r="C1284" s="162" t="s">
        <v>467</v>
      </c>
      <c r="D1284" s="116"/>
      <c r="E1284" s="79" t="s">
        <v>974</v>
      </c>
      <c r="F1284" s="312"/>
      <c r="G1284" s="312"/>
      <c r="H1284" s="312"/>
      <c r="I1284" s="312"/>
      <c r="J1284" s="312"/>
      <c r="K1284" s="312"/>
      <c r="L1284" s="312"/>
      <c r="M1284" s="312"/>
      <c r="N1284" s="312"/>
      <c r="O1284" s="312"/>
      <c r="P1284" s="312"/>
      <c r="Q1284" s="312"/>
      <c r="R1284" s="312"/>
      <c r="S1284" s="312"/>
      <c r="T1284" s="312"/>
      <c r="U1284" s="312"/>
      <c r="V1284" s="312"/>
      <c r="W1284" s="312"/>
      <c r="X1284" s="312"/>
      <c r="Y1284" s="312"/>
      <c r="Z1284" s="312"/>
      <c r="AA1284" s="312"/>
      <c r="AB1284" s="312"/>
      <c r="AC1284" s="312"/>
      <c r="AD1284" s="312"/>
      <c r="AE1284" s="312"/>
      <c r="AF1284" s="312"/>
      <c r="AG1284" s="312"/>
      <c r="AH1284" s="312"/>
      <c r="AI1284" s="312"/>
      <c r="AJ1284" s="312"/>
      <c r="AK1284" s="312"/>
      <c r="AL1284" s="312"/>
      <c r="AM1284" s="312"/>
      <c r="AN1284" s="312"/>
      <c r="AO1284" s="312"/>
    </row>
    <row r="1285" spans="1:41" s="73" customFormat="1" ht="15" customHeight="1" x14ac:dyDescent="0.25">
      <c r="A1285" s="402"/>
      <c r="B1285" s="405"/>
      <c r="C1285" s="162" t="s">
        <v>470</v>
      </c>
      <c r="D1285" s="116"/>
      <c r="E1285" s="79" t="s">
        <v>975</v>
      </c>
      <c r="F1285" s="312"/>
      <c r="G1285" s="312"/>
      <c r="H1285" s="312"/>
      <c r="I1285" s="312"/>
      <c r="J1285" s="312"/>
      <c r="K1285" s="312"/>
      <c r="L1285" s="312"/>
      <c r="M1285" s="312"/>
      <c r="N1285" s="312"/>
      <c r="O1285" s="312"/>
      <c r="P1285" s="312"/>
      <c r="Q1285" s="312"/>
      <c r="R1285" s="312"/>
      <c r="S1285" s="312"/>
      <c r="T1285" s="312"/>
      <c r="U1285" s="312"/>
      <c r="V1285" s="312"/>
      <c r="W1285" s="312"/>
      <c r="X1285" s="312"/>
      <c r="Y1285" s="312"/>
      <c r="Z1285" s="312"/>
      <c r="AA1285" s="312"/>
      <c r="AB1285" s="312"/>
      <c r="AC1285" s="312"/>
      <c r="AD1285" s="312"/>
      <c r="AE1285" s="312"/>
      <c r="AF1285" s="312"/>
      <c r="AG1285" s="312"/>
      <c r="AH1285" s="312"/>
      <c r="AI1285" s="312"/>
      <c r="AJ1285" s="312"/>
      <c r="AK1285" s="312"/>
      <c r="AL1285" s="312"/>
      <c r="AM1285" s="312"/>
      <c r="AN1285" s="312"/>
      <c r="AO1285" s="312"/>
    </row>
    <row r="1286" spans="1:41" s="73" customFormat="1" ht="15" customHeight="1" x14ac:dyDescent="0.25">
      <c r="A1286" s="402"/>
      <c r="B1286" s="405"/>
      <c r="C1286" s="162" t="s">
        <v>471</v>
      </c>
      <c r="D1286" s="116"/>
      <c r="E1286" s="79" t="s">
        <v>976</v>
      </c>
      <c r="F1286" s="312"/>
      <c r="G1286" s="312"/>
      <c r="H1286" s="312"/>
      <c r="I1286" s="312"/>
      <c r="J1286" s="312"/>
      <c r="K1286" s="312"/>
      <c r="L1286" s="312"/>
      <c r="M1286" s="312"/>
      <c r="N1286" s="312"/>
      <c r="O1286" s="312"/>
      <c r="P1286" s="312"/>
      <c r="Q1286" s="312"/>
      <c r="R1286" s="312"/>
      <c r="S1286" s="312"/>
      <c r="T1286" s="312"/>
      <c r="U1286" s="312"/>
      <c r="V1286" s="312"/>
      <c r="W1286" s="312"/>
      <c r="X1286" s="312"/>
      <c r="Y1286" s="312"/>
      <c r="Z1286" s="312"/>
      <c r="AA1286" s="312"/>
      <c r="AB1286" s="312"/>
      <c r="AC1286" s="312"/>
      <c r="AD1286" s="312"/>
      <c r="AE1286" s="312"/>
      <c r="AF1286" s="312"/>
      <c r="AG1286" s="312"/>
      <c r="AH1286" s="312"/>
      <c r="AI1286" s="312"/>
      <c r="AJ1286" s="312"/>
      <c r="AK1286" s="312"/>
      <c r="AL1286" s="312"/>
      <c r="AM1286" s="312"/>
      <c r="AN1286" s="312"/>
      <c r="AO1286" s="312"/>
    </row>
    <row r="1287" spans="1:41" s="108" customFormat="1" ht="15" customHeight="1" x14ac:dyDescent="0.25">
      <c r="A1287" s="402"/>
      <c r="B1287" s="405"/>
      <c r="C1287" s="104" t="s">
        <v>495</v>
      </c>
      <c r="D1287" s="151"/>
      <c r="E1287" s="89" t="s">
        <v>977</v>
      </c>
      <c r="F1287" s="311"/>
      <c r="G1287" s="311"/>
      <c r="H1287" s="311"/>
      <c r="I1287" s="311"/>
      <c r="J1287" s="311"/>
      <c r="K1287" s="311"/>
      <c r="L1287" s="311"/>
      <c r="M1287" s="311"/>
      <c r="N1287" s="311"/>
      <c r="O1287" s="311"/>
      <c r="P1287" s="311"/>
      <c r="Q1287" s="311"/>
      <c r="R1287" s="311"/>
      <c r="S1287" s="311"/>
      <c r="T1287" s="311"/>
      <c r="U1287" s="311"/>
      <c r="V1287" s="311"/>
      <c r="W1287" s="311"/>
      <c r="X1287" s="311"/>
      <c r="Y1287" s="311"/>
      <c r="Z1287" s="311"/>
      <c r="AA1287" s="311"/>
      <c r="AB1287" s="311"/>
      <c r="AC1287" s="311"/>
      <c r="AD1287" s="311"/>
      <c r="AE1287" s="311"/>
      <c r="AF1287" s="311"/>
      <c r="AG1287" s="311"/>
      <c r="AH1287" s="311"/>
      <c r="AI1287" s="311"/>
      <c r="AJ1287" s="311"/>
      <c r="AK1287" s="311"/>
      <c r="AL1287" s="311"/>
      <c r="AM1287" s="311"/>
      <c r="AN1287" s="311"/>
      <c r="AO1287" s="311"/>
    </row>
    <row r="1288" spans="1:41" s="73" customFormat="1" ht="15" customHeight="1" x14ac:dyDescent="0.25">
      <c r="A1288" s="402"/>
      <c r="B1288" s="405"/>
      <c r="C1288" s="162" t="s">
        <v>474</v>
      </c>
      <c r="D1288" s="116"/>
      <c r="E1288" s="79" t="s">
        <v>978</v>
      </c>
      <c r="F1288" s="312"/>
      <c r="G1288" s="312"/>
      <c r="H1288" s="312"/>
      <c r="I1288" s="312"/>
      <c r="J1288" s="312"/>
      <c r="K1288" s="312"/>
      <c r="L1288" s="312"/>
      <c r="M1288" s="312"/>
      <c r="N1288" s="312"/>
      <c r="O1288" s="312"/>
      <c r="P1288" s="312"/>
      <c r="Q1288" s="312"/>
      <c r="R1288" s="312"/>
      <c r="S1288" s="312"/>
      <c r="T1288" s="312"/>
      <c r="U1288" s="312"/>
      <c r="V1288" s="312"/>
      <c r="W1288" s="312"/>
      <c r="X1288" s="312"/>
      <c r="Y1288" s="312"/>
      <c r="Z1288" s="312"/>
      <c r="AA1288" s="312"/>
      <c r="AB1288" s="312"/>
      <c r="AC1288" s="312"/>
      <c r="AD1288" s="312"/>
      <c r="AE1288" s="312"/>
      <c r="AF1288" s="312"/>
      <c r="AG1288" s="312"/>
      <c r="AH1288" s="312"/>
      <c r="AI1288" s="312"/>
      <c r="AJ1288" s="312"/>
      <c r="AK1288" s="312"/>
      <c r="AL1288" s="312"/>
      <c r="AM1288" s="312"/>
      <c r="AN1288" s="312"/>
      <c r="AO1288" s="312"/>
    </row>
    <row r="1289" spans="1:41" s="73" customFormat="1" ht="15" customHeight="1" x14ac:dyDescent="0.25">
      <c r="A1289" s="402"/>
      <c r="B1289" s="405"/>
      <c r="C1289" s="162" t="s">
        <v>475</v>
      </c>
      <c r="D1289" s="116"/>
      <c r="E1289" s="79" t="s">
        <v>979</v>
      </c>
      <c r="F1289" s="312"/>
      <c r="G1289" s="312"/>
      <c r="H1289" s="312"/>
      <c r="I1289" s="312"/>
      <c r="J1289" s="312"/>
      <c r="K1289" s="312"/>
      <c r="L1289" s="312"/>
      <c r="M1289" s="312"/>
      <c r="N1289" s="312"/>
      <c r="O1289" s="312"/>
      <c r="P1289" s="312"/>
      <c r="Q1289" s="312"/>
      <c r="R1289" s="312"/>
      <c r="S1289" s="312"/>
      <c r="T1289" s="312"/>
      <c r="U1289" s="312"/>
      <c r="V1289" s="312"/>
      <c r="W1289" s="312"/>
      <c r="X1289" s="312"/>
      <c r="Y1289" s="312"/>
      <c r="Z1289" s="312"/>
      <c r="AA1289" s="312"/>
      <c r="AB1289" s="312"/>
      <c r="AC1289" s="312"/>
      <c r="AD1289" s="312"/>
      <c r="AE1289" s="312"/>
      <c r="AF1289" s="312"/>
      <c r="AG1289" s="312"/>
      <c r="AH1289" s="312"/>
      <c r="AI1289" s="312"/>
      <c r="AJ1289" s="312"/>
      <c r="AK1289" s="312"/>
      <c r="AL1289" s="312"/>
      <c r="AM1289" s="312"/>
      <c r="AN1289" s="312"/>
      <c r="AO1289" s="312"/>
    </row>
    <row r="1290" spans="1:41" s="73" customFormat="1" ht="15" customHeight="1" x14ac:dyDescent="0.25">
      <c r="A1290" s="402"/>
      <c r="B1290" s="405"/>
      <c r="C1290" s="162" t="s">
        <v>476</v>
      </c>
      <c r="D1290" s="116"/>
      <c r="E1290" s="79" t="s">
        <v>980</v>
      </c>
      <c r="F1290" s="312"/>
      <c r="G1290" s="312"/>
      <c r="H1290" s="312"/>
      <c r="I1290" s="312"/>
      <c r="J1290" s="312"/>
      <c r="K1290" s="312"/>
      <c r="L1290" s="312"/>
      <c r="M1290" s="312"/>
      <c r="N1290" s="312"/>
      <c r="O1290" s="312"/>
      <c r="P1290" s="312"/>
      <c r="Q1290" s="312"/>
      <c r="R1290" s="312"/>
      <c r="S1290" s="312"/>
      <c r="T1290" s="312"/>
      <c r="U1290" s="312"/>
      <c r="V1290" s="312"/>
      <c r="W1290" s="312"/>
      <c r="X1290" s="312"/>
      <c r="Y1290" s="312"/>
      <c r="Z1290" s="312"/>
      <c r="AA1290" s="312"/>
      <c r="AB1290" s="312"/>
      <c r="AC1290" s="312"/>
      <c r="AD1290" s="312"/>
      <c r="AE1290" s="312"/>
      <c r="AF1290" s="312"/>
      <c r="AG1290" s="312"/>
      <c r="AH1290" s="312"/>
      <c r="AI1290" s="312"/>
      <c r="AJ1290" s="312"/>
      <c r="AK1290" s="312"/>
      <c r="AL1290" s="312"/>
      <c r="AM1290" s="312"/>
      <c r="AN1290" s="312"/>
      <c r="AO1290" s="312"/>
    </row>
    <row r="1291" spans="1:41" s="73" customFormat="1" ht="15" customHeight="1" x14ac:dyDescent="0.25">
      <c r="A1291" s="402"/>
      <c r="B1291" s="405"/>
      <c r="C1291" s="162" t="s">
        <v>477</v>
      </c>
      <c r="D1291" s="116"/>
      <c r="E1291" s="79" t="s">
        <v>981</v>
      </c>
      <c r="F1291" s="312"/>
      <c r="G1291" s="312"/>
      <c r="H1291" s="312"/>
      <c r="I1291" s="312"/>
      <c r="J1291" s="312"/>
      <c r="K1291" s="312"/>
      <c r="L1291" s="312"/>
      <c r="M1291" s="312"/>
      <c r="N1291" s="312"/>
      <c r="O1291" s="312"/>
      <c r="P1291" s="312"/>
      <c r="Q1291" s="312"/>
      <c r="R1291" s="312"/>
      <c r="S1291" s="312"/>
      <c r="T1291" s="312"/>
      <c r="U1291" s="312"/>
      <c r="V1291" s="312"/>
      <c r="W1291" s="312"/>
      <c r="X1291" s="312"/>
      <c r="Y1291" s="312"/>
      <c r="Z1291" s="312"/>
      <c r="AA1291" s="312"/>
      <c r="AB1291" s="312"/>
      <c r="AC1291" s="312"/>
      <c r="AD1291" s="312"/>
      <c r="AE1291" s="312"/>
      <c r="AF1291" s="312"/>
      <c r="AG1291" s="312"/>
      <c r="AH1291" s="312"/>
      <c r="AI1291" s="312"/>
      <c r="AJ1291" s="312"/>
      <c r="AK1291" s="312"/>
      <c r="AL1291" s="312"/>
      <c r="AM1291" s="312"/>
      <c r="AN1291" s="312"/>
      <c r="AO1291" s="312"/>
    </row>
    <row r="1292" spans="1:41" s="73" customFormat="1" ht="15" customHeight="1" x14ac:dyDescent="0.25">
      <c r="A1292" s="402"/>
      <c r="B1292" s="405"/>
      <c r="C1292" s="162" t="s">
        <v>478</v>
      </c>
      <c r="D1292" s="116"/>
      <c r="E1292" s="79" t="s">
        <v>982</v>
      </c>
      <c r="F1292" s="312"/>
      <c r="G1292" s="312"/>
      <c r="H1292" s="312"/>
      <c r="I1292" s="312"/>
      <c r="J1292" s="312"/>
      <c r="K1292" s="312"/>
      <c r="L1292" s="312"/>
      <c r="M1292" s="312"/>
      <c r="N1292" s="312"/>
      <c r="O1292" s="312"/>
      <c r="P1292" s="312"/>
      <c r="Q1292" s="312"/>
      <c r="R1292" s="312"/>
      <c r="S1292" s="312"/>
      <c r="T1292" s="312"/>
      <c r="U1292" s="312"/>
      <c r="V1292" s="312"/>
      <c r="W1292" s="312"/>
      <c r="X1292" s="312"/>
      <c r="Y1292" s="312"/>
      <c r="Z1292" s="312"/>
      <c r="AA1292" s="312"/>
      <c r="AB1292" s="312"/>
      <c r="AC1292" s="312"/>
      <c r="AD1292" s="312"/>
      <c r="AE1292" s="312"/>
      <c r="AF1292" s="312"/>
      <c r="AG1292" s="312"/>
      <c r="AH1292" s="312"/>
      <c r="AI1292" s="312"/>
      <c r="AJ1292" s="312"/>
      <c r="AK1292" s="312"/>
      <c r="AL1292" s="312"/>
      <c r="AM1292" s="312"/>
      <c r="AN1292" s="312"/>
      <c r="AO1292" s="312"/>
    </row>
    <row r="1293" spans="1:41" s="73" customFormat="1" ht="15" customHeight="1" x14ac:dyDescent="0.25">
      <c r="A1293" s="402"/>
      <c r="B1293" s="405"/>
      <c r="C1293" s="162" t="s">
        <v>479</v>
      </c>
      <c r="D1293" s="116"/>
      <c r="E1293" s="79" t="s">
        <v>983</v>
      </c>
      <c r="F1293" s="312"/>
      <c r="G1293" s="312"/>
      <c r="H1293" s="312"/>
      <c r="I1293" s="312"/>
      <c r="J1293" s="312"/>
      <c r="K1293" s="312"/>
      <c r="L1293" s="312"/>
      <c r="M1293" s="312"/>
      <c r="N1293" s="312"/>
      <c r="O1293" s="312"/>
      <c r="P1293" s="312"/>
      <c r="Q1293" s="312"/>
      <c r="R1293" s="312"/>
      <c r="S1293" s="312"/>
      <c r="T1293" s="312"/>
      <c r="U1293" s="312"/>
      <c r="V1293" s="312"/>
      <c r="W1293" s="312"/>
      <c r="X1293" s="312"/>
      <c r="Y1293" s="312"/>
      <c r="Z1293" s="312"/>
      <c r="AA1293" s="312"/>
      <c r="AB1293" s="312"/>
      <c r="AC1293" s="312"/>
      <c r="AD1293" s="312"/>
      <c r="AE1293" s="312"/>
      <c r="AF1293" s="312"/>
      <c r="AG1293" s="312"/>
      <c r="AH1293" s="312"/>
      <c r="AI1293" s="312"/>
      <c r="AJ1293" s="312"/>
      <c r="AK1293" s="312"/>
      <c r="AL1293" s="312"/>
      <c r="AM1293" s="312"/>
      <c r="AN1293" s="312"/>
      <c r="AO1293" s="312"/>
    </row>
    <row r="1294" spans="1:41" s="73" customFormat="1" ht="15" customHeight="1" x14ac:dyDescent="0.25">
      <c r="A1294" s="402"/>
      <c r="B1294" s="405"/>
      <c r="C1294" s="162" t="s">
        <v>480</v>
      </c>
      <c r="D1294" s="116"/>
      <c r="E1294" s="79" t="s">
        <v>984</v>
      </c>
      <c r="F1294" s="312"/>
      <c r="G1294" s="312"/>
      <c r="H1294" s="312"/>
      <c r="I1294" s="312"/>
      <c r="J1294" s="312"/>
      <c r="K1294" s="312"/>
      <c r="L1294" s="312"/>
      <c r="M1294" s="312"/>
      <c r="N1294" s="312"/>
      <c r="O1294" s="312"/>
      <c r="P1294" s="312"/>
      <c r="Q1294" s="312"/>
      <c r="R1294" s="312"/>
      <c r="S1294" s="312"/>
      <c r="T1294" s="312"/>
      <c r="U1294" s="312"/>
      <c r="V1294" s="312"/>
      <c r="W1294" s="312"/>
      <c r="X1294" s="312"/>
      <c r="Y1294" s="312"/>
      <c r="Z1294" s="312"/>
      <c r="AA1294" s="312"/>
      <c r="AB1294" s="312"/>
      <c r="AC1294" s="312"/>
      <c r="AD1294" s="312"/>
      <c r="AE1294" s="312"/>
      <c r="AF1294" s="312"/>
      <c r="AG1294" s="312"/>
      <c r="AH1294" s="312"/>
      <c r="AI1294" s="312"/>
      <c r="AJ1294" s="312"/>
      <c r="AK1294" s="312"/>
      <c r="AL1294" s="312"/>
      <c r="AM1294" s="312"/>
      <c r="AN1294" s="312"/>
      <c r="AO1294" s="312"/>
    </row>
    <row r="1295" spans="1:41" s="73" customFormat="1" ht="15" customHeight="1" x14ac:dyDescent="0.25">
      <c r="A1295" s="402"/>
      <c r="B1295" s="405"/>
      <c r="C1295" s="162" t="s">
        <v>481</v>
      </c>
      <c r="D1295" s="116"/>
      <c r="E1295" s="79" t="s">
        <v>985</v>
      </c>
      <c r="F1295" s="312"/>
      <c r="G1295" s="312"/>
      <c r="H1295" s="312"/>
      <c r="I1295" s="312"/>
      <c r="J1295" s="312"/>
      <c r="K1295" s="312"/>
      <c r="L1295" s="312"/>
      <c r="M1295" s="312"/>
      <c r="N1295" s="312"/>
      <c r="O1295" s="312"/>
      <c r="P1295" s="312"/>
      <c r="Q1295" s="312"/>
      <c r="R1295" s="312"/>
      <c r="S1295" s="312"/>
      <c r="T1295" s="312"/>
      <c r="U1295" s="312"/>
      <c r="V1295" s="312"/>
      <c r="W1295" s="312"/>
      <c r="X1295" s="312"/>
      <c r="Y1295" s="312"/>
      <c r="Z1295" s="312"/>
      <c r="AA1295" s="312"/>
      <c r="AB1295" s="312"/>
      <c r="AC1295" s="312"/>
      <c r="AD1295" s="312"/>
      <c r="AE1295" s="312"/>
      <c r="AF1295" s="312"/>
      <c r="AG1295" s="312"/>
      <c r="AH1295" s="312"/>
      <c r="AI1295" s="312"/>
      <c r="AJ1295" s="312"/>
      <c r="AK1295" s="312"/>
      <c r="AL1295" s="312"/>
      <c r="AM1295" s="312"/>
      <c r="AN1295" s="312"/>
      <c r="AO1295" s="312"/>
    </row>
    <row r="1296" spans="1:41" s="73" customFormat="1" ht="15" customHeight="1" x14ac:dyDescent="0.25">
      <c r="A1296" s="402"/>
      <c r="B1296" s="405"/>
      <c r="C1296" s="162" t="s">
        <v>482</v>
      </c>
      <c r="D1296" s="116"/>
      <c r="E1296" s="79" t="s">
        <v>986</v>
      </c>
      <c r="F1296" s="312"/>
      <c r="G1296" s="312"/>
      <c r="H1296" s="312"/>
      <c r="I1296" s="312"/>
      <c r="J1296" s="312"/>
      <c r="K1296" s="312"/>
      <c r="L1296" s="312"/>
      <c r="M1296" s="312"/>
      <c r="N1296" s="312"/>
      <c r="O1296" s="312"/>
      <c r="P1296" s="312"/>
      <c r="Q1296" s="312"/>
      <c r="R1296" s="312"/>
      <c r="S1296" s="312"/>
      <c r="T1296" s="312"/>
      <c r="U1296" s="312"/>
      <c r="V1296" s="312"/>
      <c r="W1296" s="312"/>
      <c r="X1296" s="312"/>
      <c r="Y1296" s="312"/>
      <c r="Z1296" s="312"/>
      <c r="AA1296" s="312"/>
      <c r="AB1296" s="312"/>
      <c r="AC1296" s="312"/>
      <c r="AD1296" s="312"/>
      <c r="AE1296" s="312"/>
      <c r="AF1296" s="312"/>
      <c r="AG1296" s="312"/>
      <c r="AH1296" s="312"/>
      <c r="AI1296" s="312"/>
      <c r="AJ1296" s="312"/>
      <c r="AK1296" s="312"/>
      <c r="AL1296" s="312"/>
      <c r="AM1296" s="312"/>
      <c r="AN1296" s="312"/>
      <c r="AO1296" s="312"/>
    </row>
    <row r="1297" spans="1:41" ht="15" customHeight="1" x14ac:dyDescent="0.25">
      <c r="A1297" s="402"/>
      <c r="B1297" s="412" t="s">
        <v>999</v>
      </c>
      <c r="C1297" s="181"/>
      <c r="D1297" s="142"/>
      <c r="E1297" s="76" t="s">
        <v>1010</v>
      </c>
      <c r="F1297" s="316"/>
      <c r="G1297" s="316"/>
      <c r="H1297" s="316"/>
      <c r="I1297" s="316"/>
      <c r="J1297" s="316"/>
      <c r="K1297" s="366"/>
      <c r="L1297" s="316"/>
      <c r="M1297" s="316"/>
      <c r="N1297" s="316"/>
      <c r="O1297" s="316"/>
      <c r="P1297" s="316"/>
      <c r="Q1297" s="316"/>
      <c r="R1297" s="316"/>
      <c r="S1297" s="316"/>
      <c r="T1297" s="316"/>
      <c r="U1297" s="316"/>
      <c r="V1297" s="316"/>
      <c r="W1297" s="316"/>
      <c r="X1297" s="316"/>
      <c r="Y1297" s="316"/>
      <c r="Z1297" s="316"/>
      <c r="AA1297" s="316"/>
      <c r="AB1297" s="316"/>
      <c r="AC1297" s="316"/>
      <c r="AD1297" s="316"/>
      <c r="AE1297" s="316"/>
      <c r="AF1297" s="316"/>
      <c r="AG1297" s="316"/>
      <c r="AH1297" s="316"/>
      <c r="AI1297" s="316"/>
      <c r="AJ1297" s="316"/>
      <c r="AK1297" s="316"/>
      <c r="AL1297" s="316"/>
      <c r="AM1297" s="316"/>
      <c r="AN1297" s="316"/>
      <c r="AO1297" s="316"/>
    </row>
    <row r="1298" spans="1:41" ht="15" customHeight="1" x14ac:dyDescent="0.25">
      <c r="A1298" s="402"/>
      <c r="B1298" s="412"/>
      <c r="C1298" s="182"/>
      <c r="D1298" s="142"/>
      <c r="E1298" s="107"/>
      <c r="F1298" s="316"/>
      <c r="G1298" s="316"/>
      <c r="H1298" s="316"/>
      <c r="I1298" s="316"/>
      <c r="J1298" s="316"/>
      <c r="K1298" s="316"/>
      <c r="L1298" s="316"/>
      <c r="M1298" s="316"/>
      <c r="N1298" s="316"/>
      <c r="O1298" s="316"/>
      <c r="P1298" s="316"/>
      <c r="Q1298" s="316"/>
      <c r="R1298" s="316"/>
      <c r="S1298" s="316"/>
      <c r="T1298" s="316"/>
      <c r="U1298" s="316"/>
      <c r="V1298" s="316"/>
      <c r="W1298" s="316"/>
      <c r="X1298" s="316"/>
      <c r="Y1298" s="316"/>
      <c r="Z1298" s="316"/>
      <c r="AA1298" s="316"/>
      <c r="AB1298" s="316"/>
      <c r="AC1298" s="316"/>
      <c r="AD1298" s="316"/>
      <c r="AE1298" s="316"/>
      <c r="AF1298" s="316"/>
      <c r="AG1298" s="316"/>
      <c r="AH1298" s="316"/>
      <c r="AI1298" s="316"/>
      <c r="AJ1298" s="316"/>
      <c r="AK1298" s="316"/>
      <c r="AL1298" s="316"/>
      <c r="AM1298" s="316"/>
      <c r="AN1298" s="316"/>
      <c r="AO1298" s="316"/>
    </row>
    <row r="1299" spans="1:41" ht="15" customHeight="1" x14ac:dyDescent="0.25">
      <c r="A1299" s="402"/>
      <c r="B1299" s="412"/>
      <c r="C1299" s="182"/>
      <c r="D1299" s="142"/>
      <c r="E1299" s="107"/>
      <c r="F1299" s="316"/>
      <c r="G1299" s="316"/>
      <c r="H1299" s="316"/>
      <c r="I1299" s="316"/>
      <c r="J1299" s="316"/>
      <c r="K1299" s="316"/>
      <c r="L1299" s="316"/>
      <c r="M1299" s="316"/>
      <c r="N1299" s="316"/>
      <c r="O1299" s="316"/>
      <c r="P1299" s="316"/>
      <c r="Q1299" s="316"/>
      <c r="R1299" s="316"/>
      <c r="S1299" s="316"/>
      <c r="T1299" s="316"/>
      <c r="U1299" s="316"/>
      <c r="V1299" s="316"/>
      <c r="W1299" s="316"/>
      <c r="X1299" s="316"/>
      <c r="Y1299" s="316"/>
      <c r="Z1299" s="316"/>
      <c r="AA1299" s="316"/>
      <c r="AB1299" s="316"/>
      <c r="AC1299" s="316"/>
      <c r="AD1299" s="316"/>
      <c r="AE1299" s="316"/>
      <c r="AF1299" s="316"/>
      <c r="AG1299" s="316"/>
      <c r="AH1299" s="316"/>
      <c r="AI1299" s="316"/>
      <c r="AJ1299" s="316"/>
      <c r="AK1299" s="316"/>
      <c r="AL1299" s="316"/>
      <c r="AM1299" s="316"/>
      <c r="AN1299" s="316"/>
      <c r="AO1299" s="316"/>
    </row>
    <row r="1300" spans="1:41" ht="15" customHeight="1" x14ac:dyDescent="0.25">
      <c r="A1300" s="402"/>
      <c r="B1300" s="412"/>
      <c r="C1300" s="182"/>
      <c r="D1300" s="142"/>
      <c r="E1300" s="107"/>
      <c r="F1300" s="316"/>
      <c r="G1300" s="316"/>
      <c r="H1300" s="316"/>
      <c r="I1300" s="316"/>
      <c r="J1300" s="316"/>
      <c r="K1300" s="316"/>
      <c r="L1300" s="316"/>
      <c r="M1300" s="316"/>
      <c r="N1300" s="316"/>
      <c r="O1300" s="316"/>
      <c r="P1300" s="316"/>
      <c r="Q1300" s="316"/>
      <c r="R1300" s="316"/>
      <c r="S1300" s="316"/>
      <c r="T1300" s="316"/>
      <c r="U1300" s="316"/>
      <c r="V1300" s="316"/>
      <c r="W1300" s="316"/>
      <c r="X1300" s="316"/>
      <c r="Y1300" s="316"/>
      <c r="Z1300" s="316"/>
      <c r="AA1300" s="316"/>
      <c r="AB1300" s="316"/>
      <c r="AC1300" s="316"/>
      <c r="AD1300" s="316"/>
      <c r="AE1300" s="316"/>
      <c r="AF1300" s="316"/>
      <c r="AG1300" s="316"/>
      <c r="AH1300" s="316"/>
      <c r="AI1300" s="316"/>
      <c r="AJ1300" s="316"/>
      <c r="AK1300" s="316"/>
      <c r="AL1300" s="316"/>
      <c r="AM1300" s="316"/>
      <c r="AN1300" s="316"/>
      <c r="AO1300" s="316"/>
    </row>
    <row r="1301" spans="1:41" ht="15" customHeight="1" x14ac:dyDescent="0.25">
      <c r="A1301" s="402"/>
      <c r="B1301" s="412"/>
      <c r="C1301" s="182"/>
      <c r="D1301" s="142"/>
      <c r="E1301" s="107"/>
      <c r="F1301" s="316"/>
      <c r="G1301" s="316"/>
      <c r="H1301" s="316"/>
      <c r="I1301" s="316"/>
      <c r="J1301" s="316"/>
      <c r="K1301" s="316"/>
      <c r="L1301" s="316"/>
      <c r="M1301" s="316"/>
      <c r="N1301" s="316"/>
      <c r="O1301" s="316"/>
      <c r="P1301" s="316"/>
      <c r="Q1301" s="316"/>
      <c r="R1301" s="316"/>
      <c r="S1301" s="316"/>
      <c r="T1301" s="316"/>
      <c r="U1301" s="316"/>
      <c r="V1301" s="316"/>
      <c r="W1301" s="316"/>
      <c r="X1301" s="316"/>
      <c r="Y1301" s="316"/>
      <c r="Z1301" s="316"/>
      <c r="AA1301" s="316"/>
      <c r="AB1301" s="316"/>
      <c r="AC1301" s="316"/>
      <c r="AD1301" s="316"/>
      <c r="AE1301" s="316"/>
      <c r="AF1301" s="316"/>
      <c r="AG1301" s="316"/>
      <c r="AH1301" s="316"/>
      <c r="AI1301" s="316"/>
      <c r="AJ1301" s="316"/>
      <c r="AK1301" s="316"/>
      <c r="AL1301" s="316"/>
      <c r="AM1301" s="316"/>
      <c r="AN1301" s="316"/>
      <c r="AO1301" s="316"/>
    </row>
    <row r="1302" spans="1:41" ht="15" customHeight="1" x14ac:dyDescent="0.25">
      <c r="A1302" s="402"/>
      <c r="B1302" s="412"/>
      <c r="C1302" s="182"/>
      <c r="D1302" s="142"/>
      <c r="E1302" s="107"/>
      <c r="F1302" s="316"/>
      <c r="G1302" s="316"/>
      <c r="H1302" s="316"/>
      <c r="I1302" s="316"/>
      <c r="J1302" s="316"/>
      <c r="K1302" s="316"/>
      <c r="L1302" s="316"/>
      <c r="M1302" s="316"/>
      <c r="N1302" s="316"/>
      <c r="O1302" s="316"/>
      <c r="P1302" s="316"/>
      <c r="Q1302" s="316"/>
      <c r="R1302" s="316"/>
      <c r="S1302" s="316"/>
      <c r="T1302" s="316"/>
      <c r="U1302" s="316"/>
      <c r="V1302" s="316"/>
      <c r="W1302" s="316"/>
      <c r="X1302" s="316"/>
      <c r="Y1302" s="316"/>
      <c r="Z1302" s="316"/>
      <c r="AA1302" s="316"/>
      <c r="AB1302" s="316"/>
      <c r="AC1302" s="316"/>
      <c r="AD1302" s="316"/>
      <c r="AE1302" s="316"/>
      <c r="AF1302" s="316"/>
      <c r="AG1302" s="316"/>
      <c r="AH1302" s="316"/>
      <c r="AI1302" s="316"/>
      <c r="AJ1302" s="316"/>
      <c r="AK1302" s="316"/>
      <c r="AL1302" s="316"/>
      <c r="AM1302" s="316"/>
      <c r="AN1302" s="316"/>
      <c r="AO1302" s="316"/>
    </row>
    <row r="1303" spans="1:41" ht="15" customHeight="1" x14ac:dyDescent="0.25">
      <c r="A1303" s="402"/>
      <c r="B1303" s="412"/>
      <c r="C1303" s="182"/>
      <c r="D1303" s="142"/>
      <c r="E1303" s="107"/>
      <c r="F1303" s="316"/>
      <c r="G1303" s="316"/>
      <c r="H1303" s="316"/>
      <c r="I1303" s="316"/>
      <c r="J1303" s="316"/>
      <c r="K1303" s="316"/>
      <c r="L1303" s="316"/>
      <c r="M1303" s="316"/>
      <c r="N1303" s="316"/>
      <c r="O1303" s="316"/>
      <c r="P1303" s="316"/>
      <c r="Q1303" s="316"/>
      <c r="R1303" s="316"/>
      <c r="S1303" s="316"/>
      <c r="T1303" s="316"/>
      <c r="U1303" s="316"/>
      <c r="V1303" s="316"/>
      <c r="W1303" s="316"/>
      <c r="X1303" s="316"/>
      <c r="Y1303" s="316"/>
      <c r="Z1303" s="316"/>
      <c r="AA1303" s="316"/>
      <c r="AB1303" s="316"/>
      <c r="AC1303" s="316"/>
      <c r="AD1303" s="316"/>
      <c r="AE1303" s="316"/>
      <c r="AF1303" s="316"/>
      <c r="AG1303" s="316"/>
      <c r="AH1303" s="316"/>
      <c r="AI1303" s="316"/>
      <c r="AJ1303" s="316"/>
      <c r="AK1303" s="316"/>
      <c r="AL1303" s="316"/>
      <c r="AM1303" s="316"/>
      <c r="AN1303" s="316"/>
      <c r="AO1303" s="316"/>
    </row>
    <row r="1304" spans="1:41" ht="15" customHeight="1" x14ac:dyDescent="0.25">
      <c r="A1304" s="402"/>
      <c r="B1304" s="412"/>
      <c r="C1304" s="182"/>
      <c r="D1304" s="142"/>
      <c r="E1304" s="107"/>
      <c r="F1304" s="316"/>
      <c r="G1304" s="316"/>
      <c r="H1304" s="316"/>
      <c r="I1304" s="316"/>
      <c r="J1304" s="316"/>
      <c r="K1304" s="316"/>
      <c r="L1304" s="316"/>
      <c r="M1304" s="316"/>
      <c r="N1304" s="316"/>
      <c r="O1304" s="316"/>
      <c r="P1304" s="316"/>
      <c r="Q1304" s="316"/>
      <c r="R1304" s="316"/>
      <c r="S1304" s="316"/>
      <c r="T1304" s="316"/>
      <c r="U1304" s="316"/>
      <c r="V1304" s="316"/>
      <c r="W1304" s="316"/>
      <c r="X1304" s="316"/>
      <c r="Y1304" s="316"/>
      <c r="Z1304" s="316"/>
      <c r="AA1304" s="316"/>
      <c r="AB1304" s="316"/>
      <c r="AC1304" s="316"/>
      <c r="AD1304" s="316"/>
      <c r="AE1304" s="316"/>
      <c r="AF1304" s="316"/>
      <c r="AG1304" s="316"/>
      <c r="AH1304" s="316"/>
      <c r="AI1304" s="316"/>
      <c r="AJ1304" s="316"/>
      <c r="AK1304" s="316"/>
      <c r="AL1304" s="316"/>
      <c r="AM1304" s="316"/>
      <c r="AN1304" s="316"/>
      <c r="AO1304" s="316"/>
    </row>
    <row r="1305" spans="1:41" ht="15" customHeight="1" x14ac:dyDescent="0.25">
      <c r="A1305" s="402"/>
      <c r="B1305" s="412"/>
      <c r="C1305" s="182"/>
      <c r="D1305" s="142"/>
      <c r="E1305" s="107"/>
      <c r="F1305" s="316"/>
      <c r="G1305" s="316"/>
      <c r="H1305" s="316"/>
      <c r="I1305" s="316"/>
      <c r="J1305" s="316"/>
      <c r="K1305" s="316"/>
      <c r="L1305" s="316"/>
      <c r="M1305" s="316"/>
      <c r="N1305" s="316"/>
      <c r="O1305" s="316"/>
      <c r="P1305" s="316"/>
      <c r="Q1305" s="316"/>
      <c r="R1305" s="316"/>
      <c r="S1305" s="316"/>
      <c r="T1305" s="316"/>
      <c r="U1305" s="316"/>
      <c r="V1305" s="316"/>
      <c r="W1305" s="316"/>
      <c r="X1305" s="316"/>
      <c r="Y1305" s="316"/>
      <c r="Z1305" s="316"/>
      <c r="AA1305" s="316"/>
      <c r="AB1305" s="316"/>
      <c r="AC1305" s="316"/>
      <c r="AD1305" s="316"/>
      <c r="AE1305" s="316"/>
      <c r="AF1305" s="316"/>
      <c r="AG1305" s="316"/>
      <c r="AH1305" s="316"/>
      <c r="AI1305" s="316"/>
      <c r="AJ1305" s="316"/>
      <c r="AK1305" s="316"/>
      <c r="AL1305" s="316"/>
      <c r="AM1305" s="316"/>
      <c r="AN1305" s="316"/>
      <c r="AO1305" s="316"/>
    </row>
    <row r="1306" spans="1:41" ht="15" customHeight="1" x14ac:dyDescent="0.25">
      <c r="A1306" s="402"/>
      <c r="B1306" s="412"/>
      <c r="C1306" s="182"/>
      <c r="D1306" s="142"/>
      <c r="E1306" s="107"/>
      <c r="F1306" s="316"/>
      <c r="G1306" s="316"/>
      <c r="H1306" s="316"/>
      <c r="I1306" s="316"/>
      <c r="J1306" s="316"/>
      <c r="K1306" s="316"/>
      <c r="L1306" s="316"/>
      <c r="M1306" s="316"/>
      <c r="N1306" s="316"/>
      <c r="O1306" s="316"/>
      <c r="P1306" s="316"/>
      <c r="Q1306" s="316"/>
      <c r="R1306" s="316"/>
      <c r="S1306" s="316"/>
      <c r="T1306" s="316"/>
      <c r="U1306" s="316"/>
      <c r="V1306" s="316"/>
      <c r="W1306" s="316"/>
      <c r="X1306" s="316"/>
      <c r="Y1306" s="316"/>
      <c r="Z1306" s="316"/>
      <c r="AA1306" s="316"/>
      <c r="AB1306" s="316"/>
      <c r="AC1306" s="316"/>
      <c r="AD1306" s="316"/>
      <c r="AE1306" s="316"/>
      <c r="AF1306" s="316"/>
      <c r="AG1306" s="316"/>
      <c r="AH1306" s="316"/>
      <c r="AI1306" s="316"/>
      <c r="AJ1306" s="316"/>
      <c r="AK1306" s="316"/>
      <c r="AL1306" s="316"/>
      <c r="AM1306" s="316"/>
      <c r="AN1306" s="316"/>
      <c r="AO1306" s="316"/>
    </row>
    <row r="1307" spans="1:41" ht="15" customHeight="1" x14ac:dyDescent="0.25">
      <c r="A1307" s="402"/>
      <c r="B1307" s="412"/>
      <c r="C1307" s="182"/>
      <c r="D1307" s="142"/>
      <c r="E1307" s="107"/>
      <c r="F1307" s="316"/>
      <c r="G1307" s="316"/>
      <c r="H1307" s="316"/>
      <c r="I1307" s="316"/>
      <c r="J1307" s="316"/>
      <c r="K1307" s="316"/>
      <c r="L1307" s="316"/>
      <c r="M1307" s="316"/>
      <c r="N1307" s="316"/>
      <c r="O1307" s="316"/>
      <c r="P1307" s="316"/>
      <c r="Q1307" s="316"/>
      <c r="R1307" s="316"/>
      <c r="S1307" s="316"/>
      <c r="T1307" s="316"/>
      <c r="U1307" s="316"/>
      <c r="V1307" s="316"/>
      <c r="W1307" s="316"/>
      <c r="X1307" s="316"/>
      <c r="Y1307" s="316"/>
      <c r="Z1307" s="316"/>
      <c r="AA1307" s="316"/>
      <c r="AB1307" s="316"/>
      <c r="AC1307" s="316"/>
      <c r="AD1307" s="316"/>
      <c r="AE1307" s="316"/>
      <c r="AF1307" s="316"/>
      <c r="AG1307" s="316"/>
      <c r="AH1307" s="316"/>
      <c r="AI1307" s="316"/>
      <c r="AJ1307" s="316"/>
      <c r="AK1307" s="316"/>
      <c r="AL1307" s="316"/>
      <c r="AM1307" s="316"/>
      <c r="AN1307" s="316"/>
      <c r="AO1307" s="316"/>
    </row>
    <row r="1308" spans="1:41" ht="15" customHeight="1" x14ac:dyDescent="0.25">
      <c r="A1308" s="402"/>
      <c r="B1308" s="412"/>
      <c r="C1308" s="182"/>
      <c r="D1308" s="142"/>
      <c r="E1308" s="107"/>
      <c r="F1308" s="316"/>
      <c r="G1308" s="316"/>
      <c r="H1308" s="316"/>
      <c r="I1308" s="316"/>
      <c r="J1308" s="316"/>
      <c r="K1308" s="316"/>
      <c r="L1308" s="316"/>
      <c r="M1308" s="316"/>
      <c r="N1308" s="316"/>
      <c r="O1308" s="316"/>
      <c r="P1308" s="316"/>
      <c r="Q1308" s="316"/>
      <c r="R1308" s="316"/>
      <c r="S1308" s="316"/>
      <c r="T1308" s="316"/>
      <c r="U1308" s="316"/>
      <c r="V1308" s="316"/>
      <c r="W1308" s="316"/>
      <c r="X1308" s="316"/>
      <c r="Y1308" s="316"/>
      <c r="Z1308" s="316"/>
      <c r="AA1308" s="316"/>
      <c r="AB1308" s="316"/>
      <c r="AC1308" s="316"/>
      <c r="AD1308" s="316"/>
      <c r="AE1308" s="316"/>
      <c r="AF1308" s="316"/>
      <c r="AG1308" s="316"/>
      <c r="AH1308" s="316"/>
      <c r="AI1308" s="316"/>
      <c r="AJ1308" s="316"/>
      <c r="AK1308" s="316"/>
      <c r="AL1308" s="316"/>
      <c r="AM1308" s="316"/>
      <c r="AN1308" s="316"/>
      <c r="AO1308" s="316"/>
    </row>
    <row r="1309" spans="1:41" ht="15" customHeight="1" x14ac:dyDescent="0.25">
      <c r="A1309" s="402"/>
      <c r="B1309" s="412"/>
      <c r="C1309" s="182"/>
      <c r="D1309" s="142"/>
      <c r="E1309" s="107"/>
      <c r="F1309" s="316"/>
      <c r="G1309" s="316"/>
      <c r="H1309" s="316"/>
      <c r="I1309" s="316"/>
      <c r="J1309" s="316"/>
      <c r="K1309" s="316"/>
      <c r="L1309" s="316"/>
      <c r="M1309" s="316"/>
      <c r="N1309" s="316"/>
      <c r="O1309" s="316"/>
      <c r="P1309" s="316"/>
      <c r="Q1309" s="316"/>
      <c r="R1309" s="316"/>
      <c r="S1309" s="316"/>
      <c r="T1309" s="316"/>
      <c r="U1309" s="316"/>
      <c r="V1309" s="316"/>
      <c r="W1309" s="316"/>
      <c r="X1309" s="316"/>
      <c r="Y1309" s="316"/>
      <c r="Z1309" s="316"/>
      <c r="AA1309" s="316"/>
      <c r="AB1309" s="316"/>
      <c r="AC1309" s="316"/>
      <c r="AD1309" s="316"/>
      <c r="AE1309" s="316"/>
      <c r="AF1309" s="316"/>
      <c r="AG1309" s="316"/>
      <c r="AH1309" s="316"/>
      <c r="AI1309" s="316"/>
      <c r="AJ1309" s="316"/>
      <c r="AK1309" s="316"/>
      <c r="AL1309" s="316"/>
      <c r="AM1309" s="316"/>
      <c r="AN1309" s="316"/>
      <c r="AO1309" s="316"/>
    </row>
    <row r="1310" spans="1:41" ht="15" customHeight="1" x14ac:dyDescent="0.25">
      <c r="A1310" s="402"/>
      <c r="B1310" s="412"/>
      <c r="C1310" s="182"/>
      <c r="D1310" s="142"/>
      <c r="E1310" s="107"/>
      <c r="F1310" s="316"/>
      <c r="G1310" s="316"/>
      <c r="H1310" s="316"/>
      <c r="I1310" s="316"/>
      <c r="J1310" s="316"/>
      <c r="K1310" s="316"/>
      <c r="L1310" s="316"/>
      <c r="M1310" s="316"/>
      <c r="N1310" s="316"/>
      <c r="O1310" s="316"/>
      <c r="P1310" s="316"/>
      <c r="Q1310" s="316"/>
      <c r="R1310" s="316"/>
      <c r="S1310" s="316"/>
      <c r="T1310" s="316"/>
      <c r="U1310" s="316"/>
      <c r="V1310" s="316"/>
      <c r="W1310" s="316"/>
      <c r="X1310" s="316"/>
      <c r="Y1310" s="316"/>
      <c r="Z1310" s="316"/>
      <c r="AA1310" s="316"/>
      <c r="AB1310" s="316"/>
      <c r="AC1310" s="316"/>
      <c r="AD1310" s="316"/>
      <c r="AE1310" s="316"/>
      <c r="AF1310" s="316"/>
      <c r="AG1310" s="316"/>
      <c r="AH1310" s="316"/>
      <c r="AI1310" s="316"/>
      <c r="AJ1310" s="316"/>
      <c r="AK1310" s="316"/>
      <c r="AL1310" s="316"/>
      <c r="AM1310" s="316"/>
      <c r="AN1310" s="316"/>
      <c r="AO1310" s="316"/>
    </row>
    <row r="1311" spans="1:41" ht="15" customHeight="1" x14ac:dyDescent="0.25">
      <c r="A1311" s="402"/>
      <c r="B1311" s="412"/>
      <c r="C1311" s="182"/>
      <c r="D1311" s="142"/>
      <c r="E1311" s="107"/>
      <c r="F1311" s="316"/>
      <c r="G1311" s="316"/>
      <c r="H1311" s="316"/>
      <c r="I1311" s="316"/>
      <c r="J1311" s="316"/>
      <c r="K1311" s="316"/>
      <c r="L1311" s="316"/>
      <c r="M1311" s="316"/>
      <c r="N1311" s="316"/>
      <c r="O1311" s="316"/>
      <c r="P1311" s="316"/>
      <c r="Q1311" s="316"/>
      <c r="R1311" s="316"/>
      <c r="S1311" s="316"/>
      <c r="T1311" s="316"/>
      <c r="U1311" s="316"/>
      <c r="V1311" s="316"/>
      <c r="W1311" s="316"/>
      <c r="X1311" s="316"/>
      <c r="Y1311" s="316"/>
      <c r="Z1311" s="316"/>
      <c r="AA1311" s="316"/>
      <c r="AB1311" s="316"/>
      <c r="AC1311" s="316"/>
      <c r="AD1311" s="316"/>
      <c r="AE1311" s="316"/>
      <c r="AF1311" s="316"/>
      <c r="AG1311" s="316"/>
      <c r="AH1311" s="316"/>
      <c r="AI1311" s="316"/>
      <c r="AJ1311" s="316"/>
      <c r="AK1311" s="316"/>
      <c r="AL1311" s="316"/>
      <c r="AM1311" s="316"/>
      <c r="AN1311" s="316"/>
      <c r="AO1311" s="316"/>
    </row>
    <row r="1312" spans="1:41" ht="15" customHeight="1" x14ac:dyDescent="0.25">
      <c r="A1312" s="402"/>
      <c r="B1312" s="412"/>
      <c r="C1312" s="181"/>
      <c r="D1312" s="142"/>
      <c r="E1312" s="107"/>
      <c r="F1312" s="316"/>
      <c r="G1312" s="316"/>
      <c r="H1312" s="316"/>
      <c r="I1312" s="316"/>
      <c r="J1312" s="316"/>
      <c r="K1312" s="316"/>
      <c r="L1312" s="316"/>
      <c r="M1312" s="316"/>
      <c r="N1312" s="316"/>
      <c r="O1312" s="316"/>
      <c r="P1312" s="316"/>
      <c r="Q1312" s="316"/>
      <c r="R1312" s="316"/>
      <c r="S1312" s="316"/>
      <c r="T1312" s="316"/>
      <c r="U1312" s="316"/>
      <c r="V1312" s="316"/>
      <c r="W1312" s="316"/>
      <c r="X1312" s="316"/>
      <c r="Y1312" s="316"/>
      <c r="Z1312" s="316"/>
      <c r="AA1312" s="316"/>
      <c r="AB1312" s="316"/>
      <c r="AC1312" s="316"/>
      <c r="AD1312" s="316"/>
      <c r="AE1312" s="316"/>
      <c r="AF1312" s="316"/>
      <c r="AG1312" s="316"/>
      <c r="AH1312" s="316"/>
      <c r="AI1312" s="316"/>
      <c r="AJ1312" s="316"/>
      <c r="AK1312" s="316"/>
      <c r="AL1312" s="316"/>
      <c r="AM1312" s="316"/>
      <c r="AN1312" s="316"/>
      <c r="AO1312" s="316"/>
    </row>
    <row r="1313" spans="1:41" ht="15" customHeight="1" x14ac:dyDescent="0.25">
      <c r="A1313" s="402"/>
      <c r="B1313" s="407" t="s">
        <v>1000</v>
      </c>
      <c r="C1313" s="183" t="s">
        <v>531</v>
      </c>
      <c r="D1313" s="138"/>
      <c r="E1313" s="70"/>
      <c r="F1313" s="317"/>
      <c r="G1313" s="317"/>
      <c r="H1313" s="317"/>
      <c r="I1313" s="317"/>
      <c r="J1313" s="317"/>
      <c r="K1313" s="317"/>
      <c r="L1313" s="317"/>
      <c r="M1313" s="317"/>
      <c r="N1313" s="317"/>
      <c r="O1313" s="317"/>
      <c r="P1313" s="317"/>
      <c r="Q1313" s="317"/>
      <c r="R1313" s="317"/>
      <c r="S1313" s="317"/>
      <c r="T1313" s="317"/>
      <c r="U1313" s="317"/>
      <c r="V1313" s="317"/>
      <c r="W1313" s="317"/>
      <c r="X1313" s="317"/>
      <c r="Y1313" s="317"/>
      <c r="Z1313" s="317"/>
      <c r="AA1313" s="317"/>
      <c r="AB1313" s="317"/>
      <c r="AC1313" s="317"/>
      <c r="AD1313" s="317"/>
      <c r="AE1313" s="317"/>
      <c r="AF1313" s="317"/>
      <c r="AG1313" s="317"/>
      <c r="AH1313" s="317"/>
      <c r="AI1313" s="317"/>
      <c r="AJ1313" s="317"/>
      <c r="AK1313" s="317"/>
      <c r="AL1313" s="317"/>
      <c r="AM1313" s="317"/>
      <c r="AN1313" s="317"/>
      <c r="AO1313" s="317"/>
    </row>
    <row r="1314" spans="1:41" s="73" customFormat="1" ht="15" customHeight="1" x14ac:dyDescent="0.25">
      <c r="A1314" s="402"/>
      <c r="B1314" s="407"/>
      <c r="C1314" s="184" t="s">
        <v>995</v>
      </c>
      <c r="D1314" s="138"/>
      <c r="E1314" s="81"/>
      <c r="F1314" s="317"/>
      <c r="G1314" s="317"/>
      <c r="H1314" s="317"/>
      <c r="I1314" s="317"/>
      <c r="J1314" s="317"/>
      <c r="K1314" s="317"/>
      <c r="L1314" s="317"/>
      <c r="M1314" s="317"/>
      <c r="N1314" s="317"/>
      <c r="O1314" s="317"/>
      <c r="P1314" s="317"/>
      <c r="Q1314" s="317"/>
      <c r="R1314" s="317"/>
      <c r="S1314" s="317"/>
      <c r="T1314" s="317"/>
      <c r="U1314" s="317"/>
      <c r="V1314" s="317"/>
      <c r="W1314" s="317"/>
      <c r="X1314" s="317"/>
      <c r="Y1314" s="317"/>
      <c r="Z1314" s="317"/>
      <c r="AA1314" s="317"/>
      <c r="AB1314" s="317"/>
      <c r="AC1314" s="317"/>
      <c r="AD1314" s="317"/>
      <c r="AE1314" s="317"/>
      <c r="AF1314" s="317"/>
      <c r="AG1314" s="317"/>
      <c r="AH1314" s="317"/>
      <c r="AI1314" s="317"/>
      <c r="AJ1314" s="317"/>
      <c r="AK1314" s="317"/>
      <c r="AL1314" s="317"/>
      <c r="AM1314" s="317"/>
      <c r="AN1314" s="317"/>
      <c r="AO1314" s="317"/>
    </row>
    <row r="1315" spans="1:41" ht="15" customHeight="1" x14ac:dyDescent="0.25">
      <c r="A1315" s="402"/>
      <c r="B1315" s="407"/>
      <c r="C1315" s="184" t="s">
        <v>996</v>
      </c>
      <c r="D1315" s="138"/>
      <c r="E1315" s="70"/>
      <c r="F1315" s="317"/>
      <c r="G1315" s="317"/>
      <c r="H1315" s="317"/>
      <c r="I1315" s="317"/>
      <c r="J1315" s="317"/>
      <c r="K1315" s="317"/>
      <c r="L1315" s="317"/>
      <c r="M1315" s="317"/>
      <c r="N1315" s="317"/>
      <c r="O1315" s="317"/>
      <c r="P1315" s="317"/>
      <c r="Q1315" s="317"/>
      <c r="R1315" s="317"/>
      <c r="S1315" s="317"/>
      <c r="T1315" s="317"/>
      <c r="U1315" s="317"/>
      <c r="V1315" s="317"/>
      <c r="W1315" s="317"/>
      <c r="X1315" s="317"/>
      <c r="Y1315" s="317"/>
      <c r="Z1315" s="317"/>
      <c r="AA1315" s="317"/>
      <c r="AB1315" s="317"/>
      <c r="AC1315" s="317"/>
      <c r="AD1315" s="317"/>
      <c r="AE1315" s="317"/>
      <c r="AF1315" s="317"/>
      <c r="AG1315" s="317"/>
      <c r="AH1315" s="317"/>
      <c r="AI1315" s="317"/>
      <c r="AJ1315" s="317"/>
      <c r="AK1315" s="317"/>
      <c r="AL1315" s="317"/>
      <c r="AM1315" s="317"/>
      <c r="AN1315" s="317"/>
      <c r="AO1315" s="317"/>
    </row>
    <row r="1316" spans="1:41" ht="15" customHeight="1" x14ac:dyDescent="0.25">
      <c r="A1316" s="402"/>
      <c r="B1316" s="407"/>
      <c r="C1316" s="185" t="s">
        <v>997</v>
      </c>
      <c r="D1316" s="143"/>
      <c r="E1316" s="103"/>
      <c r="F1316" s="318"/>
      <c r="G1316" s="318"/>
      <c r="H1316" s="318"/>
      <c r="I1316" s="318"/>
      <c r="J1316" s="318"/>
      <c r="K1316" s="318"/>
      <c r="L1316" s="318"/>
      <c r="M1316" s="318"/>
      <c r="N1316" s="318"/>
      <c r="O1316" s="318"/>
      <c r="P1316" s="318"/>
      <c r="Q1316" s="318"/>
      <c r="R1316" s="318"/>
      <c r="S1316" s="318"/>
      <c r="T1316" s="318"/>
      <c r="U1316" s="318"/>
      <c r="V1316" s="318"/>
      <c r="W1316" s="318"/>
      <c r="X1316" s="318"/>
      <c r="Y1316" s="318"/>
      <c r="Z1316" s="318"/>
      <c r="AA1316" s="318"/>
      <c r="AB1316" s="318"/>
      <c r="AC1316" s="318"/>
      <c r="AD1316" s="318"/>
      <c r="AE1316" s="318"/>
      <c r="AF1316" s="318"/>
      <c r="AG1316" s="318"/>
      <c r="AH1316" s="318"/>
      <c r="AI1316" s="318"/>
      <c r="AJ1316" s="318"/>
      <c r="AK1316" s="318"/>
      <c r="AL1316" s="318"/>
      <c r="AM1316" s="318"/>
      <c r="AN1316" s="318"/>
      <c r="AO1316" s="318"/>
    </row>
    <row r="1317" spans="1:41" s="73" customFormat="1" ht="15" customHeight="1" x14ac:dyDescent="0.25">
      <c r="A1317" s="402"/>
      <c r="B1317" s="407"/>
      <c r="C1317" s="186" t="s">
        <v>456</v>
      </c>
      <c r="D1317" s="138"/>
      <c r="E1317" s="81"/>
      <c r="F1317" s="317"/>
      <c r="G1317" s="317"/>
      <c r="H1317" s="317"/>
      <c r="I1317" s="317"/>
      <c r="J1317" s="317"/>
      <c r="K1317" s="317"/>
      <c r="L1317" s="317"/>
      <c r="M1317" s="317"/>
      <c r="N1317" s="317"/>
      <c r="O1317" s="317"/>
      <c r="P1317" s="317"/>
      <c r="Q1317" s="317"/>
      <c r="R1317" s="317"/>
      <c r="S1317" s="317"/>
      <c r="T1317" s="317"/>
      <c r="U1317" s="317"/>
      <c r="V1317" s="317"/>
      <c r="W1317" s="317"/>
      <c r="X1317" s="317"/>
      <c r="Y1317" s="317"/>
      <c r="Z1317" s="317"/>
      <c r="AA1317" s="317"/>
      <c r="AB1317" s="317"/>
      <c r="AC1317" s="317"/>
      <c r="AD1317" s="317"/>
      <c r="AE1317" s="317"/>
      <c r="AF1317" s="317"/>
      <c r="AG1317" s="317"/>
      <c r="AH1317" s="317"/>
      <c r="AI1317" s="317"/>
      <c r="AJ1317" s="317"/>
      <c r="AK1317" s="317"/>
      <c r="AL1317" s="317"/>
      <c r="AM1317" s="317"/>
      <c r="AN1317" s="317"/>
      <c r="AO1317" s="317"/>
    </row>
    <row r="1318" spans="1:41" s="73" customFormat="1" ht="15" customHeight="1" x14ac:dyDescent="0.25">
      <c r="A1318" s="402"/>
      <c r="B1318" s="407"/>
      <c r="C1318" s="184" t="s">
        <v>995</v>
      </c>
      <c r="D1318" s="138"/>
      <c r="E1318" s="81"/>
      <c r="F1318" s="317"/>
      <c r="G1318" s="317"/>
      <c r="H1318" s="317"/>
      <c r="I1318" s="317"/>
      <c r="J1318" s="317"/>
      <c r="K1318" s="317"/>
      <c r="L1318" s="317"/>
      <c r="M1318" s="317"/>
      <c r="N1318" s="317"/>
      <c r="O1318" s="317"/>
      <c r="P1318" s="317"/>
      <c r="Q1318" s="317"/>
      <c r="R1318" s="317"/>
      <c r="S1318" s="317"/>
      <c r="T1318" s="317"/>
      <c r="U1318" s="317"/>
      <c r="V1318" s="317"/>
      <c r="W1318" s="317"/>
      <c r="X1318" s="317"/>
      <c r="Y1318" s="317"/>
      <c r="Z1318" s="317"/>
      <c r="AA1318" s="317"/>
      <c r="AB1318" s="317"/>
      <c r="AC1318" s="317"/>
      <c r="AD1318" s="317"/>
      <c r="AE1318" s="317"/>
      <c r="AF1318" s="317"/>
      <c r="AG1318" s="317"/>
      <c r="AH1318" s="317"/>
      <c r="AI1318" s="317"/>
      <c r="AJ1318" s="317"/>
      <c r="AK1318" s="317"/>
      <c r="AL1318" s="317"/>
      <c r="AM1318" s="317"/>
      <c r="AN1318" s="317"/>
      <c r="AO1318" s="317"/>
    </row>
    <row r="1319" spans="1:41" s="73" customFormat="1" ht="15" customHeight="1" x14ac:dyDescent="0.25">
      <c r="A1319" s="402"/>
      <c r="B1319" s="407"/>
      <c r="C1319" s="184" t="s">
        <v>996</v>
      </c>
      <c r="D1319" s="138"/>
      <c r="E1319" s="81"/>
      <c r="F1319" s="317"/>
      <c r="G1319" s="317"/>
      <c r="H1319" s="317"/>
      <c r="I1319" s="317"/>
      <c r="J1319" s="317"/>
      <c r="K1319" s="317"/>
      <c r="L1319" s="317"/>
      <c r="M1319" s="317"/>
      <c r="N1319" s="317"/>
      <c r="O1319" s="317"/>
      <c r="P1319" s="317"/>
      <c r="Q1319" s="317"/>
      <c r="R1319" s="317"/>
      <c r="S1319" s="317"/>
      <c r="T1319" s="317"/>
      <c r="U1319" s="317"/>
      <c r="V1319" s="317"/>
      <c r="W1319" s="317"/>
      <c r="X1319" s="317"/>
      <c r="Y1319" s="317"/>
      <c r="Z1319" s="317"/>
      <c r="AA1319" s="317"/>
      <c r="AB1319" s="317"/>
      <c r="AC1319" s="317"/>
      <c r="AD1319" s="317"/>
      <c r="AE1319" s="317"/>
      <c r="AF1319" s="317"/>
      <c r="AG1319" s="317"/>
      <c r="AH1319" s="317"/>
      <c r="AI1319" s="317"/>
      <c r="AJ1319" s="317"/>
      <c r="AK1319" s="317"/>
      <c r="AL1319" s="317"/>
      <c r="AM1319" s="317"/>
      <c r="AN1319" s="317"/>
      <c r="AO1319" s="317"/>
    </row>
    <row r="1320" spans="1:41" ht="15" customHeight="1" x14ac:dyDescent="0.25">
      <c r="A1320" s="402"/>
      <c r="B1320" s="407"/>
      <c r="C1320" s="184" t="s">
        <v>997</v>
      </c>
      <c r="D1320" s="138"/>
      <c r="E1320" s="63"/>
      <c r="F1320" s="317"/>
      <c r="G1320" s="317"/>
      <c r="H1320" s="317"/>
      <c r="I1320" s="317"/>
      <c r="J1320" s="317"/>
      <c r="K1320" s="317"/>
      <c r="L1320" s="317"/>
      <c r="M1320" s="317"/>
      <c r="N1320" s="317"/>
      <c r="O1320" s="317"/>
      <c r="P1320" s="317"/>
      <c r="Q1320" s="317"/>
      <c r="R1320" s="317"/>
      <c r="S1320" s="317"/>
      <c r="T1320" s="317"/>
      <c r="U1320" s="317"/>
      <c r="V1320" s="317"/>
      <c r="W1320" s="317"/>
      <c r="X1320" s="317"/>
      <c r="Y1320" s="317"/>
      <c r="Z1320" s="317"/>
      <c r="AA1320" s="317"/>
      <c r="AB1320" s="317"/>
      <c r="AC1320" s="317"/>
      <c r="AD1320" s="317"/>
      <c r="AE1320" s="317"/>
      <c r="AF1320" s="317"/>
      <c r="AG1320" s="317"/>
      <c r="AH1320" s="317"/>
      <c r="AI1320" s="317"/>
      <c r="AJ1320" s="317"/>
      <c r="AK1320" s="317"/>
      <c r="AL1320" s="317"/>
      <c r="AM1320" s="317"/>
      <c r="AN1320" s="317"/>
      <c r="AO1320" s="317"/>
    </row>
    <row r="1321" spans="1:41" s="108" customFormat="1" ht="15" customHeight="1" x14ac:dyDescent="0.25">
      <c r="A1321" s="402"/>
      <c r="B1321" s="403" t="s">
        <v>1001</v>
      </c>
      <c r="C1321" s="85" t="s">
        <v>751</v>
      </c>
      <c r="D1321" s="152"/>
      <c r="E1321" s="85" t="s">
        <v>680</v>
      </c>
      <c r="F1321" s="368"/>
      <c r="G1321" s="368"/>
      <c r="H1321" s="368"/>
      <c r="I1321" s="368"/>
      <c r="J1321" s="369"/>
      <c r="K1321" s="369"/>
      <c r="L1321" s="369"/>
      <c r="M1321" s="369"/>
      <c r="N1321" s="369"/>
      <c r="O1321" s="369"/>
      <c r="P1321" s="369"/>
      <c r="Q1321" s="369"/>
      <c r="R1321" s="369"/>
      <c r="S1321" s="369"/>
      <c r="T1321" s="369"/>
      <c r="U1321" s="369"/>
      <c r="V1321" s="369"/>
      <c r="W1321" s="369"/>
      <c r="X1321" s="369"/>
      <c r="Y1321" s="369"/>
      <c r="Z1321" s="369"/>
      <c r="AA1321" s="369"/>
      <c r="AB1321" s="369"/>
      <c r="AC1321" s="369"/>
      <c r="AD1321" s="369"/>
      <c r="AE1321" s="369"/>
      <c r="AF1321" s="369"/>
      <c r="AG1321" s="369"/>
      <c r="AH1321" s="369"/>
      <c r="AI1321" s="369"/>
      <c r="AJ1321" s="369"/>
      <c r="AK1321" s="369"/>
      <c r="AL1321" s="369"/>
      <c r="AM1321" s="369"/>
      <c r="AN1321" s="369"/>
      <c r="AO1321" s="369"/>
    </row>
    <row r="1322" spans="1:41" s="73" customFormat="1" ht="15" customHeight="1" x14ac:dyDescent="0.25">
      <c r="A1322" s="402"/>
      <c r="B1322" s="404"/>
      <c r="C1322" s="82" t="s">
        <v>604</v>
      </c>
      <c r="D1322" s="86"/>
      <c r="E1322" s="82" t="s">
        <v>681</v>
      </c>
      <c r="F1322" s="368"/>
      <c r="G1322" s="368"/>
      <c r="H1322" s="368"/>
      <c r="I1322" s="368"/>
      <c r="J1322" s="370"/>
      <c r="K1322" s="370"/>
      <c r="L1322" s="370"/>
      <c r="M1322" s="370"/>
      <c r="N1322" s="370"/>
      <c r="O1322" s="370"/>
      <c r="P1322" s="370"/>
      <c r="Q1322" s="370"/>
      <c r="R1322" s="370"/>
      <c r="S1322" s="370"/>
      <c r="T1322" s="370"/>
      <c r="U1322" s="370"/>
      <c r="V1322" s="370"/>
      <c r="W1322" s="370"/>
      <c r="X1322" s="370"/>
      <c r="Y1322" s="370"/>
      <c r="Z1322" s="370"/>
      <c r="AA1322" s="370"/>
      <c r="AB1322" s="370"/>
      <c r="AC1322" s="370"/>
      <c r="AD1322" s="370"/>
      <c r="AE1322" s="370"/>
      <c r="AF1322" s="370"/>
      <c r="AG1322" s="370"/>
      <c r="AH1322" s="370"/>
      <c r="AI1322" s="370"/>
      <c r="AJ1322" s="370"/>
      <c r="AK1322" s="370"/>
      <c r="AL1322" s="370"/>
      <c r="AM1322" s="370"/>
      <c r="AN1322" s="370"/>
      <c r="AO1322" s="370"/>
    </row>
    <row r="1323" spans="1:41" s="73" customFormat="1" ht="15" customHeight="1" x14ac:dyDescent="0.25">
      <c r="A1323" s="402"/>
      <c r="B1323" s="404"/>
      <c r="C1323" s="82" t="s">
        <v>605</v>
      </c>
      <c r="D1323" s="86"/>
      <c r="E1323" s="82" t="s">
        <v>682</v>
      </c>
      <c r="F1323" s="368"/>
      <c r="G1323" s="368"/>
      <c r="H1323" s="368"/>
      <c r="I1323" s="368"/>
      <c r="J1323" s="370"/>
      <c r="K1323" s="370"/>
      <c r="L1323" s="370"/>
      <c r="M1323" s="370"/>
      <c r="N1323" s="370"/>
      <c r="O1323" s="370"/>
      <c r="P1323" s="370"/>
      <c r="Q1323" s="370"/>
      <c r="R1323" s="370"/>
      <c r="S1323" s="370"/>
      <c r="T1323" s="370"/>
      <c r="U1323" s="370"/>
      <c r="V1323" s="370"/>
      <c r="W1323" s="370"/>
      <c r="X1323" s="370"/>
      <c r="Y1323" s="370"/>
      <c r="Z1323" s="370"/>
      <c r="AA1323" s="370"/>
      <c r="AB1323" s="370"/>
      <c r="AC1323" s="370"/>
      <c r="AD1323" s="370"/>
      <c r="AE1323" s="370"/>
      <c r="AF1323" s="370"/>
      <c r="AG1323" s="370"/>
      <c r="AH1323" s="370"/>
      <c r="AI1323" s="370"/>
      <c r="AJ1323" s="370"/>
      <c r="AK1323" s="370"/>
      <c r="AL1323" s="370"/>
      <c r="AM1323" s="370"/>
      <c r="AN1323" s="370"/>
      <c r="AO1323" s="370"/>
    </row>
    <row r="1324" spans="1:41" s="73" customFormat="1" ht="15" customHeight="1" x14ac:dyDescent="0.25">
      <c r="A1324" s="402"/>
      <c r="B1324" s="404"/>
      <c r="C1324" s="82" t="s">
        <v>606</v>
      </c>
      <c r="D1324" s="86"/>
      <c r="E1324" s="82" t="s">
        <v>683</v>
      </c>
      <c r="F1324" s="368"/>
      <c r="G1324" s="368"/>
      <c r="H1324" s="368"/>
      <c r="I1324" s="368"/>
      <c r="J1324" s="370"/>
      <c r="K1324" s="370"/>
      <c r="L1324" s="370"/>
      <c r="M1324" s="370"/>
      <c r="N1324" s="370"/>
      <c r="O1324" s="370"/>
      <c r="P1324" s="370"/>
      <c r="Q1324" s="370"/>
      <c r="R1324" s="370"/>
      <c r="S1324" s="370"/>
      <c r="T1324" s="370"/>
      <c r="U1324" s="370"/>
      <c r="V1324" s="370"/>
      <c r="W1324" s="370"/>
      <c r="X1324" s="370"/>
      <c r="Y1324" s="370"/>
      <c r="Z1324" s="370"/>
      <c r="AA1324" s="370"/>
      <c r="AB1324" s="370"/>
      <c r="AC1324" s="370"/>
      <c r="AD1324" s="370"/>
      <c r="AE1324" s="370"/>
      <c r="AF1324" s="370"/>
      <c r="AG1324" s="370"/>
      <c r="AH1324" s="370"/>
      <c r="AI1324" s="370"/>
      <c r="AJ1324" s="370"/>
      <c r="AK1324" s="370"/>
      <c r="AL1324" s="370"/>
      <c r="AM1324" s="370"/>
      <c r="AN1324" s="370"/>
      <c r="AO1324" s="370"/>
    </row>
    <row r="1325" spans="1:41" s="73" customFormat="1" ht="15" customHeight="1" x14ac:dyDescent="0.25">
      <c r="A1325" s="402"/>
      <c r="B1325" s="404"/>
      <c r="C1325" s="82" t="s">
        <v>607</v>
      </c>
      <c r="D1325" s="86"/>
      <c r="E1325" s="82" t="s">
        <v>684</v>
      </c>
      <c r="F1325" s="368"/>
      <c r="G1325" s="368"/>
      <c r="H1325" s="368"/>
      <c r="I1325" s="368"/>
      <c r="J1325" s="370"/>
      <c r="K1325" s="370"/>
      <c r="L1325" s="370"/>
      <c r="M1325" s="370"/>
      <c r="N1325" s="370"/>
      <c r="O1325" s="370"/>
      <c r="P1325" s="370"/>
      <c r="Q1325" s="370"/>
      <c r="R1325" s="370"/>
      <c r="S1325" s="370"/>
      <c r="T1325" s="370"/>
      <c r="U1325" s="370"/>
      <c r="V1325" s="370"/>
      <c r="W1325" s="370"/>
      <c r="X1325" s="370"/>
      <c r="Y1325" s="370"/>
      <c r="Z1325" s="370"/>
      <c r="AA1325" s="370"/>
      <c r="AB1325" s="370"/>
      <c r="AC1325" s="370"/>
      <c r="AD1325" s="370"/>
      <c r="AE1325" s="370"/>
      <c r="AF1325" s="370"/>
      <c r="AG1325" s="370"/>
      <c r="AH1325" s="370"/>
      <c r="AI1325" s="370"/>
      <c r="AJ1325" s="370"/>
      <c r="AK1325" s="370"/>
      <c r="AL1325" s="370"/>
      <c r="AM1325" s="370"/>
      <c r="AN1325" s="370"/>
      <c r="AO1325" s="370"/>
    </row>
    <row r="1326" spans="1:41" s="73" customFormat="1" ht="15" customHeight="1" x14ac:dyDescent="0.25">
      <c r="A1326" s="402"/>
      <c r="B1326" s="404"/>
      <c r="C1326" s="82" t="s">
        <v>608</v>
      </c>
      <c r="D1326" s="86"/>
      <c r="E1326" s="82" t="s">
        <v>685</v>
      </c>
      <c r="F1326" s="368"/>
      <c r="G1326" s="368"/>
      <c r="H1326" s="368"/>
      <c r="I1326" s="368"/>
      <c r="J1326" s="370"/>
      <c r="K1326" s="370"/>
      <c r="L1326" s="370"/>
      <c r="M1326" s="370"/>
      <c r="N1326" s="370"/>
      <c r="O1326" s="370"/>
      <c r="P1326" s="370"/>
      <c r="Q1326" s="370"/>
      <c r="R1326" s="370"/>
      <c r="S1326" s="370"/>
      <c r="T1326" s="370"/>
      <c r="U1326" s="370"/>
      <c r="V1326" s="370"/>
      <c r="W1326" s="370"/>
      <c r="X1326" s="370"/>
      <c r="Y1326" s="370"/>
      <c r="Z1326" s="370"/>
      <c r="AA1326" s="370"/>
      <c r="AB1326" s="370"/>
      <c r="AC1326" s="370"/>
      <c r="AD1326" s="370"/>
      <c r="AE1326" s="370"/>
      <c r="AF1326" s="370"/>
      <c r="AG1326" s="370"/>
      <c r="AH1326" s="370"/>
      <c r="AI1326" s="370"/>
      <c r="AJ1326" s="370"/>
      <c r="AK1326" s="370"/>
      <c r="AL1326" s="370"/>
      <c r="AM1326" s="370"/>
      <c r="AN1326" s="370"/>
      <c r="AO1326" s="370"/>
    </row>
    <row r="1327" spans="1:41" s="73" customFormat="1" ht="15" customHeight="1" x14ac:dyDescent="0.25">
      <c r="A1327" s="402"/>
      <c r="B1327" s="404"/>
      <c r="C1327" s="82" t="s">
        <v>609</v>
      </c>
      <c r="D1327" s="86"/>
      <c r="E1327" s="82" t="s">
        <v>686</v>
      </c>
      <c r="F1327" s="368"/>
      <c r="G1327" s="368"/>
      <c r="H1327" s="368"/>
      <c r="I1327" s="368"/>
      <c r="J1327" s="370"/>
      <c r="K1327" s="370"/>
      <c r="L1327" s="370"/>
      <c r="M1327" s="370"/>
      <c r="N1327" s="370"/>
      <c r="O1327" s="370"/>
      <c r="P1327" s="370"/>
      <c r="Q1327" s="370"/>
      <c r="R1327" s="370"/>
      <c r="S1327" s="370"/>
      <c r="T1327" s="370"/>
      <c r="U1327" s="370"/>
      <c r="V1327" s="370"/>
      <c r="W1327" s="370"/>
      <c r="X1327" s="370"/>
      <c r="Y1327" s="370"/>
      <c r="Z1327" s="370"/>
      <c r="AA1327" s="370"/>
      <c r="AB1327" s="370"/>
      <c r="AC1327" s="370"/>
      <c r="AD1327" s="370"/>
      <c r="AE1327" s="370"/>
      <c r="AF1327" s="370"/>
      <c r="AG1327" s="370"/>
      <c r="AH1327" s="370"/>
      <c r="AI1327" s="370"/>
      <c r="AJ1327" s="370"/>
      <c r="AK1327" s="370"/>
      <c r="AL1327" s="370"/>
      <c r="AM1327" s="370"/>
      <c r="AN1327" s="370"/>
      <c r="AO1327" s="370"/>
    </row>
    <row r="1328" spans="1:41" s="73" customFormat="1" ht="15" customHeight="1" x14ac:dyDescent="0.25">
      <c r="A1328" s="402"/>
      <c r="B1328" s="404"/>
      <c r="C1328" s="82" t="s">
        <v>610</v>
      </c>
      <c r="D1328" s="86"/>
      <c r="E1328" s="82" t="s">
        <v>687</v>
      </c>
      <c r="F1328" s="368"/>
      <c r="G1328" s="368"/>
      <c r="H1328" s="368"/>
      <c r="I1328" s="368"/>
      <c r="J1328" s="370"/>
      <c r="K1328" s="370"/>
      <c r="L1328" s="370"/>
      <c r="M1328" s="370"/>
      <c r="N1328" s="370"/>
      <c r="O1328" s="370"/>
      <c r="P1328" s="370"/>
      <c r="Q1328" s="370"/>
      <c r="R1328" s="370"/>
      <c r="S1328" s="370"/>
      <c r="T1328" s="370"/>
      <c r="U1328" s="370"/>
      <c r="V1328" s="370"/>
      <c r="W1328" s="370"/>
      <c r="X1328" s="370"/>
      <c r="Y1328" s="370"/>
      <c r="Z1328" s="370"/>
      <c r="AA1328" s="370"/>
      <c r="AB1328" s="370"/>
      <c r="AC1328" s="370"/>
      <c r="AD1328" s="370"/>
      <c r="AE1328" s="370"/>
      <c r="AF1328" s="370"/>
      <c r="AG1328" s="370"/>
      <c r="AH1328" s="370"/>
      <c r="AI1328" s="370"/>
      <c r="AJ1328" s="370"/>
      <c r="AK1328" s="370"/>
      <c r="AL1328" s="370"/>
      <c r="AM1328" s="370"/>
      <c r="AN1328" s="370"/>
      <c r="AO1328" s="370"/>
    </row>
    <row r="1329" spans="1:41" s="73" customFormat="1" ht="15" customHeight="1" x14ac:dyDescent="0.25">
      <c r="A1329" s="402"/>
      <c r="B1329" s="404"/>
      <c r="C1329" s="82" t="s">
        <v>611</v>
      </c>
      <c r="D1329" s="86"/>
      <c r="E1329" s="82" t="s">
        <v>688</v>
      </c>
      <c r="F1329" s="368"/>
      <c r="G1329" s="368"/>
      <c r="H1329" s="368"/>
      <c r="I1329" s="368"/>
      <c r="J1329" s="370"/>
      <c r="K1329" s="370"/>
      <c r="L1329" s="370"/>
      <c r="M1329" s="370"/>
      <c r="N1329" s="370"/>
      <c r="O1329" s="370"/>
      <c r="P1329" s="370"/>
      <c r="Q1329" s="370"/>
      <c r="R1329" s="370"/>
      <c r="S1329" s="370"/>
      <c r="T1329" s="370"/>
      <c r="U1329" s="370"/>
      <c r="V1329" s="370"/>
      <c r="W1329" s="370"/>
      <c r="X1329" s="370"/>
      <c r="Y1329" s="370"/>
      <c r="Z1329" s="370"/>
      <c r="AA1329" s="370"/>
      <c r="AB1329" s="370"/>
      <c r="AC1329" s="370"/>
      <c r="AD1329" s="370"/>
      <c r="AE1329" s="370"/>
      <c r="AF1329" s="370"/>
      <c r="AG1329" s="370"/>
      <c r="AH1329" s="370"/>
      <c r="AI1329" s="370"/>
      <c r="AJ1329" s="370"/>
      <c r="AK1329" s="370"/>
      <c r="AL1329" s="370"/>
      <c r="AM1329" s="370"/>
      <c r="AN1329" s="370"/>
      <c r="AO1329" s="370"/>
    </row>
    <row r="1330" spans="1:41" s="73" customFormat="1" ht="15" customHeight="1" x14ac:dyDescent="0.25">
      <c r="A1330" s="402"/>
      <c r="B1330" s="404"/>
      <c r="C1330" s="82" t="s">
        <v>612</v>
      </c>
      <c r="D1330" s="86"/>
      <c r="E1330" s="82" t="s">
        <v>689</v>
      </c>
      <c r="F1330" s="368"/>
      <c r="G1330" s="368"/>
      <c r="H1330" s="368"/>
      <c r="I1330" s="368"/>
      <c r="J1330" s="370"/>
      <c r="K1330" s="370"/>
      <c r="L1330" s="370"/>
      <c r="M1330" s="370"/>
      <c r="N1330" s="370"/>
      <c r="O1330" s="370"/>
      <c r="P1330" s="370"/>
      <c r="Q1330" s="370"/>
      <c r="R1330" s="370"/>
      <c r="S1330" s="370"/>
      <c r="T1330" s="370"/>
      <c r="U1330" s="370"/>
      <c r="V1330" s="370"/>
      <c r="W1330" s="370"/>
      <c r="X1330" s="370"/>
      <c r="Y1330" s="370"/>
      <c r="Z1330" s="370"/>
      <c r="AA1330" s="370"/>
      <c r="AB1330" s="370"/>
      <c r="AC1330" s="370"/>
      <c r="AD1330" s="370"/>
      <c r="AE1330" s="370"/>
      <c r="AF1330" s="370"/>
      <c r="AG1330" s="370"/>
      <c r="AH1330" s="370"/>
      <c r="AI1330" s="370"/>
      <c r="AJ1330" s="370"/>
      <c r="AK1330" s="370"/>
      <c r="AL1330" s="370"/>
      <c r="AM1330" s="370"/>
      <c r="AN1330" s="370"/>
      <c r="AO1330" s="370"/>
    </row>
    <row r="1331" spans="1:41" s="73" customFormat="1" ht="15" customHeight="1" x14ac:dyDescent="0.25">
      <c r="A1331" s="402"/>
      <c r="B1331" s="404"/>
      <c r="C1331" s="82" t="s">
        <v>613</v>
      </c>
      <c r="D1331" s="86"/>
      <c r="E1331" s="367" t="s">
        <v>690</v>
      </c>
      <c r="F1331" s="368"/>
      <c r="G1331" s="368"/>
      <c r="H1331" s="368"/>
      <c r="I1331" s="368"/>
      <c r="J1331" s="370"/>
      <c r="K1331" s="370"/>
      <c r="L1331" s="370"/>
      <c r="M1331" s="370"/>
      <c r="N1331" s="370"/>
      <c r="O1331" s="370"/>
      <c r="P1331" s="370"/>
      <c r="Q1331" s="370"/>
      <c r="R1331" s="370"/>
      <c r="S1331" s="370"/>
      <c r="T1331" s="370"/>
      <c r="U1331" s="370"/>
      <c r="V1331" s="370"/>
      <c r="W1331" s="370"/>
      <c r="X1331" s="370"/>
      <c r="Y1331" s="370"/>
      <c r="Z1331" s="370"/>
      <c r="AA1331" s="370"/>
      <c r="AB1331" s="370"/>
      <c r="AC1331" s="370"/>
      <c r="AD1331" s="370"/>
      <c r="AE1331" s="370"/>
      <c r="AF1331" s="370"/>
      <c r="AG1331" s="370"/>
      <c r="AH1331" s="370"/>
      <c r="AI1331" s="370"/>
      <c r="AJ1331" s="370"/>
      <c r="AK1331" s="370"/>
      <c r="AL1331" s="370"/>
      <c r="AM1331" s="370"/>
      <c r="AN1331" s="370"/>
      <c r="AO1331" s="370"/>
    </row>
    <row r="1332" spans="1:41" s="73" customFormat="1" ht="15" customHeight="1" x14ac:dyDescent="0.25">
      <c r="A1332" s="402"/>
      <c r="B1332" s="404"/>
      <c r="C1332" s="82" t="s">
        <v>614</v>
      </c>
      <c r="D1332" s="86"/>
      <c r="E1332" s="82" t="s">
        <v>691</v>
      </c>
      <c r="F1332" s="368"/>
      <c r="G1332" s="368"/>
      <c r="H1332" s="368"/>
      <c r="I1332" s="368"/>
      <c r="J1332" s="370"/>
      <c r="K1332" s="370"/>
      <c r="L1332" s="370"/>
      <c r="M1332" s="370"/>
      <c r="N1332" s="370"/>
      <c r="O1332" s="370"/>
      <c r="P1332" s="370"/>
      <c r="Q1332" s="370"/>
      <c r="R1332" s="370"/>
      <c r="S1332" s="370"/>
      <c r="T1332" s="370"/>
      <c r="U1332" s="370"/>
      <c r="V1332" s="370"/>
      <c r="W1332" s="370"/>
      <c r="X1332" s="370"/>
      <c r="Y1332" s="370"/>
      <c r="Z1332" s="370"/>
      <c r="AA1332" s="370"/>
      <c r="AB1332" s="370"/>
      <c r="AC1332" s="370"/>
      <c r="AD1332" s="370"/>
      <c r="AE1332" s="370"/>
      <c r="AF1332" s="370"/>
      <c r="AG1332" s="370"/>
      <c r="AH1332" s="370"/>
      <c r="AI1332" s="370"/>
      <c r="AJ1332" s="370"/>
      <c r="AK1332" s="370"/>
      <c r="AL1332" s="370"/>
      <c r="AM1332" s="370"/>
      <c r="AN1332" s="370"/>
      <c r="AO1332" s="370"/>
    </row>
    <row r="1333" spans="1:41" s="73" customFormat="1" ht="15" customHeight="1" x14ac:dyDescent="0.25">
      <c r="A1333" s="402"/>
      <c r="B1333" s="404"/>
      <c r="C1333" s="82" t="s">
        <v>615</v>
      </c>
      <c r="D1333" s="86"/>
      <c r="E1333" s="82" t="s">
        <v>692</v>
      </c>
      <c r="F1333" s="368"/>
      <c r="G1333" s="368"/>
      <c r="H1333" s="368"/>
      <c r="I1333" s="368"/>
      <c r="J1333" s="370"/>
      <c r="K1333" s="370"/>
      <c r="L1333" s="370"/>
      <c r="M1333" s="370"/>
      <c r="N1333" s="370"/>
      <c r="O1333" s="370"/>
      <c r="P1333" s="370"/>
      <c r="Q1333" s="370"/>
      <c r="R1333" s="370"/>
      <c r="S1333" s="370"/>
      <c r="T1333" s="370"/>
      <c r="U1333" s="370"/>
      <c r="V1333" s="370"/>
      <c r="W1333" s="370"/>
      <c r="X1333" s="370"/>
      <c r="Y1333" s="370"/>
      <c r="Z1333" s="370"/>
      <c r="AA1333" s="370"/>
      <c r="AB1333" s="370"/>
      <c r="AC1333" s="370"/>
      <c r="AD1333" s="370"/>
      <c r="AE1333" s="370"/>
      <c r="AF1333" s="370"/>
      <c r="AG1333" s="370"/>
      <c r="AH1333" s="370"/>
      <c r="AI1333" s="370"/>
      <c r="AJ1333" s="370"/>
      <c r="AK1333" s="370"/>
      <c r="AL1333" s="370"/>
      <c r="AM1333" s="370"/>
      <c r="AN1333" s="370"/>
      <c r="AO1333" s="370"/>
    </row>
    <row r="1334" spans="1:41" s="73" customFormat="1" ht="15" customHeight="1" x14ac:dyDescent="0.25">
      <c r="A1334" s="402"/>
      <c r="B1334" s="404"/>
      <c r="C1334" s="82" t="s">
        <v>616</v>
      </c>
      <c r="D1334" s="86"/>
      <c r="E1334" s="82" t="s">
        <v>693</v>
      </c>
      <c r="F1334" s="368"/>
      <c r="G1334" s="368"/>
      <c r="H1334" s="368"/>
      <c r="I1334" s="368"/>
      <c r="J1334" s="370"/>
      <c r="K1334" s="370"/>
      <c r="L1334" s="370"/>
      <c r="M1334" s="370"/>
      <c r="N1334" s="370"/>
      <c r="O1334" s="370"/>
      <c r="P1334" s="370"/>
      <c r="Q1334" s="370"/>
      <c r="R1334" s="370"/>
      <c r="S1334" s="370"/>
      <c r="T1334" s="370"/>
      <c r="U1334" s="370"/>
      <c r="V1334" s="370"/>
      <c r="W1334" s="370"/>
      <c r="X1334" s="370"/>
      <c r="Y1334" s="370"/>
      <c r="Z1334" s="370"/>
      <c r="AA1334" s="370"/>
      <c r="AB1334" s="370"/>
      <c r="AC1334" s="370"/>
      <c r="AD1334" s="370"/>
      <c r="AE1334" s="370"/>
      <c r="AF1334" s="370"/>
      <c r="AG1334" s="370"/>
      <c r="AH1334" s="370"/>
      <c r="AI1334" s="370"/>
      <c r="AJ1334" s="370"/>
      <c r="AK1334" s="370"/>
      <c r="AL1334" s="370"/>
      <c r="AM1334" s="370"/>
      <c r="AN1334" s="370"/>
      <c r="AO1334" s="370"/>
    </row>
    <row r="1335" spans="1:41" s="73" customFormat="1" ht="15" customHeight="1" x14ac:dyDescent="0.25">
      <c r="A1335" s="402"/>
      <c r="B1335" s="404"/>
      <c r="C1335" s="82" t="s">
        <v>617</v>
      </c>
      <c r="D1335" s="86"/>
      <c r="E1335" s="82" t="s">
        <v>694</v>
      </c>
      <c r="F1335" s="368"/>
      <c r="G1335" s="368"/>
      <c r="H1335" s="368"/>
      <c r="I1335" s="368"/>
      <c r="J1335" s="370"/>
      <c r="K1335" s="370"/>
      <c r="L1335" s="370"/>
      <c r="M1335" s="370"/>
      <c r="N1335" s="370"/>
      <c r="O1335" s="370"/>
      <c r="P1335" s="370"/>
      <c r="Q1335" s="370"/>
      <c r="R1335" s="370"/>
      <c r="S1335" s="370"/>
      <c r="T1335" s="370"/>
      <c r="U1335" s="370"/>
      <c r="V1335" s="370"/>
      <c r="W1335" s="370"/>
      <c r="X1335" s="370"/>
      <c r="Y1335" s="370"/>
      <c r="Z1335" s="370"/>
      <c r="AA1335" s="370"/>
      <c r="AB1335" s="370"/>
      <c r="AC1335" s="370"/>
      <c r="AD1335" s="370"/>
      <c r="AE1335" s="370"/>
      <c r="AF1335" s="370"/>
      <c r="AG1335" s="370"/>
      <c r="AH1335" s="370"/>
      <c r="AI1335" s="370"/>
      <c r="AJ1335" s="370"/>
      <c r="AK1335" s="370"/>
      <c r="AL1335" s="370"/>
      <c r="AM1335" s="370"/>
      <c r="AN1335" s="370"/>
      <c r="AO1335" s="370"/>
    </row>
    <row r="1336" spans="1:41" s="73" customFormat="1" ht="15" customHeight="1" x14ac:dyDescent="0.25">
      <c r="A1336" s="402"/>
      <c r="B1336" s="404"/>
      <c r="C1336" s="82" t="s">
        <v>618</v>
      </c>
      <c r="D1336" s="86"/>
      <c r="E1336" s="82" t="s">
        <v>695</v>
      </c>
      <c r="F1336" s="368"/>
      <c r="G1336" s="368"/>
      <c r="H1336" s="368"/>
      <c r="I1336" s="368"/>
      <c r="J1336" s="370"/>
      <c r="K1336" s="370"/>
      <c r="L1336" s="370"/>
      <c r="M1336" s="370"/>
      <c r="N1336" s="370"/>
      <c r="O1336" s="370"/>
      <c r="P1336" s="370"/>
      <c r="Q1336" s="370"/>
      <c r="R1336" s="370"/>
      <c r="S1336" s="370"/>
      <c r="T1336" s="370"/>
      <c r="U1336" s="370"/>
      <c r="V1336" s="370"/>
      <c r="W1336" s="370"/>
      <c r="X1336" s="370"/>
      <c r="Y1336" s="370"/>
      <c r="Z1336" s="370"/>
      <c r="AA1336" s="370"/>
      <c r="AB1336" s="370"/>
      <c r="AC1336" s="370"/>
      <c r="AD1336" s="370"/>
      <c r="AE1336" s="370"/>
      <c r="AF1336" s="370"/>
      <c r="AG1336" s="370"/>
      <c r="AH1336" s="370"/>
      <c r="AI1336" s="370"/>
      <c r="AJ1336" s="370"/>
      <c r="AK1336" s="370"/>
      <c r="AL1336" s="370"/>
      <c r="AM1336" s="370"/>
      <c r="AN1336" s="370"/>
      <c r="AO1336" s="370"/>
    </row>
    <row r="1337" spans="1:41" s="73" customFormat="1" ht="15" customHeight="1" x14ac:dyDescent="0.25">
      <c r="A1337" s="402"/>
      <c r="B1337" s="404"/>
      <c r="C1337" s="82" t="s">
        <v>619</v>
      </c>
      <c r="D1337" s="86"/>
      <c r="E1337" s="82" t="s">
        <v>696</v>
      </c>
      <c r="F1337" s="368"/>
      <c r="G1337" s="368"/>
      <c r="H1337" s="368"/>
      <c r="I1337" s="368"/>
      <c r="J1337" s="370"/>
      <c r="K1337" s="370"/>
      <c r="L1337" s="370"/>
      <c r="M1337" s="370"/>
      <c r="N1337" s="370"/>
      <c r="O1337" s="370"/>
      <c r="P1337" s="370"/>
      <c r="Q1337" s="370"/>
      <c r="R1337" s="370"/>
      <c r="S1337" s="370"/>
      <c r="T1337" s="370"/>
      <c r="U1337" s="370"/>
      <c r="V1337" s="370"/>
      <c r="W1337" s="370"/>
      <c r="X1337" s="370"/>
      <c r="Y1337" s="370"/>
      <c r="Z1337" s="370"/>
      <c r="AA1337" s="370"/>
      <c r="AB1337" s="370"/>
      <c r="AC1337" s="370"/>
      <c r="AD1337" s="370"/>
      <c r="AE1337" s="370"/>
      <c r="AF1337" s="370"/>
      <c r="AG1337" s="370"/>
      <c r="AH1337" s="370"/>
      <c r="AI1337" s="370"/>
      <c r="AJ1337" s="370"/>
      <c r="AK1337" s="370"/>
      <c r="AL1337" s="370"/>
      <c r="AM1337" s="370"/>
      <c r="AN1337" s="370"/>
      <c r="AO1337" s="370"/>
    </row>
    <row r="1338" spans="1:41" s="73" customFormat="1" ht="15" customHeight="1" x14ac:dyDescent="0.25">
      <c r="A1338" s="402"/>
      <c r="B1338" s="404"/>
      <c r="C1338" s="82" t="s">
        <v>620</v>
      </c>
      <c r="D1338" s="86"/>
      <c r="E1338" s="82" t="s">
        <v>697</v>
      </c>
      <c r="F1338" s="368"/>
      <c r="G1338" s="368"/>
      <c r="H1338" s="368"/>
      <c r="I1338" s="368"/>
      <c r="J1338" s="370"/>
      <c r="K1338" s="370"/>
      <c r="L1338" s="370"/>
      <c r="M1338" s="370"/>
      <c r="N1338" s="370"/>
      <c r="O1338" s="370"/>
      <c r="P1338" s="370"/>
      <c r="Q1338" s="370"/>
      <c r="R1338" s="370"/>
      <c r="S1338" s="370"/>
      <c r="T1338" s="370"/>
      <c r="U1338" s="370"/>
      <c r="V1338" s="370"/>
      <c r="W1338" s="370"/>
      <c r="X1338" s="370"/>
      <c r="Y1338" s="370"/>
      <c r="Z1338" s="370"/>
      <c r="AA1338" s="370"/>
      <c r="AB1338" s="370"/>
      <c r="AC1338" s="370"/>
      <c r="AD1338" s="370"/>
      <c r="AE1338" s="370"/>
      <c r="AF1338" s="370"/>
      <c r="AG1338" s="370"/>
      <c r="AH1338" s="370"/>
      <c r="AI1338" s="370"/>
      <c r="AJ1338" s="370"/>
      <c r="AK1338" s="370"/>
      <c r="AL1338" s="370"/>
      <c r="AM1338" s="370"/>
      <c r="AN1338" s="370"/>
      <c r="AO1338" s="370"/>
    </row>
    <row r="1339" spans="1:41" s="73" customFormat="1" ht="15" customHeight="1" x14ac:dyDescent="0.25">
      <c r="A1339" s="402"/>
      <c r="B1339" s="404"/>
      <c r="C1339" s="82" t="s">
        <v>621</v>
      </c>
      <c r="D1339" s="86"/>
      <c r="E1339" s="82" t="s">
        <v>698</v>
      </c>
      <c r="F1339" s="368"/>
      <c r="G1339" s="368"/>
      <c r="H1339" s="368"/>
      <c r="I1339" s="368"/>
      <c r="J1339" s="370"/>
      <c r="K1339" s="370"/>
      <c r="L1339" s="370"/>
      <c r="M1339" s="370"/>
      <c r="N1339" s="370"/>
      <c r="O1339" s="370"/>
      <c r="P1339" s="370"/>
      <c r="Q1339" s="370"/>
      <c r="R1339" s="370"/>
      <c r="S1339" s="370"/>
      <c r="T1339" s="370"/>
      <c r="U1339" s="370"/>
      <c r="V1339" s="370"/>
      <c r="W1339" s="370"/>
      <c r="X1339" s="370"/>
      <c r="Y1339" s="370"/>
      <c r="Z1339" s="370"/>
      <c r="AA1339" s="370"/>
      <c r="AB1339" s="370"/>
      <c r="AC1339" s="370"/>
      <c r="AD1339" s="370"/>
      <c r="AE1339" s="370"/>
      <c r="AF1339" s="370"/>
      <c r="AG1339" s="370"/>
      <c r="AH1339" s="370"/>
      <c r="AI1339" s="370"/>
      <c r="AJ1339" s="370"/>
      <c r="AK1339" s="370"/>
      <c r="AL1339" s="370"/>
      <c r="AM1339" s="370"/>
      <c r="AN1339" s="370"/>
      <c r="AO1339" s="370"/>
    </row>
    <row r="1340" spans="1:41" s="73" customFormat="1" ht="15" customHeight="1" x14ac:dyDescent="0.25">
      <c r="A1340" s="402"/>
      <c r="B1340" s="404"/>
      <c r="C1340" s="82" t="s">
        <v>622</v>
      </c>
      <c r="D1340" s="86"/>
      <c r="E1340" s="82" t="s">
        <v>699</v>
      </c>
      <c r="F1340" s="368"/>
      <c r="G1340" s="368"/>
      <c r="H1340" s="368"/>
      <c r="I1340" s="368"/>
      <c r="J1340" s="370"/>
      <c r="K1340" s="370"/>
      <c r="L1340" s="370"/>
      <c r="M1340" s="370"/>
      <c r="N1340" s="370"/>
      <c r="O1340" s="370"/>
      <c r="P1340" s="370"/>
      <c r="Q1340" s="370"/>
      <c r="R1340" s="370"/>
      <c r="S1340" s="370"/>
      <c r="T1340" s="370"/>
      <c r="U1340" s="370"/>
      <c r="V1340" s="370"/>
      <c r="W1340" s="370"/>
      <c r="X1340" s="370"/>
      <c r="Y1340" s="370"/>
      <c r="Z1340" s="370"/>
      <c r="AA1340" s="370"/>
      <c r="AB1340" s="370"/>
      <c r="AC1340" s="370"/>
      <c r="AD1340" s="370"/>
      <c r="AE1340" s="370"/>
      <c r="AF1340" s="370"/>
      <c r="AG1340" s="370"/>
      <c r="AH1340" s="370"/>
      <c r="AI1340" s="370"/>
      <c r="AJ1340" s="370"/>
      <c r="AK1340" s="370"/>
      <c r="AL1340" s="370"/>
      <c r="AM1340" s="370"/>
      <c r="AN1340" s="370"/>
      <c r="AO1340" s="370"/>
    </row>
    <row r="1341" spans="1:41" s="73" customFormat="1" ht="15" customHeight="1" x14ac:dyDescent="0.25">
      <c r="A1341" s="402"/>
      <c r="B1341" s="404"/>
      <c r="C1341" s="82" t="s">
        <v>510</v>
      </c>
      <c r="D1341" s="86"/>
      <c r="E1341" s="82" t="s">
        <v>700</v>
      </c>
      <c r="F1341" s="368"/>
      <c r="G1341" s="368"/>
      <c r="H1341" s="368"/>
      <c r="I1341" s="368"/>
      <c r="J1341" s="370"/>
      <c r="K1341" s="370"/>
      <c r="L1341" s="370"/>
      <c r="M1341" s="370"/>
      <c r="N1341" s="370"/>
      <c r="O1341" s="370"/>
      <c r="P1341" s="370"/>
      <c r="Q1341" s="370"/>
      <c r="R1341" s="370"/>
      <c r="S1341" s="370"/>
      <c r="T1341" s="370"/>
      <c r="U1341" s="370"/>
      <c r="V1341" s="370"/>
      <c r="W1341" s="370"/>
      <c r="X1341" s="370"/>
      <c r="Y1341" s="370"/>
      <c r="Z1341" s="370"/>
      <c r="AA1341" s="370"/>
      <c r="AB1341" s="370"/>
      <c r="AC1341" s="370"/>
      <c r="AD1341" s="370"/>
      <c r="AE1341" s="370"/>
      <c r="AF1341" s="370"/>
      <c r="AG1341" s="370"/>
      <c r="AH1341" s="370"/>
      <c r="AI1341" s="370"/>
      <c r="AJ1341" s="370"/>
      <c r="AK1341" s="370"/>
      <c r="AL1341" s="370"/>
      <c r="AM1341" s="370"/>
      <c r="AN1341" s="370"/>
      <c r="AO1341" s="370"/>
    </row>
    <row r="1342" spans="1:41" s="73" customFormat="1" ht="15" customHeight="1" x14ac:dyDescent="0.25">
      <c r="A1342" s="402"/>
      <c r="B1342" s="404"/>
      <c r="C1342" s="82" t="s">
        <v>511</v>
      </c>
      <c r="D1342" s="86"/>
      <c r="E1342" s="82" t="s">
        <v>701</v>
      </c>
      <c r="F1342" s="368"/>
      <c r="G1342" s="368"/>
      <c r="H1342" s="368"/>
      <c r="I1342" s="368"/>
      <c r="J1342" s="370"/>
      <c r="K1342" s="370"/>
      <c r="L1342" s="370"/>
      <c r="M1342" s="370"/>
      <c r="N1342" s="370"/>
      <c r="O1342" s="370"/>
      <c r="P1342" s="370"/>
      <c r="Q1342" s="370"/>
      <c r="R1342" s="370"/>
      <c r="S1342" s="370"/>
      <c r="T1342" s="370"/>
      <c r="U1342" s="370"/>
      <c r="V1342" s="370"/>
      <c r="W1342" s="370"/>
      <c r="X1342" s="370"/>
      <c r="Y1342" s="370"/>
      <c r="Z1342" s="370"/>
      <c r="AA1342" s="370"/>
      <c r="AB1342" s="370"/>
      <c r="AC1342" s="370"/>
      <c r="AD1342" s="370"/>
      <c r="AE1342" s="370"/>
      <c r="AF1342" s="370"/>
      <c r="AG1342" s="370"/>
      <c r="AH1342" s="370"/>
      <c r="AI1342" s="370"/>
      <c r="AJ1342" s="370"/>
      <c r="AK1342" s="370"/>
      <c r="AL1342" s="370"/>
      <c r="AM1342" s="370"/>
      <c r="AN1342" s="370"/>
      <c r="AO1342" s="370"/>
    </row>
    <row r="1343" spans="1:41" s="73" customFormat="1" ht="15" customHeight="1" x14ac:dyDescent="0.25">
      <c r="A1343" s="402"/>
      <c r="B1343" s="404"/>
      <c r="C1343" s="82" t="s">
        <v>512</v>
      </c>
      <c r="D1343" s="86"/>
      <c r="E1343" s="82" t="s">
        <v>702</v>
      </c>
      <c r="F1343" s="368"/>
      <c r="G1343" s="368"/>
      <c r="H1343" s="368"/>
      <c r="I1343" s="368"/>
      <c r="J1343" s="370"/>
      <c r="K1343" s="370"/>
      <c r="L1343" s="370"/>
      <c r="M1343" s="370"/>
      <c r="N1343" s="370"/>
      <c r="O1343" s="370"/>
      <c r="P1343" s="370"/>
      <c r="Q1343" s="370"/>
      <c r="R1343" s="370"/>
      <c r="S1343" s="370"/>
      <c r="T1343" s="370"/>
      <c r="U1343" s="370"/>
      <c r="V1343" s="370"/>
      <c r="W1343" s="370"/>
      <c r="X1343" s="370"/>
      <c r="Y1343" s="370"/>
      <c r="Z1343" s="370"/>
      <c r="AA1343" s="370"/>
      <c r="AB1343" s="370"/>
      <c r="AC1343" s="370"/>
      <c r="AD1343" s="370"/>
      <c r="AE1343" s="370"/>
      <c r="AF1343" s="370"/>
      <c r="AG1343" s="370"/>
      <c r="AH1343" s="370"/>
      <c r="AI1343" s="370"/>
      <c r="AJ1343" s="370"/>
      <c r="AK1343" s="370"/>
      <c r="AL1343" s="370"/>
      <c r="AM1343" s="370"/>
      <c r="AN1343" s="370"/>
      <c r="AO1343" s="370"/>
    </row>
    <row r="1344" spans="1:41" s="73" customFormat="1" ht="15" customHeight="1" x14ac:dyDescent="0.25">
      <c r="A1344" s="402"/>
      <c r="B1344" s="404"/>
      <c r="C1344" s="82" t="s">
        <v>513</v>
      </c>
      <c r="D1344" s="86"/>
      <c r="E1344" s="82" t="s">
        <v>703</v>
      </c>
      <c r="F1344" s="368"/>
      <c r="G1344" s="368"/>
      <c r="H1344" s="368"/>
      <c r="I1344" s="368"/>
      <c r="J1344" s="370"/>
      <c r="K1344" s="370"/>
      <c r="L1344" s="370"/>
      <c r="M1344" s="370"/>
      <c r="N1344" s="370"/>
      <c r="O1344" s="370"/>
      <c r="P1344" s="370"/>
      <c r="Q1344" s="370"/>
      <c r="R1344" s="370"/>
      <c r="S1344" s="370"/>
      <c r="T1344" s="370"/>
      <c r="U1344" s="370"/>
      <c r="V1344" s="370"/>
      <c r="W1344" s="370"/>
      <c r="X1344" s="370"/>
      <c r="Y1344" s="370"/>
      <c r="Z1344" s="370"/>
      <c r="AA1344" s="370"/>
      <c r="AB1344" s="370"/>
      <c r="AC1344" s="370"/>
      <c r="AD1344" s="370"/>
      <c r="AE1344" s="370"/>
      <c r="AF1344" s="370"/>
      <c r="AG1344" s="370"/>
      <c r="AH1344" s="370"/>
      <c r="AI1344" s="370"/>
      <c r="AJ1344" s="370"/>
      <c r="AK1344" s="370"/>
      <c r="AL1344" s="370"/>
      <c r="AM1344" s="370"/>
      <c r="AN1344" s="370"/>
      <c r="AO1344" s="370"/>
    </row>
    <row r="1345" spans="1:41" s="73" customFormat="1" ht="15" customHeight="1" x14ac:dyDescent="0.25">
      <c r="A1345" s="402"/>
      <c r="B1345" s="404"/>
      <c r="C1345" s="82" t="s">
        <v>514</v>
      </c>
      <c r="D1345" s="86"/>
      <c r="E1345" s="82" t="s">
        <v>704</v>
      </c>
      <c r="F1345" s="368"/>
      <c r="G1345" s="368"/>
      <c r="H1345" s="368"/>
      <c r="I1345" s="368"/>
      <c r="J1345" s="370"/>
      <c r="K1345" s="370"/>
      <c r="L1345" s="370"/>
      <c r="M1345" s="370"/>
      <c r="N1345" s="370"/>
      <c r="O1345" s="370"/>
      <c r="P1345" s="370"/>
      <c r="Q1345" s="370"/>
      <c r="R1345" s="370"/>
      <c r="S1345" s="370"/>
      <c r="T1345" s="370"/>
      <c r="U1345" s="370"/>
      <c r="V1345" s="370"/>
      <c r="W1345" s="370"/>
      <c r="X1345" s="370"/>
      <c r="Y1345" s="370"/>
      <c r="Z1345" s="370"/>
      <c r="AA1345" s="370"/>
      <c r="AB1345" s="370"/>
      <c r="AC1345" s="370"/>
      <c r="AD1345" s="370"/>
      <c r="AE1345" s="370"/>
      <c r="AF1345" s="370"/>
      <c r="AG1345" s="370"/>
      <c r="AH1345" s="370"/>
      <c r="AI1345" s="370"/>
      <c r="AJ1345" s="370"/>
      <c r="AK1345" s="370"/>
      <c r="AL1345" s="370"/>
      <c r="AM1345" s="370"/>
      <c r="AN1345" s="370"/>
      <c r="AO1345" s="370"/>
    </row>
    <row r="1346" spans="1:41" s="73" customFormat="1" ht="15" customHeight="1" x14ac:dyDescent="0.25">
      <c r="A1346" s="402"/>
      <c r="B1346" s="404"/>
      <c r="C1346" s="82" t="s">
        <v>515</v>
      </c>
      <c r="D1346" s="86"/>
      <c r="E1346" s="82" t="s">
        <v>705</v>
      </c>
      <c r="F1346" s="368"/>
      <c r="G1346" s="368"/>
      <c r="H1346" s="368"/>
      <c r="I1346" s="368"/>
      <c r="J1346" s="370"/>
      <c r="K1346" s="370"/>
      <c r="L1346" s="370"/>
      <c r="M1346" s="370"/>
      <c r="N1346" s="370"/>
      <c r="O1346" s="370"/>
      <c r="P1346" s="370"/>
      <c r="Q1346" s="370"/>
      <c r="R1346" s="370"/>
      <c r="S1346" s="370"/>
      <c r="T1346" s="370"/>
      <c r="U1346" s="370"/>
      <c r="V1346" s="370"/>
      <c r="W1346" s="370"/>
      <c r="X1346" s="370"/>
      <c r="Y1346" s="370"/>
      <c r="Z1346" s="370"/>
      <c r="AA1346" s="370"/>
      <c r="AB1346" s="370"/>
      <c r="AC1346" s="370"/>
      <c r="AD1346" s="370"/>
      <c r="AE1346" s="370"/>
      <c r="AF1346" s="370"/>
      <c r="AG1346" s="370"/>
      <c r="AH1346" s="370"/>
      <c r="AI1346" s="370"/>
      <c r="AJ1346" s="370"/>
      <c r="AK1346" s="370"/>
      <c r="AL1346" s="370"/>
      <c r="AM1346" s="370"/>
      <c r="AN1346" s="370"/>
      <c r="AO1346" s="370"/>
    </row>
    <row r="1347" spans="1:41" s="73" customFormat="1" ht="15" customHeight="1" x14ac:dyDescent="0.25">
      <c r="A1347" s="402"/>
      <c r="B1347" s="404"/>
      <c r="C1347" s="82" t="s">
        <v>516</v>
      </c>
      <c r="D1347" s="86"/>
      <c r="E1347" s="82" t="s">
        <v>706</v>
      </c>
      <c r="F1347" s="368"/>
      <c r="G1347" s="368"/>
      <c r="H1347" s="368"/>
      <c r="I1347" s="368"/>
      <c r="J1347" s="370"/>
      <c r="K1347" s="370"/>
      <c r="L1347" s="370"/>
      <c r="M1347" s="370"/>
      <c r="N1347" s="370"/>
      <c r="O1347" s="370"/>
      <c r="P1347" s="370"/>
      <c r="Q1347" s="370"/>
      <c r="R1347" s="370"/>
      <c r="S1347" s="370"/>
      <c r="T1347" s="370"/>
      <c r="U1347" s="370"/>
      <c r="V1347" s="370"/>
      <c r="W1347" s="370"/>
      <c r="X1347" s="370"/>
      <c r="Y1347" s="370"/>
      <c r="Z1347" s="370"/>
      <c r="AA1347" s="370"/>
      <c r="AB1347" s="370"/>
      <c r="AC1347" s="370"/>
      <c r="AD1347" s="370"/>
      <c r="AE1347" s="370"/>
      <c r="AF1347" s="370"/>
      <c r="AG1347" s="370"/>
      <c r="AH1347" s="370"/>
      <c r="AI1347" s="370"/>
      <c r="AJ1347" s="370"/>
      <c r="AK1347" s="370"/>
      <c r="AL1347" s="370"/>
      <c r="AM1347" s="370"/>
      <c r="AN1347" s="370"/>
      <c r="AO1347" s="370"/>
    </row>
    <row r="1348" spans="1:41" s="73" customFormat="1" ht="15" customHeight="1" x14ac:dyDescent="0.25">
      <c r="A1348" s="402"/>
      <c r="B1348" s="404"/>
      <c r="C1348" s="82" t="s">
        <v>517</v>
      </c>
      <c r="D1348" s="86"/>
      <c r="E1348" s="82" t="s">
        <v>707</v>
      </c>
      <c r="F1348" s="368"/>
      <c r="G1348" s="368"/>
      <c r="H1348" s="368"/>
      <c r="I1348" s="368"/>
      <c r="J1348" s="370"/>
      <c r="K1348" s="370"/>
      <c r="L1348" s="370"/>
      <c r="M1348" s="370"/>
      <c r="N1348" s="370"/>
      <c r="O1348" s="370"/>
      <c r="P1348" s="370"/>
      <c r="Q1348" s="370"/>
      <c r="R1348" s="370"/>
      <c r="S1348" s="370"/>
      <c r="T1348" s="370"/>
      <c r="U1348" s="370"/>
      <c r="V1348" s="370"/>
      <c r="W1348" s="370"/>
      <c r="X1348" s="370"/>
      <c r="Y1348" s="370"/>
      <c r="Z1348" s="370"/>
      <c r="AA1348" s="370"/>
      <c r="AB1348" s="370"/>
      <c r="AC1348" s="370"/>
      <c r="AD1348" s="370"/>
      <c r="AE1348" s="370"/>
      <c r="AF1348" s="370"/>
      <c r="AG1348" s="370"/>
      <c r="AH1348" s="370"/>
      <c r="AI1348" s="370"/>
      <c r="AJ1348" s="370"/>
      <c r="AK1348" s="370"/>
      <c r="AL1348" s="370"/>
      <c r="AM1348" s="370"/>
      <c r="AN1348" s="370"/>
      <c r="AO1348" s="370"/>
    </row>
    <row r="1349" spans="1:41" s="73" customFormat="1" ht="15" customHeight="1" x14ac:dyDescent="0.25">
      <c r="A1349" s="402"/>
      <c r="B1349" s="404"/>
      <c r="C1349" s="96" t="s">
        <v>518</v>
      </c>
      <c r="D1349" s="97"/>
      <c r="E1349" s="98" t="s">
        <v>708</v>
      </c>
      <c r="F1349" s="371"/>
      <c r="G1349" s="371"/>
      <c r="H1349" s="371"/>
      <c r="I1349" s="371"/>
      <c r="J1349" s="372"/>
      <c r="K1349" s="372"/>
      <c r="L1349" s="372"/>
      <c r="M1349" s="372"/>
      <c r="N1349" s="372"/>
      <c r="O1349" s="372"/>
      <c r="P1349" s="372"/>
      <c r="Q1349" s="372"/>
      <c r="R1349" s="372"/>
      <c r="S1349" s="372"/>
      <c r="T1349" s="372"/>
      <c r="U1349" s="372"/>
      <c r="V1349" s="372"/>
      <c r="W1349" s="372"/>
      <c r="X1349" s="372"/>
      <c r="Y1349" s="372"/>
      <c r="Z1349" s="372"/>
      <c r="AA1349" s="372"/>
      <c r="AB1349" s="372"/>
      <c r="AC1349" s="372"/>
      <c r="AD1349" s="372"/>
      <c r="AE1349" s="372"/>
      <c r="AF1349" s="372"/>
      <c r="AG1349" s="372"/>
      <c r="AH1349" s="372"/>
      <c r="AI1349" s="372"/>
      <c r="AJ1349" s="372"/>
      <c r="AK1349" s="372"/>
      <c r="AL1349" s="372"/>
      <c r="AM1349" s="372"/>
      <c r="AN1349" s="372"/>
      <c r="AO1349" s="372"/>
    </row>
    <row r="1350" spans="1:41" s="108" customFormat="1" ht="15" customHeight="1" x14ac:dyDescent="0.25">
      <c r="A1350" s="402"/>
      <c r="B1350" s="404"/>
      <c r="C1350" s="85" t="s">
        <v>796</v>
      </c>
      <c r="D1350" s="152"/>
      <c r="E1350" s="85" t="s">
        <v>709</v>
      </c>
      <c r="F1350" s="368"/>
      <c r="G1350" s="368"/>
      <c r="H1350" s="368"/>
      <c r="I1350" s="368"/>
      <c r="J1350" s="369"/>
      <c r="K1350" s="369"/>
      <c r="L1350" s="369"/>
      <c r="M1350" s="369"/>
      <c r="N1350" s="369"/>
      <c r="O1350" s="369"/>
      <c r="P1350" s="369"/>
      <c r="Q1350" s="369"/>
      <c r="R1350" s="369"/>
      <c r="S1350" s="369"/>
      <c r="T1350" s="369"/>
      <c r="U1350" s="369"/>
      <c r="V1350" s="369"/>
      <c r="W1350" s="369"/>
      <c r="X1350" s="369"/>
      <c r="Y1350" s="369"/>
      <c r="Z1350" s="369"/>
      <c r="AA1350" s="369"/>
      <c r="AB1350" s="369"/>
      <c r="AC1350" s="369"/>
      <c r="AD1350" s="369"/>
      <c r="AE1350" s="369"/>
      <c r="AF1350" s="369"/>
      <c r="AG1350" s="369"/>
      <c r="AH1350" s="369"/>
      <c r="AI1350" s="369"/>
      <c r="AJ1350" s="369"/>
      <c r="AK1350" s="369"/>
      <c r="AL1350" s="369"/>
      <c r="AM1350" s="369"/>
      <c r="AN1350" s="369"/>
      <c r="AO1350" s="369"/>
    </row>
    <row r="1351" spans="1:41" s="73" customFormat="1" ht="15" customHeight="1" x14ac:dyDescent="0.25">
      <c r="A1351" s="402"/>
      <c r="B1351" s="404"/>
      <c r="C1351" s="82" t="s">
        <v>604</v>
      </c>
      <c r="D1351" s="86"/>
      <c r="E1351" s="82" t="s">
        <v>710</v>
      </c>
      <c r="F1351" s="368"/>
      <c r="G1351" s="368"/>
      <c r="H1351" s="368"/>
      <c r="I1351" s="368"/>
      <c r="J1351" s="370"/>
      <c r="K1351" s="370"/>
      <c r="L1351" s="370"/>
      <c r="M1351" s="370"/>
      <c r="N1351" s="370"/>
      <c r="O1351" s="370"/>
      <c r="P1351" s="370"/>
      <c r="Q1351" s="370"/>
      <c r="R1351" s="370"/>
      <c r="S1351" s="370"/>
      <c r="T1351" s="370"/>
      <c r="U1351" s="370"/>
      <c r="V1351" s="370"/>
      <c r="W1351" s="370"/>
      <c r="X1351" s="370"/>
      <c r="Y1351" s="370"/>
      <c r="Z1351" s="370"/>
      <c r="AA1351" s="370"/>
      <c r="AB1351" s="370"/>
      <c r="AC1351" s="370"/>
      <c r="AD1351" s="370"/>
      <c r="AE1351" s="370"/>
      <c r="AF1351" s="370"/>
      <c r="AG1351" s="370"/>
      <c r="AH1351" s="370"/>
      <c r="AI1351" s="370"/>
      <c r="AJ1351" s="370"/>
      <c r="AK1351" s="370"/>
      <c r="AL1351" s="370"/>
      <c r="AM1351" s="370"/>
      <c r="AN1351" s="370"/>
      <c r="AO1351" s="370"/>
    </row>
    <row r="1352" spans="1:41" s="73" customFormat="1" ht="15" customHeight="1" x14ac:dyDescent="0.25">
      <c r="A1352" s="402"/>
      <c r="B1352" s="404"/>
      <c r="C1352" s="82" t="s">
        <v>605</v>
      </c>
      <c r="D1352" s="86"/>
      <c r="E1352" s="82" t="s">
        <v>711</v>
      </c>
      <c r="F1352" s="368"/>
      <c r="G1352" s="368"/>
      <c r="H1352" s="368"/>
      <c r="I1352" s="368"/>
      <c r="J1352" s="370"/>
      <c r="K1352" s="370"/>
      <c r="L1352" s="370"/>
      <c r="M1352" s="370"/>
      <c r="N1352" s="370"/>
      <c r="O1352" s="370"/>
      <c r="P1352" s="370"/>
      <c r="Q1352" s="370"/>
      <c r="R1352" s="370"/>
      <c r="S1352" s="370"/>
      <c r="T1352" s="370"/>
      <c r="U1352" s="370"/>
      <c r="V1352" s="370"/>
      <c r="W1352" s="370"/>
      <c r="X1352" s="370"/>
      <c r="Y1352" s="370"/>
      <c r="Z1352" s="370"/>
      <c r="AA1352" s="370"/>
      <c r="AB1352" s="370"/>
      <c r="AC1352" s="370"/>
      <c r="AD1352" s="370"/>
      <c r="AE1352" s="370"/>
      <c r="AF1352" s="370"/>
      <c r="AG1352" s="370"/>
      <c r="AH1352" s="370"/>
      <c r="AI1352" s="370"/>
      <c r="AJ1352" s="370"/>
      <c r="AK1352" s="370"/>
      <c r="AL1352" s="370"/>
      <c r="AM1352" s="370"/>
      <c r="AN1352" s="370"/>
      <c r="AO1352" s="370"/>
    </row>
    <row r="1353" spans="1:41" s="73" customFormat="1" ht="15" customHeight="1" x14ac:dyDescent="0.25">
      <c r="A1353" s="402"/>
      <c r="B1353" s="404"/>
      <c r="C1353" s="82" t="s">
        <v>606</v>
      </c>
      <c r="D1353" s="86"/>
      <c r="E1353" s="82" t="s">
        <v>712</v>
      </c>
      <c r="F1353" s="368"/>
      <c r="G1353" s="368"/>
      <c r="H1353" s="368"/>
      <c r="I1353" s="368"/>
      <c r="J1353" s="370"/>
      <c r="K1353" s="370"/>
      <c r="L1353" s="370"/>
      <c r="M1353" s="370"/>
      <c r="N1353" s="370"/>
      <c r="O1353" s="370"/>
      <c r="P1353" s="370"/>
      <c r="Q1353" s="370"/>
      <c r="R1353" s="370"/>
      <c r="S1353" s="370"/>
      <c r="T1353" s="370"/>
      <c r="U1353" s="370"/>
      <c r="V1353" s="370"/>
      <c r="W1353" s="370"/>
      <c r="X1353" s="370"/>
      <c r="Y1353" s="370"/>
      <c r="Z1353" s="370"/>
      <c r="AA1353" s="370"/>
      <c r="AB1353" s="370"/>
      <c r="AC1353" s="370"/>
      <c r="AD1353" s="370"/>
      <c r="AE1353" s="370"/>
      <c r="AF1353" s="370"/>
      <c r="AG1353" s="370"/>
      <c r="AH1353" s="370"/>
      <c r="AI1353" s="370"/>
      <c r="AJ1353" s="370"/>
      <c r="AK1353" s="370"/>
      <c r="AL1353" s="370"/>
      <c r="AM1353" s="370"/>
      <c r="AN1353" s="370"/>
      <c r="AO1353" s="370"/>
    </row>
    <row r="1354" spans="1:41" s="73" customFormat="1" ht="15" customHeight="1" x14ac:dyDescent="0.25">
      <c r="A1354" s="402"/>
      <c r="B1354" s="404"/>
      <c r="C1354" s="82" t="s">
        <v>607</v>
      </c>
      <c r="D1354" s="86"/>
      <c r="E1354" s="82" t="s">
        <v>713</v>
      </c>
      <c r="F1354" s="368"/>
      <c r="G1354" s="368"/>
      <c r="H1354" s="368"/>
      <c r="I1354" s="368"/>
      <c r="J1354" s="370"/>
      <c r="K1354" s="370"/>
      <c r="L1354" s="370"/>
      <c r="M1354" s="370"/>
      <c r="N1354" s="370"/>
      <c r="O1354" s="370"/>
      <c r="P1354" s="370"/>
      <c r="Q1354" s="370"/>
      <c r="R1354" s="370"/>
      <c r="S1354" s="370"/>
      <c r="T1354" s="370"/>
      <c r="U1354" s="370"/>
      <c r="V1354" s="370"/>
      <c r="W1354" s="370"/>
      <c r="X1354" s="370"/>
      <c r="Y1354" s="370"/>
      <c r="Z1354" s="370"/>
      <c r="AA1354" s="370"/>
      <c r="AB1354" s="370"/>
      <c r="AC1354" s="370"/>
      <c r="AD1354" s="370"/>
      <c r="AE1354" s="370"/>
      <c r="AF1354" s="370"/>
      <c r="AG1354" s="370"/>
      <c r="AH1354" s="370"/>
      <c r="AI1354" s="370"/>
      <c r="AJ1354" s="370"/>
      <c r="AK1354" s="370"/>
      <c r="AL1354" s="370"/>
      <c r="AM1354" s="370"/>
      <c r="AN1354" s="370"/>
      <c r="AO1354" s="370"/>
    </row>
    <row r="1355" spans="1:41" s="73" customFormat="1" ht="15" customHeight="1" x14ac:dyDescent="0.25">
      <c r="A1355" s="402"/>
      <c r="B1355" s="404"/>
      <c r="C1355" s="82" t="s">
        <v>608</v>
      </c>
      <c r="D1355" s="86"/>
      <c r="E1355" s="82" t="s">
        <v>714</v>
      </c>
      <c r="F1355" s="368"/>
      <c r="G1355" s="368"/>
      <c r="H1355" s="368"/>
      <c r="I1355" s="368"/>
      <c r="J1355" s="370"/>
      <c r="K1355" s="370"/>
      <c r="L1355" s="370"/>
      <c r="M1355" s="370"/>
      <c r="N1355" s="370"/>
      <c r="O1355" s="370"/>
      <c r="P1355" s="370"/>
      <c r="Q1355" s="370"/>
      <c r="R1355" s="370"/>
      <c r="S1355" s="370"/>
      <c r="T1355" s="370"/>
      <c r="U1355" s="370"/>
      <c r="V1355" s="370"/>
      <c r="W1355" s="370"/>
      <c r="X1355" s="370"/>
      <c r="Y1355" s="370"/>
      <c r="Z1355" s="370"/>
      <c r="AA1355" s="370"/>
      <c r="AB1355" s="370"/>
      <c r="AC1355" s="370"/>
      <c r="AD1355" s="370"/>
      <c r="AE1355" s="370"/>
      <c r="AF1355" s="370"/>
      <c r="AG1355" s="370"/>
      <c r="AH1355" s="370"/>
      <c r="AI1355" s="370"/>
      <c r="AJ1355" s="370"/>
      <c r="AK1355" s="370"/>
      <c r="AL1355" s="370"/>
      <c r="AM1355" s="370"/>
      <c r="AN1355" s="370"/>
      <c r="AO1355" s="370"/>
    </row>
    <row r="1356" spans="1:41" s="73" customFormat="1" ht="15" customHeight="1" x14ac:dyDescent="0.25">
      <c r="A1356" s="402"/>
      <c r="B1356" s="404"/>
      <c r="C1356" s="82" t="s">
        <v>609</v>
      </c>
      <c r="D1356" s="86"/>
      <c r="E1356" s="82" t="s">
        <v>715</v>
      </c>
      <c r="F1356" s="368"/>
      <c r="G1356" s="368"/>
      <c r="H1356" s="368"/>
      <c r="I1356" s="368"/>
      <c r="J1356" s="370"/>
      <c r="K1356" s="370"/>
      <c r="L1356" s="370"/>
      <c r="M1356" s="370"/>
      <c r="N1356" s="370"/>
      <c r="O1356" s="370"/>
      <c r="P1356" s="370"/>
      <c r="Q1356" s="370"/>
      <c r="R1356" s="370"/>
      <c r="S1356" s="370"/>
      <c r="T1356" s="370"/>
      <c r="U1356" s="370"/>
      <c r="V1356" s="370"/>
      <c r="W1356" s="370"/>
      <c r="X1356" s="370"/>
      <c r="Y1356" s="370"/>
      <c r="Z1356" s="370"/>
      <c r="AA1356" s="370"/>
      <c r="AB1356" s="370"/>
      <c r="AC1356" s="370"/>
      <c r="AD1356" s="370"/>
      <c r="AE1356" s="370"/>
      <c r="AF1356" s="370"/>
      <c r="AG1356" s="370"/>
      <c r="AH1356" s="370"/>
      <c r="AI1356" s="370"/>
      <c r="AJ1356" s="370"/>
      <c r="AK1356" s="370"/>
      <c r="AL1356" s="370"/>
      <c r="AM1356" s="370"/>
      <c r="AN1356" s="370"/>
      <c r="AO1356" s="370"/>
    </row>
    <row r="1357" spans="1:41" s="73" customFormat="1" ht="15" customHeight="1" x14ac:dyDescent="0.25">
      <c r="A1357" s="402"/>
      <c r="B1357" s="404"/>
      <c r="C1357" s="82" t="s">
        <v>610</v>
      </c>
      <c r="D1357" s="86"/>
      <c r="E1357" s="82" t="s">
        <v>716</v>
      </c>
      <c r="F1357" s="368"/>
      <c r="G1357" s="368"/>
      <c r="H1357" s="368"/>
      <c r="I1357" s="368"/>
      <c r="J1357" s="370"/>
      <c r="K1357" s="370"/>
      <c r="L1357" s="370"/>
      <c r="M1357" s="370"/>
      <c r="N1357" s="370"/>
      <c r="O1357" s="370"/>
      <c r="P1357" s="370"/>
      <c r="Q1357" s="370"/>
      <c r="R1357" s="370"/>
      <c r="S1357" s="370"/>
      <c r="T1357" s="370"/>
      <c r="U1357" s="370"/>
      <c r="V1357" s="370"/>
      <c r="W1357" s="370"/>
      <c r="X1357" s="370"/>
      <c r="Y1357" s="370"/>
      <c r="Z1357" s="370"/>
      <c r="AA1357" s="370"/>
      <c r="AB1357" s="370"/>
      <c r="AC1357" s="370"/>
      <c r="AD1357" s="370"/>
      <c r="AE1357" s="370"/>
      <c r="AF1357" s="370"/>
      <c r="AG1357" s="370"/>
      <c r="AH1357" s="370"/>
      <c r="AI1357" s="370"/>
      <c r="AJ1357" s="370"/>
      <c r="AK1357" s="370"/>
      <c r="AL1357" s="370"/>
      <c r="AM1357" s="370"/>
      <c r="AN1357" s="370"/>
      <c r="AO1357" s="370"/>
    </row>
    <row r="1358" spans="1:41" s="73" customFormat="1" ht="15" customHeight="1" x14ac:dyDescent="0.25">
      <c r="A1358" s="402"/>
      <c r="B1358" s="404"/>
      <c r="C1358" s="82" t="s">
        <v>611</v>
      </c>
      <c r="D1358" s="86"/>
      <c r="E1358" s="82" t="s">
        <v>717</v>
      </c>
      <c r="F1358" s="368"/>
      <c r="G1358" s="368"/>
      <c r="H1358" s="368"/>
      <c r="I1358" s="368"/>
      <c r="J1358" s="370"/>
      <c r="K1358" s="370"/>
      <c r="L1358" s="370"/>
      <c r="M1358" s="370"/>
      <c r="N1358" s="370"/>
      <c r="O1358" s="370"/>
      <c r="P1358" s="370"/>
      <c r="Q1358" s="370"/>
      <c r="R1358" s="370"/>
      <c r="S1358" s="370"/>
      <c r="T1358" s="370"/>
      <c r="U1358" s="370"/>
      <c r="V1358" s="370"/>
      <c r="W1358" s="370"/>
      <c r="X1358" s="370"/>
      <c r="Y1358" s="370"/>
      <c r="Z1358" s="370"/>
      <c r="AA1358" s="370"/>
      <c r="AB1358" s="370"/>
      <c r="AC1358" s="370"/>
      <c r="AD1358" s="370"/>
      <c r="AE1358" s="370"/>
      <c r="AF1358" s="370"/>
      <c r="AG1358" s="370"/>
      <c r="AH1358" s="370"/>
      <c r="AI1358" s="370"/>
      <c r="AJ1358" s="370"/>
      <c r="AK1358" s="370"/>
      <c r="AL1358" s="370"/>
      <c r="AM1358" s="370"/>
      <c r="AN1358" s="370"/>
      <c r="AO1358" s="370"/>
    </row>
    <row r="1359" spans="1:41" s="73" customFormat="1" ht="15" customHeight="1" x14ac:dyDescent="0.25">
      <c r="A1359" s="402"/>
      <c r="B1359" s="404"/>
      <c r="C1359" s="82" t="s">
        <v>612</v>
      </c>
      <c r="D1359" s="86"/>
      <c r="E1359" s="82" t="s">
        <v>718</v>
      </c>
      <c r="F1359" s="368"/>
      <c r="G1359" s="368"/>
      <c r="H1359" s="368"/>
      <c r="I1359" s="368"/>
      <c r="J1359" s="370"/>
      <c r="K1359" s="370"/>
      <c r="L1359" s="370"/>
      <c r="M1359" s="370"/>
      <c r="N1359" s="370"/>
      <c r="O1359" s="370"/>
      <c r="P1359" s="370"/>
      <c r="Q1359" s="370"/>
      <c r="R1359" s="370"/>
      <c r="S1359" s="370"/>
      <c r="T1359" s="370"/>
      <c r="U1359" s="370"/>
      <c r="V1359" s="370"/>
      <c r="W1359" s="370"/>
      <c r="X1359" s="370"/>
      <c r="Y1359" s="370"/>
      <c r="Z1359" s="370"/>
      <c r="AA1359" s="370"/>
      <c r="AB1359" s="370"/>
      <c r="AC1359" s="370"/>
      <c r="AD1359" s="370"/>
      <c r="AE1359" s="370"/>
      <c r="AF1359" s="370"/>
      <c r="AG1359" s="370"/>
      <c r="AH1359" s="370"/>
      <c r="AI1359" s="370"/>
      <c r="AJ1359" s="370"/>
      <c r="AK1359" s="370"/>
      <c r="AL1359" s="370"/>
      <c r="AM1359" s="370"/>
      <c r="AN1359" s="370"/>
      <c r="AO1359" s="370"/>
    </row>
    <row r="1360" spans="1:41" s="73" customFormat="1" ht="15" customHeight="1" x14ac:dyDescent="0.25">
      <c r="A1360" s="402"/>
      <c r="B1360" s="404"/>
      <c r="C1360" s="82" t="s">
        <v>613</v>
      </c>
      <c r="D1360" s="86"/>
      <c r="E1360" s="82" t="s">
        <v>719</v>
      </c>
      <c r="F1360" s="368"/>
      <c r="G1360" s="368"/>
      <c r="H1360" s="368"/>
      <c r="I1360" s="368"/>
      <c r="J1360" s="370"/>
      <c r="K1360" s="370"/>
      <c r="L1360" s="370"/>
      <c r="M1360" s="370"/>
      <c r="N1360" s="370"/>
      <c r="O1360" s="370"/>
      <c r="P1360" s="370"/>
      <c r="Q1360" s="370"/>
      <c r="R1360" s="370"/>
      <c r="S1360" s="370"/>
      <c r="T1360" s="370"/>
      <c r="U1360" s="370"/>
      <c r="V1360" s="370"/>
      <c r="W1360" s="370"/>
      <c r="X1360" s="370"/>
      <c r="Y1360" s="370"/>
      <c r="Z1360" s="370"/>
      <c r="AA1360" s="370"/>
      <c r="AB1360" s="370"/>
      <c r="AC1360" s="370"/>
      <c r="AD1360" s="370"/>
      <c r="AE1360" s="370"/>
      <c r="AF1360" s="370"/>
      <c r="AG1360" s="370"/>
      <c r="AH1360" s="370"/>
      <c r="AI1360" s="370"/>
      <c r="AJ1360" s="370"/>
      <c r="AK1360" s="370"/>
      <c r="AL1360" s="370"/>
      <c r="AM1360" s="370"/>
      <c r="AN1360" s="370"/>
      <c r="AO1360" s="370"/>
    </row>
    <row r="1361" spans="1:41" s="73" customFormat="1" ht="15" customHeight="1" x14ac:dyDescent="0.25">
      <c r="A1361" s="402"/>
      <c r="B1361" s="404"/>
      <c r="C1361" s="82" t="s">
        <v>614</v>
      </c>
      <c r="D1361" s="86"/>
      <c r="E1361" s="82" t="s">
        <v>720</v>
      </c>
      <c r="F1361" s="368"/>
      <c r="G1361" s="368"/>
      <c r="H1361" s="368"/>
      <c r="I1361" s="368"/>
      <c r="J1361" s="370"/>
      <c r="K1361" s="370"/>
      <c r="L1361" s="370"/>
      <c r="M1361" s="370"/>
      <c r="N1361" s="370"/>
      <c r="O1361" s="370"/>
      <c r="P1361" s="370"/>
      <c r="Q1361" s="370"/>
      <c r="R1361" s="370"/>
      <c r="S1361" s="370"/>
      <c r="T1361" s="370"/>
      <c r="U1361" s="370"/>
      <c r="V1361" s="370"/>
      <c r="W1361" s="370"/>
      <c r="X1361" s="370"/>
      <c r="Y1361" s="370"/>
      <c r="Z1361" s="370"/>
      <c r="AA1361" s="370"/>
      <c r="AB1361" s="370"/>
      <c r="AC1361" s="370"/>
      <c r="AD1361" s="370"/>
      <c r="AE1361" s="370"/>
      <c r="AF1361" s="370"/>
      <c r="AG1361" s="370"/>
      <c r="AH1361" s="370"/>
      <c r="AI1361" s="370"/>
      <c r="AJ1361" s="370"/>
      <c r="AK1361" s="370"/>
      <c r="AL1361" s="370"/>
      <c r="AM1361" s="370"/>
      <c r="AN1361" s="370"/>
      <c r="AO1361" s="370"/>
    </row>
    <row r="1362" spans="1:41" s="73" customFormat="1" ht="15" customHeight="1" x14ac:dyDescent="0.25">
      <c r="A1362" s="402"/>
      <c r="B1362" s="404"/>
      <c r="C1362" s="82" t="s">
        <v>615</v>
      </c>
      <c r="D1362" s="86"/>
      <c r="E1362" s="82" t="s">
        <v>721</v>
      </c>
      <c r="F1362" s="368"/>
      <c r="G1362" s="368"/>
      <c r="H1362" s="368"/>
      <c r="I1362" s="368"/>
      <c r="J1362" s="370"/>
      <c r="K1362" s="370"/>
      <c r="L1362" s="370"/>
      <c r="M1362" s="370"/>
      <c r="N1362" s="370"/>
      <c r="O1362" s="370"/>
      <c r="P1362" s="370"/>
      <c r="Q1362" s="370"/>
      <c r="R1362" s="370"/>
      <c r="S1362" s="370"/>
      <c r="T1362" s="370"/>
      <c r="U1362" s="370"/>
      <c r="V1362" s="370"/>
      <c r="W1362" s="370"/>
      <c r="X1362" s="370"/>
      <c r="Y1362" s="370"/>
      <c r="Z1362" s="370"/>
      <c r="AA1362" s="370"/>
      <c r="AB1362" s="370"/>
      <c r="AC1362" s="370"/>
      <c r="AD1362" s="370"/>
      <c r="AE1362" s="370"/>
      <c r="AF1362" s="370"/>
      <c r="AG1362" s="370"/>
      <c r="AH1362" s="370"/>
      <c r="AI1362" s="370"/>
      <c r="AJ1362" s="370"/>
      <c r="AK1362" s="370"/>
      <c r="AL1362" s="370"/>
      <c r="AM1362" s="370"/>
      <c r="AN1362" s="370"/>
      <c r="AO1362" s="370"/>
    </row>
    <row r="1363" spans="1:41" s="73" customFormat="1" ht="15" customHeight="1" x14ac:dyDescent="0.25">
      <c r="A1363" s="402"/>
      <c r="B1363" s="404"/>
      <c r="C1363" s="82" t="s">
        <v>616</v>
      </c>
      <c r="D1363" s="86"/>
      <c r="E1363" s="82" t="s">
        <v>722</v>
      </c>
      <c r="F1363" s="368"/>
      <c r="G1363" s="368"/>
      <c r="H1363" s="368"/>
      <c r="I1363" s="368"/>
      <c r="J1363" s="370"/>
      <c r="K1363" s="370"/>
      <c r="L1363" s="370"/>
      <c r="M1363" s="370"/>
      <c r="N1363" s="370"/>
      <c r="O1363" s="370"/>
      <c r="P1363" s="370"/>
      <c r="Q1363" s="370"/>
      <c r="R1363" s="370"/>
      <c r="S1363" s="370"/>
      <c r="T1363" s="370"/>
      <c r="U1363" s="370"/>
      <c r="V1363" s="370"/>
      <c r="W1363" s="370"/>
      <c r="X1363" s="370"/>
      <c r="Y1363" s="370"/>
      <c r="Z1363" s="370"/>
      <c r="AA1363" s="370"/>
      <c r="AB1363" s="370"/>
      <c r="AC1363" s="370"/>
      <c r="AD1363" s="370"/>
      <c r="AE1363" s="370"/>
      <c r="AF1363" s="370"/>
      <c r="AG1363" s="370"/>
      <c r="AH1363" s="370"/>
      <c r="AI1363" s="370"/>
      <c r="AJ1363" s="370"/>
      <c r="AK1363" s="370"/>
      <c r="AL1363" s="370"/>
      <c r="AM1363" s="370"/>
      <c r="AN1363" s="370"/>
      <c r="AO1363" s="370"/>
    </row>
    <row r="1364" spans="1:41" s="73" customFormat="1" ht="15" customHeight="1" x14ac:dyDescent="0.25">
      <c r="A1364" s="402"/>
      <c r="B1364" s="404"/>
      <c r="C1364" s="82" t="s">
        <v>617</v>
      </c>
      <c r="D1364" s="86"/>
      <c r="E1364" s="82" t="s">
        <v>723</v>
      </c>
      <c r="F1364" s="368"/>
      <c r="G1364" s="368"/>
      <c r="H1364" s="368"/>
      <c r="I1364" s="368"/>
      <c r="J1364" s="370"/>
      <c r="K1364" s="370"/>
      <c r="L1364" s="370"/>
      <c r="M1364" s="370"/>
      <c r="N1364" s="370"/>
      <c r="O1364" s="370"/>
      <c r="P1364" s="370"/>
      <c r="Q1364" s="370"/>
      <c r="R1364" s="370"/>
      <c r="S1364" s="370"/>
      <c r="T1364" s="370"/>
      <c r="U1364" s="370"/>
      <c r="V1364" s="370"/>
      <c r="W1364" s="370"/>
      <c r="X1364" s="370"/>
      <c r="Y1364" s="370"/>
      <c r="Z1364" s="370"/>
      <c r="AA1364" s="370"/>
      <c r="AB1364" s="370"/>
      <c r="AC1364" s="370"/>
      <c r="AD1364" s="370"/>
      <c r="AE1364" s="370"/>
      <c r="AF1364" s="370"/>
      <c r="AG1364" s="370"/>
      <c r="AH1364" s="370"/>
      <c r="AI1364" s="370"/>
      <c r="AJ1364" s="370"/>
      <c r="AK1364" s="370"/>
      <c r="AL1364" s="370"/>
      <c r="AM1364" s="370"/>
      <c r="AN1364" s="370"/>
      <c r="AO1364" s="370"/>
    </row>
    <row r="1365" spans="1:41" s="73" customFormat="1" ht="15" customHeight="1" x14ac:dyDescent="0.25">
      <c r="A1365" s="402"/>
      <c r="B1365" s="404"/>
      <c r="C1365" s="82" t="s">
        <v>618</v>
      </c>
      <c r="D1365" s="86"/>
      <c r="E1365" s="82" t="s">
        <v>724</v>
      </c>
      <c r="F1365" s="368"/>
      <c r="G1365" s="368"/>
      <c r="H1365" s="368"/>
      <c r="I1365" s="368"/>
      <c r="J1365" s="370"/>
      <c r="K1365" s="370"/>
      <c r="L1365" s="370"/>
      <c r="M1365" s="370"/>
      <c r="N1365" s="370"/>
      <c r="O1365" s="370"/>
      <c r="P1365" s="370"/>
      <c r="Q1365" s="370"/>
      <c r="R1365" s="370"/>
      <c r="S1365" s="370"/>
      <c r="T1365" s="370"/>
      <c r="U1365" s="370"/>
      <c r="V1365" s="370"/>
      <c r="W1365" s="370"/>
      <c r="X1365" s="370"/>
      <c r="Y1365" s="370"/>
      <c r="Z1365" s="370"/>
      <c r="AA1365" s="370"/>
      <c r="AB1365" s="370"/>
      <c r="AC1365" s="370"/>
      <c r="AD1365" s="370"/>
      <c r="AE1365" s="370"/>
      <c r="AF1365" s="370"/>
      <c r="AG1365" s="370"/>
      <c r="AH1365" s="370"/>
      <c r="AI1365" s="370"/>
      <c r="AJ1365" s="370"/>
      <c r="AK1365" s="370"/>
      <c r="AL1365" s="370"/>
      <c r="AM1365" s="370"/>
      <c r="AN1365" s="370"/>
      <c r="AO1365" s="370"/>
    </row>
    <row r="1366" spans="1:41" s="73" customFormat="1" ht="15" customHeight="1" x14ac:dyDescent="0.25">
      <c r="A1366" s="402"/>
      <c r="B1366" s="404"/>
      <c r="C1366" s="82" t="s">
        <v>619</v>
      </c>
      <c r="D1366" s="86"/>
      <c r="E1366" s="82" t="s">
        <v>725</v>
      </c>
      <c r="F1366" s="368"/>
      <c r="G1366" s="368"/>
      <c r="H1366" s="368"/>
      <c r="I1366" s="368"/>
      <c r="J1366" s="370"/>
      <c r="K1366" s="370"/>
      <c r="L1366" s="370"/>
      <c r="M1366" s="370"/>
      <c r="N1366" s="370"/>
      <c r="O1366" s="370"/>
      <c r="P1366" s="370"/>
      <c r="Q1366" s="370"/>
      <c r="R1366" s="370"/>
      <c r="S1366" s="370"/>
      <c r="T1366" s="370"/>
      <c r="U1366" s="370"/>
      <c r="V1366" s="370"/>
      <c r="W1366" s="370"/>
      <c r="X1366" s="370"/>
      <c r="Y1366" s="370"/>
      <c r="Z1366" s="370"/>
      <c r="AA1366" s="370"/>
      <c r="AB1366" s="370"/>
      <c r="AC1366" s="370"/>
      <c r="AD1366" s="370"/>
      <c r="AE1366" s="370"/>
      <c r="AF1366" s="370"/>
      <c r="AG1366" s="370"/>
      <c r="AH1366" s="370"/>
      <c r="AI1366" s="370"/>
      <c r="AJ1366" s="370"/>
      <c r="AK1366" s="370"/>
      <c r="AL1366" s="370"/>
      <c r="AM1366" s="370"/>
      <c r="AN1366" s="370"/>
      <c r="AO1366" s="370"/>
    </row>
    <row r="1367" spans="1:41" s="73" customFormat="1" ht="15" customHeight="1" x14ac:dyDescent="0.25">
      <c r="A1367" s="402"/>
      <c r="B1367" s="404"/>
      <c r="C1367" s="82" t="s">
        <v>620</v>
      </c>
      <c r="D1367" s="86"/>
      <c r="E1367" s="82" t="s">
        <v>726</v>
      </c>
      <c r="F1367" s="368"/>
      <c r="G1367" s="368"/>
      <c r="H1367" s="368"/>
      <c r="I1367" s="368"/>
      <c r="J1367" s="370"/>
      <c r="K1367" s="370"/>
      <c r="L1367" s="370"/>
      <c r="M1367" s="370"/>
      <c r="N1367" s="370"/>
      <c r="O1367" s="370"/>
      <c r="P1367" s="370"/>
      <c r="Q1367" s="370"/>
      <c r="R1367" s="370"/>
      <c r="S1367" s="370"/>
      <c r="T1367" s="370"/>
      <c r="U1367" s="370"/>
      <c r="V1367" s="370"/>
      <c r="W1367" s="370"/>
      <c r="X1367" s="370"/>
      <c r="Y1367" s="370"/>
      <c r="Z1367" s="370"/>
      <c r="AA1367" s="370"/>
      <c r="AB1367" s="370"/>
      <c r="AC1367" s="370"/>
      <c r="AD1367" s="370"/>
      <c r="AE1367" s="370"/>
      <c r="AF1367" s="370"/>
      <c r="AG1367" s="370"/>
      <c r="AH1367" s="370"/>
      <c r="AI1367" s="370"/>
      <c r="AJ1367" s="370"/>
      <c r="AK1367" s="370"/>
      <c r="AL1367" s="370"/>
      <c r="AM1367" s="370"/>
      <c r="AN1367" s="370"/>
      <c r="AO1367" s="370"/>
    </row>
    <row r="1368" spans="1:41" s="73" customFormat="1" ht="15" customHeight="1" x14ac:dyDescent="0.25">
      <c r="A1368" s="402"/>
      <c r="B1368" s="404"/>
      <c r="C1368" s="82" t="s">
        <v>621</v>
      </c>
      <c r="D1368" s="86"/>
      <c r="E1368" s="82" t="s">
        <v>727</v>
      </c>
      <c r="F1368" s="368"/>
      <c r="G1368" s="368"/>
      <c r="H1368" s="368"/>
      <c r="I1368" s="368"/>
      <c r="J1368" s="370"/>
      <c r="K1368" s="370"/>
      <c r="L1368" s="370"/>
      <c r="M1368" s="370"/>
      <c r="N1368" s="370"/>
      <c r="O1368" s="370"/>
      <c r="P1368" s="370"/>
      <c r="Q1368" s="370"/>
      <c r="R1368" s="370"/>
      <c r="S1368" s="370"/>
      <c r="T1368" s="370"/>
      <c r="U1368" s="370"/>
      <c r="V1368" s="370"/>
      <c r="W1368" s="370"/>
      <c r="X1368" s="370"/>
      <c r="Y1368" s="370"/>
      <c r="Z1368" s="370"/>
      <c r="AA1368" s="370"/>
      <c r="AB1368" s="370"/>
      <c r="AC1368" s="370"/>
      <c r="AD1368" s="370"/>
      <c r="AE1368" s="370"/>
      <c r="AF1368" s="370"/>
      <c r="AG1368" s="370"/>
      <c r="AH1368" s="370"/>
      <c r="AI1368" s="370"/>
      <c r="AJ1368" s="370"/>
      <c r="AK1368" s="370"/>
      <c r="AL1368" s="370"/>
      <c r="AM1368" s="370"/>
      <c r="AN1368" s="370"/>
      <c r="AO1368" s="370"/>
    </row>
    <row r="1369" spans="1:41" s="73" customFormat="1" ht="15" customHeight="1" x14ac:dyDescent="0.25">
      <c r="A1369" s="402"/>
      <c r="B1369" s="404"/>
      <c r="C1369" s="82" t="s">
        <v>622</v>
      </c>
      <c r="D1369" s="86"/>
      <c r="E1369" s="82" t="s">
        <v>728</v>
      </c>
      <c r="F1369" s="368"/>
      <c r="G1369" s="368"/>
      <c r="H1369" s="368"/>
      <c r="I1369" s="368"/>
      <c r="J1369" s="370"/>
      <c r="K1369" s="370"/>
      <c r="L1369" s="370"/>
      <c r="M1369" s="370"/>
      <c r="N1369" s="370"/>
      <c r="O1369" s="370"/>
      <c r="P1369" s="370"/>
      <c r="Q1369" s="370"/>
      <c r="R1369" s="370"/>
      <c r="S1369" s="370"/>
      <c r="T1369" s="370"/>
      <c r="U1369" s="370"/>
      <c r="V1369" s="370"/>
      <c r="W1369" s="370"/>
      <c r="X1369" s="370"/>
      <c r="Y1369" s="370"/>
      <c r="Z1369" s="370"/>
      <c r="AA1369" s="370"/>
      <c r="AB1369" s="370"/>
      <c r="AC1369" s="370"/>
      <c r="AD1369" s="370"/>
      <c r="AE1369" s="370"/>
      <c r="AF1369" s="370"/>
      <c r="AG1369" s="370"/>
      <c r="AH1369" s="370"/>
      <c r="AI1369" s="370"/>
      <c r="AJ1369" s="370"/>
      <c r="AK1369" s="370"/>
      <c r="AL1369" s="370"/>
      <c r="AM1369" s="370"/>
      <c r="AN1369" s="370"/>
      <c r="AO1369" s="370"/>
    </row>
    <row r="1370" spans="1:41" s="73" customFormat="1" ht="15" customHeight="1" x14ac:dyDescent="0.25">
      <c r="A1370" s="402"/>
      <c r="B1370" s="404"/>
      <c r="C1370" s="82" t="s">
        <v>510</v>
      </c>
      <c r="D1370" s="86"/>
      <c r="E1370" s="82" t="s">
        <v>729</v>
      </c>
      <c r="F1370" s="368"/>
      <c r="G1370" s="368"/>
      <c r="H1370" s="368"/>
      <c r="I1370" s="368"/>
      <c r="J1370" s="370"/>
      <c r="K1370" s="370"/>
      <c r="L1370" s="370"/>
      <c r="M1370" s="370"/>
      <c r="N1370" s="370"/>
      <c r="O1370" s="370"/>
      <c r="P1370" s="370"/>
      <c r="Q1370" s="370"/>
      <c r="R1370" s="370"/>
      <c r="S1370" s="370"/>
      <c r="T1370" s="370"/>
      <c r="U1370" s="370"/>
      <c r="V1370" s="370"/>
      <c r="W1370" s="370"/>
      <c r="X1370" s="370"/>
      <c r="Y1370" s="370"/>
      <c r="Z1370" s="370"/>
      <c r="AA1370" s="370"/>
      <c r="AB1370" s="370"/>
      <c r="AC1370" s="370"/>
      <c r="AD1370" s="370"/>
      <c r="AE1370" s="370"/>
      <c r="AF1370" s="370"/>
      <c r="AG1370" s="370"/>
      <c r="AH1370" s="370"/>
      <c r="AI1370" s="370"/>
      <c r="AJ1370" s="370"/>
      <c r="AK1370" s="370"/>
      <c r="AL1370" s="370"/>
      <c r="AM1370" s="370"/>
      <c r="AN1370" s="370"/>
      <c r="AO1370" s="370"/>
    </row>
    <row r="1371" spans="1:41" s="73" customFormat="1" ht="15" customHeight="1" x14ac:dyDescent="0.25">
      <c r="A1371" s="402"/>
      <c r="B1371" s="404"/>
      <c r="C1371" s="82" t="s">
        <v>511</v>
      </c>
      <c r="D1371" s="86"/>
      <c r="E1371" s="82" t="s">
        <v>730</v>
      </c>
      <c r="F1371" s="368"/>
      <c r="G1371" s="368"/>
      <c r="H1371" s="368"/>
      <c r="I1371" s="368"/>
      <c r="J1371" s="370"/>
      <c r="K1371" s="370"/>
      <c r="L1371" s="370"/>
      <c r="M1371" s="370"/>
      <c r="N1371" s="370"/>
      <c r="O1371" s="370"/>
      <c r="P1371" s="370"/>
      <c r="Q1371" s="370"/>
      <c r="R1371" s="370"/>
      <c r="S1371" s="370"/>
      <c r="T1371" s="370"/>
      <c r="U1371" s="370"/>
      <c r="V1371" s="370"/>
      <c r="W1371" s="370"/>
      <c r="X1371" s="370"/>
      <c r="Y1371" s="370"/>
      <c r="Z1371" s="370"/>
      <c r="AA1371" s="370"/>
      <c r="AB1371" s="370"/>
      <c r="AC1371" s="370"/>
      <c r="AD1371" s="370"/>
      <c r="AE1371" s="370"/>
      <c r="AF1371" s="370"/>
      <c r="AG1371" s="370"/>
      <c r="AH1371" s="370"/>
      <c r="AI1371" s="370"/>
      <c r="AJ1371" s="370"/>
      <c r="AK1371" s="370"/>
      <c r="AL1371" s="370"/>
      <c r="AM1371" s="370"/>
      <c r="AN1371" s="370"/>
      <c r="AO1371" s="370"/>
    </row>
    <row r="1372" spans="1:41" s="73" customFormat="1" ht="15" customHeight="1" x14ac:dyDescent="0.25">
      <c r="A1372" s="402"/>
      <c r="B1372" s="404"/>
      <c r="C1372" s="82" t="s">
        <v>512</v>
      </c>
      <c r="D1372" s="86"/>
      <c r="E1372" s="82" t="s">
        <v>731</v>
      </c>
      <c r="F1372" s="368"/>
      <c r="G1372" s="368"/>
      <c r="H1372" s="368"/>
      <c r="I1372" s="368"/>
      <c r="J1372" s="370"/>
      <c r="K1372" s="370"/>
      <c r="L1372" s="370"/>
      <c r="M1372" s="370"/>
      <c r="N1372" s="370"/>
      <c r="O1372" s="370"/>
      <c r="P1372" s="370"/>
      <c r="Q1372" s="370"/>
      <c r="R1372" s="370"/>
      <c r="S1372" s="370"/>
      <c r="T1372" s="370"/>
      <c r="U1372" s="370"/>
      <c r="V1372" s="370"/>
      <c r="W1372" s="370"/>
      <c r="X1372" s="370"/>
      <c r="Y1372" s="370"/>
      <c r="Z1372" s="370"/>
      <c r="AA1372" s="370"/>
      <c r="AB1372" s="370"/>
      <c r="AC1372" s="370"/>
      <c r="AD1372" s="370"/>
      <c r="AE1372" s="370"/>
      <c r="AF1372" s="370"/>
      <c r="AG1372" s="370"/>
      <c r="AH1372" s="370"/>
      <c r="AI1372" s="370"/>
      <c r="AJ1372" s="370"/>
      <c r="AK1372" s="370"/>
      <c r="AL1372" s="370"/>
      <c r="AM1372" s="370"/>
      <c r="AN1372" s="370"/>
      <c r="AO1372" s="370"/>
    </row>
    <row r="1373" spans="1:41" s="73" customFormat="1" ht="15" customHeight="1" x14ac:dyDescent="0.25">
      <c r="A1373" s="402"/>
      <c r="B1373" s="404"/>
      <c r="C1373" s="82" t="s">
        <v>513</v>
      </c>
      <c r="D1373" s="86"/>
      <c r="E1373" s="82" t="s">
        <v>732</v>
      </c>
      <c r="F1373" s="368"/>
      <c r="G1373" s="368"/>
      <c r="H1373" s="368"/>
      <c r="I1373" s="368"/>
      <c r="J1373" s="370"/>
      <c r="K1373" s="370"/>
      <c r="L1373" s="370"/>
      <c r="M1373" s="370"/>
      <c r="N1373" s="370"/>
      <c r="O1373" s="370"/>
      <c r="P1373" s="370"/>
      <c r="Q1373" s="370"/>
      <c r="R1373" s="370"/>
      <c r="S1373" s="370"/>
      <c r="T1373" s="370"/>
      <c r="U1373" s="370"/>
      <c r="V1373" s="370"/>
      <c r="W1373" s="370"/>
      <c r="X1373" s="370"/>
      <c r="Y1373" s="370"/>
      <c r="Z1373" s="370"/>
      <c r="AA1373" s="370"/>
      <c r="AB1373" s="370"/>
      <c r="AC1373" s="370"/>
      <c r="AD1373" s="370"/>
      <c r="AE1373" s="370"/>
      <c r="AF1373" s="370"/>
      <c r="AG1373" s="370"/>
      <c r="AH1373" s="370"/>
      <c r="AI1373" s="370"/>
      <c r="AJ1373" s="370"/>
      <c r="AK1373" s="370"/>
      <c r="AL1373" s="370"/>
      <c r="AM1373" s="370"/>
      <c r="AN1373" s="370"/>
      <c r="AO1373" s="370"/>
    </row>
    <row r="1374" spans="1:41" s="73" customFormat="1" ht="15" customHeight="1" x14ac:dyDescent="0.25">
      <c r="A1374" s="402"/>
      <c r="B1374" s="404"/>
      <c r="C1374" s="82" t="s">
        <v>514</v>
      </c>
      <c r="D1374" s="86"/>
      <c r="E1374" s="82" t="s">
        <v>733</v>
      </c>
      <c r="F1374" s="368"/>
      <c r="G1374" s="368"/>
      <c r="H1374" s="368"/>
      <c r="I1374" s="368"/>
      <c r="J1374" s="370"/>
      <c r="K1374" s="370"/>
      <c r="L1374" s="370"/>
      <c r="M1374" s="370"/>
      <c r="N1374" s="370"/>
      <c r="O1374" s="370"/>
      <c r="P1374" s="370"/>
      <c r="Q1374" s="370"/>
      <c r="R1374" s="370"/>
      <c r="S1374" s="370"/>
      <c r="T1374" s="370"/>
      <c r="U1374" s="370"/>
      <c r="V1374" s="370"/>
      <c r="W1374" s="370"/>
      <c r="X1374" s="370"/>
      <c r="Y1374" s="370"/>
      <c r="Z1374" s="370"/>
      <c r="AA1374" s="370"/>
      <c r="AB1374" s="370"/>
      <c r="AC1374" s="370"/>
      <c r="AD1374" s="370"/>
      <c r="AE1374" s="370"/>
      <c r="AF1374" s="370"/>
      <c r="AG1374" s="370"/>
      <c r="AH1374" s="370"/>
      <c r="AI1374" s="370"/>
      <c r="AJ1374" s="370"/>
      <c r="AK1374" s="370"/>
      <c r="AL1374" s="370"/>
      <c r="AM1374" s="370"/>
      <c r="AN1374" s="370"/>
      <c r="AO1374" s="370"/>
    </row>
    <row r="1375" spans="1:41" s="73" customFormat="1" ht="15" customHeight="1" x14ac:dyDescent="0.25">
      <c r="A1375" s="402"/>
      <c r="B1375" s="404"/>
      <c r="C1375" s="82" t="s">
        <v>515</v>
      </c>
      <c r="D1375" s="86"/>
      <c r="E1375" s="82" t="s">
        <v>734</v>
      </c>
      <c r="F1375" s="368"/>
      <c r="G1375" s="368"/>
      <c r="H1375" s="368"/>
      <c r="I1375" s="368"/>
      <c r="J1375" s="370"/>
      <c r="K1375" s="370"/>
      <c r="L1375" s="370"/>
      <c r="M1375" s="370"/>
      <c r="N1375" s="370"/>
      <c r="O1375" s="370"/>
      <c r="P1375" s="370"/>
      <c r="Q1375" s="370"/>
      <c r="R1375" s="370"/>
      <c r="S1375" s="370"/>
      <c r="T1375" s="370"/>
      <c r="U1375" s="370"/>
      <c r="V1375" s="370"/>
      <c r="W1375" s="370"/>
      <c r="X1375" s="370"/>
      <c r="Y1375" s="370"/>
      <c r="Z1375" s="370"/>
      <c r="AA1375" s="370"/>
      <c r="AB1375" s="370"/>
      <c r="AC1375" s="370"/>
      <c r="AD1375" s="370"/>
      <c r="AE1375" s="370"/>
      <c r="AF1375" s="370"/>
      <c r="AG1375" s="370"/>
      <c r="AH1375" s="370"/>
      <c r="AI1375" s="370"/>
      <c r="AJ1375" s="370"/>
      <c r="AK1375" s="370"/>
      <c r="AL1375" s="370"/>
      <c r="AM1375" s="370"/>
      <c r="AN1375" s="370"/>
      <c r="AO1375" s="370"/>
    </row>
    <row r="1376" spans="1:41" s="73" customFormat="1" ht="15" customHeight="1" x14ac:dyDescent="0.25">
      <c r="A1376" s="402"/>
      <c r="B1376" s="404"/>
      <c r="C1376" s="82" t="s">
        <v>516</v>
      </c>
      <c r="D1376" s="86"/>
      <c r="E1376" s="82" t="s">
        <v>735</v>
      </c>
      <c r="F1376" s="368"/>
      <c r="G1376" s="368"/>
      <c r="H1376" s="368"/>
      <c r="I1376" s="368"/>
      <c r="J1376" s="370"/>
      <c r="K1376" s="370"/>
      <c r="L1376" s="370"/>
      <c r="M1376" s="370"/>
      <c r="N1376" s="370"/>
      <c r="O1376" s="370"/>
      <c r="P1376" s="370"/>
      <c r="Q1376" s="370"/>
      <c r="R1376" s="370"/>
      <c r="S1376" s="370"/>
      <c r="T1376" s="370"/>
      <c r="U1376" s="370"/>
      <c r="V1376" s="370"/>
      <c r="W1376" s="370"/>
      <c r="X1376" s="370"/>
      <c r="Y1376" s="370"/>
      <c r="Z1376" s="370"/>
      <c r="AA1376" s="370"/>
      <c r="AB1376" s="370"/>
      <c r="AC1376" s="370"/>
      <c r="AD1376" s="370"/>
      <c r="AE1376" s="370"/>
      <c r="AF1376" s="370"/>
      <c r="AG1376" s="370"/>
      <c r="AH1376" s="370"/>
      <c r="AI1376" s="370"/>
      <c r="AJ1376" s="370"/>
      <c r="AK1376" s="370"/>
      <c r="AL1376" s="370"/>
      <c r="AM1376" s="370"/>
      <c r="AN1376" s="370"/>
      <c r="AO1376" s="370"/>
    </row>
    <row r="1377" spans="1:41" s="73" customFormat="1" ht="15" customHeight="1" x14ac:dyDescent="0.25">
      <c r="A1377" s="402"/>
      <c r="B1377" s="404"/>
      <c r="C1377" s="82" t="s">
        <v>517</v>
      </c>
      <c r="D1377" s="86"/>
      <c r="E1377" s="82" t="s">
        <v>736</v>
      </c>
      <c r="F1377" s="368"/>
      <c r="G1377" s="368"/>
      <c r="H1377" s="368"/>
      <c r="I1377" s="368"/>
      <c r="J1377" s="370"/>
      <c r="K1377" s="370"/>
      <c r="L1377" s="370"/>
      <c r="M1377" s="370"/>
      <c r="N1377" s="370"/>
      <c r="O1377" s="370"/>
      <c r="P1377" s="370"/>
      <c r="Q1377" s="370"/>
      <c r="R1377" s="370"/>
      <c r="S1377" s="370"/>
      <c r="T1377" s="370"/>
      <c r="U1377" s="370"/>
      <c r="V1377" s="370"/>
      <c r="W1377" s="370"/>
      <c r="X1377" s="370"/>
      <c r="Y1377" s="370"/>
      <c r="Z1377" s="370"/>
      <c r="AA1377" s="370"/>
      <c r="AB1377" s="370"/>
      <c r="AC1377" s="370"/>
      <c r="AD1377" s="370"/>
      <c r="AE1377" s="370"/>
      <c r="AF1377" s="370"/>
      <c r="AG1377" s="370"/>
      <c r="AH1377" s="370"/>
      <c r="AI1377" s="370"/>
      <c r="AJ1377" s="370"/>
      <c r="AK1377" s="370"/>
      <c r="AL1377" s="370"/>
      <c r="AM1377" s="370"/>
      <c r="AN1377" s="370"/>
      <c r="AO1377" s="370"/>
    </row>
    <row r="1378" spans="1:41" s="73" customFormat="1" ht="15" customHeight="1" x14ac:dyDescent="0.25">
      <c r="A1378" s="402"/>
      <c r="B1378" s="404"/>
      <c r="C1378" s="82" t="s">
        <v>518</v>
      </c>
      <c r="D1378" s="86"/>
      <c r="E1378" s="82" t="s">
        <v>737</v>
      </c>
      <c r="F1378" s="368"/>
      <c r="G1378" s="368"/>
      <c r="H1378" s="368"/>
      <c r="I1378" s="368"/>
      <c r="J1378" s="370"/>
      <c r="K1378" s="370"/>
      <c r="L1378" s="370"/>
      <c r="M1378" s="370"/>
      <c r="N1378" s="370"/>
      <c r="O1378" s="370"/>
      <c r="P1378" s="370"/>
      <c r="Q1378" s="370"/>
      <c r="R1378" s="370"/>
      <c r="S1378" s="370"/>
      <c r="T1378" s="370"/>
      <c r="U1378" s="370"/>
      <c r="V1378" s="370"/>
      <c r="W1378" s="370"/>
      <c r="X1378" s="370"/>
      <c r="Y1378" s="370"/>
      <c r="Z1378" s="370"/>
      <c r="AA1378" s="370"/>
      <c r="AB1378" s="370"/>
      <c r="AC1378" s="370"/>
      <c r="AD1378" s="370"/>
      <c r="AE1378" s="370"/>
      <c r="AF1378" s="370"/>
      <c r="AG1378" s="370"/>
      <c r="AH1378" s="370"/>
      <c r="AI1378" s="370"/>
      <c r="AJ1378" s="370"/>
      <c r="AK1378" s="370"/>
      <c r="AL1378" s="370"/>
      <c r="AM1378" s="370"/>
      <c r="AN1378" s="370"/>
      <c r="AO1378" s="370"/>
    </row>
    <row r="1379" spans="1:41" s="108" customFormat="1" ht="15" customHeight="1" x14ac:dyDescent="0.25">
      <c r="A1379" s="402"/>
      <c r="B1379" s="413" t="s">
        <v>1002</v>
      </c>
      <c r="C1379" s="187" t="s">
        <v>751</v>
      </c>
      <c r="D1379" s="153"/>
      <c r="E1379" s="154" t="s">
        <v>295</v>
      </c>
      <c r="F1379" s="374"/>
      <c r="G1379" s="374"/>
      <c r="H1379" s="374"/>
      <c r="I1379" s="374"/>
      <c r="J1379" s="375"/>
      <c r="K1379" s="375"/>
      <c r="L1379" s="375"/>
      <c r="M1379" s="375"/>
      <c r="N1379" s="375"/>
      <c r="O1379" s="375"/>
      <c r="P1379" s="375"/>
      <c r="Q1379" s="375"/>
      <c r="R1379" s="375"/>
      <c r="S1379" s="375"/>
      <c r="T1379" s="375"/>
      <c r="U1379" s="375"/>
      <c r="V1379" s="375"/>
      <c r="W1379" s="375"/>
      <c r="X1379" s="375"/>
      <c r="Y1379" s="375"/>
      <c r="Z1379" s="375"/>
      <c r="AA1379" s="375"/>
      <c r="AB1379" s="375"/>
      <c r="AC1379" s="375"/>
      <c r="AD1379" s="375"/>
      <c r="AE1379" s="375"/>
      <c r="AF1379" s="375"/>
      <c r="AG1379" s="375"/>
      <c r="AH1379" s="375"/>
      <c r="AI1379" s="375"/>
      <c r="AJ1379" s="375"/>
      <c r="AK1379" s="375"/>
      <c r="AL1379" s="375"/>
      <c r="AM1379" s="375"/>
      <c r="AN1379" s="375"/>
      <c r="AO1379" s="375"/>
    </row>
    <row r="1380" spans="1:41" ht="15" customHeight="1" x14ac:dyDescent="0.25">
      <c r="A1380" s="402"/>
      <c r="B1380" s="414"/>
      <c r="C1380" s="188" t="s">
        <v>604</v>
      </c>
      <c r="D1380" s="144"/>
      <c r="E1380" s="71" t="s">
        <v>623</v>
      </c>
      <c r="F1380" s="374"/>
      <c r="G1380" s="374"/>
      <c r="H1380" s="374"/>
      <c r="I1380" s="374"/>
      <c r="J1380" s="376"/>
      <c r="K1380" s="376"/>
      <c r="L1380" s="376"/>
      <c r="M1380" s="376"/>
      <c r="N1380" s="376"/>
      <c r="O1380" s="376"/>
      <c r="P1380" s="376"/>
      <c r="Q1380" s="376"/>
      <c r="R1380" s="376"/>
      <c r="S1380" s="376"/>
      <c r="T1380" s="376"/>
      <c r="U1380" s="376"/>
      <c r="V1380" s="376"/>
      <c r="W1380" s="376"/>
      <c r="X1380" s="376"/>
      <c r="Y1380" s="376"/>
      <c r="Z1380" s="376"/>
      <c r="AA1380" s="376"/>
      <c r="AB1380" s="376"/>
      <c r="AC1380" s="376"/>
      <c r="AD1380" s="376"/>
      <c r="AE1380" s="376"/>
      <c r="AF1380" s="376"/>
      <c r="AG1380" s="376"/>
      <c r="AH1380" s="376"/>
      <c r="AI1380" s="376"/>
      <c r="AJ1380" s="376"/>
      <c r="AK1380" s="376"/>
      <c r="AL1380" s="376"/>
      <c r="AM1380" s="376"/>
      <c r="AN1380" s="376"/>
      <c r="AO1380" s="376"/>
    </row>
    <row r="1381" spans="1:41" ht="15" customHeight="1" x14ac:dyDescent="0.25">
      <c r="A1381" s="402"/>
      <c r="B1381" s="414"/>
      <c r="C1381" s="188" t="s">
        <v>605</v>
      </c>
      <c r="D1381" s="144"/>
      <c r="E1381" s="71" t="s">
        <v>624</v>
      </c>
      <c r="F1381" s="374"/>
      <c r="G1381" s="374"/>
      <c r="H1381" s="374"/>
      <c r="I1381" s="374"/>
      <c r="J1381" s="376"/>
      <c r="K1381" s="376"/>
      <c r="L1381" s="376"/>
      <c r="M1381" s="376"/>
      <c r="N1381" s="376"/>
      <c r="O1381" s="376"/>
      <c r="P1381" s="376"/>
      <c r="Q1381" s="376"/>
      <c r="R1381" s="376"/>
      <c r="S1381" s="376"/>
      <c r="T1381" s="376"/>
      <c r="U1381" s="376"/>
      <c r="V1381" s="376"/>
      <c r="W1381" s="376"/>
      <c r="X1381" s="376"/>
      <c r="Y1381" s="376"/>
      <c r="Z1381" s="376"/>
      <c r="AA1381" s="376"/>
      <c r="AB1381" s="376"/>
      <c r="AC1381" s="376"/>
      <c r="AD1381" s="376"/>
      <c r="AE1381" s="376"/>
      <c r="AF1381" s="376"/>
      <c r="AG1381" s="376"/>
      <c r="AH1381" s="376"/>
      <c r="AI1381" s="376"/>
      <c r="AJ1381" s="376"/>
      <c r="AK1381" s="376"/>
      <c r="AL1381" s="376"/>
      <c r="AM1381" s="376"/>
      <c r="AN1381" s="376"/>
      <c r="AO1381" s="376"/>
    </row>
    <row r="1382" spans="1:41" ht="15" customHeight="1" x14ac:dyDescent="0.25">
      <c r="A1382" s="402"/>
      <c r="B1382" s="414"/>
      <c r="C1382" s="188" t="s">
        <v>606</v>
      </c>
      <c r="D1382" s="144"/>
      <c r="E1382" s="71" t="s">
        <v>625</v>
      </c>
      <c r="F1382" s="374"/>
      <c r="G1382" s="374"/>
      <c r="H1382" s="374"/>
      <c r="I1382" s="374"/>
      <c r="J1382" s="376"/>
      <c r="K1382" s="376"/>
      <c r="L1382" s="376"/>
      <c r="M1382" s="376"/>
      <c r="N1382" s="376"/>
      <c r="O1382" s="376"/>
      <c r="P1382" s="376"/>
      <c r="Q1382" s="376"/>
      <c r="R1382" s="376"/>
      <c r="S1382" s="376"/>
      <c r="T1382" s="376"/>
      <c r="U1382" s="376"/>
      <c r="V1382" s="376"/>
      <c r="W1382" s="376"/>
      <c r="X1382" s="376"/>
      <c r="Y1382" s="376"/>
      <c r="Z1382" s="376"/>
      <c r="AA1382" s="376"/>
      <c r="AB1382" s="376"/>
      <c r="AC1382" s="376"/>
      <c r="AD1382" s="376"/>
      <c r="AE1382" s="376"/>
      <c r="AF1382" s="376"/>
      <c r="AG1382" s="376"/>
      <c r="AH1382" s="376"/>
      <c r="AI1382" s="376"/>
      <c r="AJ1382" s="376"/>
      <c r="AK1382" s="376"/>
      <c r="AL1382" s="376"/>
      <c r="AM1382" s="376"/>
      <c r="AN1382" s="376"/>
      <c r="AO1382" s="376"/>
    </row>
    <row r="1383" spans="1:41" ht="15" customHeight="1" x14ac:dyDescent="0.25">
      <c r="A1383" s="402"/>
      <c r="B1383" s="414"/>
      <c r="C1383" s="188" t="s">
        <v>607</v>
      </c>
      <c r="D1383" s="144"/>
      <c r="E1383" s="83" t="s">
        <v>626</v>
      </c>
      <c r="F1383" s="374"/>
      <c r="G1383" s="374"/>
      <c r="H1383" s="374"/>
      <c r="I1383" s="374"/>
      <c r="J1383" s="376"/>
      <c r="K1383" s="376"/>
      <c r="L1383" s="376"/>
      <c r="M1383" s="376"/>
      <c r="N1383" s="376"/>
      <c r="O1383" s="376"/>
      <c r="P1383" s="376"/>
      <c r="Q1383" s="376"/>
      <c r="R1383" s="376"/>
      <c r="S1383" s="376"/>
      <c r="T1383" s="376"/>
      <c r="U1383" s="376"/>
      <c r="V1383" s="376"/>
      <c r="W1383" s="376"/>
      <c r="X1383" s="376"/>
      <c r="Y1383" s="376"/>
      <c r="Z1383" s="376"/>
      <c r="AA1383" s="376"/>
      <c r="AB1383" s="376"/>
      <c r="AC1383" s="376"/>
      <c r="AD1383" s="376"/>
      <c r="AE1383" s="376"/>
      <c r="AF1383" s="376"/>
      <c r="AG1383" s="376"/>
      <c r="AH1383" s="376"/>
      <c r="AI1383" s="376"/>
      <c r="AJ1383" s="376"/>
      <c r="AK1383" s="376"/>
      <c r="AL1383" s="376"/>
      <c r="AM1383" s="376"/>
      <c r="AN1383" s="376"/>
      <c r="AO1383" s="376"/>
    </row>
    <row r="1384" spans="1:41" ht="15" customHeight="1" x14ac:dyDescent="0.25">
      <c r="A1384" s="402"/>
      <c r="B1384" s="414"/>
      <c r="C1384" s="188" t="s">
        <v>608</v>
      </c>
      <c r="D1384" s="144"/>
      <c r="E1384" s="83" t="s">
        <v>627</v>
      </c>
      <c r="F1384" s="374"/>
      <c r="G1384" s="374"/>
      <c r="H1384" s="374"/>
      <c r="I1384" s="374"/>
      <c r="J1384" s="376"/>
      <c r="K1384" s="376"/>
      <c r="L1384" s="376"/>
      <c r="M1384" s="376"/>
      <c r="N1384" s="376"/>
      <c r="O1384" s="376"/>
      <c r="P1384" s="376"/>
      <c r="Q1384" s="376"/>
      <c r="R1384" s="376"/>
      <c r="S1384" s="376"/>
      <c r="T1384" s="376"/>
      <c r="U1384" s="376"/>
      <c r="V1384" s="376"/>
      <c r="W1384" s="376"/>
      <c r="X1384" s="376"/>
      <c r="Y1384" s="376"/>
      <c r="Z1384" s="376"/>
      <c r="AA1384" s="376"/>
      <c r="AB1384" s="376"/>
      <c r="AC1384" s="376"/>
      <c r="AD1384" s="376"/>
      <c r="AE1384" s="376"/>
      <c r="AF1384" s="376"/>
      <c r="AG1384" s="376"/>
      <c r="AH1384" s="376"/>
      <c r="AI1384" s="376"/>
      <c r="AJ1384" s="376"/>
      <c r="AK1384" s="376"/>
      <c r="AL1384" s="376"/>
      <c r="AM1384" s="376"/>
      <c r="AN1384" s="376"/>
      <c r="AO1384" s="376"/>
    </row>
    <row r="1385" spans="1:41" ht="15" customHeight="1" x14ac:dyDescent="0.25">
      <c r="A1385" s="402"/>
      <c r="B1385" s="414"/>
      <c r="C1385" s="188" t="s">
        <v>609</v>
      </c>
      <c r="D1385" s="144"/>
      <c r="E1385" s="83" t="s">
        <v>628</v>
      </c>
      <c r="F1385" s="374"/>
      <c r="G1385" s="374"/>
      <c r="H1385" s="374"/>
      <c r="I1385" s="374"/>
      <c r="J1385" s="376"/>
      <c r="K1385" s="376"/>
      <c r="L1385" s="376"/>
      <c r="M1385" s="376"/>
      <c r="N1385" s="376"/>
      <c r="O1385" s="376"/>
      <c r="P1385" s="376"/>
      <c r="Q1385" s="376"/>
      <c r="R1385" s="376"/>
      <c r="S1385" s="376"/>
      <c r="T1385" s="376"/>
      <c r="U1385" s="376"/>
      <c r="V1385" s="376"/>
      <c r="W1385" s="376"/>
      <c r="X1385" s="376"/>
      <c r="Y1385" s="376"/>
      <c r="Z1385" s="376"/>
      <c r="AA1385" s="376"/>
      <c r="AB1385" s="376"/>
      <c r="AC1385" s="376"/>
      <c r="AD1385" s="376"/>
      <c r="AE1385" s="376"/>
      <c r="AF1385" s="376"/>
      <c r="AG1385" s="376"/>
      <c r="AH1385" s="376"/>
      <c r="AI1385" s="376"/>
      <c r="AJ1385" s="376"/>
      <c r="AK1385" s="376"/>
      <c r="AL1385" s="376"/>
      <c r="AM1385" s="376"/>
      <c r="AN1385" s="376"/>
      <c r="AO1385" s="376"/>
    </row>
    <row r="1386" spans="1:41" ht="15" customHeight="1" x14ac:dyDescent="0.25">
      <c r="A1386" s="402"/>
      <c r="B1386" s="414"/>
      <c r="C1386" s="188" t="s">
        <v>610</v>
      </c>
      <c r="D1386" s="144"/>
      <c r="E1386" s="83" t="s">
        <v>629</v>
      </c>
      <c r="F1386" s="374"/>
      <c r="G1386" s="374"/>
      <c r="H1386" s="374"/>
      <c r="I1386" s="374"/>
      <c r="J1386" s="376"/>
      <c r="K1386" s="376"/>
      <c r="L1386" s="376"/>
      <c r="M1386" s="376"/>
      <c r="N1386" s="376"/>
      <c r="O1386" s="376"/>
      <c r="P1386" s="376"/>
      <c r="Q1386" s="376"/>
      <c r="R1386" s="376"/>
      <c r="S1386" s="376"/>
      <c r="T1386" s="376"/>
      <c r="U1386" s="376"/>
      <c r="V1386" s="376"/>
      <c r="W1386" s="376"/>
      <c r="X1386" s="376"/>
      <c r="Y1386" s="376"/>
      <c r="Z1386" s="376"/>
      <c r="AA1386" s="376"/>
      <c r="AB1386" s="376"/>
      <c r="AC1386" s="376"/>
      <c r="AD1386" s="376"/>
      <c r="AE1386" s="376"/>
      <c r="AF1386" s="376"/>
      <c r="AG1386" s="376"/>
      <c r="AH1386" s="376"/>
      <c r="AI1386" s="376"/>
      <c r="AJ1386" s="376"/>
      <c r="AK1386" s="376"/>
      <c r="AL1386" s="376"/>
      <c r="AM1386" s="376"/>
      <c r="AN1386" s="376"/>
      <c r="AO1386" s="376"/>
    </row>
    <row r="1387" spans="1:41" ht="15" customHeight="1" x14ac:dyDescent="0.25">
      <c r="A1387" s="402"/>
      <c r="B1387" s="414"/>
      <c r="C1387" s="188" t="s">
        <v>611</v>
      </c>
      <c r="D1387" s="144"/>
      <c r="E1387" s="83" t="s">
        <v>630</v>
      </c>
      <c r="F1387" s="374"/>
      <c r="G1387" s="374"/>
      <c r="H1387" s="374"/>
      <c r="I1387" s="374"/>
      <c r="J1387" s="376"/>
      <c r="K1387" s="376"/>
      <c r="L1387" s="376"/>
      <c r="M1387" s="376"/>
      <c r="N1387" s="376"/>
      <c r="O1387" s="376"/>
      <c r="P1387" s="376"/>
      <c r="Q1387" s="376"/>
      <c r="R1387" s="376"/>
      <c r="S1387" s="376"/>
      <c r="T1387" s="376"/>
      <c r="U1387" s="376"/>
      <c r="V1387" s="376"/>
      <c r="W1387" s="376"/>
      <c r="X1387" s="376"/>
      <c r="Y1387" s="376"/>
      <c r="Z1387" s="376"/>
      <c r="AA1387" s="376"/>
      <c r="AB1387" s="376"/>
      <c r="AC1387" s="376"/>
      <c r="AD1387" s="376"/>
      <c r="AE1387" s="376"/>
      <c r="AF1387" s="376"/>
      <c r="AG1387" s="376"/>
      <c r="AH1387" s="376"/>
      <c r="AI1387" s="376"/>
      <c r="AJ1387" s="376"/>
      <c r="AK1387" s="376"/>
      <c r="AL1387" s="376"/>
      <c r="AM1387" s="376"/>
      <c r="AN1387" s="376"/>
      <c r="AO1387" s="376"/>
    </row>
    <row r="1388" spans="1:41" ht="15" customHeight="1" x14ac:dyDescent="0.25">
      <c r="A1388" s="402"/>
      <c r="B1388" s="414"/>
      <c r="C1388" s="188" t="s">
        <v>612</v>
      </c>
      <c r="D1388" s="144"/>
      <c r="E1388" s="83" t="s">
        <v>631</v>
      </c>
      <c r="F1388" s="374"/>
      <c r="G1388" s="374"/>
      <c r="H1388" s="374"/>
      <c r="I1388" s="374"/>
      <c r="J1388" s="376"/>
      <c r="K1388" s="376"/>
      <c r="L1388" s="376"/>
      <c r="M1388" s="376"/>
      <c r="N1388" s="376"/>
      <c r="O1388" s="376"/>
      <c r="P1388" s="376"/>
      <c r="Q1388" s="376"/>
      <c r="R1388" s="376"/>
      <c r="S1388" s="376"/>
      <c r="T1388" s="376"/>
      <c r="U1388" s="376"/>
      <c r="V1388" s="376"/>
      <c r="W1388" s="376"/>
      <c r="X1388" s="376"/>
      <c r="Y1388" s="376"/>
      <c r="Z1388" s="376"/>
      <c r="AA1388" s="376"/>
      <c r="AB1388" s="376"/>
      <c r="AC1388" s="376"/>
      <c r="AD1388" s="376"/>
      <c r="AE1388" s="376"/>
      <c r="AF1388" s="376"/>
      <c r="AG1388" s="376"/>
      <c r="AH1388" s="376"/>
      <c r="AI1388" s="376"/>
      <c r="AJ1388" s="376"/>
      <c r="AK1388" s="376"/>
      <c r="AL1388" s="376"/>
      <c r="AM1388" s="376"/>
      <c r="AN1388" s="376"/>
      <c r="AO1388" s="376"/>
    </row>
    <row r="1389" spans="1:41" ht="15" customHeight="1" x14ac:dyDescent="0.25">
      <c r="A1389" s="402"/>
      <c r="B1389" s="414"/>
      <c r="C1389" s="188" t="s">
        <v>613</v>
      </c>
      <c r="D1389" s="144"/>
      <c r="E1389" s="83" t="s">
        <v>632</v>
      </c>
      <c r="F1389" s="374"/>
      <c r="G1389" s="374"/>
      <c r="H1389" s="374"/>
      <c r="I1389" s="374"/>
      <c r="J1389" s="376"/>
      <c r="K1389" s="376"/>
      <c r="L1389" s="376"/>
      <c r="M1389" s="376"/>
      <c r="N1389" s="376"/>
      <c r="O1389" s="376"/>
      <c r="P1389" s="376"/>
      <c r="Q1389" s="376"/>
      <c r="R1389" s="376"/>
      <c r="S1389" s="376"/>
      <c r="T1389" s="376"/>
      <c r="U1389" s="376"/>
      <c r="V1389" s="376"/>
      <c r="W1389" s="376"/>
      <c r="X1389" s="376"/>
      <c r="Y1389" s="376"/>
      <c r="Z1389" s="376"/>
      <c r="AA1389" s="376"/>
      <c r="AB1389" s="376"/>
      <c r="AC1389" s="376"/>
      <c r="AD1389" s="376"/>
      <c r="AE1389" s="376"/>
      <c r="AF1389" s="376"/>
      <c r="AG1389" s="376"/>
      <c r="AH1389" s="376"/>
      <c r="AI1389" s="376"/>
      <c r="AJ1389" s="376"/>
      <c r="AK1389" s="376"/>
      <c r="AL1389" s="376"/>
      <c r="AM1389" s="376"/>
      <c r="AN1389" s="376"/>
      <c r="AO1389" s="376"/>
    </row>
    <row r="1390" spans="1:41" ht="15" customHeight="1" x14ac:dyDescent="0.25">
      <c r="A1390" s="402"/>
      <c r="B1390" s="414"/>
      <c r="C1390" s="188" t="s">
        <v>614</v>
      </c>
      <c r="D1390" s="144"/>
      <c r="E1390" s="83" t="s">
        <v>633</v>
      </c>
      <c r="F1390" s="374"/>
      <c r="G1390" s="374"/>
      <c r="H1390" s="374"/>
      <c r="I1390" s="374"/>
      <c r="J1390" s="376"/>
      <c r="K1390" s="376"/>
      <c r="L1390" s="376"/>
      <c r="M1390" s="376"/>
      <c r="N1390" s="376"/>
      <c r="O1390" s="376"/>
      <c r="P1390" s="376"/>
      <c r="Q1390" s="376"/>
      <c r="R1390" s="376"/>
      <c r="S1390" s="376"/>
      <c r="T1390" s="376"/>
      <c r="U1390" s="376"/>
      <c r="V1390" s="376"/>
      <c r="W1390" s="376"/>
      <c r="X1390" s="376"/>
      <c r="Y1390" s="376"/>
      <c r="Z1390" s="376"/>
      <c r="AA1390" s="376"/>
      <c r="AB1390" s="376"/>
      <c r="AC1390" s="376"/>
      <c r="AD1390" s="376"/>
      <c r="AE1390" s="376"/>
      <c r="AF1390" s="376"/>
      <c r="AG1390" s="376"/>
      <c r="AH1390" s="376"/>
      <c r="AI1390" s="376"/>
      <c r="AJ1390" s="376"/>
      <c r="AK1390" s="376"/>
      <c r="AL1390" s="376"/>
      <c r="AM1390" s="376"/>
      <c r="AN1390" s="376"/>
      <c r="AO1390" s="376"/>
    </row>
    <row r="1391" spans="1:41" ht="15" customHeight="1" x14ac:dyDescent="0.25">
      <c r="A1391" s="402"/>
      <c r="B1391" s="414"/>
      <c r="C1391" s="188" t="s">
        <v>615</v>
      </c>
      <c r="D1391" s="144"/>
      <c r="E1391" s="83" t="s">
        <v>634</v>
      </c>
      <c r="F1391" s="374"/>
      <c r="G1391" s="374"/>
      <c r="H1391" s="374"/>
      <c r="I1391" s="374"/>
      <c r="J1391" s="376"/>
      <c r="K1391" s="376"/>
      <c r="L1391" s="376"/>
      <c r="M1391" s="376"/>
      <c r="N1391" s="376"/>
      <c r="O1391" s="376"/>
      <c r="P1391" s="376"/>
      <c r="Q1391" s="376"/>
      <c r="R1391" s="376"/>
      <c r="S1391" s="376"/>
      <c r="T1391" s="376"/>
      <c r="U1391" s="376"/>
      <c r="V1391" s="376"/>
      <c r="W1391" s="376"/>
      <c r="X1391" s="376"/>
      <c r="Y1391" s="376"/>
      <c r="Z1391" s="376"/>
      <c r="AA1391" s="376"/>
      <c r="AB1391" s="376"/>
      <c r="AC1391" s="376"/>
      <c r="AD1391" s="376"/>
      <c r="AE1391" s="376"/>
      <c r="AF1391" s="376"/>
      <c r="AG1391" s="376"/>
      <c r="AH1391" s="376"/>
      <c r="AI1391" s="376"/>
      <c r="AJ1391" s="376"/>
      <c r="AK1391" s="376"/>
      <c r="AL1391" s="376"/>
      <c r="AM1391" s="376"/>
      <c r="AN1391" s="376"/>
      <c r="AO1391" s="376"/>
    </row>
    <row r="1392" spans="1:41" ht="15" customHeight="1" x14ac:dyDescent="0.25">
      <c r="A1392" s="402"/>
      <c r="B1392" s="414"/>
      <c r="C1392" s="188" t="s">
        <v>616</v>
      </c>
      <c r="D1392" s="144"/>
      <c r="E1392" s="83" t="s">
        <v>635</v>
      </c>
      <c r="F1392" s="374"/>
      <c r="G1392" s="374"/>
      <c r="H1392" s="374"/>
      <c r="I1392" s="374"/>
      <c r="J1392" s="376"/>
      <c r="K1392" s="376"/>
      <c r="L1392" s="376"/>
      <c r="M1392" s="376"/>
      <c r="N1392" s="376"/>
      <c r="O1392" s="376"/>
      <c r="P1392" s="376"/>
      <c r="Q1392" s="376"/>
      <c r="R1392" s="376"/>
      <c r="S1392" s="376"/>
      <c r="T1392" s="376"/>
      <c r="U1392" s="376"/>
      <c r="V1392" s="376"/>
      <c r="W1392" s="376"/>
      <c r="X1392" s="376"/>
      <c r="Y1392" s="376"/>
      <c r="Z1392" s="376"/>
      <c r="AA1392" s="376"/>
      <c r="AB1392" s="376"/>
      <c r="AC1392" s="376"/>
      <c r="AD1392" s="376"/>
      <c r="AE1392" s="376"/>
      <c r="AF1392" s="376"/>
      <c r="AG1392" s="376"/>
      <c r="AH1392" s="376"/>
      <c r="AI1392" s="376"/>
      <c r="AJ1392" s="376"/>
      <c r="AK1392" s="376"/>
      <c r="AL1392" s="376"/>
      <c r="AM1392" s="376"/>
      <c r="AN1392" s="376"/>
      <c r="AO1392" s="376"/>
    </row>
    <row r="1393" spans="1:41" ht="15" customHeight="1" x14ac:dyDescent="0.25">
      <c r="A1393" s="402"/>
      <c r="B1393" s="414"/>
      <c r="C1393" s="188" t="s">
        <v>617</v>
      </c>
      <c r="D1393" s="144"/>
      <c r="E1393" s="83" t="s">
        <v>636</v>
      </c>
      <c r="F1393" s="374"/>
      <c r="G1393" s="374"/>
      <c r="H1393" s="374"/>
      <c r="I1393" s="374"/>
      <c r="J1393" s="376"/>
      <c r="K1393" s="376"/>
      <c r="L1393" s="376"/>
      <c r="M1393" s="376"/>
      <c r="N1393" s="376"/>
      <c r="O1393" s="376"/>
      <c r="P1393" s="376"/>
      <c r="Q1393" s="376"/>
      <c r="R1393" s="376"/>
      <c r="S1393" s="376"/>
      <c r="T1393" s="376"/>
      <c r="U1393" s="376"/>
      <c r="V1393" s="376"/>
      <c r="W1393" s="376"/>
      <c r="X1393" s="376"/>
      <c r="Y1393" s="376"/>
      <c r="Z1393" s="376"/>
      <c r="AA1393" s="376"/>
      <c r="AB1393" s="376"/>
      <c r="AC1393" s="376"/>
      <c r="AD1393" s="376"/>
      <c r="AE1393" s="376"/>
      <c r="AF1393" s="376"/>
      <c r="AG1393" s="376"/>
      <c r="AH1393" s="376"/>
      <c r="AI1393" s="376"/>
      <c r="AJ1393" s="376"/>
      <c r="AK1393" s="376"/>
      <c r="AL1393" s="376"/>
      <c r="AM1393" s="376"/>
      <c r="AN1393" s="376"/>
      <c r="AO1393" s="376"/>
    </row>
    <row r="1394" spans="1:41" ht="15" customHeight="1" x14ac:dyDescent="0.25">
      <c r="A1394" s="402"/>
      <c r="B1394" s="414"/>
      <c r="C1394" s="188" t="s">
        <v>618</v>
      </c>
      <c r="D1394" s="144"/>
      <c r="E1394" s="83" t="s">
        <v>637</v>
      </c>
      <c r="F1394" s="374"/>
      <c r="G1394" s="374"/>
      <c r="H1394" s="374"/>
      <c r="I1394" s="374"/>
      <c r="J1394" s="376"/>
      <c r="K1394" s="376"/>
      <c r="L1394" s="376" t="s">
        <v>2176</v>
      </c>
      <c r="M1394" s="376"/>
      <c r="N1394" s="376"/>
      <c r="O1394" s="376"/>
      <c r="P1394" s="376"/>
      <c r="Q1394" s="376"/>
      <c r="R1394" s="376"/>
      <c r="S1394" s="376"/>
      <c r="T1394" s="376"/>
      <c r="U1394" s="376"/>
      <c r="V1394" s="376"/>
      <c r="W1394" s="376"/>
      <c r="X1394" s="376"/>
      <c r="Y1394" s="376"/>
      <c r="Z1394" s="376"/>
      <c r="AA1394" s="376"/>
      <c r="AB1394" s="376"/>
      <c r="AC1394" s="376"/>
      <c r="AD1394" s="376"/>
      <c r="AE1394" s="376"/>
      <c r="AF1394" s="376"/>
      <c r="AG1394" s="376"/>
      <c r="AH1394" s="376"/>
      <c r="AI1394" s="376"/>
      <c r="AJ1394" s="376"/>
      <c r="AK1394" s="376"/>
      <c r="AL1394" s="376"/>
      <c r="AM1394" s="376"/>
      <c r="AN1394" s="376"/>
      <c r="AO1394" s="376"/>
    </row>
    <row r="1395" spans="1:41" ht="15" customHeight="1" x14ac:dyDescent="0.25">
      <c r="A1395" s="402"/>
      <c r="B1395" s="414"/>
      <c r="C1395" s="188" t="s">
        <v>619</v>
      </c>
      <c r="D1395" s="144"/>
      <c r="E1395" s="83" t="s">
        <v>638</v>
      </c>
      <c r="F1395" s="374"/>
      <c r="G1395" s="374"/>
      <c r="H1395" s="374"/>
      <c r="I1395" s="374"/>
      <c r="J1395" s="376"/>
      <c r="K1395" s="376"/>
      <c r="L1395" s="376"/>
      <c r="M1395" s="376"/>
      <c r="N1395" s="376"/>
      <c r="O1395" s="376"/>
      <c r="P1395" s="376"/>
      <c r="Q1395" s="376"/>
      <c r="R1395" s="376"/>
      <c r="S1395" s="376"/>
      <c r="T1395" s="376"/>
      <c r="U1395" s="376"/>
      <c r="V1395" s="376"/>
      <c r="W1395" s="376"/>
      <c r="X1395" s="376"/>
      <c r="Y1395" s="376"/>
      <c r="Z1395" s="376"/>
      <c r="AA1395" s="376"/>
      <c r="AB1395" s="376"/>
      <c r="AC1395" s="376"/>
      <c r="AD1395" s="376"/>
      <c r="AE1395" s="376"/>
      <c r="AF1395" s="376"/>
      <c r="AG1395" s="376"/>
      <c r="AH1395" s="376"/>
      <c r="AI1395" s="376"/>
      <c r="AJ1395" s="376"/>
      <c r="AK1395" s="376"/>
      <c r="AL1395" s="376"/>
      <c r="AM1395" s="376"/>
      <c r="AN1395" s="376"/>
      <c r="AO1395" s="376"/>
    </row>
    <row r="1396" spans="1:41" ht="15" customHeight="1" x14ac:dyDescent="0.25">
      <c r="A1396" s="402"/>
      <c r="B1396" s="414"/>
      <c r="C1396" s="188" t="s">
        <v>620</v>
      </c>
      <c r="D1396" s="144"/>
      <c r="E1396" s="83" t="s">
        <v>639</v>
      </c>
      <c r="F1396" s="374"/>
      <c r="G1396" s="374"/>
      <c r="H1396" s="374"/>
      <c r="I1396" s="374"/>
      <c r="J1396" s="376"/>
      <c r="K1396" s="376"/>
      <c r="L1396" s="376"/>
      <c r="M1396" s="376"/>
      <c r="N1396" s="376"/>
      <c r="O1396" s="376"/>
      <c r="P1396" s="376"/>
      <c r="Q1396" s="376"/>
      <c r="R1396" s="376"/>
      <c r="S1396" s="376"/>
      <c r="T1396" s="376"/>
      <c r="U1396" s="376"/>
      <c r="V1396" s="376"/>
      <c r="W1396" s="376"/>
      <c r="X1396" s="376"/>
      <c r="Y1396" s="376"/>
      <c r="Z1396" s="376"/>
      <c r="AA1396" s="376"/>
      <c r="AB1396" s="376"/>
      <c r="AC1396" s="376"/>
      <c r="AD1396" s="376"/>
      <c r="AE1396" s="376"/>
      <c r="AF1396" s="376"/>
      <c r="AG1396" s="376"/>
      <c r="AH1396" s="376"/>
      <c r="AI1396" s="376"/>
      <c r="AJ1396" s="376"/>
      <c r="AK1396" s="376"/>
      <c r="AL1396" s="376"/>
      <c r="AM1396" s="376"/>
      <c r="AN1396" s="376"/>
      <c r="AO1396" s="376"/>
    </row>
    <row r="1397" spans="1:41" ht="15" customHeight="1" x14ac:dyDescent="0.25">
      <c r="A1397" s="402"/>
      <c r="B1397" s="414"/>
      <c r="C1397" s="188" t="s">
        <v>621</v>
      </c>
      <c r="D1397" s="144"/>
      <c r="E1397" s="83" t="s">
        <v>640</v>
      </c>
      <c r="F1397" s="374"/>
      <c r="G1397" s="374"/>
      <c r="H1397" s="374"/>
      <c r="I1397" s="374"/>
      <c r="J1397" s="376"/>
      <c r="K1397" s="376"/>
      <c r="L1397" s="376"/>
      <c r="M1397" s="376"/>
      <c r="N1397" s="376"/>
      <c r="O1397" s="376"/>
      <c r="P1397" s="376"/>
      <c r="Q1397" s="376"/>
      <c r="R1397" s="376"/>
      <c r="S1397" s="376"/>
      <c r="T1397" s="376"/>
      <c r="U1397" s="376"/>
      <c r="V1397" s="376"/>
      <c r="W1397" s="376"/>
      <c r="X1397" s="376"/>
      <c r="Y1397" s="376"/>
      <c r="Z1397" s="376"/>
      <c r="AA1397" s="376"/>
      <c r="AB1397" s="376"/>
      <c r="AC1397" s="376"/>
      <c r="AD1397" s="376"/>
      <c r="AE1397" s="376"/>
      <c r="AF1397" s="376"/>
      <c r="AG1397" s="376"/>
      <c r="AH1397" s="376"/>
      <c r="AI1397" s="376"/>
      <c r="AJ1397" s="376"/>
      <c r="AK1397" s="376"/>
      <c r="AL1397" s="376"/>
      <c r="AM1397" s="376"/>
      <c r="AN1397" s="376"/>
      <c r="AO1397" s="376"/>
    </row>
    <row r="1398" spans="1:41" ht="15" customHeight="1" x14ac:dyDescent="0.25">
      <c r="A1398" s="402"/>
      <c r="B1398" s="414"/>
      <c r="C1398" s="188" t="s">
        <v>622</v>
      </c>
      <c r="D1398" s="144"/>
      <c r="E1398" s="373" t="s">
        <v>641</v>
      </c>
      <c r="F1398" s="374"/>
      <c r="G1398" s="374"/>
      <c r="H1398" s="374"/>
      <c r="I1398" s="374"/>
      <c r="J1398" s="376"/>
      <c r="K1398" s="376"/>
      <c r="L1398" s="376"/>
      <c r="M1398" s="376"/>
      <c r="N1398" s="376"/>
      <c r="O1398" s="376"/>
      <c r="P1398" s="376"/>
      <c r="Q1398" s="376"/>
      <c r="R1398" s="376"/>
      <c r="S1398" s="376"/>
      <c r="T1398" s="376"/>
      <c r="U1398" s="376"/>
      <c r="V1398" s="376"/>
      <c r="W1398" s="376"/>
      <c r="X1398" s="376"/>
      <c r="Y1398" s="376"/>
      <c r="Z1398" s="376"/>
      <c r="AA1398" s="376"/>
      <c r="AB1398" s="376"/>
      <c r="AC1398" s="376"/>
      <c r="AD1398" s="376"/>
      <c r="AE1398" s="376"/>
      <c r="AF1398" s="376"/>
      <c r="AG1398" s="376"/>
      <c r="AH1398" s="376"/>
      <c r="AI1398" s="376"/>
      <c r="AJ1398" s="376"/>
      <c r="AK1398" s="376"/>
      <c r="AL1398" s="376"/>
      <c r="AM1398" s="376"/>
      <c r="AN1398" s="376"/>
      <c r="AO1398" s="376"/>
    </row>
    <row r="1399" spans="1:41" ht="15" customHeight="1" x14ac:dyDescent="0.25">
      <c r="A1399" s="402"/>
      <c r="B1399" s="414"/>
      <c r="C1399" s="188" t="s">
        <v>510</v>
      </c>
      <c r="D1399" s="144"/>
      <c r="E1399" s="83" t="s">
        <v>642</v>
      </c>
      <c r="F1399" s="374"/>
      <c r="G1399" s="374"/>
      <c r="H1399" s="374"/>
      <c r="I1399" s="374"/>
      <c r="J1399" s="376"/>
      <c r="K1399" s="376"/>
      <c r="L1399" s="376"/>
      <c r="M1399" s="376"/>
      <c r="N1399" s="376"/>
      <c r="O1399" s="376"/>
      <c r="P1399" s="376"/>
      <c r="Q1399" s="376"/>
      <c r="R1399" s="376"/>
      <c r="S1399" s="376"/>
      <c r="T1399" s="376"/>
      <c r="U1399" s="376"/>
      <c r="V1399" s="376"/>
      <c r="W1399" s="376"/>
      <c r="X1399" s="376"/>
      <c r="Y1399" s="376"/>
      <c r="Z1399" s="376"/>
      <c r="AA1399" s="376"/>
      <c r="AB1399" s="376"/>
      <c r="AC1399" s="376"/>
      <c r="AD1399" s="376"/>
      <c r="AE1399" s="376"/>
      <c r="AF1399" s="376"/>
      <c r="AG1399" s="376"/>
      <c r="AH1399" s="376"/>
      <c r="AI1399" s="376"/>
      <c r="AJ1399" s="376"/>
      <c r="AK1399" s="376"/>
      <c r="AL1399" s="376"/>
      <c r="AM1399" s="376"/>
      <c r="AN1399" s="376"/>
      <c r="AO1399" s="376"/>
    </row>
    <row r="1400" spans="1:41" ht="15" customHeight="1" x14ac:dyDescent="0.25">
      <c r="A1400" s="402"/>
      <c r="B1400" s="414"/>
      <c r="C1400" s="188" t="s">
        <v>511</v>
      </c>
      <c r="D1400" s="144"/>
      <c r="E1400" s="83" t="s">
        <v>643</v>
      </c>
      <c r="F1400" s="374"/>
      <c r="G1400" s="374"/>
      <c r="H1400" s="374"/>
      <c r="I1400" s="374"/>
      <c r="J1400" s="376"/>
      <c r="K1400" s="376"/>
      <c r="L1400" s="376"/>
      <c r="M1400" s="376"/>
      <c r="N1400" s="376"/>
      <c r="O1400" s="376"/>
      <c r="P1400" s="376"/>
      <c r="Q1400" s="376"/>
      <c r="R1400" s="376"/>
      <c r="S1400" s="376"/>
      <c r="T1400" s="376"/>
      <c r="U1400" s="376"/>
      <c r="V1400" s="376"/>
      <c r="W1400" s="376"/>
      <c r="X1400" s="376"/>
      <c r="Y1400" s="376"/>
      <c r="Z1400" s="376"/>
      <c r="AA1400" s="376"/>
      <c r="AB1400" s="376"/>
      <c r="AC1400" s="376"/>
      <c r="AD1400" s="376"/>
      <c r="AE1400" s="376"/>
      <c r="AF1400" s="376"/>
      <c r="AG1400" s="376"/>
      <c r="AH1400" s="376"/>
      <c r="AI1400" s="376"/>
      <c r="AJ1400" s="376"/>
      <c r="AK1400" s="376"/>
      <c r="AL1400" s="376"/>
      <c r="AM1400" s="376"/>
      <c r="AN1400" s="376"/>
      <c r="AO1400" s="376"/>
    </row>
    <row r="1401" spans="1:41" ht="15" customHeight="1" x14ac:dyDescent="0.25">
      <c r="A1401" s="402"/>
      <c r="B1401" s="414"/>
      <c r="C1401" s="188" t="s">
        <v>512</v>
      </c>
      <c r="D1401" s="144"/>
      <c r="E1401" s="83" t="s">
        <v>644</v>
      </c>
      <c r="F1401" s="374"/>
      <c r="G1401" s="374"/>
      <c r="H1401" s="374"/>
      <c r="I1401" s="374"/>
      <c r="J1401" s="376"/>
      <c r="K1401" s="376"/>
      <c r="L1401" s="376"/>
      <c r="M1401" s="376"/>
      <c r="N1401" s="376"/>
      <c r="O1401" s="376"/>
      <c r="P1401" s="376"/>
      <c r="Q1401" s="376"/>
      <c r="R1401" s="376"/>
      <c r="S1401" s="376"/>
      <c r="T1401" s="376"/>
      <c r="U1401" s="376"/>
      <c r="V1401" s="376"/>
      <c r="W1401" s="376"/>
      <c r="X1401" s="376"/>
      <c r="Y1401" s="376"/>
      <c r="Z1401" s="376"/>
      <c r="AA1401" s="376"/>
      <c r="AB1401" s="376"/>
      <c r="AC1401" s="376"/>
      <c r="AD1401" s="376"/>
      <c r="AE1401" s="376"/>
      <c r="AF1401" s="376"/>
      <c r="AG1401" s="376"/>
      <c r="AH1401" s="376"/>
      <c r="AI1401" s="376"/>
      <c r="AJ1401" s="376"/>
      <c r="AK1401" s="376"/>
      <c r="AL1401" s="376"/>
      <c r="AM1401" s="376"/>
      <c r="AN1401" s="376"/>
      <c r="AO1401" s="376"/>
    </row>
    <row r="1402" spans="1:41" ht="15" customHeight="1" x14ac:dyDescent="0.25">
      <c r="A1402" s="402"/>
      <c r="B1402" s="414"/>
      <c r="C1402" s="188" t="s">
        <v>513</v>
      </c>
      <c r="D1402" s="144"/>
      <c r="E1402" s="83" t="s">
        <v>645</v>
      </c>
      <c r="F1402" s="374"/>
      <c r="G1402" s="374"/>
      <c r="H1402" s="374"/>
      <c r="I1402" s="374"/>
      <c r="J1402" s="376"/>
      <c r="K1402" s="376"/>
      <c r="L1402" s="376"/>
      <c r="M1402" s="376"/>
      <c r="N1402" s="376"/>
      <c r="O1402" s="376"/>
      <c r="P1402" s="376"/>
      <c r="Q1402" s="376"/>
      <c r="R1402" s="376"/>
      <c r="S1402" s="376"/>
      <c r="T1402" s="376"/>
      <c r="U1402" s="376"/>
      <c r="V1402" s="376"/>
      <c r="W1402" s="376"/>
      <c r="X1402" s="376"/>
      <c r="Y1402" s="376"/>
      <c r="Z1402" s="376"/>
      <c r="AA1402" s="376"/>
      <c r="AB1402" s="376"/>
      <c r="AC1402" s="376"/>
      <c r="AD1402" s="376"/>
      <c r="AE1402" s="376"/>
      <c r="AF1402" s="376"/>
      <c r="AG1402" s="376"/>
      <c r="AH1402" s="376"/>
      <c r="AI1402" s="376"/>
      <c r="AJ1402" s="376"/>
      <c r="AK1402" s="376"/>
      <c r="AL1402" s="376"/>
      <c r="AM1402" s="376"/>
      <c r="AN1402" s="376"/>
      <c r="AO1402" s="376"/>
    </row>
    <row r="1403" spans="1:41" s="73" customFormat="1" ht="15" customHeight="1" x14ac:dyDescent="0.25">
      <c r="A1403" s="402"/>
      <c r="B1403" s="414"/>
      <c r="C1403" s="188" t="s">
        <v>514</v>
      </c>
      <c r="D1403" s="144"/>
      <c r="E1403" s="83" t="s">
        <v>646</v>
      </c>
      <c r="F1403" s="374"/>
      <c r="G1403" s="374"/>
      <c r="H1403" s="374"/>
      <c r="I1403" s="374"/>
      <c r="J1403" s="376"/>
      <c r="K1403" s="376"/>
      <c r="L1403" s="376"/>
      <c r="M1403" s="376"/>
      <c r="N1403" s="376"/>
      <c r="O1403" s="376"/>
      <c r="P1403" s="376"/>
      <c r="Q1403" s="376"/>
      <c r="R1403" s="376"/>
      <c r="S1403" s="376"/>
      <c r="T1403" s="376"/>
      <c r="U1403" s="376"/>
      <c r="V1403" s="376"/>
      <c r="W1403" s="376"/>
      <c r="X1403" s="376"/>
      <c r="Y1403" s="376"/>
      <c r="Z1403" s="376"/>
      <c r="AA1403" s="376"/>
      <c r="AB1403" s="376"/>
      <c r="AC1403" s="376"/>
      <c r="AD1403" s="376"/>
      <c r="AE1403" s="376"/>
      <c r="AF1403" s="376"/>
      <c r="AG1403" s="376"/>
      <c r="AH1403" s="376"/>
      <c r="AI1403" s="376"/>
      <c r="AJ1403" s="376"/>
      <c r="AK1403" s="376"/>
      <c r="AL1403" s="376"/>
      <c r="AM1403" s="376"/>
      <c r="AN1403" s="376"/>
      <c r="AO1403" s="376"/>
    </row>
    <row r="1404" spans="1:41" s="73" customFormat="1" ht="15" customHeight="1" x14ac:dyDescent="0.25">
      <c r="A1404" s="402"/>
      <c r="B1404" s="414"/>
      <c r="C1404" s="188" t="s">
        <v>515</v>
      </c>
      <c r="D1404" s="144"/>
      <c r="E1404" s="83" t="s">
        <v>647</v>
      </c>
      <c r="F1404" s="374"/>
      <c r="G1404" s="374"/>
      <c r="H1404" s="374"/>
      <c r="I1404" s="374"/>
      <c r="J1404" s="376"/>
      <c r="K1404" s="376"/>
      <c r="L1404" s="376"/>
      <c r="M1404" s="376"/>
      <c r="N1404" s="376"/>
      <c r="O1404" s="376"/>
      <c r="P1404" s="376"/>
      <c r="Q1404" s="376"/>
      <c r="R1404" s="376"/>
      <c r="S1404" s="376"/>
      <c r="T1404" s="376"/>
      <c r="U1404" s="376"/>
      <c r="V1404" s="376"/>
      <c r="W1404" s="376"/>
      <c r="X1404" s="376"/>
      <c r="Y1404" s="376"/>
      <c r="Z1404" s="376"/>
      <c r="AA1404" s="376"/>
      <c r="AB1404" s="376"/>
      <c r="AC1404" s="376"/>
      <c r="AD1404" s="376"/>
      <c r="AE1404" s="376"/>
      <c r="AF1404" s="376"/>
      <c r="AG1404" s="376"/>
      <c r="AH1404" s="376"/>
      <c r="AI1404" s="376"/>
      <c r="AJ1404" s="376"/>
      <c r="AK1404" s="376"/>
      <c r="AL1404" s="376"/>
      <c r="AM1404" s="376"/>
      <c r="AN1404" s="376"/>
      <c r="AO1404" s="376"/>
    </row>
    <row r="1405" spans="1:41" s="73" customFormat="1" ht="15" customHeight="1" x14ac:dyDescent="0.25">
      <c r="A1405" s="402"/>
      <c r="B1405" s="414"/>
      <c r="C1405" s="188" t="s">
        <v>516</v>
      </c>
      <c r="D1405" s="144"/>
      <c r="E1405" s="83" t="s">
        <v>648</v>
      </c>
      <c r="F1405" s="374"/>
      <c r="G1405" s="374"/>
      <c r="H1405" s="374"/>
      <c r="I1405" s="374"/>
      <c r="J1405" s="376"/>
      <c r="K1405" s="376"/>
      <c r="L1405" s="376"/>
      <c r="M1405" s="376"/>
      <c r="N1405" s="376"/>
      <c r="O1405" s="376"/>
      <c r="P1405" s="376"/>
      <c r="Q1405" s="376"/>
      <c r="R1405" s="376"/>
      <c r="S1405" s="376"/>
      <c r="T1405" s="376"/>
      <c r="U1405" s="376"/>
      <c r="V1405" s="376"/>
      <c r="W1405" s="376"/>
      <c r="X1405" s="376"/>
      <c r="Y1405" s="376"/>
      <c r="Z1405" s="376"/>
      <c r="AA1405" s="376"/>
      <c r="AB1405" s="376"/>
      <c r="AC1405" s="376"/>
      <c r="AD1405" s="376"/>
      <c r="AE1405" s="376"/>
      <c r="AF1405" s="376"/>
      <c r="AG1405" s="376"/>
      <c r="AH1405" s="376"/>
      <c r="AI1405" s="376"/>
      <c r="AJ1405" s="376"/>
      <c r="AK1405" s="376"/>
      <c r="AL1405" s="376"/>
      <c r="AM1405" s="376"/>
      <c r="AN1405" s="376"/>
      <c r="AO1405" s="376"/>
    </row>
    <row r="1406" spans="1:41" s="73" customFormat="1" ht="15" customHeight="1" x14ac:dyDescent="0.25">
      <c r="A1406" s="402"/>
      <c r="B1406" s="414"/>
      <c r="C1406" s="188" t="s">
        <v>517</v>
      </c>
      <c r="D1406" s="144"/>
      <c r="E1406" s="83" t="s">
        <v>649</v>
      </c>
      <c r="F1406" s="374"/>
      <c r="G1406" s="374"/>
      <c r="H1406" s="374"/>
      <c r="I1406" s="374"/>
      <c r="J1406" s="376"/>
      <c r="K1406" s="376"/>
      <c r="L1406" s="376"/>
      <c r="M1406" s="376"/>
      <c r="N1406" s="376"/>
      <c r="O1406" s="376"/>
      <c r="P1406" s="376"/>
      <c r="Q1406" s="376"/>
      <c r="R1406" s="376"/>
      <c r="S1406" s="376"/>
      <c r="T1406" s="376"/>
      <c r="U1406" s="376"/>
      <c r="V1406" s="376"/>
      <c r="W1406" s="376"/>
      <c r="X1406" s="376"/>
      <c r="Y1406" s="376"/>
      <c r="Z1406" s="376"/>
      <c r="AA1406" s="376"/>
      <c r="AB1406" s="376"/>
      <c r="AC1406" s="376"/>
      <c r="AD1406" s="376"/>
      <c r="AE1406" s="376"/>
      <c r="AF1406" s="376"/>
      <c r="AG1406" s="376"/>
      <c r="AH1406" s="376"/>
      <c r="AI1406" s="376"/>
      <c r="AJ1406" s="376"/>
      <c r="AK1406" s="376"/>
      <c r="AL1406" s="376"/>
      <c r="AM1406" s="376"/>
      <c r="AN1406" s="376"/>
      <c r="AO1406" s="376"/>
    </row>
    <row r="1407" spans="1:41" s="73" customFormat="1" ht="15" customHeight="1" x14ac:dyDescent="0.25">
      <c r="A1407" s="402"/>
      <c r="B1407" s="414"/>
      <c r="C1407" s="189" t="s">
        <v>518</v>
      </c>
      <c r="D1407" s="145"/>
      <c r="E1407" s="99" t="s">
        <v>650</v>
      </c>
      <c r="F1407" s="377"/>
      <c r="G1407" s="377"/>
      <c r="H1407" s="377"/>
      <c r="I1407" s="377"/>
      <c r="J1407" s="378"/>
      <c r="K1407" s="378"/>
      <c r="L1407" s="378"/>
      <c r="M1407" s="378"/>
      <c r="N1407" s="378"/>
      <c r="O1407" s="378"/>
      <c r="P1407" s="378"/>
      <c r="Q1407" s="378"/>
      <c r="R1407" s="378"/>
      <c r="S1407" s="378"/>
      <c r="T1407" s="378"/>
      <c r="U1407" s="378"/>
      <c r="V1407" s="378"/>
      <c r="W1407" s="378"/>
      <c r="X1407" s="378"/>
      <c r="Y1407" s="378"/>
      <c r="Z1407" s="378"/>
      <c r="AA1407" s="378"/>
      <c r="AB1407" s="378"/>
      <c r="AC1407" s="378"/>
      <c r="AD1407" s="378"/>
      <c r="AE1407" s="378"/>
      <c r="AF1407" s="378"/>
      <c r="AG1407" s="378"/>
      <c r="AH1407" s="378"/>
      <c r="AI1407" s="378"/>
      <c r="AJ1407" s="378"/>
      <c r="AK1407" s="378"/>
      <c r="AL1407" s="378"/>
      <c r="AM1407" s="378"/>
      <c r="AN1407" s="378"/>
      <c r="AO1407" s="378"/>
    </row>
    <row r="1408" spans="1:41" s="108" customFormat="1" ht="15" customHeight="1" x14ac:dyDescent="0.25">
      <c r="A1408" s="402"/>
      <c r="B1408" s="414"/>
      <c r="C1408" s="187" t="s">
        <v>796</v>
      </c>
      <c r="D1408" s="153"/>
      <c r="E1408" s="154" t="s">
        <v>651</v>
      </c>
      <c r="F1408" s="374"/>
      <c r="G1408" s="374"/>
      <c r="H1408" s="374"/>
      <c r="I1408" s="374"/>
      <c r="J1408" s="375"/>
      <c r="K1408" s="375"/>
      <c r="L1408" s="375"/>
      <c r="M1408" s="375"/>
      <c r="N1408" s="375"/>
      <c r="O1408" s="375"/>
      <c r="P1408" s="375"/>
      <c r="Q1408" s="375"/>
      <c r="R1408" s="375"/>
      <c r="S1408" s="375"/>
      <c r="T1408" s="375"/>
      <c r="U1408" s="375"/>
      <c r="V1408" s="375"/>
      <c r="W1408" s="375"/>
      <c r="X1408" s="375"/>
      <c r="Y1408" s="375"/>
      <c r="Z1408" s="375"/>
      <c r="AA1408" s="375"/>
      <c r="AB1408" s="375"/>
      <c r="AC1408" s="375"/>
      <c r="AD1408" s="375"/>
      <c r="AE1408" s="375"/>
      <c r="AF1408" s="375"/>
      <c r="AG1408" s="375"/>
      <c r="AH1408" s="375"/>
      <c r="AI1408" s="375"/>
      <c r="AJ1408" s="375"/>
      <c r="AK1408" s="375"/>
      <c r="AL1408" s="375"/>
      <c r="AM1408" s="375"/>
      <c r="AN1408" s="375"/>
      <c r="AO1408" s="375"/>
    </row>
    <row r="1409" spans="1:41" s="73" customFormat="1" ht="15" customHeight="1" x14ac:dyDescent="0.25">
      <c r="A1409" s="402"/>
      <c r="B1409" s="414"/>
      <c r="C1409" s="188" t="s">
        <v>604</v>
      </c>
      <c r="D1409" s="144"/>
      <c r="E1409" s="83" t="s">
        <v>652</v>
      </c>
      <c r="F1409" s="374"/>
      <c r="G1409" s="374"/>
      <c r="H1409" s="374"/>
      <c r="I1409" s="374"/>
      <c r="J1409" s="376"/>
      <c r="K1409" s="376"/>
      <c r="L1409" s="376"/>
      <c r="M1409" s="376"/>
      <c r="N1409" s="376"/>
      <c r="O1409" s="376"/>
      <c r="P1409" s="376"/>
      <c r="Q1409" s="376"/>
      <c r="R1409" s="376"/>
      <c r="S1409" s="376"/>
      <c r="T1409" s="376"/>
      <c r="U1409" s="376"/>
      <c r="V1409" s="376"/>
      <c r="W1409" s="376"/>
      <c r="X1409" s="376"/>
      <c r="Y1409" s="376"/>
      <c r="Z1409" s="376"/>
      <c r="AA1409" s="376"/>
      <c r="AB1409" s="376"/>
      <c r="AC1409" s="376"/>
      <c r="AD1409" s="376"/>
      <c r="AE1409" s="376"/>
      <c r="AF1409" s="376"/>
      <c r="AG1409" s="376"/>
      <c r="AH1409" s="376"/>
      <c r="AI1409" s="376"/>
      <c r="AJ1409" s="376"/>
      <c r="AK1409" s="376"/>
      <c r="AL1409" s="376"/>
      <c r="AM1409" s="376"/>
      <c r="AN1409" s="376"/>
      <c r="AO1409" s="376"/>
    </row>
    <row r="1410" spans="1:41" s="73" customFormat="1" ht="15" customHeight="1" x14ac:dyDescent="0.25">
      <c r="A1410" s="402"/>
      <c r="B1410" s="414"/>
      <c r="C1410" s="188" t="s">
        <v>605</v>
      </c>
      <c r="D1410" s="144"/>
      <c r="E1410" s="83" t="s">
        <v>653</v>
      </c>
      <c r="F1410" s="374"/>
      <c r="G1410" s="374"/>
      <c r="H1410" s="374"/>
      <c r="I1410" s="374"/>
      <c r="J1410" s="376"/>
      <c r="K1410" s="376"/>
      <c r="L1410" s="376"/>
      <c r="M1410" s="376"/>
      <c r="N1410" s="376"/>
      <c r="O1410" s="376"/>
      <c r="P1410" s="376"/>
      <c r="Q1410" s="376"/>
      <c r="R1410" s="376"/>
      <c r="S1410" s="376"/>
      <c r="T1410" s="376"/>
      <c r="U1410" s="376"/>
      <c r="V1410" s="376"/>
      <c r="W1410" s="376"/>
      <c r="X1410" s="376"/>
      <c r="Y1410" s="376"/>
      <c r="Z1410" s="376"/>
      <c r="AA1410" s="376"/>
      <c r="AB1410" s="376"/>
      <c r="AC1410" s="376"/>
      <c r="AD1410" s="376"/>
      <c r="AE1410" s="376"/>
      <c r="AF1410" s="376"/>
      <c r="AG1410" s="376"/>
      <c r="AH1410" s="376"/>
      <c r="AI1410" s="376"/>
      <c r="AJ1410" s="376"/>
      <c r="AK1410" s="376"/>
      <c r="AL1410" s="376"/>
      <c r="AM1410" s="376"/>
      <c r="AN1410" s="376"/>
      <c r="AO1410" s="376"/>
    </row>
    <row r="1411" spans="1:41" s="73" customFormat="1" ht="15" customHeight="1" x14ac:dyDescent="0.25">
      <c r="A1411" s="402"/>
      <c r="B1411" s="414"/>
      <c r="C1411" s="188" t="s">
        <v>606</v>
      </c>
      <c r="D1411" s="144"/>
      <c r="E1411" s="83" t="s">
        <v>654</v>
      </c>
      <c r="F1411" s="374"/>
      <c r="G1411" s="374"/>
      <c r="H1411" s="374"/>
      <c r="I1411" s="374"/>
      <c r="J1411" s="376"/>
      <c r="K1411" s="376"/>
      <c r="L1411" s="376"/>
      <c r="M1411" s="376"/>
      <c r="N1411" s="376"/>
      <c r="O1411" s="376"/>
      <c r="P1411" s="376"/>
      <c r="Q1411" s="376"/>
      <c r="R1411" s="376"/>
      <c r="S1411" s="376"/>
      <c r="T1411" s="376"/>
      <c r="U1411" s="376"/>
      <c r="V1411" s="376"/>
      <c r="W1411" s="376"/>
      <c r="X1411" s="376"/>
      <c r="Y1411" s="376"/>
      <c r="Z1411" s="376"/>
      <c r="AA1411" s="376"/>
      <c r="AB1411" s="376"/>
      <c r="AC1411" s="376"/>
      <c r="AD1411" s="376"/>
      <c r="AE1411" s="376"/>
      <c r="AF1411" s="376"/>
      <c r="AG1411" s="376"/>
      <c r="AH1411" s="376"/>
      <c r="AI1411" s="376"/>
      <c r="AJ1411" s="376"/>
      <c r="AK1411" s="376"/>
      <c r="AL1411" s="376"/>
      <c r="AM1411" s="376"/>
      <c r="AN1411" s="376"/>
      <c r="AO1411" s="376"/>
    </row>
    <row r="1412" spans="1:41" s="73" customFormat="1" ht="15" customHeight="1" x14ac:dyDescent="0.25">
      <c r="A1412" s="402"/>
      <c r="B1412" s="414"/>
      <c r="C1412" s="188" t="s">
        <v>607</v>
      </c>
      <c r="D1412" s="144"/>
      <c r="E1412" s="83" t="s">
        <v>655</v>
      </c>
      <c r="F1412" s="374"/>
      <c r="G1412" s="374"/>
      <c r="H1412" s="374"/>
      <c r="I1412" s="374"/>
      <c r="J1412" s="376"/>
      <c r="K1412" s="376"/>
      <c r="L1412" s="376"/>
      <c r="M1412" s="376"/>
      <c r="N1412" s="376"/>
      <c r="O1412" s="376"/>
      <c r="P1412" s="376"/>
      <c r="Q1412" s="376"/>
      <c r="R1412" s="376"/>
      <c r="S1412" s="376"/>
      <c r="T1412" s="376"/>
      <c r="U1412" s="376"/>
      <c r="V1412" s="376"/>
      <c r="W1412" s="376"/>
      <c r="X1412" s="376"/>
      <c r="Y1412" s="376"/>
      <c r="Z1412" s="376"/>
      <c r="AA1412" s="376"/>
      <c r="AB1412" s="376"/>
      <c r="AC1412" s="376"/>
      <c r="AD1412" s="376"/>
      <c r="AE1412" s="376"/>
      <c r="AF1412" s="376"/>
      <c r="AG1412" s="376"/>
      <c r="AH1412" s="376"/>
      <c r="AI1412" s="376"/>
      <c r="AJ1412" s="376"/>
      <c r="AK1412" s="376"/>
      <c r="AL1412" s="376"/>
      <c r="AM1412" s="376"/>
      <c r="AN1412" s="376"/>
      <c r="AO1412" s="376"/>
    </row>
    <row r="1413" spans="1:41" s="73" customFormat="1" ht="15" customHeight="1" x14ac:dyDescent="0.25">
      <c r="A1413" s="402"/>
      <c r="B1413" s="414"/>
      <c r="C1413" s="188" t="s">
        <v>608</v>
      </c>
      <c r="D1413" s="144"/>
      <c r="E1413" s="83" t="s">
        <v>656</v>
      </c>
      <c r="F1413" s="374"/>
      <c r="G1413" s="374"/>
      <c r="H1413" s="374"/>
      <c r="I1413" s="374"/>
      <c r="J1413" s="376"/>
      <c r="K1413" s="376"/>
      <c r="L1413" s="376"/>
      <c r="M1413" s="376"/>
      <c r="N1413" s="376"/>
      <c r="O1413" s="376"/>
      <c r="P1413" s="376"/>
      <c r="Q1413" s="376"/>
      <c r="R1413" s="376"/>
      <c r="S1413" s="376"/>
      <c r="T1413" s="376"/>
      <c r="U1413" s="376"/>
      <c r="V1413" s="376"/>
      <c r="W1413" s="376"/>
      <c r="X1413" s="376"/>
      <c r="Y1413" s="376"/>
      <c r="Z1413" s="376"/>
      <c r="AA1413" s="376"/>
      <c r="AB1413" s="376"/>
      <c r="AC1413" s="376"/>
      <c r="AD1413" s="376"/>
      <c r="AE1413" s="376"/>
      <c r="AF1413" s="376"/>
      <c r="AG1413" s="376"/>
      <c r="AH1413" s="376"/>
      <c r="AI1413" s="376"/>
      <c r="AJ1413" s="376"/>
      <c r="AK1413" s="376"/>
      <c r="AL1413" s="376"/>
      <c r="AM1413" s="376"/>
      <c r="AN1413" s="376"/>
      <c r="AO1413" s="376"/>
    </row>
    <row r="1414" spans="1:41" s="73" customFormat="1" ht="15" customHeight="1" x14ac:dyDescent="0.25">
      <c r="A1414" s="402"/>
      <c r="B1414" s="414"/>
      <c r="C1414" s="188" t="s">
        <v>609</v>
      </c>
      <c r="D1414" s="144"/>
      <c r="E1414" s="83" t="s">
        <v>657</v>
      </c>
      <c r="F1414" s="374"/>
      <c r="G1414" s="374"/>
      <c r="H1414" s="374"/>
      <c r="I1414" s="374"/>
      <c r="J1414" s="376"/>
      <c r="K1414" s="376"/>
      <c r="L1414" s="376"/>
      <c r="M1414" s="376"/>
      <c r="N1414" s="376"/>
      <c r="O1414" s="376"/>
      <c r="P1414" s="376"/>
      <c r="Q1414" s="376"/>
      <c r="R1414" s="376"/>
      <c r="S1414" s="376"/>
      <c r="T1414" s="376"/>
      <c r="U1414" s="376"/>
      <c r="V1414" s="376"/>
      <c r="W1414" s="376"/>
      <c r="X1414" s="376"/>
      <c r="Y1414" s="376"/>
      <c r="Z1414" s="376"/>
      <c r="AA1414" s="376"/>
      <c r="AB1414" s="376"/>
      <c r="AC1414" s="376"/>
      <c r="AD1414" s="376"/>
      <c r="AE1414" s="376"/>
      <c r="AF1414" s="376"/>
      <c r="AG1414" s="376"/>
      <c r="AH1414" s="376"/>
      <c r="AI1414" s="376"/>
      <c r="AJ1414" s="376"/>
      <c r="AK1414" s="376"/>
      <c r="AL1414" s="376"/>
      <c r="AM1414" s="376"/>
      <c r="AN1414" s="376"/>
      <c r="AO1414" s="376"/>
    </row>
    <row r="1415" spans="1:41" s="73" customFormat="1" ht="15" customHeight="1" x14ac:dyDescent="0.25">
      <c r="A1415" s="402"/>
      <c r="B1415" s="414"/>
      <c r="C1415" s="188" t="s">
        <v>610</v>
      </c>
      <c r="D1415" s="144"/>
      <c r="E1415" s="83" t="s">
        <v>658</v>
      </c>
      <c r="F1415" s="374"/>
      <c r="G1415" s="374"/>
      <c r="H1415" s="374"/>
      <c r="I1415" s="374"/>
      <c r="J1415" s="376"/>
      <c r="K1415" s="376"/>
      <c r="L1415" s="376"/>
      <c r="M1415" s="376"/>
      <c r="N1415" s="376"/>
      <c r="O1415" s="376"/>
      <c r="P1415" s="376"/>
      <c r="Q1415" s="376"/>
      <c r="R1415" s="376"/>
      <c r="S1415" s="376"/>
      <c r="T1415" s="376"/>
      <c r="U1415" s="376"/>
      <c r="V1415" s="376"/>
      <c r="W1415" s="376"/>
      <c r="X1415" s="376"/>
      <c r="Y1415" s="376"/>
      <c r="Z1415" s="376"/>
      <c r="AA1415" s="376"/>
      <c r="AB1415" s="376"/>
      <c r="AC1415" s="376"/>
      <c r="AD1415" s="376"/>
      <c r="AE1415" s="376"/>
      <c r="AF1415" s="376"/>
      <c r="AG1415" s="376"/>
      <c r="AH1415" s="376"/>
      <c r="AI1415" s="376"/>
      <c r="AJ1415" s="376"/>
      <c r="AK1415" s="376"/>
      <c r="AL1415" s="376"/>
      <c r="AM1415" s="376"/>
      <c r="AN1415" s="376"/>
      <c r="AO1415" s="376"/>
    </row>
    <row r="1416" spans="1:41" s="73" customFormat="1" ht="15" customHeight="1" x14ac:dyDescent="0.25">
      <c r="A1416" s="402"/>
      <c r="B1416" s="414"/>
      <c r="C1416" s="188" t="s">
        <v>611</v>
      </c>
      <c r="D1416" s="144"/>
      <c r="E1416" s="83" t="s">
        <v>659</v>
      </c>
      <c r="F1416" s="374"/>
      <c r="G1416" s="374"/>
      <c r="H1416" s="374"/>
      <c r="I1416" s="374"/>
      <c r="J1416" s="376"/>
      <c r="K1416" s="376"/>
      <c r="L1416" s="376"/>
      <c r="M1416" s="376"/>
      <c r="N1416" s="376"/>
      <c r="O1416" s="376"/>
      <c r="P1416" s="376"/>
      <c r="Q1416" s="376"/>
      <c r="R1416" s="376"/>
      <c r="S1416" s="376"/>
      <c r="T1416" s="376"/>
      <c r="U1416" s="376"/>
      <c r="V1416" s="376"/>
      <c r="W1416" s="376"/>
      <c r="X1416" s="376"/>
      <c r="Y1416" s="376"/>
      <c r="Z1416" s="376"/>
      <c r="AA1416" s="376"/>
      <c r="AB1416" s="376"/>
      <c r="AC1416" s="376"/>
      <c r="AD1416" s="376"/>
      <c r="AE1416" s="376"/>
      <c r="AF1416" s="376"/>
      <c r="AG1416" s="376"/>
      <c r="AH1416" s="376"/>
      <c r="AI1416" s="376"/>
      <c r="AJ1416" s="376"/>
      <c r="AK1416" s="376"/>
      <c r="AL1416" s="376"/>
      <c r="AM1416" s="376"/>
      <c r="AN1416" s="376"/>
      <c r="AO1416" s="376"/>
    </row>
    <row r="1417" spans="1:41" s="73" customFormat="1" ht="15" customHeight="1" x14ac:dyDescent="0.25">
      <c r="A1417" s="402"/>
      <c r="B1417" s="414"/>
      <c r="C1417" s="188" t="s">
        <v>612</v>
      </c>
      <c r="D1417" s="144"/>
      <c r="E1417" s="83" t="s">
        <v>660</v>
      </c>
      <c r="F1417" s="374"/>
      <c r="G1417" s="374"/>
      <c r="H1417" s="374"/>
      <c r="I1417" s="374"/>
      <c r="J1417" s="376"/>
      <c r="K1417" s="376"/>
      <c r="L1417" s="376"/>
      <c r="M1417" s="376"/>
      <c r="N1417" s="376"/>
      <c r="O1417" s="376"/>
      <c r="P1417" s="376"/>
      <c r="Q1417" s="376"/>
      <c r="R1417" s="376"/>
      <c r="S1417" s="376"/>
      <c r="T1417" s="376"/>
      <c r="U1417" s="376"/>
      <c r="V1417" s="376"/>
      <c r="W1417" s="376"/>
      <c r="X1417" s="376"/>
      <c r="Y1417" s="376"/>
      <c r="Z1417" s="376"/>
      <c r="AA1417" s="376"/>
      <c r="AB1417" s="376"/>
      <c r="AC1417" s="376"/>
      <c r="AD1417" s="376"/>
      <c r="AE1417" s="376"/>
      <c r="AF1417" s="376"/>
      <c r="AG1417" s="376"/>
      <c r="AH1417" s="376"/>
      <c r="AI1417" s="376"/>
      <c r="AJ1417" s="376"/>
      <c r="AK1417" s="376"/>
      <c r="AL1417" s="376"/>
      <c r="AM1417" s="376"/>
      <c r="AN1417" s="376"/>
      <c r="AO1417" s="376"/>
    </row>
    <row r="1418" spans="1:41" s="73" customFormat="1" ht="15" customHeight="1" x14ac:dyDescent="0.25">
      <c r="A1418" s="402"/>
      <c r="B1418" s="414"/>
      <c r="C1418" s="188" t="s">
        <v>613</v>
      </c>
      <c r="D1418" s="144"/>
      <c r="E1418" s="83" t="s">
        <v>661</v>
      </c>
      <c r="F1418" s="374"/>
      <c r="G1418" s="374"/>
      <c r="H1418" s="374"/>
      <c r="I1418" s="374"/>
      <c r="J1418" s="376"/>
      <c r="K1418" s="376"/>
      <c r="L1418" s="376"/>
      <c r="M1418" s="376"/>
      <c r="N1418" s="376"/>
      <c r="O1418" s="376"/>
      <c r="P1418" s="376"/>
      <c r="Q1418" s="376"/>
      <c r="R1418" s="376"/>
      <c r="S1418" s="376"/>
      <c r="T1418" s="376"/>
      <c r="U1418" s="376"/>
      <c r="V1418" s="376"/>
      <c r="W1418" s="376"/>
      <c r="X1418" s="376"/>
      <c r="Y1418" s="376"/>
      <c r="Z1418" s="376"/>
      <c r="AA1418" s="376"/>
      <c r="AB1418" s="376"/>
      <c r="AC1418" s="376"/>
      <c r="AD1418" s="376"/>
      <c r="AE1418" s="376"/>
      <c r="AF1418" s="376"/>
      <c r="AG1418" s="376"/>
      <c r="AH1418" s="376"/>
      <c r="AI1418" s="376"/>
      <c r="AJ1418" s="376"/>
      <c r="AK1418" s="376"/>
      <c r="AL1418" s="376"/>
      <c r="AM1418" s="376"/>
      <c r="AN1418" s="376"/>
      <c r="AO1418" s="376"/>
    </row>
    <row r="1419" spans="1:41" s="73" customFormat="1" ht="15" customHeight="1" x14ac:dyDescent="0.25">
      <c r="A1419" s="402"/>
      <c r="B1419" s="414"/>
      <c r="C1419" s="188" t="s">
        <v>614</v>
      </c>
      <c r="D1419" s="144"/>
      <c r="E1419" s="83" t="s">
        <v>662</v>
      </c>
      <c r="F1419" s="374"/>
      <c r="G1419" s="374"/>
      <c r="H1419" s="374"/>
      <c r="I1419" s="374"/>
      <c r="J1419" s="376"/>
      <c r="K1419" s="376"/>
      <c r="L1419" s="376"/>
      <c r="M1419" s="376"/>
      <c r="N1419" s="376"/>
      <c r="O1419" s="376"/>
      <c r="P1419" s="376"/>
      <c r="Q1419" s="376"/>
      <c r="R1419" s="376"/>
      <c r="S1419" s="376"/>
      <c r="T1419" s="376"/>
      <c r="U1419" s="376"/>
      <c r="V1419" s="376"/>
      <c r="W1419" s="376"/>
      <c r="X1419" s="376"/>
      <c r="Y1419" s="376"/>
      <c r="Z1419" s="376"/>
      <c r="AA1419" s="376"/>
      <c r="AB1419" s="376"/>
      <c r="AC1419" s="376"/>
      <c r="AD1419" s="376"/>
      <c r="AE1419" s="376"/>
      <c r="AF1419" s="376"/>
      <c r="AG1419" s="376"/>
      <c r="AH1419" s="376"/>
      <c r="AI1419" s="376"/>
      <c r="AJ1419" s="376"/>
      <c r="AK1419" s="376"/>
      <c r="AL1419" s="376"/>
      <c r="AM1419" s="376"/>
      <c r="AN1419" s="376"/>
      <c r="AO1419" s="376"/>
    </row>
    <row r="1420" spans="1:41" s="73" customFormat="1" ht="15" customHeight="1" x14ac:dyDescent="0.25">
      <c r="A1420" s="402"/>
      <c r="B1420" s="414"/>
      <c r="C1420" s="188" t="s">
        <v>615</v>
      </c>
      <c r="D1420" s="144"/>
      <c r="E1420" s="83" t="s">
        <v>663</v>
      </c>
      <c r="F1420" s="374"/>
      <c r="G1420" s="374"/>
      <c r="H1420" s="374"/>
      <c r="I1420" s="374"/>
      <c r="J1420" s="376"/>
      <c r="K1420" s="376"/>
      <c r="L1420" s="376"/>
      <c r="M1420" s="376"/>
      <c r="N1420" s="376"/>
      <c r="O1420" s="376"/>
      <c r="P1420" s="376"/>
      <c r="Q1420" s="376"/>
      <c r="R1420" s="376"/>
      <c r="S1420" s="376"/>
      <c r="T1420" s="376"/>
      <c r="U1420" s="376"/>
      <c r="V1420" s="376"/>
      <c r="W1420" s="376"/>
      <c r="X1420" s="376"/>
      <c r="Y1420" s="376"/>
      <c r="Z1420" s="376"/>
      <c r="AA1420" s="376"/>
      <c r="AB1420" s="376"/>
      <c r="AC1420" s="376"/>
      <c r="AD1420" s="376"/>
      <c r="AE1420" s="376"/>
      <c r="AF1420" s="376"/>
      <c r="AG1420" s="376"/>
      <c r="AH1420" s="376"/>
      <c r="AI1420" s="376"/>
      <c r="AJ1420" s="376"/>
      <c r="AK1420" s="376"/>
      <c r="AL1420" s="376"/>
      <c r="AM1420" s="376"/>
      <c r="AN1420" s="376"/>
      <c r="AO1420" s="376"/>
    </row>
    <row r="1421" spans="1:41" s="73" customFormat="1" ht="15" customHeight="1" x14ac:dyDescent="0.25">
      <c r="A1421" s="402"/>
      <c r="B1421" s="414"/>
      <c r="C1421" s="188" t="s">
        <v>616</v>
      </c>
      <c r="D1421" s="144"/>
      <c r="E1421" s="83" t="s">
        <v>664</v>
      </c>
      <c r="F1421" s="374"/>
      <c r="G1421" s="374"/>
      <c r="H1421" s="374"/>
      <c r="I1421" s="374"/>
      <c r="J1421" s="376"/>
      <c r="K1421" s="376"/>
      <c r="L1421" s="376"/>
      <c r="M1421" s="376"/>
      <c r="N1421" s="376"/>
      <c r="O1421" s="376"/>
      <c r="P1421" s="376"/>
      <c r="Q1421" s="376"/>
      <c r="R1421" s="376"/>
      <c r="S1421" s="376"/>
      <c r="T1421" s="376"/>
      <c r="U1421" s="376"/>
      <c r="V1421" s="376"/>
      <c r="W1421" s="376"/>
      <c r="X1421" s="376"/>
      <c r="Y1421" s="376"/>
      <c r="Z1421" s="376"/>
      <c r="AA1421" s="376"/>
      <c r="AB1421" s="376"/>
      <c r="AC1421" s="376"/>
      <c r="AD1421" s="376"/>
      <c r="AE1421" s="376"/>
      <c r="AF1421" s="376"/>
      <c r="AG1421" s="376"/>
      <c r="AH1421" s="376"/>
      <c r="AI1421" s="376"/>
      <c r="AJ1421" s="376"/>
      <c r="AK1421" s="376"/>
      <c r="AL1421" s="376"/>
      <c r="AM1421" s="376"/>
      <c r="AN1421" s="376"/>
      <c r="AO1421" s="376"/>
    </row>
    <row r="1422" spans="1:41" s="73" customFormat="1" ht="15" customHeight="1" x14ac:dyDescent="0.25">
      <c r="A1422" s="402"/>
      <c r="B1422" s="414"/>
      <c r="C1422" s="188" t="s">
        <v>617</v>
      </c>
      <c r="D1422" s="144"/>
      <c r="E1422" s="83" t="s">
        <v>665</v>
      </c>
      <c r="F1422" s="374"/>
      <c r="G1422" s="374"/>
      <c r="H1422" s="374"/>
      <c r="I1422" s="374"/>
      <c r="J1422" s="376"/>
      <c r="K1422" s="376"/>
      <c r="L1422" s="376"/>
      <c r="M1422" s="376"/>
      <c r="N1422" s="376"/>
      <c r="O1422" s="376"/>
      <c r="P1422" s="376"/>
      <c r="Q1422" s="376"/>
      <c r="R1422" s="376"/>
      <c r="S1422" s="376"/>
      <c r="T1422" s="376"/>
      <c r="U1422" s="376"/>
      <c r="V1422" s="376"/>
      <c r="W1422" s="376"/>
      <c r="X1422" s="376"/>
      <c r="Y1422" s="376"/>
      <c r="Z1422" s="376"/>
      <c r="AA1422" s="376"/>
      <c r="AB1422" s="376"/>
      <c r="AC1422" s="376"/>
      <c r="AD1422" s="376"/>
      <c r="AE1422" s="376"/>
      <c r="AF1422" s="376"/>
      <c r="AG1422" s="376"/>
      <c r="AH1422" s="376"/>
      <c r="AI1422" s="376"/>
      <c r="AJ1422" s="376"/>
      <c r="AK1422" s="376"/>
      <c r="AL1422" s="376"/>
      <c r="AM1422" s="376"/>
      <c r="AN1422" s="376"/>
      <c r="AO1422" s="376"/>
    </row>
    <row r="1423" spans="1:41" s="73" customFormat="1" ht="15" customHeight="1" x14ac:dyDescent="0.25">
      <c r="A1423" s="402"/>
      <c r="B1423" s="414"/>
      <c r="C1423" s="188" t="s">
        <v>618</v>
      </c>
      <c r="D1423" s="144"/>
      <c r="E1423" s="83" t="s">
        <v>666</v>
      </c>
      <c r="F1423" s="374"/>
      <c r="G1423" s="374"/>
      <c r="H1423" s="374"/>
      <c r="I1423" s="374"/>
      <c r="J1423" s="376"/>
      <c r="K1423" s="376"/>
      <c r="L1423" s="376"/>
      <c r="M1423" s="376"/>
      <c r="N1423" s="376"/>
      <c r="O1423" s="376"/>
      <c r="P1423" s="376"/>
      <c r="Q1423" s="376"/>
      <c r="R1423" s="376"/>
      <c r="S1423" s="376"/>
      <c r="T1423" s="376"/>
      <c r="U1423" s="376"/>
      <c r="V1423" s="376"/>
      <c r="W1423" s="376"/>
      <c r="X1423" s="376"/>
      <c r="Y1423" s="376"/>
      <c r="Z1423" s="376"/>
      <c r="AA1423" s="376"/>
      <c r="AB1423" s="376"/>
      <c r="AC1423" s="376"/>
      <c r="AD1423" s="376"/>
      <c r="AE1423" s="376"/>
      <c r="AF1423" s="376"/>
      <c r="AG1423" s="376"/>
      <c r="AH1423" s="376"/>
      <c r="AI1423" s="376"/>
      <c r="AJ1423" s="376"/>
      <c r="AK1423" s="376"/>
      <c r="AL1423" s="376"/>
      <c r="AM1423" s="376"/>
      <c r="AN1423" s="376"/>
      <c r="AO1423" s="376"/>
    </row>
    <row r="1424" spans="1:41" s="73" customFormat="1" ht="15" customHeight="1" x14ac:dyDescent="0.25">
      <c r="A1424" s="402"/>
      <c r="B1424" s="414"/>
      <c r="C1424" s="188" t="s">
        <v>619</v>
      </c>
      <c r="D1424" s="144"/>
      <c r="E1424" s="83" t="s">
        <v>667</v>
      </c>
      <c r="F1424" s="374"/>
      <c r="G1424" s="374"/>
      <c r="H1424" s="374"/>
      <c r="I1424" s="374"/>
      <c r="J1424" s="376"/>
      <c r="K1424" s="376"/>
      <c r="L1424" s="376"/>
      <c r="M1424" s="376"/>
      <c r="N1424" s="376"/>
      <c r="O1424" s="376"/>
      <c r="P1424" s="376"/>
      <c r="Q1424" s="376"/>
      <c r="R1424" s="376"/>
      <c r="S1424" s="376"/>
      <c r="T1424" s="376"/>
      <c r="U1424" s="376"/>
      <c r="V1424" s="376"/>
      <c r="W1424" s="376"/>
      <c r="X1424" s="376"/>
      <c r="Y1424" s="376"/>
      <c r="Z1424" s="376"/>
      <c r="AA1424" s="376"/>
      <c r="AB1424" s="376"/>
      <c r="AC1424" s="376"/>
      <c r="AD1424" s="376"/>
      <c r="AE1424" s="376"/>
      <c r="AF1424" s="376"/>
      <c r="AG1424" s="376"/>
      <c r="AH1424" s="376"/>
      <c r="AI1424" s="376"/>
      <c r="AJ1424" s="376"/>
      <c r="AK1424" s="376"/>
      <c r="AL1424" s="376"/>
      <c r="AM1424" s="376"/>
      <c r="AN1424" s="376"/>
      <c r="AO1424" s="376"/>
    </row>
    <row r="1425" spans="1:41" s="73" customFormat="1" ht="15" customHeight="1" x14ac:dyDescent="0.25">
      <c r="A1425" s="402"/>
      <c r="B1425" s="414"/>
      <c r="C1425" s="188" t="s">
        <v>620</v>
      </c>
      <c r="D1425" s="144"/>
      <c r="E1425" s="83" t="s">
        <v>668</v>
      </c>
      <c r="F1425" s="374"/>
      <c r="G1425" s="374"/>
      <c r="H1425" s="374"/>
      <c r="I1425" s="374"/>
      <c r="J1425" s="376"/>
      <c r="K1425" s="376"/>
      <c r="L1425" s="376"/>
      <c r="M1425" s="376"/>
      <c r="N1425" s="376"/>
      <c r="O1425" s="376"/>
      <c r="P1425" s="376"/>
      <c r="Q1425" s="376"/>
      <c r="R1425" s="376"/>
      <c r="S1425" s="376"/>
      <c r="T1425" s="376"/>
      <c r="U1425" s="376"/>
      <c r="V1425" s="376"/>
      <c r="W1425" s="376"/>
      <c r="X1425" s="376"/>
      <c r="Y1425" s="376"/>
      <c r="Z1425" s="376"/>
      <c r="AA1425" s="376"/>
      <c r="AB1425" s="376"/>
      <c r="AC1425" s="376"/>
      <c r="AD1425" s="376"/>
      <c r="AE1425" s="376"/>
      <c r="AF1425" s="376"/>
      <c r="AG1425" s="376"/>
      <c r="AH1425" s="376"/>
      <c r="AI1425" s="376"/>
      <c r="AJ1425" s="376"/>
      <c r="AK1425" s="376"/>
      <c r="AL1425" s="376"/>
      <c r="AM1425" s="376"/>
      <c r="AN1425" s="376"/>
      <c r="AO1425" s="376"/>
    </row>
    <row r="1426" spans="1:41" s="73" customFormat="1" ht="15" customHeight="1" x14ac:dyDescent="0.25">
      <c r="A1426" s="402"/>
      <c r="B1426" s="414"/>
      <c r="C1426" s="188" t="s">
        <v>621</v>
      </c>
      <c r="D1426" s="144"/>
      <c r="E1426" s="83" t="s">
        <v>669</v>
      </c>
      <c r="F1426" s="374"/>
      <c r="G1426" s="374"/>
      <c r="H1426" s="374"/>
      <c r="I1426" s="374"/>
      <c r="J1426" s="376"/>
      <c r="K1426" s="376"/>
      <c r="L1426" s="376"/>
      <c r="M1426" s="376"/>
      <c r="N1426" s="376"/>
      <c r="O1426" s="376"/>
      <c r="P1426" s="376"/>
      <c r="Q1426" s="376"/>
      <c r="R1426" s="376"/>
      <c r="S1426" s="376"/>
      <c r="T1426" s="376"/>
      <c r="U1426" s="376"/>
      <c r="V1426" s="376"/>
      <c r="W1426" s="376"/>
      <c r="X1426" s="376"/>
      <c r="Y1426" s="376"/>
      <c r="Z1426" s="376"/>
      <c r="AA1426" s="376"/>
      <c r="AB1426" s="376"/>
      <c r="AC1426" s="376"/>
      <c r="AD1426" s="376"/>
      <c r="AE1426" s="376"/>
      <c r="AF1426" s="376"/>
      <c r="AG1426" s="376"/>
      <c r="AH1426" s="376"/>
      <c r="AI1426" s="376"/>
      <c r="AJ1426" s="376"/>
      <c r="AK1426" s="376"/>
      <c r="AL1426" s="376"/>
      <c r="AM1426" s="376"/>
      <c r="AN1426" s="376"/>
      <c r="AO1426" s="376"/>
    </row>
    <row r="1427" spans="1:41" s="73" customFormat="1" ht="15" customHeight="1" x14ac:dyDescent="0.25">
      <c r="A1427" s="402"/>
      <c r="B1427" s="414"/>
      <c r="C1427" s="188" t="s">
        <v>622</v>
      </c>
      <c r="D1427" s="144"/>
      <c r="E1427" s="83" t="s">
        <v>670</v>
      </c>
      <c r="F1427" s="374"/>
      <c r="G1427" s="374"/>
      <c r="H1427" s="374"/>
      <c r="I1427" s="374"/>
      <c r="J1427" s="376"/>
      <c r="K1427" s="376"/>
      <c r="L1427" s="376"/>
      <c r="M1427" s="376"/>
      <c r="N1427" s="376"/>
      <c r="O1427" s="376"/>
      <c r="P1427" s="376"/>
      <c r="Q1427" s="376"/>
      <c r="R1427" s="376"/>
      <c r="S1427" s="376"/>
      <c r="T1427" s="376"/>
      <c r="U1427" s="376"/>
      <c r="V1427" s="376"/>
      <c r="W1427" s="376"/>
      <c r="X1427" s="376"/>
      <c r="Y1427" s="376"/>
      <c r="Z1427" s="376"/>
      <c r="AA1427" s="376"/>
      <c r="AB1427" s="376"/>
      <c r="AC1427" s="376"/>
      <c r="AD1427" s="376"/>
      <c r="AE1427" s="376"/>
      <c r="AF1427" s="376"/>
      <c r="AG1427" s="376"/>
      <c r="AH1427" s="376"/>
      <c r="AI1427" s="376"/>
      <c r="AJ1427" s="376"/>
      <c r="AK1427" s="376"/>
      <c r="AL1427" s="376"/>
      <c r="AM1427" s="376"/>
      <c r="AN1427" s="376"/>
      <c r="AO1427" s="376"/>
    </row>
    <row r="1428" spans="1:41" s="73" customFormat="1" ht="15" customHeight="1" x14ac:dyDescent="0.25">
      <c r="A1428" s="402"/>
      <c r="B1428" s="414"/>
      <c r="C1428" s="188" t="s">
        <v>510</v>
      </c>
      <c r="D1428" s="144"/>
      <c r="E1428" s="83" t="s">
        <v>671</v>
      </c>
      <c r="F1428" s="374"/>
      <c r="G1428" s="374"/>
      <c r="H1428" s="374"/>
      <c r="I1428" s="374"/>
      <c r="J1428" s="376"/>
      <c r="K1428" s="376"/>
      <c r="L1428" s="376"/>
      <c r="M1428" s="376"/>
      <c r="N1428" s="376"/>
      <c r="O1428" s="376"/>
      <c r="P1428" s="376"/>
      <c r="Q1428" s="376"/>
      <c r="R1428" s="376"/>
      <c r="S1428" s="376"/>
      <c r="T1428" s="376"/>
      <c r="U1428" s="376"/>
      <c r="V1428" s="376"/>
      <c r="W1428" s="376"/>
      <c r="X1428" s="376"/>
      <c r="Y1428" s="376"/>
      <c r="Z1428" s="376"/>
      <c r="AA1428" s="376"/>
      <c r="AB1428" s="376"/>
      <c r="AC1428" s="376"/>
      <c r="AD1428" s="376"/>
      <c r="AE1428" s="376"/>
      <c r="AF1428" s="376"/>
      <c r="AG1428" s="376"/>
      <c r="AH1428" s="376"/>
      <c r="AI1428" s="376"/>
      <c r="AJ1428" s="376"/>
      <c r="AK1428" s="376"/>
      <c r="AL1428" s="376"/>
      <c r="AM1428" s="376"/>
      <c r="AN1428" s="376"/>
      <c r="AO1428" s="376"/>
    </row>
    <row r="1429" spans="1:41" s="73" customFormat="1" ht="15" customHeight="1" x14ac:dyDescent="0.25">
      <c r="A1429" s="402"/>
      <c r="B1429" s="414"/>
      <c r="C1429" s="188" t="s">
        <v>511</v>
      </c>
      <c r="D1429" s="144"/>
      <c r="E1429" s="83" t="s">
        <v>672</v>
      </c>
      <c r="F1429" s="374"/>
      <c r="G1429" s="374"/>
      <c r="H1429" s="374"/>
      <c r="I1429" s="374"/>
      <c r="J1429" s="376"/>
      <c r="K1429" s="376"/>
      <c r="L1429" s="376"/>
      <c r="M1429" s="376"/>
      <c r="N1429" s="376"/>
      <c r="O1429" s="376"/>
      <c r="P1429" s="376"/>
      <c r="Q1429" s="376"/>
      <c r="R1429" s="376"/>
      <c r="S1429" s="376"/>
      <c r="T1429" s="376"/>
      <c r="U1429" s="376"/>
      <c r="V1429" s="376"/>
      <c r="W1429" s="376"/>
      <c r="X1429" s="376"/>
      <c r="Y1429" s="376"/>
      <c r="Z1429" s="376"/>
      <c r="AA1429" s="376"/>
      <c r="AB1429" s="376"/>
      <c r="AC1429" s="376"/>
      <c r="AD1429" s="376"/>
      <c r="AE1429" s="376"/>
      <c r="AF1429" s="376"/>
      <c r="AG1429" s="376"/>
      <c r="AH1429" s="376"/>
      <c r="AI1429" s="376"/>
      <c r="AJ1429" s="376"/>
      <c r="AK1429" s="376"/>
      <c r="AL1429" s="376"/>
      <c r="AM1429" s="376"/>
      <c r="AN1429" s="376"/>
      <c r="AO1429" s="376"/>
    </row>
    <row r="1430" spans="1:41" s="73" customFormat="1" ht="15" customHeight="1" x14ac:dyDescent="0.25">
      <c r="A1430" s="402"/>
      <c r="B1430" s="414"/>
      <c r="C1430" s="188" t="s">
        <v>512</v>
      </c>
      <c r="D1430" s="144"/>
      <c r="E1430" s="83" t="s">
        <v>673</v>
      </c>
      <c r="F1430" s="374"/>
      <c r="G1430" s="374"/>
      <c r="H1430" s="374"/>
      <c r="I1430" s="374"/>
      <c r="J1430" s="376"/>
      <c r="K1430" s="376"/>
      <c r="L1430" s="376"/>
      <c r="M1430" s="376"/>
      <c r="N1430" s="376"/>
      <c r="O1430" s="376"/>
      <c r="P1430" s="376"/>
      <c r="Q1430" s="376"/>
      <c r="R1430" s="376"/>
      <c r="S1430" s="376"/>
      <c r="T1430" s="376"/>
      <c r="U1430" s="376"/>
      <c r="V1430" s="376"/>
      <c r="W1430" s="376"/>
      <c r="X1430" s="376"/>
      <c r="Y1430" s="376"/>
      <c r="Z1430" s="376"/>
      <c r="AA1430" s="376"/>
      <c r="AB1430" s="376"/>
      <c r="AC1430" s="376"/>
      <c r="AD1430" s="376"/>
      <c r="AE1430" s="376"/>
      <c r="AF1430" s="376"/>
      <c r="AG1430" s="376"/>
      <c r="AH1430" s="376"/>
      <c r="AI1430" s="376"/>
      <c r="AJ1430" s="376"/>
      <c r="AK1430" s="376"/>
      <c r="AL1430" s="376"/>
      <c r="AM1430" s="376"/>
      <c r="AN1430" s="376"/>
      <c r="AO1430" s="376"/>
    </row>
    <row r="1431" spans="1:41" s="73" customFormat="1" ht="15" customHeight="1" x14ac:dyDescent="0.25">
      <c r="A1431" s="402"/>
      <c r="B1431" s="414"/>
      <c r="C1431" s="188" t="s">
        <v>513</v>
      </c>
      <c r="D1431" s="144"/>
      <c r="E1431" s="83" t="s">
        <v>674</v>
      </c>
      <c r="F1431" s="374"/>
      <c r="G1431" s="374"/>
      <c r="H1431" s="374"/>
      <c r="I1431" s="374"/>
      <c r="J1431" s="376"/>
      <c r="K1431" s="376"/>
      <c r="L1431" s="376"/>
      <c r="M1431" s="376"/>
      <c r="N1431" s="376"/>
      <c r="O1431" s="376"/>
      <c r="P1431" s="376"/>
      <c r="Q1431" s="376"/>
      <c r="R1431" s="376"/>
      <c r="S1431" s="376"/>
      <c r="T1431" s="376"/>
      <c r="U1431" s="376"/>
      <c r="V1431" s="376"/>
      <c r="W1431" s="376"/>
      <c r="X1431" s="376"/>
      <c r="Y1431" s="376"/>
      <c r="Z1431" s="376"/>
      <c r="AA1431" s="376"/>
      <c r="AB1431" s="376"/>
      <c r="AC1431" s="376"/>
      <c r="AD1431" s="376"/>
      <c r="AE1431" s="376"/>
      <c r="AF1431" s="376"/>
      <c r="AG1431" s="376"/>
      <c r="AH1431" s="376"/>
      <c r="AI1431" s="376"/>
      <c r="AJ1431" s="376"/>
      <c r="AK1431" s="376"/>
      <c r="AL1431" s="376"/>
      <c r="AM1431" s="376"/>
      <c r="AN1431" s="376"/>
      <c r="AO1431" s="376"/>
    </row>
    <row r="1432" spans="1:41" s="73" customFormat="1" ht="15" customHeight="1" x14ac:dyDescent="0.25">
      <c r="A1432" s="402"/>
      <c r="B1432" s="414"/>
      <c r="C1432" s="188" t="s">
        <v>514</v>
      </c>
      <c r="D1432" s="144"/>
      <c r="E1432" s="83" t="s">
        <v>675</v>
      </c>
      <c r="F1432" s="374"/>
      <c r="G1432" s="374"/>
      <c r="H1432" s="374"/>
      <c r="I1432" s="374"/>
      <c r="J1432" s="376"/>
      <c r="K1432" s="376"/>
      <c r="L1432" s="376"/>
      <c r="M1432" s="376"/>
      <c r="N1432" s="376"/>
      <c r="O1432" s="376"/>
      <c r="P1432" s="376"/>
      <c r="Q1432" s="376"/>
      <c r="R1432" s="376"/>
      <c r="S1432" s="376"/>
      <c r="T1432" s="376"/>
      <c r="U1432" s="376"/>
      <c r="V1432" s="376"/>
      <c r="W1432" s="376"/>
      <c r="X1432" s="376"/>
      <c r="Y1432" s="376"/>
      <c r="Z1432" s="376"/>
      <c r="AA1432" s="376"/>
      <c r="AB1432" s="376"/>
      <c r="AC1432" s="376"/>
      <c r="AD1432" s="376"/>
      <c r="AE1432" s="376"/>
      <c r="AF1432" s="376"/>
      <c r="AG1432" s="376"/>
      <c r="AH1432" s="376"/>
      <c r="AI1432" s="376"/>
      <c r="AJ1432" s="376"/>
      <c r="AK1432" s="376"/>
      <c r="AL1432" s="376"/>
      <c r="AM1432" s="376"/>
      <c r="AN1432" s="376"/>
      <c r="AO1432" s="376"/>
    </row>
    <row r="1433" spans="1:41" s="73" customFormat="1" ht="15" customHeight="1" x14ac:dyDescent="0.25">
      <c r="A1433" s="402"/>
      <c r="B1433" s="414"/>
      <c r="C1433" s="188" t="s">
        <v>515</v>
      </c>
      <c r="D1433" s="144"/>
      <c r="E1433" s="83" t="s">
        <v>676</v>
      </c>
      <c r="F1433" s="374"/>
      <c r="G1433" s="374"/>
      <c r="H1433" s="374"/>
      <c r="I1433" s="374"/>
      <c r="J1433" s="376"/>
      <c r="K1433" s="376"/>
      <c r="L1433" s="376"/>
      <c r="M1433" s="376"/>
      <c r="N1433" s="376"/>
      <c r="O1433" s="376"/>
      <c r="P1433" s="376"/>
      <c r="Q1433" s="376"/>
      <c r="R1433" s="376"/>
      <c r="S1433" s="376"/>
      <c r="T1433" s="376"/>
      <c r="U1433" s="376"/>
      <c r="V1433" s="376"/>
      <c r="W1433" s="376"/>
      <c r="X1433" s="376"/>
      <c r="Y1433" s="376"/>
      <c r="Z1433" s="376"/>
      <c r="AA1433" s="376"/>
      <c r="AB1433" s="376"/>
      <c r="AC1433" s="376"/>
      <c r="AD1433" s="376"/>
      <c r="AE1433" s="376"/>
      <c r="AF1433" s="376"/>
      <c r="AG1433" s="376"/>
      <c r="AH1433" s="376"/>
      <c r="AI1433" s="376"/>
      <c r="AJ1433" s="376"/>
      <c r="AK1433" s="376"/>
      <c r="AL1433" s="376"/>
      <c r="AM1433" s="376"/>
      <c r="AN1433" s="376"/>
      <c r="AO1433" s="376"/>
    </row>
    <row r="1434" spans="1:41" s="73" customFormat="1" ht="15" customHeight="1" x14ac:dyDescent="0.25">
      <c r="A1434" s="402"/>
      <c r="B1434" s="414"/>
      <c r="C1434" s="188" t="s">
        <v>516</v>
      </c>
      <c r="D1434" s="144"/>
      <c r="E1434" s="83" t="s">
        <v>677</v>
      </c>
      <c r="F1434" s="374"/>
      <c r="G1434" s="374"/>
      <c r="H1434" s="374"/>
      <c r="I1434" s="374"/>
      <c r="J1434" s="376"/>
      <c r="K1434" s="376"/>
      <c r="L1434" s="376"/>
      <c r="M1434" s="376"/>
      <c r="N1434" s="376"/>
      <c r="O1434" s="376"/>
      <c r="P1434" s="376"/>
      <c r="Q1434" s="376"/>
      <c r="R1434" s="376"/>
      <c r="S1434" s="376"/>
      <c r="T1434" s="376"/>
      <c r="U1434" s="376"/>
      <c r="V1434" s="376"/>
      <c r="W1434" s="376"/>
      <c r="X1434" s="376"/>
      <c r="Y1434" s="376"/>
      <c r="Z1434" s="376"/>
      <c r="AA1434" s="376"/>
      <c r="AB1434" s="376"/>
      <c r="AC1434" s="376"/>
      <c r="AD1434" s="376"/>
      <c r="AE1434" s="376"/>
      <c r="AF1434" s="376"/>
      <c r="AG1434" s="376"/>
      <c r="AH1434" s="376"/>
      <c r="AI1434" s="376"/>
      <c r="AJ1434" s="376"/>
      <c r="AK1434" s="376"/>
      <c r="AL1434" s="376"/>
      <c r="AM1434" s="376"/>
      <c r="AN1434" s="376"/>
      <c r="AO1434" s="376"/>
    </row>
    <row r="1435" spans="1:41" s="73" customFormat="1" ht="15" customHeight="1" x14ac:dyDescent="0.25">
      <c r="A1435" s="402"/>
      <c r="B1435" s="414"/>
      <c r="C1435" s="188" t="s">
        <v>517</v>
      </c>
      <c r="D1435" s="144"/>
      <c r="E1435" s="83" t="s">
        <v>678</v>
      </c>
      <c r="F1435" s="374"/>
      <c r="G1435" s="374"/>
      <c r="H1435" s="374"/>
      <c r="I1435" s="374"/>
      <c r="J1435" s="376"/>
      <c r="K1435" s="376"/>
      <c r="L1435" s="376"/>
      <c r="M1435" s="376"/>
      <c r="N1435" s="376"/>
      <c r="O1435" s="376"/>
      <c r="P1435" s="376"/>
      <c r="Q1435" s="376"/>
      <c r="R1435" s="376"/>
      <c r="S1435" s="376"/>
      <c r="T1435" s="376"/>
      <c r="U1435" s="376"/>
      <c r="V1435" s="376"/>
      <c r="W1435" s="376"/>
      <c r="X1435" s="376"/>
      <c r="Y1435" s="376"/>
      <c r="Z1435" s="376"/>
      <c r="AA1435" s="376"/>
      <c r="AB1435" s="376"/>
      <c r="AC1435" s="376"/>
      <c r="AD1435" s="376"/>
      <c r="AE1435" s="376"/>
      <c r="AF1435" s="376"/>
      <c r="AG1435" s="376"/>
      <c r="AH1435" s="376"/>
      <c r="AI1435" s="376"/>
      <c r="AJ1435" s="376"/>
      <c r="AK1435" s="376"/>
      <c r="AL1435" s="376"/>
      <c r="AM1435" s="376"/>
      <c r="AN1435" s="376"/>
      <c r="AO1435" s="376"/>
    </row>
    <row r="1436" spans="1:41" s="73" customFormat="1" ht="15" customHeight="1" x14ac:dyDescent="0.25">
      <c r="A1436" s="402"/>
      <c r="B1436" s="414"/>
      <c r="C1436" s="188" t="s">
        <v>518</v>
      </c>
      <c r="D1436" s="144"/>
      <c r="E1436" s="83" t="s">
        <v>679</v>
      </c>
      <c r="F1436" s="374"/>
      <c r="G1436" s="374"/>
      <c r="H1436" s="374"/>
      <c r="I1436" s="374"/>
      <c r="J1436" s="376"/>
      <c r="K1436" s="376"/>
      <c r="L1436" s="376"/>
      <c r="M1436" s="376"/>
      <c r="N1436" s="376"/>
      <c r="O1436" s="376"/>
      <c r="P1436" s="376"/>
      <c r="Q1436" s="376"/>
      <c r="R1436" s="376"/>
      <c r="S1436" s="376"/>
      <c r="T1436" s="376"/>
      <c r="U1436" s="376"/>
      <c r="V1436" s="376"/>
      <c r="W1436" s="376"/>
      <c r="X1436" s="376"/>
      <c r="Y1436" s="376"/>
      <c r="Z1436" s="376"/>
      <c r="AA1436" s="376"/>
      <c r="AB1436" s="376"/>
      <c r="AC1436" s="376"/>
      <c r="AD1436" s="376"/>
      <c r="AE1436" s="376"/>
      <c r="AF1436" s="376"/>
      <c r="AG1436" s="376"/>
      <c r="AH1436" s="376"/>
      <c r="AI1436" s="376"/>
      <c r="AJ1436" s="376"/>
      <c r="AK1436" s="376"/>
      <c r="AL1436" s="376"/>
      <c r="AM1436" s="376"/>
      <c r="AN1436" s="376"/>
      <c r="AO1436" s="376"/>
    </row>
    <row r="1437" spans="1:41" x14ac:dyDescent="0.25">
      <c r="F1437" s="74"/>
      <c r="G1437" s="74"/>
      <c r="H1437" s="74"/>
      <c r="I1437" s="74"/>
    </row>
  </sheetData>
  <mergeCells count="29">
    <mergeCell ref="A947:A983"/>
    <mergeCell ref="B947:B979"/>
    <mergeCell ref="B980:B983"/>
    <mergeCell ref="B984:B1028"/>
    <mergeCell ref="B1029:B1034"/>
    <mergeCell ref="A984:A1436"/>
    <mergeCell ref="B1321:B1378"/>
    <mergeCell ref="B1131:B1208"/>
    <mergeCell ref="B1219:B1296"/>
    <mergeCell ref="B1209:B1218"/>
    <mergeCell ref="B1035:B1036"/>
    <mergeCell ref="B1038:B1052"/>
    <mergeCell ref="B1053:B1130"/>
    <mergeCell ref="B1297:B1312"/>
    <mergeCell ref="B1313:B1320"/>
    <mergeCell ref="B1379:B1436"/>
    <mergeCell ref="A1:D1"/>
    <mergeCell ref="B104:B119"/>
    <mergeCell ref="B4:B103"/>
    <mergeCell ref="A446:A946"/>
    <mergeCell ref="B446:B795"/>
    <mergeCell ref="B138:B205"/>
    <mergeCell ref="B120:B137"/>
    <mergeCell ref="A4:A137"/>
    <mergeCell ref="A138:A445"/>
    <mergeCell ref="B206:B275"/>
    <mergeCell ref="B276:B279"/>
    <mergeCell ref="B280:B349"/>
    <mergeCell ref="B350:B445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2227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27675.65367</v>
      </c>
      <c r="H2">
        <v>27744.657910000002</v>
      </c>
      <c r="I2">
        <v>27819.068609999998</v>
      </c>
      <c r="J2">
        <v>27897.54823</v>
      </c>
      <c r="K2">
        <v>27978.951000000001</v>
      </c>
      <c r="L2">
        <v>28062.51339</v>
      </c>
      <c r="M2">
        <v>28147.868549999999</v>
      </c>
      <c r="N2">
        <v>28234.97438</v>
      </c>
      <c r="O2">
        <v>28324.0124</v>
      </c>
      <c r="P2">
        <v>28415.2899</v>
      </c>
      <c r="Q2">
        <v>28509.160449999999</v>
      </c>
      <c r="R2">
        <v>28605.49253</v>
      </c>
      <c r="S2">
        <v>28703.504570000001</v>
      </c>
      <c r="T2">
        <v>28802.30761</v>
      </c>
      <c r="U2">
        <v>28901.14286</v>
      </c>
      <c r="V2">
        <v>28999.468499999999</v>
      </c>
      <c r="W2">
        <v>29096.963820000001</v>
      </c>
      <c r="X2">
        <v>29193.490549999999</v>
      </c>
      <c r="Y2">
        <v>29289.039100000002</v>
      </c>
      <c r="Z2">
        <v>29383.67669</v>
      </c>
      <c r="AA2">
        <v>29477.505570000001</v>
      </c>
      <c r="AB2">
        <v>29570.63392</v>
      </c>
      <c r="AC2">
        <v>29663.158319999999</v>
      </c>
      <c r="AD2">
        <v>29755.155439999999</v>
      </c>
      <c r="AE2">
        <v>29846.680179999999</v>
      </c>
      <c r="AF2">
        <v>29937.767830000001</v>
      </c>
      <c r="AG2">
        <v>30028.438330000001</v>
      </c>
      <c r="AH2">
        <v>30118.701229999999</v>
      </c>
      <c r="AI2">
        <v>30208.560320000001</v>
      </c>
      <c r="AJ2">
        <v>30298.017639999998</v>
      </c>
      <c r="AK2">
        <v>30387.076410000001</v>
      </c>
    </row>
    <row r="3" spans="1:37" x14ac:dyDescent="0.25">
      <c r="A3" t="s">
        <v>2228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27599.973480000001</v>
      </c>
      <c r="G3">
        <v>27656.13492</v>
      </c>
      <c r="H3">
        <v>27717.671559999999</v>
      </c>
      <c r="I3">
        <v>27784.32908</v>
      </c>
      <c r="J3">
        <v>27855.384470000001</v>
      </c>
      <c r="K3">
        <v>27929.949909999999</v>
      </c>
      <c r="L3">
        <v>28007.151160000001</v>
      </c>
      <c r="M3">
        <v>28086.220140000001</v>
      </c>
      <c r="N3">
        <v>28166.532480000002</v>
      </c>
      <c r="O3">
        <v>28247.61246</v>
      </c>
      <c r="P3">
        <v>28329.119449999998</v>
      </c>
      <c r="Q3">
        <v>28410.825400000002</v>
      </c>
      <c r="R3">
        <v>28492.58985</v>
      </c>
      <c r="S3">
        <v>28574.336319999999</v>
      </c>
      <c r="T3">
        <v>28656.031609999998</v>
      </c>
      <c r="U3">
        <v>28737.669170000001</v>
      </c>
      <c r="V3">
        <v>28819.256799999999</v>
      </c>
      <c r="W3">
        <v>28900.80816</v>
      </c>
      <c r="X3">
        <v>28982.33756</v>
      </c>
      <c r="Y3">
        <v>29063.85713</v>
      </c>
      <c r="Z3">
        <v>29145.375769999999</v>
      </c>
      <c r="AA3">
        <v>29226.8992</v>
      </c>
      <c r="AB3">
        <v>29308.4306</v>
      </c>
      <c r="AC3">
        <v>29389.971560000002</v>
      </c>
      <c r="AD3">
        <v>29471.523020000001</v>
      </c>
      <c r="AE3">
        <v>29553.086039999998</v>
      </c>
      <c r="AF3">
        <v>29634.662390000001</v>
      </c>
      <c r="AG3">
        <v>29716.254929999999</v>
      </c>
      <c r="AH3">
        <v>29797.867719999998</v>
      </c>
      <c r="AI3">
        <v>29879.505990000001</v>
      </c>
      <c r="AJ3">
        <v>29961.176039999998</v>
      </c>
      <c r="AK3">
        <v>30042.884989999999</v>
      </c>
    </row>
    <row r="4" spans="1:37" x14ac:dyDescent="0.25">
      <c r="A4" t="s">
        <v>2229</v>
      </c>
      <c r="B4">
        <v>732.13</v>
      </c>
      <c r="C4">
        <v>733.53267760000006</v>
      </c>
      <c r="D4">
        <v>734.74367419999999</v>
      </c>
      <c r="E4">
        <v>736.10272740000005</v>
      </c>
      <c r="F4">
        <v>737.85588370000005</v>
      </c>
      <c r="G4">
        <v>740.14183409999998</v>
      </c>
      <c r="H4">
        <v>742.95250769999996</v>
      </c>
      <c r="I4">
        <v>746.15883459999998</v>
      </c>
      <c r="J4">
        <v>749.62815620000003</v>
      </c>
      <c r="K4">
        <v>753.26910769999995</v>
      </c>
      <c r="L4">
        <v>757.04110460000004</v>
      </c>
      <c r="M4">
        <v>760.94854740000005</v>
      </c>
      <c r="N4">
        <v>765.02987250000001</v>
      </c>
      <c r="O4">
        <v>769.34625600000004</v>
      </c>
      <c r="P4">
        <v>773.97192140000004</v>
      </c>
      <c r="Q4">
        <v>778.98656240000003</v>
      </c>
      <c r="R4">
        <v>784.40725480000003</v>
      </c>
      <c r="S4">
        <v>790.16516750000005</v>
      </c>
      <c r="T4">
        <v>796.17248240000004</v>
      </c>
      <c r="U4">
        <v>802.35009419999994</v>
      </c>
      <c r="V4">
        <v>808.63627970000005</v>
      </c>
      <c r="W4">
        <v>814.98690690000001</v>
      </c>
      <c r="X4">
        <v>821.37234699999999</v>
      </c>
      <c r="Y4">
        <v>827.77360339999996</v>
      </c>
      <c r="Z4">
        <v>834.17879189999996</v>
      </c>
      <c r="AA4">
        <v>840.58038009999996</v>
      </c>
      <c r="AB4">
        <v>846.97323029999995</v>
      </c>
      <c r="AC4">
        <v>853.35333200000002</v>
      </c>
      <c r="AD4">
        <v>859.71706310000002</v>
      </c>
      <c r="AE4">
        <v>866.06082460000005</v>
      </c>
      <c r="AF4">
        <v>872.38091659999998</v>
      </c>
      <c r="AG4">
        <v>878.67355640000005</v>
      </c>
      <c r="AH4">
        <v>884.93496670000002</v>
      </c>
      <c r="AI4">
        <v>891.16148639999994</v>
      </c>
      <c r="AJ4">
        <v>897.34967310000002</v>
      </c>
      <c r="AK4">
        <v>903.49638449999998</v>
      </c>
    </row>
    <row r="5" spans="1:37" x14ac:dyDescent="0.25">
      <c r="A5" t="s">
        <v>2230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737.34213929999999</v>
      </c>
      <c r="H5">
        <v>738.9823596</v>
      </c>
      <c r="I5">
        <v>740.90021860000002</v>
      </c>
      <c r="J5">
        <v>743.03725159999999</v>
      </c>
      <c r="K5">
        <v>745.334879</v>
      </c>
      <c r="L5">
        <v>747.74248320000004</v>
      </c>
      <c r="M5">
        <v>750.21993180000004</v>
      </c>
      <c r="N5">
        <v>752.73731959999998</v>
      </c>
      <c r="O5">
        <v>755.2735467</v>
      </c>
      <c r="P5">
        <v>757.81456360000004</v>
      </c>
      <c r="Q5">
        <v>760.35165559999996</v>
      </c>
      <c r="R5">
        <v>762.87995450000005</v>
      </c>
      <c r="S5">
        <v>765.39723330000004</v>
      </c>
      <c r="T5">
        <v>767.9029511</v>
      </c>
      <c r="U5">
        <v>770.39753919999998</v>
      </c>
      <c r="V5">
        <v>772.88190150000003</v>
      </c>
      <c r="W5">
        <v>775.35709180000003</v>
      </c>
      <c r="X5">
        <v>777.82412380000005</v>
      </c>
      <c r="Y5">
        <v>780.28387959999998</v>
      </c>
      <c r="Z5">
        <v>782.73708320000003</v>
      </c>
      <c r="AA5">
        <v>785.18431550000003</v>
      </c>
      <c r="AB5">
        <v>787.62604950000002</v>
      </c>
      <c r="AC5">
        <v>790.06269329999998</v>
      </c>
      <c r="AD5">
        <v>792.49463040000001</v>
      </c>
      <c r="AE5">
        <v>794.92225189999999</v>
      </c>
      <c r="AF5">
        <v>797.34597980000001</v>
      </c>
      <c r="AG5">
        <v>799.76627910000002</v>
      </c>
      <c r="AH5">
        <v>802.18366030000004</v>
      </c>
      <c r="AI5">
        <v>804.59867610000003</v>
      </c>
      <c r="AJ5">
        <v>807.01191210000002</v>
      </c>
      <c r="AK5">
        <v>809.42397519999997</v>
      </c>
    </row>
    <row r="6" spans="1:37" x14ac:dyDescent="0.25">
      <c r="A6" t="s">
        <v>2231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27.666529499999999</v>
      </c>
      <c r="H6">
        <v>27.283068910000001</v>
      </c>
      <c r="I6">
        <v>26.916018080000001</v>
      </c>
      <c r="J6">
        <v>26.570697920000001</v>
      </c>
      <c r="K6">
        <v>26.245682420000001</v>
      </c>
      <c r="L6">
        <v>25.935992290000002</v>
      </c>
      <c r="M6">
        <v>25.63550038</v>
      </c>
      <c r="N6">
        <v>25.338372979999999</v>
      </c>
      <c r="O6">
        <v>25.039804950000001</v>
      </c>
      <c r="P6">
        <v>24.736325019999999</v>
      </c>
      <c r="Q6">
        <v>24.425862290000001</v>
      </c>
      <c r="R6">
        <v>24.111141539999998</v>
      </c>
      <c r="S6">
        <v>23.798728229999998</v>
      </c>
      <c r="T6">
        <v>23.49377956</v>
      </c>
      <c r="U6">
        <v>23.199183779999998</v>
      </c>
      <c r="V6">
        <v>22.916058459999999</v>
      </c>
      <c r="W6">
        <v>22.644445749999999</v>
      </c>
      <c r="X6">
        <v>22.383852229999999</v>
      </c>
      <c r="Y6">
        <v>22.1335868</v>
      </c>
      <c r="Z6">
        <v>21.89294216</v>
      </c>
      <c r="AA6">
        <v>21.661276480000001</v>
      </c>
      <c r="AB6">
        <v>21.438039109999998</v>
      </c>
      <c r="AC6">
        <v>21.222769020000001</v>
      </c>
      <c r="AD6">
        <v>21.015082100000001</v>
      </c>
      <c r="AE6">
        <v>20.814655989999999</v>
      </c>
      <c r="AF6">
        <v>20.621216019999999</v>
      </c>
      <c r="AG6">
        <v>20.434523670000001</v>
      </c>
      <c r="AH6">
        <v>20.254367569999999</v>
      </c>
      <c r="AI6">
        <v>20.080556619999999</v>
      </c>
      <c r="AJ6">
        <v>19.912914799999999</v>
      </c>
      <c r="AK6">
        <v>19.751277089999999</v>
      </c>
    </row>
    <row r="7" spans="1:37" x14ac:dyDescent="0.25">
      <c r="A7" t="s">
        <v>2232</v>
      </c>
      <c r="B7">
        <v>29.08</v>
      </c>
      <c r="C7">
        <v>29.00561776</v>
      </c>
      <c r="D7">
        <v>28.79973309</v>
      </c>
      <c r="E7">
        <v>28.515009809999999</v>
      </c>
      <c r="F7">
        <v>28.196878359999999</v>
      </c>
      <c r="G7">
        <v>27.874070790000001</v>
      </c>
      <c r="H7">
        <v>27.561229449999999</v>
      </c>
      <c r="I7">
        <v>27.26389782</v>
      </c>
      <c r="J7">
        <v>26.982673909999999</v>
      </c>
      <c r="K7">
        <v>26.715932649999999</v>
      </c>
      <c r="L7">
        <v>26.461366999999999</v>
      </c>
      <c r="M7">
        <v>26.216744899999998</v>
      </c>
      <c r="N7">
        <v>25.98020897</v>
      </c>
      <c r="O7">
        <v>25.750338559999999</v>
      </c>
      <c r="P7">
        <v>25.526105340000001</v>
      </c>
      <c r="Q7">
        <v>25.306793330000001</v>
      </c>
      <c r="R7">
        <v>25.091917590000001</v>
      </c>
      <c r="S7">
        <v>24.881154850000001</v>
      </c>
      <c r="T7">
        <v>24.67428889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23.69398047</v>
      </c>
      <c r="Z7">
        <v>23.508267719999999</v>
      </c>
      <c r="AA7">
        <v>23.32591416</v>
      </c>
      <c r="AB7">
        <v>23.146886500000001</v>
      </c>
      <c r="AC7">
        <v>22.97114994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21.983643260000001</v>
      </c>
      <c r="AJ7">
        <v>21.82980886</v>
      </c>
      <c r="AK7">
        <v>21.67892419</v>
      </c>
    </row>
    <row r="8" spans="1:37" x14ac:dyDescent="0.25">
      <c r="A8" t="s">
        <v>2233</v>
      </c>
      <c r="B8">
        <v>618.62</v>
      </c>
      <c r="C8">
        <v>619.64983510000002</v>
      </c>
      <c r="D8">
        <v>620.40811499999995</v>
      </c>
      <c r="E8">
        <v>621.21782929999995</v>
      </c>
      <c r="F8">
        <v>622.29155149999997</v>
      </c>
      <c r="G8">
        <v>623.72675040000001</v>
      </c>
      <c r="H8">
        <v>625.51685299999997</v>
      </c>
      <c r="I8">
        <v>627.58699560000002</v>
      </c>
      <c r="J8">
        <v>629.85654539999996</v>
      </c>
      <c r="K8">
        <v>632.26336349999997</v>
      </c>
      <c r="L8">
        <v>634.76972899999998</v>
      </c>
      <c r="M8">
        <v>637.36008819999995</v>
      </c>
      <c r="N8">
        <v>640.03584269999999</v>
      </c>
      <c r="O8">
        <v>642.80979850000006</v>
      </c>
      <c r="P8">
        <v>645.70139740000002</v>
      </c>
      <c r="Q8">
        <v>648.73307220000004</v>
      </c>
      <c r="R8">
        <v>651.90265409999995</v>
      </c>
      <c r="S8">
        <v>655.17570520000004</v>
      </c>
      <c r="T8">
        <v>658.51415410000004</v>
      </c>
      <c r="U8">
        <v>661.88657269999999</v>
      </c>
      <c r="V8">
        <v>665.27065730000004</v>
      </c>
      <c r="W8">
        <v>668.65245330000005</v>
      </c>
      <c r="X8">
        <v>672.02438299999994</v>
      </c>
      <c r="Y8">
        <v>675.38310799999999</v>
      </c>
      <c r="Z8">
        <v>678.72770639999999</v>
      </c>
      <c r="AA8">
        <v>682.05832499999997</v>
      </c>
      <c r="AB8">
        <v>685.37530130000005</v>
      </c>
      <c r="AC8">
        <v>688.67866979999997</v>
      </c>
      <c r="AD8">
        <v>691.96795369999995</v>
      </c>
      <c r="AE8">
        <v>695.24214480000001</v>
      </c>
      <c r="AF8">
        <v>698.49979599999995</v>
      </c>
      <c r="AG8">
        <v>701.73916580000002</v>
      </c>
      <c r="AH8">
        <v>704.95837659999995</v>
      </c>
      <c r="AI8">
        <v>708.15555959999995</v>
      </c>
      <c r="AJ8">
        <v>711.32897179999998</v>
      </c>
      <c r="AK8">
        <v>714.47708139999997</v>
      </c>
    </row>
    <row r="9" spans="1:37" x14ac:dyDescent="0.25">
      <c r="A9" t="s">
        <v>2234</v>
      </c>
      <c r="B9">
        <v>618.62</v>
      </c>
      <c r="C9">
        <v>619.58096479999995</v>
      </c>
      <c r="D9">
        <v>620.19798639999999</v>
      </c>
      <c r="E9">
        <v>620.80188550000003</v>
      </c>
      <c r="F9">
        <v>621.60557549999999</v>
      </c>
      <c r="G9">
        <v>622.69514619999995</v>
      </c>
      <c r="H9">
        <v>624.07325060000005</v>
      </c>
      <c r="I9">
        <v>625.70096160000003</v>
      </c>
      <c r="J9">
        <v>627.52546940000002</v>
      </c>
      <c r="K9">
        <v>629.49500939999996</v>
      </c>
      <c r="L9">
        <v>631.56537739999999</v>
      </c>
      <c r="M9">
        <v>633.70175859999995</v>
      </c>
      <c r="N9">
        <v>635.87829009999996</v>
      </c>
      <c r="O9">
        <v>638.07672090000005</v>
      </c>
      <c r="P9">
        <v>640.28484630000003</v>
      </c>
      <c r="Q9">
        <v>642.49500669999998</v>
      </c>
      <c r="R9">
        <v>644.70279840000001</v>
      </c>
      <c r="S9">
        <v>646.90603669999996</v>
      </c>
      <c r="T9">
        <v>649.10393439999996</v>
      </c>
      <c r="U9">
        <v>651.29649140000004</v>
      </c>
      <c r="V9">
        <v>653.4840706</v>
      </c>
      <c r="W9">
        <v>655.6671278</v>
      </c>
      <c r="X9">
        <v>657.8460589</v>
      </c>
      <c r="Y9">
        <v>660.02113169999996</v>
      </c>
      <c r="Z9">
        <v>662.19247499999994</v>
      </c>
      <c r="AA9">
        <v>664.36010139999996</v>
      </c>
      <c r="AB9">
        <v>666.52394779999997</v>
      </c>
      <c r="AC9">
        <v>668.68392010000002</v>
      </c>
      <c r="AD9">
        <v>670.83993429999998</v>
      </c>
      <c r="AE9">
        <v>672.99194929999999</v>
      </c>
      <c r="AF9">
        <v>675.13999009999998</v>
      </c>
      <c r="AG9">
        <v>677.2841598</v>
      </c>
      <c r="AH9">
        <v>679.42464229999996</v>
      </c>
      <c r="AI9">
        <v>681.56169920000002</v>
      </c>
      <c r="AJ9">
        <v>683.69565990000001</v>
      </c>
      <c r="AK9">
        <v>685.82691030000001</v>
      </c>
    </row>
    <row r="10" spans="1:37" x14ac:dyDescent="0.25">
      <c r="A10" t="s">
        <v>2235</v>
      </c>
      <c r="B10">
        <v>185.81</v>
      </c>
      <c r="C10">
        <v>186.90528950000001</v>
      </c>
      <c r="D10">
        <v>188.36291729999999</v>
      </c>
      <c r="E10">
        <v>189.83317210000001</v>
      </c>
      <c r="F10">
        <v>191.1031796</v>
      </c>
      <c r="G10">
        <v>192.10320730000001</v>
      </c>
      <c r="H10">
        <v>192.8580231</v>
      </c>
      <c r="I10">
        <v>193.43215960000001</v>
      </c>
      <c r="J10">
        <v>193.88812010000001</v>
      </c>
      <c r="K10">
        <v>194.27179720000001</v>
      </c>
      <c r="L10">
        <v>194.61156869999999</v>
      </c>
      <c r="M10">
        <v>194.92220270000001</v>
      </c>
      <c r="N10">
        <v>195.2093917</v>
      </c>
      <c r="O10">
        <v>195.4733789</v>
      </c>
      <c r="P10">
        <v>195.71138830000001</v>
      </c>
      <c r="Q10">
        <v>195.9190625</v>
      </c>
      <c r="R10">
        <v>196.09645660000001</v>
      </c>
      <c r="S10">
        <v>196.24765769999999</v>
      </c>
      <c r="T10">
        <v>196.37331280000001</v>
      </c>
      <c r="U10">
        <v>196.4709857</v>
      </c>
      <c r="V10">
        <v>196.53733980000001</v>
      </c>
      <c r="W10">
        <v>196.56976420000001</v>
      </c>
      <c r="X10">
        <v>196.56709219999999</v>
      </c>
      <c r="Y10">
        <v>196.52966939999999</v>
      </c>
      <c r="Z10">
        <v>196.4590944</v>
      </c>
      <c r="AA10">
        <v>196.35785630000001</v>
      </c>
      <c r="AB10">
        <v>196.22899580000001</v>
      </c>
      <c r="AC10">
        <v>196.0758395</v>
      </c>
      <c r="AD10">
        <v>195.90181519999999</v>
      </c>
      <c r="AE10">
        <v>195.71033729999999</v>
      </c>
      <c r="AF10">
        <v>195.50474389999999</v>
      </c>
      <c r="AG10">
        <v>195.2882674</v>
      </c>
      <c r="AH10">
        <v>195.06402610000001</v>
      </c>
      <c r="AI10">
        <v>194.8350245</v>
      </c>
      <c r="AJ10">
        <v>194.6041592</v>
      </c>
      <c r="AK10">
        <v>194.37422340000001</v>
      </c>
    </row>
    <row r="11" spans="1:37" x14ac:dyDescent="0.25">
      <c r="A11" t="s">
        <v>2236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192.2080684</v>
      </c>
      <c r="H11">
        <v>193.0044091</v>
      </c>
      <c r="I11">
        <v>193.6257593</v>
      </c>
      <c r="J11">
        <v>194.1354809</v>
      </c>
      <c r="K11">
        <v>194.58347749999999</v>
      </c>
      <c r="L11">
        <v>195.0028106</v>
      </c>
      <c r="M11">
        <v>195.41212630000001</v>
      </c>
      <c r="N11">
        <v>195.81987290000001</v>
      </c>
      <c r="O11">
        <v>196.22828430000001</v>
      </c>
      <c r="P11">
        <v>196.63638950000001</v>
      </c>
      <c r="Q11">
        <v>197.04197819999999</v>
      </c>
      <c r="R11">
        <v>197.44272430000001</v>
      </c>
      <c r="S11">
        <v>197.83672580000001</v>
      </c>
      <c r="T11">
        <v>198.2226895</v>
      </c>
      <c r="U11">
        <v>198.59992159999999</v>
      </c>
      <c r="V11">
        <v>198.968234</v>
      </c>
      <c r="W11">
        <v>199.3278258</v>
      </c>
      <c r="X11">
        <v>199.67917120000001</v>
      </c>
      <c r="Y11">
        <v>200.02292610000001</v>
      </c>
      <c r="Z11">
        <v>200.35985690000001</v>
      </c>
      <c r="AA11">
        <v>200.6907874</v>
      </c>
      <c r="AB11">
        <v>201.0165614</v>
      </c>
      <c r="AC11">
        <v>201.33801700000001</v>
      </c>
      <c r="AD11">
        <v>201.65596819999999</v>
      </c>
      <c r="AE11">
        <v>201.971193</v>
      </c>
      <c r="AF11">
        <v>202.28442469999999</v>
      </c>
      <c r="AG11">
        <v>202.5963467</v>
      </c>
      <c r="AH11">
        <v>202.90758840000001</v>
      </c>
      <c r="AI11">
        <v>203.2187237</v>
      </c>
      <c r="AJ11">
        <v>203.5302701</v>
      </c>
      <c r="AK11">
        <v>203.84268839999999</v>
      </c>
    </row>
    <row r="12" spans="1:37" x14ac:dyDescent="0.25">
      <c r="A12" t="s">
        <v>2237</v>
      </c>
      <c r="B12">
        <v>98.04</v>
      </c>
      <c r="C12">
        <v>98.276364540000003</v>
      </c>
      <c r="D12">
        <v>98.505875250000003</v>
      </c>
      <c r="E12">
        <v>98.739175259999996</v>
      </c>
      <c r="F12">
        <v>98.989680379999996</v>
      </c>
      <c r="G12">
        <v>99.269662089999997</v>
      </c>
      <c r="H12">
        <v>99.580784129999998</v>
      </c>
      <c r="I12">
        <v>99.91422584</v>
      </c>
      <c r="J12">
        <v>100.2617882</v>
      </c>
      <c r="K12">
        <v>100.6189621</v>
      </c>
      <c r="L12">
        <v>100.9850031</v>
      </c>
      <c r="M12">
        <v>101.36207210000001</v>
      </c>
      <c r="N12">
        <v>101.7542263</v>
      </c>
      <c r="O12">
        <v>102.1665251</v>
      </c>
      <c r="P12">
        <v>102.6043114</v>
      </c>
      <c r="Q12">
        <v>103.07265820000001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111.1765779</v>
      </c>
      <c r="AH12">
        <v>111.6432417</v>
      </c>
      <c r="AI12">
        <v>112.1047658</v>
      </c>
      <c r="AJ12">
        <v>112.5612155</v>
      </c>
      <c r="AK12">
        <v>113.01266579999999</v>
      </c>
    </row>
    <row r="13" spans="1:37" x14ac:dyDescent="0.25">
      <c r="A13" t="s">
        <v>2238</v>
      </c>
      <c r="B13">
        <v>98.04</v>
      </c>
      <c r="C13">
        <v>98.258013309999995</v>
      </c>
      <c r="D13">
        <v>98.451064329999994</v>
      </c>
      <c r="E13">
        <v>98.632418400000006</v>
      </c>
      <c r="F13">
        <v>98.815565370000002</v>
      </c>
      <c r="G13">
        <v>99.009717039999998</v>
      </c>
      <c r="H13">
        <v>99.219310269999994</v>
      </c>
      <c r="I13">
        <v>99.445099099999993</v>
      </c>
      <c r="J13">
        <v>99.685557560000007</v>
      </c>
      <c r="K13">
        <v>99.938064350000005</v>
      </c>
      <c r="L13">
        <v>100.1997276</v>
      </c>
      <c r="M13">
        <v>100.4678761</v>
      </c>
      <c r="N13">
        <v>100.74029880000001</v>
      </c>
      <c r="O13">
        <v>101.01531679999999</v>
      </c>
      <c r="P13">
        <v>101.2917563</v>
      </c>
      <c r="Q13">
        <v>101.568871</v>
      </c>
      <c r="R13">
        <v>101.8462475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103.5141351</v>
      </c>
      <c r="Y13">
        <v>103.79364769999999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105.7713378</v>
      </c>
      <c r="AG13">
        <v>106.0568662</v>
      </c>
      <c r="AH13">
        <v>106.343068</v>
      </c>
      <c r="AI13">
        <v>106.6299063</v>
      </c>
      <c r="AJ13">
        <v>106.9173428</v>
      </c>
      <c r="AK13">
        <v>107.2053378</v>
      </c>
    </row>
    <row r="14" spans="1:37" x14ac:dyDescent="0.25">
      <c r="A14" t="s">
        <v>2239</v>
      </c>
      <c r="B14">
        <v>58.86</v>
      </c>
      <c r="C14">
        <v>58.991266029999998</v>
      </c>
      <c r="D14">
        <v>59.11537096</v>
      </c>
      <c r="E14">
        <v>59.245096119999999</v>
      </c>
      <c r="F14">
        <v>59.39012529</v>
      </c>
      <c r="G14">
        <v>59.55622769</v>
      </c>
      <c r="H14">
        <v>59.743039330000002</v>
      </c>
      <c r="I14">
        <v>59.94499424</v>
      </c>
      <c r="J14">
        <v>60.156398809999999</v>
      </c>
      <c r="K14">
        <v>60.373291960000003</v>
      </c>
      <c r="L14">
        <v>60.59381716</v>
      </c>
      <c r="M14">
        <v>60.817960560000003</v>
      </c>
      <c r="N14">
        <v>61.04707166</v>
      </c>
      <c r="O14">
        <v>61.283366170000001</v>
      </c>
      <c r="P14">
        <v>61.529496549999998</v>
      </c>
      <c r="Q14">
        <v>61.788215899999997</v>
      </c>
      <c r="R14">
        <v>62.05949159</v>
      </c>
      <c r="S14">
        <v>62.339690470000001</v>
      </c>
      <c r="T14">
        <v>62.624606790000001</v>
      </c>
      <c r="U14">
        <v>62.910651729999998</v>
      </c>
      <c r="V14">
        <v>63.19519425</v>
      </c>
      <c r="W14">
        <v>63.476530429999997</v>
      </c>
      <c r="X14">
        <v>63.753709200000003</v>
      </c>
      <c r="Y14">
        <v>64.026326800000007</v>
      </c>
      <c r="Z14">
        <v>64.294341689999996</v>
      </c>
      <c r="AA14">
        <v>64.557929200000004</v>
      </c>
      <c r="AB14">
        <v>64.817377980000003</v>
      </c>
      <c r="AC14">
        <v>65.073022539999997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66.782558929999993</v>
      </c>
      <c r="AK14">
        <v>67.01869542</v>
      </c>
    </row>
    <row r="15" spans="1:37" x14ac:dyDescent="0.25">
      <c r="A15" t="s">
        <v>2240</v>
      </c>
      <c r="B15">
        <v>58.86</v>
      </c>
      <c r="C15">
        <v>58.983775729999998</v>
      </c>
      <c r="D15">
        <v>59.092436040000003</v>
      </c>
      <c r="E15">
        <v>59.199643539999997</v>
      </c>
      <c r="F15">
        <v>59.315211249999997</v>
      </c>
      <c r="G15">
        <v>59.443796429999999</v>
      </c>
      <c r="H15">
        <v>59.586231730000002</v>
      </c>
      <c r="I15">
        <v>59.741138290000002</v>
      </c>
      <c r="J15">
        <v>59.906143700000001</v>
      </c>
      <c r="K15">
        <v>60.07864687</v>
      </c>
      <c r="L15">
        <v>60.256238070000002</v>
      </c>
      <c r="M15">
        <v>60.436892640000003</v>
      </c>
      <c r="N15">
        <v>60.619028409999999</v>
      </c>
      <c r="O15">
        <v>60.801487639999998</v>
      </c>
      <c r="P15">
        <v>60.98348129</v>
      </c>
      <c r="Q15">
        <v>61.164518229999999</v>
      </c>
      <c r="R15">
        <v>61.344334160000002</v>
      </c>
      <c r="S15">
        <v>61.522828160000003</v>
      </c>
      <c r="T15">
        <v>61.700009039999998</v>
      </c>
      <c r="U15">
        <v>61.87595322</v>
      </c>
      <c r="V15">
        <v>62.050773820000003</v>
      </c>
      <c r="W15">
        <v>62.224599560000001</v>
      </c>
      <c r="X15">
        <v>62.397561430000003</v>
      </c>
      <c r="Y15">
        <v>62.56978514</v>
      </c>
      <c r="Z15">
        <v>62.741387680000003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63.763429019999997</v>
      </c>
      <c r="AG15">
        <v>63.933286279999997</v>
      </c>
      <c r="AH15">
        <v>64.103202010000004</v>
      </c>
      <c r="AI15">
        <v>64.273241760000005</v>
      </c>
      <c r="AJ15">
        <v>64.443467170000005</v>
      </c>
      <c r="AK15">
        <v>64.613935589999997</v>
      </c>
    </row>
    <row r="16" spans="1:37" x14ac:dyDescent="0.25">
      <c r="A16" t="s">
        <v>2241</v>
      </c>
      <c r="B16">
        <v>150.0064491</v>
      </c>
      <c r="C16">
        <v>150.36508380000001</v>
      </c>
      <c r="D16">
        <v>150.72278850000001</v>
      </c>
      <c r="E16">
        <v>151.09835330000001</v>
      </c>
      <c r="F16">
        <v>151.50633690000001</v>
      </c>
      <c r="G16">
        <v>151.9564724</v>
      </c>
      <c r="H16">
        <v>152.44661300000001</v>
      </c>
      <c r="I16">
        <v>152.96332649999999</v>
      </c>
      <c r="J16">
        <v>153.4936314</v>
      </c>
      <c r="K16">
        <v>154.0292116</v>
      </c>
      <c r="L16">
        <v>154.56705690000001</v>
      </c>
      <c r="M16">
        <v>155.10861850000001</v>
      </c>
      <c r="N16">
        <v>155.65852100000001</v>
      </c>
      <c r="O16">
        <v>156.2233123</v>
      </c>
      <c r="P16">
        <v>156.81043349999999</v>
      </c>
      <c r="Q16">
        <v>157.42744139999999</v>
      </c>
      <c r="R16">
        <v>158.07456049999999</v>
      </c>
      <c r="S16">
        <v>158.7425121</v>
      </c>
      <c r="T16">
        <v>159.42046339999999</v>
      </c>
      <c r="U16">
        <v>160.0992621</v>
      </c>
      <c r="V16">
        <v>160.77234720000001</v>
      </c>
      <c r="W16">
        <v>161.4356243</v>
      </c>
      <c r="X16">
        <v>162.0869601</v>
      </c>
      <c r="Y16">
        <v>162.72561930000001</v>
      </c>
      <c r="Z16">
        <v>163.35177759999999</v>
      </c>
      <c r="AA16">
        <v>163.9661524</v>
      </c>
      <c r="AB16">
        <v>164.5697471</v>
      </c>
      <c r="AC16">
        <v>165.16368829999999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168.02791350000001</v>
      </c>
      <c r="AI16">
        <v>168.5870012</v>
      </c>
      <c r="AJ16">
        <v>169.14378249999999</v>
      </c>
      <c r="AK16">
        <v>169.699186</v>
      </c>
    </row>
    <row r="17" spans="1:37" x14ac:dyDescent="0.25">
      <c r="A17" t="s">
        <v>2242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151.6822014</v>
      </c>
      <c r="H17">
        <v>152.0658334</v>
      </c>
      <c r="I17">
        <v>152.47094490000001</v>
      </c>
      <c r="J17">
        <v>152.89305089999999</v>
      </c>
      <c r="K17">
        <v>153.3271992</v>
      </c>
      <c r="L17">
        <v>153.7687507</v>
      </c>
      <c r="M17">
        <v>154.21377530000001</v>
      </c>
      <c r="N17">
        <v>154.65919299999999</v>
      </c>
      <c r="O17">
        <v>155.10276150000001</v>
      </c>
      <c r="P17">
        <v>155.54298120000001</v>
      </c>
      <c r="Q17">
        <v>155.9789629</v>
      </c>
      <c r="R17">
        <v>156.41028919999999</v>
      </c>
      <c r="S17">
        <v>156.83688910000001</v>
      </c>
      <c r="T17">
        <v>157.25892880000001</v>
      </c>
      <c r="U17">
        <v>157.67672640000001</v>
      </c>
      <c r="V17">
        <v>158.0906866</v>
      </c>
      <c r="W17">
        <v>158.50125589999999</v>
      </c>
      <c r="X17">
        <v>158.90889189999999</v>
      </c>
      <c r="Y17">
        <v>159.3140444</v>
      </c>
      <c r="Z17">
        <v>159.7171458</v>
      </c>
      <c r="AA17">
        <v>160.11860530000001</v>
      </c>
      <c r="AB17">
        <v>160.5188077</v>
      </c>
      <c r="AC17">
        <v>160.9181135</v>
      </c>
      <c r="AD17">
        <v>161.31685970000001</v>
      </c>
      <c r="AE17">
        <v>161.71536069999999</v>
      </c>
      <c r="AF17">
        <v>162.1139091</v>
      </c>
      <c r="AG17">
        <v>162.512776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2243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155.76617279999999</v>
      </c>
      <c r="I18">
        <v>156.18646530000001</v>
      </c>
      <c r="J18">
        <v>156.61259190000001</v>
      </c>
      <c r="K18">
        <v>157.04093789999999</v>
      </c>
      <c r="L18">
        <v>157.46927160000001</v>
      </c>
      <c r="M18">
        <v>157.89681179999999</v>
      </c>
      <c r="N18">
        <v>158.32392680000001</v>
      </c>
      <c r="O18">
        <v>158.75168170000001</v>
      </c>
      <c r="P18">
        <v>159.18138260000001</v>
      </c>
      <c r="Q18">
        <v>159.6141958</v>
      </c>
      <c r="R18">
        <v>160.04871410000001</v>
      </c>
      <c r="S18">
        <v>160.48032240000001</v>
      </c>
      <c r="T18">
        <v>160.90388899999999</v>
      </c>
      <c r="U18">
        <v>161.31508869999999</v>
      </c>
      <c r="V18">
        <v>161.71095560000001</v>
      </c>
      <c r="W18">
        <v>162.08994559999999</v>
      </c>
      <c r="X18">
        <v>162.45172529999999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164.59494559999999</v>
      </c>
      <c r="AF18">
        <v>164.86325450000001</v>
      </c>
      <c r="AG18">
        <v>165.12625030000001</v>
      </c>
      <c r="AH18">
        <v>165.38512470000001</v>
      </c>
      <c r="AI18">
        <v>165.64101410000001</v>
      </c>
      <c r="AJ18">
        <v>165.89501250000001</v>
      </c>
      <c r="AK18">
        <v>166.14818220000001</v>
      </c>
    </row>
    <row r="19" spans="1:37" x14ac:dyDescent="0.25">
      <c r="A19" t="s">
        <v>2244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155.65150080000001</v>
      </c>
      <c r="I19">
        <v>156.04563289999999</v>
      </c>
      <c r="J19">
        <v>156.45168630000001</v>
      </c>
      <c r="K19">
        <v>156.8676877</v>
      </c>
      <c r="L19">
        <v>157.29099479999999</v>
      </c>
      <c r="M19">
        <v>157.7188462</v>
      </c>
      <c r="N19">
        <v>158.1487396</v>
      </c>
      <c r="O19">
        <v>158.57863739999999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160.69177139999999</v>
      </c>
      <c r="U19">
        <v>161.10511070000001</v>
      </c>
      <c r="V19">
        <v>161.51571519999999</v>
      </c>
      <c r="W19">
        <v>161.9239297</v>
      </c>
      <c r="X19">
        <v>162.33011490000001</v>
      </c>
      <c r="Y19">
        <v>162.73462620000001</v>
      </c>
      <c r="Z19">
        <v>163.1378019</v>
      </c>
      <c r="AA19">
        <v>163.53995810000001</v>
      </c>
      <c r="AB19">
        <v>163.9413869</v>
      </c>
      <c r="AC19">
        <v>164.3423578</v>
      </c>
      <c r="AD19">
        <v>164.7431187</v>
      </c>
      <c r="AE19">
        <v>165.14389800000001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2245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392.27707450000003</v>
      </c>
      <c r="H20">
        <v>393.58233250000001</v>
      </c>
      <c r="I20">
        <v>394.91428889999997</v>
      </c>
      <c r="J20">
        <v>396.2551977</v>
      </c>
      <c r="K20">
        <v>397.5964664</v>
      </c>
      <c r="L20">
        <v>398.93939219999999</v>
      </c>
      <c r="M20">
        <v>400.29348010000001</v>
      </c>
      <c r="N20">
        <v>401.67400500000002</v>
      </c>
      <c r="O20">
        <v>403.09955209999998</v>
      </c>
      <c r="P20">
        <v>404.58985280000002</v>
      </c>
      <c r="Q20">
        <v>406.16402110000001</v>
      </c>
      <c r="R20">
        <v>407.82150630000001</v>
      </c>
      <c r="S20">
        <v>409.53724010000002</v>
      </c>
      <c r="T20">
        <v>411.28219589999998</v>
      </c>
      <c r="U20">
        <v>413.03142989999998</v>
      </c>
      <c r="V20">
        <v>414.7664876</v>
      </c>
      <c r="W20">
        <v>416.47526340000002</v>
      </c>
      <c r="X20">
        <v>418.15085470000002</v>
      </c>
      <c r="Y20">
        <v>419.7901908</v>
      </c>
      <c r="Z20">
        <v>421.39279679999999</v>
      </c>
      <c r="AA20">
        <v>422.9598226</v>
      </c>
      <c r="AB20">
        <v>424.4933489</v>
      </c>
      <c r="AC20">
        <v>425.99592869999998</v>
      </c>
      <c r="AD20">
        <v>427.47030699999999</v>
      </c>
      <c r="AE20">
        <v>428.91926539999997</v>
      </c>
      <c r="AF20">
        <v>430.34554689999999</v>
      </c>
      <c r="AG20">
        <v>431.75182910000001</v>
      </c>
      <c r="AH20">
        <v>433.14072199999998</v>
      </c>
      <c r="AI20">
        <v>434.51477720000003</v>
      </c>
      <c r="AJ20">
        <v>435.87649820000001</v>
      </c>
      <c r="AK20">
        <v>437.22834849999998</v>
      </c>
    </row>
    <row r="21" spans="1:37" x14ac:dyDescent="0.25">
      <c r="A21" t="s">
        <v>2246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390.48787240000001</v>
      </c>
      <c r="G21">
        <v>391.4804206</v>
      </c>
      <c r="H21">
        <v>392.47094609999999</v>
      </c>
      <c r="I21">
        <v>393.46946129999998</v>
      </c>
      <c r="J21">
        <v>394.4816616</v>
      </c>
      <c r="K21">
        <v>395.50859179999998</v>
      </c>
      <c r="L21">
        <v>396.5478584</v>
      </c>
      <c r="M21">
        <v>397.5952355</v>
      </c>
      <c r="N21">
        <v>398.6460343</v>
      </c>
      <c r="O21">
        <v>399.69601740000002</v>
      </c>
      <c r="P21">
        <v>400.74186859999998</v>
      </c>
      <c r="Q21">
        <v>401.78132849999997</v>
      </c>
      <c r="R21">
        <v>402.8131219</v>
      </c>
      <c r="S21">
        <v>403.83678250000003</v>
      </c>
      <c r="T21">
        <v>404.85244649999999</v>
      </c>
      <c r="U21">
        <v>405.86065919999999</v>
      </c>
      <c r="V21">
        <v>406.86221490000003</v>
      </c>
      <c r="W21">
        <v>407.85803570000002</v>
      </c>
      <c r="X21">
        <v>408.849087</v>
      </c>
      <c r="Y21">
        <v>409.83632299999999</v>
      </c>
      <c r="Z21">
        <v>410.82065549999999</v>
      </c>
      <c r="AA21">
        <v>411.80293719999997</v>
      </c>
      <c r="AB21">
        <v>412.78395599999999</v>
      </c>
      <c r="AC21">
        <v>413.7644343</v>
      </c>
      <c r="AD21">
        <v>414.74503140000002</v>
      </c>
      <c r="AE21">
        <v>415.7263461</v>
      </c>
      <c r="AF21">
        <v>416.7089201</v>
      </c>
      <c r="AG21">
        <v>417.69323939999998</v>
      </c>
      <c r="AH21">
        <v>418.6797363</v>
      </c>
      <c r="AI21">
        <v>419.66879060000002</v>
      </c>
      <c r="AJ21">
        <v>420.66073010000002</v>
      </c>
      <c r="AK21">
        <v>421.65583179999999</v>
      </c>
    </row>
    <row r="22" spans="1:37" x14ac:dyDescent="0.25">
      <c r="A22" t="s">
        <v>2247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327.3249634</v>
      </c>
      <c r="K22">
        <v>328.14859799999999</v>
      </c>
      <c r="L22">
        <v>328.95749060000003</v>
      </c>
      <c r="M22">
        <v>329.74980679999999</v>
      </c>
      <c r="N22">
        <v>330.52486279999999</v>
      </c>
      <c r="O22">
        <v>331.2824756</v>
      </c>
      <c r="P22">
        <v>332.02233100000001</v>
      </c>
      <c r="Q22">
        <v>332.74346450000002</v>
      </c>
      <c r="R22">
        <v>333.44143200000002</v>
      </c>
      <c r="S22">
        <v>334.1082609</v>
      </c>
      <c r="T22">
        <v>334.7363636</v>
      </c>
      <c r="U22">
        <v>335.32008860000002</v>
      </c>
      <c r="V22">
        <v>335.85621209999999</v>
      </c>
      <c r="W22">
        <v>336.34387400000003</v>
      </c>
      <c r="X22">
        <v>336.78422060000003</v>
      </c>
      <c r="Y22">
        <v>337.17993039999999</v>
      </c>
      <c r="Z22">
        <v>337.53473869999999</v>
      </c>
      <c r="AA22">
        <v>337.85302410000003</v>
      </c>
      <c r="AB22">
        <v>338.13948770000002</v>
      </c>
      <c r="AC22">
        <v>338.39892300000002</v>
      </c>
      <c r="AD22">
        <v>338.6360674</v>
      </c>
      <c r="AE22">
        <v>338.85551459999999</v>
      </c>
      <c r="AF22">
        <v>339.06167169999998</v>
      </c>
      <c r="AG22">
        <v>339.25874490000001</v>
      </c>
      <c r="AH22">
        <v>339.45074080000001</v>
      </c>
      <c r="AI22">
        <v>339.64147659999998</v>
      </c>
      <c r="AJ22">
        <v>339.83459210000001</v>
      </c>
      <c r="AK22">
        <v>340.0335609</v>
      </c>
    </row>
    <row r="23" spans="1:37" x14ac:dyDescent="0.25">
      <c r="A23" t="s">
        <v>2248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324.75962349999998</v>
      </c>
      <c r="H23">
        <v>325.601562</v>
      </c>
      <c r="I23">
        <v>326.4604377</v>
      </c>
      <c r="J23">
        <v>327.33429969999997</v>
      </c>
      <c r="K23">
        <v>328.21945460000001</v>
      </c>
      <c r="L23">
        <v>329.11136759999999</v>
      </c>
      <c r="M23">
        <v>330.00545679999999</v>
      </c>
      <c r="N23">
        <v>330.89764819999999</v>
      </c>
      <c r="O23">
        <v>331.78467660000001</v>
      </c>
      <c r="P23">
        <v>332.66418279999999</v>
      </c>
      <c r="Q23">
        <v>333.53466959999997</v>
      </c>
      <c r="R23">
        <v>334.39538290000002</v>
      </c>
      <c r="S23">
        <v>335.24616150000003</v>
      </c>
      <c r="T23">
        <v>336.08728789999998</v>
      </c>
      <c r="U23">
        <v>336.91935530000001</v>
      </c>
      <c r="V23">
        <v>337.74315999999999</v>
      </c>
      <c r="W23">
        <v>338.55961819999999</v>
      </c>
      <c r="X23">
        <v>339.36970480000002</v>
      </c>
      <c r="Y23">
        <v>340.17441200000002</v>
      </c>
      <c r="Z23">
        <v>340.97472019999998</v>
      </c>
      <c r="AA23">
        <v>341.77157990000001</v>
      </c>
      <c r="AB23">
        <v>342.5659005</v>
      </c>
      <c r="AC23">
        <v>343.35854269999999</v>
      </c>
      <c r="AD23">
        <v>344.15031470000002</v>
      </c>
      <c r="AE23">
        <v>344.94196909999999</v>
      </c>
      <c r="AF23">
        <v>345.73420069999997</v>
      </c>
      <c r="AG23">
        <v>346.52764580000002</v>
      </c>
      <c r="AH23">
        <v>347.32288069999998</v>
      </c>
      <c r="AI23">
        <v>348.12042150000002</v>
      </c>
      <c r="AJ23">
        <v>348.92072430000002</v>
      </c>
      <c r="AK23">
        <v>349.72418570000002</v>
      </c>
    </row>
    <row r="24" spans="1:37" x14ac:dyDescent="0.25">
      <c r="A24" t="s">
        <v>2249</v>
      </c>
      <c r="B24">
        <v>612.70000000000005</v>
      </c>
      <c r="C24">
        <v>614.15892250000002</v>
      </c>
      <c r="D24">
        <v>615.58321469999998</v>
      </c>
      <c r="E24">
        <v>617.01746609999998</v>
      </c>
      <c r="F24">
        <v>618.4963123</v>
      </c>
      <c r="G24">
        <v>620.04293459999997</v>
      </c>
      <c r="H24">
        <v>621.66301380000004</v>
      </c>
      <c r="I24">
        <v>623.34585749999997</v>
      </c>
      <c r="J24">
        <v>625.07585119999999</v>
      </c>
      <c r="K24">
        <v>626.83788010000001</v>
      </c>
      <c r="L24">
        <v>628.62020470000004</v>
      </c>
      <c r="M24">
        <v>630.41544820000001</v>
      </c>
      <c r="N24">
        <v>632.22020339999995</v>
      </c>
      <c r="O24">
        <v>634.03387929999997</v>
      </c>
      <c r="P24">
        <v>635.85732570000005</v>
      </c>
      <c r="Q24">
        <v>637.69159339999999</v>
      </c>
      <c r="R24">
        <v>639.530799</v>
      </c>
      <c r="S24">
        <v>641.36030300000004</v>
      </c>
      <c r="T24">
        <v>643.16440620000003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654.47301400000003</v>
      </c>
      <c r="AB24">
        <v>655.90860250000003</v>
      </c>
      <c r="AC24">
        <v>657.31242780000002</v>
      </c>
      <c r="AD24">
        <v>658.68906470000002</v>
      </c>
      <c r="AE24">
        <v>660.04258219999997</v>
      </c>
      <c r="AF24">
        <v>661.37656370000002</v>
      </c>
      <c r="AG24">
        <v>662.69418180000002</v>
      </c>
      <c r="AH24">
        <v>663.99829420000003</v>
      </c>
      <c r="AI24">
        <v>665.29153940000003</v>
      </c>
      <c r="AJ24">
        <v>666.57641850000005</v>
      </c>
      <c r="AK24">
        <v>667.85535789999994</v>
      </c>
    </row>
    <row r="25" spans="1:37" x14ac:dyDescent="0.25">
      <c r="A25" t="s">
        <v>2250</v>
      </c>
      <c r="B25">
        <v>612.70000000000005</v>
      </c>
      <c r="C25">
        <v>614.14214939999999</v>
      </c>
      <c r="D25">
        <v>615.53343140000004</v>
      </c>
      <c r="E25">
        <v>616.92232669999999</v>
      </c>
      <c r="F25">
        <v>618.3466032</v>
      </c>
      <c r="G25">
        <v>619.83050800000001</v>
      </c>
      <c r="H25">
        <v>621.38612209999997</v>
      </c>
      <c r="I25">
        <v>623.01536450000003</v>
      </c>
      <c r="J25">
        <v>624.71245309999995</v>
      </c>
      <c r="K25">
        <v>626.46667179999997</v>
      </c>
      <c r="L25">
        <v>628.2650218</v>
      </c>
      <c r="M25">
        <v>630.09437209999999</v>
      </c>
      <c r="N25">
        <v>631.94292429999996</v>
      </c>
      <c r="O25">
        <v>633.80100619999996</v>
      </c>
      <c r="P25">
        <v>635.66132149999999</v>
      </c>
      <c r="Q25">
        <v>637.51881960000003</v>
      </c>
      <c r="R25">
        <v>639.37035609999998</v>
      </c>
      <c r="S25">
        <v>641.21427749999998</v>
      </c>
      <c r="T25">
        <v>643.05000099999995</v>
      </c>
      <c r="U25">
        <v>644.87764760000005</v>
      </c>
      <c r="V25">
        <v>646.69775279999999</v>
      </c>
      <c r="W25">
        <v>648.51105789999997</v>
      </c>
      <c r="X25">
        <v>650.31837150000001</v>
      </c>
      <c r="Y25">
        <v>652.12048770000001</v>
      </c>
      <c r="Z25">
        <v>653.91814639999996</v>
      </c>
      <c r="AA25">
        <v>655.71201970000004</v>
      </c>
      <c r="AB25">
        <v>657.50271629999997</v>
      </c>
      <c r="AC25">
        <v>659.29079230000002</v>
      </c>
      <c r="AD25">
        <v>661.07676560000004</v>
      </c>
      <c r="AE25">
        <v>662.86112760000003</v>
      </c>
      <c r="AF25">
        <v>664.64435249999997</v>
      </c>
      <c r="AG25">
        <v>666.42690289999996</v>
      </c>
      <c r="AH25">
        <v>668.20923070000003</v>
      </c>
      <c r="AI25">
        <v>669.99177659999998</v>
      </c>
      <c r="AJ25">
        <v>671.77496680000002</v>
      </c>
      <c r="AK25">
        <v>673.55920930000002</v>
      </c>
    </row>
    <row r="26" spans="1:37" x14ac:dyDescent="0.25">
      <c r="A26" t="s">
        <v>2251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1789.6384579999999</v>
      </c>
      <c r="I26">
        <v>1793.152261</v>
      </c>
      <c r="J26">
        <v>1796.938091</v>
      </c>
      <c r="K26">
        <v>1800.9645829999999</v>
      </c>
      <c r="L26">
        <v>1805.2002</v>
      </c>
      <c r="M26">
        <v>1809.619357</v>
      </c>
      <c r="N26">
        <v>1814.2040870000001</v>
      </c>
      <c r="O26">
        <v>1818.9429970000001</v>
      </c>
      <c r="P26">
        <v>1823.8289420000001</v>
      </c>
      <c r="Q26">
        <v>1828.856489</v>
      </c>
      <c r="R26">
        <v>1834.001726</v>
      </c>
      <c r="S26">
        <v>1839.2213830000001</v>
      </c>
      <c r="T26">
        <v>1844.477989</v>
      </c>
      <c r="U26">
        <v>1849.7455050000001</v>
      </c>
      <c r="V26">
        <v>1855.009188</v>
      </c>
      <c r="W26">
        <v>1860.2640060000001</v>
      </c>
      <c r="X26">
        <v>1865.5125290000001</v>
      </c>
      <c r="Y26">
        <v>1870.762567</v>
      </c>
      <c r="Z26">
        <v>1876.024821</v>
      </c>
      <c r="AA26">
        <v>1881.3107930000001</v>
      </c>
      <c r="AB26">
        <v>1886.6311619999999</v>
      </c>
      <c r="AC26">
        <v>1891.9946649999999</v>
      </c>
      <c r="AD26">
        <v>1897.407479</v>
      </c>
      <c r="AE26">
        <v>1902.8729989999999</v>
      </c>
      <c r="AF26">
        <v>1908.3919249999999</v>
      </c>
      <c r="AG26">
        <v>1913.9625229999999</v>
      </c>
      <c r="AH26">
        <v>1919.5809979999999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2252</v>
      </c>
      <c r="B27">
        <v>1770.63</v>
      </c>
      <c r="C27">
        <v>1774.450231</v>
      </c>
      <c r="D27">
        <v>1777.6282160000001</v>
      </c>
      <c r="E27">
        <v>1780.413196</v>
      </c>
      <c r="F27">
        <v>1783.1055710000001</v>
      </c>
      <c r="G27">
        <v>1785.937617</v>
      </c>
      <c r="H27">
        <v>1789.0448799999999</v>
      </c>
      <c r="I27">
        <v>1792.4805710000001</v>
      </c>
      <c r="J27">
        <v>1796.242385</v>
      </c>
      <c r="K27">
        <v>1800.297358</v>
      </c>
      <c r="L27">
        <v>1804.6000790000001</v>
      </c>
      <c r="M27">
        <v>1809.1041319999999</v>
      </c>
      <c r="N27">
        <v>1813.768255</v>
      </c>
      <c r="O27">
        <v>1818.5589219999999</v>
      </c>
      <c r="P27">
        <v>1823.450748</v>
      </c>
      <c r="Q27">
        <v>1828.425702</v>
      </c>
      <c r="R27">
        <v>1833.4717820000001</v>
      </c>
      <c r="S27">
        <v>1838.581559</v>
      </c>
      <c r="T27">
        <v>1843.7508009999999</v>
      </c>
      <c r="U27">
        <v>1848.9773029999999</v>
      </c>
      <c r="V27">
        <v>1854.2599560000001</v>
      </c>
      <c r="W27">
        <v>1859.5980509999999</v>
      </c>
      <c r="X27">
        <v>1864.9908069999999</v>
      </c>
      <c r="Y27">
        <v>1870.4370779999999</v>
      </c>
      <c r="Z27">
        <v>1875.9352019999999</v>
      </c>
      <c r="AA27">
        <v>1881.4829560000001</v>
      </c>
      <c r="AB27">
        <v>1887.077583</v>
      </c>
      <c r="AC27">
        <v>1892.715856</v>
      </c>
      <c r="AD27">
        <v>1898.394168</v>
      </c>
      <c r="AE27">
        <v>1904.1086290000001</v>
      </c>
      <c r="AF27">
        <v>1909.855157</v>
      </c>
      <c r="AG27">
        <v>1915.6295600000001</v>
      </c>
      <c r="AH27">
        <v>1921.427606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2253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32.456686490000003</v>
      </c>
      <c r="G28">
        <v>32.4969702</v>
      </c>
      <c r="H28">
        <v>32.549483619999997</v>
      </c>
      <c r="I28">
        <v>32.612283390000002</v>
      </c>
      <c r="J28">
        <v>32.68251841</v>
      </c>
      <c r="K28">
        <v>32.757856250000003</v>
      </c>
      <c r="L28">
        <v>32.837010460000002</v>
      </c>
      <c r="M28">
        <v>32.919790630000001</v>
      </c>
      <c r="N28">
        <v>33.006929049999997</v>
      </c>
      <c r="O28">
        <v>33.099832149999997</v>
      </c>
      <c r="P28">
        <v>33.200334239999997</v>
      </c>
      <c r="Q28">
        <v>33.310487909999999</v>
      </c>
      <c r="R28">
        <v>33.430864479999997</v>
      </c>
      <c r="S28">
        <v>33.559850570000002</v>
      </c>
      <c r="T28">
        <v>33.695172450000001</v>
      </c>
      <c r="U28">
        <v>33.834634719999997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34.546141599999999</v>
      </c>
      <c r="AA28">
        <v>34.686784729999999</v>
      </c>
      <c r="AB28">
        <v>34.826394180000001</v>
      </c>
      <c r="AC28">
        <v>34.964955430000003</v>
      </c>
      <c r="AD28">
        <v>35.102478480000002</v>
      </c>
      <c r="AE28">
        <v>35.238982020000002</v>
      </c>
      <c r="AF28">
        <v>35.374486179999998</v>
      </c>
      <c r="AG28">
        <v>35.509010519999997</v>
      </c>
      <c r="AH28">
        <v>35.642575049999998</v>
      </c>
      <c r="AI28">
        <v>35.775202470000004</v>
      </c>
      <c r="AJ28">
        <v>35.906920550000002</v>
      </c>
      <c r="AK28">
        <v>36.037764039999999</v>
      </c>
    </row>
    <row r="29" spans="1:37" x14ac:dyDescent="0.25">
      <c r="A29" t="s">
        <v>2254</v>
      </c>
      <c r="B29">
        <v>32.31221129</v>
      </c>
      <c r="C29">
        <v>32.361877980000003</v>
      </c>
      <c r="D29">
        <v>32.386342749999997</v>
      </c>
      <c r="E29">
        <v>32.398809370000002</v>
      </c>
      <c r="F29">
        <v>32.40968488</v>
      </c>
      <c r="G29">
        <v>32.424933799999998</v>
      </c>
      <c r="H29">
        <v>32.44704772</v>
      </c>
      <c r="I29">
        <v>32.47635537</v>
      </c>
      <c r="J29">
        <v>32.512047070000001</v>
      </c>
      <c r="K29">
        <v>32.552845169999998</v>
      </c>
      <c r="L29">
        <v>32.597396770000003</v>
      </c>
      <c r="M29">
        <v>32.644478309999997</v>
      </c>
      <c r="N29">
        <v>32.693082910000001</v>
      </c>
      <c r="O29">
        <v>32.742439150000003</v>
      </c>
      <c r="P29">
        <v>32.791993419999997</v>
      </c>
      <c r="Q29">
        <v>32.841375249999999</v>
      </c>
      <c r="R29">
        <v>32.890357899999998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33.308617210000001</v>
      </c>
      <c r="AB29">
        <v>33.353281299999999</v>
      </c>
      <c r="AC29">
        <v>33.397758789999997</v>
      </c>
      <c r="AD29">
        <v>33.442092160000001</v>
      </c>
      <c r="AE29">
        <v>33.486322340000001</v>
      </c>
      <c r="AF29">
        <v>33.530489070000002</v>
      </c>
      <c r="AG29">
        <v>33.57463095</v>
      </c>
      <c r="AH29">
        <v>33.618785420000002</v>
      </c>
      <c r="AI29">
        <v>33.662988589999998</v>
      </c>
      <c r="AJ29">
        <v>33.707274949999999</v>
      </c>
      <c r="AK29">
        <v>33.751677129999997</v>
      </c>
    </row>
    <row r="30" spans="1:37" x14ac:dyDescent="0.25">
      <c r="A30" t="s">
        <v>2255</v>
      </c>
      <c r="B30">
        <v>759.65778869999997</v>
      </c>
      <c r="C30">
        <v>760.89740300000005</v>
      </c>
      <c r="D30">
        <v>761.62849789999996</v>
      </c>
      <c r="E30">
        <v>762.15810710000005</v>
      </c>
      <c r="F30">
        <v>762.73114759999999</v>
      </c>
      <c r="G30">
        <v>763.49882209999998</v>
      </c>
      <c r="H30">
        <v>764.51009750000003</v>
      </c>
      <c r="I30">
        <v>765.73390619999998</v>
      </c>
      <c r="J30">
        <v>767.1172014</v>
      </c>
      <c r="K30">
        <v>768.61294650000002</v>
      </c>
      <c r="L30">
        <v>770.19132720000005</v>
      </c>
      <c r="M30">
        <v>771.84171230000004</v>
      </c>
      <c r="N30">
        <v>773.57006639999997</v>
      </c>
      <c r="O30">
        <v>775.39468069999998</v>
      </c>
      <c r="P30">
        <v>777.3417796</v>
      </c>
      <c r="Q30">
        <v>779.44172379999998</v>
      </c>
      <c r="R30">
        <v>781.70068100000003</v>
      </c>
      <c r="S30">
        <v>784.08914349999998</v>
      </c>
      <c r="T30">
        <v>786.56740349999995</v>
      </c>
      <c r="U30">
        <v>789.09780679999994</v>
      </c>
      <c r="V30">
        <v>791.64995260000001</v>
      </c>
      <c r="W30">
        <v>794.20191829999999</v>
      </c>
      <c r="X30">
        <v>796.73942450000004</v>
      </c>
      <c r="Y30">
        <v>799.25417149999998</v>
      </c>
      <c r="Z30">
        <v>801.74207049999995</v>
      </c>
      <c r="AA30">
        <v>804.20172500000001</v>
      </c>
      <c r="AB30">
        <v>806.63328409999997</v>
      </c>
      <c r="AC30">
        <v>809.03766380000002</v>
      </c>
      <c r="AD30">
        <v>811.41607290000002</v>
      </c>
      <c r="AE30">
        <v>813.76976609999997</v>
      </c>
      <c r="AF30">
        <v>816.09995000000004</v>
      </c>
      <c r="AG30">
        <v>818.40778269999998</v>
      </c>
      <c r="AH30">
        <v>820.69441949999998</v>
      </c>
      <c r="AI30">
        <v>822.96107500000005</v>
      </c>
      <c r="AJ30">
        <v>825.20908059999999</v>
      </c>
      <c r="AK30">
        <v>827.43992639999999</v>
      </c>
    </row>
    <row r="31" spans="1:37" x14ac:dyDescent="0.25">
      <c r="A31" t="s">
        <v>2256</v>
      </c>
      <c r="B31">
        <v>759.65778869999997</v>
      </c>
      <c r="C31">
        <v>760.82642310000006</v>
      </c>
      <c r="D31">
        <v>761.40417109999999</v>
      </c>
      <c r="E31">
        <v>761.7010464</v>
      </c>
      <c r="F31">
        <v>761.9605507</v>
      </c>
      <c r="G31">
        <v>762.32161699999995</v>
      </c>
      <c r="H31">
        <v>762.84189739999999</v>
      </c>
      <c r="I31">
        <v>763.52876719999995</v>
      </c>
      <c r="J31">
        <v>764.36337140000001</v>
      </c>
      <c r="K31">
        <v>765.31622770000001</v>
      </c>
      <c r="L31">
        <v>766.35627150000005</v>
      </c>
      <c r="M31">
        <v>767.45551</v>
      </c>
      <c r="N31">
        <v>768.59096690000001</v>
      </c>
      <c r="O31">
        <v>769.74507070000004</v>
      </c>
      <c r="P31">
        <v>770.90521879999994</v>
      </c>
      <c r="Q31">
        <v>772.06297050000001</v>
      </c>
      <c r="R31">
        <v>773.21313970000006</v>
      </c>
      <c r="S31">
        <v>774.35294280000005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779.88681099999997</v>
      </c>
      <c r="Y31">
        <v>780.96599119999996</v>
      </c>
      <c r="Z31">
        <v>782.03842699999996</v>
      </c>
      <c r="AA31">
        <v>783.10512059999996</v>
      </c>
      <c r="AB31">
        <v>784.16701460000002</v>
      </c>
      <c r="AC31">
        <v>785.22500190000005</v>
      </c>
      <c r="AD31">
        <v>786.2799387</v>
      </c>
      <c r="AE31">
        <v>787.33265610000001</v>
      </c>
      <c r="AF31">
        <v>788.38396780000005</v>
      </c>
      <c r="AG31">
        <v>789.43467269999996</v>
      </c>
      <c r="AH31">
        <v>790.48555429999999</v>
      </c>
      <c r="AI31">
        <v>791.53737639999997</v>
      </c>
      <c r="AJ31">
        <v>792.59087709999994</v>
      </c>
      <c r="AK31">
        <v>793.64676169999996</v>
      </c>
    </row>
    <row r="32" spans="1:37" x14ac:dyDescent="0.25">
      <c r="A32" t="s">
        <v>2257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15.00196708</v>
      </c>
      <c r="N32">
        <v>15.059145109999999</v>
      </c>
      <c r="O32">
        <v>15.118332430000001</v>
      </c>
      <c r="P32">
        <v>15.180677169999999</v>
      </c>
      <c r="Q32">
        <v>15.247302899999999</v>
      </c>
      <c r="R32">
        <v>15.31823966</v>
      </c>
      <c r="S32">
        <v>15.392170610000001</v>
      </c>
      <c r="T32">
        <v>15.467603159999999</v>
      </c>
      <c r="U32">
        <v>15.54328606</v>
      </c>
      <c r="V32">
        <v>15.61830393</v>
      </c>
      <c r="W32">
        <v>15.6920506</v>
      </c>
      <c r="X32">
        <v>15.764167240000001</v>
      </c>
      <c r="Y32">
        <v>15.83447891</v>
      </c>
      <c r="Z32">
        <v>15.902940640000001</v>
      </c>
      <c r="AA32">
        <v>15.969595290000001</v>
      </c>
      <c r="AB32">
        <v>16.03454228</v>
      </c>
      <c r="AC32">
        <v>16.097915390000001</v>
      </c>
      <c r="AD32">
        <v>16.159867510000002</v>
      </c>
      <c r="AE32">
        <v>16.22056066</v>
      </c>
      <c r="AF32">
        <v>16.280159789999999</v>
      </c>
      <c r="AG32">
        <v>16.338829050000001</v>
      </c>
      <c r="AH32">
        <v>16.39672989</v>
      </c>
      <c r="AI32">
        <v>16.454020020000002</v>
      </c>
      <c r="AJ32">
        <v>16.510853050000001</v>
      </c>
      <c r="AK32">
        <v>16.567378420000001</v>
      </c>
    </row>
    <row r="33" spans="1:37" x14ac:dyDescent="0.25">
      <c r="A33" t="s">
        <v>2258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14.863283409999999</v>
      </c>
      <c r="N33">
        <v>14.90363314</v>
      </c>
      <c r="O33">
        <v>14.943525940000001</v>
      </c>
      <c r="P33">
        <v>14.98286272</v>
      </c>
      <c r="Q33">
        <v>15.02158696</v>
      </c>
      <c r="R33">
        <v>15.059677369999999</v>
      </c>
      <c r="S33">
        <v>15.097140209999999</v>
      </c>
      <c r="T33">
        <v>15.134002410000001</v>
      </c>
      <c r="U33">
        <v>15.170305470000001</v>
      </c>
      <c r="V33">
        <v>15.206100729999999</v>
      </c>
      <c r="W33">
        <v>15.24144547</v>
      </c>
      <c r="X33">
        <v>15.27640008</v>
      </c>
      <c r="Y33">
        <v>15.311025900000001</v>
      </c>
      <c r="Z33">
        <v>15.34538367</v>
      </c>
      <c r="AA33">
        <v>15.379532429999999</v>
      </c>
      <c r="AB33">
        <v>15.413528729999999</v>
      </c>
      <c r="AC33">
        <v>15.44742606</v>
      </c>
      <c r="AD33">
        <v>15.481274490000001</v>
      </c>
      <c r="AE33">
        <v>15.51512041</v>
      </c>
      <c r="AF33">
        <v>15.54900636</v>
      </c>
      <c r="AG33">
        <v>15.582970899999999</v>
      </c>
      <c r="AH33">
        <v>15.6170486</v>
      </c>
      <c r="AI33">
        <v>15.65127002</v>
      </c>
      <c r="AJ33">
        <v>15.68566178</v>
      </c>
      <c r="AK33">
        <v>15.72024667</v>
      </c>
    </row>
    <row r="34" spans="1:37" x14ac:dyDescent="0.25">
      <c r="A34" t="s">
        <v>2259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63.70976916</v>
      </c>
      <c r="G34">
        <v>64.06962858</v>
      </c>
      <c r="H34">
        <v>64.45277265</v>
      </c>
      <c r="I34">
        <v>64.848696649999994</v>
      </c>
      <c r="J34">
        <v>65.251457349999995</v>
      </c>
      <c r="K34">
        <v>65.659905820000006</v>
      </c>
      <c r="L34">
        <v>66.075913979999996</v>
      </c>
      <c r="M34">
        <v>66.502864439999996</v>
      </c>
      <c r="N34">
        <v>66.944720840000002</v>
      </c>
      <c r="O34">
        <v>67.405496929999998</v>
      </c>
      <c r="P34">
        <v>67.888917919999997</v>
      </c>
      <c r="Q34">
        <v>68.398155840000001</v>
      </c>
      <c r="R34">
        <v>68.929876070000006</v>
      </c>
      <c r="S34">
        <v>69.474808890000006</v>
      </c>
      <c r="T34">
        <v>70.025606920000001</v>
      </c>
      <c r="U34">
        <v>70.577675409999998</v>
      </c>
      <c r="V34">
        <v>71.128326299999998</v>
      </c>
      <c r="W34">
        <v>71.675914180000007</v>
      </c>
      <c r="X34">
        <v>72.219300459999999</v>
      </c>
      <c r="Y34">
        <v>72.757597029999999</v>
      </c>
      <c r="Z34">
        <v>73.290072210000005</v>
      </c>
      <c r="AA34">
        <v>73.81612853</v>
      </c>
      <c r="AB34">
        <v>74.335301740000006</v>
      </c>
      <c r="AC34">
        <v>74.847259649999998</v>
      </c>
      <c r="AD34">
        <v>75.35179522</v>
      </c>
      <c r="AE34">
        <v>75.848815110000004</v>
      </c>
      <c r="AF34">
        <v>76.338326429999995</v>
      </c>
      <c r="AG34">
        <v>76.820423790000007</v>
      </c>
      <c r="AH34">
        <v>77.295277870000007</v>
      </c>
      <c r="AI34">
        <v>77.763125630000005</v>
      </c>
      <c r="AJ34">
        <v>78.224262039999999</v>
      </c>
      <c r="AK34">
        <v>78.679032759999998</v>
      </c>
    </row>
    <row r="35" spans="1:37" x14ac:dyDescent="0.25">
      <c r="A35" t="s">
        <v>2260</v>
      </c>
      <c r="B35">
        <v>62.59</v>
      </c>
      <c r="C35">
        <v>62.784841530000001</v>
      </c>
      <c r="D35">
        <v>63.012921919999997</v>
      </c>
      <c r="E35">
        <v>63.262281539999996</v>
      </c>
      <c r="F35">
        <v>63.524583720000003</v>
      </c>
      <c r="G35">
        <v>63.795755210000003</v>
      </c>
      <c r="H35">
        <v>64.074285489999994</v>
      </c>
      <c r="I35">
        <v>64.35964491</v>
      </c>
      <c r="J35">
        <v>64.651384210000003</v>
      </c>
      <c r="K35">
        <v>64.948810649999999</v>
      </c>
      <c r="L35">
        <v>65.250994570000003</v>
      </c>
      <c r="M35">
        <v>65.556904750000001</v>
      </c>
      <c r="N35">
        <v>65.86555319</v>
      </c>
      <c r="O35">
        <v>66.176098120000006</v>
      </c>
      <c r="P35">
        <v>66.487893639999996</v>
      </c>
      <c r="Q35">
        <v>66.800495549999994</v>
      </c>
      <c r="R35">
        <v>67.113638649999999</v>
      </c>
      <c r="S35">
        <v>67.427200189999994</v>
      </c>
      <c r="T35">
        <v>67.741160170000001</v>
      </c>
      <c r="U35">
        <v>68.055565340000001</v>
      </c>
      <c r="V35">
        <v>68.370500269999994</v>
      </c>
      <c r="W35">
        <v>68.686066530000005</v>
      </c>
      <c r="X35">
        <v>69.002369150000007</v>
      </c>
      <c r="Y35">
        <v>69.319509289999999</v>
      </c>
      <c r="Z35">
        <v>69.637581109999999</v>
      </c>
      <c r="AA35">
        <v>69.956671720000003</v>
      </c>
      <c r="AB35">
        <v>70.276862550000004</v>
      </c>
      <c r="AC35">
        <v>70.598231499999997</v>
      </c>
      <c r="AD35">
        <v>70.92085496</v>
      </c>
      <c r="AE35">
        <v>71.244809509999996</v>
      </c>
      <c r="AF35">
        <v>71.570172900000003</v>
      </c>
      <c r="AG35">
        <v>71.897024560000006</v>
      </c>
      <c r="AH35">
        <v>72.225445440000001</v>
      </c>
      <c r="AI35">
        <v>72.555517460000004</v>
      </c>
      <c r="AJ35">
        <v>72.887322699999999</v>
      </c>
      <c r="AK35">
        <v>73.220942429999994</v>
      </c>
    </row>
    <row r="36" spans="1:37" x14ac:dyDescent="0.25">
      <c r="A36" t="s">
        <v>2261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14997.047350000001</v>
      </c>
      <c r="I36">
        <v>15038.35565</v>
      </c>
      <c r="J36">
        <v>15082.352279999999</v>
      </c>
      <c r="K36">
        <v>15128.268889999999</v>
      </c>
      <c r="L36">
        <v>15175.55969</v>
      </c>
      <c r="M36">
        <v>15223.91856</v>
      </c>
      <c r="N36">
        <v>15273.23828</v>
      </c>
      <c r="O36">
        <v>15323.549129999999</v>
      </c>
      <c r="P36">
        <v>15374.95882</v>
      </c>
      <c r="Q36">
        <v>15427.60412</v>
      </c>
      <c r="R36">
        <v>15481.382610000001</v>
      </c>
      <c r="S36">
        <v>15535.862150000001</v>
      </c>
      <c r="T36">
        <v>15590.549419999999</v>
      </c>
      <c r="U36">
        <v>15645.020850000001</v>
      </c>
      <c r="V36">
        <v>15698.97748</v>
      </c>
      <c r="W36">
        <v>15752.25116</v>
      </c>
      <c r="X36">
        <v>15804.782440000001</v>
      </c>
      <c r="Y36">
        <v>15856.58757</v>
      </c>
      <c r="Z36">
        <v>15907.72579</v>
      </c>
      <c r="AA36">
        <v>15958.27318</v>
      </c>
      <c r="AB36">
        <v>16008.30466</v>
      </c>
      <c r="AC36">
        <v>16057.88358</v>
      </c>
      <c r="AD36">
        <v>16107.05737</v>
      </c>
      <c r="AE36">
        <v>16155.85735</v>
      </c>
      <c r="AF36">
        <v>16204.301009999999</v>
      </c>
      <c r="AG36">
        <v>16252.395479999999</v>
      </c>
      <c r="AH36">
        <v>16300.141369999999</v>
      </c>
      <c r="AI36">
        <v>16347.536249999999</v>
      </c>
      <c r="AJ36">
        <v>16394.577499999999</v>
      </c>
      <c r="AK36">
        <v>16441.26441</v>
      </c>
    </row>
    <row r="37" spans="1:37" x14ac:dyDescent="0.25">
      <c r="A37" t="s">
        <v>2262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14949.86276</v>
      </c>
      <c r="H37">
        <v>14984.083780000001</v>
      </c>
      <c r="I37">
        <v>15021.7817</v>
      </c>
      <c r="J37">
        <v>15062.41289</v>
      </c>
      <c r="K37">
        <v>15105.35151</v>
      </c>
      <c r="L37">
        <v>15150</v>
      </c>
      <c r="M37">
        <v>15195.84303</v>
      </c>
      <c r="N37">
        <v>15242.466759999999</v>
      </c>
      <c r="O37">
        <v>15289.558499999999</v>
      </c>
      <c r="P37">
        <v>15336.895630000001</v>
      </c>
      <c r="Q37">
        <v>15384.32963</v>
      </c>
      <c r="R37">
        <v>15431.769050000001</v>
      </c>
      <c r="S37">
        <v>15479.16381</v>
      </c>
      <c r="T37">
        <v>15526.491550000001</v>
      </c>
      <c r="U37">
        <v>15573.74667</v>
      </c>
      <c r="V37">
        <v>15620.93238</v>
      </c>
      <c r="W37">
        <v>15668.05528</v>
      </c>
      <c r="X37">
        <v>15715.12211</v>
      </c>
      <c r="Y37">
        <v>15762.13805</v>
      </c>
      <c r="Z37">
        <v>15809.10627</v>
      </c>
      <c r="AA37">
        <v>15856.02802</v>
      </c>
      <c r="AB37">
        <v>15902.903249999999</v>
      </c>
      <c r="AC37">
        <v>15949.731299999999</v>
      </c>
      <c r="AD37">
        <v>15996.51154</v>
      </c>
      <c r="AE37">
        <v>16043.24395</v>
      </c>
      <c r="AF37">
        <v>16089.9295</v>
      </c>
      <c r="AG37">
        <v>16136.570369999999</v>
      </c>
      <c r="AH37">
        <v>16183.169980000001</v>
      </c>
      <c r="AI37">
        <v>16229.732969999999</v>
      </c>
      <c r="AJ37">
        <v>16276.26505</v>
      </c>
      <c r="AK37">
        <v>16322.77277</v>
      </c>
    </row>
    <row r="38" spans="1:37" x14ac:dyDescent="0.25">
      <c r="A38" t="s">
        <v>2263</v>
      </c>
      <c r="B38">
        <v>6473.47</v>
      </c>
      <c r="C38">
        <v>6488.6406749999996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6583.1955369999996</v>
      </c>
      <c r="J38">
        <v>6600.9464909999997</v>
      </c>
      <c r="K38">
        <v>6619.0057070000003</v>
      </c>
      <c r="L38">
        <v>6637.2969069999999</v>
      </c>
      <c r="M38">
        <v>6655.7922859999999</v>
      </c>
      <c r="N38">
        <v>6674.501045</v>
      </c>
      <c r="O38">
        <v>6693.4566329999998</v>
      </c>
      <c r="P38">
        <v>6712.7056130000001</v>
      </c>
      <c r="Q38">
        <v>6732.2991959999999</v>
      </c>
      <c r="R38">
        <v>6752.2291509999995</v>
      </c>
      <c r="S38">
        <v>6772.4092330000003</v>
      </c>
      <c r="T38">
        <v>6792.7424019999999</v>
      </c>
      <c r="U38">
        <v>6813.1479900000004</v>
      </c>
      <c r="V38">
        <v>6833.5696349999998</v>
      </c>
      <c r="W38">
        <v>6853.9741110000004</v>
      </c>
      <c r="X38">
        <v>6874.3463670000001</v>
      </c>
      <c r="Y38">
        <v>6894.6837269999996</v>
      </c>
      <c r="Z38">
        <v>6914.9907300000004</v>
      </c>
      <c r="AA38">
        <v>6935.2751840000001</v>
      </c>
      <c r="AB38">
        <v>6955.5455089999996</v>
      </c>
      <c r="AC38">
        <v>6975.809158</v>
      </c>
      <c r="AD38">
        <v>6996.0718809999998</v>
      </c>
      <c r="AE38">
        <v>7016.3375550000001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7117.7480089999999</v>
      </c>
      <c r="AK38">
        <v>7138.0439749999996</v>
      </c>
    </row>
    <row r="39" spans="1:37" x14ac:dyDescent="0.25">
      <c r="A39" t="s">
        <v>2264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6546.7512820000002</v>
      </c>
      <c r="H39">
        <v>6562.5270289999999</v>
      </c>
      <c r="I39">
        <v>6578.8579520000003</v>
      </c>
      <c r="J39">
        <v>6595.649703</v>
      </c>
      <c r="K39">
        <v>6612.8006340000002</v>
      </c>
      <c r="L39">
        <v>6630.2182119999998</v>
      </c>
      <c r="M39">
        <v>6647.8258619999997</v>
      </c>
      <c r="N39">
        <v>6665.5643840000002</v>
      </c>
      <c r="O39">
        <v>6683.390609</v>
      </c>
      <c r="P39">
        <v>6701.2748469999997</v>
      </c>
      <c r="Q39">
        <v>6719.1979760000004</v>
      </c>
      <c r="R39">
        <v>6737.1486919999998</v>
      </c>
      <c r="S39">
        <v>6755.1211700000003</v>
      </c>
      <c r="T39">
        <v>6773.1131450000003</v>
      </c>
      <c r="U39">
        <v>6791.1244580000002</v>
      </c>
      <c r="V39">
        <v>6809.1560300000001</v>
      </c>
      <c r="W39">
        <v>6827.2091890000002</v>
      </c>
      <c r="X39">
        <v>6845.2852700000003</v>
      </c>
      <c r="Y39">
        <v>6863.3854229999997</v>
      </c>
      <c r="Z39">
        <v>6881.5105430000003</v>
      </c>
      <c r="AA39">
        <v>6899.6612960000002</v>
      </c>
      <c r="AB39">
        <v>6917.8381769999996</v>
      </c>
      <c r="AC39">
        <v>6936.0415869999997</v>
      </c>
      <c r="AD39">
        <v>6954.2719120000002</v>
      </c>
      <c r="AE39">
        <v>6972.5295749999996</v>
      </c>
      <c r="AF39">
        <v>6990.8150830000004</v>
      </c>
      <c r="AG39">
        <v>7009.1290440000002</v>
      </c>
      <c r="AH39">
        <v>7027.4721740000005</v>
      </c>
      <c r="AI39">
        <v>7045.8452870000001</v>
      </c>
      <c r="AJ39">
        <v>7064.24928</v>
      </c>
      <c r="AK39">
        <v>7082.6851079999997</v>
      </c>
    </row>
    <row r="40" spans="1:37" x14ac:dyDescent="0.25">
      <c r="A40" t="s">
        <v>2265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15.61278328</v>
      </c>
      <c r="H40">
        <v>15.64572837</v>
      </c>
      <c r="I40">
        <v>15.68218982</v>
      </c>
      <c r="J40">
        <v>15.72110327</v>
      </c>
      <c r="K40">
        <v>15.76163938</v>
      </c>
      <c r="L40">
        <v>15.80330126</v>
      </c>
      <c r="M40">
        <v>15.84590227</v>
      </c>
      <c r="N40">
        <v>15.88950015</v>
      </c>
      <c r="O40">
        <v>15.934324610000001</v>
      </c>
      <c r="P40">
        <v>15.98071461</v>
      </c>
      <c r="Q40">
        <v>16.02906969</v>
      </c>
      <c r="R40">
        <v>16.07928656</v>
      </c>
      <c r="S40">
        <v>16.13062429</v>
      </c>
      <c r="T40">
        <v>16.18232295</v>
      </c>
      <c r="U40">
        <v>16.233786259999999</v>
      </c>
      <c r="V40">
        <v>16.284610489999999</v>
      </c>
      <c r="W40">
        <v>16.334559039999998</v>
      </c>
      <c r="X40">
        <v>16.383520969999999</v>
      </c>
      <c r="Y40">
        <v>16.431469969999998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16.824871519999999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2266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15.600270460000001</v>
      </c>
      <c r="H41">
        <v>15.629019830000001</v>
      </c>
      <c r="I41">
        <v>15.661518239999999</v>
      </c>
      <c r="J41">
        <v>15.697114600000001</v>
      </c>
      <c r="K41">
        <v>15.73504363</v>
      </c>
      <c r="L41">
        <v>15.77458264</v>
      </c>
      <c r="M41">
        <v>15.815122779999999</v>
      </c>
      <c r="N41">
        <v>15.85618992</v>
      </c>
      <c r="O41">
        <v>15.89743884</v>
      </c>
      <c r="P41">
        <v>15.93863479</v>
      </c>
      <c r="Q41">
        <v>15.979631599999999</v>
      </c>
      <c r="R41">
        <v>16.020349899999999</v>
      </c>
      <c r="S41">
        <v>16.060758010000001</v>
      </c>
      <c r="T41">
        <v>16.100856230000002</v>
      </c>
      <c r="U41">
        <v>16.140664560000001</v>
      </c>
      <c r="V41">
        <v>16.18021388</v>
      </c>
      <c r="W41">
        <v>16.21953976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2267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8.9633114000000003</v>
      </c>
      <c r="I42">
        <v>8.9425543330000004</v>
      </c>
      <c r="J42">
        <v>8.9258554130000007</v>
      </c>
      <c r="K42">
        <v>8.9120441160000006</v>
      </c>
      <c r="L42">
        <v>8.8999993400000008</v>
      </c>
      <c r="M42">
        <v>8.8887186800000002</v>
      </c>
      <c r="N42">
        <v>8.8773356470000007</v>
      </c>
      <c r="O42">
        <v>8.8651164770000008</v>
      </c>
      <c r="P42">
        <v>8.8514526440000001</v>
      </c>
      <c r="Q42">
        <v>8.8358552499999998</v>
      </c>
      <c r="R42">
        <v>8.8180650860000007</v>
      </c>
      <c r="S42">
        <v>8.7981266659999999</v>
      </c>
      <c r="T42">
        <v>8.7762858250000004</v>
      </c>
      <c r="U42">
        <v>8.752844756</v>
      </c>
      <c r="V42">
        <v>8.7280776000000007</v>
      </c>
      <c r="W42">
        <v>8.7021965229999996</v>
      </c>
      <c r="X42">
        <v>8.6753463790000005</v>
      </c>
      <c r="Y42">
        <v>8.6476121020000001</v>
      </c>
      <c r="Z42">
        <v>8.6190299699999997</v>
      </c>
      <c r="AA42">
        <v>8.589598617</v>
      </c>
      <c r="AB42">
        <v>8.5592883579999999</v>
      </c>
      <c r="AC42">
        <v>8.528048686</v>
      </c>
      <c r="AD42">
        <v>8.4958142799999994</v>
      </c>
      <c r="AE42">
        <v>8.4625100280000005</v>
      </c>
      <c r="AF42">
        <v>8.4280554589999994</v>
      </c>
      <c r="AG42">
        <v>8.3923689130000003</v>
      </c>
      <c r="AH42">
        <v>8.3553716599999994</v>
      </c>
      <c r="AI42">
        <v>8.3169920519999998</v>
      </c>
      <c r="AJ42">
        <v>8.2771697730000007</v>
      </c>
      <c r="AK42">
        <v>8.2358601250000003</v>
      </c>
    </row>
    <row r="43" spans="1:37" x14ac:dyDescent="0.25">
      <c r="A43" t="s">
        <v>2268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9.0322357740000001</v>
      </c>
      <c r="G43">
        <v>9.0074677340000004</v>
      </c>
      <c r="H43">
        <v>8.9900225799999998</v>
      </c>
      <c r="I43">
        <v>8.9790160379999993</v>
      </c>
      <c r="J43">
        <v>8.9729747890000002</v>
      </c>
      <c r="K43">
        <v>8.970423985</v>
      </c>
      <c r="L43">
        <v>8.9701356249999993</v>
      </c>
      <c r="M43">
        <v>8.9711894640000001</v>
      </c>
      <c r="N43">
        <v>8.9729462560000002</v>
      </c>
      <c r="O43">
        <v>8.9749898399999992</v>
      </c>
      <c r="P43">
        <v>8.9770657830000005</v>
      </c>
      <c r="Q43">
        <v>8.9790319309999997</v>
      </c>
      <c r="R43">
        <v>8.9808196450000004</v>
      </c>
      <c r="S43">
        <v>8.9824058010000005</v>
      </c>
      <c r="T43">
        <v>8.9837938200000007</v>
      </c>
      <c r="U43">
        <v>8.9850014340000008</v>
      </c>
      <c r="V43">
        <v>8.9860531530000003</v>
      </c>
      <c r="W43">
        <v>8.9869758780000009</v>
      </c>
      <c r="X43">
        <v>8.9877965260000003</v>
      </c>
      <c r="Y43">
        <v>8.9885408959999999</v>
      </c>
      <c r="Z43">
        <v>8.9892332390000007</v>
      </c>
      <c r="AA43">
        <v>8.9898962040000008</v>
      </c>
      <c r="AB43">
        <v>8.9905509529999996</v>
      </c>
      <c r="AC43">
        <v>8.9912173180000003</v>
      </c>
      <c r="AD43">
        <v>8.991913942</v>
      </c>
      <c r="AE43">
        <v>8.9926583699999991</v>
      </c>
      <c r="AF43">
        <v>8.9934670840000006</v>
      </c>
      <c r="AG43">
        <v>8.9943555049999997</v>
      </c>
      <c r="AH43">
        <v>8.9953379610000006</v>
      </c>
      <c r="AI43">
        <v>8.9964276250000008</v>
      </c>
      <c r="AJ43">
        <v>8.9976364580000006</v>
      </c>
      <c r="AK43">
        <v>8.9989751469999995</v>
      </c>
    </row>
    <row r="44" spans="1:37" x14ac:dyDescent="0.25">
      <c r="A44" t="s">
        <v>2269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6.5651839860000001</v>
      </c>
      <c r="H44">
        <v>6.5529647320000004</v>
      </c>
      <c r="I44">
        <v>6.548188187</v>
      </c>
      <c r="J44">
        <v>6.5487803769999999</v>
      </c>
      <c r="K44">
        <v>6.5529440909999996</v>
      </c>
      <c r="L44">
        <v>6.559397723</v>
      </c>
      <c r="M44">
        <v>6.5673876939999998</v>
      </c>
      <c r="N44">
        <v>6.5766028639999998</v>
      </c>
      <c r="O44">
        <v>6.587060395</v>
      </c>
      <c r="P44">
        <v>6.5989965909999997</v>
      </c>
      <c r="Q44">
        <v>6.612775311</v>
      </c>
      <c r="R44">
        <v>6.6284719240000003</v>
      </c>
      <c r="S44">
        <v>6.645708655</v>
      </c>
      <c r="T44">
        <v>6.6639802389999998</v>
      </c>
      <c r="U44">
        <v>6.6827712979999996</v>
      </c>
      <c r="V44">
        <v>6.7016034869999999</v>
      </c>
      <c r="W44">
        <v>6.7200517089999998</v>
      </c>
      <c r="X44">
        <v>6.7377444410000003</v>
      </c>
      <c r="Y44">
        <v>6.754356005</v>
      </c>
      <c r="Z44">
        <v>6.769595732</v>
      </c>
      <c r="AA44">
        <v>6.7831970950000002</v>
      </c>
      <c r="AB44">
        <v>6.7949085780000003</v>
      </c>
      <c r="AC44">
        <v>6.8044870570000002</v>
      </c>
      <c r="AD44">
        <v>6.8116938920000001</v>
      </c>
      <c r="AE44">
        <v>6.8162935229999997</v>
      </c>
      <c r="AF44">
        <v>6.8180542519999996</v>
      </c>
      <c r="AG44">
        <v>6.8167508080000001</v>
      </c>
      <c r="AH44">
        <v>6.8121683490000002</v>
      </c>
      <c r="AI44">
        <v>6.8041075390000003</v>
      </c>
      <c r="AJ44">
        <v>6.7923904300000002</v>
      </c>
      <c r="AK44">
        <v>6.7768668380000001</v>
      </c>
    </row>
    <row r="45" spans="1:37" x14ac:dyDescent="0.25">
      <c r="A45" t="s">
        <v>2270</v>
      </c>
      <c r="B45">
        <v>6.6935508700000002</v>
      </c>
      <c r="C45">
        <v>6.6809962250000003</v>
      </c>
      <c r="D45">
        <v>6.6487942589999998</v>
      </c>
      <c r="E45">
        <v>6.611209552</v>
      </c>
      <c r="F45">
        <v>6.5774313040000001</v>
      </c>
      <c r="G45">
        <v>6.5512647470000003</v>
      </c>
      <c r="H45">
        <v>6.5331022970000001</v>
      </c>
      <c r="I45">
        <v>6.5217250299999998</v>
      </c>
      <c r="J45">
        <v>6.515437253</v>
      </c>
      <c r="K45">
        <v>6.5126404090000003</v>
      </c>
      <c r="L45">
        <v>6.5120538210000003</v>
      </c>
      <c r="M45">
        <v>6.5127483960000001</v>
      </c>
      <c r="N45">
        <v>6.5140984819999996</v>
      </c>
      <c r="O45">
        <v>6.515709609</v>
      </c>
      <c r="P45">
        <v>6.5173494600000001</v>
      </c>
      <c r="Q45">
        <v>6.5188923369999996</v>
      </c>
      <c r="R45">
        <v>6.5202786379999997</v>
      </c>
      <c r="S45">
        <v>6.5214872809999997</v>
      </c>
      <c r="T45">
        <v>6.5225180439999999</v>
      </c>
      <c r="U45">
        <v>6.5233808629999999</v>
      </c>
      <c r="V45">
        <v>6.524089751</v>
      </c>
      <c r="W45">
        <v>6.5246596139999999</v>
      </c>
      <c r="X45">
        <v>6.5251047819999997</v>
      </c>
      <c r="Y45">
        <v>6.5254385140000002</v>
      </c>
      <c r="Z45">
        <v>6.5256729819999997</v>
      </c>
      <c r="AA45">
        <v>6.525819469</v>
      </c>
      <c r="AB45">
        <v>6.5258886189999998</v>
      </c>
      <c r="AC45">
        <v>6.5258906449999996</v>
      </c>
      <c r="AD45">
        <v>6.525835496</v>
      </c>
      <c r="AE45">
        <v>6.5257329339999997</v>
      </c>
      <c r="AF45">
        <v>6.5255925609999998</v>
      </c>
      <c r="AG45">
        <v>6.5254237909999997</v>
      </c>
      <c r="AH45">
        <v>6.5252357889999999</v>
      </c>
      <c r="AI45">
        <v>6.5250373880000003</v>
      </c>
      <c r="AJ45">
        <v>6.5248369999999998</v>
      </c>
      <c r="AK45">
        <v>6.524642525</v>
      </c>
    </row>
    <row r="46" spans="1:37" x14ac:dyDescent="0.25">
      <c r="A46" t="s">
        <v>2271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1.4486931700000001</v>
      </c>
      <c r="H46">
        <v>1.441552408</v>
      </c>
      <c r="I46">
        <v>1.434416312</v>
      </c>
      <c r="J46">
        <v>1.4275811089999999</v>
      </c>
      <c r="K46">
        <v>1.4211121440000001</v>
      </c>
      <c r="L46">
        <v>1.414896342</v>
      </c>
      <c r="M46">
        <v>1.4087106700000001</v>
      </c>
      <c r="N46">
        <v>1.40228073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1.3586454560000001</v>
      </c>
      <c r="T46">
        <v>1.34776026</v>
      </c>
      <c r="U46">
        <v>1.336693916</v>
      </c>
      <c r="V46">
        <v>1.325623969</v>
      </c>
      <c r="W46">
        <v>1.314667883</v>
      </c>
      <c r="X46">
        <v>1.3038983049999999</v>
      </c>
      <c r="Y46">
        <v>1.2933574889999999</v>
      </c>
      <c r="Z46">
        <v>1.2830684649999999</v>
      </c>
      <c r="AA46">
        <v>1.273042835</v>
      </c>
      <c r="AB46">
        <v>1.263285843</v>
      </c>
      <c r="AC46">
        <v>1.2537994720000001</v>
      </c>
      <c r="AD46">
        <v>1.244584245</v>
      </c>
      <c r="AE46">
        <v>1.235640201</v>
      </c>
      <c r="AF46">
        <v>1.22696739</v>
      </c>
      <c r="AG46">
        <v>1.218566072</v>
      </c>
      <c r="AH46">
        <v>1.2104367789999999</v>
      </c>
      <c r="AI46">
        <v>1.202580277</v>
      </c>
      <c r="AJ46">
        <v>1.194997498</v>
      </c>
      <c r="AK46">
        <v>1.1876894419999999</v>
      </c>
    </row>
    <row r="47" spans="1:37" x14ac:dyDescent="0.25">
      <c r="A47" t="s">
        <v>2272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1.4585203309999999</v>
      </c>
      <c r="J47">
        <v>1.4573557210000001</v>
      </c>
      <c r="K47">
        <v>1.4564959449999999</v>
      </c>
      <c r="L47">
        <v>1.45587497</v>
      </c>
      <c r="M47">
        <v>1.4554335350000001</v>
      </c>
      <c r="N47">
        <v>1.4551240990000001</v>
      </c>
      <c r="O47">
        <v>1.454911015</v>
      </c>
      <c r="P47">
        <v>1.4547686310000001</v>
      </c>
      <c r="Q47">
        <v>1.4546798190000001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1.4571316480000001</v>
      </c>
      <c r="AF47">
        <v>1.4575683020000001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2273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0.71137409549999997</v>
      </c>
      <c r="H48">
        <v>0.70787201970000002</v>
      </c>
      <c r="I48">
        <v>0.70437348020000001</v>
      </c>
      <c r="J48">
        <v>0.70102439780000003</v>
      </c>
      <c r="K48">
        <v>0.69785698060000001</v>
      </c>
      <c r="L48">
        <v>0.69481565229999998</v>
      </c>
      <c r="M48">
        <v>0.69179082069999998</v>
      </c>
      <c r="N48">
        <v>0.68864772880000003</v>
      </c>
      <c r="O48">
        <v>0.68524793080000002</v>
      </c>
      <c r="P48">
        <v>0.68146422699999998</v>
      </c>
      <c r="Q48">
        <v>0.67719041810000002</v>
      </c>
      <c r="R48">
        <v>0.67243412489999999</v>
      </c>
      <c r="S48">
        <v>0.66732694100000001</v>
      </c>
      <c r="T48">
        <v>0.6620157606</v>
      </c>
      <c r="U48">
        <v>0.65662190610000004</v>
      </c>
      <c r="V48">
        <v>0.6512326544</v>
      </c>
      <c r="W48">
        <v>0.64590546989999997</v>
      </c>
      <c r="X48">
        <v>0.64067560069999996</v>
      </c>
      <c r="Y48">
        <v>0.63556323130000003</v>
      </c>
      <c r="Z48">
        <v>0.63057902249999997</v>
      </c>
      <c r="AA48">
        <v>0.62572798169999999</v>
      </c>
      <c r="AB48">
        <v>0.62101198209999997</v>
      </c>
      <c r="AC48">
        <v>0.61643131210000002</v>
      </c>
      <c r="AD48">
        <v>0.61198557639999995</v>
      </c>
      <c r="AE48">
        <v>0.60767418829999997</v>
      </c>
      <c r="AF48">
        <v>0.60349661629999996</v>
      </c>
      <c r="AG48">
        <v>0.59945248740000001</v>
      </c>
      <c r="AH48">
        <v>0.59554161139999995</v>
      </c>
      <c r="AI48">
        <v>0.59176396330000003</v>
      </c>
      <c r="AJ48">
        <v>0.58811964169999997</v>
      </c>
      <c r="AK48">
        <v>0.58460881779999996</v>
      </c>
    </row>
    <row r="49" spans="1:37" x14ac:dyDescent="0.25">
      <c r="A49" t="s">
        <v>2274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0.71790082499999996</v>
      </c>
      <c r="H49">
        <v>0.71696311130000001</v>
      </c>
      <c r="I49">
        <v>0.71621361520000004</v>
      </c>
      <c r="J49">
        <v>0.71564056109999996</v>
      </c>
      <c r="K49">
        <v>0.7152151162</v>
      </c>
      <c r="L49">
        <v>0.71490532549999997</v>
      </c>
      <c r="M49">
        <v>0.71468270270000001</v>
      </c>
      <c r="N49">
        <v>0.71452454669999999</v>
      </c>
      <c r="O49">
        <v>0.71441394830000005</v>
      </c>
      <c r="P49">
        <v>0.71433881050000003</v>
      </c>
      <c r="Q49">
        <v>0.71429110240000004</v>
      </c>
      <c r="R49">
        <v>0.71426585220000005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0.71441428269999996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0.71500429369999996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0.71718946839999997</v>
      </c>
    </row>
    <row r="50" spans="1:37" x14ac:dyDescent="0.25">
      <c r="A50" t="s">
        <v>2275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58.072022939999997</v>
      </c>
      <c r="I50">
        <v>57.787450839999998</v>
      </c>
      <c r="J50">
        <v>57.518132270000002</v>
      </c>
      <c r="K50">
        <v>57.263322989999999</v>
      </c>
      <c r="L50">
        <v>57.02231578</v>
      </c>
      <c r="M50">
        <v>56.794226559999998</v>
      </c>
      <c r="N50">
        <v>56.577845369999999</v>
      </c>
      <c r="O50">
        <v>56.37160257</v>
      </c>
      <c r="P50">
        <v>56.173605760000001</v>
      </c>
      <c r="Q50">
        <v>55.981708349999998</v>
      </c>
      <c r="R50">
        <v>55.791803819999998</v>
      </c>
      <c r="S50">
        <v>55.599261079999998</v>
      </c>
      <c r="T50">
        <v>55.402294990000001</v>
      </c>
      <c r="U50">
        <v>55.201521550000002</v>
      </c>
      <c r="V50">
        <v>54.998884590000003</v>
      </c>
      <c r="W50">
        <v>54.796830489999998</v>
      </c>
      <c r="X50">
        <v>54.59784346</v>
      </c>
      <c r="Y50">
        <v>54.404247230000003</v>
      </c>
      <c r="Z50">
        <v>54.218160109999999</v>
      </c>
      <c r="AA50">
        <v>54.041521179999997</v>
      </c>
      <c r="AB50">
        <v>53.876138789999999</v>
      </c>
      <c r="AC50">
        <v>53.723736729999999</v>
      </c>
      <c r="AD50">
        <v>53.585987899999999</v>
      </c>
      <c r="AE50">
        <v>53.464532910000003</v>
      </c>
      <c r="AF50">
        <v>53.360984250000001</v>
      </c>
      <c r="AG50">
        <v>53.276917840000003</v>
      </c>
      <c r="AH50">
        <v>53.213854079999997</v>
      </c>
      <c r="AI50">
        <v>53.173230340000003</v>
      </c>
      <c r="AJ50">
        <v>53.156366519999999</v>
      </c>
      <c r="AK50">
        <v>53.16442576</v>
      </c>
    </row>
    <row r="51" spans="1:37" x14ac:dyDescent="0.25">
      <c r="A51" t="s">
        <v>2276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58.633918850000001</v>
      </c>
      <c r="G51">
        <v>58.305810479999998</v>
      </c>
      <c r="H51">
        <v>57.994900360000003</v>
      </c>
      <c r="I51">
        <v>57.707422770000001</v>
      </c>
      <c r="J51">
        <v>57.443200599999997</v>
      </c>
      <c r="K51">
        <v>57.199277410000001</v>
      </c>
      <c r="L51">
        <v>56.971969549999997</v>
      </c>
      <c r="M51">
        <v>56.757860229999999</v>
      </c>
      <c r="N51">
        <v>56.55417448</v>
      </c>
      <c r="O51">
        <v>56.358833879999999</v>
      </c>
      <c r="P51">
        <v>56.170370149999997</v>
      </c>
      <c r="Q51">
        <v>55.987794239999999</v>
      </c>
      <c r="R51">
        <v>55.810467860000003</v>
      </c>
      <c r="S51">
        <v>55.637965899999998</v>
      </c>
      <c r="T51">
        <v>55.470013399999999</v>
      </c>
      <c r="U51">
        <v>55.306451269999997</v>
      </c>
      <c r="V51">
        <v>55.14719685</v>
      </c>
      <c r="W51">
        <v>54.992211589999997</v>
      </c>
      <c r="X51">
        <v>54.8414784</v>
      </c>
      <c r="Y51">
        <v>54.69498755</v>
      </c>
      <c r="Z51">
        <v>54.55272883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25">
      <c r="A52" t="s">
        <v>2277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1.2048968760000001</v>
      </c>
      <c r="J52">
        <v>1.2133085910000001</v>
      </c>
      <c r="K52">
        <v>1.222209179</v>
      </c>
      <c r="L52">
        <v>1.2315733369999999</v>
      </c>
      <c r="M52">
        <v>1.2416794579999999</v>
      </c>
      <c r="N52">
        <v>1.253014735</v>
      </c>
      <c r="O52">
        <v>1.266184065</v>
      </c>
      <c r="P52">
        <v>1.2818342739999999</v>
      </c>
      <c r="Q52">
        <v>1.3005961500000001</v>
      </c>
      <c r="R52">
        <v>1.322559998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1.603594143</v>
      </c>
      <c r="AC52">
        <v>1.6322475240000001</v>
      </c>
      <c r="AD52">
        <v>1.6608433069999999</v>
      </c>
      <c r="AE52">
        <v>1.689433108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2278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1.1561510960000001</v>
      </c>
      <c r="I53">
        <v>1.1505635890000001</v>
      </c>
      <c r="J53">
        <v>1.145450063</v>
      </c>
      <c r="K53">
        <v>1.140741665</v>
      </c>
      <c r="L53">
        <v>1.136356446</v>
      </c>
      <c r="M53">
        <v>1.132219833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1.1136821109999999</v>
      </c>
      <c r="S53">
        <v>1.110250207</v>
      </c>
      <c r="T53">
        <v>1.106890637</v>
      </c>
      <c r="U53">
        <v>1.103601695</v>
      </c>
      <c r="V53">
        <v>1.1003831749999999</v>
      </c>
      <c r="W53">
        <v>1.097235696</v>
      </c>
      <c r="X53">
        <v>1.0941602459999999</v>
      </c>
      <c r="Y53">
        <v>1.091157908</v>
      </c>
      <c r="Z53">
        <v>1.0882297059999999</v>
      </c>
      <c r="AA53">
        <v>1.0853765440000001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1.0722584079999999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2279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1.716740573</v>
      </c>
      <c r="I54">
        <v>1.7200851740000001</v>
      </c>
      <c r="J54">
        <v>1.7243977450000001</v>
      </c>
      <c r="K54">
        <v>1.7293282619999999</v>
      </c>
      <c r="L54">
        <v>1.7348622840000001</v>
      </c>
      <c r="M54">
        <v>1.7412593590000001</v>
      </c>
      <c r="N54">
        <v>1.748969145</v>
      </c>
      <c r="O54">
        <v>1.7585533470000001</v>
      </c>
      <c r="P54">
        <v>1.7706221289999999</v>
      </c>
      <c r="Q54">
        <v>1.785785714</v>
      </c>
      <c r="R54">
        <v>1.8041282300000001</v>
      </c>
      <c r="S54">
        <v>1.8250798450000001</v>
      </c>
      <c r="T54">
        <v>1.847968952</v>
      </c>
      <c r="U54">
        <v>1.872216211</v>
      </c>
      <c r="V54">
        <v>1.89738166</v>
      </c>
      <c r="W54">
        <v>1.9231563220000001</v>
      </c>
      <c r="X54">
        <v>1.9493371509999999</v>
      </c>
      <c r="Y54">
        <v>1.975800829</v>
      </c>
      <c r="Z54">
        <v>2.0024817810000002</v>
      </c>
      <c r="AA54">
        <v>2.0293554469999999</v>
      </c>
      <c r="AB54">
        <v>2.0564262640000002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2.1960598450000002</v>
      </c>
      <c r="AH54">
        <v>2.2252409210000001</v>
      </c>
      <c r="AI54">
        <v>2.254995686</v>
      </c>
      <c r="AJ54">
        <v>2.285392527</v>
      </c>
      <c r="AK54">
        <v>2.3164964669999999</v>
      </c>
    </row>
    <row r="55" spans="1:37" x14ac:dyDescent="0.25">
      <c r="A55" t="s">
        <v>2280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1.689052899</v>
      </c>
      <c r="H55">
        <v>1.6802723989999999</v>
      </c>
      <c r="I55">
        <v>1.6721991869999999</v>
      </c>
      <c r="J55">
        <v>1.6648119189999999</v>
      </c>
      <c r="K55">
        <v>1.6580093629999999</v>
      </c>
      <c r="L55">
        <v>1.6516715820000001</v>
      </c>
      <c r="M55">
        <v>1.645689551</v>
      </c>
      <c r="N55">
        <v>1.639976127</v>
      </c>
      <c r="O55">
        <v>1.634467281</v>
      </c>
      <c r="P55">
        <v>1.6291190129999999</v>
      </c>
      <c r="Q55">
        <v>1.6239029359999999</v>
      </c>
      <c r="R55">
        <v>1.61880198</v>
      </c>
      <c r="S55">
        <v>1.6138059499999999</v>
      </c>
      <c r="T55">
        <v>1.6089093670000001</v>
      </c>
      <c r="U55">
        <v>1.6041102519999999</v>
      </c>
      <c r="V55">
        <v>1.599408846</v>
      </c>
      <c r="W55">
        <v>1.594806605</v>
      </c>
      <c r="X55">
        <v>1.590305517</v>
      </c>
      <c r="Y55">
        <v>1.58590768</v>
      </c>
      <c r="Z55">
        <v>1.581615083</v>
      </c>
      <c r="AA55">
        <v>1.5774295039999999</v>
      </c>
      <c r="AB55">
        <v>1.5733524759999999</v>
      </c>
      <c r="AC55">
        <v>1.569385297</v>
      </c>
      <c r="AD55">
        <v>1.5655290449999999</v>
      </c>
      <c r="AE55">
        <v>1.5617846040000001</v>
      </c>
      <c r="AF55">
        <v>1.5581526779999999</v>
      </c>
      <c r="AG55">
        <v>1.5546338070000001</v>
      </c>
      <c r="AH55">
        <v>1.5512283710000001</v>
      </c>
      <c r="AI55">
        <v>1.5479365970000001</v>
      </c>
      <c r="AJ55">
        <v>1.54475856</v>
      </c>
      <c r="AK55">
        <v>1.5416941820000001</v>
      </c>
    </row>
    <row r="56" spans="1:37" x14ac:dyDescent="0.25">
      <c r="A56" t="s">
        <v>2281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1.6014865140000001</v>
      </c>
      <c r="H56">
        <v>1.6207507560000001</v>
      </c>
      <c r="I56">
        <v>1.6431569619999999</v>
      </c>
      <c r="J56">
        <v>1.667047739</v>
      </c>
      <c r="K56">
        <v>1.691537987</v>
      </c>
      <c r="L56">
        <v>1.716565312</v>
      </c>
      <c r="M56">
        <v>1.742726072</v>
      </c>
      <c r="N56">
        <v>1.7710528889999999</v>
      </c>
      <c r="O56">
        <v>1.8028033109999999</v>
      </c>
      <c r="P56">
        <v>1.8392870299999999</v>
      </c>
      <c r="Q56">
        <v>1.8817383590000001</v>
      </c>
      <c r="R56">
        <v>1.9302840050000001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2.27916279</v>
      </c>
      <c r="Y56">
        <v>2.338444279</v>
      </c>
      <c r="Z56">
        <v>2.397011789</v>
      </c>
      <c r="AA56">
        <v>2.4548146609999999</v>
      </c>
      <c r="AB56">
        <v>2.511873563</v>
      </c>
      <c r="AC56">
        <v>2.5682566690000002</v>
      </c>
      <c r="AD56">
        <v>2.6240630660000002</v>
      </c>
      <c r="AE56">
        <v>2.6794114840000001</v>
      </c>
      <c r="AF56">
        <v>2.7344326780000001</v>
      </c>
      <c r="AG56">
        <v>2.789264127</v>
      </c>
      <c r="AH56">
        <v>2.8440460559999998</v>
      </c>
      <c r="AI56">
        <v>2.8989180939999999</v>
      </c>
      <c r="AJ56">
        <v>2.9540161039999999</v>
      </c>
      <c r="AK56">
        <v>3.0094689400000001</v>
      </c>
    </row>
    <row r="57" spans="1:37" x14ac:dyDescent="0.25">
      <c r="A57" t="s">
        <v>2282</v>
      </c>
      <c r="B57">
        <v>1.5649011639999999</v>
      </c>
      <c r="C57">
        <v>1.5640844620000001</v>
      </c>
      <c r="D57">
        <v>1.5590078039999999</v>
      </c>
      <c r="E57">
        <v>1.5514402730000001</v>
      </c>
      <c r="F57">
        <v>1.542923542</v>
      </c>
      <c r="G57">
        <v>1.5344237190000001</v>
      </c>
      <c r="H57">
        <v>1.5264140589999999</v>
      </c>
      <c r="I57">
        <v>1.519048502</v>
      </c>
      <c r="J57">
        <v>1.512309288</v>
      </c>
      <c r="K57">
        <v>1.506105059</v>
      </c>
      <c r="L57">
        <v>1.500326761</v>
      </c>
      <c r="M57">
        <v>1.4948749139999999</v>
      </c>
      <c r="N57">
        <v>1.4896698559999999</v>
      </c>
      <c r="O57">
        <v>1.484653032</v>
      </c>
      <c r="P57">
        <v>1.479784258</v>
      </c>
      <c r="Q57">
        <v>1.475037693</v>
      </c>
      <c r="R57">
        <v>1.4703978950000001</v>
      </c>
      <c r="S57">
        <v>1.4658557249999999</v>
      </c>
      <c r="T57">
        <v>1.4614063289999999</v>
      </c>
      <c r="U57">
        <v>1.4570479999999999</v>
      </c>
      <c r="V57">
        <v>1.452780993</v>
      </c>
      <c r="W57">
        <v>1.448606606</v>
      </c>
      <c r="X57">
        <v>1.444526559</v>
      </c>
      <c r="Y57">
        <v>1.4405426290000001</v>
      </c>
      <c r="Z57">
        <v>1.436656452</v>
      </c>
      <c r="AA57">
        <v>1.4328694449999999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2283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3.024840245</v>
      </c>
      <c r="H58">
        <v>3.0106818340000001</v>
      </c>
      <c r="I58">
        <v>2.9977542229999998</v>
      </c>
      <c r="J58">
        <v>2.9859339650000001</v>
      </c>
      <c r="K58">
        <v>2.9750842130000001</v>
      </c>
      <c r="L58">
        <v>2.965110723</v>
      </c>
      <c r="M58">
        <v>2.9559698679999999</v>
      </c>
      <c r="N58">
        <v>2.947660629</v>
      </c>
      <c r="O58">
        <v>2.9402121430000001</v>
      </c>
      <c r="P58">
        <v>2.9336713649999999</v>
      </c>
      <c r="Q58">
        <v>2.9280929549999999</v>
      </c>
      <c r="R58">
        <v>2.9233836200000001</v>
      </c>
      <c r="S58">
        <v>2.9193112210000001</v>
      </c>
      <c r="T58">
        <v>2.915701173</v>
      </c>
      <c r="U58">
        <v>2.9124595850000001</v>
      </c>
      <c r="V58">
        <v>2.9095549489999999</v>
      </c>
      <c r="W58">
        <v>2.90699716</v>
      </c>
      <c r="X58">
        <v>2.9048223279999998</v>
      </c>
      <c r="Y58">
        <v>2.9030831990000001</v>
      </c>
      <c r="Z58">
        <v>2.9018434320000002</v>
      </c>
      <c r="AA58">
        <v>2.901174159</v>
      </c>
      <c r="AB58">
        <v>2.901151864</v>
      </c>
      <c r="AC58">
        <v>2.9018569539999999</v>
      </c>
      <c r="AD58">
        <v>2.9033726529999999</v>
      </c>
      <c r="AE58">
        <v>2.9057840009999998</v>
      </c>
      <c r="AF58">
        <v>2.909176779</v>
      </c>
      <c r="AG58">
        <v>2.913636254</v>
      </c>
      <c r="AH58">
        <v>2.9192456760000001</v>
      </c>
      <c r="AI58">
        <v>2.9260844800000001</v>
      </c>
      <c r="AJ58">
        <v>2.9342262080000001</v>
      </c>
      <c r="AK58">
        <v>2.943736157</v>
      </c>
    </row>
    <row r="59" spans="1:37" x14ac:dyDescent="0.25">
      <c r="A59" t="s">
        <v>2284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3.0171869679999999</v>
      </c>
      <c r="H59">
        <v>3.0004497049999999</v>
      </c>
      <c r="I59">
        <v>2.9849879320000001</v>
      </c>
      <c r="J59">
        <v>2.9708253870000001</v>
      </c>
      <c r="K59">
        <v>2.957818294</v>
      </c>
      <c r="L59">
        <v>2.9457690909999998</v>
      </c>
      <c r="M59">
        <v>2.934485928</v>
      </c>
      <c r="N59">
        <v>2.9238083480000001</v>
      </c>
      <c r="O59">
        <v>2.9136139160000001</v>
      </c>
      <c r="P59">
        <v>2.903815356</v>
      </c>
      <c r="Q59">
        <v>2.8943538609999999</v>
      </c>
      <c r="R59">
        <v>2.8851917280000001</v>
      </c>
      <c r="S59">
        <v>2.8763042209999998</v>
      </c>
      <c r="T59">
        <v>2.8676753910000001</v>
      </c>
      <c r="U59">
        <v>2.859295607</v>
      </c>
      <c r="V59">
        <v>2.851159107</v>
      </c>
      <c r="W59">
        <v>2.843262137</v>
      </c>
      <c r="X59">
        <v>2.835601746</v>
      </c>
      <c r="Y59">
        <v>2.828175114</v>
      </c>
      <c r="Z59">
        <v>2.820979243</v>
      </c>
      <c r="AA59">
        <v>2.814010884</v>
      </c>
      <c r="AB59">
        <v>2.8072665639999999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2285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1.0897988670000001</v>
      </c>
      <c r="J60">
        <v>1.085501297</v>
      </c>
      <c r="K60">
        <v>1.0815565060000001</v>
      </c>
      <c r="L60">
        <v>1.077930243</v>
      </c>
      <c r="M60">
        <v>1.0746066480000001</v>
      </c>
      <c r="N60">
        <v>1.0715853369999999</v>
      </c>
      <c r="O60">
        <v>1.0688768799999999</v>
      </c>
      <c r="P60">
        <v>1.066498317</v>
      </c>
      <c r="Q60">
        <v>1.064469487</v>
      </c>
      <c r="R60">
        <v>1.0627564490000001</v>
      </c>
      <c r="S60">
        <v>1.0612748110000001</v>
      </c>
      <c r="T60">
        <v>1.059961121</v>
      </c>
      <c r="U60">
        <v>1.0587812700000001</v>
      </c>
      <c r="V60">
        <v>1.0577238289999999</v>
      </c>
      <c r="W60">
        <v>1.0567924200000001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1.0549138739999999</v>
      </c>
      <c r="AD60">
        <v>1.0554631999999999</v>
      </c>
      <c r="AE60">
        <v>1.0563381199999999</v>
      </c>
      <c r="AF60">
        <v>1.0575698179999999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1.0701247810000001</v>
      </c>
    </row>
    <row r="61" spans="1:37" x14ac:dyDescent="0.25">
      <c r="A61" t="s">
        <v>2286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1.0907803970000001</v>
      </c>
      <c r="I61">
        <v>1.085159529</v>
      </c>
      <c r="J61">
        <v>1.0800109630000001</v>
      </c>
      <c r="K61">
        <v>1.0752824320000001</v>
      </c>
      <c r="L61">
        <v>1.0709021169999999</v>
      </c>
      <c r="M61">
        <v>1.0668002750000001</v>
      </c>
      <c r="N61">
        <v>1.0629185779999999</v>
      </c>
      <c r="O61">
        <v>1.0592125160000001</v>
      </c>
      <c r="P61">
        <v>1.055650363</v>
      </c>
      <c r="Q61">
        <v>1.0522107409999999</v>
      </c>
      <c r="R61">
        <v>1.0488799440000001</v>
      </c>
      <c r="S61">
        <v>1.045648981</v>
      </c>
      <c r="T61">
        <v>1.042512053</v>
      </c>
      <c r="U61">
        <v>1.0394656579999999</v>
      </c>
      <c r="V61">
        <v>1.036507702</v>
      </c>
      <c r="W61">
        <v>1.0336368220000001</v>
      </c>
      <c r="X61">
        <v>1.0308519439999999</v>
      </c>
      <c r="Y61">
        <v>1.028152043</v>
      </c>
      <c r="Z61">
        <v>1.0255360309999999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25">
      <c r="A62" t="s">
        <v>2287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8.4651855309999995</v>
      </c>
      <c r="H62">
        <v>8.4255238929999994</v>
      </c>
      <c r="I62">
        <v>8.3892954759999991</v>
      </c>
      <c r="J62">
        <v>8.3561574279999995</v>
      </c>
      <c r="K62">
        <v>8.3257294870000003</v>
      </c>
      <c r="L62">
        <v>8.2977494830000005</v>
      </c>
      <c r="M62">
        <v>8.2720952659999991</v>
      </c>
      <c r="N62">
        <v>8.2487623059999997</v>
      </c>
      <c r="O62">
        <v>8.2278291299999999</v>
      </c>
      <c r="P62">
        <v>8.2094232120000008</v>
      </c>
      <c r="Q62">
        <v>8.1936930110000006</v>
      </c>
      <c r="R62">
        <v>8.1803742190000008</v>
      </c>
      <c r="S62">
        <v>8.1688169899999998</v>
      </c>
      <c r="T62">
        <v>8.1585350040000009</v>
      </c>
      <c r="U62">
        <v>8.1492689370000004</v>
      </c>
      <c r="V62">
        <v>8.1409342250000005</v>
      </c>
      <c r="W62">
        <v>8.1335617550000006</v>
      </c>
      <c r="X62">
        <v>8.127255108</v>
      </c>
      <c r="Y62">
        <v>8.1221637550000008</v>
      </c>
      <c r="Z62">
        <v>8.1184671000000002</v>
      </c>
      <c r="AA62">
        <v>8.1163650169999997</v>
      </c>
      <c r="AB62">
        <v>8.1160720210000008</v>
      </c>
      <c r="AC62">
        <v>8.1178133720000005</v>
      </c>
      <c r="AD62">
        <v>8.1218220720000005</v>
      </c>
      <c r="AE62">
        <v>8.1283361020000005</v>
      </c>
      <c r="AF62">
        <v>8.1375954569999998</v>
      </c>
      <c r="AG62">
        <v>8.149838656</v>
      </c>
      <c r="AH62">
        <v>8.1652985499999993</v>
      </c>
      <c r="AI62">
        <v>8.1841973029999995</v>
      </c>
      <c r="AJ62">
        <v>8.2067405709999992</v>
      </c>
      <c r="AK62">
        <v>8.2331109500000004</v>
      </c>
    </row>
    <row r="63" spans="1:37" x14ac:dyDescent="0.25">
      <c r="A63" t="s">
        <v>2288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8.4932054679999993</v>
      </c>
      <c r="G63">
        <v>8.4438819049999996</v>
      </c>
      <c r="H63">
        <v>8.3970586399999991</v>
      </c>
      <c r="I63">
        <v>8.3538031539999995</v>
      </c>
      <c r="J63">
        <v>8.3141810629999995</v>
      </c>
      <c r="K63">
        <v>8.2777897720000002</v>
      </c>
      <c r="L63">
        <v>8.244076583</v>
      </c>
      <c r="M63">
        <v>8.2125049939999997</v>
      </c>
      <c r="N63">
        <v>8.1826264050000006</v>
      </c>
      <c r="O63">
        <v>8.1540985720000005</v>
      </c>
      <c r="P63">
        <v>8.1266775469999999</v>
      </c>
      <c r="Q63">
        <v>8.1001989610000003</v>
      </c>
      <c r="R63">
        <v>8.0745574159999993</v>
      </c>
      <c r="S63">
        <v>8.0496837659999994</v>
      </c>
      <c r="T63">
        <v>8.025533416</v>
      </c>
      <c r="U63">
        <v>8.0020794510000002</v>
      </c>
      <c r="V63">
        <v>7.9793057889999996</v>
      </c>
      <c r="W63">
        <v>7.9572019689999998</v>
      </c>
      <c r="X63">
        <v>7.9357597880000004</v>
      </c>
      <c r="Y63">
        <v>7.9149714160000002</v>
      </c>
      <c r="Z63">
        <v>7.8948285360000003</v>
      </c>
      <c r="AA63">
        <v>7.8753221179999997</v>
      </c>
      <c r="AB63">
        <v>7.8564425120000001</v>
      </c>
      <c r="AC63">
        <v>7.838179695</v>
      </c>
      <c r="AD63">
        <v>7.8205235340000003</v>
      </c>
      <c r="AE63">
        <v>7.8034640140000002</v>
      </c>
      <c r="AF63">
        <v>7.7869914040000001</v>
      </c>
      <c r="AG63">
        <v>7.7710963590000004</v>
      </c>
      <c r="AH63">
        <v>7.7557699759999998</v>
      </c>
      <c r="AI63">
        <v>7.7410037889999996</v>
      </c>
      <c r="AJ63">
        <v>7.72678975</v>
      </c>
      <c r="AK63">
        <v>7.713120183</v>
      </c>
    </row>
    <row r="64" spans="1:37" x14ac:dyDescent="0.25">
      <c r="A64" t="s">
        <v>2289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</v>
      </c>
      <c r="K64">
        <v>10.3242317</v>
      </c>
      <c r="L64">
        <v>10.35995346</v>
      </c>
      <c r="M64">
        <v>10.39899861</v>
      </c>
      <c r="N64">
        <v>10.44319864</v>
      </c>
      <c r="O64">
        <v>10.494745030000001</v>
      </c>
      <c r="P64">
        <v>10.55598644</v>
      </c>
      <c r="Q64">
        <v>10.62926506</v>
      </c>
      <c r="R64">
        <v>10.71454482</v>
      </c>
      <c r="S64">
        <v>10.809130659999999</v>
      </c>
      <c r="T64">
        <v>10.910348239999999</v>
      </c>
      <c r="U64">
        <v>11.01611997</v>
      </c>
      <c r="V64">
        <v>11.124931719999999</v>
      </c>
      <c r="W64">
        <v>11.235688270000001</v>
      </c>
      <c r="X64">
        <v>11.34759287</v>
      </c>
      <c r="Y64">
        <v>11.460068059999999</v>
      </c>
      <c r="Z64">
        <v>11.572705920000001</v>
      </c>
      <c r="AA64">
        <v>11.685234550000001</v>
      </c>
      <c r="AB64">
        <v>11.79749281</v>
      </c>
      <c r="AC64">
        <v>11.90940934</v>
      </c>
      <c r="AD64">
        <v>12.020984520000001</v>
      </c>
      <c r="AE64">
        <v>12.1322747</v>
      </c>
      <c r="AF64">
        <v>12.24337867</v>
      </c>
      <c r="AG64">
        <v>12.35442589</v>
      </c>
      <c r="AH64">
        <v>12.46556625</v>
      </c>
      <c r="AI64">
        <v>12.576960769999999</v>
      </c>
      <c r="AJ64">
        <v>12.688773039999999</v>
      </c>
      <c r="AK64">
        <v>12.80116093</v>
      </c>
    </row>
    <row r="65" spans="1:37" x14ac:dyDescent="0.25">
      <c r="A65" t="s">
        <v>2290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10.057563979999999</v>
      </c>
      <c r="J65">
        <v>10.04060273</v>
      </c>
      <c r="K65">
        <v>10.024966640000001</v>
      </c>
      <c r="L65">
        <v>10.01026038</v>
      </c>
      <c r="M65">
        <v>9.9961188869999997</v>
      </c>
      <c r="N65">
        <v>9.9822508859999992</v>
      </c>
      <c r="O65">
        <v>9.9684466940000007</v>
      </c>
      <c r="P65">
        <v>9.9545689169999996</v>
      </c>
      <c r="Q65">
        <v>9.9405369619999995</v>
      </c>
      <c r="R65">
        <v>9.9263112380000003</v>
      </c>
      <c r="S65">
        <v>9.9118771250000002</v>
      </c>
      <c r="T65">
        <v>9.8972362480000005</v>
      </c>
      <c r="U65">
        <v>9.8824012040000007</v>
      </c>
      <c r="V65">
        <v>9.8673908130000001</v>
      </c>
      <c r="W65">
        <v>9.8522266530000007</v>
      </c>
      <c r="X65">
        <v>9.8369308790000005</v>
      </c>
      <c r="Y65">
        <v>9.8215250199999993</v>
      </c>
      <c r="Z65">
        <v>9.8060294219999999</v>
      </c>
      <c r="AA65">
        <v>9.7904630850000007</v>
      </c>
      <c r="AB65">
        <v>9.7748437100000007</v>
      </c>
      <c r="AC65">
        <v>9.7591878179999991</v>
      </c>
      <c r="AD65">
        <v>9.7435109020000006</v>
      </c>
      <c r="AE65">
        <v>9.7278275399999998</v>
      </c>
      <c r="AF65">
        <v>9.7121499179999997</v>
      </c>
      <c r="AG65">
        <v>9.6964896469999999</v>
      </c>
      <c r="AH65">
        <v>9.6808582229999995</v>
      </c>
      <c r="AI65">
        <v>9.6652669469999992</v>
      </c>
      <c r="AJ65">
        <v>9.6497267200000003</v>
      </c>
      <c r="AK65">
        <v>9.634247878</v>
      </c>
    </row>
    <row r="66" spans="1:37" x14ac:dyDescent="0.25">
      <c r="A66" t="s">
        <v>2291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0.13787857880000001</v>
      </c>
      <c r="K66">
        <v>0.13767271510000001</v>
      </c>
      <c r="L66">
        <v>0.1375121014</v>
      </c>
      <c r="M66">
        <v>0.1374017465</v>
      </c>
      <c r="N66">
        <v>0.13735339429999999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0.1396728881</v>
      </c>
      <c r="V66">
        <v>0.14029431449999999</v>
      </c>
      <c r="W66">
        <v>0.14094771240000001</v>
      </c>
      <c r="X66">
        <v>0.14162822310000001</v>
      </c>
      <c r="Y66">
        <v>0.1423337516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0.14627447160000001</v>
      </c>
      <c r="AE66">
        <v>0.14716508810000001</v>
      </c>
      <c r="AF66">
        <v>0.1480986809</v>
      </c>
      <c r="AG66">
        <v>0.14907947630000001</v>
      </c>
      <c r="AH66">
        <v>0.15011173180000001</v>
      </c>
      <c r="AI66">
        <v>0.15119962479999999</v>
      </c>
      <c r="AJ66">
        <v>0.15234712980000001</v>
      </c>
      <c r="AK66">
        <v>0.15355788070000001</v>
      </c>
    </row>
    <row r="67" spans="1:37" x14ac:dyDescent="0.25">
      <c r="A67" t="s">
        <v>2292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0.13718147689999999</v>
      </c>
      <c r="I67">
        <v>0.13648026469999999</v>
      </c>
      <c r="J67">
        <v>0.1358384769</v>
      </c>
      <c r="K67">
        <v>0.13524923799999999</v>
      </c>
      <c r="L67">
        <v>0.13470329850000001</v>
      </c>
      <c r="M67">
        <v>0.13419174910000001</v>
      </c>
      <c r="N67">
        <v>0.13370717970000001</v>
      </c>
      <c r="O67">
        <v>0.13324396550000001</v>
      </c>
      <c r="P67">
        <v>0.13279811969999999</v>
      </c>
      <c r="Q67">
        <v>0.13236697650000001</v>
      </c>
      <c r="R67">
        <v>0.1319488459</v>
      </c>
      <c r="S67">
        <v>0.13154263669999999</v>
      </c>
      <c r="T67">
        <v>0.131147662</v>
      </c>
      <c r="U67">
        <v>0.1307635254</v>
      </c>
      <c r="V67">
        <v>0.13039000780000001</v>
      </c>
      <c r="W67">
        <v>0.1300269818</v>
      </c>
      <c r="X67">
        <v>0.1296743565</v>
      </c>
      <c r="Y67">
        <v>0.12933204619999999</v>
      </c>
      <c r="Z67">
        <v>0.128999957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0.12748877619999999</v>
      </c>
      <c r="AF67">
        <v>0.12721550949999999</v>
      </c>
      <c r="AG67">
        <v>0.12695160690000001</v>
      </c>
      <c r="AH67">
        <v>0.1266969506</v>
      </c>
      <c r="AI67">
        <v>0.1264514276</v>
      </c>
      <c r="AJ67">
        <v>0.126214929</v>
      </c>
      <c r="AK67">
        <v>0.1259873493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>
      <selection activeCell="E24" sqref="E2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2014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165.10679619999999</v>
      </c>
      <c r="H2">
        <v>165.61670290000001</v>
      </c>
      <c r="I2">
        <v>166.17198759999999</v>
      </c>
      <c r="J2">
        <v>166.77811410000001</v>
      </c>
      <c r="K2">
        <v>167.4229144</v>
      </c>
      <c r="L2">
        <v>168.08480950000001</v>
      </c>
      <c r="M2">
        <v>168.7376606</v>
      </c>
      <c r="N2">
        <v>169.35376650000001</v>
      </c>
      <c r="O2">
        <v>169.90592710000001</v>
      </c>
      <c r="P2">
        <v>170.36899779999999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172.15061660000001</v>
      </c>
      <c r="AA2">
        <v>172.317498</v>
      </c>
      <c r="AB2">
        <v>172.49640959999999</v>
      </c>
      <c r="AC2">
        <v>172.68745820000001</v>
      </c>
      <c r="AD2">
        <v>172.89051649999999</v>
      </c>
      <c r="AE2">
        <v>173.10532280000001</v>
      </c>
      <c r="AF2">
        <v>173.3315576</v>
      </c>
      <c r="AG2">
        <v>173.56890390000001</v>
      </c>
      <c r="AH2">
        <v>173.81709599999999</v>
      </c>
      <c r="AI2">
        <v>174.07595910000001</v>
      </c>
      <c r="AJ2">
        <v>174.34544210000001</v>
      </c>
      <c r="AK2">
        <v>174.6256448</v>
      </c>
    </row>
    <row r="3" spans="1:37" x14ac:dyDescent="0.25">
      <c r="A3" t="s">
        <v>2177</v>
      </c>
      <c r="B3">
        <v>64.301440170000006</v>
      </c>
      <c r="C3">
        <v>64.184878769999997</v>
      </c>
      <c r="D3">
        <v>63.81333703</v>
      </c>
      <c r="E3">
        <v>63.413868880000003</v>
      </c>
      <c r="F3">
        <v>63.052105769999997</v>
      </c>
      <c r="G3">
        <v>62.73076519</v>
      </c>
      <c r="H3">
        <v>62.452107810000001</v>
      </c>
      <c r="I3">
        <v>62.2223586</v>
      </c>
      <c r="J3">
        <v>62.033206849999999</v>
      </c>
      <c r="K3">
        <v>61.871748760000003</v>
      </c>
      <c r="L3">
        <v>61.724678849999997</v>
      </c>
      <c r="M3">
        <v>61.57995742</v>
      </c>
      <c r="N3">
        <v>61.427414570000003</v>
      </c>
      <c r="O3">
        <v>61.25892297</v>
      </c>
      <c r="P3">
        <v>61.068389310000001</v>
      </c>
      <c r="Q3">
        <v>60.851643549999999</v>
      </c>
      <c r="R3">
        <v>60.616399559999998</v>
      </c>
      <c r="S3">
        <v>60.376608300000001</v>
      </c>
      <c r="T3">
        <v>60.139128149999998</v>
      </c>
      <c r="U3">
        <v>59.906799390000003</v>
      </c>
      <c r="V3">
        <v>59.680288349999998</v>
      </c>
      <c r="W3">
        <v>59.459162020000001</v>
      </c>
      <c r="X3">
        <v>59.242489110000001</v>
      </c>
      <c r="Y3">
        <v>59.029157490000003</v>
      </c>
      <c r="Z3">
        <v>58.818028810000001</v>
      </c>
      <c r="AA3">
        <v>58.608004899999997</v>
      </c>
      <c r="AB3">
        <v>58.398050220000002</v>
      </c>
      <c r="AC3">
        <v>58.18719557</v>
      </c>
      <c r="AD3">
        <v>57.974536180000001</v>
      </c>
      <c r="AE3">
        <v>57.759230639999998</v>
      </c>
      <c r="AF3">
        <v>57.540503270000002</v>
      </c>
      <c r="AG3">
        <v>57.317650550000003</v>
      </c>
      <c r="AH3">
        <v>57.090051260000003</v>
      </c>
      <c r="AI3">
        <v>56.85717957</v>
      </c>
      <c r="AJ3">
        <v>56.618620110000002</v>
      </c>
      <c r="AK3">
        <v>56.374083949999999</v>
      </c>
    </row>
    <row r="4" spans="1:37" x14ac:dyDescent="0.25">
      <c r="A4" t="s">
        <v>2015</v>
      </c>
      <c r="B4">
        <v>26.341533309999999</v>
      </c>
      <c r="C4">
        <v>26.59714344</v>
      </c>
      <c r="D4">
        <v>26.828834839999999</v>
      </c>
      <c r="E4">
        <v>27.04972047</v>
      </c>
      <c r="F4">
        <v>27.262911880000001</v>
      </c>
      <c r="G4">
        <v>27.465846079999999</v>
      </c>
      <c r="H4">
        <v>27.66059817</v>
      </c>
      <c r="I4">
        <v>27.854188629999999</v>
      </c>
      <c r="J4">
        <v>28.050195519999999</v>
      </c>
      <c r="K4">
        <v>28.24884801</v>
      </c>
      <c r="L4">
        <v>28.447943729999999</v>
      </c>
      <c r="M4">
        <v>28.64364462</v>
      </c>
      <c r="N4">
        <v>28.831091010000002</v>
      </c>
      <c r="O4">
        <v>29.00488498</v>
      </c>
      <c r="P4">
        <v>29.159486950000002</v>
      </c>
      <c r="Q4">
        <v>29.289548889999999</v>
      </c>
      <c r="R4">
        <v>29.395418719999999</v>
      </c>
      <c r="S4">
        <v>29.483080180000002</v>
      </c>
      <c r="T4">
        <v>29.557810100000001</v>
      </c>
      <c r="U4">
        <v>29.62362955</v>
      </c>
      <c r="V4">
        <v>29.683515159999999</v>
      </c>
      <c r="W4">
        <v>29.7396615</v>
      </c>
      <c r="X4">
        <v>29.793692100000001</v>
      </c>
      <c r="Y4">
        <v>29.846816610000001</v>
      </c>
      <c r="Z4">
        <v>29.899945890000001</v>
      </c>
      <c r="AA4">
        <v>29.953776179999998</v>
      </c>
      <c r="AB4">
        <v>30.008850509999998</v>
      </c>
      <c r="AC4">
        <v>30.065603530000001</v>
      </c>
      <c r="AD4">
        <v>30.124394049999999</v>
      </c>
      <c r="AE4">
        <v>30.185528810000001</v>
      </c>
      <c r="AF4">
        <v>30.249279770000001</v>
      </c>
      <c r="AG4">
        <v>30.315896550000001</v>
      </c>
      <c r="AH4">
        <v>30.385615479999998</v>
      </c>
      <c r="AI4">
        <v>30.458665849999999</v>
      </c>
      <c r="AJ4">
        <v>30.535274139999999</v>
      </c>
      <c r="AK4">
        <v>30.615666770000001</v>
      </c>
    </row>
    <row r="5" spans="1:37" x14ac:dyDescent="0.25">
      <c r="A5" t="s">
        <v>2016</v>
      </c>
      <c r="B5">
        <v>4.8910688090000001</v>
      </c>
      <c r="C5">
        <v>4.9373030619999998</v>
      </c>
      <c r="D5">
        <v>4.9795591970000004</v>
      </c>
      <c r="E5">
        <v>5.0212136999999997</v>
      </c>
      <c r="F5">
        <v>5.062970698</v>
      </c>
      <c r="G5">
        <v>5.1040926439999996</v>
      </c>
      <c r="H5">
        <v>5.1446563469999997</v>
      </c>
      <c r="I5">
        <v>5.1856990219999997</v>
      </c>
      <c r="J5">
        <v>5.2276587839999999</v>
      </c>
      <c r="K5">
        <v>5.2704296529999999</v>
      </c>
      <c r="L5">
        <v>5.313518094</v>
      </c>
      <c r="M5">
        <v>5.3561694940000004</v>
      </c>
      <c r="N5">
        <v>5.3974666730000003</v>
      </c>
      <c r="O5">
        <v>5.4364125919999999</v>
      </c>
      <c r="P5">
        <v>5.4720042429999998</v>
      </c>
      <c r="Q5">
        <v>5.5032999519999999</v>
      </c>
      <c r="R5">
        <v>5.5304192209999998</v>
      </c>
      <c r="S5">
        <v>5.5544896970000002</v>
      </c>
      <c r="T5">
        <v>5.5765024460000001</v>
      </c>
      <c r="U5">
        <v>5.5972283190000001</v>
      </c>
      <c r="V5">
        <v>5.6172525130000004</v>
      </c>
      <c r="W5">
        <v>5.637016129</v>
      </c>
      <c r="X5">
        <v>5.6568497119999996</v>
      </c>
      <c r="Y5">
        <v>5.6769990029999997</v>
      </c>
      <c r="Z5">
        <v>5.6976448590000004</v>
      </c>
      <c r="AA5">
        <v>5.7189188199999998</v>
      </c>
      <c r="AB5">
        <v>5.7409153240000004</v>
      </c>
      <c r="AC5">
        <v>5.763701266</v>
      </c>
      <c r="AD5">
        <v>5.7873234470000003</v>
      </c>
      <c r="AE5">
        <v>5.8118143660000001</v>
      </c>
      <c r="AF5">
        <v>5.8371966889999998</v>
      </c>
      <c r="AG5">
        <v>5.8634866710000004</v>
      </c>
      <c r="AH5">
        <v>5.8906967379999999</v>
      </c>
      <c r="AI5">
        <v>5.918837398</v>
      </c>
      <c r="AJ5">
        <v>5.9479186080000002</v>
      </c>
      <c r="AK5">
        <v>5.9779507189999999</v>
      </c>
    </row>
    <row r="6" spans="1:37" x14ac:dyDescent="0.25">
      <c r="A6" t="s">
        <v>2017</v>
      </c>
      <c r="B6">
        <v>44.175484509999997</v>
      </c>
      <c r="C6">
        <v>44.638110240000003</v>
      </c>
      <c r="D6">
        <v>45.076045100000002</v>
      </c>
      <c r="E6">
        <v>45.497834439999998</v>
      </c>
      <c r="F6">
        <v>45.903039110000002</v>
      </c>
      <c r="G6">
        <v>46.285391580000002</v>
      </c>
      <c r="H6">
        <v>46.649558599999999</v>
      </c>
      <c r="I6">
        <v>47.009452279999998</v>
      </c>
      <c r="J6">
        <v>47.371984329999997</v>
      </c>
      <c r="K6">
        <v>47.737903070000002</v>
      </c>
      <c r="L6">
        <v>48.103606210000002</v>
      </c>
      <c r="M6">
        <v>48.462618919999997</v>
      </c>
      <c r="N6">
        <v>48.80673075</v>
      </c>
      <c r="O6">
        <v>49.12690637</v>
      </c>
      <c r="P6">
        <v>49.414044760000003</v>
      </c>
      <c r="Q6">
        <v>49.659615580000001</v>
      </c>
      <c r="R6">
        <v>49.865090459999998</v>
      </c>
      <c r="S6">
        <v>50.041291999999999</v>
      </c>
      <c r="T6">
        <v>50.197527489999999</v>
      </c>
      <c r="U6">
        <v>50.340891220000003</v>
      </c>
      <c r="V6">
        <v>50.476661149999998</v>
      </c>
      <c r="W6">
        <v>50.608737140000002</v>
      </c>
      <c r="X6">
        <v>50.739989880000003</v>
      </c>
      <c r="Y6">
        <v>50.872525979999999</v>
      </c>
      <c r="Z6">
        <v>51.007888899999998</v>
      </c>
      <c r="AA6">
        <v>51.147211419999998</v>
      </c>
      <c r="AB6">
        <v>51.291330969999997</v>
      </c>
      <c r="AC6">
        <v>51.440876060000001</v>
      </c>
      <c r="AD6">
        <v>51.596330549999998</v>
      </c>
      <c r="AE6">
        <v>51.758080919999998</v>
      </c>
      <c r="AF6">
        <v>51.926450639999999</v>
      </c>
      <c r="AG6">
        <v>52.101724859999997</v>
      </c>
      <c r="AH6">
        <v>52.284167979999999</v>
      </c>
      <c r="AI6">
        <v>52.474035669999999</v>
      </c>
      <c r="AJ6">
        <v>52.67158294</v>
      </c>
      <c r="AK6">
        <v>52.877069220000003</v>
      </c>
    </row>
    <row r="7" spans="1:37" x14ac:dyDescent="0.25">
      <c r="A7" t="s">
        <v>2018</v>
      </c>
      <c r="B7">
        <v>22.47585677</v>
      </c>
      <c r="C7">
        <v>22.70265775</v>
      </c>
      <c r="D7">
        <v>22.915782950000001</v>
      </c>
      <c r="E7">
        <v>23.123375339999999</v>
      </c>
      <c r="F7">
        <v>23.326096280000002</v>
      </c>
      <c r="G7">
        <v>23.520700690000002</v>
      </c>
      <c r="H7">
        <v>23.70978199</v>
      </c>
      <c r="I7">
        <v>23.900289019999999</v>
      </c>
      <c r="J7">
        <v>24.095068650000002</v>
      </c>
      <c r="K7">
        <v>24.293984890000001</v>
      </c>
      <c r="L7">
        <v>24.495062600000001</v>
      </c>
      <c r="M7">
        <v>24.695270130000001</v>
      </c>
      <c r="N7">
        <v>24.891063469999999</v>
      </c>
      <c r="O7">
        <v>25.078800220000002</v>
      </c>
      <c r="P7">
        <v>25.255072519999999</v>
      </c>
      <c r="Q7">
        <v>25.41696941</v>
      </c>
      <c r="R7">
        <v>25.56620105</v>
      </c>
      <c r="S7">
        <v>25.708192390000001</v>
      </c>
      <c r="T7">
        <v>25.847082400000001</v>
      </c>
      <c r="U7">
        <v>25.985757679999999</v>
      </c>
      <c r="V7">
        <v>26.126210830000002</v>
      </c>
      <c r="W7">
        <v>26.26980979</v>
      </c>
      <c r="X7">
        <v>26.417473820000001</v>
      </c>
      <c r="Y7">
        <v>26.56979192</v>
      </c>
      <c r="Z7">
        <v>26.727108179999998</v>
      </c>
      <c r="AA7">
        <v>26.889586730000001</v>
      </c>
      <c r="AB7">
        <v>27.05726263</v>
      </c>
      <c r="AC7">
        <v>27.230081819999999</v>
      </c>
      <c r="AD7">
        <v>27.407932290000002</v>
      </c>
      <c r="AE7">
        <v>27.590668059999999</v>
      </c>
      <c r="AF7">
        <v>27.77812724</v>
      </c>
      <c r="AG7">
        <v>27.970145290000001</v>
      </c>
      <c r="AH7">
        <v>28.16656454</v>
      </c>
      <c r="AI7">
        <v>28.367240580000001</v>
      </c>
      <c r="AJ7">
        <v>28.5720463</v>
      </c>
      <c r="AK7">
        <v>28.78087416</v>
      </c>
    </row>
    <row r="8" spans="1:37" x14ac:dyDescent="0.25">
      <c r="A8" t="s">
        <v>2019</v>
      </c>
      <c r="B8">
        <v>162.18538359999999</v>
      </c>
      <c r="C8">
        <v>163.1836089</v>
      </c>
      <c r="D8">
        <v>163.9389438</v>
      </c>
      <c r="E8">
        <v>164.69724890000001</v>
      </c>
      <c r="F8">
        <v>165.53685970000001</v>
      </c>
      <c r="G8">
        <v>166.46920030000001</v>
      </c>
      <c r="H8">
        <v>167.48335460000001</v>
      </c>
      <c r="I8">
        <v>168.56385230000001</v>
      </c>
      <c r="J8">
        <v>169.69685179999999</v>
      </c>
      <c r="K8">
        <v>170.87166010000001</v>
      </c>
      <c r="L8">
        <v>172.08057460000001</v>
      </c>
      <c r="M8">
        <v>173.3182592</v>
      </c>
      <c r="N8">
        <v>174.58110780000001</v>
      </c>
      <c r="O8">
        <v>175.86670079999999</v>
      </c>
      <c r="P8">
        <v>177.17338409999999</v>
      </c>
      <c r="Q8">
        <v>178.50012659999999</v>
      </c>
      <c r="R8">
        <v>179.84629720000001</v>
      </c>
      <c r="S8">
        <v>181.21148669999999</v>
      </c>
      <c r="T8">
        <v>182.59544919999999</v>
      </c>
      <c r="U8">
        <v>183.9980424</v>
      </c>
      <c r="V8">
        <v>185.4192007</v>
      </c>
      <c r="W8">
        <v>186.85890019999999</v>
      </c>
      <c r="X8">
        <v>188.31714059999999</v>
      </c>
      <c r="Y8">
        <v>189.79393630000001</v>
      </c>
      <c r="Z8">
        <v>191.28931309999999</v>
      </c>
      <c r="AA8">
        <v>192.80330810000001</v>
      </c>
      <c r="AB8">
        <v>194.335972</v>
      </c>
      <c r="AC8">
        <v>195.88737080000001</v>
      </c>
      <c r="AD8">
        <v>197.45758789999999</v>
      </c>
      <c r="AE8">
        <v>199.04672590000001</v>
      </c>
      <c r="AF8">
        <v>200.65490449999999</v>
      </c>
      <c r="AG8">
        <v>202.28226470000001</v>
      </c>
      <c r="AH8">
        <v>203.92896759999999</v>
      </c>
      <c r="AI8">
        <v>205.5951929</v>
      </c>
      <c r="AJ8">
        <v>207.2811371</v>
      </c>
      <c r="AK8">
        <v>208.98701170000001</v>
      </c>
    </row>
    <row r="9" spans="1:37" x14ac:dyDescent="0.25">
      <c r="A9" t="s">
        <v>2178</v>
      </c>
      <c r="B9">
        <v>64.301440170000006</v>
      </c>
      <c r="C9">
        <v>64.233783819999999</v>
      </c>
      <c r="D9">
        <v>63.931558289999998</v>
      </c>
      <c r="E9">
        <v>63.614626440000002</v>
      </c>
      <c r="F9">
        <v>63.352023590000002</v>
      </c>
      <c r="G9">
        <v>63.153949699999998</v>
      </c>
      <c r="H9">
        <v>63.011189659999999</v>
      </c>
      <c r="I9">
        <v>62.910661429999998</v>
      </c>
      <c r="J9">
        <v>62.840775710000003</v>
      </c>
      <c r="K9">
        <v>62.792712610000002</v>
      </c>
      <c r="L9">
        <v>62.760233210000003</v>
      </c>
      <c r="M9">
        <v>62.739095059999997</v>
      </c>
      <c r="N9">
        <v>62.726469620000003</v>
      </c>
      <c r="O9">
        <v>62.720452979999997</v>
      </c>
      <c r="P9">
        <v>62.719696919999997</v>
      </c>
      <c r="Q9">
        <v>62.723315069999998</v>
      </c>
      <c r="R9">
        <v>62.730703920000003</v>
      </c>
      <c r="S9">
        <v>62.741401070000002</v>
      </c>
      <c r="T9">
        <v>62.755058720000001</v>
      </c>
      <c r="U9">
        <v>62.771408960000002</v>
      </c>
      <c r="V9">
        <v>62.790253040000003</v>
      </c>
      <c r="W9">
        <v>62.811437220000002</v>
      </c>
      <c r="X9">
        <v>62.834839019999997</v>
      </c>
      <c r="Y9">
        <v>62.860359350000003</v>
      </c>
      <c r="Z9">
        <v>62.887917520000002</v>
      </c>
      <c r="AA9">
        <v>62.917448149999998</v>
      </c>
      <c r="AB9">
        <v>62.948898939999999</v>
      </c>
      <c r="AC9">
        <v>62.982229009999998</v>
      </c>
      <c r="AD9">
        <v>63.017407589999998</v>
      </c>
      <c r="AE9">
        <v>63.05441278</v>
      </c>
      <c r="AF9">
        <v>63.093227919999997</v>
      </c>
      <c r="AG9">
        <v>63.133844660000001</v>
      </c>
      <c r="AH9">
        <v>63.176261230000001</v>
      </c>
      <c r="AI9">
        <v>63.220480989999999</v>
      </c>
      <c r="AJ9">
        <v>63.266511289999997</v>
      </c>
      <c r="AK9">
        <v>63.314362500000001</v>
      </c>
    </row>
    <row r="10" spans="1:37" x14ac:dyDescent="0.25">
      <c r="A10" t="s">
        <v>2020</v>
      </c>
      <c r="B10">
        <v>26.341533309999999</v>
      </c>
      <c r="C10">
        <v>26.613547879999999</v>
      </c>
      <c r="D10">
        <v>26.875562989999999</v>
      </c>
      <c r="E10">
        <v>27.139256339999999</v>
      </c>
      <c r="F10">
        <v>27.40913196</v>
      </c>
      <c r="G10">
        <v>27.6862867</v>
      </c>
      <c r="H10">
        <v>27.9705525</v>
      </c>
      <c r="I10">
        <v>28.261389990000001</v>
      </c>
      <c r="J10">
        <v>28.558213339999998</v>
      </c>
      <c r="K10">
        <v>28.860494979999999</v>
      </c>
      <c r="L10">
        <v>29.167792609999999</v>
      </c>
      <c r="M10">
        <v>29.47975078</v>
      </c>
      <c r="N10">
        <v>29.796094669999999</v>
      </c>
      <c r="O10">
        <v>30.116621129999999</v>
      </c>
      <c r="P10">
        <v>30.44118838</v>
      </c>
      <c r="Q10">
        <v>30.769704749999999</v>
      </c>
      <c r="R10">
        <v>31.102117539999998</v>
      </c>
      <c r="S10">
        <v>31.438402929999999</v>
      </c>
      <c r="T10">
        <v>31.778556739999999</v>
      </c>
      <c r="U10">
        <v>32.122587060000001</v>
      </c>
      <c r="V10">
        <v>32.470508789999997</v>
      </c>
      <c r="W10">
        <v>32.822340070000003</v>
      </c>
      <c r="X10">
        <v>33.178100180000001</v>
      </c>
      <c r="Y10">
        <v>33.537808599999998</v>
      </c>
      <c r="Z10">
        <v>33.901484949999997</v>
      </c>
      <c r="AA10">
        <v>34.269149409999997</v>
      </c>
      <c r="AB10">
        <v>34.640823419999997</v>
      </c>
      <c r="AC10">
        <v>35.016530469999999</v>
      </c>
      <c r="AD10">
        <v>35.396296800000002</v>
      </c>
      <c r="AE10">
        <v>35.780151949999997</v>
      </c>
      <c r="AF10">
        <v>36.168129209999996</v>
      </c>
      <c r="AG10">
        <v>36.560265809999997</v>
      </c>
      <c r="AH10">
        <v>36.956602959999998</v>
      </c>
      <c r="AI10">
        <v>37.35718576</v>
      </c>
      <c r="AJ10">
        <v>37.762063060000003</v>
      </c>
      <c r="AK10">
        <v>38.171287149999998</v>
      </c>
    </row>
    <row r="11" spans="1:37" x14ac:dyDescent="0.25">
      <c r="A11" t="s">
        <v>2021</v>
      </c>
      <c r="B11">
        <v>4.8910688090000001</v>
      </c>
      <c r="C11">
        <v>4.9404678830000002</v>
      </c>
      <c r="D11">
        <v>4.9884927829999999</v>
      </c>
      <c r="E11">
        <v>5.0382642400000002</v>
      </c>
      <c r="F11">
        <v>5.090783032</v>
      </c>
      <c r="G11">
        <v>5.1460256219999998</v>
      </c>
      <c r="H11">
        <v>5.2036324519999999</v>
      </c>
      <c r="I11">
        <v>5.2632098559999996</v>
      </c>
      <c r="J11">
        <v>5.3244299599999998</v>
      </c>
      <c r="K11">
        <v>5.3870461399999998</v>
      </c>
      <c r="L11">
        <v>5.4508808899999996</v>
      </c>
      <c r="M11">
        <v>5.515809129</v>
      </c>
      <c r="N11">
        <v>5.5817441910000003</v>
      </c>
      <c r="O11">
        <v>5.648627565</v>
      </c>
      <c r="P11">
        <v>5.7164214920000003</v>
      </c>
      <c r="Q11">
        <v>5.7851032580000004</v>
      </c>
      <c r="R11">
        <v>5.8546608539999996</v>
      </c>
      <c r="S11">
        <v>5.9250896869999998</v>
      </c>
      <c r="T11">
        <v>5.9963897260000003</v>
      </c>
      <c r="U11">
        <v>6.0685631960000004</v>
      </c>
      <c r="V11">
        <v>6.1416134170000003</v>
      </c>
      <c r="W11">
        <v>6.2155438749999998</v>
      </c>
      <c r="X11">
        <v>6.290357727</v>
      </c>
      <c r="Y11">
        <v>6.3660576439999996</v>
      </c>
      <c r="Z11">
        <v>6.4426458870000003</v>
      </c>
      <c r="AA11">
        <v>6.5201245370000001</v>
      </c>
      <c r="AB11">
        <v>6.5984957809999996</v>
      </c>
      <c r="AC11">
        <v>6.6777622130000003</v>
      </c>
      <c r="AD11">
        <v>6.7579270930000002</v>
      </c>
      <c r="AE11">
        <v>6.8389945680000004</v>
      </c>
      <c r="AF11">
        <v>6.9209698230000001</v>
      </c>
      <c r="AG11">
        <v>7.0038591600000002</v>
      </c>
      <c r="AH11">
        <v>7.0876700340000003</v>
      </c>
      <c r="AI11">
        <v>7.1724110349999997</v>
      </c>
      <c r="AJ11">
        <v>7.258091834</v>
      </c>
      <c r="AK11">
        <v>7.3447231139999998</v>
      </c>
    </row>
    <row r="12" spans="1:37" x14ac:dyDescent="0.25">
      <c r="A12" t="s">
        <v>2022</v>
      </c>
      <c r="B12">
        <v>44.175484509999997</v>
      </c>
      <c r="C12">
        <v>44.674067790000002</v>
      </c>
      <c r="D12">
        <v>45.17557283</v>
      </c>
      <c r="E12">
        <v>45.685126349999997</v>
      </c>
      <c r="F12">
        <v>46.204778189999999</v>
      </c>
      <c r="G12">
        <v>46.734933900000001</v>
      </c>
      <c r="H12">
        <v>47.275284509999999</v>
      </c>
      <c r="I12">
        <v>47.825257379999996</v>
      </c>
      <c r="J12">
        <v>48.384226079999998</v>
      </c>
      <c r="K12">
        <v>48.951609300000001</v>
      </c>
      <c r="L12">
        <v>49.526915510000002</v>
      </c>
      <c r="M12">
        <v>50.109758980000002</v>
      </c>
      <c r="N12">
        <v>50.69985973</v>
      </c>
      <c r="O12">
        <v>51.297034869999997</v>
      </c>
      <c r="P12">
        <v>51.901184780000001</v>
      </c>
      <c r="Q12">
        <v>52.512276540000002</v>
      </c>
      <c r="R12">
        <v>53.130327520000002</v>
      </c>
      <c r="S12">
        <v>53.755390839999997</v>
      </c>
      <c r="T12">
        <v>54.387542109999998</v>
      </c>
      <c r="U12">
        <v>55.02686894</v>
      </c>
      <c r="V12">
        <v>55.673463380000001</v>
      </c>
      <c r="W12">
        <v>56.327417070000003</v>
      </c>
      <c r="X12">
        <v>56.988818629999997</v>
      </c>
      <c r="Y12">
        <v>57.657752619999997</v>
      </c>
      <c r="Z12">
        <v>58.334299780000002</v>
      </c>
      <c r="AA12">
        <v>59.018537879999997</v>
      </c>
      <c r="AB12">
        <v>59.710542940000003</v>
      </c>
      <c r="AC12">
        <v>60.410390540000002</v>
      </c>
      <c r="AD12">
        <v>61.118156980000002</v>
      </c>
      <c r="AE12">
        <v>61.83392027</v>
      </c>
      <c r="AF12">
        <v>62.557760850000001</v>
      </c>
      <c r="AG12">
        <v>63.289762000000003</v>
      </c>
      <c r="AH12">
        <v>64.030010079999997</v>
      </c>
      <c r="AI12">
        <v>64.778594569999996</v>
      </c>
      <c r="AJ12">
        <v>65.535607990000003</v>
      </c>
      <c r="AK12">
        <v>66.301145719999994</v>
      </c>
    </row>
    <row r="13" spans="1:37" x14ac:dyDescent="0.25">
      <c r="A13" t="s">
        <v>2023</v>
      </c>
      <c r="B13">
        <v>22.47585677</v>
      </c>
      <c r="C13">
        <v>22.721741569999999</v>
      </c>
      <c r="D13">
        <v>22.967756900000001</v>
      </c>
      <c r="E13">
        <v>23.21997554</v>
      </c>
      <c r="F13">
        <v>23.480142950000001</v>
      </c>
      <c r="G13">
        <v>23.748004349999999</v>
      </c>
      <c r="H13">
        <v>24.022695509999998</v>
      </c>
      <c r="I13">
        <v>24.303333680000001</v>
      </c>
      <c r="J13">
        <v>24.58920668</v>
      </c>
      <c r="K13">
        <v>24.879797100000001</v>
      </c>
      <c r="L13">
        <v>25.174752340000001</v>
      </c>
      <c r="M13">
        <v>25.47384521</v>
      </c>
      <c r="N13">
        <v>25.776939609999999</v>
      </c>
      <c r="O13">
        <v>26.083964229999999</v>
      </c>
      <c r="P13">
        <v>26.394892509999998</v>
      </c>
      <c r="Q13">
        <v>26.709726979999999</v>
      </c>
      <c r="R13">
        <v>27.02848736</v>
      </c>
      <c r="S13">
        <v>27.351202170000001</v>
      </c>
      <c r="T13">
        <v>27.67790188</v>
      </c>
      <c r="U13">
        <v>28.00861428</v>
      </c>
      <c r="V13">
        <v>28.34336206</v>
      </c>
      <c r="W13">
        <v>28.682161950000001</v>
      </c>
      <c r="X13">
        <v>29.025025079999999</v>
      </c>
      <c r="Y13">
        <v>29.37195814</v>
      </c>
      <c r="Z13">
        <v>29.72296493</v>
      </c>
      <c r="AA13">
        <v>30.078048119999998</v>
      </c>
      <c r="AB13">
        <v>30.4372109</v>
      </c>
      <c r="AC13">
        <v>30.800458509999999</v>
      </c>
      <c r="AD13">
        <v>31.16779944</v>
      </c>
      <c r="AE13">
        <v>31.539246339999998</v>
      </c>
      <c r="AF13">
        <v>31.91481667</v>
      </c>
      <c r="AG13">
        <v>32.294533039999997</v>
      </c>
      <c r="AH13">
        <v>32.678423309999999</v>
      </c>
      <c r="AI13">
        <v>33.066520570000002</v>
      </c>
      <c r="AJ13">
        <v>33.458862930000002</v>
      </c>
      <c r="AK13">
        <v>33.855493269999997</v>
      </c>
    </row>
    <row r="14" spans="1:37" x14ac:dyDescent="0.25">
      <c r="A14" t="s">
        <v>2024</v>
      </c>
      <c r="B14">
        <v>5.4734958730000001</v>
      </c>
      <c r="C14">
        <v>5.5277842440000002</v>
      </c>
      <c r="D14">
        <v>5.5763322310000003</v>
      </c>
      <c r="E14">
        <v>5.620037365</v>
      </c>
      <c r="F14">
        <v>5.6584105200000003</v>
      </c>
      <c r="G14">
        <v>5.6900146219999996</v>
      </c>
      <c r="H14">
        <v>5.7162223570000004</v>
      </c>
      <c r="I14">
        <v>5.7405340059999999</v>
      </c>
      <c r="J14">
        <v>5.7646312919999998</v>
      </c>
      <c r="K14">
        <v>5.788739026</v>
      </c>
      <c r="L14">
        <v>5.8120972469999996</v>
      </c>
      <c r="M14">
        <v>5.8333307129999996</v>
      </c>
      <c r="N14">
        <v>5.850730972</v>
      </c>
      <c r="O14">
        <v>5.8624817040000003</v>
      </c>
      <c r="P14">
        <v>5.8668452670000004</v>
      </c>
      <c r="Q14">
        <v>5.8623155259999997</v>
      </c>
      <c r="R14">
        <v>5.8496952139999996</v>
      </c>
      <c r="S14">
        <v>5.8316990029999998</v>
      </c>
      <c r="T14">
        <v>5.8104645899999996</v>
      </c>
      <c r="U14">
        <v>5.7875405659999997</v>
      </c>
      <c r="V14">
        <v>5.7640249529999998</v>
      </c>
      <c r="W14">
        <v>5.740687909</v>
      </c>
      <c r="X14">
        <v>5.7180638999999998</v>
      </c>
      <c r="Y14">
        <v>5.6965188759999998</v>
      </c>
      <c r="Z14">
        <v>5.6762990029999996</v>
      </c>
      <c r="AA14">
        <v>5.6575659820000004</v>
      </c>
      <c r="AB14">
        <v>5.6404225730000004</v>
      </c>
      <c r="AC14">
        <v>5.6249309509999996</v>
      </c>
      <c r="AD14">
        <v>5.611125844</v>
      </c>
      <c r="AE14">
        <v>5.5990238550000004</v>
      </c>
      <c r="AF14">
        <v>5.5886300489999998</v>
      </c>
      <c r="AG14">
        <v>5.5799425630000004</v>
      </c>
      <c r="AH14">
        <v>5.5729558020000001</v>
      </c>
      <c r="AI14">
        <v>5.5676626139999996</v>
      </c>
      <c r="AJ14">
        <v>5.5640557470000003</v>
      </c>
      <c r="AK14">
        <v>5.5621287730000004</v>
      </c>
    </row>
    <row r="15" spans="1:37" x14ac:dyDescent="0.25">
      <c r="A15" t="s">
        <v>2025</v>
      </c>
      <c r="B15">
        <v>5.4734958730000001</v>
      </c>
      <c r="C15">
        <v>5.5356888069999997</v>
      </c>
      <c r="D15">
        <v>5.5982632649999999</v>
      </c>
      <c r="E15">
        <v>5.661478303</v>
      </c>
      <c r="F15">
        <v>5.7254982270000001</v>
      </c>
      <c r="G15">
        <v>5.7904348050000003</v>
      </c>
      <c r="H15">
        <v>5.856351096</v>
      </c>
      <c r="I15">
        <v>5.9232658799999998</v>
      </c>
      <c r="J15">
        <v>5.9911655230000003</v>
      </c>
      <c r="K15">
        <v>6.0600186410000001</v>
      </c>
      <c r="L15">
        <v>6.1297886689999999</v>
      </c>
      <c r="M15">
        <v>6.2004423529999997</v>
      </c>
      <c r="N15">
        <v>6.2719542349999999</v>
      </c>
      <c r="O15">
        <v>6.3443081589999997</v>
      </c>
      <c r="P15">
        <v>6.4174967690000004</v>
      </c>
      <c r="Q15">
        <v>6.4915201429999998</v>
      </c>
      <c r="R15">
        <v>6.5663839709999996</v>
      </c>
      <c r="S15">
        <v>6.6420977810000004</v>
      </c>
      <c r="T15">
        <v>6.7186733759999999</v>
      </c>
      <c r="U15">
        <v>6.7961236180000002</v>
      </c>
      <c r="V15">
        <v>6.8744615859999998</v>
      </c>
      <c r="W15">
        <v>6.9537000439999996</v>
      </c>
      <c r="X15">
        <v>7.0338511840000004</v>
      </c>
      <c r="Y15">
        <v>7.1149265440000002</v>
      </c>
      <c r="Z15">
        <v>7.1969370560000003</v>
      </c>
      <c r="AA15">
        <v>7.2798931700000002</v>
      </c>
      <c r="AB15">
        <v>7.3638050020000003</v>
      </c>
      <c r="AC15">
        <v>7.4486824829999998</v>
      </c>
      <c r="AD15">
        <v>7.534535505</v>
      </c>
      <c r="AE15">
        <v>7.6213740220000004</v>
      </c>
      <c r="AF15">
        <v>7.709208136</v>
      </c>
      <c r="AG15">
        <v>7.7980481529999999</v>
      </c>
      <c r="AH15">
        <v>7.8879046060000002</v>
      </c>
      <c r="AI15">
        <v>7.9787882699999999</v>
      </c>
      <c r="AJ15">
        <v>8.0707101629999993</v>
      </c>
      <c r="AK15">
        <v>8.1636815309999999</v>
      </c>
    </row>
    <row r="16" spans="1:37" x14ac:dyDescent="0.25">
      <c r="A16" t="s">
        <v>2026</v>
      </c>
      <c r="B16">
        <v>8.4809985599999999E-2</v>
      </c>
      <c r="C16">
        <v>8.5667248299999998E-2</v>
      </c>
      <c r="D16">
        <v>8.6461996400000005E-2</v>
      </c>
      <c r="E16">
        <v>8.7219592900000004E-2</v>
      </c>
      <c r="F16">
        <v>8.7940293599999997E-2</v>
      </c>
      <c r="G16">
        <v>8.8609185899999998E-2</v>
      </c>
      <c r="H16">
        <v>8.9238191600000003E-2</v>
      </c>
      <c r="I16">
        <v>8.98608605E-2</v>
      </c>
      <c r="J16">
        <v>9.0492411800000006E-2</v>
      </c>
      <c r="K16">
        <v>9.1133421899999997E-2</v>
      </c>
      <c r="L16">
        <v>9.1774683999999995E-2</v>
      </c>
      <c r="M16">
        <v>9.2400875899999999E-2</v>
      </c>
      <c r="N16">
        <v>9.2993253499999998E-2</v>
      </c>
      <c r="O16">
        <v>9.3531745900000005E-2</v>
      </c>
      <c r="P16">
        <v>9.3996668899999997E-2</v>
      </c>
      <c r="Q16">
        <v>9.4370137399999998E-2</v>
      </c>
      <c r="R16">
        <v>9.4658563200000004E-2</v>
      </c>
      <c r="S16">
        <v>9.4889280699999995E-2</v>
      </c>
      <c r="T16">
        <v>9.5083832399999998E-2</v>
      </c>
      <c r="U16">
        <v>9.5257792499999994E-2</v>
      </c>
      <c r="V16">
        <v>9.5422264100000001E-2</v>
      </c>
      <c r="W16">
        <v>9.5585158200000006E-2</v>
      </c>
      <c r="X16">
        <v>9.5752106200000006E-2</v>
      </c>
      <c r="Y16">
        <v>9.5927100000000001E-2</v>
      </c>
      <c r="Z16">
        <v>9.6112946300000002E-2</v>
      </c>
      <c r="AA16">
        <v>9.6311595900000005E-2</v>
      </c>
      <c r="AB16">
        <v>9.6524386200000006E-2</v>
      </c>
      <c r="AC16">
        <v>9.675222E-2</v>
      </c>
      <c r="AD16">
        <v>9.6995699099999999E-2</v>
      </c>
      <c r="AE16">
        <v>9.7255222799999999E-2</v>
      </c>
      <c r="AF16">
        <v>9.7531060500000002E-2</v>
      </c>
      <c r="AG16">
        <v>9.7823405399999994E-2</v>
      </c>
      <c r="AH16">
        <v>9.8132412299999999E-2</v>
      </c>
      <c r="AI16">
        <v>9.8458224699999999E-2</v>
      </c>
      <c r="AJ16">
        <v>9.8800992599999998E-2</v>
      </c>
      <c r="AK16">
        <v>9.9160884300000002E-2</v>
      </c>
    </row>
    <row r="17" spans="1:37" x14ac:dyDescent="0.25">
      <c r="A17" t="s">
        <v>2027</v>
      </c>
      <c r="B17">
        <v>8.4809985599999999E-2</v>
      </c>
      <c r="C17">
        <v>8.5747439499999994E-2</v>
      </c>
      <c r="D17">
        <v>8.6683951499999995E-2</v>
      </c>
      <c r="E17">
        <v>8.7637727400000004E-2</v>
      </c>
      <c r="F17">
        <v>8.8615469299999999E-2</v>
      </c>
      <c r="G17">
        <v>8.96180964E-2</v>
      </c>
      <c r="H17">
        <v>9.0644333899999999E-2</v>
      </c>
      <c r="I17">
        <v>9.1692336599999993E-2</v>
      </c>
      <c r="J17">
        <v>9.27603226E-2</v>
      </c>
      <c r="K17">
        <v>9.3846784399999994E-2</v>
      </c>
      <c r="L17">
        <v>9.4950535000000003E-2</v>
      </c>
      <c r="M17">
        <v>9.6070691900000005E-2</v>
      </c>
      <c r="N17">
        <v>9.72066402E-2</v>
      </c>
      <c r="O17">
        <v>9.8357988800000004E-2</v>
      </c>
      <c r="P17">
        <v>9.95245248E-2</v>
      </c>
      <c r="Q17">
        <v>0.100706168</v>
      </c>
      <c r="R17">
        <v>0.10190293020000001</v>
      </c>
      <c r="S17">
        <v>0.1031148813</v>
      </c>
      <c r="T17">
        <v>0.1043421212</v>
      </c>
      <c r="U17">
        <v>0.1055847577</v>
      </c>
      <c r="V17">
        <v>0.10684289399999999</v>
      </c>
      <c r="W17">
        <v>0.1081166209</v>
      </c>
      <c r="X17">
        <v>0.1094060145</v>
      </c>
      <c r="Y17">
        <v>0.1107111375</v>
      </c>
      <c r="Z17">
        <v>0.112032042</v>
      </c>
      <c r="AA17">
        <v>0.1133687741</v>
      </c>
      <c r="AB17">
        <v>0.1147213788</v>
      </c>
      <c r="AC17">
        <v>0.1160899042</v>
      </c>
      <c r="AD17">
        <v>0.1174744059</v>
      </c>
      <c r="AE17">
        <v>0.1188749497</v>
      </c>
      <c r="AF17">
        <v>0.1202916141</v>
      </c>
      <c r="AG17">
        <v>0.1217244919</v>
      </c>
      <c r="AH17">
        <v>0.1231736907</v>
      </c>
      <c r="AI17">
        <v>0.1246393331</v>
      </c>
      <c r="AJ17">
        <v>0.12612155689999999</v>
      </c>
      <c r="AK17">
        <v>0.12762051390000001</v>
      </c>
    </row>
    <row r="18" spans="1:37" x14ac:dyDescent="0.25">
      <c r="A18" t="s">
        <v>2028</v>
      </c>
      <c r="B18">
        <v>47.362739759999997</v>
      </c>
      <c r="C18">
        <v>47.490493460000003</v>
      </c>
      <c r="D18">
        <v>47.53365522</v>
      </c>
      <c r="E18">
        <v>47.608170719999997</v>
      </c>
      <c r="F18">
        <v>47.736646639999996</v>
      </c>
      <c r="G18">
        <v>47.90736879</v>
      </c>
      <c r="H18">
        <v>48.109003540000003</v>
      </c>
      <c r="I18">
        <v>48.338051040000003</v>
      </c>
      <c r="J18">
        <v>48.589459810000001</v>
      </c>
      <c r="K18">
        <v>48.856643679999998</v>
      </c>
      <c r="L18">
        <v>49.132021440000003</v>
      </c>
      <c r="M18">
        <v>49.407417809999998</v>
      </c>
      <c r="N18">
        <v>49.674360380000003</v>
      </c>
      <c r="O18">
        <v>49.924338919999997</v>
      </c>
      <c r="P18">
        <v>50.14905426</v>
      </c>
      <c r="Q18">
        <v>50.340653140000001</v>
      </c>
      <c r="R18">
        <v>50.49882221</v>
      </c>
      <c r="S18">
        <v>50.630619920000001</v>
      </c>
      <c r="T18">
        <v>50.742077700000003</v>
      </c>
      <c r="U18">
        <v>50.837403100000003</v>
      </c>
      <c r="V18">
        <v>50.919246059999999</v>
      </c>
      <c r="W18">
        <v>50.989081120000002</v>
      </c>
      <c r="X18">
        <v>51.04752216</v>
      </c>
      <c r="Y18">
        <v>51.094551979999999</v>
      </c>
      <c r="Z18">
        <v>51.129684079999997</v>
      </c>
      <c r="AA18">
        <v>51.152077480000003</v>
      </c>
      <c r="AB18">
        <v>51.160620899999998</v>
      </c>
      <c r="AC18">
        <v>51.153997910000001</v>
      </c>
      <c r="AD18">
        <v>51.130741299999997</v>
      </c>
      <c r="AE18">
        <v>51.089282230000002</v>
      </c>
      <c r="AF18">
        <v>51.027997669999998</v>
      </c>
      <c r="AG18">
        <v>50.945258680000002</v>
      </c>
      <c r="AH18">
        <v>50.839480639999998</v>
      </c>
      <c r="AI18">
        <v>50.709176190000001</v>
      </c>
      <c r="AJ18">
        <v>50.553010520000001</v>
      </c>
      <c r="AK18">
        <v>50.369858440000002</v>
      </c>
    </row>
    <row r="19" spans="1:37" x14ac:dyDescent="0.25">
      <c r="A19" t="s">
        <v>2029</v>
      </c>
      <c r="B19">
        <v>47.362739759999997</v>
      </c>
      <c r="C19">
        <v>47.512699400000002</v>
      </c>
      <c r="D19">
        <v>47.596470310000001</v>
      </c>
      <c r="E19">
        <v>47.727838470000002</v>
      </c>
      <c r="F19">
        <v>47.931101230000003</v>
      </c>
      <c r="G19">
        <v>48.199313529999998</v>
      </c>
      <c r="H19">
        <v>48.518094929999997</v>
      </c>
      <c r="I19">
        <v>48.87399216</v>
      </c>
      <c r="J19">
        <v>49.25663419</v>
      </c>
      <c r="K19">
        <v>49.65867463</v>
      </c>
      <c r="L19">
        <v>50.075126449999999</v>
      </c>
      <c r="M19">
        <v>50.502672259999997</v>
      </c>
      <c r="N19">
        <v>50.939119320000003</v>
      </c>
      <c r="O19">
        <v>51.383014170000003</v>
      </c>
      <c r="P19">
        <v>51.833384870000003</v>
      </c>
      <c r="Q19">
        <v>52.289573050000001</v>
      </c>
      <c r="R19">
        <v>52.75112575</v>
      </c>
      <c r="S19">
        <v>53.217725969999996</v>
      </c>
      <c r="T19">
        <v>53.689147149999997</v>
      </c>
      <c r="U19">
        <v>54.165223220000001</v>
      </c>
      <c r="V19">
        <v>54.645829460000002</v>
      </c>
      <c r="W19">
        <v>55.130870100000003</v>
      </c>
      <c r="X19">
        <v>55.620270509999997</v>
      </c>
      <c r="Y19">
        <v>56.113972609999998</v>
      </c>
      <c r="Z19">
        <v>56.611932189999997</v>
      </c>
      <c r="AA19">
        <v>57.114117659999998</v>
      </c>
      <c r="AB19">
        <v>57.620509349999999</v>
      </c>
      <c r="AC19">
        <v>58.131099259999999</v>
      </c>
      <c r="AD19">
        <v>58.645890799999997</v>
      </c>
      <c r="AE19">
        <v>59.164898479999998</v>
      </c>
      <c r="AF19">
        <v>59.68814742</v>
      </c>
      <c r="AG19">
        <v>60.21567263</v>
      </c>
      <c r="AH19">
        <v>60.747518220000003</v>
      </c>
      <c r="AI19">
        <v>61.283736349999998</v>
      </c>
      <c r="AJ19">
        <v>61.824386179999998</v>
      </c>
      <c r="AK19">
        <v>62.369532769999999</v>
      </c>
    </row>
    <row r="20" spans="1:37" x14ac:dyDescent="0.25">
      <c r="A20" t="s">
        <v>2030</v>
      </c>
      <c r="B20">
        <v>14.823808209999999</v>
      </c>
      <c r="C20">
        <v>14.901818329999999</v>
      </c>
      <c r="D20">
        <v>14.941413430000001</v>
      </c>
      <c r="E20">
        <v>14.967128369999999</v>
      </c>
      <c r="F20">
        <v>14.98798629</v>
      </c>
      <c r="G20">
        <v>15.005593709999999</v>
      </c>
      <c r="H20">
        <v>15.02221228</v>
      </c>
      <c r="I20">
        <v>15.04143191</v>
      </c>
      <c r="J20">
        <v>15.06416059</v>
      </c>
      <c r="K20">
        <v>15.089655949999999</v>
      </c>
      <c r="L20">
        <v>15.11625162</v>
      </c>
      <c r="M20">
        <v>15.14178909</v>
      </c>
      <c r="N20">
        <v>15.163874760000001</v>
      </c>
      <c r="O20">
        <v>15.18004593</v>
      </c>
      <c r="P20">
        <v>15.187893170000001</v>
      </c>
      <c r="Q20">
        <v>15.185162569999999</v>
      </c>
      <c r="R20">
        <v>15.172726689999999</v>
      </c>
      <c r="S20">
        <v>15.154028159999999</v>
      </c>
      <c r="T20">
        <v>15.13145323</v>
      </c>
      <c r="U20">
        <v>15.10659274</v>
      </c>
      <c r="V20">
        <v>15.08052262</v>
      </c>
      <c r="W20">
        <v>15.053992620000001</v>
      </c>
      <c r="X20">
        <v>15.02754283</v>
      </c>
      <c r="Y20">
        <v>15.001574570000001</v>
      </c>
      <c r="Z20">
        <v>14.9763942</v>
      </c>
      <c r="AA20">
        <v>14.95224095</v>
      </c>
      <c r="AB20">
        <v>14.929305299999999</v>
      </c>
      <c r="AC20">
        <v>14.90774178</v>
      </c>
      <c r="AD20">
        <v>14.887678149999999</v>
      </c>
      <c r="AE20">
        <v>14.869222199999999</v>
      </c>
      <c r="AF20">
        <v>14.852467020000001</v>
      </c>
      <c r="AG20">
        <v>14.83749502</v>
      </c>
      <c r="AH20">
        <v>14.82438097</v>
      </c>
      <c r="AI20">
        <v>14.813194409999999</v>
      </c>
      <c r="AJ20">
        <v>14.80400131</v>
      </c>
      <c r="AK20">
        <v>14.79686534</v>
      </c>
    </row>
    <row r="21" spans="1:37" x14ac:dyDescent="0.25">
      <c r="A21" t="s">
        <v>2031</v>
      </c>
      <c r="B21">
        <v>14.823808209999999</v>
      </c>
      <c r="C21">
        <v>14.91038758</v>
      </c>
      <c r="D21">
        <v>14.96419184</v>
      </c>
      <c r="E21">
        <v>15.00880628</v>
      </c>
      <c r="F21">
        <v>15.05397696</v>
      </c>
      <c r="G21">
        <v>15.10309303</v>
      </c>
      <c r="H21">
        <v>15.15687835</v>
      </c>
      <c r="I21">
        <v>15.215061759999999</v>
      </c>
      <c r="J21">
        <v>15.27709072</v>
      </c>
      <c r="K21">
        <v>15.34241331</v>
      </c>
      <c r="L21">
        <v>15.410572180000001</v>
      </c>
      <c r="M21">
        <v>15.481220479999999</v>
      </c>
      <c r="N21">
        <v>15.55410891</v>
      </c>
      <c r="O21">
        <v>15.629060580000001</v>
      </c>
      <c r="P21">
        <v>15.705930589999999</v>
      </c>
      <c r="Q21">
        <v>15.78463339</v>
      </c>
      <c r="R21">
        <v>15.86511896</v>
      </c>
      <c r="S21">
        <v>15.9473585</v>
      </c>
      <c r="T21">
        <v>16.031335250000001</v>
      </c>
      <c r="U21">
        <v>16.117038910000002</v>
      </c>
      <c r="V21">
        <v>16.204462379999999</v>
      </c>
      <c r="W21">
        <v>16.29360002</v>
      </c>
      <c r="X21">
        <v>16.38444668</v>
      </c>
      <c r="Y21">
        <v>16.476997369999999</v>
      </c>
      <c r="Z21">
        <v>16.571247240000002</v>
      </c>
      <c r="AA21">
        <v>16.667191809999998</v>
      </c>
      <c r="AB21">
        <v>16.764827260000001</v>
      </c>
      <c r="AC21">
        <v>16.864150720000001</v>
      </c>
      <c r="AD21">
        <v>16.96516055</v>
      </c>
      <c r="AE21">
        <v>17.06785661</v>
      </c>
      <c r="AF21">
        <v>17.172240339999998</v>
      </c>
      <c r="AG21">
        <v>17.278314900000002</v>
      </c>
      <c r="AH21">
        <v>17.38608515</v>
      </c>
      <c r="AI21">
        <v>17.495557659999999</v>
      </c>
      <c r="AJ21">
        <v>17.606740609999999</v>
      </c>
      <c r="AK21">
        <v>17.719643690000002</v>
      </c>
    </row>
    <row r="22" spans="1:37" x14ac:dyDescent="0.25">
      <c r="A22" t="s">
        <v>2032</v>
      </c>
      <c r="B22">
        <v>34.426718839999999</v>
      </c>
      <c r="C22">
        <v>34.624999670000001</v>
      </c>
      <c r="D22">
        <v>34.740706320000001</v>
      </c>
      <c r="E22">
        <v>34.818318619999999</v>
      </c>
      <c r="F22">
        <v>34.867897229999997</v>
      </c>
      <c r="G22">
        <v>34.884140889999998</v>
      </c>
      <c r="H22">
        <v>34.883345650000003</v>
      </c>
      <c r="I22">
        <v>34.891952600000003</v>
      </c>
      <c r="J22">
        <v>34.914966630000002</v>
      </c>
      <c r="K22">
        <v>34.947410699999999</v>
      </c>
      <c r="L22">
        <v>34.980068760000002</v>
      </c>
      <c r="M22">
        <v>35.002329320000001</v>
      </c>
      <c r="N22">
        <v>35.003702330000003</v>
      </c>
      <c r="O22">
        <v>34.97474527</v>
      </c>
      <c r="P22">
        <v>34.907694669999998</v>
      </c>
      <c r="Q22">
        <v>34.79688951</v>
      </c>
      <c r="R22">
        <v>34.653289479999998</v>
      </c>
      <c r="S22">
        <v>34.497038080000003</v>
      </c>
      <c r="T22">
        <v>34.338888570000002</v>
      </c>
      <c r="U22">
        <v>34.184558449999997</v>
      </c>
      <c r="V22">
        <v>34.037132020000001</v>
      </c>
      <c r="W22">
        <v>33.89829392</v>
      </c>
      <c r="X22">
        <v>33.768955839999997</v>
      </c>
      <c r="Y22">
        <v>33.64958086</v>
      </c>
      <c r="Z22">
        <v>33.540358529999999</v>
      </c>
      <c r="AA22">
        <v>33.441305309999997</v>
      </c>
      <c r="AB22">
        <v>33.352326650000002</v>
      </c>
      <c r="AC22">
        <v>33.273257839999999</v>
      </c>
      <c r="AD22">
        <v>33.203892359999998</v>
      </c>
      <c r="AE22">
        <v>33.144002100000002</v>
      </c>
      <c r="AF22">
        <v>33.093352029999998</v>
      </c>
      <c r="AG22">
        <v>33.051710559999997</v>
      </c>
      <c r="AH22">
        <v>33.018856880000001</v>
      </c>
      <c r="AI22">
        <v>32.994585729999997</v>
      </c>
      <c r="AJ22">
        <v>32.978710409999998</v>
      </c>
      <c r="AK22">
        <v>32.971064239999997</v>
      </c>
    </row>
    <row r="23" spans="1:37" x14ac:dyDescent="0.25">
      <c r="A23" t="s">
        <v>2033</v>
      </c>
      <c r="B23">
        <v>34.426718839999999</v>
      </c>
      <c r="C23">
        <v>34.693223639999999</v>
      </c>
      <c r="D23">
        <v>34.91104447</v>
      </c>
      <c r="E23">
        <v>35.116286199999998</v>
      </c>
      <c r="F23">
        <v>35.323965399999999</v>
      </c>
      <c r="G23">
        <v>35.539366630000004</v>
      </c>
      <c r="H23">
        <v>35.763620830000001</v>
      </c>
      <c r="I23">
        <v>35.9962716</v>
      </c>
      <c r="J23">
        <v>36.236401690000001</v>
      </c>
      <c r="K23">
        <v>36.483093850000003</v>
      </c>
      <c r="L23">
        <v>36.735591399999997</v>
      </c>
      <c r="M23">
        <v>36.993328810000001</v>
      </c>
      <c r="N23">
        <v>37.255911269999999</v>
      </c>
      <c r="O23">
        <v>37.523056220000001</v>
      </c>
      <c r="P23">
        <v>37.794539309999998</v>
      </c>
      <c r="Q23">
        <v>38.070247989999999</v>
      </c>
      <c r="R23">
        <v>38.350133790000001</v>
      </c>
      <c r="S23">
        <v>38.634183829999998</v>
      </c>
      <c r="T23">
        <v>38.922402990000002</v>
      </c>
      <c r="U23">
        <v>39.214803310000001</v>
      </c>
      <c r="V23">
        <v>39.511398130000003</v>
      </c>
      <c r="W23">
        <v>39.812199290000002</v>
      </c>
      <c r="X23">
        <v>40.117216130000003</v>
      </c>
      <c r="Y23">
        <v>40.426455500000003</v>
      </c>
      <c r="Z23">
        <v>40.739922579999998</v>
      </c>
      <c r="AA23">
        <v>41.057621830000002</v>
      </c>
      <c r="AB23">
        <v>41.37955814</v>
      </c>
      <c r="AC23">
        <v>41.705737880000001</v>
      </c>
      <c r="AD23">
        <v>42.036169800000003</v>
      </c>
      <c r="AE23">
        <v>42.370865700000003</v>
      </c>
      <c r="AF23">
        <v>42.709840980000003</v>
      </c>
      <c r="AG23">
        <v>43.053114890000003</v>
      </c>
      <c r="AH23">
        <v>43.400710660000001</v>
      </c>
      <c r="AI23">
        <v>43.752655490000002</v>
      </c>
      <c r="AJ23">
        <v>44.108980459999998</v>
      </c>
      <c r="AK23">
        <v>44.46972032</v>
      </c>
    </row>
    <row r="24" spans="1:37" x14ac:dyDescent="0.25">
      <c r="A24" t="s">
        <v>2034</v>
      </c>
      <c r="B24">
        <v>37.958651860000003</v>
      </c>
      <c r="C24">
        <v>38.225286410000002</v>
      </c>
      <c r="D24">
        <v>38.425798120000003</v>
      </c>
      <c r="E24">
        <v>38.608986350000002</v>
      </c>
      <c r="F24">
        <v>38.795290960000003</v>
      </c>
      <c r="G24">
        <v>38.991605739999997</v>
      </c>
      <c r="H24">
        <v>39.196188059999997</v>
      </c>
      <c r="I24">
        <v>39.405906739999999</v>
      </c>
      <c r="J24">
        <v>39.621138999999999</v>
      </c>
      <c r="K24">
        <v>39.842692710000001</v>
      </c>
      <c r="L24">
        <v>40.07102209</v>
      </c>
      <c r="M24">
        <v>40.306086579999999</v>
      </c>
      <c r="N24">
        <v>40.54739575</v>
      </c>
      <c r="O24">
        <v>40.794094559999998</v>
      </c>
      <c r="P24">
        <v>41.045046409999998</v>
      </c>
      <c r="Q24">
        <v>41.298909109999997</v>
      </c>
      <c r="R24">
        <v>41.55269681</v>
      </c>
      <c r="S24">
        <v>41.804222609999997</v>
      </c>
      <c r="T24">
        <v>42.054374160000002</v>
      </c>
      <c r="U24">
        <v>42.304796770000003</v>
      </c>
      <c r="V24">
        <v>42.557209389999997</v>
      </c>
      <c r="W24">
        <v>42.81321543</v>
      </c>
      <c r="X24">
        <v>43.07428024</v>
      </c>
      <c r="Y24">
        <v>43.341761320000003</v>
      </c>
      <c r="Z24">
        <v>43.61694971</v>
      </c>
      <c r="AA24">
        <v>43.901107680000003</v>
      </c>
      <c r="AB24">
        <v>44.195498190000002</v>
      </c>
      <c r="AC24">
        <v>44.501405409999997</v>
      </c>
      <c r="AD24">
        <v>44.82014659</v>
      </c>
      <c r="AE24">
        <v>45.153075979999997</v>
      </c>
      <c r="AF24">
        <v>45.501581160000001</v>
      </c>
      <c r="AG24">
        <v>45.867072329999999</v>
      </c>
      <c r="AH24">
        <v>46.250964830000001</v>
      </c>
      <c r="AI24">
        <v>46.654655400000003</v>
      </c>
      <c r="AJ24">
        <v>47.079492879999997</v>
      </c>
      <c r="AK24">
        <v>47.526744119999996</v>
      </c>
    </row>
    <row r="25" spans="1:37" x14ac:dyDescent="0.25">
      <c r="A25" t="s">
        <v>2035</v>
      </c>
      <c r="B25">
        <v>37.958651860000003</v>
      </c>
      <c r="C25">
        <v>38.217802910000003</v>
      </c>
      <c r="D25">
        <v>38.411399250000002</v>
      </c>
      <c r="E25">
        <v>38.589211779999999</v>
      </c>
      <c r="F25">
        <v>38.771213690000003</v>
      </c>
      <c r="G25">
        <v>38.963884999999998</v>
      </c>
      <c r="H25">
        <v>39.168186140000003</v>
      </c>
      <c r="I25">
        <v>39.383141649999999</v>
      </c>
      <c r="J25">
        <v>39.607336930000002</v>
      </c>
      <c r="K25">
        <v>39.83947586</v>
      </c>
      <c r="L25">
        <v>40.078538469999998</v>
      </c>
      <c r="M25">
        <v>40.323783069999998</v>
      </c>
      <c r="N25">
        <v>40.574698400000003</v>
      </c>
      <c r="O25">
        <v>40.830948599999999</v>
      </c>
      <c r="P25">
        <v>41.09232506</v>
      </c>
      <c r="Q25">
        <v>41.358707930000001</v>
      </c>
      <c r="R25">
        <v>41.630037360000003</v>
      </c>
      <c r="S25">
        <v>41.906259009999999</v>
      </c>
      <c r="T25">
        <v>42.187347639999999</v>
      </c>
      <c r="U25">
        <v>42.473313169999997</v>
      </c>
      <c r="V25">
        <v>42.76418176</v>
      </c>
      <c r="W25">
        <v>43.059986170000002</v>
      </c>
      <c r="X25">
        <v>43.360761060000002</v>
      </c>
      <c r="Y25">
        <v>43.666541100000003</v>
      </c>
      <c r="Z25">
        <v>43.977360539999999</v>
      </c>
      <c r="AA25">
        <v>44.293253640000003</v>
      </c>
      <c r="AB25">
        <v>44.614255399999998</v>
      </c>
      <c r="AC25">
        <v>44.940402329999998</v>
      </c>
      <c r="AD25">
        <v>45.271733240000003</v>
      </c>
      <c r="AE25">
        <v>45.608289810000002</v>
      </c>
      <c r="AF25">
        <v>45.950116950000002</v>
      </c>
      <c r="AG25">
        <v>46.297263059999999</v>
      </c>
      <c r="AH25">
        <v>46.649780030000002</v>
      </c>
      <c r="AI25">
        <v>47.007723169999998</v>
      </c>
      <c r="AJ25">
        <v>47.371151089999998</v>
      </c>
      <c r="AK25">
        <v>47.740125460000002</v>
      </c>
    </row>
    <row r="26" spans="1:37" x14ac:dyDescent="0.25">
      <c r="A26" t="s">
        <v>2036</v>
      </c>
      <c r="B26">
        <v>5.1384279990000001</v>
      </c>
      <c r="C26">
        <v>5.1949810630000002</v>
      </c>
      <c r="D26">
        <v>5.2490494639999996</v>
      </c>
      <c r="E26">
        <v>5.3013331690000003</v>
      </c>
      <c r="F26">
        <v>5.3522522910000001</v>
      </c>
      <c r="G26">
        <v>5.4017185039999998</v>
      </c>
      <c r="H26">
        <v>5.4494819840000002</v>
      </c>
      <c r="I26">
        <v>5.4959802619999998</v>
      </c>
      <c r="J26">
        <v>5.5421224240000004</v>
      </c>
      <c r="K26">
        <v>5.588408898</v>
      </c>
      <c r="L26">
        <v>5.6348349799999999</v>
      </c>
      <c r="M26">
        <v>5.6810128759999996</v>
      </c>
      <c r="N26">
        <v>5.7263193650000002</v>
      </c>
      <c r="O26">
        <v>5.7700137309999997</v>
      </c>
      <c r="P26">
        <v>5.8113201600000002</v>
      </c>
      <c r="Q26">
        <v>5.8494832099999998</v>
      </c>
      <c r="R26">
        <v>5.8840050780000004</v>
      </c>
      <c r="S26">
        <v>5.9152214369999996</v>
      </c>
      <c r="T26">
        <v>5.9441026570000002</v>
      </c>
      <c r="U26">
        <v>5.9715248079999999</v>
      </c>
      <c r="V26">
        <v>5.9981070909999996</v>
      </c>
      <c r="W26">
        <v>6.0242353599999996</v>
      </c>
      <c r="X26">
        <v>6.050129836</v>
      </c>
      <c r="Y26">
        <v>6.075907795</v>
      </c>
      <c r="Z26">
        <v>6.101628882</v>
      </c>
      <c r="AA26">
        <v>6.1273239190000002</v>
      </c>
      <c r="AB26">
        <v>6.1530115399999996</v>
      </c>
      <c r="AC26">
        <v>6.1787069570000002</v>
      </c>
      <c r="AD26">
        <v>6.2044260500000004</v>
      </c>
      <c r="AE26">
        <v>6.2301869090000004</v>
      </c>
      <c r="AF26">
        <v>6.2560101250000004</v>
      </c>
      <c r="AG26">
        <v>6.2819185199999996</v>
      </c>
      <c r="AH26">
        <v>6.307936722</v>
      </c>
      <c r="AI26">
        <v>6.3340907309999999</v>
      </c>
      <c r="AJ26">
        <v>6.3604075670000002</v>
      </c>
      <c r="AK26">
        <v>6.3869149939999996</v>
      </c>
    </row>
    <row r="27" spans="1:37" x14ac:dyDescent="0.25">
      <c r="A27" t="s">
        <v>2037</v>
      </c>
      <c r="B27">
        <v>5.1384279990000001</v>
      </c>
      <c r="C27">
        <v>5.1954205370000004</v>
      </c>
      <c r="D27">
        <v>5.251824665</v>
      </c>
      <c r="E27">
        <v>5.3082040089999998</v>
      </c>
      <c r="F27">
        <v>5.3648049110000002</v>
      </c>
      <c r="G27">
        <v>5.4217016539999996</v>
      </c>
      <c r="H27">
        <v>5.4788878199999997</v>
      </c>
      <c r="I27">
        <v>5.5363255789999997</v>
      </c>
      <c r="J27">
        <v>5.5939712760000004</v>
      </c>
      <c r="K27">
        <v>5.6517875899999996</v>
      </c>
      <c r="L27">
        <v>5.7097479160000004</v>
      </c>
      <c r="M27">
        <v>5.7678364960000001</v>
      </c>
      <c r="N27">
        <v>5.8260466019999999</v>
      </c>
      <c r="O27">
        <v>5.8843781479999997</v>
      </c>
      <c r="P27">
        <v>5.9428354329999999</v>
      </c>
      <c r="Q27">
        <v>6.0014253000000002</v>
      </c>
      <c r="R27">
        <v>6.0601557980000003</v>
      </c>
      <c r="S27">
        <v>6.1190353249999996</v>
      </c>
      <c r="T27">
        <v>6.1780720489999998</v>
      </c>
      <c r="U27">
        <v>6.23727359</v>
      </c>
      <c r="V27">
        <v>6.2966469329999999</v>
      </c>
      <c r="W27">
        <v>6.3561984599999999</v>
      </c>
      <c r="X27">
        <v>6.4159340460000003</v>
      </c>
      <c r="Y27">
        <v>6.4758591829999999</v>
      </c>
      <c r="Z27">
        <v>6.5359791029999998</v>
      </c>
      <c r="AA27">
        <v>6.5962989160000003</v>
      </c>
      <c r="AB27">
        <v>6.6568237129999996</v>
      </c>
      <c r="AC27">
        <v>6.7175586740000002</v>
      </c>
      <c r="AD27">
        <v>6.7785091399999997</v>
      </c>
      <c r="AE27">
        <v>6.8396806650000004</v>
      </c>
      <c r="AF27">
        <v>6.901076465</v>
      </c>
      <c r="AG27">
        <v>6.9627015669999999</v>
      </c>
      <c r="AH27">
        <v>7.0245620669999997</v>
      </c>
      <c r="AI27">
        <v>7.0866646619999996</v>
      </c>
      <c r="AJ27">
        <v>7.1490164360000001</v>
      </c>
      <c r="AK27">
        <v>7.2116247470000001</v>
      </c>
    </row>
    <row r="28" spans="1:37" x14ac:dyDescent="0.25">
      <c r="A28" t="s">
        <v>2038</v>
      </c>
      <c r="B28">
        <v>8.2041278789999996</v>
      </c>
      <c r="C28">
        <v>8.2034241819999991</v>
      </c>
      <c r="D28">
        <v>8.1650587639999994</v>
      </c>
      <c r="E28">
        <v>8.1122691059999994</v>
      </c>
      <c r="F28">
        <v>8.0526300099999997</v>
      </c>
      <c r="G28">
        <v>7.9871293830000001</v>
      </c>
      <c r="H28">
        <v>7.9204064369999996</v>
      </c>
      <c r="I28">
        <v>7.8583539150000004</v>
      </c>
      <c r="J28">
        <v>7.8015503989999999</v>
      </c>
      <c r="K28">
        <v>7.7484350109999998</v>
      </c>
      <c r="L28">
        <v>7.6967328730000002</v>
      </c>
      <c r="M28">
        <v>7.6440838370000002</v>
      </c>
      <c r="N28">
        <v>7.5883289459999999</v>
      </c>
      <c r="O28">
        <v>7.5276543279999997</v>
      </c>
      <c r="P28">
        <v>7.460671337</v>
      </c>
      <c r="Q28">
        <v>7.3864584500000001</v>
      </c>
      <c r="R28">
        <v>7.3076067760000001</v>
      </c>
      <c r="S28">
        <v>7.2283905400000004</v>
      </c>
      <c r="T28">
        <v>7.1507623699999998</v>
      </c>
      <c r="U28">
        <v>7.0755688599999997</v>
      </c>
      <c r="V28">
        <v>7.003144722</v>
      </c>
      <c r="W28">
        <v>6.9335910399999996</v>
      </c>
      <c r="X28">
        <v>6.866902617</v>
      </c>
      <c r="Y28">
        <v>6.8030257839999999</v>
      </c>
      <c r="Z28">
        <v>6.7418849439999997</v>
      </c>
      <c r="AA28">
        <v>6.6833951650000003</v>
      </c>
      <c r="AB28">
        <v>6.62746849</v>
      </c>
      <c r="AC28">
        <v>6.5740172980000002</v>
      </c>
      <c r="AD28">
        <v>6.5229561550000001</v>
      </c>
      <c r="AE28">
        <v>6.4742028639999996</v>
      </c>
      <c r="AF28">
        <v>6.4276790420000003</v>
      </c>
      <c r="AG28">
        <v>6.3833103940000004</v>
      </c>
      <c r="AH28">
        <v>6.3410268280000004</v>
      </c>
      <c r="AI28">
        <v>6.3007624419999999</v>
      </c>
      <c r="AJ28">
        <v>6.2624554479999999</v>
      </c>
      <c r="AK28">
        <v>6.2260480420000004</v>
      </c>
    </row>
    <row r="29" spans="1:37" x14ac:dyDescent="0.25">
      <c r="A29" t="s">
        <v>2039</v>
      </c>
      <c r="B29">
        <v>8.2041278789999996</v>
      </c>
      <c r="C29">
        <v>8.2224071920000004</v>
      </c>
      <c r="D29">
        <v>8.2107482189999992</v>
      </c>
      <c r="E29">
        <v>8.1895903140000001</v>
      </c>
      <c r="F29">
        <v>8.1673428650000002</v>
      </c>
      <c r="G29">
        <v>8.1470025100000001</v>
      </c>
      <c r="H29">
        <v>8.1293023000000009</v>
      </c>
      <c r="I29">
        <v>8.1141290619999999</v>
      </c>
      <c r="J29">
        <v>8.1011249010000004</v>
      </c>
      <c r="K29">
        <v>8.0899203639999993</v>
      </c>
      <c r="L29">
        <v>8.0802092470000009</v>
      </c>
      <c r="M29">
        <v>8.0717602629999998</v>
      </c>
      <c r="N29">
        <v>8.0644070229999993</v>
      </c>
      <c r="O29">
        <v>8.0580331740000002</v>
      </c>
      <c r="P29">
        <v>8.0525587830000003</v>
      </c>
      <c r="Q29">
        <v>8.0479295250000007</v>
      </c>
      <c r="R29">
        <v>8.0441087049999993</v>
      </c>
      <c r="S29">
        <v>8.0410716050000008</v>
      </c>
      <c r="T29">
        <v>8.038800234</v>
      </c>
      <c r="U29">
        <v>8.0372675319999995</v>
      </c>
      <c r="V29">
        <v>8.0364596079999995</v>
      </c>
      <c r="W29">
        <v>8.0363695449999994</v>
      </c>
      <c r="X29">
        <v>8.0369940639999999</v>
      </c>
      <c r="Y29">
        <v>8.0383317289999994</v>
      </c>
      <c r="Z29">
        <v>8.0403820009999993</v>
      </c>
      <c r="AA29">
        <v>8.043144753</v>
      </c>
      <c r="AB29">
        <v>8.0466200400000005</v>
      </c>
      <c r="AC29">
        <v>8.0508080060000005</v>
      </c>
      <c r="AD29">
        <v>8.0557088560000008</v>
      </c>
      <c r="AE29">
        <v>8.0613228659999994</v>
      </c>
      <c r="AF29">
        <v>8.0676504009999999</v>
      </c>
      <c r="AG29">
        <v>8.0746919310000003</v>
      </c>
      <c r="AH29">
        <v>8.0824480399999992</v>
      </c>
      <c r="AI29">
        <v>8.0909194360000001</v>
      </c>
      <c r="AJ29">
        <v>8.1001069430000001</v>
      </c>
      <c r="AK29">
        <v>8.1100115049999992</v>
      </c>
    </row>
    <row r="30" spans="1:37" x14ac:dyDescent="0.25">
      <c r="A30" t="s">
        <v>2040</v>
      </c>
      <c r="B30">
        <v>8.7126031669999993</v>
      </c>
      <c r="C30">
        <v>8.8056386510000006</v>
      </c>
      <c r="D30">
        <v>8.8950835680000004</v>
      </c>
      <c r="E30">
        <v>8.9825495239999995</v>
      </c>
      <c r="F30">
        <v>9.0680695030000003</v>
      </c>
      <c r="G30">
        <v>9.1506153609999998</v>
      </c>
      <c r="H30">
        <v>9.2306044319999998</v>
      </c>
      <c r="I30">
        <v>9.309916222</v>
      </c>
      <c r="J30">
        <v>9.3895915910000003</v>
      </c>
      <c r="K30">
        <v>9.469795006</v>
      </c>
      <c r="L30">
        <v>9.5500057930000004</v>
      </c>
      <c r="M30">
        <v>9.6292094779999999</v>
      </c>
      <c r="N30">
        <v>9.7060607270000006</v>
      </c>
      <c r="O30">
        <v>9.7790209430000008</v>
      </c>
      <c r="P30">
        <v>9.846475839</v>
      </c>
      <c r="Q30">
        <v>9.9068357210000002</v>
      </c>
      <c r="R30">
        <v>9.9600281850000005</v>
      </c>
      <c r="S30">
        <v>10.007553529999999</v>
      </c>
      <c r="T30">
        <v>10.05084347</v>
      </c>
      <c r="U30">
        <v>10.091063070000001</v>
      </c>
      <c r="V30">
        <v>10.12911888</v>
      </c>
      <c r="W30">
        <v>10.16570402</v>
      </c>
      <c r="X30">
        <v>10.201345099999999</v>
      </c>
      <c r="Y30">
        <v>10.236442719999999</v>
      </c>
      <c r="Z30">
        <v>10.27130434</v>
      </c>
      <c r="AA30">
        <v>10.30616996</v>
      </c>
      <c r="AB30">
        <v>10.34123162</v>
      </c>
      <c r="AC30">
        <v>10.376647869999999</v>
      </c>
      <c r="AD30">
        <v>10.41255438</v>
      </c>
      <c r="AE30">
        <v>10.44907145</v>
      </c>
      <c r="AF30">
        <v>10.48630943</v>
      </c>
      <c r="AG30">
        <v>10.52437245</v>
      </c>
      <c r="AH30">
        <v>10.563360919999999</v>
      </c>
      <c r="AI30">
        <v>10.603373319999999</v>
      </c>
      <c r="AJ30">
        <v>10.64450723</v>
      </c>
      <c r="AK30">
        <v>10.686859979999999</v>
      </c>
    </row>
    <row r="31" spans="1:37" x14ac:dyDescent="0.25">
      <c r="A31" t="s">
        <v>2041</v>
      </c>
      <c r="B31">
        <v>8.7126031669999993</v>
      </c>
      <c r="C31">
        <v>8.8102314360000005</v>
      </c>
      <c r="D31">
        <v>8.9083178190000005</v>
      </c>
      <c r="E31">
        <v>9.0081958279999998</v>
      </c>
      <c r="F31">
        <v>9.1103409670000008</v>
      </c>
      <c r="G31">
        <v>9.2147850210000009</v>
      </c>
      <c r="H31">
        <v>9.3213888419999993</v>
      </c>
      <c r="I31">
        <v>9.4299722950000007</v>
      </c>
      <c r="J31">
        <v>9.5403662189999991</v>
      </c>
      <c r="K31">
        <v>9.6524291039999994</v>
      </c>
      <c r="L31">
        <v>9.7660496919999993</v>
      </c>
      <c r="M31">
        <v>9.8811447349999995</v>
      </c>
      <c r="N31">
        <v>9.9976554340000003</v>
      </c>
      <c r="O31">
        <v>10.11554374</v>
      </c>
      <c r="P31">
        <v>10.234788740000001</v>
      </c>
      <c r="Q31">
        <v>10.355383120000001</v>
      </c>
      <c r="R31">
        <v>10.47732993</v>
      </c>
      <c r="S31">
        <v>10.600639790000001</v>
      </c>
      <c r="T31">
        <v>10.725328360000001</v>
      </c>
      <c r="U31">
        <v>10.851414330000001</v>
      </c>
      <c r="V31">
        <v>10.978917940000001</v>
      </c>
      <c r="W31">
        <v>11.10785993</v>
      </c>
      <c r="X31">
        <v>11.23826094</v>
      </c>
      <c r="Y31">
        <v>11.37014117</v>
      </c>
      <c r="Z31">
        <v>11.5035203</v>
      </c>
      <c r="AA31">
        <v>11.63841753</v>
      </c>
      <c r="AB31">
        <v>11.774851699999999</v>
      </c>
      <c r="AC31">
        <v>11.912841500000001</v>
      </c>
      <c r="AD31">
        <v>12.0524056</v>
      </c>
      <c r="AE31">
        <v>12.1935628</v>
      </c>
      <c r="AF31">
        <v>12.33633216</v>
      </c>
      <c r="AG31">
        <v>12.48073304</v>
      </c>
      <c r="AH31">
        <v>12.62678515</v>
      </c>
      <c r="AI31">
        <v>12.77450855</v>
      </c>
      <c r="AJ31">
        <v>12.92392366</v>
      </c>
      <c r="AK31">
        <v>13.07505121</v>
      </c>
    </row>
    <row r="32" spans="1:37" x14ac:dyDescent="0.25">
      <c r="A32" t="s">
        <v>2042</v>
      </c>
      <c r="B32">
        <v>3.0823350200000002E-3</v>
      </c>
      <c r="C32">
        <v>3.1127392200000002E-3</v>
      </c>
      <c r="D32">
        <v>3.1405222999999999E-3</v>
      </c>
      <c r="E32">
        <v>3.1670778200000001E-3</v>
      </c>
      <c r="F32">
        <v>3.1927275600000002E-3</v>
      </c>
      <c r="G32">
        <v>3.21715983E-3</v>
      </c>
      <c r="H32">
        <v>3.24057713E-3</v>
      </c>
      <c r="I32">
        <v>3.2637771200000002E-3</v>
      </c>
      <c r="J32">
        <v>3.2872011399999999E-3</v>
      </c>
      <c r="K32">
        <v>3.3108974999999999E-3</v>
      </c>
      <c r="L32">
        <v>3.3346172300000002E-3</v>
      </c>
      <c r="M32">
        <v>3.3579058200000002E-3</v>
      </c>
      <c r="N32">
        <v>3.3801765800000002E-3</v>
      </c>
      <c r="O32">
        <v>3.4007693100000002E-3</v>
      </c>
      <c r="P32">
        <v>3.4189988799999999E-3</v>
      </c>
      <c r="Q32">
        <v>3.43419699E-3</v>
      </c>
      <c r="R32">
        <v>3.4463662899999999E-3</v>
      </c>
      <c r="S32">
        <v>3.4562051600000002E-3</v>
      </c>
      <c r="T32">
        <v>3.4643611299999999E-3</v>
      </c>
      <c r="U32">
        <v>3.4713388999999999E-3</v>
      </c>
      <c r="V32">
        <v>3.4775168899999999E-3</v>
      </c>
      <c r="W32">
        <v>3.48317636E-3</v>
      </c>
      <c r="X32">
        <v>3.4885266799999999E-3</v>
      </c>
      <c r="Y32">
        <v>3.4937248299999999E-3</v>
      </c>
      <c r="Z32">
        <v>3.49888993E-3</v>
      </c>
      <c r="AA32">
        <v>3.5041138399999998E-3</v>
      </c>
      <c r="AB32">
        <v>3.5094689300000001E-3</v>
      </c>
      <c r="AC32">
        <v>3.5150136300000001E-3</v>
      </c>
      <c r="AD32">
        <v>3.5207964999999998E-3</v>
      </c>
      <c r="AE32">
        <v>3.52685918E-3</v>
      </c>
      <c r="AF32">
        <v>3.53323848E-3</v>
      </c>
      <c r="AG32">
        <v>3.5399679800000002E-3</v>
      </c>
      <c r="AH32">
        <v>3.54707907E-3</v>
      </c>
      <c r="AI32">
        <v>3.5546018299999998E-3</v>
      </c>
      <c r="AJ32">
        <v>3.56256549E-3</v>
      </c>
      <c r="AK32">
        <v>3.5709988800000001E-3</v>
      </c>
    </row>
    <row r="33" spans="1:37" x14ac:dyDescent="0.25">
      <c r="A33" t="s">
        <v>2043</v>
      </c>
      <c r="B33">
        <v>3.0823350200000002E-3</v>
      </c>
      <c r="C33">
        <v>3.1145561599999999E-3</v>
      </c>
      <c r="D33">
        <v>3.1457885100000002E-3</v>
      </c>
      <c r="E33">
        <v>3.1772690199999998E-3</v>
      </c>
      <c r="F33">
        <v>3.2094770800000002E-3</v>
      </c>
      <c r="G33">
        <v>3.2425306000000002E-3</v>
      </c>
      <c r="H33">
        <v>3.2764118000000002E-3</v>
      </c>
      <c r="I33">
        <v>3.3110616600000001E-3</v>
      </c>
      <c r="J33">
        <v>3.3464148000000001E-3</v>
      </c>
      <c r="K33">
        <v>3.3824112699999999E-3</v>
      </c>
      <c r="L33">
        <v>3.41900014E-3</v>
      </c>
      <c r="M33">
        <v>3.45614019E-3</v>
      </c>
      <c r="N33">
        <v>3.49379957E-3</v>
      </c>
      <c r="O33">
        <v>3.5319548799999999E-3</v>
      </c>
      <c r="P33">
        <v>3.5705901100000002E-3</v>
      </c>
      <c r="Q33">
        <v>3.6096952599999998E-3</v>
      </c>
      <c r="R33">
        <v>3.6492649700000002E-3</v>
      </c>
      <c r="S33">
        <v>3.6892973400000002E-3</v>
      </c>
      <c r="T33">
        <v>3.7297928099999998E-3</v>
      </c>
      <c r="U33">
        <v>3.77075321E-3</v>
      </c>
      <c r="V33">
        <v>3.8121811499999998E-3</v>
      </c>
      <c r="W33">
        <v>3.8540795900000001E-3</v>
      </c>
      <c r="X33">
        <v>3.8964516100000002E-3</v>
      </c>
      <c r="Y33">
        <v>3.9393002399999997E-3</v>
      </c>
      <c r="Z33">
        <v>3.9826285399999998E-3</v>
      </c>
      <c r="AA33">
        <v>4.02643958E-3</v>
      </c>
      <c r="AB33">
        <v>4.0707365699999996E-3</v>
      </c>
      <c r="AC33">
        <v>4.1155229600000004E-3</v>
      </c>
      <c r="AD33">
        <v>4.1608024799999997E-3</v>
      </c>
      <c r="AE33">
        <v>4.2065792500000001E-3</v>
      </c>
      <c r="AF33">
        <v>4.2528578099999999E-3</v>
      </c>
      <c r="AG33">
        <v>4.29964315E-3</v>
      </c>
      <c r="AH33">
        <v>4.3469407000000003E-3</v>
      </c>
      <c r="AI33">
        <v>4.39475635E-3</v>
      </c>
      <c r="AJ33">
        <v>4.4430963899999999E-3</v>
      </c>
      <c r="AK33">
        <v>4.49196753E-3</v>
      </c>
    </row>
    <row r="34" spans="1:37" x14ac:dyDescent="0.25">
      <c r="A34" t="s">
        <v>2044</v>
      </c>
      <c r="B34">
        <v>1.2192443400000001E-2</v>
      </c>
      <c r="C34">
        <v>1.23094368E-2</v>
      </c>
      <c r="D34">
        <v>1.2410492299999999E-2</v>
      </c>
      <c r="E34">
        <v>1.24992986E-2</v>
      </c>
      <c r="F34">
        <v>1.2575427700000001E-2</v>
      </c>
      <c r="G34">
        <v>1.26356206E-2</v>
      </c>
      <c r="H34">
        <v>1.26832765E-2</v>
      </c>
      <c r="I34">
        <v>1.27271608E-2</v>
      </c>
      <c r="J34">
        <v>1.27717588E-2</v>
      </c>
      <c r="K34">
        <v>1.28177567E-2</v>
      </c>
      <c r="L34">
        <v>1.28632368E-2</v>
      </c>
      <c r="M34">
        <v>1.2904693599999999E-2</v>
      </c>
      <c r="N34">
        <v>1.2937822099999999E-2</v>
      </c>
      <c r="O34">
        <v>1.29581321E-2</v>
      </c>
      <c r="P34">
        <v>1.29614352E-2</v>
      </c>
      <c r="Q34">
        <v>1.29442167E-2</v>
      </c>
      <c r="R34">
        <v>1.2908432399999999E-2</v>
      </c>
      <c r="S34">
        <v>1.2860673899999999E-2</v>
      </c>
      <c r="T34">
        <v>1.2806305800000001E-2</v>
      </c>
      <c r="U34">
        <v>1.27491545E-2</v>
      </c>
      <c r="V34">
        <v>1.26918147E-2</v>
      </c>
      <c r="W34">
        <v>1.26359909E-2</v>
      </c>
      <c r="X34">
        <v>1.25827714E-2</v>
      </c>
      <c r="Y34">
        <v>1.2532828399999999E-2</v>
      </c>
      <c r="Z34">
        <v>1.24865576E-2</v>
      </c>
      <c r="AA34">
        <v>1.2444174400000001E-2</v>
      </c>
      <c r="AB34">
        <v>1.24057775E-2</v>
      </c>
      <c r="AC34">
        <v>1.2371392700000001E-2</v>
      </c>
      <c r="AD34">
        <v>1.23410013E-2</v>
      </c>
      <c r="AE34">
        <v>1.23145593E-2</v>
      </c>
      <c r="AF34">
        <v>1.22920106E-2</v>
      </c>
      <c r="AG34">
        <v>1.22732951E-2</v>
      </c>
      <c r="AH34">
        <v>1.22583542E-2</v>
      </c>
      <c r="AI34">
        <v>1.2247134999999999E-2</v>
      </c>
      <c r="AJ34">
        <v>1.22395916E-2</v>
      </c>
      <c r="AK34">
        <v>1.22356867E-2</v>
      </c>
    </row>
    <row r="35" spans="1:37" x14ac:dyDescent="0.25">
      <c r="A35" t="s">
        <v>2045</v>
      </c>
      <c r="B35">
        <v>1.2192443400000001E-2</v>
      </c>
      <c r="C35">
        <v>1.2329247099999999E-2</v>
      </c>
      <c r="D35">
        <v>1.24662622E-2</v>
      </c>
      <c r="E35">
        <v>1.2605259400000001E-2</v>
      </c>
      <c r="F35">
        <v>1.2747054400000001E-2</v>
      </c>
      <c r="G35">
        <v>1.2891942599999999E-2</v>
      </c>
      <c r="H35">
        <v>1.30399751E-2</v>
      </c>
      <c r="I35">
        <v>1.3191085599999999E-2</v>
      </c>
      <c r="J35">
        <v>1.3345152000000001E-2</v>
      </c>
      <c r="K35">
        <v>1.35020326E-2</v>
      </c>
      <c r="L35">
        <v>1.3661589E-2</v>
      </c>
      <c r="M35">
        <v>1.38237004E-2</v>
      </c>
      <c r="N35">
        <v>1.39882707E-2</v>
      </c>
      <c r="O35">
        <v>1.415523E-2</v>
      </c>
      <c r="P35">
        <v>1.43245331E-2</v>
      </c>
      <c r="Q35">
        <v>1.4496155599999999E-2</v>
      </c>
      <c r="R35">
        <v>1.4670088899999999E-2</v>
      </c>
      <c r="S35">
        <v>1.48463359E-2</v>
      </c>
      <c r="T35">
        <v>1.50249068E-2</v>
      </c>
      <c r="U35">
        <v>1.5205815899999999E-2</v>
      </c>
      <c r="V35">
        <v>1.5389078699999999E-2</v>
      </c>
      <c r="W35">
        <v>1.5574711600000001E-2</v>
      </c>
      <c r="X35">
        <v>1.5762729900000001E-2</v>
      </c>
      <c r="Y35">
        <v>1.5953148800000001E-2</v>
      </c>
      <c r="Z35">
        <v>1.6145982900000001E-2</v>
      </c>
      <c r="AA35">
        <v>1.6341246699999999E-2</v>
      </c>
      <c r="AB35">
        <v>1.6538955500000001E-2</v>
      </c>
      <c r="AC35">
        <v>1.6739125600000002E-2</v>
      </c>
      <c r="AD35">
        <v>1.6941774699999999E-2</v>
      </c>
      <c r="AE35">
        <v>1.7146922799999999E-2</v>
      </c>
      <c r="AF35">
        <v>1.7354591799999999E-2</v>
      </c>
      <c r="AG35">
        <v>1.7564805999999999E-2</v>
      </c>
      <c r="AH35">
        <v>1.7777592200000001E-2</v>
      </c>
      <c r="AI35">
        <v>1.7992979499999999E-2</v>
      </c>
      <c r="AJ35">
        <v>1.82109994E-2</v>
      </c>
      <c r="AK35">
        <v>1.8431685499999999E-2</v>
      </c>
    </row>
    <row r="36" spans="1:37" x14ac:dyDescent="0.25">
      <c r="A36" t="s">
        <v>2046</v>
      </c>
      <c r="B36">
        <v>18.352541380000002</v>
      </c>
      <c r="C36">
        <v>18.53067845</v>
      </c>
      <c r="D36">
        <v>18.691687000000002</v>
      </c>
      <c r="E36">
        <v>18.844352260000001</v>
      </c>
      <c r="F36">
        <v>18.990602249999998</v>
      </c>
      <c r="G36">
        <v>19.128409900000001</v>
      </c>
      <c r="H36">
        <v>19.25948211</v>
      </c>
      <c r="I36">
        <v>19.389321240000001</v>
      </c>
      <c r="J36">
        <v>19.520734539999999</v>
      </c>
      <c r="K36">
        <v>19.65394672</v>
      </c>
      <c r="L36">
        <v>19.78731891</v>
      </c>
      <c r="M36">
        <v>19.917971219999998</v>
      </c>
      <c r="N36">
        <v>20.042263670000001</v>
      </c>
      <c r="O36">
        <v>20.15617481</v>
      </c>
      <c r="P36">
        <v>20.255610860000001</v>
      </c>
      <c r="Q36">
        <v>20.3366629</v>
      </c>
      <c r="R36">
        <v>20.39974381</v>
      </c>
      <c r="S36">
        <v>20.449467970000001</v>
      </c>
      <c r="T36">
        <v>20.489854690000001</v>
      </c>
      <c r="U36">
        <v>20.52394378</v>
      </c>
      <c r="V36">
        <v>20.55396532</v>
      </c>
      <c r="W36">
        <v>20.581545949999999</v>
      </c>
      <c r="X36">
        <v>20.60787491</v>
      </c>
      <c r="Y36">
        <v>20.633827279999998</v>
      </c>
      <c r="Z36">
        <v>20.660053640000001</v>
      </c>
      <c r="AA36">
        <v>20.687044950000001</v>
      </c>
      <c r="AB36">
        <v>20.71517931</v>
      </c>
      <c r="AC36">
        <v>20.74475567</v>
      </c>
      <c r="AD36">
        <v>20.776018069999999</v>
      </c>
      <c r="AE36">
        <v>20.80917311</v>
      </c>
      <c r="AF36">
        <v>20.84440253</v>
      </c>
      <c r="AG36">
        <v>20.881872269999999</v>
      </c>
      <c r="AH36">
        <v>20.921738829999999</v>
      </c>
      <c r="AI36">
        <v>20.96415382</v>
      </c>
      <c r="AJ36">
        <v>21.009266879999998</v>
      </c>
      <c r="AK36">
        <v>21.05722763</v>
      </c>
    </row>
    <row r="37" spans="1:37" x14ac:dyDescent="0.25">
      <c r="A37" t="s">
        <v>2047</v>
      </c>
      <c r="B37">
        <v>18.352541380000002</v>
      </c>
      <c r="C37">
        <v>18.543405199999999</v>
      </c>
      <c r="D37">
        <v>18.72786739</v>
      </c>
      <c r="E37">
        <v>18.913593509999998</v>
      </c>
      <c r="F37">
        <v>19.103563560000001</v>
      </c>
      <c r="G37">
        <v>19.298525569999999</v>
      </c>
      <c r="H37">
        <v>19.498391649999999</v>
      </c>
      <c r="I37">
        <v>19.70282044</v>
      </c>
      <c r="J37">
        <v>19.91143091</v>
      </c>
      <c r="K37">
        <v>20.123873799999998</v>
      </c>
      <c r="L37">
        <v>20.339852449999999</v>
      </c>
      <c r="M37">
        <v>20.559126460000002</v>
      </c>
      <c r="N37">
        <v>20.78150917</v>
      </c>
      <c r="O37">
        <v>21.006862680000001</v>
      </c>
      <c r="P37">
        <v>21.23509116</v>
      </c>
      <c r="Q37">
        <v>21.46613335</v>
      </c>
      <c r="R37">
        <v>21.699954810000001</v>
      </c>
      <c r="S37">
        <v>21.936540910000002</v>
      </c>
      <c r="T37">
        <v>22.175890370000001</v>
      </c>
      <c r="U37">
        <v>22.418010150000001</v>
      </c>
      <c r="V37">
        <v>22.662911650000002</v>
      </c>
      <c r="W37">
        <v>22.910608310000001</v>
      </c>
      <c r="X37">
        <v>23.161114120000001</v>
      </c>
      <c r="Y37">
        <v>23.414443089999999</v>
      </c>
      <c r="Z37">
        <v>23.670609160000001</v>
      </c>
      <c r="AA37">
        <v>23.929626590000002</v>
      </c>
      <c r="AB37">
        <v>24.191510480000002</v>
      </c>
      <c r="AC37">
        <v>24.456277310000001</v>
      </c>
      <c r="AD37">
        <v>24.723945459999999</v>
      </c>
      <c r="AE37">
        <v>24.99453566</v>
      </c>
      <c r="AF37">
        <v>25.268071249999998</v>
      </c>
      <c r="AG37">
        <v>25.544578380000001</v>
      </c>
      <c r="AH37">
        <v>25.824086000000001</v>
      </c>
      <c r="AI37">
        <v>26.106625869999998</v>
      </c>
      <c r="AJ37">
        <v>26.392232400000001</v>
      </c>
      <c r="AK37">
        <v>26.680942479999999</v>
      </c>
    </row>
    <row r="38" spans="1:37" x14ac:dyDescent="0.25">
      <c r="A38" t="s">
        <v>2048</v>
      </c>
      <c r="B38">
        <v>5.3420570679999999</v>
      </c>
      <c r="C38">
        <v>5.3932642270000004</v>
      </c>
      <c r="D38">
        <v>5.4396488700000001</v>
      </c>
      <c r="E38">
        <v>5.4842437390000001</v>
      </c>
      <c r="F38">
        <v>5.5278717310000003</v>
      </c>
      <c r="G38">
        <v>5.5701574520000001</v>
      </c>
      <c r="H38">
        <v>5.6113927989999999</v>
      </c>
      <c r="I38">
        <v>5.652668791</v>
      </c>
      <c r="J38">
        <v>5.6945055900000003</v>
      </c>
      <c r="K38">
        <v>5.7368844929999998</v>
      </c>
      <c r="L38">
        <v>5.7793939950000004</v>
      </c>
      <c r="M38">
        <v>5.8213496400000002</v>
      </c>
      <c r="N38">
        <v>5.8618834690000003</v>
      </c>
      <c r="O38">
        <v>5.9000138120000001</v>
      </c>
      <c r="P38">
        <v>5.9347036949999996</v>
      </c>
      <c r="Q38">
        <v>5.9649127550000003</v>
      </c>
      <c r="R38">
        <v>5.9906095099999996</v>
      </c>
      <c r="S38">
        <v>6.0127929780000002</v>
      </c>
      <c r="T38">
        <v>6.0323456489999998</v>
      </c>
      <c r="U38">
        <v>6.0499509419999997</v>
      </c>
      <c r="V38">
        <v>6.0661305419999998</v>
      </c>
      <c r="W38">
        <v>6.0812851160000001</v>
      </c>
      <c r="X38">
        <v>6.0957251719999999</v>
      </c>
      <c r="Y38">
        <v>6.1096935940000003</v>
      </c>
      <c r="Z38">
        <v>6.1233824270000001</v>
      </c>
      <c r="AA38">
        <v>6.1369455840000002</v>
      </c>
      <c r="AB38">
        <v>6.150508565</v>
      </c>
      <c r="AC38">
        <v>6.1641758580000001</v>
      </c>
      <c r="AD38">
        <v>6.1780365770000003</v>
      </c>
      <c r="AE38">
        <v>6.1921687240000001</v>
      </c>
      <c r="AF38">
        <v>6.2066424109999998</v>
      </c>
      <c r="AG38">
        <v>6.2215222590000003</v>
      </c>
      <c r="AH38">
        <v>6.2368691849999998</v>
      </c>
      <c r="AI38">
        <v>6.2527416840000001</v>
      </c>
      <c r="AJ38">
        <v>6.2691967330000002</v>
      </c>
      <c r="AK38">
        <v>6.2862903799999996</v>
      </c>
    </row>
    <row r="39" spans="1:37" x14ac:dyDescent="0.25">
      <c r="A39" t="s">
        <v>2049</v>
      </c>
      <c r="B39">
        <v>5.3420570679999999</v>
      </c>
      <c r="C39">
        <v>5.395876007</v>
      </c>
      <c r="D39">
        <v>5.4470472409999999</v>
      </c>
      <c r="E39">
        <v>5.4983868620000003</v>
      </c>
      <c r="F39">
        <v>5.5509753079999999</v>
      </c>
      <c r="G39">
        <v>5.6050749440000001</v>
      </c>
      <c r="H39">
        <v>5.6606480130000003</v>
      </c>
      <c r="I39">
        <v>5.7175712399999998</v>
      </c>
      <c r="J39">
        <v>5.7757125360000003</v>
      </c>
      <c r="K39">
        <v>5.8349545980000004</v>
      </c>
      <c r="L39">
        <v>5.8952001139999997</v>
      </c>
      <c r="M39">
        <v>5.9563713150000002</v>
      </c>
      <c r="N39">
        <v>6.0184080370000004</v>
      </c>
      <c r="O39">
        <v>6.081265481</v>
      </c>
      <c r="P39">
        <v>6.1449118450000002</v>
      </c>
      <c r="Q39">
        <v>6.2093258750000002</v>
      </c>
      <c r="R39">
        <v>6.2744944980000001</v>
      </c>
      <c r="S39">
        <v>6.3404106950000001</v>
      </c>
      <c r="T39">
        <v>6.4070715759999999</v>
      </c>
      <c r="U39">
        <v>6.4744768150000001</v>
      </c>
      <c r="V39">
        <v>6.5426275350000003</v>
      </c>
      <c r="W39">
        <v>6.6115255470000003</v>
      </c>
      <c r="X39">
        <v>6.6811729130000002</v>
      </c>
      <c r="Y39">
        <v>6.751571749</v>
      </c>
      <c r="Z39">
        <v>6.822724204</v>
      </c>
      <c r="AA39">
        <v>6.8946325469999996</v>
      </c>
      <c r="AB39">
        <v>6.9672993090000004</v>
      </c>
      <c r="AC39">
        <v>7.040727446</v>
      </c>
      <c r="AD39">
        <v>7.1149204819999996</v>
      </c>
      <c r="AE39">
        <v>7.1898826329999999</v>
      </c>
      <c r="AF39">
        <v>7.2656188899999998</v>
      </c>
      <c r="AG39">
        <v>7.3421350619999997</v>
      </c>
      <c r="AH39">
        <v>7.4194377920000001</v>
      </c>
      <c r="AI39">
        <v>7.4975345410000003</v>
      </c>
      <c r="AJ39">
        <v>7.5764335479999998</v>
      </c>
      <c r="AK39">
        <v>7.6561437830000001</v>
      </c>
    </row>
    <row r="40" spans="1:37" x14ac:dyDescent="0.25">
      <c r="A40" t="s">
        <v>2050</v>
      </c>
      <c r="B40">
        <v>0.24960722420000001</v>
      </c>
      <c r="C40">
        <v>0.2519188665</v>
      </c>
      <c r="D40">
        <v>0.25393841509999998</v>
      </c>
      <c r="E40">
        <v>0.25580648909999998</v>
      </c>
      <c r="F40">
        <v>0.25754995180000001</v>
      </c>
      <c r="G40">
        <v>0.2591321305</v>
      </c>
      <c r="H40">
        <v>0.26059049509999999</v>
      </c>
      <c r="I40">
        <v>0.26202636829999998</v>
      </c>
      <c r="J40">
        <v>0.26348524410000002</v>
      </c>
      <c r="K40">
        <v>0.2649678124</v>
      </c>
      <c r="L40">
        <v>0.26644447310000002</v>
      </c>
      <c r="M40">
        <v>0.26786641999999999</v>
      </c>
      <c r="N40">
        <v>0.26917380790000001</v>
      </c>
      <c r="O40">
        <v>0.27030206810000001</v>
      </c>
      <c r="P40">
        <v>0.27118705250000003</v>
      </c>
      <c r="Q40">
        <v>0.27176931700000001</v>
      </c>
      <c r="R40">
        <v>0.27206568660000002</v>
      </c>
      <c r="S40">
        <v>0.27216042670000001</v>
      </c>
      <c r="T40">
        <v>0.2721207692</v>
      </c>
      <c r="U40">
        <v>0.27199588070000003</v>
      </c>
      <c r="V40">
        <v>0.2718212351</v>
      </c>
      <c r="W40">
        <v>0.27162248290000002</v>
      </c>
      <c r="X40">
        <v>0.27141827120000001</v>
      </c>
      <c r="Y40">
        <v>0.27122223080000002</v>
      </c>
      <c r="Z40">
        <v>0.27104438180000001</v>
      </c>
      <c r="AA40">
        <v>0.2708921393</v>
      </c>
      <c r="AB40">
        <v>0.27077103870000002</v>
      </c>
      <c r="AC40">
        <v>0.27068526389999997</v>
      </c>
      <c r="AD40">
        <v>0.27063803380000001</v>
      </c>
      <c r="AE40">
        <v>0.2706318855</v>
      </c>
      <c r="AF40">
        <v>0.270668884</v>
      </c>
      <c r="AG40">
        <v>0.27075077600000003</v>
      </c>
      <c r="AH40">
        <v>0.27087910259999998</v>
      </c>
      <c r="AI40">
        <v>0.27105528130000001</v>
      </c>
      <c r="AJ40">
        <v>0.27128066319999999</v>
      </c>
      <c r="AK40">
        <v>0.27155657179999998</v>
      </c>
    </row>
    <row r="41" spans="1:37" x14ac:dyDescent="0.25">
      <c r="A41" t="s">
        <v>2051</v>
      </c>
      <c r="B41">
        <v>0.24960722420000001</v>
      </c>
      <c r="C41">
        <v>0.2521594895</v>
      </c>
      <c r="D41">
        <v>0.25460441989999999</v>
      </c>
      <c r="E41">
        <v>0.25706120669999999</v>
      </c>
      <c r="F41">
        <v>0.2595762076</v>
      </c>
      <c r="G41">
        <v>0.26216110999999997</v>
      </c>
      <c r="H41">
        <v>0.26481464179999997</v>
      </c>
      <c r="I41">
        <v>0.26753165229999998</v>
      </c>
      <c r="J41">
        <v>0.27030643770000001</v>
      </c>
      <c r="K41">
        <v>0.27313383149999998</v>
      </c>
      <c r="L41">
        <v>0.27600949520000001</v>
      </c>
      <c r="M41">
        <v>0.2789299422</v>
      </c>
      <c r="N41">
        <v>0.28189247569999998</v>
      </c>
      <c r="O41">
        <v>0.28489509750000003</v>
      </c>
      <c r="P41">
        <v>0.2879364029</v>
      </c>
      <c r="Q41">
        <v>0.29101546690000002</v>
      </c>
      <c r="R41">
        <v>0.29413173450000002</v>
      </c>
      <c r="S41">
        <v>0.29728492150000002</v>
      </c>
      <c r="T41">
        <v>0.30047492580000001</v>
      </c>
      <c r="U41">
        <v>0.30370175640000002</v>
      </c>
      <c r="V41">
        <v>0.30696548239999999</v>
      </c>
      <c r="W41">
        <v>0.31026620049999998</v>
      </c>
      <c r="X41">
        <v>0.31360401519999997</v>
      </c>
      <c r="Y41">
        <v>0.31697903189999999</v>
      </c>
      <c r="Z41">
        <v>0.32039135670000002</v>
      </c>
      <c r="AA41">
        <v>0.32384110199999999</v>
      </c>
      <c r="AB41">
        <v>0.3273283931</v>
      </c>
      <c r="AC41">
        <v>0.33085337729999997</v>
      </c>
      <c r="AD41">
        <v>0.33441623040000001</v>
      </c>
      <c r="AE41">
        <v>0.33801716320000003</v>
      </c>
      <c r="AF41">
        <v>0.3416564252</v>
      </c>
      <c r="AG41">
        <v>0.34533430739999998</v>
      </c>
      <c r="AH41">
        <v>0.34905114209999999</v>
      </c>
      <c r="AI41">
        <v>0.35280730329999999</v>
      </c>
      <c r="AJ41">
        <v>0.3566032039</v>
      </c>
      <c r="AK41">
        <v>0.36043929400000002</v>
      </c>
    </row>
    <row r="42" spans="1:37" x14ac:dyDescent="0.25">
      <c r="A42" t="s">
        <v>2052</v>
      </c>
      <c r="B42">
        <v>2.025571738</v>
      </c>
      <c r="C42">
        <v>2.0455994550000001</v>
      </c>
      <c r="D42">
        <v>2.0642423189999999</v>
      </c>
      <c r="E42">
        <v>2.0826173130000001</v>
      </c>
      <c r="F42">
        <v>2.1010811999999999</v>
      </c>
      <c r="G42">
        <v>2.1195895149999999</v>
      </c>
      <c r="H42">
        <v>2.1381253409999998</v>
      </c>
      <c r="I42">
        <v>2.1568285490000001</v>
      </c>
      <c r="J42">
        <v>2.1757918900000002</v>
      </c>
      <c r="K42">
        <v>2.1950116469999998</v>
      </c>
      <c r="L42">
        <v>2.2144042549999998</v>
      </c>
      <c r="M42">
        <v>2.2338265900000001</v>
      </c>
      <c r="N42">
        <v>2.253092783</v>
      </c>
      <c r="O42">
        <v>2.2719879939999998</v>
      </c>
      <c r="P42">
        <v>2.2902800380000001</v>
      </c>
      <c r="Q42">
        <v>2.3077295229999999</v>
      </c>
      <c r="R42">
        <v>2.324261387</v>
      </c>
      <c r="S42">
        <v>2.3400158370000002</v>
      </c>
      <c r="T42">
        <v>2.3551664639999998</v>
      </c>
      <c r="U42">
        <v>2.3698604200000002</v>
      </c>
      <c r="V42">
        <v>2.38421525</v>
      </c>
      <c r="W42">
        <v>2.3983234950000001</v>
      </c>
      <c r="X42">
        <v>2.4122575830000001</v>
      </c>
      <c r="Y42">
        <v>2.4260740799999998</v>
      </c>
      <c r="Z42">
        <v>2.4398172819999999</v>
      </c>
      <c r="AA42">
        <v>2.453522231</v>
      </c>
      <c r="AB42">
        <v>2.4672171729999999</v>
      </c>
      <c r="AC42">
        <v>2.4809255339999998</v>
      </c>
      <c r="AD42">
        <v>2.4946674639999999</v>
      </c>
      <c r="AE42">
        <v>2.5084610399999998</v>
      </c>
      <c r="AF42">
        <v>2.522323181</v>
      </c>
      <c r="AG42">
        <v>2.5362703299999998</v>
      </c>
      <c r="AH42">
        <v>2.5503189640000001</v>
      </c>
      <c r="AI42">
        <v>2.5644859480000002</v>
      </c>
      <c r="AJ42">
        <v>2.5787887650000001</v>
      </c>
      <c r="AK42">
        <v>2.5932456570000002</v>
      </c>
    </row>
    <row r="43" spans="1:37" x14ac:dyDescent="0.25">
      <c r="A43" t="s">
        <v>2053</v>
      </c>
      <c r="B43">
        <v>2.025571738</v>
      </c>
      <c r="C43">
        <v>2.0460254789999999</v>
      </c>
      <c r="D43">
        <v>2.06555716</v>
      </c>
      <c r="E43">
        <v>2.0852430630000001</v>
      </c>
      <c r="F43">
        <v>2.1054771830000001</v>
      </c>
      <c r="G43">
        <v>2.126331832</v>
      </c>
      <c r="H43">
        <v>2.1477652489999999</v>
      </c>
      <c r="I43">
        <v>2.1697089759999999</v>
      </c>
      <c r="J43">
        <v>2.192098455</v>
      </c>
      <c r="K43">
        <v>2.2148809350000001</v>
      </c>
      <c r="L43">
        <v>2.2380155309999998</v>
      </c>
      <c r="M43">
        <v>2.2614712419999998</v>
      </c>
      <c r="N43">
        <v>2.2852249119999999</v>
      </c>
      <c r="O43">
        <v>2.3092596209999998</v>
      </c>
      <c r="P43">
        <v>2.3335634440000002</v>
      </c>
      <c r="Q43">
        <v>2.3581284459999998</v>
      </c>
      <c r="R43">
        <v>2.3829498330000001</v>
      </c>
      <c r="S43">
        <v>2.4080252459999998</v>
      </c>
      <c r="T43">
        <v>2.4333541009999999</v>
      </c>
      <c r="U43">
        <v>2.4589370339999999</v>
      </c>
      <c r="V43">
        <v>2.4847754800000001</v>
      </c>
      <c r="W43">
        <v>2.5108713680000001</v>
      </c>
      <c r="X43">
        <v>2.537226923</v>
      </c>
      <c r="Y43">
        <v>2.5638445569999999</v>
      </c>
      <c r="Z43">
        <v>2.5907268189999999</v>
      </c>
      <c r="AA43">
        <v>2.617876393</v>
      </c>
      <c r="AB43">
        <v>2.6452961130000001</v>
      </c>
      <c r="AC43">
        <v>2.6729889930000001</v>
      </c>
      <c r="AD43">
        <v>2.7009582559999998</v>
      </c>
      <c r="AE43">
        <v>2.7292073509999999</v>
      </c>
      <c r="AF43">
        <v>2.7577399690000002</v>
      </c>
      <c r="AG43">
        <v>2.7865600399999999</v>
      </c>
      <c r="AH43">
        <v>2.815671729</v>
      </c>
      <c r="AI43">
        <v>2.845079412</v>
      </c>
      <c r="AJ43">
        <v>2.8747876630000002</v>
      </c>
      <c r="AK43">
        <v>2.9048012239999998</v>
      </c>
    </row>
    <row r="44" spans="1:37" x14ac:dyDescent="0.25">
      <c r="A44" t="s">
        <v>2054</v>
      </c>
      <c r="B44">
        <v>2.1585652100000002E-2</v>
      </c>
      <c r="C44">
        <v>2.1798264599999999E-2</v>
      </c>
      <c r="D44">
        <v>2.1991706100000001E-2</v>
      </c>
      <c r="E44">
        <v>2.2176527299999998E-2</v>
      </c>
      <c r="F44">
        <v>2.2355826799999999E-2</v>
      </c>
      <c r="G44">
        <v>2.2528117300000001E-2</v>
      </c>
      <c r="H44">
        <v>2.2693737200000001E-2</v>
      </c>
      <c r="I44">
        <v>2.2856724700000001E-2</v>
      </c>
      <c r="J44">
        <v>2.3020334900000002E-2</v>
      </c>
      <c r="K44">
        <v>2.3185658200000001E-2</v>
      </c>
      <c r="L44">
        <v>2.3351753900000001E-2</v>
      </c>
      <c r="M44">
        <v>2.3516095899999999E-2</v>
      </c>
      <c r="N44">
        <v>2.36750482E-2</v>
      </c>
      <c r="O44">
        <v>2.3824298899999999E-2</v>
      </c>
      <c r="P44">
        <v>2.3959236599999999E-2</v>
      </c>
      <c r="Q44">
        <v>2.4075274300000001E-2</v>
      </c>
      <c r="R44">
        <v>2.41712392E-2</v>
      </c>
      <c r="S44">
        <v>2.4250408899999999E-2</v>
      </c>
      <c r="T44">
        <v>2.4316996899999999E-2</v>
      </c>
      <c r="U44">
        <v>2.4374745100000001E-2</v>
      </c>
      <c r="V44">
        <v>2.4426645E-2</v>
      </c>
      <c r="W44">
        <v>2.44749693E-2</v>
      </c>
      <c r="X44">
        <v>2.4521394299999999E-2</v>
      </c>
      <c r="Y44">
        <v>2.4567134899999999E-2</v>
      </c>
      <c r="Z44">
        <v>2.4613065900000002E-2</v>
      </c>
      <c r="AA44">
        <v>2.4659820400000001E-2</v>
      </c>
      <c r="AB44">
        <v>2.4707863300000001E-2</v>
      </c>
      <c r="AC44">
        <v>2.4757546799999999E-2</v>
      </c>
      <c r="AD44">
        <v>2.4809148499999999E-2</v>
      </c>
      <c r="AE44">
        <v>2.4862898800000002E-2</v>
      </c>
      <c r="AF44">
        <v>2.4918998800000002E-2</v>
      </c>
      <c r="AG44">
        <v>2.49776333E-2</v>
      </c>
      <c r="AH44">
        <v>2.5038978699999999E-2</v>
      </c>
      <c r="AI44">
        <v>2.5103208299999999E-2</v>
      </c>
      <c r="AJ44">
        <v>2.51704957E-2</v>
      </c>
      <c r="AK44">
        <v>2.5241016200000001E-2</v>
      </c>
    </row>
    <row r="45" spans="1:37" x14ac:dyDescent="0.25">
      <c r="A45" t="s">
        <v>2055</v>
      </c>
      <c r="B45">
        <v>2.1585652100000002E-2</v>
      </c>
      <c r="C45">
        <v>2.1807531099999999E-2</v>
      </c>
      <c r="D45">
        <v>2.2020988799999999E-2</v>
      </c>
      <c r="E45">
        <v>2.2236078699999998E-2</v>
      </c>
      <c r="F45">
        <v>2.24566195E-2</v>
      </c>
      <c r="G45">
        <v>2.2683453900000001E-2</v>
      </c>
      <c r="H45">
        <v>2.29163267E-2</v>
      </c>
      <c r="I45">
        <v>2.3154680099999998E-2</v>
      </c>
      <c r="J45">
        <v>2.3397944399999999E-2</v>
      </c>
      <c r="K45">
        <v>2.3645627299999999E-2</v>
      </c>
      <c r="L45">
        <v>2.3897330200000001E-2</v>
      </c>
      <c r="M45">
        <v>2.41527411E-2</v>
      </c>
      <c r="N45">
        <v>2.4411623399999999E-2</v>
      </c>
      <c r="O45">
        <v>2.4673803300000002E-2</v>
      </c>
      <c r="P45">
        <v>2.4939159200000002E-2</v>
      </c>
      <c r="Q45">
        <v>2.52076114E-2</v>
      </c>
      <c r="R45">
        <v>2.5479113099999999E-2</v>
      </c>
      <c r="S45">
        <v>2.5753641800000001E-2</v>
      </c>
      <c r="T45">
        <v>2.6031192599999999E-2</v>
      </c>
      <c r="U45">
        <v>2.6311772099999998E-2</v>
      </c>
      <c r="V45">
        <v>2.65953939E-2</v>
      </c>
      <c r="W45">
        <v>2.6882075799999999E-2</v>
      </c>
      <c r="X45">
        <v>2.7171837399999999E-2</v>
      </c>
      <c r="Y45">
        <v>2.7464699799999999E-2</v>
      </c>
      <c r="Z45">
        <v>2.7760684800000001E-2</v>
      </c>
      <c r="AA45">
        <v>2.8059815299999999E-2</v>
      </c>
      <c r="AB45">
        <v>2.8362115699999999E-2</v>
      </c>
      <c r="AC45">
        <v>2.8667612200000001E-2</v>
      </c>
      <c r="AD45">
        <v>2.8976333399999998E-2</v>
      </c>
      <c r="AE45">
        <v>2.9288310500000001E-2</v>
      </c>
      <c r="AF45">
        <v>2.9603577799999999E-2</v>
      </c>
      <c r="AG45">
        <v>2.99221725E-2</v>
      </c>
      <c r="AH45">
        <v>3.0244134999999998E-2</v>
      </c>
      <c r="AI45">
        <v>3.05695081E-2</v>
      </c>
      <c r="AJ45">
        <v>3.0898337800000002E-2</v>
      </c>
      <c r="AK45">
        <v>3.1230672099999999E-2</v>
      </c>
    </row>
    <row r="46" spans="1:37" x14ac:dyDescent="0.25">
      <c r="A46" t="s">
        <v>2056</v>
      </c>
      <c r="B46">
        <v>1.4848009800000001E-2</v>
      </c>
      <c r="C46">
        <v>1.49978857E-2</v>
      </c>
      <c r="D46">
        <v>1.5138955399999999E-2</v>
      </c>
      <c r="E46">
        <v>1.5278396600000001E-2</v>
      </c>
      <c r="F46">
        <v>1.54184053E-2</v>
      </c>
      <c r="G46">
        <v>1.5558562E-2</v>
      </c>
      <c r="H46">
        <v>1.5698794700000001E-2</v>
      </c>
      <c r="I46">
        <v>1.5840228899999999E-2</v>
      </c>
      <c r="J46">
        <v>1.5983636900000001E-2</v>
      </c>
      <c r="K46">
        <v>1.6129043799999999E-2</v>
      </c>
      <c r="L46">
        <v>1.6275894199999998E-2</v>
      </c>
      <c r="M46">
        <v>1.6423224399999999E-2</v>
      </c>
      <c r="N46">
        <v>1.65697923E-2</v>
      </c>
      <c r="O46">
        <v>1.67141788E-2</v>
      </c>
      <c r="P46">
        <v>1.6854874400000001E-2</v>
      </c>
      <c r="Q46">
        <v>1.6990356299999999E-2</v>
      </c>
      <c r="R46">
        <v>1.7120242899999999E-2</v>
      </c>
      <c r="S46">
        <v>1.72456018E-2</v>
      </c>
      <c r="T46">
        <v>1.7367670700000001E-2</v>
      </c>
      <c r="U46">
        <v>1.7487434400000001E-2</v>
      </c>
      <c r="V46">
        <v>1.76056474E-2</v>
      </c>
      <c r="W46">
        <v>1.7722893100000001E-2</v>
      </c>
      <c r="X46">
        <v>1.7839628499999999E-2</v>
      </c>
      <c r="Y46">
        <v>1.7956213400000001E-2</v>
      </c>
      <c r="Z46">
        <v>1.8072931399999999E-2</v>
      </c>
      <c r="AA46">
        <v>1.8190007399999999E-2</v>
      </c>
      <c r="AB46">
        <v>1.8307620600000001E-2</v>
      </c>
      <c r="AC46">
        <v>1.84259175E-2</v>
      </c>
      <c r="AD46">
        <v>1.8545021299999999E-2</v>
      </c>
      <c r="AE46">
        <v>1.8665040599999998E-2</v>
      </c>
      <c r="AF46">
        <v>1.8786075499999999E-2</v>
      </c>
      <c r="AG46">
        <v>1.89082231E-2</v>
      </c>
      <c r="AH46">
        <v>1.9031580699999998E-2</v>
      </c>
      <c r="AI46">
        <v>1.9156248899999999E-2</v>
      </c>
      <c r="AJ46">
        <v>1.9282332900000001E-2</v>
      </c>
      <c r="AK46">
        <v>1.9409943400000001E-2</v>
      </c>
    </row>
    <row r="47" spans="1:37" x14ac:dyDescent="0.25">
      <c r="A47" t="s">
        <v>2057</v>
      </c>
      <c r="B47">
        <v>1.4848009800000001E-2</v>
      </c>
      <c r="C47">
        <v>1.5001000400000001E-2</v>
      </c>
      <c r="D47">
        <v>1.51486078E-2</v>
      </c>
      <c r="E47">
        <v>1.5297618000000001E-2</v>
      </c>
      <c r="F47">
        <v>1.54504638E-2</v>
      </c>
      <c r="G47">
        <v>1.5607557899999999E-2</v>
      </c>
      <c r="H47">
        <v>1.5768628E-2</v>
      </c>
      <c r="I47">
        <v>1.5933265200000001E-2</v>
      </c>
      <c r="J47">
        <v>1.6101101E-2</v>
      </c>
      <c r="K47">
        <v>1.62718437E-2</v>
      </c>
      <c r="L47">
        <v>1.64452683E-2</v>
      </c>
      <c r="M47">
        <v>1.6621200400000001E-2</v>
      </c>
      <c r="N47">
        <v>1.6799502899999999E-2</v>
      </c>
      <c r="O47">
        <v>1.6980068500000001E-2</v>
      </c>
      <c r="P47">
        <v>1.7162815200000001E-2</v>
      </c>
      <c r="Q47">
        <v>1.7347682999999999E-2</v>
      </c>
      <c r="R47">
        <v>1.75346306E-2</v>
      </c>
      <c r="S47">
        <v>1.7723633400000001E-2</v>
      </c>
      <c r="T47">
        <v>1.7914679199999999E-2</v>
      </c>
      <c r="U47">
        <v>1.8107766300000001E-2</v>
      </c>
      <c r="V47">
        <v>1.8302899800000001E-2</v>
      </c>
      <c r="W47">
        <v>1.850009E-2</v>
      </c>
      <c r="X47">
        <v>1.8699350900000002E-2</v>
      </c>
      <c r="Y47">
        <v>1.8900698399999999E-2</v>
      </c>
      <c r="Z47">
        <v>1.9104150699999999E-2</v>
      </c>
      <c r="AA47">
        <v>1.9309727200000001E-2</v>
      </c>
      <c r="AB47">
        <v>1.9517449100000001E-2</v>
      </c>
      <c r="AC47">
        <v>1.9727339100000001E-2</v>
      </c>
      <c r="AD47">
        <v>1.9939421700000001E-2</v>
      </c>
      <c r="AE47">
        <v>2.01537231E-2</v>
      </c>
      <c r="AF47">
        <v>2.0370271499999999E-2</v>
      </c>
      <c r="AG47">
        <v>2.0589096899999999E-2</v>
      </c>
      <c r="AH47">
        <v>2.0810230999999998E-2</v>
      </c>
      <c r="AI47">
        <v>2.1033707299999999E-2</v>
      </c>
      <c r="AJ47">
        <v>2.1259560699999999E-2</v>
      </c>
      <c r="AK47">
        <v>2.1487827399999999E-2</v>
      </c>
    </row>
    <row r="48" spans="1:37" x14ac:dyDescent="0.25">
      <c r="A48" t="s">
        <v>2058</v>
      </c>
      <c r="B48">
        <v>0.32004745600000001</v>
      </c>
      <c r="C48">
        <v>0.32346411870000003</v>
      </c>
      <c r="D48">
        <v>0.32663655429999999</v>
      </c>
      <c r="E48">
        <v>0.32957937040000002</v>
      </c>
      <c r="F48">
        <v>0.33226436079999999</v>
      </c>
      <c r="G48">
        <v>0.33461762020000002</v>
      </c>
      <c r="H48">
        <v>0.3366910421</v>
      </c>
      <c r="I48">
        <v>0.3386557925</v>
      </c>
      <c r="J48">
        <v>0.34061532480000001</v>
      </c>
      <c r="K48">
        <v>0.34259399089999998</v>
      </c>
      <c r="L48">
        <v>0.34455658830000002</v>
      </c>
      <c r="M48">
        <v>0.34642883460000001</v>
      </c>
      <c r="N48">
        <v>0.34811444159999999</v>
      </c>
      <c r="O48">
        <v>0.34950891639999998</v>
      </c>
      <c r="P48">
        <v>0.3505107502</v>
      </c>
      <c r="Q48">
        <v>0.3510303488</v>
      </c>
      <c r="R48">
        <v>0.35109204259999999</v>
      </c>
      <c r="S48">
        <v>0.35083007929999999</v>
      </c>
      <c r="T48">
        <v>0.35036718880000001</v>
      </c>
      <c r="U48">
        <v>0.34979585270000002</v>
      </c>
      <c r="V48">
        <v>0.34918119399999997</v>
      </c>
      <c r="W48">
        <v>0.34856742419999998</v>
      </c>
      <c r="X48">
        <v>0.3479838442</v>
      </c>
      <c r="Y48">
        <v>0.3474495299</v>
      </c>
      <c r="Z48">
        <v>0.34697671870000002</v>
      </c>
      <c r="AA48">
        <v>0.34657315840000003</v>
      </c>
      <c r="AB48">
        <v>0.3462436954</v>
      </c>
      <c r="AC48">
        <v>0.34599133430000001</v>
      </c>
      <c r="AD48">
        <v>0.34581793970000002</v>
      </c>
      <c r="AE48">
        <v>0.34572470020000001</v>
      </c>
      <c r="AF48">
        <v>0.34571243569999999</v>
      </c>
      <c r="AG48">
        <v>0.34578179869999998</v>
      </c>
      <c r="AH48">
        <v>0.34593340630000002</v>
      </c>
      <c r="AI48">
        <v>0.34616792419999998</v>
      </c>
      <c r="AJ48">
        <v>0.34648611800000001</v>
      </c>
      <c r="AK48">
        <v>0.34688888200000001</v>
      </c>
    </row>
    <row r="49" spans="1:37" x14ac:dyDescent="0.25">
      <c r="A49" t="s">
        <v>2059</v>
      </c>
      <c r="B49">
        <v>0.32004745600000001</v>
      </c>
      <c r="C49">
        <v>0.32382937649999999</v>
      </c>
      <c r="D49">
        <v>0.32770514169999998</v>
      </c>
      <c r="E49">
        <v>0.3316554706</v>
      </c>
      <c r="F49">
        <v>0.33567608780000002</v>
      </c>
      <c r="G49">
        <v>0.33976775399999998</v>
      </c>
      <c r="H49">
        <v>0.3439316047</v>
      </c>
      <c r="I49">
        <v>0.34816758590000002</v>
      </c>
      <c r="J49">
        <v>0.35247438330000003</v>
      </c>
      <c r="K49">
        <v>0.35684990459999999</v>
      </c>
      <c r="L49">
        <v>0.36129183139999999</v>
      </c>
      <c r="M49">
        <v>0.36579804399999999</v>
      </c>
      <c r="N49">
        <v>0.37036687149999997</v>
      </c>
      <c r="O49">
        <v>0.37499719279999999</v>
      </c>
      <c r="P49">
        <v>0.37968842829999999</v>
      </c>
      <c r="Q49">
        <v>0.3844404669</v>
      </c>
      <c r="R49">
        <v>0.38925356519999998</v>
      </c>
      <c r="S49">
        <v>0.3941282438</v>
      </c>
      <c r="T49">
        <v>0.39906519299999998</v>
      </c>
      <c r="U49">
        <v>0.40406519810000002</v>
      </c>
      <c r="V49">
        <v>0.40912908549999999</v>
      </c>
      <c r="W49">
        <v>0.41425768889999998</v>
      </c>
      <c r="X49">
        <v>0.4194518324</v>
      </c>
      <c r="Y49">
        <v>0.42471232510000001</v>
      </c>
      <c r="Z49">
        <v>0.43003996439999997</v>
      </c>
      <c r="AA49">
        <v>0.43543554449999999</v>
      </c>
      <c r="AB49">
        <v>0.44089986619999999</v>
      </c>
      <c r="AC49">
        <v>0.44643374810000003</v>
      </c>
      <c r="AD49">
        <v>0.45203803479999999</v>
      </c>
      <c r="AE49">
        <v>0.45771360480000001</v>
      </c>
      <c r="AF49">
        <v>0.46346137520000003</v>
      </c>
      <c r="AG49">
        <v>0.4692823042</v>
      </c>
      <c r="AH49">
        <v>0.47517739209999998</v>
      </c>
      <c r="AI49">
        <v>0.48114768029999999</v>
      </c>
      <c r="AJ49">
        <v>0.48719424970000003</v>
      </c>
      <c r="AK49">
        <v>0.49331821770000001</v>
      </c>
    </row>
    <row r="50" spans="1:37" x14ac:dyDescent="0.25">
      <c r="A50" t="s">
        <v>2060</v>
      </c>
      <c r="B50">
        <v>5.334086922</v>
      </c>
      <c r="C50">
        <v>5.38780752</v>
      </c>
      <c r="D50">
        <v>5.4362567850000003</v>
      </c>
      <c r="E50">
        <v>5.4800859060000002</v>
      </c>
      <c r="F50">
        <v>5.5187325669999998</v>
      </c>
      <c r="G50">
        <v>5.5507678900000004</v>
      </c>
      <c r="H50">
        <v>5.5775011650000001</v>
      </c>
      <c r="I50">
        <v>5.6023240369999998</v>
      </c>
      <c r="J50">
        <v>5.6268781839999997</v>
      </c>
      <c r="K50">
        <v>5.6513906069999997</v>
      </c>
      <c r="L50">
        <v>5.6751272129999997</v>
      </c>
      <c r="M50">
        <v>5.6967501289999998</v>
      </c>
      <c r="N50">
        <v>5.7145914839999996</v>
      </c>
      <c r="O50">
        <v>5.726872846</v>
      </c>
      <c r="P50">
        <v>5.7318876029999997</v>
      </c>
      <c r="Q50">
        <v>5.7281512010000002</v>
      </c>
      <c r="R50">
        <v>5.7164340889999998</v>
      </c>
      <c r="S50">
        <v>5.6993837689999998</v>
      </c>
      <c r="T50">
        <v>5.6790926710000003</v>
      </c>
      <c r="U50">
        <v>5.657080852</v>
      </c>
      <c r="V50">
        <v>5.6344291750000002</v>
      </c>
      <c r="W50">
        <v>5.6118981210000003</v>
      </c>
      <c r="X50">
        <v>5.5900173439999996</v>
      </c>
      <c r="Y50">
        <v>5.5691511220000001</v>
      </c>
      <c r="Z50">
        <v>5.549545943</v>
      </c>
      <c r="AA50">
        <v>5.5313650609999998</v>
      </c>
      <c r="AB50">
        <v>5.5147135059999997</v>
      </c>
      <c r="AC50">
        <v>5.4996561079999999</v>
      </c>
      <c r="AD50">
        <v>5.4862303900000002</v>
      </c>
      <c r="AE50">
        <v>5.4744557570000003</v>
      </c>
      <c r="AF50">
        <v>5.4643399779999999</v>
      </c>
      <c r="AG50">
        <v>5.4558837349999996</v>
      </c>
      <c r="AH50">
        <v>5.4490837900000004</v>
      </c>
      <c r="AI50">
        <v>5.4439351440000001</v>
      </c>
      <c r="AJ50">
        <v>5.4404324839999996</v>
      </c>
      <c r="AK50">
        <v>5.4385711199999998</v>
      </c>
    </row>
    <row r="51" spans="1:37" x14ac:dyDescent="0.25">
      <c r="A51" t="s">
        <v>2061</v>
      </c>
      <c r="B51">
        <v>5.334086922</v>
      </c>
      <c r="C51">
        <v>5.3954232480000002</v>
      </c>
      <c r="D51">
        <v>5.4574124919999996</v>
      </c>
      <c r="E51">
        <v>5.5200981669999996</v>
      </c>
      <c r="F51">
        <v>5.5835591449999997</v>
      </c>
      <c r="G51">
        <v>5.6478804079999998</v>
      </c>
      <c r="H51">
        <v>5.7131217850000002</v>
      </c>
      <c r="I51">
        <v>5.7793068959999996</v>
      </c>
      <c r="J51">
        <v>5.8464286789999997</v>
      </c>
      <c r="K51">
        <v>5.914461717</v>
      </c>
      <c r="L51">
        <v>5.9833741649999999</v>
      </c>
      <c r="M51">
        <v>6.0531362379999996</v>
      </c>
      <c r="N51">
        <v>6.1237249120000001</v>
      </c>
      <c r="O51">
        <v>6.1951256739999998</v>
      </c>
      <c r="P51">
        <v>6.2673323180000002</v>
      </c>
      <c r="Q51">
        <v>6.340345653</v>
      </c>
      <c r="R51">
        <v>6.4141718169999997</v>
      </c>
      <c r="S51">
        <v>6.488820628</v>
      </c>
      <c r="T51">
        <v>6.5643040949999998</v>
      </c>
      <c r="U51">
        <v>6.6406352569999996</v>
      </c>
      <c r="V51">
        <v>6.7178273659999999</v>
      </c>
      <c r="W51">
        <v>6.7958933769999996</v>
      </c>
      <c r="X51">
        <v>6.8748456820000001</v>
      </c>
      <c r="Y51">
        <v>6.9546960350000004</v>
      </c>
      <c r="Z51">
        <v>7.0354555909999998</v>
      </c>
      <c r="AA51">
        <v>7.1171350179999999</v>
      </c>
      <c r="AB51">
        <v>7.1997446439999999</v>
      </c>
      <c r="AC51">
        <v>7.2832945960000002</v>
      </c>
      <c r="AD51">
        <v>7.367794935</v>
      </c>
      <c r="AE51">
        <v>7.4532557600000002</v>
      </c>
      <c r="AF51">
        <v>7.5396872889999997</v>
      </c>
      <c r="AG51">
        <v>7.6270999059999998</v>
      </c>
      <c r="AH51">
        <v>7.7155041950000003</v>
      </c>
      <c r="AI51">
        <v>7.8049109469999998</v>
      </c>
      <c r="AJ51">
        <v>7.8953311660000001</v>
      </c>
      <c r="AK51">
        <v>7.9867760519999997</v>
      </c>
    </row>
    <row r="52" spans="1:37" x14ac:dyDescent="0.25">
      <c r="A52" t="s">
        <v>2062</v>
      </c>
      <c r="B52">
        <v>3.9410012199999997E-2</v>
      </c>
      <c r="C52">
        <v>3.9829711400000002E-2</v>
      </c>
      <c r="D52">
        <v>4.0231973400000003E-2</v>
      </c>
      <c r="E52">
        <v>4.06241585E-2</v>
      </c>
      <c r="F52">
        <v>4.1006492200000001E-2</v>
      </c>
      <c r="G52">
        <v>4.1374354100000003E-2</v>
      </c>
      <c r="H52">
        <v>4.1730556000000002E-2</v>
      </c>
      <c r="I52">
        <v>4.2084795799999998E-2</v>
      </c>
      <c r="J52">
        <v>4.2441842399999999E-2</v>
      </c>
      <c r="K52">
        <v>4.2801986100000002E-2</v>
      </c>
      <c r="L52">
        <v>4.31623005E-2</v>
      </c>
      <c r="M52">
        <v>4.3517661800000003E-2</v>
      </c>
      <c r="N52">
        <v>4.3861512499999998E-2</v>
      </c>
      <c r="O52">
        <v>4.4186464799999998E-2</v>
      </c>
      <c r="P52">
        <v>4.4484809799999997E-2</v>
      </c>
      <c r="Q52">
        <v>4.4748965500000001E-2</v>
      </c>
      <c r="R52">
        <v>4.4979355499999998E-2</v>
      </c>
      <c r="S52">
        <v>4.5184192599999999E-2</v>
      </c>
      <c r="T52">
        <v>4.5370502E-2</v>
      </c>
      <c r="U52">
        <v>4.5543669699999997E-2</v>
      </c>
      <c r="V52">
        <v>4.5707777599999999E-2</v>
      </c>
      <c r="W52">
        <v>4.5865936699999998E-2</v>
      </c>
      <c r="X52">
        <v>4.6020535100000003E-2</v>
      </c>
      <c r="Y52">
        <v>4.6173418399999999E-2</v>
      </c>
      <c r="Z52">
        <v>4.6326024100000002E-2</v>
      </c>
      <c r="AA52">
        <v>4.6479482500000002E-2</v>
      </c>
      <c r="AB52">
        <v>4.66346947E-2</v>
      </c>
      <c r="AC52">
        <v>4.67923924E-2</v>
      </c>
      <c r="AD52">
        <v>4.6953183099999997E-2</v>
      </c>
      <c r="AE52">
        <v>4.7117584800000001E-2</v>
      </c>
      <c r="AF52">
        <v>4.7286052299999999E-2</v>
      </c>
      <c r="AG52">
        <v>4.7458996699999999E-2</v>
      </c>
      <c r="AH52">
        <v>4.7636799399999999E-2</v>
      </c>
      <c r="AI52">
        <v>4.7819822900000003E-2</v>
      </c>
      <c r="AJ52">
        <v>4.8008417999999997E-2</v>
      </c>
      <c r="AK52">
        <v>4.8202928499999999E-2</v>
      </c>
    </row>
    <row r="53" spans="1:37" x14ac:dyDescent="0.25">
      <c r="A53" t="s">
        <v>2063</v>
      </c>
      <c r="B53">
        <v>3.9410012199999997E-2</v>
      </c>
      <c r="C53">
        <v>3.9852048100000002E-2</v>
      </c>
      <c r="D53">
        <v>4.0294995100000001E-2</v>
      </c>
      <c r="E53">
        <v>4.07444941E-2</v>
      </c>
      <c r="F53">
        <v>4.12029982E-2</v>
      </c>
      <c r="G53">
        <v>4.1671169500000001E-2</v>
      </c>
      <c r="H53">
        <v>4.2148853700000002E-2</v>
      </c>
      <c r="I53">
        <v>4.2635577000000001E-2</v>
      </c>
      <c r="J53">
        <v>4.3130783499999999E-2</v>
      </c>
      <c r="K53">
        <v>4.3633946299999997E-2</v>
      </c>
      <c r="L53">
        <v>4.4144617099999998E-2</v>
      </c>
      <c r="M53">
        <v>4.4662443900000001E-2</v>
      </c>
      <c r="N53">
        <v>4.5187171999999998E-2</v>
      </c>
      <c r="O53">
        <v>4.5718634899999999E-2</v>
      </c>
      <c r="P53">
        <v>4.6256741400000002E-2</v>
      </c>
      <c r="Q53">
        <v>4.6801459300000001E-2</v>
      </c>
      <c r="R53">
        <v>4.7352799799999998E-2</v>
      </c>
      <c r="S53">
        <v>4.79108039E-2</v>
      </c>
      <c r="T53">
        <v>4.8475530199999999E-2</v>
      </c>
      <c r="U53">
        <v>4.9047045499999997E-2</v>
      </c>
      <c r="V53">
        <v>4.96254182E-2</v>
      </c>
      <c r="W53">
        <v>5.0210714099999998E-2</v>
      </c>
      <c r="X53">
        <v>5.0802994499999997E-2</v>
      </c>
      <c r="Y53">
        <v>5.1402315400000002E-2</v>
      </c>
      <c r="Z53">
        <v>5.2008728300000001E-2</v>
      </c>
      <c r="AA53">
        <v>5.2622281200000003E-2</v>
      </c>
      <c r="AB53">
        <v>5.3243019500000002E-2</v>
      </c>
      <c r="AC53">
        <v>5.3870988199999997E-2</v>
      </c>
      <c r="AD53">
        <v>5.4506232699999997E-2</v>
      </c>
      <c r="AE53">
        <v>5.51488002E-2</v>
      </c>
      <c r="AF53">
        <v>5.5798740499999999E-2</v>
      </c>
      <c r="AG53">
        <v>5.6456106300000003E-2</v>
      </c>
      <c r="AH53">
        <v>5.7120954199999997E-2</v>
      </c>
      <c r="AI53">
        <v>5.7793344300000001E-2</v>
      </c>
      <c r="AJ53">
        <v>5.8473340499999998E-2</v>
      </c>
      <c r="AK53">
        <v>5.91610105E-2</v>
      </c>
    </row>
    <row r="54" spans="1:37" x14ac:dyDescent="0.25">
      <c r="A54" t="s">
        <v>2064</v>
      </c>
      <c r="B54">
        <v>3.010842319</v>
      </c>
      <c r="C54">
        <v>3.0417692270000001</v>
      </c>
      <c r="D54">
        <v>3.0704751090000002</v>
      </c>
      <c r="E54">
        <v>3.0977114559999999</v>
      </c>
      <c r="F54">
        <v>3.1235080079999999</v>
      </c>
      <c r="G54">
        <v>3.14739177</v>
      </c>
      <c r="H54">
        <v>3.1697646920000002</v>
      </c>
      <c r="I54">
        <v>3.191777868</v>
      </c>
      <c r="J54">
        <v>3.2139890800000002</v>
      </c>
      <c r="K54">
        <v>3.2364493040000002</v>
      </c>
      <c r="L54">
        <v>3.2588588669999998</v>
      </c>
      <c r="M54">
        <v>3.2806910130000002</v>
      </c>
      <c r="N54">
        <v>3.3012850239999998</v>
      </c>
      <c r="O54">
        <v>3.319920062</v>
      </c>
      <c r="P54">
        <v>3.335877</v>
      </c>
      <c r="Q54">
        <v>3.3484910559999999</v>
      </c>
      <c r="R54">
        <v>3.3579463710000002</v>
      </c>
      <c r="S54">
        <v>3.3651900239999999</v>
      </c>
      <c r="T54">
        <v>3.3709996420000001</v>
      </c>
      <c r="U54">
        <v>3.3759531319999998</v>
      </c>
      <c r="V54">
        <v>3.3804729089999999</v>
      </c>
      <c r="W54">
        <v>3.3848672049999999</v>
      </c>
      <c r="X54">
        <v>3.3893607669999999</v>
      </c>
      <c r="Y54">
        <v>3.3941169430000002</v>
      </c>
      <c r="Z54">
        <v>3.399253726</v>
      </c>
      <c r="AA54">
        <v>3.404855591</v>
      </c>
      <c r="AB54">
        <v>3.4109823540000002</v>
      </c>
      <c r="AC54">
        <v>3.4176758249999999</v>
      </c>
      <c r="AD54">
        <v>3.424964825</v>
      </c>
      <c r="AE54">
        <v>3.4328689579999998</v>
      </c>
      <c r="AF54">
        <v>3.4414014399999999</v>
      </c>
      <c r="AG54">
        <v>3.4505712000000002</v>
      </c>
      <c r="AH54">
        <v>3.460384436</v>
      </c>
      <c r="AI54">
        <v>3.470845738</v>
      </c>
      <c r="AJ54">
        <v>3.4819588829999999</v>
      </c>
      <c r="AK54">
        <v>3.4937273869999999</v>
      </c>
    </row>
    <row r="55" spans="1:37" x14ac:dyDescent="0.25">
      <c r="A55" t="s">
        <v>2065</v>
      </c>
      <c r="B55">
        <v>3.010842319</v>
      </c>
      <c r="C55">
        <v>3.0444032050000001</v>
      </c>
      <c r="D55">
        <v>3.0778480259999998</v>
      </c>
      <c r="E55">
        <v>3.1117084570000002</v>
      </c>
      <c r="F55">
        <v>3.1462445830000001</v>
      </c>
      <c r="G55">
        <v>3.1815433290000001</v>
      </c>
      <c r="H55">
        <v>3.2176063660000001</v>
      </c>
      <c r="I55">
        <v>3.2543998630000002</v>
      </c>
      <c r="J55">
        <v>3.2918794600000001</v>
      </c>
      <c r="K55">
        <v>3.3300020429999999</v>
      </c>
      <c r="L55">
        <v>3.36873084</v>
      </c>
      <c r="M55">
        <v>3.4080371669999998</v>
      </c>
      <c r="N55">
        <v>3.4479004940000002</v>
      </c>
      <c r="O55">
        <v>3.488307684</v>
      </c>
      <c r="P55">
        <v>3.529251801</v>
      </c>
      <c r="Q55">
        <v>3.570730712</v>
      </c>
      <c r="R55">
        <v>3.6127457270000001</v>
      </c>
      <c r="S55">
        <v>3.6553003980000001</v>
      </c>
      <c r="T55">
        <v>3.698399459</v>
      </c>
      <c r="U55">
        <v>3.742048021</v>
      </c>
      <c r="V55">
        <v>3.7862510089999999</v>
      </c>
      <c r="W55">
        <v>3.8310128259999998</v>
      </c>
      <c r="X55">
        <v>3.876337194</v>
      </c>
      <c r="Y55">
        <v>3.92222713</v>
      </c>
      <c r="Z55">
        <v>3.9686850210000002</v>
      </c>
      <c r="AA55">
        <v>4.0157127460000002</v>
      </c>
      <c r="AB55">
        <v>4.0633118330000002</v>
      </c>
      <c r="AC55">
        <v>4.1114836129999999</v>
      </c>
      <c r="AD55">
        <v>4.1602293650000002</v>
      </c>
      <c r="AE55">
        <v>4.2095504420000003</v>
      </c>
      <c r="AF55">
        <v>4.2594483710000004</v>
      </c>
      <c r="AG55">
        <v>4.309924927</v>
      </c>
      <c r="AH55">
        <v>4.3609821860000002</v>
      </c>
      <c r="AI55">
        <v>4.4126225620000001</v>
      </c>
      <c r="AJ55">
        <v>4.4648488239999997</v>
      </c>
      <c r="AK55">
        <v>4.5176641059999998</v>
      </c>
    </row>
    <row r="56" spans="1:37" x14ac:dyDescent="0.25">
      <c r="A56" t="s">
        <v>2066</v>
      </c>
      <c r="B56">
        <v>0.96789552570000004</v>
      </c>
      <c r="C56">
        <v>0.97792267899999996</v>
      </c>
      <c r="D56">
        <v>0.98732124460000004</v>
      </c>
      <c r="E56">
        <v>0.99634670820000004</v>
      </c>
      <c r="F56">
        <v>1.005029306</v>
      </c>
      <c r="G56">
        <v>1.0132419859999999</v>
      </c>
      <c r="H56">
        <v>1.021079651</v>
      </c>
      <c r="I56">
        <v>1.0288402109999999</v>
      </c>
      <c r="J56">
        <v>1.0366693039999999</v>
      </c>
      <c r="K56">
        <v>1.0445783710000001</v>
      </c>
      <c r="L56">
        <v>1.0524839850000001</v>
      </c>
      <c r="M56">
        <v>1.0602396569999999</v>
      </c>
      <c r="N56">
        <v>1.067660066</v>
      </c>
      <c r="O56">
        <v>1.0745404300000001</v>
      </c>
      <c r="P56">
        <v>1.080672879</v>
      </c>
      <c r="Q56">
        <v>1.0858606070000001</v>
      </c>
      <c r="R56">
        <v>1.090138788</v>
      </c>
      <c r="S56">
        <v>1.093758469</v>
      </c>
      <c r="T56">
        <v>1.0969310800000001</v>
      </c>
      <c r="U56">
        <v>1.0998168589999999</v>
      </c>
      <c r="V56">
        <v>1.102535144</v>
      </c>
      <c r="W56">
        <v>1.105174755</v>
      </c>
      <c r="X56">
        <v>1.1078019379999999</v>
      </c>
      <c r="Y56">
        <v>1.110466162</v>
      </c>
      <c r="Z56">
        <v>1.1132043869999999</v>
      </c>
      <c r="AA56">
        <v>1.116044236</v>
      </c>
      <c r="AB56">
        <v>1.119006384</v>
      </c>
      <c r="AC56">
        <v>1.122106367</v>
      </c>
      <c r="AD56">
        <v>1.125355952</v>
      </c>
      <c r="AE56">
        <v>1.128764176</v>
      </c>
      <c r="AF56">
        <v>1.132338131</v>
      </c>
      <c r="AG56">
        <v>1.136083556</v>
      </c>
      <c r="AH56">
        <v>1.1400052700000001</v>
      </c>
      <c r="AI56">
        <v>1.1441075000000001</v>
      </c>
      <c r="AJ56">
        <v>1.1483941150000001</v>
      </c>
      <c r="AK56">
        <v>1.152868783</v>
      </c>
    </row>
    <row r="57" spans="1:37" x14ac:dyDescent="0.25">
      <c r="A57" t="s">
        <v>2067</v>
      </c>
      <c r="B57">
        <v>0.96789552570000004</v>
      </c>
      <c r="C57">
        <v>0.97861787840000003</v>
      </c>
      <c r="D57">
        <v>0.98927798290000002</v>
      </c>
      <c r="E57">
        <v>1.0000762780000001</v>
      </c>
      <c r="F57">
        <v>1.0111070369999999</v>
      </c>
      <c r="G57">
        <v>1.022397454</v>
      </c>
      <c r="H57">
        <v>1.0339430869999999</v>
      </c>
      <c r="I57">
        <v>1.0457279450000001</v>
      </c>
      <c r="J57">
        <v>1.0577340449999999</v>
      </c>
      <c r="K57">
        <v>1.0699453269999999</v>
      </c>
      <c r="L57">
        <v>1.0823489129999999</v>
      </c>
      <c r="M57">
        <v>1.0949352139999999</v>
      </c>
      <c r="N57">
        <v>1.107697607</v>
      </c>
      <c r="O57">
        <v>1.120631969</v>
      </c>
      <c r="P57">
        <v>1.1337361850000001</v>
      </c>
      <c r="Q57">
        <v>1.147009669</v>
      </c>
      <c r="R57">
        <v>1.1604529240000001</v>
      </c>
      <c r="S57">
        <v>1.174067178</v>
      </c>
      <c r="T57">
        <v>1.187854057</v>
      </c>
      <c r="U57">
        <v>1.2018153469999999</v>
      </c>
      <c r="V57">
        <v>1.2159528159999999</v>
      </c>
      <c r="W57">
        <v>1.2302681049999999</v>
      </c>
      <c r="X57">
        <v>1.2447626679999999</v>
      </c>
      <c r="Y57">
        <v>1.2594377569999999</v>
      </c>
      <c r="Z57">
        <v>1.274294432</v>
      </c>
      <c r="AA57">
        <v>1.2893335889999999</v>
      </c>
      <c r="AB57">
        <v>1.3045560009999999</v>
      </c>
      <c r="AC57">
        <v>1.3199623579999999</v>
      </c>
      <c r="AD57">
        <v>1.3355533079999999</v>
      </c>
      <c r="AE57">
        <v>1.3513294929999999</v>
      </c>
      <c r="AF57">
        <v>1.367291579</v>
      </c>
      <c r="AG57">
        <v>1.3834402770000001</v>
      </c>
      <c r="AH57">
        <v>1.399776363</v>
      </c>
      <c r="AI57">
        <v>1.4163006890000001</v>
      </c>
      <c r="AJ57">
        <v>1.4330141890000001</v>
      </c>
      <c r="AK57">
        <v>1.449917889</v>
      </c>
    </row>
    <row r="58" spans="1:37" x14ac:dyDescent="0.25">
      <c r="A58" t="s">
        <v>2068</v>
      </c>
      <c r="B58">
        <v>13.28085467</v>
      </c>
      <c r="C58">
        <v>13.41680631</v>
      </c>
      <c r="D58">
        <v>13.54346979</v>
      </c>
      <c r="E58">
        <v>13.663903850000001</v>
      </c>
      <c r="F58">
        <v>13.777773789999999</v>
      </c>
      <c r="G58">
        <v>13.882606620000001</v>
      </c>
      <c r="H58">
        <v>13.98028171</v>
      </c>
      <c r="I58">
        <v>14.076169030000001</v>
      </c>
      <c r="J58">
        <v>14.172748350000001</v>
      </c>
      <c r="K58">
        <v>14.27018065</v>
      </c>
      <c r="L58">
        <v>14.36704153</v>
      </c>
      <c r="M58">
        <v>14.46088525</v>
      </c>
      <c r="N58">
        <v>14.54866923</v>
      </c>
      <c r="O58">
        <v>14.62709164</v>
      </c>
      <c r="P58">
        <v>14.69287374</v>
      </c>
      <c r="Q58">
        <v>14.742998050000001</v>
      </c>
      <c r="R58">
        <v>14.77838757</v>
      </c>
      <c r="S58">
        <v>14.803407139999999</v>
      </c>
      <c r="T58">
        <v>14.821555050000001</v>
      </c>
      <c r="U58">
        <v>14.835421419999999</v>
      </c>
      <c r="V58">
        <v>14.846898810000001</v>
      </c>
      <c r="W58">
        <v>14.8573681</v>
      </c>
      <c r="X58">
        <v>14.867836219999999</v>
      </c>
      <c r="Y58">
        <v>14.87903607</v>
      </c>
      <c r="Z58">
        <v>14.89149984</v>
      </c>
      <c r="AA58">
        <v>14.90561333</v>
      </c>
      <c r="AB58">
        <v>14.921656520000001</v>
      </c>
      <c r="AC58">
        <v>14.93983379</v>
      </c>
      <c r="AD58">
        <v>14.96029626</v>
      </c>
      <c r="AE58">
        <v>14.983158449999999</v>
      </c>
      <c r="AF58">
        <v>15.008510360000001</v>
      </c>
      <c r="AG58">
        <v>15.03642636</v>
      </c>
      <c r="AH58">
        <v>15.06697149</v>
      </c>
      <c r="AI58">
        <v>15.10020594</v>
      </c>
      <c r="AJ58">
        <v>15.13618812</v>
      </c>
      <c r="AK58">
        <v>15.17497663</v>
      </c>
    </row>
    <row r="59" spans="1:37" x14ac:dyDescent="0.25">
      <c r="A59" t="s">
        <v>2069</v>
      </c>
      <c r="B59">
        <v>13.28085467</v>
      </c>
      <c r="C59">
        <v>13.42948604</v>
      </c>
      <c r="D59">
        <v>13.57860685</v>
      </c>
      <c r="E59">
        <v>13.73026686</v>
      </c>
      <c r="F59">
        <v>13.88525042</v>
      </c>
      <c r="G59">
        <v>14.043701260000001</v>
      </c>
      <c r="H59">
        <v>14.205501480000001</v>
      </c>
      <c r="I59">
        <v>14.370444750000001</v>
      </c>
      <c r="J59">
        <v>14.53831096</v>
      </c>
      <c r="K59">
        <v>14.70889852</v>
      </c>
      <c r="L59">
        <v>14.882037860000001</v>
      </c>
      <c r="M59">
        <v>15.05759582</v>
      </c>
      <c r="N59">
        <v>15.23547505</v>
      </c>
      <c r="O59">
        <v>15.415610790000001</v>
      </c>
      <c r="P59">
        <v>15.597965889999999</v>
      </c>
      <c r="Q59">
        <v>15.78252502</v>
      </c>
      <c r="R59">
        <v>15.96928892</v>
      </c>
      <c r="S59">
        <v>16.15826947</v>
      </c>
      <c r="T59">
        <v>16.349485189999999</v>
      </c>
      <c r="U59">
        <v>16.542957779999998</v>
      </c>
      <c r="V59">
        <v>16.73870973</v>
      </c>
      <c r="W59">
        <v>16.936762860000002</v>
      </c>
      <c r="X59">
        <v>17.137137620000001</v>
      </c>
      <c r="Y59">
        <v>17.339852910000001</v>
      </c>
      <c r="Z59">
        <v>17.54492625</v>
      </c>
      <c r="AA59">
        <v>17.75237422</v>
      </c>
      <c r="AB59">
        <v>17.962212959999999</v>
      </c>
      <c r="AC59">
        <v>18.17445871</v>
      </c>
      <c r="AD59">
        <v>18.389128209999999</v>
      </c>
      <c r="AE59">
        <v>18.60623914</v>
      </c>
      <c r="AF59">
        <v>18.825810369999999</v>
      </c>
      <c r="AG59">
        <v>19.047862160000001</v>
      </c>
      <c r="AH59">
        <v>19.272416199999999</v>
      </c>
      <c r="AI59">
        <v>19.499495700000001</v>
      </c>
      <c r="AJ59">
        <v>19.7291253</v>
      </c>
      <c r="AK59">
        <v>19.961331049999998</v>
      </c>
    </row>
    <row r="60" spans="1:37" x14ac:dyDescent="0.25">
      <c r="A60" t="s">
        <v>2070</v>
      </c>
      <c r="B60">
        <v>10.66675435</v>
      </c>
      <c r="C60">
        <v>10.78702155</v>
      </c>
      <c r="D60">
        <v>10.906326249999999</v>
      </c>
      <c r="E60">
        <v>11.025457400000001</v>
      </c>
      <c r="F60">
        <v>11.144498130000001</v>
      </c>
      <c r="G60">
        <v>11.262932340000001</v>
      </c>
      <c r="H60">
        <v>11.38070931</v>
      </c>
      <c r="I60">
        <v>11.49863611</v>
      </c>
      <c r="J60">
        <v>11.617407529999999</v>
      </c>
      <c r="K60">
        <v>11.737215409999999</v>
      </c>
      <c r="L60">
        <v>11.857816850000001</v>
      </c>
      <c r="M60">
        <v>11.97863843</v>
      </c>
      <c r="N60">
        <v>12.09886455</v>
      </c>
      <c r="O60">
        <v>12.21751036</v>
      </c>
      <c r="P60">
        <v>12.33348385</v>
      </c>
      <c r="Q60">
        <v>12.44564053</v>
      </c>
      <c r="R60">
        <v>12.55351885</v>
      </c>
      <c r="S60">
        <v>12.65767248</v>
      </c>
      <c r="T60">
        <v>12.75892545</v>
      </c>
      <c r="U60">
        <v>12.85800489</v>
      </c>
      <c r="V60">
        <v>12.95550894</v>
      </c>
      <c r="W60">
        <v>13.0519202</v>
      </c>
      <c r="X60">
        <v>13.1476237</v>
      </c>
      <c r="Y60">
        <v>13.24292397</v>
      </c>
      <c r="Z60">
        <v>13.33806103</v>
      </c>
      <c r="AA60">
        <v>13.43322478</v>
      </c>
      <c r="AB60">
        <v>13.52856755</v>
      </c>
      <c r="AC60">
        <v>13.62421458</v>
      </c>
      <c r="AD60">
        <v>13.72027252</v>
      </c>
      <c r="AE60">
        <v>13.816836049999999</v>
      </c>
      <c r="AF60">
        <v>13.913992970000001</v>
      </c>
      <c r="AG60">
        <v>14.01182796</v>
      </c>
      <c r="AH60">
        <v>14.11042533</v>
      </c>
      <c r="AI60">
        <v>14.20987087</v>
      </c>
      <c r="AJ60">
        <v>14.31025307</v>
      </c>
      <c r="AK60">
        <v>14.41166385</v>
      </c>
    </row>
    <row r="61" spans="1:37" x14ac:dyDescent="0.25">
      <c r="A61" t="s">
        <v>2071</v>
      </c>
      <c r="B61">
        <v>10.66675435</v>
      </c>
      <c r="C61">
        <v>10.78884152</v>
      </c>
      <c r="D61">
        <v>10.912299450000001</v>
      </c>
      <c r="E61">
        <v>11.03774658</v>
      </c>
      <c r="F61">
        <v>11.16543783</v>
      </c>
      <c r="G61">
        <v>11.295418010000001</v>
      </c>
      <c r="H61">
        <v>11.4276286</v>
      </c>
      <c r="I61">
        <v>11.56196271</v>
      </c>
      <c r="J61">
        <v>11.698296900000001</v>
      </c>
      <c r="K61">
        <v>11.83651113</v>
      </c>
      <c r="L61">
        <v>11.97650037</v>
      </c>
      <c r="M61">
        <v>12.118180089999999</v>
      </c>
      <c r="N61">
        <v>12.261487710000001</v>
      </c>
      <c r="O61">
        <v>12.40638173</v>
      </c>
      <c r="P61">
        <v>12.55283929</v>
      </c>
      <c r="Q61">
        <v>12.700852980000001</v>
      </c>
      <c r="R61">
        <v>12.85042743</v>
      </c>
      <c r="S61">
        <v>13.001576330000001</v>
      </c>
      <c r="T61">
        <v>13.15431942</v>
      </c>
      <c r="U61">
        <v>13.30868008</v>
      </c>
      <c r="V61">
        <v>13.46468351</v>
      </c>
      <c r="W61">
        <v>13.622355499999999</v>
      </c>
      <c r="X61">
        <v>13.781721750000001</v>
      </c>
      <c r="Y61">
        <v>13.942807520000001</v>
      </c>
      <c r="Z61">
        <v>14.10563761</v>
      </c>
      <c r="AA61">
        <v>14.27023647</v>
      </c>
      <c r="AB61">
        <v>14.4366284</v>
      </c>
      <c r="AC61">
        <v>14.604837789999999</v>
      </c>
      <c r="AD61">
        <v>14.774889290000001</v>
      </c>
      <c r="AE61">
        <v>14.94680797</v>
      </c>
      <c r="AF61">
        <v>15.12061944</v>
      </c>
      <c r="AG61">
        <v>15.29634985</v>
      </c>
      <c r="AH61">
        <v>15.474025920000001</v>
      </c>
      <c r="AI61">
        <v>15.653674880000001</v>
      </c>
      <c r="AJ61">
        <v>15.835324419999999</v>
      </c>
      <c r="AK61">
        <v>16.019002619999998</v>
      </c>
    </row>
    <row r="62" spans="1:37" x14ac:dyDescent="0.25">
      <c r="A62" t="s">
        <v>2072</v>
      </c>
      <c r="B62">
        <v>1.185692003</v>
      </c>
      <c r="C62">
        <v>1.198752246</v>
      </c>
      <c r="D62">
        <v>1.211345152</v>
      </c>
      <c r="E62">
        <v>1.2235522400000001</v>
      </c>
      <c r="F62">
        <v>1.235351141</v>
      </c>
      <c r="G62">
        <v>1.246607756</v>
      </c>
      <c r="H62">
        <v>1.2573441729999999</v>
      </c>
      <c r="I62">
        <v>1.2678080679999999</v>
      </c>
      <c r="J62">
        <v>1.278203735</v>
      </c>
      <c r="K62">
        <v>1.28860967</v>
      </c>
      <c r="L62">
        <v>1.2989873119999999</v>
      </c>
      <c r="M62">
        <v>1.3092057070000001</v>
      </c>
      <c r="N62">
        <v>1.319067207</v>
      </c>
      <c r="O62">
        <v>1.3283309889999999</v>
      </c>
      <c r="P62">
        <v>1.3367339229999999</v>
      </c>
      <c r="Q62">
        <v>1.344008994</v>
      </c>
      <c r="R62">
        <v>1.35008448</v>
      </c>
      <c r="S62">
        <v>1.355145829</v>
      </c>
      <c r="T62">
        <v>1.359430452</v>
      </c>
      <c r="U62">
        <v>1.363149392</v>
      </c>
      <c r="V62">
        <v>1.366473437</v>
      </c>
      <c r="W62">
        <v>1.3695346930000001</v>
      </c>
      <c r="X62">
        <v>1.372432611</v>
      </c>
      <c r="Y62">
        <v>1.375240891</v>
      </c>
      <c r="Z62">
        <v>1.3780138930000001</v>
      </c>
      <c r="AA62">
        <v>1.3807919989999999</v>
      </c>
      <c r="AB62">
        <v>1.383605821</v>
      </c>
      <c r="AC62">
        <v>1.3864793550000001</v>
      </c>
      <c r="AD62">
        <v>1.389432244</v>
      </c>
      <c r="AE62">
        <v>1.392481361</v>
      </c>
      <c r="AF62">
        <v>1.395641873</v>
      </c>
      <c r="AG62">
        <v>1.398927939</v>
      </c>
      <c r="AH62">
        <v>1.402353156</v>
      </c>
      <c r="AI62">
        <v>1.405930831</v>
      </c>
      <c r="AJ62">
        <v>1.409674133</v>
      </c>
      <c r="AK62">
        <v>1.413596173</v>
      </c>
    </row>
    <row r="63" spans="1:37" x14ac:dyDescent="0.25">
      <c r="A63" t="s">
        <v>2073</v>
      </c>
      <c r="B63">
        <v>1.185692003</v>
      </c>
      <c r="C63">
        <v>1.1992627849999999</v>
      </c>
      <c r="D63">
        <v>1.212971816</v>
      </c>
      <c r="E63">
        <v>1.226876563</v>
      </c>
      <c r="F63">
        <v>1.241002553</v>
      </c>
      <c r="G63">
        <v>1.255355599</v>
      </c>
      <c r="H63">
        <v>1.269931345</v>
      </c>
      <c r="I63">
        <v>1.28472046</v>
      </c>
      <c r="J63">
        <v>1.2997118620000001</v>
      </c>
      <c r="K63">
        <v>1.3148948730000001</v>
      </c>
      <c r="L63">
        <v>1.3302604899999999</v>
      </c>
      <c r="M63">
        <v>1.3458019459999999</v>
      </c>
      <c r="N63">
        <v>1.361514779</v>
      </c>
      <c r="O63">
        <v>1.3773966209999999</v>
      </c>
      <c r="P63">
        <v>1.393446851</v>
      </c>
      <c r="Q63">
        <v>1.4096662</v>
      </c>
      <c r="R63">
        <v>1.4260563770000001</v>
      </c>
      <c r="S63">
        <v>1.442619756</v>
      </c>
      <c r="T63">
        <v>1.4593591029999999</v>
      </c>
      <c r="U63">
        <v>1.4762773730000001</v>
      </c>
      <c r="V63">
        <v>1.493377569</v>
      </c>
      <c r="W63">
        <v>1.5106626540000001</v>
      </c>
      <c r="X63">
        <v>1.5281355139999999</v>
      </c>
      <c r="Y63">
        <v>1.5457989409999999</v>
      </c>
      <c r="Z63">
        <v>1.563655652</v>
      </c>
      <c r="AA63">
        <v>1.5817083110000001</v>
      </c>
      <c r="AB63">
        <v>1.5999595499999999</v>
      </c>
      <c r="AC63">
        <v>1.618412006</v>
      </c>
      <c r="AD63">
        <v>1.6370683349999999</v>
      </c>
      <c r="AE63">
        <v>1.6559312310000001</v>
      </c>
      <c r="AF63">
        <v>1.675003442</v>
      </c>
      <c r="AG63">
        <v>1.694287769</v>
      </c>
      <c r="AH63">
        <v>1.7137870660000001</v>
      </c>
      <c r="AI63">
        <v>1.7335042389999999</v>
      </c>
      <c r="AJ63">
        <v>1.753442239</v>
      </c>
      <c r="AK63">
        <v>1.7736040529999999</v>
      </c>
    </row>
    <row r="64" spans="1:37" x14ac:dyDescent="0.25">
      <c r="A64" t="s">
        <v>2074</v>
      </c>
      <c r="B64">
        <v>1.297393003</v>
      </c>
      <c r="C64">
        <v>1.3060264660000001</v>
      </c>
      <c r="D64">
        <v>1.312171781</v>
      </c>
      <c r="E64">
        <v>1.3171825699999999</v>
      </c>
      <c r="F64">
        <v>1.3213345249999999</v>
      </c>
      <c r="G64">
        <v>1.324471116</v>
      </c>
      <c r="H64">
        <v>1.3272339609999999</v>
      </c>
      <c r="I64">
        <v>1.33055173</v>
      </c>
      <c r="J64">
        <v>1.334670035</v>
      </c>
      <c r="K64">
        <v>1.3394760619999999</v>
      </c>
      <c r="L64">
        <v>1.344678952</v>
      </c>
      <c r="M64">
        <v>1.349910425</v>
      </c>
      <c r="N64">
        <v>1.354785387</v>
      </c>
      <c r="O64">
        <v>1.358941548</v>
      </c>
      <c r="P64">
        <v>1.362065876</v>
      </c>
      <c r="Q64">
        <v>1.363910806</v>
      </c>
      <c r="R64">
        <v>1.3646648109999999</v>
      </c>
      <c r="S64">
        <v>1.3648266550000001</v>
      </c>
      <c r="T64">
        <v>1.3647463630000001</v>
      </c>
      <c r="U64">
        <v>1.3646537729999999</v>
      </c>
      <c r="V64">
        <v>1.364697276</v>
      </c>
      <c r="W64">
        <v>1.3649715339999999</v>
      </c>
      <c r="X64">
        <v>1.3655355179999999</v>
      </c>
      <c r="Y64">
        <v>1.3664242179999999</v>
      </c>
      <c r="Z64">
        <v>1.367656438</v>
      </c>
      <c r="AA64">
        <v>1.3692401430000001</v>
      </c>
      <c r="AB64">
        <v>1.3711762119999999</v>
      </c>
      <c r="AC64">
        <v>1.373461102</v>
      </c>
      <c r="AD64">
        <v>1.376088738</v>
      </c>
      <c r="AE64">
        <v>1.3790518389999999</v>
      </c>
      <c r="AF64">
        <v>1.382342833</v>
      </c>
      <c r="AG64">
        <v>1.385954468</v>
      </c>
      <c r="AH64">
        <v>1.3898801999999999</v>
      </c>
      <c r="AI64">
        <v>1.394114429</v>
      </c>
      <c r="AJ64">
        <v>1.398652604</v>
      </c>
      <c r="AK64">
        <v>1.403491257</v>
      </c>
    </row>
    <row r="65" spans="1:37" x14ac:dyDescent="0.25">
      <c r="A65" t="s">
        <v>2075</v>
      </c>
      <c r="B65">
        <v>1.297393003</v>
      </c>
      <c r="C65">
        <v>1.3117790069999999</v>
      </c>
      <c r="D65">
        <v>1.326248535</v>
      </c>
      <c r="E65">
        <v>1.3410685959999999</v>
      </c>
      <c r="F65">
        <v>1.356308748</v>
      </c>
      <c r="G65">
        <v>1.3719494029999999</v>
      </c>
      <c r="H65">
        <v>1.3879457479999999</v>
      </c>
      <c r="I65">
        <v>1.404254463</v>
      </c>
      <c r="J65">
        <v>1.4208415539999999</v>
      </c>
      <c r="K65">
        <v>1.437682541</v>
      </c>
      <c r="L65">
        <v>1.454760394</v>
      </c>
      <c r="M65">
        <v>1.472063372</v>
      </c>
      <c r="N65">
        <v>1.4895834370000001</v>
      </c>
      <c r="O65">
        <v>1.507315221</v>
      </c>
      <c r="P65">
        <v>1.5252553929999999</v>
      </c>
      <c r="Q65">
        <v>1.543402205</v>
      </c>
      <c r="R65">
        <v>1.5617551569999999</v>
      </c>
      <c r="S65">
        <v>1.580314725</v>
      </c>
      <c r="T65">
        <v>1.5990820910000001</v>
      </c>
      <c r="U65">
        <v>1.6180589089999999</v>
      </c>
      <c r="V65">
        <v>1.6372471159999999</v>
      </c>
      <c r="W65">
        <v>1.6566487990000001</v>
      </c>
      <c r="X65">
        <v>1.6762660970000001</v>
      </c>
      <c r="Y65">
        <v>1.696101166</v>
      </c>
      <c r="Z65">
        <v>1.716156166</v>
      </c>
      <c r="AA65">
        <v>1.7364332709999999</v>
      </c>
      <c r="AB65">
        <v>1.756934698</v>
      </c>
      <c r="AC65">
        <v>1.7776627309999999</v>
      </c>
      <c r="AD65">
        <v>1.7986197479999999</v>
      </c>
      <c r="AE65">
        <v>1.819808243</v>
      </c>
      <c r="AF65">
        <v>1.8412308340000001</v>
      </c>
      <c r="AG65">
        <v>1.8628902730000001</v>
      </c>
      <c r="AH65">
        <v>1.8847894409999999</v>
      </c>
      <c r="AI65">
        <v>1.906931344</v>
      </c>
      <c r="AJ65">
        <v>1.929319104</v>
      </c>
      <c r="AK65">
        <v>1.951955946</v>
      </c>
    </row>
    <row r="66" spans="1:37" x14ac:dyDescent="0.25">
      <c r="A66" t="s">
        <v>2076</v>
      </c>
      <c r="B66">
        <v>8.392555711</v>
      </c>
      <c r="C66">
        <v>8.4821745330000002</v>
      </c>
      <c r="D66">
        <v>8.5684470130000001</v>
      </c>
      <c r="E66">
        <v>8.6529701540000001</v>
      </c>
      <c r="F66">
        <v>8.7358051420000002</v>
      </c>
      <c r="G66">
        <v>8.8159977400000002</v>
      </c>
      <c r="H66">
        <v>8.8939133899999998</v>
      </c>
      <c r="I66">
        <v>8.9712604290000009</v>
      </c>
      <c r="J66">
        <v>9.0489762660000004</v>
      </c>
      <c r="K66">
        <v>9.1272010150000007</v>
      </c>
      <c r="L66">
        <v>9.2054492050000007</v>
      </c>
      <c r="M66">
        <v>9.2827806440000007</v>
      </c>
      <c r="N66">
        <v>9.3579462850000006</v>
      </c>
      <c r="O66">
        <v>9.4295120259999994</v>
      </c>
      <c r="P66">
        <v>9.4959650890000002</v>
      </c>
      <c r="Q66">
        <v>9.555805372</v>
      </c>
      <c r="R66">
        <v>9.6089361419999992</v>
      </c>
      <c r="S66">
        <v>9.6567234479999993</v>
      </c>
      <c r="T66">
        <v>9.7004762850000006</v>
      </c>
      <c r="U66">
        <v>9.7412672219999994</v>
      </c>
      <c r="V66">
        <v>9.7799376819999999</v>
      </c>
      <c r="W66">
        <v>9.8171365940000008</v>
      </c>
      <c r="X66">
        <v>9.8533612549999994</v>
      </c>
      <c r="Y66">
        <v>9.8889931900000008</v>
      </c>
      <c r="Z66">
        <v>9.924327624</v>
      </c>
      <c r="AA66">
        <v>9.9595968060000004</v>
      </c>
      <c r="AB66">
        <v>9.9949879240000001</v>
      </c>
      <c r="AC66">
        <v>10.030656540000001</v>
      </c>
      <c r="AD66">
        <v>10.06673644</v>
      </c>
      <c r="AE66">
        <v>10.10334675</v>
      </c>
      <c r="AF66">
        <v>10.140597</v>
      </c>
      <c r="AG66">
        <v>10.17859065</v>
      </c>
      <c r="AH66">
        <v>10.21742751</v>
      </c>
      <c r="AI66">
        <v>10.257205389999999</v>
      </c>
      <c r="AJ66">
        <v>10.298021110000001</v>
      </c>
      <c r="AK66">
        <v>10.3399711</v>
      </c>
    </row>
    <row r="67" spans="1:37" x14ac:dyDescent="0.25">
      <c r="A67" t="s">
        <v>2077</v>
      </c>
      <c r="B67">
        <v>8.392555711</v>
      </c>
      <c r="C67">
        <v>8.4864020599999996</v>
      </c>
      <c r="D67">
        <v>8.5806126769999995</v>
      </c>
      <c r="E67">
        <v>8.6765403570000004</v>
      </c>
      <c r="F67">
        <v>8.7746648799999996</v>
      </c>
      <c r="G67">
        <v>8.8750172670000005</v>
      </c>
      <c r="H67">
        <v>8.9774572369999994</v>
      </c>
      <c r="I67">
        <v>9.081804709</v>
      </c>
      <c r="J67">
        <v>9.1878918350000003</v>
      </c>
      <c r="K67">
        <v>9.2955791990000005</v>
      </c>
      <c r="L67">
        <v>9.4047578600000001</v>
      </c>
      <c r="M67">
        <v>9.5153466909999995</v>
      </c>
      <c r="N67">
        <v>9.6272885620000004</v>
      </c>
      <c r="O67">
        <v>9.7405465440000008</v>
      </c>
      <c r="P67">
        <v>9.8551003080000008</v>
      </c>
      <c r="Q67">
        <v>9.9709426499999996</v>
      </c>
      <c r="R67">
        <v>10.088076360000001</v>
      </c>
      <c r="S67">
        <v>10.20651155</v>
      </c>
      <c r="T67">
        <v>10.326263170000001</v>
      </c>
      <c r="U67">
        <v>10.447349129999999</v>
      </c>
      <c r="V67">
        <v>10.56978885</v>
      </c>
      <c r="W67">
        <v>10.693602240000001</v>
      </c>
      <c r="X67">
        <v>10.81880911</v>
      </c>
      <c r="Y67">
        <v>10.945428850000001</v>
      </c>
      <c r="Z67">
        <v>11.07348034</v>
      </c>
      <c r="AA67">
        <v>11.202981980000001</v>
      </c>
      <c r="AB67">
        <v>11.33395183</v>
      </c>
      <c r="AC67">
        <v>11.46640775</v>
      </c>
      <c r="AD67">
        <v>11.60036756</v>
      </c>
      <c r="AE67">
        <v>11.735849200000001</v>
      </c>
      <c r="AF67">
        <v>11.87287079</v>
      </c>
      <c r="AG67">
        <v>12.011450740000001</v>
      </c>
      <c r="AH67">
        <v>12.151607759999999</v>
      </c>
      <c r="AI67">
        <v>12.293360870000001</v>
      </c>
      <c r="AJ67">
        <v>12.43672941</v>
      </c>
      <c r="AK67">
        <v>12.581732990000001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1855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153.69788890000001</v>
      </c>
      <c r="J2">
        <v>154.49581259999999</v>
      </c>
      <c r="K2">
        <v>155.3236919</v>
      </c>
      <c r="L2">
        <v>156.17039320000001</v>
      </c>
      <c r="M2">
        <v>157.0222287</v>
      </c>
      <c r="N2">
        <v>157.86422279999999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163.23416560000001</v>
      </c>
      <c r="W2">
        <v>163.80435679999999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166.70129929999999</v>
      </c>
      <c r="AC2">
        <v>167.30292679999999</v>
      </c>
      <c r="AD2">
        <v>167.9151334</v>
      </c>
      <c r="AE2">
        <v>168.53913019999999</v>
      </c>
      <c r="AF2">
        <v>169.17614829999999</v>
      </c>
      <c r="AG2">
        <v>169.82746220000001</v>
      </c>
      <c r="AH2">
        <v>170.49440200000001</v>
      </c>
      <c r="AI2">
        <v>171.17835779999999</v>
      </c>
      <c r="AJ2">
        <v>171.8807764</v>
      </c>
      <c r="AK2">
        <v>172.60315180000001</v>
      </c>
    </row>
    <row r="3" spans="1:37" x14ac:dyDescent="0.25">
      <c r="A3" t="s">
        <v>1856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154.81742510000001</v>
      </c>
      <c r="J3">
        <v>155.87806119999999</v>
      </c>
      <c r="K3">
        <v>156.97270080000001</v>
      </c>
      <c r="L3">
        <v>158.09525450000001</v>
      </c>
      <c r="M3">
        <v>159.24154580000001</v>
      </c>
      <c r="N3">
        <v>160.4087835</v>
      </c>
      <c r="O3">
        <v>161.5951245</v>
      </c>
      <c r="P3">
        <v>162.7993462</v>
      </c>
      <c r="Q3">
        <v>164.02069560000001</v>
      </c>
      <c r="R3">
        <v>165.25872709999999</v>
      </c>
      <c r="S3">
        <v>166.51314970000001</v>
      </c>
      <c r="T3">
        <v>167.78380910000001</v>
      </c>
      <c r="U3">
        <v>169.07065349999999</v>
      </c>
      <c r="V3">
        <v>170.37371010000001</v>
      </c>
      <c r="W3">
        <v>171.69305320000001</v>
      </c>
      <c r="X3">
        <v>173.028785</v>
      </c>
      <c r="Y3">
        <v>174.3810264</v>
      </c>
      <c r="Z3">
        <v>175.7499115</v>
      </c>
      <c r="AA3">
        <v>177.13558610000001</v>
      </c>
      <c r="AB3">
        <v>178.53820680000001</v>
      </c>
      <c r="AC3">
        <v>179.95794119999999</v>
      </c>
      <c r="AD3">
        <v>181.39496829999999</v>
      </c>
      <c r="AE3">
        <v>182.8494786</v>
      </c>
      <c r="AF3">
        <v>184.32167010000001</v>
      </c>
      <c r="AG3">
        <v>185.81175379999999</v>
      </c>
      <c r="AH3">
        <v>187.31995190000001</v>
      </c>
      <c r="AI3">
        <v>188.84649580000001</v>
      </c>
      <c r="AJ3">
        <v>190.3916251</v>
      </c>
      <c r="AK3">
        <v>191.95558600000001</v>
      </c>
    </row>
    <row r="4" spans="1:37" x14ac:dyDescent="0.25">
      <c r="A4" t="s">
        <v>1857</v>
      </c>
      <c r="B4">
        <v>2.391149</v>
      </c>
      <c r="C4">
        <v>2.4113402939999999</v>
      </c>
      <c r="D4">
        <v>2.4286401739999999</v>
      </c>
      <c r="E4">
        <v>2.4450674380000001</v>
      </c>
      <c r="F4">
        <v>2.4608148160000001</v>
      </c>
      <c r="G4">
        <v>2.4751913060000001</v>
      </c>
      <c r="H4">
        <v>2.488319808</v>
      </c>
      <c r="I4">
        <v>2.5011328000000002</v>
      </c>
      <c r="J4">
        <v>2.5140191330000001</v>
      </c>
      <c r="K4">
        <v>2.5269144560000001</v>
      </c>
      <c r="L4">
        <v>2.53943853</v>
      </c>
      <c r="M4">
        <v>2.5510018200000002</v>
      </c>
      <c r="N4">
        <v>2.5608869329999999</v>
      </c>
      <c r="O4">
        <v>2.5683162469999998</v>
      </c>
      <c r="P4">
        <v>2.5725126199999999</v>
      </c>
      <c r="Q4">
        <v>2.572755243</v>
      </c>
      <c r="R4">
        <v>2.569252477</v>
      </c>
      <c r="S4">
        <v>2.5630356679999999</v>
      </c>
      <c r="T4">
        <v>2.5549306129999998</v>
      </c>
      <c r="U4">
        <v>2.5455444310000002</v>
      </c>
      <c r="V4">
        <v>2.5353158929999999</v>
      </c>
      <c r="W4">
        <v>2.5245598760000001</v>
      </c>
      <c r="X4">
        <v>2.5135002740000001</v>
      </c>
      <c r="Y4">
        <v>2.5022938510000001</v>
      </c>
      <c r="Z4">
        <v>2.4910476479999999</v>
      </c>
      <c r="AA4">
        <v>2.4798317910000001</v>
      </c>
      <c r="AB4">
        <v>2.4686890030000002</v>
      </c>
      <c r="AC4">
        <v>2.4576417039999998</v>
      </c>
      <c r="AD4">
        <v>2.4466973699999999</v>
      </c>
      <c r="AE4">
        <v>2.4358526600000001</v>
      </c>
      <c r="AF4">
        <v>2.4250966549999999</v>
      </c>
      <c r="AG4">
        <v>2.4144135090000001</v>
      </c>
      <c r="AH4">
        <v>2.4037846950000001</v>
      </c>
      <c r="AI4">
        <v>2.3931909789999999</v>
      </c>
      <c r="AJ4">
        <v>2.3826142240000001</v>
      </c>
      <c r="AK4">
        <v>2.372039059</v>
      </c>
    </row>
    <row r="5" spans="1:37" x14ac:dyDescent="0.25">
      <c r="A5" t="s">
        <v>1858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2.5339147369999999</v>
      </c>
      <c r="I5">
        <v>2.561197301</v>
      </c>
      <c r="J5">
        <v>2.5891752879999999</v>
      </c>
      <c r="K5">
        <v>2.6177206100000001</v>
      </c>
      <c r="L5">
        <v>2.6467433090000001</v>
      </c>
      <c r="M5">
        <v>2.6761821170000002</v>
      </c>
      <c r="N5">
        <v>2.7059964619999999</v>
      </c>
      <c r="O5">
        <v>2.7361602989999998</v>
      </c>
      <c r="P5">
        <v>2.7666573919999999</v>
      </c>
      <c r="Q5">
        <v>2.7974787710000002</v>
      </c>
      <c r="R5">
        <v>2.8286203919999999</v>
      </c>
      <c r="S5">
        <v>2.860081863</v>
      </c>
      <c r="T5">
        <v>2.89186487</v>
      </c>
      <c r="U5">
        <v>2.9239721200000002</v>
      </c>
      <c r="V5">
        <v>2.9564069389999998</v>
      </c>
      <c r="W5">
        <v>2.9891730120000002</v>
      </c>
      <c r="X5">
        <v>3.0222742299999998</v>
      </c>
      <c r="Y5">
        <v>3.0557145920000002</v>
      </c>
      <c r="Z5">
        <v>3.0894981700000002</v>
      </c>
      <c r="AA5">
        <v>3.1236290919999998</v>
      </c>
      <c r="AB5">
        <v>3.1581115519999998</v>
      </c>
      <c r="AC5">
        <v>3.1929498239999998</v>
      </c>
      <c r="AD5">
        <v>3.2281482690000001</v>
      </c>
      <c r="AE5">
        <v>3.2637113470000001</v>
      </c>
      <c r="AF5">
        <v>3.299643648</v>
      </c>
      <c r="AG5">
        <v>3.3359498379999999</v>
      </c>
      <c r="AH5">
        <v>3.372634659</v>
      </c>
      <c r="AI5">
        <v>3.409702915</v>
      </c>
      <c r="AJ5">
        <v>3.44715946</v>
      </c>
      <c r="AK5">
        <v>3.4850091879999998</v>
      </c>
    </row>
    <row r="6" spans="1:37" x14ac:dyDescent="0.25">
      <c r="A6" t="s">
        <v>1859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1.1342990820000001</v>
      </c>
      <c r="J6">
        <v>1.1412008380000001</v>
      </c>
      <c r="K6">
        <v>1.148381232</v>
      </c>
      <c r="L6">
        <v>1.1557181430000001</v>
      </c>
      <c r="M6">
        <v>1.1630714449999999</v>
      </c>
      <c r="N6">
        <v>1.170289951</v>
      </c>
      <c r="O6">
        <v>1.1772170500000001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</v>
      </c>
      <c r="U6">
        <v>1.207906414</v>
      </c>
      <c r="V6">
        <v>1.21167705</v>
      </c>
      <c r="W6">
        <v>1.21523504</v>
      </c>
      <c r="X6">
        <v>1.218602274</v>
      </c>
      <c r="Y6">
        <v>1.22178882</v>
      </c>
      <c r="Z6">
        <v>1.2247961919999999</v>
      </c>
      <c r="AA6">
        <v>1.227619689</v>
      </c>
      <c r="AB6">
        <v>1.230250083</v>
      </c>
      <c r="AC6">
        <v>1.2326748809999999</v>
      </c>
      <c r="AD6">
        <v>1.2348793039999999</v>
      </c>
      <c r="AE6">
        <v>1.2368471059999999</v>
      </c>
      <c r="AF6">
        <v>1.2385613090000001</v>
      </c>
      <c r="AG6">
        <v>1.240004903</v>
      </c>
      <c r="AH6">
        <v>1.2411615519999999</v>
      </c>
      <c r="AI6">
        <v>1.242016306</v>
      </c>
      <c r="AJ6">
        <v>1.2425563509999999</v>
      </c>
      <c r="AK6">
        <v>1.242771761</v>
      </c>
    </row>
    <row r="7" spans="1:37" x14ac:dyDescent="0.25">
      <c r="A7" t="s">
        <v>1860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1.119431509</v>
      </c>
      <c r="G7">
        <v>1.126786308</v>
      </c>
      <c r="H7">
        <v>1.13497811</v>
      </c>
      <c r="I7">
        <v>1.1438038129999999</v>
      </c>
      <c r="J7">
        <v>1.153098556</v>
      </c>
      <c r="K7">
        <v>1.162743262</v>
      </c>
      <c r="L7">
        <v>1.1726568479999999</v>
      </c>
      <c r="M7">
        <v>1.1827858360000001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1.257916335</v>
      </c>
      <c r="U7">
        <v>1.2691591769999999</v>
      </c>
      <c r="V7">
        <v>1.2805225499999999</v>
      </c>
      <c r="W7">
        <v>1.2920062029999999</v>
      </c>
      <c r="X7">
        <v>1.303610175</v>
      </c>
      <c r="Y7">
        <v>1.315334724</v>
      </c>
      <c r="Z7">
        <v>1.3271802859999999</v>
      </c>
      <c r="AA7">
        <v>1.3391474480000001</v>
      </c>
      <c r="AB7">
        <v>1.351236946</v>
      </c>
      <c r="AC7">
        <v>1.3634496540000001</v>
      </c>
      <c r="AD7">
        <v>1.3757865840000001</v>
      </c>
      <c r="AE7">
        <v>1.388248884</v>
      </c>
      <c r="AF7">
        <v>1.4008378260000001</v>
      </c>
      <c r="AG7">
        <v>1.4135548040000001</v>
      </c>
      <c r="AH7">
        <v>1.4264013200000001</v>
      </c>
      <c r="AI7">
        <v>1.4393789749999999</v>
      </c>
      <c r="AJ7">
        <v>1.4524894500000001</v>
      </c>
      <c r="AK7">
        <v>1.4657344919999999</v>
      </c>
    </row>
    <row r="8" spans="1:37" x14ac:dyDescent="0.25">
      <c r="A8" t="s">
        <v>1861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43.264920930000002</v>
      </c>
      <c r="H8">
        <v>43.513952080000003</v>
      </c>
      <c r="I8">
        <v>43.78233985</v>
      </c>
      <c r="J8">
        <v>44.066370890000002</v>
      </c>
      <c r="K8">
        <v>44.361627120000001</v>
      </c>
      <c r="L8">
        <v>44.663092769999999</v>
      </c>
      <c r="M8">
        <v>44.965278179999999</v>
      </c>
      <c r="N8">
        <v>45.262340440000003</v>
      </c>
      <c r="O8">
        <v>45.548213250000003</v>
      </c>
      <c r="P8">
        <v>45.816747450000001</v>
      </c>
      <c r="Q8">
        <v>46.061854830000001</v>
      </c>
      <c r="R8">
        <v>46.282313430000002</v>
      </c>
      <c r="S8">
        <v>46.482149659999997</v>
      </c>
      <c r="T8">
        <v>46.66522758</v>
      </c>
      <c r="U8">
        <v>46.834475269999999</v>
      </c>
      <c r="V8">
        <v>46.991903649999998</v>
      </c>
      <c r="W8">
        <v>47.138777109999999</v>
      </c>
      <c r="X8">
        <v>47.275783519999997</v>
      </c>
      <c r="Y8">
        <v>47.403171999999998</v>
      </c>
      <c r="Z8">
        <v>47.52085804</v>
      </c>
      <c r="AA8">
        <v>47.628503100000003</v>
      </c>
      <c r="AB8">
        <v>47.725575450000001</v>
      </c>
      <c r="AC8">
        <v>47.811398420000003</v>
      </c>
      <c r="AD8">
        <v>47.885190510000001</v>
      </c>
      <c r="AE8">
        <v>47.946100899999998</v>
      </c>
      <c r="AF8">
        <v>47.993242969999997</v>
      </c>
      <c r="AG8">
        <v>48.025727379999999</v>
      </c>
      <c r="AH8">
        <v>48.042696079999999</v>
      </c>
      <c r="AI8">
        <v>48.043357440000001</v>
      </c>
      <c r="AJ8">
        <v>48.027022899999999</v>
      </c>
      <c r="AK8">
        <v>47.993144409999999</v>
      </c>
    </row>
    <row r="9" spans="1:37" x14ac:dyDescent="0.25">
      <c r="A9" t="s">
        <v>1862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43.450606270000002</v>
      </c>
      <c r="H9">
        <v>43.77617515</v>
      </c>
      <c r="I9">
        <v>44.128631660000003</v>
      </c>
      <c r="J9">
        <v>44.500733289999999</v>
      </c>
      <c r="K9">
        <v>44.887349469999997</v>
      </c>
      <c r="L9">
        <v>45.285004139999998</v>
      </c>
      <c r="M9">
        <v>45.691392559999997</v>
      </c>
      <c r="N9">
        <v>46.104998129999998</v>
      </c>
      <c r="O9">
        <v>46.524821809999999</v>
      </c>
      <c r="P9">
        <v>46.950201370000002</v>
      </c>
      <c r="Q9">
        <v>47.380695060000001</v>
      </c>
      <c r="R9">
        <v>47.816006229999999</v>
      </c>
      <c r="S9">
        <v>48.255934099999997</v>
      </c>
      <c r="T9">
        <v>48.70034287</v>
      </c>
      <c r="U9">
        <v>49.14914134</v>
      </c>
      <c r="V9">
        <v>49.602268989999999</v>
      </c>
      <c r="W9">
        <v>50.059686829999997</v>
      </c>
      <c r="X9">
        <v>50.521371530000003</v>
      </c>
      <c r="Y9">
        <v>50.987311800000001</v>
      </c>
      <c r="Z9">
        <v>51.457506299999999</v>
      </c>
      <c r="AA9">
        <v>51.931962400000003</v>
      </c>
      <c r="AB9">
        <v>52.410695519999997</v>
      </c>
      <c r="AC9">
        <v>52.893728779999996</v>
      </c>
      <c r="AD9">
        <v>53.38109266</v>
      </c>
      <c r="AE9">
        <v>53.872824639999997</v>
      </c>
      <c r="AF9">
        <v>54.36896883</v>
      </c>
      <c r="AG9">
        <v>54.869575400000002</v>
      </c>
      <c r="AH9">
        <v>55.374699999999997</v>
      </c>
      <c r="AI9">
        <v>55.884403040000002</v>
      </c>
      <c r="AJ9">
        <v>56.398748959999999</v>
      </c>
      <c r="AK9">
        <v>56.917805469999998</v>
      </c>
    </row>
    <row r="10" spans="1:37" x14ac:dyDescent="0.25">
      <c r="A10" t="s">
        <v>1863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8.0809697239999991</v>
      </c>
      <c r="H10">
        <v>8.1006529559999993</v>
      </c>
      <c r="I10">
        <v>8.1215149209999993</v>
      </c>
      <c r="J10">
        <v>8.144054122</v>
      </c>
      <c r="K10">
        <v>8.1679440509999992</v>
      </c>
      <c r="L10">
        <v>8.1923757459999997</v>
      </c>
      <c r="M10">
        <v>8.2162685240000002</v>
      </c>
      <c r="N10">
        <v>8.2383993180000008</v>
      </c>
      <c r="O10">
        <v>8.2574886670000005</v>
      </c>
      <c r="P10">
        <v>8.2722653570000002</v>
      </c>
      <c r="Q10">
        <v>8.2815209789999997</v>
      </c>
      <c r="R10">
        <v>8.2856109609999997</v>
      </c>
      <c r="S10">
        <v>8.2862246979999998</v>
      </c>
      <c r="T10">
        <v>8.2845759589999997</v>
      </c>
      <c r="U10">
        <v>8.2814961</v>
      </c>
      <c r="V10">
        <v>8.2775610680000007</v>
      </c>
      <c r="W10">
        <v>8.2731805779999998</v>
      </c>
      <c r="X10">
        <v>8.2686547029999993</v>
      </c>
      <c r="Y10">
        <v>8.2642092890000001</v>
      </c>
      <c r="Z10">
        <v>8.2600185130000003</v>
      </c>
      <c r="AA10">
        <v>8.2562196960000005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8.2463866849999992</v>
      </c>
      <c r="AG10">
        <v>8.2467296720000007</v>
      </c>
      <c r="AH10">
        <v>8.2479680420000001</v>
      </c>
      <c r="AI10">
        <v>8.2501481830000003</v>
      </c>
      <c r="AJ10">
        <v>8.253314906</v>
      </c>
      <c r="AK10">
        <v>8.2575120880000004</v>
      </c>
    </row>
    <row r="11" spans="1:37" x14ac:dyDescent="0.25">
      <c r="A11" t="s">
        <v>1864</v>
      </c>
      <c r="B11">
        <v>7.9355360250000002</v>
      </c>
      <c r="C11">
        <v>7.9882333299999999</v>
      </c>
      <c r="D11">
        <v>8.0259841749999996</v>
      </c>
      <c r="E11">
        <v>8.0597632410000006</v>
      </c>
      <c r="F11">
        <v>8.0940822430000008</v>
      </c>
      <c r="G11">
        <v>8.1304840889999994</v>
      </c>
      <c r="H11">
        <v>8.1692775429999998</v>
      </c>
      <c r="I11">
        <v>8.2103169440000006</v>
      </c>
      <c r="J11">
        <v>8.2533317870000005</v>
      </c>
      <c r="K11">
        <v>8.2980553950000004</v>
      </c>
      <c r="L11">
        <v>8.3442670830000001</v>
      </c>
      <c r="M11">
        <v>8.3917989459999998</v>
      </c>
      <c r="N11">
        <v>8.4405296599999993</v>
      </c>
      <c r="O11">
        <v>8.4903729329999997</v>
      </c>
      <c r="P11">
        <v>8.5412591609999993</v>
      </c>
      <c r="Q11">
        <v>8.5931470399999998</v>
      </c>
      <c r="R11">
        <v>8.6460126390000003</v>
      </c>
      <c r="S11">
        <v>8.6998426210000002</v>
      </c>
      <c r="T11">
        <v>8.7546298670000002</v>
      </c>
      <c r="U11">
        <v>8.8103706840000005</v>
      </c>
      <c r="V11">
        <v>8.8670631699999998</v>
      </c>
      <c r="W11">
        <v>8.9247062560000003</v>
      </c>
      <c r="X11">
        <v>8.9832992110000003</v>
      </c>
      <c r="Y11">
        <v>9.0428414299999993</v>
      </c>
      <c r="Z11">
        <v>9.1033324199999992</v>
      </c>
      <c r="AA11">
        <v>9.1647718979999997</v>
      </c>
      <c r="AB11">
        <v>9.2271599309999992</v>
      </c>
      <c r="AC11">
        <v>9.2904970949999992</v>
      </c>
      <c r="AD11">
        <v>9.3547846180000001</v>
      </c>
      <c r="AE11">
        <v>9.4200244909999995</v>
      </c>
      <c r="AF11">
        <v>9.4862195479999993</v>
      </c>
      <c r="AG11">
        <v>9.5533735059999998</v>
      </c>
      <c r="AH11">
        <v>9.6214909710000001</v>
      </c>
      <c r="AI11">
        <v>9.6905774200000003</v>
      </c>
      <c r="AJ11">
        <v>9.7606391630000005</v>
      </c>
      <c r="AK11">
        <v>9.8316832909999992</v>
      </c>
    </row>
    <row r="12" spans="1:37" x14ac:dyDescent="0.25">
      <c r="A12" t="s">
        <v>1865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6.4644390879999998</v>
      </c>
      <c r="H12">
        <v>6.4213775010000003</v>
      </c>
      <c r="I12">
        <v>6.3850269920000002</v>
      </c>
      <c r="J12">
        <v>6.354881539</v>
      </c>
      <c r="K12">
        <v>6.3284719149999997</v>
      </c>
      <c r="L12">
        <v>6.3031777739999999</v>
      </c>
      <c r="M12">
        <v>6.2768809020000003</v>
      </c>
      <c r="N12">
        <v>6.248162582</v>
      </c>
      <c r="O12">
        <v>6.2163283170000003</v>
      </c>
      <c r="P12">
        <v>6.1813630069999999</v>
      </c>
      <c r="Q12">
        <v>6.1438464479999997</v>
      </c>
      <c r="R12">
        <v>6.1075439429999996</v>
      </c>
      <c r="S12">
        <v>6.076631989</v>
      </c>
      <c r="T12">
        <v>6.0520068179999997</v>
      </c>
      <c r="U12">
        <v>6.0333399270000001</v>
      </c>
      <c r="V12">
        <v>6.0199343069999998</v>
      </c>
      <c r="W12">
        <v>6.0110661480000003</v>
      </c>
      <c r="X12">
        <v>6.006104219</v>
      </c>
      <c r="Y12">
        <v>6.0045364360000004</v>
      </c>
      <c r="Z12">
        <v>6.0059610409999999</v>
      </c>
      <c r="AA12">
        <v>6.0100672489999996</v>
      </c>
      <c r="AB12">
        <v>6.0166154069999997</v>
      </c>
      <c r="AC12">
        <v>6.0254201419999998</v>
      </c>
      <c r="AD12">
        <v>6.0363371399999997</v>
      </c>
      <c r="AE12">
        <v>6.0492531170000001</v>
      </c>
      <c r="AF12">
        <v>6.0640783779999996</v>
      </c>
      <c r="AG12">
        <v>6.0807411800000004</v>
      </c>
      <c r="AH12">
        <v>6.0991834630000001</v>
      </c>
      <c r="AI12">
        <v>6.1193574890000004</v>
      </c>
      <c r="AJ12">
        <v>6.1412231500000001</v>
      </c>
      <c r="AK12">
        <v>6.1647457140000004</v>
      </c>
    </row>
    <row r="13" spans="1:37" x14ac:dyDescent="0.25">
      <c r="A13" t="s">
        <v>1866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6.579626362</v>
      </c>
      <c r="H13">
        <v>6.5662570679999996</v>
      </c>
      <c r="I13">
        <v>6.5536933399999997</v>
      </c>
      <c r="J13">
        <v>6.5418995039999999</v>
      </c>
      <c r="K13">
        <v>6.530756352</v>
      </c>
      <c r="L13">
        <v>6.5201428579999998</v>
      </c>
      <c r="M13">
        <v>6.5099630670000002</v>
      </c>
      <c r="N13">
        <v>6.5001490659999996</v>
      </c>
      <c r="O13">
        <v>6.4906442699999998</v>
      </c>
      <c r="P13">
        <v>6.4813875310000002</v>
      </c>
      <c r="Q13">
        <v>6.4723484869999997</v>
      </c>
      <c r="R13">
        <v>6.4635120500000003</v>
      </c>
      <c r="S13">
        <v>6.454870294</v>
      </c>
      <c r="T13">
        <v>6.4464192520000001</v>
      </c>
      <c r="U13">
        <v>6.438157608</v>
      </c>
      <c r="V13">
        <v>6.4300859969999999</v>
      </c>
      <c r="W13">
        <v>6.4222067120000004</v>
      </c>
      <c r="X13">
        <v>6.414523515</v>
      </c>
      <c r="Y13">
        <v>6.4070414070000004</v>
      </c>
      <c r="Z13">
        <v>6.3997663630000003</v>
      </c>
      <c r="AA13">
        <v>6.392705018</v>
      </c>
      <c r="AB13">
        <v>6.3858643610000003</v>
      </c>
      <c r="AC13">
        <v>6.3792514430000002</v>
      </c>
      <c r="AD13">
        <v>6.3728731219999997</v>
      </c>
      <c r="AE13">
        <v>6.3667358600000004</v>
      </c>
      <c r="AF13">
        <v>6.3608457620000003</v>
      </c>
      <c r="AG13">
        <v>6.3552081810000001</v>
      </c>
      <c r="AH13">
        <v>6.349827672</v>
      </c>
      <c r="AI13">
        <v>6.3447080089999996</v>
      </c>
      <c r="AJ13">
        <v>6.3398522110000002</v>
      </c>
      <c r="AK13">
        <v>6.3352625759999999</v>
      </c>
    </row>
    <row r="14" spans="1:37" x14ac:dyDescent="0.25">
      <c r="A14" t="s">
        <v>1867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59.22279391</v>
      </c>
      <c r="H14">
        <v>59.569532440000003</v>
      </c>
      <c r="I14">
        <v>59.922402239999997</v>
      </c>
      <c r="J14">
        <v>60.282005140000003</v>
      </c>
      <c r="K14">
        <v>60.649574110000003</v>
      </c>
      <c r="L14">
        <v>61.025720649999997</v>
      </c>
      <c r="M14">
        <v>61.410175160000001</v>
      </c>
      <c r="N14">
        <v>61.801853360000003</v>
      </c>
      <c r="O14">
        <v>62.199005409999998</v>
      </c>
      <c r="P14">
        <v>62.599366860000003</v>
      </c>
      <c r="Q14">
        <v>63.000296030000001</v>
      </c>
      <c r="R14">
        <v>63.39725524</v>
      </c>
      <c r="S14">
        <v>63.787277520000004</v>
      </c>
      <c r="T14">
        <v>64.171804609999995</v>
      </c>
      <c r="U14">
        <v>64.553488130000005</v>
      </c>
      <c r="V14">
        <v>64.935102610000001</v>
      </c>
      <c r="W14">
        <v>65.319218090000007</v>
      </c>
      <c r="X14">
        <v>65.708153069999994</v>
      </c>
      <c r="Y14">
        <v>66.104022270000002</v>
      </c>
      <c r="Z14">
        <v>66.508806309999997</v>
      </c>
      <c r="AA14">
        <v>66.924416269999995</v>
      </c>
      <c r="AB14">
        <v>67.352744349999995</v>
      </c>
      <c r="AC14">
        <v>67.795699470000002</v>
      </c>
      <c r="AD14">
        <v>68.255228590000002</v>
      </c>
      <c r="AE14">
        <v>68.733325300000004</v>
      </c>
      <c r="AF14">
        <v>69.232026869999999</v>
      </c>
      <c r="AG14">
        <v>69.753400799999994</v>
      </c>
      <c r="AH14">
        <v>70.299521659999996</v>
      </c>
      <c r="AI14">
        <v>70.872439249999999</v>
      </c>
      <c r="AJ14">
        <v>71.474138870000004</v>
      </c>
      <c r="AK14">
        <v>72.106495219999999</v>
      </c>
    </row>
    <row r="15" spans="1:37" x14ac:dyDescent="0.25">
      <c r="A15" t="s">
        <v>1868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58.865512459999998</v>
      </c>
      <c r="G15">
        <v>59.204070780000002</v>
      </c>
      <c r="H15">
        <v>59.55949056</v>
      </c>
      <c r="I15">
        <v>59.930186579999997</v>
      </c>
      <c r="J15">
        <v>60.314031919999998</v>
      </c>
      <c r="K15">
        <v>60.709138539999998</v>
      </c>
      <c r="L15">
        <v>61.114056570000002</v>
      </c>
      <c r="M15">
        <v>61.527754049999999</v>
      </c>
      <c r="N15">
        <v>61.949533090000003</v>
      </c>
      <c r="O15">
        <v>62.378943270000001</v>
      </c>
      <c r="P15">
        <v>62.815710520000003</v>
      </c>
      <c r="Q15">
        <v>63.259683150000001</v>
      </c>
      <c r="R15">
        <v>63.71079314</v>
      </c>
      <c r="S15">
        <v>64.168984170000002</v>
      </c>
      <c r="T15">
        <v>64.634242330000006</v>
      </c>
      <c r="U15">
        <v>65.10660532</v>
      </c>
      <c r="V15">
        <v>65.586137620000002</v>
      </c>
      <c r="W15">
        <v>66.07291687</v>
      </c>
      <c r="X15">
        <v>66.567026690000006</v>
      </c>
      <c r="Y15">
        <v>67.068553359999996</v>
      </c>
      <c r="Z15">
        <v>67.577584540000004</v>
      </c>
      <c r="AA15">
        <v>68.094209120000002</v>
      </c>
      <c r="AB15">
        <v>68.618517560000001</v>
      </c>
      <c r="AC15">
        <v>69.150602500000005</v>
      </c>
      <c r="AD15">
        <v>69.690559230000005</v>
      </c>
      <c r="AE15">
        <v>70.238486129999998</v>
      </c>
      <c r="AF15">
        <v>70.794484850000003</v>
      </c>
      <c r="AG15">
        <v>71.358660389999997</v>
      </c>
      <c r="AH15">
        <v>71.931121009999998</v>
      </c>
      <c r="AI15">
        <v>72.511977959999996</v>
      </c>
      <c r="AJ15">
        <v>73.101345230000007</v>
      </c>
      <c r="AK15">
        <v>73.699339179999996</v>
      </c>
    </row>
    <row r="16" spans="1:37" x14ac:dyDescent="0.25">
      <c r="A16" t="s">
        <v>1869</v>
      </c>
      <c r="B16">
        <v>5.7094259999999997</v>
      </c>
      <c r="C16">
        <v>5.7722436630000002</v>
      </c>
      <c r="D16">
        <v>5.8322895360000002</v>
      </c>
      <c r="E16">
        <v>5.8903485360000003</v>
      </c>
      <c r="F16">
        <v>5.9468911120000003</v>
      </c>
      <c r="G16">
        <v>6.0018206989999996</v>
      </c>
      <c r="H16">
        <v>6.0548594639999997</v>
      </c>
      <c r="I16">
        <v>6.1064926220000002</v>
      </c>
      <c r="J16">
        <v>6.1577301540000002</v>
      </c>
      <c r="K16">
        <v>6.2091284269999996</v>
      </c>
      <c r="L16">
        <v>6.2606826590000004</v>
      </c>
      <c r="M16">
        <v>6.3119623540000003</v>
      </c>
      <c r="N16">
        <v>6.3622753379999999</v>
      </c>
      <c r="O16">
        <v>6.4107988090000001</v>
      </c>
      <c r="P16">
        <v>6.4566709150000001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6.6931079899999997</v>
      </c>
      <c r="X16">
        <v>6.7218637350000003</v>
      </c>
      <c r="Y16">
        <v>6.7504914459999998</v>
      </c>
      <c r="Z16">
        <v>6.7790575649999996</v>
      </c>
      <c r="AA16">
        <v>6.807596481</v>
      </c>
      <c r="AB16">
        <v>6.836129036</v>
      </c>
      <c r="AC16">
        <v>6.8646722640000002</v>
      </c>
      <c r="AD16">
        <v>6.8932439390000004</v>
      </c>
      <c r="AE16">
        <v>6.9218643049999997</v>
      </c>
      <c r="AF16">
        <v>6.9505563800000001</v>
      </c>
      <c r="AG16">
        <v>6.9793456730000001</v>
      </c>
      <c r="AH16">
        <v>7.0082596969999997</v>
      </c>
      <c r="AI16">
        <v>7.0373274910000001</v>
      </c>
      <c r="AJ16">
        <v>7.0665792190000003</v>
      </c>
      <c r="AK16">
        <v>7.0960458620000004</v>
      </c>
    </row>
    <row r="17" spans="1:37" x14ac:dyDescent="0.25">
      <c r="A17" t="s">
        <v>1870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6.0875169600000003</v>
      </c>
      <c r="I17">
        <v>6.1513029440000002</v>
      </c>
      <c r="J17">
        <v>6.215320803</v>
      </c>
      <c r="K17">
        <v>6.2795289030000001</v>
      </c>
      <c r="L17">
        <v>6.3438975549999999</v>
      </c>
      <c r="M17">
        <v>6.4084091670000003</v>
      </c>
      <c r="N17">
        <v>6.4730562049999998</v>
      </c>
      <c r="O17">
        <v>6.5378385339999996</v>
      </c>
      <c r="P17">
        <v>6.6027609050000002</v>
      </c>
      <c r="Q17">
        <v>6.6678308990000001</v>
      </c>
      <c r="R17">
        <v>6.7330574439999999</v>
      </c>
      <c r="S17">
        <v>6.7984498530000002</v>
      </c>
      <c r="T17">
        <v>6.8640171890000001</v>
      </c>
      <c r="U17">
        <v>6.9297679099999998</v>
      </c>
      <c r="V17">
        <v>6.9957097680000002</v>
      </c>
      <c r="W17">
        <v>7.0618498519999999</v>
      </c>
      <c r="X17">
        <v>7.1281946869999997</v>
      </c>
      <c r="Y17">
        <v>7.1947503709999996</v>
      </c>
      <c r="Z17">
        <v>7.2615227180000002</v>
      </c>
      <c r="AA17">
        <v>7.328517401</v>
      </c>
      <c r="AB17">
        <v>7.3957400780000002</v>
      </c>
      <c r="AC17">
        <v>7.4631965019999997</v>
      </c>
      <c r="AD17">
        <v>7.530892605</v>
      </c>
      <c r="AE17">
        <v>7.5988345590000002</v>
      </c>
      <c r="AF17">
        <v>7.6670259380000001</v>
      </c>
      <c r="AG17">
        <v>7.7354723249999999</v>
      </c>
      <c r="AH17">
        <v>7.8041804939999997</v>
      </c>
      <c r="AI17">
        <v>7.8731578860000004</v>
      </c>
      <c r="AJ17">
        <v>7.9424123690000004</v>
      </c>
      <c r="AK17">
        <v>8.0119521200000001</v>
      </c>
    </row>
    <row r="18" spans="1:37" x14ac:dyDescent="0.25">
      <c r="A18" t="s">
        <v>1871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11.10200375</v>
      </c>
      <c r="H18">
        <v>11.064522289999999</v>
      </c>
      <c r="I18">
        <v>11.031690940000001</v>
      </c>
      <c r="J18">
        <v>11.00416165</v>
      </c>
      <c r="K18">
        <v>10.98062571</v>
      </c>
      <c r="L18">
        <v>10.959044240000001</v>
      </c>
      <c r="M18">
        <v>10.937236130000001</v>
      </c>
      <c r="N18">
        <v>10.913170279999999</v>
      </c>
      <c r="O18">
        <v>10.88512253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10.68226392</v>
      </c>
      <c r="U18">
        <v>10.642407990000001</v>
      </c>
      <c r="V18">
        <v>10.605517880000001</v>
      </c>
      <c r="W18">
        <v>10.5717701</v>
      </c>
      <c r="X18">
        <v>10.54120941</v>
      </c>
      <c r="Y18">
        <v>10.513818799999999</v>
      </c>
      <c r="Z18">
        <v>10.48955613</v>
      </c>
      <c r="AA18">
        <v>10.468373339999999</v>
      </c>
      <c r="AB18">
        <v>10.45022629</v>
      </c>
      <c r="AC18">
        <v>10.435079549999999</v>
      </c>
      <c r="AD18">
        <v>10.422908380000001</v>
      </c>
      <c r="AE18">
        <v>10.41369924</v>
      </c>
      <c r="AF18">
        <v>10.40744922</v>
      </c>
      <c r="AG18">
        <v>10.40416493</v>
      </c>
      <c r="AH18">
        <v>10.403860849999999</v>
      </c>
      <c r="AI18">
        <v>10.40655748</v>
      </c>
      <c r="AJ18">
        <v>10.41227898</v>
      </c>
      <c r="AK18">
        <v>10.42105078</v>
      </c>
    </row>
    <row r="19" spans="1:37" x14ac:dyDescent="0.25">
      <c r="A19" t="s">
        <v>1872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11.25017909</v>
      </c>
      <c r="H19">
        <v>11.258341870000001</v>
      </c>
      <c r="I19">
        <v>11.269454959999999</v>
      </c>
      <c r="J19">
        <v>11.28308479</v>
      </c>
      <c r="K19">
        <v>11.298805120000001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</v>
      </c>
      <c r="T19">
        <v>11.50007815</v>
      </c>
      <c r="U19">
        <v>11.5276224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11.81758452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12.01215914</v>
      </c>
      <c r="AJ19">
        <v>12.054031739999999</v>
      </c>
      <c r="AK19">
        <v>12.09690614</v>
      </c>
    </row>
    <row r="20" spans="1:37" x14ac:dyDescent="0.25">
      <c r="A20" t="s">
        <v>1873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14.831389100000001</v>
      </c>
      <c r="K20">
        <v>14.951024889999999</v>
      </c>
      <c r="L20">
        <v>15.07114267</v>
      </c>
      <c r="M20">
        <v>15.190354190000001</v>
      </c>
      <c r="N20">
        <v>15.306844570000001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15.784267140000001</v>
      </c>
      <c r="T20">
        <v>15.85752709</v>
      </c>
      <c r="U20">
        <v>15.92672237</v>
      </c>
      <c r="V20">
        <v>15.99305946</v>
      </c>
      <c r="W20">
        <v>16.057441919999999</v>
      </c>
      <c r="X20">
        <v>16.120536359999999</v>
      </c>
      <c r="Y20">
        <v>16.182832940000001</v>
      </c>
      <c r="Z20">
        <v>16.244694620000001</v>
      </c>
      <c r="AA20">
        <v>16.30639498</v>
      </c>
      <c r="AB20">
        <v>16.368146289999999</v>
      </c>
      <c r="AC20">
        <v>16.430119869999999</v>
      </c>
      <c r="AD20">
        <v>16.49246063</v>
      </c>
      <c r="AE20">
        <v>16.555297339999999</v>
      </c>
      <c r="AF20">
        <v>16.618749860000001</v>
      </c>
      <c r="AG20">
        <v>16.68293418</v>
      </c>
      <c r="AH20">
        <v>16.747965990000001</v>
      </c>
      <c r="AI20">
        <v>16.813963229999999</v>
      </c>
      <c r="AJ20">
        <v>16.881047800000001</v>
      </c>
      <c r="AK20">
        <v>16.949346859999999</v>
      </c>
    </row>
    <row r="21" spans="1:37" x14ac:dyDescent="0.25">
      <c r="A21" t="s">
        <v>1874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14.868837559999999</v>
      </c>
      <c r="J21">
        <v>15.02738529</v>
      </c>
      <c r="K21">
        <v>15.188603179999999</v>
      </c>
      <c r="L21">
        <v>15.352213020000001</v>
      </c>
      <c r="M21">
        <v>15.51802402</v>
      </c>
      <c r="N21">
        <v>15.68591032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16.554715160000001</v>
      </c>
      <c r="T21">
        <v>16.734298259999999</v>
      </c>
      <c r="U21">
        <v>16.915856900000001</v>
      </c>
      <c r="V21">
        <v>17.09941654</v>
      </c>
      <c r="W21">
        <v>17.28500429</v>
      </c>
      <c r="X21">
        <v>17.47264796</v>
      </c>
      <c r="Y21">
        <v>17.66237551</v>
      </c>
      <c r="Z21">
        <v>17.854214840000001</v>
      </c>
      <c r="AA21">
        <v>18.048193779999998</v>
      </c>
      <c r="AB21">
        <v>18.244340099999999</v>
      </c>
      <c r="AC21">
        <v>18.442681690000001</v>
      </c>
      <c r="AD21">
        <v>18.643246690000002</v>
      </c>
      <c r="AE21">
        <v>18.84606355</v>
      </c>
      <c r="AF21">
        <v>19.051160899999999</v>
      </c>
      <c r="AG21">
        <v>19.258567960000001</v>
      </c>
      <c r="AH21">
        <v>19.468314410000001</v>
      </c>
      <c r="AI21">
        <v>19.68043042</v>
      </c>
      <c r="AJ21">
        <v>19.894946529999999</v>
      </c>
      <c r="AK21">
        <v>20.111893590000001</v>
      </c>
    </row>
    <row r="22" spans="1:37" x14ac:dyDescent="0.25">
      <c r="A22" t="s">
        <v>1948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0.28755263240000001</v>
      </c>
      <c r="G22">
        <v>0.28923256279999998</v>
      </c>
      <c r="H22">
        <v>0.29076666239999999</v>
      </c>
      <c r="I22">
        <v>0.29226389400000002</v>
      </c>
      <c r="J22">
        <v>0.2937696957</v>
      </c>
      <c r="K22">
        <v>0.2952765477</v>
      </c>
      <c r="L22">
        <v>0.29674001849999998</v>
      </c>
      <c r="M22">
        <v>0.29809121919999998</v>
      </c>
      <c r="N22">
        <v>0.29924632039999999</v>
      </c>
      <c r="O22">
        <v>0.30011445520000002</v>
      </c>
      <c r="P22">
        <v>0.30060481230000002</v>
      </c>
      <c r="Q22">
        <v>0.30063316330000001</v>
      </c>
      <c r="R22">
        <v>0.30022385600000001</v>
      </c>
      <c r="S22">
        <v>0.2994974057</v>
      </c>
      <c r="T22">
        <v>0.29855030890000001</v>
      </c>
      <c r="U22">
        <v>0.297453509</v>
      </c>
      <c r="V22">
        <v>0.29625827770000002</v>
      </c>
      <c r="W22">
        <v>0.29500140899999999</v>
      </c>
      <c r="X22">
        <v>0.29370906559999999</v>
      </c>
      <c r="Y22">
        <v>0.29239956589999999</v>
      </c>
      <c r="Z22">
        <v>0.29108541770000002</v>
      </c>
      <c r="AA22">
        <v>0.2897748155</v>
      </c>
      <c r="AB22">
        <v>0.28847275169999997</v>
      </c>
      <c r="AC22">
        <v>0.28718184590000001</v>
      </c>
      <c r="AD22">
        <v>0.28590297199999998</v>
      </c>
      <c r="AE22">
        <v>0.28463573930000002</v>
      </c>
      <c r="AF22">
        <v>0.28337887210000001</v>
      </c>
      <c r="AG22">
        <v>0.28213051859999999</v>
      </c>
      <c r="AH22">
        <v>0.28088851390000003</v>
      </c>
      <c r="AI22">
        <v>0.27965061050000001</v>
      </c>
      <c r="AJ22">
        <v>0.27841468920000001</v>
      </c>
      <c r="AK22">
        <v>0.27717895349999999</v>
      </c>
    </row>
    <row r="23" spans="1:37" x14ac:dyDescent="0.25">
      <c r="A23" t="s">
        <v>1949</v>
      </c>
      <c r="B23">
        <v>2.1117370000000002</v>
      </c>
      <c r="C23">
        <v>2.1295688890000002</v>
      </c>
      <c r="D23">
        <v>2.144847232</v>
      </c>
      <c r="E23">
        <v>2.1593549269999999</v>
      </c>
      <c r="F23">
        <v>2.1732621829999998</v>
      </c>
      <c r="G23">
        <v>2.1859587440000001</v>
      </c>
      <c r="H23">
        <v>2.1975531450000001</v>
      </c>
      <c r="I23">
        <v>2.2088689060000002</v>
      </c>
      <c r="J23">
        <v>2.2202494370000001</v>
      </c>
      <c r="K23">
        <v>2.2316379080000002</v>
      </c>
      <c r="L23">
        <v>2.242698511</v>
      </c>
      <c r="M23">
        <v>2.252910601</v>
      </c>
      <c r="N23">
        <v>2.261640613</v>
      </c>
      <c r="O23">
        <v>2.2682017920000002</v>
      </c>
      <c r="P23">
        <v>2.2719078079999999</v>
      </c>
      <c r="Q23">
        <v>2.2721220789999999</v>
      </c>
      <c r="R23">
        <v>2.2690286209999999</v>
      </c>
      <c r="S23">
        <v>2.2635382630000001</v>
      </c>
      <c r="T23">
        <v>2.2563803039999999</v>
      </c>
      <c r="U23">
        <v>2.2480909219999998</v>
      </c>
      <c r="V23">
        <v>2.2390576160000002</v>
      </c>
      <c r="W23">
        <v>2.2295584669999999</v>
      </c>
      <c r="X23">
        <v>2.2197912080000002</v>
      </c>
      <c r="Y23">
        <v>2.2098942849999998</v>
      </c>
      <c r="Z23">
        <v>2.1999622300000001</v>
      </c>
      <c r="AA23">
        <v>2.1900569750000001</v>
      </c>
      <c r="AB23">
        <v>2.1802162520000001</v>
      </c>
      <c r="AC23">
        <v>2.1704598580000001</v>
      </c>
      <c r="AD23">
        <v>2.1607943980000002</v>
      </c>
      <c r="AE23">
        <v>2.1512169210000001</v>
      </c>
      <c r="AF23">
        <v>2.1417177829999998</v>
      </c>
      <c r="AG23">
        <v>2.1322829909999998</v>
      </c>
      <c r="AH23">
        <v>2.1228961810000002</v>
      </c>
      <c r="AI23">
        <v>2.1135403679999998</v>
      </c>
      <c r="AJ23">
        <v>2.1041995349999998</v>
      </c>
      <c r="AK23">
        <v>2.094860105</v>
      </c>
    </row>
    <row r="24" spans="1:37" x14ac:dyDescent="0.25">
      <c r="A24" t="s">
        <v>1950</v>
      </c>
      <c r="B24">
        <v>0.74387599999999998</v>
      </c>
      <c r="C24">
        <v>0.74824738769999999</v>
      </c>
      <c r="D24">
        <v>0.75114992920000001</v>
      </c>
      <c r="E24">
        <v>0.75408384549999996</v>
      </c>
      <c r="F24">
        <v>0.75748397150000002</v>
      </c>
      <c r="G24">
        <v>0.7613028731</v>
      </c>
      <c r="H24">
        <v>0.76544024610000005</v>
      </c>
      <c r="I24">
        <v>0.76987101609999997</v>
      </c>
      <c r="J24">
        <v>0.77455537299999999</v>
      </c>
      <c r="K24">
        <v>0.77942884710000004</v>
      </c>
      <c r="L24">
        <v>0.78440855259999998</v>
      </c>
      <c r="M24">
        <v>0.78939938259999998</v>
      </c>
      <c r="N24">
        <v>0.79429872410000002</v>
      </c>
      <c r="O24">
        <v>0.79900028199999995</v>
      </c>
      <c r="P24">
        <v>0.80339744930000001</v>
      </c>
      <c r="Q24">
        <v>0.80738634600000003</v>
      </c>
      <c r="R24">
        <v>0.81094809140000002</v>
      </c>
      <c r="S24">
        <v>0.81415972660000002</v>
      </c>
      <c r="T24">
        <v>0.81710030879999995</v>
      </c>
      <c r="U24">
        <v>0.81982975520000001</v>
      </c>
      <c r="V24">
        <v>0.82238895919999999</v>
      </c>
      <c r="W24">
        <v>0.82480383729999995</v>
      </c>
      <c r="X24">
        <v>0.82708924490000002</v>
      </c>
      <c r="Y24">
        <v>0.82925201599999998</v>
      </c>
      <c r="Z24">
        <v>0.83129317840000005</v>
      </c>
      <c r="AA24">
        <v>0.83320954089999999</v>
      </c>
      <c r="AB24">
        <v>0.8349948411</v>
      </c>
      <c r="AC24">
        <v>0.83664059930000001</v>
      </c>
      <c r="AD24">
        <v>0.83813678430000005</v>
      </c>
      <c r="AE24">
        <v>0.83947236989999996</v>
      </c>
      <c r="AF24">
        <v>0.84063583289999999</v>
      </c>
      <c r="AG24">
        <v>0.84161562879999996</v>
      </c>
      <c r="AH24">
        <v>0.84240066869999997</v>
      </c>
      <c r="AI24">
        <v>0.84298080720000002</v>
      </c>
      <c r="AJ24">
        <v>0.84334734619999996</v>
      </c>
      <c r="AK24">
        <v>0.8434935496</v>
      </c>
    </row>
    <row r="25" spans="1:37" x14ac:dyDescent="0.25">
      <c r="A25" t="s">
        <v>1951</v>
      </c>
      <c r="B25">
        <v>0.35212300000000002</v>
      </c>
      <c r="C25">
        <v>0.35419225100000001</v>
      </c>
      <c r="D25">
        <v>0.35556620529999999</v>
      </c>
      <c r="E25">
        <v>0.35695501120000001</v>
      </c>
      <c r="F25">
        <v>0.35856450340000001</v>
      </c>
      <c r="G25">
        <v>0.36037222819999998</v>
      </c>
      <c r="H25">
        <v>0.36233070540000001</v>
      </c>
      <c r="I25">
        <v>0.36442806570000003</v>
      </c>
      <c r="J25">
        <v>0.36664546460000003</v>
      </c>
      <c r="K25">
        <v>0.36895238450000001</v>
      </c>
      <c r="L25">
        <v>0.37130959029999999</v>
      </c>
      <c r="M25">
        <v>0.37367206200000003</v>
      </c>
      <c r="N25">
        <v>0.3759912265</v>
      </c>
      <c r="O25">
        <v>0.37821676770000001</v>
      </c>
      <c r="P25">
        <v>0.3802982218</v>
      </c>
      <c r="Q25">
        <v>0.38218641590000002</v>
      </c>
      <c r="R25">
        <v>0.38387241259999999</v>
      </c>
      <c r="S25">
        <v>0.3853926802</v>
      </c>
      <c r="T25">
        <v>0.38678464159999998</v>
      </c>
      <c r="U25">
        <v>0.3880766591</v>
      </c>
      <c r="V25">
        <v>0.3892880903</v>
      </c>
      <c r="W25">
        <v>0.39043120310000001</v>
      </c>
      <c r="X25">
        <v>0.39151302929999998</v>
      </c>
      <c r="Y25">
        <v>0.39253680400000002</v>
      </c>
      <c r="Z25">
        <v>0.39350301380000002</v>
      </c>
      <c r="AA25">
        <v>0.39441014790000001</v>
      </c>
      <c r="AB25">
        <v>0.39525524210000001</v>
      </c>
      <c r="AC25">
        <v>0.39603428219999998</v>
      </c>
      <c r="AD25">
        <v>0.3967425201</v>
      </c>
      <c r="AE25">
        <v>0.39737473629999998</v>
      </c>
      <c r="AF25">
        <v>0.397925476</v>
      </c>
      <c r="AG25">
        <v>0.39838927460000001</v>
      </c>
      <c r="AH25">
        <v>0.39876088310000002</v>
      </c>
      <c r="AI25">
        <v>0.39903549890000001</v>
      </c>
      <c r="AJ25">
        <v>0.39920900469999998</v>
      </c>
      <c r="AK25">
        <v>0.39927821190000001</v>
      </c>
    </row>
    <row r="26" spans="1:37" x14ac:dyDescent="0.25">
      <c r="A26" t="s">
        <v>1875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37.161984670000002</v>
      </c>
      <c r="G26">
        <v>37.357434519999998</v>
      </c>
      <c r="H26">
        <v>37.572462420000001</v>
      </c>
      <c r="I26">
        <v>37.804203940000001</v>
      </c>
      <c r="J26">
        <v>38.049452770000002</v>
      </c>
      <c r="K26">
        <v>38.30439406</v>
      </c>
      <c r="L26">
        <v>38.564696939999997</v>
      </c>
      <c r="M26">
        <v>38.825621300000002</v>
      </c>
      <c r="N26">
        <v>39.082122030000001</v>
      </c>
      <c r="O26">
        <v>39.328961139999997</v>
      </c>
      <c r="P26">
        <v>39.560829099999999</v>
      </c>
      <c r="Q26">
        <v>39.772468979999999</v>
      </c>
      <c r="R26">
        <v>39.962825690000003</v>
      </c>
      <c r="S26">
        <v>40.135375850000003</v>
      </c>
      <c r="T26">
        <v>40.293455909999999</v>
      </c>
      <c r="U26">
        <v>40.439594149999998</v>
      </c>
      <c r="V26">
        <v>40.575526920000001</v>
      </c>
      <c r="W26">
        <v>40.702345950000002</v>
      </c>
      <c r="X26">
        <v>40.820645220000003</v>
      </c>
      <c r="Y26">
        <v>40.930639790000001</v>
      </c>
      <c r="Z26">
        <v>41.03225673</v>
      </c>
      <c r="AA26">
        <v>41.125203689999999</v>
      </c>
      <c r="AB26">
        <v>41.209021569999997</v>
      </c>
      <c r="AC26">
        <v>41.283126090000003</v>
      </c>
      <c r="AD26">
        <v>41.346842449999997</v>
      </c>
      <c r="AE26">
        <v>41.399436000000001</v>
      </c>
      <c r="AF26">
        <v>41.440141189999999</v>
      </c>
      <c r="AG26">
        <v>41.468190110000002</v>
      </c>
      <c r="AH26">
        <v>41.482841860000001</v>
      </c>
      <c r="AI26">
        <v>41.483412919999999</v>
      </c>
      <c r="AJ26">
        <v>41.469308730000002</v>
      </c>
      <c r="AK26">
        <v>41.440056079999998</v>
      </c>
    </row>
    <row r="27" spans="1:37" x14ac:dyDescent="0.25">
      <c r="A27" t="s">
        <v>1877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5.8765791079999996</v>
      </c>
      <c r="G27">
        <v>5.9074864060000003</v>
      </c>
      <c r="H27">
        <v>5.9414896620000004</v>
      </c>
      <c r="I27">
        <v>5.9781359109999999</v>
      </c>
      <c r="J27">
        <v>6.0169181280000004</v>
      </c>
      <c r="K27">
        <v>6.0572330550000002</v>
      </c>
      <c r="L27">
        <v>6.0983958310000004</v>
      </c>
      <c r="M27">
        <v>6.1396568839999999</v>
      </c>
      <c r="N27">
        <v>6.1802184110000002</v>
      </c>
      <c r="O27">
        <v>6.2192521059999999</v>
      </c>
      <c r="P27">
        <v>6.25591835</v>
      </c>
      <c r="Q27">
        <v>6.2893858439999999</v>
      </c>
      <c r="R27">
        <v>6.3194877419999997</v>
      </c>
      <c r="S27">
        <v>6.3467738149999997</v>
      </c>
      <c r="T27">
        <v>6.3717716720000004</v>
      </c>
      <c r="U27">
        <v>6.39488112</v>
      </c>
      <c r="V27">
        <v>6.4163767329999999</v>
      </c>
      <c r="W27">
        <v>6.4364311540000001</v>
      </c>
      <c r="X27">
        <v>6.4551383089999996</v>
      </c>
      <c r="Y27">
        <v>6.4725322079999996</v>
      </c>
      <c r="Z27">
        <v>6.4886013169999996</v>
      </c>
      <c r="AA27">
        <v>6.5032994070000001</v>
      </c>
      <c r="AB27">
        <v>6.5165538769999998</v>
      </c>
      <c r="AC27">
        <v>6.5282723320000002</v>
      </c>
      <c r="AD27">
        <v>6.538348064</v>
      </c>
      <c r="AE27">
        <v>6.5466649019999998</v>
      </c>
      <c r="AF27">
        <v>6.5531017819999997</v>
      </c>
      <c r="AG27">
        <v>6.5575372749999996</v>
      </c>
      <c r="AH27">
        <v>6.5598542169999998</v>
      </c>
      <c r="AI27">
        <v>6.5599445200000002</v>
      </c>
      <c r="AJ27">
        <v>6.5577141670000003</v>
      </c>
      <c r="AK27">
        <v>6.553088324</v>
      </c>
    </row>
    <row r="28" spans="1:37" x14ac:dyDescent="0.25">
      <c r="A28" t="s">
        <v>1952</v>
      </c>
      <c r="B28">
        <v>7.9355360250000002</v>
      </c>
      <c r="C28">
        <v>7.9839831429999997</v>
      </c>
      <c r="D28">
        <v>8.0145868960000008</v>
      </c>
      <c r="E28">
        <v>8.0387744330000004</v>
      </c>
      <c r="F28">
        <v>8.0606897889999995</v>
      </c>
      <c r="G28">
        <v>8.0809697239999991</v>
      </c>
      <c r="H28">
        <v>8.1006529559999993</v>
      </c>
      <c r="I28">
        <v>8.1215149209999993</v>
      </c>
      <c r="J28">
        <v>8.144054122</v>
      </c>
      <c r="K28">
        <v>8.1679440509999992</v>
      </c>
      <c r="L28">
        <v>8.1923757459999997</v>
      </c>
      <c r="M28">
        <v>8.2162685240000002</v>
      </c>
      <c r="N28">
        <v>8.2383993180000008</v>
      </c>
      <c r="O28">
        <v>8.2574886670000005</v>
      </c>
      <c r="P28">
        <v>8.2722653570000002</v>
      </c>
      <c r="Q28">
        <v>8.2815209789999997</v>
      </c>
      <c r="R28">
        <v>8.2856109609999997</v>
      </c>
      <c r="S28">
        <v>8.2862246979999998</v>
      </c>
      <c r="T28">
        <v>8.2845759589999997</v>
      </c>
      <c r="U28">
        <v>8.2814961</v>
      </c>
      <c r="V28">
        <v>8.2775610680000007</v>
      </c>
      <c r="W28">
        <v>8.2731805779999998</v>
      </c>
      <c r="X28">
        <v>8.2686547029999993</v>
      </c>
      <c r="Y28">
        <v>8.2642092890000001</v>
      </c>
      <c r="Z28">
        <v>8.2600185130000003</v>
      </c>
      <c r="AA28">
        <v>8.2562196960000005</v>
      </c>
      <c r="AB28">
        <v>8.2529233939999997</v>
      </c>
      <c r="AC28">
        <v>8.2502205180000008</v>
      </c>
      <c r="AD28">
        <v>8.2481875079999991</v>
      </c>
      <c r="AE28">
        <v>8.2468901859999999</v>
      </c>
      <c r="AF28">
        <v>8.2463866849999992</v>
      </c>
      <c r="AG28">
        <v>8.2467296720000007</v>
      </c>
      <c r="AH28">
        <v>8.2479680420000001</v>
      </c>
      <c r="AI28">
        <v>8.2501481830000003</v>
      </c>
      <c r="AJ28">
        <v>8.253314906</v>
      </c>
      <c r="AK28">
        <v>8.2575120880000004</v>
      </c>
    </row>
    <row r="29" spans="1:37" x14ac:dyDescent="0.25">
      <c r="A29" t="s">
        <v>1953</v>
      </c>
      <c r="B29">
        <v>1.200893</v>
      </c>
      <c r="C29">
        <v>1.201727591</v>
      </c>
      <c r="D29">
        <v>1.1976419460000001</v>
      </c>
      <c r="E29">
        <v>1.1916189829999999</v>
      </c>
      <c r="F29">
        <v>1.1845771780000001</v>
      </c>
      <c r="G29">
        <v>1.1766322659999999</v>
      </c>
      <c r="H29">
        <v>1.1687943629999999</v>
      </c>
      <c r="I29">
        <v>1.1621779830000001</v>
      </c>
      <c r="J29">
        <v>1.1566910239999999</v>
      </c>
      <c r="K29">
        <v>1.1518840459999999</v>
      </c>
      <c r="L29">
        <v>1.147280104</v>
      </c>
      <c r="M29">
        <v>1.1424936489999999</v>
      </c>
      <c r="N29">
        <v>1.1372664509999999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1.1015629360000001</v>
      </c>
      <c r="U29">
        <v>1.09816526</v>
      </c>
      <c r="V29">
        <v>1.0957252209999999</v>
      </c>
      <c r="W29">
        <v>1.0941110730000001</v>
      </c>
      <c r="X29">
        <v>1.0932079219999999</v>
      </c>
      <c r="Y29">
        <v>1.0929225600000001</v>
      </c>
      <c r="Z29">
        <v>1.0931818609999999</v>
      </c>
      <c r="AA29">
        <v>1.0939292570000001</v>
      </c>
      <c r="AB29">
        <v>1.0951211270000001</v>
      </c>
      <c r="AC29">
        <v>1.096723731</v>
      </c>
      <c r="AD29">
        <v>1.098710801</v>
      </c>
      <c r="AE29">
        <v>1.101061718</v>
      </c>
      <c r="AF29">
        <v>1.1037601539999999</v>
      </c>
      <c r="AG29">
        <v>1.1067930530000001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1954</v>
      </c>
      <c r="B30">
        <v>4.1474250000000001</v>
      </c>
      <c r="C30">
        <v>4.1503073580000001</v>
      </c>
      <c r="D30">
        <v>4.1361971029999998</v>
      </c>
      <c r="E30">
        <v>4.1153960930000002</v>
      </c>
      <c r="F30">
        <v>4.0910763939999999</v>
      </c>
      <c r="G30">
        <v>4.0636377069999998</v>
      </c>
      <c r="H30">
        <v>4.0365685859999996</v>
      </c>
      <c r="I30">
        <v>4.0137181420000001</v>
      </c>
      <c r="J30">
        <v>3.9947682850000001</v>
      </c>
      <c r="K30">
        <v>3.9781668219999999</v>
      </c>
      <c r="L30">
        <v>3.962266568</v>
      </c>
      <c r="M30">
        <v>3.9457359830000001</v>
      </c>
      <c r="N30">
        <v>3.927683241</v>
      </c>
      <c r="O30">
        <v>3.9076717730000001</v>
      </c>
      <c r="P30">
        <v>3.8856920850000001</v>
      </c>
      <c r="Q30">
        <v>3.8621086459999998</v>
      </c>
      <c r="R30">
        <v>3.8392883790000001</v>
      </c>
      <c r="S30">
        <v>3.8198566879999998</v>
      </c>
      <c r="T30">
        <v>3.8043769580000002</v>
      </c>
      <c r="U30">
        <v>3.7926426860000002</v>
      </c>
      <c r="V30">
        <v>3.7842157240000001</v>
      </c>
      <c r="W30">
        <v>3.7786410739999998</v>
      </c>
      <c r="X30">
        <v>3.7755219360000001</v>
      </c>
      <c r="Y30">
        <v>3.7745364050000001</v>
      </c>
      <c r="Z30">
        <v>3.775431932</v>
      </c>
      <c r="AA30">
        <v>3.7780131529999998</v>
      </c>
      <c r="AB30">
        <v>3.7821294170000002</v>
      </c>
      <c r="AC30">
        <v>3.7876641979999999</v>
      </c>
      <c r="AD30">
        <v>3.7945267770000002</v>
      </c>
      <c r="AE30">
        <v>3.8026459429999999</v>
      </c>
      <c r="AF30">
        <v>3.8119653109999998</v>
      </c>
      <c r="AG30">
        <v>3.8224397840000002</v>
      </c>
      <c r="AH30">
        <v>3.834032863</v>
      </c>
      <c r="AI30">
        <v>3.8467145409999999</v>
      </c>
      <c r="AJ30">
        <v>3.8604596039999999</v>
      </c>
      <c r="AK30">
        <v>3.8752462200000002</v>
      </c>
    </row>
    <row r="31" spans="1:37" x14ac:dyDescent="0.25">
      <c r="A31" t="s">
        <v>1879</v>
      </c>
      <c r="B31">
        <v>0.52361599999999997</v>
      </c>
      <c r="C31">
        <v>0.52397990019999996</v>
      </c>
      <c r="D31">
        <v>0.52219846820000004</v>
      </c>
      <c r="E31">
        <v>0.51957232269999998</v>
      </c>
      <c r="F31">
        <v>0.51650193960000002</v>
      </c>
      <c r="G31">
        <v>0.51303778170000003</v>
      </c>
      <c r="H31">
        <v>0.50962028169999996</v>
      </c>
      <c r="I31">
        <v>0.50673539339999996</v>
      </c>
      <c r="J31">
        <v>0.50434295740000001</v>
      </c>
      <c r="K31">
        <v>0.50224700840000003</v>
      </c>
      <c r="L31">
        <v>0.50023958749999997</v>
      </c>
      <c r="M31">
        <v>0.49815258690000003</v>
      </c>
      <c r="N31">
        <v>0.49587341260000001</v>
      </c>
      <c r="O31">
        <v>0.4933469473</v>
      </c>
      <c r="P31">
        <v>0.49057199270000001</v>
      </c>
      <c r="Q31">
        <v>0.48759456309999999</v>
      </c>
      <c r="R31">
        <v>0.48471348460000002</v>
      </c>
      <c r="S31">
        <v>0.48226021679999997</v>
      </c>
      <c r="T31">
        <v>0.48030588740000002</v>
      </c>
      <c r="U31">
        <v>0.47882442549999998</v>
      </c>
      <c r="V31">
        <v>0.47776051419999999</v>
      </c>
      <c r="W31">
        <v>0.47705670979999998</v>
      </c>
      <c r="X31">
        <v>0.47666291589999998</v>
      </c>
      <c r="Y31">
        <v>0.47653849180000002</v>
      </c>
      <c r="Z31">
        <v>0.4766515529</v>
      </c>
      <c r="AA31">
        <v>0.47697743419999999</v>
      </c>
      <c r="AB31">
        <v>0.47749711610000001</v>
      </c>
      <c r="AC31">
        <v>0.47819588699999999</v>
      </c>
      <c r="AD31">
        <v>0.47906229360000002</v>
      </c>
      <c r="AE31">
        <v>0.48008734530000002</v>
      </c>
      <c r="AF31">
        <v>0.48126392359999998</v>
      </c>
      <c r="AG31">
        <v>0.48258633490000002</v>
      </c>
      <c r="AH31">
        <v>0.48404997109999998</v>
      </c>
      <c r="AI31">
        <v>0.48565104399999998</v>
      </c>
      <c r="AJ31">
        <v>0.48738637010000002</v>
      </c>
      <c r="AK31">
        <v>0.48925319319999999</v>
      </c>
    </row>
    <row r="32" spans="1:37" x14ac:dyDescent="0.25">
      <c r="A32" t="s">
        <v>1881</v>
      </c>
      <c r="B32">
        <v>0.72579400000000005</v>
      </c>
      <c r="C32">
        <v>0.72629840889999997</v>
      </c>
      <c r="D32">
        <v>0.72382913250000003</v>
      </c>
      <c r="E32">
        <v>0.72018898279999999</v>
      </c>
      <c r="F32">
        <v>0.71593306690000003</v>
      </c>
      <c r="G32">
        <v>0.71113133230000003</v>
      </c>
      <c r="H32">
        <v>0.70639427119999998</v>
      </c>
      <c r="I32">
        <v>0.70239547319999995</v>
      </c>
      <c r="J32">
        <v>0.69907927270000003</v>
      </c>
      <c r="K32">
        <v>0.69617403820000001</v>
      </c>
      <c r="L32">
        <v>0.69339151440000002</v>
      </c>
      <c r="M32">
        <v>0.69049868339999998</v>
      </c>
      <c r="N32">
        <v>0.68733947699999998</v>
      </c>
      <c r="O32">
        <v>0.68383749589999998</v>
      </c>
      <c r="P32">
        <v>0.67999107910000001</v>
      </c>
      <c r="Q32">
        <v>0.6758640078</v>
      </c>
      <c r="R32">
        <v>0.67187049060000004</v>
      </c>
      <c r="S32">
        <v>0.66846996989999996</v>
      </c>
      <c r="T32">
        <v>0.66576103720000002</v>
      </c>
      <c r="U32">
        <v>0.6637075549</v>
      </c>
      <c r="V32">
        <v>0.6622328475</v>
      </c>
      <c r="W32">
        <v>0.66125729089999996</v>
      </c>
      <c r="X32">
        <v>0.66071144569999996</v>
      </c>
      <c r="Y32">
        <v>0.66053897910000003</v>
      </c>
      <c r="Z32">
        <v>0.66069569530000005</v>
      </c>
      <c r="AA32">
        <v>0.66114740549999995</v>
      </c>
      <c r="AB32">
        <v>0.66186774640000001</v>
      </c>
      <c r="AC32">
        <v>0.66283632579999996</v>
      </c>
      <c r="AD32">
        <v>0.66403726829999998</v>
      </c>
      <c r="AE32">
        <v>0.66545811180000003</v>
      </c>
      <c r="AF32">
        <v>0.66708898920000004</v>
      </c>
      <c r="AG32">
        <v>0.66892200830000004</v>
      </c>
      <c r="AH32">
        <v>0.67095078210000003</v>
      </c>
      <c r="AI32">
        <v>0.67317005939999996</v>
      </c>
      <c r="AJ32">
        <v>0.6755754276</v>
      </c>
      <c r="AK32">
        <v>0.6781630662</v>
      </c>
    </row>
    <row r="33" spans="1:37" x14ac:dyDescent="0.25">
      <c r="A33" t="s">
        <v>1955</v>
      </c>
      <c r="B33">
        <v>41.844050670000001</v>
      </c>
      <c r="C33">
        <v>42.161739990000001</v>
      </c>
      <c r="D33">
        <v>42.412642589999997</v>
      </c>
      <c r="E33">
        <v>42.645532719999999</v>
      </c>
      <c r="F33">
        <v>42.881118569999998</v>
      </c>
      <c r="G33">
        <v>43.126095220000003</v>
      </c>
      <c r="H33">
        <v>43.378590539999998</v>
      </c>
      <c r="I33">
        <v>43.635550670000001</v>
      </c>
      <c r="J33">
        <v>43.89741385</v>
      </c>
      <c r="K33">
        <v>44.165077920000002</v>
      </c>
      <c r="L33">
        <v>44.438988190000003</v>
      </c>
      <c r="M33">
        <v>44.718948330000003</v>
      </c>
      <c r="N33">
        <v>45.00416877</v>
      </c>
      <c r="O33">
        <v>45.293375279999999</v>
      </c>
      <c r="P33">
        <v>45.584918870000003</v>
      </c>
      <c r="Q33">
        <v>45.876875869999999</v>
      </c>
      <c r="R33">
        <v>46.165941949999997</v>
      </c>
      <c r="S33">
        <v>46.449956550000003</v>
      </c>
      <c r="T33">
        <v>46.72996955</v>
      </c>
      <c r="U33">
        <v>47.007911849999999</v>
      </c>
      <c r="V33">
        <v>47.285803880000003</v>
      </c>
      <c r="W33">
        <v>47.565517139999997</v>
      </c>
      <c r="X33">
        <v>47.848739969999997</v>
      </c>
      <c r="Y33">
        <v>48.137012290000001</v>
      </c>
      <c r="Z33">
        <v>48.431776419999998</v>
      </c>
      <c r="AA33">
        <v>48.734423990000003</v>
      </c>
      <c r="AB33">
        <v>49.046332909999997</v>
      </c>
      <c r="AC33">
        <v>49.368893249999999</v>
      </c>
      <c r="AD33">
        <v>49.703522800000002</v>
      </c>
      <c r="AE33">
        <v>50.051673280000003</v>
      </c>
      <c r="AF33">
        <v>50.414828239999999</v>
      </c>
      <c r="AG33">
        <v>50.79449323</v>
      </c>
      <c r="AH33">
        <v>51.192178970000001</v>
      </c>
      <c r="AI33">
        <v>51.609378110000002</v>
      </c>
      <c r="AJ33">
        <v>52.047536340000001</v>
      </c>
      <c r="AK33">
        <v>52.508018839999998</v>
      </c>
    </row>
    <row r="34" spans="1:37" x14ac:dyDescent="0.25">
      <c r="A34" t="s">
        <v>1956</v>
      </c>
      <c r="B34">
        <v>0.82379446560000003</v>
      </c>
      <c r="C34">
        <v>0.8300488962</v>
      </c>
      <c r="D34">
        <v>0.83498847949999999</v>
      </c>
      <c r="E34">
        <v>0.8395734467</v>
      </c>
      <c r="F34">
        <v>0.8442114852</v>
      </c>
      <c r="G34">
        <v>0.84903440269999997</v>
      </c>
      <c r="H34">
        <v>0.85400534240000003</v>
      </c>
      <c r="I34">
        <v>0.85906418179999999</v>
      </c>
      <c r="J34">
        <v>0.86421954879999996</v>
      </c>
      <c r="K34">
        <v>0.86948911939999995</v>
      </c>
      <c r="L34">
        <v>0.87488166060000006</v>
      </c>
      <c r="M34">
        <v>0.88039330709999997</v>
      </c>
      <c r="N34">
        <v>0.88600851439999995</v>
      </c>
      <c r="O34">
        <v>0.89170219640000004</v>
      </c>
      <c r="P34">
        <v>0.89744188920000001</v>
      </c>
      <c r="Q34">
        <v>0.90318972099999995</v>
      </c>
      <c r="R34">
        <v>0.90888063829999999</v>
      </c>
      <c r="S34">
        <v>0.91447210599999995</v>
      </c>
      <c r="T34">
        <v>0.91998479300000002</v>
      </c>
      <c r="U34">
        <v>0.92545671380000005</v>
      </c>
      <c r="V34">
        <v>0.93092764490000002</v>
      </c>
      <c r="W34">
        <v>0.93643443100000001</v>
      </c>
      <c r="X34">
        <v>0.94201031079999997</v>
      </c>
      <c r="Y34">
        <v>0.94768560130000001</v>
      </c>
      <c r="Z34">
        <v>0.9534886977</v>
      </c>
      <c r="AA34">
        <v>0.95944699739999995</v>
      </c>
      <c r="AB34">
        <v>0.96558762760000005</v>
      </c>
      <c r="AC34">
        <v>0.97193795510000003</v>
      </c>
      <c r="AD34">
        <v>0.97852589199999995</v>
      </c>
      <c r="AE34">
        <v>0.98538001900000005</v>
      </c>
      <c r="AF34">
        <v>0.99252954309999997</v>
      </c>
      <c r="AG34">
        <v>1.0000041040000001</v>
      </c>
      <c r="AH34">
        <v>1.0078334449999999</v>
      </c>
      <c r="AI34">
        <v>1.01604695</v>
      </c>
      <c r="AJ34">
        <v>1.0246730829999999</v>
      </c>
      <c r="AK34">
        <v>1.033738719</v>
      </c>
    </row>
    <row r="35" spans="1:37" x14ac:dyDescent="0.25">
      <c r="A35" t="s">
        <v>1957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1.241013224</v>
      </c>
      <c r="I35">
        <v>1.248364568</v>
      </c>
      <c r="J35">
        <v>1.255856182</v>
      </c>
      <c r="K35">
        <v>1.263513753</v>
      </c>
      <c r="L35">
        <v>1.271350022</v>
      </c>
      <c r="M35">
        <v>1.2793593700000001</v>
      </c>
      <c r="N35">
        <v>1.2875192090000001</v>
      </c>
      <c r="O35">
        <v>1.295793086</v>
      </c>
      <c r="P35">
        <v>1.304133824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1.3448440699999999</v>
      </c>
      <c r="V35">
        <v>1.352794252</v>
      </c>
      <c r="W35">
        <v>1.3607965369999999</v>
      </c>
      <c r="X35">
        <v>1.368899227</v>
      </c>
      <c r="Y35">
        <v>1.3771463779999999</v>
      </c>
      <c r="Z35">
        <v>1.3855792520000001</v>
      </c>
      <c r="AA35">
        <v>1.3942376620000001</v>
      </c>
      <c r="AB35">
        <v>1.4031610290000001</v>
      </c>
      <c r="AC35">
        <v>1.412389122</v>
      </c>
      <c r="AD35">
        <v>1.4219625010000001</v>
      </c>
      <c r="AE35">
        <v>1.431922699</v>
      </c>
      <c r="AF35">
        <v>1.442312158</v>
      </c>
      <c r="AG35">
        <v>1.4531739509999999</v>
      </c>
      <c r="AH35">
        <v>1.4645512979999999</v>
      </c>
      <c r="AI35">
        <v>1.4764869009999999</v>
      </c>
      <c r="AJ35">
        <v>1.4890221210000001</v>
      </c>
      <c r="AK35">
        <v>1.5021960130000001</v>
      </c>
    </row>
    <row r="36" spans="1:37" x14ac:dyDescent="0.25">
      <c r="A36" t="s">
        <v>1958</v>
      </c>
      <c r="B36">
        <v>1.087582802</v>
      </c>
      <c r="C36">
        <v>1.0958399729999999</v>
      </c>
      <c r="D36">
        <v>1.102361267</v>
      </c>
      <c r="E36">
        <v>1.108414392</v>
      </c>
      <c r="F36">
        <v>1.1145375829999999</v>
      </c>
      <c r="G36">
        <v>1.120904854</v>
      </c>
      <c r="H36">
        <v>1.127467545</v>
      </c>
      <c r="I36">
        <v>1.1341462819999999</v>
      </c>
      <c r="J36">
        <v>1.1409524559999999</v>
      </c>
      <c r="K36">
        <v>1.1479094030000001</v>
      </c>
      <c r="L36">
        <v>1.1550286970000001</v>
      </c>
      <c r="M36">
        <v>1.162305235</v>
      </c>
      <c r="N36">
        <v>1.169718496</v>
      </c>
      <c r="O36">
        <v>1.177235359</v>
      </c>
      <c r="P36">
        <v>1.1848129670000001</v>
      </c>
      <c r="Q36">
        <v>1.1924013200000001</v>
      </c>
      <c r="R36">
        <v>1.1999145330000001</v>
      </c>
      <c r="S36">
        <v>1.207296452</v>
      </c>
      <c r="T36">
        <v>1.214574364</v>
      </c>
      <c r="U36">
        <v>1.2217984559999999</v>
      </c>
      <c r="V36">
        <v>1.2290212410000001</v>
      </c>
      <c r="W36">
        <v>1.2362913630000001</v>
      </c>
      <c r="X36">
        <v>1.243652703</v>
      </c>
      <c r="Y36">
        <v>1.2511452860000001</v>
      </c>
      <c r="Z36">
        <v>1.2588065989999999</v>
      </c>
      <c r="AA36">
        <v>1.2666728140000001</v>
      </c>
      <c r="AB36">
        <v>1.2747797439999999</v>
      </c>
      <c r="AC36">
        <v>1.2831635180000001</v>
      </c>
      <c r="AD36">
        <v>1.291860987</v>
      </c>
      <c r="AE36">
        <v>1.300909884</v>
      </c>
      <c r="AF36">
        <v>1.310348767</v>
      </c>
      <c r="AG36">
        <v>1.320216767</v>
      </c>
      <c r="AH36">
        <v>1.3305531509999999</v>
      </c>
      <c r="AI36">
        <v>1.341396714</v>
      </c>
      <c r="AJ36">
        <v>1.3527850320000001</v>
      </c>
      <c r="AK36">
        <v>1.3647535879999999</v>
      </c>
    </row>
    <row r="37" spans="1:37" x14ac:dyDescent="0.25">
      <c r="A37" t="s">
        <v>1959</v>
      </c>
      <c r="B37">
        <v>2.1403439839999998</v>
      </c>
      <c r="C37">
        <v>2.1565906159999999</v>
      </c>
      <c r="D37">
        <v>2.169424389</v>
      </c>
      <c r="E37">
        <v>2.181336816</v>
      </c>
      <c r="F37">
        <v>2.1933871300000001</v>
      </c>
      <c r="G37">
        <v>2.2059177879999998</v>
      </c>
      <c r="H37">
        <v>2.2188330299999999</v>
      </c>
      <c r="I37">
        <v>2.2319766479999998</v>
      </c>
      <c r="J37">
        <v>2.245371059</v>
      </c>
      <c r="K37">
        <v>2.2590621880000001</v>
      </c>
      <c r="L37">
        <v>2.2730728130000002</v>
      </c>
      <c r="M37">
        <v>2.2873928910000001</v>
      </c>
      <c r="N37">
        <v>2.301982035</v>
      </c>
      <c r="O37">
        <v>2.3167750690000002</v>
      </c>
      <c r="P37">
        <v>2.3316876450000001</v>
      </c>
      <c r="Q37">
        <v>2.3466213680000001</v>
      </c>
      <c r="R37">
        <v>2.3614072190000002</v>
      </c>
      <c r="S37">
        <v>2.3759346840000002</v>
      </c>
      <c r="T37">
        <v>2.390257466</v>
      </c>
      <c r="U37">
        <v>2.4044743309999999</v>
      </c>
      <c r="V37">
        <v>2.4186886240000001</v>
      </c>
      <c r="W37">
        <v>2.4329960750000001</v>
      </c>
      <c r="X37">
        <v>2.4474830399999998</v>
      </c>
      <c r="Y37">
        <v>2.4622282900000001</v>
      </c>
      <c r="Z37">
        <v>2.4773055990000001</v>
      </c>
      <c r="AA37">
        <v>2.492786148</v>
      </c>
      <c r="AB37">
        <v>2.5087404200000001</v>
      </c>
      <c r="AC37">
        <v>2.5252395160000001</v>
      </c>
      <c r="AD37">
        <v>2.5423559569999998</v>
      </c>
      <c r="AE37">
        <v>2.5601639999999999</v>
      </c>
      <c r="AF37">
        <v>2.5787395279999998</v>
      </c>
      <c r="AG37">
        <v>2.5981595510000002</v>
      </c>
      <c r="AH37">
        <v>2.6185013420000001</v>
      </c>
      <c r="AI37">
        <v>2.6398412520000001</v>
      </c>
      <c r="AJ37">
        <v>2.6622532290000001</v>
      </c>
      <c r="AK37">
        <v>2.685807101</v>
      </c>
    </row>
    <row r="38" spans="1:37" x14ac:dyDescent="0.25">
      <c r="A38" t="s">
        <v>1960</v>
      </c>
      <c r="B38">
        <v>0.77809678609999999</v>
      </c>
      <c r="C38">
        <v>0.78400426980000004</v>
      </c>
      <c r="D38">
        <v>0.78866984360000003</v>
      </c>
      <c r="E38">
        <v>0.79300047259999995</v>
      </c>
      <c r="F38">
        <v>0.79738122899999997</v>
      </c>
      <c r="G38">
        <v>0.80193660870000005</v>
      </c>
      <c r="H38">
        <v>0.80663179949999997</v>
      </c>
      <c r="I38">
        <v>0.81141001400000001</v>
      </c>
      <c r="J38">
        <v>0.81627940160000001</v>
      </c>
      <c r="K38">
        <v>0.8212566576</v>
      </c>
      <c r="L38">
        <v>0.8263500627</v>
      </c>
      <c r="M38">
        <v>0.83155596610000004</v>
      </c>
      <c r="N38">
        <v>0.83685968560000001</v>
      </c>
      <c r="O38">
        <v>0.84223752659999995</v>
      </c>
      <c r="P38">
        <v>0.84765882609999998</v>
      </c>
      <c r="Q38">
        <v>0.85308781320000004</v>
      </c>
      <c r="R38">
        <v>0.85846304289999997</v>
      </c>
      <c r="S38">
        <v>0.86374433959999997</v>
      </c>
      <c r="T38">
        <v>0.86895122579999995</v>
      </c>
      <c r="U38">
        <v>0.87411960720000004</v>
      </c>
      <c r="V38">
        <v>0.87928705380000005</v>
      </c>
      <c r="W38">
        <v>0.88448836639999995</v>
      </c>
      <c r="X38">
        <v>0.88975493999999999</v>
      </c>
      <c r="Y38">
        <v>0.89511540980000004</v>
      </c>
      <c r="Z38">
        <v>0.90059659569999995</v>
      </c>
      <c r="AA38">
        <v>0.9062243754</v>
      </c>
      <c r="AB38">
        <v>0.91202437150000004</v>
      </c>
      <c r="AC38">
        <v>0.91802243240000003</v>
      </c>
      <c r="AD38">
        <v>0.92424492209999998</v>
      </c>
      <c r="AE38">
        <v>0.93071883570000002</v>
      </c>
      <c r="AF38">
        <v>0.9374717601</v>
      </c>
      <c r="AG38">
        <v>0.94453169100000001</v>
      </c>
      <c r="AH38">
        <v>0.95192672069999995</v>
      </c>
      <c r="AI38">
        <v>0.95968460509999998</v>
      </c>
      <c r="AJ38">
        <v>0.96783222719999995</v>
      </c>
      <c r="AK38">
        <v>0.97639497259999997</v>
      </c>
    </row>
    <row r="39" spans="1:37" x14ac:dyDescent="0.25">
      <c r="A39" t="s">
        <v>1961</v>
      </c>
      <c r="B39">
        <v>5.9899067759999998</v>
      </c>
      <c r="C39">
        <v>6.0353834790000001</v>
      </c>
      <c r="D39">
        <v>6.0712997719999997</v>
      </c>
      <c r="E39">
        <v>6.1046376090000001</v>
      </c>
      <c r="F39">
        <v>6.1383613339999998</v>
      </c>
      <c r="G39">
        <v>6.173429337</v>
      </c>
      <c r="H39">
        <v>6.2095736260000001</v>
      </c>
      <c r="I39">
        <v>6.2463570439999998</v>
      </c>
      <c r="J39">
        <v>6.2838423260000003</v>
      </c>
      <c r="K39">
        <v>6.3221579959999996</v>
      </c>
      <c r="L39">
        <v>6.3613677989999999</v>
      </c>
      <c r="M39">
        <v>6.4014436310000002</v>
      </c>
      <c r="N39">
        <v>6.4422724660000004</v>
      </c>
      <c r="O39">
        <v>6.4836719</v>
      </c>
      <c r="P39">
        <v>6.5254058840000004</v>
      </c>
      <c r="Q39">
        <v>6.5671990469999999</v>
      </c>
      <c r="R39">
        <v>6.6085783779999998</v>
      </c>
      <c r="S39">
        <v>6.6492345999999998</v>
      </c>
      <c r="T39">
        <v>6.6893179979999999</v>
      </c>
      <c r="U39">
        <v>6.7291049789999997</v>
      </c>
      <c r="V39">
        <v>6.7688847650000001</v>
      </c>
      <c r="W39">
        <v>6.8089252570000003</v>
      </c>
      <c r="X39">
        <v>6.8494681359999996</v>
      </c>
      <c r="Y39">
        <v>6.8907338439999997</v>
      </c>
      <c r="Z39">
        <v>6.9329288419999999</v>
      </c>
      <c r="AA39">
        <v>6.9762523420000004</v>
      </c>
      <c r="AB39">
        <v>7.0209015890000002</v>
      </c>
      <c r="AC39">
        <v>7.0670755700000001</v>
      </c>
      <c r="AD39">
        <v>7.1149772369999997</v>
      </c>
      <c r="AE39">
        <v>7.1648144030000003</v>
      </c>
      <c r="AF39">
        <v>7.2167994359999996</v>
      </c>
      <c r="AG39">
        <v>7.2711478530000004</v>
      </c>
      <c r="AH39">
        <v>7.3280759099999999</v>
      </c>
      <c r="AI39">
        <v>7.3877972779999999</v>
      </c>
      <c r="AJ39">
        <v>7.4505189060000001</v>
      </c>
      <c r="AK39">
        <v>7.5164362149999997</v>
      </c>
    </row>
    <row r="40" spans="1:37" x14ac:dyDescent="0.25">
      <c r="A40" t="s">
        <v>1962</v>
      </c>
      <c r="B40">
        <v>3.5035003580000001</v>
      </c>
      <c r="C40">
        <v>3.5300997110000001</v>
      </c>
      <c r="D40">
        <v>3.5511071740000002</v>
      </c>
      <c r="E40">
        <v>3.570606497</v>
      </c>
      <c r="F40">
        <v>3.5903315259999999</v>
      </c>
      <c r="G40">
        <v>3.610842823</v>
      </c>
      <c r="H40">
        <v>3.6319836410000002</v>
      </c>
      <c r="I40">
        <v>3.653498286</v>
      </c>
      <c r="J40">
        <v>3.675423452</v>
      </c>
      <c r="K40">
        <v>3.6978343119999999</v>
      </c>
      <c r="L40">
        <v>3.7207681520000002</v>
      </c>
      <c r="M40">
        <v>3.744208532</v>
      </c>
      <c r="N40">
        <v>3.7680893439999998</v>
      </c>
      <c r="O40">
        <v>3.7923038999999998</v>
      </c>
      <c r="P40">
        <v>3.8167141340000001</v>
      </c>
      <c r="Q40">
        <v>3.8411589820000001</v>
      </c>
      <c r="R40">
        <v>3.8653617800000002</v>
      </c>
      <c r="S40">
        <v>3.8891416300000001</v>
      </c>
      <c r="T40">
        <v>3.9125864359999998</v>
      </c>
      <c r="U40">
        <v>3.9358578670000002</v>
      </c>
      <c r="V40">
        <v>3.959125089</v>
      </c>
      <c r="W40">
        <v>3.9825447989999998</v>
      </c>
      <c r="X40">
        <v>4.006258356</v>
      </c>
      <c r="Y40">
        <v>4.030394695</v>
      </c>
      <c r="Z40">
        <v>4.0550745770000001</v>
      </c>
      <c r="AA40">
        <v>4.0804145199999997</v>
      </c>
      <c r="AB40">
        <v>4.1065298930000003</v>
      </c>
      <c r="AC40">
        <v>4.1335370850000004</v>
      </c>
      <c r="AD40">
        <v>4.1615548010000003</v>
      </c>
      <c r="AE40">
        <v>4.1907045920000003</v>
      </c>
      <c r="AF40">
        <v>4.2211106709999999</v>
      </c>
      <c r="AG40">
        <v>4.2528990960000002</v>
      </c>
      <c r="AH40">
        <v>4.2861963530000002</v>
      </c>
      <c r="AI40">
        <v>4.3211274199999998</v>
      </c>
      <c r="AJ40">
        <v>4.357813341</v>
      </c>
      <c r="AK40">
        <v>4.3963684179999998</v>
      </c>
    </row>
    <row r="41" spans="1:37" x14ac:dyDescent="0.25">
      <c r="A41" t="s">
        <v>1963</v>
      </c>
      <c r="B41">
        <v>9.7845417399999995E-2</v>
      </c>
      <c r="C41">
        <v>9.8588281599999994E-2</v>
      </c>
      <c r="D41">
        <v>9.9174975900000004E-2</v>
      </c>
      <c r="E41">
        <v>9.9719551099999998E-2</v>
      </c>
      <c r="F41">
        <v>0.1002704298</v>
      </c>
      <c r="G41">
        <v>0.1008432673</v>
      </c>
      <c r="H41">
        <v>0.101433686</v>
      </c>
      <c r="I41">
        <v>0.102034545</v>
      </c>
      <c r="J41">
        <v>0.10264686889999999</v>
      </c>
      <c r="K41">
        <v>0.1032727572</v>
      </c>
      <c r="L41">
        <v>0.1039132512</v>
      </c>
      <c r="M41">
        <v>0.1045678919</v>
      </c>
      <c r="N41">
        <v>0.10523483290000001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0.1125604712</v>
      </c>
      <c r="Z41">
        <v>0.1132497286</v>
      </c>
      <c r="AA41">
        <v>0.11395742</v>
      </c>
      <c r="AB41">
        <v>0.1146867676</v>
      </c>
      <c r="AC41">
        <v>0.1154410219</v>
      </c>
      <c r="AD41">
        <v>0.1162234979</v>
      </c>
      <c r="AE41">
        <v>0.1170375904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</v>
      </c>
      <c r="AK41">
        <v>0.12278134979999999</v>
      </c>
    </row>
    <row r="42" spans="1:37" x14ac:dyDescent="0.25">
      <c r="A42" t="s">
        <v>1964</v>
      </c>
      <c r="B42">
        <v>5.7094259999999997</v>
      </c>
      <c r="C42">
        <v>5.7722436630000002</v>
      </c>
      <c r="D42">
        <v>5.8322895360000002</v>
      </c>
      <c r="E42">
        <v>5.8903485360000003</v>
      </c>
      <c r="F42">
        <v>5.9468911120000003</v>
      </c>
      <c r="G42">
        <v>6.0018206989999996</v>
      </c>
      <c r="H42">
        <v>6.0548594639999997</v>
      </c>
      <c r="I42">
        <v>6.1064926220000002</v>
      </c>
      <c r="J42">
        <v>6.1577301540000002</v>
      </c>
      <c r="K42">
        <v>6.2091284269999996</v>
      </c>
      <c r="L42">
        <v>6.2606826590000004</v>
      </c>
      <c r="M42">
        <v>6.3119623540000003</v>
      </c>
      <c r="N42">
        <v>6.3622753379999999</v>
      </c>
      <c r="O42">
        <v>6.4107988090000001</v>
      </c>
      <c r="P42">
        <v>6.4566709150000001</v>
      </c>
      <c r="Q42">
        <v>6.4990524140000003</v>
      </c>
      <c r="R42">
        <v>6.5373896870000001</v>
      </c>
      <c r="S42">
        <v>6.5720548299999999</v>
      </c>
      <c r="T42">
        <v>6.6041257489999996</v>
      </c>
      <c r="U42">
        <v>6.6345759580000001</v>
      </c>
      <c r="V42">
        <v>6.6640937070000001</v>
      </c>
      <c r="W42">
        <v>6.6931079899999997</v>
      </c>
      <c r="X42">
        <v>6.7218637350000003</v>
      </c>
      <c r="Y42">
        <v>6.7504914459999998</v>
      </c>
      <c r="Z42">
        <v>6.7790575649999996</v>
      </c>
      <c r="AA42">
        <v>6.807596481</v>
      </c>
      <c r="AB42">
        <v>6.836129036</v>
      </c>
      <c r="AC42">
        <v>6.8646722640000002</v>
      </c>
      <c r="AD42">
        <v>6.8932439390000004</v>
      </c>
      <c r="AE42">
        <v>6.9218643049999997</v>
      </c>
      <c r="AF42">
        <v>6.9505563800000001</v>
      </c>
      <c r="AG42">
        <v>6.9793456730000001</v>
      </c>
      <c r="AH42">
        <v>7.0082596969999997</v>
      </c>
      <c r="AI42">
        <v>7.0373274910000001</v>
      </c>
      <c r="AJ42">
        <v>7.0665792190000003</v>
      </c>
      <c r="AK42">
        <v>7.0960458620000004</v>
      </c>
    </row>
    <row r="43" spans="1:37" x14ac:dyDescent="0.25">
      <c r="A43" t="s">
        <v>1965</v>
      </c>
      <c r="B43">
        <v>9.9498250000000006</v>
      </c>
      <c r="C43">
        <v>9.9760583890000003</v>
      </c>
      <c r="D43">
        <v>9.9664031039999994</v>
      </c>
      <c r="E43">
        <v>9.9433381109999992</v>
      </c>
      <c r="F43">
        <v>9.9146759749999998</v>
      </c>
      <c r="G43">
        <v>9.8818083689999998</v>
      </c>
      <c r="H43">
        <v>9.8484464139999996</v>
      </c>
      <c r="I43">
        <v>9.8192234769999995</v>
      </c>
      <c r="J43">
        <v>9.7947198679999996</v>
      </c>
      <c r="K43">
        <v>9.7737707060000005</v>
      </c>
      <c r="L43">
        <v>9.7545612070000001</v>
      </c>
      <c r="M43">
        <v>9.7351499789999991</v>
      </c>
      <c r="N43">
        <v>9.7137291529999992</v>
      </c>
      <c r="O43">
        <v>9.6887640580000003</v>
      </c>
      <c r="P43">
        <v>9.659072772</v>
      </c>
      <c r="Q43">
        <v>9.6238675459999996</v>
      </c>
      <c r="R43">
        <v>9.5850489769999996</v>
      </c>
      <c r="S43">
        <v>9.5459245419999998</v>
      </c>
      <c r="T43">
        <v>9.5082011679999994</v>
      </c>
      <c r="U43">
        <v>9.4727257100000006</v>
      </c>
      <c r="V43">
        <v>9.4398901100000003</v>
      </c>
      <c r="W43">
        <v>9.4098514640000008</v>
      </c>
      <c r="X43">
        <v>9.3826496349999999</v>
      </c>
      <c r="Y43">
        <v>9.3582694610000008</v>
      </c>
      <c r="Z43">
        <v>9.3366734420000004</v>
      </c>
      <c r="AA43">
        <v>9.3178188049999999</v>
      </c>
      <c r="AB43">
        <v>9.3016662579999991</v>
      </c>
      <c r="AC43">
        <v>9.2881842549999991</v>
      </c>
      <c r="AD43">
        <v>9.277350792</v>
      </c>
      <c r="AE43">
        <v>9.2691538090000005</v>
      </c>
      <c r="AF43">
        <v>9.2635907159999995</v>
      </c>
      <c r="AG43">
        <v>9.2606673879999999</v>
      </c>
      <c r="AH43">
        <v>9.2603967360000006</v>
      </c>
      <c r="AI43">
        <v>9.2627969790000009</v>
      </c>
      <c r="AJ43">
        <v>9.2678896430000002</v>
      </c>
      <c r="AK43">
        <v>9.2756973570000003</v>
      </c>
    </row>
    <row r="44" spans="1:37" x14ac:dyDescent="0.25">
      <c r="A44" t="s">
        <v>1966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1.220195377</v>
      </c>
      <c r="H44">
        <v>1.2160758780000001</v>
      </c>
      <c r="I44">
        <v>1.2124674600000001</v>
      </c>
      <c r="J44">
        <v>1.2094417799999999</v>
      </c>
      <c r="K44">
        <v>1.206855</v>
      </c>
      <c r="L44">
        <v>1.2044830310000001</v>
      </c>
      <c r="M44">
        <v>1.202086153</v>
      </c>
      <c r="N44">
        <v>1.1994411309999999</v>
      </c>
      <c r="O44">
        <v>1.196358467</v>
      </c>
      <c r="P44">
        <v>1.192692219</v>
      </c>
      <c r="Q44">
        <v>1.1883451140000001</v>
      </c>
      <c r="R44">
        <v>1.1835518380000001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1.1619186319999999</v>
      </c>
      <c r="X44">
        <v>1.1585597780000001</v>
      </c>
      <c r="Y44">
        <v>1.1555493400000001</v>
      </c>
      <c r="Z44">
        <v>1.1528826860000001</v>
      </c>
      <c r="AA44">
        <v>1.1505545349999999</v>
      </c>
      <c r="AB44">
        <v>1.148560035</v>
      </c>
      <c r="AC44">
        <v>1.146895292</v>
      </c>
      <c r="AD44">
        <v>1.1455575870000001</v>
      </c>
      <c r="AE44">
        <v>1.1445454319999999</v>
      </c>
      <c r="AF44">
        <v>1.143858507</v>
      </c>
      <c r="AG44">
        <v>1.1434975380000001</v>
      </c>
      <c r="AH44">
        <v>1.143464118</v>
      </c>
      <c r="AI44">
        <v>1.1437604969999999</v>
      </c>
      <c r="AJ44">
        <v>1.144389334</v>
      </c>
      <c r="AK44">
        <v>1.145353423</v>
      </c>
    </row>
    <row r="45" spans="1:37" x14ac:dyDescent="0.25">
      <c r="A45" t="s">
        <v>1967</v>
      </c>
      <c r="B45">
        <v>12.624928000000001</v>
      </c>
      <c r="C45">
        <v>12.74865028</v>
      </c>
      <c r="D45">
        <v>12.863127349999999</v>
      </c>
      <c r="E45">
        <v>12.97491964</v>
      </c>
      <c r="F45">
        <v>13.0856803</v>
      </c>
      <c r="G45">
        <v>13.194419740000001</v>
      </c>
      <c r="H45">
        <v>13.30130415</v>
      </c>
      <c r="I45">
        <v>13.40817389</v>
      </c>
      <c r="J45">
        <v>13.516073349999999</v>
      </c>
      <c r="K45">
        <v>13.62509929</v>
      </c>
      <c r="L45">
        <v>13.73456447</v>
      </c>
      <c r="M45">
        <v>13.843203770000001</v>
      </c>
      <c r="N45">
        <v>13.949363249999999</v>
      </c>
      <c r="O45">
        <v>14.051163069999999</v>
      </c>
      <c r="P45">
        <v>14.146635590000001</v>
      </c>
      <c r="Q45">
        <v>14.23384074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14.574721439999999</v>
      </c>
      <c r="W45">
        <v>14.633394170000001</v>
      </c>
      <c r="X45">
        <v>14.690893109999999</v>
      </c>
      <c r="Y45">
        <v>14.74766494</v>
      </c>
      <c r="Z45">
        <v>14.80404045</v>
      </c>
      <c r="AA45">
        <v>14.86026893</v>
      </c>
      <c r="AB45">
        <v>14.91654385</v>
      </c>
      <c r="AC45">
        <v>14.97302133</v>
      </c>
      <c r="AD45">
        <v>15.029833419999999</v>
      </c>
      <c r="AE45">
        <v>15.08709749</v>
      </c>
      <c r="AF45">
        <v>15.14492274</v>
      </c>
      <c r="AG45">
        <v>15.2034149</v>
      </c>
      <c r="AH45">
        <v>15.2626794</v>
      </c>
      <c r="AI45">
        <v>15.322823700000001</v>
      </c>
      <c r="AJ45">
        <v>15.3839589</v>
      </c>
      <c r="AK45">
        <v>15.44620089</v>
      </c>
    </row>
    <row r="46" spans="1:37" x14ac:dyDescent="0.25">
      <c r="A46" t="s">
        <v>1968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1.3259255999999999</v>
      </c>
      <c r="L46">
        <v>1.3365781969999999</v>
      </c>
      <c r="M46">
        <v>1.3471504219999999</v>
      </c>
      <c r="N46">
        <v>1.357481325</v>
      </c>
      <c r="O46">
        <v>1.367387967</v>
      </c>
      <c r="P46">
        <v>1.376678869</v>
      </c>
      <c r="Q46">
        <v>1.3851652329999999</v>
      </c>
      <c r="R46">
        <v>1.3928256299999999</v>
      </c>
      <c r="S46">
        <v>1.3998213530000001</v>
      </c>
      <c r="T46">
        <v>1.406318381</v>
      </c>
      <c r="U46">
        <v>1.4124549369999999</v>
      </c>
      <c r="V46">
        <v>1.418338015</v>
      </c>
      <c r="W46">
        <v>1.424047748</v>
      </c>
      <c r="X46">
        <v>1.429643252</v>
      </c>
      <c r="Y46">
        <v>1.435168</v>
      </c>
      <c r="Z46">
        <v>1.440654178</v>
      </c>
      <c r="AA46">
        <v>1.4461260490000001</v>
      </c>
      <c r="AB46">
        <v>1.451602439</v>
      </c>
      <c r="AC46">
        <v>1.4570985409999999</v>
      </c>
      <c r="AD46">
        <v>1.4626272060000001</v>
      </c>
      <c r="AE46">
        <v>1.4681998540000001</v>
      </c>
      <c r="AF46">
        <v>1.473827115</v>
      </c>
      <c r="AG46">
        <v>1.4795192749999999</v>
      </c>
      <c r="AH46">
        <v>1.4852865959999999</v>
      </c>
      <c r="AI46">
        <v>1.491139534</v>
      </c>
      <c r="AJ46">
        <v>1.497088902</v>
      </c>
      <c r="AK46">
        <v>1.503145977</v>
      </c>
    </row>
    <row r="47" spans="1:37" x14ac:dyDescent="0.25">
      <c r="A47" t="s">
        <v>1969</v>
      </c>
      <c r="B47">
        <v>0.27941199999999999</v>
      </c>
      <c r="C47">
        <v>0.28205997770000002</v>
      </c>
      <c r="D47">
        <v>0.28459781810000001</v>
      </c>
      <c r="E47">
        <v>0.28724238229999999</v>
      </c>
      <c r="F47">
        <v>0.2900488115</v>
      </c>
      <c r="G47">
        <v>0.29300813939999998</v>
      </c>
      <c r="H47">
        <v>0.29609454889999998</v>
      </c>
      <c r="I47">
        <v>0.29928258769999999</v>
      </c>
      <c r="J47">
        <v>0.30255188849999998</v>
      </c>
      <c r="K47">
        <v>0.30588748389999998</v>
      </c>
      <c r="L47">
        <v>0.30927886189999998</v>
      </c>
      <c r="M47">
        <v>0.3127188635</v>
      </c>
      <c r="N47">
        <v>0.31620274739999998</v>
      </c>
      <c r="O47">
        <v>0.31972747060000001</v>
      </c>
      <c r="P47">
        <v>0.32329113539999998</v>
      </c>
      <c r="Q47">
        <v>0.32689269399999998</v>
      </c>
      <c r="R47">
        <v>0.33053167369999997</v>
      </c>
      <c r="S47">
        <v>0.33420802869999999</v>
      </c>
      <c r="T47">
        <v>0.33792195590000002</v>
      </c>
      <c r="U47">
        <v>0.34167377189999998</v>
      </c>
      <c r="V47">
        <v>0.34546386509999999</v>
      </c>
      <c r="W47">
        <v>0.3492926663</v>
      </c>
      <c r="X47">
        <v>0.35316062990000002</v>
      </c>
      <c r="Y47">
        <v>0.3570682235</v>
      </c>
      <c r="Z47">
        <v>0.36101592269999999</v>
      </c>
      <c r="AA47">
        <v>0.36500421</v>
      </c>
      <c r="AB47">
        <v>0.36903357549999999</v>
      </c>
      <c r="AC47">
        <v>0.37310451839999997</v>
      </c>
      <c r="AD47">
        <v>0.37721754860000001</v>
      </c>
      <c r="AE47">
        <v>0.38137318710000001</v>
      </c>
      <c r="AF47">
        <v>0.3855719702</v>
      </c>
      <c r="AG47">
        <v>0.38981444329999998</v>
      </c>
      <c r="AH47">
        <v>0.39410116029999998</v>
      </c>
      <c r="AI47">
        <v>0.39843268269999998</v>
      </c>
      <c r="AJ47">
        <v>0.40280957779999998</v>
      </c>
      <c r="AK47">
        <v>0.40723241719999997</v>
      </c>
    </row>
    <row r="48" spans="1:37" x14ac:dyDescent="0.25">
      <c r="A48" t="s">
        <v>1970</v>
      </c>
      <c r="B48">
        <v>2.1117370000000002</v>
      </c>
      <c r="C48">
        <v>2.131749857</v>
      </c>
      <c r="D48">
        <v>2.1509303200000001</v>
      </c>
      <c r="E48">
        <v>2.170917379</v>
      </c>
      <c r="F48">
        <v>2.1921277790000002</v>
      </c>
      <c r="G48">
        <v>2.214493756</v>
      </c>
      <c r="H48">
        <v>2.2378201880000002</v>
      </c>
      <c r="I48">
        <v>2.2619147129999999</v>
      </c>
      <c r="J48">
        <v>2.2866233999999999</v>
      </c>
      <c r="K48">
        <v>2.3118331269999999</v>
      </c>
      <c r="L48">
        <v>2.3374644469999999</v>
      </c>
      <c r="M48">
        <v>2.3634632529999999</v>
      </c>
      <c r="N48">
        <v>2.3897937140000001</v>
      </c>
      <c r="O48">
        <v>2.4164328290000001</v>
      </c>
      <c r="P48">
        <v>2.4433662570000001</v>
      </c>
      <c r="Q48">
        <v>2.4705860770000001</v>
      </c>
      <c r="R48">
        <v>2.498088718</v>
      </c>
      <c r="S48">
        <v>2.5258738350000001</v>
      </c>
      <c r="T48">
        <v>2.5539429139999998</v>
      </c>
      <c r="U48">
        <v>2.5822983480000001</v>
      </c>
      <c r="V48">
        <v>2.6109430740000001</v>
      </c>
      <c r="W48">
        <v>2.639880346</v>
      </c>
      <c r="X48">
        <v>2.6691136000000002</v>
      </c>
      <c r="Y48">
        <v>2.698646369</v>
      </c>
      <c r="Z48">
        <v>2.7284822470000001</v>
      </c>
      <c r="AA48">
        <v>2.7586248819999999</v>
      </c>
      <c r="AB48">
        <v>2.7890779769999998</v>
      </c>
      <c r="AC48">
        <v>2.8198453049999999</v>
      </c>
      <c r="AD48">
        <v>2.85093072</v>
      </c>
      <c r="AE48">
        <v>2.8823381600000002</v>
      </c>
      <c r="AF48">
        <v>2.914071678</v>
      </c>
      <c r="AG48">
        <v>2.9461353950000002</v>
      </c>
      <c r="AH48">
        <v>2.9785334990000001</v>
      </c>
      <c r="AI48">
        <v>3.0112702320000002</v>
      </c>
      <c r="AJ48">
        <v>3.0443498830000002</v>
      </c>
      <c r="AK48">
        <v>3.0777767699999998</v>
      </c>
    </row>
    <row r="49" spans="1:37" x14ac:dyDescent="0.25">
      <c r="A49" t="s">
        <v>1971</v>
      </c>
      <c r="B49">
        <v>0.74387599999999998</v>
      </c>
      <c r="C49">
        <v>0.74849205060000001</v>
      </c>
      <c r="D49">
        <v>0.75186979450000002</v>
      </c>
      <c r="E49">
        <v>0.7554822376</v>
      </c>
      <c r="F49">
        <v>0.75978010279999997</v>
      </c>
      <c r="G49">
        <v>0.76477194950000005</v>
      </c>
      <c r="H49">
        <v>0.77033188559999999</v>
      </c>
      <c r="I49">
        <v>0.77632206329999998</v>
      </c>
      <c r="J49">
        <v>0.78263058770000005</v>
      </c>
      <c r="K49">
        <v>0.7891766389</v>
      </c>
      <c r="L49">
        <v>0.79590518369999996</v>
      </c>
      <c r="M49">
        <v>0.80277992620000005</v>
      </c>
      <c r="N49">
        <v>0.80977732319999995</v>
      </c>
      <c r="O49">
        <v>0.81688217659999995</v>
      </c>
      <c r="P49">
        <v>0.82408451940000005</v>
      </c>
      <c r="Q49">
        <v>0.8313780154</v>
      </c>
      <c r="R49">
        <v>0.83875867280000005</v>
      </c>
      <c r="S49">
        <v>0.84622399739999998</v>
      </c>
      <c r="T49">
        <v>0.8537724686</v>
      </c>
      <c r="U49">
        <v>0.86140320530000003</v>
      </c>
      <c r="V49">
        <v>0.86911574989999996</v>
      </c>
      <c r="W49">
        <v>0.87690993009999996</v>
      </c>
      <c r="X49">
        <v>0.88478577319999996</v>
      </c>
      <c r="Y49">
        <v>0.89274345460000004</v>
      </c>
      <c r="Z49">
        <v>0.90078326909999995</v>
      </c>
      <c r="AA49">
        <v>0.90890561680000004</v>
      </c>
      <c r="AB49">
        <v>0.9171109959</v>
      </c>
      <c r="AC49">
        <v>0.92540000010000001</v>
      </c>
      <c r="AD49">
        <v>0.93377331659999996</v>
      </c>
      <c r="AE49">
        <v>0.94223172369999997</v>
      </c>
      <c r="AF49">
        <v>0.95077608540000003</v>
      </c>
      <c r="AG49">
        <v>0.95940734729999999</v>
      </c>
      <c r="AH49">
        <v>0.96812652980000002</v>
      </c>
      <c r="AI49">
        <v>0.97693471850000002</v>
      </c>
      <c r="AJ49">
        <v>0.98583305440000002</v>
      </c>
      <c r="AK49">
        <v>0.99482272439999997</v>
      </c>
    </row>
    <row r="50" spans="1:37" x14ac:dyDescent="0.25">
      <c r="A50" t="s">
        <v>1972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0.35965140579999999</v>
      </c>
      <c r="G50">
        <v>0.36201435879999999</v>
      </c>
      <c r="H50">
        <v>0.36464622400000002</v>
      </c>
      <c r="I50">
        <v>0.36748174950000001</v>
      </c>
      <c r="J50">
        <v>0.37046796840000001</v>
      </c>
      <c r="K50">
        <v>0.37356662349999997</v>
      </c>
      <c r="L50">
        <v>0.37675166430000001</v>
      </c>
      <c r="M50">
        <v>0.38000590950000002</v>
      </c>
      <c r="N50">
        <v>0.3833182148</v>
      </c>
      <c r="O50">
        <v>0.38668138600000002</v>
      </c>
      <c r="P50">
        <v>0.39009070489999997</v>
      </c>
      <c r="Q50">
        <v>0.39354317239999997</v>
      </c>
      <c r="R50">
        <v>0.39703689879999998</v>
      </c>
      <c r="S50">
        <v>0.40057070350000001</v>
      </c>
      <c r="T50">
        <v>0.40414386670000002</v>
      </c>
      <c r="U50">
        <v>0.40775597120000001</v>
      </c>
      <c r="V50">
        <v>0.41140680060000001</v>
      </c>
      <c r="W50">
        <v>0.41509627319999998</v>
      </c>
      <c r="X50">
        <v>0.41882440199999998</v>
      </c>
      <c r="Y50">
        <v>0.4225912698</v>
      </c>
      <c r="Z50">
        <v>0.4263970165</v>
      </c>
      <c r="AA50">
        <v>0.43024183129999999</v>
      </c>
      <c r="AB50">
        <v>0.43412594999999998</v>
      </c>
      <c r="AC50">
        <v>0.43804965369999999</v>
      </c>
      <c r="AD50">
        <v>0.44201326769999999</v>
      </c>
      <c r="AE50">
        <v>0.44601716050000001</v>
      </c>
      <c r="AF50">
        <v>0.4500617408</v>
      </c>
      <c r="AG50">
        <v>0.45414745649999999</v>
      </c>
      <c r="AH50">
        <v>0.45827479049999997</v>
      </c>
      <c r="AI50">
        <v>0.4624442567</v>
      </c>
      <c r="AJ50">
        <v>0.46665639520000002</v>
      </c>
      <c r="AK50">
        <v>0.47091176779999999</v>
      </c>
    </row>
    <row r="51" spans="1:37" x14ac:dyDescent="0.25">
      <c r="A51" t="s">
        <v>1876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37.51776598</v>
      </c>
      <c r="H51">
        <v>37.79888098</v>
      </c>
      <c r="I51">
        <v>38.103212319999997</v>
      </c>
      <c r="J51">
        <v>38.424506370000003</v>
      </c>
      <c r="K51">
        <v>38.758333139999998</v>
      </c>
      <c r="L51">
        <v>39.101691180000003</v>
      </c>
      <c r="M51">
        <v>39.452590440000002</v>
      </c>
      <c r="N51">
        <v>39.809721400000001</v>
      </c>
      <c r="O51">
        <v>40.172221440000001</v>
      </c>
      <c r="P51">
        <v>40.53951876</v>
      </c>
      <c r="Q51">
        <v>40.911231899999997</v>
      </c>
      <c r="R51">
        <v>41.287104730000003</v>
      </c>
      <c r="S51">
        <v>41.666963899999999</v>
      </c>
      <c r="T51">
        <v>42.050692130000002</v>
      </c>
      <c r="U51">
        <v>42.438210679999997</v>
      </c>
      <c r="V51">
        <v>42.829467299999997</v>
      </c>
      <c r="W51">
        <v>43.22442831</v>
      </c>
      <c r="X51">
        <v>43.623073570000003</v>
      </c>
      <c r="Y51">
        <v>44.025393350000002</v>
      </c>
      <c r="Z51">
        <v>44.43138647</v>
      </c>
      <c r="AA51">
        <v>44.841059299999998</v>
      </c>
      <c r="AB51">
        <v>45.254425159999997</v>
      </c>
      <c r="AC51">
        <v>45.67150401</v>
      </c>
      <c r="AD51">
        <v>46.092322160000002</v>
      </c>
      <c r="AE51">
        <v>46.516911989999997</v>
      </c>
      <c r="AF51">
        <v>46.945311570000001</v>
      </c>
      <c r="AG51">
        <v>47.377564229999997</v>
      </c>
      <c r="AH51">
        <v>47.813718020000003</v>
      </c>
      <c r="AI51">
        <v>48.2538251</v>
      </c>
      <c r="AJ51">
        <v>48.697941110000002</v>
      </c>
      <c r="AK51">
        <v>49.14612451</v>
      </c>
    </row>
    <row r="52" spans="1:37" x14ac:dyDescent="0.25">
      <c r="A52" t="s">
        <v>1878</v>
      </c>
      <c r="B52">
        <v>5.7828600000000003</v>
      </c>
      <c r="C52">
        <v>5.8117590989999997</v>
      </c>
      <c r="D52">
        <v>5.8337791010000002</v>
      </c>
      <c r="E52">
        <v>5.8601238090000001</v>
      </c>
      <c r="F52">
        <v>5.8933353210000003</v>
      </c>
      <c r="G52">
        <v>5.9328402860000002</v>
      </c>
      <c r="H52">
        <v>5.9772941700000004</v>
      </c>
      <c r="I52">
        <v>6.0254193479999998</v>
      </c>
      <c r="J52">
        <v>6.0762269130000002</v>
      </c>
      <c r="K52">
        <v>6.1290163270000004</v>
      </c>
      <c r="L52">
        <v>6.1833129619999996</v>
      </c>
      <c r="M52">
        <v>6.2388021199999999</v>
      </c>
      <c r="N52">
        <v>6.2952767239999998</v>
      </c>
      <c r="O52">
        <v>6.3526003619999996</v>
      </c>
      <c r="P52">
        <v>6.4106826139999997</v>
      </c>
      <c r="Q52">
        <v>6.4694631569999999</v>
      </c>
      <c r="R52">
        <v>6.5289014910000001</v>
      </c>
      <c r="S52">
        <v>6.5889702000000003</v>
      </c>
      <c r="T52">
        <v>6.6496507400000002</v>
      </c>
      <c r="U52">
        <v>6.7109306589999997</v>
      </c>
      <c r="V52">
        <v>6.772801694</v>
      </c>
      <c r="W52">
        <v>6.8352585210000001</v>
      </c>
      <c r="X52">
        <v>6.8982979540000002</v>
      </c>
      <c r="Y52">
        <v>6.9619184519999999</v>
      </c>
      <c r="Z52">
        <v>7.026119832</v>
      </c>
      <c r="AA52">
        <v>7.0909030990000002</v>
      </c>
      <c r="AB52">
        <v>7.1562703609999998</v>
      </c>
      <c r="AC52">
        <v>7.2222247729999998</v>
      </c>
      <c r="AD52">
        <v>7.2887704969999998</v>
      </c>
      <c r="AE52">
        <v>7.3559126519999998</v>
      </c>
      <c r="AF52">
        <v>7.4236572589999996</v>
      </c>
      <c r="AG52">
        <v>7.4920111690000004</v>
      </c>
      <c r="AH52">
        <v>7.5609819800000002</v>
      </c>
      <c r="AI52">
        <v>7.6305779410000003</v>
      </c>
      <c r="AJ52">
        <v>7.7008078519999996</v>
      </c>
      <c r="AK52">
        <v>7.7716809570000001</v>
      </c>
    </row>
    <row r="53" spans="1:37" x14ac:dyDescent="0.25">
      <c r="A53" t="s">
        <v>1973</v>
      </c>
      <c r="B53">
        <v>7.9355360250000002</v>
      </c>
      <c r="C53">
        <v>7.9882333299999999</v>
      </c>
      <c r="D53">
        <v>8.0259841749999996</v>
      </c>
      <c r="E53">
        <v>8.0597632410000006</v>
      </c>
      <c r="F53">
        <v>8.0940822430000008</v>
      </c>
      <c r="G53">
        <v>8.1304840889999994</v>
      </c>
      <c r="H53">
        <v>8.1692775429999998</v>
      </c>
      <c r="I53">
        <v>8.2103169440000006</v>
      </c>
      <c r="J53">
        <v>8.2533317870000005</v>
      </c>
      <c r="K53">
        <v>8.2980553950000004</v>
      </c>
      <c r="L53">
        <v>8.3442670830000001</v>
      </c>
      <c r="M53">
        <v>8.3917989459999998</v>
      </c>
      <c r="N53">
        <v>8.4405296599999993</v>
      </c>
      <c r="O53">
        <v>8.4903729329999997</v>
      </c>
      <c r="P53">
        <v>8.5412591609999993</v>
      </c>
      <c r="Q53">
        <v>8.5931470399999998</v>
      </c>
      <c r="R53">
        <v>8.6460126390000003</v>
      </c>
      <c r="S53">
        <v>8.6998426210000002</v>
      </c>
      <c r="T53">
        <v>8.7546298670000002</v>
      </c>
      <c r="U53">
        <v>8.8103706840000005</v>
      </c>
      <c r="V53">
        <v>8.8670631699999998</v>
      </c>
      <c r="W53">
        <v>8.9247062560000003</v>
      </c>
      <c r="X53">
        <v>8.9832992110000003</v>
      </c>
      <c r="Y53">
        <v>9.0428414299999993</v>
      </c>
      <c r="Z53">
        <v>9.1033324199999992</v>
      </c>
      <c r="AA53">
        <v>9.1647718979999997</v>
      </c>
      <c r="AB53">
        <v>9.2271599309999992</v>
      </c>
      <c r="AC53">
        <v>9.2904970949999992</v>
      </c>
      <c r="AD53">
        <v>9.3547846180000001</v>
      </c>
      <c r="AE53">
        <v>9.4200244909999995</v>
      </c>
      <c r="AF53">
        <v>9.4862195479999993</v>
      </c>
      <c r="AG53">
        <v>9.5533735059999998</v>
      </c>
      <c r="AH53">
        <v>9.6214909710000001</v>
      </c>
      <c r="AI53">
        <v>9.6905774200000003</v>
      </c>
      <c r="AJ53">
        <v>9.7606391630000005</v>
      </c>
      <c r="AK53">
        <v>9.8316832909999992</v>
      </c>
    </row>
    <row r="54" spans="1:37" x14ac:dyDescent="0.25">
      <c r="A54" t="s">
        <v>1974</v>
      </c>
      <c r="B54">
        <v>1.200893</v>
      </c>
      <c r="C54">
        <v>1.2047812449999999</v>
      </c>
      <c r="D54">
        <v>1.2045163329999999</v>
      </c>
      <c r="E54">
        <v>1.202596438</v>
      </c>
      <c r="F54">
        <v>1.200133624</v>
      </c>
      <c r="G54">
        <v>1.19759821</v>
      </c>
      <c r="H54">
        <v>1.195164782</v>
      </c>
      <c r="I54">
        <v>1.1928779810000001</v>
      </c>
      <c r="J54">
        <v>1.190731312</v>
      </c>
      <c r="K54">
        <v>1.1887030789999999</v>
      </c>
      <c r="L54">
        <v>1.186771252</v>
      </c>
      <c r="M54">
        <v>1.1849183649999999</v>
      </c>
      <c r="N54">
        <v>1.1831320590000001</v>
      </c>
      <c r="O54">
        <v>1.181402032</v>
      </c>
      <c r="P54">
        <v>1.179717157</v>
      </c>
      <c r="Q54">
        <v>1.1780719049999999</v>
      </c>
      <c r="R54">
        <v>1.1764635299999999</v>
      </c>
      <c r="S54">
        <v>1.174890591</v>
      </c>
      <c r="T54">
        <v>1.173352365</v>
      </c>
      <c r="U54">
        <v>1.1718486130000001</v>
      </c>
      <c r="V54">
        <v>1.1703794489999999</v>
      </c>
      <c r="W54">
        <v>1.1689452920000001</v>
      </c>
      <c r="X54">
        <v>1.1675468259999999</v>
      </c>
      <c r="Y54">
        <v>1.166184962</v>
      </c>
      <c r="Z54">
        <v>1.164860786</v>
      </c>
      <c r="AA54">
        <v>1.1635755080000001</v>
      </c>
      <c r="AB54">
        <v>1.1623303979999999</v>
      </c>
      <c r="AC54">
        <v>1.16112674</v>
      </c>
      <c r="AD54">
        <v>1.1599657830000001</v>
      </c>
      <c r="AE54">
        <v>1.158848702</v>
      </c>
      <c r="AF54">
        <v>1.1577766089999999</v>
      </c>
      <c r="AG54">
        <v>1.156750478</v>
      </c>
      <c r="AH54">
        <v>1.1557711390000001</v>
      </c>
      <c r="AI54">
        <v>1.154839277</v>
      </c>
      <c r="AJ54">
        <v>1.1539554439999999</v>
      </c>
      <c r="AK54">
        <v>1.1531200559999999</v>
      </c>
    </row>
    <row r="55" spans="1:37" x14ac:dyDescent="0.25">
      <c r="A55" t="s">
        <v>1975</v>
      </c>
      <c r="B55">
        <v>4.1474250000000001</v>
      </c>
      <c r="C55">
        <v>4.160853511</v>
      </c>
      <c r="D55">
        <v>4.159938608</v>
      </c>
      <c r="E55">
        <v>4.1533080230000001</v>
      </c>
      <c r="F55">
        <v>4.1448024070000002</v>
      </c>
      <c r="G55">
        <v>4.1360460540000004</v>
      </c>
      <c r="H55">
        <v>4.1276419280000001</v>
      </c>
      <c r="I55">
        <v>4.1197441909999997</v>
      </c>
      <c r="J55">
        <v>4.1123304190000001</v>
      </c>
      <c r="K55">
        <v>4.1053256759999996</v>
      </c>
      <c r="L55">
        <v>4.098653884</v>
      </c>
      <c r="M55">
        <v>4.092254724</v>
      </c>
      <c r="N55">
        <v>4.0860855039999997</v>
      </c>
      <c r="O55">
        <v>4.0801106550000004</v>
      </c>
      <c r="P55">
        <v>4.0742917380000003</v>
      </c>
      <c r="Q55">
        <v>4.0686096669999996</v>
      </c>
      <c r="R55">
        <v>4.0630549580000004</v>
      </c>
      <c r="S55">
        <v>4.0576226279999998</v>
      </c>
      <c r="T55">
        <v>4.0523101840000004</v>
      </c>
      <c r="U55">
        <v>4.0471167980000002</v>
      </c>
      <c r="V55">
        <v>4.0420428690000003</v>
      </c>
      <c r="W55">
        <v>4.0370898390000001</v>
      </c>
      <c r="X55">
        <v>4.0322600729999998</v>
      </c>
      <c r="Y55">
        <v>4.0275567150000002</v>
      </c>
      <c r="Z55">
        <v>4.0229835190000003</v>
      </c>
      <c r="AA55">
        <v>4.0185446579999997</v>
      </c>
      <c r="AB55">
        <v>4.0142445240000004</v>
      </c>
      <c r="AC55">
        <v>4.0100875509999998</v>
      </c>
      <c r="AD55">
        <v>4.006078048</v>
      </c>
      <c r="AE55">
        <v>4.0022200779999997</v>
      </c>
      <c r="AF55">
        <v>3.9985174799999998</v>
      </c>
      <c r="AG55">
        <v>3.9949736169999999</v>
      </c>
      <c r="AH55">
        <v>3.991591353</v>
      </c>
      <c r="AI55">
        <v>3.9883730599999998</v>
      </c>
      <c r="AJ55">
        <v>3.9853206370000001</v>
      </c>
      <c r="AK55">
        <v>3.9824355279999999</v>
      </c>
    </row>
    <row r="56" spans="1:37" x14ac:dyDescent="0.25">
      <c r="A56" t="s">
        <v>1880</v>
      </c>
      <c r="B56">
        <v>0.52361599999999997</v>
      </c>
      <c r="C56">
        <v>0.52531136109999998</v>
      </c>
      <c r="D56">
        <v>0.5251958538</v>
      </c>
      <c r="E56">
        <v>0.5243587368</v>
      </c>
      <c r="F56">
        <v>0.52328489540000001</v>
      </c>
      <c r="G56">
        <v>0.52217939830000004</v>
      </c>
      <c r="H56">
        <v>0.52111837000000005</v>
      </c>
      <c r="I56">
        <v>0.52012127379999995</v>
      </c>
      <c r="J56">
        <v>0.51918527869999997</v>
      </c>
      <c r="K56">
        <v>0.51830092390000004</v>
      </c>
      <c r="L56">
        <v>0.51745860440000002</v>
      </c>
      <c r="M56">
        <v>0.51665070479999997</v>
      </c>
      <c r="N56">
        <v>0.51587183540000003</v>
      </c>
      <c r="O56">
        <v>0.51511750560000003</v>
      </c>
      <c r="P56">
        <v>0.51438286229999997</v>
      </c>
      <c r="Q56">
        <v>0.51366549589999999</v>
      </c>
      <c r="R56">
        <v>0.51296420909999996</v>
      </c>
      <c r="S56">
        <v>0.51227837279999999</v>
      </c>
      <c r="T56">
        <v>0.51160767210000002</v>
      </c>
      <c r="U56">
        <v>0.51095200259999995</v>
      </c>
      <c r="V56">
        <v>0.51031141469999997</v>
      </c>
      <c r="W56">
        <v>0.50968609040000001</v>
      </c>
      <c r="X56">
        <v>0.50907632820000004</v>
      </c>
      <c r="Y56">
        <v>0.50848252510000003</v>
      </c>
      <c r="Z56">
        <v>0.50790515520000001</v>
      </c>
      <c r="AA56">
        <v>0.50734474510000005</v>
      </c>
      <c r="AB56">
        <v>0.50680184949999996</v>
      </c>
      <c r="AC56">
        <v>0.50627702799999996</v>
      </c>
      <c r="AD56">
        <v>0.50577082490000003</v>
      </c>
      <c r="AE56">
        <v>0.50528375280000004</v>
      </c>
      <c r="AF56">
        <v>0.50481629660000005</v>
      </c>
      <c r="AG56">
        <v>0.50436888079999997</v>
      </c>
      <c r="AH56">
        <v>0.50394186699999999</v>
      </c>
      <c r="AI56">
        <v>0.50353555480000001</v>
      </c>
      <c r="AJ56">
        <v>0.50315018369999998</v>
      </c>
      <c r="AK56">
        <v>0.50278593620000001</v>
      </c>
    </row>
    <row r="57" spans="1:37" x14ac:dyDescent="0.25">
      <c r="A57" t="s">
        <v>1882</v>
      </c>
      <c r="B57">
        <v>0.72579400000000005</v>
      </c>
      <c r="C57">
        <v>0.72814397190000002</v>
      </c>
      <c r="D57">
        <v>0.72798386510000002</v>
      </c>
      <c r="E57">
        <v>0.72682352139999995</v>
      </c>
      <c r="F57">
        <v>0.72533504959999995</v>
      </c>
      <c r="G57">
        <v>0.72380269929999996</v>
      </c>
      <c r="H57">
        <v>0.72233198799999998</v>
      </c>
      <c r="I57">
        <v>0.7209498942</v>
      </c>
      <c r="J57">
        <v>0.71965249379999996</v>
      </c>
      <c r="K57">
        <v>0.71842667280000005</v>
      </c>
      <c r="L57">
        <v>0.71725911789999997</v>
      </c>
      <c r="M57">
        <v>0.71613927310000003</v>
      </c>
      <c r="N57">
        <v>0.71505966759999995</v>
      </c>
      <c r="O57">
        <v>0.71401407679999995</v>
      </c>
      <c r="P57">
        <v>0.71299577390000002</v>
      </c>
      <c r="Q57">
        <v>0.71200141890000002</v>
      </c>
      <c r="R57">
        <v>0.71102935199999995</v>
      </c>
      <c r="S57">
        <v>0.71007870139999996</v>
      </c>
      <c r="T57">
        <v>0.7091490305</v>
      </c>
      <c r="U57">
        <v>0.70824019469999999</v>
      </c>
      <c r="V57">
        <v>0.70735226370000004</v>
      </c>
      <c r="W57">
        <v>0.70648548990000004</v>
      </c>
      <c r="X57">
        <v>0.70564028700000003</v>
      </c>
      <c r="Y57">
        <v>0.70481720540000004</v>
      </c>
      <c r="Z57">
        <v>0.70401690210000001</v>
      </c>
      <c r="AA57">
        <v>0.70324010709999996</v>
      </c>
      <c r="AB57">
        <v>0.70248758929999999</v>
      </c>
      <c r="AC57">
        <v>0.70176012430000001</v>
      </c>
      <c r="AD57">
        <v>0.70105846660000004</v>
      </c>
      <c r="AE57">
        <v>0.70038332690000005</v>
      </c>
      <c r="AF57">
        <v>0.69973537699999999</v>
      </c>
      <c r="AG57">
        <v>0.69911520549999995</v>
      </c>
      <c r="AH57">
        <v>0.69852331369999998</v>
      </c>
      <c r="AI57">
        <v>0.69796011660000001</v>
      </c>
      <c r="AJ57">
        <v>0.6974259465</v>
      </c>
      <c r="AK57">
        <v>0.6969210562</v>
      </c>
    </row>
    <row r="58" spans="1:37" x14ac:dyDescent="0.25">
      <c r="A58" t="s">
        <v>1976</v>
      </c>
      <c r="B58">
        <v>41.844050670000001</v>
      </c>
      <c r="C58">
        <v>42.155136259999999</v>
      </c>
      <c r="D58">
        <v>42.400736389999999</v>
      </c>
      <c r="E58">
        <v>42.630855660000002</v>
      </c>
      <c r="F58">
        <v>42.865922519999998</v>
      </c>
      <c r="G58">
        <v>43.112461009999997</v>
      </c>
      <c r="H58">
        <v>43.37127804</v>
      </c>
      <c r="I58">
        <v>43.641219239999998</v>
      </c>
      <c r="J58">
        <v>43.920735780000001</v>
      </c>
      <c r="K58">
        <v>44.208452800000003</v>
      </c>
      <c r="L58">
        <v>44.503314500000002</v>
      </c>
      <c r="M58">
        <v>44.804569399999998</v>
      </c>
      <c r="N58">
        <v>45.111709300000001</v>
      </c>
      <c r="O58">
        <v>45.4244062</v>
      </c>
      <c r="P58">
        <v>45.742460530000002</v>
      </c>
      <c r="Q58">
        <v>46.06576183</v>
      </c>
      <c r="R58">
        <v>46.394260549999998</v>
      </c>
      <c r="S58">
        <v>46.727915699999997</v>
      </c>
      <c r="T58">
        <v>47.066717140000002</v>
      </c>
      <c r="U58">
        <v>47.410692310000002</v>
      </c>
      <c r="V58">
        <v>47.759888199999999</v>
      </c>
      <c r="W58">
        <v>48.11436131</v>
      </c>
      <c r="X58">
        <v>48.474172549999999</v>
      </c>
      <c r="Y58">
        <v>48.839384750000001</v>
      </c>
      <c r="Z58">
        <v>49.210061750000001</v>
      </c>
      <c r="AA58">
        <v>49.586268259999997</v>
      </c>
      <c r="AB58">
        <v>49.968070169999997</v>
      </c>
      <c r="AC58">
        <v>50.355534929999997</v>
      </c>
      <c r="AD58">
        <v>50.748731939999999</v>
      </c>
      <c r="AE58">
        <v>51.147732840000003</v>
      </c>
      <c r="AF58">
        <v>51.552611640000002</v>
      </c>
      <c r="AG58">
        <v>51.963444809999999</v>
      </c>
      <c r="AH58">
        <v>52.380311169999999</v>
      </c>
      <c r="AI58">
        <v>52.80329176</v>
      </c>
      <c r="AJ58">
        <v>53.232469569999999</v>
      </c>
      <c r="AK58">
        <v>53.667929340000001</v>
      </c>
    </row>
    <row r="59" spans="1:37" x14ac:dyDescent="0.25">
      <c r="A59" t="s">
        <v>1977</v>
      </c>
      <c r="B59">
        <v>0.82379446560000003</v>
      </c>
      <c r="C59">
        <v>0.82991888680000003</v>
      </c>
      <c r="D59">
        <v>0.83475407899999998</v>
      </c>
      <c r="E59">
        <v>0.83928449559999996</v>
      </c>
      <c r="F59">
        <v>0.8439123167</v>
      </c>
      <c r="G59">
        <v>0.84876598270000003</v>
      </c>
      <c r="H59">
        <v>0.85386137920000005</v>
      </c>
      <c r="I59">
        <v>0.85917578029999997</v>
      </c>
      <c r="J59">
        <v>0.86467869360000005</v>
      </c>
      <c r="K59">
        <v>0.87034305160000003</v>
      </c>
      <c r="L59">
        <v>0.87614806889999997</v>
      </c>
      <c r="M59">
        <v>0.88207895069999998</v>
      </c>
      <c r="N59">
        <v>0.88812569200000002</v>
      </c>
      <c r="O59">
        <v>0.89428183549999996</v>
      </c>
      <c r="P59">
        <v>0.90054345199999997</v>
      </c>
      <c r="Q59">
        <v>0.90690836679999998</v>
      </c>
      <c r="R59">
        <v>0.91337560470000001</v>
      </c>
      <c r="S59">
        <v>0.9199443584</v>
      </c>
      <c r="T59">
        <v>0.92661442849999998</v>
      </c>
      <c r="U59">
        <v>0.93338635530000003</v>
      </c>
      <c r="V59">
        <v>0.94026106340000004</v>
      </c>
      <c r="W59">
        <v>0.94723966569999996</v>
      </c>
      <c r="X59">
        <v>0.95432336120000005</v>
      </c>
      <c r="Y59">
        <v>0.96151338659999996</v>
      </c>
      <c r="Z59">
        <v>0.9688109989</v>
      </c>
      <c r="AA59">
        <v>0.97621747219999999</v>
      </c>
      <c r="AB59">
        <v>0.98373410350000001</v>
      </c>
      <c r="AC59">
        <v>0.99136222070000002</v>
      </c>
      <c r="AD59">
        <v>0.99910319020000005</v>
      </c>
      <c r="AE59">
        <v>1.0069584220000001</v>
      </c>
      <c r="AF59">
        <v>1.0149293740000001</v>
      </c>
      <c r="AG59">
        <v>1.0230175509999999</v>
      </c>
      <c r="AH59">
        <v>1.031224505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1978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1.2333995550000001</v>
      </c>
      <c r="H60">
        <v>1.2408040220000001</v>
      </c>
      <c r="I60">
        <v>1.2485267390000001</v>
      </c>
      <c r="J60">
        <v>1.256523397</v>
      </c>
      <c r="K60">
        <v>1.2647546599999999</v>
      </c>
      <c r="L60">
        <v>1.2731903259999999</v>
      </c>
      <c r="M60">
        <v>1.281808893</v>
      </c>
      <c r="N60">
        <v>1.2905958239999999</v>
      </c>
      <c r="O60">
        <v>1.299541735</v>
      </c>
      <c r="P60">
        <v>1.308640915</v>
      </c>
      <c r="Q60">
        <v>1.317890206</v>
      </c>
      <c r="R60">
        <v>1.3272881889999999</v>
      </c>
      <c r="S60">
        <v>1.3368336919999999</v>
      </c>
      <c r="T60">
        <v>1.3465264240000001</v>
      </c>
      <c r="U60">
        <v>1.356367171</v>
      </c>
      <c r="V60">
        <v>1.3663572770000001</v>
      </c>
      <c r="W60">
        <v>1.3764983580000001</v>
      </c>
      <c r="X60">
        <v>1.386792158</v>
      </c>
      <c r="Y60">
        <v>1.3972404730000001</v>
      </c>
      <c r="Z60">
        <v>1.407845129</v>
      </c>
      <c r="AA60">
        <v>1.4186079789999999</v>
      </c>
      <c r="AB60">
        <v>1.429530907</v>
      </c>
      <c r="AC60">
        <v>1.440615843</v>
      </c>
      <c r="AD60">
        <v>1.451864772</v>
      </c>
      <c r="AE60">
        <v>1.463279744</v>
      </c>
      <c r="AF60">
        <v>1.474862876</v>
      </c>
      <c r="AG60">
        <v>1.4866163560000001</v>
      </c>
      <c r="AH60">
        <v>1.4985424389999999</v>
      </c>
      <c r="AI60">
        <v>1.510643443</v>
      </c>
      <c r="AJ60">
        <v>1.5229217429999999</v>
      </c>
      <c r="AK60">
        <v>1.535379762</v>
      </c>
    </row>
    <row r="61" spans="1:37" x14ac:dyDescent="0.25">
      <c r="A61" t="s">
        <v>1979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1.1205504829999999</v>
      </c>
      <c r="H61">
        <v>1.1272774830000001</v>
      </c>
      <c r="I61">
        <v>1.1342936159999999</v>
      </c>
      <c r="J61">
        <v>1.141558624</v>
      </c>
      <c r="K61">
        <v>1.149036774</v>
      </c>
      <c r="L61">
        <v>1.156700624</v>
      </c>
      <c r="M61">
        <v>1.164530641</v>
      </c>
      <c r="N61">
        <v>1.172513618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1.214520982</v>
      </c>
      <c r="T61">
        <v>1.223326884</v>
      </c>
      <c r="U61">
        <v>1.2322672589999999</v>
      </c>
      <c r="V61">
        <v>1.2413433270000001</v>
      </c>
      <c r="W61">
        <v>1.250556556</v>
      </c>
      <c r="X61">
        <v>1.2599085320000001</v>
      </c>
      <c r="Y61">
        <v>1.269400885</v>
      </c>
      <c r="Z61">
        <v>1.279035275</v>
      </c>
      <c r="AA61">
        <v>1.2888133850000001</v>
      </c>
      <c r="AB61">
        <v>1.298736927</v>
      </c>
      <c r="AC61">
        <v>1.308807654</v>
      </c>
      <c r="AD61">
        <v>1.3190273699999999</v>
      </c>
      <c r="AE61">
        <v>1.329397937</v>
      </c>
      <c r="AF61">
        <v>1.339921278</v>
      </c>
      <c r="AG61">
        <v>1.3505993810000001</v>
      </c>
      <c r="AH61">
        <v>1.361434295</v>
      </c>
      <c r="AI61">
        <v>1.372428126</v>
      </c>
      <c r="AJ61">
        <v>1.3835830309999999</v>
      </c>
      <c r="AK61">
        <v>1.3949012119999999</v>
      </c>
    </row>
    <row r="62" spans="1:37" x14ac:dyDescent="0.25">
      <c r="A62" t="s">
        <v>1980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2.1926098459999999</v>
      </c>
      <c r="G62">
        <v>2.2052203929999998</v>
      </c>
      <c r="H62">
        <v>2.218458992</v>
      </c>
      <c r="I62">
        <v>2.2322665970000002</v>
      </c>
      <c r="J62">
        <v>2.2465639849999999</v>
      </c>
      <c r="K62">
        <v>2.2612808310000001</v>
      </c>
      <c r="L62">
        <v>2.27636313</v>
      </c>
      <c r="M62">
        <v>2.2917724439999998</v>
      </c>
      <c r="N62">
        <v>2.3074827779999998</v>
      </c>
      <c r="O62">
        <v>2.3234773550000001</v>
      </c>
      <c r="P62">
        <v>2.3397459669999998</v>
      </c>
      <c r="Q62">
        <v>2.356282964</v>
      </c>
      <c r="R62">
        <v>2.3730858110000002</v>
      </c>
      <c r="S62">
        <v>2.3901524109999999</v>
      </c>
      <c r="T62">
        <v>2.4074822459999998</v>
      </c>
      <c r="U62">
        <v>2.4250767199999999</v>
      </c>
      <c r="V62">
        <v>2.4429382350000002</v>
      </c>
      <c r="W62">
        <v>2.4610696829999998</v>
      </c>
      <c r="X62">
        <v>2.4794741779999998</v>
      </c>
      <c r="Y62">
        <v>2.4981549350000001</v>
      </c>
      <c r="Z62">
        <v>2.5171152179999998</v>
      </c>
      <c r="AA62">
        <v>2.536358339</v>
      </c>
      <c r="AB62">
        <v>2.5558876659999998</v>
      </c>
      <c r="AC62">
        <v>2.5757066499999999</v>
      </c>
      <c r="AD62">
        <v>2.5958188409999998</v>
      </c>
      <c r="AE62">
        <v>2.616227904</v>
      </c>
      <c r="AF62">
        <v>2.6369376240000002</v>
      </c>
      <c r="AG62">
        <v>2.6579519120000001</v>
      </c>
      <c r="AH62">
        <v>2.679274801</v>
      </c>
      <c r="AI62">
        <v>2.7009104349999999</v>
      </c>
      <c r="AJ62">
        <v>2.7228630589999998</v>
      </c>
      <c r="AK62">
        <v>2.7451370079999999</v>
      </c>
    </row>
    <row r="63" spans="1:37" x14ac:dyDescent="0.25">
      <c r="A63" t="s">
        <v>1981</v>
      </c>
      <c r="B63">
        <v>0.77809678609999999</v>
      </c>
      <c r="C63">
        <v>0.78388147220000004</v>
      </c>
      <c r="D63">
        <v>0.78844844579999995</v>
      </c>
      <c r="E63">
        <v>0.79272755019999996</v>
      </c>
      <c r="F63">
        <v>0.79709865599999996</v>
      </c>
      <c r="G63">
        <v>0.80168307859999999</v>
      </c>
      <c r="H63">
        <v>0.80649582230000005</v>
      </c>
      <c r="I63">
        <v>0.81151542200000004</v>
      </c>
      <c r="J63">
        <v>0.81671307660000003</v>
      </c>
      <c r="K63">
        <v>0.82206322030000001</v>
      </c>
      <c r="L63">
        <v>0.82754622060000005</v>
      </c>
      <c r="M63">
        <v>0.83314810340000001</v>
      </c>
      <c r="N63">
        <v>0.83885941880000003</v>
      </c>
      <c r="O63">
        <v>0.84467406749999996</v>
      </c>
      <c r="P63">
        <v>0.85058833840000003</v>
      </c>
      <c r="Q63">
        <v>0.85660017749999995</v>
      </c>
      <c r="R63">
        <v>0.86270866359999998</v>
      </c>
      <c r="S63">
        <v>0.86891303419999999</v>
      </c>
      <c r="T63">
        <v>0.87521310090000004</v>
      </c>
      <c r="U63">
        <v>0.88160937409999995</v>
      </c>
      <c r="V63">
        <v>0.88810272720000005</v>
      </c>
      <c r="W63">
        <v>0.89469421120000003</v>
      </c>
      <c r="X63">
        <v>0.9013849585</v>
      </c>
      <c r="Y63">
        <v>0.90817613760000004</v>
      </c>
      <c r="Z63">
        <v>0.9150689353</v>
      </c>
      <c r="AA63">
        <v>0.92206455539999999</v>
      </c>
      <c r="AB63">
        <v>0.92916422269999999</v>
      </c>
      <c r="AC63">
        <v>0.93636919159999998</v>
      </c>
      <c r="AD63">
        <v>0.94368075259999995</v>
      </c>
      <c r="AE63">
        <v>0.95110023779999997</v>
      </c>
      <c r="AF63">
        <v>0.95862902360000002</v>
      </c>
      <c r="AG63">
        <v>0.96626853180000005</v>
      </c>
      <c r="AH63">
        <v>0.97402022830000001</v>
      </c>
      <c r="AI63">
        <v>0.98188561969999999</v>
      </c>
      <c r="AJ63">
        <v>0.98986624940000001</v>
      </c>
      <c r="AK63">
        <v>0.99796369309999999</v>
      </c>
    </row>
    <row r="64" spans="1:37" x14ac:dyDescent="0.25">
      <c r="A64" t="s">
        <v>1982</v>
      </c>
      <c r="B64">
        <v>5.9899067759999998</v>
      </c>
      <c r="C64">
        <v>6.034438164</v>
      </c>
      <c r="D64">
        <v>6.0695954179999996</v>
      </c>
      <c r="E64">
        <v>6.1025366109999997</v>
      </c>
      <c r="F64">
        <v>6.1361860449999996</v>
      </c>
      <c r="G64">
        <v>6.1714776230000004</v>
      </c>
      <c r="H64">
        <v>6.2085268530000004</v>
      </c>
      <c r="I64">
        <v>6.24716849</v>
      </c>
      <c r="J64">
        <v>6.2871808219999998</v>
      </c>
      <c r="K64">
        <v>6.3283670379999997</v>
      </c>
      <c r="L64">
        <v>6.370576003</v>
      </c>
      <c r="M64">
        <v>6.413700145</v>
      </c>
      <c r="N64">
        <v>6.4576667140000001</v>
      </c>
      <c r="O64">
        <v>6.5024287599999999</v>
      </c>
      <c r="P64">
        <v>6.5479577119999997</v>
      </c>
      <c r="Q64">
        <v>6.5942377590000003</v>
      </c>
      <c r="R64">
        <v>6.6412618090000004</v>
      </c>
      <c r="S64">
        <v>6.6890239920000001</v>
      </c>
      <c r="T64">
        <v>6.7375228600000003</v>
      </c>
      <c r="U64">
        <v>6.786762338</v>
      </c>
      <c r="V64">
        <v>6.8367491530000004</v>
      </c>
      <c r="W64">
        <v>6.8874913930000004</v>
      </c>
      <c r="X64">
        <v>6.9389977790000001</v>
      </c>
      <c r="Y64">
        <v>6.9912773030000004</v>
      </c>
      <c r="Z64">
        <v>7.0443391030000004</v>
      </c>
      <c r="AA64">
        <v>7.0981924440000004</v>
      </c>
      <c r="AB64">
        <v>7.1528467569999998</v>
      </c>
      <c r="AC64">
        <v>7.2083116980000002</v>
      </c>
      <c r="AD64">
        <v>7.2645971999999999</v>
      </c>
      <c r="AE64">
        <v>7.3217135200000003</v>
      </c>
      <c r="AF64">
        <v>7.3796712519999996</v>
      </c>
      <c r="AG64">
        <v>7.4384813420000002</v>
      </c>
      <c r="AH64">
        <v>7.4981550739999996</v>
      </c>
      <c r="AI64">
        <v>7.558704047</v>
      </c>
      <c r="AJ64">
        <v>7.6201401420000003</v>
      </c>
      <c r="AK64">
        <v>7.6824754889999998</v>
      </c>
    </row>
    <row r="65" spans="1:37" x14ac:dyDescent="0.25">
      <c r="A65" t="s">
        <v>1983</v>
      </c>
      <c r="B65">
        <v>3.5035003580000001</v>
      </c>
      <c r="C65">
        <v>3.529546796</v>
      </c>
      <c r="D65">
        <v>3.5501102969999998</v>
      </c>
      <c r="E65">
        <v>3.5693776220000002</v>
      </c>
      <c r="F65">
        <v>3.5890591980000002</v>
      </c>
      <c r="G65">
        <v>3.609701265</v>
      </c>
      <c r="H65">
        <v>3.6313713829999998</v>
      </c>
      <c r="I65">
        <v>3.653972902</v>
      </c>
      <c r="J65">
        <v>3.6773761409999999</v>
      </c>
      <c r="K65">
        <v>3.701465985</v>
      </c>
      <c r="L65">
        <v>3.7261540360000001</v>
      </c>
      <c r="M65">
        <v>3.7513773750000001</v>
      </c>
      <c r="N65">
        <v>3.7770934500000002</v>
      </c>
      <c r="O65">
        <v>3.803274799</v>
      </c>
      <c r="P65">
        <v>3.8299047129999999</v>
      </c>
      <c r="Q65">
        <v>3.8569739420000002</v>
      </c>
      <c r="R65">
        <v>3.8844783399999998</v>
      </c>
      <c r="S65">
        <v>3.912414472</v>
      </c>
      <c r="T65">
        <v>3.9407814910000001</v>
      </c>
      <c r="U65">
        <v>3.9695816939999999</v>
      </c>
      <c r="V65">
        <v>3.9988190139999999</v>
      </c>
      <c r="W65">
        <v>4.028498183</v>
      </c>
      <c r="X65">
        <v>4.0586243020000001</v>
      </c>
      <c r="Y65">
        <v>4.0892026289999999</v>
      </c>
      <c r="Z65">
        <v>4.1202385100000001</v>
      </c>
      <c r="AA65">
        <v>4.1517373639999997</v>
      </c>
      <c r="AB65">
        <v>4.1837047079999996</v>
      </c>
      <c r="AC65">
        <v>4.2161461869999997</v>
      </c>
      <c r="AD65">
        <v>4.2490676140000003</v>
      </c>
      <c r="AE65">
        <v>4.2824749869999996</v>
      </c>
      <c r="AF65">
        <v>4.3163745020000004</v>
      </c>
      <c r="AG65">
        <v>4.3507725610000003</v>
      </c>
      <c r="AH65">
        <v>4.3856757660000003</v>
      </c>
      <c r="AI65">
        <v>4.4210909000000003</v>
      </c>
      <c r="AJ65">
        <v>4.4570249119999996</v>
      </c>
      <c r="AK65">
        <v>4.493484896</v>
      </c>
    </row>
    <row r="66" spans="1:37" x14ac:dyDescent="0.25">
      <c r="A66" t="s">
        <v>1984</v>
      </c>
      <c r="B66">
        <v>9.7845417399999995E-2</v>
      </c>
      <c r="C66">
        <v>9.8572839800000006E-2</v>
      </c>
      <c r="D66">
        <v>9.91471352E-2</v>
      </c>
      <c r="E66">
        <v>9.9685231200000002E-2</v>
      </c>
      <c r="F66">
        <v>0.1002348964</v>
      </c>
      <c r="G66">
        <v>0.100811386</v>
      </c>
      <c r="H66">
        <v>0.101416587</v>
      </c>
      <c r="I66">
        <v>0.10204779999999999</v>
      </c>
      <c r="J66">
        <v>0.1027014034</v>
      </c>
      <c r="K66">
        <v>0.1033741822</v>
      </c>
      <c r="L66">
        <v>0.1040636677</v>
      </c>
      <c r="M66">
        <v>0.1047681026</v>
      </c>
      <c r="N66">
        <v>0.10548629869999999</v>
      </c>
      <c r="O66">
        <v>0.1062174889</v>
      </c>
      <c r="P66">
        <v>0.1069612065</v>
      </c>
      <c r="Q66">
        <v>0.1077171933</v>
      </c>
      <c r="R66">
        <v>0.10848533339999999</v>
      </c>
      <c r="S66">
        <v>0.109265531</v>
      </c>
      <c r="T66">
        <v>0.11005776239999999</v>
      </c>
      <c r="U66">
        <v>0.1108620916</v>
      </c>
      <c r="V66">
        <v>0.1116786287</v>
      </c>
      <c r="W66">
        <v>0.1125075056</v>
      </c>
      <c r="X66">
        <v>0.1133488649</v>
      </c>
      <c r="Y66">
        <v>0.11420285350000001</v>
      </c>
      <c r="Z66">
        <v>0.11506962060000001</v>
      </c>
      <c r="AA66">
        <v>0.1159493175</v>
      </c>
      <c r="AB66">
        <v>0.1168420984</v>
      </c>
      <c r="AC66">
        <v>0.11774812079999999</v>
      </c>
      <c r="AD66">
        <v>0.1186675473</v>
      </c>
      <c r="AE66">
        <v>0.1196005451</v>
      </c>
      <c r="AF66">
        <v>0.1205472875</v>
      </c>
      <c r="AG66">
        <v>0.1215079531</v>
      </c>
      <c r="AH66">
        <v>0.12248272640000001</v>
      </c>
      <c r="AI66">
        <v>0.1234717969</v>
      </c>
      <c r="AJ66">
        <v>0.1244753584</v>
      </c>
      <c r="AK66">
        <v>0.1254936093</v>
      </c>
    </row>
    <row r="67" spans="1:37" x14ac:dyDescent="0.25">
      <c r="A67" t="s">
        <v>1985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5.9608288600000003</v>
      </c>
      <c r="G67">
        <v>6.0240115479999998</v>
      </c>
      <c r="H67">
        <v>6.0875169600000003</v>
      </c>
      <c r="I67">
        <v>6.1513029440000002</v>
      </c>
      <c r="J67">
        <v>6.215320803</v>
      </c>
      <c r="K67">
        <v>6.2795289030000001</v>
      </c>
      <c r="L67">
        <v>6.3438975549999999</v>
      </c>
      <c r="M67">
        <v>6.4084091670000003</v>
      </c>
      <c r="N67">
        <v>6.4730562049999998</v>
      </c>
      <c r="O67">
        <v>6.5378385339999996</v>
      </c>
      <c r="P67">
        <v>6.6027609050000002</v>
      </c>
      <c r="Q67">
        <v>6.6678308990000001</v>
      </c>
      <c r="R67">
        <v>6.7330574439999999</v>
      </c>
      <c r="S67">
        <v>6.7984498530000002</v>
      </c>
      <c r="T67">
        <v>6.8640171890000001</v>
      </c>
      <c r="U67">
        <v>6.9297679099999998</v>
      </c>
      <c r="V67">
        <v>6.9957097680000002</v>
      </c>
      <c r="W67">
        <v>7.0618498519999999</v>
      </c>
      <c r="X67">
        <v>7.1281946869999997</v>
      </c>
      <c r="Y67">
        <v>7.1947503709999996</v>
      </c>
      <c r="Z67">
        <v>7.2615227180000002</v>
      </c>
      <c r="AA67">
        <v>7.328517401</v>
      </c>
      <c r="AB67">
        <v>7.3957400780000002</v>
      </c>
      <c r="AC67">
        <v>7.4631965019999997</v>
      </c>
      <c r="AD67">
        <v>7.530892605</v>
      </c>
      <c r="AE67">
        <v>7.5988345590000002</v>
      </c>
      <c r="AF67">
        <v>7.6670259380000001</v>
      </c>
      <c r="AG67">
        <v>7.7354723249999999</v>
      </c>
      <c r="AH67">
        <v>7.8041804939999997</v>
      </c>
      <c r="AI67">
        <v>7.8731578860000004</v>
      </c>
      <c r="AJ67">
        <v>7.9424123690000004</v>
      </c>
      <c r="AK67">
        <v>8.0119521200000001</v>
      </c>
    </row>
    <row r="68" spans="1:37" x14ac:dyDescent="0.25">
      <c r="A68" t="s">
        <v>1986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10.030855409999999</v>
      </c>
      <c r="J68">
        <v>10.042987220000001</v>
      </c>
      <c r="K68">
        <v>10.056979760000001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10.312167499999999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10.62003996</v>
      </c>
      <c r="AH68">
        <v>10.65554566</v>
      </c>
      <c r="AI68">
        <v>10.691930709999999</v>
      </c>
      <c r="AJ68">
        <v>10.729201189999999</v>
      </c>
      <c r="AK68">
        <v>10.76736335</v>
      </c>
    </row>
    <row r="69" spans="1:37" x14ac:dyDescent="0.25">
      <c r="A69" t="s">
        <v>1987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1.241825358</v>
      </c>
      <c r="L69">
        <v>1.24374523</v>
      </c>
      <c r="M69">
        <v>1.245829394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1.258205901</v>
      </c>
      <c r="S69">
        <v>1.2610231329999999</v>
      </c>
      <c r="T69">
        <v>1.263946808</v>
      </c>
      <c r="U69">
        <v>1.2669741329999999</v>
      </c>
      <c r="V69">
        <v>1.27010388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</v>
      </c>
      <c r="AC69">
        <v>1.294886427</v>
      </c>
      <c r="AD69">
        <v>1.298843194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1.3295427820000001</v>
      </c>
    </row>
    <row r="70" spans="1:37" x14ac:dyDescent="0.25">
      <c r="A70" t="s">
        <v>1988</v>
      </c>
      <c r="B70">
        <v>12.624928000000001</v>
      </c>
      <c r="C70">
        <v>12.753912120000001</v>
      </c>
      <c r="D70">
        <v>12.8785027</v>
      </c>
      <c r="E70">
        <v>13.00495626</v>
      </c>
      <c r="F70">
        <v>13.13540004</v>
      </c>
      <c r="G70">
        <v>13.27005628</v>
      </c>
      <c r="H70">
        <v>13.40850178</v>
      </c>
      <c r="I70">
        <v>13.55020071</v>
      </c>
      <c r="J70">
        <v>13.694687699999999</v>
      </c>
      <c r="K70">
        <v>13.841608040000001</v>
      </c>
      <c r="L70">
        <v>13.990708209999999</v>
      </c>
      <c r="M70">
        <v>14.141814330000001</v>
      </c>
      <c r="N70">
        <v>14.2948117</v>
      </c>
      <c r="O70">
        <v>14.449628540000001</v>
      </c>
      <c r="P70">
        <v>14.606223610000001</v>
      </c>
      <c r="Q70">
        <v>14.764578350000001</v>
      </c>
      <c r="R70">
        <v>14.92469019</v>
      </c>
      <c r="S70">
        <v>15.086566940000001</v>
      </c>
      <c r="T70">
        <v>15.250223780000001</v>
      </c>
      <c r="U70">
        <v>15.41568097</v>
      </c>
      <c r="V70">
        <v>15.582961689999999</v>
      </c>
      <c r="W70">
        <v>15.752090669999999</v>
      </c>
      <c r="X70">
        <v>15.923093229999999</v>
      </c>
      <c r="Y70">
        <v>16.095994869999998</v>
      </c>
      <c r="Z70">
        <v>16.27082102</v>
      </c>
      <c r="AA70">
        <v>16.447596999999998</v>
      </c>
      <c r="AB70">
        <v>16.62634817</v>
      </c>
      <c r="AC70">
        <v>16.807099919999999</v>
      </c>
      <c r="AD70">
        <v>16.9898779</v>
      </c>
      <c r="AE70">
        <v>17.174708020000001</v>
      </c>
      <c r="AF70">
        <v>17.361616399999999</v>
      </c>
      <c r="AG70">
        <v>17.55062964</v>
      </c>
      <c r="AH70">
        <v>17.74177482</v>
      </c>
      <c r="AI70">
        <v>17.935079399999999</v>
      </c>
      <c r="AJ70">
        <v>18.130571230000001</v>
      </c>
      <c r="AK70">
        <v>18.328278439999998</v>
      </c>
    </row>
    <row r="71" spans="1:37" x14ac:dyDescent="0.25">
      <c r="A71" t="s">
        <v>1989</v>
      </c>
      <c r="B71">
        <v>1.228594</v>
      </c>
      <c r="C71">
        <v>1.2411460809999999</v>
      </c>
      <c r="D71">
        <v>1.253270605</v>
      </c>
      <c r="E71">
        <v>1.265576424</v>
      </c>
      <c r="F71">
        <v>1.2782705519999999</v>
      </c>
      <c r="G71">
        <v>1.2913746150000001</v>
      </c>
      <c r="H71">
        <v>1.3048474290000001</v>
      </c>
      <c r="I71">
        <v>1.3186368500000001</v>
      </c>
      <c r="J71">
        <v>1.3326975919999999</v>
      </c>
      <c r="K71">
        <v>1.346995135</v>
      </c>
      <c r="L71">
        <v>1.361504807</v>
      </c>
      <c r="M71">
        <v>1.376209689</v>
      </c>
      <c r="N71">
        <v>1.391098618</v>
      </c>
      <c r="O71">
        <v>1.406164607</v>
      </c>
      <c r="P71">
        <v>1.4214036459999999</v>
      </c>
      <c r="Q71">
        <v>1.436813927</v>
      </c>
      <c r="R71">
        <v>1.4523951989999999</v>
      </c>
      <c r="S71">
        <v>1.4681482239999999</v>
      </c>
      <c r="T71">
        <v>1.484074479</v>
      </c>
      <c r="U71">
        <v>1.500175933</v>
      </c>
      <c r="V71">
        <v>1.5164548449999999</v>
      </c>
      <c r="W71">
        <v>1.53291362</v>
      </c>
      <c r="X71">
        <v>1.549554723</v>
      </c>
      <c r="Y71">
        <v>1.5663806339999999</v>
      </c>
      <c r="Z71">
        <v>1.5833938279999999</v>
      </c>
      <c r="AA71">
        <v>1.600596771</v>
      </c>
      <c r="AB71">
        <v>1.6179919279999999</v>
      </c>
      <c r="AC71">
        <v>1.635581773</v>
      </c>
      <c r="AD71">
        <v>1.6533687989999999</v>
      </c>
      <c r="AE71">
        <v>1.671355529</v>
      </c>
      <c r="AF71">
        <v>1.6895445060000001</v>
      </c>
      <c r="AG71">
        <v>1.707938317</v>
      </c>
      <c r="AH71">
        <v>1.7265395960000001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1924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1925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1926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1927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1829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1830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1928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1929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1930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1831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1832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1833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1834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1835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1836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1837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1838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1839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1840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1841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1931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1932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1933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1934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1935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1936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1937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1938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1939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1842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1843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1940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1941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1942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1844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1845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1846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1847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1848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1849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1850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1851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1852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1853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1854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1943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1944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1945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1946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1947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448</v>
      </c>
      <c r="B2">
        <v>291099.78360000002</v>
      </c>
      <c r="C2">
        <v>295820.9878</v>
      </c>
      <c r="D2">
        <v>300398.3077</v>
      </c>
      <c r="E2">
        <v>304939.29479999997</v>
      </c>
      <c r="F2">
        <v>309486.94099999999</v>
      </c>
      <c r="G2">
        <v>314040.24489999999</v>
      </c>
      <c r="H2">
        <v>318658.45140000002</v>
      </c>
      <c r="I2">
        <v>323442.26579999999</v>
      </c>
      <c r="J2">
        <v>328421.13270000002</v>
      </c>
      <c r="K2">
        <v>333574.54950000002</v>
      </c>
      <c r="L2">
        <v>338859.978</v>
      </c>
      <c r="M2">
        <v>344226.6899</v>
      </c>
      <c r="N2">
        <v>349622.81410000002</v>
      </c>
      <c r="O2">
        <v>354999.01899999997</v>
      </c>
      <c r="P2">
        <v>360310.57549999998</v>
      </c>
      <c r="Q2">
        <v>365518.71629999997</v>
      </c>
      <c r="R2">
        <v>370661.37839999999</v>
      </c>
      <c r="S2">
        <v>375836.59259999997</v>
      </c>
      <c r="T2">
        <v>381104.41200000001</v>
      </c>
      <c r="U2">
        <v>386493.00099999999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415466.73379999999</v>
      </c>
      <c r="AA2">
        <v>421661.63250000001</v>
      </c>
      <c r="AB2">
        <v>427982.61619999999</v>
      </c>
      <c r="AC2">
        <v>434425.6116</v>
      </c>
      <c r="AD2">
        <v>440986.2562</v>
      </c>
      <c r="AE2">
        <v>447659.98239999998</v>
      </c>
      <c r="AF2">
        <v>454442.11249999999</v>
      </c>
      <c r="AG2">
        <v>461327.96309999999</v>
      </c>
      <c r="AH2">
        <v>468312.94559999998</v>
      </c>
      <c r="AI2">
        <v>475392.6568</v>
      </c>
      <c r="AJ2">
        <v>482562.95480000001</v>
      </c>
      <c r="AK2">
        <v>489820.02059999999</v>
      </c>
    </row>
    <row r="3" spans="1:37" x14ac:dyDescent="0.25">
      <c r="A3" t="s">
        <v>1819</v>
      </c>
      <c r="B3">
        <v>724102.94209999999</v>
      </c>
      <c r="C3">
        <v>715355.48509999993</v>
      </c>
      <c r="D3">
        <v>710971.41559999995</v>
      </c>
      <c r="E3">
        <v>709498.47699999996</v>
      </c>
      <c r="F3">
        <v>709947.49209999992</v>
      </c>
      <c r="G3">
        <v>711651.17420000001</v>
      </c>
      <c r="H3">
        <v>714212.50600000005</v>
      </c>
      <c r="I3">
        <v>717410.59720000008</v>
      </c>
      <c r="J3">
        <v>721079.02309999999</v>
      </c>
      <c r="K3">
        <v>725085.74430000002</v>
      </c>
      <c r="L3">
        <v>729322.26419999998</v>
      </c>
      <c r="M3">
        <v>733696.15500000003</v>
      </c>
      <c r="N3">
        <v>738125.90430000005</v>
      </c>
      <c r="O3">
        <v>742537.43129999994</v>
      </c>
      <c r="P3">
        <v>746861.77770000009</v>
      </c>
      <c r="Q3">
        <v>751033.62899999996</v>
      </c>
      <c r="R3">
        <v>755045.86499999999</v>
      </c>
      <c r="S3">
        <v>758941.1361</v>
      </c>
      <c r="T3">
        <v>762741.97089999996</v>
      </c>
      <c r="U3">
        <v>766458.72139999992</v>
      </c>
      <c r="V3">
        <v>770096.054</v>
      </c>
      <c r="W3">
        <v>773656.44149999996</v>
      </c>
      <c r="X3">
        <v>777141.92430000007</v>
      </c>
      <c r="Y3">
        <v>780554.97270000004</v>
      </c>
      <c r="Z3">
        <v>783898.90880000009</v>
      </c>
      <c r="AA3">
        <v>787178.12680000009</v>
      </c>
      <c r="AB3">
        <v>790398.22849999997</v>
      </c>
      <c r="AC3">
        <v>793566.12740000011</v>
      </c>
      <c r="AD3">
        <v>796690.14370000002</v>
      </c>
      <c r="AE3">
        <v>799780.09400000004</v>
      </c>
      <c r="AF3">
        <v>802847.36979999999</v>
      </c>
      <c r="AG3">
        <v>805904.995</v>
      </c>
      <c r="AH3">
        <v>808967.65130000003</v>
      </c>
      <c r="AI3">
        <v>812051.65810000012</v>
      </c>
      <c r="AJ3">
        <v>815174.89819999994</v>
      </c>
      <c r="AK3">
        <v>818356.68</v>
      </c>
    </row>
    <row r="4" spans="1:37" x14ac:dyDescent="0.25">
      <c r="A4" t="s">
        <v>1820</v>
      </c>
      <c r="B4">
        <v>624600.3419</v>
      </c>
      <c r="C4">
        <v>618861.96189999999</v>
      </c>
      <c r="D4">
        <v>616086.93689999997</v>
      </c>
      <c r="E4">
        <v>615320.54669999995</v>
      </c>
      <c r="F4">
        <v>615893.36690000002</v>
      </c>
      <c r="G4">
        <v>617345.72360000003</v>
      </c>
      <c r="H4">
        <v>619400.72259999998</v>
      </c>
      <c r="I4">
        <v>621904.13670000003</v>
      </c>
      <c r="J4">
        <v>624740.22400000005</v>
      </c>
      <c r="K4">
        <v>627815.98160000006</v>
      </c>
      <c r="L4">
        <v>631054.33169999998</v>
      </c>
      <c r="M4">
        <v>634389.26899999997</v>
      </c>
      <c r="N4">
        <v>637762.4621</v>
      </c>
      <c r="O4">
        <v>641120.92130000005</v>
      </c>
      <c r="P4">
        <v>644415.42070000002</v>
      </c>
      <c r="Q4">
        <v>647599.45519999997</v>
      </c>
      <c r="R4">
        <v>650667.15260000003</v>
      </c>
      <c r="S4">
        <v>653648.66249999998</v>
      </c>
      <c r="T4">
        <v>656561.12890000001</v>
      </c>
      <c r="U4">
        <v>659412.598</v>
      </c>
      <c r="V4">
        <v>662206.8088</v>
      </c>
      <c r="W4">
        <v>664945.7463</v>
      </c>
      <c r="X4">
        <v>667630.94429999997</v>
      </c>
      <c r="Y4">
        <v>670264.13899999997</v>
      </c>
      <c r="Z4">
        <v>672847.59730000002</v>
      </c>
      <c r="AA4">
        <v>675384.29240000003</v>
      </c>
      <c r="AB4">
        <v>677878.0111</v>
      </c>
      <c r="AC4">
        <v>680333.43480000005</v>
      </c>
      <c r="AD4">
        <v>682756.21230000001</v>
      </c>
      <c r="AE4">
        <v>685153.02679999999</v>
      </c>
      <c r="AF4">
        <v>687531.65610000002</v>
      </c>
      <c r="AG4">
        <v>689901.01630000002</v>
      </c>
      <c r="AH4">
        <v>692271.18229999999</v>
      </c>
      <c r="AI4">
        <v>694653.37569999998</v>
      </c>
      <c r="AJ4">
        <v>697059.91249999998</v>
      </c>
      <c r="AK4">
        <v>699504.10530000005</v>
      </c>
    </row>
    <row r="5" spans="1:37" x14ac:dyDescent="0.25">
      <c r="A5" t="s">
        <v>1821</v>
      </c>
      <c r="B5">
        <v>554271.6422</v>
      </c>
      <c r="C5">
        <v>547921.7966</v>
      </c>
      <c r="D5">
        <v>544690.45169999998</v>
      </c>
      <c r="E5">
        <v>543539.71470000001</v>
      </c>
      <c r="F5">
        <v>543761.34439999994</v>
      </c>
      <c r="G5">
        <v>544877.08310000005</v>
      </c>
      <c r="H5">
        <v>546602.28870000003</v>
      </c>
      <c r="I5">
        <v>548778.59900000005</v>
      </c>
      <c r="J5">
        <v>551286.77989999996</v>
      </c>
      <c r="K5">
        <v>554032.30870000005</v>
      </c>
      <c r="L5">
        <v>556937.57389999996</v>
      </c>
      <c r="M5">
        <v>559936.54229999997</v>
      </c>
      <c r="N5">
        <v>562971.08909999998</v>
      </c>
      <c r="O5">
        <v>565988.51489999995</v>
      </c>
      <c r="P5">
        <v>568939.89820000005</v>
      </c>
      <c r="Q5">
        <v>571779.03599999996</v>
      </c>
      <c r="R5">
        <v>574501.20299999998</v>
      </c>
      <c r="S5">
        <v>577137.04790000001</v>
      </c>
      <c r="T5">
        <v>579702.89159999997</v>
      </c>
      <c r="U5">
        <v>582206.35889999999</v>
      </c>
      <c r="V5">
        <v>584650.97450000001</v>
      </c>
      <c r="W5">
        <v>587038.66399999999</v>
      </c>
      <c r="X5">
        <v>589371.02410000004</v>
      </c>
      <c r="Y5">
        <v>591649.946</v>
      </c>
      <c r="Z5">
        <v>593877.92000000004</v>
      </c>
      <c r="AA5">
        <v>596058.19220000005</v>
      </c>
      <c r="AB5">
        <v>598194.85829999996</v>
      </c>
      <c r="AC5">
        <v>600292.93370000005</v>
      </c>
      <c r="AD5">
        <v>602358.41509999998</v>
      </c>
      <c r="AE5">
        <v>604398.3382</v>
      </c>
      <c r="AF5">
        <v>606420.8273</v>
      </c>
      <c r="AG5">
        <v>608435.13029999996</v>
      </c>
      <c r="AH5">
        <v>610451.63080000004</v>
      </c>
      <c r="AI5">
        <v>612481.82940000005</v>
      </c>
      <c r="AJ5">
        <v>614538.28729999997</v>
      </c>
      <c r="AK5">
        <v>616634.52540000004</v>
      </c>
    </row>
    <row r="6" spans="1:37" x14ac:dyDescent="0.25">
      <c r="A6" t="s">
        <v>452</v>
      </c>
      <c r="B6">
        <v>70328.699649999995</v>
      </c>
      <c r="C6">
        <v>70321.713780000005</v>
      </c>
      <c r="D6">
        <v>70422.251279999997</v>
      </c>
      <c r="E6">
        <v>70597.879260000002</v>
      </c>
      <c r="F6">
        <v>70825.341199999995</v>
      </c>
      <c r="G6">
        <v>71088.353579999995</v>
      </c>
      <c r="H6">
        <v>71376.449590000004</v>
      </c>
      <c r="I6">
        <v>71684.112040000007</v>
      </c>
      <c r="J6">
        <v>72007.760439999998</v>
      </c>
      <c r="K6">
        <v>72343.932499999995</v>
      </c>
      <c r="L6">
        <v>72689.392810000005</v>
      </c>
      <c r="M6">
        <v>73041.122340000002</v>
      </c>
      <c r="N6">
        <v>73396.292589999997</v>
      </c>
      <c r="O6">
        <v>73752.238639999996</v>
      </c>
      <c r="P6">
        <v>74106.43045</v>
      </c>
      <c r="Q6">
        <v>74456.445430000007</v>
      </c>
      <c r="R6">
        <v>74801.305129999993</v>
      </c>
      <c r="S6">
        <v>75142.139009999999</v>
      </c>
      <c r="T6">
        <v>75480.232430000004</v>
      </c>
      <c r="U6">
        <v>75816.213440000007</v>
      </c>
      <c r="V6">
        <v>76150.391459999999</v>
      </c>
      <c r="W6">
        <v>76482.908320000002</v>
      </c>
      <c r="X6">
        <v>76813.818719999996</v>
      </c>
      <c r="Y6">
        <v>77143.137499999997</v>
      </c>
      <c r="Z6">
        <v>77470.867970000007</v>
      </c>
      <c r="AA6">
        <v>77797.01917</v>
      </c>
      <c r="AB6">
        <v>78121.616959999999</v>
      </c>
      <c r="AC6">
        <v>78444.71226</v>
      </c>
      <c r="AD6">
        <v>78766.388210000005</v>
      </c>
      <c r="AE6">
        <v>79086.767009999996</v>
      </c>
      <c r="AF6">
        <v>79406.016260000004</v>
      </c>
      <c r="AG6">
        <v>79724.35454</v>
      </c>
      <c r="AH6">
        <v>80042.055619999999</v>
      </c>
      <c r="AI6">
        <v>80359.450830000002</v>
      </c>
      <c r="AJ6">
        <v>80676.929210000002</v>
      </c>
      <c r="AK6">
        <v>80994.935169999997</v>
      </c>
    </row>
    <row r="7" spans="1:37" x14ac:dyDescent="0.25">
      <c r="A7" t="s">
        <v>1822</v>
      </c>
      <c r="B7">
        <v>275159.80609999999</v>
      </c>
      <c r="C7">
        <v>270792.35190000001</v>
      </c>
      <c r="D7">
        <v>268629.34490000003</v>
      </c>
      <c r="E7">
        <v>267925.60129999998</v>
      </c>
      <c r="F7">
        <v>268182.20030000003</v>
      </c>
      <c r="G7">
        <v>269066.09120000002</v>
      </c>
      <c r="H7">
        <v>270380.44839999999</v>
      </c>
      <c r="I7">
        <v>272015.85159999999</v>
      </c>
      <c r="J7">
        <v>273889.6005</v>
      </c>
      <c r="K7">
        <v>275936.37920000002</v>
      </c>
      <c r="L7">
        <v>278102.65539999999</v>
      </c>
      <c r="M7">
        <v>280342.81929999997</v>
      </c>
      <c r="N7">
        <v>282616.53149999998</v>
      </c>
      <c r="O7">
        <v>284886.9436</v>
      </c>
      <c r="P7">
        <v>287119.53370000003</v>
      </c>
      <c r="Q7">
        <v>289281.37699999998</v>
      </c>
      <c r="R7">
        <v>291368.74900000001</v>
      </c>
      <c r="S7">
        <v>293402.5932</v>
      </c>
      <c r="T7">
        <v>295393.37459999998</v>
      </c>
      <c r="U7">
        <v>297345.67910000001</v>
      </c>
      <c r="V7">
        <v>299261.41629999998</v>
      </c>
      <c r="W7">
        <v>301141.51659999997</v>
      </c>
      <c r="X7">
        <v>302986.77299999999</v>
      </c>
      <c r="Y7">
        <v>304798.2451</v>
      </c>
      <c r="Z7">
        <v>306577.45500000002</v>
      </c>
      <c r="AA7">
        <v>308326.4915</v>
      </c>
      <c r="AB7">
        <v>310048.07659999997</v>
      </c>
      <c r="AC7">
        <v>311745.6214</v>
      </c>
      <c r="AD7">
        <v>313423.27899999998</v>
      </c>
      <c r="AE7">
        <v>315085.9952</v>
      </c>
      <c r="AF7">
        <v>316739.5551</v>
      </c>
      <c r="AG7">
        <v>318390.61820000003</v>
      </c>
      <c r="AH7">
        <v>320046.73719999997</v>
      </c>
      <c r="AI7">
        <v>321716.35340000002</v>
      </c>
      <c r="AJ7">
        <v>323408.76360000001</v>
      </c>
      <c r="AK7">
        <v>325134.0552</v>
      </c>
    </row>
    <row r="8" spans="1:37" x14ac:dyDescent="0.25">
      <c r="A8" t="s">
        <v>1823</v>
      </c>
      <c r="B8">
        <v>169831.29990000001</v>
      </c>
      <c r="C8">
        <v>167433.68849999999</v>
      </c>
      <c r="D8">
        <v>166280.9639</v>
      </c>
      <c r="E8">
        <v>165958.7623</v>
      </c>
      <c r="F8">
        <v>166186.1477</v>
      </c>
      <c r="G8">
        <v>166774.09109999999</v>
      </c>
      <c r="H8">
        <v>167610.21729999999</v>
      </c>
      <c r="I8">
        <v>168631.9982</v>
      </c>
      <c r="J8">
        <v>169792.2432</v>
      </c>
      <c r="K8">
        <v>171053.4356</v>
      </c>
      <c r="L8">
        <v>172384.69029999999</v>
      </c>
      <c r="M8">
        <v>173759.6127</v>
      </c>
      <c r="N8">
        <v>175154.81520000001</v>
      </c>
      <c r="O8">
        <v>176548.91639999999</v>
      </c>
      <c r="P8">
        <v>177921.87950000001</v>
      </c>
      <c r="Q8">
        <v>179254.59299999999</v>
      </c>
      <c r="R8">
        <v>180544.66200000001</v>
      </c>
      <c r="S8">
        <v>181804.0882</v>
      </c>
      <c r="T8">
        <v>183039.07930000001</v>
      </c>
      <c r="U8">
        <v>184252.36249999999</v>
      </c>
      <c r="V8">
        <v>185445.07949999999</v>
      </c>
      <c r="W8">
        <v>186617.7775</v>
      </c>
      <c r="X8">
        <v>187770.9002</v>
      </c>
      <c r="Y8">
        <v>188905.02669999999</v>
      </c>
      <c r="Z8">
        <v>190020.98879999999</v>
      </c>
      <c r="AA8">
        <v>191119.93460000001</v>
      </c>
      <c r="AB8">
        <v>192203.3702</v>
      </c>
      <c r="AC8">
        <v>193273.1937</v>
      </c>
      <c r="AD8">
        <v>194331.7286</v>
      </c>
      <c r="AE8">
        <v>195381.75580000001</v>
      </c>
      <c r="AF8">
        <v>196426.54250000001</v>
      </c>
      <c r="AG8">
        <v>197469.86470000001</v>
      </c>
      <c r="AH8">
        <v>198516.02050000001</v>
      </c>
      <c r="AI8">
        <v>199569.82870000001</v>
      </c>
      <c r="AJ8">
        <v>200636.6109</v>
      </c>
      <c r="AK8">
        <v>201722.15460000001</v>
      </c>
    </row>
    <row r="9" spans="1:37" x14ac:dyDescent="0.25">
      <c r="A9" t="s">
        <v>455</v>
      </c>
      <c r="B9">
        <v>105328.5062</v>
      </c>
      <c r="C9">
        <v>106469.6841</v>
      </c>
      <c r="D9">
        <v>107456.71950000001</v>
      </c>
      <c r="E9">
        <v>108342.2931</v>
      </c>
      <c r="F9">
        <v>109165.3447</v>
      </c>
      <c r="G9">
        <v>109953.23</v>
      </c>
      <c r="H9">
        <v>110720.406</v>
      </c>
      <c r="I9">
        <v>111476.07030000001</v>
      </c>
      <c r="J9">
        <v>112229.3395</v>
      </c>
      <c r="K9">
        <v>112985.4523</v>
      </c>
      <c r="L9">
        <v>113747.46859999999</v>
      </c>
      <c r="M9">
        <v>114517.1305</v>
      </c>
      <c r="N9">
        <v>115295.3995</v>
      </c>
      <c r="O9">
        <v>116082.798</v>
      </c>
      <c r="P9">
        <v>116879.60769999999</v>
      </c>
      <c r="Q9">
        <v>117685.973</v>
      </c>
      <c r="R9">
        <v>118499.287</v>
      </c>
      <c r="S9">
        <v>119317.6311</v>
      </c>
      <c r="T9">
        <v>120142.30469999999</v>
      </c>
      <c r="U9">
        <v>120973.9725</v>
      </c>
      <c r="V9">
        <v>121813.011</v>
      </c>
      <c r="W9">
        <v>122659.5482</v>
      </c>
      <c r="X9">
        <v>123513.4868</v>
      </c>
      <c r="Y9">
        <v>124374.5373</v>
      </c>
      <c r="Z9">
        <v>125242.2507</v>
      </c>
      <c r="AA9">
        <v>126116.0436</v>
      </c>
      <c r="AB9">
        <v>126995.2167</v>
      </c>
      <c r="AC9">
        <v>127878.9681</v>
      </c>
      <c r="AD9">
        <v>128766.4071</v>
      </c>
      <c r="AE9">
        <v>129656.56660000001</v>
      </c>
      <c r="AF9">
        <v>130548.4167</v>
      </c>
      <c r="AG9">
        <v>131440.87839999999</v>
      </c>
      <c r="AH9">
        <v>132332.83660000001</v>
      </c>
      <c r="AI9">
        <v>133223.1532</v>
      </c>
      <c r="AJ9">
        <v>134110.67970000001</v>
      </c>
      <c r="AK9">
        <v>134994.26980000001</v>
      </c>
    </row>
    <row r="10" spans="1:37" x14ac:dyDescent="0.25">
      <c r="A10" t="s">
        <v>457</v>
      </c>
      <c r="B10">
        <v>291099.78360000002</v>
      </c>
      <c r="C10">
        <v>295997.44150000002</v>
      </c>
      <c r="D10">
        <v>300860.60800000001</v>
      </c>
      <c r="E10">
        <v>305754.87800000003</v>
      </c>
      <c r="F10">
        <v>310735.6605</v>
      </c>
      <c r="G10">
        <v>315838.9644</v>
      </c>
      <c r="H10">
        <v>321084.30790000001</v>
      </c>
      <c r="I10">
        <v>326479.86459999997</v>
      </c>
      <c r="J10">
        <v>332026.96090000001</v>
      </c>
      <c r="K10">
        <v>337723.35519999999</v>
      </c>
      <c r="L10">
        <v>343565.3982</v>
      </c>
      <c r="M10">
        <v>349549.32539999997</v>
      </c>
      <c r="N10">
        <v>355671.92719999998</v>
      </c>
      <c r="O10">
        <v>361930.81599999999</v>
      </c>
      <c r="P10">
        <v>368324.43609999999</v>
      </c>
      <c r="Q10">
        <v>374851.94339999999</v>
      </c>
      <c r="R10">
        <v>381513.0306</v>
      </c>
      <c r="S10">
        <v>388307.75079999998</v>
      </c>
      <c r="T10">
        <v>395236.36489999999</v>
      </c>
      <c r="U10">
        <v>402299.2279</v>
      </c>
      <c r="V10">
        <v>409496.71620000002</v>
      </c>
      <c r="W10">
        <v>416829.1923</v>
      </c>
      <c r="X10">
        <v>424297.00069999998</v>
      </c>
      <c r="Y10">
        <v>431900.48469999997</v>
      </c>
      <c r="Z10">
        <v>439640.01760000002</v>
      </c>
      <c r="AA10">
        <v>447516.04100000003</v>
      </c>
      <c r="AB10">
        <v>455529.103</v>
      </c>
      <c r="AC10">
        <v>463679.89429999999</v>
      </c>
      <c r="AD10">
        <v>471969.27830000001</v>
      </c>
      <c r="AE10">
        <v>480398.31359999999</v>
      </c>
      <c r="AF10">
        <v>488968.27010000002</v>
      </c>
      <c r="AG10">
        <v>497680.63689999998</v>
      </c>
      <c r="AH10">
        <v>506537.12449999998</v>
      </c>
      <c r="AI10">
        <v>515539.66230000003</v>
      </c>
      <c r="AJ10">
        <v>524690.39119999995</v>
      </c>
      <c r="AK10">
        <v>533991.65390000003</v>
      </c>
    </row>
    <row r="11" spans="1:37" x14ac:dyDescent="0.25">
      <c r="A11" t="s">
        <v>1824</v>
      </c>
      <c r="B11">
        <v>724102.94209999999</v>
      </c>
      <c r="C11">
        <v>715470.96420000005</v>
      </c>
      <c r="D11">
        <v>711264.17420000001</v>
      </c>
      <c r="E11">
        <v>710013.51729999995</v>
      </c>
      <c r="F11">
        <v>710740.20549999992</v>
      </c>
      <c r="G11">
        <v>712802.83059999999</v>
      </c>
      <c r="H11">
        <v>715783.55300000007</v>
      </c>
      <c r="I11">
        <v>719409.00319999992</v>
      </c>
      <c r="J11">
        <v>723497.84840000002</v>
      </c>
      <c r="K11">
        <v>727927.14669999992</v>
      </c>
      <c r="L11">
        <v>732611.2169</v>
      </c>
      <c r="M11">
        <v>737488.53029999998</v>
      </c>
      <c r="N11">
        <v>742513.60239999997</v>
      </c>
      <c r="O11">
        <v>747651.94299999997</v>
      </c>
      <c r="P11">
        <v>752876.85309999995</v>
      </c>
      <c r="Q11">
        <v>758167.33740000008</v>
      </c>
      <c r="R11">
        <v>763506.69459999993</v>
      </c>
      <c r="S11">
        <v>768881.53280000004</v>
      </c>
      <c r="T11">
        <v>774281.05739999993</v>
      </c>
      <c r="U11">
        <v>779696.54409999994</v>
      </c>
      <c r="V11">
        <v>785120.94160000002</v>
      </c>
      <c r="W11">
        <v>790548.56869999995</v>
      </c>
      <c r="X11">
        <v>795974.88120000006</v>
      </c>
      <c r="Y11">
        <v>801396.29200000002</v>
      </c>
      <c r="Z11">
        <v>806810.02989999996</v>
      </c>
      <c r="AA11">
        <v>812214.02650000004</v>
      </c>
      <c r="AB11">
        <v>817606.82510000002</v>
      </c>
      <c r="AC11">
        <v>822987.50319999992</v>
      </c>
      <c r="AD11">
        <v>828355.60679999995</v>
      </c>
      <c r="AE11">
        <v>833711.09100000001</v>
      </c>
      <c r="AF11">
        <v>839054.26630000002</v>
      </c>
      <c r="AG11">
        <v>844385.74970000004</v>
      </c>
      <c r="AH11">
        <v>849706.41840000008</v>
      </c>
      <c r="AI11">
        <v>855017.3674000001</v>
      </c>
      <c r="AJ11">
        <v>860319.86919999996</v>
      </c>
      <c r="AK11">
        <v>865615.33759999997</v>
      </c>
    </row>
    <row r="12" spans="1:37" x14ac:dyDescent="0.25">
      <c r="A12" t="s">
        <v>1825</v>
      </c>
      <c r="B12">
        <v>624600.3419</v>
      </c>
      <c r="C12">
        <v>618939.61120000004</v>
      </c>
      <c r="D12">
        <v>616289.43500000006</v>
      </c>
      <c r="E12">
        <v>615681.22320000001</v>
      </c>
      <c r="F12">
        <v>616451.95389999996</v>
      </c>
      <c r="G12">
        <v>618159.90930000006</v>
      </c>
      <c r="H12">
        <v>620514.29520000005</v>
      </c>
      <c r="I12">
        <v>623323.46100000001</v>
      </c>
      <c r="J12">
        <v>626459.5368</v>
      </c>
      <c r="K12">
        <v>629835.38020000001</v>
      </c>
      <c r="L12">
        <v>633389.97979999997</v>
      </c>
      <c r="M12">
        <v>637079.35979999998</v>
      </c>
      <c r="N12">
        <v>640870.9351</v>
      </c>
      <c r="O12">
        <v>644739.98120000004</v>
      </c>
      <c r="P12">
        <v>648667.38100000005</v>
      </c>
      <c r="Q12">
        <v>652638.14320000005</v>
      </c>
      <c r="R12">
        <v>656640.39099999995</v>
      </c>
      <c r="S12">
        <v>660664.64899999998</v>
      </c>
      <c r="T12">
        <v>664703.32200000004</v>
      </c>
      <c r="U12">
        <v>668750.30799999996</v>
      </c>
      <c r="V12">
        <v>672800.70490000001</v>
      </c>
      <c r="W12">
        <v>676850.58810000005</v>
      </c>
      <c r="X12">
        <v>680896.83929999999</v>
      </c>
      <c r="Y12">
        <v>684937.01569999999</v>
      </c>
      <c r="Z12">
        <v>688969.24739999999</v>
      </c>
      <c r="AA12">
        <v>692992.15709999995</v>
      </c>
      <c r="AB12">
        <v>697004.7942</v>
      </c>
      <c r="AC12">
        <v>701006.58039999998</v>
      </c>
      <c r="AD12">
        <v>704997.26289999997</v>
      </c>
      <c r="AE12">
        <v>708976.87219999998</v>
      </c>
      <c r="AF12">
        <v>712945.68489999999</v>
      </c>
      <c r="AG12">
        <v>716904.18790000002</v>
      </c>
      <c r="AH12">
        <v>720853.0466</v>
      </c>
      <c r="AI12">
        <v>724793.07429999998</v>
      </c>
      <c r="AJ12">
        <v>728725.20369999995</v>
      </c>
      <c r="AK12">
        <v>732650.46189999999</v>
      </c>
    </row>
    <row r="13" spans="1:37" x14ac:dyDescent="0.25">
      <c r="A13" t="s">
        <v>1826</v>
      </c>
      <c r="B13">
        <v>554271.6422</v>
      </c>
      <c r="C13">
        <v>548004.88430000003</v>
      </c>
      <c r="D13">
        <v>544901.18830000004</v>
      </c>
      <c r="E13">
        <v>543910.57479999994</v>
      </c>
      <c r="F13">
        <v>544332.11219999997</v>
      </c>
      <c r="G13">
        <v>545705.99380000005</v>
      </c>
      <c r="H13">
        <v>547732.54890000005</v>
      </c>
      <c r="I13">
        <v>550215.72129999998</v>
      </c>
      <c r="J13">
        <v>553025.51289999997</v>
      </c>
      <c r="K13">
        <v>556073.84849999996</v>
      </c>
      <c r="L13">
        <v>559299.40390000003</v>
      </c>
      <c r="M13">
        <v>562658.18850000005</v>
      </c>
      <c r="N13">
        <v>566117.71869999997</v>
      </c>
      <c r="O13">
        <v>569653.39020000002</v>
      </c>
      <c r="P13">
        <v>573246.17810000002</v>
      </c>
      <c r="Q13">
        <v>576881.14040000003</v>
      </c>
      <c r="R13">
        <v>580546.40819999995</v>
      </c>
      <c r="S13">
        <v>584232.48140000005</v>
      </c>
      <c r="T13">
        <v>587931.71959999995</v>
      </c>
      <c r="U13">
        <v>591637.96519999998</v>
      </c>
      <c r="V13">
        <v>595346.25890000002</v>
      </c>
      <c r="W13">
        <v>599052.62199999997</v>
      </c>
      <c r="X13">
        <v>602753.88890000002</v>
      </c>
      <c r="Y13">
        <v>606447.57700000005</v>
      </c>
      <c r="Z13">
        <v>610131.78419999999</v>
      </c>
      <c r="AA13">
        <v>613805.10640000005</v>
      </c>
      <c r="AB13">
        <v>617466.57149999996</v>
      </c>
      <c r="AC13">
        <v>621115.58239999996</v>
      </c>
      <c r="AD13">
        <v>624751.86930000002</v>
      </c>
      <c r="AE13">
        <v>628375.44669999997</v>
      </c>
      <c r="AF13">
        <v>631986.57440000004</v>
      </c>
      <c r="AG13">
        <v>635585.72259999998</v>
      </c>
      <c r="AH13">
        <v>639173.53870000003</v>
      </c>
      <c r="AI13">
        <v>642750.81740000006</v>
      </c>
      <c r="AJ13">
        <v>646318.47199999995</v>
      </c>
      <c r="AK13">
        <v>649877.50930000003</v>
      </c>
    </row>
    <row r="14" spans="1:37" x14ac:dyDescent="0.25">
      <c r="A14" t="s">
        <v>461</v>
      </c>
      <c r="B14">
        <v>70328.699649999995</v>
      </c>
      <c r="C14">
        <v>70323.208249999996</v>
      </c>
      <c r="D14">
        <v>70428.442630000005</v>
      </c>
      <c r="E14">
        <v>70610.468630000003</v>
      </c>
      <c r="F14">
        <v>70845.981490000006</v>
      </c>
      <c r="G14">
        <v>71119.360780000003</v>
      </c>
      <c r="H14">
        <v>71420.207190000001</v>
      </c>
      <c r="I14">
        <v>71741.510139999999</v>
      </c>
      <c r="J14">
        <v>72078.410480000006</v>
      </c>
      <c r="K14">
        <v>72427.420570000002</v>
      </c>
      <c r="L14">
        <v>72785.952990000005</v>
      </c>
      <c r="M14">
        <v>73152.039210000003</v>
      </c>
      <c r="N14">
        <v>73524.157879999999</v>
      </c>
      <c r="O14">
        <v>73901.124209999994</v>
      </c>
      <c r="P14">
        <v>74282.012549999999</v>
      </c>
      <c r="Q14">
        <v>74666.098540000006</v>
      </c>
      <c r="R14">
        <v>75052.813810000007</v>
      </c>
      <c r="S14">
        <v>75441.709959999993</v>
      </c>
      <c r="T14">
        <v>75832.430250000005</v>
      </c>
      <c r="U14">
        <v>76224.687680000003</v>
      </c>
      <c r="V14">
        <v>76618.248619999998</v>
      </c>
      <c r="W14">
        <v>77012.920989999999</v>
      </c>
      <c r="X14">
        <v>77408.546000000002</v>
      </c>
      <c r="Y14">
        <v>77804.992589999994</v>
      </c>
      <c r="Z14">
        <v>78202.153720000002</v>
      </c>
      <c r="AA14">
        <v>78599.943920000005</v>
      </c>
      <c r="AB14">
        <v>78998.297560000006</v>
      </c>
      <c r="AC14">
        <v>79397.16747</v>
      </c>
      <c r="AD14">
        <v>79796.523700000005</v>
      </c>
      <c r="AE14">
        <v>80196.352270000003</v>
      </c>
      <c r="AF14">
        <v>80596.653820000007</v>
      </c>
      <c r="AG14">
        <v>80997.442150000003</v>
      </c>
      <c r="AH14">
        <v>81398.742719999995</v>
      </c>
      <c r="AI14">
        <v>81800.591079999998</v>
      </c>
      <c r="AJ14">
        <v>82203.031289999999</v>
      </c>
      <c r="AK14">
        <v>82606.114419999998</v>
      </c>
    </row>
    <row r="15" spans="1:37" x14ac:dyDescent="0.25">
      <c r="A15" t="s">
        <v>1827</v>
      </c>
      <c r="B15">
        <v>275159.80609999999</v>
      </c>
      <c r="C15">
        <v>270850.2463</v>
      </c>
      <c r="D15">
        <v>268774.07169999997</v>
      </c>
      <c r="E15">
        <v>268178.57520000002</v>
      </c>
      <c r="F15">
        <v>268570.46889999998</v>
      </c>
      <c r="G15">
        <v>269629.71960000001</v>
      </c>
      <c r="H15">
        <v>271149.10080000001</v>
      </c>
      <c r="I15">
        <v>272993.52980000002</v>
      </c>
      <c r="J15">
        <v>275073.60190000001</v>
      </c>
      <c r="K15">
        <v>277328.78029999998</v>
      </c>
      <c r="L15">
        <v>279716.90110000002</v>
      </c>
      <c r="M15">
        <v>282207.6827</v>
      </c>
      <c r="N15">
        <v>284778.71970000002</v>
      </c>
      <c r="O15">
        <v>287412.99119999999</v>
      </c>
      <c r="P15">
        <v>290097.28389999998</v>
      </c>
      <c r="Q15">
        <v>292821.16639999999</v>
      </c>
      <c r="R15">
        <v>295576.2991</v>
      </c>
      <c r="S15">
        <v>298355.95409999997</v>
      </c>
      <c r="T15">
        <v>301154.66859999998</v>
      </c>
      <c r="U15">
        <v>303967.99050000001</v>
      </c>
      <c r="V15">
        <v>306792.28629999998</v>
      </c>
      <c r="W15">
        <v>309624.59539999999</v>
      </c>
      <c r="X15">
        <v>312462.51929999999</v>
      </c>
      <c r="Y15">
        <v>315304.13540000003</v>
      </c>
      <c r="Z15">
        <v>318147.92969999998</v>
      </c>
      <c r="AA15">
        <v>320992.74369999999</v>
      </c>
      <c r="AB15">
        <v>323837.73109999998</v>
      </c>
      <c r="AC15">
        <v>326682.32089999999</v>
      </c>
      <c r="AD15">
        <v>329526.1862</v>
      </c>
      <c r="AE15">
        <v>332369.2156</v>
      </c>
      <c r="AF15">
        <v>335211.48749999999</v>
      </c>
      <c r="AG15">
        <v>338053.24550000002</v>
      </c>
      <c r="AH15">
        <v>340894.87589999998</v>
      </c>
      <c r="AI15">
        <v>343736.886</v>
      </c>
      <c r="AJ15">
        <v>346579.88439999998</v>
      </c>
      <c r="AK15">
        <v>349424.56170000002</v>
      </c>
    </row>
    <row r="16" spans="1:37" x14ac:dyDescent="0.25">
      <c r="A16" t="s">
        <v>1828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166408.09330000001</v>
      </c>
      <c r="G16">
        <v>167096.83679999999</v>
      </c>
      <c r="H16">
        <v>168051.00409999999</v>
      </c>
      <c r="I16">
        <v>169193.2819</v>
      </c>
      <c r="J16">
        <v>170472.33549999999</v>
      </c>
      <c r="K16">
        <v>171853.29819999999</v>
      </c>
      <c r="L16">
        <v>173311.81299999999</v>
      </c>
      <c r="M16">
        <v>174830.34179999999</v>
      </c>
      <c r="N16">
        <v>176395.88370000001</v>
      </c>
      <c r="O16">
        <v>177998.5528</v>
      </c>
      <c r="P16">
        <v>179630.67499999999</v>
      </c>
      <c r="Q16">
        <v>181286.19699999999</v>
      </c>
      <c r="R16">
        <v>182960.28640000001</v>
      </c>
      <c r="S16">
        <v>184649.0514</v>
      </c>
      <c r="T16">
        <v>186349.33780000001</v>
      </c>
      <c r="U16">
        <v>188058.57889999999</v>
      </c>
      <c r="V16">
        <v>189774.6827</v>
      </c>
      <c r="W16">
        <v>191495.9467</v>
      </c>
      <c r="X16">
        <v>193220.99230000001</v>
      </c>
      <c r="Y16">
        <v>194948.715</v>
      </c>
      <c r="Z16">
        <v>196678.2457</v>
      </c>
      <c r="AA16">
        <v>198408.92009999999</v>
      </c>
      <c r="AB16">
        <v>200140.2536</v>
      </c>
      <c r="AC16">
        <v>201871.92079999999</v>
      </c>
      <c r="AD16">
        <v>203603.73749999999</v>
      </c>
      <c r="AE16">
        <v>205335.64430000001</v>
      </c>
      <c r="AF16">
        <v>207067.69190000001</v>
      </c>
      <c r="AG16">
        <v>208800.02710000001</v>
      </c>
      <c r="AH16">
        <v>210532.87969999999</v>
      </c>
      <c r="AI16">
        <v>212266.55</v>
      </c>
      <c r="AJ16">
        <v>214001.39720000001</v>
      </c>
      <c r="AK16">
        <v>215737.82829999999</v>
      </c>
    </row>
    <row r="17" spans="1:37" x14ac:dyDescent="0.25">
      <c r="A17" t="s">
        <v>464</v>
      </c>
      <c r="B17">
        <v>105328.5062</v>
      </c>
      <c r="C17">
        <v>106459.9066</v>
      </c>
      <c r="D17">
        <v>107439.18580000001</v>
      </c>
      <c r="E17">
        <v>108316.2608</v>
      </c>
      <c r="F17">
        <v>109128.7254</v>
      </c>
      <c r="G17">
        <v>109902.8466</v>
      </c>
      <c r="H17">
        <v>110656.1265</v>
      </c>
      <c r="I17">
        <v>111399.75569999999</v>
      </c>
      <c r="J17">
        <v>112140.5931</v>
      </c>
      <c r="K17">
        <v>112882.6581</v>
      </c>
      <c r="L17">
        <v>113628.20299999999</v>
      </c>
      <c r="M17">
        <v>114378.4454</v>
      </c>
      <c r="N17">
        <v>115134.0402</v>
      </c>
      <c r="O17">
        <v>115895.36350000001</v>
      </c>
      <c r="P17">
        <v>116662.6682</v>
      </c>
      <c r="Q17">
        <v>117436.1584</v>
      </c>
      <c r="R17">
        <v>118216.0166</v>
      </c>
      <c r="S17">
        <v>119002.40730000001</v>
      </c>
      <c r="T17">
        <v>119795.4715</v>
      </c>
      <c r="U17">
        <v>120595.31879999999</v>
      </c>
      <c r="V17">
        <v>121402.0232</v>
      </c>
      <c r="W17">
        <v>122215.62209999999</v>
      </c>
      <c r="X17">
        <v>123036.1188</v>
      </c>
      <c r="Y17">
        <v>123863.4883</v>
      </c>
      <c r="Z17">
        <v>124697.68369999999</v>
      </c>
      <c r="AA17">
        <v>125538.6441</v>
      </c>
      <c r="AB17">
        <v>126386.3012</v>
      </c>
      <c r="AC17">
        <v>127240.5858</v>
      </c>
      <c r="AD17">
        <v>128101.4329</v>
      </c>
      <c r="AE17">
        <v>128968.7853</v>
      </c>
      <c r="AF17">
        <v>129842.5966</v>
      </c>
      <c r="AG17">
        <v>130722.83229999999</v>
      </c>
      <c r="AH17">
        <v>131609.47029999999</v>
      </c>
      <c r="AI17">
        <v>132502.50159999999</v>
      </c>
      <c r="AJ17">
        <v>133401.929</v>
      </c>
      <c r="AK17">
        <v>134307.76620000001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19"/>
  <sheetViews>
    <sheetView workbookViewId="0">
      <selection activeCell="C9" sqref="C9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62</v>
      </c>
      <c r="B2">
        <v>32317.940999999999</v>
      </c>
      <c r="C2">
        <v>31926.454819999999</v>
      </c>
      <c r="D2">
        <v>31730.400539999999</v>
      </c>
      <c r="E2">
        <v>31664.732889999999</v>
      </c>
      <c r="F2">
        <v>31685.151559999998</v>
      </c>
      <c r="G2">
        <v>31761.773590000001</v>
      </c>
      <c r="H2">
        <v>31876.819759999998</v>
      </c>
      <c r="I2">
        <v>32020.398109999998</v>
      </c>
      <c r="J2">
        <v>32185.055550000001</v>
      </c>
      <c r="K2">
        <v>32364.878639999999</v>
      </c>
      <c r="L2">
        <v>32555.008150000001</v>
      </c>
      <c r="M2">
        <v>32751.304230000002</v>
      </c>
      <c r="N2">
        <v>32950.115619999997</v>
      </c>
      <c r="O2">
        <v>33148.123549999997</v>
      </c>
      <c r="P2">
        <v>33342.23833</v>
      </c>
      <c r="Q2">
        <v>33529.533100000001</v>
      </c>
      <c r="R2">
        <v>33709.687819999999</v>
      </c>
      <c r="S2">
        <v>33884.612249999998</v>
      </c>
      <c r="T2">
        <v>34055.314740000002</v>
      </c>
      <c r="U2">
        <v>34222.258249999999</v>
      </c>
      <c r="V2">
        <v>34385.651189999997</v>
      </c>
      <c r="W2">
        <v>34545.60383</v>
      </c>
      <c r="X2">
        <v>34702.207130000003</v>
      </c>
      <c r="Y2">
        <v>34855.571329999999</v>
      </c>
      <c r="Z2">
        <v>35005.844879999997</v>
      </c>
      <c r="AA2">
        <v>35153.224249999999</v>
      </c>
      <c r="AB2">
        <v>35297.960070000001</v>
      </c>
      <c r="AC2">
        <v>35440.36174</v>
      </c>
      <c r="AD2">
        <v>35580.801769999998</v>
      </c>
      <c r="AE2">
        <v>35719.719770000003</v>
      </c>
      <c r="AF2">
        <v>35857.62601</v>
      </c>
      <c r="AG2">
        <v>35995.104010000003</v>
      </c>
      <c r="AH2">
        <v>36132.811670000003</v>
      </c>
      <c r="AI2">
        <v>36271.480450000003</v>
      </c>
      <c r="AJ2">
        <v>36411.911959999998</v>
      </c>
      <c r="AK2">
        <v>36554.971879999997</v>
      </c>
    </row>
    <row r="3" spans="1:37" x14ac:dyDescent="0.25">
      <c r="A3" t="s">
        <v>63</v>
      </c>
      <c r="B3">
        <v>32271.24</v>
      </c>
      <c r="C3">
        <v>31862.031640000001</v>
      </c>
      <c r="D3">
        <v>31647.329440000001</v>
      </c>
      <c r="E3">
        <v>31562.481319999999</v>
      </c>
      <c r="F3">
        <v>31563.391670000001</v>
      </c>
      <c r="G3">
        <v>31620.228930000001</v>
      </c>
      <c r="H3">
        <v>31715.127369999998</v>
      </c>
      <c r="I3">
        <v>31838.038369999998</v>
      </c>
      <c r="J3">
        <v>31981.34908</v>
      </c>
      <c r="K3">
        <v>32138.97392</v>
      </c>
      <c r="L3">
        <v>32305.853879999999</v>
      </c>
      <c r="M3">
        <v>32477.603520000001</v>
      </c>
      <c r="N3">
        <v>32650.258519999999</v>
      </c>
      <c r="O3">
        <v>32820.092669999998</v>
      </c>
      <c r="P3">
        <v>32983.479639999998</v>
      </c>
      <c r="Q3">
        <v>33136.779049999997</v>
      </c>
      <c r="R3">
        <v>33278.705000000002</v>
      </c>
      <c r="S3">
        <v>33409.974479999997</v>
      </c>
      <c r="T3">
        <v>33530.266199999998</v>
      </c>
      <c r="U3">
        <v>33638.562089999999</v>
      </c>
      <c r="V3">
        <v>33733.42353</v>
      </c>
      <c r="W3">
        <v>33813.135219999996</v>
      </c>
      <c r="X3">
        <v>33875.774189999996</v>
      </c>
      <c r="Y3">
        <v>33919.241320000001</v>
      </c>
      <c r="Z3">
        <v>33941.276899999997</v>
      </c>
      <c r="AA3">
        <v>33939.47163</v>
      </c>
      <c r="AB3">
        <v>33911.279459999998</v>
      </c>
      <c r="AC3">
        <v>33854.035799999998</v>
      </c>
      <c r="AD3">
        <v>33764.983189999999</v>
      </c>
      <c r="AE3">
        <v>33641.30573</v>
      </c>
      <c r="AF3">
        <v>33480.172939999997</v>
      </c>
      <c r="AG3">
        <v>33278.793189999997</v>
      </c>
      <c r="AH3">
        <v>33034.47653</v>
      </c>
      <c r="AI3">
        <v>32744.70595</v>
      </c>
      <c r="AJ3">
        <v>32407.21574</v>
      </c>
      <c r="AK3">
        <v>32020.074850000001</v>
      </c>
    </row>
    <row r="4" spans="1:37" x14ac:dyDescent="0.25">
      <c r="A4" t="s">
        <v>64</v>
      </c>
      <c r="B4">
        <v>44.765000000000001</v>
      </c>
      <c r="C4">
        <v>62.431569170000003</v>
      </c>
      <c r="D4">
        <v>81.013695760000004</v>
      </c>
      <c r="E4">
        <v>100.1229845</v>
      </c>
      <c r="F4">
        <v>119.557911</v>
      </c>
      <c r="G4">
        <v>139.26916840000001</v>
      </c>
      <c r="H4">
        <v>159.34439639999999</v>
      </c>
      <c r="I4">
        <v>179.9408076</v>
      </c>
      <c r="J4">
        <v>201.21851140000001</v>
      </c>
      <c r="K4">
        <v>223.34990759999999</v>
      </c>
      <c r="L4">
        <v>246.5349597</v>
      </c>
      <c r="M4">
        <v>271.01943679999999</v>
      </c>
      <c r="N4">
        <v>297.11657760000003</v>
      </c>
      <c r="O4">
        <v>325.23391279999998</v>
      </c>
      <c r="P4">
        <v>355.90822200000002</v>
      </c>
      <c r="Q4">
        <v>389.85320739999997</v>
      </c>
      <c r="R4">
        <v>428.0347132</v>
      </c>
      <c r="S4">
        <v>471.6453156</v>
      </c>
      <c r="T4">
        <v>522.01457679999999</v>
      </c>
      <c r="U4">
        <v>580.62349040000004</v>
      </c>
      <c r="V4">
        <v>649.11914290000004</v>
      </c>
      <c r="W4">
        <v>729.32712479999998</v>
      </c>
      <c r="X4">
        <v>823.26146000000006</v>
      </c>
      <c r="Y4">
        <v>933.13161100000002</v>
      </c>
      <c r="Z4">
        <v>1061.3458559999999</v>
      </c>
      <c r="AA4">
        <v>1210.5101259999999</v>
      </c>
      <c r="AB4">
        <v>1383.4212379999999</v>
      </c>
      <c r="AC4">
        <v>1583.0533829999999</v>
      </c>
      <c r="AD4">
        <v>1812.536709</v>
      </c>
      <c r="AE4">
        <v>2075.126925</v>
      </c>
      <c r="AF4">
        <v>2374.164992</v>
      </c>
      <c r="AG4">
        <v>2713.0262630000002</v>
      </c>
      <c r="AH4">
        <v>3095.0588210000001</v>
      </c>
      <c r="AI4">
        <v>3523.511317</v>
      </c>
      <c r="AJ4">
        <v>4001.4512589999999</v>
      </c>
      <c r="AK4">
        <v>4531.6755290000001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2.2019793989999998</v>
      </c>
      <c r="G5">
        <v>2.2754864349999999</v>
      </c>
      <c r="H5">
        <v>2.347968431</v>
      </c>
      <c r="I5">
        <v>2.4188940940000001</v>
      </c>
      <c r="J5">
        <v>2.4879042729999998</v>
      </c>
      <c r="K5">
        <v>2.5547407990000002</v>
      </c>
      <c r="L5">
        <v>2.6192080980000001</v>
      </c>
      <c r="M5">
        <v>2.6811463290000002</v>
      </c>
      <c r="N5">
        <v>2.7404123490000001</v>
      </c>
      <c r="O5">
        <v>2.796866047</v>
      </c>
      <c r="P5">
        <v>2.8503601010000001</v>
      </c>
      <c r="Q5">
        <v>2.9007315039999999</v>
      </c>
      <c r="R5">
        <v>2.9480014429999999</v>
      </c>
      <c r="S5">
        <v>2.9923496369999998</v>
      </c>
      <c r="T5">
        <v>3.0338620330000001</v>
      </c>
      <c r="U5">
        <v>3.0725585679999998</v>
      </c>
      <c r="V5">
        <v>3.1084159470000001</v>
      </c>
      <c r="W5">
        <v>3.1413796810000001</v>
      </c>
      <c r="X5">
        <v>3.171370027</v>
      </c>
      <c r="Y5">
        <v>3.1982848530000001</v>
      </c>
      <c r="Z5">
        <v>3.222001197</v>
      </c>
      <c r="AA5">
        <v>3.2423764400000001</v>
      </c>
      <c r="AB5">
        <v>3.2592496390000001</v>
      </c>
      <c r="AC5">
        <v>3.2724433030000002</v>
      </c>
      <c r="AD5">
        <v>3.2817658120000002</v>
      </c>
      <c r="AE5">
        <v>3.2870145860000002</v>
      </c>
      <c r="AF5">
        <v>3.2879800709999998</v>
      </c>
      <c r="AG5">
        <v>3.2844505700000002</v>
      </c>
      <c r="AH5">
        <v>3.2762179050000002</v>
      </c>
      <c r="AI5">
        <v>3.2630838529999999</v>
      </c>
      <c r="AJ5">
        <v>3.2448672379999999</v>
      </c>
      <c r="AK5">
        <v>3.2214115080000001</v>
      </c>
    </row>
    <row r="6" spans="1:37" x14ac:dyDescent="0.25">
      <c r="A6" t="s">
        <v>1751</v>
      </c>
      <c r="B6">
        <v>1886.229</v>
      </c>
      <c r="C6">
        <v>2121.8059619999999</v>
      </c>
      <c r="D6">
        <v>2286.102993</v>
      </c>
      <c r="E6">
        <v>2400.528687</v>
      </c>
      <c r="F6">
        <v>2480.7808479999999</v>
      </c>
      <c r="G6">
        <v>2537.837047</v>
      </c>
      <c r="H6">
        <v>2581.477351</v>
      </c>
      <c r="I6">
        <v>2618.2021749999999</v>
      </c>
      <c r="J6">
        <v>2649.6746109999999</v>
      </c>
      <c r="K6">
        <v>2676.8482650000001</v>
      </c>
      <c r="L6">
        <v>2700.3106360000002</v>
      </c>
      <c r="M6">
        <v>2720.3954100000001</v>
      </c>
      <c r="N6">
        <v>2737.259708</v>
      </c>
      <c r="O6">
        <v>2750.9400209999999</v>
      </c>
      <c r="P6">
        <v>2761.391752</v>
      </c>
      <c r="Q6">
        <v>2768.516995</v>
      </c>
      <c r="R6">
        <v>2774.6678139999999</v>
      </c>
      <c r="S6">
        <v>2782.0125619999999</v>
      </c>
      <c r="T6">
        <v>2789.753342</v>
      </c>
      <c r="U6">
        <v>2797.372942</v>
      </c>
      <c r="V6">
        <v>2804.5968539999999</v>
      </c>
      <c r="W6">
        <v>2811.280827</v>
      </c>
      <c r="X6">
        <v>2817.345108</v>
      </c>
      <c r="Y6">
        <v>2822.7398899999998</v>
      </c>
      <c r="Z6">
        <v>2827.4283770000002</v>
      </c>
      <c r="AA6">
        <v>2831.3790909999998</v>
      </c>
      <c r="AB6">
        <v>2834.5628860000002</v>
      </c>
      <c r="AC6">
        <v>2836.952299</v>
      </c>
      <c r="AD6">
        <v>2838.522011</v>
      </c>
      <c r="AE6">
        <v>2839.24973</v>
      </c>
      <c r="AF6">
        <v>2839.1171979999999</v>
      </c>
      <c r="AG6">
        <v>2838.111022</v>
      </c>
      <c r="AH6">
        <v>2836.223348</v>
      </c>
      <c r="AI6">
        <v>2833.4522750000001</v>
      </c>
      <c r="AJ6">
        <v>2829.8020540000002</v>
      </c>
      <c r="AK6">
        <v>2825.2830899999999</v>
      </c>
    </row>
    <row r="7" spans="1:37" x14ac:dyDescent="0.25">
      <c r="A7" t="s">
        <v>1752</v>
      </c>
      <c r="B7">
        <v>1868.8030000000001</v>
      </c>
      <c r="C7">
        <v>2102.1721870000001</v>
      </c>
      <c r="D7">
        <v>2264.8333320000002</v>
      </c>
      <c r="E7">
        <v>2377.9790739999999</v>
      </c>
      <c r="F7">
        <v>2457.1345759999999</v>
      </c>
      <c r="G7">
        <v>2513.1323339999999</v>
      </c>
      <c r="H7">
        <v>2555.616642</v>
      </c>
      <c r="I7">
        <v>2591.0142970000002</v>
      </c>
      <c r="J7">
        <v>2620.9790659999999</v>
      </c>
      <c r="K7">
        <v>2646.4457790000001</v>
      </c>
      <c r="L7">
        <v>2667.9674279999999</v>
      </c>
      <c r="M7">
        <v>2685.8238729999998</v>
      </c>
      <c r="N7">
        <v>2700.0949620000001</v>
      </c>
      <c r="O7">
        <v>2710.710298</v>
      </c>
      <c r="P7">
        <v>2717.4797899999999</v>
      </c>
      <c r="Q7">
        <v>2720.1071619999998</v>
      </c>
      <c r="R7">
        <v>2720.6636140000001</v>
      </c>
      <c r="S7">
        <v>2721.0519720000002</v>
      </c>
      <c r="T7">
        <v>2720.2897320000002</v>
      </c>
      <c r="U7">
        <v>2717.655131</v>
      </c>
      <c r="V7">
        <v>2712.6483680000001</v>
      </c>
      <c r="W7">
        <v>2704.880838</v>
      </c>
      <c r="X7">
        <v>2694.0113590000001</v>
      </c>
      <c r="Y7">
        <v>2679.714152</v>
      </c>
      <c r="Z7">
        <v>2661.6652549999999</v>
      </c>
      <c r="AA7">
        <v>2639.5392350000002</v>
      </c>
      <c r="AB7">
        <v>2613.0118499999999</v>
      </c>
      <c r="AC7">
        <v>2581.7664169999998</v>
      </c>
      <c r="AD7">
        <v>2545.5027</v>
      </c>
      <c r="AE7">
        <v>2503.9476909999998</v>
      </c>
      <c r="AF7">
        <v>2456.8676519999999</v>
      </c>
      <c r="AG7">
        <v>2404.0811840000001</v>
      </c>
      <c r="AH7">
        <v>2345.4726949999999</v>
      </c>
      <c r="AI7">
        <v>2281.005799</v>
      </c>
      <c r="AJ7">
        <v>2210.7359339999998</v>
      </c>
      <c r="AK7">
        <v>2134.8214229999999</v>
      </c>
    </row>
    <row r="8" spans="1:37" x14ac:dyDescent="0.25">
      <c r="A8" t="s">
        <v>1753</v>
      </c>
      <c r="B8">
        <v>17.268999999999998</v>
      </c>
      <c r="C8">
        <v>19.45716917</v>
      </c>
      <c r="D8">
        <v>21.07938936</v>
      </c>
      <c r="E8">
        <v>22.349836580000002</v>
      </c>
      <c r="F8">
        <v>23.43984592</v>
      </c>
      <c r="G8">
        <v>24.4935738</v>
      </c>
      <c r="H8">
        <v>25.645994730000002</v>
      </c>
      <c r="I8">
        <v>26.970187079999999</v>
      </c>
      <c r="J8">
        <v>28.475336110000001</v>
      </c>
      <c r="K8">
        <v>30.180136610000002</v>
      </c>
      <c r="L8">
        <v>32.119048390000003</v>
      </c>
      <c r="M8">
        <v>34.345875560000003</v>
      </c>
      <c r="N8">
        <v>36.937918199999999</v>
      </c>
      <c r="O8">
        <v>40.001998290000003</v>
      </c>
      <c r="P8">
        <v>43.683665779999998</v>
      </c>
      <c r="Q8">
        <v>48.181314209999996</v>
      </c>
      <c r="R8">
        <v>53.775634099999998</v>
      </c>
      <c r="S8">
        <v>60.731990940000003</v>
      </c>
      <c r="T8">
        <v>69.235073839999998</v>
      </c>
      <c r="U8">
        <v>79.489496700000004</v>
      </c>
      <c r="V8">
        <v>91.720592139999994</v>
      </c>
      <c r="W8">
        <v>106.17274759999999</v>
      </c>
      <c r="X8">
        <v>123.10742020000001</v>
      </c>
      <c r="Y8">
        <v>142.80060929999999</v>
      </c>
      <c r="Z8">
        <v>165.53950939999999</v>
      </c>
      <c r="AA8">
        <v>191.6181043</v>
      </c>
      <c r="AB8">
        <v>221.3315174</v>
      </c>
      <c r="AC8">
        <v>254.96899440000001</v>
      </c>
      <c r="AD8">
        <v>292.80546079999999</v>
      </c>
      <c r="AE8">
        <v>335.09168419999997</v>
      </c>
      <c r="AF8">
        <v>382.04314419999997</v>
      </c>
      <c r="AG8">
        <v>433.82787080000003</v>
      </c>
      <c r="AH8">
        <v>490.55360910000002</v>
      </c>
      <c r="AI8">
        <v>552.25484800000004</v>
      </c>
      <c r="AJ8">
        <v>618.88039509999999</v>
      </c>
      <c r="AK8">
        <v>690.28232000000003</v>
      </c>
    </row>
    <row r="9" spans="1:37" x14ac:dyDescent="0.25">
      <c r="A9" t="s">
        <v>1754</v>
      </c>
      <c r="B9">
        <v>0.157</v>
      </c>
      <c r="C9">
        <v>0.17660557769999999</v>
      </c>
      <c r="D9">
        <v>0.1902709024</v>
      </c>
      <c r="E9">
        <v>0.19977638880000001</v>
      </c>
      <c r="F9">
        <v>0.20642632129999999</v>
      </c>
      <c r="G9">
        <v>0.2111307486</v>
      </c>
      <c r="H9">
        <v>0.2146998977</v>
      </c>
      <c r="I9">
        <v>0.21767368989999999</v>
      </c>
      <c r="J9">
        <v>0.22019105990000001</v>
      </c>
      <c r="K9">
        <v>0.2223305438</v>
      </c>
      <c r="L9">
        <v>0.22413859899999999</v>
      </c>
      <c r="M9">
        <v>0.22563873670000001</v>
      </c>
      <c r="N9">
        <v>0.2268376651</v>
      </c>
      <c r="O9">
        <v>0.22772946999999999</v>
      </c>
      <c r="P9">
        <v>0.2282981818</v>
      </c>
      <c r="Q9">
        <v>0.22851890999999999</v>
      </c>
      <c r="R9">
        <v>0.228565658</v>
      </c>
      <c r="S9">
        <v>0.22859828430000001</v>
      </c>
      <c r="T9">
        <v>0.22853424780000001</v>
      </c>
      <c r="U9">
        <v>0.22831291240000001</v>
      </c>
      <c r="V9">
        <v>0.22789228919999999</v>
      </c>
      <c r="W9">
        <v>0.2272397313</v>
      </c>
      <c r="X9">
        <v>0.22632657549999999</v>
      </c>
      <c r="Y9">
        <v>0.225125453</v>
      </c>
      <c r="Z9">
        <v>0.2236091472</v>
      </c>
      <c r="AA9">
        <v>0.22175031819999999</v>
      </c>
      <c r="AB9">
        <v>0.21952172619999999</v>
      </c>
      <c r="AC9">
        <v>0.21689676620000001</v>
      </c>
      <c r="AD9">
        <v>0.21385021530000001</v>
      </c>
      <c r="AE9">
        <v>0.2103591376</v>
      </c>
      <c r="AF9">
        <v>0.20640389670000001</v>
      </c>
      <c r="AG9">
        <v>0.20196925299999999</v>
      </c>
      <c r="AH9">
        <v>0.1970454955</v>
      </c>
      <c r="AI9">
        <v>0.19162956740000001</v>
      </c>
      <c r="AJ9">
        <v>0.1857261261</v>
      </c>
      <c r="AK9">
        <v>0.17934847239999999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31743.508249999999</v>
      </c>
      <c r="E10">
        <v>31687.79249</v>
      </c>
      <c r="F10">
        <v>31720.643349999998</v>
      </c>
      <c r="G10">
        <v>31813.33711</v>
      </c>
      <c r="H10">
        <v>31947.162380000002</v>
      </c>
      <c r="I10">
        <v>32109.87729</v>
      </c>
      <c r="J10">
        <v>32293.361379999998</v>
      </c>
      <c r="K10">
        <v>32492.108840000001</v>
      </c>
      <c r="L10">
        <v>32702.282360000001</v>
      </c>
      <c r="M10">
        <v>32921.126179999999</v>
      </c>
      <c r="N10">
        <v>33146.603029999998</v>
      </c>
      <c r="O10">
        <v>33377.167979999998</v>
      </c>
      <c r="P10">
        <v>33611.625030000003</v>
      </c>
      <c r="Q10">
        <v>33849.033629999998</v>
      </c>
      <c r="R10">
        <v>34088.645530000002</v>
      </c>
      <c r="S10">
        <v>34329.860690000001</v>
      </c>
      <c r="T10">
        <v>34572.195419999996</v>
      </c>
      <c r="U10">
        <v>34815.258710000002</v>
      </c>
      <c r="V10">
        <v>35058.734510000002</v>
      </c>
      <c r="W10">
        <v>35302.36808</v>
      </c>
      <c r="X10">
        <v>35545.95566</v>
      </c>
      <c r="Y10">
        <v>35789.336340000002</v>
      </c>
      <c r="Z10">
        <v>36032.385739999998</v>
      </c>
      <c r="AA10">
        <v>36275.010999999999</v>
      </c>
      <c r="AB10">
        <v>36517.146650000002</v>
      </c>
      <c r="AC10">
        <v>36758.751190000003</v>
      </c>
      <c r="AD10">
        <v>36999.804109999997</v>
      </c>
      <c r="AE10">
        <v>37240.303260000001</v>
      </c>
      <c r="AF10">
        <v>37480.262430000002</v>
      </c>
      <c r="AG10">
        <v>37719.709159999999</v>
      </c>
      <c r="AH10">
        <v>37958.682679999998</v>
      </c>
      <c r="AI10">
        <v>38197.23199</v>
      </c>
      <c r="AJ10">
        <v>38435.414069999999</v>
      </c>
      <c r="AK10">
        <v>38673.292269999998</v>
      </c>
    </row>
    <row r="11" spans="1:37" x14ac:dyDescent="0.25">
      <c r="A11" t="s">
        <v>88</v>
      </c>
      <c r="B11">
        <v>32271.24</v>
      </c>
      <c r="C11">
        <v>31867.184539999998</v>
      </c>
      <c r="D11">
        <v>31660.485769999999</v>
      </c>
      <c r="E11">
        <v>31585.837940000001</v>
      </c>
      <c r="F11">
        <v>31599.720549999998</v>
      </c>
      <c r="G11">
        <v>31673.60284</v>
      </c>
      <c r="H11">
        <v>31788.887490000001</v>
      </c>
      <c r="I11">
        <v>31933.39687</v>
      </c>
      <c r="J11">
        <v>32099.043880000001</v>
      </c>
      <c r="K11">
        <v>32280.33711</v>
      </c>
      <c r="L11">
        <v>32473.442050000001</v>
      </c>
      <c r="M11">
        <v>32675.5985</v>
      </c>
      <c r="N11">
        <v>32884.760260000003</v>
      </c>
      <c r="O11">
        <v>33099.37055</v>
      </c>
      <c r="P11">
        <v>33318.219720000001</v>
      </c>
      <c r="Q11">
        <v>33540.352330000002</v>
      </c>
      <c r="R11">
        <v>33765.004459999996</v>
      </c>
      <c r="S11">
        <v>33991.559860000001</v>
      </c>
      <c r="T11">
        <v>34219.518219999998</v>
      </c>
      <c r="U11">
        <v>34448.471680000002</v>
      </c>
      <c r="V11">
        <v>34678.087050000002</v>
      </c>
      <c r="W11">
        <v>34908.092270000001</v>
      </c>
      <c r="X11">
        <v>35138.265950000001</v>
      </c>
      <c r="Y11">
        <v>35368.429279999997</v>
      </c>
      <c r="Z11">
        <v>35598.439659999996</v>
      </c>
      <c r="AA11">
        <v>35828.185579999998</v>
      </c>
      <c r="AB11">
        <v>36057.582459999998</v>
      </c>
      <c r="AC11">
        <v>36286.56912</v>
      </c>
      <c r="AD11">
        <v>36515.104740000002</v>
      </c>
      <c r="AE11">
        <v>36743.166120000002</v>
      </c>
      <c r="AF11">
        <v>36970.745210000001</v>
      </c>
      <c r="AG11">
        <v>37197.846769999996</v>
      </c>
      <c r="AH11">
        <v>37424.486270000001</v>
      </c>
      <c r="AI11">
        <v>37650.6878</v>
      </c>
      <c r="AJ11">
        <v>37876.482239999998</v>
      </c>
      <c r="AK11">
        <v>38101.905460000002</v>
      </c>
    </row>
    <row r="12" spans="1:37" x14ac:dyDescent="0.25">
      <c r="A12" t="s">
        <v>89</v>
      </c>
      <c r="B12">
        <v>44.765000000000001</v>
      </c>
      <c r="C12">
        <v>62.448716269999998</v>
      </c>
      <c r="D12">
        <v>80.96397125</v>
      </c>
      <c r="E12">
        <v>99.823967240000002</v>
      </c>
      <c r="F12">
        <v>118.71771630000001</v>
      </c>
      <c r="G12">
        <v>137.45419670000001</v>
      </c>
      <c r="H12">
        <v>155.92054479999999</v>
      </c>
      <c r="I12">
        <v>174.05323809999999</v>
      </c>
      <c r="J12">
        <v>191.819312</v>
      </c>
      <c r="K12">
        <v>209.20456300000001</v>
      </c>
      <c r="L12">
        <v>226.20631040000001</v>
      </c>
      <c r="M12">
        <v>242.8290054</v>
      </c>
      <c r="N12">
        <v>259.08157080000001</v>
      </c>
      <c r="O12">
        <v>274.9757745</v>
      </c>
      <c r="P12">
        <v>290.52522199999999</v>
      </c>
      <c r="Q12">
        <v>305.74471920000002</v>
      </c>
      <c r="R12">
        <v>320.64986579999999</v>
      </c>
      <c r="S12">
        <v>335.25679709999997</v>
      </c>
      <c r="T12">
        <v>349.58202449999999</v>
      </c>
      <c r="U12">
        <v>363.64234420000003</v>
      </c>
      <c r="V12">
        <v>377.45479499999999</v>
      </c>
      <c r="W12">
        <v>391.03665089999998</v>
      </c>
      <c r="X12">
        <v>404.40544</v>
      </c>
      <c r="Y12">
        <v>417.57898280000001</v>
      </c>
      <c r="Z12">
        <v>430.57544489999998</v>
      </c>
      <c r="AA12">
        <v>443.41340109999999</v>
      </c>
      <c r="AB12">
        <v>456.11190629999999</v>
      </c>
      <c r="AC12">
        <v>468.69057370000002</v>
      </c>
      <c r="AD12">
        <v>481.16965679999998</v>
      </c>
      <c r="AE12">
        <v>493.57013669999998</v>
      </c>
      <c r="AF12">
        <v>505.91381250000001</v>
      </c>
      <c r="AG12">
        <v>518.22339710000006</v>
      </c>
      <c r="AH12">
        <v>530.5226169</v>
      </c>
      <c r="AI12">
        <v>542.83631739999998</v>
      </c>
      <c r="AJ12">
        <v>555.19057529999998</v>
      </c>
      <c r="AK12">
        <v>567.61281750000001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2.0585130399999998</v>
      </c>
      <c r="E13">
        <v>2.1305753150000002</v>
      </c>
      <c r="F13">
        <v>2.205083192</v>
      </c>
      <c r="G13">
        <v>2.2800657229999999</v>
      </c>
      <c r="H13">
        <v>2.3543231279999999</v>
      </c>
      <c r="I13">
        <v>2.4271483549999999</v>
      </c>
      <c r="J13">
        <v>2.498142573</v>
      </c>
      <c r="K13">
        <v>2.5670970789999998</v>
      </c>
      <c r="L13">
        <v>2.6339195040000001</v>
      </c>
      <c r="M13">
        <v>2.69858844</v>
      </c>
      <c r="N13">
        <v>2.7611257519999999</v>
      </c>
      <c r="O13">
        <v>2.8215796809999998</v>
      </c>
      <c r="P13">
        <v>2.8800144360000002</v>
      </c>
      <c r="Q13">
        <v>2.9365036600000001</v>
      </c>
      <c r="R13">
        <v>2.9911262380000001</v>
      </c>
      <c r="S13">
        <v>3.0439635360000001</v>
      </c>
      <c r="T13">
        <v>3.0950975459999999</v>
      </c>
      <c r="U13">
        <v>3.1446096300000002</v>
      </c>
      <c r="V13">
        <v>3.192579673</v>
      </c>
      <c r="W13">
        <v>3.239085524</v>
      </c>
      <c r="X13">
        <v>3.2842026450000001</v>
      </c>
      <c r="Y13">
        <v>3.3280039100000001</v>
      </c>
      <c r="Z13">
        <v>3.370559514</v>
      </c>
      <c r="AA13">
        <v>3.4119369420000001</v>
      </c>
      <c r="AB13">
        <v>3.452200994</v>
      </c>
      <c r="AC13">
        <v>3.4914138370000001</v>
      </c>
      <c r="AD13">
        <v>3.5296350570000001</v>
      </c>
      <c r="AE13">
        <v>3.5669217350000002</v>
      </c>
      <c r="AF13">
        <v>3.6033285020000001</v>
      </c>
      <c r="AG13">
        <v>3.6389076010000001</v>
      </c>
      <c r="AH13">
        <v>3.6737089360000001</v>
      </c>
      <c r="AI13">
        <v>3.707780122</v>
      </c>
      <c r="AJ13">
        <v>3.741166524</v>
      </c>
      <c r="AK13">
        <v>3.7739112929999998</v>
      </c>
    </row>
    <row r="14" spans="1:37" x14ac:dyDescent="0.25">
      <c r="A14" t="s">
        <v>1785</v>
      </c>
      <c r="B14">
        <v>1886.229</v>
      </c>
      <c r="C14">
        <v>2126.9764409999998</v>
      </c>
      <c r="D14">
        <v>2294.441949</v>
      </c>
      <c r="E14">
        <v>2411.5024819999999</v>
      </c>
      <c r="F14">
        <v>2495.0188450000001</v>
      </c>
      <c r="G14">
        <v>2556.7025119999998</v>
      </c>
      <c r="H14">
        <v>2604.3377540000001</v>
      </c>
      <c r="I14">
        <v>2642.9422650000001</v>
      </c>
      <c r="J14">
        <v>2675.6871630000001</v>
      </c>
      <c r="K14">
        <v>2704.556431</v>
      </c>
      <c r="L14">
        <v>2730.7906400000002</v>
      </c>
      <c r="M14">
        <v>2755.1728119999998</v>
      </c>
      <c r="N14">
        <v>2778.2068039999999</v>
      </c>
      <c r="O14">
        <v>2800.226091</v>
      </c>
      <c r="P14">
        <v>2821.4589340000002</v>
      </c>
      <c r="Q14">
        <v>2842.0671710000001</v>
      </c>
      <c r="R14">
        <v>2862.1693700000001</v>
      </c>
      <c r="S14">
        <v>2881.8549119999998</v>
      </c>
      <c r="T14">
        <v>2901.192822</v>
      </c>
      <c r="U14">
        <v>2920.2375459999998</v>
      </c>
      <c r="V14">
        <v>2939.0329419999998</v>
      </c>
      <c r="W14">
        <v>2957.6151220000002</v>
      </c>
      <c r="X14">
        <v>2976.0145470000002</v>
      </c>
      <c r="Y14">
        <v>2994.25756</v>
      </c>
      <c r="Z14">
        <v>3012.367506</v>
      </c>
      <c r="AA14">
        <v>3030.3655220000001</v>
      </c>
      <c r="AB14">
        <v>3048.2710809999999</v>
      </c>
      <c r="AC14">
        <v>3066.1023279999999</v>
      </c>
      <c r="AD14">
        <v>3083.87628</v>
      </c>
      <c r="AE14">
        <v>3101.6089280000001</v>
      </c>
      <c r="AF14">
        <v>3119.3152650000002</v>
      </c>
      <c r="AG14">
        <v>3137.0092840000002</v>
      </c>
      <c r="AH14">
        <v>3154.703955</v>
      </c>
      <c r="AI14">
        <v>3172.4112030000001</v>
      </c>
      <c r="AJ14">
        <v>3190.1418899999999</v>
      </c>
      <c r="AK14">
        <v>3207.9058129999999</v>
      </c>
    </row>
    <row r="15" spans="1:37" x14ac:dyDescent="0.25">
      <c r="A15" t="s">
        <v>1786</v>
      </c>
      <c r="B15">
        <v>1868.8030000000001</v>
      </c>
      <c r="C15">
        <v>2107.3250859999998</v>
      </c>
      <c r="D15">
        <v>2273.237768</v>
      </c>
      <c r="E15">
        <v>2389.2032079999999</v>
      </c>
      <c r="F15">
        <v>2471.9244659999999</v>
      </c>
      <c r="G15">
        <v>2533.004516</v>
      </c>
      <c r="H15">
        <v>2580.1564659999999</v>
      </c>
      <c r="I15">
        <v>2618.3527669999999</v>
      </c>
      <c r="J15">
        <v>2650.7362549999998</v>
      </c>
      <c r="K15">
        <v>2679.2733050000002</v>
      </c>
      <c r="L15">
        <v>2705.1934289999999</v>
      </c>
      <c r="M15">
        <v>2729.2725620000001</v>
      </c>
      <c r="N15">
        <v>2752.009888</v>
      </c>
      <c r="O15">
        <v>2773.735604</v>
      </c>
      <c r="P15">
        <v>2794.6756730000002</v>
      </c>
      <c r="Q15">
        <v>2814.9901749999999</v>
      </c>
      <c r="R15">
        <v>2834.79628</v>
      </c>
      <c r="S15">
        <v>2854.1822029999998</v>
      </c>
      <c r="T15">
        <v>2873.21594</v>
      </c>
      <c r="U15">
        <v>2891.9509889999999</v>
      </c>
      <c r="V15">
        <v>2910.430288</v>
      </c>
      <c r="W15">
        <v>2928.6890320000002</v>
      </c>
      <c r="X15">
        <v>2946.7567319999998</v>
      </c>
      <c r="Y15">
        <v>2964.658735</v>
      </c>
      <c r="Z15">
        <v>2982.417328</v>
      </c>
      <c r="AA15">
        <v>3000.05251</v>
      </c>
      <c r="AB15">
        <v>3017.5825289999998</v>
      </c>
      <c r="AC15">
        <v>3035.0242079999998</v>
      </c>
      <c r="AD15">
        <v>3052.3931389999998</v>
      </c>
      <c r="AE15">
        <v>3069.7037719999998</v>
      </c>
      <c r="AF15">
        <v>3086.969443</v>
      </c>
      <c r="AG15">
        <v>3104.2023589999999</v>
      </c>
      <c r="AH15">
        <v>3121.4135649999998</v>
      </c>
      <c r="AI15">
        <v>3138.6129190000001</v>
      </c>
      <c r="AJ15">
        <v>3155.8090560000001</v>
      </c>
      <c r="AK15">
        <v>3173.00938</v>
      </c>
    </row>
    <row r="16" spans="1:37" x14ac:dyDescent="0.25">
      <c r="A16" t="s">
        <v>1787</v>
      </c>
      <c r="B16">
        <v>17.268999999999998</v>
      </c>
      <c r="C16">
        <v>19.474316269999999</v>
      </c>
      <c r="D16">
        <v>21.01320363</v>
      </c>
      <c r="E16">
        <v>22.098554849999999</v>
      </c>
      <c r="F16">
        <v>22.886707730000001</v>
      </c>
      <c r="G16">
        <v>23.485189049999999</v>
      </c>
      <c r="H16">
        <v>23.964515939999998</v>
      </c>
      <c r="I16">
        <v>24.36951509</v>
      </c>
      <c r="J16">
        <v>24.72820342</v>
      </c>
      <c r="K16">
        <v>25.058023500000001</v>
      </c>
      <c r="L16">
        <v>25.369929899999999</v>
      </c>
      <c r="M16">
        <v>25.670947420000001</v>
      </c>
      <c r="N16">
        <v>25.96572561</v>
      </c>
      <c r="O16">
        <v>26.257466600000001</v>
      </c>
      <c r="P16">
        <v>26.548478500000002</v>
      </c>
      <c r="Q16">
        <v>26.84050603</v>
      </c>
      <c r="R16">
        <v>27.134935380000002</v>
      </c>
      <c r="S16">
        <v>27.432925959999999</v>
      </c>
      <c r="T16">
        <v>27.735499220000001</v>
      </c>
      <c r="U16">
        <v>28.043600659999999</v>
      </c>
      <c r="V16">
        <v>28.358144589999998</v>
      </c>
      <c r="W16">
        <v>28.680047739999999</v>
      </c>
      <c r="X16">
        <v>29.010255140000002</v>
      </c>
      <c r="Y16">
        <v>29.34976035</v>
      </c>
      <c r="Z16">
        <v>29.69962147</v>
      </c>
      <c r="AA16">
        <v>30.06097398</v>
      </c>
      <c r="AB16">
        <v>30.43504128</v>
      </c>
      <c r="AC16">
        <v>30.82314362</v>
      </c>
      <c r="AD16">
        <v>31.226706069999999</v>
      </c>
      <c r="AE16">
        <v>31.647266129999998</v>
      </c>
      <c r="AF16">
        <v>32.086481310000003</v>
      </c>
      <c r="AG16">
        <v>32.546137109999997</v>
      </c>
      <c r="AH16">
        <v>33.028155650000002</v>
      </c>
      <c r="AI16">
        <v>33.534605169999999</v>
      </c>
      <c r="AJ16">
        <v>34.067710599999998</v>
      </c>
      <c r="AK16">
        <v>34.629865250000002</v>
      </c>
    </row>
    <row r="17" spans="1:37" x14ac:dyDescent="0.25">
      <c r="A17" t="s">
        <v>1788</v>
      </c>
      <c r="B17">
        <v>0.157</v>
      </c>
      <c r="C17">
        <v>0.17703847780000001</v>
      </c>
      <c r="D17">
        <v>0.1909769674</v>
      </c>
      <c r="E17">
        <v>0.2007193394</v>
      </c>
      <c r="F17">
        <v>0.2076688347</v>
      </c>
      <c r="G17">
        <v>0.21280023040000001</v>
      </c>
      <c r="H17">
        <v>0.21676151269999999</v>
      </c>
      <c r="I17">
        <v>0.219970422</v>
      </c>
      <c r="J17">
        <v>0.222690991</v>
      </c>
      <c r="K17">
        <v>0.2250884169</v>
      </c>
      <c r="L17">
        <v>0.22726599240000001</v>
      </c>
      <c r="M17">
        <v>0.22928890430000001</v>
      </c>
      <c r="N17">
        <v>0.2311990897</v>
      </c>
      <c r="O17">
        <v>0.23302428880000001</v>
      </c>
      <c r="P17">
        <v>0.2347834848</v>
      </c>
      <c r="Q17">
        <v>0.23649012629999999</v>
      </c>
      <c r="R17">
        <v>0.23815405689999999</v>
      </c>
      <c r="S17">
        <v>0.23978268759999999</v>
      </c>
      <c r="T17">
        <v>0.2413817308</v>
      </c>
      <c r="U17">
        <v>0.2429556809</v>
      </c>
      <c r="V17">
        <v>0.2445081452</v>
      </c>
      <c r="W17">
        <v>0.2460420804</v>
      </c>
      <c r="X17">
        <v>0.24755996590000001</v>
      </c>
      <c r="Y17">
        <v>0.24906393099999999</v>
      </c>
      <c r="Z17">
        <v>0.25055584800000003</v>
      </c>
      <c r="AA17">
        <v>0.25203739730000002</v>
      </c>
      <c r="AB17">
        <v>0.25351011159999998</v>
      </c>
      <c r="AC17">
        <v>0.25497540439999999</v>
      </c>
      <c r="AD17">
        <v>0.25643458559999999</v>
      </c>
      <c r="AE17">
        <v>0.25788886909999997</v>
      </c>
      <c r="AF17">
        <v>0.25933937530000001</v>
      </c>
      <c r="AG17">
        <v>0.26078712970000001</v>
      </c>
      <c r="AH17">
        <v>0.26223306029999999</v>
      </c>
      <c r="AI17">
        <v>0.26367799510000001</v>
      </c>
      <c r="AJ17">
        <v>0.26512265969999999</v>
      </c>
      <c r="AK17">
        <v>0.26656767599999998</v>
      </c>
    </row>
    <row r="18" spans="1:37" x14ac:dyDescent="0.25">
      <c r="A18" t="s">
        <v>66</v>
      </c>
      <c r="B18">
        <v>7095.7005250000002</v>
      </c>
      <c r="C18">
        <v>7141.7439880000002</v>
      </c>
      <c r="D18">
        <v>7236.2108500000004</v>
      </c>
      <c r="E18">
        <v>7362.7565290000002</v>
      </c>
      <c r="F18">
        <v>7510.0299349999996</v>
      </c>
      <c r="G18">
        <v>7670.2472029999999</v>
      </c>
      <c r="H18">
        <v>7838.7850349999999</v>
      </c>
      <c r="I18">
        <v>8013.1055109999998</v>
      </c>
      <c r="J18">
        <v>8191.2469520000004</v>
      </c>
      <c r="K18">
        <v>8371.6255729999993</v>
      </c>
      <c r="L18">
        <v>8552.9218550000005</v>
      </c>
      <c r="M18">
        <v>8733.9921400000003</v>
      </c>
      <c r="N18">
        <v>8913.8008030000001</v>
      </c>
      <c r="O18">
        <v>9091.3683889999993</v>
      </c>
      <c r="P18">
        <v>9265.7305400000005</v>
      </c>
      <c r="Q18">
        <v>9435.9022650000006</v>
      </c>
      <c r="R18">
        <v>9601.6398969999991</v>
      </c>
      <c r="S18">
        <v>9763.3043679999992</v>
      </c>
      <c r="T18">
        <v>9920.8512179999998</v>
      </c>
      <c r="U18">
        <v>10073.96235</v>
      </c>
      <c r="V18">
        <v>10222.14596</v>
      </c>
      <c r="W18">
        <v>10364.787990000001</v>
      </c>
      <c r="X18">
        <v>10501.17597</v>
      </c>
      <c r="Y18">
        <v>10630.50922</v>
      </c>
      <c r="Z18">
        <v>10751.902609999999</v>
      </c>
      <c r="AA18">
        <v>10864.38847</v>
      </c>
      <c r="AB18">
        <v>10966.918830000001</v>
      </c>
      <c r="AC18">
        <v>11058.36961</v>
      </c>
      <c r="AD18">
        <v>11137.54775</v>
      </c>
      <c r="AE18">
        <v>11203.201940000001</v>
      </c>
      <c r="AF18">
        <v>11254.03751</v>
      </c>
      <c r="AG18">
        <v>11288.73596</v>
      </c>
      <c r="AH18">
        <v>11305.979009999999</v>
      </c>
      <c r="AI18">
        <v>11304.4774</v>
      </c>
      <c r="AJ18">
        <v>11283.00395</v>
      </c>
      <c r="AK18">
        <v>11240.43024</v>
      </c>
    </row>
    <row r="19" spans="1:37" x14ac:dyDescent="0.25">
      <c r="A19" t="s">
        <v>91</v>
      </c>
      <c r="B19">
        <v>7095.7005250000002</v>
      </c>
      <c r="C19">
        <v>7143.1787640000002</v>
      </c>
      <c r="D19">
        <v>7239.8100320000003</v>
      </c>
      <c r="E19">
        <v>7369.0432149999997</v>
      </c>
      <c r="F19">
        <v>7519.6803529999997</v>
      </c>
      <c r="G19">
        <v>7684.2985710000003</v>
      </c>
      <c r="H19">
        <v>7858.0379009999997</v>
      </c>
      <c r="I19">
        <v>8037.7298559999999</v>
      </c>
      <c r="J19">
        <v>8221.3015240000004</v>
      </c>
      <c r="K19">
        <v>8407.3826119999994</v>
      </c>
      <c r="L19">
        <v>8595.0529569999999</v>
      </c>
      <c r="M19">
        <v>8783.6831230000007</v>
      </c>
      <c r="N19">
        <v>8972.8346920000004</v>
      </c>
      <c r="O19">
        <v>9162.1979510000001</v>
      </c>
      <c r="P19">
        <v>9351.5526379999992</v>
      </c>
      <c r="Q19">
        <v>9540.7427050000006</v>
      </c>
      <c r="R19">
        <v>9729.6596580000005</v>
      </c>
      <c r="S19">
        <v>9918.2312120000006</v>
      </c>
      <c r="T19">
        <v>10106.41331</v>
      </c>
      <c r="U19">
        <v>10294.18433</v>
      </c>
      <c r="V19">
        <v>10481.540859999999</v>
      </c>
      <c r="W19">
        <v>10668.49447</v>
      </c>
      <c r="X19">
        <v>10855.069320000001</v>
      </c>
      <c r="Y19">
        <v>11041.30032</v>
      </c>
      <c r="Z19">
        <v>11227.23172</v>
      </c>
      <c r="AA19">
        <v>11412.9159</v>
      </c>
      <c r="AB19">
        <v>11598.41252</v>
      </c>
      <c r="AC19">
        <v>11783.787609999999</v>
      </c>
      <c r="AD19">
        <v>11969.11292</v>
      </c>
      <c r="AE19">
        <v>12154.46516</v>
      </c>
      <c r="AF19">
        <v>12339.92534</v>
      </c>
      <c r="AG19">
        <v>12525.57812</v>
      </c>
      <c r="AH19">
        <v>12711.51116</v>
      </c>
      <c r="AI19">
        <v>12897.81444</v>
      </c>
      <c r="AJ19">
        <v>13084.579680000001</v>
      </c>
      <c r="AK19">
        <v>13271.899649999999</v>
      </c>
    </row>
    <row r="20" spans="1:37" x14ac:dyDescent="0.25">
      <c r="A20" t="s">
        <v>67</v>
      </c>
      <c r="B20">
        <v>8251.256421</v>
      </c>
      <c r="C20">
        <v>8182.7844539999996</v>
      </c>
      <c r="D20">
        <v>8168.3355730000003</v>
      </c>
      <c r="E20">
        <v>8191.2663309999998</v>
      </c>
      <c r="F20">
        <v>8239.9130120000009</v>
      </c>
      <c r="G20">
        <v>8306.1530999999995</v>
      </c>
      <c r="H20">
        <v>8384.9727180000009</v>
      </c>
      <c r="I20">
        <v>8473.4298299999991</v>
      </c>
      <c r="J20">
        <v>8569.2031970000007</v>
      </c>
      <c r="K20">
        <v>8670.3748560000004</v>
      </c>
      <c r="L20">
        <v>8775.3060330000008</v>
      </c>
      <c r="M20">
        <v>8882.5442230000008</v>
      </c>
      <c r="N20">
        <v>8990.7536220000002</v>
      </c>
      <c r="O20">
        <v>9098.6627050000006</v>
      </c>
      <c r="P20">
        <v>9205.0230439999996</v>
      </c>
      <c r="Q20">
        <v>9308.5738020000008</v>
      </c>
      <c r="R20">
        <v>9408.7536359999995</v>
      </c>
      <c r="S20">
        <v>9505.5997970000008</v>
      </c>
      <c r="T20">
        <v>9598.8301439999996</v>
      </c>
      <c r="U20">
        <v>9687.9491309999994</v>
      </c>
      <c r="V20">
        <v>9772.3322900000003</v>
      </c>
      <c r="W20">
        <v>9851.2702169999993</v>
      </c>
      <c r="X20">
        <v>9923.9897560000009</v>
      </c>
      <c r="Y20">
        <v>9989.6639109999996</v>
      </c>
      <c r="Z20">
        <v>10047.417020000001</v>
      </c>
      <c r="AA20">
        <v>10096.328729999999</v>
      </c>
      <c r="AB20">
        <v>10135.43887</v>
      </c>
      <c r="AC20">
        <v>10163.754150000001</v>
      </c>
      <c r="AD20">
        <v>10180.257680000001</v>
      </c>
      <c r="AE20">
        <v>10183.92152</v>
      </c>
      <c r="AF20">
        <v>10173.722529999999</v>
      </c>
      <c r="AG20">
        <v>10148.661630000001</v>
      </c>
      <c r="AH20">
        <v>10107.786260000001</v>
      </c>
      <c r="AI20">
        <v>10050.215630000001</v>
      </c>
      <c r="AJ20">
        <v>9975.1682849999997</v>
      </c>
      <c r="AK20">
        <v>9881.9910660000005</v>
      </c>
    </row>
    <row r="21" spans="1:37" x14ac:dyDescent="0.25">
      <c r="A21" t="s">
        <v>92</v>
      </c>
      <c r="B21">
        <v>8251.256421</v>
      </c>
      <c r="C21">
        <v>8184.178527</v>
      </c>
      <c r="D21">
        <v>8171.8778769999999</v>
      </c>
      <c r="E21">
        <v>8197.5342110000001</v>
      </c>
      <c r="F21">
        <v>8249.6491499999993</v>
      </c>
      <c r="G21">
        <v>8320.4704320000001</v>
      </c>
      <c r="H21">
        <v>8404.7877079999998</v>
      </c>
      <c r="I21">
        <v>8499.0715280000004</v>
      </c>
      <c r="J21">
        <v>8600.8872150000007</v>
      </c>
      <c r="K21">
        <v>8708.5096250000006</v>
      </c>
      <c r="L21">
        <v>8820.6760479999994</v>
      </c>
      <c r="M21">
        <v>8936.4301090000008</v>
      </c>
      <c r="N21">
        <v>9055.0237899999993</v>
      </c>
      <c r="O21">
        <v>9175.8556850000004</v>
      </c>
      <c r="P21">
        <v>9298.4315650000008</v>
      </c>
      <c r="Q21">
        <v>9422.3384829999995</v>
      </c>
      <c r="R21">
        <v>9547.2271970000002</v>
      </c>
      <c r="S21">
        <v>9672.7997749999995</v>
      </c>
      <c r="T21">
        <v>9798.8005140000005</v>
      </c>
      <c r="U21">
        <v>9925.0090739999996</v>
      </c>
      <c r="V21">
        <v>10051.23516</v>
      </c>
      <c r="W21">
        <v>10177.31431</v>
      </c>
      <c r="X21">
        <v>10303.10454</v>
      </c>
      <c r="Y21">
        <v>10428.483620000001</v>
      </c>
      <c r="Z21">
        <v>10553.34671</v>
      </c>
      <c r="AA21">
        <v>10677.604530000001</v>
      </c>
      <c r="AB21">
        <v>10801.181570000001</v>
      </c>
      <c r="AC21">
        <v>10924.014639999999</v>
      </c>
      <c r="AD21">
        <v>11046.05148</v>
      </c>
      <c r="AE21">
        <v>11167.24944</v>
      </c>
      <c r="AF21">
        <v>11287.574280000001</v>
      </c>
      <c r="AG21">
        <v>11406.99901</v>
      </c>
      <c r="AH21">
        <v>11525.50275</v>
      </c>
      <c r="AI21">
        <v>11643.06969</v>
      </c>
      <c r="AJ21">
        <v>11759.68808</v>
      </c>
      <c r="AK21">
        <v>11875.349249999999</v>
      </c>
    </row>
    <row r="22" spans="1:37" x14ac:dyDescent="0.25">
      <c r="A22" t="s">
        <v>68</v>
      </c>
      <c r="B22">
        <v>6777.6024520000001</v>
      </c>
      <c r="C22">
        <v>6646.7628590000004</v>
      </c>
      <c r="D22">
        <v>6558.9663870000004</v>
      </c>
      <c r="E22">
        <v>6502.0081840000003</v>
      </c>
      <c r="F22">
        <v>6467.26224</v>
      </c>
      <c r="G22">
        <v>6448.6372609999999</v>
      </c>
      <c r="H22">
        <v>6442.2478430000001</v>
      </c>
      <c r="I22">
        <v>6445.6930149999998</v>
      </c>
      <c r="J22">
        <v>6457.0498120000002</v>
      </c>
      <c r="K22">
        <v>6474.7042330000004</v>
      </c>
      <c r="L22">
        <v>6497.2552610000002</v>
      </c>
      <c r="M22">
        <v>6523.4452289999999</v>
      </c>
      <c r="N22">
        <v>6552.1088769999997</v>
      </c>
      <c r="O22">
        <v>6582.1355510000003</v>
      </c>
      <c r="P22">
        <v>6612.4398520000004</v>
      </c>
      <c r="Q22">
        <v>6641.9366570000002</v>
      </c>
      <c r="R22">
        <v>6670.0211129999998</v>
      </c>
      <c r="S22">
        <v>6696.5179209999997</v>
      </c>
      <c r="T22">
        <v>6721.0788030000003</v>
      </c>
      <c r="U22">
        <v>6743.242346</v>
      </c>
      <c r="V22">
        <v>6762.4847749999999</v>
      </c>
      <c r="W22">
        <v>6778.2466480000003</v>
      </c>
      <c r="X22">
        <v>6789.9460079999999</v>
      </c>
      <c r="Y22">
        <v>6796.9849889999996</v>
      </c>
      <c r="Z22">
        <v>6798.7538560000003</v>
      </c>
      <c r="AA22">
        <v>6794.6346009999997</v>
      </c>
      <c r="AB22">
        <v>6784.0052619999997</v>
      </c>
      <c r="AC22">
        <v>6766.2455490000002</v>
      </c>
      <c r="AD22">
        <v>6740.7441310000004</v>
      </c>
      <c r="AE22">
        <v>6706.9076919999998</v>
      </c>
      <c r="AF22">
        <v>6664.1717500000004</v>
      </c>
      <c r="AG22">
        <v>6612.0131240000001</v>
      </c>
      <c r="AH22">
        <v>6549.9637679999996</v>
      </c>
      <c r="AI22">
        <v>6477.6256270000003</v>
      </c>
      <c r="AJ22">
        <v>6394.6860070000002</v>
      </c>
      <c r="AK22">
        <v>6300.9328379999997</v>
      </c>
    </row>
    <row r="23" spans="1:37" x14ac:dyDescent="0.25">
      <c r="A23" t="s">
        <v>93</v>
      </c>
      <c r="B23">
        <v>6777.6024520000001</v>
      </c>
      <c r="C23">
        <v>6647.7392339999997</v>
      </c>
      <c r="D23">
        <v>6561.4777880000001</v>
      </c>
      <c r="E23">
        <v>6506.5051000000003</v>
      </c>
      <c r="F23">
        <v>6474.3213969999997</v>
      </c>
      <c r="G23">
        <v>6459.1067370000001</v>
      </c>
      <c r="H23">
        <v>6456.8591409999999</v>
      </c>
      <c r="I23">
        <v>6464.7815380000002</v>
      </c>
      <c r="J23">
        <v>6480.8662649999997</v>
      </c>
      <c r="K23">
        <v>6503.6228220000003</v>
      </c>
      <c r="L23">
        <v>6531.9035240000003</v>
      </c>
      <c r="M23">
        <v>6564.7932879999998</v>
      </c>
      <c r="N23">
        <v>6601.5401860000002</v>
      </c>
      <c r="O23">
        <v>6641.5113270000002</v>
      </c>
      <c r="P23">
        <v>6684.1642849999998</v>
      </c>
      <c r="Q23">
        <v>6729.0279730000002</v>
      </c>
      <c r="R23">
        <v>6775.6893330000003</v>
      </c>
      <c r="S23">
        <v>6823.7836639999996</v>
      </c>
      <c r="T23">
        <v>6872.9873250000001</v>
      </c>
      <c r="U23">
        <v>6923.012025</v>
      </c>
      <c r="V23">
        <v>6973.600265</v>
      </c>
      <c r="W23">
        <v>7024.5216149999997</v>
      </c>
      <c r="X23">
        <v>7075.56963</v>
      </c>
      <c r="Y23">
        <v>7126.559252</v>
      </c>
      <c r="Z23">
        <v>7177.324595</v>
      </c>
      <c r="AA23">
        <v>7227.7170050000004</v>
      </c>
      <c r="AB23">
        <v>7277.6033479999996</v>
      </c>
      <c r="AC23">
        <v>7326.8644670000003</v>
      </c>
      <c r="AD23">
        <v>7375.3937619999997</v>
      </c>
      <c r="AE23">
        <v>7423.0958760000003</v>
      </c>
      <c r="AF23">
        <v>7469.8854730000003</v>
      </c>
      <c r="AG23">
        <v>7515.6860820000002</v>
      </c>
      <c r="AH23">
        <v>7560.4290179999998</v>
      </c>
      <c r="AI23">
        <v>7604.0523620000004</v>
      </c>
      <c r="AJ23">
        <v>7646.5000209999998</v>
      </c>
      <c r="AK23">
        <v>7687.7208369999998</v>
      </c>
    </row>
    <row r="24" spans="1:37" x14ac:dyDescent="0.25">
      <c r="A24" t="s">
        <v>69</v>
      </c>
      <c r="B24">
        <v>4159.6639080000004</v>
      </c>
      <c r="C24">
        <v>4054.5797419999999</v>
      </c>
      <c r="D24">
        <v>3973.8284979999999</v>
      </c>
      <c r="E24">
        <v>3910.0598810000001</v>
      </c>
      <c r="F24">
        <v>3858.1675019999998</v>
      </c>
      <c r="G24">
        <v>3814.603525</v>
      </c>
      <c r="H24">
        <v>3777.1169620000001</v>
      </c>
      <c r="I24">
        <v>3744.3155849999998</v>
      </c>
      <c r="J24">
        <v>3715.1046860000001</v>
      </c>
      <c r="K24">
        <v>3688.5794689999998</v>
      </c>
      <c r="L24">
        <v>3663.966539</v>
      </c>
      <c r="M24">
        <v>3640.5846419999998</v>
      </c>
      <c r="N24">
        <v>3617.8179610000002</v>
      </c>
      <c r="O24">
        <v>3595.0978479999999</v>
      </c>
      <c r="P24">
        <v>3571.8900829999998</v>
      </c>
      <c r="Q24">
        <v>3547.6856480000001</v>
      </c>
      <c r="R24">
        <v>3522.2278809999998</v>
      </c>
      <c r="S24">
        <v>3495.4858749999999</v>
      </c>
      <c r="T24">
        <v>3467.3739759999999</v>
      </c>
      <c r="U24">
        <v>3437.7763599999998</v>
      </c>
      <c r="V24">
        <v>3406.5692130000002</v>
      </c>
      <c r="W24">
        <v>3373.63229</v>
      </c>
      <c r="X24">
        <v>3338.854241</v>
      </c>
      <c r="Y24">
        <v>3302.1347110000002</v>
      </c>
      <c r="Z24">
        <v>3263.3849359999999</v>
      </c>
      <c r="AA24">
        <v>3222.5277270000001</v>
      </c>
      <c r="AB24">
        <v>3179.4972859999998</v>
      </c>
      <c r="AC24">
        <v>3134.2390569999998</v>
      </c>
      <c r="AD24">
        <v>3086.7097010000002</v>
      </c>
      <c r="AE24">
        <v>3036.8772060000001</v>
      </c>
      <c r="AF24">
        <v>2984.7211400000001</v>
      </c>
      <c r="AG24">
        <v>2930.233025</v>
      </c>
      <c r="AH24">
        <v>2873.4168239999999</v>
      </c>
      <c r="AI24">
        <v>2814.28955</v>
      </c>
      <c r="AJ24">
        <v>2752.881969</v>
      </c>
      <c r="AK24">
        <v>2689.239435</v>
      </c>
    </row>
    <row r="25" spans="1:37" x14ac:dyDescent="0.25">
      <c r="A25" t="s">
        <v>94</v>
      </c>
      <c r="B25">
        <v>4159.6639080000004</v>
      </c>
      <c r="C25">
        <v>4055.1231299999999</v>
      </c>
      <c r="D25">
        <v>3975.232931</v>
      </c>
      <c r="E25">
        <v>3912.580833</v>
      </c>
      <c r="F25">
        <v>3862.1234340000001</v>
      </c>
      <c r="G25">
        <v>3820.4515780000002</v>
      </c>
      <c r="H25">
        <v>3785.243532</v>
      </c>
      <c r="I25">
        <v>3754.885698</v>
      </c>
      <c r="J25">
        <v>3728.221814</v>
      </c>
      <c r="K25">
        <v>3704.392398</v>
      </c>
      <c r="L25">
        <v>3682.7340829999998</v>
      </c>
      <c r="M25">
        <v>3662.7171469999998</v>
      </c>
      <c r="N25">
        <v>3643.9066910000001</v>
      </c>
      <c r="O25">
        <v>3625.9381819999999</v>
      </c>
      <c r="P25">
        <v>3608.501608</v>
      </c>
      <c r="Q25">
        <v>3591.3308040000002</v>
      </c>
      <c r="R25">
        <v>3574.1959099999999</v>
      </c>
      <c r="S25">
        <v>3556.897802</v>
      </c>
      <c r="T25">
        <v>3539.263817</v>
      </c>
      <c r="U25">
        <v>3521.1443530000001</v>
      </c>
      <c r="V25">
        <v>3502.4101219999998</v>
      </c>
      <c r="W25">
        <v>3482.9498749999998</v>
      </c>
      <c r="X25">
        <v>3462.668494</v>
      </c>
      <c r="Y25">
        <v>3441.4853720000001</v>
      </c>
      <c r="Z25">
        <v>3419.3330099999998</v>
      </c>
      <c r="AA25">
        <v>3396.1557819999998</v>
      </c>
      <c r="AB25">
        <v>3371.9088350000002</v>
      </c>
      <c r="AC25">
        <v>3346.5571</v>
      </c>
      <c r="AD25">
        <v>3320.0743790000001</v>
      </c>
      <c r="AE25">
        <v>3292.4425150000002</v>
      </c>
      <c r="AF25">
        <v>3263.6506209999998</v>
      </c>
      <c r="AG25">
        <v>3233.6943660000002</v>
      </c>
      <c r="AH25">
        <v>3202.5753220000001</v>
      </c>
      <c r="AI25">
        <v>3170.300358</v>
      </c>
      <c r="AJ25">
        <v>3136.8810910000002</v>
      </c>
      <c r="AK25">
        <v>3102.3333859999998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2395.2654680000001</v>
      </c>
      <c r="E26">
        <v>2356.683145</v>
      </c>
      <c r="F26">
        <v>2323.7961850000002</v>
      </c>
      <c r="G26">
        <v>2294.4653119999998</v>
      </c>
      <c r="H26">
        <v>2267.380537</v>
      </c>
      <c r="I26">
        <v>2241.7722570000001</v>
      </c>
      <c r="J26">
        <v>2217.0646809999998</v>
      </c>
      <c r="K26">
        <v>2192.8016640000001</v>
      </c>
      <c r="L26">
        <v>2168.607501</v>
      </c>
      <c r="M26">
        <v>2144.1620480000001</v>
      </c>
      <c r="N26">
        <v>2119.1846540000001</v>
      </c>
      <c r="O26">
        <v>2093.42371</v>
      </c>
      <c r="P26">
        <v>2066.649754</v>
      </c>
      <c r="Q26">
        <v>2038.6508260000001</v>
      </c>
      <c r="R26">
        <v>2009.35256</v>
      </c>
      <c r="S26">
        <v>1978.8037879999999</v>
      </c>
      <c r="T26">
        <v>1947.0308769999999</v>
      </c>
      <c r="U26">
        <v>1914.048667</v>
      </c>
      <c r="V26">
        <v>1879.8711149999999</v>
      </c>
      <c r="W26">
        <v>1844.5167650000001</v>
      </c>
      <c r="X26">
        <v>1808.011115</v>
      </c>
      <c r="Y26">
        <v>1770.3873530000001</v>
      </c>
      <c r="Z26">
        <v>1731.6863330000001</v>
      </c>
      <c r="AA26">
        <v>1691.9562410000001</v>
      </c>
      <c r="AB26">
        <v>1651.2521509999999</v>
      </c>
      <c r="AC26">
        <v>1609.6355759999999</v>
      </c>
      <c r="AD26">
        <v>1567.174037</v>
      </c>
      <c r="AE26">
        <v>1523.9406530000001</v>
      </c>
      <c r="AF26">
        <v>1480.013733</v>
      </c>
      <c r="AG26">
        <v>1435.476369</v>
      </c>
      <c r="AH26">
        <v>1390.416017</v>
      </c>
      <c r="AI26">
        <v>1344.9240589999999</v>
      </c>
      <c r="AJ26">
        <v>1299.095358</v>
      </c>
      <c r="AK26">
        <v>1253.0278020000001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2358.2744779999998</v>
      </c>
      <c r="F27">
        <v>2326.3078700000001</v>
      </c>
      <c r="G27">
        <v>2298.1903590000002</v>
      </c>
      <c r="H27">
        <v>2272.5717709999999</v>
      </c>
      <c r="I27">
        <v>2248.5515999999998</v>
      </c>
      <c r="J27">
        <v>2225.5139140000001</v>
      </c>
      <c r="K27">
        <v>2203.023839</v>
      </c>
      <c r="L27">
        <v>2180.7639549999999</v>
      </c>
      <c r="M27">
        <v>2158.4955650000002</v>
      </c>
      <c r="N27">
        <v>2136.0350469999998</v>
      </c>
      <c r="O27">
        <v>2113.2391520000001</v>
      </c>
      <c r="P27">
        <v>2089.9955719999998</v>
      </c>
      <c r="Q27">
        <v>2066.2166120000002</v>
      </c>
      <c r="R27">
        <v>2041.834726</v>
      </c>
      <c r="S27">
        <v>2016.799209</v>
      </c>
      <c r="T27">
        <v>1991.0736569999999</v>
      </c>
      <c r="U27">
        <v>1964.6339390000001</v>
      </c>
      <c r="V27">
        <v>1937.4665560000001</v>
      </c>
      <c r="W27">
        <v>1909.5672770000001</v>
      </c>
      <c r="X27">
        <v>1880.9399940000001</v>
      </c>
      <c r="Y27">
        <v>1851.595738</v>
      </c>
      <c r="Z27">
        <v>1821.5518219999999</v>
      </c>
      <c r="AA27">
        <v>1790.8310879999999</v>
      </c>
      <c r="AB27">
        <v>1759.4612159999999</v>
      </c>
      <c r="AC27">
        <v>1727.4741120000001</v>
      </c>
      <c r="AD27">
        <v>1694.9053369999999</v>
      </c>
      <c r="AE27">
        <v>1661.7935769999999</v>
      </c>
      <c r="AF27">
        <v>1628.1801620000001</v>
      </c>
      <c r="AG27">
        <v>1594.1086150000001</v>
      </c>
      <c r="AH27">
        <v>1559.624239</v>
      </c>
      <c r="AI27">
        <v>1524.773735</v>
      </c>
      <c r="AJ27">
        <v>1489.604855</v>
      </c>
      <c r="AK27">
        <v>1454.1660850000001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1107.1769650000001</v>
      </c>
      <c r="H28">
        <v>1082.050888</v>
      </c>
      <c r="I28">
        <v>1056.334942</v>
      </c>
      <c r="J28">
        <v>1029.955195</v>
      </c>
      <c r="K28">
        <v>1002.894758</v>
      </c>
      <c r="L28">
        <v>975.17131440000003</v>
      </c>
      <c r="M28">
        <v>946.82415349999997</v>
      </c>
      <c r="N28">
        <v>917.90639620000002</v>
      </c>
      <c r="O28">
        <v>888.48020250000002</v>
      </c>
      <c r="P28">
        <v>858.61372919999997</v>
      </c>
      <c r="Q28">
        <v>828.37916280000002</v>
      </c>
      <c r="R28">
        <v>797.88431449999996</v>
      </c>
      <c r="S28">
        <v>767.26368239999999</v>
      </c>
      <c r="T28">
        <v>736.63803399999995</v>
      </c>
      <c r="U28">
        <v>706.11730850000004</v>
      </c>
      <c r="V28">
        <v>675.80339600000002</v>
      </c>
      <c r="W28">
        <v>645.79139239999995</v>
      </c>
      <c r="X28">
        <v>616.1699539</v>
      </c>
      <c r="Y28">
        <v>587.02122580000002</v>
      </c>
      <c r="Z28">
        <v>558.42062080000005</v>
      </c>
      <c r="AA28">
        <v>530.43659400000001</v>
      </c>
      <c r="AB28">
        <v>503.13047640000002</v>
      </c>
      <c r="AC28">
        <v>476.55638979999998</v>
      </c>
      <c r="AD28">
        <v>450.76124620000002</v>
      </c>
      <c r="AE28">
        <v>425.78482250000002</v>
      </c>
      <c r="AF28">
        <v>401.65990470000003</v>
      </c>
      <c r="AG28">
        <v>378.41249169999998</v>
      </c>
      <c r="AH28">
        <v>356.06205340000002</v>
      </c>
      <c r="AI28">
        <v>334.62183520000002</v>
      </c>
      <c r="AJ28">
        <v>314.09920460000001</v>
      </c>
      <c r="AK28">
        <v>294.49603300000001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1108.924158</v>
      </c>
      <c r="H29">
        <v>1084.4505790000001</v>
      </c>
      <c r="I29">
        <v>1059.4277460000001</v>
      </c>
      <c r="J29">
        <v>1033.760544</v>
      </c>
      <c r="K29">
        <v>1007.434588</v>
      </c>
      <c r="L29">
        <v>980.48231669999996</v>
      </c>
      <c r="M29">
        <v>952.96343330000002</v>
      </c>
      <c r="N29">
        <v>924.95350269999994</v>
      </c>
      <c r="O29">
        <v>896.53710699999999</v>
      </c>
      <c r="P29">
        <v>867.80354409999995</v>
      </c>
      <c r="Q29">
        <v>838.84397420000005</v>
      </c>
      <c r="R29">
        <v>809.74942620000002</v>
      </c>
      <c r="S29">
        <v>780.60934850000001</v>
      </c>
      <c r="T29">
        <v>751.51053019999995</v>
      </c>
      <c r="U29">
        <v>722.53628949999995</v>
      </c>
      <c r="V29">
        <v>693.76586459999999</v>
      </c>
      <c r="W29">
        <v>665.27396150000004</v>
      </c>
      <c r="X29">
        <v>637.13042619999999</v>
      </c>
      <c r="Y29">
        <v>609.40001570000004</v>
      </c>
      <c r="Z29">
        <v>582.14224999999999</v>
      </c>
      <c r="AA29">
        <v>555.41133009999999</v>
      </c>
      <c r="AB29">
        <v>529.25611179999999</v>
      </c>
      <c r="AC29">
        <v>503.72012810000001</v>
      </c>
      <c r="AD29">
        <v>478.8416527</v>
      </c>
      <c r="AE29">
        <v>454.6538008</v>
      </c>
      <c r="AF29">
        <v>431.184662</v>
      </c>
      <c r="AG29">
        <v>408.4574624</v>
      </c>
      <c r="AH29">
        <v>386.49075110000001</v>
      </c>
      <c r="AI29">
        <v>365.2986085</v>
      </c>
      <c r="AJ29">
        <v>344.89087239999998</v>
      </c>
      <c r="AK29">
        <v>325.27337849999998</v>
      </c>
    </row>
    <row r="30" spans="1:37" x14ac:dyDescent="0.25">
      <c r="A30" t="s">
        <v>72</v>
      </c>
      <c r="B30">
        <v>2239.620606</v>
      </c>
      <c r="C30">
        <v>2182.9511900000002</v>
      </c>
      <c r="D30">
        <v>2132.3988039999999</v>
      </c>
      <c r="E30">
        <v>2083.0710549999999</v>
      </c>
      <c r="F30">
        <v>2032.3339940000001</v>
      </c>
      <c r="G30">
        <v>1978.9455640000001</v>
      </c>
      <c r="H30">
        <v>1922.5733849999999</v>
      </c>
      <c r="I30">
        <v>1863.38723</v>
      </c>
      <c r="J30">
        <v>1801.724555</v>
      </c>
      <c r="K30">
        <v>1737.993365</v>
      </c>
      <c r="L30">
        <v>1672.625378</v>
      </c>
      <c r="M30">
        <v>1606.0510870000001</v>
      </c>
      <c r="N30">
        <v>1538.6862080000001</v>
      </c>
      <c r="O30">
        <v>1470.924264</v>
      </c>
      <c r="P30">
        <v>1403.132642</v>
      </c>
      <c r="Q30">
        <v>1335.6506919999999</v>
      </c>
      <c r="R30">
        <v>1268.8255959999999</v>
      </c>
      <c r="S30">
        <v>1202.999047</v>
      </c>
      <c r="T30">
        <v>1138.4631440000001</v>
      </c>
      <c r="U30">
        <v>1075.4659320000001</v>
      </c>
      <c r="V30">
        <v>1014.216772</v>
      </c>
      <c r="W30">
        <v>954.88991929999997</v>
      </c>
      <c r="X30">
        <v>897.62713929999995</v>
      </c>
      <c r="Y30">
        <v>842.53990799999997</v>
      </c>
      <c r="Z30">
        <v>789.71152359999996</v>
      </c>
      <c r="AA30">
        <v>739.19925909999995</v>
      </c>
      <c r="AB30">
        <v>691.03658819999998</v>
      </c>
      <c r="AC30">
        <v>645.23546690000001</v>
      </c>
      <c r="AD30">
        <v>601.78863509999996</v>
      </c>
      <c r="AE30">
        <v>560.67190059999996</v>
      </c>
      <c r="AF30">
        <v>521.84636839999996</v>
      </c>
      <c r="AG30">
        <v>485.26058890000002</v>
      </c>
      <c r="AH30">
        <v>450.85260019999998</v>
      </c>
      <c r="AI30">
        <v>418.55184789999998</v>
      </c>
      <c r="AJ30">
        <v>388.28096840000001</v>
      </c>
      <c r="AK30">
        <v>359.95742710000002</v>
      </c>
    </row>
    <row r="31" spans="1:37" x14ac:dyDescent="0.25">
      <c r="A31" t="s">
        <v>97</v>
      </c>
      <c r="B31">
        <v>2239.620606</v>
      </c>
      <c r="C31">
        <v>2183.255905</v>
      </c>
      <c r="D31">
        <v>2133.1945719999999</v>
      </c>
      <c r="E31">
        <v>2084.5006480000002</v>
      </c>
      <c r="F31">
        <v>2034.5554790000001</v>
      </c>
      <c r="G31">
        <v>1982.1610049999999</v>
      </c>
      <c r="H31">
        <v>1926.93686</v>
      </c>
      <c r="I31">
        <v>1868.9489080000001</v>
      </c>
      <c r="J31">
        <v>1808.492602</v>
      </c>
      <c r="K31">
        <v>1745.9712300000001</v>
      </c>
      <c r="L31">
        <v>1681.829168</v>
      </c>
      <c r="M31">
        <v>1616.515836</v>
      </c>
      <c r="N31">
        <v>1550.466347</v>
      </c>
      <c r="O31">
        <v>1484.0911450000001</v>
      </c>
      <c r="P31">
        <v>1417.7705080000001</v>
      </c>
      <c r="Q31">
        <v>1351.8517790000001</v>
      </c>
      <c r="R31">
        <v>1286.6482120000001</v>
      </c>
      <c r="S31">
        <v>1222.4388469999999</v>
      </c>
      <c r="T31">
        <v>1159.4690720000001</v>
      </c>
      <c r="U31">
        <v>1097.951673</v>
      </c>
      <c r="V31">
        <v>1038.0682320000001</v>
      </c>
      <c r="W31">
        <v>979.97076800000002</v>
      </c>
      <c r="X31">
        <v>923.78353949999996</v>
      </c>
      <c r="Y31">
        <v>869.6049567</v>
      </c>
      <c r="Z31">
        <v>817.50954709999996</v>
      </c>
      <c r="AA31">
        <v>767.54994399999998</v>
      </c>
      <c r="AB31">
        <v>719.75886479999997</v>
      </c>
      <c r="AC31">
        <v>674.1510591</v>
      </c>
      <c r="AD31">
        <v>630.72520759999998</v>
      </c>
      <c r="AE31">
        <v>589.4657555</v>
      </c>
      <c r="AF31">
        <v>550.34467140000004</v>
      </c>
      <c r="AG31">
        <v>513.32311849999996</v>
      </c>
      <c r="AH31">
        <v>478.3530331</v>
      </c>
      <c r="AI31">
        <v>445.37860369999999</v>
      </c>
      <c r="AJ31">
        <v>414.33764600000001</v>
      </c>
      <c r="AK31">
        <v>385.16287219999998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20.44188892</v>
      </c>
      <c r="E32">
        <v>26.112449139999999</v>
      </c>
      <c r="F32">
        <v>31.950416000000001</v>
      </c>
      <c r="G32">
        <v>37.949261730000003</v>
      </c>
      <c r="H32">
        <v>44.142141090000003</v>
      </c>
      <c r="I32">
        <v>50.582779780000003</v>
      </c>
      <c r="J32">
        <v>57.325872269999998</v>
      </c>
      <c r="K32">
        <v>64.430769369999993</v>
      </c>
      <c r="L32">
        <v>71.966934690000002</v>
      </c>
      <c r="M32">
        <v>80.020459020000004</v>
      </c>
      <c r="N32">
        <v>88.701914599999995</v>
      </c>
      <c r="O32">
        <v>98.156257339999996</v>
      </c>
      <c r="P32">
        <v>108.57594520000001</v>
      </c>
      <c r="Q32">
        <v>120.2190784</v>
      </c>
      <c r="R32">
        <v>133.4370993</v>
      </c>
      <c r="S32">
        <v>148.6682544</v>
      </c>
      <c r="T32">
        <v>166.4089108</v>
      </c>
      <c r="U32">
        <v>187.22067989999999</v>
      </c>
      <c r="V32">
        <v>211.73773399999999</v>
      </c>
      <c r="W32">
        <v>240.67353679999999</v>
      </c>
      <c r="X32">
        <v>274.82690589999999</v>
      </c>
      <c r="Y32">
        <v>315.08722010000002</v>
      </c>
      <c r="Z32">
        <v>362.4384718</v>
      </c>
      <c r="AA32">
        <v>417.9617619</v>
      </c>
      <c r="AB32">
        <v>482.83575330000002</v>
      </c>
      <c r="AC32">
        <v>558.33453750000001</v>
      </c>
      <c r="AD32">
        <v>645.82233480000002</v>
      </c>
      <c r="AE32">
        <v>746.74444080000001</v>
      </c>
      <c r="AF32">
        <v>862.61385929999994</v>
      </c>
      <c r="AG32">
        <v>994.99314949999996</v>
      </c>
      <c r="AH32">
        <v>1145.4711460000001</v>
      </c>
      <c r="AI32">
        <v>1315.634419</v>
      </c>
      <c r="AJ32">
        <v>1507.033623</v>
      </c>
      <c r="AK32">
        <v>1721.1452220000001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20.42298388</v>
      </c>
      <c r="E33">
        <v>26.012772640000001</v>
      </c>
      <c r="F33">
        <v>31.67694968</v>
      </c>
      <c r="G33">
        <v>37.362607220000001</v>
      </c>
      <c r="H33">
        <v>43.037132409999998</v>
      </c>
      <c r="I33">
        <v>48.681062070000003</v>
      </c>
      <c r="J33">
        <v>54.283284770000002</v>
      </c>
      <c r="K33">
        <v>59.837947139999997</v>
      </c>
      <c r="L33">
        <v>65.342511110000004</v>
      </c>
      <c r="M33">
        <v>70.796552160000005</v>
      </c>
      <c r="N33">
        <v>76.201020200000002</v>
      </c>
      <c r="O33">
        <v>81.557783619999995</v>
      </c>
      <c r="P33">
        <v>86.869346559999997</v>
      </c>
      <c r="Q33">
        <v>92.138671560000006</v>
      </c>
      <c r="R33">
        <v>97.369068650000003</v>
      </c>
      <c r="S33">
        <v>102.5641272</v>
      </c>
      <c r="T33">
        <v>107.7276766</v>
      </c>
      <c r="U33">
        <v>112.8637671</v>
      </c>
      <c r="V33">
        <v>117.9766642</v>
      </c>
      <c r="W33">
        <v>123.0708537</v>
      </c>
      <c r="X33">
        <v>128.1510553</v>
      </c>
      <c r="Y33">
        <v>133.22224080000001</v>
      </c>
      <c r="Z33">
        <v>138.2896585</v>
      </c>
      <c r="AA33">
        <v>143.3588603</v>
      </c>
      <c r="AB33">
        <v>148.43573280000001</v>
      </c>
      <c r="AC33">
        <v>153.52652990000001</v>
      </c>
      <c r="AD33">
        <v>158.63790850000001</v>
      </c>
      <c r="AE33">
        <v>163.7769668</v>
      </c>
      <c r="AF33">
        <v>168.95128389999999</v>
      </c>
      <c r="AG33">
        <v>174.1689633</v>
      </c>
      <c r="AH33">
        <v>179.43867850000001</v>
      </c>
      <c r="AI33">
        <v>184.7697221</v>
      </c>
      <c r="AJ33">
        <v>190.1720593</v>
      </c>
      <c r="AK33">
        <v>195.65638519999999</v>
      </c>
    </row>
    <row r="34" spans="1:37" x14ac:dyDescent="0.25">
      <c r="A34" t="s">
        <v>74</v>
      </c>
      <c r="B34">
        <v>11.44571741</v>
      </c>
      <c r="C34">
        <v>16.298725730000001</v>
      </c>
      <c r="D34">
        <v>21.445142629999999</v>
      </c>
      <c r="E34">
        <v>26.792131120000001</v>
      </c>
      <c r="F34">
        <v>32.294000230000002</v>
      </c>
      <c r="G34">
        <v>37.945945260000002</v>
      </c>
      <c r="H34">
        <v>43.781767790000004</v>
      </c>
      <c r="I34">
        <v>49.854747240000002</v>
      </c>
      <c r="J34">
        <v>56.21847236</v>
      </c>
      <c r="K34">
        <v>62.930440470000001</v>
      </c>
      <c r="L34">
        <v>70.057372700000002</v>
      </c>
      <c r="M34">
        <v>77.681484060000003</v>
      </c>
      <c r="N34">
        <v>85.907924730000005</v>
      </c>
      <c r="O34">
        <v>94.874013860000005</v>
      </c>
      <c r="P34">
        <v>104.76130120000001</v>
      </c>
      <c r="Q34">
        <v>115.8120426</v>
      </c>
      <c r="R34">
        <v>128.35424190000001</v>
      </c>
      <c r="S34">
        <v>142.7937646</v>
      </c>
      <c r="T34">
        <v>159.58537770000001</v>
      </c>
      <c r="U34">
        <v>179.2376491</v>
      </c>
      <c r="V34">
        <v>202.3178685</v>
      </c>
      <c r="W34">
        <v>229.45618899999999</v>
      </c>
      <c r="X34">
        <v>261.34888030000002</v>
      </c>
      <c r="Y34">
        <v>298.76051790000002</v>
      </c>
      <c r="Z34">
        <v>342.52484459999999</v>
      </c>
      <c r="AA34">
        <v>393.54397510000001</v>
      </c>
      <c r="AB34">
        <v>452.78556479999997</v>
      </c>
      <c r="AC34">
        <v>521.27754449999998</v>
      </c>
      <c r="AD34">
        <v>600.1000229</v>
      </c>
      <c r="AE34">
        <v>690.37399719999996</v>
      </c>
      <c r="AF34">
        <v>793.2465737</v>
      </c>
      <c r="AG34">
        <v>909.87251289999995</v>
      </c>
      <c r="AH34">
        <v>1041.3920660000001</v>
      </c>
      <c r="AI34">
        <v>1188.9052670000001</v>
      </c>
      <c r="AJ34">
        <v>1353.4430850000001</v>
      </c>
      <c r="AK34">
        <v>1535.9361309999999</v>
      </c>
    </row>
    <row r="35" spans="1:37" x14ac:dyDescent="0.25">
      <c r="A35" t="s">
        <v>99</v>
      </c>
      <c r="B35">
        <v>11.44571741</v>
      </c>
      <c r="C35">
        <v>16.302055960000001</v>
      </c>
      <c r="D35">
        <v>21.42389696</v>
      </c>
      <c r="E35">
        <v>26.687145130000001</v>
      </c>
      <c r="F35">
        <v>32.010429279999997</v>
      </c>
      <c r="G35">
        <v>37.342129300000003</v>
      </c>
      <c r="H35">
        <v>42.650406009999998</v>
      </c>
      <c r="I35">
        <v>47.916153549999997</v>
      </c>
      <c r="J35">
        <v>53.128303359999997</v>
      </c>
      <c r="K35">
        <v>58.280818070000002</v>
      </c>
      <c r="L35">
        <v>63.370816159999997</v>
      </c>
      <c r="M35">
        <v>68.397418049999999</v>
      </c>
      <c r="N35">
        <v>73.361038930000007</v>
      </c>
      <c r="O35">
        <v>78.262953139999993</v>
      </c>
      <c r="P35">
        <v>83.105023459999998</v>
      </c>
      <c r="Q35">
        <v>87.889530539999996</v>
      </c>
      <c r="R35">
        <v>92.619065109999994</v>
      </c>
      <c r="S35">
        <v>97.296460890000006</v>
      </c>
      <c r="T35">
        <v>101.9247546</v>
      </c>
      <c r="U35">
        <v>106.507165</v>
      </c>
      <c r="V35">
        <v>111.0470847</v>
      </c>
      <c r="W35">
        <v>115.5480821</v>
      </c>
      <c r="X35">
        <v>120.0139095</v>
      </c>
      <c r="Y35">
        <v>124.4485177</v>
      </c>
      <c r="Z35">
        <v>128.85607329999999</v>
      </c>
      <c r="AA35">
        <v>133.2409796</v>
      </c>
      <c r="AB35">
        <v>137.607899</v>
      </c>
      <c r="AC35">
        <v>141.96177779999999</v>
      </c>
      <c r="AD35">
        <v>146.30787179999999</v>
      </c>
      <c r="AE35">
        <v>150.6517728</v>
      </c>
      <c r="AF35">
        <v>154.999437</v>
      </c>
      <c r="AG35">
        <v>159.35721409999999</v>
      </c>
      <c r="AH35">
        <v>163.7318784</v>
      </c>
      <c r="AI35">
        <v>168.13066079999999</v>
      </c>
      <c r="AJ35">
        <v>172.5612836</v>
      </c>
      <c r="AK35">
        <v>177.03199749999999</v>
      </c>
    </row>
    <row r="36" spans="1:37" x14ac:dyDescent="0.25">
      <c r="A36" t="s">
        <v>75</v>
      </c>
      <c r="B36">
        <v>9.4015406210000005</v>
      </c>
      <c r="C36">
        <v>12.69768285</v>
      </c>
      <c r="D36">
        <v>16.19335895</v>
      </c>
      <c r="E36">
        <v>19.823554609999999</v>
      </c>
      <c r="F36">
        <v>23.556821750000001</v>
      </c>
      <c r="G36">
        <v>27.39065647</v>
      </c>
      <c r="H36">
        <v>31.34954905</v>
      </c>
      <c r="I36">
        <v>35.47124152</v>
      </c>
      <c r="J36">
        <v>39.793247970000003</v>
      </c>
      <c r="K36">
        <v>44.35537171</v>
      </c>
      <c r="L36">
        <v>49.203413930000004</v>
      </c>
      <c r="M36">
        <v>54.393495029999997</v>
      </c>
      <c r="N36">
        <v>59.99710151</v>
      </c>
      <c r="O36">
        <v>66.107249269999997</v>
      </c>
      <c r="P36">
        <v>72.846419979999993</v>
      </c>
      <c r="Q36">
        <v>80.377270300000006</v>
      </c>
      <c r="R36">
        <v>88.91887423</v>
      </c>
      <c r="S36">
        <v>98.740275030000006</v>
      </c>
      <c r="T36">
        <v>110.1396676</v>
      </c>
      <c r="U36">
        <v>123.4465984</v>
      </c>
      <c r="V36">
        <v>139.024114</v>
      </c>
      <c r="W36">
        <v>157.27027609999999</v>
      </c>
      <c r="X36">
        <v>178.61896239999999</v>
      </c>
      <c r="Y36">
        <v>203.53984109999999</v>
      </c>
      <c r="Z36">
        <v>232.53736660000001</v>
      </c>
      <c r="AA36">
        <v>266.14861280000002</v>
      </c>
      <c r="AB36">
        <v>304.93974739999999</v>
      </c>
      <c r="AC36">
        <v>349.50095399999998</v>
      </c>
      <c r="AD36">
        <v>400.43962970000001</v>
      </c>
      <c r="AE36">
        <v>458.3717302</v>
      </c>
      <c r="AF36">
        <v>523.9111881</v>
      </c>
      <c r="AG36">
        <v>597.65742379999995</v>
      </c>
      <c r="AH36">
        <v>680.18106290000003</v>
      </c>
      <c r="AI36">
        <v>772.00810660000002</v>
      </c>
      <c r="AJ36">
        <v>873.60293979999994</v>
      </c>
      <c r="AK36">
        <v>985.35070729999995</v>
      </c>
    </row>
    <row r="37" spans="1:37" x14ac:dyDescent="0.25">
      <c r="A37" t="s">
        <v>100</v>
      </c>
      <c r="B37">
        <v>9.4015406210000005</v>
      </c>
      <c r="C37">
        <v>12.69963972</v>
      </c>
      <c r="D37">
        <v>16.176694980000001</v>
      </c>
      <c r="E37">
        <v>19.745033970000001</v>
      </c>
      <c r="F37">
        <v>23.347366480000002</v>
      </c>
      <c r="G37">
        <v>26.947438290000001</v>
      </c>
      <c r="H37">
        <v>30.522893849999999</v>
      </c>
      <c r="I37">
        <v>34.060268610000001</v>
      </c>
      <c r="J37">
        <v>37.551677079999997</v>
      </c>
      <c r="K37">
        <v>40.992707719999999</v>
      </c>
      <c r="L37">
        <v>44.381118090000001</v>
      </c>
      <c r="M37">
        <v>47.716036359999997</v>
      </c>
      <c r="N37">
        <v>50.997473849999999</v>
      </c>
      <c r="O37">
        <v>54.226025239999998</v>
      </c>
      <c r="P37">
        <v>57.402682130000002</v>
      </c>
      <c r="Q37">
        <v>60.528715060000003</v>
      </c>
      <c r="R37">
        <v>63.605598559999997</v>
      </c>
      <c r="S37">
        <v>66.634963760000005</v>
      </c>
      <c r="T37">
        <v>69.618569719999996</v>
      </c>
      <c r="U37">
        <v>72.558287469999996</v>
      </c>
      <c r="V37">
        <v>75.456092889999994</v>
      </c>
      <c r="W37">
        <v>78.314065979999995</v>
      </c>
      <c r="X37">
        <v>81.13439468</v>
      </c>
      <c r="Y37">
        <v>83.919381950000002</v>
      </c>
      <c r="Z37">
        <v>86.671455140000006</v>
      </c>
      <c r="AA37">
        <v>89.393176929999996</v>
      </c>
      <c r="AB37">
        <v>92.087257199999996</v>
      </c>
      <c r="AC37">
        <v>94.756565589999994</v>
      </c>
      <c r="AD37">
        <v>97.404144360000004</v>
      </c>
      <c r="AE37">
        <v>100.0332216</v>
      </c>
      <c r="AF37">
        <v>102.6472243</v>
      </c>
      <c r="AG37">
        <v>105.2497925</v>
      </c>
      <c r="AH37">
        <v>107.8447925</v>
      </c>
      <c r="AI37">
        <v>110.43633149999999</v>
      </c>
      <c r="AJ37">
        <v>113.0287725</v>
      </c>
      <c r="AK37">
        <v>115.6267496</v>
      </c>
    </row>
    <row r="38" spans="1:37" x14ac:dyDescent="0.25">
      <c r="A38" t="s">
        <v>76</v>
      </c>
      <c r="B38">
        <v>5.770071272</v>
      </c>
      <c r="C38">
        <v>7.5615054730000004</v>
      </c>
      <c r="D38">
        <v>9.4379838589999991</v>
      </c>
      <c r="E38">
        <v>11.35207945</v>
      </c>
      <c r="F38">
        <v>13.275194150000001</v>
      </c>
      <c r="G38">
        <v>15.19295917</v>
      </c>
      <c r="H38">
        <v>17.10332404</v>
      </c>
      <c r="I38">
        <v>19.010938110000001</v>
      </c>
      <c r="J38">
        <v>20.921141630000001</v>
      </c>
      <c r="K38">
        <v>22.840063820000001</v>
      </c>
      <c r="L38">
        <v>24.775194509999999</v>
      </c>
      <c r="M38">
        <v>26.73612</v>
      </c>
      <c r="N38">
        <v>28.735392220000001</v>
      </c>
      <c r="O38">
        <v>30.789568280000001</v>
      </c>
      <c r="P38">
        <v>32.920506150000001</v>
      </c>
      <c r="Q38">
        <v>35.157052210000003</v>
      </c>
      <c r="R38">
        <v>37.538923269999998</v>
      </c>
      <c r="S38">
        <v>40.114565859999999</v>
      </c>
      <c r="T38">
        <v>42.934930999999999</v>
      </c>
      <c r="U38">
        <v>46.053606670000001</v>
      </c>
      <c r="V38">
        <v>49.526958950000001</v>
      </c>
      <c r="W38">
        <v>53.41412141</v>
      </c>
      <c r="X38">
        <v>57.776851649999998</v>
      </c>
      <c r="Y38">
        <v>62.679266990000002</v>
      </c>
      <c r="Z38">
        <v>68.187461170000006</v>
      </c>
      <c r="AA38">
        <v>74.368996670000001</v>
      </c>
      <c r="AB38">
        <v>81.292263750000004</v>
      </c>
      <c r="AC38">
        <v>89.025695900000002</v>
      </c>
      <c r="AD38">
        <v>97.636831959999995</v>
      </c>
      <c r="AE38">
        <v>107.191216</v>
      </c>
      <c r="AF38">
        <v>117.7511284</v>
      </c>
      <c r="AG38">
        <v>129.37414480000001</v>
      </c>
      <c r="AH38">
        <v>142.1115246</v>
      </c>
      <c r="AI38">
        <v>156.0064361</v>
      </c>
      <c r="AJ38">
        <v>171.09203640000001</v>
      </c>
      <c r="AK38">
        <v>187.38943420000001</v>
      </c>
    </row>
    <row r="39" spans="1:37" x14ac:dyDescent="0.25">
      <c r="A39" t="s">
        <v>101</v>
      </c>
      <c r="B39">
        <v>5.770071272</v>
      </c>
      <c r="C39">
        <v>7.5646068240000002</v>
      </c>
      <c r="D39">
        <v>9.4403133399999994</v>
      </c>
      <c r="E39">
        <v>11.343636529999999</v>
      </c>
      <c r="F39">
        <v>13.239824179999999</v>
      </c>
      <c r="G39">
        <v>15.10698481</v>
      </c>
      <c r="H39">
        <v>16.931633550000001</v>
      </c>
      <c r="I39">
        <v>18.70561438</v>
      </c>
      <c r="J39">
        <v>20.42408696</v>
      </c>
      <c r="K39">
        <v>22.084258550000001</v>
      </c>
      <c r="L39">
        <v>23.684604849999999</v>
      </c>
      <c r="M39">
        <v>25.224398170000001</v>
      </c>
      <c r="N39">
        <v>26.703422979999999</v>
      </c>
      <c r="O39">
        <v>28.121803239999998</v>
      </c>
      <c r="P39">
        <v>29.479895930000001</v>
      </c>
      <c r="Q39">
        <v>30.778223629999999</v>
      </c>
      <c r="R39">
        <v>32.017430560000001</v>
      </c>
      <c r="S39">
        <v>33.198253119999997</v>
      </c>
      <c r="T39">
        <v>34.321499789999997</v>
      </c>
      <c r="U39">
        <v>35.388037150000002</v>
      </c>
      <c r="V39">
        <v>36.398780209999998</v>
      </c>
      <c r="W39">
        <v>37.354685549999999</v>
      </c>
      <c r="X39">
        <v>38.256746649999997</v>
      </c>
      <c r="Y39">
        <v>39.105990560000002</v>
      </c>
      <c r="Z39">
        <v>39.903475469999997</v>
      </c>
      <c r="AA39">
        <v>40.650288830000001</v>
      </c>
      <c r="AB39">
        <v>41.347545820000001</v>
      </c>
      <c r="AC39">
        <v>41.996387830000003</v>
      </c>
      <c r="AD39">
        <v>42.597980939999999</v>
      </c>
      <c r="AE39">
        <v>43.153514319999999</v>
      </c>
      <c r="AF39">
        <v>43.664198550000002</v>
      </c>
      <c r="AG39">
        <v>44.13126372</v>
      </c>
      <c r="AH39">
        <v>44.555957579999998</v>
      </c>
      <c r="AI39">
        <v>44.939543489999998</v>
      </c>
      <c r="AJ39">
        <v>45.283298440000003</v>
      </c>
      <c r="AK39">
        <v>45.588511019999999</v>
      </c>
    </row>
    <row r="40" spans="1:37" x14ac:dyDescent="0.25">
      <c r="A40" t="s">
        <v>77</v>
      </c>
      <c r="B40">
        <v>3.4730440960000002</v>
      </c>
      <c r="C40">
        <v>4.5722154760000002</v>
      </c>
      <c r="D40">
        <v>5.7140433249999996</v>
      </c>
      <c r="E40">
        <v>6.8675525430000004</v>
      </c>
      <c r="F40">
        <v>8.0145189620000004</v>
      </c>
      <c r="G40">
        <v>9.1461110110000003</v>
      </c>
      <c r="H40">
        <v>10.261243759999999</v>
      </c>
      <c r="I40">
        <v>11.362807200000001</v>
      </c>
      <c r="J40">
        <v>12.45393795</v>
      </c>
      <c r="K40">
        <v>13.538066860000001</v>
      </c>
      <c r="L40">
        <v>14.619250660000001</v>
      </c>
      <c r="M40">
        <v>15.70257655</v>
      </c>
      <c r="N40">
        <v>16.794605059999999</v>
      </c>
      <c r="O40">
        <v>17.903858849999999</v>
      </c>
      <c r="P40">
        <v>19.04138876</v>
      </c>
      <c r="Q40">
        <v>20.221467619999999</v>
      </c>
      <c r="R40">
        <v>21.463368240000001</v>
      </c>
      <c r="S40">
        <v>22.789836999999999</v>
      </c>
      <c r="T40">
        <v>24.223509069999999</v>
      </c>
      <c r="U40">
        <v>25.786814570000001</v>
      </c>
      <c r="V40">
        <v>27.50190834</v>
      </c>
      <c r="W40">
        <v>29.390532260000001</v>
      </c>
      <c r="X40">
        <v>31.473822670000001</v>
      </c>
      <c r="Y40">
        <v>33.772074310000001</v>
      </c>
      <c r="Z40">
        <v>36.304468649999997</v>
      </c>
      <c r="AA40">
        <v>39.088771960000003</v>
      </c>
      <c r="AB40">
        <v>42.141007449999996</v>
      </c>
      <c r="AC40">
        <v>45.475105829999997</v>
      </c>
      <c r="AD40">
        <v>49.102538780000003</v>
      </c>
      <c r="AE40">
        <v>53.031940990000003</v>
      </c>
      <c r="AF40">
        <v>57.268726450000003</v>
      </c>
      <c r="AG40">
        <v>61.814705940000003</v>
      </c>
      <c r="AH40">
        <v>66.667713710000001</v>
      </c>
      <c r="AI40">
        <v>71.821252290000004</v>
      </c>
      <c r="AJ40">
        <v>77.264166209999999</v>
      </c>
      <c r="AK40">
        <v>82.980357240000004</v>
      </c>
    </row>
    <row r="41" spans="1:37" x14ac:dyDescent="0.25">
      <c r="A41" t="s">
        <v>102</v>
      </c>
      <c r="B41">
        <v>3.4730440960000002</v>
      </c>
      <c r="C41">
        <v>4.5739757470000004</v>
      </c>
      <c r="D41">
        <v>5.7146976629999999</v>
      </c>
      <c r="E41">
        <v>6.8601644190000002</v>
      </c>
      <c r="F41">
        <v>7.9881131219999997</v>
      </c>
      <c r="G41">
        <v>9.0848797099999992</v>
      </c>
      <c r="H41">
        <v>10.142320809999999</v>
      </c>
      <c r="I41">
        <v>11.15573262</v>
      </c>
      <c r="J41">
        <v>12.12251932</v>
      </c>
      <c r="K41">
        <v>13.04137214</v>
      </c>
      <c r="L41">
        <v>13.911774960000001</v>
      </c>
      <c r="M41">
        <v>14.733710289999999</v>
      </c>
      <c r="N41">
        <v>15.507484460000001</v>
      </c>
      <c r="O41">
        <v>16.233622449999999</v>
      </c>
      <c r="P41">
        <v>16.912803</v>
      </c>
      <c r="Q41">
        <v>17.545817230000001</v>
      </c>
      <c r="R41">
        <v>18.133541059999999</v>
      </c>
      <c r="S41">
        <v>18.676916420000001</v>
      </c>
      <c r="T41">
        <v>19.17693775</v>
      </c>
      <c r="U41">
        <v>19.634642320000001</v>
      </c>
      <c r="V41">
        <v>20.05110298</v>
      </c>
      <c r="W41">
        <v>20.427422589999999</v>
      </c>
      <c r="X41">
        <v>20.764729679999999</v>
      </c>
      <c r="Y41">
        <v>21.064174909999998</v>
      </c>
      <c r="Z41">
        <v>21.326927950000002</v>
      </c>
      <c r="AA41">
        <v>21.554174740000001</v>
      </c>
      <c r="AB41">
        <v>21.74711482</v>
      </c>
      <c r="AC41">
        <v>21.90695874</v>
      </c>
      <c r="AD41">
        <v>22.034925470000001</v>
      </c>
      <c r="AE41">
        <v>22.132239760000001</v>
      </c>
      <c r="AF41">
        <v>22.200129520000001</v>
      </c>
      <c r="AG41">
        <v>22.239823130000001</v>
      </c>
      <c r="AH41">
        <v>22.25254687</v>
      </c>
      <c r="AI41">
        <v>22.239522260000001</v>
      </c>
      <c r="AJ41">
        <v>22.201963559999999</v>
      </c>
      <c r="AK41">
        <v>22.141075310000002</v>
      </c>
    </row>
    <row r="42" spans="1:37" x14ac:dyDescent="0.25">
      <c r="A42" t="s">
        <v>78</v>
      </c>
      <c r="B42">
        <v>1.7251505170000001</v>
      </c>
      <c r="C42">
        <v>2.244394497</v>
      </c>
      <c r="D42">
        <v>2.7668950890000001</v>
      </c>
      <c r="E42">
        <v>3.2740041689999999</v>
      </c>
      <c r="F42">
        <v>3.7551965630000002</v>
      </c>
      <c r="G42">
        <v>4.2053456369999997</v>
      </c>
      <c r="H42">
        <v>4.6232034869999996</v>
      </c>
      <c r="I42">
        <v>5.0095093979999996</v>
      </c>
      <c r="J42">
        <v>5.3653540150000003</v>
      </c>
      <c r="K42">
        <v>5.6920121210000003</v>
      </c>
      <c r="L42">
        <v>5.9909231490000003</v>
      </c>
      <c r="M42">
        <v>6.2637074889999997</v>
      </c>
      <c r="N42">
        <v>6.5121891439999997</v>
      </c>
      <c r="O42">
        <v>6.738415045</v>
      </c>
      <c r="P42">
        <v>6.9446695040000002</v>
      </c>
      <c r="Q42">
        <v>7.1334857420000004</v>
      </c>
      <c r="R42">
        <v>7.3079419129999996</v>
      </c>
      <c r="S42">
        <v>7.4712815580000003</v>
      </c>
      <c r="T42">
        <v>7.6261899179999997</v>
      </c>
      <c r="U42">
        <v>7.7748277469999998</v>
      </c>
      <c r="V42">
        <v>7.9188780850000002</v>
      </c>
      <c r="W42">
        <v>8.0595840780000003</v>
      </c>
      <c r="X42">
        <v>8.1977818669999998</v>
      </c>
      <c r="Y42">
        <v>8.333932055</v>
      </c>
      <c r="Z42">
        <v>8.4681519220000006</v>
      </c>
      <c r="AA42">
        <v>8.6002494380000005</v>
      </c>
      <c r="AB42">
        <v>8.7297594230000009</v>
      </c>
      <c r="AC42">
        <v>8.8559816930000004</v>
      </c>
      <c r="AD42">
        <v>8.9780207720000007</v>
      </c>
      <c r="AE42">
        <v>9.0948264979999998</v>
      </c>
      <c r="AF42">
        <v>9.2052348070000001</v>
      </c>
      <c r="AG42">
        <v>9.3080078709999992</v>
      </c>
      <c r="AH42">
        <v>9.4018728300000003</v>
      </c>
      <c r="AI42">
        <v>9.4855584250000007</v>
      </c>
      <c r="AJ42">
        <v>9.5578289190000003</v>
      </c>
      <c r="AK42">
        <v>9.6175148539999995</v>
      </c>
    </row>
    <row r="43" spans="1:37" x14ac:dyDescent="0.25">
      <c r="A43" t="s">
        <v>103</v>
      </c>
      <c r="B43">
        <v>1.7251505170000001</v>
      </c>
      <c r="C43">
        <v>2.2454555790000001</v>
      </c>
      <c r="D43">
        <v>2.7684617760000001</v>
      </c>
      <c r="E43">
        <v>3.2743104380000001</v>
      </c>
      <c r="F43">
        <v>3.7515155080000002</v>
      </c>
      <c r="G43">
        <v>4.1939767000000003</v>
      </c>
      <c r="H43">
        <v>4.5988845530000004</v>
      </c>
      <c r="I43">
        <v>4.9653764230000004</v>
      </c>
      <c r="J43">
        <v>5.2937201649999999</v>
      </c>
      <c r="K43">
        <v>5.5848351840000001</v>
      </c>
      <c r="L43">
        <v>5.8400167859999996</v>
      </c>
      <c r="M43">
        <v>6.0607780770000002</v>
      </c>
      <c r="N43">
        <v>6.2487579389999999</v>
      </c>
      <c r="O43">
        <v>6.4056655600000001</v>
      </c>
      <c r="P43">
        <v>6.5332451259999997</v>
      </c>
      <c r="Q43">
        <v>6.6332519220000004</v>
      </c>
      <c r="R43">
        <v>6.707435147</v>
      </c>
      <c r="S43">
        <v>6.7575249700000004</v>
      </c>
      <c r="T43">
        <v>6.7852224879999996</v>
      </c>
      <c r="U43">
        <v>6.7921917440000001</v>
      </c>
      <c r="V43">
        <v>6.7800533420000004</v>
      </c>
      <c r="W43">
        <v>6.750379283</v>
      </c>
      <c r="X43">
        <v>6.7046887870000003</v>
      </c>
      <c r="Y43">
        <v>6.6444449319999999</v>
      </c>
      <c r="Z43">
        <v>6.5710519559999998</v>
      </c>
      <c r="AA43">
        <v>6.485853144</v>
      </c>
      <c r="AB43">
        <v>6.3901292239999998</v>
      </c>
      <c r="AC43">
        <v>6.285097232</v>
      </c>
      <c r="AD43">
        <v>6.1719097989999998</v>
      </c>
      <c r="AE43">
        <v>6.0516548429999997</v>
      </c>
      <c r="AF43">
        <v>5.925355637</v>
      </c>
      <c r="AG43">
        <v>5.7939712219999997</v>
      </c>
      <c r="AH43">
        <v>5.6583971609999999</v>
      </c>
      <c r="AI43">
        <v>5.5194665799999996</v>
      </c>
      <c r="AJ43">
        <v>5.3779514920000002</v>
      </c>
      <c r="AK43">
        <v>5.2345643639999997</v>
      </c>
    </row>
    <row r="44" spans="1:37" x14ac:dyDescent="0.25">
      <c r="A44" t="s">
        <v>79</v>
      </c>
      <c r="B44">
        <v>3.1066862139999998</v>
      </c>
      <c r="C44">
        <v>4.0702695269999998</v>
      </c>
      <c r="D44">
        <v>5.0143829850000001</v>
      </c>
      <c r="E44">
        <v>5.9012134720000002</v>
      </c>
      <c r="F44">
        <v>6.711763382</v>
      </c>
      <c r="G44">
        <v>7.4388891170000004</v>
      </c>
      <c r="H44">
        <v>8.0831671870000008</v>
      </c>
      <c r="I44">
        <v>8.6487843669999993</v>
      </c>
      <c r="J44">
        <v>9.1404852200000004</v>
      </c>
      <c r="K44">
        <v>9.5631832140000004</v>
      </c>
      <c r="L44">
        <v>9.9218700230000003</v>
      </c>
      <c r="M44">
        <v>10.221594680000001</v>
      </c>
      <c r="N44">
        <v>10.467450299999999</v>
      </c>
      <c r="O44">
        <v>10.66455011</v>
      </c>
      <c r="P44">
        <v>10.81799124</v>
      </c>
      <c r="Q44">
        <v>10.932810529999999</v>
      </c>
      <c r="R44">
        <v>11.014264259999999</v>
      </c>
      <c r="S44">
        <v>11.06733715</v>
      </c>
      <c r="T44">
        <v>11.09599064</v>
      </c>
      <c r="U44">
        <v>11.103313999999999</v>
      </c>
      <c r="V44">
        <v>11.09168113</v>
      </c>
      <c r="W44">
        <v>11.062885189999999</v>
      </c>
      <c r="X44">
        <v>11.01825519</v>
      </c>
      <c r="Y44">
        <v>10.958758449999999</v>
      </c>
      <c r="Z44">
        <v>10.885091149999999</v>
      </c>
      <c r="AA44">
        <v>10.797758099999999</v>
      </c>
      <c r="AB44">
        <v>10.697142210000001</v>
      </c>
      <c r="AC44">
        <v>10.583563829999999</v>
      </c>
      <c r="AD44">
        <v>10.457329830000001</v>
      </c>
      <c r="AE44">
        <v>10.31877289</v>
      </c>
      <c r="AF44">
        <v>10.168281</v>
      </c>
      <c r="AG44">
        <v>10.006317960000001</v>
      </c>
      <c r="AH44">
        <v>9.8334354479999995</v>
      </c>
      <c r="AI44">
        <v>9.6502777650000002</v>
      </c>
      <c r="AJ44">
        <v>9.4575801429999995</v>
      </c>
      <c r="AK44">
        <v>9.2561619079999993</v>
      </c>
    </row>
    <row r="45" spans="1:37" x14ac:dyDescent="0.25">
      <c r="A45" t="s">
        <v>104</v>
      </c>
      <c r="B45">
        <v>3.1066862139999998</v>
      </c>
      <c r="C45">
        <v>4.0721666550000002</v>
      </c>
      <c r="D45">
        <v>5.0169226489999996</v>
      </c>
      <c r="E45">
        <v>5.9009041160000004</v>
      </c>
      <c r="F45">
        <v>6.7035180270000003</v>
      </c>
      <c r="G45">
        <v>7.4161806490000002</v>
      </c>
      <c r="H45">
        <v>8.0372735639999995</v>
      </c>
      <c r="I45">
        <v>8.5690304140000002</v>
      </c>
      <c r="J45">
        <v>9.0157203080000006</v>
      </c>
      <c r="K45">
        <v>9.3826241629999991</v>
      </c>
      <c r="L45">
        <v>9.6754684019999999</v>
      </c>
      <c r="M45">
        <v>9.9001122630000005</v>
      </c>
      <c r="N45">
        <v>10.062372399999999</v>
      </c>
      <c r="O45">
        <v>10.16792128</v>
      </c>
      <c r="P45">
        <v>10.222225849999999</v>
      </c>
      <c r="Q45">
        <v>10.230509250000001</v>
      </c>
      <c r="R45">
        <v>10.19772671</v>
      </c>
      <c r="S45">
        <v>10.128550779999999</v>
      </c>
      <c r="T45">
        <v>10.027363449999999</v>
      </c>
      <c r="U45">
        <v>9.8982532929999998</v>
      </c>
      <c r="V45">
        <v>9.7450166239999998</v>
      </c>
      <c r="W45">
        <v>9.5711617039999997</v>
      </c>
      <c r="X45">
        <v>9.3799154290000004</v>
      </c>
      <c r="Y45">
        <v>9.1742319200000004</v>
      </c>
      <c r="Z45">
        <v>8.9568026209999996</v>
      </c>
      <c r="AA45">
        <v>8.7300675600000002</v>
      </c>
      <c r="AB45">
        <v>8.4962274789999999</v>
      </c>
      <c r="AC45">
        <v>8.2572566250000001</v>
      </c>
      <c r="AD45">
        <v>8.0149159619999999</v>
      </c>
      <c r="AE45">
        <v>7.7707666499999997</v>
      </c>
      <c r="AF45">
        <v>7.5261836180000001</v>
      </c>
      <c r="AG45">
        <v>7.2823690880000003</v>
      </c>
      <c r="AH45">
        <v>7.0403659259999998</v>
      </c>
      <c r="AI45">
        <v>6.8010707049999999</v>
      </c>
      <c r="AJ45">
        <v>6.5652463799999996</v>
      </c>
      <c r="AK45">
        <v>6.3335344979999997</v>
      </c>
    </row>
    <row r="46" spans="1:37" x14ac:dyDescent="0.25">
      <c r="A46" t="s">
        <v>80</v>
      </c>
      <c r="B46">
        <v>0.42568169729999999</v>
      </c>
      <c r="C46">
        <v>0.44933516569999998</v>
      </c>
      <c r="D46">
        <v>0.47587941420000002</v>
      </c>
      <c r="E46">
        <v>0.50407722799999999</v>
      </c>
      <c r="F46">
        <v>0.53308136819999996</v>
      </c>
      <c r="G46">
        <v>0.56232302369999998</v>
      </c>
      <c r="H46">
        <v>0.59148356609999997</v>
      </c>
      <c r="I46">
        <v>0.62040925059999996</v>
      </c>
      <c r="J46">
        <v>0.64898775880000004</v>
      </c>
      <c r="K46">
        <v>0.67713271480000004</v>
      </c>
      <c r="L46">
        <v>0.70477498770000002</v>
      </c>
      <c r="M46">
        <v>0.73185591490000002</v>
      </c>
      <c r="N46">
        <v>0.75832209910000004</v>
      </c>
      <c r="O46">
        <v>0.78412142839999999</v>
      </c>
      <c r="P46">
        <v>0.80919991300000005</v>
      </c>
      <c r="Q46">
        <v>0.83349889870000005</v>
      </c>
      <c r="R46">
        <v>0.85701923759999998</v>
      </c>
      <c r="S46">
        <v>0.87981092790000004</v>
      </c>
      <c r="T46">
        <v>0.90188914539999998</v>
      </c>
      <c r="U46">
        <v>0.9232448379</v>
      </c>
      <c r="V46">
        <v>0.94385284790000001</v>
      </c>
      <c r="W46">
        <v>0.96367609990000003</v>
      </c>
      <c r="X46">
        <v>0.98266755900000002</v>
      </c>
      <c r="Y46">
        <v>1.0007710569999999</v>
      </c>
      <c r="Z46">
        <v>1.017921608</v>
      </c>
      <c r="AA46">
        <v>1.0340455669999999</v>
      </c>
      <c r="AB46">
        <v>1.04906082</v>
      </c>
      <c r="AC46">
        <v>1.0628771379999999</v>
      </c>
      <c r="AD46">
        <v>1.075396789</v>
      </c>
      <c r="AE46">
        <v>1.086515452</v>
      </c>
      <c r="AF46">
        <v>1.0961235090000001</v>
      </c>
      <c r="AG46">
        <v>1.1041077189999999</v>
      </c>
      <c r="AH46">
        <v>1.110353323</v>
      </c>
      <c r="AI46">
        <v>1.1147465519999999</v>
      </c>
      <c r="AJ46">
        <v>1.1171775319999999</v>
      </c>
      <c r="AK46">
        <v>1.1175435330000001</v>
      </c>
    </row>
    <row r="47" spans="1:37" x14ac:dyDescent="0.25">
      <c r="A47" t="s">
        <v>105</v>
      </c>
      <c r="B47">
        <v>0.42568169729999999</v>
      </c>
      <c r="C47">
        <v>0.44945570270000001</v>
      </c>
      <c r="D47">
        <v>0.47618363180000001</v>
      </c>
      <c r="E47">
        <v>0.50461174259999997</v>
      </c>
      <c r="F47">
        <v>0.53390616749999997</v>
      </c>
      <c r="G47">
        <v>0.56352909380000005</v>
      </c>
      <c r="H47">
        <v>0.59314310530000003</v>
      </c>
      <c r="I47">
        <v>0.62254220360000001</v>
      </c>
      <c r="J47">
        <v>0.65160459059999998</v>
      </c>
      <c r="K47">
        <v>0.68026155590000004</v>
      </c>
      <c r="L47">
        <v>0.70847754080000003</v>
      </c>
      <c r="M47">
        <v>0.73623761710000002</v>
      </c>
      <c r="N47">
        <v>0.76353972240000001</v>
      </c>
      <c r="O47">
        <v>0.79038986950000001</v>
      </c>
      <c r="P47">
        <v>0.81679918529999995</v>
      </c>
      <c r="Q47">
        <v>0.84278205589999999</v>
      </c>
      <c r="R47">
        <v>0.86835494329999996</v>
      </c>
      <c r="S47">
        <v>0.89353561299999995</v>
      </c>
      <c r="T47">
        <v>0.91834261910000003</v>
      </c>
      <c r="U47">
        <v>0.94279495359999999</v>
      </c>
      <c r="V47">
        <v>0.9669118082</v>
      </c>
      <c r="W47">
        <v>0.99071241300000001</v>
      </c>
      <c r="X47">
        <v>1.01421593</v>
      </c>
      <c r="Y47">
        <v>1.0374413819999999</v>
      </c>
      <c r="Z47">
        <v>1.060407619</v>
      </c>
      <c r="AA47">
        <v>1.083133283</v>
      </c>
      <c r="AB47">
        <v>1.1056368050000001</v>
      </c>
      <c r="AC47">
        <v>1.1279363920000001</v>
      </c>
      <c r="AD47">
        <v>1.150050021</v>
      </c>
      <c r="AE47">
        <v>1.1719954340000001</v>
      </c>
      <c r="AF47">
        <v>1.193790127</v>
      </c>
      <c r="AG47">
        <v>1.215451337</v>
      </c>
      <c r="AH47">
        <v>1.236996032</v>
      </c>
      <c r="AI47">
        <v>1.2584408840000001</v>
      </c>
      <c r="AJ47">
        <v>1.2798022600000001</v>
      </c>
      <c r="AK47">
        <v>1.3010961910000001</v>
      </c>
    </row>
    <row r="48" spans="1:37" x14ac:dyDescent="0.25">
      <c r="A48" t="s">
        <v>81</v>
      </c>
      <c r="B48">
        <v>0.49500522540000003</v>
      </c>
      <c r="C48">
        <v>0.51226023529999998</v>
      </c>
      <c r="D48">
        <v>0.53252768289999997</v>
      </c>
      <c r="E48">
        <v>0.55457425149999995</v>
      </c>
      <c r="F48">
        <v>0.57755324689999998</v>
      </c>
      <c r="G48">
        <v>0.60089213809999997</v>
      </c>
      <c r="H48">
        <v>0.62426223319999996</v>
      </c>
      <c r="I48">
        <v>0.64749666139999995</v>
      </c>
      <c r="J48">
        <v>0.67047190050000005</v>
      </c>
      <c r="K48">
        <v>0.69309085189999997</v>
      </c>
      <c r="L48">
        <v>0.71527340210000001</v>
      </c>
      <c r="M48">
        <v>0.73694937849999997</v>
      </c>
      <c r="N48">
        <v>0.75805330260000003</v>
      </c>
      <c r="O48">
        <v>0.77852045520000002</v>
      </c>
      <c r="P48">
        <v>0.79828378960000002</v>
      </c>
      <c r="Q48">
        <v>0.81727124470000001</v>
      </c>
      <c r="R48">
        <v>0.83546578540000005</v>
      </c>
      <c r="S48">
        <v>0.85289806000000001</v>
      </c>
      <c r="T48">
        <v>0.86957021209999996</v>
      </c>
      <c r="U48">
        <v>0.88546447849999999</v>
      </c>
      <c r="V48">
        <v>0.90055013559999997</v>
      </c>
      <c r="W48">
        <v>0.91478716169999996</v>
      </c>
      <c r="X48">
        <v>0.92812804270000004</v>
      </c>
      <c r="Y48">
        <v>0.94051865629999998</v>
      </c>
      <c r="Z48">
        <v>0.95189876699999998</v>
      </c>
      <c r="AA48">
        <v>0.96220242659999999</v>
      </c>
      <c r="AB48">
        <v>0.97135844280000005</v>
      </c>
      <c r="AC48">
        <v>0.97929101659999995</v>
      </c>
      <c r="AD48">
        <v>0.98592060800000003</v>
      </c>
      <c r="AE48">
        <v>0.99116507129999998</v>
      </c>
      <c r="AF48">
        <v>0.99494107899999995</v>
      </c>
      <c r="AG48">
        <v>0.99716584399999997</v>
      </c>
      <c r="AH48">
        <v>0.99775912789999999</v>
      </c>
      <c r="AI48">
        <v>0.99664551010000002</v>
      </c>
      <c r="AJ48">
        <v>0.99375687069999996</v>
      </c>
      <c r="AK48">
        <v>0.98903501650000003</v>
      </c>
    </row>
    <row r="49" spans="1:37" x14ac:dyDescent="0.25">
      <c r="A49" t="s">
        <v>106</v>
      </c>
      <c r="B49">
        <v>0.49500522540000003</v>
      </c>
      <c r="C49">
        <v>0.51237735269999996</v>
      </c>
      <c r="D49">
        <v>0.53282706970000004</v>
      </c>
      <c r="E49">
        <v>0.55510706389999998</v>
      </c>
      <c r="F49">
        <v>0.57838510870000004</v>
      </c>
      <c r="G49">
        <v>0.60212053229999996</v>
      </c>
      <c r="H49">
        <v>0.6259693207</v>
      </c>
      <c r="I49">
        <v>0.64971611019999997</v>
      </c>
      <c r="J49">
        <v>0.67322789579999998</v>
      </c>
      <c r="K49">
        <v>0.69642367620000001</v>
      </c>
      <c r="L49">
        <v>0.71925508319999998</v>
      </c>
      <c r="M49">
        <v>0.74169425229999997</v>
      </c>
      <c r="N49">
        <v>0.76372631199999996</v>
      </c>
      <c r="O49">
        <v>0.78534474669999998</v>
      </c>
      <c r="P49">
        <v>0.80654852040000002</v>
      </c>
      <c r="Q49">
        <v>0.82734025919999998</v>
      </c>
      <c r="R49">
        <v>0.84772507720000001</v>
      </c>
      <c r="S49">
        <v>0.86770979619999999</v>
      </c>
      <c r="T49">
        <v>0.8873024115</v>
      </c>
      <c r="U49">
        <v>0.90651171779999995</v>
      </c>
      <c r="V49">
        <v>0.92534704339999996</v>
      </c>
      <c r="W49">
        <v>0.94381806079999997</v>
      </c>
      <c r="X49">
        <v>0.96193465069999995</v>
      </c>
      <c r="Y49">
        <v>0.97970680529999998</v>
      </c>
      <c r="Z49">
        <v>0.99714455849999994</v>
      </c>
      <c r="AA49">
        <v>1.014257934</v>
      </c>
      <c r="AB49">
        <v>1.031056907</v>
      </c>
      <c r="AC49">
        <v>1.0475513670000001</v>
      </c>
      <c r="AD49">
        <v>1.0637510910000001</v>
      </c>
      <c r="AE49">
        <v>1.0796657119999999</v>
      </c>
      <c r="AF49">
        <v>1.095304689</v>
      </c>
      <c r="AG49">
        <v>1.110677272</v>
      </c>
      <c r="AH49">
        <v>1.125792473</v>
      </c>
      <c r="AI49">
        <v>1.1406590299999999</v>
      </c>
      <c r="AJ49">
        <v>1.155285369</v>
      </c>
      <c r="AK49">
        <v>1.169679575</v>
      </c>
    </row>
    <row r="50" spans="1:37" x14ac:dyDescent="0.25">
      <c r="A50" t="s">
        <v>82</v>
      </c>
      <c r="B50">
        <v>0.40659851759999999</v>
      </c>
      <c r="C50">
        <v>0.41450489509999999</v>
      </c>
      <c r="D50">
        <v>0.42467781360000001</v>
      </c>
      <c r="E50">
        <v>0.43623168080000002</v>
      </c>
      <c r="F50">
        <v>0.44855712269999998</v>
      </c>
      <c r="G50">
        <v>0.46123940009999997</v>
      </c>
      <c r="H50">
        <v>0.47403519</v>
      </c>
      <c r="I50">
        <v>0.48681568390000002</v>
      </c>
      <c r="J50">
        <v>0.49948458439999999</v>
      </c>
      <c r="K50">
        <v>0.51196499689999997</v>
      </c>
      <c r="L50">
        <v>0.52419217389999995</v>
      </c>
      <c r="M50">
        <v>0.53610829790000003</v>
      </c>
      <c r="N50">
        <v>0.54765870569999997</v>
      </c>
      <c r="O50">
        <v>0.55878912010000004</v>
      </c>
      <c r="P50">
        <v>0.5694435162</v>
      </c>
      <c r="Q50">
        <v>0.57956229820000005</v>
      </c>
      <c r="R50">
        <v>0.58912284820000005</v>
      </c>
      <c r="S50">
        <v>0.5981360952</v>
      </c>
      <c r="T50">
        <v>0.60659660650000002</v>
      </c>
      <c r="U50">
        <v>0.61448750770000005</v>
      </c>
      <c r="V50">
        <v>0.62178472299999998</v>
      </c>
      <c r="W50">
        <v>0.62845926100000005</v>
      </c>
      <c r="X50">
        <v>0.63447839289999997</v>
      </c>
      <c r="Y50">
        <v>0.63980629440000003</v>
      </c>
      <c r="Z50">
        <v>0.644404474</v>
      </c>
      <c r="AA50">
        <v>0.64823216500000003</v>
      </c>
      <c r="AB50">
        <v>0.6512467757</v>
      </c>
      <c r="AC50">
        <v>0.65340445079999998</v>
      </c>
      <c r="AD50">
        <v>0.65466077290000002</v>
      </c>
      <c r="AE50">
        <v>0.65497161780000002</v>
      </c>
      <c r="AF50">
        <v>0.65429416220000003</v>
      </c>
      <c r="AG50">
        <v>0.65258803860000003</v>
      </c>
      <c r="AH50">
        <v>0.64981661390000001</v>
      </c>
      <c r="AI50">
        <v>0.64594836470000006</v>
      </c>
      <c r="AJ50">
        <v>0.64095830639999996</v>
      </c>
      <c r="AK50">
        <v>0.63482942539999998</v>
      </c>
    </row>
    <row r="51" spans="1:37" x14ac:dyDescent="0.25">
      <c r="A51" t="s">
        <v>107</v>
      </c>
      <c r="B51">
        <v>0.40659851759999999</v>
      </c>
      <c r="C51">
        <v>0.41458692130000002</v>
      </c>
      <c r="D51">
        <v>0.42489005559999998</v>
      </c>
      <c r="E51">
        <v>0.4366138819</v>
      </c>
      <c r="F51">
        <v>0.44916009270000001</v>
      </c>
      <c r="G51">
        <v>0.46213734029999998</v>
      </c>
      <c r="H51">
        <v>0.475293415</v>
      </c>
      <c r="I51">
        <v>0.48846693209999997</v>
      </c>
      <c r="J51">
        <v>0.50155462500000003</v>
      </c>
      <c r="K51">
        <v>0.51449000320000005</v>
      </c>
      <c r="L51">
        <v>0.52722978740000004</v>
      </c>
      <c r="M51">
        <v>0.53974544120000001</v>
      </c>
      <c r="N51">
        <v>0.55201793570000002</v>
      </c>
      <c r="O51">
        <v>0.56403451579999997</v>
      </c>
      <c r="P51">
        <v>0.57578668580000003</v>
      </c>
      <c r="Q51">
        <v>0.58726892829999999</v>
      </c>
      <c r="R51">
        <v>0.59847786550000004</v>
      </c>
      <c r="S51">
        <v>0.60941169319999999</v>
      </c>
      <c r="T51">
        <v>0.62006978459999995</v>
      </c>
      <c r="U51">
        <v>0.63045240629999999</v>
      </c>
      <c r="V51">
        <v>0.64056051030000005</v>
      </c>
      <c r="W51">
        <v>0.65039557940000003</v>
      </c>
      <c r="X51">
        <v>0.65995951269999997</v>
      </c>
      <c r="Y51">
        <v>0.66925453729999995</v>
      </c>
      <c r="Z51">
        <v>0.67828314190000005</v>
      </c>
      <c r="AA51">
        <v>0.6870480229</v>
      </c>
      <c r="AB51">
        <v>0.69555204020000005</v>
      </c>
      <c r="AC51">
        <v>0.70379817879999995</v>
      </c>
      <c r="AD51">
        <v>0.71178951270000002</v>
      </c>
      <c r="AE51">
        <v>0.71952917179999998</v>
      </c>
      <c r="AF51">
        <v>0.72702030870000001</v>
      </c>
      <c r="AG51">
        <v>0.73426606559999996</v>
      </c>
      <c r="AH51">
        <v>0.74126954270000001</v>
      </c>
      <c r="AI51">
        <v>0.74803376580000003</v>
      </c>
      <c r="AJ51">
        <v>0.75456165590000002</v>
      </c>
      <c r="AK51">
        <v>0.76085599989999997</v>
      </c>
    </row>
    <row r="52" spans="1:37" x14ac:dyDescent="0.25">
      <c r="A52" t="s">
        <v>83</v>
      </c>
      <c r="B52">
        <v>0.2495444651</v>
      </c>
      <c r="C52">
        <v>0.25231484729999998</v>
      </c>
      <c r="D52">
        <v>0.25626929209999999</v>
      </c>
      <c r="E52">
        <v>0.26087537430000002</v>
      </c>
      <c r="F52">
        <v>0.26577440320000001</v>
      </c>
      <c r="G52">
        <v>0.27072765720000003</v>
      </c>
      <c r="H52">
        <v>0.2755970888</v>
      </c>
      <c r="I52">
        <v>0.28031070759999999</v>
      </c>
      <c r="J52">
        <v>0.28481691539999998</v>
      </c>
      <c r="K52">
        <v>0.28907613640000002</v>
      </c>
      <c r="L52">
        <v>0.29305639220000002</v>
      </c>
      <c r="M52">
        <v>0.29673038730000001</v>
      </c>
      <c r="N52">
        <v>0.30007357600000001</v>
      </c>
      <c r="O52">
        <v>0.30306288310000001</v>
      </c>
      <c r="P52">
        <v>0.30567585050000001</v>
      </c>
      <c r="Q52">
        <v>0.30789004790000002</v>
      </c>
      <c r="R52">
        <v>0.30970231990000002</v>
      </c>
      <c r="S52">
        <v>0.31112699659999998</v>
      </c>
      <c r="T52">
        <v>0.3121727104</v>
      </c>
      <c r="U52">
        <v>0.31284445999999999</v>
      </c>
      <c r="V52">
        <v>0.31314550299999999</v>
      </c>
      <c r="W52">
        <v>0.31307838389999998</v>
      </c>
      <c r="X52">
        <v>0.31264544919999998</v>
      </c>
      <c r="Y52">
        <v>0.31184909459999999</v>
      </c>
      <c r="Z52">
        <v>0.31069188349999999</v>
      </c>
      <c r="AA52">
        <v>0.30917661140000002</v>
      </c>
      <c r="AB52">
        <v>0.3073063513</v>
      </c>
      <c r="AC52">
        <v>0.30508449850000002</v>
      </c>
      <c r="AD52">
        <v>0.30251482159999998</v>
      </c>
      <c r="AE52">
        <v>0.29960152220000003</v>
      </c>
      <c r="AF52">
        <v>0.29634930250000002</v>
      </c>
      <c r="AG52">
        <v>0.29276344180000002</v>
      </c>
      <c r="AH52">
        <v>0.28884987909999998</v>
      </c>
      <c r="AI52">
        <v>0.28461530429999998</v>
      </c>
      <c r="AJ52">
        <v>0.28006725609999999</v>
      </c>
      <c r="AK52">
        <v>0.2752142286</v>
      </c>
    </row>
    <row r="53" spans="1:37" x14ac:dyDescent="0.25">
      <c r="A53" t="s">
        <v>108</v>
      </c>
      <c r="B53">
        <v>0.2495444651</v>
      </c>
      <c r="C53">
        <v>0.25236049780000003</v>
      </c>
      <c r="D53">
        <v>0.25638797930000001</v>
      </c>
      <c r="E53">
        <v>0.26108962549999998</v>
      </c>
      <c r="F53">
        <v>0.26611229930000002</v>
      </c>
      <c r="G53">
        <v>0.27122925679999998</v>
      </c>
      <c r="H53">
        <v>0.2762969924</v>
      </c>
      <c r="I53">
        <v>0.28122528190000001</v>
      </c>
      <c r="J53">
        <v>0.28595741159999999</v>
      </c>
      <c r="K53">
        <v>0.29045758589999998</v>
      </c>
      <c r="L53">
        <v>0.29470310329999999</v>
      </c>
      <c r="M53">
        <v>0.29867957150000002</v>
      </c>
      <c r="N53">
        <v>0.30237800100000001</v>
      </c>
      <c r="O53">
        <v>0.30579303190000001</v>
      </c>
      <c r="P53">
        <v>0.30892183699999998</v>
      </c>
      <c r="Q53">
        <v>0.31176342219999997</v>
      </c>
      <c r="R53">
        <v>0.31431816540000002</v>
      </c>
      <c r="S53">
        <v>0.31658750070000002</v>
      </c>
      <c r="T53">
        <v>0.3185736931</v>
      </c>
      <c r="U53">
        <v>0.32027967509999999</v>
      </c>
      <c r="V53">
        <v>0.32170892429999998</v>
      </c>
      <c r="W53">
        <v>0.32286537100000001</v>
      </c>
      <c r="X53">
        <v>0.3237533279</v>
      </c>
      <c r="Y53">
        <v>0.32437743530000002</v>
      </c>
      <c r="Z53">
        <v>0.32474261780000002</v>
      </c>
      <c r="AA53">
        <v>0.32485404810000001</v>
      </c>
      <c r="AB53">
        <v>0.32471711730000002</v>
      </c>
      <c r="AC53">
        <v>0.32433740820000001</v>
      </c>
      <c r="AD53">
        <v>0.32372067049999997</v>
      </c>
      <c r="AE53">
        <v>0.32287279899999999</v>
      </c>
      <c r="AF53">
        <v>0.32179981210000003</v>
      </c>
      <c r="AG53">
        <v>0.3205078314</v>
      </c>
      <c r="AH53">
        <v>0.31900306379999999</v>
      </c>
      <c r="AI53">
        <v>0.31729178359999999</v>
      </c>
      <c r="AJ53">
        <v>0.31538031640000003</v>
      </c>
      <c r="AK53">
        <v>0.31327502540000002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0.15729786309999999</v>
      </c>
      <c r="F54">
        <v>0.1601114521</v>
      </c>
      <c r="G54">
        <v>0.1628329332</v>
      </c>
      <c r="H54">
        <v>0.16538125870000001</v>
      </c>
      <c r="I54">
        <v>0.16771728020000001</v>
      </c>
      <c r="J54">
        <v>0.16981554709999999</v>
      </c>
      <c r="K54">
        <v>0.1716584864</v>
      </c>
      <c r="L54">
        <v>0.17323339930000001</v>
      </c>
      <c r="M54">
        <v>0.1745305919</v>
      </c>
      <c r="N54">
        <v>0.17554220109999999</v>
      </c>
      <c r="O54">
        <v>0.17626146009999999</v>
      </c>
      <c r="P54">
        <v>0.17668224090000001</v>
      </c>
      <c r="Q54">
        <v>0.17679876850000001</v>
      </c>
      <c r="R54">
        <v>0.17661580239999999</v>
      </c>
      <c r="S54">
        <v>0.17614766870000001</v>
      </c>
      <c r="T54">
        <v>0.17540622980000001</v>
      </c>
      <c r="U54">
        <v>0.1744018108</v>
      </c>
      <c r="V54">
        <v>0.17314411430000001</v>
      </c>
      <c r="W54">
        <v>0.1716427133</v>
      </c>
      <c r="X54">
        <v>0.1699072875</v>
      </c>
      <c r="Y54">
        <v>0.1679477247</v>
      </c>
      <c r="Z54">
        <v>0.16577415570000001</v>
      </c>
      <c r="AA54">
        <v>0.16339696109999999</v>
      </c>
      <c r="AB54">
        <v>0.16082676630000001</v>
      </c>
      <c r="AC54">
        <v>0.15807443390000001</v>
      </c>
      <c r="AD54">
        <v>0.15515105439999999</v>
      </c>
      <c r="AE54">
        <v>0.15206793660000001</v>
      </c>
      <c r="AF54">
        <v>0.14883659690000001</v>
      </c>
      <c r="AG54">
        <v>0.14546874570000001</v>
      </c>
      <c r="AH54">
        <v>0.1419762712</v>
      </c>
      <c r="AI54">
        <v>0.1383712201</v>
      </c>
      <c r="AJ54">
        <v>0.13466577630000001</v>
      </c>
      <c r="AK54">
        <v>0.13087223649999999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0.16032595220000001</v>
      </c>
      <c r="G55">
        <v>0.16315238379999999</v>
      </c>
      <c r="H55">
        <v>0.16582827310000001</v>
      </c>
      <c r="I55">
        <v>0.16830371420000001</v>
      </c>
      <c r="J55">
        <v>0.1705499402</v>
      </c>
      <c r="K55">
        <v>0.17255116619999999</v>
      </c>
      <c r="L55">
        <v>0.17429961799999999</v>
      </c>
      <c r="M55">
        <v>0.17579254590000001</v>
      </c>
      <c r="N55">
        <v>0.1770304382</v>
      </c>
      <c r="O55">
        <v>0.17801594400000001</v>
      </c>
      <c r="P55">
        <v>0.1787532097</v>
      </c>
      <c r="Q55">
        <v>0.17924745619999999</v>
      </c>
      <c r="R55">
        <v>0.17950469729999999</v>
      </c>
      <c r="S55">
        <v>0.1795315442</v>
      </c>
      <c r="T55">
        <v>0.17933506499999999</v>
      </c>
      <c r="U55">
        <v>0.17892267889999999</v>
      </c>
      <c r="V55">
        <v>0.17830207689999999</v>
      </c>
      <c r="W55">
        <v>0.1774811597</v>
      </c>
      <c r="X55">
        <v>0.1764679891</v>
      </c>
      <c r="Y55">
        <v>0.1752707479</v>
      </c>
      <c r="Z55">
        <v>0.1738977078</v>
      </c>
      <c r="AA55">
        <v>0.17235720060000001</v>
      </c>
      <c r="AB55">
        <v>0.17065759389999999</v>
      </c>
      <c r="AC55">
        <v>0.16880726770000001</v>
      </c>
      <c r="AD55">
        <v>0.1668145942</v>
      </c>
      <c r="AE55">
        <v>0.16468791720000001</v>
      </c>
      <c r="AF55">
        <v>0.16243553429999999</v>
      </c>
      <c r="AG55">
        <v>0.16006567869999999</v>
      </c>
      <c r="AH55">
        <v>0.15758650330000001</v>
      </c>
      <c r="AI55">
        <v>0.15500606480000001</v>
      </c>
      <c r="AJ55">
        <v>0.1523323103</v>
      </c>
      <c r="AK55">
        <v>0.14957306400000001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7.6945596599999999E-2</v>
      </c>
      <c r="F56">
        <v>7.7619323800000001E-2</v>
      </c>
      <c r="G56">
        <v>7.8092136100000001E-2</v>
      </c>
      <c r="H56">
        <v>7.8339035299999998E-2</v>
      </c>
      <c r="I56">
        <v>7.8356677999999999E-2</v>
      </c>
      <c r="J56">
        <v>7.8149325199999994E-2</v>
      </c>
      <c r="K56">
        <v>7.7725280399999999E-2</v>
      </c>
      <c r="L56">
        <v>7.7095122399999994E-2</v>
      </c>
      <c r="M56">
        <v>7.62706992E-2</v>
      </c>
      <c r="N56">
        <v>7.5264537399999998E-2</v>
      </c>
      <c r="O56">
        <v>7.4089487400000001E-2</v>
      </c>
      <c r="P56">
        <v>7.27585065E-2</v>
      </c>
      <c r="Q56">
        <v>7.1284526400000006E-2</v>
      </c>
      <c r="R56">
        <v>6.9683135300000004E-2</v>
      </c>
      <c r="S56">
        <v>6.7971894099999999E-2</v>
      </c>
      <c r="T56">
        <v>6.61669919E-2</v>
      </c>
      <c r="U56">
        <v>6.4283485700000004E-2</v>
      </c>
      <c r="V56">
        <v>6.2335534200000001E-2</v>
      </c>
      <c r="W56">
        <v>6.0336506400000003E-2</v>
      </c>
      <c r="X56">
        <v>5.8299016600000003E-2</v>
      </c>
      <c r="Y56">
        <v>5.6234922999999999E-2</v>
      </c>
      <c r="Z56">
        <v>5.4155314500000003E-2</v>
      </c>
      <c r="AA56">
        <v>5.2070495299999998E-2</v>
      </c>
      <c r="AB56">
        <v>4.9989974499999999E-2</v>
      </c>
      <c r="AC56">
        <v>4.7922462499999999E-2</v>
      </c>
      <c r="AD56">
        <v>4.5875873099999999E-2</v>
      </c>
      <c r="AE56">
        <v>4.3857332999999998E-2</v>
      </c>
      <c r="AF56">
        <v>4.1873196100000003E-2</v>
      </c>
      <c r="AG56">
        <v>3.99290635E-2</v>
      </c>
      <c r="AH56">
        <v>3.8029807399999997E-2</v>
      </c>
      <c r="AI56">
        <v>3.6179600200000002E-2</v>
      </c>
      <c r="AJ56">
        <v>3.4381946099999998E-2</v>
      </c>
      <c r="AK56">
        <v>3.2639716800000003E-2</v>
      </c>
    </row>
    <row r="57" spans="1:37" x14ac:dyDescent="0.25">
      <c r="A57" t="s">
        <v>110</v>
      </c>
      <c r="B57">
        <v>7.4609436000000001E-2</v>
      </c>
      <c r="C57">
        <v>7.5303854000000003E-2</v>
      </c>
      <c r="D57">
        <v>7.61678831E-2</v>
      </c>
      <c r="E57">
        <v>7.70104608E-2</v>
      </c>
      <c r="F57">
        <v>7.7721315700000002E-2</v>
      </c>
      <c r="G57">
        <v>7.8242029099999999E-2</v>
      </c>
      <c r="H57">
        <v>7.8545799799999996E-2</v>
      </c>
      <c r="I57">
        <v>7.8624437599999999E-2</v>
      </c>
      <c r="J57">
        <v>7.8480431599999997E-2</v>
      </c>
      <c r="K57">
        <v>7.8122275899999996E-2</v>
      </c>
      <c r="L57">
        <v>7.7561773200000003E-2</v>
      </c>
      <c r="M57">
        <v>7.6812491100000005E-2</v>
      </c>
      <c r="N57">
        <v>7.5888872299999993E-2</v>
      </c>
      <c r="O57">
        <v>7.4805708200000001E-2</v>
      </c>
      <c r="P57">
        <v>7.3577815000000005E-2</v>
      </c>
      <c r="Q57">
        <v>7.2219823200000005E-2</v>
      </c>
      <c r="R57">
        <v>7.0746033799999997E-2</v>
      </c>
      <c r="S57">
        <v>6.9170316300000007E-2</v>
      </c>
      <c r="T57">
        <v>6.7506034699999995E-2</v>
      </c>
      <c r="U57">
        <v>6.5765993800000005E-2</v>
      </c>
      <c r="V57">
        <v>6.39623998E-2</v>
      </c>
      <c r="W57">
        <v>6.21068335E-2</v>
      </c>
      <c r="X57">
        <v>6.02102318E-2</v>
      </c>
      <c r="Y57">
        <v>5.8282877400000002E-2</v>
      </c>
      <c r="Z57">
        <v>5.6334393500000003E-2</v>
      </c>
      <c r="AA57">
        <v>5.43737444E-2</v>
      </c>
      <c r="AB57">
        <v>5.2409239099999998E-2</v>
      </c>
      <c r="AC57">
        <v>5.0448539799999997E-2</v>
      </c>
      <c r="AD57">
        <v>4.8498672399999998E-2</v>
      </c>
      <c r="AE57">
        <v>4.6566040699999998E-2</v>
      </c>
      <c r="AF57">
        <v>4.4656442499999997E-2</v>
      </c>
      <c r="AG57">
        <v>4.2775088099999997E-2</v>
      </c>
      <c r="AH57">
        <v>4.0926621500000003E-2</v>
      </c>
      <c r="AI57">
        <v>3.9115141899999997E-2</v>
      </c>
      <c r="AJ57">
        <v>3.7344228100000001E-2</v>
      </c>
      <c r="AK57">
        <v>3.5616963299999999E-2</v>
      </c>
    </row>
    <row r="58" spans="1:37" x14ac:dyDescent="0.25">
      <c r="A58" t="s">
        <v>86</v>
      </c>
      <c r="B58">
        <v>0.13435819299999999</v>
      </c>
      <c r="C58">
        <v>0.13584218980000001</v>
      </c>
      <c r="D58">
        <v>0.13737684</v>
      </c>
      <c r="E58">
        <v>0.1385879552</v>
      </c>
      <c r="F58">
        <v>0.1392824819</v>
      </c>
      <c r="G58">
        <v>0.13937914670000001</v>
      </c>
      <c r="H58">
        <v>0.1388700584</v>
      </c>
      <c r="I58">
        <v>0.13778783189999999</v>
      </c>
      <c r="J58">
        <v>0.13617824119999999</v>
      </c>
      <c r="K58">
        <v>0.13409233240000001</v>
      </c>
      <c r="L58">
        <v>0.1315826209</v>
      </c>
      <c r="M58">
        <v>0.12870105940000001</v>
      </c>
      <c r="N58">
        <v>0.1254979266</v>
      </c>
      <c r="O58">
        <v>0.1220212123</v>
      </c>
      <c r="P58">
        <v>0.1183162839</v>
      </c>
      <c r="Q58">
        <v>0.1144257199</v>
      </c>
      <c r="R58">
        <v>0.1103923143</v>
      </c>
      <c r="S58">
        <v>0.1062579949</v>
      </c>
      <c r="T58">
        <v>0.10206013680000001</v>
      </c>
      <c r="U58">
        <v>9.7831987600000003E-2</v>
      </c>
      <c r="V58">
        <v>9.3603088900000006E-2</v>
      </c>
      <c r="W58">
        <v>8.9399555199999994E-2</v>
      </c>
      <c r="X58">
        <v>8.5244278899999998E-2</v>
      </c>
      <c r="Y58">
        <v>8.1157103600000002E-2</v>
      </c>
      <c r="Z58">
        <v>7.7154994300000002E-2</v>
      </c>
      <c r="AA58">
        <v>7.3252213799999993E-2</v>
      </c>
      <c r="AB58">
        <v>6.9460508700000007E-2</v>
      </c>
      <c r="AC58">
        <v>6.5789302399999999E-2</v>
      </c>
      <c r="AD58">
        <v>6.2245893199999999E-2</v>
      </c>
      <c r="AE58">
        <v>5.8835653199999997E-2</v>
      </c>
      <c r="AF58">
        <v>5.5562225600000001E-2</v>
      </c>
      <c r="AG58">
        <v>5.2427716700000002E-2</v>
      </c>
      <c r="AH58">
        <v>4.9432881800000002E-2</v>
      </c>
      <c r="AI58">
        <v>4.6577301699999997E-2</v>
      </c>
      <c r="AJ58">
        <v>4.3859550599999998E-2</v>
      </c>
      <c r="AK58">
        <v>4.1277351099999998E-2</v>
      </c>
    </row>
    <row r="59" spans="1:37" x14ac:dyDescent="0.25">
      <c r="A59" t="s">
        <v>111</v>
      </c>
      <c r="B59">
        <v>0.13435819299999999</v>
      </c>
      <c r="C59">
        <v>0.13586778920000001</v>
      </c>
      <c r="D59">
        <v>0.1374440854</v>
      </c>
      <c r="E59">
        <v>0.13870944860000001</v>
      </c>
      <c r="F59">
        <v>0.1394722561</v>
      </c>
      <c r="G59">
        <v>0.13965508700000001</v>
      </c>
      <c r="H59">
        <v>0.13924622179999999</v>
      </c>
      <c r="I59">
        <v>0.1382696749</v>
      </c>
      <c r="J59">
        <v>0.1367676786</v>
      </c>
      <c r="K59">
        <v>0.1347908163</v>
      </c>
      <c r="L59">
        <v>0.13239259850000001</v>
      </c>
      <c r="M59">
        <v>0.12962652050000001</v>
      </c>
      <c r="N59">
        <v>0.12654447029999999</v>
      </c>
      <c r="O59">
        <v>0.123195865</v>
      </c>
      <c r="P59">
        <v>0.1196271825</v>
      </c>
      <c r="Q59">
        <v>0.11588171479999999</v>
      </c>
      <c r="R59">
        <v>0.1119994555</v>
      </c>
      <c r="S59">
        <v>0.10801707219999999</v>
      </c>
      <c r="T59">
        <v>0.1039679376</v>
      </c>
      <c r="U59">
        <v>9.9882204399999994E-2</v>
      </c>
      <c r="V59">
        <v>9.57869103E-2</v>
      </c>
      <c r="W59">
        <v>9.1706106499999995E-2</v>
      </c>
      <c r="X59">
        <v>8.7661003000000001E-2</v>
      </c>
      <c r="Y59">
        <v>8.3670124799999995E-2</v>
      </c>
      <c r="Z59">
        <v>7.9749476E-2</v>
      </c>
      <c r="AA59">
        <v>7.5912708600000003E-2</v>
      </c>
      <c r="AB59">
        <v>7.2171291999999998E-2</v>
      </c>
      <c r="AC59">
        <v>6.8534683499999999E-2</v>
      </c>
      <c r="AD59">
        <v>6.5010495500000001E-2</v>
      </c>
      <c r="AE59">
        <v>6.16046601E-2</v>
      </c>
      <c r="AF59">
        <v>5.8321589100000001E-2</v>
      </c>
      <c r="AG59">
        <v>5.5164326999999999E-2</v>
      </c>
      <c r="AH59">
        <v>5.2134699399999998E-2</v>
      </c>
      <c r="AI59">
        <v>4.9233452300000001E-2</v>
      </c>
      <c r="AJ59">
        <v>4.6460385299999997E-2</v>
      </c>
      <c r="AK59">
        <v>4.38144746E-2</v>
      </c>
    </row>
    <row r="60" spans="1:37" x14ac:dyDescent="0.25">
      <c r="A60" t="s">
        <v>1755</v>
      </c>
      <c r="B60">
        <v>528.68436870000005</v>
      </c>
      <c r="C60">
        <v>598.23805579999998</v>
      </c>
      <c r="D60">
        <v>650.24460480000005</v>
      </c>
      <c r="E60">
        <v>689.67492819999995</v>
      </c>
      <c r="F60">
        <v>720.25056719999998</v>
      </c>
      <c r="G60">
        <v>744.65539590000003</v>
      </c>
      <c r="H60">
        <v>765.44422840000004</v>
      </c>
      <c r="I60">
        <v>784.34265800000003</v>
      </c>
      <c r="J60">
        <v>801.72941860000003</v>
      </c>
      <c r="K60">
        <v>817.82974609999997</v>
      </c>
      <c r="L60">
        <v>832.7846528</v>
      </c>
      <c r="M60">
        <v>846.66731630000004</v>
      </c>
      <c r="N60">
        <v>859.4967676</v>
      </c>
      <c r="O60">
        <v>871.24858270000004</v>
      </c>
      <c r="P60">
        <v>881.8616366</v>
      </c>
      <c r="Q60">
        <v>891.24024899999995</v>
      </c>
      <c r="R60">
        <v>900.04909250000003</v>
      </c>
      <c r="S60">
        <v>908.87380159999998</v>
      </c>
      <c r="T60">
        <v>917.33707300000003</v>
      </c>
      <c r="U60">
        <v>925.16180569999995</v>
      </c>
      <c r="V60">
        <v>932.14956099999995</v>
      </c>
      <c r="W60">
        <v>938.13976090000006</v>
      </c>
      <c r="X60">
        <v>942.98627309999995</v>
      </c>
      <c r="Y60">
        <v>946.54538720000005</v>
      </c>
      <c r="Z60">
        <v>948.67037560000006</v>
      </c>
      <c r="AA60">
        <v>949.20979680000005</v>
      </c>
      <c r="AB60">
        <v>948.00805839999998</v>
      </c>
      <c r="AC60">
        <v>944.90750270000001</v>
      </c>
      <c r="AD60">
        <v>939.75165130000005</v>
      </c>
      <c r="AE60">
        <v>932.38941580000005</v>
      </c>
      <c r="AF60">
        <v>922.68008650000002</v>
      </c>
      <c r="AG60">
        <v>910.49903270000004</v>
      </c>
      <c r="AH60">
        <v>895.74389910000002</v>
      </c>
      <c r="AI60">
        <v>878.34111270000005</v>
      </c>
      <c r="AJ60">
        <v>858.25241679999999</v>
      </c>
      <c r="AK60">
        <v>835.48108079999997</v>
      </c>
    </row>
    <row r="61" spans="1:37" x14ac:dyDescent="0.25">
      <c r="A61" t="s">
        <v>1789</v>
      </c>
      <c r="B61">
        <v>528.68436870000005</v>
      </c>
      <c r="C61">
        <v>599.67283199999997</v>
      </c>
      <c r="D61">
        <v>652.52066590000004</v>
      </c>
      <c r="E61">
        <v>692.64252380000005</v>
      </c>
      <c r="F61">
        <v>724.10353659999998</v>
      </c>
      <c r="G61">
        <v>749.80735089999996</v>
      </c>
      <c r="H61">
        <v>771.7392188</v>
      </c>
      <c r="I61">
        <v>791.21241399999997</v>
      </c>
      <c r="J61">
        <v>809.0759372</v>
      </c>
      <c r="K61">
        <v>825.87108920000003</v>
      </c>
      <c r="L61">
        <v>841.94136619999995</v>
      </c>
      <c r="M61">
        <v>857.50588200000004</v>
      </c>
      <c r="N61">
        <v>872.70667600000002</v>
      </c>
      <c r="O61">
        <v>887.63833199999999</v>
      </c>
      <c r="P61">
        <v>902.36620100000005</v>
      </c>
      <c r="Q61">
        <v>916.93735379999998</v>
      </c>
      <c r="R61">
        <v>931.38720209999997</v>
      </c>
      <c r="S61">
        <v>945.74351190000004</v>
      </c>
      <c r="T61">
        <v>960.02888189999999</v>
      </c>
      <c r="U61">
        <v>974.26233200000001</v>
      </c>
      <c r="V61">
        <v>988.46036749999996</v>
      </c>
      <c r="W61">
        <v>1002.6377210000001</v>
      </c>
      <c r="X61">
        <v>1016.8078829999999</v>
      </c>
      <c r="Y61">
        <v>1030.983483</v>
      </c>
      <c r="Z61">
        <v>1045.1765539999999</v>
      </c>
      <c r="AA61">
        <v>1059.398715</v>
      </c>
      <c r="AB61">
        <v>1073.661276</v>
      </c>
      <c r="AC61">
        <v>1087.975293</v>
      </c>
      <c r="AD61">
        <v>1102.351584</v>
      </c>
      <c r="AE61">
        <v>1116.8007110000001</v>
      </c>
      <c r="AF61">
        <v>1131.332952</v>
      </c>
      <c r="AG61">
        <v>1145.9582559999999</v>
      </c>
      <c r="AH61">
        <v>1160.6862000000001</v>
      </c>
      <c r="AI61">
        <v>1175.5259450000001</v>
      </c>
      <c r="AJ61">
        <v>1190.4862009999999</v>
      </c>
      <c r="AK61">
        <v>1205.575198</v>
      </c>
    </row>
    <row r="62" spans="1:37" x14ac:dyDescent="0.25">
      <c r="A62" t="s">
        <v>1756</v>
      </c>
      <c r="B62">
        <v>507.5668948</v>
      </c>
      <c r="C62">
        <v>573.64915540000004</v>
      </c>
      <c r="D62">
        <v>622.34368410000002</v>
      </c>
      <c r="E62">
        <v>658.59889599999997</v>
      </c>
      <c r="F62">
        <v>686.09931349999999</v>
      </c>
      <c r="G62">
        <v>707.47845489999997</v>
      </c>
      <c r="H62">
        <v>725.2128553</v>
      </c>
      <c r="I62">
        <v>740.98417119999999</v>
      </c>
      <c r="J62">
        <v>755.18424949999996</v>
      </c>
      <c r="K62">
        <v>768.03572029999998</v>
      </c>
      <c r="L62">
        <v>779.66852029999995</v>
      </c>
      <c r="M62">
        <v>790.14138330000003</v>
      </c>
      <c r="N62">
        <v>799.45797630000004</v>
      </c>
      <c r="O62">
        <v>807.5786253</v>
      </c>
      <c r="P62">
        <v>814.42747629999997</v>
      </c>
      <c r="Q62">
        <v>819.89496350000002</v>
      </c>
      <c r="R62">
        <v>824.58246410000004</v>
      </c>
      <c r="S62">
        <v>829.04488790000005</v>
      </c>
      <c r="T62">
        <v>832.96574009999995</v>
      </c>
      <c r="U62">
        <v>836.10965940000006</v>
      </c>
      <c r="V62">
        <v>838.30916149999996</v>
      </c>
      <c r="W62">
        <v>839.43071210000005</v>
      </c>
      <c r="X62">
        <v>839.35535370000002</v>
      </c>
      <c r="Y62">
        <v>837.96907780000004</v>
      </c>
      <c r="Z62">
        <v>835.15885649999996</v>
      </c>
      <c r="AA62">
        <v>830.81187460000001</v>
      </c>
      <c r="AB62">
        <v>824.81665220000002</v>
      </c>
      <c r="AC62">
        <v>817.06538850000004</v>
      </c>
      <c r="AD62">
        <v>807.45716349999998</v>
      </c>
      <c r="AE62">
        <v>795.90178719999994</v>
      </c>
      <c r="AF62">
        <v>782.3240816</v>
      </c>
      <c r="AG62">
        <v>766.66848449999998</v>
      </c>
      <c r="AH62">
        <v>748.90374629999997</v>
      </c>
      <c r="AI62">
        <v>729.0275226</v>
      </c>
      <c r="AJ62">
        <v>707.07060109999998</v>
      </c>
      <c r="AK62">
        <v>683.10046839999995</v>
      </c>
    </row>
    <row r="63" spans="1:37" x14ac:dyDescent="0.25">
      <c r="A63" t="s">
        <v>1790</v>
      </c>
      <c r="B63">
        <v>507.5668948</v>
      </c>
      <c r="C63">
        <v>575.04322830000001</v>
      </c>
      <c r="D63">
        <v>624.60040319999996</v>
      </c>
      <c r="E63">
        <v>661.60013719999995</v>
      </c>
      <c r="F63">
        <v>690.0553453</v>
      </c>
      <c r="G63">
        <v>712.81732480000005</v>
      </c>
      <c r="H63">
        <v>731.82470220000005</v>
      </c>
      <c r="I63">
        <v>748.35290199999997</v>
      </c>
      <c r="J63">
        <v>763.22203139999999</v>
      </c>
      <c r="K63">
        <v>776.95215510000003</v>
      </c>
      <c r="L63">
        <v>789.87145199999998</v>
      </c>
      <c r="M63">
        <v>802.18799460000002</v>
      </c>
      <c r="N63">
        <v>814.03571250000005</v>
      </c>
      <c r="O63">
        <v>825.50300719999996</v>
      </c>
      <c r="P63">
        <v>836.65025249999997</v>
      </c>
      <c r="Q63">
        <v>847.52026899999998</v>
      </c>
      <c r="R63">
        <v>858.14462700000001</v>
      </c>
      <c r="S63">
        <v>868.54745739999998</v>
      </c>
      <c r="T63">
        <v>878.74780350000003</v>
      </c>
      <c r="U63">
        <v>888.76112880000005</v>
      </c>
      <c r="V63">
        <v>898.60032920000003</v>
      </c>
      <c r="W63">
        <v>908.27643880000005</v>
      </c>
      <c r="X63">
        <v>917.79913380000005</v>
      </c>
      <c r="Y63">
        <v>927.17709160000004</v>
      </c>
      <c r="Z63">
        <v>936.41824199999996</v>
      </c>
      <c r="AA63">
        <v>945.52993240000001</v>
      </c>
      <c r="AB63">
        <v>954.51902640000003</v>
      </c>
      <c r="AC63">
        <v>963.39195159999997</v>
      </c>
      <c r="AD63">
        <v>972.15470949999997</v>
      </c>
      <c r="AE63">
        <v>980.81285990000003</v>
      </c>
      <c r="AF63">
        <v>989.37149009999996</v>
      </c>
      <c r="AG63">
        <v>997.83517610000001</v>
      </c>
      <c r="AH63">
        <v>1006.207943</v>
      </c>
      <c r="AI63">
        <v>1014.493229</v>
      </c>
      <c r="AJ63">
        <v>1022.693853</v>
      </c>
      <c r="AK63">
        <v>1030.811993</v>
      </c>
    </row>
    <row r="64" spans="1:37" x14ac:dyDescent="0.25">
      <c r="A64" t="s">
        <v>1757</v>
      </c>
      <c r="B64">
        <v>351.33496400000001</v>
      </c>
      <c r="C64">
        <v>396.60028699999998</v>
      </c>
      <c r="D64">
        <v>429.46133750000001</v>
      </c>
      <c r="E64">
        <v>453.467197</v>
      </c>
      <c r="F64">
        <v>471.24691050000001</v>
      </c>
      <c r="G64">
        <v>484.66391160000001</v>
      </c>
      <c r="H64">
        <v>495.45005730000003</v>
      </c>
      <c r="I64">
        <v>504.78741650000001</v>
      </c>
      <c r="J64">
        <v>512.96714889999998</v>
      </c>
      <c r="K64">
        <v>520.14856959999997</v>
      </c>
      <c r="L64">
        <v>526.41906159999996</v>
      </c>
      <c r="M64">
        <v>531.81294579999997</v>
      </c>
      <c r="N64">
        <v>536.32475509999995</v>
      </c>
      <c r="O64">
        <v>539.91841529999999</v>
      </c>
      <c r="P64">
        <v>542.53274820000001</v>
      </c>
      <c r="Q64">
        <v>544.08356460000005</v>
      </c>
      <c r="R64">
        <v>544.96668590000002</v>
      </c>
      <c r="S64">
        <v>545.56459859999995</v>
      </c>
      <c r="T64">
        <v>545.69068200000004</v>
      </c>
      <c r="U64">
        <v>545.20469500000002</v>
      </c>
      <c r="V64">
        <v>544.00836979999997</v>
      </c>
      <c r="W64">
        <v>542.02527940000004</v>
      </c>
      <c r="X64">
        <v>539.18937149999999</v>
      </c>
      <c r="Y64">
        <v>535.43944929999998</v>
      </c>
      <c r="Z64">
        <v>530.71711479999999</v>
      </c>
      <c r="AA64">
        <v>524.96664859999998</v>
      </c>
      <c r="AB64">
        <v>518.13599910000005</v>
      </c>
      <c r="AC64">
        <v>510.17844029999998</v>
      </c>
      <c r="AD64">
        <v>501.05465579999998</v>
      </c>
      <c r="AE64">
        <v>490.7350879</v>
      </c>
      <c r="AF64">
        <v>479.20240030000002</v>
      </c>
      <c r="AG64">
        <v>466.4539613</v>
      </c>
      <c r="AH64">
        <v>452.50419429999999</v>
      </c>
      <c r="AI64">
        <v>437.38666640000002</v>
      </c>
      <c r="AJ64">
        <v>421.15575919999998</v>
      </c>
      <c r="AK64">
        <v>403.8877655</v>
      </c>
    </row>
    <row r="65" spans="1:37" x14ac:dyDescent="0.25">
      <c r="A65" t="s">
        <v>1791</v>
      </c>
      <c r="B65">
        <v>351.33496400000001</v>
      </c>
      <c r="C65">
        <v>397.57666180000001</v>
      </c>
      <c r="D65">
        <v>431.07234629999999</v>
      </c>
      <c r="E65">
        <v>455.64815199999998</v>
      </c>
      <c r="F65">
        <v>474.15910630000002</v>
      </c>
      <c r="G65">
        <v>488.62358130000001</v>
      </c>
      <c r="H65">
        <v>500.40662400000002</v>
      </c>
      <c r="I65">
        <v>510.40170810000001</v>
      </c>
      <c r="J65">
        <v>519.18056669999999</v>
      </c>
      <c r="K65">
        <v>527.10412640000004</v>
      </c>
      <c r="L65">
        <v>534.39920930000005</v>
      </c>
      <c r="M65">
        <v>541.20910419999996</v>
      </c>
      <c r="N65">
        <v>547.62575330000004</v>
      </c>
      <c r="O65">
        <v>553.70967680000001</v>
      </c>
      <c r="P65">
        <v>559.50208840000005</v>
      </c>
      <c r="Q65">
        <v>565.03211510000006</v>
      </c>
      <c r="R65">
        <v>570.32112389999998</v>
      </c>
      <c r="S65">
        <v>575.38533029999996</v>
      </c>
      <c r="T65">
        <v>580.23740889999999</v>
      </c>
      <c r="U65">
        <v>584.88752699999998</v>
      </c>
      <c r="V65">
        <v>589.34403980000002</v>
      </c>
      <c r="W65">
        <v>593.6139776</v>
      </c>
      <c r="X65">
        <v>597.70339309999997</v>
      </c>
      <c r="Y65">
        <v>601.61760939999999</v>
      </c>
      <c r="Z65">
        <v>605.36139349999996</v>
      </c>
      <c r="AA65">
        <v>608.93907060000004</v>
      </c>
      <c r="AB65">
        <v>612.35459289999994</v>
      </c>
      <c r="AC65">
        <v>615.61157419999995</v>
      </c>
      <c r="AD65">
        <v>618.71329960000003</v>
      </c>
      <c r="AE65">
        <v>621.66271830000005</v>
      </c>
      <c r="AF65">
        <v>624.46242789999997</v>
      </c>
      <c r="AG65">
        <v>627.11465399999997</v>
      </c>
      <c r="AH65">
        <v>629.62122980000004</v>
      </c>
      <c r="AI65">
        <v>631.98357950000002</v>
      </c>
      <c r="AJ65">
        <v>634.20270600000003</v>
      </c>
      <c r="AK65">
        <v>636.27918380000006</v>
      </c>
    </row>
    <row r="66" spans="1:37" x14ac:dyDescent="0.25">
      <c r="A66" t="s">
        <v>1758</v>
      </c>
      <c r="B66">
        <v>194.7292726</v>
      </c>
      <c r="C66">
        <v>218.62508769999999</v>
      </c>
      <c r="D66">
        <v>234.78025410000001</v>
      </c>
      <c r="E66">
        <v>245.4787365</v>
      </c>
      <c r="F66">
        <v>252.3924366</v>
      </c>
      <c r="G66">
        <v>256.6825217</v>
      </c>
      <c r="H66">
        <v>259.36974249999997</v>
      </c>
      <c r="I66">
        <v>261.13768549999998</v>
      </c>
      <c r="J66">
        <v>262.17552810000001</v>
      </c>
      <c r="K66">
        <v>262.587988</v>
      </c>
      <c r="L66">
        <v>262.43605609999997</v>
      </c>
      <c r="M66">
        <v>261.75168550000001</v>
      </c>
      <c r="N66">
        <v>260.54729939999999</v>
      </c>
      <c r="O66">
        <v>258.8221403</v>
      </c>
      <c r="P66">
        <v>256.56638720000001</v>
      </c>
      <c r="Q66">
        <v>253.76366490000001</v>
      </c>
      <c r="R66">
        <v>250.62671839999999</v>
      </c>
      <c r="S66">
        <v>247.3613312</v>
      </c>
      <c r="T66">
        <v>243.91034859999999</v>
      </c>
      <c r="U66">
        <v>240.23693470000001</v>
      </c>
      <c r="V66">
        <v>236.3240868</v>
      </c>
      <c r="W66">
        <v>232.1657395</v>
      </c>
      <c r="X66">
        <v>227.7614289</v>
      </c>
      <c r="Y66">
        <v>223.113485</v>
      </c>
      <c r="Z66">
        <v>218.22568899999999</v>
      </c>
      <c r="AA66">
        <v>213.1027082</v>
      </c>
      <c r="AB66">
        <v>207.74992639999999</v>
      </c>
      <c r="AC66">
        <v>202.17346649999999</v>
      </c>
      <c r="AD66">
        <v>196.38029789999999</v>
      </c>
      <c r="AE66">
        <v>190.37837690000001</v>
      </c>
      <c r="AF66">
        <v>184.1767907</v>
      </c>
      <c r="AG66">
        <v>177.78590320000001</v>
      </c>
      <c r="AH66">
        <v>171.21749840000001</v>
      </c>
      <c r="AI66">
        <v>164.4849298</v>
      </c>
      <c r="AJ66">
        <v>157.60327910000001</v>
      </c>
      <c r="AK66">
        <v>150.5895261</v>
      </c>
    </row>
    <row r="67" spans="1:37" x14ac:dyDescent="0.25">
      <c r="A67" t="s">
        <v>1792</v>
      </c>
      <c r="B67">
        <v>194.7292726</v>
      </c>
      <c r="C67">
        <v>219.16847580000001</v>
      </c>
      <c r="D67">
        <v>235.6835853</v>
      </c>
      <c r="E67">
        <v>246.70455079999999</v>
      </c>
      <c r="F67">
        <v>254.02359989999999</v>
      </c>
      <c r="G67">
        <v>258.88249669999999</v>
      </c>
      <c r="H67">
        <v>262.1033602</v>
      </c>
      <c r="I67">
        <v>264.21364740000001</v>
      </c>
      <c r="J67">
        <v>265.54511989999997</v>
      </c>
      <c r="K67">
        <v>266.30457689999997</v>
      </c>
      <c r="L67">
        <v>266.62124929999999</v>
      </c>
      <c r="M67">
        <v>266.57715610000002</v>
      </c>
      <c r="N67">
        <v>266.22589820000002</v>
      </c>
      <c r="O67">
        <v>265.60399560000002</v>
      </c>
      <c r="P67">
        <v>264.73760390000001</v>
      </c>
      <c r="Q67">
        <v>263.64644179999999</v>
      </c>
      <c r="R67">
        <v>262.34610190000001</v>
      </c>
      <c r="S67">
        <v>260.84943399999997</v>
      </c>
      <c r="T67">
        <v>259.16739999999999</v>
      </c>
      <c r="U67">
        <v>257.3096271</v>
      </c>
      <c r="V67">
        <v>255.28478509999999</v>
      </c>
      <c r="W67">
        <v>253.1008515</v>
      </c>
      <c r="X67">
        <v>250.76530170000001</v>
      </c>
      <c r="Y67">
        <v>248.28524379999999</v>
      </c>
      <c r="Z67">
        <v>245.6675114</v>
      </c>
      <c r="AA67">
        <v>242.91872570000001</v>
      </c>
      <c r="AB67">
        <v>240.0453321</v>
      </c>
      <c r="AC67">
        <v>237.0536214</v>
      </c>
      <c r="AD67">
        <v>233.94973820000001</v>
      </c>
      <c r="AE67">
        <v>230.73968339999999</v>
      </c>
      <c r="AF67">
        <v>227.4293132</v>
      </c>
      <c r="AG67">
        <v>224.02433819999999</v>
      </c>
      <c r="AH67">
        <v>220.53032260000001</v>
      </c>
      <c r="AI67">
        <v>216.9526874</v>
      </c>
      <c r="AJ67">
        <v>213.29671450000001</v>
      </c>
      <c r="AK67">
        <v>209.56755469999999</v>
      </c>
    </row>
    <row r="68" spans="1:37" x14ac:dyDescent="0.25">
      <c r="A68" t="s">
        <v>1759</v>
      </c>
      <c r="B68">
        <v>119.7902723</v>
      </c>
      <c r="C68">
        <v>133.83041510000001</v>
      </c>
      <c r="D68">
        <v>142.6432543</v>
      </c>
      <c r="E68">
        <v>147.81965880000001</v>
      </c>
      <c r="F68">
        <v>150.51250619999999</v>
      </c>
      <c r="G68">
        <v>151.5092975</v>
      </c>
      <c r="H68">
        <v>151.47283669999999</v>
      </c>
      <c r="I68">
        <v>150.84156730000001</v>
      </c>
      <c r="J68">
        <v>149.74940889999999</v>
      </c>
      <c r="K68">
        <v>148.27119930000001</v>
      </c>
      <c r="L68">
        <v>146.4518812</v>
      </c>
      <c r="M68">
        <v>144.31777629999999</v>
      </c>
      <c r="N68">
        <v>141.8834659</v>
      </c>
      <c r="O68">
        <v>139.15614969999999</v>
      </c>
      <c r="P68">
        <v>136.13839469999999</v>
      </c>
      <c r="Q68">
        <v>132.82984640000001</v>
      </c>
      <c r="R68">
        <v>129.3516041</v>
      </c>
      <c r="S68">
        <v>125.82107689999999</v>
      </c>
      <c r="T68">
        <v>122.21960180000001</v>
      </c>
      <c r="U68">
        <v>118.53770249999999</v>
      </c>
      <c r="V68">
        <v>114.77565130000001</v>
      </c>
      <c r="W68">
        <v>110.9391227</v>
      </c>
      <c r="X68">
        <v>107.0365108</v>
      </c>
      <c r="Y68">
        <v>103.0774914</v>
      </c>
      <c r="Z68">
        <v>99.072315219999993</v>
      </c>
      <c r="AA68">
        <v>95.03149062</v>
      </c>
      <c r="AB68">
        <v>90.965656339999995</v>
      </c>
      <c r="AC68">
        <v>86.885537630000002</v>
      </c>
      <c r="AD68">
        <v>82.801930029999994</v>
      </c>
      <c r="AE68">
        <v>78.725684670000007</v>
      </c>
      <c r="AF68">
        <v>74.667683229999994</v>
      </c>
      <c r="AG68">
        <v>70.638802609999999</v>
      </c>
      <c r="AH68">
        <v>66.649871430000005</v>
      </c>
      <c r="AI68">
        <v>62.711623080000003</v>
      </c>
      <c r="AJ68">
        <v>58.83464961</v>
      </c>
      <c r="AK68">
        <v>55.02935918</v>
      </c>
    </row>
    <row r="69" spans="1:37" x14ac:dyDescent="0.25">
      <c r="A69" t="s">
        <v>1793</v>
      </c>
      <c r="B69">
        <v>119.7902723</v>
      </c>
      <c r="C69">
        <v>134.1675396</v>
      </c>
      <c r="D69">
        <v>143.21188309999999</v>
      </c>
      <c r="E69">
        <v>148.599919</v>
      </c>
      <c r="F69">
        <v>151.55669750000001</v>
      </c>
      <c r="G69">
        <v>152.91812100000001</v>
      </c>
      <c r="H69">
        <v>153.2289107</v>
      </c>
      <c r="I69">
        <v>152.83366319999999</v>
      </c>
      <c r="J69">
        <v>151.94687450000001</v>
      </c>
      <c r="K69">
        <v>150.7016697</v>
      </c>
      <c r="L69">
        <v>149.1816594</v>
      </c>
      <c r="M69">
        <v>147.4408675</v>
      </c>
      <c r="N69">
        <v>145.51579079999999</v>
      </c>
      <c r="O69">
        <v>143.43251309999999</v>
      </c>
      <c r="P69">
        <v>141.21082860000001</v>
      </c>
      <c r="Q69">
        <v>138.86661000000001</v>
      </c>
      <c r="R69">
        <v>136.41318050000001</v>
      </c>
      <c r="S69">
        <v>133.86212739999999</v>
      </c>
      <c r="T69">
        <v>131.2238026</v>
      </c>
      <c r="U69">
        <v>128.5076483</v>
      </c>
      <c r="V69">
        <v>125.72241750000001</v>
      </c>
      <c r="W69">
        <v>122.87632859999999</v>
      </c>
      <c r="X69">
        <v>119.9771744</v>
      </c>
      <c r="Y69">
        <v>117.032397</v>
      </c>
      <c r="Z69">
        <v>114.0491384</v>
      </c>
      <c r="AA69">
        <v>111.0342708</v>
      </c>
      <c r="AB69">
        <v>107.994415</v>
      </c>
      <c r="AC69">
        <v>104.9359484</v>
      </c>
      <c r="AD69">
        <v>101.8650075</v>
      </c>
      <c r="AE69">
        <v>98.787487870000007</v>
      </c>
      <c r="AF69">
        <v>95.709042499999995</v>
      </c>
      <c r="AG69">
        <v>92.635080930000001</v>
      </c>
      <c r="AH69">
        <v>89.570769299999995</v>
      </c>
      <c r="AI69">
        <v>86.521031890000003</v>
      </c>
      <c r="AJ69">
        <v>83.490554119999999</v>
      </c>
      <c r="AK69">
        <v>80.483786749999993</v>
      </c>
    </row>
    <row r="70" spans="1:37" x14ac:dyDescent="0.25">
      <c r="A70" t="s">
        <v>1760</v>
      </c>
      <c r="B70">
        <v>57.932893</v>
      </c>
      <c r="C70">
        <v>63.609060390000003</v>
      </c>
      <c r="D70">
        <v>66.033113589999999</v>
      </c>
      <c r="E70">
        <v>66.321973819999997</v>
      </c>
      <c r="F70">
        <v>65.263206890000006</v>
      </c>
      <c r="G70">
        <v>63.372895249999999</v>
      </c>
      <c r="H70">
        <v>61.035555250000002</v>
      </c>
      <c r="I70">
        <v>58.490347980000003</v>
      </c>
      <c r="J70">
        <v>55.825307479999999</v>
      </c>
      <c r="K70">
        <v>53.091717719999998</v>
      </c>
      <c r="L70">
        <v>50.322841390000001</v>
      </c>
      <c r="M70">
        <v>47.541657270000002</v>
      </c>
      <c r="N70">
        <v>44.765056190000003</v>
      </c>
      <c r="O70">
        <v>42.006210750000001</v>
      </c>
      <c r="P70">
        <v>39.275954890000001</v>
      </c>
      <c r="Q70">
        <v>36.583622660000003</v>
      </c>
      <c r="R70">
        <v>33.970456220000003</v>
      </c>
      <c r="S70">
        <v>31.471532419999999</v>
      </c>
      <c r="T70">
        <v>29.083587609999999</v>
      </c>
      <c r="U70">
        <v>26.805191499999999</v>
      </c>
      <c r="V70">
        <v>24.63685087</v>
      </c>
      <c r="W70">
        <v>22.579700330000001</v>
      </c>
      <c r="X70">
        <v>20.634701039999999</v>
      </c>
      <c r="Y70">
        <v>18.802240999999999</v>
      </c>
      <c r="Z70">
        <v>17.081980690000002</v>
      </c>
      <c r="AA70">
        <v>15.472830889999999</v>
      </c>
      <c r="AB70">
        <v>13.972994699999999</v>
      </c>
      <c r="AC70">
        <v>12.580036140000001</v>
      </c>
      <c r="AD70">
        <v>11.290956789999999</v>
      </c>
      <c r="AE70">
        <v>10.10227252</v>
      </c>
      <c r="AF70">
        <v>9.0100877809999993</v>
      </c>
      <c r="AG70">
        <v>8.0101671400000001</v>
      </c>
      <c r="AH70">
        <v>7.0980046200000002</v>
      </c>
      <c r="AI70">
        <v>6.2688910360000003</v>
      </c>
      <c r="AJ70">
        <v>5.5179791749999998</v>
      </c>
      <c r="AK70">
        <v>4.8403462140000002</v>
      </c>
    </row>
    <row r="71" spans="1:37" x14ac:dyDescent="0.25">
      <c r="A71" t="s">
        <v>1794</v>
      </c>
      <c r="B71">
        <v>57.932893</v>
      </c>
      <c r="C71">
        <v>63.771507409999998</v>
      </c>
      <c r="D71">
        <v>66.307034189999996</v>
      </c>
      <c r="E71">
        <v>66.694489480000001</v>
      </c>
      <c r="F71">
        <v>65.753401089999997</v>
      </c>
      <c r="G71">
        <v>64.018948850000001</v>
      </c>
      <c r="H71">
        <v>61.82402055</v>
      </c>
      <c r="I71">
        <v>59.370208980000001</v>
      </c>
      <c r="J71">
        <v>56.778536289999998</v>
      </c>
      <c r="K71">
        <v>54.122335409999998</v>
      </c>
      <c r="L71">
        <v>51.447307709999997</v>
      </c>
      <c r="M71">
        <v>48.783242450000003</v>
      </c>
      <c r="N71">
        <v>46.150647849999999</v>
      </c>
      <c r="O71">
        <v>43.564421629999998</v>
      </c>
      <c r="P71">
        <v>41.035861779999998</v>
      </c>
      <c r="Q71">
        <v>38.573779870000003</v>
      </c>
      <c r="R71">
        <v>36.185138690000002</v>
      </c>
      <c r="S71">
        <v>33.875441850000001</v>
      </c>
      <c r="T71">
        <v>31.64899093</v>
      </c>
      <c r="U71">
        <v>29.509069069999999</v>
      </c>
      <c r="V71">
        <v>27.4580801</v>
      </c>
      <c r="W71">
        <v>25.497658340000001</v>
      </c>
      <c r="X71">
        <v>23.62875738</v>
      </c>
      <c r="Y71">
        <v>21.85172386</v>
      </c>
      <c r="Z71">
        <v>20.16636008</v>
      </c>
      <c r="AA71">
        <v>18.571978900000001</v>
      </c>
      <c r="AB71">
        <v>17.067453319999998</v>
      </c>
      <c r="AC71">
        <v>15.65126236</v>
      </c>
      <c r="AD71">
        <v>14.321534590000001</v>
      </c>
      <c r="AE71">
        <v>13.07608991</v>
      </c>
      <c r="AF71">
        <v>11.912479940000001</v>
      </c>
      <c r="AG71">
        <v>10.82802699</v>
      </c>
      <c r="AH71">
        <v>9.8198616390000009</v>
      </c>
      <c r="AI71">
        <v>8.8849586869999992</v>
      </c>
      <c r="AJ71">
        <v>8.0201712119999993</v>
      </c>
      <c r="AK71">
        <v>7.2222626459999999</v>
      </c>
    </row>
    <row r="72" spans="1:37" x14ac:dyDescent="0.25">
      <c r="A72" t="s">
        <v>1761</v>
      </c>
      <c r="B72">
        <v>108.7643346</v>
      </c>
      <c r="C72">
        <v>117.6201255</v>
      </c>
      <c r="D72">
        <v>119.3270837</v>
      </c>
      <c r="E72">
        <v>116.6176839</v>
      </c>
      <c r="F72">
        <v>111.3696352</v>
      </c>
      <c r="G72">
        <v>104.7698573</v>
      </c>
      <c r="H72">
        <v>97.631366979999996</v>
      </c>
      <c r="I72">
        <v>90.430450919999998</v>
      </c>
      <c r="J72">
        <v>83.348004200000005</v>
      </c>
      <c r="K72">
        <v>76.480837870000002</v>
      </c>
      <c r="L72">
        <v>69.884414770000006</v>
      </c>
      <c r="M72">
        <v>63.591108460000001</v>
      </c>
      <c r="N72">
        <v>57.619641219999998</v>
      </c>
      <c r="O72">
        <v>51.980173739999998</v>
      </c>
      <c r="P72">
        <v>46.677191929999999</v>
      </c>
      <c r="Q72">
        <v>41.711251279999999</v>
      </c>
      <c r="R72">
        <v>37.11659246</v>
      </c>
      <c r="S72">
        <v>32.914743020000003</v>
      </c>
      <c r="T72">
        <v>29.082699059999999</v>
      </c>
      <c r="U72">
        <v>25.599142400000002</v>
      </c>
      <c r="V72">
        <v>22.444686390000001</v>
      </c>
      <c r="W72">
        <v>19.60052258</v>
      </c>
      <c r="X72">
        <v>17.04771959</v>
      </c>
      <c r="Y72">
        <v>14.767020779999999</v>
      </c>
      <c r="Z72">
        <v>12.738923590000001</v>
      </c>
      <c r="AA72">
        <v>10.943885229999999</v>
      </c>
      <c r="AB72">
        <v>9.3625632949999993</v>
      </c>
      <c r="AC72">
        <v>7.9760450389999997</v>
      </c>
      <c r="AD72">
        <v>6.7660450579999996</v>
      </c>
      <c r="AE72">
        <v>5.715065879</v>
      </c>
      <c r="AF72">
        <v>4.8065223379999997</v>
      </c>
      <c r="AG72">
        <v>4.0248328249999998</v>
      </c>
      <c r="AH72">
        <v>3.3554812570000001</v>
      </c>
      <c r="AI72">
        <v>2.785053129</v>
      </c>
      <c r="AJ72">
        <v>2.3012487500000001</v>
      </c>
      <c r="AK72">
        <v>1.8928764760000001</v>
      </c>
    </row>
    <row r="73" spans="1:37" x14ac:dyDescent="0.25">
      <c r="A73" t="s">
        <v>1795</v>
      </c>
      <c r="B73">
        <v>108.7643346</v>
      </c>
      <c r="C73">
        <v>117.9248407</v>
      </c>
      <c r="D73">
        <v>119.84184980000001</v>
      </c>
      <c r="E73">
        <v>117.313436</v>
      </c>
      <c r="F73">
        <v>112.2727798</v>
      </c>
      <c r="G73">
        <v>105.9366924</v>
      </c>
      <c r="H73">
        <v>99.029629439999994</v>
      </c>
      <c r="I73">
        <v>91.968223469999998</v>
      </c>
      <c r="J73">
        <v>84.987189270000002</v>
      </c>
      <c r="K73">
        <v>78.217351899999997</v>
      </c>
      <c r="L73">
        <v>71.731185400000001</v>
      </c>
      <c r="M73">
        <v>65.568314740000005</v>
      </c>
      <c r="N73">
        <v>59.74940891</v>
      </c>
      <c r="O73">
        <v>54.283658080000002</v>
      </c>
      <c r="P73">
        <v>49.17283733</v>
      </c>
      <c r="Q73">
        <v>44.413605799999999</v>
      </c>
      <c r="R73">
        <v>39.998906210000001</v>
      </c>
      <c r="S73">
        <v>35.91890059</v>
      </c>
      <c r="T73">
        <v>32.161652500000002</v>
      </c>
      <c r="U73">
        <v>28.713657130000001</v>
      </c>
      <c r="V73">
        <v>25.560269380000001</v>
      </c>
      <c r="W73">
        <v>22.68605595</v>
      </c>
      <c r="X73">
        <v>20.075088130000001</v>
      </c>
      <c r="Y73">
        <v>17.711186730000001</v>
      </c>
      <c r="Z73">
        <v>15.578127950000001</v>
      </c>
      <c r="AA73">
        <v>13.65981689</v>
      </c>
      <c r="AB73">
        <v>11.9404339</v>
      </c>
      <c r="AC73">
        <v>10.404557369999999</v>
      </c>
      <c r="AD73">
        <v>9.0372658829999999</v>
      </c>
      <c r="AE73">
        <v>7.8242217280000004</v>
      </c>
      <c r="AF73">
        <v>6.7517373369999998</v>
      </c>
      <c r="AG73">
        <v>5.8068261330000004</v>
      </c>
      <c r="AH73">
        <v>4.9772389869999998</v>
      </c>
      <c r="AI73">
        <v>4.2514875679999999</v>
      </c>
      <c r="AJ73">
        <v>3.6188558409999998</v>
      </c>
      <c r="AK73">
        <v>3.0694010230000002</v>
      </c>
    </row>
    <row r="74" spans="1:37" x14ac:dyDescent="0.25">
      <c r="A74" t="s">
        <v>1762</v>
      </c>
      <c r="B74">
        <v>4.8854001</v>
      </c>
      <c r="C74">
        <v>5.537697348</v>
      </c>
      <c r="D74">
        <v>6.0545843220000002</v>
      </c>
      <c r="E74">
        <v>6.488235779</v>
      </c>
      <c r="F74">
        <v>6.8824648310000001</v>
      </c>
      <c r="G74">
        <v>7.2768623689999998</v>
      </c>
      <c r="H74">
        <v>7.710849821</v>
      </c>
      <c r="I74">
        <v>8.2063243430000004</v>
      </c>
      <c r="J74">
        <v>8.7664036779999996</v>
      </c>
      <c r="K74">
        <v>9.3979319879999998</v>
      </c>
      <c r="L74">
        <v>10.113396099999999</v>
      </c>
      <c r="M74">
        <v>10.932201709999999</v>
      </c>
      <c r="N74">
        <v>11.88227395</v>
      </c>
      <c r="O74">
        <v>13.00241933</v>
      </c>
      <c r="P74">
        <v>14.345938139999999</v>
      </c>
      <c r="Q74">
        <v>15.98617099</v>
      </c>
      <c r="R74">
        <v>18.026784060000001</v>
      </c>
      <c r="S74">
        <v>20.568639050000002</v>
      </c>
      <c r="T74">
        <v>23.687386579999998</v>
      </c>
      <c r="U74">
        <v>27.468125560000001</v>
      </c>
      <c r="V74">
        <v>32.005881260000002</v>
      </c>
      <c r="W74">
        <v>37.405312199999997</v>
      </c>
      <c r="X74">
        <v>43.780310579999998</v>
      </c>
      <c r="Y74">
        <v>51.253390410000002</v>
      </c>
      <c r="Z74">
        <v>59.954740479999998</v>
      </c>
      <c r="AA74">
        <v>70.02082901</v>
      </c>
      <c r="AB74">
        <v>81.592461839999999</v>
      </c>
      <c r="AC74">
        <v>94.812214350000005</v>
      </c>
      <c r="AD74">
        <v>109.8211788</v>
      </c>
      <c r="AE74">
        <v>126.7549994</v>
      </c>
      <c r="AF74">
        <v>145.73919620000001</v>
      </c>
      <c r="AG74">
        <v>166.8838446</v>
      </c>
      <c r="AH74">
        <v>190.2777222</v>
      </c>
      <c r="AI74">
        <v>215.98211860000001</v>
      </c>
      <c r="AJ74">
        <v>244.0245807</v>
      </c>
      <c r="AK74">
        <v>274.39294439999998</v>
      </c>
    </row>
    <row r="75" spans="1:37" x14ac:dyDescent="0.25">
      <c r="A75" t="s">
        <v>1796</v>
      </c>
      <c r="B75">
        <v>4.8854001</v>
      </c>
      <c r="C75">
        <v>5.5417375089999998</v>
      </c>
      <c r="D75">
        <v>6.0318007280000003</v>
      </c>
      <c r="E75">
        <v>6.4067081200000002</v>
      </c>
      <c r="F75">
        <v>6.704687946</v>
      </c>
      <c r="G75">
        <v>6.95273553</v>
      </c>
      <c r="H75">
        <v>7.1690294769999996</v>
      </c>
      <c r="I75">
        <v>7.365414951</v>
      </c>
      <c r="J75">
        <v>7.5494651829999997</v>
      </c>
      <c r="K75">
        <v>7.7259937680000004</v>
      </c>
      <c r="L75">
        <v>7.8980818519999998</v>
      </c>
      <c r="M75">
        <v>8.0677414909999996</v>
      </c>
      <c r="N75">
        <v>8.2363301260000004</v>
      </c>
      <c r="O75">
        <v>8.404804231</v>
      </c>
      <c r="P75">
        <v>8.5738742800000001</v>
      </c>
      <c r="Q75">
        <v>8.744098868</v>
      </c>
      <c r="R75">
        <v>8.9159439500000008</v>
      </c>
      <c r="S75">
        <v>9.0898212899999997</v>
      </c>
      <c r="T75">
        <v>9.2661145440000006</v>
      </c>
      <c r="U75">
        <v>9.4451975600000004</v>
      </c>
      <c r="V75">
        <v>9.6274477199999993</v>
      </c>
      <c r="W75">
        <v>9.8132561319999994</v>
      </c>
      <c r="X75">
        <v>10.0030357</v>
      </c>
      <c r="Y75">
        <v>10.19722771</v>
      </c>
      <c r="Z75">
        <v>10.3963073</v>
      </c>
      <c r="AA75">
        <v>10.60078822</v>
      </c>
      <c r="AB75">
        <v>10.811226899999999</v>
      </c>
      <c r="AC75">
        <v>11.02822636</v>
      </c>
      <c r="AD75">
        <v>11.25243985</v>
      </c>
      <c r="AE75">
        <v>11.484574609999999</v>
      </c>
      <c r="AF75">
        <v>11.72539581</v>
      </c>
      <c r="AG75">
        <v>11.97573077</v>
      </c>
      <c r="AH75">
        <v>12.236473670000001</v>
      </c>
      <c r="AI75">
        <v>12.50859075</v>
      </c>
      <c r="AJ75">
        <v>12.79312612</v>
      </c>
      <c r="AK75">
        <v>13.091208290000001</v>
      </c>
    </row>
    <row r="76" spans="1:37" x14ac:dyDescent="0.25">
      <c r="A76" t="s">
        <v>1763</v>
      </c>
      <c r="B76">
        <v>4.6902603999999997</v>
      </c>
      <c r="C76">
        <v>5.3108370069999999</v>
      </c>
      <c r="D76">
        <v>5.7983659379999999</v>
      </c>
      <c r="E76">
        <v>6.2047941919999996</v>
      </c>
      <c r="F76">
        <v>6.5735543559999998</v>
      </c>
      <c r="G76">
        <v>6.9437050390000001</v>
      </c>
      <c r="H76">
        <v>7.3536603349999998</v>
      </c>
      <c r="I76">
        <v>7.8242501600000001</v>
      </c>
      <c r="J76">
        <v>8.3579150099999993</v>
      </c>
      <c r="K76">
        <v>8.9607070130000004</v>
      </c>
      <c r="L76">
        <v>9.6441498410000008</v>
      </c>
      <c r="M76">
        <v>10.426406269999999</v>
      </c>
      <c r="N76">
        <v>11.33370002</v>
      </c>
      <c r="O76">
        <v>12.40240612</v>
      </c>
      <c r="P76">
        <v>13.682247889999999</v>
      </c>
      <c r="Q76">
        <v>15.241193429999999</v>
      </c>
      <c r="R76">
        <v>17.174681069999998</v>
      </c>
      <c r="S76">
        <v>19.573692319999999</v>
      </c>
      <c r="T76">
        <v>22.503363749999998</v>
      </c>
      <c r="U76">
        <v>26.03568645</v>
      </c>
      <c r="V76">
        <v>30.249725349999999</v>
      </c>
      <c r="W76">
        <v>35.231035210000002</v>
      </c>
      <c r="X76">
        <v>41.070938920000003</v>
      </c>
      <c r="Y76">
        <v>47.865592820000003</v>
      </c>
      <c r="Z76">
        <v>55.714747420000002</v>
      </c>
      <c r="AA76">
        <v>64.720124220000002</v>
      </c>
      <c r="AB76">
        <v>74.983348739999997</v>
      </c>
      <c r="AC76">
        <v>86.603402299999999</v>
      </c>
      <c r="AD76">
        <v>99.673580119999997</v>
      </c>
      <c r="AE76">
        <v>114.27797529999999</v>
      </c>
      <c r="AF76">
        <v>130.48753629999999</v>
      </c>
      <c r="AG76">
        <v>148.3558022</v>
      </c>
      <c r="AH76">
        <v>167.91445379999999</v>
      </c>
      <c r="AI76">
        <v>189.1688833</v>
      </c>
      <c r="AJ76">
        <v>212.09402879999999</v>
      </c>
      <c r="AK76">
        <v>236.63076960000001</v>
      </c>
    </row>
    <row r="77" spans="1:37" x14ac:dyDescent="0.25">
      <c r="A77" t="s">
        <v>1797</v>
      </c>
      <c r="B77">
        <v>4.6902603999999997</v>
      </c>
      <c r="C77">
        <v>5.3141672460000002</v>
      </c>
      <c r="D77">
        <v>5.7739232359999999</v>
      </c>
      <c r="E77">
        <v>6.1202040450000004</v>
      </c>
      <c r="F77">
        <v>6.390769959</v>
      </c>
      <c r="G77">
        <v>6.612117188</v>
      </c>
      <c r="H77">
        <v>6.8019618810000004</v>
      </c>
      <c r="I77">
        <v>6.9717637840000002</v>
      </c>
      <c r="J77">
        <v>7.1287959460000003</v>
      </c>
      <c r="K77">
        <v>7.2776468520000002</v>
      </c>
      <c r="L77">
        <v>7.4212308120000001</v>
      </c>
      <c r="M77">
        <v>7.5614345289999996</v>
      </c>
      <c r="N77">
        <v>7.6995176040000004</v>
      </c>
      <c r="O77">
        <v>7.8363557679999998</v>
      </c>
      <c r="P77">
        <v>7.9725884459999996</v>
      </c>
      <c r="Q77">
        <v>8.1087080149999995</v>
      </c>
      <c r="R77">
        <v>8.2451158000000007</v>
      </c>
      <c r="S77">
        <v>8.3821583799999999</v>
      </c>
      <c r="T77">
        <v>8.5201521739999997</v>
      </c>
      <c r="U77">
        <v>8.6594005809999999</v>
      </c>
      <c r="V77">
        <v>8.8002063249999996</v>
      </c>
      <c r="W77">
        <v>8.9428807050000003</v>
      </c>
      <c r="X77">
        <v>9.0877507069999997</v>
      </c>
      <c r="Y77">
        <v>9.2351645930000004</v>
      </c>
      <c r="Z77">
        <v>9.3854963310000006</v>
      </c>
      <c r="AA77">
        <v>9.5391491730000002</v>
      </c>
      <c r="AB77">
        <v>9.6965585920000006</v>
      </c>
      <c r="AC77">
        <v>9.8581948090000004</v>
      </c>
      <c r="AD77">
        <v>10.02456507</v>
      </c>
      <c r="AE77">
        <v>10.19621585</v>
      </c>
      <c r="AF77">
        <v>10.373735099999999</v>
      </c>
      <c r="AG77">
        <v>10.55775465</v>
      </c>
      <c r="AH77">
        <v>10.74895285</v>
      </c>
      <c r="AI77">
        <v>10.948057520000001</v>
      </c>
      <c r="AJ77">
        <v>11.15584928</v>
      </c>
      <c r="AK77">
        <v>11.37316521</v>
      </c>
    </row>
    <row r="78" spans="1:37" x14ac:dyDescent="0.25">
      <c r="A78" t="s">
        <v>1764</v>
      </c>
      <c r="B78">
        <v>3.246572</v>
      </c>
      <c r="C78">
        <v>3.6722038530000001</v>
      </c>
      <c r="D78">
        <v>4.0035834159999997</v>
      </c>
      <c r="E78">
        <v>4.2779300180000002</v>
      </c>
      <c r="F78">
        <v>4.5262093229999998</v>
      </c>
      <c r="G78">
        <v>4.7761075890000004</v>
      </c>
      <c r="H78">
        <v>5.0545188359999997</v>
      </c>
      <c r="I78">
        <v>5.3756744359999997</v>
      </c>
      <c r="J78">
        <v>5.7408561110000003</v>
      </c>
      <c r="K78">
        <v>6.1538536610000003</v>
      </c>
      <c r="L78">
        <v>6.6222570870000004</v>
      </c>
      <c r="M78">
        <v>7.1582176579999999</v>
      </c>
      <c r="N78">
        <v>7.7793462819999997</v>
      </c>
      <c r="O78">
        <v>8.5100318149999996</v>
      </c>
      <c r="P78">
        <v>9.3834606889999996</v>
      </c>
      <c r="Q78">
        <v>10.44470711</v>
      </c>
      <c r="R78">
        <v>11.756694749999999</v>
      </c>
      <c r="S78">
        <v>13.378155769999999</v>
      </c>
      <c r="T78">
        <v>15.3490036</v>
      </c>
      <c r="U78">
        <v>17.712517510000001</v>
      </c>
      <c r="V78">
        <v>20.515379490000001</v>
      </c>
      <c r="W78">
        <v>23.807126650000001</v>
      </c>
      <c r="X78">
        <v>27.63949736</v>
      </c>
      <c r="Y78">
        <v>32.065637240000001</v>
      </c>
      <c r="Z78">
        <v>37.13911916</v>
      </c>
      <c r="AA78">
        <v>42.912740839999998</v>
      </c>
      <c r="AB78">
        <v>49.437079109999999</v>
      </c>
      <c r="AC78">
        <v>56.758796429999997</v>
      </c>
      <c r="AD78">
        <v>64.918713949999997</v>
      </c>
      <c r="AE78">
        <v>73.949685619999997</v>
      </c>
      <c r="AF78">
        <v>83.874327170000001</v>
      </c>
      <c r="AG78">
        <v>94.702683230000005</v>
      </c>
      <c r="AH78">
        <v>106.429936</v>
      </c>
      <c r="AI78">
        <v>119.0342862</v>
      </c>
      <c r="AJ78">
        <v>132.47515749999999</v>
      </c>
      <c r="AK78">
        <v>146.69188510000001</v>
      </c>
    </row>
    <row r="79" spans="1:37" x14ac:dyDescent="0.25">
      <c r="A79" t="s">
        <v>1798</v>
      </c>
      <c r="B79">
        <v>3.246572</v>
      </c>
      <c r="C79">
        <v>3.6741607209999998</v>
      </c>
      <c r="D79">
        <v>3.985040852</v>
      </c>
      <c r="E79">
        <v>4.215406786</v>
      </c>
      <c r="F79">
        <v>4.3921338710000004</v>
      </c>
      <c r="G79">
        <v>4.5339664730000004</v>
      </c>
      <c r="H79">
        <v>4.6533530870000002</v>
      </c>
      <c r="I79">
        <v>4.7582905110000002</v>
      </c>
      <c r="J79">
        <v>4.8538192130000004</v>
      </c>
      <c r="K79">
        <v>4.9430977260000004</v>
      </c>
      <c r="L79">
        <v>5.0281186770000001</v>
      </c>
      <c r="M79">
        <v>5.1101629969999998</v>
      </c>
      <c r="N79">
        <v>5.1900789439999997</v>
      </c>
      <c r="O79">
        <v>5.268450348</v>
      </c>
      <c r="P79">
        <v>5.3456978929999996</v>
      </c>
      <c r="Q79">
        <v>5.4221402220000003</v>
      </c>
      <c r="R79">
        <v>5.4980320989999996</v>
      </c>
      <c r="S79">
        <v>5.5735891390000001</v>
      </c>
      <c r="T79">
        <v>5.6490045139999996</v>
      </c>
      <c r="U79">
        <v>5.7244605389999998</v>
      </c>
      <c r="V79">
        <v>5.8001369179999998</v>
      </c>
      <c r="W79">
        <v>5.8762168060000004</v>
      </c>
      <c r="X79">
        <v>5.9528913379999997</v>
      </c>
      <c r="Y79">
        <v>6.0303630559999997</v>
      </c>
      <c r="Z79">
        <v>6.1088484730000001</v>
      </c>
      <c r="AA79">
        <v>6.1885799949999996</v>
      </c>
      <c r="AB79">
        <v>6.2698073489999997</v>
      </c>
      <c r="AC79">
        <v>6.3527986749999998</v>
      </c>
      <c r="AD79">
        <v>6.4378413950000004</v>
      </c>
      <c r="AE79">
        <v>6.5252429709999999</v>
      </c>
      <c r="AF79">
        <v>6.6153316350000004</v>
      </c>
      <c r="AG79">
        <v>6.7084571510000002</v>
      </c>
      <c r="AH79">
        <v>6.8049916709999998</v>
      </c>
      <c r="AI79">
        <v>6.9053307029999997</v>
      </c>
      <c r="AJ79">
        <v>7.0098942400000004</v>
      </c>
      <c r="AK79">
        <v>7.1191280270000004</v>
      </c>
    </row>
    <row r="80" spans="1:37" x14ac:dyDescent="0.25">
      <c r="A80" t="s">
        <v>1765</v>
      </c>
      <c r="B80">
        <v>1.7994298</v>
      </c>
      <c r="C80">
        <v>2.0222370519999999</v>
      </c>
      <c r="D80">
        <v>2.1789386049999999</v>
      </c>
      <c r="E80">
        <v>2.2916149479999999</v>
      </c>
      <c r="F80">
        <v>2.3771978759999999</v>
      </c>
      <c r="G80">
        <v>2.4487727850000001</v>
      </c>
      <c r="H80">
        <v>2.5180832369999999</v>
      </c>
      <c r="I80">
        <v>2.5917470310000001</v>
      </c>
      <c r="J80">
        <v>2.67064105</v>
      </c>
      <c r="K80">
        <v>2.7557678540000001</v>
      </c>
      <c r="L80">
        <v>2.8487332400000001</v>
      </c>
      <c r="M80">
        <v>2.9519332739999999</v>
      </c>
      <c r="N80">
        <v>3.0687170130000001</v>
      </c>
      <c r="O80">
        <v>3.2035917519999999</v>
      </c>
      <c r="P80">
        <v>3.3625205990000002</v>
      </c>
      <c r="Q80">
        <v>3.553366311</v>
      </c>
      <c r="R80">
        <v>3.7881531449999999</v>
      </c>
      <c r="S80">
        <v>4.0771995209999998</v>
      </c>
      <c r="T80">
        <v>4.4249477769999999</v>
      </c>
      <c r="U80">
        <v>4.836072905</v>
      </c>
      <c r="V80">
        <v>5.3154965440000002</v>
      </c>
      <c r="W80">
        <v>5.868240825</v>
      </c>
      <c r="X80">
        <v>6.4992950970000001</v>
      </c>
      <c r="Y80">
        <v>7.2134894029999996</v>
      </c>
      <c r="Z80">
        <v>8.0153648569999998</v>
      </c>
      <c r="AA80">
        <v>8.9090339509999996</v>
      </c>
      <c r="AB80">
        <v>9.8980269429999996</v>
      </c>
      <c r="AC80">
        <v>10.985122710000001</v>
      </c>
      <c r="AD80">
        <v>12.17216389</v>
      </c>
      <c r="AE80">
        <v>13.45985731</v>
      </c>
      <c r="AF80">
        <v>14.84756103</v>
      </c>
      <c r="AG80">
        <v>16.33306159</v>
      </c>
      <c r="AH80">
        <v>17.912345590000001</v>
      </c>
      <c r="AI80">
        <v>19.579372469999999</v>
      </c>
      <c r="AJ80">
        <v>21.325857769999999</v>
      </c>
      <c r="AK80">
        <v>23.141079250000001</v>
      </c>
    </row>
    <row r="81" spans="1:37" x14ac:dyDescent="0.25">
      <c r="A81" t="s">
        <v>1799</v>
      </c>
      <c r="B81">
        <v>1.7994298</v>
      </c>
      <c r="C81">
        <v>2.0253384040000002</v>
      </c>
      <c r="D81">
        <v>2.1782907890000001</v>
      </c>
      <c r="E81">
        <v>2.2809357260000001</v>
      </c>
      <c r="F81">
        <v>2.349933112</v>
      </c>
      <c r="G81">
        <v>2.3967535899999999</v>
      </c>
      <c r="H81">
        <v>2.4289281410000001</v>
      </c>
      <c r="I81">
        <v>2.451246169</v>
      </c>
      <c r="J81">
        <v>2.4666971549999999</v>
      </c>
      <c r="K81">
        <v>2.4771350679999999</v>
      </c>
      <c r="L81">
        <v>2.4837166389999998</v>
      </c>
      <c r="M81">
        <v>2.4871775180000002</v>
      </c>
      <c r="N81">
        <v>2.4880007370000001</v>
      </c>
      <c r="O81">
        <v>2.4865171739999998</v>
      </c>
      <c r="P81">
        <v>2.4829648199999999</v>
      </c>
      <c r="Q81">
        <v>2.4775235430000002</v>
      </c>
      <c r="R81">
        <v>2.470335876</v>
      </c>
      <c r="S81">
        <v>2.461519784</v>
      </c>
      <c r="T81">
        <v>2.4511767899999999</v>
      </c>
      <c r="U81">
        <v>2.4393973569999998</v>
      </c>
      <c r="V81">
        <v>2.4262645389999999</v>
      </c>
      <c r="W81">
        <v>2.4118565479999998</v>
      </c>
      <c r="X81">
        <v>2.3962485290000002</v>
      </c>
      <c r="Y81">
        <v>2.3795137770000001</v>
      </c>
      <c r="Z81">
        <v>2.3617245229999999</v>
      </c>
      <c r="AA81">
        <v>2.3429523790000002</v>
      </c>
      <c r="AB81">
        <v>2.3232685449999999</v>
      </c>
      <c r="AC81">
        <v>2.3027438409999998</v>
      </c>
      <c r="AD81">
        <v>2.281448621</v>
      </c>
      <c r="AE81">
        <v>2.2594526250000002</v>
      </c>
      <c r="AF81">
        <v>2.2368247979999998</v>
      </c>
      <c r="AG81">
        <v>2.2136331149999999</v>
      </c>
      <c r="AH81">
        <v>2.1899444039999998</v>
      </c>
      <c r="AI81">
        <v>2.1658242140000001</v>
      </c>
      <c r="AJ81">
        <v>2.1413366960000002</v>
      </c>
      <c r="AK81">
        <v>2.1165445169999999</v>
      </c>
    </row>
    <row r="82" spans="1:37" x14ac:dyDescent="0.25">
      <c r="A82" t="s">
        <v>1766</v>
      </c>
      <c r="B82">
        <v>1.1069429</v>
      </c>
      <c r="C82">
        <v>1.238093144</v>
      </c>
      <c r="D82">
        <v>1.3247164680000001</v>
      </c>
      <c r="E82">
        <v>1.382070951</v>
      </c>
      <c r="F82">
        <v>1.421668521</v>
      </c>
      <c r="G82">
        <v>1.452172808</v>
      </c>
      <c r="H82">
        <v>1.480977188</v>
      </c>
      <c r="I82">
        <v>1.5120131889999999</v>
      </c>
      <c r="J82">
        <v>1.545643044</v>
      </c>
      <c r="K82">
        <v>1.5822864210000001</v>
      </c>
      <c r="L82">
        <v>1.6227064739999999</v>
      </c>
      <c r="M82">
        <v>1.6680959230000001</v>
      </c>
      <c r="N82">
        <v>1.7201315720000001</v>
      </c>
      <c r="O82">
        <v>1.781037988</v>
      </c>
      <c r="P82">
        <v>1.8536842650000001</v>
      </c>
      <c r="Q82">
        <v>1.9417344080000001</v>
      </c>
      <c r="R82">
        <v>2.0507593279999998</v>
      </c>
      <c r="S82">
        <v>2.185003494</v>
      </c>
      <c r="T82">
        <v>2.345265543</v>
      </c>
      <c r="U82">
        <v>2.5322458640000001</v>
      </c>
      <c r="V82">
        <v>2.7465663500000002</v>
      </c>
      <c r="W82">
        <v>2.9887002549999999</v>
      </c>
      <c r="X82">
        <v>3.2589117019999998</v>
      </c>
      <c r="Y82">
        <v>3.557204547</v>
      </c>
      <c r="Z82">
        <v>3.8832773110000001</v>
      </c>
      <c r="AA82">
        <v>4.2364820539999997</v>
      </c>
      <c r="AB82">
        <v>4.6157863770000001</v>
      </c>
      <c r="AC82">
        <v>5.0197386689999997</v>
      </c>
      <c r="AD82">
        <v>5.4464371849999997</v>
      </c>
      <c r="AE82">
        <v>5.8935037680000004</v>
      </c>
      <c r="AF82">
        <v>6.3580630930000002</v>
      </c>
      <c r="AG82">
        <v>6.8367285459999998</v>
      </c>
      <c r="AH82">
        <v>7.325596011</v>
      </c>
      <c r="AI82">
        <v>7.8202471310000004</v>
      </c>
      <c r="AJ82">
        <v>8.3157640130000008</v>
      </c>
      <c r="AK82">
        <v>8.8067576790000004</v>
      </c>
    </row>
    <row r="83" spans="1:37" x14ac:dyDescent="0.25">
      <c r="A83" t="s">
        <v>1800</v>
      </c>
      <c r="B83">
        <v>1.1069429</v>
      </c>
      <c r="C83">
        <v>1.239853415</v>
      </c>
      <c r="D83">
        <v>1.323680945</v>
      </c>
      <c r="E83">
        <v>1.3740546629999999</v>
      </c>
      <c r="F83">
        <v>1.4023552800000001</v>
      </c>
      <c r="G83">
        <v>1.416291113</v>
      </c>
      <c r="H83">
        <v>1.4208362919999999</v>
      </c>
      <c r="I83">
        <v>1.4191046329999999</v>
      </c>
      <c r="J83">
        <v>1.4130160089999999</v>
      </c>
      <c r="K83">
        <v>1.4037535969999999</v>
      </c>
      <c r="L83">
        <v>1.392057707</v>
      </c>
      <c r="M83">
        <v>1.378406325</v>
      </c>
      <c r="N83">
        <v>1.36312258</v>
      </c>
      <c r="O83">
        <v>1.346437366</v>
      </c>
      <c r="P83">
        <v>1.3285254550000001</v>
      </c>
      <c r="Q83">
        <v>1.3095263420000001</v>
      </c>
      <c r="R83">
        <v>1.2895565259999999</v>
      </c>
      <c r="S83">
        <v>1.268716996</v>
      </c>
      <c r="T83">
        <v>1.247097986</v>
      </c>
      <c r="U83">
        <v>1.2247820869999999</v>
      </c>
      <c r="V83">
        <v>1.2018463530000001</v>
      </c>
      <c r="W83">
        <v>1.1783637259999999</v>
      </c>
      <c r="X83">
        <v>1.1544039960000001</v>
      </c>
      <c r="Y83">
        <v>1.130034411</v>
      </c>
      <c r="Z83">
        <v>1.105320036</v>
      </c>
      <c r="AA83">
        <v>1.0803239069999999</v>
      </c>
      <c r="AB83">
        <v>1.05510707</v>
      </c>
      <c r="AC83">
        <v>1.029728516</v>
      </c>
      <c r="AD83">
        <v>1.00424508</v>
      </c>
      <c r="AE83">
        <v>0.97871131050000004</v>
      </c>
      <c r="AF83">
        <v>0.95317934530000004</v>
      </c>
      <c r="AG83">
        <v>0.92769879769999997</v>
      </c>
      <c r="AH83">
        <v>0.90231666529999999</v>
      </c>
      <c r="AI83">
        <v>0.8770772644</v>
      </c>
      <c r="AJ83">
        <v>0.85202218900000004</v>
      </c>
      <c r="AK83">
        <v>0.8271902927</v>
      </c>
    </row>
    <row r="84" spans="1:37" x14ac:dyDescent="0.25">
      <c r="A84" t="s">
        <v>1767</v>
      </c>
      <c r="B84">
        <v>0.53533900000000001</v>
      </c>
      <c r="C84">
        <v>0.5882500007</v>
      </c>
      <c r="D84">
        <v>0.61227637170000004</v>
      </c>
      <c r="E84">
        <v>0.6177848829</v>
      </c>
      <c r="F84">
        <v>0.61215256149999997</v>
      </c>
      <c r="G84">
        <v>0.60035693590000005</v>
      </c>
      <c r="H84">
        <v>0.58607167540000005</v>
      </c>
      <c r="I84">
        <v>0.5712340508</v>
      </c>
      <c r="J84">
        <v>0.55622499280000004</v>
      </c>
      <c r="K84">
        <v>0.54127226650000004</v>
      </c>
      <c r="L84">
        <v>0.5265915135</v>
      </c>
      <c r="M84">
        <v>0.51242126529999998</v>
      </c>
      <c r="N84">
        <v>0.49902995439999998</v>
      </c>
      <c r="O84">
        <v>0.48671346720000003</v>
      </c>
      <c r="P84">
        <v>0.47579106030000001</v>
      </c>
      <c r="Q84">
        <v>0.46660301840000001</v>
      </c>
      <c r="R84">
        <v>0.4597956004</v>
      </c>
      <c r="S84">
        <v>0.45565732240000001</v>
      </c>
      <c r="T84">
        <v>0.45375962139999998</v>
      </c>
      <c r="U84">
        <v>0.45368542620000002</v>
      </c>
      <c r="V84">
        <v>0.4550434478</v>
      </c>
      <c r="W84">
        <v>0.45746111649999999</v>
      </c>
      <c r="X84">
        <v>0.46058115189999999</v>
      </c>
      <c r="Y84">
        <v>0.46406146279999999</v>
      </c>
      <c r="Z84">
        <v>0.46757714880000001</v>
      </c>
      <c r="AA84">
        <v>0.47082359350000003</v>
      </c>
      <c r="AB84">
        <v>0.47351996229999999</v>
      </c>
      <c r="AC84">
        <v>0.47541264750000001</v>
      </c>
      <c r="AD84">
        <v>0.4762783458</v>
      </c>
      <c r="AE84">
        <v>0.47592655699999997</v>
      </c>
      <c r="AF84">
        <v>0.47420136940000002</v>
      </c>
      <c r="AG84">
        <v>0.47098245570000002</v>
      </c>
      <c r="AH84">
        <v>0.46618527389999997</v>
      </c>
      <c r="AI84">
        <v>0.4597605085</v>
      </c>
      <c r="AJ84">
        <v>0.45169283139999999</v>
      </c>
      <c r="AK84">
        <v>0.44199909129999998</v>
      </c>
    </row>
    <row r="85" spans="1:37" x14ac:dyDescent="0.25">
      <c r="A85" t="s">
        <v>1801</v>
      </c>
      <c r="B85">
        <v>0.53533900000000001</v>
      </c>
      <c r="C85">
        <v>0.5893110828</v>
      </c>
      <c r="D85">
        <v>0.61282441980000002</v>
      </c>
      <c r="E85">
        <v>0.61658713320000003</v>
      </c>
      <c r="F85">
        <v>0.6081774875</v>
      </c>
      <c r="G85">
        <v>0.59252181169999996</v>
      </c>
      <c r="H85">
        <v>0.57266692090000004</v>
      </c>
      <c r="I85">
        <v>0.55044725279999995</v>
      </c>
      <c r="J85">
        <v>0.52695879830000003</v>
      </c>
      <c r="K85">
        <v>0.50286382620000003</v>
      </c>
      <c r="L85">
        <v>0.47857500949999998</v>
      </c>
      <c r="M85">
        <v>0.45436196159999998</v>
      </c>
      <c r="N85">
        <v>0.430410986</v>
      </c>
      <c r="O85">
        <v>0.40685793790000002</v>
      </c>
      <c r="P85">
        <v>0.38380618840000003</v>
      </c>
      <c r="Q85">
        <v>0.36133660169999998</v>
      </c>
      <c r="R85">
        <v>0.3395133011</v>
      </c>
      <c r="S85">
        <v>0.31838722959999999</v>
      </c>
      <c r="T85">
        <v>0.29799851620000001</v>
      </c>
      <c r="U85">
        <v>0.27837815589999998</v>
      </c>
      <c r="V85">
        <v>0.25954926810000001</v>
      </c>
      <c r="W85">
        <v>0.24152807370000001</v>
      </c>
      <c r="X85">
        <v>0.22432467549999999</v>
      </c>
      <c r="Y85">
        <v>0.20794369679999999</v>
      </c>
      <c r="Z85">
        <v>0.19238482160000001</v>
      </c>
      <c r="AA85">
        <v>0.17764326599999999</v>
      </c>
      <c r="AB85">
        <v>0.163710206</v>
      </c>
      <c r="AC85">
        <v>0.15057317680000001</v>
      </c>
      <c r="AD85">
        <v>0.1382164562</v>
      </c>
      <c r="AE85">
        <v>0.1266214363</v>
      </c>
      <c r="AF85">
        <v>0.1157669871</v>
      </c>
      <c r="AG85">
        <v>0.1056298111</v>
      </c>
      <c r="AH85">
        <v>9.6184787899999999E-2</v>
      </c>
      <c r="AI85">
        <v>8.7405305000000003E-2</v>
      </c>
      <c r="AJ85">
        <v>7.9263574899999995E-2</v>
      </c>
      <c r="AK85">
        <v>7.1730932400000003E-2</v>
      </c>
    </row>
    <row r="86" spans="1:37" x14ac:dyDescent="0.25">
      <c r="A86" t="s">
        <v>1768</v>
      </c>
      <c r="B86">
        <v>1.0050558000000001</v>
      </c>
      <c r="C86">
        <v>1.0878507610000001</v>
      </c>
      <c r="D86">
        <v>1.1069242399999999</v>
      </c>
      <c r="E86">
        <v>1.087405806</v>
      </c>
      <c r="F86">
        <v>1.046598449</v>
      </c>
      <c r="G86">
        <v>0.99559627019999997</v>
      </c>
      <c r="H86">
        <v>0.94183363399999998</v>
      </c>
      <c r="I86">
        <v>0.88894386800000003</v>
      </c>
      <c r="J86">
        <v>0.83765222800000005</v>
      </c>
      <c r="K86">
        <v>0.78831740279999996</v>
      </c>
      <c r="L86">
        <v>0.74121413719999996</v>
      </c>
      <c r="M86">
        <v>0.6965994539</v>
      </c>
      <c r="N86">
        <v>0.65471940939999995</v>
      </c>
      <c r="O86">
        <v>0.61579782189999999</v>
      </c>
      <c r="P86">
        <v>0.58002313719999998</v>
      </c>
      <c r="Q86">
        <v>0.54753893360000006</v>
      </c>
      <c r="R86">
        <v>0.51876615270000004</v>
      </c>
      <c r="S86">
        <v>0.4936434677</v>
      </c>
      <c r="T86">
        <v>0.47134696850000002</v>
      </c>
      <c r="U86">
        <v>0.45116298529999999</v>
      </c>
      <c r="V86">
        <v>0.43249969630000001</v>
      </c>
      <c r="W86">
        <v>0.41487130430000002</v>
      </c>
      <c r="X86">
        <v>0.39788540729999999</v>
      </c>
      <c r="Y86">
        <v>0.38123347000000002</v>
      </c>
      <c r="Z86">
        <v>0.3646830358</v>
      </c>
      <c r="AA86">
        <v>0.34807059099999998</v>
      </c>
      <c r="AB86">
        <v>0.33129444060000002</v>
      </c>
      <c r="AC86">
        <v>0.31430730220000003</v>
      </c>
      <c r="AD86">
        <v>0.29710855809999998</v>
      </c>
      <c r="AE86">
        <v>0.27973625369999999</v>
      </c>
      <c r="AF86">
        <v>0.26225902800000001</v>
      </c>
      <c r="AG86">
        <v>0.2447681941</v>
      </c>
      <c r="AH86">
        <v>0.22737020790000001</v>
      </c>
      <c r="AI86">
        <v>0.21017973449999999</v>
      </c>
      <c r="AJ86">
        <v>0.19331348840000001</v>
      </c>
      <c r="AK86">
        <v>0.17688497149999999</v>
      </c>
    </row>
    <row r="87" spans="1:37" x14ac:dyDescent="0.25">
      <c r="A87" t="s">
        <v>1802</v>
      </c>
      <c r="B87">
        <v>1.0050558000000001</v>
      </c>
      <c r="C87">
        <v>1.0897478890000001</v>
      </c>
      <c r="D87">
        <v>1.10764266</v>
      </c>
      <c r="E87">
        <v>1.084658374</v>
      </c>
      <c r="F87">
        <v>1.0386500750000001</v>
      </c>
      <c r="G87">
        <v>0.98080334359999999</v>
      </c>
      <c r="H87">
        <v>0.91774014049999997</v>
      </c>
      <c r="I87">
        <v>0.85324779309999998</v>
      </c>
      <c r="J87">
        <v>0.78945111030000004</v>
      </c>
      <c r="K87">
        <v>0.72753266760000002</v>
      </c>
      <c r="L87">
        <v>0.66814920509999998</v>
      </c>
      <c r="M87">
        <v>0.61166259769999998</v>
      </c>
      <c r="N87">
        <v>0.55826463120000003</v>
      </c>
      <c r="O87">
        <v>0.50804377440000004</v>
      </c>
      <c r="P87">
        <v>0.4610214165</v>
      </c>
      <c r="Q87">
        <v>0.41717243970000001</v>
      </c>
      <c r="R87">
        <v>0.37643782679999999</v>
      </c>
      <c r="S87">
        <v>0.33873313820000001</v>
      </c>
      <c r="T87">
        <v>0.3039546984</v>
      </c>
      <c r="U87">
        <v>0.27198438349999998</v>
      </c>
      <c r="V87">
        <v>0.2426934627</v>
      </c>
      <c r="W87">
        <v>0.2159457451</v>
      </c>
      <c r="X87">
        <v>0.19160019289999999</v>
      </c>
      <c r="Y87">
        <v>0.1695131081</v>
      </c>
      <c r="Z87">
        <v>0.14953997860000001</v>
      </c>
      <c r="AA87">
        <v>0.1315370431</v>
      </c>
      <c r="AB87">
        <v>0.1153626219</v>
      </c>
      <c r="AC87">
        <v>0.10087824519999999</v>
      </c>
      <c r="AD87">
        <v>8.7949602000000002E-2</v>
      </c>
      <c r="AE87">
        <v>7.6447326699999998E-2</v>
      </c>
      <c r="AF87">
        <v>6.6247633700000003E-2</v>
      </c>
      <c r="AG87">
        <v>5.7232814399999998E-2</v>
      </c>
      <c r="AH87">
        <v>4.9291601499999997E-2</v>
      </c>
      <c r="AI87">
        <v>4.2319416200000001E-2</v>
      </c>
      <c r="AJ87">
        <v>3.6218503700000002E-2</v>
      </c>
      <c r="AK87">
        <v>3.0897972499999999E-2</v>
      </c>
    </row>
    <row r="88" spans="1:37" x14ac:dyDescent="0.25">
      <c r="A88" t="s">
        <v>1769</v>
      </c>
      <c r="B88">
        <v>4.4415299999999998E-2</v>
      </c>
      <c r="C88">
        <v>5.02585745E-2</v>
      </c>
      <c r="D88">
        <v>5.4627696400000002E-2</v>
      </c>
      <c r="E88">
        <v>5.79402771E-2</v>
      </c>
      <c r="F88">
        <v>6.0508966999999997E-2</v>
      </c>
      <c r="G88">
        <v>6.2559240899999993E-2</v>
      </c>
      <c r="H88">
        <v>6.4305731500000005E-2</v>
      </c>
      <c r="I88">
        <v>6.5893407299999998E-2</v>
      </c>
      <c r="J88">
        <v>6.7354086399999999E-2</v>
      </c>
      <c r="K88">
        <v>6.8706690900000006E-2</v>
      </c>
      <c r="L88">
        <v>6.9963067500000004E-2</v>
      </c>
      <c r="M88">
        <v>7.1129363900000006E-2</v>
      </c>
      <c r="N88">
        <v>7.2207178900000002E-2</v>
      </c>
      <c r="O88">
        <v>7.3194460599999997E-2</v>
      </c>
      <c r="P88">
        <v>7.4086073799999999E-2</v>
      </c>
      <c r="Q88">
        <v>7.4873980300000004E-2</v>
      </c>
      <c r="R88">
        <v>7.5614020099999998E-2</v>
      </c>
      <c r="S88">
        <v>7.6355392600000002E-2</v>
      </c>
      <c r="T88">
        <v>7.7066400500000007E-2</v>
      </c>
      <c r="U88">
        <v>7.7723764099999995E-2</v>
      </c>
      <c r="V88">
        <v>7.8310812399999999E-2</v>
      </c>
      <c r="W88">
        <v>7.8814054999999994E-2</v>
      </c>
      <c r="X88">
        <v>7.9221215299999995E-2</v>
      </c>
      <c r="Y88">
        <v>7.9520220000000003E-2</v>
      </c>
      <c r="Z88">
        <v>7.9698742399999994E-2</v>
      </c>
      <c r="AA88">
        <v>7.9744059800000003E-2</v>
      </c>
      <c r="AB88">
        <v>7.9643100499999994E-2</v>
      </c>
      <c r="AC88">
        <v>7.9382619700000004E-2</v>
      </c>
      <c r="AD88">
        <v>7.8949471500000007E-2</v>
      </c>
      <c r="AE88">
        <v>7.8330962800000001E-2</v>
      </c>
      <c r="AF88">
        <v>7.7515272400000002E-2</v>
      </c>
      <c r="AG88">
        <v>7.6491929900000005E-2</v>
      </c>
      <c r="AH88">
        <v>7.5252336500000003E-2</v>
      </c>
      <c r="AI88">
        <v>7.3790311100000006E-2</v>
      </c>
      <c r="AJ88">
        <v>7.2102639699999999E-2</v>
      </c>
      <c r="AK88">
        <v>7.0189597100000001E-2</v>
      </c>
    </row>
    <row r="89" spans="1:37" x14ac:dyDescent="0.25">
      <c r="A89" t="s">
        <v>1803</v>
      </c>
      <c r="B89">
        <v>4.4415299999999998E-2</v>
      </c>
      <c r="C89">
        <v>5.0379111499999997E-2</v>
      </c>
      <c r="D89">
        <v>5.48189106E-2</v>
      </c>
      <c r="E89">
        <v>5.8189587799999998E-2</v>
      </c>
      <c r="F89">
        <v>6.0832658800000002E-2</v>
      </c>
      <c r="G89">
        <v>6.2992061799999999E-2</v>
      </c>
      <c r="H89">
        <v>6.4834579899999994E-2</v>
      </c>
      <c r="I89">
        <v>6.6470542399999999E-2</v>
      </c>
      <c r="J89">
        <v>6.7971274700000001E-2</v>
      </c>
      <c r="K89">
        <v>6.9382252199999994E-2</v>
      </c>
      <c r="L89">
        <v>7.0732332100000003E-2</v>
      </c>
      <c r="M89">
        <v>7.20399226E-2</v>
      </c>
      <c r="N89">
        <v>7.3316956399999994E-2</v>
      </c>
      <c r="O89">
        <v>7.4571379699999996E-2</v>
      </c>
      <c r="P89">
        <v>7.5808682700000005E-2</v>
      </c>
      <c r="Q89">
        <v>7.7032819700000005E-2</v>
      </c>
      <c r="R89">
        <v>7.8246765800000007E-2</v>
      </c>
      <c r="S89">
        <v>7.9452853700000006E-2</v>
      </c>
      <c r="T89">
        <v>8.0652981900000004E-2</v>
      </c>
      <c r="U89">
        <v>8.1848748200000002E-2</v>
      </c>
      <c r="V89">
        <v>8.3041539299999995E-2</v>
      </c>
      <c r="W89">
        <v>8.4232592800000006E-2</v>
      </c>
      <c r="X89">
        <v>8.5423042300000002E-2</v>
      </c>
      <c r="Y89">
        <v>8.6613948499999996E-2</v>
      </c>
      <c r="Z89">
        <v>8.78063226E-2</v>
      </c>
      <c r="AA89">
        <v>8.9001140500000006E-2</v>
      </c>
      <c r="AB89">
        <v>9.0199352400000002E-2</v>
      </c>
      <c r="AC89">
        <v>9.1401887200000004E-2</v>
      </c>
      <c r="AD89">
        <v>9.2609653700000003E-2</v>
      </c>
      <c r="AE89">
        <v>9.3823539299999995E-2</v>
      </c>
      <c r="AF89">
        <v>9.5044407299999994E-2</v>
      </c>
      <c r="AG89">
        <v>9.6273093700000006E-2</v>
      </c>
      <c r="AH89">
        <v>9.7510402800000007E-2</v>
      </c>
      <c r="AI89">
        <v>9.8757104600000006E-2</v>
      </c>
      <c r="AJ89">
        <v>0.1000139306</v>
      </c>
      <c r="AK89">
        <v>0.1012815723</v>
      </c>
    </row>
    <row r="90" spans="1:37" x14ac:dyDescent="0.25">
      <c r="A90" t="s">
        <v>1770</v>
      </c>
      <c r="B90">
        <v>4.2641199999999997E-2</v>
      </c>
      <c r="C90">
        <v>4.8192836500000003E-2</v>
      </c>
      <c r="D90">
        <v>5.22837123E-2</v>
      </c>
      <c r="E90">
        <v>5.5329548700000002E-2</v>
      </c>
      <c r="F90">
        <v>5.7639886199999997E-2</v>
      </c>
      <c r="G90">
        <v>5.94359691E-2</v>
      </c>
      <c r="H90">
        <v>6.0925853799999999E-2</v>
      </c>
      <c r="I90">
        <v>6.2250817700000002E-2</v>
      </c>
      <c r="J90">
        <v>6.3443780399999997E-2</v>
      </c>
      <c r="K90">
        <v>6.4523445299999996E-2</v>
      </c>
      <c r="L90">
        <v>6.55007284E-2</v>
      </c>
      <c r="M90">
        <v>6.6380564000000003E-2</v>
      </c>
      <c r="N90">
        <v>6.7163260299999999E-2</v>
      </c>
      <c r="O90">
        <v>6.7845484100000006E-2</v>
      </c>
      <c r="P90">
        <v>6.8420862900000004E-2</v>
      </c>
      <c r="Q90">
        <v>6.8880191899999998E-2</v>
      </c>
      <c r="R90">
        <v>6.9273993500000006E-2</v>
      </c>
      <c r="S90">
        <v>6.9648886199999996E-2</v>
      </c>
      <c r="T90">
        <v>6.9978280899999995E-2</v>
      </c>
      <c r="U90">
        <v>7.0242404600000002E-2</v>
      </c>
      <c r="V90">
        <v>7.0427187000000002E-2</v>
      </c>
      <c r="W90">
        <v>7.0521409600000001E-2</v>
      </c>
      <c r="X90">
        <v>7.0515078699999997E-2</v>
      </c>
      <c r="Y90">
        <v>7.03986162E-2</v>
      </c>
      <c r="Z90">
        <v>7.0162526700000005E-2</v>
      </c>
      <c r="AA90">
        <v>6.9797332500000003E-2</v>
      </c>
      <c r="AB90">
        <v>6.9293667899999994E-2</v>
      </c>
      <c r="AC90">
        <v>6.8642476499999994E-2</v>
      </c>
      <c r="AD90">
        <v>6.7835279900000003E-2</v>
      </c>
      <c r="AE90">
        <v>6.6864501300000004E-2</v>
      </c>
      <c r="AF90">
        <v>6.5723824700000003E-2</v>
      </c>
      <c r="AG90">
        <v>6.4408582399999997E-2</v>
      </c>
      <c r="AH90">
        <v>6.2916149099999999E-2</v>
      </c>
      <c r="AI90">
        <v>6.12463278E-2</v>
      </c>
      <c r="AJ90">
        <v>5.9401704899999998E-2</v>
      </c>
      <c r="AK90">
        <v>5.7387950200000003E-2</v>
      </c>
    </row>
    <row r="91" spans="1:37" x14ac:dyDescent="0.25">
      <c r="A91" t="s">
        <v>1804</v>
      </c>
      <c r="B91">
        <v>4.2641199999999997E-2</v>
      </c>
      <c r="C91">
        <v>4.8309953900000001E-2</v>
      </c>
      <c r="D91">
        <v>5.24733015E-2</v>
      </c>
      <c r="E91">
        <v>5.5581685999999998E-2</v>
      </c>
      <c r="F91">
        <v>5.7972236400000002E-2</v>
      </c>
      <c r="G91">
        <v>5.9884492900000003E-2</v>
      </c>
      <c r="H91">
        <v>6.14813216E-2</v>
      </c>
      <c r="I91">
        <v>6.2869872100000002E-2</v>
      </c>
      <c r="J91">
        <v>6.4119042500000001E-2</v>
      </c>
      <c r="K91">
        <v>6.5272523799999996E-2</v>
      </c>
      <c r="L91">
        <v>6.6357886800000002E-2</v>
      </c>
      <c r="M91">
        <v>6.7392611800000002E-2</v>
      </c>
      <c r="N91">
        <v>6.8387950399999994E-2</v>
      </c>
      <c r="O91">
        <v>6.9351329200000006E-2</v>
      </c>
      <c r="P91">
        <v>7.0287820400000006E-2</v>
      </c>
      <c r="Q91">
        <v>7.12010213E-2</v>
      </c>
      <c r="R91">
        <v>7.2093584200000005E-2</v>
      </c>
      <c r="S91">
        <v>7.2967536299999997E-2</v>
      </c>
      <c r="T91">
        <v>7.3824477599999994E-2</v>
      </c>
      <c r="U91">
        <v>7.4665706999999998E-2</v>
      </c>
      <c r="V91">
        <v>7.5492307999999994E-2</v>
      </c>
      <c r="W91">
        <v>7.6305207599999994E-2</v>
      </c>
      <c r="X91">
        <v>7.7105218700000006E-2</v>
      </c>
      <c r="Y91">
        <v>7.7893070300000006E-2</v>
      </c>
      <c r="Z91">
        <v>7.8669428499999999E-2</v>
      </c>
      <c r="AA91">
        <v>7.94349107E-2</v>
      </c>
      <c r="AB91">
        <v>8.0190093399999995E-2</v>
      </c>
      <c r="AC91">
        <v>8.0935516700000001E-2</v>
      </c>
      <c r="AD91">
        <v>8.1671684699999997E-2</v>
      </c>
      <c r="AE91">
        <v>8.2399064499999994E-2</v>
      </c>
      <c r="AF91">
        <v>8.3118083600000003E-2</v>
      </c>
      <c r="AG91">
        <v>8.3829126300000001E-2</v>
      </c>
      <c r="AH91">
        <v>8.4532530800000005E-2</v>
      </c>
      <c r="AI91">
        <v>8.5228585900000001E-2</v>
      </c>
      <c r="AJ91">
        <v>8.5917528399999998E-2</v>
      </c>
      <c r="AK91">
        <v>8.6599541399999994E-2</v>
      </c>
    </row>
    <row r="92" spans="1:37" x14ac:dyDescent="0.25">
      <c r="A92" t="s">
        <v>1771</v>
      </c>
      <c r="B92">
        <v>2.9516000000000001E-2</v>
      </c>
      <c r="C92">
        <v>3.3318784800000001E-2</v>
      </c>
      <c r="D92">
        <v>3.6079474399999999E-2</v>
      </c>
      <c r="E92">
        <v>3.8096230500000001E-2</v>
      </c>
      <c r="F92">
        <v>3.9589922E-2</v>
      </c>
      <c r="G92">
        <v>4.0717097600000002E-2</v>
      </c>
      <c r="H92">
        <v>4.1623252399999998E-2</v>
      </c>
      <c r="I92">
        <v>4.24076933E-2</v>
      </c>
      <c r="J92">
        <v>4.3094880699999998E-2</v>
      </c>
      <c r="K92">
        <v>4.3698199E-2</v>
      </c>
      <c r="L92">
        <v>4.4224989300000003E-2</v>
      </c>
      <c r="M92">
        <v>4.4678134899999999E-2</v>
      </c>
      <c r="N92">
        <v>4.5057176499999997E-2</v>
      </c>
      <c r="O92">
        <v>4.53590834E-2</v>
      </c>
      <c r="P92">
        <v>4.55787161E-2</v>
      </c>
      <c r="Q92">
        <v>4.5709001800000003E-2</v>
      </c>
      <c r="R92">
        <v>4.5783193700000002E-2</v>
      </c>
      <c r="S92">
        <v>4.5833424900000003E-2</v>
      </c>
      <c r="T92">
        <v>4.5844017299999998E-2</v>
      </c>
      <c r="U92">
        <v>4.5803189100000002E-2</v>
      </c>
      <c r="V92">
        <v>4.5702684600000001E-2</v>
      </c>
      <c r="W92">
        <v>4.5536083200000001E-2</v>
      </c>
      <c r="X92">
        <v>4.5297835699999997E-2</v>
      </c>
      <c r="Y92">
        <v>4.4982801000000003E-2</v>
      </c>
      <c r="Z92">
        <v>4.4586072999999997E-2</v>
      </c>
      <c r="AA92">
        <v>4.4102970599999999E-2</v>
      </c>
      <c r="AB92">
        <v>4.3529120999999997E-2</v>
      </c>
      <c r="AC92">
        <v>4.2860598499999999E-2</v>
      </c>
      <c r="AD92">
        <v>4.2094100299999999E-2</v>
      </c>
      <c r="AE92">
        <v>4.1227143199999997E-2</v>
      </c>
      <c r="AF92">
        <v>4.02582706E-2</v>
      </c>
      <c r="AG92">
        <v>3.9187261500000001E-2</v>
      </c>
      <c r="AH92">
        <v>3.8015327699999997E-2</v>
      </c>
      <c r="AI92">
        <v>3.6745289200000003E-2</v>
      </c>
      <c r="AJ92">
        <v>3.5381714500000001E-2</v>
      </c>
      <c r="AK92">
        <v>3.3931013199999999E-2</v>
      </c>
    </row>
    <row r="93" spans="1:37" x14ac:dyDescent="0.25">
      <c r="A93" t="s">
        <v>1805</v>
      </c>
      <c r="B93">
        <v>2.9516000000000001E-2</v>
      </c>
      <c r="C93">
        <v>3.3400811099999997E-2</v>
      </c>
      <c r="D93">
        <v>3.6214816900000002E-2</v>
      </c>
      <c r="E93">
        <v>3.82794547E-2</v>
      </c>
      <c r="F93">
        <v>3.9834578400000001E-2</v>
      </c>
      <c r="G93">
        <v>4.10497534E-2</v>
      </c>
      <c r="H93">
        <v>4.20396585E-2</v>
      </c>
      <c r="I93">
        <v>4.2879355500000001E-2</v>
      </c>
      <c r="J93">
        <v>4.36168761E-2</v>
      </c>
      <c r="K93">
        <v>4.4282542299999998E-2</v>
      </c>
      <c r="L93">
        <v>4.4895409400000003E-2</v>
      </c>
      <c r="M93">
        <v>4.54675155E-2</v>
      </c>
      <c r="N93">
        <v>4.6006584599999997E-2</v>
      </c>
      <c r="O93">
        <v>4.6517701000000002E-2</v>
      </c>
      <c r="P93">
        <v>4.7004327300000003E-2</v>
      </c>
      <c r="Q93">
        <v>4.7468910400000001E-2</v>
      </c>
      <c r="R93">
        <v>4.7913245200000003E-2</v>
      </c>
      <c r="S93">
        <v>4.8338694299999999E-2</v>
      </c>
      <c r="T93">
        <v>4.8746322199999997E-2</v>
      </c>
      <c r="U93">
        <v>4.9136983299999999E-2</v>
      </c>
      <c r="V93">
        <v>4.9511379299999998E-2</v>
      </c>
      <c r="W93">
        <v>4.9870101100000001E-2</v>
      </c>
      <c r="X93">
        <v>5.02136569E-2</v>
      </c>
      <c r="Y93">
        <v>5.0542494100000002E-2</v>
      </c>
      <c r="Z93">
        <v>5.0857013200000002E-2</v>
      </c>
      <c r="AA93">
        <v>5.1157577400000001E-2</v>
      </c>
      <c r="AB93">
        <v>5.1444518799999998E-2</v>
      </c>
      <c r="AC93">
        <v>5.1718141099999997E-2</v>
      </c>
      <c r="AD93">
        <v>5.19787201E-2</v>
      </c>
      <c r="AE93">
        <v>5.2226503700000003E-2</v>
      </c>
      <c r="AF93">
        <v>5.2461710100000003E-2</v>
      </c>
      <c r="AG93">
        <v>5.2684526199999998E-2</v>
      </c>
      <c r="AH93">
        <v>5.28951062E-2</v>
      </c>
      <c r="AI93">
        <v>5.30935695E-2</v>
      </c>
      <c r="AJ93">
        <v>5.3280000500000001E-2</v>
      </c>
      <c r="AK93">
        <v>5.3454447500000002E-2</v>
      </c>
    </row>
    <row r="94" spans="1:37" x14ac:dyDescent="0.25">
      <c r="A94" t="s">
        <v>1772</v>
      </c>
      <c r="B94">
        <v>1.63594E-2</v>
      </c>
      <c r="C94">
        <v>1.8366911199999999E-2</v>
      </c>
      <c r="D94">
        <v>1.97241228E-2</v>
      </c>
      <c r="E94">
        <v>2.0622913E-2</v>
      </c>
      <c r="F94">
        <v>2.1203739799999999E-2</v>
      </c>
      <c r="G94">
        <v>2.15641541E-2</v>
      </c>
      <c r="H94">
        <v>2.1789910199999998E-2</v>
      </c>
      <c r="I94">
        <v>2.19384369E-2</v>
      </c>
      <c r="J94">
        <v>2.20256271E-2</v>
      </c>
      <c r="K94">
        <v>2.2060278199999998E-2</v>
      </c>
      <c r="L94">
        <v>2.2047514300000001E-2</v>
      </c>
      <c r="M94">
        <v>2.1990019600000001E-2</v>
      </c>
      <c r="N94">
        <v>2.1888837899999999E-2</v>
      </c>
      <c r="O94">
        <v>2.1743905599999998E-2</v>
      </c>
      <c r="P94">
        <v>2.1554397499999999E-2</v>
      </c>
      <c r="Q94">
        <v>2.13189381E-2</v>
      </c>
      <c r="R94">
        <v>2.10554001E-2</v>
      </c>
      <c r="S94">
        <v>2.0781071599999999E-2</v>
      </c>
      <c r="T94">
        <v>2.04911511E-2</v>
      </c>
      <c r="U94">
        <v>2.0182544E-2</v>
      </c>
      <c r="V94">
        <v>1.98538217E-2</v>
      </c>
      <c r="W94">
        <v>1.9504474800000001E-2</v>
      </c>
      <c r="X94">
        <v>1.9134464300000001E-2</v>
      </c>
      <c r="Y94">
        <v>1.8743985899999999E-2</v>
      </c>
      <c r="Z94">
        <v>1.8333357299999999E-2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1.4384152399999999E-2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1806</v>
      </c>
      <c r="B95">
        <v>1.63594E-2</v>
      </c>
      <c r="C95">
        <v>1.8412561800000001E-2</v>
      </c>
      <c r="D95">
        <v>1.98000126E-2</v>
      </c>
      <c r="E95">
        <v>2.07258949E-2</v>
      </c>
      <c r="F95">
        <v>2.1340775499999999E-2</v>
      </c>
      <c r="G95">
        <v>2.1748976199999999E-2</v>
      </c>
      <c r="H95">
        <v>2.2019564200000001E-2</v>
      </c>
      <c r="I95">
        <v>2.21968515E-2</v>
      </c>
      <c r="J95">
        <v>2.23087098E-2</v>
      </c>
      <c r="K95">
        <v>2.23725125E-2</v>
      </c>
      <c r="L95">
        <v>2.23991165E-2</v>
      </c>
      <c r="M95">
        <v>2.2395412199999999E-2</v>
      </c>
      <c r="N95">
        <v>2.2365902699999999E-2</v>
      </c>
      <c r="O95">
        <v>2.2313656000000001E-2</v>
      </c>
      <c r="P95">
        <v>2.2240869600000001E-2</v>
      </c>
      <c r="Q95">
        <v>2.2149200000000001E-2</v>
      </c>
      <c r="R95">
        <v>2.20399571E-2</v>
      </c>
      <c r="S95">
        <v>2.1914220599999999E-2</v>
      </c>
      <c r="T95">
        <v>2.1772911200000002E-2</v>
      </c>
      <c r="U95">
        <v>2.1616837900000001E-2</v>
      </c>
      <c r="V95">
        <v>2.14467289E-2</v>
      </c>
      <c r="W95">
        <v>2.1263254400000001E-2</v>
      </c>
      <c r="X95">
        <v>2.1067042599999999E-2</v>
      </c>
      <c r="Y95">
        <v>2.0858690400000001E-2</v>
      </c>
      <c r="Z95">
        <v>2.0638772100000001E-2</v>
      </c>
      <c r="AA95">
        <v>2.04078439E-2</v>
      </c>
      <c r="AB95">
        <v>2.0166447300000001E-2</v>
      </c>
      <c r="AC95">
        <v>1.9915110699999999E-2</v>
      </c>
      <c r="AD95">
        <v>1.9654350399999999E-2</v>
      </c>
      <c r="AE95">
        <v>1.9384670499999999E-2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1.7605978800000002E-2</v>
      </c>
    </row>
    <row r="96" spans="1:37" x14ac:dyDescent="0.25">
      <c r="A96" t="s">
        <v>1773</v>
      </c>
      <c r="B96">
        <v>1.00637E-2</v>
      </c>
      <c r="C96">
        <v>1.12432264E-2</v>
      </c>
      <c r="D96">
        <v>1.19836018E-2</v>
      </c>
      <c r="E96">
        <v>1.24184767E-2</v>
      </c>
      <c r="F96">
        <v>1.2644705399999999E-2</v>
      </c>
      <c r="G96">
        <v>1.2728446900000001E-2</v>
      </c>
      <c r="H96">
        <v>1.27253838E-2</v>
      </c>
      <c r="I96">
        <v>1.26723502E-2</v>
      </c>
      <c r="J96">
        <v>1.2580596899999999E-2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1.16906466E-2</v>
      </c>
      <c r="P96">
        <v>1.1437121999999999E-2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9.9584703699999999E-3</v>
      </c>
      <c r="V96">
        <v>9.6424166999999998E-3</v>
      </c>
      <c r="W96">
        <v>9.3201061100000003E-3</v>
      </c>
      <c r="X96">
        <v>8.9922438099999998E-3</v>
      </c>
      <c r="Y96">
        <v>8.6596426399999996E-3</v>
      </c>
      <c r="Z96">
        <v>8.3231638100000008E-3</v>
      </c>
      <c r="AA96">
        <v>7.9836901100000003E-3</v>
      </c>
      <c r="AB96">
        <v>7.6421153300000001E-3</v>
      </c>
      <c r="AC96">
        <v>7.2993404900000003E-3</v>
      </c>
      <c r="AD96">
        <v>6.9562725499999999E-3</v>
      </c>
      <c r="AE96">
        <v>6.61382312E-3</v>
      </c>
      <c r="AF96">
        <v>6.2729063800000002E-3</v>
      </c>
      <c r="AG96">
        <v>5.93443611E-3</v>
      </c>
      <c r="AH96">
        <v>5.5993220300000002E-3</v>
      </c>
      <c r="AI96">
        <v>5.2684658699999999E-3</v>
      </c>
      <c r="AJ96">
        <v>4.9427574699999997E-3</v>
      </c>
      <c r="AK96">
        <v>4.6230712300000002E-3</v>
      </c>
    </row>
    <row r="97" spans="1:37" x14ac:dyDescent="0.25">
      <c r="A97" t="s">
        <v>1807</v>
      </c>
      <c r="B97">
        <v>1.00637E-2</v>
      </c>
      <c r="C97">
        <v>1.1271548500000001E-2</v>
      </c>
      <c r="D97">
        <v>1.2031372800000001E-2</v>
      </c>
      <c r="E97">
        <v>1.24840271E-2</v>
      </c>
      <c r="F97">
        <v>1.2732429E-2</v>
      </c>
      <c r="G97">
        <v>1.28468035E-2</v>
      </c>
      <c r="H97">
        <v>1.28729133E-2</v>
      </c>
      <c r="I97">
        <v>1.2839708199999999E-2</v>
      </c>
      <c r="J97">
        <v>1.2765208199999999E-2</v>
      </c>
      <c r="K97">
        <v>1.26605973E-2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1.1245890499999999E-2</v>
      </c>
      <c r="T97">
        <v>1.1024242300000001E-2</v>
      </c>
      <c r="U97">
        <v>1.0796055400000001E-2</v>
      </c>
      <c r="V97">
        <v>1.0562065400000001E-2</v>
      </c>
      <c r="W97">
        <v>1.03229627E-2</v>
      </c>
      <c r="X97">
        <v>1.00794018E-2</v>
      </c>
      <c r="Y97">
        <v>9.8320081600000008E-3</v>
      </c>
      <c r="Z97">
        <v>9.5813816199999992E-3</v>
      </c>
      <c r="AA97">
        <v>9.3280996000000005E-3</v>
      </c>
      <c r="AB97">
        <v>9.0727182900000002E-3</v>
      </c>
      <c r="AC97">
        <v>8.8157734600000006E-3</v>
      </c>
      <c r="AD97">
        <v>8.55778066E-3</v>
      </c>
      <c r="AE97">
        <v>8.2992351799999996E-3</v>
      </c>
      <c r="AF97">
        <v>8.0406119199999994E-3</v>
      </c>
      <c r="AG97">
        <v>7.7823653499999998E-3</v>
      </c>
      <c r="AH97">
        <v>7.5249294800000003E-3</v>
      </c>
      <c r="AI97">
        <v>7.2687180000000004E-3</v>
      </c>
      <c r="AJ97">
        <v>7.0141245499999996E-3</v>
      </c>
      <c r="AK97">
        <v>6.7615230300000001E-3</v>
      </c>
    </row>
    <row r="98" spans="1:37" x14ac:dyDescent="0.25">
      <c r="A98" t="s">
        <v>1774</v>
      </c>
      <c r="B98">
        <v>4.8669999999999998E-3</v>
      </c>
      <c r="C98">
        <v>5.3438604699999996E-3</v>
      </c>
      <c r="D98">
        <v>5.5475075900000004E-3</v>
      </c>
      <c r="E98">
        <v>5.57177503E-3</v>
      </c>
      <c r="F98">
        <v>5.4828269700000001E-3</v>
      </c>
      <c r="G98">
        <v>5.3240199999999996E-3</v>
      </c>
      <c r="H98">
        <v>5.1276577400000004E-3</v>
      </c>
      <c r="I98">
        <v>4.9138323500000003E-3</v>
      </c>
      <c r="J98">
        <v>4.6899396399999998E-3</v>
      </c>
      <c r="K98">
        <v>4.4602880500000004E-3</v>
      </c>
      <c r="L98">
        <v>4.2276719900000001E-3</v>
      </c>
      <c r="M98">
        <v>3.9940219400000001E-3</v>
      </c>
      <c r="N98">
        <v>3.7607569199999999E-3</v>
      </c>
      <c r="O98">
        <v>3.5289835700000002E-3</v>
      </c>
      <c r="P98">
        <v>3.2996120600000001E-3</v>
      </c>
      <c r="Q98">
        <v>3.0734265500000002E-3</v>
      </c>
      <c r="R98">
        <v>2.85389184E-3</v>
      </c>
      <c r="S98">
        <v>2.64395476E-3</v>
      </c>
      <c r="T98">
        <v>2.4433411399999998E-3</v>
      </c>
      <c r="U98">
        <v>2.2519308199999998E-3</v>
      </c>
      <c r="V98">
        <v>2.0697663600000001E-3</v>
      </c>
      <c r="W98">
        <v>1.8969430999999999E-3</v>
      </c>
      <c r="X98">
        <v>1.7335417700000001E-3</v>
      </c>
      <c r="Y98">
        <v>1.5795949799999999E-3</v>
      </c>
      <c r="Z98">
        <v>1.4350742E-3</v>
      </c>
      <c r="AA98">
        <v>1.29988792E-3</v>
      </c>
      <c r="AB98">
        <v>1.1738851900000001E-3</v>
      </c>
      <c r="AC98">
        <v>1.0568613599999999E-3</v>
      </c>
      <c r="AD98">
        <v>9.4856451800000004E-4</v>
      </c>
      <c r="AE98">
        <v>8.4870196900000002E-4</v>
      </c>
      <c r="AF98">
        <v>7.5694644199999995E-4</v>
      </c>
      <c r="AG98">
        <v>6.7294211400000003E-4</v>
      </c>
      <c r="AH98">
        <v>5.9631043299999997E-4</v>
      </c>
      <c r="AI98">
        <v>5.2665577500000005E-4</v>
      </c>
      <c r="AJ98">
        <v>4.6357092200000001E-4</v>
      </c>
      <c r="AK98">
        <v>4.0664230300000001E-4</v>
      </c>
    </row>
    <row r="99" spans="1:37" x14ac:dyDescent="0.25">
      <c r="A99" t="s">
        <v>1808</v>
      </c>
      <c r="B99">
        <v>4.8669999999999998E-3</v>
      </c>
      <c r="C99">
        <v>5.3575078100000003E-3</v>
      </c>
      <c r="D99">
        <v>5.5705199400000001E-3</v>
      </c>
      <c r="E99">
        <v>5.6030704399999999E-3</v>
      </c>
      <c r="F99">
        <v>5.5240086700000003E-3</v>
      </c>
      <c r="G99">
        <v>5.3782956100000001E-3</v>
      </c>
      <c r="H99">
        <v>5.1938975E-3</v>
      </c>
      <c r="I99">
        <v>4.9877503500000003E-3</v>
      </c>
      <c r="J99">
        <v>4.7700213399999997E-3</v>
      </c>
      <c r="K99">
        <v>4.5468712599999999E-3</v>
      </c>
      <c r="L99">
        <v>4.3221395299999996E-3</v>
      </c>
      <c r="M99">
        <v>4.0983287499999996E-3</v>
      </c>
      <c r="N99">
        <v>3.8771618600000001E-3</v>
      </c>
      <c r="O99">
        <v>3.6598904199999999E-3</v>
      </c>
      <c r="P99">
        <v>3.4474635899999998E-3</v>
      </c>
      <c r="Q99">
        <v>3.24062164E-3</v>
      </c>
      <c r="R99">
        <v>3.0399495200000002E-3</v>
      </c>
      <c r="S99">
        <v>2.84590959E-3</v>
      </c>
      <c r="T99">
        <v>2.65886323E-3</v>
      </c>
      <c r="U99">
        <v>2.47908626E-3</v>
      </c>
      <c r="V99">
        <v>2.3067806400000001E-3</v>
      </c>
      <c r="W99">
        <v>2.1420836499999999E-3</v>
      </c>
      <c r="X99">
        <v>1.9850754199999998E-3</v>
      </c>
      <c r="Y99">
        <v>1.8357850700000001E-3</v>
      </c>
      <c r="Z99">
        <v>1.6941959800000001E-3</v>
      </c>
      <c r="AA99">
        <v>1.56025043E-3</v>
      </c>
      <c r="AB99">
        <v>1.43385374E-3</v>
      </c>
      <c r="AC99">
        <v>1.3148781299999999E-3</v>
      </c>
      <c r="AD99">
        <v>1.2031663699999999E-3</v>
      </c>
      <c r="AE99">
        <v>1.0985353300000001E-3</v>
      </c>
      <c r="AF99">
        <v>1.0007792999999999E-3</v>
      </c>
      <c r="AG99">
        <v>9.0967332399999996E-4</v>
      </c>
      <c r="AH99">
        <v>8.2497634999999995E-4</v>
      </c>
      <c r="AI99">
        <v>7.4643422200000001E-4</v>
      </c>
      <c r="AJ99">
        <v>6.7378256599999996E-4</v>
      </c>
      <c r="AK99">
        <v>6.0674947300000002E-4</v>
      </c>
    </row>
    <row r="100" spans="1:37" x14ac:dyDescent="0.25">
      <c r="A100" t="s">
        <v>1775</v>
      </c>
      <c r="B100">
        <v>9.1374000000000004E-3</v>
      </c>
      <c r="C100">
        <v>9.8813838099999999E-3</v>
      </c>
      <c r="D100">
        <v>1.00247871E-2</v>
      </c>
      <c r="E100">
        <v>9.7971676900000006E-3</v>
      </c>
      <c r="F100">
        <v>9.3562738999999999E-3</v>
      </c>
      <c r="G100">
        <v>8.8018199899999993E-3</v>
      </c>
      <c r="H100">
        <v>8.2021083099999992E-3</v>
      </c>
      <c r="I100">
        <v>7.5971521900000004E-3</v>
      </c>
      <c r="J100">
        <v>7.00214879E-3</v>
      </c>
      <c r="K100">
        <v>6.4252313099999996E-3</v>
      </c>
      <c r="L100">
        <v>5.8710592400000004E-3</v>
      </c>
      <c r="M100">
        <v>5.3423523100000004E-3</v>
      </c>
      <c r="N100">
        <v>4.8406834100000002E-3</v>
      </c>
      <c r="O100">
        <v>4.3669061299999997E-3</v>
      </c>
      <c r="P100">
        <v>3.9213973500000004E-3</v>
      </c>
      <c r="Q100">
        <v>3.5042037300000001E-3</v>
      </c>
      <c r="R100">
        <v>3.1182018700000001E-3</v>
      </c>
      <c r="S100">
        <v>2.7652003199999998E-3</v>
      </c>
      <c r="T100">
        <v>2.4432664900000001E-3</v>
      </c>
      <c r="U100">
        <v>2.15060943E-3</v>
      </c>
      <c r="V100">
        <v>1.8856004400000001E-3</v>
      </c>
      <c r="W100">
        <v>1.6466594100000001E-3</v>
      </c>
      <c r="X100">
        <v>1.43219589E-3</v>
      </c>
      <c r="Y100">
        <v>1.24059211E-3</v>
      </c>
      <c r="Z100">
        <v>1.0702096499999999E-3</v>
      </c>
      <c r="AA100">
        <v>9.1940668999999995E-4</v>
      </c>
      <c r="AB100">
        <v>7.8655826099999996E-4</v>
      </c>
      <c r="AC100">
        <v>6.7007548200000004E-4</v>
      </c>
      <c r="AD100">
        <v>5.68422179E-4</v>
      </c>
      <c r="AE100">
        <v>4.80128373E-4</v>
      </c>
      <c r="AF100">
        <v>4.0380072499999998E-4</v>
      </c>
      <c r="AG100">
        <v>3.3813021099999999E-4</v>
      </c>
      <c r="AH100">
        <v>2.8189732E-4</v>
      </c>
      <c r="AI100">
        <v>2.3397508499999999E-4</v>
      </c>
      <c r="AJ100">
        <v>1.9333019799999999E-4</v>
      </c>
      <c r="AK100">
        <v>1.59022437E-4</v>
      </c>
    </row>
    <row r="101" spans="1:37" x14ac:dyDescent="0.25">
      <c r="A101" t="s">
        <v>1809</v>
      </c>
      <c r="B101">
        <v>9.1374000000000004E-3</v>
      </c>
      <c r="C101">
        <v>9.9069832299999994E-3</v>
      </c>
      <c r="D101">
        <v>1.00680331E-2</v>
      </c>
      <c r="E101">
        <v>9.8556185199999997E-3</v>
      </c>
      <c r="F101">
        <v>9.4321479799999997E-3</v>
      </c>
      <c r="G101">
        <v>8.8998469600000008E-3</v>
      </c>
      <c r="H101">
        <v>8.3195777299999996E-3</v>
      </c>
      <c r="I101">
        <v>7.7263419899999998E-3</v>
      </c>
      <c r="J101">
        <v>7.1398583600000001E-3</v>
      </c>
      <c r="K101">
        <v>6.5711175799999999E-3</v>
      </c>
      <c r="L101">
        <v>6.0262082799999997E-3</v>
      </c>
      <c r="M101">
        <v>5.5084593799999996E-3</v>
      </c>
      <c r="N101">
        <v>5.0196073100000002E-3</v>
      </c>
      <c r="O101">
        <v>4.5604241399999999E-3</v>
      </c>
      <c r="P101">
        <v>4.1310590000000003E-3</v>
      </c>
      <c r="Q101">
        <v>3.7312312300000002E-3</v>
      </c>
      <c r="R101">
        <v>3.3603479199999999E-3</v>
      </c>
      <c r="S101">
        <v>3.0175825899999998E-3</v>
      </c>
      <c r="T101">
        <v>2.7019324400000002E-3</v>
      </c>
      <c r="U101">
        <v>2.4122629099999999E-3</v>
      </c>
      <c r="V101">
        <v>2.1473436699999998E-3</v>
      </c>
      <c r="W101">
        <v>1.90587814E-3</v>
      </c>
      <c r="X101">
        <v>1.68652813E-3</v>
      </c>
      <c r="Y101">
        <v>1.4879344200000001E-3</v>
      </c>
      <c r="Z101">
        <v>1.3087340300000001E-3</v>
      </c>
      <c r="AA101">
        <v>1.14757481E-3</v>
      </c>
      <c r="AB101">
        <v>1.00312774E-3</v>
      </c>
      <c r="AC101">
        <v>8.7409721999999999E-4</v>
      </c>
      <c r="AD101">
        <v>7.5922970099999995E-4</v>
      </c>
      <c r="AE101">
        <v>6.5732065499999996E-4</v>
      </c>
      <c r="AF101">
        <v>5.6722017399999996E-4</v>
      </c>
      <c r="AG101">
        <v>4.8783724299999998E-4</v>
      </c>
      <c r="AH101">
        <v>4.1814280099999998E-4</v>
      </c>
      <c r="AI101">
        <v>3.57171702E-4</v>
      </c>
      <c r="AJ101">
        <v>3.0402368099999999E-4</v>
      </c>
      <c r="AK101">
        <v>2.5786343499999999E-4</v>
      </c>
    </row>
    <row r="102" spans="1:37" x14ac:dyDescent="0.25">
      <c r="A102" t="s">
        <v>1776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1810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1777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21.8558187</v>
      </c>
      <c r="L104">
        <v>23.80203586</v>
      </c>
      <c r="M104">
        <v>25.730014489999999</v>
      </c>
      <c r="N104">
        <v>27.63954713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45.711828650000001</v>
      </c>
      <c r="Y104">
        <v>47.424571929999999</v>
      </c>
      <c r="Z104">
        <v>49.121574750000001</v>
      </c>
      <c r="AA104">
        <v>50.803058020000002</v>
      </c>
      <c r="AB104">
        <v>52.469232040000001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25">
      <c r="A105" t="s">
        <v>1811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27.738020110000001</v>
      </c>
      <c r="O105">
        <v>29.644457370000001</v>
      </c>
      <c r="P105">
        <v>31.533898010000001</v>
      </c>
      <c r="Q105">
        <v>33.406496990000001</v>
      </c>
      <c r="R105">
        <v>35.26240859</v>
      </c>
      <c r="S105">
        <v>37.101786199999999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47.799276929999998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1778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176.7831362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299.44401499999998</v>
      </c>
      <c r="AH106">
        <v>306.32721379999998</v>
      </c>
      <c r="AI106">
        <v>313.16892410000003</v>
      </c>
      <c r="AJ106">
        <v>319.96917189999999</v>
      </c>
      <c r="AK106">
        <v>326.72803959999999</v>
      </c>
    </row>
    <row r="107" spans="1:37" x14ac:dyDescent="0.25">
      <c r="A107" t="s">
        <v>1812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25">
      <c r="A108" t="s">
        <v>1779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575.15469880000001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727.66572540000004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1813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902.62126769999998</v>
      </c>
    </row>
    <row r="110" spans="1:37" x14ac:dyDescent="0.25">
      <c r="A110" t="s">
        <v>1780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</v>
      </c>
      <c r="K110">
        <v>894.12545239999997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801.39781479999999</v>
      </c>
      <c r="AA110">
        <v>795.54920609999999</v>
      </c>
      <c r="AB110">
        <v>789.73788449999995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1814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1781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1815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1782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99.180292399999999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91.28328252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1816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125.34713170000001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93.839527610000005</v>
      </c>
      <c r="AF115">
        <v>92.54994465</v>
      </c>
      <c r="AG115">
        <v>91.277768699999996</v>
      </c>
      <c r="AH115">
        <v>90.022781739999999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1783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1817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1784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0.85890368419999996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0.7950162087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1818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0.94035800160000005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15" t="s">
        <v>37</v>
      </c>
      <c r="C1" s="415"/>
      <c r="D1" s="415"/>
      <c r="E1" s="415"/>
      <c r="F1" s="415"/>
      <c r="G1" s="415"/>
      <c r="H1" s="10"/>
      <c r="I1" s="10"/>
      <c r="J1" s="10"/>
    </row>
    <row r="2" spans="1:10" ht="15.75" x14ac:dyDescent="0.25">
      <c r="A2" s="8"/>
      <c r="B2" s="416" t="s">
        <v>0</v>
      </c>
      <c r="C2" s="417"/>
      <c r="D2" s="417"/>
      <c r="E2" s="417"/>
      <c r="F2" s="417"/>
      <c r="G2" s="418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4.8738572254336532E-2</v>
      </c>
      <c r="C4" s="12">
        <f>Macro!I2</f>
        <v>6.009585893678171E-2</v>
      </c>
      <c r="D4" s="12">
        <f>Macro!J2</f>
        <v>7.0015106790588533E-2</v>
      </c>
      <c r="E4" s="12">
        <f>Macro!L2</f>
        <v>8.596298329950347E-2</v>
      </c>
      <c r="F4" s="12">
        <f>Macro!Q2</f>
        <v>0.1426524117757566</v>
      </c>
      <c r="G4" s="13">
        <f>Macro!AK2</f>
        <v>0.14504591145982904</v>
      </c>
      <c r="H4" s="10"/>
      <c r="I4" s="10"/>
      <c r="J4" s="10"/>
    </row>
    <row r="5" spans="1:10" x14ac:dyDescent="0.25">
      <c r="A5" s="5" t="s">
        <v>2</v>
      </c>
      <c r="B5" s="11">
        <f>Macro!H3</f>
        <v>6.3591594584266886E-2</v>
      </c>
      <c r="C5" s="12">
        <f>Macro!I3</f>
        <v>7.7928069822319479E-2</v>
      </c>
      <c r="D5" s="12">
        <f>Macro!J3</f>
        <v>9.02087233562332E-2</v>
      </c>
      <c r="E5" s="12">
        <f>Macro!L3</f>
        <v>0.10946525905444204</v>
      </c>
      <c r="F5" s="12">
        <f>Macro!Q3</f>
        <v>0.17703502751251765</v>
      </c>
      <c r="G5" s="13">
        <f>Macro!AK3</f>
        <v>0.12232398277054468</v>
      </c>
      <c r="H5" s="10"/>
      <c r="I5" s="10"/>
      <c r="J5" s="10"/>
    </row>
    <row r="6" spans="1:10" x14ac:dyDescent="0.25">
      <c r="A6" s="5" t="s">
        <v>3</v>
      </c>
      <c r="B6" s="11">
        <f>Macro!H4</f>
        <v>6.161111292635673E-2</v>
      </c>
      <c r="C6" s="12">
        <f>Macro!I4</f>
        <v>8.2784009888299509E-2</v>
      </c>
      <c r="D6" s="12">
        <f>Macro!J4</f>
        <v>0.10533604742285797</v>
      </c>
      <c r="E6" s="12">
        <f>Macro!L4</f>
        <v>0.15272544968731303</v>
      </c>
      <c r="F6" s="12">
        <f>Macro!Q4</f>
        <v>0.31843770756627326</v>
      </c>
      <c r="G6" s="13">
        <f>Macro!AK4</f>
        <v>1.5666395386702621</v>
      </c>
      <c r="H6" s="10"/>
      <c r="I6" s="10"/>
      <c r="J6" s="10"/>
    </row>
    <row r="7" spans="1:10" x14ac:dyDescent="0.25">
      <c r="A7" s="5" t="s">
        <v>4</v>
      </c>
      <c r="B7" s="11">
        <f>Macro!H5</f>
        <v>-2.458739536398466E-2</v>
      </c>
      <c r="C7" s="12">
        <f>Macro!I5</f>
        <v>-2.7517746887767192E-2</v>
      </c>
      <c r="D7" s="12">
        <f>Macro!J5</f>
        <v>-2.9270482574077768E-2</v>
      </c>
      <c r="E7" s="12">
        <f>Macro!L5</f>
        <v>-3.3062853977156456E-2</v>
      </c>
      <c r="F7" s="12">
        <f>Macro!Q5</f>
        <v>-7.1051220043408803E-2</v>
      </c>
      <c r="G7" s="13">
        <f>Macro!AK5</f>
        <v>-0.31031218889782231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-1.2798618492636783E-2</v>
      </c>
      <c r="C9" s="12">
        <f>Macro!I7</f>
        <v>-1.6283173430287286E-2</v>
      </c>
      <c r="D9" s="12">
        <f>Macro!J7</f>
        <v>-1.9770476254850473E-2</v>
      </c>
      <c r="E9" s="12">
        <f>Macro!L7</f>
        <v>-2.709223314837236E-2</v>
      </c>
      <c r="F9" s="12">
        <f>Macro!Q7</f>
        <v>-5.3082542528644493E-2</v>
      </c>
      <c r="G9" s="13">
        <f>Macro!AK7</f>
        <v>-0.24896131887889877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-7.3934973113441715E-5</v>
      </c>
      <c r="C11" s="12">
        <f>Macro!I9</f>
        <v>-6.4049606547936407E-3</v>
      </c>
      <c r="D11" s="12">
        <f>Macro!J9</f>
        <v>-1.555047688372168E-2</v>
      </c>
      <c r="E11" s="12">
        <f>Macro!L9</f>
        <v>-3.9670208796402699E-2</v>
      </c>
      <c r="F11" s="12">
        <f>Macro!Q9</f>
        <v>-0.12270277248028133</v>
      </c>
      <c r="G11" s="13">
        <f>Macro!AK9</f>
        <v>-1.1726322991952836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6.0548049809366539E-2</v>
      </c>
      <c r="C12" s="12">
        <f>Macro!I10</f>
        <v>8.140503720736611E-2</v>
      </c>
      <c r="D12" s="12">
        <f>Macro!J10</f>
        <v>0.10362740476226617</v>
      </c>
      <c r="E12" s="12">
        <f>Macro!L10</f>
        <v>0.15029513786227572</v>
      </c>
      <c r="F12" s="12">
        <f>Macro!Q10</f>
        <v>0.31317578236460603</v>
      </c>
      <c r="G12" s="13">
        <f>Macro!AK10</f>
        <v>1.54167952370202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-1.1735555375646601E-2</v>
      </c>
      <c r="C13" s="12">
        <f>Macro!I11</f>
        <v>-1.4904200749353896E-2</v>
      </c>
      <c r="D13" s="12">
        <f>Macro!J11</f>
        <v>-1.8061833594263527E-2</v>
      </c>
      <c r="E13" s="12">
        <f>Macro!L11</f>
        <v>-2.4661921323325543E-2</v>
      </c>
      <c r="F13" s="12">
        <f>Macro!Q11</f>
        <v>-4.7820617326972785E-2</v>
      </c>
      <c r="G13" s="13">
        <f>Macro!AK11</f>
        <v>-0.22400130391065295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-1.1136827942001583E-2</v>
      </c>
      <c r="C14" s="12">
        <f>Macro!I12</f>
        <v>-1.4171641304326989E-2</v>
      </c>
      <c r="D14" s="12">
        <f>Macro!J12</f>
        <v>-1.7215765176679904E-2</v>
      </c>
      <c r="E14" s="12">
        <f>Macro!L12</f>
        <v>-2.3646684820399042E-2</v>
      </c>
      <c r="F14" s="12">
        <f>Macro!Q12</f>
        <v>-4.652139480104283E-2</v>
      </c>
      <c r="G14" s="13">
        <f>Macro!AK12</f>
        <v>-0.21942615366974949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1.0630631169887867E-3</v>
      </c>
      <c r="C15" s="12">
        <f>Macro!I13</f>
        <v>1.3789726809330842E-3</v>
      </c>
      <c r="D15" s="12">
        <f>Macro!J13</f>
        <v>1.7086426605884607E-3</v>
      </c>
      <c r="E15" s="12">
        <f>Macro!L13</f>
        <v>2.4303118250426688E-3</v>
      </c>
      <c r="F15" s="12">
        <f>Macro!Q13</f>
        <v>5.2619252016715672E-3</v>
      </c>
      <c r="G15" s="13">
        <f>Macro!AK13</f>
        <v>2.4960014968243578E-2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-1.6617905506367534E-3</v>
      </c>
      <c r="C16" s="12">
        <f>Macro!I14</f>
        <v>-2.1115321259602962E-3</v>
      </c>
      <c r="D16" s="12">
        <f>Macro!J14</f>
        <v>-2.5547110781720841E-3</v>
      </c>
      <c r="E16" s="12">
        <f>Macro!L14</f>
        <v>-3.4455483279727272E-3</v>
      </c>
      <c r="F16" s="12">
        <f>Macro!Q14</f>
        <v>-6.5611477276011024E-3</v>
      </c>
      <c r="G16" s="13">
        <f>Macro!AK14</f>
        <v>-2.9535165209147288E-2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0.11251556631557413</v>
      </c>
      <c r="C17" s="12">
        <f>Macro!I15</f>
        <v>0.15121566866254099</v>
      </c>
      <c r="D17" s="12">
        <f>Macro!J15</f>
        <v>0.19244796452977386</v>
      </c>
      <c r="E17" s="12">
        <f>Macro!L15</f>
        <v>0.27910298405513512</v>
      </c>
      <c r="F17" s="12">
        <f>Macro!Q15</f>
        <v>0.58194624165135433</v>
      </c>
      <c r="G17" s="13">
        <f>Macro!AK15</f>
        <v>2.8569809500042398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-0.71977661044603236</v>
      </c>
      <c r="C18" s="12">
        <f>Macro!I16</f>
        <v>-0.80433362973462152</v>
      </c>
      <c r="D18" s="12">
        <f>Macro!J16</f>
        <v>-0.8566327355430059</v>
      </c>
      <c r="E18" s="12">
        <f>Macro!L16</f>
        <v>-0.9739255123451307</v>
      </c>
      <c r="F18" s="12">
        <f>Macro!Q16</f>
        <v>-2.1405995181563719</v>
      </c>
      <c r="G18" s="13">
        <f>Macro!AK16</f>
        <v>-10.423516376344001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-5.9365516176024258E-2</v>
      </c>
      <c r="C20" s="12">
        <f>Macro!I18</f>
        <v>-7.5529889180436793E-2</v>
      </c>
      <c r="D20" s="12">
        <f>Macro!J18</f>
        <v>-9.1710764186325733E-2</v>
      </c>
      <c r="E20" s="12">
        <f>Macro!L18</f>
        <v>-0.12569350278309743</v>
      </c>
      <c r="F20" s="12">
        <f>Macro!Q18</f>
        <v>-0.24634602124126159</v>
      </c>
      <c r="G20" s="13">
        <f>Macro!AK18</f>
        <v>-1.153091425806807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-5.6370435751496029E-2</v>
      </c>
      <c r="C21" s="12">
        <f>Macro!I19</f>
        <v>-7.1734134018019979E-2</v>
      </c>
      <c r="D21" s="12">
        <f>Macro!J19</f>
        <v>-8.7148768233158425E-2</v>
      </c>
      <c r="E21" s="12">
        <f>Macro!L19</f>
        <v>-0.11972285831647334</v>
      </c>
      <c r="F21" s="12">
        <f>Macro!Q19</f>
        <v>-0.23560421129062981</v>
      </c>
      <c r="G21" s="13">
        <f>Macro!AK19</f>
        <v>-1.1088107452405849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-0.12011475921420711</v>
      </c>
      <c r="D22" s="12">
        <f>Macro!J20</f>
        <v>-0.16133862827192313</v>
      </c>
      <c r="E22" s="12">
        <f>Macro!L20</f>
        <v>-0.25968196953497502</v>
      </c>
      <c r="F22" s="12">
        <f>Macro!Q20</f>
        <v>-0.62273485779784643</v>
      </c>
      <c r="G22" s="13">
        <f>Macro!AK20</f>
        <v>-4.3575532745635641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-8.1006384895143668E-2</v>
      </c>
      <c r="C23" s="12">
        <f>Macro!I21</f>
        <v>-9.3915886507911495E-2</v>
      </c>
      <c r="D23" s="12">
        <f>Macro!J21</f>
        <v>-0.10310887444271444</v>
      </c>
      <c r="E23" s="12">
        <f>Macro!L21</f>
        <v>-0.11740134376440059</v>
      </c>
      <c r="F23" s="12">
        <f>Macro!Q21</f>
        <v>-0.18982160993969988</v>
      </c>
      <c r="G23" s="13">
        <f>Macro!AK21</f>
        <v>-0.25427953200130027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0.11223706446170656</v>
      </c>
      <c r="C24" s="12">
        <f>Macro!I22</f>
        <v>0.15093497354670138</v>
      </c>
      <c r="D24" s="12">
        <f>Macro!J22</f>
        <v>0.19217887326734573</v>
      </c>
      <c r="E24" s="12">
        <f>Macro!L22</f>
        <v>0.27880857789897018</v>
      </c>
      <c r="F24" s="12">
        <f>Macro!Q22</f>
        <v>0.58101383180091393</v>
      </c>
      <c r="G24" s="13">
        <f>Macro!AK22</f>
        <v>2.8548709398699357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19" t="s">
        <v>13</v>
      </c>
      <c r="C26" s="419"/>
      <c r="D26" s="419"/>
      <c r="E26" s="419"/>
      <c r="F26" s="419"/>
      <c r="G26" s="419"/>
      <c r="H26" s="10"/>
      <c r="I26" s="10"/>
      <c r="J26" s="10"/>
    </row>
    <row r="27" spans="1:10" ht="15.75" x14ac:dyDescent="0.25">
      <c r="A27" s="8"/>
      <c r="B27" s="420" t="s">
        <v>14</v>
      </c>
      <c r="C27" s="420"/>
      <c r="D27" s="420"/>
      <c r="E27" s="420"/>
      <c r="F27" s="420"/>
      <c r="G27" s="421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4.8738572254336532E-2</v>
      </c>
      <c r="C29" s="12">
        <f t="shared" ref="C29:G29" si="0">C4</f>
        <v>6.009585893678171E-2</v>
      </c>
      <c r="D29" s="12">
        <f t="shared" si="0"/>
        <v>7.0015106790588533E-2</v>
      </c>
      <c r="E29" s="12">
        <f t="shared" si="0"/>
        <v>8.596298329950347E-2</v>
      </c>
      <c r="F29" s="12">
        <f t="shared" si="0"/>
        <v>0.1426524117757566</v>
      </c>
      <c r="G29" s="13">
        <f t="shared" si="0"/>
        <v>0.14504591145982904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6.3591594584266886E-2</v>
      </c>
      <c r="C30" s="12">
        <f t="shared" si="1"/>
        <v>7.7928069822319479E-2</v>
      </c>
      <c r="D30" s="12">
        <f t="shared" si="1"/>
        <v>9.02087233562332E-2</v>
      </c>
      <c r="E30" s="12">
        <f t="shared" si="1"/>
        <v>0.10946525905444204</v>
      </c>
      <c r="F30" s="12">
        <f t="shared" si="1"/>
        <v>0.17703502751251765</v>
      </c>
      <c r="G30" s="13">
        <f t="shared" si="1"/>
        <v>0.12232398277054468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6.161111292635673E-2</v>
      </c>
      <c r="C31" s="12">
        <f t="shared" si="2"/>
        <v>8.2784009888299509E-2</v>
      </c>
      <c r="D31" s="12">
        <f t="shared" si="2"/>
        <v>0.10533604742285797</v>
      </c>
      <c r="E31" s="12">
        <f t="shared" si="2"/>
        <v>0.15272544968731303</v>
      </c>
      <c r="F31" s="12">
        <f t="shared" si="2"/>
        <v>0.31843770756627326</v>
      </c>
      <c r="G31" s="13">
        <f t="shared" si="2"/>
        <v>1.5666395386702621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-2.458739536398466E-2</v>
      </c>
      <c r="C32" s="12">
        <f t="shared" si="3"/>
        <v>-2.7517746887767192E-2</v>
      </c>
      <c r="D32" s="12">
        <f t="shared" si="3"/>
        <v>-2.9270482574077768E-2</v>
      </c>
      <c r="E32" s="12">
        <f t="shared" si="3"/>
        <v>-3.3062853977156456E-2</v>
      </c>
      <c r="F32" s="12">
        <f t="shared" si="3"/>
        <v>-7.1051220043408803E-2</v>
      </c>
      <c r="G32" s="13">
        <f t="shared" si="3"/>
        <v>-0.31031218889782231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-1.2798618492636783E-2</v>
      </c>
      <c r="C34" s="12">
        <f t="shared" si="5"/>
        <v>-1.6283173430287286E-2</v>
      </c>
      <c r="D34" s="12">
        <f t="shared" si="5"/>
        <v>-1.9770476254850473E-2</v>
      </c>
      <c r="E34" s="12">
        <f t="shared" si="5"/>
        <v>-2.709223314837236E-2</v>
      </c>
      <c r="F34" s="12">
        <f t="shared" si="5"/>
        <v>-5.3082542528644493E-2</v>
      </c>
      <c r="G34" s="13">
        <f t="shared" si="5"/>
        <v>-0.24896131887889877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-7.3934973113441715E-5</v>
      </c>
      <c r="C36" s="12">
        <f t="shared" si="7"/>
        <v>-6.4049606547936407E-3</v>
      </c>
      <c r="D36" s="12">
        <f t="shared" si="7"/>
        <v>-1.555047688372168E-2</v>
      </c>
      <c r="E36" s="12">
        <f t="shared" si="7"/>
        <v>-3.9670208796402699E-2</v>
      </c>
      <c r="F36" s="12">
        <f t="shared" si="7"/>
        <v>-0.12270277248028133</v>
      </c>
      <c r="G36" s="13">
        <f t="shared" si="7"/>
        <v>-1.1726322991952836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6.0548049809366539E-2</v>
      </c>
      <c r="C37" s="12">
        <f t="shared" si="8"/>
        <v>8.140503720736611E-2</v>
      </c>
      <c r="D37" s="12">
        <f t="shared" si="8"/>
        <v>0.10362740476226617</v>
      </c>
      <c r="E37" s="12">
        <f t="shared" si="8"/>
        <v>0.15029513786227572</v>
      </c>
      <c r="F37" s="12">
        <f t="shared" si="8"/>
        <v>0.31317578236460603</v>
      </c>
      <c r="G37" s="13">
        <f t="shared" si="8"/>
        <v>1.54167952370202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-1.1735555375646601E-2</v>
      </c>
      <c r="C38" s="12">
        <f t="shared" si="9"/>
        <v>-1.4904200749353896E-2</v>
      </c>
      <c r="D38" s="12">
        <f t="shared" si="9"/>
        <v>-1.8061833594263527E-2</v>
      </c>
      <c r="E38" s="12">
        <f t="shared" si="9"/>
        <v>-2.4661921323325543E-2</v>
      </c>
      <c r="F38" s="12">
        <f t="shared" si="9"/>
        <v>-4.7820617326972785E-2</v>
      </c>
      <c r="G38" s="13">
        <f t="shared" si="9"/>
        <v>-0.22400130391065295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-1.1136827942001583E-2</v>
      </c>
      <c r="C39" s="12">
        <f t="shared" si="10"/>
        <v>-1.4171641304326989E-2</v>
      </c>
      <c r="D39" s="12">
        <f t="shared" si="10"/>
        <v>-1.7215765176679904E-2</v>
      </c>
      <c r="E39" s="12">
        <f t="shared" si="10"/>
        <v>-2.3646684820399042E-2</v>
      </c>
      <c r="F39" s="12">
        <f t="shared" si="10"/>
        <v>-4.652139480104283E-2</v>
      </c>
      <c r="G39" s="13">
        <f t="shared" si="10"/>
        <v>-0.21942615366974949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1.0630631169887867E-3</v>
      </c>
      <c r="C40" s="12">
        <f t="shared" si="11"/>
        <v>1.3789726809330842E-3</v>
      </c>
      <c r="D40" s="12">
        <f t="shared" si="11"/>
        <v>1.7086426605884607E-3</v>
      </c>
      <c r="E40" s="12">
        <f t="shared" si="11"/>
        <v>2.4303118250426688E-3</v>
      </c>
      <c r="F40" s="12">
        <f t="shared" si="11"/>
        <v>5.2619252016715672E-3</v>
      </c>
      <c r="G40" s="13">
        <f t="shared" si="11"/>
        <v>2.4960014968243578E-2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-1.6617905506367534E-3</v>
      </c>
      <c r="C41" s="12">
        <f t="shared" si="12"/>
        <v>-2.1115321259602962E-3</v>
      </c>
      <c r="D41" s="12">
        <f t="shared" si="12"/>
        <v>-2.5547110781720841E-3</v>
      </c>
      <c r="E41" s="12">
        <f t="shared" si="12"/>
        <v>-3.4455483279727272E-3</v>
      </c>
      <c r="F41" s="12">
        <f t="shared" si="12"/>
        <v>-6.5611477276011024E-3</v>
      </c>
      <c r="G41" s="13">
        <f t="shared" si="12"/>
        <v>-2.9535165209147288E-2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0.11251556631557413</v>
      </c>
      <c r="C42" s="12">
        <f t="shared" si="13"/>
        <v>0.15121566866254099</v>
      </c>
      <c r="D42" s="12">
        <f t="shared" si="13"/>
        <v>0.19244796452977386</v>
      </c>
      <c r="E42" s="12">
        <f t="shared" si="13"/>
        <v>0.27910298405513512</v>
      </c>
      <c r="F42" s="12">
        <f t="shared" si="13"/>
        <v>0.58194624165135433</v>
      </c>
      <c r="G42" s="13">
        <f t="shared" si="13"/>
        <v>2.8569809500042398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-0.71977661044603236</v>
      </c>
      <c r="C43" s="12">
        <f t="shared" si="14"/>
        <v>-0.80433362973462152</v>
      </c>
      <c r="D43" s="12">
        <f t="shared" si="14"/>
        <v>-0.8566327355430059</v>
      </c>
      <c r="E43" s="12">
        <f t="shared" si="14"/>
        <v>-0.9739255123451307</v>
      </c>
      <c r="F43" s="12">
        <f t="shared" si="14"/>
        <v>-2.1405995181563719</v>
      </c>
      <c r="G43" s="13">
        <f t="shared" si="14"/>
        <v>-10.423516376344001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-5.9365516176024258E-2</v>
      </c>
      <c r="C45" s="12">
        <f t="shared" si="16"/>
        <v>-7.5529889180436793E-2</v>
      </c>
      <c r="D45" s="12">
        <f t="shared" si="16"/>
        <v>-9.1710764186325733E-2</v>
      </c>
      <c r="E45" s="12">
        <f t="shared" si="16"/>
        <v>-0.12569350278309743</v>
      </c>
      <c r="F45" s="12">
        <f t="shared" si="16"/>
        <v>-0.24634602124126159</v>
      </c>
      <c r="G45" s="13">
        <f t="shared" si="16"/>
        <v>-1.153091425806807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-5.6370435751496029E-2</v>
      </c>
      <c r="C46" s="12">
        <f t="shared" si="17"/>
        <v>-7.1734134018019979E-2</v>
      </c>
      <c r="D46" s="12">
        <f t="shared" si="17"/>
        <v>-8.7148768233158425E-2</v>
      </c>
      <c r="E46" s="12">
        <f t="shared" si="17"/>
        <v>-0.11972285831647334</v>
      </c>
      <c r="F46" s="12">
        <f t="shared" si="17"/>
        <v>-0.23560421129062981</v>
      </c>
      <c r="G46" s="13">
        <f t="shared" si="17"/>
        <v>-1.1088107452405849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-0.12011475921420711</v>
      </c>
      <c r="D47" s="12">
        <f t="shared" si="18"/>
        <v>-0.16133862827192313</v>
      </c>
      <c r="E47" s="12">
        <f t="shared" si="18"/>
        <v>-0.25968196953497502</v>
      </c>
      <c r="F47" s="12">
        <f t="shared" si="18"/>
        <v>-0.62273485779784643</v>
      </c>
      <c r="G47" s="13">
        <f t="shared" si="18"/>
        <v>-4.3575532745635641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-8.1006384895143668E-2</v>
      </c>
      <c r="C48" s="12">
        <f t="shared" si="18"/>
        <v>-9.3915886507911495E-2</v>
      </c>
      <c r="D48" s="12">
        <f t="shared" si="18"/>
        <v>-0.10310887444271444</v>
      </c>
      <c r="E48" s="12">
        <f t="shared" si="18"/>
        <v>-0.11740134376440059</v>
      </c>
      <c r="F48" s="12">
        <f t="shared" si="18"/>
        <v>-0.18982160993969988</v>
      </c>
      <c r="G48" s="13">
        <f t="shared" si="18"/>
        <v>-0.25427953200130027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0.11223706446170656</v>
      </c>
      <c r="C49" s="12">
        <f t="shared" si="18"/>
        <v>0.15093497354670138</v>
      </c>
      <c r="D49" s="12">
        <f t="shared" si="18"/>
        <v>0.19217887326734573</v>
      </c>
      <c r="E49" s="12">
        <f t="shared" si="18"/>
        <v>0.27880857789897018</v>
      </c>
      <c r="F49" s="12">
        <f t="shared" si="18"/>
        <v>0.58101383180091393</v>
      </c>
      <c r="G49" s="13">
        <f t="shared" si="18"/>
        <v>2.8548709398699357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16" t="s">
        <v>0</v>
      </c>
      <c r="D2" s="417"/>
      <c r="E2" s="417"/>
      <c r="F2" s="417"/>
      <c r="G2" s="417"/>
      <c r="H2" s="418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1.1252093159357823E-2</v>
      </c>
      <c r="D4" s="36">
        <f>VLOOKUP($B4,Baseline!$A$1:$AT$50,D$1,FALSE)</f>
        <v>1.1375472823364374E-2</v>
      </c>
      <c r="E4" s="36">
        <f>VLOOKUP($B4,Baseline!$A$1:$AT$50,E$1,FALSE)</f>
        <v>1.1476237140703338E-2</v>
      </c>
      <c r="F4" s="36">
        <f>VLOOKUP($B4,Baseline!$A$1:$AT$50,F$1,FALSE)</f>
        <v>1.1614092140754373E-2</v>
      </c>
      <c r="G4" s="36">
        <f>VLOOKUP($B4,Baseline!$A$1:$AT$50,G$1,FALSE)</f>
        <v>1.1726135871448662E-2</v>
      </c>
      <c r="H4" s="40">
        <f>VLOOKUP($B4,Baseline!$A$1:$AT$50,H$1,FALSE)</f>
        <v>1.1660367708691277E-2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1.9668197676172561E-2</v>
      </c>
      <c r="E5" s="18">
        <f>VLOOKUP($B5,Baseline!$A$1:$AT$50,E$1,FALSE)</f>
        <v>1.9714317259956093E-2</v>
      </c>
      <c r="F5" s="18">
        <f>VLOOKUP($B5,Baseline!$A$1:$AT$50,F$1,FALSE)</f>
        <v>1.982889790318465E-2</v>
      </c>
      <c r="G5" s="18">
        <f>VLOOKUP($B5,Baseline!$A$1:$AT$50,G$1,FALSE)</f>
        <v>2.0129185263145999E-2</v>
      </c>
      <c r="H5" s="41">
        <f>VLOOKUP($B5,Baseline!$A$1:$AT$50,H$1,FALSE)</f>
        <v>2.0366929276244283E-2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0.1441590549</v>
      </c>
      <c r="D6" s="18">
        <f>VLOOKUP($B6,Baseline!$A$1:$AT$50,D$1,FALSE)</f>
        <v>0.14419204229999999</v>
      </c>
      <c r="E6" s="18">
        <f>VLOOKUP($B6,Baseline!$A$1:$AT$50,E$1,FALSE)</f>
        <v>0.1441297882</v>
      </c>
      <c r="F6" s="18">
        <f>VLOOKUP($B6,Baseline!$A$1:$AT$50,F$1,FALSE)</f>
        <v>0.14381067819999999</v>
      </c>
      <c r="G6" s="18">
        <f>VLOOKUP($B6,Baseline!$A$1:$AT$50,G$1,FALSE)</f>
        <v>0.14261895090000001</v>
      </c>
      <c r="H6" s="41">
        <f>VLOOKUP($B6,Baseline!$A$1:$AT$50,H$1,FALSE)</f>
        <v>0.1388751318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0.9700480159</v>
      </c>
      <c r="D7" s="18">
        <f>VLOOKUP($B7,Baseline!$A$1:$AT$50,D$1,FALSE)</f>
        <v>0.97258711779999996</v>
      </c>
      <c r="E7" s="18">
        <f>VLOOKUP($B7,Baseline!$A$1:$AT$50,E$1,FALSE)</f>
        <v>0.9750314591</v>
      </c>
      <c r="F7" s="18">
        <f>VLOOKUP($B7,Baseline!$A$1:$AT$50,F$1,FALSE)</f>
        <v>0.97946805780000001</v>
      </c>
      <c r="G7" s="18">
        <f>VLOOKUP($B7,Baseline!$A$1:$AT$50,G$1,FALSE)</f>
        <v>0.98723105300000003</v>
      </c>
      <c r="H7" s="41">
        <f>VLOOKUP($B7,Baseline!$A$1:$AT$50,H$1,FALSE)</f>
        <v>0.97986828619999999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-1.14602514E-2</v>
      </c>
      <c r="D8" s="18">
        <f>VLOOKUP($B8,Baseline!$A$1:$AT$50,D$1,FALSE)</f>
        <v>-1.1637087900000001E-2</v>
      </c>
      <c r="E8" s="18">
        <f>VLOOKUP($B8,Baseline!$A$1:$AT$50,E$1,FALSE)</f>
        <v>-1.1732351800000001E-2</v>
      </c>
      <c r="F8" s="18">
        <f>VLOOKUP($B8,Baseline!$A$1:$AT$50,F$1,FALSE)</f>
        <v>-1.1733133099999999E-2</v>
      </c>
      <c r="G8" s="18">
        <f>VLOOKUP($B8,Baseline!$A$1:$AT$50,G$1,FALSE)</f>
        <v>-1.11774804E-2</v>
      </c>
      <c r="H8" s="41">
        <f>VLOOKUP($B8,Baseline!$A$1:$AT$50,H$1,FALSE)</f>
        <v>-8.4911300500000002E-3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-1.2772920199999999E-2</v>
      </c>
      <c r="D9" s="18">
        <f>VLOOKUP($B9,Baseline!$A$1:$AT$50,D$1,FALSE)</f>
        <v>-1.27849577E-2</v>
      </c>
      <c r="E9" s="18">
        <f>VLOOKUP($B9,Baseline!$A$1:$AT$50,E$1,FALSE)</f>
        <v>-1.2769053900000001E-2</v>
      </c>
      <c r="F9" s="18">
        <f>VLOOKUP($B9,Baseline!$A$1:$AT$50,F$1,FALSE)</f>
        <v>-1.26983687E-2</v>
      </c>
      <c r="G9" s="18">
        <f>VLOOKUP($B9,Baseline!$A$1:$AT$50,G$1,FALSE)</f>
        <v>-1.2442024600000001E-2</v>
      </c>
      <c r="H9" s="41">
        <f>VLOOKUP($B9,Baseline!$A$1:$AT$50,H$1,FALSE)</f>
        <v>-1.11389048E-2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362.0426344</v>
      </c>
      <c r="D10" s="21">
        <f>VLOOKUP($B10,Baseline!$A$1:$AT$50,D$1,FALSE)</f>
        <v>364.51423269999998</v>
      </c>
      <c r="E10" s="21">
        <f>VLOOKUP($B10,Baseline!$A$1:$AT$50,E$1,FALSE)</f>
        <v>367.11029619999999</v>
      </c>
      <c r="F10" s="21">
        <f>VLOOKUP($B10,Baseline!$A$1:$AT$50,F$1,FALSE)</f>
        <v>372.57878440000002</v>
      </c>
      <c r="G10" s="21">
        <f>VLOOKUP($B10,Baseline!$A$1:$AT$50,G$1,FALSE)</f>
        <v>387.32088449999998</v>
      </c>
      <c r="H10" s="42">
        <f>VLOOKUP($B10,Baseline!$A$1:$AT$50,H$1,FALSE)</f>
        <v>457.408886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22"/>
      <c r="D32" s="422"/>
      <c r="E32" s="422"/>
      <c r="F32" s="422"/>
      <c r="G32" s="422"/>
      <c r="H32" s="422"/>
    </row>
    <row r="33" spans="1:11" ht="15.75" x14ac:dyDescent="0.25">
      <c r="A33" s="9"/>
      <c r="B33" s="28"/>
      <c r="C33" s="420" t="s">
        <v>14</v>
      </c>
      <c r="D33" s="420"/>
      <c r="E33" s="420"/>
      <c r="F33" s="420"/>
      <c r="G33" s="420"/>
      <c r="H33" s="420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1.1252093159357823E-2</v>
      </c>
      <c r="D35" s="18">
        <f t="shared" ref="D35:H35" si="0">D4</f>
        <v>1.1375472823364374E-2</v>
      </c>
      <c r="E35" s="18">
        <f t="shared" si="0"/>
        <v>1.1476237140703338E-2</v>
      </c>
      <c r="F35" s="18">
        <f t="shared" si="0"/>
        <v>1.1614092140754373E-2</v>
      </c>
      <c r="G35" s="18">
        <f t="shared" si="0"/>
        <v>1.1726135871448662E-2</v>
      </c>
      <c r="H35" s="19">
        <f t="shared" si="0"/>
        <v>1.1660367708691277E-2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1.9668197676172561E-2</v>
      </c>
      <c r="E36" s="18">
        <f t="shared" si="1"/>
        <v>1.9714317259956093E-2</v>
      </c>
      <c r="F36" s="18">
        <f t="shared" si="1"/>
        <v>1.982889790318465E-2</v>
      </c>
      <c r="G36" s="18">
        <f t="shared" si="1"/>
        <v>2.0129185263145999E-2</v>
      </c>
      <c r="H36" s="19">
        <f t="shared" si="1"/>
        <v>2.0366929276244283E-2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0.1441590549</v>
      </c>
      <c r="D37" s="18">
        <f t="shared" si="2"/>
        <v>0.14419204229999999</v>
      </c>
      <c r="E37" s="18">
        <f t="shared" si="2"/>
        <v>0.1441297882</v>
      </c>
      <c r="F37" s="18">
        <f t="shared" si="2"/>
        <v>0.14381067819999999</v>
      </c>
      <c r="G37" s="18">
        <f t="shared" si="2"/>
        <v>0.14261895090000001</v>
      </c>
      <c r="H37" s="19">
        <f t="shared" si="2"/>
        <v>0.1388751318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0.9700480159</v>
      </c>
      <c r="D38" s="18">
        <f t="shared" si="3"/>
        <v>0.97258711779999996</v>
      </c>
      <c r="E38" s="18">
        <f t="shared" si="3"/>
        <v>0.9750314591</v>
      </c>
      <c r="F38" s="18">
        <f t="shared" si="3"/>
        <v>0.97946805780000001</v>
      </c>
      <c r="G38" s="18">
        <f t="shared" si="3"/>
        <v>0.98723105300000003</v>
      </c>
      <c r="H38" s="19">
        <f t="shared" si="3"/>
        <v>0.97986828619999999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-1.14602514E-2</v>
      </c>
      <c r="D39" s="18">
        <f t="shared" si="4"/>
        <v>-1.1637087900000001E-2</v>
      </c>
      <c r="E39" s="18">
        <f t="shared" si="4"/>
        <v>-1.1732351800000001E-2</v>
      </c>
      <c r="F39" s="18">
        <f t="shared" si="4"/>
        <v>-1.1733133099999999E-2</v>
      </c>
      <c r="G39" s="18">
        <f t="shared" si="4"/>
        <v>-1.11774804E-2</v>
      </c>
      <c r="H39" s="19">
        <f t="shared" si="4"/>
        <v>-8.4911300500000002E-3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-1.2772920199999999E-2</v>
      </c>
      <c r="D40" s="18">
        <f t="shared" si="5"/>
        <v>-1.27849577E-2</v>
      </c>
      <c r="E40" s="18">
        <f t="shared" si="5"/>
        <v>-1.2769053900000001E-2</v>
      </c>
      <c r="F40" s="18">
        <f t="shared" si="5"/>
        <v>-1.26983687E-2</v>
      </c>
      <c r="G40" s="18">
        <f t="shared" si="5"/>
        <v>-1.2442024600000001E-2</v>
      </c>
      <c r="H40" s="19">
        <f t="shared" si="5"/>
        <v>-1.11389048E-2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362.0426344</v>
      </c>
      <c r="D41" s="21">
        <f t="shared" si="6"/>
        <v>364.51423269999998</v>
      </c>
      <c r="E41" s="21">
        <f t="shared" si="6"/>
        <v>367.11029619999999</v>
      </c>
      <c r="F41" s="21">
        <f t="shared" si="6"/>
        <v>372.57878440000002</v>
      </c>
      <c r="G41" s="21">
        <f t="shared" si="6"/>
        <v>387.32088449999998</v>
      </c>
      <c r="H41" s="25">
        <f t="shared" si="6"/>
        <v>457.408886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3.675428841194428E-2</v>
      </c>
      <c r="H2">
        <v>4.8738572254336532E-2</v>
      </c>
      <c r="I2">
        <v>6.009585893678171E-2</v>
      </c>
      <c r="J2">
        <v>7.0015106790588533E-2</v>
      </c>
      <c r="K2">
        <v>7.8444432843594036E-2</v>
      </c>
      <c r="L2">
        <v>8.596298329950347E-2</v>
      </c>
      <c r="M2">
        <v>9.3517875039306197E-2</v>
      </c>
      <c r="N2">
        <v>0.10215197422387412</v>
      </c>
      <c r="O2">
        <v>0.11279883931964996</v>
      </c>
      <c r="P2">
        <v>0.1261599893421117</v>
      </c>
      <c r="Q2">
        <v>0.1426524117757566</v>
      </c>
      <c r="R2">
        <v>0.16135000682691025</v>
      </c>
      <c r="S2">
        <v>0.1802489086113912</v>
      </c>
      <c r="T2">
        <v>0.19776241417297502</v>
      </c>
      <c r="U2">
        <v>0.21281821933873957</v>
      </c>
      <c r="V2">
        <v>0.22488162556755231</v>
      </c>
      <c r="W2">
        <v>0.23384640340853302</v>
      </c>
      <c r="X2">
        <v>0.23987807168803776</v>
      </c>
      <c r="Y2">
        <v>0.24327290629826415</v>
      </c>
      <c r="Z2">
        <v>0.24435604380725895</v>
      </c>
      <c r="AA2">
        <v>0.24341917386956347</v>
      </c>
      <c r="AB2">
        <v>0.24069008633054167</v>
      </c>
      <c r="AC2">
        <v>0.23632354167872904</v>
      </c>
      <c r="AD2">
        <v>0.23040663748350454</v>
      </c>
      <c r="AE2">
        <v>0.22297109119497893</v>
      </c>
      <c r="AF2">
        <v>0.21400903031845164</v>
      </c>
      <c r="AG2">
        <v>0.20348859299632593</v>
      </c>
      <c r="AH2">
        <v>0.19136789527074427</v>
      </c>
      <c r="AI2">
        <v>0.17760608603039074</v>
      </c>
      <c r="AJ2">
        <v>0.16217137907874601</v>
      </c>
      <c r="AK2">
        <v>0.14504591145982904</v>
      </c>
    </row>
    <row r="3" spans="1:37" x14ac:dyDescent="0.25">
      <c r="A3" t="s">
        <v>2184</v>
      </c>
      <c r="B3">
        <v>0</v>
      </c>
      <c r="C3">
        <v>4.6308796759042536E-3</v>
      </c>
      <c r="D3">
        <v>1.2257928092296311E-2</v>
      </c>
      <c r="E3">
        <v>2.2103622141611545E-2</v>
      </c>
      <c r="F3">
        <v>3.3966799724649555E-2</v>
      </c>
      <c r="G3">
        <v>4.8189742919402256E-2</v>
      </c>
      <c r="H3">
        <v>6.3591594584266886E-2</v>
      </c>
      <c r="I3">
        <v>7.7928069822319479E-2</v>
      </c>
      <c r="J3">
        <v>9.02087233562332E-2</v>
      </c>
      <c r="K3">
        <v>0.10045819690156499</v>
      </c>
      <c r="L3">
        <v>0.10946525905444204</v>
      </c>
      <c r="M3">
        <v>0.11843945174434545</v>
      </c>
      <c r="N3">
        <v>0.12868421007021791</v>
      </c>
      <c r="O3">
        <v>0.14135396586505422</v>
      </c>
      <c r="P3">
        <v>0.15730597916434608</v>
      </c>
      <c r="Q3">
        <v>0.17703502751251765</v>
      </c>
      <c r="R3">
        <v>0.19924260673838123</v>
      </c>
      <c r="S3">
        <v>0.22128356813886363</v>
      </c>
      <c r="T3">
        <v>0.2411940001093793</v>
      </c>
      <c r="U3">
        <v>0.25769970001905396</v>
      </c>
      <c r="V3">
        <v>0.27018278400470219</v>
      </c>
      <c r="W3">
        <v>0.27853424837995799</v>
      </c>
      <c r="X3">
        <v>0.28297033888056156</v>
      </c>
      <c r="Y3">
        <v>0.28387016083613048</v>
      </c>
      <c r="Z3">
        <v>0.28165927123013912</v>
      </c>
      <c r="AA3">
        <v>0.27673714314147002</v>
      </c>
      <c r="AB3">
        <v>0.26944027608224452</v>
      </c>
      <c r="AC3">
        <v>0.26002945625880347</v>
      </c>
      <c r="AD3">
        <v>0.2486932849681267</v>
      </c>
      <c r="AE3">
        <v>0.2355598298219741</v>
      </c>
      <c r="AF3">
        <v>0.22071209572083195</v>
      </c>
      <c r="AG3">
        <v>0.2042038321153461</v>
      </c>
      <c r="AH3">
        <v>0.18607387573639222</v>
      </c>
      <c r="AI3">
        <v>0.16635668872682086</v>
      </c>
      <c r="AJ3">
        <v>0.14509107777014307</v>
      </c>
      <c r="AK3">
        <v>0.12232398277054468</v>
      </c>
    </row>
    <row r="4" spans="1:37" x14ac:dyDescent="0.25">
      <c r="A4" t="s">
        <v>2185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2.779542057663829E-2</v>
      </c>
      <c r="G4">
        <v>4.2970976653522189E-2</v>
      </c>
      <c r="H4">
        <v>6.161111292635673E-2</v>
      </c>
      <c r="I4">
        <v>8.2784009888299509E-2</v>
      </c>
      <c r="J4">
        <v>0.10533604742285797</v>
      </c>
      <c r="K4">
        <v>0.12861588418264552</v>
      </c>
      <c r="L4">
        <v>0.15272544968731303</v>
      </c>
      <c r="M4">
        <v>0.17837011329577754</v>
      </c>
      <c r="N4">
        <v>0.2066003486214345</v>
      </c>
      <c r="O4">
        <v>0.23859338027940094</v>
      </c>
      <c r="P4">
        <v>0.27551308756453591</v>
      </c>
      <c r="Q4">
        <v>0.31843770756627326</v>
      </c>
      <c r="R4">
        <v>0.36765925482624789</v>
      </c>
      <c r="S4">
        <v>0.4222669465773824</v>
      </c>
      <c r="T4">
        <v>0.48084151497357946</v>
      </c>
      <c r="U4">
        <v>0.54207887069117711</v>
      </c>
      <c r="V4">
        <v>0.60507626449336915</v>
      </c>
      <c r="W4">
        <v>0.66931450264482373</v>
      </c>
      <c r="X4">
        <v>0.73452829882733828</v>
      </c>
      <c r="Y4">
        <v>0.80057284992926903</v>
      </c>
      <c r="Z4">
        <v>0.86732603850980072</v>
      </c>
      <c r="AA4">
        <v>0.93463019624380017</v>
      </c>
      <c r="AB4">
        <v>1.0022654131686779</v>
      </c>
      <c r="AC4">
        <v>1.0699443439920737</v>
      </c>
      <c r="AD4">
        <v>1.1373208059819049</v>
      </c>
      <c r="AE4">
        <v>1.2040053514960867</v>
      </c>
      <c r="AF4">
        <v>1.2695831772577528</v>
      </c>
      <c r="AG4">
        <v>1.333632416750254</v>
      </c>
      <c r="AH4">
        <v>1.3957395880125809</v>
      </c>
      <c r="AI4">
        <v>1.4555121056877598</v>
      </c>
      <c r="AJ4">
        <v>1.5125875871955849</v>
      </c>
      <c r="AK4">
        <v>1.5666395386702621</v>
      </c>
    </row>
    <row r="5" spans="1:37" x14ac:dyDescent="0.25">
      <c r="A5" t="s">
        <v>2186</v>
      </c>
      <c r="B5">
        <v>0</v>
      </c>
      <c r="C5">
        <v>-3.8211488652738971E-3</v>
      </c>
      <c r="D5">
        <v>-7.8287765196658719E-3</v>
      </c>
      <c r="E5">
        <v>-1.1437916914153403E-2</v>
      </c>
      <c r="F5">
        <v>-1.5222180233613583E-2</v>
      </c>
      <c r="G5">
        <v>-1.9979751518479822E-2</v>
      </c>
      <c r="H5">
        <v>-2.458739536398466E-2</v>
      </c>
      <c r="I5">
        <v>-2.7517746887767192E-2</v>
      </c>
      <c r="J5">
        <v>-2.9270482574077768E-2</v>
      </c>
      <c r="K5">
        <v>-3.0830200532651175E-2</v>
      </c>
      <c r="L5">
        <v>-3.3062853977156456E-2</v>
      </c>
      <c r="M5">
        <v>-3.6601608296022964E-2</v>
      </c>
      <c r="N5">
        <v>-4.188813949321081E-2</v>
      </c>
      <c r="O5">
        <v>-4.923832168137246E-2</v>
      </c>
      <c r="P5">
        <v>-5.8893358819564881E-2</v>
      </c>
      <c r="Q5">
        <v>-7.1051220043408803E-2</v>
      </c>
      <c r="R5">
        <v>-8.4293781003437637E-2</v>
      </c>
      <c r="S5">
        <v>-9.6698205406679505E-2</v>
      </c>
      <c r="T5">
        <v>-0.10805853900272269</v>
      </c>
      <c r="U5">
        <v>-0.11869867098060838</v>
      </c>
      <c r="V5">
        <v>-0.12898095056954045</v>
      </c>
      <c r="W5">
        <v>-0.1391758360926787</v>
      </c>
      <c r="X5">
        <v>-0.14945747698224596</v>
      </c>
      <c r="Y5">
        <v>-0.15993073274983863</v>
      </c>
      <c r="Z5">
        <v>-0.17065772348827221</v>
      </c>
      <c r="AA5">
        <v>-0.18167634580310263</v>
      </c>
      <c r="AB5">
        <v>-0.19301120208205449</v>
      </c>
      <c r="AC5">
        <v>-0.20467918158217105</v>
      </c>
      <c r="AD5">
        <v>-0.2166917900547646</v>
      </c>
      <c r="AE5">
        <v>-0.2290557326631438</v>
      </c>
      <c r="AF5">
        <v>-0.24177267841221828</v>
      </c>
      <c r="AG5">
        <v>-0.25483882127544777</v>
      </c>
      <c r="AH5">
        <v>-0.26824449288639146</v>
      </c>
      <c r="AI5">
        <v>-0.28197399255425998</v>
      </c>
      <c r="AJ5">
        <v>-0.29600565994063216</v>
      </c>
      <c r="AK5">
        <v>-0.31031218889782231</v>
      </c>
    </row>
    <row r="6" spans="1:37" x14ac:dyDescent="0.25">
      <c r="A6" t="s">
        <v>2187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2188</v>
      </c>
      <c r="B7">
        <v>0</v>
      </c>
      <c r="C7">
        <v>-9.9763864684323405E-4</v>
      </c>
      <c r="D7">
        <v>-2.4626903512388453E-3</v>
      </c>
      <c r="E7">
        <v>-4.253711843167654E-3</v>
      </c>
      <c r="F7">
        <v>-6.4880603463444049E-3</v>
      </c>
      <c r="G7">
        <v>-9.397500662846019E-3</v>
      </c>
      <c r="H7">
        <v>-1.2798618492636783E-2</v>
      </c>
      <c r="I7">
        <v>-1.6283173430287286E-2</v>
      </c>
      <c r="J7">
        <v>-1.9770476254850473E-2</v>
      </c>
      <c r="K7">
        <v>-2.3334814080218581E-2</v>
      </c>
      <c r="L7">
        <v>-2.709223314837236E-2</v>
      </c>
      <c r="M7">
        <v>-3.1158342958252469E-2</v>
      </c>
      <c r="N7">
        <v>-3.5648542828729327E-2</v>
      </c>
      <c r="O7">
        <v>-4.0691918324186872E-2</v>
      </c>
      <c r="P7">
        <v>-4.6442577464372269E-2</v>
      </c>
      <c r="Q7">
        <v>-5.3082542528644493E-2</v>
      </c>
      <c r="R7">
        <v>-6.0521403437573333E-2</v>
      </c>
      <c r="S7">
        <v>-6.8495843217575375E-2</v>
      </c>
      <c r="T7">
        <v>-7.6931207019790296E-2</v>
      </c>
      <c r="U7">
        <v>-8.5824172437211355E-2</v>
      </c>
      <c r="V7">
        <v>-9.5163523808783707E-2</v>
      </c>
      <c r="W7">
        <v>-0.1049008570541697</v>
      </c>
      <c r="X7">
        <v>-0.11495414160961141</v>
      </c>
      <c r="Y7">
        <v>-0.12522462561397471</v>
      </c>
      <c r="Z7">
        <v>-0.13561464815759333</v>
      </c>
      <c r="AA7">
        <v>-0.14604089689023186</v>
      </c>
      <c r="AB7">
        <v>-0.15644188361829148</v>
      </c>
      <c r="AC7">
        <v>-0.16678053866974718</v>
      </c>
      <c r="AD7">
        <v>-0.17704333043301421</v>
      </c>
      <c r="AE7">
        <v>-0.18723732920923197</v>
      </c>
      <c r="AF7">
        <v>-0.19738626947088414</v>
      </c>
      <c r="AG7">
        <v>-0.20752639330270153</v>
      </c>
      <c r="AH7">
        <v>-0.21770260073032607</v>
      </c>
      <c r="AI7">
        <v>-0.22796510530214642</v>
      </c>
      <c r="AJ7">
        <v>-0.23836680321383777</v>
      </c>
      <c r="AK7">
        <v>-0.24896131887889877</v>
      </c>
    </row>
    <row r="8" spans="1:37" x14ac:dyDescent="0.25">
      <c r="A8" t="s">
        <v>2189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2190</v>
      </c>
      <c r="B9">
        <v>0</v>
      </c>
      <c r="C9">
        <v>2.1687683099262597E-3</v>
      </c>
      <c r="D9">
        <v>4.0265624211144766E-3</v>
      </c>
      <c r="E9">
        <v>4.7914325929475695E-3</v>
      </c>
      <c r="F9">
        <v>4.4664594628585023E-3</v>
      </c>
      <c r="G9">
        <v>3.180795171029243E-3</v>
      </c>
      <c r="H9">
        <v>-7.3934973113441715E-5</v>
      </c>
      <c r="I9">
        <v>-6.4049606547936407E-3</v>
      </c>
      <c r="J9">
        <v>-1.555047688372168E-2</v>
      </c>
      <c r="K9">
        <v>-2.6836641379988944E-2</v>
      </c>
      <c r="L9">
        <v>-3.9670208796402699E-2</v>
      </c>
      <c r="M9">
        <v>-5.3693895298208859E-2</v>
      </c>
      <c r="N9">
        <v>-6.8799803706163093E-2</v>
      </c>
      <c r="O9">
        <v>-8.5102599029611023E-2</v>
      </c>
      <c r="P9">
        <v>-0.10291054797933863</v>
      </c>
      <c r="Q9">
        <v>-0.12270277248028133</v>
      </c>
      <c r="R9">
        <v>-0.14578785975824196</v>
      </c>
      <c r="S9">
        <v>-0.17352223980913228</v>
      </c>
      <c r="T9">
        <v>-0.20614789749233203</v>
      </c>
      <c r="U9">
        <v>-0.24343649725758992</v>
      </c>
      <c r="V9">
        <v>-0.2850311151170426</v>
      </c>
      <c r="W9">
        <v>-0.33056725651768409</v>
      </c>
      <c r="X9">
        <v>-0.37969609261439274</v>
      </c>
      <c r="Y9">
        <v>-0.43207530051055509</v>
      </c>
      <c r="Z9">
        <v>-0.48735534654494828</v>
      </c>
      <c r="AA9">
        <v>-0.54517012206335913</v>
      </c>
      <c r="AB9">
        <v>-0.60513344321984563</v>
      </c>
      <c r="AC9">
        <v>-0.66684024693399413</v>
      </c>
      <c r="AD9">
        <v>-0.72987085788497541</v>
      </c>
      <c r="AE9">
        <v>-0.79379690823635118</v>
      </c>
      <c r="AF9">
        <v>-0.85818789360515146</v>
      </c>
      <c r="AG9">
        <v>-0.92261744959165826</v>
      </c>
      <c r="AH9">
        <v>-0.98666908570501277</v>
      </c>
      <c r="AI9">
        <v>-1.049940901887737</v>
      </c>
      <c r="AJ9">
        <v>-1.1120493925792918</v>
      </c>
      <c r="AK9">
        <v>-1.1726322991952836</v>
      </c>
    </row>
    <row r="10" spans="1:37" x14ac:dyDescent="0.25">
      <c r="A10" t="s">
        <v>2191</v>
      </c>
      <c r="B10">
        <v>0</v>
      </c>
      <c r="C10">
        <v>2.1207018136686251E-3</v>
      </c>
      <c r="D10">
        <v>7.3378229611323715E-3</v>
      </c>
      <c r="E10">
        <v>1.5756902354742065E-2</v>
      </c>
      <c r="F10">
        <v>2.7279421362477876E-2</v>
      </c>
      <c r="G10">
        <v>4.2204700276896455E-2</v>
      </c>
      <c r="H10">
        <v>6.0548049809366539E-2</v>
      </c>
      <c r="I10">
        <v>8.140503720736611E-2</v>
      </c>
      <c r="J10">
        <v>0.10362740476226617</v>
      </c>
      <c r="K10">
        <v>0.12656018597388691</v>
      </c>
      <c r="L10">
        <v>0.15029513786227572</v>
      </c>
      <c r="M10">
        <v>0.17552297237181322</v>
      </c>
      <c r="N10">
        <v>0.20327752089797238</v>
      </c>
      <c r="O10">
        <v>0.23471943596348094</v>
      </c>
      <c r="P10">
        <v>0.27099731228766633</v>
      </c>
      <c r="Q10">
        <v>0.31317578236460603</v>
      </c>
      <c r="R10">
        <v>0.3615627901876971</v>
      </c>
      <c r="S10">
        <v>0.41528178429686891</v>
      </c>
      <c r="T10">
        <v>0.4729304219665979</v>
      </c>
      <c r="U10">
        <v>0.53321458173353586</v>
      </c>
      <c r="V10">
        <v>0.59523669511046873</v>
      </c>
      <c r="W10">
        <v>0.65847951715792619</v>
      </c>
      <c r="X10">
        <v>0.72267832472146121</v>
      </c>
      <c r="Y10">
        <v>0.7876890715973891</v>
      </c>
      <c r="Z10">
        <v>0.85339157657690745</v>
      </c>
      <c r="AA10">
        <v>0.91963167189966244</v>
      </c>
      <c r="AB10">
        <v>0.98619446497763619</v>
      </c>
      <c r="AC10">
        <v>1.0527988439396956</v>
      </c>
      <c r="AD10">
        <v>1.1191056761026512</v>
      </c>
      <c r="AE10">
        <v>1.1847329741464201</v>
      </c>
      <c r="AF10">
        <v>1.2492734509164647</v>
      </c>
      <c r="AG10">
        <v>1.3123125306915253</v>
      </c>
      <c r="AH10">
        <v>1.3734435955083335</v>
      </c>
      <c r="AI10">
        <v>1.4322803705261395</v>
      </c>
      <c r="AJ10">
        <v>1.4884661614783676</v>
      </c>
      <c r="AK10">
        <v>1.54167952370202</v>
      </c>
    </row>
    <row r="11" spans="1:37" x14ac:dyDescent="0.25">
      <c r="A11" t="s">
        <v>2192</v>
      </c>
      <c r="B11">
        <v>0</v>
      </c>
      <c r="C11">
        <v>-9.2536033127498603E-4</v>
      </c>
      <c r="D11">
        <v>-2.2820586891090806E-3</v>
      </c>
      <c r="E11">
        <v>-3.9281875920169325E-3</v>
      </c>
      <c r="F11">
        <v>-5.9720611321865307E-3</v>
      </c>
      <c r="G11">
        <v>-8.6312242862202817E-3</v>
      </c>
      <c r="H11">
        <v>-1.1735555375646601E-2</v>
      </c>
      <c r="I11">
        <v>-1.4904200749353896E-2</v>
      </c>
      <c r="J11">
        <v>-1.8061833594263527E-2</v>
      </c>
      <c r="K11">
        <v>-2.1279115871459961E-2</v>
      </c>
      <c r="L11">
        <v>-2.4661921323325543E-2</v>
      </c>
      <c r="M11">
        <v>-2.8311202034288139E-2</v>
      </c>
      <c r="N11">
        <v>-3.232571510526721E-2</v>
      </c>
      <c r="O11">
        <v>-3.6817974008262255E-2</v>
      </c>
      <c r="P11">
        <v>-4.1926802187502686E-2</v>
      </c>
      <c r="Q11">
        <v>-4.7820617326972785E-2</v>
      </c>
      <c r="R11">
        <v>-5.4424938799018135E-2</v>
      </c>
      <c r="S11">
        <v>-6.1510680937061885E-2</v>
      </c>
      <c r="T11">
        <v>-6.9020114012812994E-2</v>
      </c>
      <c r="U11">
        <v>-7.6959883479574248E-2</v>
      </c>
      <c r="V11">
        <v>-8.5323954425883322E-2</v>
      </c>
      <c r="W11">
        <v>-9.4065871567263842E-2</v>
      </c>
      <c r="X11">
        <v>-0.10310416750373015</v>
      </c>
      <c r="Y11">
        <v>-0.11234084728209859</v>
      </c>
      <c r="Z11">
        <v>-0.12168018622470002</v>
      </c>
      <c r="AA11">
        <v>-0.13104237254609413</v>
      </c>
      <c r="AB11">
        <v>-0.14037093542724974</v>
      </c>
      <c r="AC11">
        <v>-0.14963503861737318</v>
      </c>
      <c r="AD11">
        <v>-0.1588282005537606</v>
      </c>
      <c r="AE11">
        <v>-0.16796495185956548</v>
      </c>
      <c r="AF11">
        <v>-0.17707654312959586</v>
      </c>
      <c r="AG11">
        <v>-0.18620650724396912</v>
      </c>
      <c r="AH11">
        <v>-0.19540660822607875</v>
      </c>
      <c r="AI11">
        <v>-0.20473337014052245</v>
      </c>
      <c r="AJ11">
        <v>-0.21424537749661671</v>
      </c>
      <c r="AK11">
        <v>-0.22400130391065295</v>
      </c>
    </row>
    <row r="12" spans="1:37" x14ac:dyDescent="0.25">
      <c r="A12" t="s">
        <v>2193</v>
      </c>
      <c r="B12">
        <v>0</v>
      </c>
      <c r="C12">
        <v>-8.7467223902449557E-4</v>
      </c>
      <c r="D12">
        <v>-2.155797256204304E-3</v>
      </c>
      <c r="E12">
        <v>-3.7131923058346841E-3</v>
      </c>
      <c r="F12">
        <v>-5.6511227259310242E-3</v>
      </c>
      <c r="G12">
        <v>-8.178003291370391E-3</v>
      </c>
      <c r="H12">
        <v>-1.1136827942001583E-2</v>
      </c>
      <c r="I12">
        <v>-1.4171641304326989E-2</v>
      </c>
      <c r="J12">
        <v>-1.7215765176679904E-2</v>
      </c>
      <c r="K12">
        <v>-2.0339604225431004E-2</v>
      </c>
      <c r="L12">
        <v>-2.3646684820399042E-2</v>
      </c>
      <c r="M12">
        <v>-2.7235147994178161E-2</v>
      </c>
      <c r="N12">
        <v>-3.119940352170773E-2</v>
      </c>
      <c r="O12">
        <v>-3.5644877803623902E-2</v>
      </c>
      <c r="P12">
        <v>-4.0700247740156507E-2</v>
      </c>
      <c r="Q12">
        <v>-4.652139480104283E-2</v>
      </c>
      <c r="R12">
        <v>-5.3028776700620478E-2</v>
      </c>
      <c r="S12">
        <v>-5.9995981184128848E-2</v>
      </c>
      <c r="T12">
        <v>-6.7367641007562193E-2</v>
      </c>
      <c r="U12">
        <v>-7.5153306939761508E-2</v>
      </c>
      <c r="V12">
        <v>-8.3352680398396245E-2</v>
      </c>
      <c r="W12">
        <v>-9.1927434576298456E-2</v>
      </c>
      <c r="X12">
        <v>-0.10080454807672626</v>
      </c>
      <c r="Y12">
        <v>-0.10989270551925009</v>
      </c>
      <c r="Z12">
        <v>-0.11909976880220652</v>
      </c>
      <c r="AA12">
        <v>-0.12834594875001931</v>
      </c>
      <c r="AB12">
        <v>-0.13757141282975768</v>
      </c>
      <c r="AC12">
        <v>-0.14673913341163594</v>
      </c>
      <c r="AD12">
        <v>-0.15583432413324697</v>
      </c>
      <c r="AE12">
        <v>-0.16486182202408367</v>
      </c>
      <c r="AF12">
        <v>-0.1738424425251405</v>
      </c>
      <c r="AG12">
        <v>-0.18280907525234921</v>
      </c>
      <c r="AH12">
        <v>-0.19180303547943814</v>
      </c>
      <c r="AI12">
        <v>-0.20087087808166182</v>
      </c>
      <c r="AJ12">
        <v>-0.21006187757271169</v>
      </c>
      <c r="AK12">
        <v>-0.21942615366974949</v>
      </c>
    </row>
    <row r="13" spans="1:37" x14ac:dyDescent="0.25">
      <c r="A13" t="s">
        <v>2194</v>
      </c>
      <c r="B13">
        <v>0</v>
      </c>
      <c r="C13">
        <v>7.2278315569231135E-5</v>
      </c>
      <c r="D13">
        <v>1.8063166212911662E-4</v>
      </c>
      <c r="E13">
        <v>3.255242511492791E-4</v>
      </c>
      <c r="F13">
        <v>5.1599921415977905E-4</v>
      </c>
      <c r="G13">
        <v>7.6627637662526633E-4</v>
      </c>
      <c r="H13">
        <v>1.0630631169887867E-3</v>
      </c>
      <c r="I13">
        <v>1.3789726809330842E-3</v>
      </c>
      <c r="J13">
        <v>1.7086426605884607E-3</v>
      </c>
      <c r="K13">
        <v>2.0556982087572692E-3</v>
      </c>
      <c r="L13">
        <v>2.4303118250426688E-3</v>
      </c>
      <c r="M13">
        <v>2.8471409239628686E-3</v>
      </c>
      <c r="N13">
        <v>3.3228277234639957E-3</v>
      </c>
      <c r="O13">
        <v>3.8739443159247636E-3</v>
      </c>
      <c r="P13">
        <v>4.5157752768728307E-3</v>
      </c>
      <c r="Q13">
        <v>5.2619252016715672E-3</v>
      </c>
      <c r="R13">
        <v>6.0964646385520248E-3</v>
      </c>
      <c r="S13">
        <v>6.9851622805126787E-3</v>
      </c>
      <c r="T13">
        <v>7.9110930069799853E-3</v>
      </c>
      <c r="U13">
        <v>8.8642889576409627E-3</v>
      </c>
      <c r="V13">
        <v>9.8395693829010505E-3</v>
      </c>
      <c r="W13">
        <v>1.0834985486902465E-2</v>
      </c>
      <c r="X13">
        <v>1.1849974105882023E-2</v>
      </c>
      <c r="Y13">
        <v>1.2883778331876863E-2</v>
      </c>
      <c r="Z13">
        <v>1.3934461932893575E-2</v>
      </c>
      <c r="AA13">
        <v>1.4998524344139619E-2</v>
      </c>
      <c r="AB13">
        <v>1.607094819104123E-2</v>
      </c>
      <c r="AC13">
        <v>1.7145500052374502E-2</v>
      </c>
      <c r="AD13">
        <v>1.8215129879253625E-2</v>
      </c>
      <c r="AE13">
        <v>1.9272377349667556E-2</v>
      </c>
      <c r="AF13">
        <v>2.0309726341288865E-2</v>
      </c>
      <c r="AG13">
        <v>2.1319886058732185E-2</v>
      </c>
      <c r="AH13">
        <v>2.2295992504244546E-2</v>
      </c>
      <c r="AI13">
        <v>2.3231735161622691E-2</v>
      </c>
      <c r="AJ13">
        <v>2.4121425717220722E-2</v>
      </c>
      <c r="AK13">
        <v>2.4960014968243578E-2</v>
      </c>
    </row>
    <row r="14" spans="1:37" x14ac:dyDescent="0.25">
      <c r="A14" t="s">
        <v>2195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-8.3693762041179534E-4</v>
      </c>
      <c r="G14">
        <v>-1.2194973714771949E-3</v>
      </c>
      <c r="H14">
        <v>-1.6617905506367534E-3</v>
      </c>
      <c r="I14">
        <v>-2.1115321259602962E-3</v>
      </c>
      <c r="J14">
        <v>-2.5547110781720841E-3</v>
      </c>
      <c r="K14">
        <v>-2.9952098547881738E-3</v>
      </c>
      <c r="L14">
        <v>-3.4455483279727272E-3</v>
      </c>
      <c r="M14">
        <v>-3.9231949640743079E-3</v>
      </c>
      <c r="N14">
        <v>-4.4491393070218805E-3</v>
      </c>
      <c r="O14">
        <v>-5.047040520563542E-3</v>
      </c>
      <c r="P14">
        <v>-5.7423297242151922E-3</v>
      </c>
      <c r="Q14">
        <v>-6.5611477276011024E-3</v>
      </c>
      <c r="R14">
        <v>-7.4926267369517501E-3</v>
      </c>
      <c r="S14">
        <v>-8.4998620334473494E-3</v>
      </c>
      <c r="T14">
        <v>-9.5635660122270205E-3</v>
      </c>
      <c r="U14">
        <v>-1.0670865497449314E-2</v>
      </c>
      <c r="V14">
        <v>-1.1810843410386934E-2</v>
      </c>
      <c r="W14">
        <v>-1.297342247787125E-2</v>
      </c>
      <c r="X14">
        <v>-1.4149593532884907E-2</v>
      </c>
      <c r="Y14">
        <v>-1.5331920094727921E-2</v>
      </c>
      <c r="Z14">
        <v>-1.6514879355386057E-2</v>
      </c>
      <c r="AA14">
        <v>-1.7694948140214311E-2</v>
      </c>
      <c r="AB14">
        <v>-1.8870470788535255E-2</v>
      </c>
      <c r="AC14">
        <v>-2.0041405258111718E-2</v>
      </c>
      <c r="AD14">
        <v>-2.1209006299766284E-2</v>
      </c>
      <c r="AE14">
        <v>-2.2375507185147105E-2</v>
      </c>
      <c r="AF14">
        <v>-2.3543826945746946E-2</v>
      </c>
      <c r="AG14">
        <v>-2.4717318050352783E-2</v>
      </c>
      <c r="AH14">
        <v>-2.5899565250888833E-2</v>
      </c>
      <c r="AI14">
        <v>-2.7094227220487294E-2</v>
      </c>
      <c r="AJ14">
        <v>-2.8304925641126983E-2</v>
      </c>
      <c r="AK14">
        <v>-2.9535165209147288E-2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0.11251556631557413</v>
      </c>
      <c r="I15">
        <v>0.15121566866254099</v>
      </c>
      <c r="J15">
        <v>0.19244796452977386</v>
      </c>
      <c r="K15">
        <v>0.23501692141201236</v>
      </c>
      <c r="L15">
        <v>0.27910298405513512</v>
      </c>
      <c r="M15">
        <v>0.32599045153041128</v>
      </c>
      <c r="N15">
        <v>0.37759554731375822</v>
      </c>
      <c r="O15">
        <v>0.43606675607372747</v>
      </c>
      <c r="P15">
        <v>0.50352805569837678</v>
      </c>
      <c r="Q15">
        <v>0.58194624165135433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1.10523647917673</v>
      </c>
      <c r="W15">
        <v>1.2224211707336563</v>
      </c>
      <c r="X15">
        <v>1.3413526472340287</v>
      </c>
      <c r="Y15">
        <v>1.461767286362825</v>
      </c>
      <c r="Z15">
        <v>1.5834437545064528</v>
      </c>
      <c r="AA15">
        <v>1.7060965799519767</v>
      </c>
      <c r="AB15">
        <v>1.8293273655509701</v>
      </c>
      <c r="AC15">
        <v>1.9526152289849108</v>
      </c>
      <c r="AD15">
        <v>2.0753324063535805</v>
      </c>
      <c r="AE15">
        <v>2.196772555877069</v>
      </c>
      <c r="AF15">
        <v>2.3161832912837799</v>
      </c>
      <c r="AG15">
        <v>2.4327994142356646</v>
      </c>
      <c r="AH15">
        <v>2.5458709371255273</v>
      </c>
      <c r="AI15">
        <v>2.6546857633344745</v>
      </c>
      <c r="AJ15">
        <v>2.7585865444856639</v>
      </c>
      <c r="AK15">
        <v>2.8569809500042398</v>
      </c>
    </row>
    <row r="16" spans="1:37" x14ac:dyDescent="0.25">
      <c r="A16" t="s">
        <v>2196</v>
      </c>
      <c r="B16">
        <v>0</v>
      </c>
      <c r="C16">
        <v>-0.12818640285678917</v>
      </c>
      <c r="D16">
        <v>-0.24915638774554161</v>
      </c>
      <c r="E16">
        <v>-0.35010184709628467</v>
      </c>
      <c r="F16">
        <v>-0.45456507986797456</v>
      </c>
      <c r="G16">
        <v>-0.58853153980998885</v>
      </c>
      <c r="H16">
        <v>-0.71977661044603236</v>
      </c>
      <c r="I16">
        <v>-0.80433362973462152</v>
      </c>
      <c r="J16">
        <v>-0.8566327355430059</v>
      </c>
      <c r="K16">
        <v>-0.90482457748967127</v>
      </c>
      <c r="L16">
        <v>-0.9739255123451307</v>
      </c>
      <c r="M16">
        <v>-1.082643176043252</v>
      </c>
      <c r="N16">
        <v>-1.2444798178507854</v>
      </c>
      <c r="O16">
        <v>-1.4695306668948804</v>
      </c>
      <c r="P16">
        <v>-1.7659031859150187</v>
      </c>
      <c r="Q16">
        <v>-2.1405995181563719</v>
      </c>
      <c r="R16">
        <v>-2.5518670290415546</v>
      </c>
      <c r="S16">
        <v>-2.9418066432970402</v>
      </c>
      <c r="T16">
        <v>-3.3038658617215777</v>
      </c>
      <c r="U16">
        <v>-3.6476307492549598</v>
      </c>
      <c r="V16">
        <v>-3.9840585337417411</v>
      </c>
      <c r="W16">
        <v>-4.3214698188701277</v>
      </c>
      <c r="X16">
        <v>-4.665345401519283</v>
      </c>
      <c r="Y16">
        <v>-5.0191012012431262</v>
      </c>
      <c r="Z16">
        <v>-5.3848717707757343</v>
      </c>
      <c r="AA16">
        <v>-5.7640634885474995</v>
      </c>
      <c r="AB16">
        <v>-6.1576834919226169</v>
      </c>
      <c r="AC16">
        <v>-6.5665078134149795</v>
      </c>
      <c r="AD16">
        <v>-6.9911502144103572</v>
      </c>
      <c r="AE16">
        <v>-7.4320767240803605</v>
      </c>
      <c r="AF16">
        <v>-7.8895939734715643</v>
      </c>
      <c r="AG16">
        <v>-8.3638305021908828</v>
      </c>
      <c r="AH16">
        <v>-8.8547191774886116</v>
      </c>
      <c r="AI16">
        <v>-9.3619862377309015</v>
      </c>
      <c r="AJ16">
        <v>-9.8851481269724655</v>
      </c>
      <c r="AK16">
        <v>-10.423516376344001</v>
      </c>
    </row>
    <row r="17" spans="1:37" x14ac:dyDescent="0.25">
      <c r="A17" t="s">
        <v>2197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-4.6338231390774531E-3</v>
      </c>
      <c r="D18">
        <v>-1.1432338218120286E-2</v>
      </c>
      <c r="E18">
        <v>-1.9738649162925892E-2</v>
      </c>
      <c r="F18">
        <v>-3.0099289925600292E-2</v>
      </c>
      <c r="G18">
        <v>-4.3591278743360107E-2</v>
      </c>
      <c r="H18">
        <v>-5.9365516176024258E-2</v>
      </c>
      <c r="I18">
        <v>-7.5529889180436793E-2</v>
      </c>
      <c r="J18">
        <v>-9.1710764186325733E-2</v>
      </c>
      <c r="K18">
        <v>-0.1082526553606189</v>
      </c>
      <c r="L18">
        <v>-0.12569350278309743</v>
      </c>
      <c r="M18">
        <v>-0.14456916272882481</v>
      </c>
      <c r="N18">
        <v>-0.16541451695339937</v>
      </c>
      <c r="O18">
        <v>-0.18882793431833633</v>
      </c>
      <c r="P18">
        <v>-0.21552383094205485</v>
      </c>
      <c r="Q18">
        <v>-0.24634602124126159</v>
      </c>
      <c r="R18">
        <v>-0.28087374221729133</v>
      </c>
      <c r="S18">
        <v>-0.31788339104479313</v>
      </c>
      <c r="T18">
        <v>-0.35702665098213959</v>
      </c>
      <c r="U18">
        <v>-0.39828610098511241</v>
      </c>
      <c r="V18">
        <v>-0.44160759310606368</v>
      </c>
      <c r="W18">
        <v>-0.48676437698925712</v>
      </c>
      <c r="X18">
        <v>-0.53337375017448174</v>
      </c>
      <c r="Y18">
        <v>-0.58097564111110334</v>
      </c>
      <c r="Z18">
        <v>-0.629115377651146</v>
      </c>
      <c r="AA18">
        <v>-0.67740527239373849</v>
      </c>
      <c r="AB18">
        <v>-0.72555932896060105</v>
      </c>
      <c r="AC18">
        <v>-0.77340525642467517</v>
      </c>
      <c r="AD18">
        <v>-0.82088032963462121</v>
      </c>
      <c r="AE18">
        <v>-0.86801770131952338</v>
      </c>
      <c r="AF18">
        <v>-0.91492806052884124</v>
      </c>
      <c r="AG18">
        <v>-0.96178028429029228</v>
      </c>
      <c r="AH18">
        <v>-1.0087835254926292</v>
      </c>
      <c r="AI18">
        <v>-1.0561716562439316</v>
      </c>
      <c r="AJ18">
        <v>-1.1041910350297668</v>
      </c>
      <c r="AK18">
        <v>-1.153091425806807</v>
      </c>
    </row>
    <row r="19" spans="1:37" x14ac:dyDescent="0.25">
      <c r="A19" t="s">
        <v>2198</v>
      </c>
      <c r="B19">
        <v>0</v>
      </c>
      <c r="C19">
        <v>-4.4331026836985643E-3</v>
      </c>
      <c r="D19">
        <v>-1.092013479542242E-2</v>
      </c>
      <c r="E19">
        <v>-1.8801570095217102E-2</v>
      </c>
      <c r="F19">
        <v>-2.8607456838403156E-2</v>
      </c>
      <c r="G19">
        <v>-4.139475404237869E-2</v>
      </c>
      <c r="H19">
        <v>-5.6370435751496029E-2</v>
      </c>
      <c r="I19">
        <v>-7.1734134018019979E-2</v>
      </c>
      <c r="J19">
        <v>-8.7148768233158425E-2</v>
      </c>
      <c r="K19">
        <v>-0.10297047886418387</v>
      </c>
      <c r="L19">
        <v>-0.11972285831647334</v>
      </c>
      <c r="M19">
        <v>-0.1379022225151072</v>
      </c>
      <c r="N19">
        <v>-0.15798601167867909</v>
      </c>
      <c r="O19">
        <v>-0.18050742865921565</v>
      </c>
      <c r="P19">
        <v>-0.20611733679914979</v>
      </c>
      <c r="Q19">
        <v>-0.23560421129062981</v>
      </c>
      <c r="R19">
        <v>-0.26856395939609534</v>
      </c>
      <c r="S19">
        <v>-0.30384829011784742</v>
      </c>
      <c r="T19">
        <v>-0.34117491738721029</v>
      </c>
      <c r="U19">
        <v>-0.38059017904009673</v>
      </c>
      <c r="V19">
        <v>-0.42209042333469782</v>
      </c>
      <c r="W19">
        <v>-0.46547938121307419</v>
      </c>
      <c r="X19">
        <v>-0.51038517968893249</v>
      </c>
      <c r="Y19">
        <v>-0.5563435411889639</v>
      </c>
      <c r="Z19">
        <v>-0.60288637730017136</v>
      </c>
      <c r="AA19">
        <v>-0.64960855649963678</v>
      </c>
      <c r="AB19">
        <v>-0.69620644343988403</v>
      </c>
      <c r="AC19">
        <v>-0.7424922923765731</v>
      </c>
      <c r="AD19">
        <v>-0.78839133161956454</v>
      </c>
      <c r="AE19">
        <v>-0.8339284362311794</v>
      </c>
      <c r="AF19">
        <v>-0.87920959465725979</v>
      </c>
      <c r="AG19">
        <v>-0.92440207272549424</v>
      </c>
      <c r="AH19">
        <v>-0.96971588657923657</v>
      </c>
      <c r="AI19">
        <v>-1.0153876302732345</v>
      </c>
      <c r="AJ19">
        <v>-1.0616676906768263</v>
      </c>
      <c r="AK19">
        <v>-1.1088107452405849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-0.12011475921420711</v>
      </c>
      <c r="J20">
        <v>-0.16133862827192313</v>
      </c>
      <c r="K20">
        <v>-0.20791035179900108</v>
      </c>
      <c r="L20">
        <v>-0.25968196953497502</v>
      </c>
      <c r="M20">
        <v>-0.31694183765166306</v>
      </c>
      <c r="N20">
        <v>-0.38044514976971477</v>
      </c>
      <c r="O20">
        <v>-0.45141088649005567</v>
      </c>
      <c r="P20">
        <v>-0.53149316996680129</v>
      </c>
      <c r="Q20">
        <v>-0.62273485779784643</v>
      </c>
      <c r="R20">
        <v>-0.72664833176684374</v>
      </c>
      <c r="S20">
        <v>-0.84365631243028538</v>
      </c>
      <c r="T20">
        <v>-0.97362659854567379</v>
      </c>
      <c r="U20">
        <v>-1.116090505123446</v>
      </c>
      <c r="V20">
        <v>-1.2703568867630022</v>
      </c>
      <c r="W20">
        <v>-1.4355883316849671</v>
      </c>
      <c r="X20">
        <v>-1.6108573804437754</v>
      </c>
      <c r="Y20">
        <v>-1.7951870531409009</v>
      </c>
      <c r="Z20">
        <v>-1.9875783680686654</v>
      </c>
      <c r="AA20">
        <v>-2.1870276704960889</v>
      </c>
      <c r="AB20">
        <v>-2.3925368006765591</v>
      </c>
      <c r="AC20">
        <v>-2.6031189380972375</v>
      </c>
      <c r="AD20">
        <v>-2.8178016998180677</v>
      </c>
      <c r="AE20">
        <v>-3.0356291911333377</v>
      </c>
      <c r="AF20">
        <v>-3.255663481902149</v>
      </c>
      <c r="AG20">
        <v>-3.4769860226307459</v>
      </c>
      <c r="AH20">
        <v>-3.6986991698695681</v>
      </c>
      <c r="AI20">
        <v>-3.9199277359178497</v>
      </c>
      <c r="AJ20">
        <v>-4.1398207354947587</v>
      </c>
      <c r="AK20">
        <v>-4.3575532745635641</v>
      </c>
    </row>
    <row r="21" spans="1:37" x14ac:dyDescent="0.25">
      <c r="A21" t="s">
        <v>116</v>
      </c>
      <c r="B21">
        <v>0</v>
      </c>
      <c r="C21">
        <v>-9.7074529827434475E-3</v>
      </c>
      <c r="D21">
        <v>-2.1687179759621866E-2</v>
      </c>
      <c r="E21">
        <v>-3.4010922366944918E-2</v>
      </c>
      <c r="F21">
        <v>-4.7603819238506428E-2</v>
      </c>
      <c r="G21">
        <v>-6.4181484608138994E-2</v>
      </c>
      <c r="H21">
        <v>-8.1006384895143668E-2</v>
      </c>
      <c r="I21">
        <v>-9.3915886507911495E-2</v>
      </c>
      <c r="J21">
        <v>-0.10310887444271444</v>
      </c>
      <c r="K21">
        <v>-0.11033069662231831</v>
      </c>
      <c r="L21">
        <v>-0.11740134376440059</v>
      </c>
      <c r="M21">
        <v>-0.12577706943327494</v>
      </c>
      <c r="N21">
        <v>-0.13653471307765175</v>
      </c>
      <c r="O21">
        <v>-0.1504568711977905</v>
      </c>
      <c r="P21">
        <v>-0.16809946355931249</v>
      </c>
      <c r="Q21">
        <v>-0.18982160993969988</v>
      </c>
      <c r="R21">
        <v>-0.2127070505132389</v>
      </c>
      <c r="S21">
        <v>-0.23262718864660581</v>
      </c>
      <c r="T21">
        <v>-0.24862889259933407</v>
      </c>
      <c r="U21">
        <v>-0.26100229766630179</v>
      </c>
      <c r="V21">
        <v>-0.27025332345886888</v>
      </c>
      <c r="W21">
        <v>-0.27677430952776083</v>
      </c>
      <c r="X21">
        <v>-0.28082104880805536</v>
      </c>
      <c r="Y21">
        <v>-0.28258265608067656</v>
      </c>
      <c r="Z21">
        <v>-0.28225407517774581</v>
      </c>
      <c r="AA21">
        <v>-0.280084202406361</v>
      </c>
      <c r="AB21">
        <v>-0.27639747199564857</v>
      </c>
      <c r="AC21">
        <v>-0.27159551047148955</v>
      </c>
      <c r="AD21">
        <v>-0.26614580748079986</v>
      </c>
      <c r="AE21">
        <v>-0.26056376299383732</v>
      </c>
      <c r="AF21">
        <v>-0.25539199689675884</v>
      </c>
      <c r="AG21">
        <v>-0.25118047443831726</v>
      </c>
      <c r="AH21">
        <v>-0.24846850734993042</v>
      </c>
      <c r="AI21">
        <v>-0.24777016434299748</v>
      </c>
      <c r="AJ21">
        <v>-0.24956290490996125</v>
      </c>
      <c r="AK21">
        <v>-0.25427953200130027</v>
      </c>
    </row>
    <row r="22" spans="1:37" x14ac:dyDescent="0.25">
      <c r="A22" t="s">
        <v>2199</v>
      </c>
      <c r="B22">
        <v>0</v>
      </c>
      <c r="C22">
        <v>3.9319584434593935E-3</v>
      </c>
      <c r="D22">
        <v>1.359943040140088E-2</v>
      </c>
      <c r="E22">
        <v>2.9197011508852455E-2</v>
      </c>
      <c r="F22">
        <v>5.0548376217585123E-2</v>
      </c>
      <c r="G22">
        <v>7.8216755308191388E-2</v>
      </c>
      <c r="H22">
        <v>0.11223706446170656</v>
      </c>
      <c r="I22">
        <v>0.15093497354670138</v>
      </c>
      <c r="J22">
        <v>0.19217887326734573</v>
      </c>
      <c r="K22">
        <v>0.23474862385821638</v>
      </c>
      <c r="L22">
        <v>0.27880857789897018</v>
      </c>
      <c r="M22">
        <v>0.32563530579223787</v>
      </c>
      <c r="N22">
        <v>0.37714326659907815</v>
      </c>
      <c r="O22">
        <v>0.43548295837549933</v>
      </c>
      <c r="P22">
        <v>0.50278253331290657</v>
      </c>
      <c r="Q22">
        <v>0.58101383180091393</v>
      </c>
      <c r="R22">
        <v>0.67074408067491209</v>
      </c>
      <c r="S22">
        <v>0.77034267022042524</v>
      </c>
      <c r="T22">
        <v>0.87720404049507206</v>
      </c>
      <c r="U22">
        <v>0.98892443592291102</v>
      </c>
      <c r="V22">
        <v>1.1038369199364739</v>
      </c>
      <c r="W22">
        <v>1.2209811555277783</v>
      </c>
      <c r="X22">
        <v>1.3398661896873776</v>
      </c>
      <c r="Y22">
        <v>1.4602257866998203</v>
      </c>
      <c r="Z22">
        <v>1.5818388030475417</v>
      </c>
      <c r="AA22">
        <v>1.7044218494976171</v>
      </c>
      <c r="AB22">
        <v>1.8275796656169296</v>
      </c>
      <c r="AC22">
        <v>1.9507948506875206</v>
      </c>
      <c r="AD22">
        <v>2.0734429615224537</v>
      </c>
      <c r="AE22">
        <v>2.1948204942755289</v>
      </c>
      <c r="AF22">
        <v>2.3141772599369892</v>
      </c>
      <c r="AG22">
        <v>2.4307496078344704</v>
      </c>
      <c r="AH22">
        <v>2.5437885093220869</v>
      </c>
      <c r="AI22">
        <v>2.6525823568257278</v>
      </c>
      <c r="AJ22">
        <v>2.7564739584502451</v>
      </c>
      <c r="AK22">
        <v>2.8548709398699357</v>
      </c>
    </row>
    <row r="23" spans="1:37" x14ac:dyDescent="0.25">
      <c r="A23" t="s">
        <v>2200</v>
      </c>
      <c r="B23">
        <v>0</v>
      </c>
      <c r="C23">
        <v>-4.1415786195209137E-3</v>
      </c>
      <c r="D23">
        <v>-1.0208863522787048E-2</v>
      </c>
      <c r="E23">
        <v>-1.7566753207398644E-2</v>
      </c>
      <c r="F23">
        <v>-2.6700982740734958E-2</v>
      </c>
      <c r="G23">
        <v>-3.8585367817700611E-2</v>
      </c>
      <c r="H23">
        <v>-5.2460439283585902E-2</v>
      </c>
      <c r="I23">
        <v>-6.6624674499116132E-2</v>
      </c>
      <c r="J23">
        <v>-8.0741786455429398E-2</v>
      </c>
      <c r="K23">
        <v>-9.5127549797358046E-2</v>
      </c>
      <c r="L23">
        <v>-0.11025488010639739</v>
      </c>
      <c r="M23">
        <v>-0.12657457660855131</v>
      </c>
      <c r="N23">
        <v>-0.14452754928568901</v>
      </c>
      <c r="O23">
        <v>-0.16461611857319092</v>
      </c>
      <c r="P23">
        <v>-0.18746010037885563</v>
      </c>
      <c r="Q23">
        <v>-0.21381141984629926</v>
      </c>
      <c r="R23">
        <v>-0.24333568735104283</v>
      </c>
      <c r="S23">
        <v>-0.27500701978463438</v>
      </c>
      <c r="T23">
        <v>-0.30856554497260547</v>
      </c>
      <c r="U23">
        <v>-0.34403910139499949</v>
      </c>
      <c r="V23">
        <v>-0.3813987621956616</v>
      </c>
      <c r="W23">
        <v>-0.42043491222960583</v>
      </c>
      <c r="X23">
        <v>-0.46078156405162662</v>
      </c>
      <c r="Y23">
        <v>-0.50199912352306697</v>
      </c>
      <c r="Z23">
        <v>-0.54365851177079483</v>
      </c>
      <c r="AA23">
        <v>-0.58540218268380295</v>
      </c>
      <c r="AB23">
        <v>-0.62697730897990356</v>
      </c>
      <c r="AC23">
        <v>-0.66824597951580245</v>
      </c>
      <c r="AD23">
        <v>-0.70917940122218193</v>
      </c>
      <c r="AE23">
        <v>-0.74984288049442238</v>
      </c>
      <c r="AF23">
        <v>-0.79037656266495171</v>
      </c>
      <c r="AG23">
        <v>-0.83097553699247317</v>
      </c>
      <c r="AH23">
        <v>-0.87187168676630122</v>
      </c>
      <c r="AI23">
        <v>-0.91331814708837111</v>
      </c>
      <c r="AJ23">
        <v>-0.95557722584244109</v>
      </c>
      <c r="AK23">
        <v>-0.99891159300079524</v>
      </c>
    </row>
    <row r="24" spans="1:37" x14ac:dyDescent="0.25">
      <c r="A24" t="s">
        <v>2201</v>
      </c>
      <c r="B24">
        <v>0</v>
      </c>
      <c r="C24">
        <v>8.8828290308207158E-3</v>
      </c>
      <c r="D24">
        <v>2.2238185273426581E-2</v>
      </c>
      <c r="E24">
        <v>4.0122689541033374E-2</v>
      </c>
      <c r="F24">
        <v>6.3631282779241793E-2</v>
      </c>
      <c r="G24">
        <v>9.4491042874289555E-2</v>
      </c>
      <c r="H24">
        <v>0.13103462809751498</v>
      </c>
      <c r="I24">
        <v>0.16986409451336115</v>
      </c>
      <c r="J24">
        <v>0.21030758682045736</v>
      </c>
      <c r="K24">
        <v>0.25280535355454159</v>
      </c>
      <c r="L24">
        <v>0.2986021779582515</v>
      </c>
      <c r="M24">
        <v>0.34948857061256611</v>
      </c>
      <c r="N24">
        <v>0.40749071242660584</v>
      </c>
      <c r="O24">
        <v>0.4746172948879579</v>
      </c>
      <c r="P24">
        <v>0.55271059632064912</v>
      </c>
      <c r="Q24">
        <v>0.6433994509568608</v>
      </c>
      <c r="R24">
        <v>0.74469806524928295</v>
      </c>
      <c r="S24">
        <v>0.85239510636381244</v>
      </c>
      <c r="T24">
        <v>0.96440646382043305</v>
      </c>
      <c r="U24">
        <v>1.0795047634831523</v>
      </c>
      <c r="V24">
        <v>1.1970512876340988</v>
      </c>
      <c r="W24">
        <v>1.3168040464677011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2.0712980580360529</v>
      </c>
      <c r="AD24">
        <v>2.1984131952489383</v>
      </c>
      <c r="AE24">
        <v>2.3238250288029505</v>
      </c>
      <c r="AF24">
        <v>2.446639424589736</v>
      </c>
      <c r="AG24">
        <v>2.5659920856698104</v>
      </c>
      <c r="AH24">
        <v>2.6810724401389763</v>
      </c>
      <c r="AI24">
        <v>2.7911384556220442</v>
      </c>
      <c r="AJ24">
        <v>2.8955244694244042</v>
      </c>
      <c r="AK24">
        <v>2.9936428026082318</v>
      </c>
    </row>
    <row r="25" spans="1:37" x14ac:dyDescent="0.25">
      <c r="A25" t="s">
        <v>2202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-6.7671717562145517E-2</v>
      </c>
      <c r="H25">
        <v>-9.2193313770316809E-2</v>
      </c>
      <c r="I25">
        <v>-0.11712531305365648</v>
      </c>
      <c r="J25">
        <v>-0.1416949378177601</v>
      </c>
      <c r="K25">
        <v>-0.16612077417137439</v>
      </c>
      <c r="L25">
        <v>-0.19109904903609198</v>
      </c>
      <c r="M25">
        <v>-0.21759943173605967</v>
      </c>
      <c r="N25">
        <v>-0.24678638435097211</v>
      </c>
      <c r="O25">
        <v>-0.27997236770731515</v>
      </c>
      <c r="P25">
        <v>-0.31856832309415939</v>
      </c>
      <c r="Q25">
        <v>-0.3640248583016259</v>
      </c>
      <c r="R25">
        <v>-0.41573939116640313</v>
      </c>
      <c r="S25">
        <v>-0.47166409482601868</v>
      </c>
      <c r="T25">
        <v>-0.53072797581651399</v>
      </c>
      <c r="U25">
        <v>-0.59221562260538541</v>
      </c>
      <c r="V25">
        <v>-0.65551997950201724</v>
      </c>
      <c r="W25">
        <v>-0.72008049874303648</v>
      </c>
      <c r="X25">
        <v>-0.78539589275488098</v>
      </c>
      <c r="Y25">
        <v>-0.85105221169079481</v>
      </c>
      <c r="Z25">
        <v>-0.91674183460448422</v>
      </c>
      <c r="AA25">
        <v>-0.98226829223845291</v>
      </c>
      <c r="AB25">
        <v>-1.0475389710802085</v>
      </c>
      <c r="AC25">
        <v>-1.1125510411295614</v>
      </c>
      <c r="AD25">
        <v>-1.1773738769358721</v>
      </c>
      <c r="AE25">
        <v>-1.2421313904311337</v>
      </c>
      <c r="AF25">
        <v>-1.3069857672274199</v>
      </c>
      <c r="AG25">
        <v>-1.3721234434138974</v>
      </c>
      <c r="AH25">
        <v>-1.4377439201010644</v>
      </c>
      <c r="AI25">
        <v>-1.504050948958946</v>
      </c>
      <c r="AJ25">
        <v>-1.5712463506211471</v>
      </c>
      <c r="AK25">
        <v>-1.6395255535650022</v>
      </c>
    </row>
    <row r="26" spans="1:37" x14ac:dyDescent="0.25">
      <c r="A26" t="s">
        <v>2203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0.24389721123074803</v>
      </c>
      <c r="G26">
        <v>0.35828427421777942</v>
      </c>
      <c r="H26">
        <v>0.49154503870889599</v>
      </c>
      <c r="I26">
        <v>0.63102845822824438</v>
      </c>
      <c r="J26">
        <v>0.77779151765338117</v>
      </c>
      <c r="K26">
        <v>0.93411162704710726</v>
      </c>
      <c r="L26">
        <v>1.1037621888837945</v>
      </c>
      <c r="M26">
        <v>1.2917352980632346</v>
      </c>
      <c r="N26">
        <v>1.503941450080104</v>
      </c>
      <c r="O26">
        <v>1.7469766409196064</v>
      </c>
      <c r="P26">
        <v>2.0279513546322958</v>
      </c>
      <c r="Q26">
        <v>2.3543692231283497</v>
      </c>
      <c r="R26">
        <v>2.7212360979624206</v>
      </c>
      <c r="S26">
        <v>3.1180880592949212</v>
      </c>
      <c r="T26">
        <v>3.5424177747392926</v>
      </c>
      <c r="U26">
        <v>3.9916019618194243</v>
      </c>
      <c r="V26">
        <v>4.4632444030588525</v>
      </c>
      <c r="W26">
        <v>4.9551109612455679</v>
      </c>
      <c r="X26">
        <v>5.4650183514792339</v>
      </c>
      <c r="Y26">
        <v>5.9907479478509718</v>
      </c>
      <c r="Z26">
        <v>6.529991330051943</v>
      </c>
      <c r="AA26">
        <v>7.0803218818371816</v>
      </c>
      <c r="AB26">
        <v>7.6391872132073546</v>
      </c>
      <c r="AC26">
        <v>8.2039174130240422</v>
      </c>
      <c r="AD26">
        <v>8.7717442414962932</v>
      </c>
      <c r="AE26">
        <v>9.3398281133854297</v>
      </c>
      <c r="AF26">
        <v>9.9052880669554746</v>
      </c>
      <c r="AG26">
        <v>10.465232730702191</v>
      </c>
      <c r="AH26">
        <v>11.016790120664343</v>
      </c>
      <c r="AI26">
        <v>11.557135483596781</v>
      </c>
      <c r="AJ26">
        <v>12.083516511008717</v>
      </c>
      <c r="AK26">
        <v>12.593276457400005</v>
      </c>
    </row>
    <row r="27" spans="1:37" x14ac:dyDescent="0.25">
      <c r="A27" t="s">
        <v>2204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5.7630422757504185E-2</v>
      </c>
      <c r="G27">
        <v>8.6775346700673772E-2</v>
      </c>
      <c r="H27">
        <v>0.1220244558099548</v>
      </c>
      <c r="I27">
        <v>0.16092552531430382</v>
      </c>
      <c r="J27">
        <v>0.2014517850344566</v>
      </c>
      <c r="K27">
        <v>0.24312008942135588</v>
      </c>
      <c r="L27">
        <v>0.28685860850701239</v>
      </c>
      <c r="M27">
        <v>0.33439270645529984</v>
      </c>
      <c r="N27">
        <v>0.38777299255239317</v>
      </c>
      <c r="O27">
        <v>0.44910492442873373</v>
      </c>
      <c r="P27">
        <v>0.52041915601030997</v>
      </c>
      <c r="Q27">
        <v>0.60363056903240953</v>
      </c>
      <c r="R27">
        <v>0.69873901507628844</v>
      </c>
      <c r="S27">
        <v>0.80332705002643667</v>
      </c>
      <c r="T27">
        <v>0.91474996544451681</v>
      </c>
      <c r="U27">
        <v>1.0311104029918194</v>
      </c>
      <c r="V27">
        <v>1.1513666688407254</v>
      </c>
      <c r="W27">
        <v>1.2750149336384631</v>
      </c>
      <c r="X27">
        <v>1.4017977190703634</v>
      </c>
      <c r="Y27">
        <v>1.5315098722262999</v>
      </c>
      <c r="Z27">
        <v>1.6638874678536864</v>
      </c>
      <c r="AA27">
        <v>1.7985528304202303</v>
      </c>
      <c r="AB27">
        <v>1.9349970613765421</v>
      </c>
      <c r="AC27">
        <v>2.0725854689541912</v>
      </c>
      <c r="AD27">
        <v>2.2105768211366783</v>
      </c>
      <c r="AE27">
        <v>2.3481516191313343</v>
      </c>
      <c r="AF27">
        <v>2.4844407129231296</v>
      </c>
      <c r="AG27">
        <v>2.6185547394042672</v>
      </c>
      <c r="AH27">
        <v>2.7496094753856504</v>
      </c>
      <c r="AI27">
        <v>2.8767470718686905</v>
      </c>
      <c r="AJ27">
        <v>2.9991522757832669</v>
      </c>
      <c r="AK27">
        <v>3.1160641877905348</v>
      </c>
    </row>
    <row r="28" spans="1:37" x14ac:dyDescent="0.25">
      <c r="A28" t="s">
        <v>2205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0.19643549895957957</v>
      </c>
      <c r="G28">
        <v>0.28770770935626633</v>
      </c>
      <c r="H28">
        <v>0.39418350550224357</v>
      </c>
      <c r="I28">
        <v>0.50599563882860465</v>
      </c>
      <c r="J28">
        <v>0.62642487597084351</v>
      </c>
      <c r="K28">
        <v>0.75866881330093339</v>
      </c>
      <c r="L28">
        <v>0.90609042397016282</v>
      </c>
      <c r="M28">
        <v>1.0722383002732094</v>
      </c>
      <c r="N28">
        <v>1.2609512983864368</v>
      </c>
      <c r="O28">
        <v>1.4765115171567311</v>
      </c>
      <c r="P28">
        <v>1.723775115931736</v>
      </c>
      <c r="Q28">
        <v>2.0082509790593228</v>
      </c>
      <c r="R28">
        <v>2.324983315767537</v>
      </c>
      <c r="S28">
        <v>2.6660451892402515</v>
      </c>
      <c r="T28">
        <v>3.031963284770911</v>
      </c>
      <c r="U28">
        <v>3.4227538446218952</v>
      </c>
      <c r="V28">
        <v>3.8379274448505418</v>
      </c>
      <c r="W28">
        <v>4.2763906330317347</v>
      </c>
      <c r="X28">
        <v>4.7364608651727425</v>
      </c>
      <c r="Y28">
        <v>5.2159644461540644</v>
      </c>
      <c r="Z28">
        <v>5.7123627570647706</v>
      </c>
      <c r="AA28">
        <v>6.2228707773423153</v>
      </c>
      <c r="AB28">
        <v>6.7445527526368121</v>
      </c>
      <c r="AC28">
        <v>7.2743936826513034</v>
      </c>
      <c r="AD28">
        <v>7.8093493906854938</v>
      </c>
      <c r="AE28">
        <v>8.3463814743351961</v>
      </c>
      <c r="AF28">
        <v>8.8824809365382276</v>
      </c>
      <c r="AG28">
        <v>9.414685140720259</v>
      </c>
      <c r="AH28">
        <v>9.9400905627806679</v>
      </c>
      <c r="AI28">
        <v>10.455864498359846</v>
      </c>
      <c r="AJ28">
        <v>10.959256236477776</v>
      </c>
      <c r="AK28">
        <v>11.447609454665187</v>
      </c>
    </row>
    <row r="29" spans="1:37" x14ac:dyDescent="0.25">
      <c r="A29" t="s">
        <v>2206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1.0168710486335719E-2</v>
      </c>
      <c r="G29">
        <v>1.6198781839160681E-2</v>
      </c>
      <c r="H29">
        <v>2.4662922603302384E-2</v>
      </c>
      <c r="I29">
        <v>3.5892705914664091E-2</v>
      </c>
      <c r="J29">
        <v>5.0085143351918937E-2</v>
      </c>
      <c r="K29">
        <v>6.7677275675182003E-2</v>
      </c>
      <c r="L29">
        <v>8.9186843593380694E-2</v>
      </c>
      <c r="M29">
        <v>0.11489570866527465</v>
      </c>
      <c r="N29">
        <v>0.14478284085872595</v>
      </c>
      <c r="O29">
        <v>0.17863980066585849</v>
      </c>
      <c r="P29">
        <v>0.2162429173097502</v>
      </c>
      <c r="Q29">
        <v>0.25751232496338261</v>
      </c>
      <c r="R29">
        <v>0.30248623288140486</v>
      </c>
      <c r="S29">
        <v>0.35128417997176697</v>
      </c>
      <c r="T29">
        <v>0.4042954754761352</v>
      </c>
      <c r="U29">
        <v>0.46226228579429041</v>
      </c>
      <c r="V29">
        <v>0.52604971063241468</v>
      </c>
      <c r="W29">
        <v>0.59629460542462986</v>
      </c>
      <c r="X29">
        <v>0.67324023276387202</v>
      </c>
      <c r="Y29">
        <v>0.75672637052939251</v>
      </c>
      <c r="Z29">
        <v>0.84625889486651396</v>
      </c>
      <c r="AA29">
        <v>0.94110172592536401</v>
      </c>
      <c r="AB29">
        <v>1.0403626008059996</v>
      </c>
      <c r="AC29">
        <v>1.1430617385814523</v>
      </c>
      <c r="AD29">
        <v>1.248181970325879</v>
      </c>
      <c r="AE29">
        <v>1.3547049800811006</v>
      </c>
      <c r="AF29">
        <v>1.4616335825058826</v>
      </c>
      <c r="AG29">
        <v>1.5680071494223355</v>
      </c>
      <c r="AH29">
        <v>1.6729099175019755</v>
      </c>
      <c r="AI29">
        <v>1.7754760866317554</v>
      </c>
      <c r="AJ29">
        <v>1.8748920012523254</v>
      </c>
      <c r="AK29">
        <v>1.9703971850557167</v>
      </c>
    </row>
    <row r="30" spans="1:37" x14ac:dyDescent="0.25">
      <c r="A30" t="s">
        <v>2207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0.47010293291394056</v>
      </c>
      <c r="J31">
        <v>0.57633973261892457</v>
      </c>
      <c r="K31">
        <v>0.69099153762575138</v>
      </c>
      <c r="L31">
        <v>0.81690358037678212</v>
      </c>
      <c r="M31">
        <v>0.95734259160793478</v>
      </c>
      <c r="N31">
        <v>1.1161684575277109</v>
      </c>
      <c r="O31">
        <v>1.2978717164908726</v>
      </c>
      <c r="P31">
        <v>1.5075321986219858</v>
      </c>
      <c r="Q31">
        <v>1.7507386540959402</v>
      </c>
      <c r="R31">
        <v>2.0224970828861322</v>
      </c>
      <c r="S31">
        <v>2.3147610092684845</v>
      </c>
      <c r="T31">
        <v>2.6276678092947758</v>
      </c>
      <c r="U31">
        <v>2.9604915588276048</v>
      </c>
      <c r="V31">
        <v>3.3118777342181271</v>
      </c>
      <c r="W31">
        <v>3.6800960276071049</v>
      </c>
      <c r="X31">
        <v>4.0632206324088704</v>
      </c>
      <c r="Y31">
        <v>4.4592380756246719</v>
      </c>
      <c r="Z31">
        <v>4.8661038621982566</v>
      </c>
      <c r="AA31">
        <v>5.2817690514169513</v>
      </c>
      <c r="AB31">
        <v>5.7041901518308125</v>
      </c>
      <c r="AC31">
        <v>6.131331944069851</v>
      </c>
      <c r="AD31">
        <v>6.5611674203596149</v>
      </c>
      <c r="AE31">
        <v>6.9916764942540954</v>
      </c>
      <c r="AF31">
        <v>7.420847354032345</v>
      </c>
      <c r="AG31">
        <v>7.8466779912979234</v>
      </c>
      <c r="AH31">
        <v>8.2671806452786925</v>
      </c>
      <c r="AI31">
        <v>8.6803884117280905</v>
      </c>
      <c r="AJ31">
        <v>9.0843642352254506</v>
      </c>
      <c r="AK31">
        <v>9.4772122696094705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0.10680856174265507</v>
      </c>
      <c r="H32">
        <v>0.16101627796076823</v>
      </c>
      <c r="I32">
        <v>0.22699330874180745</v>
      </c>
      <c r="J32">
        <v>0.30376118517134731</v>
      </c>
      <c r="K32">
        <v>0.39035096581423456</v>
      </c>
      <c r="L32">
        <v>0.48622175052746019</v>
      </c>
      <c r="M32">
        <v>0.59162577386466797</v>
      </c>
      <c r="N32">
        <v>0.70778923165957242</v>
      </c>
      <c r="O32">
        <v>0.83694583479712037</v>
      </c>
      <c r="P32">
        <v>0.98227978411451478</v>
      </c>
      <c r="Q32">
        <v>1.1478252411117884</v>
      </c>
      <c r="R32">
        <v>1.3364189955936467</v>
      </c>
      <c r="S32">
        <v>1.549013912075714</v>
      </c>
      <c r="T32">
        <v>1.785831894099621</v>
      </c>
      <c r="U32">
        <v>2.0461511823092415</v>
      </c>
      <c r="V32">
        <v>2.3285825191145637</v>
      </c>
      <c r="W32">
        <v>2.6313651799968252</v>
      </c>
      <c r="X32">
        <v>2.9525727863084494</v>
      </c>
      <c r="Y32">
        <v>3.2902295563524975</v>
      </c>
      <c r="Z32">
        <v>3.6423653098894837</v>
      </c>
      <c r="AA32">
        <v>4.0070350899589213</v>
      </c>
      <c r="AB32">
        <v>4.3823223347437157</v>
      </c>
      <c r="AC32">
        <v>4.7663351336242998</v>
      </c>
      <c r="AD32">
        <v>5.157200851833732</v>
      </c>
      <c r="AE32">
        <v>5.5530621125526425</v>
      </c>
      <c r="AF32">
        <v>5.952074587052536</v>
      </c>
      <c r="AG32">
        <v>6.3524064604046249</v>
      </c>
      <c r="AH32">
        <v>6.7522403940404097</v>
      </c>
      <c r="AI32">
        <v>7.1497764352109749</v>
      </c>
      <c r="AJ32">
        <v>7.5432367594374217</v>
      </c>
      <c r="AK32">
        <v>7.9308716263475576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0.25431324482032558</v>
      </c>
      <c r="I33">
        <v>0.33938229040177958</v>
      </c>
      <c r="J33">
        <v>0.4316857719868894</v>
      </c>
      <c r="K33">
        <v>0.53115289606366911</v>
      </c>
      <c r="L33">
        <v>0.63899438838832534</v>
      </c>
      <c r="M33">
        <v>0.75749896013792561</v>
      </c>
      <c r="N33">
        <v>0.88990517344422759</v>
      </c>
      <c r="O33">
        <v>1.0402760915505294</v>
      </c>
      <c r="P33">
        <v>1.2133729336131216</v>
      </c>
      <c r="Q33">
        <v>1.4145330871613515</v>
      </c>
      <c r="R33">
        <v>1.6445182286069837</v>
      </c>
      <c r="S33">
        <v>1.8998964734671775</v>
      </c>
      <c r="T33">
        <v>2.1784281472318368</v>
      </c>
      <c r="U33">
        <v>2.4781825831838855</v>
      </c>
      <c r="V33">
        <v>2.7973098004947738</v>
      </c>
      <c r="W33">
        <v>3.1340103518742835</v>
      </c>
      <c r="X33">
        <v>3.4865403773429726</v>
      </c>
      <c r="Y33">
        <v>3.8532107292365225</v>
      </c>
      <c r="Z33">
        <v>4.2323755683345787</v>
      </c>
      <c r="AA33">
        <v>4.6224172293187982</v>
      </c>
      <c r="AB33">
        <v>5.0217317333273392</v>
      </c>
      <c r="AC33">
        <v>5.4287191452327521</v>
      </c>
      <c r="AD33">
        <v>5.8417771170086841</v>
      </c>
      <c r="AE33">
        <v>6.259299353490988</v>
      </c>
      <c r="AF33">
        <v>6.679675898885562</v>
      </c>
      <c r="AG33">
        <v>7.1012959905422335</v>
      </c>
      <c r="AH33">
        <v>7.5225518293691396</v>
      </c>
      <c r="AI33">
        <v>7.9418435845699742</v>
      </c>
      <c r="AJ33">
        <v>8.3575848186848702</v>
      </c>
      <c r="AK33">
        <v>8.7682090831969752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0.18858050410446303</v>
      </c>
      <c r="I35">
        <v>0.27285209051604031</v>
      </c>
      <c r="J35">
        <v>0.37044544246807032</v>
      </c>
      <c r="K35">
        <v>0.47836434897368107</v>
      </c>
      <c r="L35">
        <v>0.595315274699737</v>
      </c>
      <c r="M35">
        <v>0.72162009701715046</v>
      </c>
      <c r="N35">
        <v>0.85899338485386778</v>
      </c>
      <c r="O35">
        <v>1.0103419216497933</v>
      </c>
      <c r="P35">
        <v>1.1795910700872714</v>
      </c>
      <c r="Q35">
        <v>1.3715251531530415</v>
      </c>
      <c r="R35">
        <v>1.591447600326279</v>
      </c>
      <c r="S35">
        <v>1.8417563770623424</v>
      </c>
      <c r="T35">
        <v>2.1210270619247629</v>
      </c>
      <c r="U35">
        <v>2.4270691177683101</v>
      </c>
      <c r="V35">
        <v>2.7576065808719186</v>
      </c>
      <c r="W35">
        <v>3.1103672572253327</v>
      </c>
      <c r="X35">
        <v>3.4830756706548005</v>
      </c>
      <c r="Y35">
        <v>3.8734527941521213</v>
      </c>
      <c r="Z35">
        <v>4.2792260523359493</v>
      </c>
      <c r="AA35">
        <v>4.698139689993619</v>
      </c>
      <c r="AB35">
        <v>5.1279600167020378</v>
      </c>
      <c r="AC35">
        <v>5.566475372437818</v>
      </c>
      <c r="AD35">
        <v>6.0114929601477352</v>
      </c>
      <c r="AE35">
        <v>6.4608350444962381</v>
      </c>
      <c r="AF35">
        <v>6.9123363757949141</v>
      </c>
      <c r="AG35">
        <v>7.3638430422306778</v>
      </c>
      <c r="AH35">
        <v>7.8132149200365486</v>
      </c>
      <c r="AI35">
        <v>8.2583290009827781</v>
      </c>
      <c r="AJ35">
        <v>8.6970861152653178</v>
      </c>
      <c r="AK35">
        <v>9.1274191390819492</v>
      </c>
    </row>
    <row r="36" spans="1:37" x14ac:dyDescent="0.25">
      <c r="A36" t="s">
        <v>2208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-0.18027392951932564</v>
      </c>
      <c r="I36">
        <v>-0.19632789918569982</v>
      </c>
      <c r="J36">
        <v>-0.20471443949761081</v>
      </c>
      <c r="K36">
        <v>-0.21116803539729112</v>
      </c>
      <c r="L36">
        <v>-0.21979281033998044</v>
      </c>
      <c r="M36">
        <v>-0.23348722196890881</v>
      </c>
      <c r="N36">
        <v>-0.25433625165680596</v>
      </c>
      <c r="O36">
        <v>-0.28384583996571289</v>
      </c>
      <c r="P36">
        <v>-0.32307073320729796</v>
      </c>
      <c r="Q36">
        <v>-0.37268869588458209</v>
      </c>
      <c r="R36">
        <v>-0.42250434451692742</v>
      </c>
      <c r="S36">
        <v>-0.46230341305617539</v>
      </c>
      <c r="T36">
        <v>-0.4936687719645616</v>
      </c>
      <c r="U36">
        <v>-0.51808459049025313</v>
      </c>
      <c r="V36">
        <v>-0.53650283539723453</v>
      </c>
      <c r="W36">
        <v>-0.5495064069289346</v>
      </c>
      <c r="X36">
        <v>-0.55749279930836781</v>
      </c>
      <c r="Y36">
        <v>-0.56077881886182901</v>
      </c>
      <c r="Z36">
        <v>-0.55964490740830763</v>
      </c>
      <c r="AA36">
        <v>-0.55434988097350368</v>
      </c>
      <c r="AB36">
        <v>-0.54513461983020095</v>
      </c>
      <c r="AC36">
        <v>-0.53222414275334584</v>
      </c>
      <c r="AD36">
        <v>-0.51582999090422632</v>
      </c>
      <c r="AE36">
        <v>-0.49615210000597543</v>
      </c>
      <c r="AF36">
        <v>-0.47338202105360327</v>
      </c>
      <c r="AG36">
        <v>-0.44770498086758037</v>
      </c>
      <c r="AH36">
        <v>-0.41930132708406509</v>
      </c>
      <c r="AI36">
        <v>-0.38834919244707944</v>
      </c>
      <c r="AJ36">
        <v>-0.35502624292241824</v>
      </c>
      <c r="AK36">
        <v>-0.31951227408503202</v>
      </c>
    </row>
    <row r="37" spans="1:37" x14ac:dyDescent="0.25">
      <c r="A37" t="s">
        <v>2209</v>
      </c>
      <c r="B37">
        <v>0</v>
      </c>
      <c r="C37">
        <v>6.0117763549527581E-4</v>
      </c>
      <c r="D37">
        <v>1.2267692372791572E-2</v>
      </c>
      <c r="E37">
        <v>3.5864516665906621E-2</v>
      </c>
      <c r="F37">
        <v>7.167122667968151E-2</v>
      </c>
      <c r="G37">
        <v>0.12149582171863127</v>
      </c>
      <c r="H37">
        <v>0.18858050596530784</v>
      </c>
      <c r="I37">
        <v>0.27285210225689305</v>
      </c>
      <c r="J37">
        <v>0.37044543571431721</v>
      </c>
      <c r="K37">
        <v>0.47836433317773874</v>
      </c>
      <c r="L37">
        <v>0.59531528507690279</v>
      </c>
      <c r="M37">
        <v>0.72162010306084934</v>
      </c>
      <c r="N37">
        <v>0.85899339256452212</v>
      </c>
      <c r="O37">
        <v>1.0103419386166212</v>
      </c>
      <c r="P37">
        <v>1.1795910619341488</v>
      </c>
      <c r="Q37">
        <v>1.3715251560545871</v>
      </c>
      <c r="R37">
        <v>1.5914475943918038</v>
      </c>
      <c r="S37">
        <v>1.8417563885430921</v>
      </c>
      <c r="T37">
        <v>2.1210270541566212</v>
      </c>
      <c r="U37">
        <v>2.4270691275112943</v>
      </c>
      <c r="V37">
        <v>2.7576065861947718</v>
      </c>
      <c r="W37">
        <v>3.1103672480424116</v>
      </c>
      <c r="X37">
        <v>3.4830756305777699</v>
      </c>
      <c r="Y37">
        <v>3.8734527725639234</v>
      </c>
      <c r="Z37">
        <v>4.2792260136504057</v>
      </c>
      <c r="AA37">
        <v>4.6981397223754717</v>
      </c>
      <c r="AB37">
        <v>5.12795993730919</v>
      </c>
      <c r="AC37">
        <v>5.5664753569598435</v>
      </c>
      <c r="AD37">
        <v>6.0114929206609879</v>
      </c>
      <c r="AE37">
        <v>6.4608350643134971</v>
      </c>
      <c r="AF37">
        <v>6.9123363260907178</v>
      </c>
      <c r="AG37">
        <v>7.363843035048534</v>
      </c>
      <c r="AH37">
        <v>7.8132148813492286</v>
      </c>
      <c r="AI37">
        <v>8.2583289794722514</v>
      </c>
      <c r="AJ37">
        <v>8.6970861333579563</v>
      </c>
      <c r="AK37">
        <v>9.1274190985872963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6.4376672268484647E-2</v>
      </c>
      <c r="E38">
        <v>0.10678858192383345</v>
      </c>
      <c r="F38">
        <v>0.16014588160320198</v>
      </c>
      <c r="G38">
        <v>0.22855027718549081</v>
      </c>
      <c r="H38">
        <v>0.30301773065501969</v>
      </c>
      <c r="I38">
        <v>0.37271217410255186</v>
      </c>
      <c r="J38">
        <v>0.43913626518283788</v>
      </c>
      <c r="K38">
        <v>0.5049096950506371</v>
      </c>
      <c r="L38">
        <v>0.57389903546454235</v>
      </c>
      <c r="M38">
        <v>0.65057536494024237</v>
      </c>
      <c r="N38">
        <v>0.73950368268824729</v>
      </c>
      <c r="O38">
        <v>0.84505558162579764</v>
      </c>
      <c r="P38">
        <v>0.97126966490712618</v>
      </c>
      <c r="Q38">
        <v>1.1217838924006296</v>
      </c>
      <c r="R38">
        <v>1.2888220716192444</v>
      </c>
      <c r="S38">
        <v>1.4610147277477559</v>
      </c>
      <c r="T38">
        <v>1.6358655718960335</v>
      </c>
      <c r="U38">
        <v>1.8115344516346221</v>
      </c>
      <c r="V38">
        <v>1.987061268486956</v>
      </c>
      <c r="W38">
        <v>2.1620167251650946</v>
      </c>
      <c r="X38">
        <v>2.3362006067054519</v>
      </c>
      <c r="Y38">
        <v>2.5094746591787898</v>
      </c>
      <c r="Z38">
        <v>2.6816960544890023</v>
      </c>
      <c r="AA38">
        <v>2.852700482137549</v>
      </c>
      <c r="AB38">
        <v>3.0223047021361582</v>
      </c>
      <c r="AC38">
        <v>3.1903154774315379</v>
      </c>
      <c r="AD38">
        <v>3.3565341293535278</v>
      </c>
      <c r="AE38">
        <v>3.520761781539794</v>
      </c>
      <c r="AF38">
        <v>3.6828001995304227</v>
      </c>
      <c r="AG38">
        <v>3.8424531538209905</v>
      </c>
      <c r="AH38">
        <v>3.9995265225987175</v>
      </c>
      <c r="AI38">
        <v>4.1538284719610186</v>
      </c>
      <c r="AJ38">
        <v>4.3051699125945309</v>
      </c>
      <c r="AK38">
        <v>4.453365260608666</v>
      </c>
    </row>
    <row r="39" spans="1:37" x14ac:dyDescent="0.25">
      <c r="A39" t="s">
        <v>2210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4.7461712271168466E-2</v>
      </c>
      <c r="G39">
        <v>7.0576564861513091E-2</v>
      </c>
      <c r="H39">
        <v>9.7361533206652418E-2</v>
      </c>
      <c r="I39">
        <v>0.12503281939963973</v>
      </c>
      <c r="J39">
        <v>0.15136664168253766</v>
      </c>
      <c r="K39">
        <v>0.17544281374617388</v>
      </c>
      <c r="L39">
        <v>0.1976717649136317</v>
      </c>
      <c r="M39">
        <v>0.21949699779002518</v>
      </c>
      <c r="N39">
        <v>0.24299015169366722</v>
      </c>
      <c r="O39">
        <v>0.27046512376287524</v>
      </c>
      <c r="P39">
        <v>0.30417623870055976</v>
      </c>
      <c r="Q39">
        <v>0.34611824406902691</v>
      </c>
      <c r="R39">
        <v>0.39625278219488358</v>
      </c>
      <c r="S39">
        <v>0.4520428700546697</v>
      </c>
      <c r="T39">
        <v>0.51045448996838161</v>
      </c>
      <c r="U39">
        <v>0.56884811719752904</v>
      </c>
      <c r="V39">
        <v>0.62531695820831068</v>
      </c>
      <c r="W39">
        <v>0.67872032821383321</v>
      </c>
      <c r="X39">
        <v>0.72855748630649142</v>
      </c>
      <c r="Y39">
        <v>0.77478350169690735</v>
      </c>
      <c r="Z39">
        <v>0.8176285729871724</v>
      </c>
      <c r="AA39">
        <v>0.85745110449486628</v>
      </c>
      <c r="AB39">
        <v>0.89463446057054252</v>
      </c>
      <c r="AC39">
        <v>0.92952373037273883</v>
      </c>
      <c r="AD39">
        <v>0.96239485081079934</v>
      </c>
      <c r="AE39">
        <v>0.99344663905023278</v>
      </c>
      <c r="AF39">
        <v>1.022807130417247</v>
      </c>
      <c r="AG39">
        <v>1.0505475899819317</v>
      </c>
      <c r="AH39">
        <v>1.0766995578836758</v>
      </c>
      <c r="AI39">
        <v>1.1012709852369351</v>
      </c>
      <c r="AJ39">
        <v>1.1242602745309416</v>
      </c>
      <c r="AK39">
        <v>1.1456670027348181</v>
      </c>
    </row>
    <row r="40" spans="1:37" x14ac:dyDescent="0.2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13.099419999998645</v>
      </c>
      <c r="G40">
        <v>19.518749999999272</v>
      </c>
      <c r="H40">
        <v>26.986350000002858</v>
      </c>
      <c r="I40">
        <v>34.739529999998922</v>
      </c>
      <c r="J40">
        <v>42.163759999999456</v>
      </c>
      <c r="K40">
        <v>49.001090000001568</v>
      </c>
      <c r="L40">
        <v>55.362229999998817</v>
      </c>
      <c r="M40">
        <v>61.648409999997966</v>
      </c>
      <c r="N40">
        <v>68.441899999997986</v>
      </c>
      <c r="O40">
        <v>76.399939999999333</v>
      </c>
      <c r="P40">
        <v>86.170450000001438</v>
      </c>
      <c r="Q40">
        <v>98.335049999997864</v>
      </c>
      <c r="R40">
        <v>112.90267999999924</v>
      </c>
      <c r="S40">
        <v>129.16825000000244</v>
      </c>
      <c r="T40">
        <v>146.27600000000166</v>
      </c>
      <c r="U40">
        <v>163.4736899999989</v>
      </c>
      <c r="V40">
        <v>180.21169999999984</v>
      </c>
      <c r="W40">
        <v>196.15566000000035</v>
      </c>
      <c r="X40">
        <v>211.15298999999868</v>
      </c>
      <c r="Y40">
        <v>225.18197000000146</v>
      </c>
      <c r="Z40">
        <v>238.3009200000015</v>
      </c>
      <c r="AA40">
        <v>250.60637000000133</v>
      </c>
      <c r="AB40">
        <v>262.20332000000053</v>
      </c>
      <c r="AC40">
        <v>273.18675999999687</v>
      </c>
      <c r="AD40">
        <v>283.63241999999809</v>
      </c>
      <c r="AE40">
        <v>293.59414000000106</v>
      </c>
      <c r="AF40">
        <v>303.10543999999936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-3.2649889999999959E-2</v>
      </c>
      <c r="G41">
        <v>-4.8038379999998382E-2</v>
      </c>
      <c r="H41">
        <v>-6.5679769999998916E-2</v>
      </c>
      <c r="I41">
        <v>-8.3592529999998444E-2</v>
      </c>
      <c r="J41">
        <v>-0.1003292299999986</v>
      </c>
      <c r="K41">
        <v>-0.11541371000000078</v>
      </c>
      <c r="L41">
        <v>-0.12927664999999866</v>
      </c>
      <c r="M41">
        <v>-0.14300297000000017</v>
      </c>
      <c r="N41">
        <v>-0.15803775999999881</v>
      </c>
      <c r="O41">
        <v>-0.17592809000000209</v>
      </c>
      <c r="P41">
        <v>-0.1981331599999997</v>
      </c>
      <c r="Q41">
        <v>-0.22590734000000057</v>
      </c>
      <c r="R41">
        <v>-0.25902955000000061</v>
      </c>
      <c r="S41">
        <v>-0.29556917000000127</v>
      </c>
      <c r="T41">
        <v>-0.33341608999999939</v>
      </c>
      <c r="U41">
        <v>-0.37085292999999853</v>
      </c>
      <c r="V41">
        <v>-0.40672053999999958</v>
      </c>
      <c r="W41">
        <v>-0.4403887199999984</v>
      </c>
      <c r="X41">
        <v>-0.47164000000000095</v>
      </c>
      <c r="Y41">
        <v>-0.50053154000000155</v>
      </c>
      <c r="Z41">
        <v>-0.5272716599999977</v>
      </c>
      <c r="AA41">
        <v>-0.55212634000000038</v>
      </c>
      <c r="AB41">
        <v>-0.57535733999999894</v>
      </c>
      <c r="AC41">
        <v>-0.59718773999999919</v>
      </c>
      <c r="AD41">
        <v>-0.61778763000000236</v>
      </c>
      <c r="AE41">
        <v>-0.6372735200000007</v>
      </c>
      <c r="AF41">
        <v>-0.65571570000000079</v>
      </c>
      <c r="AG41">
        <v>-0.67314919999999778</v>
      </c>
      <c r="AH41">
        <v>-0.68958574000000106</v>
      </c>
      <c r="AI41">
        <v>-0.70502446999999857</v>
      </c>
      <c r="AJ41">
        <v>-0.71946084999999771</v>
      </c>
      <c r="AK41">
        <v>-0.73289311999999995</v>
      </c>
    </row>
    <row r="42" spans="1:37" x14ac:dyDescent="0.25">
      <c r="A42" t="s">
        <v>2211</v>
      </c>
      <c r="B42">
        <v>0</v>
      </c>
      <c r="C42">
        <v>6.5387852089966378E-3</v>
      </c>
      <c r="D42">
        <v>1.5627134416842416E-2</v>
      </c>
      <c r="E42">
        <v>2.659354875167632E-2</v>
      </c>
      <c r="F42">
        <v>4.019623713260416E-2</v>
      </c>
      <c r="G42">
        <v>5.7704959414650071E-2</v>
      </c>
      <c r="H42">
        <v>7.7560874798342228E-2</v>
      </c>
      <c r="I42">
        <v>9.7017175325096572E-2</v>
      </c>
      <c r="J42">
        <v>0.11577688861272237</v>
      </c>
      <c r="K42">
        <v>0.13448084565083862</v>
      </c>
      <c r="L42">
        <v>0.15406327418590898</v>
      </c>
      <c r="M42">
        <v>0.17553527859173851</v>
      </c>
      <c r="N42">
        <v>0.19992762411228174</v>
      </c>
      <c r="O42">
        <v>0.22827307521343584</v>
      </c>
      <c r="P42">
        <v>0.26158842777791858</v>
      </c>
      <c r="Q42">
        <v>0.30085052193434514</v>
      </c>
      <c r="R42">
        <v>0.34482179763176674</v>
      </c>
      <c r="S42">
        <v>0.39101565647372949</v>
      </c>
      <c r="T42">
        <v>0.43843659765817505</v>
      </c>
      <c r="U42">
        <v>0.486642265846288</v>
      </c>
      <c r="V42">
        <v>0.53534705759371848</v>
      </c>
      <c r="W42">
        <v>0.58429876179936768</v>
      </c>
      <c r="X42">
        <v>0.63325969027241868</v>
      </c>
      <c r="Y42">
        <v>0.68201603519610465</v>
      </c>
      <c r="Z42">
        <v>0.73038805358034609</v>
      </c>
      <c r="AA42">
        <v>0.77823449710377501</v>
      </c>
      <c r="AB42">
        <v>0.82545168213129583</v>
      </c>
      <c r="AC42">
        <v>0.87196914737282494</v>
      </c>
      <c r="AD42">
        <v>0.91774361329104059</v>
      </c>
      <c r="AE42">
        <v>0.96275240446763111</v>
      </c>
      <c r="AF42">
        <v>1.0069871471230403</v>
      </c>
      <c r="AG42">
        <v>1.0504481625373443</v>
      </c>
      <c r="AH42">
        <v>1.0931398005238371</v>
      </c>
      <c r="AI42">
        <v>1.1350668257610208</v>
      </c>
      <c r="AJ42">
        <v>1.1762318353860239</v>
      </c>
      <c r="AK42">
        <v>1.2166336119822343</v>
      </c>
    </row>
    <row r="43" spans="1:37" x14ac:dyDescent="0.25">
      <c r="A43" t="s">
        <v>2212</v>
      </c>
      <c r="B43">
        <v>28912.2957781351</v>
      </c>
      <c r="C43">
        <v>29830.346460363427</v>
      </c>
      <c r="D43">
        <v>30777.547960002015</v>
      </c>
      <c r="E43">
        <v>31754.82590149856</v>
      </c>
      <c r="F43">
        <v>32763.135300607551</v>
      </c>
      <c r="G43">
        <v>33803.461497650984</v>
      </c>
      <c r="H43">
        <v>34876.821120412809</v>
      </c>
      <c r="I43">
        <v>35984.263077608215</v>
      </c>
      <c r="J43">
        <v>37126.869583898348</v>
      </c>
      <c r="K43">
        <v>38305.757217452396</v>
      </c>
      <c r="L43">
        <v>39522.078011090292</v>
      </c>
      <c r="M43">
        <v>40777.020578072545</v>
      </c>
      <c r="N43">
        <v>42071.81127363706</v>
      </c>
      <c r="O43">
        <v>43407.715393418279</v>
      </c>
      <c r="P43">
        <v>44786.038409919711</v>
      </c>
      <c r="Q43">
        <v>46208.127248247962</v>
      </c>
      <c r="R43">
        <v>47675.371602355219</v>
      </c>
      <c r="S43">
        <v>49189.205293076215</v>
      </c>
      <c r="T43">
        <v>50751.107669287005</v>
      </c>
      <c r="U43">
        <v>52362.6050535545</v>
      </c>
      <c r="V43">
        <v>54025.272233689735</v>
      </c>
      <c r="W43">
        <v>55740.73400166248</v>
      </c>
      <c r="X43">
        <v>57510.666741380577</v>
      </c>
      <c r="Y43">
        <v>59336.800066886273</v>
      </c>
      <c r="Z43">
        <v>61220.918512570104</v>
      </c>
      <c r="AA43">
        <v>63164.863277053795</v>
      </c>
      <c r="AB43">
        <v>65170.534022446904</v>
      </c>
      <c r="AC43">
        <v>67239.890730734987</v>
      </c>
      <c r="AD43">
        <v>69374.955619113476</v>
      </c>
      <c r="AE43">
        <v>71577.815116139405</v>
      </c>
      <c r="AF43">
        <v>73850.621900631391</v>
      </c>
      <c r="AG43">
        <v>76195.597005311036</v>
      </c>
      <c r="AH43">
        <v>78615.031987240814</v>
      </c>
      <c r="AI43">
        <v>81111.291167180068</v>
      </c>
      <c r="AJ43">
        <v>83686.813940046981</v>
      </c>
      <c r="AK43">
        <v>86344.117158744571</v>
      </c>
    </row>
    <row r="44" spans="1:37" x14ac:dyDescent="0.25">
      <c r="A44" t="s">
        <v>2213</v>
      </c>
      <c r="B44">
        <v>0</v>
      </c>
      <c r="C44">
        <v>6.1921318439579764E-5</v>
      </c>
      <c r="D44">
        <v>-4.8148313880138488E-3</v>
      </c>
      <c r="E44">
        <v>-1.2596927950974182E-2</v>
      </c>
      <c r="F44">
        <v>-2.2305484243861744E-2</v>
      </c>
      <c r="G44">
        <v>-3.4082960906624792E-2</v>
      </c>
      <c r="H44">
        <v>-4.8717009413499698E-2</v>
      </c>
      <c r="I44">
        <v>-6.5151405902540496E-2</v>
      </c>
      <c r="J44">
        <v>-8.1226257895609597E-2</v>
      </c>
      <c r="K44">
        <v>-9.6342759405987521E-2</v>
      </c>
      <c r="L44">
        <v>-0.11100171465355785</v>
      </c>
      <c r="M44">
        <v>-0.12627739503024288</v>
      </c>
      <c r="N44">
        <v>-0.14343961656370416</v>
      </c>
      <c r="O44">
        <v>-0.16372731124787346</v>
      </c>
      <c r="P44">
        <v>-0.18823305089258127</v>
      </c>
      <c r="Q44">
        <v>-0.21785925740163015</v>
      </c>
      <c r="R44">
        <v>-0.25311526848962229</v>
      </c>
      <c r="S44">
        <v>-0.29269831496999876</v>
      </c>
      <c r="T44">
        <v>-0.33419094259475918</v>
      </c>
      <c r="U44">
        <v>-0.37607814599381956</v>
      </c>
      <c r="V44">
        <v>-0.41761501894751901</v>
      </c>
      <c r="W44">
        <v>-0.45855980592066903</v>
      </c>
      <c r="X44">
        <v>-0.49894471520656708</v>
      </c>
      <c r="Y44">
        <v>-0.53891407849117701</v>
      </c>
      <c r="Z44">
        <v>-0.57862221552723692</v>
      </c>
      <c r="AA44">
        <v>-0.61817667243144492</v>
      </c>
      <c r="AB44">
        <v>-0.6576135495998473</v>
      </c>
      <c r="AC44">
        <v>-0.69689416202129018</v>
      </c>
      <c r="AD44">
        <v>-0.73591467106723552</v>
      </c>
      <c r="AE44">
        <v>-0.77452245029892053</v>
      </c>
      <c r="AF44">
        <v>-0.81253462329898607</v>
      </c>
      <c r="AG44">
        <v>-0.84975578274837149</v>
      </c>
      <c r="AH44">
        <v>-0.88599303361131654</v>
      </c>
      <c r="AI44">
        <v>-0.92106745722152272</v>
      </c>
      <c r="AJ44">
        <v>-0.95482178901104398</v>
      </c>
      <c r="AK44">
        <v>-0.9871245671436778</v>
      </c>
    </row>
    <row r="45" spans="1:37" x14ac:dyDescent="0.25">
      <c r="A45" t="s">
        <v>2214</v>
      </c>
      <c r="B45">
        <v>0</v>
      </c>
      <c r="C45">
        <v>-4.6698417892274136E-4</v>
      </c>
      <c r="D45">
        <v>-5.2595375805639111E-4</v>
      </c>
      <c r="E45">
        <v>-5.6243416903679205E-3</v>
      </c>
      <c r="F45">
        <v>-1.2965539463342945E-2</v>
      </c>
      <c r="G45">
        <v>-2.1817738459441183E-2</v>
      </c>
      <c r="H45">
        <v>-3.2356110969793822E-2</v>
      </c>
      <c r="I45">
        <v>-4.5423280364322721E-2</v>
      </c>
      <c r="J45">
        <v>-6.0230636028608259E-2</v>
      </c>
      <c r="K45">
        <v>-7.4964322402033129E-2</v>
      </c>
      <c r="L45">
        <v>-8.9592023868698828E-2</v>
      </c>
      <c r="M45">
        <v>-0.1049232928264112</v>
      </c>
      <c r="N45">
        <v>-0.12204338638832878</v>
      </c>
      <c r="O45">
        <v>-0.14202663044297903</v>
      </c>
      <c r="P45">
        <v>-0.16581903460092423</v>
      </c>
      <c r="Q45">
        <v>-0.19421194986359025</v>
      </c>
      <c r="R45">
        <v>-0.22748883551738652</v>
      </c>
      <c r="S45">
        <v>-0.26576587602377305</v>
      </c>
      <c r="T45">
        <v>-0.30793998881654022</v>
      </c>
      <c r="U45">
        <v>-0.35203778557529425</v>
      </c>
      <c r="V45">
        <v>-0.39725235396883934</v>
      </c>
      <c r="W45">
        <v>-0.44341764251092064</v>
      </c>
      <c r="X45">
        <v>-0.49065132046687898</v>
      </c>
      <c r="Y45">
        <v>-0.53914522188384906</v>
      </c>
      <c r="Z45">
        <v>-0.5890557296244634</v>
      </c>
      <c r="AA45">
        <v>-0.64045541067697875</v>
      </c>
      <c r="AB45">
        <v>-0.69332026427666027</v>
      </c>
      <c r="AC45">
        <v>-0.74753670453026544</v>
      </c>
      <c r="AD45">
        <v>-0.80291840733932029</v>
      </c>
      <c r="AE45">
        <v>-0.85922706347722055</v>
      </c>
      <c r="AF45">
        <v>-0.91619317553307333</v>
      </c>
      <c r="AG45">
        <v>-0.97353464445577398</v>
      </c>
      <c r="AH45">
        <v>-1.0309719505787951</v>
      </c>
      <c r="AI45">
        <v>-1.088239396378099</v>
      </c>
      <c r="AJ45">
        <v>-1.1450925035399937</v>
      </c>
      <c r="AK45">
        <v>-1.2013119585527143</v>
      </c>
    </row>
    <row r="46" spans="1:37" x14ac:dyDescent="0.25">
      <c r="A46" t="s">
        <v>2215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-0.17025423004529694</v>
      </c>
      <c r="G46">
        <v>-0.26509138828748613</v>
      </c>
      <c r="H46">
        <v>-0.38307166566069473</v>
      </c>
      <c r="I46">
        <v>-0.51876309848984947</v>
      </c>
      <c r="J46">
        <v>-0.67357823048190824</v>
      </c>
      <c r="K46">
        <v>-0.84745626304868482</v>
      </c>
      <c r="L46">
        <v>-1.0411177389862858</v>
      </c>
      <c r="M46">
        <v>-1.257087629631426</v>
      </c>
      <c r="N46">
        <v>-1.4998753111518659</v>
      </c>
      <c r="O46">
        <v>-1.7757328058433441</v>
      </c>
      <c r="P46">
        <v>-2.0922606409437883</v>
      </c>
      <c r="Q46">
        <v>-2.4580049208919874</v>
      </c>
      <c r="R46">
        <v>-2.8742686516648241</v>
      </c>
      <c r="S46">
        <v>-3.3388587680099002</v>
      </c>
      <c r="T46">
        <v>-3.8524406240867282</v>
      </c>
      <c r="U46">
        <v>-4.4130114408714398</v>
      </c>
      <c r="V46">
        <v>-5.0175449517385502</v>
      </c>
      <c r="W46">
        <v>-5.6629382547704772</v>
      </c>
      <c r="X46">
        <v>-6.3464113858284099</v>
      </c>
      <c r="Y46">
        <v>-7.0655892223692511</v>
      </c>
      <c r="Z46">
        <v>-7.8184326164721156</v>
      </c>
      <c r="AA46">
        <v>-8.6031178144692078</v>
      </c>
      <c r="AB46">
        <v>-9.4179148580542993</v>
      </c>
      <c r="AC46">
        <v>-10.261088508382322</v>
      </c>
      <c r="AD46">
        <v>-11.13082973748214</v>
      </c>
      <c r="AE46">
        <v>-12.025216430842335</v>
      </c>
      <c r="AF46">
        <v>-12.942201387785746</v>
      </c>
      <c r="AG46">
        <v>-13.879619184578196</v>
      </c>
      <c r="AH46">
        <v>-14.835207524829686</v>
      </c>
      <c r="AI46">
        <v>-15.806637041346594</v>
      </c>
      <c r="AJ46">
        <v>-16.791544756511811</v>
      </c>
      <c r="AK46">
        <v>-17.787567570434614</v>
      </c>
    </row>
    <row r="47" spans="1:37" x14ac:dyDescent="0.25">
      <c r="A47" t="s">
        <v>2219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2319659.227</v>
      </c>
      <c r="H47">
        <v>2346041.2680000002</v>
      </c>
      <c r="I47">
        <v>2372997.943</v>
      </c>
      <c r="J47">
        <v>2400468.9720000001</v>
      </c>
      <c r="K47">
        <v>2428410.9010000001</v>
      </c>
      <c r="L47">
        <v>2456799.2459999998</v>
      </c>
      <c r="M47">
        <v>2485625.122</v>
      </c>
      <c r="N47">
        <v>2514889.835</v>
      </c>
      <c r="O47">
        <v>2544599.7590000001</v>
      </c>
      <c r="P47">
        <v>2574762.358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2731732.8360000001</v>
      </c>
      <c r="V47">
        <v>2764113.8870000001</v>
      </c>
      <c r="W47">
        <v>2796787.642</v>
      </c>
      <c r="X47">
        <v>2829758.4010000001</v>
      </c>
      <c r="Y47">
        <v>2863034.3229999999</v>
      </c>
      <c r="Z47">
        <v>2896624.7119999998</v>
      </c>
      <c r="AA47">
        <v>2930538.301</v>
      </c>
      <c r="AB47">
        <v>2964782.3730000001</v>
      </c>
      <c r="AC47">
        <v>2999362.4589999998</v>
      </c>
      <c r="AD47">
        <v>3034282.4360000002</v>
      </c>
      <c r="AE47">
        <v>3069544.8429999999</v>
      </c>
      <c r="AF47">
        <v>3105151.2969999998</v>
      </c>
      <c r="AG47">
        <v>3141102.923</v>
      </c>
      <c r="AH47">
        <v>3177400.7540000002</v>
      </c>
      <c r="AI47">
        <v>3214046.0469999998</v>
      </c>
      <c r="AJ47">
        <v>3251040.5219999999</v>
      </c>
      <c r="AK47">
        <v>3288386.514</v>
      </c>
    </row>
    <row r="48" spans="1:37" x14ac:dyDescent="0.25">
      <c r="A48" t="s">
        <v>2220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4.2140801959078544E-8</v>
      </c>
      <c r="J48">
        <v>4.1658543281641869E-8</v>
      </c>
      <c r="K48">
        <v>8.2358386777059422E-8</v>
      </c>
      <c r="L48">
        <v>8.1406748009271723E-8</v>
      </c>
      <c r="M48">
        <v>8.0462658758051475E-8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-3.2204539035518565E-8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2221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1514454.409</v>
      </c>
      <c r="K49">
        <v>1563632.442</v>
      </c>
      <c r="L49">
        <v>1614642.8430000001</v>
      </c>
      <c r="M49">
        <v>1667564.571</v>
      </c>
      <c r="N49">
        <v>1722484.03</v>
      </c>
      <c r="O49">
        <v>1779501.8289999999</v>
      </c>
      <c r="P49">
        <v>1838736.3929999999</v>
      </c>
      <c r="Q49">
        <v>1900325.8589999999</v>
      </c>
      <c r="R49">
        <v>1964379.3359999999</v>
      </c>
      <c r="S49">
        <v>2030943.1029999999</v>
      </c>
      <c r="T49">
        <v>2100095.068</v>
      </c>
      <c r="U49">
        <v>2171952.2089999998</v>
      </c>
      <c r="V49">
        <v>2246600.5279999999</v>
      </c>
      <c r="W49">
        <v>2324108.3560000001</v>
      </c>
      <c r="X49">
        <v>2404534.7629999998</v>
      </c>
      <c r="Y49">
        <v>2487934.2769999998</v>
      </c>
      <c r="Z49">
        <v>2574359.284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25">
      <c r="A50" t="s">
        <v>2222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1214877.608</v>
      </c>
      <c r="I50">
        <v>1253673.5190000001</v>
      </c>
      <c r="J50">
        <v>1294079.348</v>
      </c>
      <c r="K50">
        <v>1336142.6610000001</v>
      </c>
      <c r="L50">
        <v>1379926.068</v>
      </c>
      <c r="M50">
        <v>1425511.696</v>
      </c>
      <c r="N50">
        <v>1473002.8</v>
      </c>
      <c r="O50">
        <v>1522524.476</v>
      </c>
      <c r="P50">
        <v>1574224.1329999999</v>
      </c>
      <c r="Q50">
        <v>1628272.048</v>
      </c>
      <c r="R50">
        <v>1684807.415</v>
      </c>
      <c r="S50">
        <v>1743910.3230000001</v>
      </c>
      <c r="T50">
        <v>1805644.5689999999</v>
      </c>
      <c r="U50">
        <v>1870072.9809999999</v>
      </c>
      <c r="V50">
        <v>1937263.855</v>
      </c>
      <c r="W50">
        <v>2007290.4609999999</v>
      </c>
      <c r="X50">
        <v>2080228.8259999999</v>
      </c>
      <c r="Y50">
        <v>2156155.4449999998</v>
      </c>
      <c r="Z50">
        <v>2235145.3640000001</v>
      </c>
      <c r="AA50">
        <v>2317270.7790000001</v>
      </c>
      <c r="AB50">
        <v>2402600.1170000001</v>
      </c>
      <c r="AC50">
        <v>2491197.5580000002</v>
      </c>
      <c r="AD50">
        <v>2583122.9049999998</v>
      </c>
      <c r="AE50">
        <v>2678431.716</v>
      </c>
      <c r="AF50">
        <v>2777175.6189999999</v>
      </c>
      <c r="AG50">
        <v>2879402.7140000002</v>
      </c>
      <c r="AH50">
        <v>2985158.0180000002</v>
      </c>
      <c r="AI50">
        <v>3094483.8909999998</v>
      </c>
      <c r="AJ50">
        <v>3207420.426</v>
      </c>
      <c r="AK50">
        <v>3324005.7940000002</v>
      </c>
    </row>
    <row r="51" spans="1:37" x14ac:dyDescent="0.25">
      <c r="A51" t="s">
        <v>2223</v>
      </c>
      <c r="B51">
        <v>-64761.454550000002</v>
      </c>
      <c r="C51">
        <v>-67376.430789999999</v>
      </c>
      <c r="D51">
        <v>-70419.293449999997</v>
      </c>
      <c r="E51">
        <v>-73544.852880000006</v>
      </c>
      <c r="F51">
        <v>-76678.728470000002</v>
      </c>
      <c r="G51">
        <v>-79764.123389999993</v>
      </c>
      <c r="H51">
        <v>-82754.876839999997</v>
      </c>
      <c r="I51">
        <v>-85609.60007</v>
      </c>
      <c r="J51">
        <v>-88352.524720000001</v>
      </c>
      <c r="K51">
        <v>-91049.61911</v>
      </c>
      <c r="L51">
        <v>-93724.132469999997</v>
      </c>
      <c r="M51">
        <v>-96374.025370000003</v>
      </c>
      <c r="N51">
        <v>-98983.678459999996</v>
      </c>
      <c r="O51">
        <v>-101530.61870000001</v>
      </c>
      <c r="P51">
        <v>-103988.9947</v>
      </c>
      <c r="Q51">
        <v>-106331.0959</v>
      </c>
      <c r="R51">
        <v>-108532.6511</v>
      </c>
      <c r="S51">
        <v>-110566.8777</v>
      </c>
      <c r="T51">
        <v>-112456.253</v>
      </c>
      <c r="U51">
        <v>-114262.1685</v>
      </c>
      <c r="V51">
        <v>-116006.50509999999</v>
      </c>
      <c r="W51">
        <v>-117687.4028</v>
      </c>
      <c r="X51">
        <v>-119291.0732</v>
      </c>
      <c r="Y51">
        <v>-120799.4155</v>
      </c>
      <c r="Z51">
        <v>-122194.53230000001</v>
      </c>
      <c r="AA51">
        <v>-123461.1943</v>
      </c>
      <c r="AB51">
        <v>-124587.996</v>
      </c>
      <c r="AC51">
        <v>-125567.68399999999</v>
      </c>
      <c r="AD51">
        <v>-126396.97070000001</v>
      </c>
      <c r="AE51">
        <v>-127076.038</v>
      </c>
      <c r="AF51">
        <v>-127607.8855</v>
      </c>
      <c r="AG51">
        <v>-127997.6295</v>
      </c>
      <c r="AH51">
        <v>-128251.8318</v>
      </c>
      <c r="AI51">
        <v>-128377.9166</v>
      </c>
      <c r="AJ51">
        <v>-128383.70729999999</v>
      </c>
      <c r="AK51">
        <v>-128277.10129999999</v>
      </c>
    </row>
    <row r="52" spans="1:37" x14ac:dyDescent="0.25">
      <c r="A52" t="s">
        <v>2224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2554841.1140000001</v>
      </c>
      <c r="I52">
        <v>2640450.7140000002</v>
      </c>
      <c r="J52">
        <v>2728803.2390000001</v>
      </c>
      <c r="K52">
        <v>2819852.858</v>
      </c>
      <c r="L52">
        <v>2913576.99</v>
      </c>
      <c r="M52">
        <v>3009951.0159999998</v>
      </c>
      <c r="N52">
        <v>3108934.6940000001</v>
      </c>
      <c r="O52">
        <v>3210465.3130000001</v>
      </c>
      <c r="P52">
        <v>3314454.307</v>
      </c>
      <c r="Q52">
        <v>3420785.4029999999</v>
      </c>
      <c r="R52">
        <v>3529318.054</v>
      </c>
      <c r="S52">
        <v>3639884.932</v>
      </c>
      <c r="T52">
        <v>3752341.1850000001</v>
      </c>
      <c r="U52">
        <v>3866603.3539999998</v>
      </c>
      <c r="V52">
        <v>3982609.8590000002</v>
      </c>
      <c r="W52">
        <v>4100297.2609999999</v>
      </c>
      <c r="X52">
        <v>4219588.335</v>
      </c>
      <c r="Y52">
        <v>4340387.75</v>
      </c>
      <c r="Z52">
        <v>4462582.2819999997</v>
      </c>
      <c r="AA52">
        <v>4586043.477</v>
      </c>
      <c r="AB52">
        <v>4710631.4730000002</v>
      </c>
      <c r="AC52">
        <v>4836199.1569999997</v>
      </c>
      <c r="AD52">
        <v>4962596.1270000003</v>
      </c>
      <c r="AE52">
        <v>5089672.165</v>
      </c>
      <c r="AF52">
        <v>5217280.051</v>
      </c>
      <c r="AG52">
        <v>5345277.68</v>
      </c>
      <c r="AH52">
        <v>5473529.5120000001</v>
      </c>
      <c r="AI52">
        <v>5601907.4289999995</v>
      </c>
      <c r="AJ52">
        <v>5730291.1359999999</v>
      </c>
      <c r="AK52">
        <v>5858568.2369999997</v>
      </c>
    </row>
    <row r="53" spans="1:37" x14ac:dyDescent="0.25">
      <c r="A53" t="s">
        <v>2225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1.2002924109999999</v>
      </c>
      <c r="L53">
        <v>1.2256235900000001</v>
      </c>
      <c r="M53">
        <v>1.251744065</v>
      </c>
      <c r="N53">
        <v>1.2787298949999999</v>
      </c>
      <c r="O53">
        <v>1.3066679969999999</v>
      </c>
      <c r="P53">
        <v>1.335656937</v>
      </c>
      <c r="Q53">
        <v>1.3658072000000001</v>
      </c>
      <c r="R53">
        <v>1.3970905739999999</v>
      </c>
      <c r="S53">
        <v>1.429431302</v>
      </c>
      <c r="T53">
        <v>1.462861848</v>
      </c>
      <c r="U53">
        <v>1.497402849</v>
      </c>
      <c r="V53">
        <v>1.5330654889999999</v>
      </c>
      <c r="W53">
        <v>1.569854453</v>
      </c>
      <c r="X53">
        <v>1.607770157</v>
      </c>
      <c r="Y53">
        <v>1.646810119</v>
      </c>
      <c r="Z53">
        <v>1.6869696810000001</v>
      </c>
      <c r="AA53">
        <v>1.728242338</v>
      </c>
      <c r="AB53">
        <v>1.770619827</v>
      </c>
      <c r="AC53">
        <v>1.814092109</v>
      </c>
      <c r="AD53">
        <v>1.8586473020000001</v>
      </c>
      <c r="AE53">
        <v>1.9042715969999999</v>
      </c>
      <c r="AF53">
        <v>1.950949193</v>
      </c>
      <c r="AG53">
        <v>1.998662253</v>
      </c>
      <c r="AH53">
        <v>2.0473908989999998</v>
      </c>
      <c r="AI53">
        <v>2.0971132539999999</v>
      </c>
      <c r="AJ53">
        <v>2.1478055349999998</v>
      </c>
      <c r="AK53">
        <v>2.1994422170000001</v>
      </c>
    </row>
    <row r="54" spans="1:37" x14ac:dyDescent="0.25">
      <c r="A54" t="s">
        <v>2226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1.127076618</v>
      </c>
      <c r="I54">
        <v>1.1502039399999999</v>
      </c>
      <c r="J54">
        <v>1.1740000960000001</v>
      </c>
      <c r="K54">
        <v>1.198513867</v>
      </c>
      <c r="L54">
        <v>1.2237918569999999</v>
      </c>
      <c r="M54">
        <v>1.24988626</v>
      </c>
      <c r="N54">
        <v>1.2768601959999999</v>
      </c>
      <c r="O54">
        <v>1.304790796</v>
      </c>
      <c r="P54">
        <v>1.333770718</v>
      </c>
      <c r="Q54">
        <v>1.363908739</v>
      </c>
      <c r="R54">
        <v>1.395232539</v>
      </c>
      <c r="S54">
        <v>1.4277310249999999</v>
      </c>
      <c r="T54">
        <v>1.4614450919999999</v>
      </c>
      <c r="U54">
        <v>1.496399145</v>
      </c>
      <c r="V54">
        <v>1.5326048480000001</v>
      </c>
      <c r="W54">
        <v>1.5700656289999999</v>
      </c>
      <c r="X54">
        <v>1.608779993</v>
      </c>
      <c r="Y54">
        <v>1.6487434649999999</v>
      </c>
      <c r="Z54">
        <v>1.6899495360000001</v>
      </c>
      <c r="AA54">
        <v>1.7323899810000001</v>
      </c>
      <c r="AB54">
        <v>1.7760548540000001</v>
      </c>
      <c r="AC54">
        <v>1.8209323470000001</v>
      </c>
      <c r="AD54">
        <v>1.8670086020000001</v>
      </c>
      <c r="AE54">
        <v>1.9142675469999999</v>
      </c>
      <c r="AF54">
        <v>1.9626907739999999</v>
      </c>
      <c r="AG54">
        <v>2.0122574659999999</v>
      </c>
      <c r="AH54">
        <v>2.0629443790000002</v>
      </c>
      <c r="AI54">
        <v>2.1147258839999998</v>
      </c>
      <c r="AJ54">
        <v>2.1675740530000001</v>
      </c>
      <c r="AK54">
        <v>2.2214588229999999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1.1108712116434827E-2</v>
      </c>
      <c r="H2">
        <v>1.1252093159357823E-2</v>
      </c>
      <c r="I2">
        <v>1.1375472823364374E-2</v>
      </c>
      <c r="J2">
        <v>1.1476237140703338E-2</v>
      </c>
      <c r="K2">
        <v>1.1554988254227627E-2</v>
      </c>
      <c r="L2">
        <v>1.1614092140754373E-2</v>
      </c>
      <c r="M2">
        <v>1.1656738013605006E-2</v>
      </c>
      <c r="N2">
        <v>1.1686314337850057E-2</v>
      </c>
      <c r="O2">
        <v>1.1706003474639459E-2</v>
      </c>
      <c r="P2">
        <v>1.171854807389483E-2</v>
      </c>
      <c r="Q2">
        <v>1.1726135871448662E-2</v>
      </c>
      <c r="R2">
        <v>1.1730408292628169E-2</v>
      </c>
      <c r="S2">
        <v>1.1732512801927442E-2</v>
      </c>
      <c r="T2">
        <v>1.1733198495621933E-2</v>
      </c>
      <c r="U2">
        <v>1.1732908704036316E-2</v>
      </c>
      <c r="V2">
        <v>1.1731876729581536E-2</v>
      </c>
      <c r="W2">
        <v>1.173020196421426E-2</v>
      </c>
      <c r="X2">
        <v>1.1727914309837884E-2</v>
      </c>
      <c r="Y2">
        <v>1.1725016024030754E-2</v>
      </c>
      <c r="Z2">
        <v>1.1721511956768182E-2</v>
      </c>
      <c r="AA2">
        <v>1.1717423221064394E-2</v>
      </c>
      <c r="AB2">
        <v>1.1712793249015752E-2</v>
      </c>
      <c r="AC2">
        <v>1.1707687565019498E-2</v>
      </c>
      <c r="AD2">
        <v>1.1702186832551975E-2</v>
      </c>
      <c r="AE2">
        <v>1.1696385357961026E-2</v>
      </c>
      <c r="AF2">
        <v>1.169037987732735E-2</v>
      </c>
      <c r="AG2">
        <v>1.1684265665574234E-2</v>
      </c>
      <c r="AH2">
        <v>1.1678133269040103E-2</v>
      </c>
      <c r="AI2">
        <v>1.1672062348727197E-2</v>
      </c>
      <c r="AJ2">
        <v>1.1666121327831291E-2</v>
      </c>
      <c r="AK2">
        <v>1.1660367708691277E-2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1.9668197676172561E-2</v>
      </c>
      <c r="J3">
        <v>1.9714317259956093E-2</v>
      </c>
      <c r="K3">
        <v>1.9769024890948783E-2</v>
      </c>
      <c r="L3">
        <v>1.982889790318465E-2</v>
      </c>
      <c r="M3">
        <v>1.9891268495833669E-2</v>
      </c>
      <c r="N3">
        <v>1.9953994994787561E-2</v>
      </c>
      <c r="O3">
        <v>2.0015379151087087E-2</v>
      </c>
      <c r="P3">
        <v>2.0074100242836623E-2</v>
      </c>
      <c r="Q3">
        <v>2.0129185263145999E-2</v>
      </c>
      <c r="R3">
        <v>2.01799556550597E-2</v>
      </c>
      <c r="S3">
        <v>2.0225984415443321E-2</v>
      </c>
      <c r="T3">
        <v>2.0267046672765909E-2</v>
      </c>
      <c r="U3">
        <v>2.0303071497009384E-2</v>
      </c>
      <c r="V3">
        <v>2.0334107630878284E-2</v>
      </c>
      <c r="W3">
        <v>2.036028458698258E-2</v>
      </c>
      <c r="X3">
        <v>2.0381795968468452E-2</v>
      </c>
      <c r="Y3">
        <v>2.039887858283862E-2</v>
      </c>
      <c r="Z3">
        <v>2.0411798342434118E-2</v>
      </c>
      <c r="AA3">
        <v>2.0420845196527093E-2</v>
      </c>
      <c r="AB3">
        <v>2.0426323614131991E-2</v>
      </c>
      <c r="AC3">
        <v>2.0428547139446085E-2</v>
      </c>
      <c r="AD3">
        <v>2.0427834126646172E-2</v>
      </c>
      <c r="AE3">
        <v>2.0424509106835798E-2</v>
      </c>
      <c r="AF3">
        <v>2.0418887577704936E-2</v>
      </c>
      <c r="AG3">
        <v>2.0411284291938614E-2</v>
      </c>
      <c r="AH3">
        <v>2.0402003135526314E-2</v>
      </c>
      <c r="AI3">
        <v>2.0391335774858854E-2</v>
      </c>
      <c r="AJ3">
        <v>2.0379557413334748E-2</v>
      </c>
      <c r="AK3">
        <v>2.0366929276244283E-2</v>
      </c>
    </row>
    <row r="4" spans="1:37" x14ac:dyDescent="0.25">
      <c r="A4" t="s">
        <v>51</v>
      </c>
      <c r="B4">
        <v>0.14211337809999999</v>
      </c>
      <c r="C4">
        <v>0.14239252769999999</v>
      </c>
      <c r="D4">
        <v>0.14284801019999999</v>
      </c>
      <c r="E4">
        <v>0.143327446</v>
      </c>
      <c r="F4">
        <v>0.14372957810000001</v>
      </c>
      <c r="G4">
        <v>0.14400923669999999</v>
      </c>
      <c r="H4">
        <v>0.1441590549</v>
      </c>
      <c r="I4">
        <v>0.14419204229999999</v>
      </c>
      <c r="J4">
        <v>0.1441297882</v>
      </c>
      <c r="K4">
        <v>0.14399555610000001</v>
      </c>
      <c r="L4">
        <v>0.14381067819999999</v>
      </c>
      <c r="M4">
        <v>0.14359296930000001</v>
      </c>
      <c r="N4">
        <v>0.1433563101</v>
      </c>
      <c r="O4">
        <v>0.14311086240000001</v>
      </c>
      <c r="P4">
        <v>0.1428635982</v>
      </c>
      <c r="Q4">
        <v>0.14261895090000001</v>
      </c>
      <c r="R4">
        <v>0.14237945930000001</v>
      </c>
      <c r="S4">
        <v>0.1421463359</v>
      </c>
      <c r="T4">
        <v>0.14191994080000001</v>
      </c>
      <c r="U4">
        <v>0.141700147</v>
      </c>
      <c r="V4">
        <v>0.1414865988</v>
      </c>
      <c r="W4">
        <v>0.14127887859999999</v>
      </c>
      <c r="X4">
        <v>0.14107660380000001</v>
      </c>
      <c r="Y4">
        <v>0.14087947140000001</v>
      </c>
      <c r="Z4">
        <v>0.14068726749999999</v>
      </c>
      <c r="AA4">
        <v>0.1404998563</v>
      </c>
      <c r="AB4">
        <v>0.14031715829999999</v>
      </c>
      <c r="AC4">
        <v>0.140139127</v>
      </c>
      <c r="AD4">
        <v>0.13996572600000001</v>
      </c>
      <c r="AE4">
        <v>0.13979691220000001</v>
      </c>
      <c r="AF4">
        <v>0.13963262370000001</v>
      </c>
      <c r="AG4">
        <v>0.13947277329999999</v>
      </c>
      <c r="AH4">
        <v>0.13931724740000001</v>
      </c>
      <c r="AI4">
        <v>0.13916590719999999</v>
      </c>
      <c r="AJ4">
        <v>0.13901859359999999</v>
      </c>
      <c r="AK4">
        <v>0.1388751318</v>
      </c>
    </row>
    <row r="5" spans="1:37" x14ac:dyDescent="0.25">
      <c r="A5" t="s">
        <v>52</v>
      </c>
      <c r="B5">
        <v>0.95799999989999995</v>
      </c>
      <c r="C5">
        <v>0.95897526759999996</v>
      </c>
      <c r="D5">
        <v>0.96058315289999996</v>
      </c>
      <c r="E5">
        <v>0.96263010959999995</v>
      </c>
      <c r="F5">
        <v>0.9649712399</v>
      </c>
      <c r="G5">
        <v>0.96748012999999999</v>
      </c>
      <c r="H5">
        <v>0.9700480159</v>
      </c>
      <c r="I5">
        <v>0.97258711779999996</v>
      </c>
      <c r="J5">
        <v>0.9750314591</v>
      </c>
      <c r="K5">
        <v>0.97733497319999996</v>
      </c>
      <c r="L5">
        <v>0.97946805780000001</v>
      </c>
      <c r="M5">
        <v>0.98141365010000003</v>
      </c>
      <c r="N5">
        <v>0.98316354530000005</v>
      </c>
      <c r="O5">
        <v>0.98471533909999998</v>
      </c>
      <c r="P5">
        <v>0.98607014250000002</v>
      </c>
      <c r="Q5">
        <v>0.98723105300000003</v>
      </c>
      <c r="R5">
        <v>0.98820223399999996</v>
      </c>
      <c r="S5">
        <v>0.98898845580000005</v>
      </c>
      <c r="T5">
        <v>0.98959493269999999</v>
      </c>
      <c r="U5">
        <v>0.99002733409999999</v>
      </c>
      <c r="V5">
        <v>0.99029186629999999</v>
      </c>
      <c r="W5">
        <v>0.99039535710000004</v>
      </c>
      <c r="X5">
        <v>0.99034530350000005</v>
      </c>
      <c r="Y5">
        <v>0.99014986630000001</v>
      </c>
      <c r="Z5">
        <v>0.98981781209999997</v>
      </c>
      <c r="AA5">
        <v>0.98935840929999996</v>
      </c>
      <c r="AB5">
        <v>0.98878129209999999</v>
      </c>
      <c r="AC5">
        <v>0.98809630579999996</v>
      </c>
      <c r="AD5">
        <v>0.98731334790000003</v>
      </c>
      <c r="AE5">
        <v>0.98644221379999997</v>
      </c>
      <c r="AF5">
        <v>0.98549245640000005</v>
      </c>
      <c r="AG5">
        <v>0.98447326499999999</v>
      </c>
      <c r="AH5">
        <v>0.98339336629999996</v>
      </c>
      <c r="AI5">
        <v>0.982260947</v>
      </c>
      <c r="AJ5">
        <v>0.98108359950000001</v>
      </c>
      <c r="AK5">
        <v>0.97986828619999999</v>
      </c>
    </row>
    <row r="6" spans="1:37" x14ac:dyDescent="0.25">
      <c r="A6" t="s">
        <v>53</v>
      </c>
      <c r="B6">
        <v>-9.2851684799999997E-3</v>
      </c>
      <c r="C6">
        <v>-9.5358179000000001E-3</v>
      </c>
      <c r="D6">
        <v>-9.94639875E-3</v>
      </c>
      <c r="E6">
        <v>-1.04052789E-2</v>
      </c>
      <c r="F6">
        <v>-1.0835160200000001E-2</v>
      </c>
      <c r="G6">
        <v>-1.11927178E-2</v>
      </c>
      <c r="H6">
        <v>-1.14602514E-2</v>
      </c>
      <c r="I6">
        <v>-1.1637087900000001E-2</v>
      </c>
      <c r="J6">
        <v>-1.1732351800000001E-2</v>
      </c>
      <c r="K6">
        <v>-1.1759576900000001E-2</v>
      </c>
      <c r="L6">
        <v>-1.1733133099999999E-2</v>
      </c>
      <c r="M6">
        <v>-1.1666161899999999E-2</v>
      </c>
      <c r="N6">
        <v>-1.15696229E-2</v>
      </c>
      <c r="O6">
        <v>-1.1452067999999999E-2</v>
      </c>
      <c r="P6">
        <v>-1.13198421E-2</v>
      </c>
      <c r="Q6">
        <v>-1.11774804E-2</v>
      </c>
      <c r="R6">
        <v>-1.10281628E-2</v>
      </c>
      <c r="S6">
        <v>-1.0874132599999999E-2</v>
      </c>
      <c r="T6">
        <v>-1.0717037299999999E-2</v>
      </c>
      <c r="U6">
        <v>-1.05581805E-2</v>
      </c>
      <c r="V6">
        <v>-1.0398689900000001E-2</v>
      </c>
      <c r="W6">
        <v>-1.0239613700000001E-2</v>
      </c>
      <c r="X6">
        <v>-1.00819632E-2</v>
      </c>
      <c r="Y6">
        <v>-9.9267198200000007E-3</v>
      </c>
      <c r="Z6">
        <v>-9.7748208200000002E-3</v>
      </c>
      <c r="AA6">
        <v>-9.6271357499999998E-3</v>
      </c>
      <c r="AB6">
        <v>-9.4844412600000004E-3</v>
      </c>
      <c r="AC6">
        <v>-9.3473998399999994E-3</v>
      </c>
      <c r="AD6">
        <v>-9.2165451299999999E-3</v>
      </c>
      <c r="AE6">
        <v>-9.0922747599999996E-3</v>
      </c>
      <c r="AF6">
        <v>-8.9748501699999997E-3</v>
      </c>
      <c r="AG6">
        <v>-8.8644026999999993E-3</v>
      </c>
      <c r="AH6">
        <v>-8.7609442800000003E-3</v>
      </c>
      <c r="AI6">
        <v>-8.6643811300000009E-3</v>
      </c>
      <c r="AJ6">
        <v>-8.5745291800000002E-3</v>
      </c>
      <c r="AK6">
        <v>-8.4911300500000002E-3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-1.2567896199999999E-2</v>
      </c>
      <c r="G7">
        <v>-1.2711324899999999E-2</v>
      </c>
      <c r="H7">
        <v>-1.2772920199999999E-2</v>
      </c>
      <c r="I7">
        <v>-1.27849577E-2</v>
      </c>
      <c r="J7">
        <v>-1.2769053900000001E-2</v>
      </c>
      <c r="K7">
        <v>-1.2737939300000001E-2</v>
      </c>
      <c r="L7">
        <v>-1.26983687E-2</v>
      </c>
      <c r="M7">
        <v>-1.26535963E-2</v>
      </c>
      <c r="N7">
        <v>-1.2605063E-2</v>
      </c>
      <c r="O7">
        <v>-1.2553400100000001E-2</v>
      </c>
      <c r="P7">
        <v>-1.24989526E-2</v>
      </c>
      <c r="Q7">
        <v>-1.2442024600000001E-2</v>
      </c>
      <c r="R7">
        <v>-1.23829526E-2</v>
      </c>
      <c r="S7">
        <v>-1.2322106500000001E-2</v>
      </c>
      <c r="T7">
        <v>-1.2259857900000001E-2</v>
      </c>
      <c r="U7">
        <v>-1.21965489E-2</v>
      </c>
      <c r="V7">
        <v>-1.21324694E-2</v>
      </c>
      <c r="W7">
        <v>-1.2067847600000001E-2</v>
      </c>
      <c r="X7">
        <v>-1.2002848999999999E-2</v>
      </c>
      <c r="Y7">
        <v>-1.19375829E-2</v>
      </c>
      <c r="Z7">
        <v>-1.18721125E-2</v>
      </c>
      <c r="AA7">
        <v>-1.18064664E-2</v>
      </c>
      <c r="AB7">
        <v>-1.17406496E-2</v>
      </c>
      <c r="AC7">
        <v>-1.16746538E-2</v>
      </c>
      <c r="AD7">
        <v>-1.16084642E-2</v>
      </c>
      <c r="AE7">
        <v>-1.15420652E-2</v>
      </c>
      <c r="AF7">
        <v>-1.14754443E-2</v>
      </c>
      <c r="AG7">
        <v>-1.1408593200000001E-2</v>
      </c>
      <c r="AH7">
        <v>-1.1341509200000001E-2</v>
      </c>
      <c r="AI7">
        <v>-1.1274194600000001E-2</v>
      </c>
      <c r="AJ7">
        <v>-1.1206656299999999E-2</v>
      </c>
      <c r="AK7">
        <v>-1.11389048E-2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357.615993</v>
      </c>
      <c r="G8">
        <v>359.72996130000001</v>
      </c>
      <c r="H8">
        <v>362.0426344</v>
      </c>
      <c r="I8">
        <v>364.51423269999998</v>
      </c>
      <c r="J8">
        <v>367.11029619999999</v>
      </c>
      <c r="K8">
        <v>369.8046774</v>
      </c>
      <c r="L8">
        <v>372.57878440000002</v>
      </c>
      <c r="M8">
        <v>375.41987599999999</v>
      </c>
      <c r="N8">
        <v>378.31942279999998</v>
      </c>
      <c r="O8">
        <v>381.27175670000003</v>
      </c>
      <c r="P8">
        <v>384.27303999999998</v>
      </c>
      <c r="Q8">
        <v>387.32088449999998</v>
      </c>
      <c r="R8">
        <v>390.41382540000001</v>
      </c>
      <c r="S8">
        <v>393.55096300000002</v>
      </c>
      <c r="T8">
        <v>396.73175320000001</v>
      </c>
      <c r="U8">
        <v>399.95582280000002</v>
      </c>
      <c r="V8">
        <v>403.22296770000003</v>
      </c>
      <c r="W8">
        <v>406.53307539999997</v>
      </c>
      <c r="X8">
        <v>409.88608440000002</v>
      </c>
      <c r="Y8">
        <v>413.2819642</v>
      </c>
      <c r="Z8">
        <v>416.72070930000001</v>
      </c>
      <c r="AA8">
        <v>420.2023398</v>
      </c>
      <c r="AB8">
        <v>423.72690599999999</v>
      </c>
      <c r="AC8">
        <v>427.29449440000002</v>
      </c>
      <c r="AD8">
        <v>430.90523250000001</v>
      </c>
      <c r="AE8">
        <v>434.55929270000001</v>
      </c>
      <c r="AF8">
        <v>438.25689180000001</v>
      </c>
      <c r="AG8">
        <v>441.99829590000002</v>
      </c>
      <c r="AH8">
        <v>445.78381839999997</v>
      </c>
      <c r="AI8">
        <v>449.6138181</v>
      </c>
      <c r="AJ8">
        <v>453.48869480000002</v>
      </c>
      <c r="AK8">
        <v>457.408886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2318806.966</v>
      </c>
      <c r="H10">
        <v>2344898.398</v>
      </c>
      <c r="I10">
        <v>2371572.7259999998</v>
      </c>
      <c r="J10">
        <v>2398789.4569999999</v>
      </c>
      <c r="K10">
        <v>2426507.4410000001</v>
      </c>
      <c r="L10">
        <v>2454689.122</v>
      </c>
      <c r="M10">
        <v>2483302.79</v>
      </c>
      <c r="N10">
        <v>2512323.4470000002</v>
      </c>
      <c r="O10">
        <v>2541732.7140000002</v>
      </c>
      <c r="P10">
        <v>2571518.1310000001</v>
      </c>
      <c r="Q10">
        <v>2601672.102</v>
      </c>
      <c r="R10">
        <v>2632190.7779999999</v>
      </c>
      <c r="S10">
        <v>2663072.9900000002</v>
      </c>
      <c r="T10">
        <v>2694319.3539999998</v>
      </c>
      <c r="U10">
        <v>2725931.557</v>
      </c>
      <c r="V10">
        <v>2757911.85</v>
      </c>
      <c r="W10">
        <v>2790262.713</v>
      </c>
      <c r="X10">
        <v>2822986.6749999998</v>
      </c>
      <c r="Y10">
        <v>2856086.2390000001</v>
      </c>
      <c r="Z10">
        <v>2889563.8879999998</v>
      </c>
      <c r="AA10">
        <v>2923422.1310000001</v>
      </c>
      <c r="AB10">
        <v>2957663.57</v>
      </c>
      <c r="AC10">
        <v>2992290.9709999999</v>
      </c>
      <c r="AD10">
        <v>3027307.3190000001</v>
      </c>
      <c r="AE10">
        <v>3062715.872</v>
      </c>
      <c r="AF10">
        <v>3098520.1839999999</v>
      </c>
      <c r="AG10">
        <v>3134724.1170000001</v>
      </c>
      <c r="AH10">
        <v>3171331.8429999999</v>
      </c>
      <c r="AI10">
        <v>3208347.8259999999</v>
      </c>
      <c r="AJ10">
        <v>3245776.801</v>
      </c>
      <c r="AK10">
        <v>3283623.7519999999</v>
      </c>
    </row>
    <row r="11" spans="1:37" x14ac:dyDescent="0.2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1.1463470280000001</v>
      </c>
      <c r="J11">
        <v>1.168946477</v>
      </c>
      <c r="K11">
        <v>1.192055409</v>
      </c>
      <c r="L11">
        <v>1.2156925540000001</v>
      </c>
      <c r="M11">
        <v>1.239874221</v>
      </c>
      <c r="N11">
        <v>1.2646146650000001</v>
      </c>
      <c r="O11">
        <v>1.2899264070000001</v>
      </c>
      <c r="P11">
        <v>1.3158205190000001</v>
      </c>
      <c r="Q11">
        <v>1.3423069139999999</v>
      </c>
      <c r="R11">
        <v>1.3693946079999999</v>
      </c>
      <c r="S11">
        <v>1.397091962</v>
      </c>
      <c r="T11">
        <v>1.4254068900000001</v>
      </c>
      <c r="U11">
        <v>1.4543470279999999</v>
      </c>
      <c r="V11">
        <v>1.4839198769999999</v>
      </c>
      <c r="W11">
        <v>1.5141329080000001</v>
      </c>
      <c r="X11">
        <v>1.5449936559999999</v>
      </c>
      <c r="Y11">
        <v>1.5765097939999999</v>
      </c>
      <c r="Z11">
        <v>1.6086891940000001</v>
      </c>
      <c r="AA11">
        <v>1.641539987</v>
      </c>
      <c r="AB11">
        <v>1.675070614</v>
      </c>
      <c r="AC11">
        <v>1.7092898729999999</v>
      </c>
      <c r="AD11">
        <v>1.7442069630000001</v>
      </c>
      <c r="AE11">
        <v>1.7798315339999999</v>
      </c>
      <c r="AF11">
        <v>1.8161737140000001</v>
      </c>
      <c r="AG11">
        <v>1.853244152</v>
      </c>
      <c r="AH11">
        <v>1.891054045</v>
      </c>
      <c r="AI11">
        <v>1.929615163</v>
      </c>
      <c r="AJ11">
        <v>1.9689398659999999</v>
      </c>
      <c r="AK11">
        <v>2.009041125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116.9499326</v>
      </c>
      <c r="R12">
        <v>117.04357160000001</v>
      </c>
      <c r="S12">
        <v>117.1436008</v>
      </c>
      <c r="T12">
        <v>117.24928939999999</v>
      </c>
      <c r="U12">
        <v>117.36001469999999</v>
      </c>
      <c r="V12">
        <v>117.47530380000001</v>
      </c>
      <c r="W12">
        <v>117.59478489999999</v>
      </c>
      <c r="X12">
        <v>117.71815839999999</v>
      </c>
      <c r="Y12">
        <v>117.8451793</v>
      </c>
      <c r="Z12">
        <v>117.97564629999999</v>
      </c>
      <c r="AA12">
        <v>118.1093947</v>
      </c>
      <c r="AB12">
        <v>118.24629090000001</v>
      </c>
      <c r="AC12">
        <v>118.3862286</v>
      </c>
      <c r="AD12">
        <v>118.52912569999999</v>
      </c>
      <c r="AE12">
        <v>118.67492110000001</v>
      </c>
      <c r="AF12">
        <v>118.8235724</v>
      </c>
      <c r="AG12">
        <v>118.97505289999999</v>
      </c>
      <c r="AH12">
        <v>119.1293493</v>
      </c>
      <c r="AI12">
        <v>119.2864593</v>
      </c>
      <c r="AJ12">
        <v>119.4463889</v>
      </c>
      <c r="AK12">
        <v>119.6091505</v>
      </c>
    </row>
    <row r="13" spans="1:37" x14ac:dyDescent="0.25">
      <c r="A13" t="s">
        <v>129</v>
      </c>
      <c r="B13">
        <v>215.54838330000001</v>
      </c>
      <c r="C13">
        <v>217.7527589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228.89549940000001</v>
      </c>
      <c r="I13">
        <v>231.31711709999999</v>
      </c>
      <c r="J13">
        <v>233.79253829999999</v>
      </c>
      <c r="K13">
        <v>236.31578150000001</v>
      </c>
      <c r="L13">
        <v>238.882363</v>
      </c>
      <c r="M13">
        <v>241.48908259999999</v>
      </c>
      <c r="N13">
        <v>244.13376030000001</v>
      </c>
      <c r="O13">
        <v>246.8149975</v>
      </c>
      <c r="P13">
        <v>249.53197420000001</v>
      </c>
      <c r="Q13">
        <v>252.2842904</v>
      </c>
      <c r="R13">
        <v>255.071834</v>
      </c>
      <c r="S13">
        <v>257.89466019999998</v>
      </c>
      <c r="T13">
        <v>260.75292949999999</v>
      </c>
      <c r="U13">
        <v>263.64686060000002</v>
      </c>
      <c r="V13">
        <v>266.5766893</v>
      </c>
      <c r="W13">
        <v>269.54264239999998</v>
      </c>
      <c r="X13">
        <v>272.5449271</v>
      </c>
      <c r="Y13">
        <v>275.58372869999999</v>
      </c>
      <c r="Z13">
        <v>278.65921580000003</v>
      </c>
      <c r="AA13">
        <v>281.77154819999998</v>
      </c>
      <c r="AB13">
        <v>284.92088580000001</v>
      </c>
      <c r="AC13">
        <v>288.10739849999999</v>
      </c>
      <c r="AD13">
        <v>291.33127350000001</v>
      </c>
      <c r="AE13">
        <v>294.59272220000003</v>
      </c>
      <c r="AF13">
        <v>297.89198160000001</v>
      </c>
      <c r="AG13">
        <v>301.22932159999999</v>
      </c>
      <c r="AH13">
        <v>304.60504609999998</v>
      </c>
      <c r="AI13">
        <v>308.01949239999999</v>
      </c>
      <c r="AJ13">
        <v>311.47302999999999</v>
      </c>
      <c r="AK13">
        <v>314.9660591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31.850459619999999</v>
      </c>
      <c r="G14">
        <v>32.140411210000003</v>
      </c>
      <c r="H14">
        <v>32.437361690000003</v>
      </c>
      <c r="I14">
        <v>32.741051970000001</v>
      </c>
      <c r="J14">
        <v>33.050955449999996</v>
      </c>
      <c r="K14">
        <v>33.366529579999998</v>
      </c>
      <c r="L14">
        <v>33.687313420000002</v>
      </c>
      <c r="M14">
        <v>34.01295485</v>
      </c>
      <c r="N14">
        <v>34.343206889999998</v>
      </c>
      <c r="O14">
        <v>34.677912020000001</v>
      </c>
      <c r="P14">
        <v>35.016982910000003</v>
      </c>
      <c r="Q14">
        <v>35.360384799999999</v>
      </c>
      <c r="R14">
        <v>35.708119779999997</v>
      </c>
      <c r="S14">
        <v>36.060206030000003</v>
      </c>
      <c r="T14">
        <v>36.416676180000003</v>
      </c>
      <c r="U14">
        <v>36.777575149999997</v>
      </c>
      <c r="V14">
        <v>37.142953210000002</v>
      </c>
      <c r="W14">
        <v>37.512861440000002</v>
      </c>
      <c r="X14">
        <v>37.887349399999998</v>
      </c>
      <c r="Y14">
        <v>38.266464390000003</v>
      </c>
      <c r="Z14">
        <v>38.650251509999997</v>
      </c>
      <c r="AA14">
        <v>39.038754160000003</v>
      </c>
      <c r="AB14">
        <v>39.432014819999999</v>
      </c>
      <c r="AC14">
        <v>39.830075829999998</v>
      </c>
      <c r="AD14">
        <v>40.232980070000004</v>
      </c>
      <c r="AE14">
        <v>40.640771530000002</v>
      </c>
      <c r="AF14">
        <v>41.05349511</v>
      </c>
      <c r="AG14">
        <v>41.471197779999997</v>
      </c>
      <c r="AH14">
        <v>41.893928699999996</v>
      </c>
      <c r="AI14">
        <v>42.321739059999999</v>
      </c>
      <c r="AJ14">
        <v>42.754682080000002</v>
      </c>
      <c r="AK14">
        <v>43.192812789999998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12.613047399999999</v>
      </c>
      <c r="G15">
        <v>12.702734339999999</v>
      </c>
      <c r="H15">
        <v>12.801177320000001</v>
      </c>
      <c r="I15">
        <v>12.906312789999999</v>
      </c>
      <c r="J15">
        <v>13.01646189</v>
      </c>
      <c r="K15">
        <v>13.130409070000001</v>
      </c>
      <c r="L15">
        <v>13.24732449</v>
      </c>
      <c r="M15">
        <v>13.3666597</v>
      </c>
      <c r="N15">
        <v>13.48805861</v>
      </c>
      <c r="O15">
        <v>13.61129169</v>
      </c>
      <c r="P15">
        <v>13.736209300000001</v>
      </c>
      <c r="Q15">
        <v>13.8627173</v>
      </c>
      <c r="R15">
        <v>13.990757479999999</v>
      </c>
      <c r="S15">
        <v>14.1202945</v>
      </c>
      <c r="T15">
        <v>14.25130774</v>
      </c>
      <c r="U15">
        <v>14.38378606</v>
      </c>
      <c r="V15">
        <v>14.51772442</v>
      </c>
      <c r="W15">
        <v>14.65312174</v>
      </c>
      <c r="X15">
        <v>14.78997961</v>
      </c>
      <c r="Y15">
        <v>14.92830156</v>
      </c>
      <c r="Z15">
        <v>15.068092719999999</v>
      </c>
      <c r="AA15">
        <v>15.209359660000001</v>
      </c>
      <c r="AB15">
        <v>15.352110359999999</v>
      </c>
      <c r="AC15">
        <v>15.49635428</v>
      </c>
      <c r="AD15">
        <v>15.642102360000001</v>
      </c>
      <c r="AE15">
        <v>15.78936708</v>
      </c>
      <c r="AF15">
        <v>15.938162350000001</v>
      </c>
      <c r="AG15">
        <v>16.088503559999999</v>
      </c>
      <c r="AH15">
        <v>16.24040742</v>
      </c>
      <c r="AI15">
        <v>16.39389186</v>
      </c>
      <c r="AJ15">
        <v>16.54897587</v>
      </c>
      <c r="AK15">
        <v>16.705679369999999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137.26754030000001</v>
      </c>
      <c r="G16">
        <v>138.1465493</v>
      </c>
      <c r="H16">
        <v>139.16044769999999</v>
      </c>
      <c r="I16">
        <v>140.27427349999999</v>
      </c>
      <c r="J16">
        <v>141.4610328</v>
      </c>
      <c r="K16">
        <v>142.701595</v>
      </c>
      <c r="L16">
        <v>143.9829871</v>
      </c>
      <c r="M16">
        <v>145.29660770000001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152.20575120000001</v>
      </c>
      <c r="S16">
        <v>153.64277720000001</v>
      </c>
      <c r="T16">
        <v>155.09626829999999</v>
      </c>
      <c r="U16">
        <v>156.56585609999999</v>
      </c>
      <c r="V16">
        <v>158.05126999999999</v>
      </c>
      <c r="W16">
        <v>159.55230520000001</v>
      </c>
      <c r="X16">
        <v>161.0688035</v>
      </c>
      <c r="Y16">
        <v>162.60064310000001</v>
      </c>
      <c r="Z16">
        <v>164.14773299999999</v>
      </c>
      <c r="AA16">
        <v>165.71001190000001</v>
      </c>
      <c r="AB16">
        <v>167.2874478</v>
      </c>
      <c r="AC16">
        <v>168.88003900000001</v>
      </c>
      <c r="AD16">
        <v>170.48781439999999</v>
      </c>
      <c r="AE16">
        <v>172.11083379999999</v>
      </c>
      <c r="AF16">
        <v>173.74918740000001</v>
      </c>
      <c r="AG16">
        <v>175.40299450000001</v>
      </c>
      <c r="AH16">
        <v>177.0724013</v>
      </c>
      <c r="AI16">
        <v>178.7575793</v>
      </c>
      <c r="AJ16">
        <v>180.4587219</v>
      </c>
      <c r="AK16">
        <v>182.17604159999999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34.282061820000003</v>
      </c>
      <c r="I17">
        <v>34.39272175</v>
      </c>
      <c r="J17">
        <v>34.512422800000003</v>
      </c>
      <c r="K17">
        <v>34.639822160000001</v>
      </c>
      <c r="L17">
        <v>34.773820659999998</v>
      </c>
      <c r="M17">
        <v>34.913597430000003</v>
      </c>
      <c r="N17">
        <v>35.058573279999997</v>
      </c>
      <c r="O17">
        <v>35.208344859999997</v>
      </c>
      <c r="P17">
        <v>35.362581040000002</v>
      </c>
      <c r="Q17">
        <v>35.521092879999998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</v>
      </c>
      <c r="Y17">
        <v>36.936298039999997</v>
      </c>
      <c r="Z17">
        <v>37.131266770000003</v>
      </c>
      <c r="AA17">
        <v>37.330196569999998</v>
      </c>
      <c r="AB17">
        <v>37.533072099999998</v>
      </c>
      <c r="AC17">
        <v>37.739879799999997</v>
      </c>
      <c r="AD17">
        <v>37.95060866</v>
      </c>
      <c r="AE17">
        <v>38.165250810000003</v>
      </c>
      <c r="AF17">
        <v>38.383801980000001</v>
      </c>
      <c r="AG17">
        <v>38.606261719999999</v>
      </c>
      <c r="AH17">
        <v>38.832633520000002</v>
      </c>
      <c r="AI17">
        <v>39.062924789999997</v>
      </c>
      <c r="AJ17">
        <v>39.297146769999998</v>
      </c>
      <c r="AK17">
        <v>39.535314339999999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85.028257210000007</v>
      </c>
      <c r="G18">
        <v>85.580982059999997</v>
      </c>
      <c r="H18">
        <v>86.155373769999997</v>
      </c>
      <c r="I18">
        <v>86.75006621</v>
      </c>
      <c r="J18">
        <v>87.362737249999995</v>
      </c>
      <c r="K18">
        <v>87.991157749999999</v>
      </c>
      <c r="L18">
        <v>88.633532950000003</v>
      </c>
      <c r="M18">
        <v>89.288547559999998</v>
      </c>
      <c r="N18">
        <v>89.955300620000003</v>
      </c>
      <c r="O18">
        <v>90.633168170000005</v>
      </c>
      <c r="P18">
        <v>91.321678879999993</v>
      </c>
      <c r="Q18">
        <v>92.02060195</v>
      </c>
      <c r="R18">
        <v>92.729844069999999</v>
      </c>
      <c r="S18">
        <v>93.449381000000002</v>
      </c>
      <c r="T18">
        <v>94.179224059999996</v>
      </c>
      <c r="U18">
        <v>94.919400069999995</v>
      </c>
      <c r="V18">
        <v>95.669937000000004</v>
      </c>
      <c r="W18">
        <v>96.430856849999998</v>
      </c>
      <c r="X18">
        <v>97.202173380000005</v>
      </c>
      <c r="Y18">
        <v>97.983892749999995</v>
      </c>
      <c r="Z18">
        <v>98.776015860000001</v>
      </c>
      <c r="AA18">
        <v>99.578541360000003</v>
      </c>
      <c r="AB18">
        <v>100.39146890000001</v>
      </c>
      <c r="AC18">
        <v>101.2148021</v>
      </c>
      <c r="AD18">
        <v>102.0485511</v>
      </c>
      <c r="AE18">
        <v>102.89273439999999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4.5020197240000002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4.342696213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4.196695149</v>
      </c>
      <c r="AA19">
        <v>4.1735693270000001</v>
      </c>
      <c r="AB19">
        <v>4.1507879389999998</v>
      </c>
      <c r="AC19">
        <v>4.1283510830000001</v>
      </c>
      <c r="AD19">
        <v>4.106258886</v>
      </c>
      <c r="AE19">
        <v>4.0845115029999999</v>
      </c>
      <c r="AF19">
        <v>4.0631091169999998</v>
      </c>
      <c r="AG19">
        <v>4.0420519510000004</v>
      </c>
      <c r="AH19">
        <v>4.0213402839999999</v>
      </c>
      <c r="AI19">
        <v>4.0009744669999998</v>
      </c>
      <c r="AJ19">
        <v>3.9809549450000001</v>
      </c>
      <c r="AK19">
        <v>3.9612822780000001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31.15310169</v>
      </c>
      <c r="K20">
        <v>31.054016529999998</v>
      </c>
      <c r="L20">
        <v>30.96073955</v>
      </c>
      <c r="M20">
        <v>30.87229482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30.349705060000002</v>
      </c>
      <c r="U20">
        <v>30.2864079</v>
      </c>
      <c r="V20">
        <v>30.225638020000002</v>
      </c>
      <c r="W20">
        <v>30.16735933</v>
      </c>
      <c r="X20">
        <v>30.111551540000001</v>
      </c>
      <c r="Y20">
        <v>30.058202430000001</v>
      </c>
      <c r="Z20">
        <v>30.00730377</v>
      </c>
      <c r="AA20">
        <v>29.95884912</v>
      </c>
      <c r="AB20">
        <v>29.912832760000001</v>
      </c>
      <c r="AC20">
        <v>29.869249180000001</v>
      </c>
      <c r="AD20">
        <v>29.828092860000002</v>
      </c>
      <c r="AE20">
        <v>29.78935826</v>
      </c>
      <c r="AF20">
        <v>29.753039860000001</v>
      </c>
      <c r="AG20">
        <v>29.719132160000001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19.65689162</v>
      </c>
      <c r="I21">
        <v>19.863096809999998</v>
      </c>
      <c r="J21">
        <v>20.073510769999999</v>
      </c>
      <c r="K21">
        <v>20.28767568</v>
      </c>
      <c r="L21">
        <v>20.505242110000001</v>
      </c>
      <c r="M21">
        <v>20.72595785</v>
      </c>
      <c r="N21">
        <v>20.949650089999999</v>
      </c>
      <c r="O21">
        <v>21.176208030000002</v>
      </c>
      <c r="P21">
        <v>21.405567649999998</v>
      </c>
      <c r="Q21">
        <v>21.637699949999998</v>
      </c>
      <c r="R21">
        <v>21.87260084</v>
      </c>
      <c r="S21">
        <v>22.110281050000001</v>
      </c>
      <c r="T21">
        <v>22.350762069999998</v>
      </c>
      <c r="U21">
        <v>22.59407281</v>
      </c>
      <c r="V21">
        <v>22.840245800000002</v>
      </c>
      <c r="W21">
        <v>23.089314640000001</v>
      </c>
      <c r="X21">
        <v>23.34131262</v>
      </c>
      <c r="Y21">
        <v>23.596272070000001</v>
      </c>
      <c r="Z21">
        <v>23.854224330000001</v>
      </c>
      <c r="AA21">
        <v>24.115199969999999</v>
      </c>
      <c r="AB21">
        <v>24.379229129999999</v>
      </c>
      <c r="AC21">
        <v>24.646342059999998</v>
      </c>
      <c r="AD21">
        <v>24.916569460000002</v>
      </c>
      <c r="AE21">
        <v>25.189942869999999</v>
      </c>
      <c r="AF21">
        <v>25.466494350000001</v>
      </c>
      <c r="AG21">
        <v>25.74625751</v>
      </c>
      <c r="AH21">
        <v>26.029267489999999</v>
      </c>
      <c r="AI21">
        <v>26.315560909999999</v>
      </c>
      <c r="AJ21">
        <v>26.605175729999999</v>
      </c>
      <c r="AK21">
        <v>26.898151219999999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31.158881770000001</v>
      </c>
      <c r="H22">
        <v>31.448921779999999</v>
      </c>
      <c r="I22">
        <v>31.74544453</v>
      </c>
      <c r="J22">
        <v>32.047955899999998</v>
      </c>
      <c r="K22">
        <v>32.355942949999999</v>
      </c>
      <c r="L22">
        <v>32.668967850000001</v>
      </c>
      <c r="M22">
        <v>32.986695079999997</v>
      </c>
      <c r="N22">
        <v>33.308888940000003</v>
      </c>
      <c r="O22">
        <v>33.635399249999999</v>
      </c>
      <c r="P22">
        <v>33.966143090000003</v>
      </c>
      <c r="Q22">
        <v>34.301088159999999</v>
      </c>
      <c r="R22">
        <v>34.640237620000001</v>
      </c>
      <c r="S22">
        <v>34.983610380000002</v>
      </c>
      <c r="T22">
        <v>35.331239189999998</v>
      </c>
      <c r="U22">
        <v>35.683168569999999</v>
      </c>
      <c r="V22">
        <v>36.03944808</v>
      </c>
      <c r="W22">
        <v>36.400127939999997</v>
      </c>
      <c r="X22">
        <v>36.765256919999999</v>
      </c>
      <c r="Y22">
        <v>37.134881479999997</v>
      </c>
      <c r="Z22">
        <v>37.509045929999999</v>
      </c>
      <c r="AA22">
        <v>37.887792910000002</v>
      </c>
      <c r="AB22">
        <v>38.271164120000002</v>
      </c>
      <c r="AC22">
        <v>38.659201109999998</v>
      </c>
      <c r="AD22">
        <v>39.051945910000001</v>
      </c>
      <c r="AE22">
        <v>39.449441569999998</v>
      </c>
      <c r="AF22">
        <v>39.851732050000003</v>
      </c>
      <c r="AG22">
        <v>40.258863259999998</v>
      </c>
      <c r="AH22">
        <v>40.670883160000002</v>
      </c>
      <c r="AI22">
        <v>41.087841709999999</v>
      </c>
      <c r="AJ22">
        <v>41.509790729999999</v>
      </c>
      <c r="AK22">
        <v>41.936783839999997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12.76025881</v>
      </c>
      <c r="I23">
        <v>12.865017050000001</v>
      </c>
      <c r="J23">
        <v>12.974775640000001</v>
      </c>
      <c r="K23">
        <v>13.088321779999999</v>
      </c>
      <c r="L23">
        <v>13.20482756</v>
      </c>
      <c r="M23">
        <v>13.32374574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14.337322439999999</v>
      </c>
      <c r="V23">
        <v>14.470792299999999</v>
      </c>
      <c r="W23">
        <v>14.60571566</v>
      </c>
      <c r="X23">
        <v>14.74209411</v>
      </c>
      <c r="Y23">
        <v>14.879931190000001</v>
      </c>
      <c r="Z23">
        <v>15.01923199</v>
      </c>
      <c r="AA23">
        <v>15.160003059999999</v>
      </c>
      <c r="AB23">
        <v>15.30225239</v>
      </c>
      <c r="AC23">
        <v>15.4459894</v>
      </c>
      <c r="AD23">
        <v>15.59122502</v>
      </c>
      <c r="AE23">
        <v>15.73797167</v>
      </c>
      <c r="AF23">
        <v>15.886243260000001</v>
      </c>
      <c r="AG23">
        <v>16.03605511</v>
      </c>
      <c r="AH23">
        <v>16.187423899999999</v>
      </c>
      <c r="AI23">
        <v>16.34036751</v>
      </c>
      <c r="AJ23">
        <v>16.49490488</v>
      </c>
      <c r="AK23">
        <v>16.65105586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133.93809440000001</v>
      </c>
      <c r="G24">
        <v>134.79120209999999</v>
      </c>
      <c r="H24">
        <v>135.77681720000001</v>
      </c>
      <c r="I24">
        <v>136.86055709999999</v>
      </c>
      <c r="J24">
        <v>138.01587789999999</v>
      </c>
      <c r="K24">
        <v>139.22396749999999</v>
      </c>
      <c r="L24">
        <v>140.47206750000001</v>
      </c>
      <c r="M24">
        <v>141.75171789999999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148.48311580000001</v>
      </c>
      <c r="S24">
        <v>149.8832122</v>
      </c>
      <c r="T24">
        <v>151.2993405</v>
      </c>
      <c r="U24">
        <v>152.73113710000001</v>
      </c>
      <c r="V24">
        <v>154.17833450000001</v>
      </c>
      <c r="W24">
        <v>155.6407304</v>
      </c>
      <c r="X24">
        <v>157.11816880000001</v>
      </c>
      <c r="Y24">
        <v>158.6105292</v>
      </c>
      <c r="Z24">
        <v>160.11772199999999</v>
      </c>
      <c r="AA24">
        <v>161.6396866</v>
      </c>
      <c r="AB24">
        <v>163.1763914</v>
      </c>
      <c r="AC24">
        <v>164.72783469999999</v>
      </c>
      <c r="AD24">
        <v>166.29404460000001</v>
      </c>
      <c r="AE24">
        <v>167.87507980000001</v>
      </c>
      <c r="AF24">
        <v>169.47102860000001</v>
      </c>
      <c r="AG24">
        <v>171.08200790000001</v>
      </c>
      <c r="AH24">
        <v>172.70816110000001</v>
      </c>
      <c r="AI24">
        <v>174.34965600000001</v>
      </c>
      <c r="AJ24">
        <v>176.00668200000001</v>
      </c>
      <c r="AK24">
        <v>177.67944729999999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33.513358140000001</v>
      </c>
      <c r="I25">
        <v>33.619398410000002</v>
      </c>
      <c r="J25">
        <v>33.73429703</v>
      </c>
      <c r="K25">
        <v>33.856734099999997</v>
      </c>
      <c r="L25">
        <v>33.98562897</v>
      </c>
      <c r="M25">
        <v>34.12017453</v>
      </c>
      <c r="N25">
        <v>34.259801299999999</v>
      </c>
      <c r="O25">
        <v>34.404112570000002</v>
      </c>
      <c r="P25">
        <v>34.552782389999997</v>
      </c>
      <c r="Q25">
        <v>34.70562469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37.052267299999997</v>
      </c>
      <c r="AE25">
        <v>37.259832600000003</v>
      </c>
      <c r="AF25">
        <v>37.471206809999998</v>
      </c>
      <c r="AG25">
        <v>37.686389300000002</v>
      </c>
      <c r="AH25">
        <v>37.905383299999997</v>
      </c>
      <c r="AI25">
        <v>38.12819588</v>
      </c>
      <c r="AJ25">
        <v>38.354837840000002</v>
      </c>
      <c r="AK25">
        <v>38.585323520000003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85.167487530000002</v>
      </c>
      <c r="H26">
        <v>85.739265110000005</v>
      </c>
      <c r="I26">
        <v>86.331247210000001</v>
      </c>
      <c r="J26">
        <v>86.941123070000003</v>
      </c>
      <c r="K26">
        <v>87.566674370000001</v>
      </c>
      <c r="L26">
        <v>88.206115019999999</v>
      </c>
      <c r="M26">
        <v>88.858135989999994</v>
      </c>
      <c r="N26">
        <v>89.521840560000001</v>
      </c>
      <c r="O26">
        <v>90.196607709999995</v>
      </c>
      <c r="P26">
        <v>90.881968400000005</v>
      </c>
      <c r="Q26">
        <v>91.577692940000006</v>
      </c>
      <c r="R26">
        <v>92.283688459999993</v>
      </c>
      <c r="S26">
        <v>92.999930809999995</v>
      </c>
      <c r="T26">
        <v>93.726431230000003</v>
      </c>
      <c r="U26">
        <v>94.463216419999995</v>
      </c>
      <c r="V26">
        <v>95.210314190000005</v>
      </c>
      <c r="W26">
        <v>95.967746410000004</v>
      </c>
      <c r="X26">
        <v>96.735526759999999</v>
      </c>
      <c r="Y26">
        <v>97.513661319999997</v>
      </c>
      <c r="Z26">
        <v>98.302150940000004</v>
      </c>
      <c r="AA26">
        <v>99.100994240000006</v>
      </c>
      <c r="AB26">
        <v>99.910190819999997</v>
      </c>
      <c r="AC26">
        <v>100.7297442</v>
      </c>
      <c r="AD26">
        <v>101.5596645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107.6621863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27.345802389999999</v>
      </c>
      <c r="K27">
        <v>27.263098840000001</v>
      </c>
      <c r="L27">
        <v>27.185492150000002</v>
      </c>
      <c r="M27">
        <v>27.112131460000001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26.737166739999999</v>
      </c>
      <c r="T27">
        <v>26.683709539999999</v>
      </c>
      <c r="U27">
        <v>26.632549449999999</v>
      </c>
      <c r="V27">
        <v>26.58362919</v>
      </c>
      <c r="W27">
        <v>26.536917670000001</v>
      </c>
      <c r="X27">
        <v>26.492397489999998</v>
      </c>
      <c r="Y27">
        <v>26.45005827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26.270872619999999</v>
      </c>
      <c r="AE27">
        <v>26.241504880000001</v>
      </c>
      <c r="AF27">
        <v>26.214283210000001</v>
      </c>
      <c r="AG27">
        <v>26.189203259999999</v>
      </c>
      <c r="AH27">
        <v>26.166260860000001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18.778708250000001</v>
      </c>
      <c r="H28">
        <v>18.972724320000001</v>
      </c>
      <c r="I28">
        <v>19.171329889999999</v>
      </c>
      <c r="J28">
        <v>19.373996909999999</v>
      </c>
      <c r="K28">
        <v>19.580284939999999</v>
      </c>
      <c r="L28">
        <v>19.789857309999999</v>
      </c>
      <c r="M28">
        <v>20.00247092</v>
      </c>
      <c r="N28">
        <v>20.217959189999998</v>
      </c>
      <c r="O28">
        <v>20.436215390000001</v>
      </c>
      <c r="P28">
        <v>20.657177919999999</v>
      </c>
      <c r="Q28">
        <v>20.880818919999999</v>
      </c>
      <c r="R28">
        <v>21.10713458</v>
      </c>
      <c r="S28">
        <v>21.33613523</v>
      </c>
      <c r="T28">
        <v>21.567841510000001</v>
      </c>
      <c r="U28">
        <v>21.802281220000001</v>
      </c>
      <c r="V28">
        <v>22.039485590000002</v>
      </c>
      <c r="W28">
        <v>22.279486840000001</v>
      </c>
      <c r="X28">
        <v>22.522316849999999</v>
      </c>
      <c r="Y28">
        <v>22.768006539999998</v>
      </c>
      <c r="Z28">
        <v>23.016585849999998</v>
      </c>
      <c r="AA28">
        <v>23.26808393</v>
      </c>
      <c r="AB28">
        <v>23.522529550000002</v>
      </c>
      <c r="AC28">
        <v>23.779951560000001</v>
      </c>
      <c r="AD28">
        <v>24.040379250000001</v>
      </c>
      <c r="AE28">
        <v>24.303842719999999</v>
      </c>
      <c r="AF28">
        <v>24.570372580000001</v>
      </c>
      <c r="AG28">
        <v>24.84000095</v>
      </c>
      <c r="AH28">
        <v>25.11276148</v>
      </c>
      <c r="AI28">
        <v>25.38868922</v>
      </c>
      <c r="AJ28">
        <v>25.667820590000002</v>
      </c>
      <c r="AK28">
        <v>25.950193250000002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topLeftCell="A4" workbookViewId="0">
      <selection activeCell="G38" sqref="G38"/>
    </sheetView>
  </sheetViews>
  <sheetFormatPr baseColWidth="10" defaultRowHeight="15" x14ac:dyDescent="0.25"/>
  <cols>
    <col min="1" max="1" width="11.42578125" style="73"/>
    <col min="2" max="2" width="44" style="73" customWidth="1"/>
    <col min="3" max="4" width="6.28515625" style="73" customWidth="1"/>
    <col min="5" max="5" width="6.7109375" style="73" customWidth="1"/>
    <col min="6" max="6" width="2.28515625" style="73" customWidth="1"/>
    <col min="7" max="7" width="44.7109375" style="73" customWidth="1"/>
    <col min="8" max="8" width="7" style="73" customWidth="1"/>
    <col min="9" max="10" width="7.7109375" style="73" customWidth="1"/>
    <col min="11" max="11" width="12.42578125" style="73" customWidth="1"/>
    <col min="12" max="12" width="11.42578125" style="73"/>
    <col min="13" max="13" width="44.28515625" style="73" customWidth="1"/>
    <col min="14" max="14" width="4.140625" style="73" customWidth="1"/>
    <col min="15" max="15" width="3.7109375" style="73" customWidth="1"/>
    <col min="16" max="16" width="49.28515625" style="73" customWidth="1"/>
    <col min="17" max="17" width="6.7109375" style="73" customWidth="1"/>
    <col min="18" max="16384" width="11.42578125" style="73"/>
  </cols>
  <sheetData>
    <row r="1" spans="2:17" ht="18.75" x14ac:dyDescent="0.3">
      <c r="B1" s="423" t="s">
        <v>148</v>
      </c>
      <c r="C1" s="424"/>
      <c r="D1" s="424"/>
      <c r="E1" s="424"/>
      <c r="F1" s="424"/>
      <c r="G1" s="424"/>
      <c r="H1" s="424"/>
      <c r="I1" s="424"/>
      <c r="J1" s="424"/>
      <c r="K1" s="425"/>
      <c r="M1" s="426" t="s">
        <v>1595</v>
      </c>
      <c r="N1" s="427"/>
      <c r="O1" s="427"/>
      <c r="P1" s="427"/>
      <c r="Q1" s="428"/>
    </row>
    <row r="2" spans="2:17" ht="18.75" x14ac:dyDescent="0.3">
      <c r="B2" s="196" t="s">
        <v>1596</v>
      </c>
      <c r="C2" s="197" t="s">
        <v>1597</v>
      </c>
      <c r="D2" s="197"/>
      <c r="E2" s="197" t="s">
        <v>1598</v>
      </c>
      <c r="F2" s="198"/>
      <c r="G2" s="197" t="s">
        <v>1599</v>
      </c>
      <c r="H2" s="197" t="s">
        <v>1597</v>
      </c>
      <c r="I2" s="197" t="s">
        <v>1598</v>
      </c>
      <c r="J2" s="197"/>
      <c r="K2" s="199" t="s">
        <v>1600</v>
      </c>
      <c r="M2" s="200" t="s">
        <v>1601</v>
      </c>
      <c r="N2" s="201"/>
      <c r="O2" s="202"/>
      <c r="P2" s="203" t="s">
        <v>1602</v>
      </c>
      <c r="Q2" s="204"/>
    </row>
    <row r="3" spans="2:17" ht="15" customHeight="1" x14ac:dyDescent="0.25">
      <c r="B3" s="205" t="s">
        <v>604</v>
      </c>
      <c r="C3" s="74" t="s">
        <v>1603</v>
      </c>
      <c r="D3" s="74"/>
      <c r="E3" s="206">
        <v>1</v>
      </c>
      <c r="F3" s="207"/>
      <c r="G3" s="74" t="s">
        <v>738</v>
      </c>
      <c r="H3" s="74" t="s">
        <v>1604</v>
      </c>
      <c r="I3" s="208">
        <v>1</v>
      </c>
      <c r="J3" s="206"/>
      <c r="K3" s="209"/>
      <c r="M3" s="210" t="s">
        <v>1605</v>
      </c>
      <c r="N3" s="75">
        <v>1</v>
      </c>
      <c r="O3" s="207"/>
      <c r="P3" s="211" t="s">
        <v>1606</v>
      </c>
      <c r="Q3" s="212">
        <v>1</v>
      </c>
    </row>
    <row r="4" spans="2:17" ht="15" customHeight="1" x14ac:dyDescent="0.25">
      <c r="B4" s="205" t="s">
        <v>605</v>
      </c>
      <c r="C4" s="74" t="s">
        <v>1607</v>
      </c>
      <c r="D4" s="74"/>
      <c r="E4" s="213"/>
      <c r="F4" s="207"/>
      <c r="G4" s="74" t="s">
        <v>739</v>
      </c>
      <c r="H4" s="74" t="s">
        <v>1608</v>
      </c>
      <c r="I4" s="214"/>
      <c r="J4" s="214"/>
      <c r="K4" s="209"/>
      <c r="M4" s="210" t="s">
        <v>1609</v>
      </c>
      <c r="N4" s="75">
        <v>2</v>
      </c>
      <c r="O4" s="207"/>
      <c r="P4" s="211" t="s">
        <v>1610</v>
      </c>
      <c r="Q4" s="212">
        <v>2</v>
      </c>
    </row>
    <row r="5" spans="2:17" ht="15" customHeight="1" x14ac:dyDescent="0.25">
      <c r="B5" s="205" t="s">
        <v>606</v>
      </c>
      <c r="C5" s="74" t="s">
        <v>1611</v>
      </c>
      <c r="D5" s="74"/>
      <c r="E5" s="206">
        <v>2</v>
      </c>
      <c r="F5" s="207"/>
      <c r="G5" s="74" t="s">
        <v>740</v>
      </c>
      <c r="H5" s="74" t="s">
        <v>1612</v>
      </c>
      <c r="I5" s="206">
        <v>2</v>
      </c>
      <c r="J5" s="206"/>
      <c r="K5" s="215"/>
      <c r="M5" s="216" t="s">
        <v>1613</v>
      </c>
      <c r="N5" s="75">
        <v>3</v>
      </c>
      <c r="O5" s="207"/>
      <c r="P5" s="211" t="s">
        <v>1613</v>
      </c>
      <c r="Q5" s="212">
        <v>3</v>
      </c>
    </row>
    <row r="6" spans="2:17" ht="15" customHeight="1" x14ac:dyDescent="0.25">
      <c r="B6" s="205" t="s">
        <v>607</v>
      </c>
      <c r="C6" s="74" t="s">
        <v>1614</v>
      </c>
      <c r="D6" s="74"/>
      <c r="E6" s="206">
        <v>3</v>
      </c>
      <c r="F6" s="207"/>
      <c r="G6" s="74" t="s">
        <v>741</v>
      </c>
      <c r="H6" s="74" t="s">
        <v>1615</v>
      </c>
      <c r="I6" s="206">
        <v>3</v>
      </c>
      <c r="J6" s="206"/>
      <c r="K6" s="209"/>
      <c r="M6" s="216" t="s">
        <v>1616</v>
      </c>
      <c r="N6" s="75">
        <v>4</v>
      </c>
      <c r="O6" s="207"/>
      <c r="P6" s="211" t="s">
        <v>1616</v>
      </c>
      <c r="Q6" s="212">
        <v>4</v>
      </c>
    </row>
    <row r="7" spans="2:17" ht="15" customHeight="1" x14ac:dyDescent="0.25">
      <c r="B7" s="205" t="s">
        <v>608</v>
      </c>
      <c r="C7" s="74" t="s">
        <v>1617</v>
      </c>
      <c r="D7" s="74"/>
      <c r="E7" s="75" t="s">
        <v>1618</v>
      </c>
      <c r="F7" s="207"/>
      <c r="G7" s="74" t="s">
        <v>742</v>
      </c>
      <c r="H7" s="74" t="s">
        <v>1619</v>
      </c>
      <c r="I7" s="217" t="s">
        <v>1620</v>
      </c>
      <c r="J7" s="206"/>
      <c r="K7" s="215" t="s">
        <v>1621</v>
      </c>
      <c r="M7" s="216" t="s">
        <v>1622</v>
      </c>
      <c r="N7" s="75">
        <v>5</v>
      </c>
      <c r="O7" s="207"/>
      <c r="P7" s="211" t="s">
        <v>1622</v>
      </c>
      <c r="Q7" s="212">
        <v>5</v>
      </c>
    </row>
    <row r="8" spans="2:17" ht="15" customHeight="1" x14ac:dyDescent="0.25">
      <c r="B8" s="205" t="s">
        <v>609</v>
      </c>
      <c r="C8" s="74" t="s">
        <v>1623</v>
      </c>
      <c r="D8" s="74"/>
      <c r="E8" s="206">
        <v>6</v>
      </c>
      <c r="F8" s="207"/>
      <c r="G8" s="74" t="s">
        <v>743</v>
      </c>
      <c r="H8" s="74" t="s">
        <v>1624</v>
      </c>
      <c r="I8" s="206">
        <v>6</v>
      </c>
      <c r="J8" s="206"/>
      <c r="K8" s="215" t="s">
        <v>1621</v>
      </c>
      <c r="M8" s="216" t="s">
        <v>1625</v>
      </c>
      <c r="N8" s="75">
        <v>6</v>
      </c>
      <c r="O8" s="207"/>
      <c r="P8" s="211" t="s">
        <v>1625</v>
      </c>
      <c r="Q8" s="212">
        <v>6</v>
      </c>
    </row>
    <row r="9" spans="2:17" ht="15" customHeight="1" x14ac:dyDescent="0.25">
      <c r="B9" s="205" t="s">
        <v>610</v>
      </c>
      <c r="C9" s="74" t="s">
        <v>1626</v>
      </c>
      <c r="D9" s="74"/>
      <c r="E9" s="206" t="s">
        <v>1627</v>
      </c>
      <c r="F9" s="207"/>
      <c r="G9" s="74" t="s">
        <v>744</v>
      </c>
      <c r="H9" s="74" t="s">
        <v>1628</v>
      </c>
      <c r="I9" s="206" t="s">
        <v>1627</v>
      </c>
      <c r="J9" s="206"/>
      <c r="K9" s="215" t="s">
        <v>1621</v>
      </c>
      <c r="M9" s="216" t="s">
        <v>1629</v>
      </c>
      <c r="N9" s="75">
        <v>7</v>
      </c>
      <c r="O9" s="207"/>
      <c r="P9" s="211" t="s">
        <v>1629</v>
      </c>
      <c r="Q9" s="212">
        <v>7</v>
      </c>
    </row>
    <row r="10" spans="2:17" ht="15" customHeight="1" x14ac:dyDescent="0.25">
      <c r="B10" s="205" t="s">
        <v>611</v>
      </c>
      <c r="C10" s="74" t="s">
        <v>1630</v>
      </c>
      <c r="D10" s="74"/>
      <c r="E10" s="206">
        <v>9</v>
      </c>
      <c r="F10" s="207"/>
      <c r="G10" s="74" t="s">
        <v>745</v>
      </c>
      <c r="H10" s="74" t="s">
        <v>1631</v>
      </c>
      <c r="I10" s="206">
        <v>9</v>
      </c>
      <c r="J10" s="206"/>
      <c r="K10" s="215" t="s">
        <v>1621</v>
      </c>
      <c r="M10" s="216" t="s">
        <v>1632</v>
      </c>
      <c r="N10" s="75">
        <v>8</v>
      </c>
      <c r="O10" s="207"/>
      <c r="P10" s="211" t="s">
        <v>1632</v>
      </c>
      <c r="Q10" s="212">
        <v>8</v>
      </c>
    </row>
    <row r="11" spans="2:17" ht="15" customHeight="1" x14ac:dyDescent="0.25">
      <c r="B11" s="205" t="s">
        <v>612</v>
      </c>
      <c r="C11" s="74" t="s">
        <v>1633</v>
      </c>
      <c r="D11" s="74"/>
      <c r="E11" s="206" t="s">
        <v>1634</v>
      </c>
      <c r="F11" s="207"/>
      <c r="G11" s="74" t="s">
        <v>746</v>
      </c>
      <c r="H11" s="74" t="s">
        <v>1635</v>
      </c>
      <c r="I11" s="206" t="s">
        <v>1634</v>
      </c>
      <c r="J11" s="206"/>
      <c r="K11" s="215" t="s">
        <v>1621</v>
      </c>
      <c r="M11" s="216" t="s">
        <v>1636</v>
      </c>
      <c r="N11" s="75">
        <v>9</v>
      </c>
      <c r="O11" s="207"/>
      <c r="P11" s="211" t="s">
        <v>1636</v>
      </c>
      <c r="Q11" s="212">
        <v>9</v>
      </c>
    </row>
    <row r="12" spans="2:17" ht="15" customHeight="1" x14ac:dyDescent="0.25">
      <c r="B12" s="205" t="s">
        <v>613</v>
      </c>
      <c r="C12" s="74" t="s">
        <v>1637</v>
      </c>
      <c r="D12" s="74"/>
      <c r="E12" s="206">
        <v>12</v>
      </c>
      <c r="F12" s="207"/>
      <c r="G12" s="74" t="s">
        <v>747</v>
      </c>
      <c r="H12" s="74" t="s">
        <v>1638</v>
      </c>
      <c r="I12" s="206">
        <v>12</v>
      </c>
      <c r="J12" s="206"/>
      <c r="K12" s="209"/>
      <c r="M12" s="216" t="s">
        <v>1639</v>
      </c>
      <c r="N12" s="75">
        <v>10</v>
      </c>
      <c r="O12" s="207"/>
      <c r="P12" s="211" t="s">
        <v>1639</v>
      </c>
      <c r="Q12" s="212">
        <v>10</v>
      </c>
    </row>
    <row r="13" spans="2:17" ht="15" customHeight="1" x14ac:dyDescent="0.25">
      <c r="B13" s="205" t="s">
        <v>614</v>
      </c>
      <c r="C13" s="74" t="s">
        <v>1640</v>
      </c>
      <c r="D13" s="74"/>
      <c r="E13" s="206">
        <v>12</v>
      </c>
      <c r="F13" s="207"/>
      <c r="G13" s="74" t="s">
        <v>748</v>
      </c>
      <c r="H13" s="74" t="s">
        <v>1641</v>
      </c>
      <c r="I13" s="206">
        <v>12</v>
      </c>
      <c r="J13" s="206"/>
      <c r="K13" s="209"/>
      <c r="M13" s="216" t="s">
        <v>1642</v>
      </c>
      <c r="N13" s="75">
        <v>11</v>
      </c>
      <c r="O13" s="207"/>
      <c r="P13" s="211" t="s">
        <v>1642</v>
      </c>
      <c r="Q13" s="212">
        <v>11</v>
      </c>
    </row>
    <row r="14" spans="2:17" ht="15" customHeight="1" x14ac:dyDescent="0.25">
      <c r="B14" s="205" t="s">
        <v>615</v>
      </c>
      <c r="C14" s="74" t="s">
        <v>1643</v>
      </c>
      <c r="D14" s="74"/>
      <c r="E14" s="206">
        <v>13</v>
      </c>
      <c r="F14" s="207"/>
      <c r="G14" s="74" t="s">
        <v>749</v>
      </c>
      <c r="H14" s="74" t="s">
        <v>1644</v>
      </c>
      <c r="I14" s="206">
        <v>13</v>
      </c>
      <c r="J14" s="206"/>
      <c r="K14" s="209"/>
      <c r="M14" s="216" t="s">
        <v>1645</v>
      </c>
      <c r="N14" s="75">
        <v>12</v>
      </c>
      <c r="O14" s="207"/>
      <c r="P14" s="211" t="s">
        <v>1645</v>
      </c>
      <c r="Q14" s="212">
        <v>12</v>
      </c>
    </row>
    <row r="15" spans="2:17" ht="15" customHeight="1" x14ac:dyDescent="0.25">
      <c r="B15" s="205" t="s">
        <v>616</v>
      </c>
      <c r="C15" s="74" t="s">
        <v>1646</v>
      </c>
      <c r="D15" s="74"/>
      <c r="E15" s="206">
        <v>14</v>
      </c>
      <c r="F15" s="207"/>
      <c r="G15" s="74" t="s">
        <v>616</v>
      </c>
      <c r="H15" s="74" t="s">
        <v>1647</v>
      </c>
      <c r="I15" s="206">
        <v>14</v>
      </c>
      <c r="J15" s="206"/>
      <c r="K15" s="209"/>
      <c r="M15" s="216" t="s">
        <v>1648</v>
      </c>
      <c r="N15" s="75">
        <v>13</v>
      </c>
      <c r="O15" s="207"/>
      <c r="P15" s="211" t="s">
        <v>1648</v>
      </c>
      <c r="Q15" s="212">
        <v>13</v>
      </c>
    </row>
    <row r="16" spans="2:17" ht="15" customHeight="1" x14ac:dyDescent="0.25">
      <c r="B16" s="205" t="s">
        <v>617</v>
      </c>
      <c r="C16" s="74" t="s">
        <v>1649</v>
      </c>
      <c r="D16" s="74"/>
      <c r="E16" s="208" t="s">
        <v>1650</v>
      </c>
      <c r="F16" s="207"/>
      <c r="G16" s="74" t="s">
        <v>617</v>
      </c>
      <c r="H16" s="74" t="s">
        <v>1651</v>
      </c>
      <c r="I16" s="208" t="s">
        <v>1650</v>
      </c>
      <c r="J16" s="206"/>
      <c r="K16" s="209"/>
      <c r="M16" s="218" t="s">
        <v>1652</v>
      </c>
      <c r="N16" s="75">
        <v>14</v>
      </c>
      <c r="O16" s="207"/>
      <c r="P16" s="211" t="s">
        <v>1652</v>
      </c>
      <c r="Q16" s="212">
        <v>14</v>
      </c>
    </row>
    <row r="17" spans="2:17" ht="15" customHeight="1" x14ac:dyDescent="0.25">
      <c r="B17" s="205" t="s">
        <v>618</v>
      </c>
      <c r="C17" s="74" t="s">
        <v>1653</v>
      </c>
      <c r="D17" s="74"/>
      <c r="E17" s="206">
        <v>17</v>
      </c>
      <c r="F17" s="207"/>
      <c r="G17" s="74" t="s">
        <v>618</v>
      </c>
      <c r="H17" s="74" t="s">
        <v>1654</v>
      </c>
      <c r="I17" s="206">
        <v>17</v>
      </c>
      <c r="J17" s="206"/>
      <c r="K17" s="209"/>
      <c r="M17" s="218" t="s">
        <v>1655</v>
      </c>
      <c r="N17" s="75">
        <v>15</v>
      </c>
      <c r="O17" s="207"/>
      <c r="P17" s="211" t="s">
        <v>1655</v>
      </c>
      <c r="Q17" s="212">
        <v>15</v>
      </c>
    </row>
    <row r="18" spans="2:17" ht="15" customHeight="1" x14ac:dyDescent="0.25">
      <c r="B18" s="205" t="s">
        <v>619</v>
      </c>
      <c r="C18" s="74" t="s">
        <v>1656</v>
      </c>
      <c r="D18" s="74"/>
      <c r="E18" s="206">
        <v>18</v>
      </c>
      <c r="F18" s="207"/>
      <c r="G18" s="74" t="s">
        <v>619</v>
      </c>
      <c r="H18" s="74" t="s">
        <v>1657</v>
      </c>
      <c r="I18" s="206">
        <v>18</v>
      </c>
      <c r="J18" s="206"/>
      <c r="K18" s="215" t="s">
        <v>1621</v>
      </c>
      <c r="M18" s="218" t="s">
        <v>1658</v>
      </c>
      <c r="N18" s="75">
        <v>16</v>
      </c>
      <c r="O18" s="207"/>
      <c r="P18" s="211" t="s">
        <v>1658</v>
      </c>
      <c r="Q18" s="212">
        <v>16</v>
      </c>
    </row>
    <row r="19" spans="2:17" ht="15" customHeight="1" x14ac:dyDescent="0.25">
      <c r="B19" s="205" t="s">
        <v>620</v>
      </c>
      <c r="C19" s="74" t="s">
        <v>1659</v>
      </c>
      <c r="D19" s="74"/>
      <c r="E19" s="206">
        <v>19</v>
      </c>
      <c r="F19" s="207"/>
      <c r="G19" s="74" t="s">
        <v>620</v>
      </c>
      <c r="H19" s="74" t="s">
        <v>1660</v>
      </c>
      <c r="I19" s="206">
        <v>19</v>
      </c>
      <c r="J19" s="206"/>
      <c r="K19" s="209"/>
      <c r="M19" s="218" t="s">
        <v>1661</v>
      </c>
      <c r="N19" s="75">
        <v>17</v>
      </c>
      <c r="O19" s="207"/>
      <c r="P19" s="211" t="s">
        <v>1661</v>
      </c>
      <c r="Q19" s="212">
        <v>17</v>
      </c>
    </row>
    <row r="20" spans="2:17" ht="15" customHeight="1" x14ac:dyDescent="0.25">
      <c r="B20" s="205" t="s">
        <v>621</v>
      </c>
      <c r="C20" s="74" t="s">
        <v>1662</v>
      </c>
      <c r="D20" s="74"/>
      <c r="E20" s="206">
        <v>20</v>
      </c>
      <c r="F20" s="207"/>
      <c r="G20" s="74" t="s">
        <v>621</v>
      </c>
      <c r="H20" s="74" t="s">
        <v>1663</v>
      </c>
      <c r="I20" s="206">
        <v>20</v>
      </c>
      <c r="J20" s="206"/>
      <c r="K20" s="209"/>
      <c r="M20" s="218" t="s">
        <v>1664</v>
      </c>
      <c r="N20" s="75">
        <v>18</v>
      </c>
      <c r="O20" s="207"/>
      <c r="P20" s="211" t="s">
        <v>1664</v>
      </c>
      <c r="Q20" s="212">
        <v>18</v>
      </c>
    </row>
    <row r="21" spans="2:17" ht="15" customHeight="1" x14ac:dyDescent="0.25">
      <c r="B21" s="205" t="s">
        <v>622</v>
      </c>
      <c r="C21" s="74" t="s">
        <v>1665</v>
      </c>
      <c r="D21" s="74"/>
      <c r="F21" s="207"/>
      <c r="G21" s="74" t="s">
        <v>750</v>
      </c>
      <c r="H21" s="74" t="s">
        <v>1666</v>
      </c>
      <c r="I21" s="217">
        <v>21</v>
      </c>
      <c r="J21" s="217"/>
      <c r="K21" s="215" t="s">
        <v>1621</v>
      </c>
      <c r="M21" s="216" t="s">
        <v>1667</v>
      </c>
      <c r="N21" s="75">
        <v>19</v>
      </c>
      <c r="O21" s="207"/>
      <c r="P21" s="211" t="s">
        <v>1667</v>
      </c>
      <c r="Q21" s="212">
        <v>19</v>
      </c>
    </row>
    <row r="22" spans="2:17" ht="15" customHeight="1" x14ac:dyDescent="0.25">
      <c r="B22" s="205" t="s">
        <v>510</v>
      </c>
      <c r="C22" s="74" t="s">
        <v>1668</v>
      </c>
      <c r="D22" s="74"/>
      <c r="E22" s="217">
        <v>21</v>
      </c>
      <c r="F22" s="207"/>
      <c r="G22" s="219" t="s">
        <v>466</v>
      </c>
      <c r="H22" s="219" t="s">
        <v>1669</v>
      </c>
      <c r="I22" s="220" t="s">
        <v>1670</v>
      </c>
      <c r="J22" s="220" t="s">
        <v>1671</v>
      </c>
      <c r="K22" s="215" t="s">
        <v>1621</v>
      </c>
      <c r="M22" s="216" t="s">
        <v>1672</v>
      </c>
      <c r="N22" s="75">
        <v>20</v>
      </c>
      <c r="O22" s="207"/>
      <c r="P22" s="211" t="s">
        <v>1672</v>
      </c>
      <c r="Q22" s="212">
        <v>20</v>
      </c>
    </row>
    <row r="23" spans="2:17" ht="15" customHeight="1" x14ac:dyDescent="0.25">
      <c r="B23" s="221" t="s">
        <v>511</v>
      </c>
      <c r="C23" s="222" t="s">
        <v>1673</v>
      </c>
      <c r="D23" s="222" t="s">
        <v>150</v>
      </c>
      <c r="E23" s="217">
        <v>22</v>
      </c>
      <c r="F23" s="207"/>
      <c r="G23" s="219" t="s">
        <v>467</v>
      </c>
      <c r="H23" s="219" t="s">
        <v>1674</v>
      </c>
      <c r="I23" s="220" t="s">
        <v>1675</v>
      </c>
      <c r="J23" s="220" t="s">
        <v>1671</v>
      </c>
      <c r="K23" s="215" t="s">
        <v>1621</v>
      </c>
      <c r="M23" s="216" t="s">
        <v>1676</v>
      </c>
      <c r="N23" s="75">
        <v>21</v>
      </c>
      <c r="O23" s="207"/>
      <c r="P23" s="223" t="s">
        <v>1677</v>
      </c>
      <c r="Q23" s="224">
        <v>21</v>
      </c>
    </row>
    <row r="24" spans="2:17" ht="15" customHeight="1" x14ac:dyDescent="0.25">
      <c r="B24" s="221" t="s">
        <v>512</v>
      </c>
      <c r="C24" s="222" t="s">
        <v>1678</v>
      </c>
      <c r="D24" s="222" t="s">
        <v>150</v>
      </c>
      <c r="E24" s="217">
        <v>22</v>
      </c>
      <c r="F24" s="207"/>
      <c r="G24" s="219" t="s">
        <v>470</v>
      </c>
      <c r="H24" s="219" t="s">
        <v>1679</v>
      </c>
      <c r="I24" s="220" t="s">
        <v>1680</v>
      </c>
      <c r="J24" s="220" t="s">
        <v>1671</v>
      </c>
      <c r="K24" s="215" t="s">
        <v>1621</v>
      </c>
      <c r="M24" s="216" t="s">
        <v>1681</v>
      </c>
      <c r="N24" s="75">
        <v>22</v>
      </c>
      <c r="O24" s="207"/>
      <c r="P24" s="225" t="s">
        <v>158</v>
      </c>
      <c r="Q24" s="226" t="s">
        <v>1670</v>
      </c>
    </row>
    <row r="25" spans="2:17" ht="15" customHeight="1" x14ac:dyDescent="0.25">
      <c r="B25" s="221" t="s">
        <v>513</v>
      </c>
      <c r="C25" s="222" t="s">
        <v>1682</v>
      </c>
      <c r="D25" s="222" t="s">
        <v>150</v>
      </c>
      <c r="E25" s="217">
        <v>22</v>
      </c>
      <c r="F25" s="207"/>
      <c r="G25" s="219" t="s">
        <v>471</v>
      </c>
      <c r="H25" s="219" t="s">
        <v>1683</v>
      </c>
      <c r="I25" s="220" t="s">
        <v>1684</v>
      </c>
      <c r="J25" s="220" t="s">
        <v>1671</v>
      </c>
      <c r="K25" s="215" t="s">
        <v>1621</v>
      </c>
      <c r="M25" s="216" t="s">
        <v>1685</v>
      </c>
      <c r="N25" s="75">
        <v>23</v>
      </c>
      <c r="O25" s="207"/>
      <c r="P25" s="225" t="s">
        <v>1686</v>
      </c>
      <c r="Q25" s="226" t="s">
        <v>1675</v>
      </c>
    </row>
    <row r="26" spans="2:17" ht="15" customHeight="1" x14ac:dyDescent="0.25">
      <c r="B26" s="300" t="s">
        <v>514</v>
      </c>
      <c r="C26" s="227" t="s">
        <v>1687</v>
      </c>
      <c r="D26" s="227" t="s">
        <v>152</v>
      </c>
      <c r="E26" s="217">
        <v>24</v>
      </c>
      <c r="F26" s="207"/>
      <c r="G26" s="228" t="s">
        <v>474</v>
      </c>
      <c r="H26" s="228" t="s">
        <v>1688</v>
      </c>
      <c r="I26" s="229" t="s">
        <v>1689</v>
      </c>
      <c r="J26" s="229" t="s">
        <v>1690</v>
      </c>
      <c r="K26" s="215" t="s">
        <v>1621</v>
      </c>
      <c r="M26" s="216" t="s">
        <v>1691</v>
      </c>
      <c r="N26" s="75">
        <v>24</v>
      </c>
      <c r="O26" s="207"/>
      <c r="P26" s="230" t="s">
        <v>1692</v>
      </c>
      <c r="Q26" s="231" t="s">
        <v>1689</v>
      </c>
    </row>
    <row r="27" spans="2:17" ht="15" customHeight="1" x14ac:dyDescent="0.25">
      <c r="B27" s="232" t="s">
        <v>515</v>
      </c>
      <c r="C27" s="233" t="s">
        <v>1693</v>
      </c>
      <c r="D27" s="233" t="s">
        <v>1694</v>
      </c>
      <c r="E27" s="217">
        <v>23</v>
      </c>
      <c r="F27" s="207"/>
      <c r="G27" s="228" t="s">
        <v>475</v>
      </c>
      <c r="H27" s="228" t="s">
        <v>1695</v>
      </c>
      <c r="I27" s="229" t="s">
        <v>1696</v>
      </c>
      <c r="J27" s="229" t="s">
        <v>1690</v>
      </c>
      <c r="K27" s="215" t="s">
        <v>1621</v>
      </c>
      <c r="M27" s="234"/>
      <c r="N27" s="75"/>
      <c r="O27" s="207"/>
      <c r="P27" s="230" t="s">
        <v>1697</v>
      </c>
      <c r="Q27" s="231" t="s">
        <v>1696</v>
      </c>
    </row>
    <row r="28" spans="2:17" ht="15" customHeight="1" x14ac:dyDescent="0.25">
      <c r="B28" s="205" t="s">
        <v>516</v>
      </c>
      <c r="C28" s="74" t="s">
        <v>1698</v>
      </c>
      <c r="D28" s="74"/>
      <c r="E28" s="235"/>
      <c r="F28" s="207"/>
      <c r="G28" s="228" t="s">
        <v>476</v>
      </c>
      <c r="H28" s="228" t="s">
        <v>1699</v>
      </c>
      <c r="I28" s="229" t="s">
        <v>1700</v>
      </c>
      <c r="J28" s="229" t="s">
        <v>1690</v>
      </c>
      <c r="K28" s="215" t="s">
        <v>1621</v>
      </c>
      <c r="M28" s="234"/>
      <c r="N28" s="75"/>
      <c r="O28" s="207"/>
      <c r="P28" s="230" t="s">
        <v>1701</v>
      </c>
      <c r="Q28" s="231" t="s">
        <v>1700</v>
      </c>
    </row>
    <row r="29" spans="2:17" ht="15" customHeight="1" x14ac:dyDescent="0.25">
      <c r="B29" s="205" t="s">
        <v>517</v>
      </c>
      <c r="C29" s="74" t="s">
        <v>1702</v>
      </c>
      <c r="D29" s="74"/>
      <c r="E29" s="235"/>
      <c r="F29" s="207"/>
      <c r="G29" s="228" t="s">
        <v>477</v>
      </c>
      <c r="H29" s="228" t="s">
        <v>1703</v>
      </c>
      <c r="I29" s="229" t="s">
        <v>1704</v>
      </c>
      <c r="J29" s="229" t="s">
        <v>1690</v>
      </c>
      <c r="K29" s="215" t="s">
        <v>1621</v>
      </c>
      <c r="M29" s="234"/>
      <c r="N29" s="75"/>
      <c r="O29" s="207"/>
      <c r="P29" s="230" t="s">
        <v>1705</v>
      </c>
      <c r="Q29" s="231" t="s">
        <v>1704</v>
      </c>
    </row>
    <row r="30" spans="2:17" ht="15" customHeight="1" x14ac:dyDescent="0.25">
      <c r="B30" s="205" t="s">
        <v>518</v>
      </c>
      <c r="C30" s="74" t="s">
        <v>1706</v>
      </c>
      <c r="D30" s="74"/>
      <c r="E30" s="235"/>
      <c r="F30" s="207"/>
      <c r="G30" s="228" t="s">
        <v>478</v>
      </c>
      <c r="H30" s="228" t="s">
        <v>1707</v>
      </c>
      <c r="I30" s="229" t="s">
        <v>1708</v>
      </c>
      <c r="J30" s="229" t="s">
        <v>1690</v>
      </c>
      <c r="K30" s="215" t="s">
        <v>1621</v>
      </c>
      <c r="M30" s="234"/>
      <c r="N30" s="75"/>
      <c r="O30" s="207"/>
      <c r="P30" s="230" t="s">
        <v>1709</v>
      </c>
      <c r="Q30" s="231" t="s">
        <v>1708</v>
      </c>
    </row>
    <row r="31" spans="2:17" ht="15" customHeight="1" x14ac:dyDescent="0.25">
      <c r="B31" s="234"/>
      <c r="C31" s="75"/>
      <c r="D31" s="75"/>
      <c r="E31" s="75"/>
      <c r="F31" s="207"/>
      <c r="G31" s="228" t="s">
        <v>479</v>
      </c>
      <c r="H31" s="228" t="s">
        <v>1710</v>
      </c>
      <c r="I31" s="229" t="s">
        <v>1711</v>
      </c>
      <c r="J31" s="229" t="s">
        <v>1690</v>
      </c>
      <c r="K31" s="215" t="s">
        <v>1621</v>
      </c>
      <c r="M31" s="234"/>
      <c r="N31" s="75"/>
      <c r="O31" s="207"/>
      <c r="P31" s="230" t="s">
        <v>1712</v>
      </c>
      <c r="Q31" s="231" t="s">
        <v>1711</v>
      </c>
    </row>
    <row r="32" spans="2:17" ht="15" customHeight="1" x14ac:dyDescent="0.25">
      <c r="B32" s="234"/>
      <c r="C32" s="75"/>
      <c r="D32" s="75"/>
      <c r="E32" s="75"/>
      <c r="F32" s="207"/>
      <c r="G32" s="228" t="s">
        <v>480</v>
      </c>
      <c r="H32" s="228" t="s">
        <v>1713</v>
      </c>
      <c r="I32" s="229" t="s">
        <v>1714</v>
      </c>
      <c r="J32" s="229" t="s">
        <v>1690</v>
      </c>
      <c r="K32" s="215" t="s">
        <v>1621</v>
      </c>
      <c r="M32" s="234"/>
      <c r="N32" s="75"/>
      <c r="O32" s="207"/>
      <c r="P32" s="230" t="s">
        <v>1715</v>
      </c>
      <c r="Q32" s="231" t="s">
        <v>1714</v>
      </c>
    </row>
    <row r="33" spans="2:17" ht="15" customHeight="1" x14ac:dyDescent="0.25">
      <c r="B33" s="234"/>
      <c r="C33" s="75"/>
      <c r="D33" s="75"/>
      <c r="E33" s="75"/>
      <c r="F33" s="207"/>
      <c r="G33" s="228" t="s">
        <v>481</v>
      </c>
      <c r="H33" s="228" t="s">
        <v>1716</v>
      </c>
      <c r="I33" s="236" t="s">
        <v>1717</v>
      </c>
      <c r="J33" s="229" t="s">
        <v>1690</v>
      </c>
      <c r="K33" s="215" t="s">
        <v>1621</v>
      </c>
      <c r="M33" s="234"/>
      <c r="N33" s="75"/>
      <c r="O33" s="207"/>
      <c r="P33" s="230" t="s">
        <v>1718</v>
      </c>
      <c r="Q33" s="231" t="s">
        <v>1719</v>
      </c>
    </row>
    <row r="34" spans="2:17" ht="15" customHeight="1" x14ac:dyDescent="0.25">
      <c r="B34" s="237"/>
      <c r="C34" s="238"/>
      <c r="D34" s="238"/>
      <c r="E34" s="238"/>
      <c r="F34" s="239"/>
      <c r="G34" s="240" t="s">
        <v>482</v>
      </c>
      <c r="H34" s="240" t="s">
        <v>1720</v>
      </c>
      <c r="I34" s="241"/>
      <c r="J34" s="242" t="s">
        <v>1690</v>
      </c>
      <c r="K34" s="243" t="s">
        <v>1621</v>
      </c>
      <c r="M34" s="234"/>
      <c r="N34" s="75"/>
      <c r="O34" s="207"/>
      <c r="P34" s="244" t="s">
        <v>1721</v>
      </c>
      <c r="Q34" s="245" t="s">
        <v>1680</v>
      </c>
    </row>
    <row r="35" spans="2:17" ht="15" customHeight="1" x14ac:dyDescent="0.25">
      <c r="M35" s="234"/>
      <c r="N35" s="75"/>
      <c r="O35" s="207"/>
      <c r="P35" s="246" t="s">
        <v>1722</v>
      </c>
      <c r="Q35" s="247" t="s">
        <v>1723</v>
      </c>
    </row>
    <row r="36" spans="2:17" ht="15" customHeight="1" x14ac:dyDescent="0.25">
      <c r="M36" s="234"/>
      <c r="N36" s="75"/>
      <c r="O36" s="207"/>
      <c r="P36" s="244" t="s">
        <v>1724</v>
      </c>
      <c r="Q36" s="245" t="s">
        <v>1684</v>
      </c>
    </row>
    <row r="37" spans="2:17" ht="15" customHeight="1" x14ac:dyDescent="0.25">
      <c r="M37" s="234"/>
      <c r="N37" s="75"/>
      <c r="O37" s="207"/>
      <c r="P37" s="244" t="s">
        <v>1725</v>
      </c>
      <c r="Q37" s="245" t="s">
        <v>1726</v>
      </c>
    </row>
    <row r="38" spans="2:17" ht="15" customHeight="1" x14ac:dyDescent="0.25">
      <c r="M38" s="234"/>
      <c r="N38" s="75"/>
      <c r="O38" s="207"/>
      <c r="P38" s="244" t="s">
        <v>1727</v>
      </c>
      <c r="Q38" s="245" t="s">
        <v>1728</v>
      </c>
    </row>
    <row r="39" spans="2:17" ht="15" customHeight="1" x14ac:dyDescent="0.25">
      <c r="M39" s="237"/>
      <c r="N39" s="238"/>
      <c r="O39" s="239"/>
      <c r="P39" s="248" t="s">
        <v>1718</v>
      </c>
      <c r="Q39" s="249" t="s">
        <v>1729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selection activeCell="A19" sqref="A19"/>
    </sheetView>
  </sheetViews>
  <sheetFormatPr baseColWidth="10" defaultRowHeight="15" x14ac:dyDescent="0.25"/>
  <cols>
    <col min="1" max="1" width="11.42578125" style="73"/>
    <col min="2" max="2" width="50.140625" style="73" customWidth="1"/>
    <col min="3" max="3" width="8.85546875" style="73" customWidth="1"/>
    <col min="4" max="4" width="42.7109375" style="73" customWidth="1"/>
    <col min="5" max="16384" width="11.42578125" style="73"/>
  </cols>
  <sheetData>
    <row r="1" spans="2:5" ht="15.75" thickBot="1" x14ac:dyDescent="0.3">
      <c r="B1" s="250" t="s">
        <v>1730</v>
      </c>
      <c r="C1" s="251" t="s">
        <v>1731</v>
      </c>
      <c r="D1" s="252" t="s">
        <v>1732</v>
      </c>
      <c r="E1" s="253" t="str">
        <f>C1</f>
        <v>Acronym</v>
      </c>
    </row>
    <row r="2" spans="2:5" x14ac:dyDescent="0.25">
      <c r="B2" s="254" t="s">
        <v>738</v>
      </c>
      <c r="C2" s="255" t="s">
        <v>1604</v>
      </c>
      <c r="D2" s="256" t="s">
        <v>604</v>
      </c>
      <c r="E2" s="257" t="s">
        <v>1603</v>
      </c>
    </row>
    <row r="3" spans="2:5" x14ac:dyDescent="0.25">
      <c r="B3" s="258"/>
      <c r="C3" s="259"/>
      <c r="D3" s="260" t="s">
        <v>1733</v>
      </c>
      <c r="E3" s="261" t="s">
        <v>1702</v>
      </c>
    </row>
    <row r="4" spans="2:5" x14ac:dyDescent="0.25">
      <c r="B4" s="262" t="s">
        <v>739</v>
      </c>
      <c r="C4" s="263" t="s">
        <v>1608</v>
      </c>
      <c r="D4" s="264" t="s">
        <v>605</v>
      </c>
      <c r="E4" s="265" t="s">
        <v>1607</v>
      </c>
    </row>
    <row r="5" spans="2:5" x14ac:dyDescent="0.25">
      <c r="B5" s="262" t="s">
        <v>740</v>
      </c>
      <c r="C5" s="263" t="s">
        <v>1612</v>
      </c>
      <c r="D5" s="264" t="s">
        <v>606</v>
      </c>
      <c r="E5" s="265" t="s">
        <v>1611</v>
      </c>
    </row>
    <row r="6" spans="2:5" x14ac:dyDescent="0.25">
      <c r="B6" s="262" t="s">
        <v>741</v>
      </c>
      <c r="C6" s="263" t="s">
        <v>1615</v>
      </c>
      <c r="D6" s="264" t="s">
        <v>607</v>
      </c>
      <c r="E6" s="265" t="s">
        <v>1614</v>
      </c>
    </row>
    <row r="7" spans="2:5" x14ac:dyDescent="0.25">
      <c r="B7" s="262" t="s">
        <v>742</v>
      </c>
      <c r="C7" s="263" t="s">
        <v>1619</v>
      </c>
      <c r="D7" s="264" t="s">
        <v>608</v>
      </c>
      <c r="E7" s="265" t="s">
        <v>1617</v>
      </c>
    </row>
    <row r="8" spans="2:5" x14ac:dyDescent="0.25">
      <c r="B8" s="262" t="s">
        <v>743</v>
      </c>
      <c r="C8" s="263" t="s">
        <v>1624</v>
      </c>
      <c r="D8" s="264" t="s">
        <v>609</v>
      </c>
      <c r="E8" s="265" t="s">
        <v>1623</v>
      </c>
    </row>
    <row r="9" spans="2:5" x14ac:dyDescent="0.25">
      <c r="B9" s="262" t="s">
        <v>744</v>
      </c>
      <c r="C9" s="263" t="s">
        <v>1628</v>
      </c>
      <c r="D9" s="264" t="s">
        <v>610</v>
      </c>
      <c r="E9" s="265" t="s">
        <v>1626</v>
      </c>
    </row>
    <row r="10" spans="2:5" x14ac:dyDescent="0.25">
      <c r="B10" s="262" t="s">
        <v>745</v>
      </c>
      <c r="C10" s="263" t="s">
        <v>1631</v>
      </c>
      <c r="D10" s="264" t="s">
        <v>611</v>
      </c>
      <c r="E10" s="265" t="s">
        <v>1630</v>
      </c>
    </row>
    <row r="11" spans="2:5" x14ac:dyDescent="0.25">
      <c r="B11" s="262" t="s">
        <v>746</v>
      </c>
      <c r="C11" s="263" t="s">
        <v>1635</v>
      </c>
      <c r="D11" s="264" t="s">
        <v>612</v>
      </c>
      <c r="E11" s="265" t="s">
        <v>1633</v>
      </c>
    </row>
    <row r="12" spans="2:5" x14ac:dyDescent="0.25">
      <c r="B12" s="262" t="s">
        <v>747</v>
      </c>
      <c r="C12" s="263" t="s">
        <v>1638</v>
      </c>
      <c r="D12" s="264" t="s">
        <v>613</v>
      </c>
      <c r="E12" s="265" t="s">
        <v>1637</v>
      </c>
    </row>
    <row r="13" spans="2:5" x14ac:dyDescent="0.25">
      <c r="B13" s="262" t="s">
        <v>748</v>
      </c>
      <c r="C13" s="263" t="s">
        <v>1641</v>
      </c>
      <c r="D13" s="264" t="s">
        <v>614</v>
      </c>
      <c r="E13" s="265" t="s">
        <v>1640</v>
      </c>
    </row>
    <row r="14" spans="2:5" ht="15.75" thickBot="1" x14ac:dyDescent="0.3">
      <c r="B14" s="258" t="s">
        <v>749</v>
      </c>
      <c r="C14" s="259" t="s">
        <v>1644</v>
      </c>
      <c r="D14" s="260" t="s">
        <v>615</v>
      </c>
      <c r="E14" s="266" t="s">
        <v>1643</v>
      </c>
    </row>
    <row r="15" spans="2:5" x14ac:dyDescent="0.25">
      <c r="B15" s="267" t="s">
        <v>616</v>
      </c>
      <c r="C15" s="268" t="s">
        <v>1647</v>
      </c>
      <c r="D15" s="269" t="s">
        <v>616</v>
      </c>
      <c r="E15" s="270" t="s">
        <v>1646</v>
      </c>
    </row>
    <row r="16" spans="2:5" x14ac:dyDescent="0.25">
      <c r="B16" s="271" t="s">
        <v>617</v>
      </c>
      <c r="C16" s="263" t="s">
        <v>1651</v>
      </c>
      <c r="D16" s="264" t="s">
        <v>617</v>
      </c>
      <c r="E16" s="272" t="s">
        <v>1649</v>
      </c>
    </row>
    <row r="17" spans="1:5" x14ac:dyDescent="0.25">
      <c r="B17" s="271" t="s">
        <v>618</v>
      </c>
      <c r="C17" s="263" t="s">
        <v>1654</v>
      </c>
      <c r="D17" s="264" t="s">
        <v>618</v>
      </c>
      <c r="E17" s="272" t="s">
        <v>1653</v>
      </c>
    </row>
    <row r="18" spans="1:5" ht="15.75" thickBot="1" x14ac:dyDescent="0.3">
      <c r="B18" s="273" t="s">
        <v>619</v>
      </c>
      <c r="C18" s="274" t="s">
        <v>1657</v>
      </c>
      <c r="D18" s="275" t="s">
        <v>619</v>
      </c>
      <c r="E18" s="276" t="s">
        <v>1656</v>
      </c>
    </row>
    <row r="19" spans="1:5" x14ac:dyDescent="0.25">
      <c r="B19" s="258" t="s">
        <v>620</v>
      </c>
      <c r="C19" s="259" t="s">
        <v>1660</v>
      </c>
      <c r="D19" s="260" t="s">
        <v>620</v>
      </c>
      <c r="E19" s="266" t="s">
        <v>1659</v>
      </c>
    </row>
    <row r="20" spans="1:5" ht="15.75" thickBot="1" x14ac:dyDescent="0.3">
      <c r="B20" s="277" t="s">
        <v>621</v>
      </c>
      <c r="C20" s="278" t="s">
        <v>1663</v>
      </c>
      <c r="D20" s="279" t="s">
        <v>621</v>
      </c>
      <c r="E20" s="280" t="s">
        <v>1662</v>
      </c>
    </row>
    <row r="21" spans="1:5" x14ac:dyDescent="0.25">
      <c r="B21" s="281" t="s">
        <v>750</v>
      </c>
      <c r="C21" s="282" t="s">
        <v>1666</v>
      </c>
      <c r="D21" s="283" t="s">
        <v>622</v>
      </c>
      <c r="E21" s="284" t="s">
        <v>1665</v>
      </c>
    </row>
    <row r="22" spans="1:5" x14ac:dyDescent="0.25">
      <c r="B22" s="285"/>
      <c r="C22" s="259"/>
      <c r="D22" s="260" t="s">
        <v>510</v>
      </c>
      <c r="E22" s="286" t="s">
        <v>1668</v>
      </c>
    </row>
    <row r="23" spans="1:5" x14ac:dyDescent="0.25">
      <c r="B23" s="285"/>
      <c r="C23" s="259"/>
      <c r="D23" s="260" t="s">
        <v>1734</v>
      </c>
      <c r="E23" s="286" t="s">
        <v>1735</v>
      </c>
    </row>
    <row r="24" spans="1:5" x14ac:dyDescent="0.25">
      <c r="B24" s="285"/>
      <c r="C24" s="259"/>
      <c r="D24" s="260" t="s">
        <v>511</v>
      </c>
      <c r="E24" s="286" t="s">
        <v>1673</v>
      </c>
    </row>
    <row r="25" spans="1:5" x14ac:dyDescent="0.25">
      <c r="B25" s="285"/>
      <c r="C25" s="259"/>
      <c r="D25" s="287" t="s">
        <v>1736</v>
      </c>
      <c r="E25" s="288" t="s">
        <v>1737</v>
      </c>
    </row>
    <row r="26" spans="1:5" x14ac:dyDescent="0.25">
      <c r="A26" s="429" t="s">
        <v>1738</v>
      </c>
      <c r="B26" s="289" t="s">
        <v>466</v>
      </c>
      <c r="C26" s="278" t="s">
        <v>1669</v>
      </c>
      <c r="D26" s="279" t="s">
        <v>512</v>
      </c>
      <c r="E26" s="290" t="s">
        <v>1678</v>
      </c>
    </row>
    <row r="27" spans="1:5" x14ac:dyDescent="0.25">
      <c r="A27" s="429"/>
      <c r="B27" s="285" t="s">
        <v>467</v>
      </c>
      <c r="C27" s="291" t="s">
        <v>1674</v>
      </c>
      <c r="D27" s="260" t="s">
        <v>513</v>
      </c>
      <c r="E27" s="286" t="s">
        <v>1682</v>
      </c>
    </row>
    <row r="28" spans="1:5" x14ac:dyDescent="0.25">
      <c r="A28" s="429"/>
      <c r="B28" s="292"/>
      <c r="C28" s="293"/>
      <c r="D28" s="294" t="s">
        <v>1739</v>
      </c>
      <c r="E28" s="295" t="s">
        <v>1740</v>
      </c>
    </row>
    <row r="29" spans="1:5" x14ac:dyDescent="0.25">
      <c r="A29" s="429"/>
      <c r="B29" s="285" t="s">
        <v>470</v>
      </c>
      <c r="C29" s="259" t="s">
        <v>1679</v>
      </c>
      <c r="D29" s="287" t="s">
        <v>514</v>
      </c>
      <c r="E29" s="288" t="s">
        <v>1687</v>
      </c>
    </row>
    <row r="30" spans="1:5" x14ac:dyDescent="0.25">
      <c r="A30" s="429"/>
      <c r="B30" s="285" t="s">
        <v>471</v>
      </c>
      <c r="C30" s="259" t="s">
        <v>1683</v>
      </c>
      <c r="D30" s="260" t="s">
        <v>1741</v>
      </c>
      <c r="E30" s="286" t="s">
        <v>1742</v>
      </c>
    </row>
    <row r="31" spans="1:5" x14ac:dyDescent="0.25">
      <c r="A31" s="430" t="s">
        <v>1743</v>
      </c>
      <c r="B31" s="289" t="s">
        <v>1744</v>
      </c>
      <c r="C31" s="278" t="s">
        <v>1745</v>
      </c>
      <c r="D31" s="279"/>
      <c r="E31" s="290"/>
    </row>
    <row r="32" spans="1:5" x14ac:dyDescent="0.25">
      <c r="A32" s="430"/>
      <c r="B32" s="285" t="s">
        <v>474</v>
      </c>
      <c r="C32" s="259" t="s">
        <v>1688</v>
      </c>
      <c r="D32" s="260"/>
      <c r="E32" s="286"/>
    </row>
    <row r="33" spans="1:5" x14ac:dyDescent="0.25">
      <c r="A33" s="430"/>
      <c r="B33" s="285" t="s">
        <v>475</v>
      </c>
      <c r="C33" s="259" t="s">
        <v>1695</v>
      </c>
      <c r="D33" s="260"/>
      <c r="E33" s="286"/>
    </row>
    <row r="34" spans="1:5" x14ac:dyDescent="0.25">
      <c r="A34" s="430"/>
      <c r="B34" s="285" t="s">
        <v>476</v>
      </c>
      <c r="C34" s="259" t="s">
        <v>1699</v>
      </c>
      <c r="D34" s="260" t="s">
        <v>515</v>
      </c>
      <c r="E34" s="286" t="s">
        <v>1693</v>
      </c>
    </row>
    <row r="35" spans="1:5" x14ac:dyDescent="0.25">
      <c r="A35" s="430"/>
      <c r="B35" s="285" t="s">
        <v>477</v>
      </c>
      <c r="C35" s="259" t="s">
        <v>1703</v>
      </c>
      <c r="D35" s="260"/>
      <c r="E35" s="286"/>
    </row>
    <row r="36" spans="1:5" x14ac:dyDescent="0.25">
      <c r="A36" s="430"/>
      <c r="B36" s="285" t="s">
        <v>478</v>
      </c>
      <c r="C36" s="259" t="s">
        <v>1707</v>
      </c>
      <c r="D36" s="260"/>
      <c r="E36" s="286"/>
    </row>
    <row r="37" spans="1:5" x14ac:dyDescent="0.25">
      <c r="A37" s="430"/>
      <c r="B37" s="285" t="s">
        <v>479</v>
      </c>
      <c r="C37" s="259" t="s">
        <v>1710</v>
      </c>
      <c r="D37" s="260"/>
      <c r="E37" s="286"/>
    </row>
    <row r="38" spans="1:5" x14ac:dyDescent="0.25">
      <c r="A38" s="430"/>
      <c r="B38" s="285" t="s">
        <v>480</v>
      </c>
      <c r="C38" s="259" t="s">
        <v>1713</v>
      </c>
      <c r="D38" s="260" t="s">
        <v>516</v>
      </c>
      <c r="E38" s="286" t="s">
        <v>1698</v>
      </c>
    </row>
    <row r="39" spans="1:5" x14ac:dyDescent="0.25">
      <c r="A39" s="430"/>
      <c r="B39" s="285" t="s">
        <v>481</v>
      </c>
      <c r="C39" s="259" t="s">
        <v>1716</v>
      </c>
      <c r="D39" s="260"/>
      <c r="E39" s="286"/>
    </row>
    <row r="40" spans="1:5" ht="15.75" thickBot="1" x14ac:dyDescent="0.3">
      <c r="A40" s="430"/>
      <c r="B40" s="296" t="s">
        <v>482</v>
      </c>
      <c r="C40" s="297" t="s">
        <v>1720</v>
      </c>
      <c r="D40" s="298"/>
      <c r="E40" s="299"/>
    </row>
  </sheetData>
  <mergeCells count="2">
    <mergeCell ref="A26:A30"/>
    <mergeCell ref="A31:A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Results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2021-07-20T16:26:26Z</dcterms:modified>
</cp:coreProperties>
</file>