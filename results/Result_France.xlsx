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Hybrid" sheetId="27" r:id="rId2"/>
    <sheet name="Tab-macro" sheetId="7" r:id="rId3"/>
    <sheet name="Tab-baseline" sheetId="12" r:id="rId4"/>
    <sheet name="Macro" sheetId="8" state="hidden" r:id="rId5"/>
    <sheet name="Baseline" sheetId="26" state="hidden" r:id="rId6"/>
  </sheets>
  <externalReferences>
    <externalReference r:id="rId7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28" l="1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F11" i="28"/>
  <c r="G11" i="28"/>
  <c r="H11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F12" i="28"/>
  <c r="G12" i="28"/>
  <c r="H12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F13" i="28"/>
  <c r="G13" i="28"/>
  <c r="H13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F15" i="28"/>
  <c r="G15" i="28"/>
  <c r="H15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F16" i="28"/>
  <c r="G16" i="28"/>
  <c r="H16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F17" i="28"/>
  <c r="G17" i="28"/>
  <c r="H17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F18" i="28"/>
  <c r="G18" i="28"/>
  <c r="H18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F19" i="28"/>
  <c r="G19" i="28"/>
  <c r="H19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F20" i="28"/>
  <c r="G20" i="28"/>
  <c r="H20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F24" i="28"/>
  <c r="G24" i="28"/>
  <c r="H24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F25" i="28"/>
  <c r="G25" i="28"/>
  <c r="H25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F26" i="28"/>
  <c r="G26" i="28"/>
  <c r="H26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F27" i="28"/>
  <c r="G27" i="28"/>
  <c r="H27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F28" i="28"/>
  <c r="G28" i="28"/>
  <c r="H28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F29" i="28"/>
  <c r="G29" i="28"/>
  <c r="H29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F30" i="28"/>
  <c r="G30" i="28"/>
  <c r="H30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F31" i="28"/>
  <c r="G31" i="28"/>
  <c r="H31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F32" i="28"/>
  <c r="G32" i="28"/>
  <c r="H32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F33" i="28"/>
  <c r="G33" i="28"/>
  <c r="H33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F34" i="28"/>
  <c r="G34" i="28"/>
  <c r="H34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F35" i="28"/>
  <c r="G35" i="28"/>
  <c r="H35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F36" i="28"/>
  <c r="G36" i="28"/>
  <c r="H36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F37" i="28"/>
  <c r="G37" i="28"/>
  <c r="H37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F38" i="28"/>
  <c r="G38" i="28"/>
  <c r="H38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F39" i="28"/>
  <c r="G39" i="28"/>
  <c r="H39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F40" i="28"/>
  <c r="G40" i="28"/>
  <c r="H40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F41" i="28"/>
  <c r="G41" i="28"/>
  <c r="H41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F42" i="28"/>
  <c r="G42" i="28"/>
  <c r="H42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F43" i="28"/>
  <c r="G43" i="28"/>
  <c r="H43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F44" i="28"/>
  <c r="G44" i="28"/>
  <c r="H44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F45" i="28"/>
  <c r="G45" i="28"/>
  <c r="H45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F46" i="28"/>
  <c r="G46" i="28"/>
  <c r="H46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F47" i="28"/>
  <c r="G47" i="28"/>
  <c r="H47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F48" i="28"/>
  <c r="G48" i="28"/>
  <c r="H48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F49" i="28"/>
  <c r="G49" i="28"/>
  <c r="H49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F50" i="28"/>
  <c r="G50" i="28"/>
  <c r="H50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F51" i="28"/>
  <c r="G51" i="28"/>
  <c r="H51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F52" i="28"/>
  <c r="G52" i="28"/>
  <c r="H52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F53" i="28"/>
  <c r="G53" i="28"/>
  <c r="H53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J3" i="28"/>
  <c r="AK3" i="28"/>
  <c r="AL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8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Share of energy $ce$ produced by sector $s$ (national account definition) </t>
        </r>
      </text>
    </commen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énergétique, mais pour simplifier
OK ? </t>
        </r>
      </text>
    </comment>
    <comment ref="E1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sont uniquement les secteurs producteurs d'élec qui produisent de la chaleur ?</t>
        </r>
      </text>
    </comment>
    <comment ref="E19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CF_toe_cfut_2 * PhiY_cfut_soil_2 ? </t>
        </r>
      </text>
    </comment>
    <comment ref="E33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activer ?</t>
        </r>
      </text>
    </comment>
    <comment ref="E34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sum(CH_toe_auto[cea] on cea) ? Ou CH_toe_trsp (à activer) ? </t>
        </r>
      </text>
    </comment>
    <comment ref="B78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83" authorId="0" shapeId="0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E88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3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</commentList>
</comments>
</file>

<file path=xl/sharedStrings.xml><?xml version="1.0" encoding="utf-8"?>
<sst xmlns="http://schemas.openxmlformats.org/spreadsheetml/2006/main" count="3050" uniqueCount="1777">
  <si>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</si>
  <si>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</si>
  <si>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</si>
  <si>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</si>
  <si>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</si>
  <si>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</si>
  <si>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</si>
  <si>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</si>
  <si>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</si>
  <si>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</si>
  <si>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</si>
  <si>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</si>
  <si>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</si>
  <si>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</si>
  <si>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</si>
  <si>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</si>
  <si>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</si>
  <si>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</si>
  <si>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</si>
  <si>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</si>
  <si>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</si>
  <si>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</si>
  <si>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</si>
  <si>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</si>
  <si>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</si>
  <si>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</si>
  <si>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</si>
  <si>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</si>
  <si>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</si>
  <si>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</si>
  <si>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</si>
  <si>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</si>
  <si>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</si>
  <si>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</si>
  <si>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</si>
  <si>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</si>
  <si>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</si>
  <si>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</si>
  <si>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</si>
  <si>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</si>
  <si>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</si>
  <si>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</si>
  <si>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</si>
  <si>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</si>
  <si>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</si>
  <si>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</si>
  <si>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</si>
  <si>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</si>
  <si>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</si>
  <si>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</si>
  <si>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</si>
  <si>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</si>
  <si>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</si>
  <si>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</si>
  <si>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</si>
  <si>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</si>
  <si>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</si>
  <si>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</si>
  <si>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</si>
  <si>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</si>
  <si>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</si>
  <si>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</si>
  <si>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</si>
  <si>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</si>
  <si>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</si>
  <si>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</si>
  <si>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</si>
  <si>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</si>
  <si>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</si>
  <si>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</si>
  <si>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</si>
  <si>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</si>
  <si>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</si>
  <si>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</si>
  <si>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</si>
  <si>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</si>
  <si>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</si>
  <si>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</si>
  <si>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</si>
  <si>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</si>
  <si>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</si>
  <si>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</si>
  <si>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</si>
  <si>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</si>
  <si>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</si>
  <si>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</si>
  <si>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</si>
  <si>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</si>
  <si>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</si>
  <si>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</si>
  <si>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</si>
  <si>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</si>
  <si>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</si>
  <si>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</si>
  <si>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</si>
  <si>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</si>
  <si>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</si>
  <si>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</si>
  <si>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</si>
  <si>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</si>
  <si>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</si>
  <si>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</si>
  <si>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</si>
  <si>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</si>
  <si>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</si>
  <si>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</si>
  <si>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</si>
  <si>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</si>
  <si>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</si>
  <si>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</si>
  <si>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</si>
  <si>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</si>
  <si>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</si>
  <si>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</si>
  <si>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</si>
  <si>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</si>
  <si>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</si>
  <si>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100*((dispinc_at_val_2/pch_2)/(dispinc_at_val_0/pch_0)-1)</t>
  </si>
  <si>
    <t>100*(rsav_h_val_2-rsav_h_val_0)</t>
  </si>
  <si>
    <t>100*(pch_2/pch_0-1)</t>
  </si>
  <si>
    <t>100*(py_2/py_0-1)</t>
  </si>
  <si>
    <t>100*(pva_2/pva_0-1)</t>
  </si>
  <si>
    <t>100*(pci_2/pci_0-1)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</si>
  <si>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</si>
  <si>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</si>
  <si>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</si>
  <si>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</si>
  <si>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</si>
  <si>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</si>
  <si>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100*(rbal_trade_val_2-rbal_trade_val_0)</t>
  </si>
  <si>
    <t>100*(rbal_g_prim_val_2-rbal_g_prim_val_0)</t>
  </si>
  <si>
    <t>100*(rdebt_g_val_2-rdebt_g_val_0)</t>
  </si>
  <si>
    <t>100*(ems_co2_2/ems_co2_0-1)</t>
  </si>
  <si>
    <t>100*(ch_0+g_0)/gdp_0*((ch_2+g_2)/(ch_0+g_0)-1)</t>
  </si>
  <si>
    <t>100*i_0/gdp_0*(i_2/i_0-1)</t>
  </si>
  <si>
    <t>100*(x_0-m_0)/gdp_0*((x_2-m_2)/(x_0-m_0)-1)</t>
  </si>
  <si>
    <t>100*ds_0/gdp_0*(ds_2/ds_0-1)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</si>
  <si>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</si>
  <si>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</si>
  <si>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</si>
  <si>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</si>
  <si>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</si>
  <si>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</si>
  <si>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</si>
  <si>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</si>
  <si>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</si>
  <si>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</si>
  <si>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</si>
  <si>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</si>
  <si>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</si>
  <si>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</si>
  <si>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</si>
  <si>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</si>
  <si>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</si>
  <si>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</si>
  <si>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</si>
  <si>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</si>
  <si>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</si>
  <si>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</si>
  <si>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</si>
  <si>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</si>
  <si>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</si>
  <si>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</si>
  <si>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</si>
  <si>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</si>
  <si>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</si>
  <si>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</si>
  <si>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</si>
  <si>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</si>
  <si>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</si>
  <si>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</si>
  <si>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</si>
  <si>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</si>
  <si>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</si>
  <si>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</si>
  <si>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</si>
  <si>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</si>
  <si>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</si>
  <si>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</si>
  <si>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</si>
  <si>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</si>
  <si>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</si>
  <si>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</si>
  <si>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</si>
  <si>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</si>
  <si>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</si>
  <si>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</si>
  <si>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</si>
  <si>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</si>
  <si>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</si>
  <si>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</si>
  <si>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</si>
  <si>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</si>
  <si>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</si>
  <si>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</si>
  <si>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</si>
  <si>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</si>
  <si>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</si>
  <si>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</si>
  <si>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</si>
  <si>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</si>
  <si>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</si>
  <si>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</si>
  <si>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</si>
  <si>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</si>
  <si>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</si>
  <si>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</si>
  <si>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</si>
  <si>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</si>
  <si>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</si>
  <si>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</si>
  <si>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</si>
  <si>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</si>
  <si>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</si>
  <si>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</si>
  <si>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</si>
  <si>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</si>
  <si>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</si>
  <si>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</si>
  <si>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</si>
  <si>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</si>
  <si>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</si>
  <si>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</si>
  <si>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</si>
  <si>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</si>
  <si>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</si>
  <si>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</si>
  <si>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</si>
  <si>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MACRO 
(EN ECARTS)</t>
  </si>
  <si>
    <t>PIB</t>
  </si>
  <si>
    <t>100*(GDP_2/GDP_0-1)</t>
  </si>
  <si>
    <t>VA du secteur marchand</t>
  </si>
  <si>
    <t>100*((VA_2-VA_cpub_2)/(VA_0-VA_cpub_0)-1)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</si>
  <si>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</si>
  <si>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</si>
  <si>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</si>
  <si>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</si>
  <si>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</si>
  <si>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</si>
  <si>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</si>
  <si>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</si>
  <si>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</si>
  <si>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</si>
  <si>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</si>
  <si>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</si>
  <si>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</si>
  <si>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</si>
  <si>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</si>
  <si>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100*((I_2-IA_cpub_2-(I_0-IA_cpub_0))/GDP_0)</t>
  </si>
  <si>
    <t>Investissement ménages</t>
  </si>
  <si>
    <t>100*((CH_ccon_2-CH_ccon_0)/GDP_0)</t>
  </si>
  <si>
    <t>Investissement public</t>
  </si>
  <si>
    <t>100*((IA_cpub_2-IA_cpub_0)/GDP_0)</t>
  </si>
  <si>
    <t>100*(CH_2/CH_0-1)</t>
  </si>
  <si>
    <t>100*(CH_cveh_2/CH_cveh_0-1)</t>
  </si>
  <si>
    <t>100*(G_2/G_0-1)</t>
  </si>
  <si>
    <t>100*(I_2/I_0-1)</t>
  </si>
  <si>
    <t>100*((I_2-IA_cpub_2)/(I_0-IA_cpub_0)-1)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</si>
  <si>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</si>
  <si>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</si>
  <si>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</si>
  <si>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</si>
  <si>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</si>
  <si>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100*((IA_cpub_2)/(IA_cpub_0)-1)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</si>
  <si>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</si>
  <si>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</si>
  <si>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</si>
  <si>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</si>
  <si>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</si>
  <si>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</si>
  <si>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</si>
  <si>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</si>
  <si>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</si>
  <si>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</si>
  <si>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</si>
  <si>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</si>
  <si>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</si>
  <si>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</si>
  <si>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</si>
  <si>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</si>
  <si>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</si>
  <si>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</si>
  <si>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</si>
  <si>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</si>
  <si>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</si>
  <si>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</si>
  <si>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</si>
  <si>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</si>
  <si>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</si>
  <si>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</si>
  <si>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</si>
  <si>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</si>
  <si>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</si>
  <si>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</si>
  <si>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</si>
  <si>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</si>
  <si>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</si>
  <si>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</si>
  <si>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</si>
  <si>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</si>
  <si>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</si>
  <si>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</si>
  <si>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</si>
  <si>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</si>
  <si>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(ABSOLU)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</si>
  <si>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</si>
  <si>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</si>
  <si>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</si>
  <si>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</si>
  <si>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</si>
  <si>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</si>
  <si>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</si>
  <si>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</si>
  <si>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</si>
  <si>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DEFLATEUR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</si>
  <si>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</si>
  <si>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</si>
  <si>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</si>
  <si>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</si>
  <si>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</si>
  <si>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</si>
  <si>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</si>
  <si>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</si>
  <si>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</si>
  <si>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</si>
  <si>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</si>
  <si>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</si>
  <si>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</si>
  <si>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</si>
  <si>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</si>
  <si>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</si>
  <si>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</si>
  <si>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</si>
  <si>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</si>
  <si>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</si>
  <si>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</si>
  <si>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</si>
  <si>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</si>
  <si>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</si>
  <si>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</si>
  <si>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</si>
  <si>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</si>
  <si>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</si>
  <si>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</si>
  <si>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</si>
  <si>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</si>
  <si>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</si>
  <si>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</si>
  <si>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</si>
  <si>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</si>
  <si>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</si>
  <si>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</si>
  <si>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</si>
  <si>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</si>
  <si>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</si>
  <si>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</si>
  <si>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</si>
  <si>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</si>
  <si>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</si>
  <si>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</si>
  <si>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</si>
  <si>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</si>
  <si>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</si>
  <si>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</si>
  <si>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</si>
  <si>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</si>
  <si>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</si>
  <si>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</si>
  <si>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</si>
  <si>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</si>
  <si>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</si>
  <si>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</si>
  <si>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</si>
  <si>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</si>
  <si>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</si>
  <si>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</si>
  <si>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</si>
  <si>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</si>
  <si>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</si>
  <si>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</si>
  <si>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</si>
  <si>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</si>
  <si>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</si>
  <si>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</si>
  <si>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</si>
  <si>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</si>
  <si>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</si>
  <si>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</si>
  <si>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</si>
  <si>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</si>
  <si>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</si>
  <si>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</si>
  <si>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</si>
  <si>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</si>
  <si>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</si>
  <si>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</si>
  <si>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</si>
  <si>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</si>
  <si>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</si>
  <si>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</si>
  <si>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</si>
  <si>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</si>
  <si>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</si>
  <si>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</si>
  <si>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</si>
  <si>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</si>
  <si>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</si>
  <si>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</si>
  <si>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</si>
  <si>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</si>
  <si>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</si>
  <si>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</si>
  <si>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</si>
  <si>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</si>
  <si>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</si>
  <si>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</si>
  <si>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</si>
  <si>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</si>
  <si>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</si>
  <si>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</si>
  <si>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</si>
  <si>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</si>
  <si>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</si>
  <si>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</si>
  <si>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</si>
  <si>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</si>
  <si>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</si>
  <si>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</si>
  <si>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</si>
  <si>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</si>
  <si>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</si>
  <si>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</si>
  <si>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</si>
  <si>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</si>
  <si>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</si>
  <si>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</si>
  <si>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</si>
  <si>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</si>
  <si>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</si>
  <si>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</si>
  <si>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</si>
  <si>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</si>
  <si>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</si>
  <si>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</si>
  <si>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</si>
  <si>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</si>
  <si>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</si>
  <si>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</si>
  <si>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</si>
  <si>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</si>
  <si>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</si>
  <si>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</si>
  <si>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</si>
  <si>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</si>
  <si>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</si>
  <si>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</si>
  <si>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</si>
  <si>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</si>
  <si>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</si>
  <si>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</si>
  <si>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</si>
  <si>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</si>
  <si>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</si>
  <si>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</si>
  <si>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</si>
  <si>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</si>
  <si>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</si>
  <si>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</si>
  <si>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</si>
  <si>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</si>
  <si>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</si>
  <si>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</si>
  <si>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</si>
  <si>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</si>
  <si>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</si>
  <si>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</si>
  <si>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</si>
  <si>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</si>
  <si>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</si>
  <si>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</si>
  <si>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</si>
  <si>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</si>
  <si>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</si>
  <si>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</si>
  <si>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</si>
  <si>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</si>
  <si>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</si>
  <si>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</si>
  <si>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</si>
  <si>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</si>
  <si>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PhiY_cfuh_soil_2</t>
  </si>
  <si>
    <t>PhiY_cfuh_sbfu_2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</si>
  <si>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</si>
  <si>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</si>
  <si>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</si>
  <si>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</si>
  <si>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</si>
  <si>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</si>
  <si>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</si>
  <si>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</si>
  <si>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</si>
  <si>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</si>
  <si>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</si>
  <si>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</si>
  <si>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</si>
  <si>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</si>
  <si>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</si>
  <si>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</si>
  <si>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</si>
  <si>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</si>
  <si>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</si>
  <si>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</si>
  <si>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</si>
  <si>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</si>
  <si>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PhiY_chea_senu_2</t>
  </si>
  <si>
    <t>PhiY_chea_seoi_2</t>
  </si>
  <si>
    <t>PhiY_chea_sega_2</t>
  </si>
  <si>
    <t>PhiY_chea_seco_2</t>
  </si>
  <si>
    <t>PhiY_chea_sewi_2</t>
  </si>
  <si>
    <t>PhiY_chea_seso_2</t>
  </si>
  <si>
    <t>PhiY_chea_sehy_2</t>
  </si>
  <si>
    <t>PhiY_chea_sech_2</t>
  </si>
  <si>
    <t>PhiY_chea_seot_2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</si>
  <si>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</si>
  <si>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</si>
  <si>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</si>
  <si>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</si>
  <si>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</si>
  <si>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</si>
  <si>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</si>
  <si>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PhiY_cfuh_soil_0</t>
  </si>
  <si>
    <t>PhiY_cfuh_sbfu_0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</si>
  <si>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</si>
  <si>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</si>
  <si>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</si>
  <si>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</si>
  <si>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</si>
  <si>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</si>
  <si>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</si>
  <si>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</si>
  <si>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</si>
  <si>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</si>
  <si>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</si>
  <si>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PhiY_chea_senu_0</t>
  </si>
  <si>
    <t>PhiY_chea_seoi_0</t>
  </si>
  <si>
    <t>PhiY_chea_sega_0</t>
  </si>
  <si>
    <t>PhiY_chea_seco_0</t>
  </si>
  <si>
    <t>PhiY_chea_sewi_0</t>
  </si>
  <si>
    <t>PhiY_chea_seso_0</t>
  </si>
  <si>
    <t>PhiY_chea_sehy_0</t>
  </si>
  <si>
    <t>PhiY_chea_sech_0</t>
  </si>
  <si>
    <t>PhiY_chea_seot_0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</si>
  <si>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</si>
  <si>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</si>
  <si>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</si>
  <si>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</si>
  <si>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</si>
  <si>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</si>
  <si>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</si>
  <si>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</si>
  <si>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</si>
  <si>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oil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</si>
  <si>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</si>
  <si>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</si>
  <si>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</si>
  <si>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</si>
  <si>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</si>
  <si>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</si>
  <si>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</si>
  <si>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</si>
  <si>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</si>
  <si>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</si>
  <si>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</si>
  <si>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</si>
  <si>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</si>
  <si>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</si>
  <si>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</si>
  <si>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</si>
  <si>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</si>
  <si>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</si>
  <si>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</si>
  <si>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</si>
  <si>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</si>
  <si>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</si>
  <si>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</si>
  <si>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</si>
  <si>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</si>
  <si>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</si>
  <si>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</si>
  <si>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</si>
  <si>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</si>
  <si>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</si>
  <si>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</si>
  <si>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</si>
  <si>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</si>
  <si>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</si>
  <si>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</si>
  <si>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</si>
  <si>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</si>
  <si>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YG_toe_cfuh_soil_2</t>
  </si>
  <si>
    <t>YG_toe_cfuh_sbfu_2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</si>
  <si>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</si>
  <si>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</si>
  <si>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</si>
  <si>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</si>
  <si>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</si>
  <si>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</si>
  <si>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</si>
  <si>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</si>
  <si>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</si>
  <si>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</si>
  <si>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</si>
  <si>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YG_toe_chea_senu_2</t>
  </si>
  <si>
    <t>YG_toe_chea_seoi_2</t>
  </si>
  <si>
    <t>YG_toe_chea_sega_2</t>
  </si>
  <si>
    <t>YG_toe_chea_seco_2</t>
  </si>
  <si>
    <t>YG_toe_chea_sewi_2</t>
  </si>
  <si>
    <t>YG_toe_chea_seso_2</t>
  </si>
  <si>
    <t>YG_toe_chea_sehy_2</t>
  </si>
  <si>
    <t>YG_toe_chea_sech_2</t>
  </si>
  <si>
    <t>YG_toe_chea_seot_2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</si>
  <si>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</si>
  <si>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</si>
  <si>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</si>
  <si>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</si>
  <si>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</si>
  <si>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</si>
  <si>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</si>
  <si>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</si>
  <si>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</si>
  <si>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</si>
  <si>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</si>
  <si>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</si>
  <si>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</si>
  <si>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</si>
  <si>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</si>
  <si>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</si>
  <si>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</si>
  <si>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</si>
  <si>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</si>
  <si>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</si>
  <si>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</si>
  <si>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YG_toe_cfuh_soil_0</t>
  </si>
  <si>
    <t>YG_toe_cfuh_sbfu_0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</si>
  <si>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</si>
  <si>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</si>
  <si>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</si>
  <si>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</si>
  <si>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</si>
  <si>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</si>
  <si>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</si>
  <si>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</si>
  <si>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</si>
  <si>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</si>
  <si>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</si>
  <si>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</si>
  <si>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</si>
  <si>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</si>
  <si>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YG_toe_chea_senu_0</t>
  </si>
  <si>
    <t>YG_toe_chea_seoi_0</t>
  </si>
  <si>
    <t>YG_toe_chea_sega_0</t>
  </si>
  <si>
    <t>YG_toe_chea_seco_0</t>
  </si>
  <si>
    <t>YG_toe_chea_sewi_0</t>
  </si>
  <si>
    <t>YG_toe_chea_seso_0</t>
  </si>
  <si>
    <t>YG_toe_chea_sehy_0</t>
  </si>
  <si>
    <t>YG_toe_chea_sech_0</t>
  </si>
  <si>
    <t>YG_toe_chea_seot_0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</si>
  <si>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</si>
  <si>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</si>
  <si>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</si>
  <si>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</si>
  <si>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</si>
  <si>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</si>
  <si>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</si>
  <si>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</si>
  <si>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</si>
  <si>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</si>
  <si>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</si>
  <si>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</si>
  <si>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</si>
  <si>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</si>
  <si>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</si>
  <si>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</si>
  <si>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</si>
  <si>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</si>
  <si>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</si>
  <si>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</si>
  <si>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</si>
  <si>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</si>
  <si>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</si>
  <si>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</si>
  <si>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</si>
  <si>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</si>
  <si>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</si>
  <si>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</si>
  <si>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</si>
  <si>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</si>
  <si>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</si>
  <si>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</si>
  <si>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</si>
  <si>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</si>
  <si>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</si>
  <si>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</si>
  <si>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</si>
  <si>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</si>
  <si>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</si>
  <si>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</si>
  <si>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</si>
  <si>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</si>
  <si>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</si>
  <si>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</si>
  <si>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</si>
  <si>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</si>
  <si>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</si>
  <si>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</si>
  <si>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</si>
  <si>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</si>
  <si>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</si>
  <si>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</si>
  <si>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</si>
  <si>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</si>
  <si>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</si>
  <si>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</si>
  <si>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</si>
  <si>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</si>
  <si>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</si>
  <si>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</si>
  <si>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</si>
  <si>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</si>
  <si>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</si>
  <si>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</si>
  <si>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</si>
  <si>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</si>
  <si>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</si>
  <si>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</si>
  <si>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</si>
  <si>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</si>
  <si>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</si>
  <si>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</si>
  <si>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</si>
  <si>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</si>
  <si>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</si>
  <si>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</si>
  <si>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</si>
  <si>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</si>
  <si>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</si>
  <si>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</si>
  <si>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</si>
  <si>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</si>
  <si>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</si>
  <si>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</si>
  <si>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</si>
  <si>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</si>
  <si>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</si>
  <si>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</si>
  <si>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</si>
  <si>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</si>
  <si>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</si>
  <si>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</si>
  <si>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</si>
  <si>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</si>
  <si>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</si>
  <si>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</si>
  <si>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</si>
  <si>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</si>
  <si>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</si>
  <si>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</si>
  <si>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</si>
  <si>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</si>
  <si>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</si>
  <si>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</si>
  <si>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</si>
  <si>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</si>
  <si>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</si>
  <si>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</si>
  <si>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</si>
  <si>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</si>
  <si>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</si>
  <si>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</si>
  <si>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</si>
  <si>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</si>
  <si>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</si>
  <si>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</si>
  <si>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</si>
  <si>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</si>
  <si>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</si>
  <si>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</si>
  <si>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</si>
  <si>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</si>
  <si>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</si>
  <si>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</si>
  <si>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</si>
  <si>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</si>
  <si>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</si>
  <si>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</si>
  <si>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</si>
  <si>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</si>
  <si>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</si>
  <si>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</si>
  <si>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</si>
  <si>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</si>
  <si>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</si>
  <si>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</si>
  <si>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</si>
  <si>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</si>
  <si>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</si>
  <si>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</si>
  <si>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</si>
  <si>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</si>
  <si>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</si>
  <si>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</si>
  <si>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</si>
  <si>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</si>
  <si>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</si>
  <si>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</si>
  <si>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</si>
  <si>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</si>
  <si>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</si>
  <si>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</si>
  <si>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</si>
  <si>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</si>
  <si>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</si>
  <si>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</si>
  <si>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</si>
  <si>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</si>
  <si>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</si>
  <si>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</si>
  <si>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</si>
  <si>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</si>
  <si>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</si>
  <si>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</si>
  <si>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</si>
  <si>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</si>
  <si>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</si>
  <si>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</si>
  <si>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</si>
  <si>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</si>
  <si>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</si>
  <si>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</si>
  <si>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</si>
  <si>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</si>
  <si>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</si>
  <si>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</si>
  <si>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</si>
  <si>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</si>
  <si>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</si>
  <si>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</si>
  <si>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</si>
  <si>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</si>
  <si>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</si>
  <si>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</si>
  <si>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</si>
  <si>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</si>
  <si>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</si>
  <si>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</si>
  <si>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</si>
  <si>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</si>
  <si>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</si>
  <si>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</si>
  <si>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</si>
  <si>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</si>
  <si>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</si>
  <si>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</si>
  <si>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</si>
  <si>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</si>
  <si>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</si>
  <si>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</si>
  <si>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</si>
  <si>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</si>
  <si>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</si>
  <si>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</si>
  <si>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</si>
  <si>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</si>
  <si>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</si>
  <si>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</si>
  <si>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</si>
  <si>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</si>
  <si>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</si>
  <si>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</si>
  <si>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</si>
  <si>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</si>
  <si>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</si>
  <si>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</si>
  <si>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</si>
  <si>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</si>
  <si>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</si>
  <si>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</si>
  <si>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</si>
  <si>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</si>
  <si>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</si>
  <si>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</si>
  <si>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</si>
  <si>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</si>
  <si>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</si>
  <si>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</si>
  <si>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</si>
  <si>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</si>
  <si>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</si>
  <si>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</si>
  <si>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</si>
  <si>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</si>
  <si>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</si>
  <si>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</si>
  <si>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</si>
  <si>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</si>
  <si>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</si>
  <si>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</si>
  <si>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</si>
  <si>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</si>
  <si>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</si>
  <si>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</si>
  <si>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</si>
  <si>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</si>
  <si>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</si>
  <si>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</si>
  <si>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</si>
  <si>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</si>
  <si>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</si>
  <si>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</si>
  <si>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</si>
  <si>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</si>
  <si>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</si>
  <si>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</si>
  <si>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</si>
  <si>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</si>
  <si>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</si>
  <si>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</si>
  <si>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</si>
  <si>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</si>
  <si>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</si>
  <si>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</si>
  <si>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</si>
  <si>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</si>
  <si>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</si>
  <si>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</si>
  <si>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</si>
  <si>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</si>
  <si>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</si>
  <si>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</si>
  <si>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</si>
  <si>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</si>
  <si>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</si>
  <si>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</si>
  <si>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</si>
  <si>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</si>
  <si>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</si>
  <si>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</si>
  <si>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</si>
  <si>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</si>
  <si>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</si>
  <si>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</si>
  <si>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</si>
  <si>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</si>
  <si>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</si>
  <si>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</si>
  <si>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</si>
  <si>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</si>
  <si>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</si>
  <si>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</si>
  <si>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</si>
  <si>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</si>
  <si>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</si>
  <si>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</si>
  <si>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</si>
  <si>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</si>
  <si>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</si>
  <si>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</si>
  <si>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</si>
  <si>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</si>
  <si>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</si>
  <si>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</si>
  <si>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</si>
  <si>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</si>
  <si>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</si>
  <si>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</si>
  <si>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</si>
  <si>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</si>
  <si>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</si>
  <si>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</si>
  <si>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</si>
  <si>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</si>
  <si>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</si>
  <si>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</si>
  <si>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</si>
  <si>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</si>
  <si>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</si>
  <si>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</si>
  <si>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</si>
  <si>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</si>
  <si>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</si>
  <si>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</si>
  <si>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</si>
  <si>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</si>
  <si>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</si>
  <si>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</si>
  <si>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</si>
  <si>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</si>
  <si>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</si>
  <si>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</si>
  <si>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</si>
  <si>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</si>
  <si>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</si>
  <si>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</si>
  <si>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</si>
  <si>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</si>
  <si>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</si>
  <si>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</si>
  <si>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</si>
  <si>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</si>
  <si>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</si>
  <si>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</si>
  <si>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</si>
  <si>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</si>
  <si>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</si>
  <si>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</si>
  <si>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</si>
  <si>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</si>
  <si>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</si>
  <si>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</si>
  <si>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</si>
  <si>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</si>
  <si>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</si>
  <si>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</si>
  <si>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</si>
  <si>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</si>
  <si>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</si>
  <si>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</si>
  <si>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</si>
  <si>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</si>
  <si>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</si>
  <si>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</si>
  <si>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</si>
  <si>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</si>
  <si>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</si>
  <si>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</si>
  <si>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</si>
  <si>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</si>
  <si>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</si>
  <si>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</si>
  <si>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</si>
  <si>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</si>
  <si>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</si>
  <si>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</si>
  <si>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</si>
  <si>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</si>
  <si>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</si>
  <si>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</si>
  <si>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</si>
  <si>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</si>
  <si>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</si>
  <si>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</si>
  <si>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</si>
  <si>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</si>
  <si>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</si>
  <si>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</si>
  <si>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</si>
  <si>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</si>
  <si>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</si>
  <si>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</si>
  <si>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</si>
  <si>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</si>
  <si>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</si>
  <si>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</si>
  <si>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</si>
  <si>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</si>
  <si>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</si>
  <si>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</si>
  <si>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</si>
  <si>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</si>
  <si>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</si>
  <si>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</si>
  <si>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</si>
  <si>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</si>
  <si>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</si>
  <si>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</si>
  <si>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</si>
  <si>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</si>
  <si>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</si>
  <si>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</si>
  <si>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</si>
  <si>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</si>
  <si>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</si>
  <si>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</si>
  <si>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</si>
  <si>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</si>
  <si>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</si>
  <si>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CF_toe_cfuh_sbfu_2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</si>
  <si>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</si>
  <si>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</si>
  <si>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</si>
  <si>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</si>
  <si>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</si>
  <si>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</si>
  <si>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</si>
  <si>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</si>
  <si>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</si>
  <si>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</si>
  <si>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</si>
  <si>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</si>
  <si>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</si>
  <si>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CF_toe_chea_senu_2 </t>
  </si>
  <si>
    <t xml:space="preserve">CF_toe_chea_seoi_2 </t>
  </si>
  <si>
    <t xml:space="preserve">CF_toe_chea_sega_2 </t>
  </si>
  <si>
    <t xml:space="preserve">CF_toe_chea_seco_2 </t>
  </si>
  <si>
    <t xml:space="preserve">CF_toe_chea_sewi_2 </t>
  </si>
  <si>
    <t xml:space="preserve">CF_toe_chea_seso_2 </t>
  </si>
  <si>
    <t xml:space="preserve">CF_toe_chea_sehy_2 </t>
  </si>
  <si>
    <t xml:space="preserve">CF_toe_chea_sech_2 </t>
  </si>
  <si>
    <t xml:space="preserve">CF_toe_chea_seot_2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</si>
  <si>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</si>
  <si>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</si>
  <si>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</si>
  <si>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</si>
  <si>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</si>
  <si>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</si>
  <si>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</si>
  <si>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</si>
  <si>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</si>
  <si>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</si>
  <si>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</si>
  <si>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</si>
  <si>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CF_toe_cfuh_sbfu_0</t>
  </si>
  <si>
    <t>CF_toe_cgas_0</t>
  </si>
  <si>
    <t>CF_toe_cgas_sgas_0</t>
  </si>
  <si>
    <t>CF_toe_cgas_sbga_0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</si>
  <si>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</si>
  <si>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</si>
  <si>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</si>
  <si>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</si>
  <si>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</si>
  <si>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</si>
  <si>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</si>
  <si>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</si>
  <si>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</si>
  <si>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</si>
  <si>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</si>
  <si>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CF_toe_chea_senu_0 </t>
  </si>
  <si>
    <t xml:space="preserve">CF_toe_chea_seoi_0 </t>
  </si>
  <si>
    <t xml:space="preserve">CF_toe_chea_sega_0 </t>
  </si>
  <si>
    <t xml:space="preserve">CF_toe_chea_seco_0 </t>
  </si>
  <si>
    <t xml:space="preserve">CF_toe_chea_sewi_0 </t>
  </si>
  <si>
    <t xml:space="preserve">CF_toe_chea_seso_0 </t>
  </si>
  <si>
    <t xml:space="preserve">CF_toe_chea_sehy_0 </t>
  </si>
  <si>
    <t xml:space="preserve">CF_toe_chea_sech_0 </t>
  </si>
  <si>
    <t xml:space="preserve">CF_toe_chea_seot_0 </t>
  </si>
  <si>
    <t>CF_toe_cbio_0</t>
  </si>
  <si>
    <t>CF_toe_cote_0</t>
  </si>
  <si>
    <t>HOUSING SHOCK</t>
  </si>
  <si>
    <t>TRANSPORT SHOCK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</si>
  <si>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</si>
  <si>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</si>
  <si>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</si>
  <si>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</si>
  <si>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</si>
  <si>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</si>
  <si>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</si>
  <si>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</si>
  <si>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</si>
  <si>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CH_toe_hous_2</t>
  </si>
  <si>
    <t>CH_toe_hous_ccoa_2</t>
  </si>
  <si>
    <t>CH_toe_hous_cfuh_2</t>
  </si>
  <si>
    <t>CH_toe_hous_cgas_2</t>
  </si>
  <si>
    <t>CH_toe_hous_cele_2</t>
  </si>
  <si>
    <t>CH_toe_hous_chea_2</t>
  </si>
  <si>
    <t>CH_toe_hous_cbio_2</t>
  </si>
  <si>
    <t>CH_toe_auto_2+CI_toe_TRSP_2</t>
  </si>
  <si>
    <t>CH_toe_auto_2</t>
  </si>
  <si>
    <t>CH_toe_auto_cfut_2</t>
  </si>
  <si>
    <t>CH_toe_auto_cgas_2</t>
  </si>
  <si>
    <t>CH_toe_auto_cele_2</t>
  </si>
  <si>
    <t>household (auto)</t>
  </si>
  <si>
    <t>firms</t>
  </si>
  <si>
    <t>other energy</t>
  </si>
  <si>
    <t>CI_toe_TRSP_2</t>
  </si>
  <si>
    <t>CI_toe_TRSP_ccoa_2</t>
  </si>
  <si>
    <t>CI_toe_TRSP_cfut_2</t>
  </si>
  <si>
    <t>CI_toe_TRSP_cfuh_2</t>
  </si>
  <si>
    <t>CI_toe_TRSP_cgas_2</t>
  </si>
  <si>
    <t>CI_toe_TRSP_cele_2</t>
  </si>
  <si>
    <t>CI_toe_TRSP_chea_2</t>
  </si>
  <si>
    <t>CI_toe_TRSP_cbio_2</t>
  </si>
  <si>
    <t>CI_toe_TRSP_cote_2</t>
  </si>
  <si>
    <t>CI_toe_AGRF_ccoa_2</t>
  </si>
  <si>
    <t>CI_toe_AGRF_cfut_2</t>
  </si>
  <si>
    <t>CI_toe_AGRF_cfuh_2</t>
  </si>
  <si>
    <t>CI_toe_AGRF_cgas_2</t>
  </si>
  <si>
    <t>CI_toe_AGRF_cele_2</t>
  </si>
  <si>
    <t>CI_toe_AGRF_chea_2</t>
  </si>
  <si>
    <t>CI_toe_AGRF_cbio_2</t>
  </si>
  <si>
    <t>CI_toe_AGRF_cote_2</t>
  </si>
  <si>
    <t>CI_toe_AGRF_2</t>
  </si>
  <si>
    <t>CI_toe_IND_2</t>
  </si>
  <si>
    <t>CI_toe_IND_ccoa_2</t>
  </si>
  <si>
    <t>CI_toe_IND_cfut_2</t>
  </si>
  <si>
    <t>CI_toe_IND_cfuh_2</t>
  </si>
  <si>
    <t>CI_toe_IND_cgas_2</t>
  </si>
  <si>
    <t>CI_toe_IND_cele_2</t>
  </si>
  <si>
    <t>CI_toe_IND_chea_2</t>
  </si>
  <si>
    <t>CI_toe_IND_cbio_2</t>
  </si>
  <si>
    <t>CI_toe_IND_cote_2</t>
  </si>
  <si>
    <t>CI_toe_SER_2</t>
  </si>
  <si>
    <t>CI_toe_SER_ccoa_2</t>
  </si>
  <si>
    <t>CI_toe_SER_cfut_2</t>
  </si>
  <si>
    <t>CI_toe_SER_cfuh_2</t>
  </si>
  <si>
    <t>CI_toe_SER_cgas_2</t>
  </si>
  <si>
    <t>CI_toe_SER_cele_2</t>
  </si>
  <si>
    <t>CI_toe_SER_chea_2</t>
  </si>
  <si>
    <t>CI_toe_SER_cbio_2</t>
  </si>
  <si>
    <t>CI_toe_SER_cote_2</t>
  </si>
  <si>
    <t>HOUSING BASELINE</t>
  </si>
  <si>
    <t>TRANSPORT BASELINE</t>
  </si>
  <si>
    <t>AGRICULTURE BASELINE</t>
  </si>
  <si>
    <t>INDUSTRY BASELINE (excluding energy prod)</t>
  </si>
  <si>
    <t>CH_toe_hous_0</t>
  </si>
  <si>
    <t>CH_toe_hous_ccoa_0</t>
  </si>
  <si>
    <t>CH_toe_hous_cfuh_0</t>
  </si>
  <si>
    <t>CH_toe_hous_cgas_0</t>
  </si>
  <si>
    <t>CH_toe_hous_cele_0</t>
  </si>
  <si>
    <t>CH_toe_hous_chea_0</t>
  </si>
  <si>
    <t>CH_toe_hous_cbio_0</t>
  </si>
  <si>
    <t>CH_toe_auto_0+CI_toe_TRSP_0</t>
  </si>
  <si>
    <t>CH_toe_auto_0</t>
  </si>
  <si>
    <t>CH_toe_auto_cfut_0</t>
  </si>
  <si>
    <t>CH_toe_auto_cgas_0</t>
  </si>
  <si>
    <t>CH_toe_auto_cele_0</t>
  </si>
  <si>
    <t>CI_toe_TRSP_0</t>
  </si>
  <si>
    <t>CI_toe_TRSP_ccoa_0</t>
  </si>
  <si>
    <t>CI_toe_TRSP_cfut_0</t>
  </si>
  <si>
    <t>CI_toe_TRSP_cfuh_0</t>
  </si>
  <si>
    <t>CI_toe_TRSP_cgas_0</t>
  </si>
  <si>
    <t>CI_toe_TRSP_cele_0</t>
  </si>
  <si>
    <t>CI_toe_TRSP_chea_0</t>
  </si>
  <si>
    <t>CI_toe_TRSP_cbio_0</t>
  </si>
  <si>
    <t>CI_toe_TRSP_cote_0</t>
  </si>
  <si>
    <t>CI_toe_AGRF_0</t>
  </si>
  <si>
    <t>CI_toe_AGRF_ccoa_0</t>
  </si>
  <si>
    <t>CI_toe_AGRF_cfut_0</t>
  </si>
  <si>
    <t>CI_toe_AGRF_cfuh_0</t>
  </si>
  <si>
    <t>CI_toe_AGRF_cgas_0</t>
  </si>
  <si>
    <t>CI_toe_AGRF_cele_0</t>
  </si>
  <si>
    <t>CI_toe_AGRF_chea_0</t>
  </si>
  <si>
    <t>CI_toe_AGRF_cbio_0</t>
  </si>
  <si>
    <t>CI_toe_AGRF_cote_0</t>
  </si>
  <si>
    <t>CI_toe_IND_0</t>
  </si>
  <si>
    <t>CI_toe_IND_ccoa_0</t>
  </si>
  <si>
    <t>CI_toe_IND_cfut_0</t>
  </si>
  <si>
    <t>CI_toe_IND_cfuh_0</t>
  </si>
  <si>
    <t>CI_toe_IND_cgas_0</t>
  </si>
  <si>
    <t>CI_toe_IND_cele_0</t>
  </si>
  <si>
    <t>CI_toe_IND_chea_0</t>
  </si>
  <si>
    <t>CI_toe_IND_cbio_0</t>
  </si>
  <si>
    <t>CI_toe_IND_cote_0</t>
  </si>
  <si>
    <t>CI_toe_SER_0</t>
  </si>
  <si>
    <t>CI_toe_SER_ccoa_0</t>
  </si>
  <si>
    <t>CI_toe_SER_cfut_0</t>
  </si>
  <si>
    <t>CI_toe_SER_cfuh_0</t>
  </si>
  <si>
    <t>CI_toe_SER_cgas_0</t>
  </si>
  <si>
    <t>CI_toe_SER_cele_0</t>
  </si>
  <si>
    <t>CI_toe_SER_chea_0</t>
  </si>
  <si>
    <t>CI_toe_SER_cbio_0</t>
  </si>
  <si>
    <t>CI_toe_SER_cote_0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</si>
  <si>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</si>
  <si>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</si>
  <si>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</si>
  <si>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</si>
  <si>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</si>
  <si>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</si>
  <si>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</si>
  <si>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</si>
  <si>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</si>
  <si>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</si>
  <si>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</si>
  <si>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</si>
  <si>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</si>
  <si>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</si>
  <si>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</si>
  <si>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</si>
  <si>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</si>
  <si>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</si>
  <si>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</si>
  <si>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</si>
  <si>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</si>
  <si>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</si>
  <si>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</si>
  <si>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</si>
  <si>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</si>
  <si>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</si>
  <si>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</si>
  <si>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</si>
  <si>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</si>
  <si>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</si>
  <si>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</si>
  <si>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</si>
  <si>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</si>
  <si>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</si>
  <si>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</si>
  <si>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</si>
  <si>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</si>
  <si>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</si>
  <si>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</si>
  <si>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</si>
  <si>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</si>
  <si>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</si>
  <si>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</si>
  <si>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</si>
  <si>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</si>
  <si>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</si>
  <si>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</si>
  <si>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</si>
  <si>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</si>
  <si>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</si>
  <si>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</si>
  <si>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</si>
  <si>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</si>
  <si>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</si>
  <si>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</si>
  <si>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</si>
  <si>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</si>
  <si>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</si>
  <si>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</si>
  <si>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</si>
  <si>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</si>
  <si>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</si>
  <si>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</si>
  <si>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</si>
  <si>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</si>
  <si>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</si>
  <si>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</si>
  <si>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</si>
  <si>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</si>
  <si>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</si>
  <si>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</si>
  <si>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</si>
  <si>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</si>
  <si>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</si>
  <si>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</si>
  <si>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</si>
  <si>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</si>
  <si>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</si>
  <si>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</si>
  <si>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</si>
  <si>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</si>
  <si>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</si>
  <si>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</si>
  <si>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</si>
  <si>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</si>
  <si>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</si>
  <si>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</si>
  <si>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</si>
  <si>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</si>
  <si>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</si>
  <si>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</si>
  <si>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</si>
  <si>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</si>
  <si>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</si>
  <si>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</si>
  <si>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</si>
  <si>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</si>
  <si>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</si>
  <si>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</si>
  <si>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</si>
  <si>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</si>
  <si>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</si>
  <si>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</si>
  <si>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</si>
  <si>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</si>
  <si>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</si>
  <si>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</si>
  <si>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</si>
  <si>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</si>
  <si>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</si>
  <si>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</si>
  <si>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</si>
  <si>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</si>
  <si>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</si>
  <si>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</si>
  <si>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</si>
  <si>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</si>
  <si>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</si>
  <si>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</si>
  <si>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</si>
  <si>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</si>
  <si>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</si>
  <si>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</si>
  <si>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</si>
  <si>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</si>
  <si>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</si>
  <si>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</si>
  <si>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</si>
  <si>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</si>
  <si>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</si>
  <si>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</si>
  <si>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</si>
  <si>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</si>
  <si>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</si>
  <si>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</si>
  <si>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</si>
  <si>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</si>
  <si>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</si>
  <si>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</si>
  <si>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</si>
  <si>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</si>
  <si>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</si>
  <si>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</si>
  <si>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</si>
  <si>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</si>
  <si>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</si>
  <si>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</si>
  <si>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</si>
  <si>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</si>
  <si>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</si>
  <si>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</si>
  <si>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</si>
  <si>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</si>
  <si>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</si>
  <si>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</si>
  <si>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</si>
  <si>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</si>
  <si>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</si>
  <si>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</si>
  <si>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</si>
  <si>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</si>
  <si>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</si>
  <si>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</si>
  <si>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</si>
  <si>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</si>
  <si>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</si>
  <si>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</si>
  <si>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</si>
  <si>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</si>
  <si>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</si>
  <si>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</si>
  <si>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</si>
  <si>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</si>
  <si>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</si>
  <si>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</si>
  <si>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</si>
  <si>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</si>
  <si>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</si>
  <si>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</si>
  <si>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</si>
  <si>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</si>
  <si>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</si>
  <si>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</si>
  <si>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</si>
  <si>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</si>
  <si>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</si>
  <si>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</si>
  <si>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</si>
  <si>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</si>
  <si>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</si>
  <si>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</si>
  <si>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</si>
  <si>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</si>
  <si>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</si>
  <si>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</si>
  <si>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</si>
  <si>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</si>
  <si>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</si>
  <si>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</si>
  <si>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</si>
  <si>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</si>
  <si>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</si>
  <si>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</si>
  <si>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</si>
  <si>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</si>
  <si>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</si>
  <si>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</si>
  <si>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</si>
  <si>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</si>
  <si>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</si>
  <si>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</si>
  <si>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</si>
  <si>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</si>
  <si>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</si>
  <si>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</si>
  <si>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</si>
  <si>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</si>
  <si>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</si>
  <si>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</si>
  <si>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</si>
  <si>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</si>
  <si>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</si>
  <si>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</si>
  <si>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</si>
  <si>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</si>
  <si>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</si>
  <si>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</si>
  <si>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</si>
  <si>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</si>
  <si>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</si>
  <si>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</si>
  <si>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</si>
  <si>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</si>
  <si>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</si>
  <si>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</si>
  <si>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</si>
  <si>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</si>
  <si>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</si>
  <si>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</si>
  <si>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</si>
  <si>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</si>
  <si>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</si>
  <si>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</si>
  <si>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</si>
  <si>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</si>
  <si>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</si>
  <si>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</si>
  <si>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</si>
  <si>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</si>
  <si>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</si>
  <si>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</si>
  <si>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</si>
  <si>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</si>
  <si>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</si>
  <si>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</si>
  <si>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</si>
  <si>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</si>
  <si>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</si>
  <si>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</si>
  <si>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</si>
  <si>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</si>
  <si>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</si>
  <si>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</si>
  <si>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</si>
  <si>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</si>
  <si>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</si>
  <si>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</si>
  <si>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</si>
  <si>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</si>
  <si>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</si>
  <si>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</si>
  <si>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</si>
  <si>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</si>
  <si>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</si>
  <si>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</si>
  <si>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</si>
  <si>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</si>
  <si>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</si>
  <si>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</si>
  <si>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</si>
  <si>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</si>
  <si>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</si>
  <si>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</si>
  <si>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</si>
  <si>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</si>
  <si>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</si>
  <si>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</si>
  <si>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</si>
  <si>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</si>
  <si>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</si>
  <si>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</si>
  <si>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</si>
  <si>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</si>
  <si>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</si>
  <si>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</si>
  <si>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</si>
  <si>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</si>
  <si>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</si>
  <si>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</si>
  <si>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</si>
  <si>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</si>
  <si>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</si>
  <si>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</si>
  <si>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</si>
  <si>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</si>
  <si>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</si>
  <si>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</si>
  <si>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</si>
  <si>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</si>
  <si>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</si>
  <si>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</si>
  <si>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</si>
  <si>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</si>
  <si>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</si>
  <si>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</si>
  <si>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</si>
  <si>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</si>
  <si>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</si>
  <si>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</si>
  <si>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</si>
  <si>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</si>
  <si>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</si>
  <si>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</si>
  <si>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</si>
  <si>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</si>
  <si>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</si>
  <si>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</si>
  <si>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</si>
  <si>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</si>
  <si>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</si>
  <si>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</si>
  <si>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</si>
  <si>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</si>
  <si>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</si>
  <si>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</si>
  <si>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</si>
  <si>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</si>
  <si>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</si>
  <si>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</si>
  <si>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</si>
  <si>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</si>
  <si>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</si>
  <si>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</si>
  <si>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</si>
  <si>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</si>
  <si>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</si>
  <si>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</si>
  <si>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</si>
  <si>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</si>
  <si>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</si>
  <si>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</si>
  <si>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</si>
  <si>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</si>
  <si>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</si>
  <si>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</si>
  <si>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</si>
  <si>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</si>
  <si>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</si>
  <si>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</si>
  <si>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</si>
  <si>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</si>
  <si>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</si>
  <si>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</si>
  <si>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</si>
  <si>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</si>
  <si>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</si>
  <si>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</si>
  <si>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</si>
  <si>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</si>
  <si>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</si>
  <si>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</si>
  <si>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</si>
  <si>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</si>
  <si>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</si>
  <si>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</si>
  <si>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</si>
  <si>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</si>
  <si>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</si>
  <si>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</si>
  <si>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</si>
  <si>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</si>
  <si>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</si>
  <si>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</si>
  <si>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</si>
  <si>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</si>
  <si>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</si>
  <si>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</si>
  <si>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</si>
  <si>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</si>
  <si>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</si>
  <si>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</si>
  <si>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</si>
  <si>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</si>
  <si>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</si>
  <si>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</si>
  <si>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</si>
  <si>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</si>
  <si>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</si>
  <si>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</si>
  <si>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</si>
  <si>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</si>
  <si>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</si>
  <si>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</si>
  <si>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</si>
  <si>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</si>
  <si>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</si>
  <si>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</si>
  <si>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</si>
  <si>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</si>
  <si>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</si>
  <si>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</si>
  <si>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</si>
  <si>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</si>
  <si>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</si>
  <si>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</si>
  <si>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</si>
  <si>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</si>
  <si>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</si>
  <si>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</si>
  <si>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</si>
  <si>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</si>
  <si>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</si>
  <si>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</si>
  <si>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</si>
  <si>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</si>
  <si>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</si>
  <si>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</si>
  <si>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</si>
  <si>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</si>
  <si>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</si>
  <si>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</si>
  <si>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</si>
  <si>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</si>
  <si>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</si>
  <si>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</si>
  <si>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</si>
  <si>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</si>
  <si>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</si>
  <si>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</si>
  <si>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</si>
  <si>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</si>
  <si>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</si>
  <si>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</si>
  <si>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</si>
  <si>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</si>
  <si>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</si>
  <si>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</si>
  <si>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</si>
  <si>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</si>
  <si>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</si>
  <si>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</si>
  <si>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</si>
  <si>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</si>
  <si>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</si>
  <si>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</si>
  <si>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</si>
  <si>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</si>
  <si>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</si>
  <si>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</si>
  <si>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</si>
  <si>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</si>
  <si>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</si>
  <si>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</si>
  <si>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</si>
  <si>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</si>
  <si>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</si>
  <si>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</si>
  <si>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</si>
  <si>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</si>
  <si>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</si>
  <si>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</si>
  <si>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</si>
  <si>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</si>
  <si>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</si>
  <si>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</si>
  <si>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</si>
  <si>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</si>
  <si>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</si>
  <si>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</si>
  <si>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</si>
  <si>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</si>
  <si>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</si>
  <si>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 xml:space="preserve">EMS_AGRF=sum (EMS[sagrf] on sagrf) 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</si>
  <si>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</si>
  <si>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</si>
  <si>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</si>
  <si>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</si>
  <si>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</si>
  <si>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</si>
  <si>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</si>
  <si>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</si>
  <si>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</si>
  <si>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</si>
  <si>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</si>
  <si>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</si>
  <si>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</si>
  <si>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</si>
  <si>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</si>
  <si>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</si>
  <si>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</si>
  <si>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</si>
  <si>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</si>
  <si>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</si>
  <si>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</si>
  <si>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</si>
  <si>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EMS_CI_ccoa=sum(EMS_CI[s;ccoa] on s)</t>
  </si>
  <si>
    <t>EMS_CI_agrf_ccoa=sum(EMS_CI[sagrf;ccoa] on sagrf)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</si>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</sst>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_-* #,##0.00\ _€_-;\-* #,##0.00\ _€_-;_-* &quot;-&quot;??\ _€_-;_-@_-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</cellStyleXfs>
  <cellXfs count="252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0" fillId="4" borderId="0" xfId="0" applyFill="1" applyAlignment="1">
      <alignment wrapText="1"/>
    </xf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9" borderId="0" xfId="2" applyNumberFormat="1" applyFont="1" applyFill="1" applyBorder="1"/>
    <xf numFmtId="1" fontId="11" fillId="6" borderId="5" xfId="2" applyNumberFormat="1" applyFont="1" applyFill="1" applyBorder="1"/>
    <xf numFmtId="1" fontId="11" fillId="10" borderId="0" xfId="2" applyNumberFormat="1" applyFont="1" applyFill="1" applyBorder="1"/>
    <xf numFmtId="1" fontId="11" fillId="11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2" borderId="0" xfId="2" applyNumberFormat="1" applyFont="1" applyFill="1"/>
    <xf numFmtId="1" fontId="11" fillId="12" borderId="0" xfId="2" applyNumberFormat="1" applyFont="1" applyFill="1" applyAlignment="1">
      <alignment wrapText="1"/>
    </xf>
    <xf numFmtId="1" fontId="11" fillId="12" borderId="0" xfId="2" applyNumberFormat="1" applyFont="1" applyFill="1" applyBorder="1"/>
    <xf numFmtId="1" fontId="11" fillId="11" borderId="15" xfId="2" applyNumberFormat="1" applyFont="1" applyFill="1" applyBorder="1"/>
    <xf numFmtId="1" fontId="11" fillId="11" borderId="5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 applyBorder="1"/>
    <xf numFmtId="0" fontId="13" fillId="14" borderId="0" xfId="0" applyFont="1" applyFill="1" applyAlignment="1">
      <alignment horizontal="center"/>
    </xf>
    <xf numFmtId="1" fontId="11" fillId="14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7" borderId="0" xfId="2" applyNumberFormat="1" applyFont="1" applyFill="1" applyBorder="1"/>
    <xf numFmtId="0" fontId="0" fillId="18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5" borderId="0" xfId="2" applyNumberFormat="1" applyFill="1" applyBorder="1"/>
    <xf numFmtId="0" fontId="0" fillId="4" borderId="0" xfId="0" applyFill="1" applyBorder="1" applyAlignment="1">
      <alignment wrapText="1"/>
    </xf>
    <xf numFmtId="1" fontId="11" fillId="13" borderId="0" xfId="2" applyNumberFormat="1" applyFont="1" applyFill="1" applyBorder="1"/>
    <xf numFmtId="1" fontId="11" fillId="6" borderId="0" xfId="2" applyNumberFormat="1" applyFont="1" applyFill="1" applyBorder="1"/>
    <xf numFmtId="1" fontId="11" fillId="15" borderId="0" xfId="2" applyNumberFormat="1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1" fontId="11" fillId="17" borderId="0" xfId="2" applyNumberFormat="1" applyFont="1" applyFill="1" applyBorder="1"/>
    <xf numFmtId="1" fontId="11" fillId="8" borderId="0" xfId="2" applyNumberFormat="1" applyFont="1" applyFill="1" applyBorder="1"/>
    <xf numFmtId="1" fontId="11" fillId="7" borderId="0" xfId="2" applyNumberFormat="1" applyFont="1" applyFill="1" applyBorder="1"/>
    <xf numFmtId="1" fontId="11" fillId="8" borderId="6" xfId="2" applyNumberFormat="1" applyFont="1" applyFill="1" applyBorder="1"/>
    <xf numFmtId="1" fontId="17" fillId="8" borderId="0" xfId="2" applyNumberFormat="1" applyFont="1" applyFill="1" applyBorder="1"/>
    <xf numFmtId="1" fontId="17" fillId="16" borderId="0" xfId="2" applyNumberFormat="1" applyFont="1" applyFill="1" applyBorder="1"/>
    <xf numFmtId="1" fontId="11" fillId="16" borderId="1" xfId="2" applyNumberFormat="1" applyFont="1" applyFill="1" applyBorder="1"/>
    <xf numFmtId="1" fontId="17" fillId="15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5" borderId="0" xfId="2" applyNumberFormat="1" applyFont="1" applyFill="1" applyBorder="1"/>
    <xf numFmtId="1" fontId="11" fillId="5" borderId="5" xfId="2" applyNumberFormat="1" applyFont="1" applyFill="1" applyBorder="1"/>
    <xf numFmtId="0" fontId="9" fillId="18" borderId="0" xfId="0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7" fillId="8" borderId="5" xfId="2" applyNumberFormat="1" applyFont="1" applyFill="1" applyBorder="1"/>
    <xf numFmtId="1" fontId="11" fillId="15" borderId="5" xfId="2" applyNumberFormat="1" applyFont="1" applyFill="1" applyBorder="1"/>
    <xf numFmtId="1" fontId="11" fillId="16" borderId="4" xfId="2" applyNumberFormat="1" applyFont="1" applyFill="1" applyBorder="1"/>
    <xf numFmtId="1" fontId="11" fillId="16" borderId="3" xfId="2" applyNumberFormat="1" applyFont="1" applyFill="1" applyBorder="1"/>
    <xf numFmtId="1" fontId="11" fillId="16" borderId="5" xfId="2" applyNumberFormat="1" applyFont="1" applyFill="1" applyBorder="1"/>
    <xf numFmtId="1" fontId="11" fillId="17" borderId="5" xfId="2" applyNumberFormat="1" applyFont="1" applyFill="1" applyBorder="1"/>
    <xf numFmtId="1" fontId="17" fillId="13" borderId="0" xfId="2" applyNumberFormat="1" applyFont="1" applyFill="1"/>
    <xf numFmtId="1" fontId="17" fillId="13" borderId="0" xfId="2" applyNumberFormat="1" applyFont="1" applyFill="1" applyBorder="1"/>
    <xf numFmtId="1" fontId="11" fillId="13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5" borderId="2" xfId="2" applyNumberFormat="1" applyFont="1" applyFill="1" applyBorder="1"/>
    <xf numFmtId="1" fontId="11" fillId="15" borderId="5" xfId="2" applyNumberFormat="1" applyFill="1" applyBorder="1"/>
    <xf numFmtId="1" fontId="11" fillId="19" borderId="0" xfId="2" applyNumberFormat="1" applyFont="1" applyFill="1" applyBorder="1"/>
    <xf numFmtId="0" fontId="1" fillId="0" borderId="0" xfId="0" applyFont="1"/>
    <xf numFmtId="1" fontId="17" fillId="8" borderId="6" xfId="2" applyNumberFormat="1" applyFont="1" applyFill="1" applyBorder="1"/>
    <xf numFmtId="1" fontId="17" fillId="8" borderId="7" xfId="2" applyNumberFormat="1" applyFont="1" applyFill="1" applyBorder="1"/>
    <xf numFmtId="1" fontId="11" fillId="15" borderId="1" xfId="2" applyNumberFormat="1" applyFont="1" applyFill="1" applyBorder="1"/>
    <xf numFmtId="1" fontId="11" fillId="15" borderId="3" xfId="2" applyNumberFormat="1" applyFont="1" applyFill="1" applyBorder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5" borderId="6" xfId="2" applyNumberFormat="1" applyFont="1" applyFill="1" applyBorder="1"/>
    <xf numFmtId="1" fontId="11" fillId="15" borderId="2" xfId="2" applyNumberFormat="1" applyFont="1" applyFill="1" applyBorder="1"/>
    <xf numFmtId="1" fontId="11" fillId="15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8" fillId="0" borderId="0" xfId="0" applyFont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9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11" borderId="6" xfId="0" applyFont="1" applyFill="1" applyBorder="1"/>
    <xf numFmtId="0" fontId="8" fillId="3" borderId="3" xfId="0" applyFont="1" applyFill="1" applyBorder="1"/>
    <xf numFmtId="0" fontId="8" fillId="12" borderId="6" xfId="0" applyFont="1" applyFill="1" applyBorder="1"/>
    <xf numFmtId="0" fontId="8" fillId="11" borderId="14" xfId="0" applyFont="1" applyFill="1" applyBorder="1"/>
    <xf numFmtId="0" fontId="8" fillId="11" borderId="7" xfId="0" applyFont="1" applyFill="1" applyBorder="1"/>
    <xf numFmtId="0" fontId="8" fillId="13" borderId="1" xfId="0" applyFont="1" applyFill="1" applyBorder="1"/>
    <xf numFmtId="0" fontId="8" fillId="4" borderId="1" xfId="0" applyFont="1" applyFill="1" applyBorder="1"/>
    <xf numFmtId="0" fontId="8" fillId="14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9" borderId="1" xfId="0" applyFont="1" applyFill="1" applyBorder="1"/>
    <xf numFmtId="0" fontId="8" fillId="4" borderId="3" xfId="0" applyFont="1" applyFill="1" applyBorder="1"/>
    <xf numFmtId="0" fontId="8" fillId="17" borderId="1" xfId="0" applyFont="1" applyFill="1" applyBorder="1"/>
    <xf numFmtId="0" fontId="8" fillId="17" borderId="3" xfId="0" applyFont="1" applyFill="1" applyBorder="1"/>
    <xf numFmtId="0" fontId="9" fillId="6" borderId="7" xfId="0" applyFont="1" applyFill="1" applyBorder="1"/>
    <xf numFmtId="1" fontId="17" fillId="6" borderId="5" xfId="2" applyNumberFormat="1" applyFont="1" applyFill="1" applyBorder="1"/>
    <xf numFmtId="0" fontId="8" fillId="15" borderId="6" xfId="0" applyFont="1" applyFill="1" applyBorder="1"/>
    <xf numFmtId="0" fontId="8" fillId="15" borderId="7" xfId="0" applyFont="1" applyFill="1" applyBorder="1"/>
    <xf numFmtId="0" fontId="9" fillId="15" borderId="6" xfId="0" applyFont="1" applyFill="1" applyBorder="1"/>
    <xf numFmtId="1" fontId="17" fillId="15" borderId="1" xfId="2" applyNumberFormat="1" applyFont="1" applyFill="1" applyBorder="1"/>
    <xf numFmtId="1" fontId="17" fillId="13" borderId="1" xfId="2" applyNumberFormat="1" applyFont="1" applyFill="1" applyBorder="1"/>
    <xf numFmtId="1" fontId="17" fillId="6" borderId="1" xfId="2" applyNumberFormat="1" applyFont="1" applyFill="1" applyBorder="1"/>
    <xf numFmtId="1" fontId="17" fillId="16" borderId="1" xfId="2" applyNumberFormat="1" applyFont="1" applyFill="1" applyBorder="1"/>
    <xf numFmtId="0" fontId="9" fillId="17" borderId="1" xfId="0" applyFont="1" applyFill="1" applyBorder="1"/>
    <xf numFmtId="1" fontId="17" fillId="17" borderId="0" xfId="2" applyNumberFormat="1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15" borderId="6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 wrapText="1"/>
    </xf>
    <xf numFmtId="0" fontId="10" fillId="17" borderId="1" xfId="0" applyNumberFormat="1" applyFont="1" applyFill="1" applyBorder="1" applyAlignment="1">
      <alignment horizontal="center" vertical="center" wrapText="1"/>
    </xf>
    <xf numFmtId="0" fontId="10" fillId="17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1" fontId="11" fillId="10" borderId="5" xfId="2" applyNumberFormat="1" applyFont="1" applyFill="1" applyBorder="1"/>
    <xf numFmtId="1" fontId="17" fillId="11" borderId="0" xfId="2" applyNumberFormat="1" applyFont="1" applyFill="1" applyBorder="1"/>
    <xf numFmtId="1" fontId="17" fillId="11" borderId="0" xfId="2" applyNumberFormat="1" applyFont="1" applyFill="1"/>
    <xf numFmtId="1" fontId="11" fillId="11" borderId="0" xfId="2" applyNumberFormat="1" applyFont="1" applyFill="1"/>
    <xf numFmtId="1" fontId="11" fillId="15" borderId="0" xfId="2" applyNumberFormat="1" applyFont="1" applyFill="1"/>
    <xf numFmtId="1" fontId="11" fillId="13" borderId="0" xfId="2" applyNumberFormat="1" applyFont="1" applyFill="1"/>
    <xf numFmtId="1" fontId="11" fillId="13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8" borderId="7" xfId="0" applyFont="1" applyFill="1" applyBorder="1"/>
    <xf numFmtId="0" fontId="9" fillId="10" borderId="6" xfId="0" applyFont="1" applyFill="1" applyBorder="1"/>
    <xf numFmtId="0" fontId="8" fillId="10" borderId="7" xfId="0" applyFont="1" applyFill="1" applyBorder="1"/>
    <xf numFmtId="0" fontId="9" fillId="11" borderId="6" xfId="0" applyFont="1" applyFill="1" applyBorder="1"/>
    <xf numFmtId="0" fontId="8" fillId="3" borderId="5" xfId="0" applyFont="1" applyFill="1" applyBorder="1"/>
    <xf numFmtId="0" fontId="9" fillId="12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3" borderId="2" xfId="0" applyFont="1" applyFill="1" applyBorder="1"/>
    <xf numFmtId="0" fontId="8" fillId="4" borderId="2" xfId="0" applyFont="1" applyFill="1" applyBorder="1"/>
    <xf numFmtId="0" fontId="8" fillId="14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9" borderId="2" xfId="0" applyFont="1" applyFill="1" applyBorder="1"/>
    <xf numFmtId="0" fontId="8" fillId="19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7" borderId="2" xfId="0" applyFont="1" applyFill="1" applyBorder="1"/>
    <xf numFmtId="0" fontId="8" fillId="17" borderId="2" xfId="0" applyFont="1" applyFill="1" applyBorder="1"/>
    <xf numFmtId="0" fontId="8" fillId="17" borderId="4" xfId="0" applyFont="1" applyFill="1" applyBorder="1"/>
    <xf numFmtId="1" fontId="17" fillId="4" borderId="0" xfId="2" applyNumberFormat="1" applyFont="1" applyFill="1" applyBorder="1"/>
    <xf numFmtId="1" fontId="11" fillId="11" borderId="2" xfId="2" applyNumberFormat="1" applyFont="1" applyFill="1" applyBorder="1"/>
    <xf numFmtId="1" fontId="11" fillId="11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1" borderId="1" xfId="0" applyFont="1" applyFill="1" applyBorder="1" applyAlignment="1">
      <alignment vertical="center" wrapText="1"/>
    </xf>
  </cellXfs>
  <cellStyles count="5">
    <cellStyle name="Milliers 2" xfId="3"/>
    <cellStyle name="Normal" xfId="0" builtinId="0"/>
    <cellStyle name="Normal 2" xfId="2"/>
    <cellStyle name="Normal 2 2" xfId="4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L1423"/>
  <sheetViews>
    <sheetView tabSelected="1" topLeftCell="A731" workbookViewId="0">
      <selection activeCell="L939" sqref="L939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</cols>
  <sheetData>
    <row r="1" spans="1:38" ht="80.25" customHeight="1" x14ac:dyDescent="0.25">
      <c r="A1" s="168" t="s">
        <v>157</v>
      </c>
      <c r="B1" s="168"/>
      <c r="C1" s="168"/>
      <c r="D1" s="168"/>
    </row>
    <row r="2" spans="1:38" x14ac:dyDescent="0.25">
      <c r="E2" s="46" t="s">
        <v>160</v>
      </c>
      <c r="F2" s="73">
        <v>5</v>
      </c>
      <c r="G2" s="73">
        <v>6</v>
      </c>
      <c r="H2" s="73">
        <v>7</v>
      </c>
      <c r="I2" s="73">
        <v>8</v>
      </c>
      <c r="J2" s="73">
        <v>9</v>
      </c>
      <c r="K2" s="73">
        <v>10</v>
      </c>
      <c r="L2" s="73">
        <v>11</v>
      </c>
      <c r="M2" s="73">
        <v>12</v>
      </c>
      <c r="N2" s="73">
        <v>13</v>
      </c>
      <c r="O2" s="73">
        <v>14</v>
      </c>
      <c r="P2" s="73">
        <v>15</v>
      </c>
      <c r="Q2" s="73">
        <v>16</v>
      </c>
      <c r="R2" s="73">
        <v>17</v>
      </c>
      <c r="S2" s="73">
        <v>18</v>
      </c>
      <c r="T2" s="73">
        <v>19</v>
      </c>
      <c r="U2" s="73">
        <v>20</v>
      </c>
      <c r="V2" s="73">
        <v>21</v>
      </c>
      <c r="W2" s="73">
        <v>22</v>
      </c>
      <c r="X2" s="73">
        <v>23</v>
      </c>
      <c r="Y2" s="73">
        <v>24</v>
      </c>
      <c r="Z2" s="73">
        <v>25</v>
      </c>
      <c r="AA2" s="73">
        <v>26</v>
      </c>
      <c r="AB2" s="73">
        <v>27</v>
      </c>
      <c r="AC2" s="73">
        <v>28</v>
      </c>
      <c r="AD2" s="73">
        <v>29</v>
      </c>
      <c r="AE2" s="73">
        <v>30</v>
      </c>
      <c r="AF2" s="73">
        <v>31</v>
      </c>
      <c r="AG2" s="73">
        <v>32</v>
      </c>
      <c r="AH2" s="73">
        <v>33</v>
      </c>
      <c r="AI2" s="73">
        <v>34</v>
      </c>
      <c r="AJ2" s="73">
        <v>35</v>
      </c>
      <c r="AK2" s="73">
        <v>36</v>
      </c>
      <c r="AL2" s="73">
        <v>37</v>
      </c>
    </row>
    <row r="3" spans="1:38" ht="76.5" customHeight="1" x14ac:dyDescent="0.25">
      <c r="A3" s="45" t="s">
        <v>158</v>
      </c>
      <c r="B3" s="79" t="s">
        <v>159</v>
      </c>
      <c r="C3" s="127"/>
      <c r="D3" s="127"/>
      <c r="E3" s="97" t="s">
        <v>401</v>
      </c>
      <c r="F3">
        <f>Hybrid!E1</f>
        <v>43101</v>
      </c>
      <c r="G3">
        <f>Hybrid!F1</f>
        <v>43466</v>
      </c>
      <c r="H3">
        <f>Hybrid!G1</f>
        <v>43831</v>
      </c>
      <c r="I3">
        <f>Hybrid!H1</f>
        <v>44197</v>
      </c>
      <c r="J3">
        <f>Hybrid!I1</f>
        <v>44562</v>
      </c>
      <c r="K3">
        <f>Hybrid!J1</f>
        <v>44927</v>
      </c>
      <c r="L3">
        <f>Hybrid!K1</f>
        <v>45292</v>
      </c>
      <c r="M3">
        <f>Hybrid!L1</f>
        <v>45658</v>
      </c>
      <c r="N3">
        <f>Hybrid!M1</f>
        <v>46023</v>
      </c>
      <c r="O3">
        <f>Hybrid!N1</f>
        <v>46388</v>
      </c>
      <c r="P3">
        <f>Hybrid!O1</f>
        <v>46753</v>
      </c>
      <c r="Q3">
        <f>Hybrid!P1</f>
        <v>47119</v>
      </c>
      <c r="R3">
        <f>Hybrid!Q1</f>
        <v>47484</v>
      </c>
      <c r="S3">
        <f>Hybrid!R1</f>
        <v>47849</v>
      </c>
      <c r="T3">
        <f>Hybrid!S1</f>
        <v>48214</v>
      </c>
      <c r="U3">
        <f>Hybrid!T1</f>
        <v>48580</v>
      </c>
      <c r="V3">
        <f>Hybrid!U1</f>
        <v>48945</v>
      </c>
      <c r="W3">
        <f>Hybrid!V1</f>
        <v>49310</v>
      </c>
      <c r="X3">
        <f>Hybrid!W1</f>
        <v>49675</v>
      </c>
      <c r="Y3">
        <f>Hybrid!X1</f>
        <v>50041</v>
      </c>
      <c r="Z3">
        <f>Hybrid!Y1</f>
        <v>50406</v>
      </c>
      <c r="AA3">
        <f>Hybrid!Z1</f>
        <v>50771</v>
      </c>
      <c r="AB3">
        <f>Hybrid!AA1</f>
        <v>51136</v>
      </c>
      <c r="AC3">
        <f>Hybrid!AB1</f>
        <v>51502</v>
      </c>
      <c r="AD3">
        <f>Hybrid!AC1</f>
        <v>51867</v>
      </c>
      <c r="AE3">
        <f>Hybrid!AD1</f>
        <v>52232</v>
      </c>
      <c r="AF3">
        <f>Hybrid!AE1</f>
        <v>52597</v>
      </c>
      <c r="AG3">
        <f>Hybrid!AF1</f>
        <v>52963</v>
      </c>
      <c r="AH3">
        <f>Hybrid!AG1</f>
        <v>53328</v>
      </c>
      <c r="AI3">
        <f>Hybrid!AH1</f>
        <v>53693</v>
      </c>
      <c r="AJ3">
        <f>Hybrid!AI1</f>
        <v>54058</v>
      </c>
      <c r="AK3">
        <f>Hybrid!AJ1</f>
        <v>54424</v>
      </c>
      <c r="AL3">
        <f>Hybrid!AK1</f>
        <v>54789</v>
      </c>
    </row>
    <row r="4" spans="1:38" s="115" customFormat="1" ht="15" customHeight="1" x14ac:dyDescent="0.25">
      <c r="A4" s="171" t="s">
        <v>161</v>
      </c>
      <c r="B4" s="170" t="s">
        <v>580</v>
      </c>
      <c r="C4" s="128" t="s">
        <v>571</v>
      </c>
      <c r="D4" s="128"/>
      <c r="E4" s="98" t="s">
        <v>351</v>
      </c>
      <c r="F4" s="115">
        <f>+VLOOKUP($E4,Hybrid!$1:$1048576,F$2,FALSE)</f>
        <v>31664.732889999999</v>
      </c>
      <c r="G4" s="115">
        <f>+VLOOKUP($E4,Hybrid!$1:$1048576,G$2,FALSE)</f>
        <v>31685.151559999998</v>
      </c>
      <c r="H4" s="115">
        <f>+VLOOKUP($E4,Hybrid!$1:$1048576,H$2,FALSE)</f>
        <v>31761.773590000001</v>
      </c>
      <c r="I4" s="115">
        <f>+VLOOKUP($E4,Hybrid!$1:$1048576,I$2,FALSE)</f>
        <v>31876.819759999998</v>
      </c>
      <c r="J4" s="115">
        <f>+VLOOKUP($E4,Hybrid!$1:$1048576,J$2,FALSE)</f>
        <v>32020.398109999998</v>
      </c>
      <c r="K4" s="115">
        <f>+VLOOKUP($E4,Hybrid!$1:$1048576,K$2,FALSE)</f>
        <v>32185.055550000001</v>
      </c>
      <c r="L4" s="115">
        <f>+VLOOKUP($E4,Hybrid!$1:$1048576,L$2,FALSE)</f>
        <v>32364.878639999999</v>
      </c>
      <c r="M4" s="115">
        <f>+VLOOKUP($E4,Hybrid!$1:$1048576,M$2,FALSE)</f>
        <v>32555.008150000001</v>
      </c>
      <c r="N4" s="115">
        <f>+VLOOKUP($E4,Hybrid!$1:$1048576,N$2,FALSE)</f>
        <v>32751.304230000002</v>
      </c>
      <c r="O4" s="115">
        <f>+VLOOKUP($E4,Hybrid!$1:$1048576,O$2,FALSE)</f>
        <v>32950.115619999997</v>
      </c>
      <c r="P4" s="115">
        <f>+VLOOKUP($E4,Hybrid!$1:$1048576,P$2,FALSE)</f>
        <v>33148.123549999997</v>
      </c>
      <c r="Q4" s="115">
        <f>+VLOOKUP($E4,Hybrid!$1:$1048576,Q$2,FALSE)</f>
        <v>33342.23833</v>
      </c>
      <c r="R4" s="115">
        <f>+VLOOKUP($E4,Hybrid!$1:$1048576,R$2,FALSE)</f>
        <v>33529.533100000001</v>
      </c>
      <c r="S4" s="115">
        <f>+VLOOKUP($E4,Hybrid!$1:$1048576,S$2,FALSE)</f>
        <v>33709.687819999999</v>
      </c>
      <c r="T4" s="115">
        <f>+VLOOKUP($E4,Hybrid!$1:$1048576,T$2,FALSE)</f>
        <v>33884.612249999998</v>
      </c>
      <c r="U4" s="115">
        <f>+VLOOKUP($E4,Hybrid!$1:$1048576,U$2,FALSE)</f>
        <v>34055.314740000002</v>
      </c>
      <c r="V4" s="115">
        <f>+VLOOKUP($E4,Hybrid!$1:$1048576,V$2,FALSE)</f>
        <v>34222.258249999999</v>
      </c>
      <c r="W4" s="115">
        <f>+VLOOKUP($E4,Hybrid!$1:$1048576,W$2,FALSE)</f>
        <v>34385.651189999997</v>
      </c>
      <c r="X4" s="115">
        <f>+VLOOKUP($E4,Hybrid!$1:$1048576,X$2,FALSE)</f>
        <v>34545.60383</v>
      </c>
      <c r="Y4" s="115">
        <f>+VLOOKUP($E4,Hybrid!$1:$1048576,Y$2,FALSE)</f>
        <v>34702.207130000003</v>
      </c>
      <c r="Z4" s="115">
        <f>+VLOOKUP($E4,Hybrid!$1:$1048576,Z$2,FALSE)</f>
        <v>34855.571329999999</v>
      </c>
      <c r="AA4" s="115">
        <f>+VLOOKUP($E4,Hybrid!$1:$1048576,AA$2,FALSE)</f>
        <v>35005.844879999997</v>
      </c>
      <c r="AB4" s="115">
        <f>+VLOOKUP($E4,Hybrid!$1:$1048576,AB$2,FALSE)</f>
        <v>35153.224249999999</v>
      </c>
      <c r="AC4" s="115">
        <f>+VLOOKUP($E4,Hybrid!$1:$1048576,AC$2,FALSE)</f>
        <v>35297.960070000001</v>
      </c>
      <c r="AD4" s="115">
        <f>+VLOOKUP($E4,Hybrid!$1:$1048576,AD$2,FALSE)</f>
        <v>35440.36174</v>
      </c>
      <c r="AE4" s="115">
        <f>+VLOOKUP($E4,Hybrid!$1:$1048576,AE$2,FALSE)</f>
        <v>35580.801769999998</v>
      </c>
      <c r="AF4" s="115">
        <f>+VLOOKUP($E4,Hybrid!$1:$1048576,AF$2,FALSE)</f>
        <v>35719.719770000003</v>
      </c>
      <c r="AG4" s="115">
        <f>+VLOOKUP($E4,Hybrid!$1:$1048576,AG$2,FALSE)</f>
        <v>35857.62601</v>
      </c>
      <c r="AH4" s="115">
        <f>+VLOOKUP($E4,Hybrid!$1:$1048576,AH$2,FALSE)</f>
        <v>35995.104010000003</v>
      </c>
      <c r="AI4" s="115">
        <f>+VLOOKUP($E4,Hybrid!$1:$1048576,AI$2,FALSE)</f>
        <v>36132.811670000003</v>
      </c>
      <c r="AJ4" s="115">
        <f>+VLOOKUP($E4,Hybrid!$1:$1048576,AJ$2,FALSE)</f>
        <v>36271.480450000003</v>
      </c>
      <c r="AK4" s="115">
        <f>+VLOOKUP($E4,Hybrid!$1:$1048576,AK$2,FALSE)</f>
        <v>36411.911959999998</v>
      </c>
      <c r="AL4" s="115">
        <f>+VLOOKUP($E4,Hybrid!$1:$1048576,AL$2,FALSE)</f>
        <v>36554.971879999997</v>
      </c>
    </row>
    <row r="5" spans="1:38" s="115" customFormat="1" ht="15" customHeight="1" x14ac:dyDescent="0.25">
      <c r="A5" s="171"/>
      <c r="B5" s="170"/>
      <c r="C5" s="128" t="s">
        <v>570</v>
      </c>
      <c r="D5" s="129"/>
      <c r="E5" s="93" t="s">
        <v>352</v>
      </c>
      <c r="F5" s="115">
        <f>+VLOOKUP($E5,Hybrid!$1:$1048576,F$2,FALSE)</f>
        <v>31562.481319999999</v>
      </c>
      <c r="G5" s="115">
        <f>+VLOOKUP($E5,Hybrid!$1:$1048576,G$2,FALSE)</f>
        <v>31563.391670000001</v>
      </c>
      <c r="H5" s="115">
        <f>+VLOOKUP($E5,Hybrid!$1:$1048576,H$2,FALSE)</f>
        <v>31620.228930000001</v>
      </c>
      <c r="I5" s="115">
        <f>+VLOOKUP($E5,Hybrid!$1:$1048576,I$2,FALSE)</f>
        <v>31715.127369999998</v>
      </c>
      <c r="J5" s="115">
        <f>+VLOOKUP($E5,Hybrid!$1:$1048576,J$2,FALSE)</f>
        <v>31838.038369999998</v>
      </c>
      <c r="K5" s="115">
        <f>+VLOOKUP($E5,Hybrid!$1:$1048576,K$2,FALSE)</f>
        <v>31981.34908</v>
      </c>
      <c r="L5" s="115">
        <f>+VLOOKUP($E5,Hybrid!$1:$1048576,L$2,FALSE)</f>
        <v>32138.97392</v>
      </c>
      <c r="M5" s="115">
        <f>+VLOOKUP($E5,Hybrid!$1:$1048576,M$2,FALSE)</f>
        <v>32305.853879999999</v>
      </c>
      <c r="N5" s="115">
        <f>+VLOOKUP($E5,Hybrid!$1:$1048576,N$2,FALSE)</f>
        <v>32477.603520000001</v>
      </c>
      <c r="O5" s="115">
        <f>+VLOOKUP($E5,Hybrid!$1:$1048576,O$2,FALSE)</f>
        <v>32650.258519999999</v>
      </c>
      <c r="P5" s="115">
        <f>+VLOOKUP($E5,Hybrid!$1:$1048576,P$2,FALSE)</f>
        <v>32820.092669999998</v>
      </c>
      <c r="Q5" s="115">
        <f>+VLOOKUP($E5,Hybrid!$1:$1048576,Q$2,FALSE)</f>
        <v>32983.479639999998</v>
      </c>
      <c r="R5" s="115">
        <f>+VLOOKUP($E5,Hybrid!$1:$1048576,R$2,FALSE)</f>
        <v>33136.779049999997</v>
      </c>
      <c r="S5" s="115">
        <f>+VLOOKUP($E5,Hybrid!$1:$1048576,S$2,FALSE)</f>
        <v>33278.705000000002</v>
      </c>
      <c r="T5" s="115">
        <f>+VLOOKUP($E5,Hybrid!$1:$1048576,T$2,FALSE)</f>
        <v>33409.974479999997</v>
      </c>
      <c r="U5" s="115">
        <f>+VLOOKUP($E5,Hybrid!$1:$1048576,U$2,FALSE)</f>
        <v>33530.266199999998</v>
      </c>
      <c r="V5" s="115">
        <f>+VLOOKUP($E5,Hybrid!$1:$1048576,V$2,FALSE)</f>
        <v>33638.562089999999</v>
      </c>
      <c r="W5" s="115">
        <f>+VLOOKUP($E5,Hybrid!$1:$1048576,W$2,FALSE)</f>
        <v>33733.42353</v>
      </c>
      <c r="X5" s="115">
        <f>+VLOOKUP($E5,Hybrid!$1:$1048576,X$2,FALSE)</f>
        <v>33813.135219999996</v>
      </c>
      <c r="Y5" s="115">
        <f>+VLOOKUP($E5,Hybrid!$1:$1048576,Y$2,FALSE)</f>
        <v>33875.774189999996</v>
      </c>
      <c r="Z5" s="115">
        <f>+VLOOKUP($E5,Hybrid!$1:$1048576,Z$2,FALSE)</f>
        <v>33919.241320000001</v>
      </c>
      <c r="AA5" s="115">
        <f>+VLOOKUP($E5,Hybrid!$1:$1048576,AA$2,FALSE)</f>
        <v>33941.276899999997</v>
      </c>
      <c r="AB5" s="115">
        <f>+VLOOKUP($E5,Hybrid!$1:$1048576,AB$2,FALSE)</f>
        <v>33939.47163</v>
      </c>
      <c r="AC5" s="115">
        <f>+VLOOKUP($E5,Hybrid!$1:$1048576,AC$2,FALSE)</f>
        <v>33911.279459999998</v>
      </c>
      <c r="AD5" s="115">
        <f>+VLOOKUP($E5,Hybrid!$1:$1048576,AD$2,FALSE)</f>
        <v>33854.035799999998</v>
      </c>
      <c r="AE5" s="115">
        <f>+VLOOKUP($E5,Hybrid!$1:$1048576,AE$2,FALSE)</f>
        <v>33764.983189999999</v>
      </c>
      <c r="AF5" s="115">
        <f>+VLOOKUP($E5,Hybrid!$1:$1048576,AF$2,FALSE)</f>
        <v>33641.30573</v>
      </c>
      <c r="AG5" s="115">
        <f>+VLOOKUP($E5,Hybrid!$1:$1048576,AG$2,FALSE)</f>
        <v>33480.172939999997</v>
      </c>
      <c r="AH5" s="115">
        <f>+VLOOKUP($E5,Hybrid!$1:$1048576,AH$2,FALSE)</f>
        <v>33278.793189999997</v>
      </c>
      <c r="AI5" s="115">
        <f>+VLOOKUP($E5,Hybrid!$1:$1048576,AI$2,FALSE)</f>
        <v>33034.47653</v>
      </c>
      <c r="AJ5" s="115">
        <f>+VLOOKUP($E5,Hybrid!$1:$1048576,AJ$2,FALSE)</f>
        <v>32744.70595</v>
      </c>
      <c r="AK5" s="115">
        <f>+VLOOKUP($E5,Hybrid!$1:$1048576,AK$2,FALSE)</f>
        <v>32407.21574</v>
      </c>
      <c r="AL5" s="115">
        <f>+VLOOKUP($E5,Hybrid!$1:$1048576,AL$2,FALSE)</f>
        <v>32020.074850000001</v>
      </c>
    </row>
    <row r="6" spans="1:38" ht="15" customHeight="1" x14ac:dyDescent="0.25">
      <c r="A6" s="171"/>
      <c r="B6" s="170"/>
      <c r="C6" s="219"/>
      <c r="D6" s="130" t="s">
        <v>562</v>
      </c>
      <c r="E6" s="47" t="s">
        <v>353</v>
      </c>
      <c r="F6">
        <f>+VLOOKUP($E6,Hybrid!$1:$1048576,F$2,FALSE)</f>
        <v>7362.7565290000002</v>
      </c>
      <c r="G6">
        <f>+VLOOKUP($E6,Hybrid!$1:$1048576,G$2,FALSE)</f>
        <v>7510.0299349999996</v>
      </c>
      <c r="H6">
        <f>+VLOOKUP($E6,Hybrid!$1:$1048576,H$2,FALSE)</f>
        <v>7670.2472029999999</v>
      </c>
      <c r="I6">
        <f>+VLOOKUP($E6,Hybrid!$1:$1048576,I$2,FALSE)</f>
        <v>7838.7850349999999</v>
      </c>
      <c r="J6">
        <f>+VLOOKUP($E6,Hybrid!$1:$1048576,J$2,FALSE)</f>
        <v>8013.1055109999998</v>
      </c>
      <c r="K6">
        <f>+VLOOKUP($E6,Hybrid!$1:$1048576,K$2,FALSE)</f>
        <v>8191.2469520000004</v>
      </c>
      <c r="L6">
        <f>+VLOOKUP($E6,Hybrid!$1:$1048576,L$2,FALSE)</f>
        <v>8371.6255729999993</v>
      </c>
      <c r="M6">
        <f>+VLOOKUP($E6,Hybrid!$1:$1048576,M$2,FALSE)</f>
        <v>8552.9218550000005</v>
      </c>
      <c r="N6">
        <f>+VLOOKUP($E6,Hybrid!$1:$1048576,N$2,FALSE)</f>
        <v>8733.9921400000003</v>
      </c>
      <c r="O6">
        <f>+VLOOKUP($E6,Hybrid!$1:$1048576,O$2,FALSE)</f>
        <v>8913.8008030000001</v>
      </c>
      <c r="P6">
        <f>+VLOOKUP($E6,Hybrid!$1:$1048576,P$2,FALSE)</f>
        <v>9091.3683889999993</v>
      </c>
      <c r="Q6">
        <f>+VLOOKUP($E6,Hybrid!$1:$1048576,Q$2,FALSE)</f>
        <v>9265.7305400000005</v>
      </c>
      <c r="R6">
        <f>+VLOOKUP($E6,Hybrid!$1:$1048576,R$2,FALSE)</f>
        <v>9435.9022650000006</v>
      </c>
      <c r="S6">
        <f>+VLOOKUP($E6,Hybrid!$1:$1048576,S$2,FALSE)</f>
        <v>9601.6398969999991</v>
      </c>
      <c r="T6">
        <f>+VLOOKUP($E6,Hybrid!$1:$1048576,T$2,FALSE)</f>
        <v>9763.3043679999992</v>
      </c>
      <c r="U6">
        <f>+VLOOKUP($E6,Hybrid!$1:$1048576,U$2,FALSE)</f>
        <v>9920.8512179999998</v>
      </c>
      <c r="V6">
        <f>+VLOOKUP($E6,Hybrid!$1:$1048576,V$2,FALSE)</f>
        <v>10073.96235</v>
      </c>
      <c r="W6">
        <f>+VLOOKUP($E6,Hybrid!$1:$1048576,W$2,FALSE)</f>
        <v>10222.14596</v>
      </c>
      <c r="X6">
        <f>+VLOOKUP($E6,Hybrid!$1:$1048576,X$2,FALSE)</f>
        <v>10364.787990000001</v>
      </c>
      <c r="Y6">
        <f>+VLOOKUP($E6,Hybrid!$1:$1048576,Y$2,FALSE)</f>
        <v>10501.17597</v>
      </c>
      <c r="Z6">
        <f>+VLOOKUP($E6,Hybrid!$1:$1048576,Z$2,FALSE)</f>
        <v>10630.50922</v>
      </c>
      <c r="AA6">
        <f>+VLOOKUP($E6,Hybrid!$1:$1048576,AA$2,FALSE)</f>
        <v>10751.902609999999</v>
      </c>
      <c r="AB6">
        <f>+VLOOKUP($E6,Hybrid!$1:$1048576,AB$2,FALSE)</f>
        <v>10864.38847</v>
      </c>
      <c r="AC6">
        <f>+VLOOKUP($E6,Hybrid!$1:$1048576,AC$2,FALSE)</f>
        <v>10966.918830000001</v>
      </c>
      <c r="AD6">
        <f>+VLOOKUP($E6,Hybrid!$1:$1048576,AD$2,FALSE)</f>
        <v>11058.36961</v>
      </c>
      <c r="AE6">
        <f>+VLOOKUP($E6,Hybrid!$1:$1048576,AE$2,FALSE)</f>
        <v>11137.54775</v>
      </c>
      <c r="AF6">
        <f>+VLOOKUP($E6,Hybrid!$1:$1048576,AF$2,FALSE)</f>
        <v>11203.201940000001</v>
      </c>
      <c r="AG6">
        <f>+VLOOKUP($E6,Hybrid!$1:$1048576,AG$2,FALSE)</f>
        <v>11254.03751</v>
      </c>
      <c r="AH6">
        <f>+VLOOKUP($E6,Hybrid!$1:$1048576,AH$2,FALSE)</f>
        <v>11288.73596</v>
      </c>
      <c r="AI6">
        <f>+VLOOKUP($E6,Hybrid!$1:$1048576,AI$2,FALSE)</f>
        <v>11305.979009999999</v>
      </c>
      <c r="AJ6">
        <f>+VLOOKUP($E6,Hybrid!$1:$1048576,AJ$2,FALSE)</f>
        <v>11304.4774</v>
      </c>
      <c r="AK6">
        <f>+VLOOKUP($E6,Hybrid!$1:$1048576,AK$2,FALSE)</f>
        <v>11283.00395</v>
      </c>
      <c r="AL6">
        <f>+VLOOKUP($E6,Hybrid!$1:$1048576,AL$2,FALSE)</f>
        <v>11240.43024</v>
      </c>
    </row>
    <row r="7" spans="1:38" ht="15" customHeight="1" x14ac:dyDescent="0.25">
      <c r="A7" s="171"/>
      <c r="B7" s="170"/>
      <c r="C7" s="219"/>
      <c r="D7" s="130" t="s">
        <v>563</v>
      </c>
      <c r="E7" s="47" t="s">
        <v>354</v>
      </c>
      <c r="F7">
        <f>+VLOOKUP($E7,Hybrid!$1:$1048576,F$2,FALSE)</f>
        <v>8191.2663309999998</v>
      </c>
      <c r="G7">
        <f>+VLOOKUP($E7,Hybrid!$1:$1048576,G$2,FALSE)</f>
        <v>8239.9130120000009</v>
      </c>
      <c r="H7">
        <f>+VLOOKUP($E7,Hybrid!$1:$1048576,H$2,FALSE)</f>
        <v>8306.1530999999995</v>
      </c>
      <c r="I7">
        <f>+VLOOKUP($E7,Hybrid!$1:$1048576,I$2,FALSE)</f>
        <v>8384.9727180000009</v>
      </c>
      <c r="J7">
        <f>+VLOOKUP($E7,Hybrid!$1:$1048576,J$2,FALSE)</f>
        <v>8473.4298299999991</v>
      </c>
      <c r="K7">
        <f>+VLOOKUP($E7,Hybrid!$1:$1048576,K$2,FALSE)</f>
        <v>8569.2031970000007</v>
      </c>
      <c r="L7">
        <f>+VLOOKUP($E7,Hybrid!$1:$1048576,L$2,FALSE)</f>
        <v>8670.3748560000004</v>
      </c>
      <c r="M7">
        <f>+VLOOKUP($E7,Hybrid!$1:$1048576,M$2,FALSE)</f>
        <v>8775.3060330000008</v>
      </c>
      <c r="N7">
        <f>+VLOOKUP($E7,Hybrid!$1:$1048576,N$2,FALSE)</f>
        <v>8882.5442230000008</v>
      </c>
      <c r="O7">
        <f>+VLOOKUP($E7,Hybrid!$1:$1048576,O$2,FALSE)</f>
        <v>8990.7536220000002</v>
      </c>
      <c r="P7">
        <f>+VLOOKUP($E7,Hybrid!$1:$1048576,P$2,FALSE)</f>
        <v>9098.6627050000006</v>
      </c>
      <c r="Q7">
        <f>+VLOOKUP($E7,Hybrid!$1:$1048576,Q$2,FALSE)</f>
        <v>9205.0230439999996</v>
      </c>
      <c r="R7">
        <f>+VLOOKUP($E7,Hybrid!$1:$1048576,R$2,FALSE)</f>
        <v>9308.5738020000008</v>
      </c>
      <c r="S7">
        <f>+VLOOKUP($E7,Hybrid!$1:$1048576,S$2,FALSE)</f>
        <v>9408.7536359999995</v>
      </c>
      <c r="T7">
        <f>+VLOOKUP($E7,Hybrid!$1:$1048576,T$2,FALSE)</f>
        <v>9505.5997970000008</v>
      </c>
      <c r="U7">
        <f>+VLOOKUP($E7,Hybrid!$1:$1048576,U$2,FALSE)</f>
        <v>9598.8301439999996</v>
      </c>
      <c r="V7">
        <f>+VLOOKUP($E7,Hybrid!$1:$1048576,V$2,FALSE)</f>
        <v>9687.9491309999994</v>
      </c>
      <c r="W7">
        <f>+VLOOKUP($E7,Hybrid!$1:$1048576,W$2,FALSE)</f>
        <v>9772.3322900000003</v>
      </c>
      <c r="X7">
        <f>+VLOOKUP($E7,Hybrid!$1:$1048576,X$2,FALSE)</f>
        <v>9851.2702169999993</v>
      </c>
      <c r="Y7">
        <f>+VLOOKUP($E7,Hybrid!$1:$1048576,Y$2,FALSE)</f>
        <v>9923.9897560000009</v>
      </c>
      <c r="Z7">
        <f>+VLOOKUP($E7,Hybrid!$1:$1048576,Z$2,FALSE)</f>
        <v>9989.6639109999996</v>
      </c>
      <c r="AA7">
        <f>+VLOOKUP($E7,Hybrid!$1:$1048576,AA$2,FALSE)</f>
        <v>10047.417020000001</v>
      </c>
      <c r="AB7">
        <f>+VLOOKUP($E7,Hybrid!$1:$1048576,AB$2,FALSE)</f>
        <v>10096.328729999999</v>
      </c>
      <c r="AC7">
        <f>+VLOOKUP($E7,Hybrid!$1:$1048576,AC$2,FALSE)</f>
        <v>10135.43887</v>
      </c>
      <c r="AD7">
        <f>+VLOOKUP($E7,Hybrid!$1:$1048576,AD$2,FALSE)</f>
        <v>10163.754150000001</v>
      </c>
      <c r="AE7">
        <f>+VLOOKUP($E7,Hybrid!$1:$1048576,AE$2,FALSE)</f>
        <v>10180.257680000001</v>
      </c>
      <c r="AF7">
        <f>+VLOOKUP($E7,Hybrid!$1:$1048576,AF$2,FALSE)</f>
        <v>10183.92152</v>
      </c>
      <c r="AG7">
        <f>+VLOOKUP($E7,Hybrid!$1:$1048576,AG$2,FALSE)</f>
        <v>10173.722529999999</v>
      </c>
      <c r="AH7">
        <f>+VLOOKUP($E7,Hybrid!$1:$1048576,AH$2,FALSE)</f>
        <v>10148.661630000001</v>
      </c>
      <c r="AI7">
        <f>+VLOOKUP($E7,Hybrid!$1:$1048576,AI$2,FALSE)</f>
        <v>10107.786260000001</v>
      </c>
      <c r="AJ7">
        <f>+VLOOKUP($E7,Hybrid!$1:$1048576,AJ$2,FALSE)</f>
        <v>10050.215630000001</v>
      </c>
      <c r="AK7">
        <f>+VLOOKUP($E7,Hybrid!$1:$1048576,AK$2,FALSE)</f>
        <v>9975.1682849999997</v>
      </c>
      <c r="AL7">
        <f>+VLOOKUP($E7,Hybrid!$1:$1048576,AL$2,FALSE)</f>
        <v>9881.9910660000005</v>
      </c>
    </row>
    <row r="8" spans="1:38" ht="15" customHeight="1" x14ac:dyDescent="0.25">
      <c r="A8" s="171"/>
      <c r="B8" s="170"/>
      <c r="C8" s="219"/>
      <c r="D8" s="130" t="s">
        <v>564</v>
      </c>
      <c r="E8" s="47" t="s">
        <v>355</v>
      </c>
      <c r="F8">
        <f>+VLOOKUP($E8,Hybrid!$1:$1048576,F$2,FALSE)</f>
        <v>6502.0081840000003</v>
      </c>
      <c r="G8">
        <f>+VLOOKUP($E8,Hybrid!$1:$1048576,G$2,FALSE)</f>
        <v>6467.26224</v>
      </c>
      <c r="H8">
        <f>+VLOOKUP($E8,Hybrid!$1:$1048576,H$2,FALSE)</f>
        <v>6448.6372609999999</v>
      </c>
      <c r="I8">
        <f>+VLOOKUP($E8,Hybrid!$1:$1048576,I$2,FALSE)</f>
        <v>6442.2478430000001</v>
      </c>
      <c r="J8">
        <f>+VLOOKUP($E8,Hybrid!$1:$1048576,J$2,FALSE)</f>
        <v>6445.6930149999998</v>
      </c>
      <c r="K8">
        <f>+VLOOKUP($E8,Hybrid!$1:$1048576,K$2,FALSE)</f>
        <v>6457.0498120000002</v>
      </c>
      <c r="L8">
        <f>+VLOOKUP($E8,Hybrid!$1:$1048576,L$2,FALSE)</f>
        <v>6474.7042330000004</v>
      </c>
      <c r="M8">
        <f>+VLOOKUP($E8,Hybrid!$1:$1048576,M$2,FALSE)</f>
        <v>6497.2552610000002</v>
      </c>
      <c r="N8">
        <f>+VLOOKUP($E8,Hybrid!$1:$1048576,N$2,FALSE)</f>
        <v>6523.4452289999999</v>
      </c>
      <c r="O8">
        <f>+VLOOKUP($E8,Hybrid!$1:$1048576,O$2,FALSE)</f>
        <v>6552.1088769999997</v>
      </c>
      <c r="P8">
        <f>+VLOOKUP($E8,Hybrid!$1:$1048576,P$2,FALSE)</f>
        <v>6582.1355510000003</v>
      </c>
      <c r="Q8">
        <f>+VLOOKUP($E8,Hybrid!$1:$1048576,Q$2,FALSE)</f>
        <v>6612.4398520000004</v>
      </c>
      <c r="R8">
        <f>+VLOOKUP($E8,Hybrid!$1:$1048576,R$2,FALSE)</f>
        <v>6641.9366570000002</v>
      </c>
      <c r="S8">
        <f>+VLOOKUP($E8,Hybrid!$1:$1048576,S$2,FALSE)</f>
        <v>6670.0211129999998</v>
      </c>
      <c r="T8">
        <f>+VLOOKUP($E8,Hybrid!$1:$1048576,T$2,FALSE)</f>
        <v>6696.5179209999997</v>
      </c>
      <c r="U8">
        <f>+VLOOKUP($E8,Hybrid!$1:$1048576,U$2,FALSE)</f>
        <v>6721.0788030000003</v>
      </c>
      <c r="V8">
        <f>+VLOOKUP($E8,Hybrid!$1:$1048576,V$2,FALSE)</f>
        <v>6743.242346</v>
      </c>
      <c r="W8">
        <f>+VLOOKUP($E8,Hybrid!$1:$1048576,W$2,FALSE)</f>
        <v>6762.4847749999999</v>
      </c>
      <c r="X8">
        <f>+VLOOKUP($E8,Hybrid!$1:$1048576,X$2,FALSE)</f>
        <v>6778.2466480000003</v>
      </c>
      <c r="Y8">
        <f>+VLOOKUP($E8,Hybrid!$1:$1048576,Y$2,FALSE)</f>
        <v>6789.9460079999999</v>
      </c>
      <c r="Z8">
        <f>+VLOOKUP($E8,Hybrid!$1:$1048576,Z$2,FALSE)</f>
        <v>6796.9849889999996</v>
      </c>
      <c r="AA8">
        <f>+VLOOKUP($E8,Hybrid!$1:$1048576,AA$2,FALSE)</f>
        <v>6798.7538560000003</v>
      </c>
      <c r="AB8">
        <f>+VLOOKUP($E8,Hybrid!$1:$1048576,AB$2,FALSE)</f>
        <v>6794.6346009999997</v>
      </c>
      <c r="AC8">
        <f>+VLOOKUP($E8,Hybrid!$1:$1048576,AC$2,FALSE)</f>
        <v>6784.0052619999997</v>
      </c>
      <c r="AD8">
        <f>+VLOOKUP($E8,Hybrid!$1:$1048576,AD$2,FALSE)</f>
        <v>6766.2455490000002</v>
      </c>
      <c r="AE8">
        <f>+VLOOKUP($E8,Hybrid!$1:$1048576,AE$2,FALSE)</f>
        <v>6740.7441310000004</v>
      </c>
      <c r="AF8">
        <f>+VLOOKUP($E8,Hybrid!$1:$1048576,AF$2,FALSE)</f>
        <v>6706.9076919999998</v>
      </c>
      <c r="AG8">
        <f>+VLOOKUP($E8,Hybrid!$1:$1048576,AG$2,FALSE)</f>
        <v>6664.1717500000004</v>
      </c>
      <c r="AH8">
        <f>+VLOOKUP($E8,Hybrid!$1:$1048576,AH$2,FALSE)</f>
        <v>6612.0131240000001</v>
      </c>
      <c r="AI8">
        <f>+VLOOKUP($E8,Hybrid!$1:$1048576,AI$2,FALSE)</f>
        <v>6549.9637679999996</v>
      </c>
      <c r="AJ8">
        <f>+VLOOKUP($E8,Hybrid!$1:$1048576,AJ$2,FALSE)</f>
        <v>6477.6256270000003</v>
      </c>
      <c r="AK8">
        <f>+VLOOKUP($E8,Hybrid!$1:$1048576,AK$2,FALSE)</f>
        <v>6394.6860070000002</v>
      </c>
      <c r="AL8">
        <f>+VLOOKUP($E8,Hybrid!$1:$1048576,AL$2,FALSE)</f>
        <v>6300.9328379999997</v>
      </c>
    </row>
    <row r="9" spans="1:38" ht="15" customHeight="1" x14ac:dyDescent="0.25">
      <c r="A9" s="171"/>
      <c r="B9" s="170"/>
      <c r="C9" s="219"/>
      <c r="D9" s="130" t="s">
        <v>565</v>
      </c>
      <c r="E9" s="47" t="s">
        <v>356</v>
      </c>
      <c r="F9">
        <f>+VLOOKUP($E9,Hybrid!$1:$1048576,F$2,FALSE)</f>
        <v>3910.0598810000001</v>
      </c>
      <c r="G9">
        <f>+VLOOKUP($E9,Hybrid!$1:$1048576,G$2,FALSE)</f>
        <v>3858.1675019999998</v>
      </c>
      <c r="H9">
        <f>+VLOOKUP($E9,Hybrid!$1:$1048576,H$2,FALSE)</f>
        <v>3814.603525</v>
      </c>
      <c r="I9">
        <f>+VLOOKUP($E9,Hybrid!$1:$1048576,I$2,FALSE)</f>
        <v>3777.1169620000001</v>
      </c>
      <c r="J9">
        <f>+VLOOKUP($E9,Hybrid!$1:$1048576,J$2,FALSE)</f>
        <v>3744.3155849999998</v>
      </c>
      <c r="K9">
        <f>+VLOOKUP($E9,Hybrid!$1:$1048576,K$2,FALSE)</f>
        <v>3715.1046860000001</v>
      </c>
      <c r="L9">
        <f>+VLOOKUP($E9,Hybrid!$1:$1048576,L$2,FALSE)</f>
        <v>3688.5794689999998</v>
      </c>
      <c r="M9">
        <f>+VLOOKUP($E9,Hybrid!$1:$1048576,M$2,FALSE)</f>
        <v>3663.966539</v>
      </c>
      <c r="N9">
        <f>+VLOOKUP($E9,Hybrid!$1:$1048576,N$2,FALSE)</f>
        <v>3640.5846419999998</v>
      </c>
      <c r="O9">
        <f>+VLOOKUP($E9,Hybrid!$1:$1048576,O$2,FALSE)</f>
        <v>3617.8179610000002</v>
      </c>
      <c r="P9">
        <f>+VLOOKUP($E9,Hybrid!$1:$1048576,P$2,FALSE)</f>
        <v>3595.0978479999999</v>
      </c>
      <c r="Q9">
        <f>+VLOOKUP($E9,Hybrid!$1:$1048576,Q$2,FALSE)</f>
        <v>3571.8900829999998</v>
      </c>
      <c r="R9">
        <f>+VLOOKUP($E9,Hybrid!$1:$1048576,R$2,FALSE)</f>
        <v>3547.6856480000001</v>
      </c>
      <c r="S9">
        <f>+VLOOKUP($E9,Hybrid!$1:$1048576,S$2,FALSE)</f>
        <v>3522.2278809999998</v>
      </c>
      <c r="T9">
        <f>+VLOOKUP($E9,Hybrid!$1:$1048576,T$2,FALSE)</f>
        <v>3495.4858749999999</v>
      </c>
      <c r="U9">
        <f>+VLOOKUP($E9,Hybrid!$1:$1048576,U$2,FALSE)</f>
        <v>3467.3739759999999</v>
      </c>
      <c r="V9">
        <f>+VLOOKUP($E9,Hybrid!$1:$1048576,V$2,FALSE)</f>
        <v>3437.7763599999998</v>
      </c>
      <c r="W9">
        <f>+VLOOKUP($E9,Hybrid!$1:$1048576,W$2,FALSE)</f>
        <v>3406.5692130000002</v>
      </c>
      <c r="X9">
        <f>+VLOOKUP($E9,Hybrid!$1:$1048576,X$2,FALSE)</f>
        <v>3373.63229</v>
      </c>
      <c r="Y9">
        <f>+VLOOKUP($E9,Hybrid!$1:$1048576,Y$2,FALSE)</f>
        <v>3338.854241</v>
      </c>
      <c r="Z9">
        <f>+VLOOKUP($E9,Hybrid!$1:$1048576,Z$2,FALSE)</f>
        <v>3302.1347110000002</v>
      </c>
      <c r="AA9">
        <f>+VLOOKUP($E9,Hybrid!$1:$1048576,AA$2,FALSE)</f>
        <v>3263.3849359999999</v>
      </c>
      <c r="AB9">
        <f>+VLOOKUP($E9,Hybrid!$1:$1048576,AB$2,FALSE)</f>
        <v>3222.5277270000001</v>
      </c>
      <c r="AC9">
        <f>+VLOOKUP($E9,Hybrid!$1:$1048576,AC$2,FALSE)</f>
        <v>3179.4972859999998</v>
      </c>
      <c r="AD9">
        <f>+VLOOKUP($E9,Hybrid!$1:$1048576,AD$2,FALSE)</f>
        <v>3134.2390569999998</v>
      </c>
      <c r="AE9">
        <f>+VLOOKUP($E9,Hybrid!$1:$1048576,AE$2,FALSE)</f>
        <v>3086.7097010000002</v>
      </c>
      <c r="AF9">
        <f>+VLOOKUP($E9,Hybrid!$1:$1048576,AF$2,FALSE)</f>
        <v>3036.8772060000001</v>
      </c>
      <c r="AG9">
        <f>+VLOOKUP($E9,Hybrid!$1:$1048576,AG$2,FALSE)</f>
        <v>2984.7211400000001</v>
      </c>
      <c r="AH9">
        <f>+VLOOKUP($E9,Hybrid!$1:$1048576,AH$2,FALSE)</f>
        <v>2930.233025</v>
      </c>
      <c r="AI9">
        <f>+VLOOKUP($E9,Hybrid!$1:$1048576,AI$2,FALSE)</f>
        <v>2873.4168239999999</v>
      </c>
      <c r="AJ9">
        <f>+VLOOKUP($E9,Hybrid!$1:$1048576,AJ$2,FALSE)</f>
        <v>2814.28955</v>
      </c>
      <c r="AK9">
        <f>+VLOOKUP($E9,Hybrid!$1:$1048576,AK$2,FALSE)</f>
        <v>2752.881969</v>
      </c>
      <c r="AL9">
        <f>+VLOOKUP($E9,Hybrid!$1:$1048576,AL$2,FALSE)</f>
        <v>2689.239435</v>
      </c>
    </row>
    <row r="10" spans="1:38" ht="15" customHeight="1" x14ac:dyDescent="0.25">
      <c r="A10" s="171"/>
      <c r="B10" s="170"/>
      <c r="C10" s="219"/>
      <c r="D10" s="130" t="s">
        <v>566</v>
      </c>
      <c r="E10" s="47" t="s">
        <v>357</v>
      </c>
      <c r="F10">
        <f>+VLOOKUP($E10,Hybrid!$1:$1048576,F$2,FALSE)</f>
        <v>2356.683145</v>
      </c>
      <c r="G10">
        <f>+VLOOKUP($E10,Hybrid!$1:$1048576,G$2,FALSE)</f>
        <v>2323.7961850000002</v>
      </c>
      <c r="H10">
        <f>+VLOOKUP($E10,Hybrid!$1:$1048576,H$2,FALSE)</f>
        <v>2294.4653119999998</v>
      </c>
      <c r="I10">
        <f>+VLOOKUP($E10,Hybrid!$1:$1048576,I$2,FALSE)</f>
        <v>2267.380537</v>
      </c>
      <c r="J10">
        <f>+VLOOKUP($E10,Hybrid!$1:$1048576,J$2,FALSE)</f>
        <v>2241.7722570000001</v>
      </c>
      <c r="K10">
        <f>+VLOOKUP($E10,Hybrid!$1:$1048576,K$2,FALSE)</f>
        <v>2217.0646809999998</v>
      </c>
      <c r="L10">
        <f>+VLOOKUP($E10,Hybrid!$1:$1048576,L$2,FALSE)</f>
        <v>2192.8016640000001</v>
      </c>
      <c r="M10">
        <f>+VLOOKUP($E10,Hybrid!$1:$1048576,M$2,FALSE)</f>
        <v>2168.607501</v>
      </c>
      <c r="N10">
        <f>+VLOOKUP($E10,Hybrid!$1:$1048576,N$2,FALSE)</f>
        <v>2144.1620480000001</v>
      </c>
      <c r="O10">
        <f>+VLOOKUP($E10,Hybrid!$1:$1048576,O$2,FALSE)</f>
        <v>2119.1846540000001</v>
      </c>
      <c r="P10">
        <f>+VLOOKUP($E10,Hybrid!$1:$1048576,P$2,FALSE)</f>
        <v>2093.42371</v>
      </c>
      <c r="Q10">
        <f>+VLOOKUP($E10,Hybrid!$1:$1048576,Q$2,FALSE)</f>
        <v>2066.649754</v>
      </c>
      <c r="R10">
        <f>+VLOOKUP($E10,Hybrid!$1:$1048576,R$2,FALSE)</f>
        <v>2038.6508260000001</v>
      </c>
      <c r="S10">
        <f>+VLOOKUP($E10,Hybrid!$1:$1048576,S$2,FALSE)</f>
        <v>2009.35256</v>
      </c>
      <c r="T10">
        <f>+VLOOKUP($E10,Hybrid!$1:$1048576,T$2,FALSE)</f>
        <v>1978.8037879999999</v>
      </c>
      <c r="U10">
        <f>+VLOOKUP($E10,Hybrid!$1:$1048576,U$2,FALSE)</f>
        <v>1947.0308769999999</v>
      </c>
      <c r="V10">
        <f>+VLOOKUP($E10,Hybrid!$1:$1048576,V$2,FALSE)</f>
        <v>1914.048667</v>
      </c>
      <c r="W10">
        <f>+VLOOKUP($E10,Hybrid!$1:$1048576,W$2,FALSE)</f>
        <v>1879.8711149999999</v>
      </c>
      <c r="X10">
        <f>+VLOOKUP($E10,Hybrid!$1:$1048576,X$2,FALSE)</f>
        <v>1844.5167650000001</v>
      </c>
      <c r="Y10">
        <f>+VLOOKUP($E10,Hybrid!$1:$1048576,Y$2,FALSE)</f>
        <v>1808.011115</v>
      </c>
      <c r="Z10">
        <f>+VLOOKUP($E10,Hybrid!$1:$1048576,Z$2,FALSE)</f>
        <v>1770.3873530000001</v>
      </c>
      <c r="AA10">
        <f>+VLOOKUP($E10,Hybrid!$1:$1048576,AA$2,FALSE)</f>
        <v>1731.6863330000001</v>
      </c>
      <c r="AB10">
        <f>+VLOOKUP($E10,Hybrid!$1:$1048576,AB$2,FALSE)</f>
        <v>1691.9562410000001</v>
      </c>
      <c r="AC10">
        <f>+VLOOKUP($E10,Hybrid!$1:$1048576,AC$2,FALSE)</f>
        <v>1651.2521509999999</v>
      </c>
      <c r="AD10">
        <f>+VLOOKUP($E10,Hybrid!$1:$1048576,AD$2,FALSE)</f>
        <v>1609.6355759999999</v>
      </c>
      <c r="AE10">
        <f>+VLOOKUP($E10,Hybrid!$1:$1048576,AE$2,FALSE)</f>
        <v>1567.174037</v>
      </c>
      <c r="AF10">
        <f>+VLOOKUP($E10,Hybrid!$1:$1048576,AF$2,FALSE)</f>
        <v>1523.9406530000001</v>
      </c>
      <c r="AG10">
        <f>+VLOOKUP($E10,Hybrid!$1:$1048576,AG$2,FALSE)</f>
        <v>1480.013733</v>
      </c>
      <c r="AH10">
        <f>+VLOOKUP($E10,Hybrid!$1:$1048576,AH$2,FALSE)</f>
        <v>1435.476369</v>
      </c>
      <c r="AI10">
        <f>+VLOOKUP($E10,Hybrid!$1:$1048576,AI$2,FALSE)</f>
        <v>1390.416017</v>
      </c>
      <c r="AJ10">
        <f>+VLOOKUP($E10,Hybrid!$1:$1048576,AJ$2,FALSE)</f>
        <v>1344.9240589999999</v>
      </c>
      <c r="AK10">
        <f>+VLOOKUP($E10,Hybrid!$1:$1048576,AK$2,FALSE)</f>
        <v>1299.095358</v>
      </c>
      <c r="AL10">
        <f>+VLOOKUP($E10,Hybrid!$1:$1048576,AL$2,FALSE)</f>
        <v>1253.0278020000001</v>
      </c>
    </row>
    <row r="11" spans="1:38" ht="15" customHeight="1" x14ac:dyDescent="0.25">
      <c r="A11" s="171"/>
      <c r="B11" s="170"/>
      <c r="C11" s="219"/>
      <c r="D11" s="130" t="s">
        <v>567</v>
      </c>
      <c r="E11" s="47" t="s">
        <v>358</v>
      </c>
      <c r="F11">
        <f>+VLOOKUP($E11,Hybrid!$1:$1048576,F$2,FALSE)</f>
        <v>1156.636193</v>
      </c>
      <c r="G11">
        <f>+VLOOKUP($E11,Hybrid!$1:$1048576,G$2,FALSE)</f>
        <v>1131.8888010000001</v>
      </c>
      <c r="H11">
        <f>+VLOOKUP($E11,Hybrid!$1:$1048576,H$2,FALSE)</f>
        <v>1107.1769650000001</v>
      </c>
      <c r="I11">
        <f>+VLOOKUP($E11,Hybrid!$1:$1048576,I$2,FALSE)</f>
        <v>1082.050888</v>
      </c>
      <c r="J11">
        <f>+VLOOKUP($E11,Hybrid!$1:$1048576,J$2,FALSE)</f>
        <v>1056.334942</v>
      </c>
      <c r="K11">
        <f>+VLOOKUP($E11,Hybrid!$1:$1048576,K$2,FALSE)</f>
        <v>1029.955195</v>
      </c>
      <c r="L11">
        <f>+VLOOKUP($E11,Hybrid!$1:$1048576,L$2,FALSE)</f>
        <v>1002.894758</v>
      </c>
      <c r="M11">
        <f>+VLOOKUP($E11,Hybrid!$1:$1048576,M$2,FALSE)</f>
        <v>975.17131440000003</v>
      </c>
      <c r="N11">
        <f>+VLOOKUP($E11,Hybrid!$1:$1048576,N$2,FALSE)</f>
        <v>946.82415349999997</v>
      </c>
      <c r="O11">
        <f>+VLOOKUP($E11,Hybrid!$1:$1048576,O$2,FALSE)</f>
        <v>917.90639620000002</v>
      </c>
      <c r="P11">
        <f>+VLOOKUP($E11,Hybrid!$1:$1048576,P$2,FALSE)</f>
        <v>888.48020250000002</v>
      </c>
      <c r="Q11">
        <f>+VLOOKUP($E11,Hybrid!$1:$1048576,Q$2,FALSE)</f>
        <v>858.61372919999997</v>
      </c>
      <c r="R11">
        <f>+VLOOKUP($E11,Hybrid!$1:$1048576,R$2,FALSE)</f>
        <v>828.37916280000002</v>
      </c>
      <c r="S11">
        <f>+VLOOKUP($E11,Hybrid!$1:$1048576,S$2,FALSE)</f>
        <v>797.88431449999996</v>
      </c>
      <c r="T11">
        <f>+VLOOKUP($E11,Hybrid!$1:$1048576,T$2,FALSE)</f>
        <v>767.26368239999999</v>
      </c>
      <c r="U11">
        <f>+VLOOKUP($E11,Hybrid!$1:$1048576,U$2,FALSE)</f>
        <v>736.63803399999995</v>
      </c>
      <c r="V11">
        <f>+VLOOKUP($E11,Hybrid!$1:$1048576,V$2,FALSE)</f>
        <v>706.11730850000004</v>
      </c>
      <c r="W11">
        <f>+VLOOKUP($E11,Hybrid!$1:$1048576,W$2,FALSE)</f>
        <v>675.80339600000002</v>
      </c>
      <c r="X11">
        <f>+VLOOKUP($E11,Hybrid!$1:$1048576,X$2,FALSE)</f>
        <v>645.79139239999995</v>
      </c>
      <c r="Y11">
        <f>+VLOOKUP($E11,Hybrid!$1:$1048576,Y$2,FALSE)</f>
        <v>616.1699539</v>
      </c>
      <c r="Z11">
        <f>+VLOOKUP($E11,Hybrid!$1:$1048576,Z$2,FALSE)</f>
        <v>587.02122580000002</v>
      </c>
      <c r="AA11">
        <f>+VLOOKUP($E11,Hybrid!$1:$1048576,AA$2,FALSE)</f>
        <v>558.42062080000005</v>
      </c>
      <c r="AB11">
        <f>+VLOOKUP($E11,Hybrid!$1:$1048576,AB$2,FALSE)</f>
        <v>530.43659400000001</v>
      </c>
      <c r="AC11">
        <f>+VLOOKUP($E11,Hybrid!$1:$1048576,AC$2,FALSE)</f>
        <v>503.13047640000002</v>
      </c>
      <c r="AD11">
        <f>+VLOOKUP($E11,Hybrid!$1:$1048576,AD$2,FALSE)</f>
        <v>476.55638979999998</v>
      </c>
      <c r="AE11">
        <f>+VLOOKUP($E11,Hybrid!$1:$1048576,AE$2,FALSE)</f>
        <v>450.76124620000002</v>
      </c>
      <c r="AF11">
        <f>+VLOOKUP($E11,Hybrid!$1:$1048576,AF$2,FALSE)</f>
        <v>425.78482250000002</v>
      </c>
      <c r="AG11">
        <f>+VLOOKUP($E11,Hybrid!$1:$1048576,AG$2,FALSE)</f>
        <v>401.65990470000003</v>
      </c>
      <c r="AH11">
        <f>+VLOOKUP($E11,Hybrid!$1:$1048576,AH$2,FALSE)</f>
        <v>378.41249169999998</v>
      </c>
      <c r="AI11">
        <f>+VLOOKUP($E11,Hybrid!$1:$1048576,AI$2,FALSE)</f>
        <v>356.06205340000002</v>
      </c>
      <c r="AJ11">
        <f>+VLOOKUP($E11,Hybrid!$1:$1048576,AJ$2,FALSE)</f>
        <v>334.62183520000002</v>
      </c>
      <c r="AK11">
        <f>+VLOOKUP($E11,Hybrid!$1:$1048576,AK$2,FALSE)</f>
        <v>314.09920460000001</v>
      </c>
      <c r="AL11">
        <f>+VLOOKUP($E11,Hybrid!$1:$1048576,AL$2,FALSE)</f>
        <v>294.49603300000001</v>
      </c>
    </row>
    <row r="12" spans="1:38" ht="15" customHeight="1" x14ac:dyDescent="0.25">
      <c r="A12" s="171"/>
      <c r="B12" s="170"/>
      <c r="C12" s="219"/>
      <c r="D12" s="130" t="s">
        <v>568</v>
      </c>
      <c r="E12" s="47" t="s">
        <v>359</v>
      </c>
      <c r="F12">
        <f>+VLOOKUP($E12,Hybrid!$1:$1048576,F$2,FALSE)</f>
        <v>2083.0710549999999</v>
      </c>
      <c r="G12">
        <f>+VLOOKUP($E12,Hybrid!$1:$1048576,G$2,FALSE)</f>
        <v>2032.3339940000001</v>
      </c>
      <c r="H12">
        <f>+VLOOKUP($E12,Hybrid!$1:$1048576,H$2,FALSE)</f>
        <v>1978.9455640000001</v>
      </c>
      <c r="I12">
        <f>+VLOOKUP($E12,Hybrid!$1:$1048576,I$2,FALSE)</f>
        <v>1922.5733849999999</v>
      </c>
      <c r="J12">
        <f>+VLOOKUP($E12,Hybrid!$1:$1048576,J$2,FALSE)</f>
        <v>1863.38723</v>
      </c>
      <c r="K12">
        <f>+VLOOKUP($E12,Hybrid!$1:$1048576,K$2,FALSE)</f>
        <v>1801.724555</v>
      </c>
      <c r="L12">
        <f>+VLOOKUP($E12,Hybrid!$1:$1048576,L$2,FALSE)</f>
        <v>1737.993365</v>
      </c>
      <c r="M12">
        <f>+VLOOKUP($E12,Hybrid!$1:$1048576,M$2,FALSE)</f>
        <v>1672.625378</v>
      </c>
      <c r="N12">
        <f>+VLOOKUP($E12,Hybrid!$1:$1048576,N$2,FALSE)</f>
        <v>1606.0510870000001</v>
      </c>
      <c r="O12">
        <f>+VLOOKUP($E12,Hybrid!$1:$1048576,O$2,FALSE)</f>
        <v>1538.6862080000001</v>
      </c>
      <c r="P12">
        <f>+VLOOKUP($E12,Hybrid!$1:$1048576,P$2,FALSE)</f>
        <v>1470.924264</v>
      </c>
      <c r="Q12">
        <f>+VLOOKUP($E12,Hybrid!$1:$1048576,Q$2,FALSE)</f>
        <v>1403.132642</v>
      </c>
      <c r="R12">
        <f>+VLOOKUP($E12,Hybrid!$1:$1048576,R$2,FALSE)</f>
        <v>1335.6506919999999</v>
      </c>
      <c r="S12">
        <f>+VLOOKUP($E12,Hybrid!$1:$1048576,S$2,FALSE)</f>
        <v>1268.8255959999999</v>
      </c>
      <c r="T12">
        <f>+VLOOKUP($E12,Hybrid!$1:$1048576,T$2,FALSE)</f>
        <v>1202.999047</v>
      </c>
      <c r="U12">
        <f>+VLOOKUP($E12,Hybrid!$1:$1048576,U$2,FALSE)</f>
        <v>1138.4631440000001</v>
      </c>
      <c r="V12">
        <f>+VLOOKUP($E12,Hybrid!$1:$1048576,V$2,FALSE)</f>
        <v>1075.4659320000001</v>
      </c>
      <c r="W12">
        <f>+VLOOKUP($E12,Hybrid!$1:$1048576,W$2,FALSE)</f>
        <v>1014.216772</v>
      </c>
      <c r="X12">
        <f>+VLOOKUP($E12,Hybrid!$1:$1048576,X$2,FALSE)</f>
        <v>954.88991929999997</v>
      </c>
      <c r="Y12">
        <f>+VLOOKUP($E12,Hybrid!$1:$1048576,Y$2,FALSE)</f>
        <v>897.62713929999995</v>
      </c>
      <c r="Z12">
        <f>+VLOOKUP($E12,Hybrid!$1:$1048576,Z$2,FALSE)</f>
        <v>842.53990799999997</v>
      </c>
      <c r="AA12">
        <f>+VLOOKUP($E12,Hybrid!$1:$1048576,AA$2,FALSE)</f>
        <v>789.71152359999996</v>
      </c>
      <c r="AB12">
        <f>+VLOOKUP($E12,Hybrid!$1:$1048576,AB$2,FALSE)</f>
        <v>739.19925909999995</v>
      </c>
      <c r="AC12">
        <f>+VLOOKUP($E12,Hybrid!$1:$1048576,AC$2,FALSE)</f>
        <v>691.03658819999998</v>
      </c>
      <c r="AD12">
        <f>+VLOOKUP($E12,Hybrid!$1:$1048576,AD$2,FALSE)</f>
        <v>645.23546690000001</v>
      </c>
      <c r="AE12">
        <f>+VLOOKUP($E12,Hybrid!$1:$1048576,AE$2,FALSE)</f>
        <v>601.78863509999996</v>
      </c>
      <c r="AF12">
        <f>+VLOOKUP($E12,Hybrid!$1:$1048576,AF$2,FALSE)</f>
        <v>560.67190059999996</v>
      </c>
      <c r="AG12">
        <f>+VLOOKUP($E12,Hybrid!$1:$1048576,AG$2,FALSE)</f>
        <v>521.84636839999996</v>
      </c>
      <c r="AH12">
        <f>+VLOOKUP($E12,Hybrid!$1:$1048576,AH$2,FALSE)</f>
        <v>485.26058890000002</v>
      </c>
      <c r="AI12">
        <f>+VLOOKUP($E12,Hybrid!$1:$1048576,AI$2,FALSE)</f>
        <v>450.85260019999998</v>
      </c>
      <c r="AJ12">
        <f>+VLOOKUP($E12,Hybrid!$1:$1048576,AJ$2,FALSE)</f>
        <v>418.55184789999998</v>
      </c>
      <c r="AK12">
        <f>+VLOOKUP($E12,Hybrid!$1:$1048576,AK$2,FALSE)</f>
        <v>388.28096840000001</v>
      </c>
      <c r="AL12">
        <f>+VLOOKUP($E12,Hybrid!$1:$1048576,AL$2,FALSE)</f>
        <v>359.95742710000002</v>
      </c>
    </row>
    <row r="13" spans="1:38" s="115" customFormat="1" ht="15" customHeight="1" x14ac:dyDescent="0.25">
      <c r="A13" s="171"/>
      <c r="B13" s="170"/>
      <c r="C13" s="128" t="s">
        <v>867</v>
      </c>
      <c r="D13" s="129"/>
      <c r="E13" s="93" t="s">
        <v>360</v>
      </c>
      <c r="F13" s="115">
        <f>+VLOOKUP($E13,Hybrid!$1:$1048576,F$2,FALSE)</f>
        <v>100.1229845</v>
      </c>
      <c r="G13" s="115">
        <f>+VLOOKUP($E13,Hybrid!$1:$1048576,G$2,FALSE)</f>
        <v>119.557911</v>
      </c>
      <c r="H13" s="115">
        <f>+VLOOKUP($E13,Hybrid!$1:$1048576,H$2,FALSE)</f>
        <v>139.26916840000001</v>
      </c>
      <c r="I13" s="115">
        <f>+VLOOKUP($E13,Hybrid!$1:$1048576,I$2,FALSE)</f>
        <v>159.34439639999999</v>
      </c>
      <c r="J13" s="115">
        <f>+VLOOKUP($E13,Hybrid!$1:$1048576,J$2,FALSE)</f>
        <v>179.9408076</v>
      </c>
      <c r="K13" s="115">
        <f>+VLOOKUP($E13,Hybrid!$1:$1048576,K$2,FALSE)</f>
        <v>201.21851140000001</v>
      </c>
      <c r="L13" s="115">
        <f>+VLOOKUP($E13,Hybrid!$1:$1048576,L$2,FALSE)</f>
        <v>223.34990759999999</v>
      </c>
      <c r="M13" s="115">
        <f>+VLOOKUP($E13,Hybrid!$1:$1048576,M$2,FALSE)</f>
        <v>246.5349597</v>
      </c>
      <c r="N13" s="115">
        <f>+VLOOKUP($E13,Hybrid!$1:$1048576,N$2,FALSE)</f>
        <v>271.01943679999999</v>
      </c>
      <c r="O13" s="115">
        <f>+VLOOKUP($E13,Hybrid!$1:$1048576,O$2,FALSE)</f>
        <v>297.11657760000003</v>
      </c>
      <c r="P13" s="115">
        <f>+VLOOKUP($E13,Hybrid!$1:$1048576,P$2,FALSE)</f>
        <v>325.23391279999998</v>
      </c>
      <c r="Q13" s="115">
        <f>+VLOOKUP($E13,Hybrid!$1:$1048576,Q$2,FALSE)</f>
        <v>355.90822200000002</v>
      </c>
      <c r="R13" s="115">
        <f>+VLOOKUP($E13,Hybrid!$1:$1048576,R$2,FALSE)</f>
        <v>389.85320739999997</v>
      </c>
      <c r="S13" s="115">
        <f>+VLOOKUP($E13,Hybrid!$1:$1048576,S$2,FALSE)</f>
        <v>428.0347132</v>
      </c>
      <c r="T13" s="115">
        <f>+VLOOKUP($E13,Hybrid!$1:$1048576,T$2,FALSE)</f>
        <v>471.6453156</v>
      </c>
      <c r="U13" s="115">
        <f>+VLOOKUP($E13,Hybrid!$1:$1048576,U$2,FALSE)</f>
        <v>522.01457679999999</v>
      </c>
      <c r="V13" s="115">
        <f>+VLOOKUP($E13,Hybrid!$1:$1048576,V$2,FALSE)</f>
        <v>580.62349040000004</v>
      </c>
      <c r="W13" s="115">
        <f>+VLOOKUP($E13,Hybrid!$1:$1048576,W$2,FALSE)</f>
        <v>649.11914290000004</v>
      </c>
      <c r="X13" s="115">
        <f>+VLOOKUP($E13,Hybrid!$1:$1048576,X$2,FALSE)</f>
        <v>729.32712479999998</v>
      </c>
      <c r="Y13" s="115">
        <f>+VLOOKUP($E13,Hybrid!$1:$1048576,Y$2,FALSE)</f>
        <v>823.26146000000006</v>
      </c>
      <c r="Z13" s="115">
        <f>+VLOOKUP($E13,Hybrid!$1:$1048576,Z$2,FALSE)</f>
        <v>933.13161100000002</v>
      </c>
      <c r="AA13" s="115">
        <f>+VLOOKUP($E13,Hybrid!$1:$1048576,AA$2,FALSE)</f>
        <v>1061.3458559999999</v>
      </c>
      <c r="AB13" s="115">
        <f>+VLOOKUP($E13,Hybrid!$1:$1048576,AB$2,FALSE)</f>
        <v>1210.5101259999999</v>
      </c>
      <c r="AC13" s="115">
        <f>+VLOOKUP($E13,Hybrid!$1:$1048576,AC$2,FALSE)</f>
        <v>1383.4212379999999</v>
      </c>
      <c r="AD13" s="115">
        <f>+VLOOKUP($E13,Hybrid!$1:$1048576,AD$2,FALSE)</f>
        <v>1583.0533829999999</v>
      </c>
      <c r="AE13" s="115">
        <f>+VLOOKUP($E13,Hybrid!$1:$1048576,AE$2,FALSE)</f>
        <v>1812.536709</v>
      </c>
      <c r="AF13" s="115">
        <f>+VLOOKUP($E13,Hybrid!$1:$1048576,AF$2,FALSE)</f>
        <v>2075.126925</v>
      </c>
      <c r="AG13" s="115">
        <f>+VLOOKUP($E13,Hybrid!$1:$1048576,AG$2,FALSE)</f>
        <v>2374.164992</v>
      </c>
      <c r="AH13" s="115">
        <f>+VLOOKUP($E13,Hybrid!$1:$1048576,AH$2,FALSE)</f>
        <v>2713.0262630000002</v>
      </c>
      <c r="AI13" s="115">
        <f>+VLOOKUP($E13,Hybrid!$1:$1048576,AI$2,FALSE)</f>
        <v>3095.0588210000001</v>
      </c>
      <c r="AJ13" s="115">
        <f>+VLOOKUP($E13,Hybrid!$1:$1048576,AJ$2,FALSE)</f>
        <v>3523.511317</v>
      </c>
      <c r="AK13" s="115">
        <f>+VLOOKUP($E13,Hybrid!$1:$1048576,AK$2,FALSE)</f>
        <v>4001.4512589999999</v>
      </c>
      <c r="AL13" s="115">
        <f>+VLOOKUP($E13,Hybrid!$1:$1048576,AL$2,FALSE)</f>
        <v>4531.6755290000001</v>
      </c>
    </row>
    <row r="14" spans="1:38" ht="15" customHeight="1" x14ac:dyDescent="0.25">
      <c r="A14" s="171"/>
      <c r="B14" s="170"/>
      <c r="C14" s="219"/>
      <c r="D14" s="130" t="s">
        <v>562</v>
      </c>
      <c r="E14" s="47" t="s">
        <v>361</v>
      </c>
      <c r="F14">
        <f>+VLOOKUP($E14,Hybrid!$1:$1048576,F$2,FALSE)</f>
        <v>26.112449139999999</v>
      </c>
      <c r="G14">
        <f>+VLOOKUP($E14,Hybrid!$1:$1048576,G$2,FALSE)</f>
        <v>31.950416000000001</v>
      </c>
      <c r="H14">
        <f>+VLOOKUP($E14,Hybrid!$1:$1048576,H$2,FALSE)</f>
        <v>37.949261730000003</v>
      </c>
      <c r="I14">
        <f>+VLOOKUP($E14,Hybrid!$1:$1048576,I$2,FALSE)</f>
        <v>44.142141090000003</v>
      </c>
      <c r="J14">
        <f>+VLOOKUP($E14,Hybrid!$1:$1048576,J$2,FALSE)</f>
        <v>50.582779780000003</v>
      </c>
      <c r="K14">
        <f>+VLOOKUP($E14,Hybrid!$1:$1048576,K$2,FALSE)</f>
        <v>57.325872269999998</v>
      </c>
      <c r="L14">
        <f>+VLOOKUP($E14,Hybrid!$1:$1048576,L$2,FALSE)</f>
        <v>64.430769369999993</v>
      </c>
      <c r="M14">
        <f>+VLOOKUP($E14,Hybrid!$1:$1048576,M$2,FALSE)</f>
        <v>71.966934690000002</v>
      </c>
      <c r="N14">
        <f>+VLOOKUP($E14,Hybrid!$1:$1048576,N$2,FALSE)</f>
        <v>80.020459020000004</v>
      </c>
      <c r="O14">
        <f>+VLOOKUP($E14,Hybrid!$1:$1048576,O$2,FALSE)</f>
        <v>88.701914599999995</v>
      </c>
      <c r="P14">
        <f>+VLOOKUP($E14,Hybrid!$1:$1048576,P$2,FALSE)</f>
        <v>98.156257339999996</v>
      </c>
      <c r="Q14">
        <f>+VLOOKUP($E14,Hybrid!$1:$1048576,Q$2,FALSE)</f>
        <v>108.57594520000001</v>
      </c>
      <c r="R14">
        <f>+VLOOKUP($E14,Hybrid!$1:$1048576,R$2,FALSE)</f>
        <v>120.2190784</v>
      </c>
      <c r="S14">
        <f>+VLOOKUP($E14,Hybrid!$1:$1048576,S$2,FALSE)</f>
        <v>133.4370993</v>
      </c>
      <c r="T14">
        <f>+VLOOKUP($E14,Hybrid!$1:$1048576,T$2,FALSE)</f>
        <v>148.6682544</v>
      </c>
      <c r="U14">
        <f>+VLOOKUP($E14,Hybrid!$1:$1048576,U$2,FALSE)</f>
        <v>166.4089108</v>
      </c>
      <c r="V14">
        <f>+VLOOKUP($E14,Hybrid!$1:$1048576,V$2,FALSE)</f>
        <v>187.22067989999999</v>
      </c>
      <c r="W14">
        <f>+VLOOKUP($E14,Hybrid!$1:$1048576,W$2,FALSE)</f>
        <v>211.73773399999999</v>
      </c>
      <c r="X14">
        <f>+VLOOKUP($E14,Hybrid!$1:$1048576,X$2,FALSE)</f>
        <v>240.67353679999999</v>
      </c>
      <c r="Y14">
        <f>+VLOOKUP($E14,Hybrid!$1:$1048576,Y$2,FALSE)</f>
        <v>274.82690589999999</v>
      </c>
      <c r="Z14">
        <f>+VLOOKUP($E14,Hybrid!$1:$1048576,Z$2,FALSE)</f>
        <v>315.08722010000002</v>
      </c>
      <c r="AA14">
        <f>+VLOOKUP($E14,Hybrid!$1:$1048576,AA$2,FALSE)</f>
        <v>362.4384718</v>
      </c>
      <c r="AB14">
        <f>+VLOOKUP($E14,Hybrid!$1:$1048576,AB$2,FALSE)</f>
        <v>417.9617619</v>
      </c>
      <c r="AC14">
        <f>+VLOOKUP($E14,Hybrid!$1:$1048576,AC$2,FALSE)</f>
        <v>482.83575330000002</v>
      </c>
      <c r="AD14">
        <f>+VLOOKUP($E14,Hybrid!$1:$1048576,AD$2,FALSE)</f>
        <v>558.33453750000001</v>
      </c>
      <c r="AE14">
        <f>+VLOOKUP($E14,Hybrid!$1:$1048576,AE$2,FALSE)</f>
        <v>645.82233480000002</v>
      </c>
      <c r="AF14">
        <f>+VLOOKUP($E14,Hybrid!$1:$1048576,AF$2,FALSE)</f>
        <v>746.74444080000001</v>
      </c>
      <c r="AG14">
        <f>+VLOOKUP($E14,Hybrid!$1:$1048576,AG$2,FALSE)</f>
        <v>862.61385929999994</v>
      </c>
      <c r="AH14">
        <f>+VLOOKUP($E14,Hybrid!$1:$1048576,AH$2,FALSE)</f>
        <v>994.99314949999996</v>
      </c>
      <c r="AI14">
        <f>+VLOOKUP($E14,Hybrid!$1:$1048576,AI$2,FALSE)</f>
        <v>1145.4711460000001</v>
      </c>
      <c r="AJ14">
        <f>+VLOOKUP($E14,Hybrid!$1:$1048576,AJ$2,FALSE)</f>
        <v>1315.634419</v>
      </c>
      <c r="AK14">
        <f>+VLOOKUP($E14,Hybrid!$1:$1048576,AK$2,FALSE)</f>
        <v>1507.033623</v>
      </c>
      <c r="AL14">
        <f>+VLOOKUP($E14,Hybrid!$1:$1048576,AL$2,FALSE)</f>
        <v>1721.1452220000001</v>
      </c>
    </row>
    <row r="15" spans="1:38" ht="15" customHeight="1" x14ac:dyDescent="0.25">
      <c r="A15" s="171"/>
      <c r="B15" s="170"/>
      <c r="C15" s="219"/>
      <c r="D15" s="130" t="s">
        <v>563</v>
      </c>
      <c r="E15" s="47" t="s">
        <v>362</v>
      </c>
      <c r="F15">
        <f>+VLOOKUP($E15,Hybrid!$1:$1048576,F$2,FALSE)</f>
        <v>26.792131120000001</v>
      </c>
      <c r="G15">
        <f>+VLOOKUP($E15,Hybrid!$1:$1048576,G$2,FALSE)</f>
        <v>32.294000230000002</v>
      </c>
      <c r="H15">
        <f>+VLOOKUP($E15,Hybrid!$1:$1048576,H$2,FALSE)</f>
        <v>37.945945260000002</v>
      </c>
      <c r="I15">
        <f>+VLOOKUP($E15,Hybrid!$1:$1048576,I$2,FALSE)</f>
        <v>43.781767790000004</v>
      </c>
      <c r="J15">
        <f>+VLOOKUP($E15,Hybrid!$1:$1048576,J$2,FALSE)</f>
        <v>49.854747240000002</v>
      </c>
      <c r="K15">
        <f>+VLOOKUP($E15,Hybrid!$1:$1048576,K$2,FALSE)</f>
        <v>56.21847236</v>
      </c>
      <c r="L15">
        <f>+VLOOKUP($E15,Hybrid!$1:$1048576,L$2,FALSE)</f>
        <v>62.930440470000001</v>
      </c>
      <c r="M15">
        <f>+VLOOKUP($E15,Hybrid!$1:$1048576,M$2,FALSE)</f>
        <v>70.057372700000002</v>
      </c>
      <c r="N15">
        <f>+VLOOKUP($E15,Hybrid!$1:$1048576,N$2,FALSE)</f>
        <v>77.681484060000003</v>
      </c>
      <c r="O15">
        <f>+VLOOKUP($E15,Hybrid!$1:$1048576,O$2,FALSE)</f>
        <v>85.907924730000005</v>
      </c>
      <c r="P15">
        <f>+VLOOKUP($E15,Hybrid!$1:$1048576,P$2,FALSE)</f>
        <v>94.874013860000005</v>
      </c>
      <c r="Q15">
        <f>+VLOOKUP($E15,Hybrid!$1:$1048576,Q$2,FALSE)</f>
        <v>104.76130120000001</v>
      </c>
      <c r="R15">
        <f>+VLOOKUP($E15,Hybrid!$1:$1048576,R$2,FALSE)</f>
        <v>115.8120426</v>
      </c>
      <c r="S15">
        <f>+VLOOKUP($E15,Hybrid!$1:$1048576,S$2,FALSE)</f>
        <v>128.35424190000001</v>
      </c>
      <c r="T15">
        <f>+VLOOKUP($E15,Hybrid!$1:$1048576,T$2,FALSE)</f>
        <v>142.7937646</v>
      </c>
      <c r="U15">
        <f>+VLOOKUP($E15,Hybrid!$1:$1048576,U$2,FALSE)</f>
        <v>159.58537770000001</v>
      </c>
      <c r="V15">
        <f>+VLOOKUP($E15,Hybrid!$1:$1048576,V$2,FALSE)</f>
        <v>179.2376491</v>
      </c>
      <c r="W15">
        <f>+VLOOKUP($E15,Hybrid!$1:$1048576,W$2,FALSE)</f>
        <v>202.3178685</v>
      </c>
      <c r="X15">
        <f>+VLOOKUP($E15,Hybrid!$1:$1048576,X$2,FALSE)</f>
        <v>229.45618899999999</v>
      </c>
      <c r="Y15">
        <f>+VLOOKUP($E15,Hybrid!$1:$1048576,Y$2,FALSE)</f>
        <v>261.34888030000002</v>
      </c>
      <c r="Z15">
        <f>+VLOOKUP($E15,Hybrid!$1:$1048576,Z$2,FALSE)</f>
        <v>298.76051790000002</v>
      </c>
      <c r="AA15">
        <f>+VLOOKUP($E15,Hybrid!$1:$1048576,AA$2,FALSE)</f>
        <v>342.52484459999999</v>
      </c>
      <c r="AB15">
        <f>+VLOOKUP($E15,Hybrid!$1:$1048576,AB$2,FALSE)</f>
        <v>393.54397510000001</v>
      </c>
      <c r="AC15">
        <f>+VLOOKUP($E15,Hybrid!$1:$1048576,AC$2,FALSE)</f>
        <v>452.78556479999997</v>
      </c>
      <c r="AD15">
        <f>+VLOOKUP($E15,Hybrid!$1:$1048576,AD$2,FALSE)</f>
        <v>521.27754449999998</v>
      </c>
      <c r="AE15">
        <f>+VLOOKUP($E15,Hybrid!$1:$1048576,AE$2,FALSE)</f>
        <v>600.1000229</v>
      </c>
      <c r="AF15">
        <f>+VLOOKUP($E15,Hybrid!$1:$1048576,AF$2,FALSE)</f>
        <v>690.37399719999996</v>
      </c>
      <c r="AG15">
        <f>+VLOOKUP($E15,Hybrid!$1:$1048576,AG$2,FALSE)</f>
        <v>793.2465737</v>
      </c>
      <c r="AH15">
        <f>+VLOOKUP($E15,Hybrid!$1:$1048576,AH$2,FALSE)</f>
        <v>909.87251289999995</v>
      </c>
      <c r="AI15">
        <f>+VLOOKUP($E15,Hybrid!$1:$1048576,AI$2,FALSE)</f>
        <v>1041.3920660000001</v>
      </c>
      <c r="AJ15">
        <f>+VLOOKUP($E15,Hybrid!$1:$1048576,AJ$2,FALSE)</f>
        <v>1188.9052670000001</v>
      </c>
      <c r="AK15">
        <f>+VLOOKUP($E15,Hybrid!$1:$1048576,AK$2,FALSE)</f>
        <v>1353.4430850000001</v>
      </c>
      <c r="AL15">
        <f>+VLOOKUP($E15,Hybrid!$1:$1048576,AL$2,FALSE)</f>
        <v>1535.9361309999999</v>
      </c>
    </row>
    <row r="16" spans="1:38" ht="15" customHeight="1" x14ac:dyDescent="0.25">
      <c r="A16" s="171"/>
      <c r="B16" s="170"/>
      <c r="C16" s="219"/>
      <c r="D16" s="130" t="s">
        <v>564</v>
      </c>
      <c r="E16" s="47" t="s">
        <v>363</v>
      </c>
      <c r="F16">
        <f>+VLOOKUP($E16,Hybrid!$1:$1048576,F$2,FALSE)</f>
        <v>19.823554609999999</v>
      </c>
      <c r="G16">
        <f>+VLOOKUP($E16,Hybrid!$1:$1048576,G$2,FALSE)</f>
        <v>23.556821750000001</v>
      </c>
      <c r="H16">
        <f>+VLOOKUP($E16,Hybrid!$1:$1048576,H$2,FALSE)</f>
        <v>27.39065647</v>
      </c>
      <c r="I16">
        <f>+VLOOKUP($E16,Hybrid!$1:$1048576,I$2,FALSE)</f>
        <v>31.34954905</v>
      </c>
      <c r="J16">
        <f>+VLOOKUP($E16,Hybrid!$1:$1048576,J$2,FALSE)</f>
        <v>35.47124152</v>
      </c>
      <c r="K16">
        <f>+VLOOKUP($E16,Hybrid!$1:$1048576,K$2,FALSE)</f>
        <v>39.793247970000003</v>
      </c>
      <c r="L16">
        <f>+VLOOKUP($E16,Hybrid!$1:$1048576,L$2,FALSE)</f>
        <v>44.35537171</v>
      </c>
      <c r="M16">
        <f>+VLOOKUP($E16,Hybrid!$1:$1048576,M$2,FALSE)</f>
        <v>49.203413930000004</v>
      </c>
      <c r="N16">
        <f>+VLOOKUP($E16,Hybrid!$1:$1048576,N$2,FALSE)</f>
        <v>54.393495029999997</v>
      </c>
      <c r="O16">
        <f>+VLOOKUP($E16,Hybrid!$1:$1048576,O$2,FALSE)</f>
        <v>59.99710151</v>
      </c>
      <c r="P16">
        <f>+VLOOKUP($E16,Hybrid!$1:$1048576,P$2,FALSE)</f>
        <v>66.107249269999997</v>
      </c>
      <c r="Q16">
        <f>+VLOOKUP($E16,Hybrid!$1:$1048576,Q$2,FALSE)</f>
        <v>72.846419979999993</v>
      </c>
      <c r="R16">
        <f>+VLOOKUP($E16,Hybrid!$1:$1048576,R$2,FALSE)</f>
        <v>80.377270300000006</v>
      </c>
      <c r="S16">
        <f>+VLOOKUP($E16,Hybrid!$1:$1048576,S$2,FALSE)</f>
        <v>88.91887423</v>
      </c>
      <c r="T16">
        <f>+VLOOKUP($E16,Hybrid!$1:$1048576,T$2,FALSE)</f>
        <v>98.740275030000006</v>
      </c>
      <c r="U16">
        <f>+VLOOKUP($E16,Hybrid!$1:$1048576,U$2,FALSE)</f>
        <v>110.1396676</v>
      </c>
      <c r="V16">
        <f>+VLOOKUP($E16,Hybrid!$1:$1048576,V$2,FALSE)</f>
        <v>123.4465984</v>
      </c>
      <c r="W16">
        <f>+VLOOKUP($E16,Hybrid!$1:$1048576,W$2,FALSE)</f>
        <v>139.024114</v>
      </c>
      <c r="X16">
        <f>+VLOOKUP($E16,Hybrid!$1:$1048576,X$2,FALSE)</f>
        <v>157.27027609999999</v>
      </c>
      <c r="Y16">
        <f>+VLOOKUP($E16,Hybrid!$1:$1048576,Y$2,FALSE)</f>
        <v>178.61896239999999</v>
      </c>
      <c r="Z16">
        <f>+VLOOKUP($E16,Hybrid!$1:$1048576,Z$2,FALSE)</f>
        <v>203.53984109999999</v>
      </c>
      <c r="AA16">
        <f>+VLOOKUP($E16,Hybrid!$1:$1048576,AA$2,FALSE)</f>
        <v>232.53736660000001</v>
      </c>
      <c r="AB16">
        <f>+VLOOKUP($E16,Hybrid!$1:$1048576,AB$2,FALSE)</f>
        <v>266.14861280000002</v>
      </c>
      <c r="AC16">
        <f>+VLOOKUP($E16,Hybrid!$1:$1048576,AC$2,FALSE)</f>
        <v>304.93974739999999</v>
      </c>
      <c r="AD16">
        <f>+VLOOKUP($E16,Hybrid!$1:$1048576,AD$2,FALSE)</f>
        <v>349.50095399999998</v>
      </c>
      <c r="AE16">
        <f>+VLOOKUP($E16,Hybrid!$1:$1048576,AE$2,FALSE)</f>
        <v>400.43962970000001</v>
      </c>
      <c r="AF16">
        <f>+VLOOKUP($E16,Hybrid!$1:$1048576,AF$2,FALSE)</f>
        <v>458.3717302</v>
      </c>
      <c r="AG16">
        <f>+VLOOKUP($E16,Hybrid!$1:$1048576,AG$2,FALSE)</f>
        <v>523.9111881</v>
      </c>
      <c r="AH16">
        <f>+VLOOKUP($E16,Hybrid!$1:$1048576,AH$2,FALSE)</f>
        <v>597.65742379999995</v>
      </c>
      <c r="AI16">
        <f>+VLOOKUP($E16,Hybrid!$1:$1048576,AI$2,FALSE)</f>
        <v>680.18106290000003</v>
      </c>
      <c r="AJ16">
        <f>+VLOOKUP($E16,Hybrid!$1:$1048576,AJ$2,FALSE)</f>
        <v>772.00810660000002</v>
      </c>
      <c r="AK16">
        <f>+VLOOKUP($E16,Hybrid!$1:$1048576,AK$2,FALSE)</f>
        <v>873.60293979999994</v>
      </c>
      <c r="AL16">
        <f>+VLOOKUP($E16,Hybrid!$1:$1048576,AL$2,FALSE)</f>
        <v>985.35070729999995</v>
      </c>
    </row>
    <row r="17" spans="1:38" ht="15" customHeight="1" x14ac:dyDescent="0.25">
      <c r="A17" s="171"/>
      <c r="B17" s="170"/>
      <c r="C17" s="219"/>
      <c r="D17" s="130" t="s">
        <v>565</v>
      </c>
      <c r="E17" s="47" t="s">
        <v>364</v>
      </c>
      <c r="F17">
        <f>+VLOOKUP($E17,Hybrid!$1:$1048576,F$2,FALSE)</f>
        <v>11.35207945</v>
      </c>
      <c r="G17">
        <f>+VLOOKUP($E17,Hybrid!$1:$1048576,G$2,FALSE)</f>
        <v>13.275194150000001</v>
      </c>
      <c r="H17">
        <f>+VLOOKUP($E17,Hybrid!$1:$1048576,H$2,FALSE)</f>
        <v>15.19295917</v>
      </c>
      <c r="I17">
        <f>+VLOOKUP($E17,Hybrid!$1:$1048576,I$2,FALSE)</f>
        <v>17.10332404</v>
      </c>
      <c r="J17">
        <f>+VLOOKUP($E17,Hybrid!$1:$1048576,J$2,FALSE)</f>
        <v>19.010938110000001</v>
      </c>
      <c r="K17">
        <f>+VLOOKUP($E17,Hybrid!$1:$1048576,K$2,FALSE)</f>
        <v>20.921141630000001</v>
      </c>
      <c r="L17">
        <f>+VLOOKUP($E17,Hybrid!$1:$1048576,L$2,FALSE)</f>
        <v>22.840063820000001</v>
      </c>
      <c r="M17">
        <f>+VLOOKUP($E17,Hybrid!$1:$1048576,M$2,FALSE)</f>
        <v>24.775194509999999</v>
      </c>
      <c r="N17">
        <f>+VLOOKUP($E17,Hybrid!$1:$1048576,N$2,FALSE)</f>
        <v>26.73612</v>
      </c>
      <c r="O17">
        <f>+VLOOKUP($E17,Hybrid!$1:$1048576,O$2,FALSE)</f>
        <v>28.735392220000001</v>
      </c>
      <c r="P17">
        <f>+VLOOKUP($E17,Hybrid!$1:$1048576,P$2,FALSE)</f>
        <v>30.789568280000001</v>
      </c>
      <c r="Q17">
        <f>+VLOOKUP($E17,Hybrid!$1:$1048576,Q$2,FALSE)</f>
        <v>32.920506150000001</v>
      </c>
      <c r="R17">
        <f>+VLOOKUP($E17,Hybrid!$1:$1048576,R$2,FALSE)</f>
        <v>35.157052210000003</v>
      </c>
      <c r="S17">
        <f>+VLOOKUP($E17,Hybrid!$1:$1048576,S$2,FALSE)</f>
        <v>37.538923269999998</v>
      </c>
      <c r="T17">
        <f>+VLOOKUP($E17,Hybrid!$1:$1048576,T$2,FALSE)</f>
        <v>40.114565859999999</v>
      </c>
      <c r="U17">
        <f>+VLOOKUP($E17,Hybrid!$1:$1048576,U$2,FALSE)</f>
        <v>42.934930999999999</v>
      </c>
      <c r="V17">
        <f>+VLOOKUP($E17,Hybrid!$1:$1048576,V$2,FALSE)</f>
        <v>46.053606670000001</v>
      </c>
      <c r="W17">
        <f>+VLOOKUP($E17,Hybrid!$1:$1048576,W$2,FALSE)</f>
        <v>49.526958950000001</v>
      </c>
      <c r="X17">
        <f>+VLOOKUP($E17,Hybrid!$1:$1048576,X$2,FALSE)</f>
        <v>53.41412141</v>
      </c>
      <c r="Y17">
        <f>+VLOOKUP($E17,Hybrid!$1:$1048576,Y$2,FALSE)</f>
        <v>57.776851649999998</v>
      </c>
      <c r="Z17">
        <f>+VLOOKUP($E17,Hybrid!$1:$1048576,Z$2,FALSE)</f>
        <v>62.679266990000002</v>
      </c>
      <c r="AA17">
        <f>+VLOOKUP($E17,Hybrid!$1:$1048576,AA$2,FALSE)</f>
        <v>68.187461170000006</v>
      </c>
      <c r="AB17">
        <f>+VLOOKUP($E17,Hybrid!$1:$1048576,AB$2,FALSE)</f>
        <v>74.368996670000001</v>
      </c>
      <c r="AC17">
        <f>+VLOOKUP($E17,Hybrid!$1:$1048576,AC$2,FALSE)</f>
        <v>81.292263750000004</v>
      </c>
      <c r="AD17">
        <f>+VLOOKUP($E17,Hybrid!$1:$1048576,AD$2,FALSE)</f>
        <v>89.025695900000002</v>
      </c>
      <c r="AE17">
        <f>+VLOOKUP($E17,Hybrid!$1:$1048576,AE$2,FALSE)</f>
        <v>97.636831959999995</v>
      </c>
      <c r="AF17">
        <f>+VLOOKUP($E17,Hybrid!$1:$1048576,AF$2,FALSE)</f>
        <v>107.191216</v>
      </c>
      <c r="AG17">
        <f>+VLOOKUP($E17,Hybrid!$1:$1048576,AG$2,FALSE)</f>
        <v>117.7511284</v>
      </c>
      <c r="AH17">
        <f>+VLOOKUP($E17,Hybrid!$1:$1048576,AH$2,FALSE)</f>
        <v>129.37414480000001</v>
      </c>
      <c r="AI17">
        <f>+VLOOKUP($E17,Hybrid!$1:$1048576,AI$2,FALSE)</f>
        <v>142.1115246</v>
      </c>
      <c r="AJ17">
        <f>+VLOOKUP($E17,Hybrid!$1:$1048576,AJ$2,FALSE)</f>
        <v>156.0064361</v>
      </c>
      <c r="AK17">
        <f>+VLOOKUP($E17,Hybrid!$1:$1048576,AK$2,FALSE)</f>
        <v>171.09203640000001</v>
      </c>
      <c r="AL17">
        <f>+VLOOKUP($E17,Hybrid!$1:$1048576,AL$2,FALSE)</f>
        <v>187.38943420000001</v>
      </c>
    </row>
    <row r="18" spans="1:38" ht="15" customHeight="1" x14ac:dyDescent="0.25">
      <c r="A18" s="171"/>
      <c r="B18" s="170"/>
      <c r="C18" s="219"/>
      <c r="D18" s="130" t="s">
        <v>566</v>
      </c>
      <c r="E18" s="47" t="s">
        <v>365</v>
      </c>
      <c r="F18">
        <f>+VLOOKUP($E18,Hybrid!$1:$1048576,F$2,FALSE)</f>
        <v>6.8675525430000004</v>
      </c>
      <c r="G18">
        <f>+VLOOKUP($E18,Hybrid!$1:$1048576,G$2,FALSE)</f>
        <v>8.0145189620000004</v>
      </c>
      <c r="H18">
        <f>+VLOOKUP($E18,Hybrid!$1:$1048576,H$2,FALSE)</f>
        <v>9.1461110110000003</v>
      </c>
      <c r="I18">
        <f>+VLOOKUP($E18,Hybrid!$1:$1048576,I$2,FALSE)</f>
        <v>10.261243759999999</v>
      </c>
      <c r="J18">
        <f>+VLOOKUP($E18,Hybrid!$1:$1048576,J$2,FALSE)</f>
        <v>11.362807200000001</v>
      </c>
      <c r="K18">
        <f>+VLOOKUP($E18,Hybrid!$1:$1048576,K$2,FALSE)</f>
        <v>12.45393795</v>
      </c>
      <c r="L18">
        <f>+VLOOKUP($E18,Hybrid!$1:$1048576,L$2,FALSE)</f>
        <v>13.538066860000001</v>
      </c>
      <c r="M18">
        <f>+VLOOKUP($E18,Hybrid!$1:$1048576,M$2,FALSE)</f>
        <v>14.619250660000001</v>
      </c>
      <c r="N18">
        <f>+VLOOKUP($E18,Hybrid!$1:$1048576,N$2,FALSE)</f>
        <v>15.70257655</v>
      </c>
      <c r="O18">
        <f>+VLOOKUP($E18,Hybrid!$1:$1048576,O$2,FALSE)</f>
        <v>16.794605059999999</v>
      </c>
      <c r="P18">
        <f>+VLOOKUP($E18,Hybrid!$1:$1048576,P$2,FALSE)</f>
        <v>17.903858849999999</v>
      </c>
      <c r="Q18">
        <f>+VLOOKUP($E18,Hybrid!$1:$1048576,Q$2,FALSE)</f>
        <v>19.04138876</v>
      </c>
      <c r="R18">
        <f>+VLOOKUP($E18,Hybrid!$1:$1048576,R$2,FALSE)</f>
        <v>20.221467619999999</v>
      </c>
      <c r="S18">
        <f>+VLOOKUP($E18,Hybrid!$1:$1048576,S$2,FALSE)</f>
        <v>21.463368240000001</v>
      </c>
      <c r="T18">
        <f>+VLOOKUP($E18,Hybrid!$1:$1048576,T$2,FALSE)</f>
        <v>22.789836999999999</v>
      </c>
      <c r="U18">
        <f>+VLOOKUP($E18,Hybrid!$1:$1048576,U$2,FALSE)</f>
        <v>24.223509069999999</v>
      </c>
      <c r="V18">
        <f>+VLOOKUP($E18,Hybrid!$1:$1048576,V$2,FALSE)</f>
        <v>25.786814570000001</v>
      </c>
      <c r="W18">
        <f>+VLOOKUP($E18,Hybrid!$1:$1048576,W$2,FALSE)</f>
        <v>27.50190834</v>
      </c>
      <c r="X18">
        <f>+VLOOKUP($E18,Hybrid!$1:$1048576,X$2,FALSE)</f>
        <v>29.390532260000001</v>
      </c>
      <c r="Y18">
        <f>+VLOOKUP($E18,Hybrid!$1:$1048576,Y$2,FALSE)</f>
        <v>31.473822670000001</v>
      </c>
      <c r="Z18">
        <f>+VLOOKUP($E18,Hybrid!$1:$1048576,Z$2,FALSE)</f>
        <v>33.772074310000001</v>
      </c>
      <c r="AA18">
        <f>+VLOOKUP($E18,Hybrid!$1:$1048576,AA$2,FALSE)</f>
        <v>36.304468649999997</v>
      </c>
      <c r="AB18">
        <f>+VLOOKUP($E18,Hybrid!$1:$1048576,AB$2,FALSE)</f>
        <v>39.088771960000003</v>
      </c>
      <c r="AC18">
        <f>+VLOOKUP($E18,Hybrid!$1:$1048576,AC$2,FALSE)</f>
        <v>42.141007449999996</v>
      </c>
      <c r="AD18">
        <f>+VLOOKUP($E18,Hybrid!$1:$1048576,AD$2,FALSE)</f>
        <v>45.475105829999997</v>
      </c>
      <c r="AE18">
        <f>+VLOOKUP($E18,Hybrid!$1:$1048576,AE$2,FALSE)</f>
        <v>49.102538780000003</v>
      </c>
      <c r="AF18">
        <f>+VLOOKUP($E18,Hybrid!$1:$1048576,AF$2,FALSE)</f>
        <v>53.031940990000003</v>
      </c>
      <c r="AG18">
        <f>+VLOOKUP($E18,Hybrid!$1:$1048576,AG$2,FALSE)</f>
        <v>57.268726450000003</v>
      </c>
      <c r="AH18">
        <f>+VLOOKUP($E18,Hybrid!$1:$1048576,AH$2,FALSE)</f>
        <v>61.814705940000003</v>
      </c>
      <c r="AI18">
        <f>+VLOOKUP($E18,Hybrid!$1:$1048576,AI$2,FALSE)</f>
        <v>66.667713710000001</v>
      </c>
      <c r="AJ18">
        <f>+VLOOKUP($E18,Hybrid!$1:$1048576,AJ$2,FALSE)</f>
        <v>71.821252290000004</v>
      </c>
      <c r="AK18">
        <f>+VLOOKUP($E18,Hybrid!$1:$1048576,AK$2,FALSE)</f>
        <v>77.264166209999999</v>
      </c>
      <c r="AL18">
        <f>+VLOOKUP($E18,Hybrid!$1:$1048576,AL$2,FALSE)</f>
        <v>82.980357240000004</v>
      </c>
    </row>
    <row r="19" spans="1:38" ht="15" customHeight="1" x14ac:dyDescent="0.25">
      <c r="A19" s="171"/>
      <c r="B19" s="170"/>
      <c r="C19" s="219"/>
      <c r="D19" s="130" t="s">
        <v>567</v>
      </c>
      <c r="E19" s="47" t="s">
        <v>366</v>
      </c>
      <c r="F19">
        <f>+VLOOKUP($E19,Hybrid!$1:$1048576,F$2,FALSE)</f>
        <v>3.2740041689999999</v>
      </c>
      <c r="G19">
        <f>+VLOOKUP($E19,Hybrid!$1:$1048576,G$2,FALSE)</f>
        <v>3.7551965630000002</v>
      </c>
      <c r="H19">
        <f>+VLOOKUP($E19,Hybrid!$1:$1048576,H$2,FALSE)</f>
        <v>4.2053456369999997</v>
      </c>
      <c r="I19">
        <f>+VLOOKUP($E19,Hybrid!$1:$1048576,I$2,FALSE)</f>
        <v>4.6232034869999996</v>
      </c>
      <c r="J19">
        <f>+VLOOKUP($E19,Hybrid!$1:$1048576,J$2,FALSE)</f>
        <v>5.0095093979999996</v>
      </c>
      <c r="K19">
        <f>+VLOOKUP($E19,Hybrid!$1:$1048576,K$2,FALSE)</f>
        <v>5.3653540150000003</v>
      </c>
      <c r="L19">
        <f>+VLOOKUP($E19,Hybrid!$1:$1048576,L$2,FALSE)</f>
        <v>5.6920121210000003</v>
      </c>
      <c r="M19">
        <f>+VLOOKUP($E19,Hybrid!$1:$1048576,M$2,FALSE)</f>
        <v>5.9909231490000003</v>
      </c>
      <c r="N19">
        <f>+VLOOKUP($E19,Hybrid!$1:$1048576,N$2,FALSE)</f>
        <v>6.2637074889999997</v>
      </c>
      <c r="O19">
        <f>+VLOOKUP($E19,Hybrid!$1:$1048576,O$2,FALSE)</f>
        <v>6.5121891439999997</v>
      </c>
      <c r="P19">
        <f>+VLOOKUP($E19,Hybrid!$1:$1048576,P$2,FALSE)</f>
        <v>6.738415045</v>
      </c>
      <c r="Q19">
        <f>+VLOOKUP($E19,Hybrid!$1:$1048576,Q$2,FALSE)</f>
        <v>6.9446695040000002</v>
      </c>
      <c r="R19">
        <f>+VLOOKUP($E19,Hybrid!$1:$1048576,R$2,FALSE)</f>
        <v>7.1334857420000004</v>
      </c>
      <c r="S19">
        <f>+VLOOKUP($E19,Hybrid!$1:$1048576,S$2,FALSE)</f>
        <v>7.3079419129999996</v>
      </c>
      <c r="T19">
        <f>+VLOOKUP($E19,Hybrid!$1:$1048576,T$2,FALSE)</f>
        <v>7.4712815580000003</v>
      </c>
      <c r="U19">
        <f>+VLOOKUP($E19,Hybrid!$1:$1048576,U$2,FALSE)</f>
        <v>7.6261899179999997</v>
      </c>
      <c r="V19">
        <f>+VLOOKUP($E19,Hybrid!$1:$1048576,V$2,FALSE)</f>
        <v>7.7748277469999998</v>
      </c>
      <c r="W19">
        <f>+VLOOKUP($E19,Hybrid!$1:$1048576,W$2,FALSE)</f>
        <v>7.9188780850000002</v>
      </c>
      <c r="X19">
        <f>+VLOOKUP($E19,Hybrid!$1:$1048576,X$2,FALSE)</f>
        <v>8.0595840780000003</v>
      </c>
      <c r="Y19">
        <f>+VLOOKUP($E19,Hybrid!$1:$1048576,Y$2,FALSE)</f>
        <v>8.1977818669999998</v>
      </c>
      <c r="Z19">
        <f>+VLOOKUP($E19,Hybrid!$1:$1048576,Z$2,FALSE)</f>
        <v>8.333932055</v>
      </c>
      <c r="AA19">
        <f>+VLOOKUP($E19,Hybrid!$1:$1048576,AA$2,FALSE)</f>
        <v>8.4681519220000006</v>
      </c>
      <c r="AB19">
        <f>+VLOOKUP($E19,Hybrid!$1:$1048576,AB$2,FALSE)</f>
        <v>8.6002494380000005</v>
      </c>
      <c r="AC19">
        <f>+VLOOKUP($E19,Hybrid!$1:$1048576,AC$2,FALSE)</f>
        <v>8.7297594230000009</v>
      </c>
      <c r="AD19">
        <f>+VLOOKUP($E19,Hybrid!$1:$1048576,AD$2,FALSE)</f>
        <v>8.8559816930000004</v>
      </c>
      <c r="AE19">
        <f>+VLOOKUP($E19,Hybrid!$1:$1048576,AE$2,FALSE)</f>
        <v>8.9780207720000007</v>
      </c>
      <c r="AF19">
        <f>+VLOOKUP($E19,Hybrid!$1:$1048576,AF$2,FALSE)</f>
        <v>9.0948264979999998</v>
      </c>
      <c r="AG19">
        <f>+VLOOKUP($E19,Hybrid!$1:$1048576,AG$2,FALSE)</f>
        <v>9.2052348070000001</v>
      </c>
      <c r="AH19">
        <f>+VLOOKUP($E19,Hybrid!$1:$1048576,AH$2,FALSE)</f>
        <v>9.3080078709999992</v>
      </c>
      <c r="AI19">
        <f>+VLOOKUP($E19,Hybrid!$1:$1048576,AI$2,FALSE)</f>
        <v>9.4018728300000003</v>
      </c>
      <c r="AJ19">
        <f>+VLOOKUP($E19,Hybrid!$1:$1048576,AJ$2,FALSE)</f>
        <v>9.4855584250000007</v>
      </c>
      <c r="AK19">
        <f>+VLOOKUP($E19,Hybrid!$1:$1048576,AK$2,FALSE)</f>
        <v>9.5578289190000003</v>
      </c>
      <c r="AL19">
        <f>+VLOOKUP($E19,Hybrid!$1:$1048576,AL$2,FALSE)</f>
        <v>9.6175148539999995</v>
      </c>
    </row>
    <row r="20" spans="1:38" ht="15" customHeight="1" x14ac:dyDescent="0.25">
      <c r="A20" s="171"/>
      <c r="B20" s="170"/>
      <c r="C20" s="219"/>
      <c r="D20" s="130" t="s">
        <v>568</v>
      </c>
      <c r="E20" s="47" t="s">
        <v>367</v>
      </c>
      <c r="F20">
        <f>+VLOOKUP($E20,Hybrid!$1:$1048576,F$2,FALSE)</f>
        <v>5.9012134720000002</v>
      </c>
      <c r="G20">
        <f>+VLOOKUP($E20,Hybrid!$1:$1048576,G$2,FALSE)</f>
        <v>6.711763382</v>
      </c>
      <c r="H20">
        <f>+VLOOKUP($E20,Hybrid!$1:$1048576,H$2,FALSE)</f>
        <v>7.4388891170000004</v>
      </c>
      <c r="I20">
        <f>+VLOOKUP($E20,Hybrid!$1:$1048576,I$2,FALSE)</f>
        <v>8.0831671870000008</v>
      </c>
      <c r="J20">
        <f>+VLOOKUP($E20,Hybrid!$1:$1048576,J$2,FALSE)</f>
        <v>8.6487843669999993</v>
      </c>
      <c r="K20">
        <f>+VLOOKUP($E20,Hybrid!$1:$1048576,K$2,FALSE)</f>
        <v>9.1404852200000004</v>
      </c>
      <c r="L20">
        <f>+VLOOKUP($E20,Hybrid!$1:$1048576,L$2,FALSE)</f>
        <v>9.5631832140000004</v>
      </c>
      <c r="M20">
        <f>+VLOOKUP($E20,Hybrid!$1:$1048576,M$2,FALSE)</f>
        <v>9.9218700230000003</v>
      </c>
      <c r="N20">
        <f>+VLOOKUP($E20,Hybrid!$1:$1048576,N$2,FALSE)</f>
        <v>10.221594680000001</v>
      </c>
      <c r="O20">
        <f>+VLOOKUP($E20,Hybrid!$1:$1048576,O$2,FALSE)</f>
        <v>10.467450299999999</v>
      </c>
      <c r="P20">
        <f>+VLOOKUP($E20,Hybrid!$1:$1048576,P$2,FALSE)</f>
        <v>10.66455011</v>
      </c>
      <c r="Q20">
        <f>+VLOOKUP($E20,Hybrid!$1:$1048576,Q$2,FALSE)</f>
        <v>10.81799124</v>
      </c>
      <c r="R20">
        <f>+VLOOKUP($E20,Hybrid!$1:$1048576,R$2,FALSE)</f>
        <v>10.932810529999999</v>
      </c>
      <c r="S20">
        <f>+VLOOKUP($E20,Hybrid!$1:$1048576,S$2,FALSE)</f>
        <v>11.014264259999999</v>
      </c>
      <c r="T20">
        <f>+VLOOKUP($E20,Hybrid!$1:$1048576,T$2,FALSE)</f>
        <v>11.06733715</v>
      </c>
      <c r="U20">
        <f>+VLOOKUP($E20,Hybrid!$1:$1048576,U$2,FALSE)</f>
        <v>11.09599064</v>
      </c>
      <c r="V20">
        <f>+VLOOKUP($E20,Hybrid!$1:$1048576,V$2,FALSE)</f>
        <v>11.103313999999999</v>
      </c>
      <c r="W20">
        <f>+VLOOKUP($E20,Hybrid!$1:$1048576,W$2,FALSE)</f>
        <v>11.09168113</v>
      </c>
      <c r="X20">
        <f>+VLOOKUP($E20,Hybrid!$1:$1048576,X$2,FALSE)</f>
        <v>11.062885189999999</v>
      </c>
      <c r="Y20">
        <f>+VLOOKUP($E20,Hybrid!$1:$1048576,Y$2,FALSE)</f>
        <v>11.01825519</v>
      </c>
      <c r="Z20">
        <f>+VLOOKUP($E20,Hybrid!$1:$1048576,Z$2,FALSE)</f>
        <v>10.958758449999999</v>
      </c>
      <c r="AA20">
        <f>+VLOOKUP($E20,Hybrid!$1:$1048576,AA$2,FALSE)</f>
        <v>10.885091149999999</v>
      </c>
      <c r="AB20">
        <f>+VLOOKUP($E20,Hybrid!$1:$1048576,AB$2,FALSE)</f>
        <v>10.797758099999999</v>
      </c>
      <c r="AC20">
        <f>+VLOOKUP($E20,Hybrid!$1:$1048576,AC$2,FALSE)</f>
        <v>10.697142210000001</v>
      </c>
      <c r="AD20">
        <f>+VLOOKUP($E20,Hybrid!$1:$1048576,AD$2,FALSE)</f>
        <v>10.583563829999999</v>
      </c>
      <c r="AE20">
        <f>+VLOOKUP($E20,Hybrid!$1:$1048576,AE$2,FALSE)</f>
        <v>10.457329830000001</v>
      </c>
      <c r="AF20">
        <f>+VLOOKUP($E20,Hybrid!$1:$1048576,AF$2,FALSE)</f>
        <v>10.31877289</v>
      </c>
      <c r="AG20">
        <f>+VLOOKUP($E20,Hybrid!$1:$1048576,AG$2,FALSE)</f>
        <v>10.168281</v>
      </c>
      <c r="AH20">
        <f>+VLOOKUP($E20,Hybrid!$1:$1048576,AH$2,FALSE)</f>
        <v>10.006317960000001</v>
      </c>
      <c r="AI20">
        <f>+VLOOKUP($E20,Hybrid!$1:$1048576,AI$2,FALSE)</f>
        <v>9.8334354479999995</v>
      </c>
      <c r="AJ20">
        <f>+VLOOKUP($E20,Hybrid!$1:$1048576,AJ$2,FALSE)</f>
        <v>9.6502777650000002</v>
      </c>
      <c r="AK20">
        <f>+VLOOKUP($E20,Hybrid!$1:$1048576,AK$2,FALSE)</f>
        <v>9.4575801429999995</v>
      </c>
      <c r="AL20">
        <f>+VLOOKUP($E20,Hybrid!$1:$1048576,AL$2,FALSE)</f>
        <v>9.2561619079999993</v>
      </c>
    </row>
    <row r="21" spans="1:38" s="115" customFormat="1" ht="15" customHeight="1" x14ac:dyDescent="0.25">
      <c r="A21" s="171"/>
      <c r="B21" s="170"/>
      <c r="C21" s="128" t="s">
        <v>868</v>
      </c>
      <c r="D21" s="129"/>
      <c r="E21" s="93" t="s">
        <v>368</v>
      </c>
      <c r="F21" s="115">
        <f>+VLOOKUP($E21,Hybrid!$1:$1048576,F$2,FALSE)</f>
        <v>2.1285899490000002</v>
      </c>
      <c r="G21" s="115">
        <f>+VLOOKUP($E21,Hybrid!$1:$1048576,G$2,FALSE)</f>
        <v>2.2019793989999998</v>
      </c>
      <c r="H21" s="115">
        <f>+VLOOKUP($E21,Hybrid!$1:$1048576,H$2,FALSE)</f>
        <v>2.2754864349999999</v>
      </c>
      <c r="I21" s="115">
        <f>+VLOOKUP($E21,Hybrid!$1:$1048576,I$2,FALSE)</f>
        <v>2.347968431</v>
      </c>
      <c r="J21" s="115">
        <f>+VLOOKUP($E21,Hybrid!$1:$1048576,J$2,FALSE)</f>
        <v>2.4188940940000001</v>
      </c>
      <c r="K21" s="115">
        <f>+VLOOKUP($E21,Hybrid!$1:$1048576,K$2,FALSE)</f>
        <v>2.4879042729999998</v>
      </c>
      <c r="L21" s="115">
        <f>+VLOOKUP($E21,Hybrid!$1:$1048576,L$2,FALSE)</f>
        <v>2.5547407990000002</v>
      </c>
      <c r="M21" s="115">
        <f>+VLOOKUP($E21,Hybrid!$1:$1048576,M$2,FALSE)</f>
        <v>2.6192080980000001</v>
      </c>
      <c r="N21" s="115">
        <f>+VLOOKUP($E21,Hybrid!$1:$1048576,N$2,FALSE)</f>
        <v>2.6811463290000002</v>
      </c>
      <c r="O21" s="115">
        <f>+VLOOKUP($E21,Hybrid!$1:$1048576,O$2,FALSE)</f>
        <v>2.7404123490000001</v>
      </c>
      <c r="P21" s="115">
        <f>+VLOOKUP($E21,Hybrid!$1:$1048576,P$2,FALSE)</f>
        <v>2.796866047</v>
      </c>
      <c r="Q21" s="115">
        <f>+VLOOKUP($E21,Hybrid!$1:$1048576,Q$2,FALSE)</f>
        <v>2.8503601010000001</v>
      </c>
      <c r="R21" s="115">
        <f>+VLOOKUP($E21,Hybrid!$1:$1048576,R$2,FALSE)</f>
        <v>2.9007315039999999</v>
      </c>
      <c r="S21" s="115">
        <f>+VLOOKUP($E21,Hybrid!$1:$1048576,S$2,FALSE)</f>
        <v>2.9480014429999999</v>
      </c>
      <c r="T21" s="115">
        <f>+VLOOKUP($E21,Hybrid!$1:$1048576,T$2,FALSE)</f>
        <v>2.9923496369999998</v>
      </c>
      <c r="U21" s="115">
        <f>+VLOOKUP($E21,Hybrid!$1:$1048576,U$2,FALSE)</f>
        <v>3.0338620330000001</v>
      </c>
      <c r="V21" s="115">
        <f>+VLOOKUP($E21,Hybrid!$1:$1048576,V$2,FALSE)</f>
        <v>3.0725585679999998</v>
      </c>
      <c r="W21" s="115">
        <f>+VLOOKUP($E21,Hybrid!$1:$1048576,W$2,FALSE)</f>
        <v>3.1084159470000001</v>
      </c>
      <c r="X21" s="115">
        <f>+VLOOKUP($E21,Hybrid!$1:$1048576,X$2,FALSE)</f>
        <v>3.1413796810000001</v>
      </c>
      <c r="Y21" s="115">
        <f>+VLOOKUP($E21,Hybrid!$1:$1048576,Y$2,FALSE)</f>
        <v>3.171370027</v>
      </c>
      <c r="Z21" s="115">
        <f>+VLOOKUP($E21,Hybrid!$1:$1048576,Z$2,FALSE)</f>
        <v>3.1982848530000001</v>
      </c>
      <c r="AA21" s="115">
        <f>+VLOOKUP($E21,Hybrid!$1:$1048576,AA$2,FALSE)</f>
        <v>3.222001197</v>
      </c>
      <c r="AB21" s="115">
        <f>+VLOOKUP($E21,Hybrid!$1:$1048576,AB$2,FALSE)</f>
        <v>3.2423764400000001</v>
      </c>
      <c r="AC21" s="115">
        <f>+VLOOKUP($E21,Hybrid!$1:$1048576,AC$2,FALSE)</f>
        <v>3.2592496390000001</v>
      </c>
      <c r="AD21" s="115">
        <f>+VLOOKUP($E21,Hybrid!$1:$1048576,AD$2,FALSE)</f>
        <v>3.2724433030000002</v>
      </c>
      <c r="AE21" s="115">
        <f>+VLOOKUP($E21,Hybrid!$1:$1048576,AE$2,FALSE)</f>
        <v>3.2817658120000002</v>
      </c>
      <c r="AF21" s="115">
        <f>+VLOOKUP($E21,Hybrid!$1:$1048576,AF$2,FALSE)</f>
        <v>3.2870145860000002</v>
      </c>
      <c r="AG21" s="115">
        <f>+VLOOKUP($E21,Hybrid!$1:$1048576,AG$2,FALSE)</f>
        <v>3.2879800709999998</v>
      </c>
      <c r="AH21" s="115">
        <f>+VLOOKUP($E21,Hybrid!$1:$1048576,AH$2,FALSE)</f>
        <v>3.2844505700000002</v>
      </c>
      <c r="AI21" s="115">
        <f>+VLOOKUP($E21,Hybrid!$1:$1048576,AI$2,FALSE)</f>
        <v>3.2762179050000002</v>
      </c>
      <c r="AJ21" s="115">
        <f>+VLOOKUP($E21,Hybrid!$1:$1048576,AJ$2,FALSE)</f>
        <v>3.2630838529999999</v>
      </c>
      <c r="AK21" s="115">
        <f>+VLOOKUP($E21,Hybrid!$1:$1048576,AK$2,FALSE)</f>
        <v>3.2448672379999999</v>
      </c>
      <c r="AL21" s="115">
        <f>+VLOOKUP($E21,Hybrid!$1:$1048576,AL$2,FALSE)</f>
        <v>3.2214115080000001</v>
      </c>
    </row>
    <row r="22" spans="1:38" ht="15" customHeight="1" x14ac:dyDescent="0.25">
      <c r="A22" s="171"/>
      <c r="B22" s="170"/>
      <c r="C22" s="219"/>
      <c r="D22" s="130" t="s">
        <v>562</v>
      </c>
      <c r="E22" s="47" t="s">
        <v>369</v>
      </c>
      <c r="F22">
        <f>+VLOOKUP($E22,Hybrid!$1:$1048576,F$2,FALSE)</f>
        <v>0.50407722799999999</v>
      </c>
      <c r="G22">
        <f>+VLOOKUP($E22,Hybrid!$1:$1048576,G$2,FALSE)</f>
        <v>0.53308136819999996</v>
      </c>
      <c r="H22">
        <f>+VLOOKUP($E22,Hybrid!$1:$1048576,H$2,FALSE)</f>
        <v>0.56232302369999998</v>
      </c>
      <c r="I22">
        <f>+VLOOKUP($E22,Hybrid!$1:$1048576,I$2,FALSE)</f>
        <v>0.59148356609999997</v>
      </c>
      <c r="J22">
        <f>+VLOOKUP($E22,Hybrid!$1:$1048576,J$2,FALSE)</f>
        <v>0.62040925059999996</v>
      </c>
      <c r="K22">
        <f>+VLOOKUP($E22,Hybrid!$1:$1048576,K$2,FALSE)</f>
        <v>0.64898775880000004</v>
      </c>
      <c r="L22">
        <f>+VLOOKUP($E22,Hybrid!$1:$1048576,L$2,FALSE)</f>
        <v>0.67713271480000004</v>
      </c>
      <c r="M22">
        <f>+VLOOKUP($E22,Hybrid!$1:$1048576,M$2,FALSE)</f>
        <v>0.70477498770000002</v>
      </c>
      <c r="N22">
        <f>+VLOOKUP($E22,Hybrid!$1:$1048576,N$2,FALSE)</f>
        <v>0.73185591490000002</v>
      </c>
      <c r="O22">
        <f>+VLOOKUP($E22,Hybrid!$1:$1048576,O$2,FALSE)</f>
        <v>0.75832209910000004</v>
      </c>
      <c r="P22">
        <f>+VLOOKUP($E22,Hybrid!$1:$1048576,P$2,FALSE)</f>
        <v>0.78412142839999999</v>
      </c>
      <c r="Q22">
        <f>+VLOOKUP($E22,Hybrid!$1:$1048576,Q$2,FALSE)</f>
        <v>0.80919991300000005</v>
      </c>
      <c r="R22">
        <f>+VLOOKUP($E22,Hybrid!$1:$1048576,R$2,FALSE)</f>
        <v>0.83349889870000005</v>
      </c>
      <c r="S22">
        <f>+VLOOKUP($E22,Hybrid!$1:$1048576,S$2,FALSE)</f>
        <v>0.85701923759999998</v>
      </c>
      <c r="T22">
        <f>+VLOOKUP($E22,Hybrid!$1:$1048576,T$2,FALSE)</f>
        <v>0.87981092790000004</v>
      </c>
      <c r="U22">
        <f>+VLOOKUP($E22,Hybrid!$1:$1048576,U$2,FALSE)</f>
        <v>0.90188914539999998</v>
      </c>
      <c r="V22">
        <f>+VLOOKUP($E22,Hybrid!$1:$1048576,V$2,FALSE)</f>
        <v>0.9232448379</v>
      </c>
      <c r="W22">
        <f>+VLOOKUP($E22,Hybrid!$1:$1048576,W$2,FALSE)</f>
        <v>0.94385284790000001</v>
      </c>
      <c r="X22">
        <f>+VLOOKUP($E22,Hybrid!$1:$1048576,X$2,FALSE)</f>
        <v>0.96367609990000003</v>
      </c>
      <c r="Y22">
        <f>+VLOOKUP($E22,Hybrid!$1:$1048576,Y$2,FALSE)</f>
        <v>0.98266755900000002</v>
      </c>
      <c r="Z22">
        <f>+VLOOKUP($E22,Hybrid!$1:$1048576,Z$2,FALSE)</f>
        <v>1.0007710569999999</v>
      </c>
      <c r="AA22">
        <f>+VLOOKUP($E22,Hybrid!$1:$1048576,AA$2,FALSE)</f>
        <v>1.017921608</v>
      </c>
      <c r="AB22">
        <f>+VLOOKUP($E22,Hybrid!$1:$1048576,AB$2,FALSE)</f>
        <v>1.0340455669999999</v>
      </c>
      <c r="AC22">
        <f>+VLOOKUP($E22,Hybrid!$1:$1048576,AC$2,FALSE)</f>
        <v>1.04906082</v>
      </c>
      <c r="AD22">
        <f>+VLOOKUP($E22,Hybrid!$1:$1048576,AD$2,FALSE)</f>
        <v>1.0628771379999999</v>
      </c>
      <c r="AE22">
        <f>+VLOOKUP($E22,Hybrid!$1:$1048576,AE$2,FALSE)</f>
        <v>1.075396789</v>
      </c>
      <c r="AF22">
        <f>+VLOOKUP($E22,Hybrid!$1:$1048576,AF$2,FALSE)</f>
        <v>1.086515452</v>
      </c>
      <c r="AG22">
        <f>+VLOOKUP($E22,Hybrid!$1:$1048576,AG$2,FALSE)</f>
        <v>1.0961235090000001</v>
      </c>
      <c r="AH22">
        <f>+VLOOKUP($E22,Hybrid!$1:$1048576,AH$2,FALSE)</f>
        <v>1.1041077189999999</v>
      </c>
      <c r="AI22">
        <f>+VLOOKUP($E22,Hybrid!$1:$1048576,AI$2,FALSE)</f>
        <v>1.110353323</v>
      </c>
      <c r="AJ22">
        <f>+VLOOKUP($E22,Hybrid!$1:$1048576,AJ$2,FALSE)</f>
        <v>1.1147465519999999</v>
      </c>
      <c r="AK22">
        <f>+VLOOKUP($E22,Hybrid!$1:$1048576,AK$2,FALSE)</f>
        <v>1.1171775319999999</v>
      </c>
      <c r="AL22">
        <f>+VLOOKUP($E22,Hybrid!$1:$1048576,AL$2,FALSE)</f>
        <v>1.1175435330000001</v>
      </c>
    </row>
    <row r="23" spans="1:38" ht="15" customHeight="1" x14ac:dyDescent="0.25">
      <c r="A23" s="171"/>
      <c r="B23" s="170"/>
      <c r="C23" s="219"/>
      <c r="D23" s="130" t="s">
        <v>563</v>
      </c>
      <c r="E23" s="47" t="s">
        <v>370</v>
      </c>
      <c r="F23">
        <f>+VLOOKUP($E23,Hybrid!$1:$1048576,F$2,FALSE)</f>
        <v>0.55457425149999995</v>
      </c>
      <c r="G23">
        <f>+VLOOKUP($E23,Hybrid!$1:$1048576,G$2,FALSE)</f>
        <v>0.57755324689999998</v>
      </c>
      <c r="H23">
        <f>+VLOOKUP($E23,Hybrid!$1:$1048576,H$2,FALSE)</f>
        <v>0.60089213809999997</v>
      </c>
      <c r="I23">
        <f>+VLOOKUP($E23,Hybrid!$1:$1048576,I$2,FALSE)</f>
        <v>0.62426223319999996</v>
      </c>
      <c r="J23">
        <f>+VLOOKUP($E23,Hybrid!$1:$1048576,J$2,FALSE)</f>
        <v>0.64749666139999995</v>
      </c>
      <c r="K23">
        <f>+VLOOKUP($E23,Hybrid!$1:$1048576,K$2,FALSE)</f>
        <v>0.67047190050000005</v>
      </c>
      <c r="L23">
        <f>+VLOOKUP($E23,Hybrid!$1:$1048576,L$2,FALSE)</f>
        <v>0.69309085189999997</v>
      </c>
      <c r="M23">
        <f>+VLOOKUP($E23,Hybrid!$1:$1048576,M$2,FALSE)</f>
        <v>0.71527340210000001</v>
      </c>
      <c r="N23">
        <f>+VLOOKUP($E23,Hybrid!$1:$1048576,N$2,FALSE)</f>
        <v>0.73694937849999997</v>
      </c>
      <c r="O23">
        <f>+VLOOKUP($E23,Hybrid!$1:$1048576,O$2,FALSE)</f>
        <v>0.75805330260000003</v>
      </c>
      <c r="P23">
        <f>+VLOOKUP($E23,Hybrid!$1:$1048576,P$2,FALSE)</f>
        <v>0.77852045520000002</v>
      </c>
      <c r="Q23">
        <f>+VLOOKUP($E23,Hybrid!$1:$1048576,Q$2,FALSE)</f>
        <v>0.79828378960000002</v>
      </c>
      <c r="R23">
        <f>+VLOOKUP($E23,Hybrid!$1:$1048576,R$2,FALSE)</f>
        <v>0.81727124470000001</v>
      </c>
      <c r="S23">
        <f>+VLOOKUP($E23,Hybrid!$1:$1048576,S$2,FALSE)</f>
        <v>0.83546578540000005</v>
      </c>
      <c r="T23">
        <f>+VLOOKUP($E23,Hybrid!$1:$1048576,T$2,FALSE)</f>
        <v>0.85289806000000001</v>
      </c>
      <c r="U23">
        <f>+VLOOKUP($E23,Hybrid!$1:$1048576,U$2,FALSE)</f>
        <v>0.86957021209999996</v>
      </c>
      <c r="V23">
        <f>+VLOOKUP($E23,Hybrid!$1:$1048576,V$2,FALSE)</f>
        <v>0.88546447849999999</v>
      </c>
      <c r="W23">
        <f>+VLOOKUP($E23,Hybrid!$1:$1048576,W$2,FALSE)</f>
        <v>0.90055013559999997</v>
      </c>
      <c r="X23">
        <f>+VLOOKUP($E23,Hybrid!$1:$1048576,X$2,FALSE)</f>
        <v>0.91478716169999996</v>
      </c>
      <c r="Y23">
        <f>+VLOOKUP($E23,Hybrid!$1:$1048576,Y$2,FALSE)</f>
        <v>0.92812804270000004</v>
      </c>
      <c r="Z23">
        <f>+VLOOKUP($E23,Hybrid!$1:$1048576,Z$2,FALSE)</f>
        <v>0.94051865629999998</v>
      </c>
      <c r="AA23">
        <f>+VLOOKUP($E23,Hybrid!$1:$1048576,AA$2,FALSE)</f>
        <v>0.95189876699999998</v>
      </c>
      <c r="AB23">
        <f>+VLOOKUP($E23,Hybrid!$1:$1048576,AB$2,FALSE)</f>
        <v>0.96220242659999999</v>
      </c>
      <c r="AC23">
        <f>+VLOOKUP($E23,Hybrid!$1:$1048576,AC$2,FALSE)</f>
        <v>0.97135844280000005</v>
      </c>
      <c r="AD23">
        <f>+VLOOKUP($E23,Hybrid!$1:$1048576,AD$2,FALSE)</f>
        <v>0.97929101659999995</v>
      </c>
      <c r="AE23">
        <f>+VLOOKUP($E23,Hybrid!$1:$1048576,AE$2,FALSE)</f>
        <v>0.98592060800000003</v>
      </c>
      <c r="AF23">
        <f>+VLOOKUP($E23,Hybrid!$1:$1048576,AF$2,FALSE)</f>
        <v>0.99116507129999998</v>
      </c>
      <c r="AG23">
        <f>+VLOOKUP($E23,Hybrid!$1:$1048576,AG$2,FALSE)</f>
        <v>0.99494107899999995</v>
      </c>
      <c r="AH23">
        <f>+VLOOKUP($E23,Hybrid!$1:$1048576,AH$2,FALSE)</f>
        <v>0.99716584399999997</v>
      </c>
      <c r="AI23">
        <f>+VLOOKUP($E23,Hybrid!$1:$1048576,AI$2,FALSE)</f>
        <v>0.99775912789999999</v>
      </c>
      <c r="AJ23">
        <f>+VLOOKUP($E23,Hybrid!$1:$1048576,AJ$2,FALSE)</f>
        <v>0.99664551010000002</v>
      </c>
      <c r="AK23">
        <f>+VLOOKUP($E23,Hybrid!$1:$1048576,AK$2,FALSE)</f>
        <v>0.99375687069999996</v>
      </c>
      <c r="AL23">
        <f>+VLOOKUP($E23,Hybrid!$1:$1048576,AL$2,FALSE)</f>
        <v>0.98903501650000003</v>
      </c>
    </row>
    <row r="24" spans="1:38" ht="15" customHeight="1" x14ac:dyDescent="0.25">
      <c r="A24" s="171"/>
      <c r="B24" s="170"/>
      <c r="C24" s="219"/>
      <c r="D24" s="130" t="s">
        <v>564</v>
      </c>
      <c r="E24" s="47" t="s">
        <v>371</v>
      </c>
      <c r="F24">
        <f>+VLOOKUP($E24,Hybrid!$1:$1048576,F$2,FALSE)</f>
        <v>0.43623168080000002</v>
      </c>
      <c r="G24">
        <f>+VLOOKUP($E24,Hybrid!$1:$1048576,G$2,FALSE)</f>
        <v>0.44855712269999998</v>
      </c>
      <c r="H24">
        <f>+VLOOKUP($E24,Hybrid!$1:$1048576,H$2,FALSE)</f>
        <v>0.46123940009999997</v>
      </c>
      <c r="I24">
        <f>+VLOOKUP($E24,Hybrid!$1:$1048576,I$2,FALSE)</f>
        <v>0.47403519</v>
      </c>
      <c r="J24">
        <f>+VLOOKUP($E24,Hybrid!$1:$1048576,J$2,FALSE)</f>
        <v>0.48681568390000002</v>
      </c>
      <c r="K24">
        <f>+VLOOKUP($E24,Hybrid!$1:$1048576,K$2,FALSE)</f>
        <v>0.49948458439999999</v>
      </c>
      <c r="L24">
        <f>+VLOOKUP($E24,Hybrid!$1:$1048576,L$2,FALSE)</f>
        <v>0.51196499689999997</v>
      </c>
      <c r="M24">
        <f>+VLOOKUP($E24,Hybrid!$1:$1048576,M$2,FALSE)</f>
        <v>0.52419217389999995</v>
      </c>
      <c r="N24">
        <f>+VLOOKUP($E24,Hybrid!$1:$1048576,N$2,FALSE)</f>
        <v>0.53610829790000003</v>
      </c>
      <c r="O24">
        <f>+VLOOKUP($E24,Hybrid!$1:$1048576,O$2,FALSE)</f>
        <v>0.54765870569999997</v>
      </c>
      <c r="P24">
        <f>+VLOOKUP($E24,Hybrid!$1:$1048576,P$2,FALSE)</f>
        <v>0.55878912010000004</v>
      </c>
      <c r="Q24">
        <f>+VLOOKUP($E24,Hybrid!$1:$1048576,Q$2,FALSE)</f>
        <v>0.5694435162</v>
      </c>
      <c r="R24">
        <f>+VLOOKUP($E24,Hybrid!$1:$1048576,R$2,FALSE)</f>
        <v>0.57956229820000005</v>
      </c>
      <c r="S24">
        <f>+VLOOKUP($E24,Hybrid!$1:$1048576,S$2,FALSE)</f>
        <v>0.58912284820000005</v>
      </c>
      <c r="T24">
        <f>+VLOOKUP($E24,Hybrid!$1:$1048576,T$2,FALSE)</f>
        <v>0.5981360952</v>
      </c>
      <c r="U24">
        <f>+VLOOKUP($E24,Hybrid!$1:$1048576,U$2,FALSE)</f>
        <v>0.60659660650000002</v>
      </c>
      <c r="V24">
        <f>+VLOOKUP($E24,Hybrid!$1:$1048576,V$2,FALSE)</f>
        <v>0.61448750770000005</v>
      </c>
      <c r="W24">
        <f>+VLOOKUP($E24,Hybrid!$1:$1048576,W$2,FALSE)</f>
        <v>0.62178472299999998</v>
      </c>
      <c r="X24">
        <f>+VLOOKUP($E24,Hybrid!$1:$1048576,X$2,FALSE)</f>
        <v>0.62845926100000005</v>
      </c>
      <c r="Y24">
        <f>+VLOOKUP($E24,Hybrid!$1:$1048576,Y$2,FALSE)</f>
        <v>0.63447839289999997</v>
      </c>
      <c r="Z24">
        <f>+VLOOKUP($E24,Hybrid!$1:$1048576,Z$2,FALSE)</f>
        <v>0.63980629440000003</v>
      </c>
      <c r="AA24">
        <f>+VLOOKUP($E24,Hybrid!$1:$1048576,AA$2,FALSE)</f>
        <v>0.644404474</v>
      </c>
      <c r="AB24">
        <f>+VLOOKUP($E24,Hybrid!$1:$1048576,AB$2,FALSE)</f>
        <v>0.64823216500000003</v>
      </c>
      <c r="AC24">
        <f>+VLOOKUP($E24,Hybrid!$1:$1048576,AC$2,FALSE)</f>
        <v>0.6512467757</v>
      </c>
      <c r="AD24">
        <f>+VLOOKUP($E24,Hybrid!$1:$1048576,AD$2,FALSE)</f>
        <v>0.65340445079999998</v>
      </c>
      <c r="AE24">
        <f>+VLOOKUP($E24,Hybrid!$1:$1048576,AE$2,FALSE)</f>
        <v>0.65466077290000002</v>
      </c>
      <c r="AF24">
        <f>+VLOOKUP($E24,Hybrid!$1:$1048576,AF$2,FALSE)</f>
        <v>0.65497161780000002</v>
      </c>
      <c r="AG24">
        <f>+VLOOKUP($E24,Hybrid!$1:$1048576,AG$2,FALSE)</f>
        <v>0.65429416220000003</v>
      </c>
      <c r="AH24">
        <f>+VLOOKUP($E24,Hybrid!$1:$1048576,AH$2,FALSE)</f>
        <v>0.65258803860000003</v>
      </c>
      <c r="AI24">
        <f>+VLOOKUP($E24,Hybrid!$1:$1048576,AI$2,FALSE)</f>
        <v>0.64981661390000001</v>
      </c>
      <c r="AJ24">
        <f>+VLOOKUP($E24,Hybrid!$1:$1048576,AJ$2,FALSE)</f>
        <v>0.64594836470000006</v>
      </c>
      <c r="AK24">
        <f>+VLOOKUP($E24,Hybrid!$1:$1048576,AK$2,FALSE)</f>
        <v>0.64095830639999996</v>
      </c>
      <c r="AL24">
        <f>+VLOOKUP($E24,Hybrid!$1:$1048576,AL$2,FALSE)</f>
        <v>0.63482942539999998</v>
      </c>
    </row>
    <row r="25" spans="1:38" ht="15" customHeight="1" x14ac:dyDescent="0.25">
      <c r="A25" s="171"/>
      <c r="B25" s="170"/>
      <c r="C25" s="219"/>
      <c r="D25" s="130" t="s">
        <v>565</v>
      </c>
      <c r="E25" s="47" t="s">
        <v>372</v>
      </c>
      <c r="F25">
        <f>+VLOOKUP($E25,Hybrid!$1:$1048576,F$2,FALSE)</f>
        <v>0.26087537430000002</v>
      </c>
      <c r="G25">
        <f>+VLOOKUP($E25,Hybrid!$1:$1048576,G$2,FALSE)</f>
        <v>0.26577440320000001</v>
      </c>
      <c r="H25">
        <f>+VLOOKUP($E25,Hybrid!$1:$1048576,H$2,FALSE)</f>
        <v>0.27072765720000003</v>
      </c>
      <c r="I25">
        <f>+VLOOKUP($E25,Hybrid!$1:$1048576,I$2,FALSE)</f>
        <v>0.2755970888</v>
      </c>
      <c r="J25">
        <f>+VLOOKUP($E25,Hybrid!$1:$1048576,J$2,FALSE)</f>
        <v>0.28031070759999999</v>
      </c>
      <c r="K25">
        <f>+VLOOKUP($E25,Hybrid!$1:$1048576,K$2,FALSE)</f>
        <v>0.28481691539999998</v>
      </c>
      <c r="L25">
        <f>+VLOOKUP($E25,Hybrid!$1:$1048576,L$2,FALSE)</f>
        <v>0.28907613640000002</v>
      </c>
      <c r="M25">
        <f>+VLOOKUP($E25,Hybrid!$1:$1048576,M$2,FALSE)</f>
        <v>0.29305639220000002</v>
      </c>
      <c r="N25">
        <f>+VLOOKUP($E25,Hybrid!$1:$1048576,N$2,FALSE)</f>
        <v>0.29673038730000001</v>
      </c>
      <c r="O25">
        <f>+VLOOKUP($E25,Hybrid!$1:$1048576,O$2,FALSE)</f>
        <v>0.30007357600000001</v>
      </c>
      <c r="P25">
        <f>+VLOOKUP($E25,Hybrid!$1:$1048576,P$2,FALSE)</f>
        <v>0.30306288310000001</v>
      </c>
      <c r="Q25">
        <f>+VLOOKUP($E25,Hybrid!$1:$1048576,Q$2,FALSE)</f>
        <v>0.30567585050000001</v>
      </c>
      <c r="R25">
        <f>+VLOOKUP($E25,Hybrid!$1:$1048576,R$2,FALSE)</f>
        <v>0.30789004790000002</v>
      </c>
      <c r="S25">
        <f>+VLOOKUP($E25,Hybrid!$1:$1048576,S$2,FALSE)</f>
        <v>0.30970231990000002</v>
      </c>
      <c r="T25">
        <f>+VLOOKUP($E25,Hybrid!$1:$1048576,T$2,FALSE)</f>
        <v>0.31112699659999998</v>
      </c>
      <c r="U25">
        <f>+VLOOKUP($E25,Hybrid!$1:$1048576,U$2,FALSE)</f>
        <v>0.3121727104</v>
      </c>
      <c r="V25">
        <f>+VLOOKUP($E25,Hybrid!$1:$1048576,V$2,FALSE)</f>
        <v>0.31284445999999999</v>
      </c>
      <c r="W25">
        <f>+VLOOKUP($E25,Hybrid!$1:$1048576,W$2,FALSE)</f>
        <v>0.31314550299999999</v>
      </c>
      <c r="X25">
        <f>+VLOOKUP($E25,Hybrid!$1:$1048576,X$2,FALSE)</f>
        <v>0.31307838389999998</v>
      </c>
      <c r="Y25">
        <f>+VLOOKUP($E25,Hybrid!$1:$1048576,Y$2,FALSE)</f>
        <v>0.31264544919999998</v>
      </c>
      <c r="Z25">
        <f>+VLOOKUP($E25,Hybrid!$1:$1048576,Z$2,FALSE)</f>
        <v>0.31184909459999999</v>
      </c>
      <c r="AA25">
        <f>+VLOOKUP($E25,Hybrid!$1:$1048576,AA$2,FALSE)</f>
        <v>0.31069188349999999</v>
      </c>
      <c r="AB25">
        <f>+VLOOKUP($E25,Hybrid!$1:$1048576,AB$2,FALSE)</f>
        <v>0.30917661140000002</v>
      </c>
      <c r="AC25">
        <f>+VLOOKUP($E25,Hybrid!$1:$1048576,AC$2,FALSE)</f>
        <v>0.3073063513</v>
      </c>
      <c r="AD25">
        <f>+VLOOKUP($E25,Hybrid!$1:$1048576,AD$2,FALSE)</f>
        <v>0.30508449850000002</v>
      </c>
      <c r="AE25">
        <f>+VLOOKUP($E25,Hybrid!$1:$1048576,AE$2,FALSE)</f>
        <v>0.30251482159999998</v>
      </c>
      <c r="AF25">
        <f>+VLOOKUP($E25,Hybrid!$1:$1048576,AF$2,FALSE)</f>
        <v>0.29960152220000003</v>
      </c>
      <c r="AG25">
        <f>+VLOOKUP($E25,Hybrid!$1:$1048576,AG$2,FALSE)</f>
        <v>0.29634930250000002</v>
      </c>
      <c r="AH25">
        <f>+VLOOKUP($E25,Hybrid!$1:$1048576,AH$2,FALSE)</f>
        <v>0.29276344180000002</v>
      </c>
      <c r="AI25">
        <f>+VLOOKUP($E25,Hybrid!$1:$1048576,AI$2,FALSE)</f>
        <v>0.28884987909999998</v>
      </c>
      <c r="AJ25">
        <f>+VLOOKUP($E25,Hybrid!$1:$1048576,AJ$2,FALSE)</f>
        <v>0.28461530429999998</v>
      </c>
      <c r="AK25">
        <f>+VLOOKUP($E25,Hybrid!$1:$1048576,AK$2,FALSE)</f>
        <v>0.28006725609999999</v>
      </c>
      <c r="AL25">
        <f>+VLOOKUP($E25,Hybrid!$1:$1048576,AL$2,FALSE)</f>
        <v>0.2752142286</v>
      </c>
    </row>
    <row r="26" spans="1:38" ht="15" customHeight="1" x14ac:dyDescent="0.25">
      <c r="A26" s="171"/>
      <c r="B26" s="170"/>
      <c r="C26" s="219"/>
      <c r="D26" s="130" t="s">
        <v>566</v>
      </c>
      <c r="E26" s="47" t="s">
        <v>373</v>
      </c>
      <c r="F26">
        <f>+VLOOKUP($E26,Hybrid!$1:$1048576,F$2,FALSE)</f>
        <v>0.15729786309999999</v>
      </c>
      <c r="G26">
        <f>+VLOOKUP($E26,Hybrid!$1:$1048576,G$2,FALSE)</f>
        <v>0.1601114521</v>
      </c>
      <c r="H26">
        <f>+VLOOKUP($E26,Hybrid!$1:$1048576,H$2,FALSE)</f>
        <v>0.1628329332</v>
      </c>
      <c r="I26">
        <f>+VLOOKUP($E26,Hybrid!$1:$1048576,I$2,FALSE)</f>
        <v>0.16538125870000001</v>
      </c>
      <c r="J26">
        <f>+VLOOKUP($E26,Hybrid!$1:$1048576,J$2,FALSE)</f>
        <v>0.16771728020000001</v>
      </c>
      <c r="K26">
        <f>+VLOOKUP($E26,Hybrid!$1:$1048576,K$2,FALSE)</f>
        <v>0.16981554709999999</v>
      </c>
      <c r="L26">
        <f>+VLOOKUP($E26,Hybrid!$1:$1048576,L$2,FALSE)</f>
        <v>0.1716584864</v>
      </c>
      <c r="M26">
        <f>+VLOOKUP($E26,Hybrid!$1:$1048576,M$2,FALSE)</f>
        <v>0.17323339930000001</v>
      </c>
      <c r="N26">
        <f>+VLOOKUP($E26,Hybrid!$1:$1048576,N$2,FALSE)</f>
        <v>0.1745305919</v>
      </c>
      <c r="O26">
        <f>+VLOOKUP($E26,Hybrid!$1:$1048576,O$2,FALSE)</f>
        <v>0.17554220109999999</v>
      </c>
      <c r="P26">
        <f>+VLOOKUP($E26,Hybrid!$1:$1048576,P$2,FALSE)</f>
        <v>0.17626146009999999</v>
      </c>
      <c r="Q26">
        <f>+VLOOKUP($E26,Hybrid!$1:$1048576,Q$2,FALSE)</f>
        <v>0.17668224090000001</v>
      </c>
      <c r="R26">
        <f>+VLOOKUP($E26,Hybrid!$1:$1048576,R$2,FALSE)</f>
        <v>0.17679876850000001</v>
      </c>
      <c r="S26">
        <f>+VLOOKUP($E26,Hybrid!$1:$1048576,S$2,FALSE)</f>
        <v>0.17661580239999999</v>
      </c>
      <c r="T26">
        <f>+VLOOKUP($E26,Hybrid!$1:$1048576,T$2,FALSE)</f>
        <v>0.17614766870000001</v>
      </c>
      <c r="U26">
        <f>+VLOOKUP($E26,Hybrid!$1:$1048576,U$2,FALSE)</f>
        <v>0.17540622980000001</v>
      </c>
      <c r="V26">
        <f>+VLOOKUP($E26,Hybrid!$1:$1048576,V$2,FALSE)</f>
        <v>0.1744018108</v>
      </c>
      <c r="W26">
        <f>+VLOOKUP($E26,Hybrid!$1:$1048576,W$2,FALSE)</f>
        <v>0.17314411430000001</v>
      </c>
      <c r="X26">
        <f>+VLOOKUP($E26,Hybrid!$1:$1048576,X$2,FALSE)</f>
        <v>0.1716427133</v>
      </c>
      <c r="Y26">
        <f>+VLOOKUP($E26,Hybrid!$1:$1048576,Y$2,FALSE)</f>
        <v>0.1699072875</v>
      </c>
      <c r="Z26">
        <f>+VLOOKUP($E26,Hybrid!$1:$1048576,Z$2,FALSE)</f>
        <v>0.1679477247</v>
      </c>
      <c r="AA26">
        <f>+VLOOKUP($E26,Hybrid!$1:$1048576,AA$2,FALSE)</f>
        <v>0.16577415570000001</v>
      </c>
      <c r="AB26">
        <f>+VLOOKUP($E26,Hybrid!$1:$1048576,AB$2,FALSE)</f>
        <v>0.16339696109999999</v>
      </c>
      <c r="AC26">
        <f>+VLOOKUP($E26,Hybrid!$1:$1048576,AC$2,FALSE)</f>
        <v>0.16082676630000001</v>
      </c>
      <c r="AD26">
        <f>+VLOOKUP($E26,Hybrid!$1:$1048576,AD$2,FALSE)</f>
        <v>0.15807443390000001</v>
      </c>
      <c r="AE26">
        <f>+VLOOKUP($E26,Hybrid!$1:$1048576,AE$2,FALSE)</f>
        <v>0.15515105439999999</v>
      </c>
      <c r="AF26">
        <f>+VLOOKUP($E26,Hybrid!$1:$1048576,AF$2,FALSE)</f>
        <v>0.15206793660000001</v>
      </c>
      <c r="AG26">
        <f>+VLOOKUP($E26,Hybrid!$1:$1048576,AG$2,FALSE)</f>
        <v>0.14883659690000001</v>
      </c>
      <c r="AH26">
        <f>+VLOOKUP($E26,Hybrid!$1:$1048576,AH$2,FALSE)</f>
        <v>0.14546874570000001</v>
      </c>
      <c r="AI26">
        <f>+VLOOKUP($E26,Hybrid!$1:$1048576,AI$2,FALSE)</f>
        <v>0.1419762712</v>
      </c>
      <c r="AJ26">
        <f>+VLOOKUP($E26,Hybrid!$1:$1048576,AJ$2,FALSE)</f>
        <v>0.1383712201</v>
      </c>
      <c r="AK26">
        <f>+VLOOKUP($E26,Hybrid!$1:$1048576,AK$2,FALSE)</f>
        <v>0.13466577630000001</v>
      </c>
      <c r="AL26">
        <f>+VLOOKUP($E26,Hybrid!$1:$1048576,AL$2,FALSE)</f>
        <v>0.13087223649999999</v>
      </c>
    </row>
    <row r="27" spans="1:38" ht="15" customHeight="1" x14ac:dyDescent="0.25">
      <c r="A27" s="171"/>
      <c r="B27" s="170"/>
      <c r="C27" s="219"/>
      <c r="D27" s="130" t="s">
        <v>567</v>
      </c>
      <c r="E27" s="47" t="s">
        <v>374</v>
      </c>
      <c r="F27">
        <f>+VLOOKUP($E27,Hybrid!$1:$1048576,F$2,FALSE)</f>
        <v>7.6945596599999999E-2</v>
      </c>
      <c r="G27">
        <f>+VLOOKUP($E27,Hybrid!$1:$1048576,G$2,FALSE)</f>
        <v>7.7619323800000001E-2</v>
      </c>
      <c r="H27">
        <f>+VLOOKUP($E27,Hybrid!$1:$1048576,H$2,FALSE)</f>
        <v>7.8092136100000001E-2</v>
      </c>
      <c r="I27">
        <f>+VLOOKUP($E27,Hybrid!$1:$1048576,I$2,FALSE)</f>
        <v>7.8339035299999998E-2</v>
      </c>
      <c r="J27">
        <f>+VLOOKUP($E27,Hybrid!$1:$1048576,J$2,FALSE)</f>
        <v>7.8356677999999999E-2</v>
      </c>
      <c r="K27">
        <f>+VLOOKUP($E27,Hybrid!$1:$1048576,K$2,FALSE)</f>
        <v>7.8149325199999994E-2</v>
      </c>
      <c r="L27">
        <f>+VLOOKUP($E27,Hybrid!$1:$1048576,L$2,FALSE)</f>
        <v>7.7725280399999999E-2</v>
      </c>
      <c r="M27">
        <f>+VLOOKUP($E27,Hybrid!$1:$1048576,M$2,FALSE)</f>
        <v>7.7095122399999994E-2</v>
      </c>
      <c r="N27">
        <f>+VLOOKUP($E27,Hybrid!$1:$1048576,N$2,FALSE)</f>
        <v>7.62706992E-2</v>
      </c>
      <c r="O27">
        <f>+VLOOKUP($E27,Hybrid!$1:$1048576,O$2,FALSE)</f>
        <v>7.5264537399999998E-2</v>
      </c>
      <c r="P27">
        <f>+VLOOKUP($E27,Hybrid!$1:$1048576,P$2,FALSE)</f>
        <v>7.4089487400000001E-2</v>
      </c>
      <c r="Q27">
        <f>+VLOOKUP($E27,Hybrid!$1:$1048576,Q$2,FALSE)</f>
        <v>7.27585065E-2</v>
      </c>
      <c r="R27">
        <f>+VLOOKUP($E27,Hybrid!$1:$1048576,R$2,FALSE)</f>
        <v>7.1284526400000006E-2</v>
      </c>
      <c r="S27">
        <f>+VLOOKUP($E27,Hybrid!$1:$1048576,S$2,FALSE)</f>
        <v>6.9683135300000004E-2</v>
      </c>
      <c r="T27">
        <f>+VLOOKUP($E27,Hybrid!$1:$1048576,T$2,FALSE)</f>
        <v>6.7971894099999999E-2</v>
      </c>
      <c r="U27">
        <f>+VLOOKUP($E27,Hybrid!$1:$1048576,U$2,FALSE)</f>
        <v>6.61669919E-2</v>
      </c>
      <c r="V27">
        <f>+VLOOKUP($E27,Hybrid!$1:$1048576,V$2,FALSE)</f>
        <v>6.4283485700000004E-2</v>
      </c>
      <c r="W27">
        <f>+VLOOKUP($E27,Hybrid!$1:$1048576,W$2,FALSE)</f>
        <v>6.2335534200000001E-2</v>
      </c>
      <c r="X27">
        <f>+VLOOKUP($E27,Hybrid!$1:$1048576,X$2,FALSE)</f>
        <v>6.0336506400000003E-2</v>
      </c>
      <c r="Y27">
        <f>+VLOOKUP($E27,Hybrid!$1:$1048576,Y$2,FALSE)</f>
        <v>5.8299016600000003E-2</v>
      </c>
      <c r="Z27">
        <f>+VLOOKUP($E27,Hybrid!$1:$1048576,Z$2,FALSE)</f>
        <v>5.6234922999999999E-2</v>
      </c>
      <c r="AA27">
        <f>+VLOOKUP($E27,Hybrid!$1:$1048576,AA$2,FALSE)</f>
        <v>5.4155314500000003E-2</v>
      </c>
      <c r="AB27">
        <f>+VLOOKUP($E27,Hybrid!$1:$1048576,AB$2,FALSE)</f>
        <v>5.2070495299999998E-2</v>
      </c>
      <c r="AC27">
        <f>+VLOOKUP($E27,Hybrid!$1:$1048576,AC$2,FALSE)</f>
        <v>4.9989974499999999E-2</v>
      </c>
      <c r="AD27">
        <f>+VLOOKUP($E27,Hybrid!$1:$1048576,AD$2,FALSE)</f>
        <v>4.7922462499999999E-2</v>
      </c>
      <c r="AE27">
        <f>+VLOOKUP($E27,Hybrid!$1:$1048576,AE$2,FALSE)</f>
        <v>4.5875873099999999E-2</v>
      </c>
      <c r="AF27">
        <f>+VLOOKUP($E27,Hybrid!$1:$1048576,AF$2,FALSE)</f>
        <v>4.3857332999999998E-2</v>
      </c>
      <c r="AG27">
        <f>+VLOOKUP($E27,Hybrid!$1:$1048576,AG$2,FALSE)</f>
        <v>4.1873196100000003E-2</v>
      </c>
      <c r="AH27">
        <f>+VLOOKUP($E27,Hybrid!$1:$1048576,AH$2,FALSE)</f>
        <v>3.99290635E-2</v>
      </c>
      <c r="AI27">
        <f>+VLOOKUP($E27,Hybrid!$1:$1048576,AI$2,FALSE)</f>
        <v>3.8029807399999997E-2</v>
      </c>
      <c r="AJ27">
        <f>+VLOOKUP($E27,Hybrid!$1:$1048576,AJ$2,FALSE)</f>
        <v>3.6179600200000002E-2</v>
      </c>
      <c r="AK27">
        <f>+VLOOKUP($E27,Hybrid!$1:$1048576,AK$2,FALSE)</f>
        <v>3.4381946099999998E-2</v>
      </c>
      <c r="AL27">
        <f>+VLOOKUP($E27,Hybrid!$1:$1048576,AL$2,FALSE)</f>
        <v>3.2639716800000003E-2</v>
      </c>
    </row>
    <row r="28" spans="1:38" ht="15" customHeight="1" x14ac:dyDescent="0.25">
      <c r="A28" s="171"/>
      <c r="B28" s="170"/>
      <c r="C28" s="220"/>
      <c r="D28" s="131" t="s">
        <v>568</v>
      </c>
      <c r="E28" s="96" t="s">
        <v>375</v>
      </c>
      <c r="F28">
        <f>+VLOOKUP($E28,Hybrid!$1:$1048576,F$2,FALSE)</f>
        <v>0.1385879552</v>
      </c>
      <c r="G28">
        <f>+VLOOKUP($E28,Hybrid!$1:$1048576,G$2,FALSE)</f>
        <v>0.1392824819</v>
      </c>
      <c r="H28">
        <f>+VLOOKUP($E28,Hybrid!$1:$1048576,H$2,FALSE)</f>
        <v>0.13937914670000001</v>
      </c>
      <c r="I28">
        <f>+VLOOKUP($E28,Hybrid!$1:$1048576,I$2,FALSE)</f>
        <v>0.1388700584</v>
      </c>
      <c r="J28">
        <f>+VLOOKUP($E28,Hybrid!$1:$1048576,J$2,FALSE)</f>
        <v>0.13778783189999999</v>
      </c>
      <c r="K28">
        <f>+VLOOKUP($E28,Hybrid!$1:$1048576,K$2,FALSE)</f>
        <v>0.13617824119999999</v>
      </c>
      <c r="L28">
        <f>+VLOOKUP($E28,Hybrid!$1:$1048576,L$2,FALSE)</f>
        <v>0.13409233240000001</v>
      </c>
      <c r="M28">
        <f>+VLOOKUP($E28,Hybrid!$1:$1048576,M$2,FALSE)</f>
        <v>0.1315826209</v>
      </c>
      <c r="N28">
        <f>+VLOOKUP($E28,Hybrid!$1:$1048576,N$2,FALSE)</f>
        <v>0.12870105940000001</v>
      </c>
      <c r="O28">
        <f>+VLOOKUP($E28,Hybrid!$1:$1048576,O$2,FALSE)</f>
        <v>0.1254979266</v>
      </c>
      <c r="P28">
        <f>+VLOOKUP($E28,Hybrid!$1:$1048576,P$2,FALSE)</f>
        <v>0.1220212123</v>
      </c>
      <c r="Q28">
        <f>+VLOOKUP($E28,Hybrid!$1:$1048576,Q$2,FALSE)</f>
        <v>0.1183162839</v>
      </c>
      <c r="R28">
        <f>+VLOOKUP($E28,Hybrid!$1:$1048576,R$2,FALSE)</f>
        <v>0.1144257199</v>
      </c>
      <c r="S28">
        <f>+VLOOKUP($E28,Hybrid!$1:$1048576,S$2,FALSE)</f>
        <v>0.1103923143</v>
      </c>
      <c r="T28">
        <f>+VLOOKUP($E28,Hybrid!$1:$1048576,T$2,FALSE)</f>
        <v>0.1062579949</v>
      </c>
      <c r="U28">
        <f>+VLOOKUP($E28,Hybrid!$1:$1048576,U$2,FALSE)</f>
        <v>0.10206013680000001</v>
      </c>
      <c r="V28">
        <f>+VLOOKUP($E28,Hybrid!$1:$1048576,V$2,FALSE)</f>
        <v>9.7831987600000003E-2</v>
      </c>
      <c r="W28">
        <f>+VLOOKUP($E28,Hybrid!$1:$1048576,W$2,FALSE)</f>
        <v>9.3603088900000006E-2</v>
      </c>
      <c r="X28">
        <f>+VLOOKUP($E28,Hybrid!$1:$1048576,X$2,FALSE)</f>
        <v>8.9399555199999994E-2</v>
      </c>
      <c r="Y28">
        <f>+VLOOKUP($E28,Hybrid!$1:$1048576,Y$2,FALSE)</f>
        <v>8.5244278899999998E-2</v>
      </c>
      <c r="Z28">
        <f>+VLOOKUP($E28,Hybrid!$1:$1048576,Z$2,FALSE)</f>
        <v>8.1157103600000002E-2</v>
      </c>
      <c r="AA28">
        <f>+VLOOKUP($E28,Hybrid!$1:$1048576,AA$2,FALSE)</f>
        <v>7.7154994300000002E-2</v>
      </c>
      <c r="AB28">
        <f>+VLOOKUP($E28,Hybrid!$1:$1048576,AB$2,FALSE)</f>
        <v>7.3252213799999993E-2</v>
      </c>
      <c r="AC28">
        <f>+VLOOKUP($E28,Hybrid!$1:$1048576,AC$2,FALSE)</f>
        <v>6.9460508700000007E-2</v>
      </c>
      <c r="AD28">
        <f>+VLOOKUP($E28,Hybrid!$1:$1048576,AD$2,FALSE)</f>
        <v>6.5789302399999999E-2</v>
      </c>
      <c r="AE28">
        <f>+VLOOKUP($E28,Hybrid!$1:$1048576,AE$2,FALSE)</f>
        <v>6.2245893199999999E-2</v>
      </c>
      <c r="AF28">
        <f>+VLOOKUP($E28,Hybrid!$1:$1048576,AF$2,FALSE)</f>
        <v>5.8835653199999997E-2</v>
      </c>
      <c r="AG28">
        <f>+VLOOKUP($E28,Hybrid!$1:$1048576,AG$2,FALSE)</f>
        <v>5.5562225600000001E-2</v>
      </c>
      <c r="AH28">
        <f>+VLOOKUP($E28,Hybrid!$1:$1048576,AH$2,FALSE)</f>
        <v>5.2427716700000002E-2</v>
      </c>
      <c r="AI28">
        <f>+VLOOKUP($E28,Hybrid!$1:$1048576,AI$2,FALSE)</f>
        <v>4.9432881800000002E-2</v>
      </c>
      <c r="AJ28">
        <f>+VLOOKUP($E28,Hybrid!$1:$1048576,AJ$2,FALSE)</f>
        <v>4.6577301699999997E-2</v>
      </c>
      <c r="AK28">
        <f>+VLOOKUP($E28,Hybrid!$1:$1048576,AK$2,FALSE)</f>
        <v>4.3859550599999998E-2</v>
      </c>
      <c r="AL28">
        <f>+VLOOKUP($E28,Hybrid!$1:$1048576,AL$2,FALSE)</f>
        <v>4.1277351099999998E-2</v>
      </c>
    </row>
    <row r="29" spans="1:38" s="115" customFormat="1" ht="15" customHeight="1" x14ac:dyDescent="0.25">
      <c r="A29" s="171"/>
      <c r="B29" s="170"/>
      <c r="C29" s="128" t="s">
        <v>569</v>
      </c>
      <c r="D29" s="128"/>
      <c r="E29" s="93" t="s">
        <v>376</v>
      </c>
      <c r="F29" s="115">
        <f>+VLOOKUP($E29,Hybrid!$1:$1048576,F$2,FALSE)</f>
        <v>31687.79249</v>
      </c>
      <c r="G29" s="115">
        <f>+VLOOKUP($E29,Hybrid!$1:$1048576,G$2,FALSE)</f>
        <v>31720.643349999998</v>
      </c>
      <c r="H29" s="115">
        <f>+VLOOKUP($E29,Hybrid!$1:$1048576,H$2,FALSE)</f>
        <v>31813.33711</v>
      </c>
      <c r="I29" s="115">
        <f>+VLOOKUP($E29,Hybrid!$1:$1048576,I$2,FALSE)</f>
        <v>31947.162380000002</v>
      </c>
      <c r="J29" s="115">
        <f>+VLOOKUP($E29,Hybrid!$1:$1048576,J$2,FALSE)</f>
        <v>32109.87729</v>
      </c>
      <c r="K29" s="115">
        <f>+VLOOKUP($E29,Hybrid!$1:$1048576,K$2,FALSE)</f>
        <v>32293.361379999998</v>
      </c>
      <c r="L29" s="115">
        <f>+VLOOKUP($E29,Hybrid!$1:$1048576,L$2,FALSE)</f>
        <v>32492.108840000001</v>
      </c>
      <c r="M29" s="115">
        <f>+VLOOKUP($E29,Hybrid!$1:$1048576,M$2,FALSE)</f>
        <v>32702.282360000001</v>
      </c>
      <c r="N29" s="115">
        <f>+VLOOKUP($E29,Hybrid!$1:$1048576,N$2,FALSE)</f>
        <v>32921.126179999999</v>
      </c>
      <c r="O29" s="115">
        <f>+VLOOKUP($E29,Hybrid!$1:$1048576,O$2,FALSE)</f>
        <v>33146.603029999998</v>
      </c>
      <c r="P29" s="115">
        <f>+VLOOKUP($E29,Hybrid!$1:$1048576,P$2,FALSE)</f>
        <v>33377.167979999998</v>
      </c>
      <c r="Q29" s="115">
        <f>+VLOOKUP($E29,Hybrid!$1:$1048576,Q$2,FALSE)</f>
        <v>33611.625030000003</v>
      </c>
      <c r="R29" s="115">
        <f>+VLOOKUP($E29,Hybrid!$1:$1048576,R$2,FALSE)</f>
        <v>33849.033629999998</v>
      </c>
      <c r="S29" s="115">
        <f>+VLOOKUP($E29,Hybrid!$1:$1048576,S$2,FALSE)</f>
        <v>34088.645530000002</v>
      </c>
      <c r="T29" s="115">
        <f>+VLOOKUP($E29,Hybrid!$1:$1048576,T$2,FALSE)</f>
        <v>34329.860690000001</v>
      </c>
      <c r="U29" s="115">
        <f>+VLOOKUP($E29,Hybrid!$1:$1048576,U$2,FALSE)</f>
        <v>34572.195419999996</v>
      </c>
      <c r="V29" s="115">
        <f>+VLOOKUP($E29,Hybrid!$1:$1048576,V$2,FALSE)</f>
        <v>34815.258710000002</v>
      </c>
      <c r="W29" s="115">
        <f>+VLOOKUP($E29,Hybrid!$1:$1048576,W$2,FALSE)</f>
        <v>35058.734510000002</v>
      </c>
      <c r="X29" s="115">
        <f>+VLOOKUP($E29,Hybrid!$1:$1048576,X$2,FALSE)</f>
        <v>35302.36808</v>
      </c>
      <c r="Y29" s="115">
        <f>+VLOOKUP($E29,Hybrid!$1:$1048576,Y$2,FALSE)</f>
        <v>35545.95566</v>
      </c>
      <c r="Z29" s="115">
        <f>+VLOOKUP($E29,Hybrid!$1:$1048576,Z$2,FALSE)</f>
        <v>35789.336340000002</v>
      </c>
      <c r="AA29" s="115">
        <f>+VLOOKUP($E29,Hybrid!$1:$1048576,AA$2,FALSE)</f>
        <v>36032.385739999998</v>
      </c>
      <c r="AB29" s="115">
        <f>+VLOOKUP($E29,Hybrid!$1:$1048576,AB$2,FALSE)</f>
        <v>36275.010999999999</v>
      </c>
      <c r="AC29" s="115">
        <f>+VLOOKUP($E29,Hybrid!$1:$1048576,AC$2,FALSE)</f>
        <v>36517.146650000002</v>
      </c>
      <c r="AD29" s="115">
        <f>+VLOOKUP($E29,Hybrid!$1:$1048576,AD$2,FALSE)</f>
        <v>36758.751190000003</v>
      </c>
      <c r="AE29" s="115">
        <f>+VLOOKUP($E29,Hybrid!$1:$1048576,AE$2,FALSE)</f>
        <v>36999.804109999997</v>
      </c>
      <c r="AF29" s="115">
        <f>+VLOOKUP($E29,Hybrid!$1:$1048576,AF$2,FALSE)</f>
        <v>37240.303260000001</v>
      </c>
      <c r="AG29" s="115">
        <f>+VLOOKUP($E29,Hybrid!$1:$1048576,AG$2,FALSE)</f>
        <v>37480.262430000002</v>
      </c>
      <c r="AH29" s="115">
        <f>+VLOOKUP($E29,Hybrid!$1:$1048576,AH$2,FALSE)</f>
        <v>37719.709159999999</v>
      </c>
      <c r="AI29" s="115">
        <f>+VLOOKUP($E29,Hybrid!$1:$1048576,AI$2,FALSE)</f>
        <v>37958.682679999998</v>
      </c>
      <c r="AJ29" s="115">
        <f>+VLOOKUP($E29,Hybrid!$1:$1048576,AJ$2,FALSE)</f>
        <v>38197.23199</v>
      </c>
      <c r="AK29" s="115">
        <f>+VLOOKUP($E29,Hybrid!$1:$1048576,AK$2,FALSE)</f>
        <v>38435.414069999999</v>
      </c>
      <c r="AL29" s="115">
        <f>+VLOOKUP($E29,Hybrid!$1:$1048576,AL$2,FALSE)</f>
        <v>38673.292269999998</v>
      </c>
    </row>
    <row r="30" spans="1:38" s="115" customFormat="1" ht="15" customHeight="1" x14ac:dyDescent="0.25">
      <c r="A30" s="171"/>
      <c r="B30" s="170"/>
      <c r="C30" s="128" t="s">
        <v>570</v>
      </c>
      <c r="D30" s="129"/>
      <c r="E30" s="93" t="s">
        <v>377</v>
      </c>
      <c r="F30" s="115">
        <f>+VLOOKUP($E30,Hybrid!$1:$1048576,F$2,FALSE)</f>
        <v>31585.837940000001</v>
      </c>
      <c r="G30" s="115">
        <f>+VLOOKUP($E30,Hybrid!$1:$1048576,G$2,FALSE)</f>
        <v>31599.720549999998</v>
      </c>
      <c r="H30" s="115">
        <f>+VLOOKUP($E30,Hybrid!$1:$1048576,H$2,FALSE)</f>
        <v>31673.60284</v>
      </c>
      <c r="I30" s="115">
        <f>+VLOOKUP($E30,Hybrid!$1:$1048576,I$2,FALSE)</f>
        <v>31788.887490000001</v>
      </c>
      <c r="J30" s="115">
        <f>+VLOOKUP($E30,Hybrid!$1:$1048576,J$2,FALSE)</f>
        <v>31933.39687</v>
      </c>
      <c r="K30" s="115">
        <f>+VLOOKUP($E30,Hybrid!$1:$1048576,K$2,FALSE)</f>
        <v>32099.043880000001</v>
      </c>
      <c r="L30" s="115">
        <f>+VLOOKUP($E30,Hybrid!$1:$1048576,L$2,FALSE)</f>
        <v>32280.33711</v>
      </c>
      <c r="M30" s="115">
        <f>+VLOOKUP($E30,Hybrid!$1:$1048576,M$2,FALSE)</f>
        <v>32473.442050000001</v>
      </c>
      <c r="N30" s="115">
        <f>+VLOOKUP($E30,Hybrid!$1:$1048576,N$2,FALSE)</f>
        <v>32675.5985</v>
      </c>
      <c r="O30" s="115">
        <f>+VLOOKUP($E30,Hybrid!$1:$1048576,O$2,FALSE)</f>
        <v>32884.760260000003</v>
      </c>
      <c r="P30" s="115">
        <f>+VLOOKUP($E30,Hybrid!$1:$1048576,P$2,FALSE)</f>
        <v>33099.37055</v>
      </c>
      <c r="Q30" s="115">
        <f>+VLOOKUP($E30,Hybrid!$1:$1048576,Q$2,FALSE)</f>
        <v>33318.219720000001</v>
      </c>
      <c r="R30" s="115">
        <f>+VLOOKUP($E30,Hybrid!$1:$1048576,R$2,FALSE)</f>
        <v>33540.352330000002</v>
      </c>
      <c r="S30" s="115">
        <f>+VLOOKUP($E30,Hybrid!$1:$1048576,S$2,FALSE)</f>
        <v>33765.004459999996</v>
      </c>
      <c r="T30" s="115">
        <f>+VLOOKUP($E30,Hybrid!$1:$1048576,T$2,FALSE)</f>
        <v>33991.559860000001</v>
      </c>
      <c r="U30" s="115">
        <f>+VLOOKUP($E30,Hybrid!$1:$1048576,U$2,FALSE)</f>
        <v>34219.518219999998</v>
      </c>
      <c r="V30" s="115">
        <f>+VLOOKUP($E30,Hybrid!$1:$1048576,V$2,FALSE)</f>
        <v>34448.471680000002</v>
      </c>
      <c r="W30" s="115">
        <f>+VLOOKUP($E30,Hybrid!$1:$1048576,W$2,FALSE)</f>
        <v>34678.087050000002</v>
      </c>
      <c r="X30" s="115">
        <f>+VLOOKUP($E30,Hybrid!$1:$1048576,X$2,FALSE)</f>
        <v>34908.092270000001</v>
      </c>
      <c r="Y30" s="115">
        <f>+VLOOKUP($E30,Hybrid!$1:$1048576,Y$2,FALSE)</f>
        <v>35138.265950000001</v>
      </c>
      <c r="Z30" s="115">
        <f>+VLOOKUP($E30,Hybrid!$1:$1048576,Z$2,FALSE)</f>
        <v>35368.429279999997</v>
      </c>
      <c r="AA30" s="115">
        <f>+VLOOKUP($E30,Hybrid!$1:$1048576,AA$2,FALSE)</f>
        <v>35598.439659999996</v>
      </c>
      <c r="AB30" s="115">
        <f>+VLOOKUP($E30,Hybrid!$1:$1048576,AB$2,FALSE)</f>
        <v>35828.185579999998</v>
      </c>
      <c r="AC30" s="115">
        <f>+VLOOKUP($E30,Hybrid!$1:$1048576,AC$2,FALSE)</f>
        <v>36057.582459999998</v>
      </c>
      <c r="AD30" s="115">
        <f>+VLOOKUP($E30,Hybrid!$1:$1048576,AD$2,FALSE)</f>
        <v>36286.56912</v>
      </c>
      <c r="AE30" s="115">
        <f>+VLOOKUP($E30,Hybrid!$1:$1048576,AE$2,FALSE)</f>
        <v>36515.104740000002</v>
      </c>
      <c r="AF30" s="115">
        <f>+VLOOKUP($E30,Hybrid!$1:$1048576,AF$2,FALSE)</f>
        <v>36743.166120000002</v>
      </c>
      <c r="AG30" s="115">
        <f>+VLOOKUP($E30,Hybrid!$1:$1048576,AG$2,FALSE)</f>
        <v>36970.745210000001</v>
      </c>
      <c r="AH30" s="115">
        <f>+VLOOKUP($E30,Hybrid!$1:$1048576,AH$2,FALSE)</f>
        <v>37197.846769999996</v>
      </c>
      <c r="AI30" s="115">
        <f>+VLOOKUP($E30,Hybrid!$1:$1048576,AI$2,FALSE)</f>
        <v>37424.486270000001</v>
      </c>
      <c r="AJ30" s="115">
        <f>+VLOOKUP($E30,Hybrid!$1:$1048576,AJ$2,FALSE)</f>
        <v>37650.6878</v>
      </c>
      <c r="AK30" s="115">
        <f>+VLOOKUP($E30,Hybrid!$1:$1048576,AK$2,FALSE)</f>
        <v>37876.482239999998</v>
      </c>
      <c r="AL30" s="115">
        <f>+VLOOKUP($E30,Hybrid!$1:$1048576,AL$2,FALSE)</f>
        <v>38101.905460000002</v>
      </c>
    </row>
    <row r="31" spans="1:38" ht="15" customHeight="1" x14ac:dyDescent="0.25">
      <c r="A31" s="171"/>
      <c r="B31" s="170"/>
      <c r="C31" s="219"/>
      <c r="D31" s="130" t="s">
        <v>562</v>
      </c>
      <c r="E31" s="47" t="s">
        <v>378</v>
      </c>
      <c r="F31">
        <f>+VLOOKUP($E31,Hybrid!$1:$1048576,F$2,FALSE)</f>
        <v>7369.0432149999997</v>
      </c>
      <c r="G31">
        <f>+VLOOKUP($E31,Hybrid!$1:$1048576,G$2,FALSE)</f>
        <v>7519.6803529999997</v>
      </c>
      <c r="H31">
        <f>+VLOOKUP($E31,Hybrid!$1:$1048576,H$2,FALSE)</f>
        <v>7684.2985710000003</v>
      </c>
      <c r="I31">
        <f>+VLOOKUP($E31,Hybrid!$1:$1048576,I$2,FALSE)</f>
        <v>7858.0379009999997</v>
      </c>
      <c r="J31">
        <f>+VLOOKUP($E31,Hybrid!$1:$1048576,J$2,FALSE)</f>
        <v>8037.7298559999999</v>
      </c>
      <c r="K31">
        <f>+VLOOKUP($E31,Hybrid!$1:$1048576,K$2,FALSE)</f>
        <v>8221.3015240000004</v>
      </c>
      <c r="L31">
        <f>+VLOOKUP($E31,Hybrid!$1:$1048576,L$2,FALSE)</f>
        <v>8407.3826119999994</v>
      </c>
      <c r="M31">
        <f>+VLOOKUP($E31,Hybrid!$1:$1048576,M$2,FALSE)</f>
        <v>8595.0529569999999</v>
      </c>
      <c r="N31">
        <f>+VLOOKUP($E31,Hybrid!$1:$1048576,N$2,FALSE)</f>
        <v>8783.6831230000007</v>
      </c>
      <c r="O31">
        <f>+VLOOKUP($E31,Hybrid!$1:$1048576,O$2,FALSE)</f>
        <v>8972.8346920000004</v>
      </c>
      <c r="P31">
        <f>+VLOOKUP($E31,Hybrid!$1:$1048576,P$2,FALSE)</f>
        <v>9162.1979510000001</v>
      </c>
      <c r="Q31">
        <f>+VLOOKUP($E31,Hybrid!$1:$1048576,Q$2,FALSE)</f>
        <v>9351.5526379999992</v>
      </c>
      <c r="R31">
        <f>+VLOOKUP($E31,Hybrid!$1:$1048576,R$2,FALSE)</f>
        <v>9540.7427050000006</v>
      </c>
      <c r="S31">
        <f>+VLOOKUP($E31,Hybrid!$1:$1048576,S$2,FALSE)</f>
        <v>9729.6596580000005</v>
      </c>
      <c r="T31">
        <f>+VLOOKUP($E31,Hybrid!$1:$1048576,T$2,FALSE)</f>
        <v>9918.2312120000006</v>
      </c>
      <c r="U31">
        <f>+VLOOKUP($E31,Hybrid!$1:$1048576,U$2,FALSE)</f>
        <v>10106.41331</v>
      </c>
      <c r="V31">
        <f>+VLOOKUP($E31,Hybrid!$1:$1048576,V$2,FALSE)</f>
        <v>10294.18433</v>
      </c>
      <c r="W31">
        <f>+VLOOKUP($E31,Hybrid!$1:$1048576,W$2,FALSE)</f>
        <v>10481.540859999999</v>
      </c>
      <c r="X31">
        <f>+VLOOKUP($E31,Hybrid!$1:$1048576,X$2,FALSE)</f>
        <v>10668.49447</v>
      </c>
      <c r="Y31">
        <f>+VLOOKUP($E31,Hybrid!$1:$1048576,Y$2,FALSE)</f>
        <v>10855.069320000001</v>
      </c>
      <c r="Z31">
        <f>+VLOOKUP($E31,Hybrid!$1:$1048576,Z$2,FALSE)</f>
        <v>11041.30032</v>
      </c>
      <c r="AA31">
        <f>+VLOOKUP($E31,Hybrid!$1:$1048576,AA$2,FALSE)</f>
        <v>11227.23172</v>
      </c>
      <c r="AB31">
        <f>+VLOOKUP($E31,Hybrid!$1:$1048576,AB$2,FALSE)</f>
        <v>11412.9159</v>
      </c>
      <c r="AC31">
        <f>+VLOOKUP($E31,Hybrid!$1:$1048576,AC$2,FALSE)</f>
        <v>11598.41252</v>
      </c>
      <c r="AD31">
        <f>+VLOOKUP($E31,Hybrid!$1:$1048576,AD$2,FALSE)</f>
        <v>11783.787609999999</v>
      </c>
      <c r="AE31">
        <f>+VLOOKUP($E31,Hybrid!$1:$1048576,AE$2,FALSE)</f>
        <v>11969.11292</v>
      </c>
      <c r="AF31">
        <f>+VLOOKUP($E31,Hybrid!$1:$1048576,AF$2,FALSE)</f>
        <v>12154.46516</v>
      </c>
      <c r="AG31">
        <f>+VLOOKUP($E31,Hybrid!$1:$1048576,AG$2,FALSE)</f>
        <v>12339.92534</v>
      </c>
      <c r="AH31">
        <f>+VLOOKUP($E31,Hybrid!$1:$1048576,AH$2,FALSE)</f>
        <v>12525.57812</v>
      </c>
      <c r="AI31">
        <f>+VLOOKUP($E31,Hybrid!$1:$1048576,AI$2,FALSE)</f>
        <v>12711.51116</v>
      </c>
      <c r="AJ31">
        <f>+VLOOKUP($E31,Hybrid!$1:$1048576,AJ$2,FALSE)</f>
        <v>12897.81444</v>
      </c>
      <c r="AK31">
        <f>+VLOOKUP($E31,Hybrid!$1:$1048576,AK$2,FALSE)</f>
        <v>13084.579680000001</v>
      </c>
      <c r="AL31">
        <f>+VLOOKUP($E31,Hybrid!$1:$1048576,AL$2,FALSE)</f>
        <v>13271.899649999999</v>
      </c>
    </row>
    <row r="32" spans="1:38" ht="15" customHeight="1" x14ac:dyDescent="0.25">
      <c r="A32" s="171"/>
      <c r="B32" s="170"/>
      <c r="C32" s="219"/>
      <c r="D32" s="130" t="s">
        <v>563</v>
      </c>
      <c r="E32" s="47" t="s">
        <v>379</v>
      </c>
      <c r="F32">
        <f>+VLOOKUP($E32,Hybrid!$1:$1048576,F$2,FALSE)</f>
        <v>8197.5342110000001</v>
      </c>
      <c r="G32">
        <f>+VLOOKUP($E32,Hybrid!$1:$1048576,G$2,FALSE)</f>
        <v>8249.6491499999993</v>
      </c>
      <c r="H32">
        <f>+VLOOKUP($E32,Hybrid!$1:$1048576,H$2,FALSE)</f>
        <v>8320.4704320000001</v>
      </c>
      <c r="I32">
        <f>+VLOOKUP($E32,Hybrid!$1:$1048576,I$2,FALSE)</f>
        <v>8404.7877079999998</v>
      </c>
      <c r="J32">
        <f>+VLOOKUP($E32,Hybrid!$1:$1048576,J$2,FALSE)</f>
        <v>8499.0715280000004</v>
      </c>
      <c r="K32">
        <f>+VLOOKUP($E32,Hybrid!$1:$1048576,K$2,FALSE)</f>
        <v>8600.8872150000007</v>
      </c>
      <c r="L32">
        <f>+VLOOKUP($E32,Hybrid!$1:$1048576,L$2,FALSE)</f>
        <v>8708.5096250000006</v>
      </c>
      <c r="M32">
        <f>+VLOOKUP($E32,Hybrid!$1:$1048576,M$2,FALSE)</f>
        <v>8820.6760479999994</v>
      </c>
      <c r="N32">
        <f>+VLOOKUP($E32,Hybrid!$1:$1048576,N$2,FALSE)</f>
        <v>8936.4301090000008</v>
      </c>
      <c r="O32">
        <f>+VLOOKUP($E32,Hybrid!$1:$1048576,O$2,FALSE)</f>
        <v>9055.0237899999993</v>
      </c>
      <c r="P32">
        <f>+VLOOKUP($E32,Hybrid!$1:$1048576,P$2,FALSE)</f>
        <v>9175.8556850000004</v>
      </c>
      <c r="Q32">
        <f>+VLOOKUP($E32,Hybrid!$1:$1048576,Q$2,FALSE)</f>
        <v>9298.4315650000008</v>
      </c>
      <c r="R32">
        <f>+VLOOKUP($E32,Hybrid!$1:$1048576,R$2,FALSE)</f>
        <v>9422.3384829999995</v>
      </c>
      <c r="S32">
        <f>+VLOOKUP($E32,Hybrid!$1:$1048576,S$2,FALSE)</f>
        <v>9547.2271970000002</v>
      </c>
      <c r="T32">
        <f>+VLOOKUP($E32,Hybrid!$1:$1048576,T$2,FALSE)</f>
        <v>9672.7997749999995</v>
      </c>
      <c r="U32">
        <f>+VLOOKUP($E32,Hybrid!$1:$1048576,U$2,FALSE)</f>
        <v>9798.8005140000005</v>
      </c>
      <c r="V32">
        <f>+VLOOKUP($E32,Hybrid!$1:$1048576,V$2,FALSE)</f>
        <v>9925.0090739999996</v>
      </c>
      <c r="W32">
        <f>+VLOOKUP($E32,Hybrid!$1:$1048576,W$2,FALSE)</f>
        <v>10051.23516</v>
      </c>
      <c r="X32">
        <f>+VLOOKUP($E32,Hybrid!$1:$1048576,X$2,FALSE)</f>
        <v>10177.31431</v>
      </c>
      <c r="Y32">
        <f>+VLOOKUP($E32,Hybrid!$1:$1048576,Y$2,FALSE)</f>
        <v>10303.10454</v>
      </c>
      <c r="Z32">
        <f>+VLOOKUP($E32,Hybrid!$1:$1048576,Z$2,FALSE)</f>
        <v>10428.483620000001</v>
      </c>
      <c r="AA32">
        <f>+VLOOKUP($E32,Hybrid!$1:$1048576,AA$2,FALSE)</f>
        <v>10553.34671</v>
      </c>
      <c r="AB32">
        <f>+VLOOKUP($E32,Hybrid!$1:$1048576,AB$2,FALSE)</f>
        <v>10677.604530000001</v>
      </c>
      <c r="AC32">
        <f>+VLOOKUP($E32,Hybrid!$1:$1048576,AC$2,FALSE)</f>
        <v>10801.181570000001</v>
      </c>
      <c r="AD32">
        <f>+VLOOKUP($E32,Hybrid!$1:$1048576,AD$2,FALSE)</f>
        <v>10924.014639999999</v>
      </c>
      <c r="AE32">
        <f>+VLOOKUP($E32,Hybrid!$1:$1048576,AE$2,FALSE)</f>
        <v>11046.05148</v>
      </c>
      <c r="AF32">
        <f>+VLOOKUP($E32,Hybrid!$1:$1048576,AF$2,FALSE)</f>
        <v>11167.24944</v>
      </c>
      <c r="AG32">
        <f>+VLOOKUP($E32,Hybrid!$1:$1048576,AG$2,FALSE)</f>
        <v>11287.574280000001</v>
      </c>
      <c r="AH32">
        <f>+VLOOKUP($E32,Hybrid!$1:$1048576,AH$2,FALSE)</f>
        <v>11406.99901</v>
      </c>
      <c r="AI32">
        <f>+VLOOKUP($E32,Hybrid!$1:$1048576,AI$2,FALSE)</f>
        <v>11525.50275</v>
      </c>
      <c r="AJ32">
        <f>+VLOOKUP($E32,Hybrid!$1:$1048576,AJ$2,FALSE)</f>
        <v>11643.06969</v>
      </c>
      <c r="AK32">
        <f>+VLOOKUP($E32,Hybrid!$1:$1048576,AK$2,FALSE)</f>
        <v>11759.68808</v>
      </c>
      <c r="AL32">
        <f>+VLOOKUP($E32,Hybrid!$1:$1048576,AL$2,FALSE)</f>
        <v>11875.349249999999</v>
      </c>
    </row>
    <row r="33" spans="1:38" ht="15" customHeight="1" x14ac:dyDescent="0.25">
      <c r="A33" s="171"/>
      <c r="B33" s="170"/>
      <c r="C33" s="219"/>
      <c r="D33" s="130" t="s">
        <v>564</v>
      </c>
      <c r="E33" s="47" t="s">
        <v>380</v>
      </c>
      <c r="F33">
        <f>+VLOOKUP($E33,Hybrid!$1:$1048576,F$2,FALSE)</f>
        <v>6506.5051000000003</v>
      </c>
      <c r="G33">
        <f>+VLOOKUP($E33,Hybrid!$1:$1048576,G$2,FALSE)</f>
        <v>6474.3213969999997</v>
      </c>
      <c r="H33">
        <f>+VLOOKUP($E33,Hybrid!$1:$1048576,H$2,FALSE)</f>
        <v>6459.1067370000001</v>
      </c>
      <c r="I33">
        <f>+VLOOKUP($E33,Hybrid!$1:$1048576,I$2,FALSE)</f>
        <v>6456.8591409999999</v>
      </c>
      <c r="J33">
        <f>+VLOOKUP($E33,Hybrid!$1:$1048576,J$2,FALSE)</f>
        <v>6464.7815380000002</v>
      </c>
      <c r="K33">
        <f>+VLOOKUP($E33,Hybrid!$1:$1048576,K$2,FALSE)</f>
        <v>6480.8662649999997</v>
      </c>
      <c r="L33">
        <f>+VLOOKUP($E33,Hybrid!$1:$1048576,L$2,FALSE)</f>
        <v>6503.6228220000003</v>
      </c>
      <c r="M33">
        <f>+VLOOKUP($E33,Hybrid!$1:$1048576,M$2,FALSE)</f>
        <v>6531.9035240000003</v>
      </c>
      <c r="N33">
        <f>+VLOOKUP($E33,Hybrid!$1:$1048576,N$2,FALSE)</f>
        <v>6564.7932879999998</v>
      </c>
      <c r="O33">
        <f>+VLOOKUP($E33,Hybrid!$1:$1048576,O$2,FALSE)</f>
        <v>6601.5401860000002</v>
      </c>
      <c r="P33">
        <f>+VLOOKUP($E33,Hybrid!$1:$1048576,P$2,FALSE)</f>
        <v>6641.5113270000002</v>
      </c>
      <c r="Q33">
        <f>+VLOOKUP($E33,Hybrid!$1:$1048576,Q$2,FALSE)</f>
        <v>6684.1642849999998</v>
      </c>
      <c r="R33">
        <f>+VLOOKUP($E33,Hybrid!$1:$1048576,R$2,FALSE)</f>
        <v>6729.0279730000002</v>
      </c>
      <c r="S33">
        <f>+VLOOKUP($E33,Hybrid!$1:$1048576,S$2,FALSE)</f>
        <v>6775.6893330000003</v>
      </c>
      <c r="T33">
        <f>+VLOOKUP($E33,Hybrid!$1:$1048576,T$2,FALSE)</f>
        <v>6823.7836639999996</v>
      </c>
      <c r="U33">
        <f>+VLOOKUP($E33,Hybrid!$1:$1048576,U$2,FALSE)</f>
        <v>6872.9873250000001</v>
      </c>
      <c r="V33">
        <f>+VLOOKUP($E33,Hybrid!$1:$1048576,V$2,FALSE)</f>
        <v>6923.012025</v>
      </c>
      <c r="W33">
        <f>+VLOOKUP($E33,Hybrid!$1:$1048576,W$2,FALSE)</f>
        <v>6973.600265</v>
      </c>
      <c r="X33">
        <f>+VLOOKUP($E33,Hybrid!$1:$1048576,X$2,FALSE)</f>
        <v>7024.5216149999997</v>
      </c>
      <c r="Y33">
        <f>+VLOOKUP($E33,Hybrid!$1:$1048576,Y$2,FALSE)</f>
        <v>7075.56963</v>
      </c>
      <c r="Z33">
        <f>+VLOOKUP($E33,Hybrid!$1:$1048576,Z$2,FALSE)</f>
        <v>7126.559252</v>
      </c>
      <c r="AA33">
        <f>+VLOOKUP($E33,Hybrid!$1:$1048576,AA$2,FALSE)</f>
        <v>7177.324595</v>
      </c>
      <c r="AB33">
        <f>+VLOOKUP($E33,Hybrid!$1:$1048576,AB$2,FALSE)</f>
        <v>7227.7170050000004</v>
      </c>
      <c r="AC33">
        <f>+VLOOKUP($E33,Hybrid!$1:$1048576,AC$2,FALSE)</f>
        <v>7277.6033479999996</v>
      </c>
      <c r="AD33">
        <f>+VLOOKUP($E33,Hybrid!$1:$1048576,AD$2,FALSE)</f>
        <v>7326.8644670000003</v>
      </c>
      <c r="AE33">
        <f>+VLOOKUP($E33,Hybrid!$1:$1048576,AE$2,FALSE)</f>
        <v>7375.3937619999997</v>
      </c>
      <c r="AF33">
        <f>+VLOOKUP($E33,Hybrid!$1:$1048576,AF$2,FALSE)</f>
        <v>7423.0958760000003</v>
      </c>
      <c r="AG33">
        <f>+VLOOKUP($E33,Hybrid!$1:$1048576,AG$2,FALSE)</f>
        <v>7469.8854730000003</v>
      </c>
      <c r="AH33">
        <f>+VLOOKUP($E33,Hybrid!$1:$1048576,AH$2,FALSE)</f>
        <v>7515.6860820000002</v>
      </c>
      <c r="AI33">
        <f>+VLOOKUP($E33,Hybrid!$1:$1048576,AI$2,FALSE)</f>
        <v>7560.4290179999998</v>
      </c>
      <c r="AJ33">
        <f>+VLOOKUP($E33,Hybrid!$1:$1048576,AJ$2,FALSE)</f>
        <v>7604.0523620000004</v>
      </c>
      <c r="AK33">
        <f>+VLOOKUP($E33,Hybrid!$1:$1048576,AK$2,FALSE)</f>
        <v>7646.5000209999998</v>
      </c>
      <c r="AL33">
        <f>+VLOOKUP($E33,Hybrid!$1:$1048576,AL$2,FALSE)</f>
        <v>7687.7208369999998</v>
      </c>
    </row>
    <row r="34" spans="1:38" ht="15" customHeight="1" x14ac:dyDescent="0.25">
      <c r="A34" s="171"/>
      <c r="B34" s="170"/>
      <c r="C34" s="219"/>
      <c r="D34" s="130" t="s">
        <v>565</v>
      </c>
      <c r="E34" s="47" t="s">
        <v>381</v>
      </c>
      <c r="F34">
        <f>+VLOOKUP($E34,Hybrid!$1:$1048576,F$2,FALSE)</f>
        <v>3912.580833</v>
      </c>
      <c r="G34">
        <f>+VLOOKUP($E34,Hybrid!$1:$1048576,G$2,FALSE)</f>
        <v>3862.1234340000001</v>
      </c>
      <c r="H34">
        <f>+VLOOKUP($E34,Hybrid!$1:$1048576,H$2,FALSE)</f>
        <v>3820.4515780000002</v>
      </c>
      <c r="I34">
        <f>+VLOOKUP($E34,Hybrid!$1:$1048576,I$2,FALSE)</f>
        <v>3785.243532</v>
      </c>
      <c r="J34">
        <f>+VLOOKUP($E34,Hybrid!$1:$1048576,J$2,FALSE)</f>
        <v>3754.885698</v>
      </c>
      <c r="K34">
        <f>+VLOOKUP($E34,Hybrid!$1:$1048576,K$2,FALSE)</f>
        <v>3728.221814</v>
      </c>
      <c r="L34">
        <f>+VLOOKUP($E34,Hybrid!$1:$1048576,L$2,FALSE)</f>
        <v>3704.392398</v>
      </c>
      <c r="M34">
        <f>+VLOOKUP($E34,Hybrid!$1:$1048576,M$2,FALSE)</f>
        <v>3682.7340829999998</v>
      </c>
      <c r="N34">
        <f>+VLOOKUP($E34,Hybrid!$1:$1048576,N$2,FALSE)</f>
        <v>3662.7171469999998</v>
      </c>
      <c r="O34">
        <f>+VLOOKUP($E34,Hybrid!$1:$1048576,O$2,FALSE)</f>
        <v>3643.9066910000001</v>
      </c>
      <c r="P34">
        <f>+VLOOKUP($E34,Hybrid!$1:$1048576,P$2,FALSE)</f>
        <v>3625.9381819999999</v>
      </c>
      <c r="Q34">
        <f>+VLOOKUP($E34,Hybrid!$1:$1048576,Q$2,FALSE)</f>
        <v>3608.501608</v>
      </c>
      <c r="R34">
        <f>+VLOOKUP($E34,Hybrid!$1:$1048576,R$2,FALSE)</f>
        <v>3591.3308040000002</v>
      </c>
      <c r="S34">
        <f>+VLOOKUP($E34,Hybrid!$1:$1048576,S$2,FALSE)</f>
        <v>3574.1959099999999</v>
      </c>
      <c r="T34">
        <f>+VLOOKUP($E34,Hybrid!$1:$1048576,T$2,FALSE)</f>
        <v>3556.897802</v>
      </c>
      <c r="U34">
        <f>+VLOOKUP($E34,Hybrid!$1:$1048576,U$2,FALSE)</f>
        <v>3539.263817</v>
      </c>
      <c r="V34">
        <f>+VLOOKUP($E34,Hybrid!$1:$1048576,V$2,FALSE)</f>
        <v>3521.1443530000001</v>
      </c>
      <c r="W34">
        <f>+VLOOKUP($E34,Hybrid!$1:$1048576,W$2,FALSE)</f>
        <v>3502.4101219999998</v>
      </c>
      <c r="X34">
        <f>+VLOOKUP($E34,Hybrid!$1:$1048576,X$2,FALSE)</f>
        <v>3482.9498749999998</v>
      </c>
      <c r="Y34">
        <f>+VLOOKUP($E34,Hybrid!$1:$1048576,Y$2,FALSE)</f>
        <v>3462.668494</v>
      </c>
      <c r="Z34">
        <f>+VLOOKUP($E34,Hybrid!$1:$1048576,Z$2,FALSE)</f>
        <v>3441.4853720000001</v>
      </c>
      <c r="AA34">
        <f>+VLOOKUP($E34,Hybrid!$1:$1048576,AA$2,FALSE)</f>
        <v>3419.3330099999998</v>
      </c>
      <c r="AB34">
        <f>+VLOOKUP($E34,Hybrid!$1:$1048576,AB$2,FALSE)</f>
        <v>3396.1557819999998</v>
      </c>
      <c r="AC34">
        <f>+VLOOKUP($E34,Hybrid!$1:$1048576,AC$2,FALSE)</f>
        <v>3371.9088350000002</v>
      </c>
      <c r="AD34">
        <f>+VLOOKUP($E34,Hybrid!$1:$1048576,AD$2,FALSE)</f>
        <v>3346.5571</v>
      </c>
      <c r="AE34">
        <f>+VLOOKUP($E34,Hybrid!$1:$1048576,AE$2,FALSE)</f>
        <v>3320.0743790000001</v>
      </c>
      <c r="AF34">
        <f>+VLOOKUP($E34,Hybrid!$1:$1048576,AF$2,FALSE)</f>
        <v>3292.4425150000002</v>
      </c>
      <c r="AG34">
        <f>+VLOOKUP($E34,Hybrid!$1:$1048576,AG$2,FALSE)</f>
        <v>3263.6506209999998</v>
      </c>
      <c r="AH34">
        <f>+VLOOKUP($E34,Hybrid!$1:$1048576,AH$2,FALSE)</f>
        <v>3233.6943660000002</v>
      </c>
      <c r="AI34">
        <f>+VLOOKUP($E34,Hybrid!$1:$1048576,AI$2,FALSE)</f>
        <v>3202.5753220000001</v>
      </c>
      <c r="AJ34">
        <f>+VLOOKUP($E34,Hybrid!$1:$1048576,AJ$2,FALSE)</f>
        <v>3170.300358</v>
      </c>
      <c r="AK34">
        <f>+VLOOKUP($E34,Hybrid!$1:$1048576,AK$2,FALSE)</f>
        <v>3136.8810910000002</v>
      </c>
      <c r="AL34">
        <f>+VLOOKUP($E34,Hybrid!$1:$1048576,AL$2,FALSE)</f>
        <v>3102.3333859999998</v>
      </c>
    </row>
    <row r="35" spans="1:38" ht="15" customHeight="1" x14ac:dyDescent="0.25">
      <c r="A35" s="171"/>
      <c r="B35" s="170"/>
      <c r="C35" s="219"/>
      <c r="D35" s="130" t="s">
        <v>566</v>
      </c>
      <c r="E35" s="47" t="s">
        <v>382</v>
      </c>
      <c r="F35">
        <f>+VLOOKUP($E35,Hybrid!$1:$1048576,F$2,FALSE)</f>
        <v>2358.2744779999998</v>
      </c>
      <c r="G35">
        <f>+VLOOKUP($E35,Hybrid!$1:$1048576,G$2,FALSE)</f>
        <v>2326.3078700000001</v>
      </c>
      <c r="H35">
        <f>+VLOOKUP($E35,Hybrid!$1:$1048576,H$2,FALSE)</f>
        <v>2298.1903590000002</v>
      </c>
      <c r="I35">
        <f>+VLOOKUP($E35,Hybrid!$1:$1048576,I$2,FALSE)</f>
        <v>2272.5717709999999</v>
      </c>
      <c r="J35">
        <f>+VLOOKUP($E35,Hybrid!$1:$1048576,J$2,FALSE)</f>
        <v>2248.5515999999998</v>
      </c>
      <c r="K35">
        <f>+VLOOKUP($E35,Hybrid!$1:$1048576,K$2,FALSE)</f>
        <v>2225.5139140000001</v>
      </c>
      <c r="L35">
        <f>+VLOOKUP($E35,Hybrid!$1:$1048576,L$2,FALSE)</f>
        <v>2203.023839</v>
      </c>
      <c r="M35">
        <f>+VLOOKUP($E35,Hybrid!$1:$1048576,M$2,FALSE)</f>
        <v>2180.7639549999999</v>
      </c>
      <c r="N35">
        <f>+VLOOKUP($E35,Hybrid!$1:$1048576,N$2,FALSE)</f>
        <v>2158.4955650000002</v>
      </c>
      <c r="O35">
        <f>+VLOOKUP($E35,Hybrid!$1:$1048576,O$2,FALSE)</f>
        <v>2136.0350469999998</v>
      </c>
      <c r="P35">
        <f>+VLOOKUP($E35,Hybrid!$1:$1048576,P$2,FALSE)</f>
        <v>2113.2391520000001</v>
      </c>
      <c r="Q35">
        <f>+VLOOKUP($E35,Hybrid!$1:$1048576,Q$2,FALSE)</f>
        <v>2089.9955719999998</v>
      </c>
      <c r="R35">
        <f>+VLOOKUP($E35,Hybrid!$1:$1048576,R$2,FALSE)</f>
        <v>2066.2166120000002</v>
      </c>
      <c r="S35">
        <f>+VLOOKUP($E35,Hybrid!$1:$1048576,S$2,FALSE)</f>
        <v>2041.834726</v>
      </c>
      <c r="T35">
        <f>+VLOOKUP($E35,Hybrid!$1:$1048576,T$2,FALSE)</f>
        <v>2016.799209</v>
      </c>
      <c r="U35">
        <f>+VLOOKUP($E35,Hybrid!$1:$1048576,U$2,FALSE)</f>
        <v>1991.0736569999999</v>
      </c>
      <c r="V35">
        <f>+VLOOKUP($E35,Hybrid!$1:$1048576,V$2,FALSE)</f>
        <v>1964.6339390000001</v>
      </c>
      <c r="W35">
        <f>+VLOOKUP($E35,Hybrid!$1:$1048576,W$2,FALSE)</f>
        <v>1937.4665560000001</v>
      </c>
      <c r="X35">
        <f>+VLOOKUP($E35,Hybrid!$1:$1048576,X$2,FALSE)</f>
        <v>1909.5672770000001</v>
      </c>
      <c r="Y35">
        <f>+VLOOKUP($E35,Hybrid!$1:$1048576,Y$2,FALSE)</f>
        <v>1880.9399940000001</v>
      </c>
      <c r="Z35">
        <f>+VLOOKUP($E35,Hybrid!$1:$1048576,Z$2,FALSE)</f>
        <v>1851.595738</v>
      </c>
      <c r="AA35">
        <f>+VLOOKUP($E35,Hybrid!$1:$1048576,AA$2,FALSE)</f>
        <v>1821.5518219999999</v>
      </c>
      <c r="AB35">
        <f>+VLOOKUP($E35,Hybrid!$1:$1048576,AB$2,FALSE)</f>
        <v>1790.8310879999999</v>
      </c>
      <c r="AC35">
        <f>+VLOOKUP($E35,Hybrid!$1:$1048576,AC$2,FALSE)</f>
        <v>1759.4612159999999</v>
      </c>
      <c r="AD35">
        <f>+VLOOKUP($E35,Hybrid!$1:$1048576,AD$2,FALSE)</f>
        <v>1727.4741120000001</v>
      </c>
      <c r="AE35">
        <f>+VLOOKUP($E35,Hybrid!$1:$1048576,AE$2,FALSE)</f>
        <v>1694.9053369999999</v>
      </c>
      <c r="AF35">
        <f>+VLOOKUP($E35,Hybrid!$1:$1048576,AF$2,FALSE)</f>
        <v>1661.7935769999999</v>
      </c>
      <c r="AG35">
        <f>+VLOOKUP($E35,Hybrid!$1:$1048576,AG$2,FALSE)</f>
        <v>1628.1801620000001</v>
      </c>
      <c r="AH35">
        <f>+VLOOKUP($E35,Hybrid!$1:$1048576,AH$2,FALSE)</f>
        <v>1594.1086150000001</v>
      </c>
      <c r="AI35">
        <f>+VLOOKUP($E35,Hybrid!$1:$1048576,AI$2,FALSE)</f>
        <v>1559.624239</v>
      </c>
      <c r="AJ35">
        <f>+VLOOKUP($E35,Hybrid!$1:$1048576,AJ$2,FALSE)</f>
        <v>1524.773735</v>
      </c>
      <c r="AK35">
        <f>+VLOOKUP($E35,Hybrid!$1:$1048576,AK$2,FALSE)</f>
        <v>1489.604855</v>
      </c>
      <c r="AL35">
        <f>+VLOOKUP($E35,Hybrid!$1:$1048576,AL$2,FALSE)</f>
        <v>1454.1660850000001</v>
      </c>
    </row>
    <row r="36" spans="1:38" ht="15" customHeight="1" x14ac:dyDescent="0.25">
      <c r="A36" s="171"/>
      <c r="B36" s="170"/>
      <c r="C36" s="219"/>
      <c r="D36" s="130" t="s">
        <v>567</v>
      </c>
      <c r="E36" s="47" t="s">
        <v>383</v>
      </c>
      <c r="F36">
        <f>+VLOOKUP($E36,Hybrid!$1:$1048576,F$2,FALSE)</f>
        <v>1157.3994600000001</v>
      </c>
      <c r="G36">
        <f>+VLOOKUP($E36,Hybrid!$1:$1048576,G$2,FALSE)</f>
        <v>1133.082864</v>
      </c>
      <c r="H36">
        <f>+VLOOKUP($E36,Hybrid!$1:$1048576,H$2,FALSE)</f>
        <v>1108.924158</v>
      </c>
      <c r="I36">
        <f>+VLOOKUP($E36,Hybrid!$1:$1048576,I$2,FALSE)</f>
        <v>1084.4505790000001</v>
      </c>
      <c r="J36">
        <f>+VLOOKUP($E36,Hybrid!$1:$1048576,J$2,FALSE)</f>
        <v>1059.4277460000001</v>
      </c>
      <c r="K36">
        <f>+VLOOKUP($E36,Hybrid!$1:$1048576,K$2,FALSE)</f>
        <v>1033.760544</v>
      </c>
      <c r="L36">
        <f>+VLOOKUP($E36,Hybrid!$1:$1048576,L$2,FALSE)</f>
        <v>1007.434588</v>
      </c>
      <c r="M36">
        <f>+VLOOKUP($E36,Hybrid!$1:$1048576,M$2,FALSE)</f>
        <v>980.48231669999996</v>
      </c>
      <c r="N36">
        <f>+VLOOKUP($E36,Hybrid!$1:$1048576,N$2,FALSE)</f>
        <v>952.96343330000002</v>
      </c>
      <c r="O36">
        <f>+VLOOKUP($E36,Hybrid!$1:$1048576,O$2,FALSE)</f>
        <v>924.95350269999994</v>
      </c>
      <c r="P36">
        <f>+VLOOKUP($E36,Hybrid!$1:$1048576,P$2,FALSE)</f>
        <v>896.53710699999999</v>
      </c>
      <c r="Q36">
        <f>+VLOOKUP($E36,Hybrid!$1:$1048576,Q$2,FALSE)</f>
        <v>867.80354409999995</v>
      </c>
      <c r="R36">
        <f>+VLOOKUP($E36,Hybrid!$1:$1048576,R$2,FALSE)</f>
        <v>838.84397420000005</v>
      </c>
      <c r="S36">
        <f>+VLOOKUP($E36,Hybrid!$1:$1048576,S$2,FALSE)</f>
        <v>809.74942620000002</v>
      </c>
      <c r="T36">
        <f>+VLOOKUP($E36,Hybrid!$1:$1048576,T$2,FALSE)</f>
        <v>780.60934850000001</v>
      </c>
      <c r="U36">
        <f>+VLOOKUP($E36,Hybrid!$1:$1048576,U$2,FALSE)</f>
        <v>751.51053019999995</v>
      </c>
      <c r="V36">
        <f>+VLOOKUP($E36,Hybrid!$1:$1048576,V$2,FALSE)</f>
        <v>722.53628949999995</v>
      </c>
      <c r="W36">
        <f>+VLOOKUP($E36,Hybrid!$1:$1048576,W$2,FALSE)</f>
        <v>693.76586459999999</v>
      </c>
      <c r="X36">
        <f>+VLOOKUP($E36,Hybrid!$1:$1048576,X$2,FALSE)</f>
        <v>665.27396150000004</v>
      </c>
      <c r="Y36">
        <f>+VLOOKUP($E36,Hybrid!$1:$1048576,Y$2,FALSE)</f>
        <v>637.13042619999999</v>
      </c>
      <c r="Z36">
        <f>+VLOOKUP($E36,Hybrid!$1:$1048576,Z$2,FALSE)</f>
        <v>609.40001570000004</v>
      </c>
      <c r="AA36">
        <f>+VLOOKUP($E36,Hybrid!$1:$1048576,AA$2,FALSE)</f>
        <v>582.14224999999999</v>
      </c>
      <c r="AB36">
        <f>+VLOOKUP($E36,Hybrid!$1:$1048576,AB$2,FALSE)</f>
        <v>555.41133009999999</v>
      </c>
      <c r="AC36">
        <f>+VLOOKUP($E36,Hybrid!$1:$1048576,AC$2,FALSE)</f>
        <v>529.25611179999999</v>
      </c>
      <c r="AD36">
        <f>+VLOOKUP($E36,Hybrid!$1:$1048576,AD$2,FALSE)</f>
        <v>503.72012810000001</v>
      </c>
      <c r="AE36">
        <f>+VLOOKUP($E36,Hybrid!$1:$1048576,AE$2,FALSE)</f>
        <v>478.8416527</v>
      </c>
      <c r="AF36">
        <f>+VLOOKUP($E36,Hybrid!$1:$1048576,AF$2,FALSE)</f>
        <v>454.6538008</v>
      </c>
      <c r="AG36">
        <f>+VLOOKUP($E36,Hybrid!$1:$1048576,AG$2,FALSE)</f>
        <v>431.184662</v>
      </c>
      <c r="AH36">
        <f>+VLOOKUP($E36,Hybrid!$1:$1048576,AH$2,FALSE)</f>
        <v>408.4574624</v>
      </c>
      <c r="AI36">
        <f>+VLOOKUP($E36,Hybrid!$1:$1048576,AI$2,FALSE)</f>
        <v>386.49075110000001</v>
      </c>
      <c r="AJ36">
        <f>+VLOOKUP($E36,Hybrid!$1:$1048576,AJ$2,FALSE)</f>
        <v>365.2986085</v>
      </c>
      <c r="AK36">
        <f>+VLOOKUP($E36,Hybrid!$1:$1048576,AK$2,FALSE)</f>
        <v>344.89087239999998</v>
      </c>
      <c r="AL36">
        <f>+VLOOKUP($E36,Hybrid!$1:$1048576,AL$2,FALSE)</f>
        <v>325.27337849999998</v>
      </c>
    </row>
    <row r="37" spans="1:38" ht="15" customHeight="1" x14ac:dyDescent="0.25">
      <c r="A37" s="171"/>
      <c r="B37" s="170"/>
      <c r="C37" s="219"/>
      <c r="D37" s="130" t="s">
        <v>568</v>
      </c>
      <c r="E37" s="47" t="s">
        <v>384</v>
      </c>
      <c r="F37">
        <f>+VLOOKUP($E37,Hybrid!$1:$1048576,F$2,FALSE)</f>
        <v>2084.5006480000002</v>
      </c>
      <c r="G37">
        <f>+VLOOKUP($E37,Hybrid!$1:$1048576,G$2,FALSE)</f>
        <v>2034.5554790000001</v>
      </c>
      <c r="H37">
        <f>+VLOOKUP($E37,Hybrid!$1:$1048576,H$2,FALSE)</f>
        <v>1982.1610049999999</v>
      </c>
      <c r="I37">
        <f>+VLOOKUP($E37,Hybrid!$1:$1048576,I$2,FALSE)</f>
        <v>1926.93686</v>
      </c>
      <c r="J37">
        <f>+VLOOKUP($E37,Hybrid!$1:$1048576,J$2,FALSE)</f>
        <v>1868.9489080000001</v>
      </c>
      <c r="K37">
        <f>+VLOOKUP($E37,Hybrid!$1:$1048576,K$2,FALSE)</f>
        <v>1808.492602</v>
      </c>
      <c r="L37">
        <f>+VLOOKUP($E37,Hybrid!$1:$1048576,L$2,FALSE)</f>
        <v>1745.9712300000001</v>
      </c>
      <c r="M37">
        <f>+VLOOKUP($E37,Hybrid!$1:$1048576,M$2,FALSE)</f>
        <v>1681.829168</v>
      </c>
      <c r="N37">
        <f>+VLOOKUP($E37,Hybrid!$1:$1048576,N$2,FALSE)</f>
        <v>1616.515836</v>
      </c>
      <c r="O37">
        <f>+VLOOKUP($E37,Hybrid!$1:$1048576,O$2,FALSE)</f>
        <v>1550.466347</v>
      </c>
      <c r="P37">
        <f>+VLOOKUP($E37,Hybrid!$1:$1048576,P$2,FALSE)</f>
        <v>1484.0911450000001</v>
      </c>
      <c r="Q37">
        <f>+VLOOKUP($E37,Hybrid!$1:$1048576,Q$2,FALSE)</f>
        <v>1417.7705080000001</v>
      </c>
      <c r="R37">
        <f>+VLOOKUP($E37,Hybrid!$1:$1048576,R$2,FALSE)</f>
        <v>1351.8517790000001</v>
      </c>
      <c r="S37">
        <f>+VLOOKUP($E37,Hybrid!$1:$1048576,S$2,FALSE)</f>
        <v>1286.6482120000001</v>
      </c>
      <c r="T37">
        <f>+VLOOKUP($E37,Hybrid!$1:$1048576,T$2,FALSE)</f>
        <v>1222.4388469999999</v>
      </c>
      <c r="U37">
        <f>+VLOOKUP($E37,Hybrid!$1:$1048576,U$2,FALSE)</f>
        <v>1159.4690720000001</v>
      </c>
      <c r="V37">
        <f>+VLOOKUP($E37,Hybrid!$1:$1048576,V$2,FALSE)</f>
        <v>1097.951673</v>
      </c>
      <c r="W37">
        <f>+VLOOKUP($E37,Hybrid!$1:$1048576,W$2,FALSE)</f>
        <v>1038.0682320000001</v>
      </c>
      <c r="X37">
        <f>+VLOOKUP($E37,Hybrid!$1:$1048576,X$2,FALSE)</f>
        <v>979.97076800000002</v>
      </c>
      <c r="Y37">
        <f>+VLOOKUP($E37,Hybrid!$1:$1048576,Y$2,FALSE)</f>
        <v>923.78353949999996</v>
      </c>
      <c r="Z37">
        <f>+VLOOKUP($E37,Hybrid!$1:$1048576,Z$2,FALSE)</f>
        <v>869.6049567</v>
      </c>
      <c r="AA37">
        <f>+VLOOKUP($E37,Hybrid!$1:$1048576,AA$2,FALSE)</f>
        <v>817.50954709999996</v>
      </c>
      <c r="AB37">
        <f>+VLOOKUP($E37,Hybrid!$1:$1048576,AB$2,FALSE)</f>
        <v>767.54994399999998</v>
      </c>
      <c r="AC37">
        <f>+VLOOKUP($E37,Hybrid!$1:$1048576,AC$2,FALSE)</f>
        <v>719.75886479999997</v>
      </c>
      <c r="AD37">
        <f>+VLOOKUP($E37,Hybrid!$1:$1048576,AD$2,FALSE)</f>
        <v>674.1510591</v>
      </c>
      <c r="AE37">
        <f>+VLOOKUP($E37,Hybrid!$1:$1048576,AE$2,FALSE)</f>
        <v>630.72520759999998</v>
      </c>
      <c r="AF37">
        <f>+VLOOKUP($E37,Hybrid!$1:$1048576,AF$2,FALSE)</f>
        <v>589.4657555</v>
      </c>
      <c r="AG37">
        <f>+VLOOKUP($E37,Hybrid!$1:$1048576,AG$2,FALSE)</f>
        <v>550.34467140000004</v>
      </c>
      <c r="AH37">
        <f>+VLOOKUP($E37,Hybrid!$1:$1048576,AH$2,FALSE)</f>
        <v>513.32311849999996</v>
      </c>
      <c r="AI37">
        <f>+VLOOKUP($E37,Hybrid!$1:$1048576,AI$2,FALSE)</f>
        <v>478.3530331</v>
      </c>
      <c r="AJ37">
        <f>+VLOOKUP($E37,Hybrid!$1:$1048576,AJ$2,FALSE)</f>
        <v>445.37860369999999</v>
      </c>
      <c r="AK37">
        <f>+VLOOKUP($E37,Hybrid!$1:$1048576,AK$2,FALSE)</f>
        <v>414.33764600000001</v>
      </c>
      <c r="AL37">
        <f>+VLOOKUP($E37,Hybrid!$1:$1048576,AL$2,FALSE)</f>
        <v>385.16287219999998</v>
      </c>
    </row>
    <row r="38" spans="1:38" s="115" customFormat="1" ht="15" customHeight="1" x14ac:dyDescent="0.25">
      <c r="A38" s="171"/>
      <c r="B38" s="170"/>
      <c r="C38" s="128" t="s">
        <v>867</v>
      </c>
      <c r="D38" s="129"/>
      <c r="E38" s="93" t="s">
        <v>385</v>
      </c>
      <c r="F38" s="115">
        <f>+VLOOKUP($E38,Hybrid!$1:$1048576,F$2,FALSE)</f>
        <v>99.823967240000002</v>
      </c>
      <c r="G38" s="115">
        <f>+VLOOKUP($E38,Hybrid!$1:$1048576,G$2,FALSE)</f>
        <v>118.71771630000001</v>
      </c>
      <c r="H38" s="115">
        <f>+VLOOKUP($E38,Hybrid!$1:$1048576,H$2,FALSE)</f>
        <v>137.45419670000001</v>
      </c>
      <c r="I38" s="115">
        <f>+VLOOKUP($E38,Hybrid!$1:$1048576,I$2,FALSE)</f>
        <v>155.92054479999999</v>
      </c>
      <c r="J38" s="115">
        <f>+VLOOKUP($E38,Hybrid!$1:$1048576,J$2,FALSE)</f>
        <v>174.05323809999999</v>
      </c>
      <c r="K38" s="115">
        <f>+VLOOKUP($E38,Hybrid!$1:$1048576,K$2,FALSE)</f>
        <v>191.819312</v>
      </c>
      <c r="L38" s="115">
        <f>+VLOOKUP($E38,Hybrid!$1:$1048576,L$2,FALSE)</f>
        <v>209.20456300000001</v>
      </c>
      <c r="M38" s="115">
        <f>+VLOOKUP($E38,Hybrid!$1:$1048576,M$2,FALSE)</f>
        <v>226.20631040000001</v>
      </c>
      <c r="N38" s="115">
        <f>+VLOOKUP($E38,Hybrid!$1:$1048576,N$2,FALSE)</f>
        <v>242.8290054</v>
      </c>
      <c r="O38" s="115">
        <f>+VLOOKUP($E38,Hybrid!$1:$1048576,O$2,FALSE)</f>
        <v>259.08157080000001</v>
      </c>
      <c r="P38" s="115">
        <f>+VLOOKUP($E38,Hybrid!$1:$1048576,P$2,FALSE)</f>
        <v>274.9757745</v>
      </c>
      <c r="Q38" s="115">
        <f>+VLOOKUP($E38,Hybrid!$1:$1048576,Q$2,FALSE)</f>
        <v>290.52522199999999</v>
      </c>
      <c r="R38" s="115">
        <f>+VLOOKUP($E38,Hybrid!$1:$1048576,R$2,FALSE)</f>
        <v>305.74471920000002</v>
      </c>
      <c r="S38" s="115">
        <f>+VLOOKUP($E38,Hybrid!$1:$1048576,S$2,FALSE)</f>
        <v>320.64986579999999</v>
      </c>
      <c r="T38" s="115">
        <f>+VLOOKUP($E38,Hybrid!$1:$1048576,T$2,FALSE)</f>
        <v>335.25679709999997</v>
      </c>
      <c r="U38" s="115">
        <f>+VLOOKUP($E38,Hybrid!$1:$1048576,U$2,FALSE)</f>
        <v>349.58202449999999</v>
      </c>
      <c r="V38" s="115">
        <f>+VLOOKUP($E38,Hybrid!$1:$1048576,V$2,FALSE)</f>
        <v>363.64234420000003</v>
      </c>
      <c r="W38" s="115">
        <f>+VLOOKUP($E38,Hybrid!$1:$1048576,W$2,FALSE)</f>
        <v>377.45479499999999</v>
      </c>
      <c r="X38" s="115">
        <f>+VLOOKUP($E38,Hybrid!$1:$1048576,X$2,FALSE)</f>
        <v>391.03665089999998</v>
      </c>
      <c r="Y38" s="115">
        <f>+VLOOKUP($E38,Hybrid!$1:$1048576,Y$2,FALSE)</f>
        <v>404.40544</v>
      </c>
      <c r="Z38" s="115">
        <f>+VLOOKUP($E38,Hybrid!$1:$1048576,Z$2,FALSE)</f>
        <v>417.57898280000001</v>
      </c>
      <c r="AA38" s="115">
        <f>+VLOOKUP($E38,Hybrid!$1:$1048576,AA$2,FALSE)</f>
        <v>430.57544489999998</v>
      </c>
      <c r="AB38" s="115">
        <f>+VLOOKUP($E38,Hybrid!$1:$1048576,AB$2,FALSE)</f>
        <v>443.41340109999999</v>
      </c>
      <c r="AC38" s="115">
        <f>+VLOOKUP($E38,Hybrid!$1:$1048576,AC$2,FALSE)</f>
        <v>456.11190629999999</v>
      </c>
      <c r="AD38" s="115">
        <f>+VLOOKUP($E38,Hybrid!$1:$1048576,AD$2,FALSE)</f>
        <v>468.69057370000002</v>
      </c>
      <c r="AE38" s="115">
        <f>+VLOOKUP($E38,Hybrid!$1:$1048576,AE$2,FALSE)</f>
        <v>481.16965679999998</v>
      </c>
      <c r="AF38" s="115">
        <f>+VLOOKUP($E38,Hybrid!$1:$1048576,AF$2,FALSE)</f>
        <v>493.57013669999998</v>
      </c>
      <c r="AG38" s="115">
        <f>+VLOOKUP($E38,Hybrid!$1:$1048576,AG$2,FALSE)</f>
        <v>505.91381250000001</v>
      </c>
      <c r="AH38" s="115">
        <f>+VLOOKUP($E38,Hybrid!$1:$1048576,AH$2,FALSE)</f>
        <v>518.22339710000006</v>
      </c>
      <c r="AI38" s="115">
        <f>+VLOOKUP($E38,Hybrid!$1:$1048576,AI$2,FALSE)</f>
        <v>530.5226169</v>
      </c>
      <c r="AJ38" s="115">
        <f>+VLOOKUP($E38,Hybrid!$1:$1048576,AJ$2,FALSE)</f>
        <v>542.83631739999998</v>
      </c>
      <c r="AK38" s="115">
        <f>+VLOOKUP($E38,Hybrid!$1:$1048576,AK$2,FALSE)</f>
        <v>555.19057529999998</v>
      </c>
      <c r="AL38" s="115">
        <f>+VLOOKUP($E38,Hybrid!$1:$1048576,AL$2,FALSE)</f>
        <v>567.61281750000001</v>
      </c>
    </row>
    <row r="39" spans="1:38" ht="15" customHeight="1" x14ac:dyDescent="0.25">
      <c r="A39" s="171"/>
      <c r="B39" s="170"/>
      <c r="C39" s="219"/>
      <c r="D39" s="130" t="s">
        <v>562</v>
      </c>
      <c r="E39" s="47" t="s">
        <v>386</v>
      </c>
      <c r="F39">
        <f>+VLOOKUP($E39,Hybrid!$1:$1048576,F$2,FALSE)</f>
        <v>26.012772640000001</v>
      </c>
      <c r="G39">
        <f>+VLOOKUP($E39,Hybrid!$1:$1048576,G$2,FALSE)</f>
        <v>31.67694968</v>
      </c>
      <c r="H39">
        <f>+VLOOKUP($E39,Hybrid!$1:$1048576,H$2,FALSE)</f>
        <v>37.362607220000001</v>
      </c>
      <c r="I39">
        <f>+VLOOKUP($E39,Hybrid!$1:$1048576,I$2,FALSE)</f>
        <v>43.037132409999998</v>
      </c>
      <c r="J39">
        <f>+VLOOKUP($E39,Hybrid!$1:$1048576,J$2,FALSE)</f>
        <v>48.681062070000003</v>
      </c>
      <c r="K39">
        <f>+VLOOKUP($E39,Hybrid!$1:$1048576,K$2,FALSE)</f>
        <v>54.283284770000002</v>
      </c>
      <c r="L39">
        <f>+VLOOKUP($E39,Hybrid!$1:$1048576,L$2,FALSE)</f>
        <v>59.837947139999997</v>
      </c>
      <c r="M39">
        <f>+VLOOKUP($E39,Hybrid!$1:$1048576,M$2,FALSE)</f>
        <v>65.342511110000004</v>
      </c>
      <c r="N39">
        <f>+VLOOKUP($E39,Hybrid!$1:$1048576,N$2,FALSE)</f>
        <v>70.796552160000005</v>
      </c>
      <c r="O39">
        <f>+VLOOKUP($E39,Hybrid!$1:$1048576,O$2,FALSE)</f>
        <v>76.201020200000002</v>
      </c>
      <c r="P39">
        <f>+VLOOKUP($E39,Hybrid!$1:$1048576,P$2,FALSE)</f>
        <v>81.557783619999995</v>
      </c>
      <c r="Q39">
        <f>+VLOOKUP($E39,Hybrid!$1:$1048576,Q$2,FALSE)</f>
        <v>86.869346559999997</v>
      </c>
      <c r="R39">
        <f>+VLOOKUP($E39,Hybrid!$1:$1048576,R$2,FALSE)</f>
        <v>92.138671560000006</v>
      </c>
      <c r="S39">
        <f>+VLOOKUP($E39,Hybrid!$1:$1048576,S$2,FALSE)</f>
        <v>97.369068650000003</v>
      </c>
      <c r="T39">
        <f>+VLOOKUP($E39,Hybrid!$1:$1048576,T$2,FALSE)</f>
        <v>102.5641272</v>
      </c>
      <c r="U39">
        <f>+VLOOKUP($E39,Hybrid!$1:$1048576,U$2,FALSE)</f>
        <v>107.7276766</v>
      </c>
      <c r="V39">
        <f>+VLOOKUP($E39,Hybrid!$1:$1048576,V$2,FALSE)</f>
        <v>112.8637671</v>
      </c>
      <c r="W39">
        <f>+VLOOKUP($E39,Hybrid!$1:$1048576,W$2,FALSE)</f>
        <v>117.9766642</v>
      </c>
      <c r="X39">
        <f>+VLOOKUP($E39,Hybrid!$1:$1048576,X$2,FALSE)</f>
        <v>123.0708537</v>
      </c>
      <c r="Y39">
        <f>+VLOOKUP($E39,Hybrid!$1:$1048576,Y$2,FALSE)</f>
        <v>128.1510553</v>
      </c>
      <c r="Z39">
        <f>+VLOOKUP($E39,Hybrid!$1:$1048576,Z$2,FALSE)</f>
        <v>133.22224080000001</v>
      </c>
      <c r="AA39">
        <f>+VLOOKUP($E39,Hybrid!$1:$1048576,AA$2,FALSE)</f>
        <v>138.2896585</v>
      </c>
      <c r="AB39">
        <f>+VLOOKUP($E39,Hybrid!$1:$1048576,AB$2,FALSE)</f>
        <v>143.3588603</v>
      </c>
      <c r="AC39">
        <f>+VLOOKUP($E39,Hybrid!$1:$1048576,AC$2,FALSE)</f>
        <v>148.43573280000001</v>
      </c>
      <c r="AD39">
        <f>+VLOOKUP($E39,Hybrid!$1:$1048576,AD$2,FALSE)</f>
        <v>153.52652990000001</v>
      </c>
      <c r="AE39">
        <f>+VLOOKUP($E39,Hybrid!$1:$1048576,AE$2,FALSE)</f>
        <v>158.63790850000001</v>
      </c>
      <c r="AF39">
        <f>+VLOOKUP($E39,Hybrid!$1:$1048576,AF$2,FALSE)</f>
        <v>163.7769668</v>
      </c>
      <c r="AG39">
        <f>+VLOOKUP($E39,Hybrid!$1:$1048576,AG$2,FALSE)</f>
        <v>168.95128389999999</v>
      </c>
      <c r="AH39">
        <f>+VLOOKUP($E39,Hybrid!$1:$1048576,AH$2,FALSE)</f>
        <v>174.1689633</v>
      </c>
      <c r="AI39">
        <f>+VLOOKUP($E39,Hybrid!$1:$1048576,AI$2,FALSE)</f>
        <v>179.43867850000001</v>
      </c>
      <c r="AJ39">
        <f>+VLOOKUP($E39,Hybrid!$1:$1048576,AJ$2,FALSE)</f>
        <v>184.7697221</v>
      </c>
      <c r="AK39">
        <f>+VLOOKUP($E39,Hybrid!$1:$1048576,AK$2,FALSE)</f>
        <v>190.1720593</v>
      </c>
      <c r="AL39">
        <f>+VLOOKUP($E39,Hybrid!$1:$1048576,AL$2,FALSE)</f>
        <v>195.65638519999999</v>
      </c>
    </row>
    <row r="40" spans="1:38" ht="15" customHeight="1" x14ac:dyDescent="0.25">
      <c r="A40" s="171"/>
      <c r="B40" s="170"/>
      <c r="C40" s="219"/>
      <c r="D40" s="130" t="s">
        <v>563</v>
      </c>
      <c r="E40" s="47" t="s">
        <v>387</v>
      </c>
      <c r="F40">
        <f>+VLOOKUP($E40,Hybrid!$1:$1048576,F$2,FALSE)</f>
        <v>26.687145130000001</v>
      </c>
      <c r="G40">
        <f>+VLOOKUP($E40,Hybrid!$1:$1048576,G$2,FALSE)</f>
        <v>32.010429279999997</v>
      </c>
      <c r="H40">
        <f>+VLOOKUP($E40,Hybrid!$1:$1048576,H$2,FALSE)</f>
        <v>37.342129300000003</v>
      </c>
      <c r="I40">
        <f>+VLOOKUP($E40,Hybrid!$1:$1048576,I$2,FALSE)</f>
        <v>42.650406009999998</v>
      </c>
      <c r="J40">
        <f>+VLOOKUP($E40,Hybrid!$1:$1048576,J$2,FALSE)</f>
        <v>47.916153549999997</v>
      </c>
      <c r="K40">
        <f>+VLOOKUP($E40,Hybrid!$1:$1048576,K$2,FALSE)</f>
        <v>53.128303359999997</v>
      </c>
      <c r="L40">
        <f>+VLOOKUP($E40,Hybrid!$1:$1048576,L$2,FALSE)</f>
        <v>58.280818070000002</v>
      </c>
      <c r="M40">
        <f>+VLOOKUP($E40,Hybrid!$1:$1048576,M$2,FALSE)</f>
        <v>63.370816159999997</v>
      </c>
      <c r="N40">
        <f>+VLOOKUP($E40,Hybrid!$1:$1048576,N$2,FALSE)</f>
        <v>68.397418049999999</v>
      </c>
      <c r="O40">
        <f>+VLOOKUP($E40,Hybrid!$1:$1048576,O$2,FALSE)</f>
        <v>73.361038930000007</v>
      </c>
      <c r="P40">
        <f>+VLOOKUP($E40,Hybrid!$1:$1048576,P$2,FALSE)</f>
        <v>78.262953139999993</v>
      </c>
      <c r="Q40">
        <f>+VLOOKUP($E40,Hybrid!$1:$1048576,Q$2,FALSE)</f>
        <v>83.105023459999998</v>
      </c>
      <c r="R40">
        <f>+VLOOKUP($E40,Hybrid!$1:$1048576,R$2,FALSE)</f>
        <v>87.889530539999996</v>
      </c>
      <c r="S40">
        <f>+VLOOKUP($E40,Hybrid!$1:$1048576,S$2,FALSE)</f>
        <v>92.619065109999994</v>
      </c>
      <c r="T40">
        <f>+VLOOKUP($E40,Hybrid!$1:$1048576,T$2,FALSE)</f>
        <v>97.296460890000006</v>
      </c>
      <c r="U40">
        <f>+VLOOKUP($E40,Hybrid!$1:$1048576,U$2,FALSE)</f>
        <v>101.9247546</v>
      </c>
      <c r="V40">
        <f>+VLOOKUP($E40,Hybrid!$1:$1048576,V$2,FALSE)</f>
        <v>106.507165</v>
      </c>
      <c r="W40">
        <f>+VLOOKUP($E40,Hybrid!$1:$1048576,W$2,FALSE)</f>
        <v>111.0470847</v>
      </c>
      <c r="X40">
        <f>+VLOOKUP($E40,Hybrid!$1:$1048576,X$2,FALSE)</f>
        <v>115.5480821</v>
      </c>
      <c r="Y40">
        <f>+VLOOKUP($E40,Hybrid!$1:$1048576,Y$2,FALSE)</f>
        <v>120.0139095</v>
      </c>
      <c r="Z40">
        <f>+VLOOKUP($E40,Hybrid!$1:$1048576,Z$2,FALSE)</f>
        <v>124.4485177</v>
      </c>
      <c r="AA40">
        <f>+VLOOKUP($E40,Hybrid!$1:$1048576,AA$2,FALSE)</f>
        <v>128.85607329999999</v>
      </c>
      <c r="AB40">
        <f>+VLOOKUP($E40,Hybrid!$1:$1048576,AB$2,FALSE)</f>
        <v>133.2409796</v>
      </c>
      <c r="AC40">
        <f>+VLOOKUP($E40,Hybrid!$1:$1048576,AC$2,FALSE)</f>
        <v>137.607899</v>
      </c>
      <c r="AD40">
        <f>+VLOOKUP($E40,Hybrid!$1:$1048576,AD$2,FALSE)</f>
        <v>141.96177779999999</v>
      </c>
      <c r="AE40">
        <f>+VLOOKUP($E40,Hybrid!$1:$1048576,AE$2,FALSE)</f>
        <v>146.30787179999999</v>
      </c>
      <c r="AF40">
        <f>+VLOOKUP($E40,Hybrid!$1:$1048576,AF$2,FALSE)</f>
        <v>150.6517728</v>
      </c>
      <c r="AG40">
        <f>+VLOOKUP($E40,Hybrid!$1:$1048576,AG$2,FALSE)</f>
        <v>154.999437</v>
      </c>
      <c r="AH40">
        <f>+VLOOKUP($E40,Hybrid!$1:$1048576,AH$2,FALSE)</f>
        <v>159.35721409999999</v>
      </c>
      <c r="AI40">
        <f>+VLOOKUP($E40,Hybrid!$1:$1048576,AI$2,FALSE)</f>
        <v>163.7318784</v>
      </c>
      <c r="AJ40">
        <f>+VLOOKUP($E40,Hybrid!$1:$1048576,AJ$2,FALSE)</f>
        <v>168.13066079999999</v>
      </c>
      <c r="AK40">
        <f>+VLOOKUP($E40,Hybrid!$1:$1048576,AK$2,FALSE)</f>
        <v>172.5612836</v>
      </c>
      <c r="AL40">
        <f>+VLOOKUP($E40,Hybrid!$1:$1048576,AL$2,FALSE)</f>
        <v>177.03199749999999</v>
      </c>
    </row>
    <row r="41" spans="1:38" ht="15" customHeight="1" x14ac:dyDescent="0.25">
      <c r="A41" s="171"/>
      <c r="B41" s="170"/>
      <c r="C41" s="219"/>
      <c r="D41" s="130" t="s">
        <v>564</v>
      </c>
      <c r="E41" s="47" t="s">
        <v>388</v>
      </c>
      <c r="F41">
        <f>+VLOOKUP($E41,Hybrid!$1:$1048576,F$2,FALSE)</f>
        <v>19.745033970000001</v>
      </c>
      <c r="G41">
        <f>+VLOOKUP($E41,Hybrid!$1:$1048576,G$2,FALSE)</f>
        <v>23.347366480000002</v>
      </c>
      <c r="H41">
        <f>+VLOOKUP($E41,Hybrid!$1:$1048576,H$2,FALSE)</f>
        <v>26.947438290000001</v>
      </c>
      <c r="I41">
        <f>+VLOOKUP($E41,Hybrid!$1:$1048576,I$2,FALSE)</f>
        <v>30.522893849999999</v>
      </c>
      <c r="J41">
        <f>+VLOOKUP($E41,Hybrid!$1:$1048576,J$2,FALSE)</f>
        <v>34.060268610000001</v>
      </c>
      <c r="K41">
        <f>+VLOOKUP($E41,Hybrid!$1:$1048576,K$2,FALSE)</f>
        <v>37.551677079999997</v>
      </c>
      <c r="L41">
        <f>+VLOOKUP($E41,Hybrid!$1:$1048576,L$2,FALSE)</f>
        <v>40.992707719999999</v>
      </c>
      <c r="M41">
        <f>+VLOOKUP($E41,Hybrid!$1:$1048576,M$2,FALSE)</f>
        <v>44.381118090000001</v>
      </c>
      <c r="N41">
        <f>+VLOOKUP($E41,Hybrid!$1:$1048576,N$2,FALSE)</f>
        <v>47.716036359999997</v>
      </c>
      <c r="O41">
        <f>+VLOOKUP($E41,Hybrid!$1:$1048576,O$2,FALSE)</f>
        <v>50.997473849999999</v>
      </c>
      <c r="P41">
        <f>+VLOOKUP($E41,Hybrid!$1:$1048576,P$2,FALSE)</f>
        <v>54.226025239999998</v>
      </c>
      <c r="Q41">
        <f>+VLOOKUP($E41,Hybrid!$1:$1048576,Q$2,FALSE)</f>
        <v>57.402682130000002</v>
      </c>
      <c r="R41">
        <f>+VLOOKUP($E41,Hybrid!$1:$1048576,R$2,FALSE)</f>
        <v>60.528715060000003</v>
      </c>
      <c r="S41">
        <f>+VLOOKUP($E41,Hybrid!$1:$1048576,S$2,FALSE)</f>
        <v>63.605598559999997</v>
      </c>
      <c r="T41">
        <f>+VLOOKUP($E41,Hybrid!$1:$1048576,T$2,FALSE)</f>
        <v>66.634963760000005</v>
      </c>
      <c r="U41">
        <f>+VLOOKUP($E41,Hybrid!$1:$1048576,U$2,FALSE)</f>
        <v>69.618569719999996</v>
      </c>
      <c r="V41">
        <f>+VLOOKUP($E41,Hybrid!$1:$1048576,V$2,FALSE)</f>
        <v>72.558287469999996</v>
      </c>
      <c r="W41">
        <f>+VLOOKUP($E41,Hybrid!$1:$1048576,W$2,FALSE)</f>
        <v>75.456092889999994</v>
      </c>
      <c r="X41">
        <f>+VLOOKUP($E41,Hybrid!$1:$1048576,X$2,FALSE)</f>
        <v>78.314065979999995</v>
      </c>
      <c r="Y41">
        <f>+VLOOKUP($E41,Hybrid!$1:$1048576,Y$2,FALSE)</f>
        <v>81.13439468</v>
      </c>
      <c r="Z41">
        <f>+VLOOKUP($E41,Hybrid!$1:$1048576,Z$2,FALSE)</f>
        <v>83.919381950000002</v>
      </c>
      <c r="AA41">
        <f>+VLOOKUP($E41,Hybrid!$1:$1048576,AA$2,FALSE)</f>
        <v>86.671455140000006</v>
      </c>
      <c r="AB41">
        <f>+VLOOKUP($E41,Hybrid!$1:$1048576,AB$2,FALSE)</f>
        <v>89.393176929999996</v>
      </c>
      <c r="AC41">
        <f>+VLOOKUP($E41,Hybrid!$1:$1048576,AC$2,FALSE)</f>
        <v>92.087257199999996</v>
      </c>
      <c r="AD41">
        <f>+VLOOKUP($E41,Hybrid!$1:$1048576,AD$2,FALSE)</f>
        <v>94.756565589999994</v>
      </c>
      <c r="AE41">
        <f>+VLOOKUP($E41,Hybrid!$1:$1048576,AE$2,FALSE)</f>
        <v>97.404144360000004</v>
      </c>
      <c r="AF41">
        <f>+VLOOKUP($E41,Hybrid!$1:$1048576,AF$2,FALSE)</f>
        <v>100.0332216</v>
      </c>
      <c r="AG41">
        <f>+VLOOKUP($E41,Hybrid!$1:$1048576,AG$2,FALSE)</f>
        <v>102.6472243</v>
      </c>
      <c r="AH41">
        <f>+VLOOKUP($E41,Hybrid!$1:$1048576,AH$2,FALSE)</f>
        <v>105.2497925</v>
      </c>
      <c r="AI41">
        <f>+VLOOKUP($E41,Hybrid!$1:$1048576,AI$2,FALSE)</f>
        <v>107.8447925</v>
      </c>
      <c r="AJ41">
        <f>+VLOOKUP($E41,Hybrid!$1:$1048576,AJ$2,FALSE)</f>
        <v>110.43633149999999</v>
      </c>
      <c r="AK41">
        <f>+VLOOKUP($E41,Hybrid!$1:$1048576,AK$2,FALSE)</f>
        <v>113.0287725</v>
      </c>
      <c r="AL41">
        <f>+VLOOKUP($E41,Hybrid!$1:$1048576,AL$2,FALSE)</f>
        <v>115.6267496</v>
      </c>
    </row>
    <row r="42" spans="1:38" ht="15" customHeight="1" x14ac:dyDescent="0.25">
      <c r="A42" s="171"/>
      <c r="B42" s="170"/>
      <c r="C42" s="219"/>
      <c r="D42" s="130" t="s">
        <v>565</v>
      </c>
      <c r="E42" s="47" t="s">
        <v>389</v>
      </c>
      <c r="F42">
        <f>+VLOOKUP($E42,Hybrid!$1:$1048576,F$2,FALSE)</f>
        <v>11.343636529999999</v>
      </c>
      <c r="G42">
        <f>+VLOOKUP($E42,Hybrid!$1:$1048576,G$2,FALSE)</f>
        <v>13.239824179999999</v>
      </c>
      <c r="H42">
        <f>+VLOOKUP($E42,Hybrid!$1:$1048576,H$2,FALSE)</f>
        <v>15.10698481</v>
      </c>
      <c r="I42">
        <f>+VLOOKUP($E42,Hybrid!$1:$1048576,I$2,FALSE)</f>
        <v>16.931633550000001</v>
      </c>
      <c r="J42">
        <f>+VLOOKUP($E42,Hybrid!$1:$1048576,J$2,FALSE)</f>
        <v>18.70561438</v>
      </c>
      <c r="K42">
        <f>+VLOOKUP($E42,Hybrid!$1:$1048576,K$2,FALSE)</f>
        <v>20.42408696</v>
      </c>
      <c r="L42">
        <f>+VLOOKUP($E42,Hybrid!$1:$1048576,L$2,FALSE)</f>
        <v>22.084258550000001</v>
      </c>
      <c r="M42">
        <f>+VLOOKUP($E42,Hybrid!$1:$1048576,M$2,FALSE)</f>
        <v>23.684604849999999</v>
      </c>
      <c r="N42">
        <f>+VLOOKUP($E42,Hybrid!$1:$1048576,N$2,FALSE)</f>
        <v>25.224398170000001</v>
      </c>
      <c r="O42">
        <f>+VLOOKUP($E42,Hybrid!$1:$1048576,O$2,FALSE)</f>
        <v>26.703422979999999</v>
      </c>
      <c r="P42">
        <f>+VLOOKUP($E42,Hybrid!$1:$1048576,P$2,FALSE)</f>
        <v>28.121803239999998</v>
      </c>
      <c r="Q42">
        <f>+VLOOKUP($E42,Hybrid!$1:$1048576,Q$2,FALSE)</f>
        <v>29.479895930000001</v>
      </c>
      <c r="R42">
        <f>+VLOOKUP($E42,Hybrid!$1:$1048576,R$2,FALSE)</f>
        <v>30.778223629999999</v>
      </c>
      <c r="S42">
        <f>+VLOOKUP($E42,Hybrid!$1:$1048576,S$2,FALSE)</f>
        <v>32.017430560000001</v>
      </c>
      <c r="T42">
        <f>+VLOOKUP($E42,Hybrid!$1:$1048576,T$2,FALSE)</f>
        <v>33.198253119999997</v>
      </c>
      <c r="U42">
        <f>+VLOOKUP($E42,Hybrid!$1:$1048576,U$2,FALSE)</f>
        <v>34.321499789999997</v>
      </c>
      <c r="V42">
        <f>+VLOOKUP($E42,Hybrid!$1:$1048576,V$2,FALSE)</f>
        <v>35.388037150000002</v>
      </c>
      <c r="W42">
        <f>+VLOOKUP($E42,Hybrid!$1:$1048576,W$2,FALSE)</f>
        <v>36.398780209999998</v>
      </c>
      <c r="X42">
        <f>+VLOOKUP($E42,Hybrid!$1:$1048576,X$2,FALSE)</f>
        <v>37.354685549999999</v>
      </c>
      <c r="Y42">
        <f>+VLOOKUP($E42,Hybrid!$1:$1048576,Y$2,FALSE)</f>
        <v>38.256746649999997</v>
      </c>
      <c r="Z42">
        <f>+VLOOKUP($E42,Hybrid!$1:$1048576,Z$2,FALSE)</f>
        <v>39.105990560000002</v>
      </c>
      <c r="AA42">
        <f>+VLOOKUP($E42,Hybrid!$1:$1048576,AA$2,FALSE)</f>
        <v>39.903475469999997</v>
      </c>
      <c r="AB42">
        <f>+VLOOKUP($E42,Hybrid!$1:$1048576,AB$2,FALSE)</f>
        <v>40.650288830000001</v>
      </c>
      <c r="AC42">
        <f>+VLOOKUP($E42,Hybrid!$1:$1048576,AC$2,FALSE)</f>
        <v>41.347545820000001</v>
      </c>
      <c r="AD42">
        <f>+VLOOKUP($E42,Hybrid!$1:$1048576,AD$2,FALSE)</f>
        <v>41.996387830000003</v>
      </c>
      <c r="AE42">
        <f>+VLOOKUP($E42,Hybrid!$1:$1048576,AE$2,FALSE)</f>
        <v>42.597980939999999</v>
      </c>
      <c r="AF42">
        <f>+VLOOKUP($E42,Hybrid!$1:$1048576,AF$2,FALSE)</f>
        <v>43.153514319999999</v>
      </c>
      <c r="AG42">
        <f>+VLOOKUP($E42,Hybrid!$1:$1048576,AG$2,FALSE)</f>
        <v>43.664198550000002</v>
      </c>
      <c r="AH42">
        <f>+VLOOKUP($E42,Hybrid!$1:$1048576,AH$2,FALSE)</f>
        <v>44.13126372</v>
      </c>
      <c r="AI42">
        <f>+VLOOKUP($E42,Hybrid!$1:$1048576,AI$2,FALSE)</f>
        <v>44.555957579999998</v>
      </c>
      <c r="AJ42">
        <f>+VLOOKUP($E42,Hybrid!$1:$1048576,AJ$2,FALSE)</f>
        <v>44.939543489999998</v>
      </c>
      <c r="AK42">
        <f>+VLOOKUP($E42,Hybrid!$1:$1048576,AK$2,FALSE)</f>
        <v>45.283298440000003</v>
      </c>
      <c r="AL42">
        <f>+VLOOKUP($E42,Hybrid!$1:$1048576,AL$2,FALSE)</f>
        <v>45.588511019999999</v>
      </c>
    </row>
    <row r="43" spans="1:38" ht="15" customHeight="1" x14ac:dyDescent="0.25">
      <c r="A43" s="171"/>
      <c r="B43" s="170"/>
      <c r="C43" s="219"/>
      <c r="D43" s="130" t="s">
        <v>566</v>
      </c>
      <c r="E43" s="47" t="s">
        <v>390</v>
      </c>
      <c r="F43">
        <f>+VLOOKUP($E43,Hybrid!$1:$1048576,F$2,FALSE)</f>
        <v>6.8601644190000002</v>
      </c>
      <c r="G43">
        <f>+VLOOKUP($E43,Hybrid!$1:$1048576,G$2,FALSE)</f>
        <v>7.9881131219999997</v>
      </c>
      <c r="H43">
        <f>+VLOOKUP($E43,Hybrid!$1:$1048576,H$2,FALSE)</f>
        <v>9.0848797099999992</v>
      </c>
      <c r="I43">
        <f>+VLOOKUP($E43,Hybrid!$1:$1048576,I$2,FALSE)</f>
        <v>10.142320809999999</v>
      </c>
      <c r="J43">
        <f>+VLOOKUP($E43,Hybrid!$1:$1048576,J$2,FALSE)</f>
        <v>11.15573262</v>
      </c>
      <c r="K43">
        <f>+VLOOKUP($E43,Hybrid!$1:$1048576,K$2,FALSE)</f>
        <v>12.12251932</v>
      </c>
      <c r="L43">
        <f>+VLOOKUP($E43,Hybrid!$1:$1048576,L$2,FALSE)</f>
        <v>13.04137214</v>
      </c>
      <c r="M43">
        <f>+VLOOKUP($E43,Hybrid!$1:$1048576,M$2,FALSE)</f>
        <v>13.911774960000001</v>
      </c>
      <c r="N43">
        <f>+VLOOKUP($E43,Hybrid!$1:$1048576,N$2,FALSE)</f>
        <v>14.733710289999999</v>
      </c>
      <c r="O43">
        <f>+VLOOKUP($E43,Hybrid!$1:$1048576,O$2,FALSE)</f>
        <v>15.507484460000001</v>
      </c>
      <c r="P43">
        <f>+VLOOKUP($E43,Hybrid!$1:$1048576,P$2,FALSE)</f>
        <v>16.233622449999999</v>
      </c>
      <c r="Q43">
        <f>+VLOOKUP($E43,Hybrid!$1:$1048576,Q$2,FALSE)</f>
        <v>16.912803</v>
      </c>
      <c r="R43">
        <f>+VLOOKUP($E43,Hybrid!$1:$1048576,R$2,FALSE)</f>
        <v>17.545817230000001</v>
      </c>
      <c r="S43">
        <f>+VLOOKUP($E43,Hybrid!$1:$1048576,S$2,FALSE)</f>
        <v>18.133541059999999</v>
      </c>
      <c r="T43">
        <f>+VLOOKUP($E43,Hybrid!$1:$1048576,T$2,FALSE)</f>
        <v>18.676916420000001</v>
      </c>
      <c r="U43">
        <f>+VLOOKUP($E43,Hybrid!$1:$1048576,U$2,FALSE)</f>
        <v>19.17693775</v>
      </c>
      <c r="V43">
        <f>+VLOOKUP($E43,Hybrid!$1:$1048576,V$2,FALSE)</f>
        <v>19.634642320000001</v>
      </c>
      <c r="W43">
        <f>+VLOOKUP($E43,Hybrid!$1:$1048576,W$2,FALSE)</f>
        <v>20.05110298</v>
      </c>
      <c r="X43">
        <f>+VLOOKUP($E43,Hybrid!$1:$1048576,X$2,FALSE)</f>
        <v>20.427422589999999</v>
      </c>
      <c r="Y43">
        <f>+VLOOKUP($E43,Hybrid!$1:$1048576,Y$2,FALSE)</f>
        <v>20.764729679999999</v>
      </c>
      <c r="Z43">
        <f>+VLOOKUP($E43,Hybrid!$1:$1048576,Z$2,FALSE)</f>
        <v>21.064174909999998</v>
      </c>
      <c r="AA43">
        <f>+VLOOKUP($E43,Hybrid!$1:$1048576,AA$2,FALSE)</f>
        <v>21.326927950000002</v>
      </c>
      <c r="AB43">
        <f>+VLOOKUP($E43,Hybrid!$1:$1048576,AB$2,FALSE)</f>
        <v>21.554174740000001</v>
      </c>
      <c r="AC43">
        <f>+VLOOKUP($E43,Hybrid!$1:$1048576,AC$2,FALSE)</f>
        <v>21.74711482</v>
      </c>
      <c r="AD43">
        <f>+VLOOKUP($E43,Hybrid!$1:$1048576,AD$2,FALSE)</f>
        <v>21.90695874</v>
      </c>
      <c r="AE43">
        <f>+VLOOKUP($E43,Hybrid!$1:$1048576,AE$2,FALSE)</f>
        <v>22.034925470000001</v>
      </c>
      <c r="AF43">
        <f>+VLOOKUP($E43,Hybrid!$1:$1048576,AF$2,FALSE)</f>
        <v>22.132239760000001</v>
      </c>
      <c r="AG43">
        <f>+VLOOKUP($E43,Hybrid!$1:$1048576,AG$2,FALSE)</f>
        <v>22.200129520000001</v>
      </c>
      <c r="AH43">
        <f>+VLOOKUP($E43,Hybrid!$1:$1048576,AH$2,FALSE)</f>
        <v>22.239823130000001</v>
      </c>
      <c r="AI43">
        <f>+VLOOKUP($E43,Hybrid!$1:$1048576,AI$2,FALSE)</f>
        <v>22.25254687</v>
      </c>
      <c r="AJ43">
        <f>+VLOOKUP($E43,Hybrid!$1:$1048576,AJ$2,FALSE)</f>
        <v>22.239522260000001</v>
      </c>
      <c r="AK43">
        <f>+VLOOKUP($E43,Hybrid!$1:$1048576,AK$2,FALSE)</f>
        <v>22.201963559999999</v>
      </c>
      <c r="AL43">
        <f>+VLOOKUP($E43,Hybrid!$1:$1048576,AL$2,FALSE)</f>
        <v>22.141075310000002</v>
      </c>
    </row>
    <row r="44" spans="1:38" ht="15" customHeight="1" x14ac:dyDescent="0.25">
      <c r="A44" s="171"/>
      <c r="B44" s="170"/>
      <c r="C44" s="219"/>
      <c r="D44" s="130" t="s">
        <v>567</v>
      </c>
      <c r="E44" s="47" t="s">
        <v>391</v>
      </c>
      <c r="F44">
        <f>+VLOOKUP($E44,Hybrid!$1:$1048576,F$2,FALSE)</f>
        <v>3.2743104380000001</v>
      </c>
      <c r="G44">
        <f>+VLOOKUP($E44,Hybrid!$1:$1048576,G$2,FALSE)</f>
        <v>3.7515155080000002</v>
      </c>
      <c r="H44">
        <f>+VLOOKUP($E44,Hybrid!$1:$1048576,H$2,FALSE)</f>
        <v>4.1939767000000003</v>
      </c>
      <c r="I44">
        <f>+VLOOKUP($E44,Hybrid!$1:$1048576,I$2,FALSE)</f>
        <v>4.5988845530000004</v>
      </c>
      <c r="J44">
        <f>+VLOOKUP($E44,Hybrid!$1:$1048576,J$2,FALSE)</f>
        <v>4.9653764230000004</v>
      </c>
      <c r="K44">
        <f>+VLOOKUP($E44,Hybrid!$1:$1048576,K$2,FALSE)</f>
        <v>5.2937201649999999</v>
      </c>
      <c r="L44">
        <f>+VLOOKUP($E44,Hybrid!$1:$1048576,L$2,FALSE)</f>
        <v>5.5848351840000001</v>
      </c>
      <c r="M44">
        <f>+VLOOKUP($E44,Hybrid!$1:$1048576,M$2,FALSE)</f>
        <v>5.8400167859999996</v>
      </c>
      <c r="N44">
        <f>+VLOOKUP($E44,Hybrid!$1:$1048576,N$2,FALSE)</f>
        <v>6.0607780770000002</v>
      </c>
      <c r="O44">
        <f>+VLOOKUP($E44,Hybrid!$1:$1048576,O$2,FALSE)</f>
        <v>6.2487579389999999</v>
      </c>
      <c r="P44">
        <f>+VLOOKUP($E44,Hybrid!$1:$1048576,P$2,FALSE)</f>
        <v>6.4056655600000001</v>
      </c>
      <c r="Q44">
        <f>+VLOOKUP($E44,Hybrid!$1:$1048576,Q$2,FALSE)</f>
        <v>6.5332451259999997</v>
      </c>
      <c r="R44">
        <f>+VLOOKUP($E44,Hybrid!$1:$1048576,R$2,FALSE)</f>
        <v>6.6332519220000004</v>
      </c>
      <c r="S44">
        <f>+VLOOKUP($E44,Hybrid!$1:$1048576,S$2,FALSE)</f>
        <v>6.707435147</v>
      </c>
      <c r="T44">
        <f>+VLOOKUP($E44,Hybrid!$1:$1048576,T$2,FALSE)</f>
        <v>6.7575249700000004</v>
      </c>
      <c r="U44">
        <f>+VLOOKUP($E44,Hybrid!$1:$1048576,U$2,FALSE)</f>
        <v>6.7852224879999996</v>
      </c>
      <c r="V44">
        <f>+VLOOKUP($E44,Hybrid!$1:$1048576,V$2,FALSE)</f>
        <v>6.7921917440000001</v>
      </c>
      <c r="W44">
        <f>+VLOOKUP($E44,Hybrid!$1:$1048576,W$2,FALSE)</f>
        <v>6.7800533420000004</v>
      </c>
      <c r="X44">
        <f>+VLOOKUP($E44,Hybrid!$1:$1048576,X$2,FALSE)</f>
        <v>6.750379283</v>
      </c>
      <c r="Y44">
        <f>+VLOOKUP($E44,Hybrid!$1:$1048576,Y$2,FALSE)</f>
        <v>6.7046887870000003</v>
      </c>
      <c r="Z44">
        <f>+VLOOKUP($E44,Hybrid!$1:$1048576,Z$2,FALSE)</f>
        <v>6.6444449319999999</v>
      </c>
      <c r="AA44">
        <f>+VLOOKUP($E44,Hybrid!$1:$1048576,AA$2,FALSE)</f>
        <v>6.5710519559999998</v>
      </c>
      <c r="AB44">
        <f>+VLOOKUP($E44,Hybrid!$1:$1048576,AB$2,FALSE)</f>
        <v>6.485853144</v>
      </c>
      <c r="AC44">
        <f>+VLOOKUP($E44,Hybrid!$1:$1048576,AC$2,FALSE)</f>
        <v>6.3901292239999998</v>
      </c>
      <c r="AD44">
        <f>+VLOOKUP($E44,Hybrid!$1:$1048576,AD$2,FALSE)</f>
        <v>6.285097232</v>
      </c>
      <c r="AE44">
        <f>+VLOOKUP($E44,Hybrid!$1:$1048576,AE$2,FALSE)</f>
        <v>6.1719097989999998</v>
      </c>
      <c r="AF44">
        <f>+VLOOKUP($E44,Hybrid!$1:$1048576,AF$2,FALSE)</f>
        <v>6.0516548429999997</v>
      </c>
      <c r="AG44">
        <f>+VLOOKUP($E44,Hybrid!$1:$1048576,AG$2,FALSE)</f>
        <v>5.925355637</v>
      </c>
      <c r="AH44">
        <f>+VLOOKUP($E44,Hybrid!$1:$1048576,AH$2,FALSE)</f>
        <v>5.7939712219999997</v>
      </c>
      <c r="AI44">
        <f>+VLOOKUP($E44,Hybrid!$1:$1048576,AI$2,FALSE)</f>
        <v>5.6583971609999999</v>
      </c>
      <c r="AJ44">
        <f>+VLOOKUP($E44,Hybrid!$1:$1048576,AJ$2,FALSE)</f>
        <v>5.5194665799999996</v>
      </c>
      <c r="AK44">
        <f>+VLOOKUP($E44,Hybrid!$1:$1048576,AK$2,FALSE)</f>
        <v>5.3779514920000002</v>
      </c>
      <c r="AL44">
        <f>+VLOOKUP($E44,Hybrid!$1:$1048576,AL$2,FALSE)</f>
        <v>5.2345643639999997</v>
      </c>
    </row>
    <row r="45" spans="1:38" ht="15" customHeight="1" x14ac:dyDescent="0.25">
      <c r="A45" s="171"/>
      <c r="B45" s="170"/>
      <c r="C45" s="219"/>
      <c r="D45" s="130" t="s">
        <v>568</v>
      </c>
      <c r="E45" s="47" t="s">
        <v>392</v>
      </c>
      <c r="F45">
        <f>+VLOOKUP($E45,Hybrid!$1:$1048576,F$2,FALSE)</f>
        <v>5.9009041160000004</v>
      </c>
      <c r="G45">
        <f>+VLOOKUP($E45,Hybrid!$1:$1048576,G$2,FALSE)</f>
        <v>6.7035180270000003</v>
      </c>
      <c r="H45">
        <f>+VLOOKUP($E45,Hybrid!$1:$1048576,H$2,FALSE)</f>
        <v>7.4161806490000002</v>
      </c>
      <c r="I45">
        <f>+VLOOKUP($E45,Hybrid!$1:$1048576,I$2,FALSE)</f>
        <v>8.0372735639999995</v>
      </c>
      <c r="J45">
        <f>+VLOOKUP($E45,Hybrid!$1:$1048576,J$2,FALSE)</f>
        <v>8.5690304140000002</v>
      </c>
      <c r="K45">
        <f>+VLOOKUP($E45,Hybrid!$1:$1048576,K$2,FALSE)</f>
        <v>9.0157203080000006</v>
      </c>
      <c r="L45">
        <f>+VLOOKUP($E45,Hybrid!$1:$1048576,L$2,FALSE)</f>
        <v>9.3826241629999991</v>
      </c>
      <c r="M45">
        <f>+VLOOKUP($E45,Hybrid!$1:$1048576,M$2,FALSE)</f>
        <v>9.6754684019999999</v>
      </c>
      <c r="N45">
        <f>+VLOOKUP($E45,Hybrid!$1:$1048576,N$2,FALSE)</f>
        <v>9.9001122630000005</v>
      </c>
      <c r="O45">
        <f>+VLOOKUP($E45,Hybrid!$1:$1048576,O$2,FALSE)</f>
        <v>10.062372399999999</v>
      </c>
      <c r="P45">
        <f>+VLOOKUP($E45,Hybrid!$1:$1048576,P$2,FALSE)</f>
        <v>10.16792128</v>
      </c>
      <c r="Q45">
        <f>+VLOOKUP($E45,Hybrid!$1:$1048576,Q$2,FALSE)</f>
        <v>10.222225849999999</v>
      </c>
      <c r="R45">
        <f>+VLOOKUP($E45,Hybrid!$1:$1048576,R$2,FALSE)</f>
        <v>10.230509250000001</v>
      </c>
      <c r="S45">
        <f>+VLOOKUP($E45,Hybrid!$1:$1048576,S$2,FALSE)</f>
        <v>10.19772671</v>
      </c>
      <c r="T45">
        <f>+VLOOKUP($E45,Hybrid!$1:$1048576,T$2,FALSE)</f>
        <v>10.128550779999999</v>
      </c>
      <c r="U45">
        <f>+VLOOKUP($E45,Hybrid!$1:$1048576,U$2,FALSE)</f>
        <v>10.027363449999999</v>
      </c>
      <c r="V45">
        <f>+VLOOKUP($E45,Hybrid!$1:$1048576,V$2,FALSE)</f>
        <v>9.8982532929999998</v>
      </c>
      <c r="W45">
        <f>+VLOOKUP($E45,Hybrid!$1:$1048576,W$2,FALSE)</f>
        <v>9.7450166239999998</v>
      </c>
      <c r="X45">
        <f>+VLOOKUP($E45,Hybrid!$1:$1048576,X$2,FALSE)</f>
        <v>9.5711617039999997</v>
      </c>
      <c r="Y45">
        <f>+VLOOKUP($E45,Hybrid!$1:$1048576,Y$2,FALSE)</f>
        <v>9.3799154290000004</v>
      </c>
      <c r="Z45">
        <f>+VLOOKUP($E45,Hybrid!$1:$1048576,Z$2,FALSE)</f>
        <v>9.1742319200000004</v>
      </c>
      <c r="AA45">
        <f>+VLOOKUP($E45,Hybrid!$1:$1048576,AA$2,FALSE)</f>
        <v>8.9568026209999996</v>
      </c>
      <c r="AB45">
        <f>+VLOOKUP($E45,Hybrid!$1:$1048576,AB$2,FALSE)</f>
        <v>8.7300675600000002</v>
      </c>
      <c r="AC45">
        <f>+VLOOKUP($E45,Hybrid!$1:$1048576,AC$2,FALSE)</f>
        <v>8.4962274789999999</v>
      </c>
      <c r="AD45">
        <f>+VLOOKUP($E45,Hybrid!$1:$1048576,AD$2,FALSE)</f>
        <v>8.2572566250000001</v>
      </c>
      <c r="AE45">
        <f>+VLOOKUP($E45,Hybrid!$1:$1048576,AE$2,FALSE)</f>
        <v>8.0149159619999999</v>
      </c>
      <c r="AF45">
        <f>+VLOOKUP($E45,Hybrid!$1:$1048576,AF$2,FALSE)</f>
        <v>7.7707666499999997</v>
      </c>
      <c r="AG45">
        <f>+VLOOKUP($E45,Hybrid!$1:$1048576,AG$2,FALSE)</f>
        <v>7.5261836180000001</v>
      </c>
      <c r="AH45">
        <f>+VLOOKUP($E45,Hybrid!$1:$1048576,AH$2,FALSE)</f>
        <v>7.2823690880000003</v>
      </c>
      <c r="AI45">
        <f>+VLOOKUP($E45,Hybrid!$1:$1048576,AI$2,FALSE)</f>
        <v>7.0403659259999998</v>
      </c>
      <c r="AJ45">
        <f>+VLOOKUP($E45,Hybrid!$1:$1048576,AJ$2,FALSE)</f>
        <v>6.8010707049999999</v>
      </c>
      <c r="AK45">
        <f>+VLOOKUP($E45,Hybrid!$1:$1048576,AK$2,FALSE)</f>
        <v>6.5652463799999996</v>
      </c>
      <c r="AL45">
        <f>+VLOOKUP($E45,Hybrid!$1:$1048576,AL$2,FALSE)</f>
        <v>6.3335344979999997</v>
      </c>
    </row>
    <row r="46" spans="1:38" s="115" customFormat="1" ht="15" customHeight="1" x14ac:dyDescent="0.25">
      <c r="A46" s="171"/>
      <c r="B46" s="170"/>
      <c r="C46" s="128" t="s">
        <v>868</v>
      </c>
      <c r="D46" s="129"/>
      <c r="E46" s="93" t="s">
        <v>393</v>
      </c>
      <c r="F46" s="115">
        <f>+VLOOKUP($E46,Hybrid!$1:$1048576,F$2,FALSE)</f>
        <v>2.1305753150000002</v>
      </c>
      <c r="G46" s="115">
        <f>+VLOOKUP($E46,Hybrid!$1:$1048576,G$2,FALSE)</f>
        <v>2.205083192</v>
      </c>
      <c r="H46" s="115">
        <f>+VLOOKUP($E46,Hybrid!$1:$1048576,H$2,FALSE)</f>
        <v>2.2800657229999999</v>
      </c>
      <c r="I46" s="115">
        <f>+VLOOKUP($E46,Hybrid!$1:$1048576,I$2,FALSE)</f>
        <v>2.3543231279999999</v>
      </c>
      <c r="J46" s="115">
        <f>+VLOOKUP($E46,Hybrid!$1:$1048576,J$2,FALSE)</f>
        <v>2.4271483549999999</v>
      </c>
      <c r="K46" s="115">
        <f>+VLOOKUP($E46,Hybrid!$1:$1048576,K$2,FALSE)</f>
        <v>2.498142573</v>
      </c>
      <c r="L46" s="115">
        <f>+VLOOKUP($E46,Hybrid!$1:$1048576,L$2,FALSE)</f>
        <v>2.5670970789999998</v>
      </c>
      <c r="M46" s="115">
        <f>+VLOOKUP($E46,Hybrid!$1:$1048576,M$2,FALSE)</f>
        <v>2.6339195040000001</v>
      </c>
      <c r="N46" s="115">
        <f>+VLOOKUP($E46,Hybrid!$1:$1048576,N$2,FALSE)</f>
        <v>2.69858844</v>
      </c>
      <c r="O46" s="115">
        <f>+VLOOKUP($E46,Hybrid!$1:$1048576,O$2,FALSE)</f>
        <v>2.7611257519999999</v>
      </c>
      <c r="P46" s="115">
        <f>+VLOOKUP($E46,Hybrid!$1:$1048576,P$2,FALSE)</f>
        <v>2.8215796809999998</v>
      </c>
      <c r="Q46" s="115">
        <f>+VLOOKUP($E46,Hybrid!$1:$1048576,Q$2,FALSE)</f>
        <v>2.8800144360000002</v>
      </c>
      <c r="R46" s="115">
        <f>+VLOOKUP($E46,Hybrid!$1:$1048576,R$2,FALSE)</f>
        <v>2.9365036600000001</v>
      </c>
      <c r="S46" s="115">
        <f>+VLOOKUP($E46,Hybrid!$1:$1048576,S$2,FALSE)</f>
        <v>2.9911262380000001</v>
      </c>
      <c r="T46" s="115">
        <f>+VLOOKUP($E46,Hybrid!$1:$1048576,T$2,FALSE)</f>
        <v>3.0439635360000001</v>
      </c>
      <c r="U46" s="115">
        <f>+VLOOKUP($E46,Hybrid!$1:$1048576,U$2,FALSE)</f>
        <v>3.0950975459999999</v>
      </c>
      <c r="V46" s="115">
        <f>+VLOOKUP($E46,Hybrid!$1:$1048576,V$2,FALSE)</f>
        <v>3.1446096300000002</v>
      </c>
      <c r="W46" s="115">
        <f>+VLOOKUP($E46,Hybrid!$1:$1048576,W$2,FALSE)</f>
        <v>3.192579673</v>
      </c>
      <c r="X46" s="115">
        <f>+VLOOKUP($E46,Hybrid!$1:$1048576,X$2,FALSE)</f>
        <v>3.239085524</v>
      </c>
      <c r="Y46" s="115">
        <f>+VLOOKUP($E46,Hybrid!$1:$1048576,Y$2,FALSE)</f>
        <v>3.2842026450000001</v>
      </c>
      <c r="Z46" s="115">
        <f>+VLOOKUP($E46,Hybrid!$1:$1048576,Z$2,FALSE)</f>
        <v>3.3280039100000001</v>
      </c>
      <c r="AA46" s="115">
        <f>+VLOOKUP($E46,Hybrid!$1:$1048576,AA$2,FALSE)</f>
        <v>3.370559514</v>
      </c>
      <c r="AB46" s="115">
        <f>+VLOOKUP($E46,Hybrid!$1:$1048576,AB$2,FALSE)</f>
        <v>3.4119369420000001</v>
      </c>
      <c r="AC46" s="115">
        <f>+VLOOKUP($E46,Hybrid!$1:$1048576,AC$2,FALSE)</f>
        <v>3.452200994</v>
      </c>
      <c r="AD46" s="115">
        <f>+VLOOKUP($E46,Hybrid!$1:$1048576,AD$2,FALSE)</f>
        <v>3.4914138370000001</v>
      </c>
      <c r="AE46" s="115">
        <f>+VLOOKUP($E46,Hybrid!$1:$1048576,AE$2,FALSE)</f>
        <v>3.5296350570000001</v>
      </c>
      <c r="AF46" s="115">
        <f>+VLOOKUP($E46,Hybrid!$1:$1048576,AF$2,FALSE)</f>
        <v>3.5669217350000002</v>
      </c>
      <c r="AG46" s="115">
        <f>+VLOOKUP($E46,Hybrid!$1:$1048576,AG$2,FALSE)</f>
        <v>3.6033285020000001</v>
      </c>
      <c r="AH46" s="115">
        <f>+VLOOKUP($E46,Hybrid!$1:$1048576,AH$2,FALSE)</f>
        <v>3.6389076010000001</v>
      </c>
      <c r="AI46" s="115">
        <f>+VLOOKUP($E46,Hybrid!$1:$1048576,AI$2,FALSE)</f>
        <v>3.6737089360000001</v>
      </c>
      <c r="AJ46" s="115">
        <f>+VLOOKUP($E46,Hybrid!$1:$1048576,AJ$2,FALSE)</f>
        <v>3.707780122</v>
      </c>
      <c r="AK46" s="115">
        <f>+VLOOKUP($E46,Hybrid!$1:$1048576,AK$2,FALSE)</f>
        <v>3.741166524</v>
      </c>
      <c r="AL46" s="115">
        <f>+VLOOKUP($E46,Hybrid!$1:$1048576,AL$2,FALSE)</f>
        <v>3.7739112929999998</v>
      </c>
    </row>
    <row r="47" spans="1:38" ht="15" customHeight="1" x14ac:dyDescent="0.25">
      <c r="A47" s="171"/>
      <c r="B47" s="170"/>
      <c r="C47" s="219"/>
      <c r="D47" s="130" t="s">
        <v>562</v>
      </c>
      <c r="E47" s="47" t="s">
        <v>394</v>
      </c>
      <c r="F47">
        <f>+VLOOKUP($E47,Hybrid!$1:$1048576,F$2,FALSE)</f>
        <v>0.50461174259999997</v>
      </c>
      <c r="G47">
        <f>+VLOOKUP($E47,Hybrid!$1:$1048576,G$2,FALSE)</f>
        <v>0.53390616749999997</v>
      </c>
      <c r="H47">
        <f>+VLOOKUP($E47,Hybrid!$1:$1048576,H$2,FALSE)</f>
        <v>0.56352909380000005</v>
      </c>
      <c r="I47">
        <f>+VLOOKUP($E47,Hybrid!$1:$1048576,I$2,FALSE)</f>
        <v>0.59314310530000003</v>
      </c>
      <c r="J47">
        <f>+VLOOKUP($E47,Hybrid!$1:$1048576,J$2,FALSE)</f>
        <v>0.62254220360000001</v>
      </c>
      <c r="K47">
        <f>+VLOOKUP($E47,Hybrid!$1:$1048576,K$2,FALSE)</f>
        <v>0.65160459059999998</v>
      </c>
      <c r="L47">
        <f>+VLOOKUP($E47,Hybrid!$1:$1048576,L$2,FALSE)</f>
        <v>0.68026155590000004</v>
      </c>
      <c r="M47">
        <f>+VLOOKUP($E47,Hybrid!$1:$1048576,M$2,FALSE)</f>
        <v>0.70847754080000003</v>
      </c>
      <c r="N47">
        <f>+VLOOKUP($E47,Hybrid!$1:$1048576,N$2,FALSE)</f>
        <v>0.73623761710000002</v>
      </c>
      <c r="O47">
        <f>+VLOOKUP($E47,Hybrid!$1:$1048576,O$2,FALSE)</f>
        <v>0.76353972240000001</v>
      </c>
      <c r="P47">
        <f>+VLOOKUP($E47,Hybrid!$1:$1048576,P$2,FALSE)</f>
        <v>0.79038986950000001</v>
      </c>
      <c r="Q47">
        <f>+VLOOKUP($E47,Hybrid!$1:$1048576,Q$2,FALSE)</f>
        <v>0.81679918529999995</v>
      </c>
      <c r="R47">
        <f>+VLOOKUP($E47,Hybrid!$1:$1048576,R$2,FALSE)</f>
        <v>0.84278205589999999</v>
      </c>
      <c r="S47">
        <f>+VLOOKUP($E47,Hybrid!$1:$1048576,S$2,FALSE)</f>
        <v>0.86835494329999996</v>
      </c>
      <c r="T47">
        <f>+VLOOKUP($E47,Hybrid!$1:$1048576,T$2,FALSE)</f>
        <v>0.89353561299999995</v>
      </c>
      <c r="U47">
        <f>+VLOOKUP($E47,Hybrid!$1:$1048576,U$2,FALSE)</f>
        <v>0.91834261910000003</v>
      </c>
      <c r="V47">
        <f>+VLOOKUP($E47,Hybrid!$1:$1048576,V$2,FALSE)</f>
        <v>0.94279495359999999</v>
      </c>
      <c r="W47">
        <f>+VLOOKUP($E47,Hybrid!$1:$1048576,W$2,FALSE)</f>
        <v>0.9669118082</v>
      </c>
      <c r="X47">
        <f>+VLOOKUP($E47,Hybrid!$1:$1048576,X$2,FALSE)</f>
        <v>0.99071241300000001</v>
      </c>
      <c r="Y47">
        <f>+VLOOKUP($E47,Hybrid!$1:$1048576,Y$2,FALSE)</f>
        <v>1.01421593</v>
      </c>
      <c r="Z47">
        <f>+VLOOKUP($E47,Hybrid!$1:$1048576,Z$2,FALSE)</f>
        <v>1.0374413819999999</v>
      </c>
      <c r="AA47">
        <f>+VLOOKUP($E47,Hybrid!$1:$1048576,AA$2,FALSE)</f>
        <v>1.060407619</v>
      </c>
      <c r="AB47">
        <f>+VLOOKUP($E47,Hybrid!$1:$1048576,AB$2,FALSE)</f>
        <v>1.083133283</v>
      </c>
      <c r="AC47">
        <f>+VLOOKUP($E47,Hybrid!$1:$1048576,AC$2,FALSE)</f>
        <v>1.1056368050000001</v>
      </c>
      <c r="AD47">
        <f>+VLOOKUP($E47,Hybrid!$1:$1048576,AD$2,FALSE)</f>
        <v>1.1279363920000001</v>
      </c>
      <c r="AE47">
        <f>+VLOOKUP($E47,Hybrid!$1:$1048576,AE$2,FALSE)</f>
        <v>1.150050021</v>
      </c>
      <c r="AF47">
        <f>+VLOOKUP($E47,Hybrid!$1:$1048576,AF$2,FALSE)</f>
        <v>1.1719954340000001</v>
      </c>
      <c r="AG47">
        <f>+VLOOKUP($E47,Hybrid!$1:$1048576,AG$2,FALSE)</f>
        <v>1.193790127</v>
      </c>
      <c r="AH47">
        <f>+VLOOKUP($E47,Hybrid!$1:$1048576,AH$2,FALSE)</f>
        <v>1.215451337</v>
      </c>
      <c r="AI47">
        <f>+VLOOKUP($E47,Hybrid!$1:$1048576,AI$2,FALSE)</f>
        <v>1.236996032</v>
      </c>
      <c r="AJ47">
        <f>+VLOOKUP($E47,Hybrid!$1:$1048576,AJ$2,FALSE)</f>
        <v>1.2584408840000001</v>
      </c>
      <c r="AK47">
        <f>+VLOOKUP($E47,Hybrid!$1:$1048576,AK$2,FALSE)</f>
        <v>1.2798022600000001</v>
      </c>
      <c r="AL47">
        <f>+VLOOKUP($E47,Hybrid!$1:$1048576,AL$2,FALSE)</f>
        <v>1.3010961910000001</v>
      </c>
    </row>
    <row r="48" spans="1:38" ht="15" customHeight="1" x14ac:dyDescent="0.25">
      <c r="A48" s="171"/>
      <c r="B48" s="170"/>
      <c r="C48" s="219"/>
      <c r="D48" s="130" t="s">
        <v>563</v>
      </c>
      <c r="E48" s="47" t="s">
        <v>395</v>
      </c>
      <c r="F48">
        <f>+VLOOKUP($E48,Hybrid!$1:$1048576,F$2,FALSE)</f>
        <v>0.55510706389999998</v>
      </c>
      <c r="G48">
        <f>+VLOOKUP($E48,Hybrid!$1:$1048576,G$2,FALSE)</f>
        <v>0.57838510870000004</v>
      </c>
      <c r="H48">
        <f>+VLOOKUP($E48,Hybrid!$1:$1048576,H$2,FALSE)</f>
        <v>0.60212053229999996</v>
      </c>
      <c r="I48">
        <f>+VLOOKUP($E48,Hybrid!$1:$1048576,I$2,FALSE)</f>
        <v>0.6259693207</v>
      </c>
      <c r="J48">
        <f>+VLOOKUP($E48,Hybrid!$1:$1048576,J$2,FALSE)</f>
        <v>0.64971611019999997</v>
      </c>
      <c r="K48">
        <f>+VLOOKUP($E48,Hybrid!$1:$1048576,K$2,FALSE)</f>
        <v>0.67322789579999998</v>
      </c>
      <c r="L48">
        <f>+VLOOKUP($E48,Hybrid!$1:$1048576,L$2,FALSE)</f>
        <v>0.69642367620000001</v>
      </c>
      <c r="M48">
        <f>+VLOOKUP($E48,Hybrid!$1:$1048576,M$2,FALSE)</f>
        <v>0.71925508319999998</v>
      </c>
      <c r="N48">
        <f>+VLOOKUP($E48,Hybrid!$1:$1048576,N$2,FALSE)</f>
        <v>0.74169425229999997</v>
      </c>
      <c r="O48">
        <f>+VLOOKUP($E48,Hybrid!$1:$1048576,O$2,FALSE)</f>
        <v>0.76372631199999996</v>
      </c>
      <c r="P48">
        <f>+VLOOKUP($E48,Hybrid!$1:$1048576,P$2,FALSE)</f>
        <v>0.78534474669999998</v>
      </c>
      <c r="Q48">
        <f>+VLOOKUP($E48,Hybrid!$1:$1048576,Q$2,FALSE)</f>
        <v>0.80654852040000002</v>
      </c>
      <c r="R48">
        <f>+VLOOKUP($E48,Hybrid!$1:$1048576,R$2,FALSE)</f>
        <v>0.82734025919999998</v>
      </c>
      <c r="S48">
        <f>+VLOOKUP($E48,Hybrid!$1:$1048576,S$2,FALSE)</f>
        <v>0.84772507720000001</v>
      </c>
      <c r="T48">
        <f>+VLOOKUP($E48,Hybrid!$1:$1048576,T$2,FALSE)</f>
        <v>0.86770979619999999</v>
      </c>
      <c r="U48">
        <f>+VLOOKUP($E48,Hybrid!$1:$1048576,U$2,FALSE)</f>
        <v>0.8873024115</v>
      </c>
      <c r="V48">
        <f>+VLOOKUP($E48,Hybrid!$1:$1048576,V$2,FALSE)</f>
        <v>0.90651171779999995</v>
      </c>
      <c r="W48">
        <f>+VLOOKUP($E48,Hybrid!$1:$1048576,W$2,FALSE)</f>
        <v>0.92534704339999996</v>
      </c>
      <c r="X48">
        <f>+VLOOKUP($E48,Hybrid!$1:$1048576,X$2,FALSE)</f>
        <v>0.94381806079999997</v>
      </c>
      <c r="Y48">
        <f>+VLOOKUP($E48,Hybrid!$1:$1048576,Y$2,FALSE)</f>
        <v>0.96193465069999995</v>
      </c>
      <c r="Z48">
        <f>+VLOOKUP($E48,Hybrid!$1:$1048576,Z$2,FALSE)</f>
        <v>0.97970680529999998</v>
      </c>
      <c r="AA48">
        <f>+VLOOKUP($E48,Hybrid!$1:$1048576,AA$2,FALSE)</f>
        <v>0.99714455849999994</v>
      </c>
      <c r="AB48">
        <f>+VLOOKUP($E48,Hybrid!$1:$1048576,AB$2,FALSE)</f>
        <v>1.014257934</v>
      </c>
      <c r="AC48">
        <f>+VLOOKUP($E48,Hybrid!$1:$1048576,AC$2,FALSE)</f>
        <v>1.031056907</v>
      </c>
      <c r="AD48">
        <f>+VLOOKUP($E48,Hybrid!$1:$1048576,AD$2,FALSE)</f>
        <v>1.0475513670000001</v>
      </c>
      <c r="AE48">
        <f>+VLOOKUP($E48,Hybrid!$1:$1048576,AE$2,FALSE)</f>
        <v>1.0637510910000001</v>
      </c>
      <c r="AF48">
        <f>+VLOOKUP($E48,Hybrid!$1:$1048576,AF$2,FALSE)</f>
        <v>1.0796657119999999</v>
      </c>
      <c r="AG48">
        <f>+VLOOKUP($E48,Hybrid!$1:$1048576,AG$2,FALSE)</f>
        <v>1.095304689</v>
      </c>
      <c r="AH48">
        <f>+VLOOKUP($E48,Hybrid!$1:$1048576,AH$2,FALSE)</f>
        <v>1.110677272</v>
      </c>
      <c r="AI48">
        <f>+VLOOKUP($E48,Hybrid!$1:$1048576,AI$2,FALSE)</f>
        <v>1.125792473</v>
      </c>
      <c r="AJ48">
        <f>+VLOOKUP($E48,Hybrid!$1:$1048576,AJ$2,FALSE)</f>
        <v>1.1406590299999999</v>
      </c>
      <c r="AK48">
        <f>+VLOOKUP($E48,Hybrid!$1:$1048576,AK$2,FALSE)</f>
        <v>1.155285369</v>
      </c>
      <c r="AL48">
        <f>+VLOOKUP($E48,Hybrid!$1:$1048576,AL$2,FALSE)</f>
        <v>1.169679575</v>
      </c>
    </row>
    <row r="49" spans="1:38" ht="15" customHeight="1" x14ac:dyDescent="0.25">
      <c r="A49" s="171"/>
      <c r="B49" s="170"/>
      <c r="C49" s="219"/>
      <c r="D49" s="130" t="s">
        <v>564</v>
      </c>
      <c r="E49" s="47" t="s">
        <v>396</v>
      </c>
      <c r="F49">
        <f>+VLOOKUP($E49,Hybrid!$1:$1048576,F$2,FALSE)</f>
        <v>0.4366138819</v>
      </c>
      <c r="G49">
        <f>+VLOOKUP($E49,Hybrid!$1:$1048576,G$2,FALSE)</f>
        <v>0.44916009270000001</v>
      </c>
      <c r="H49">
        <f>+VLOOKUP($E49,Hybrid!$1:$1048576,H$2,FALSE)</f>
        <v>0.46213734029999998</v>
      </c>
      <c r="I49">
        <f>+VLOOKUP($E49,Hybrid!$1:$1048576,I$2,FALSE)</f>
        <v>0.475293415</v>
      </c>
      <c r="J49">
        <f>+VLOOKUP($E49,Hybrid!$1:$1048576,J$2,FALSE)</f>
        <v>0.48846693209999997</v>
      </c>
      <c r="K49">
        <f>+VLOOKUP($E49,Hybrid!$1:$1048576,K$2,FALSE)</f>
        <v>0.50155462500000003</v>
      </c>
      <c r="L49">
        <f>+VLOOKUP($E49,Hybrid!$1:$1048576,L$2,FALSE)</f>
        <v>0.51449000320000005</v>
      </c>
      <c r="M49">
        <f>+VLOOKUP($E49,Hybrid!$1:$1048576,M$2,FALSE)</f>
        <v>0.52722978740000004</v>
      </c>
      <c r="N49">
        <f>+VLOOKUP($E49,Hybrid!$1:$1048576,N$2,FALSE)</f>
        <v>0.53974544120000001</v>
      </c>
      <c r="O49">
        <f>+VLOOKUP($E49,Hybrid!$1:$1048576,O$2,FALSE)</f>
        <v>0.55201793570000002</v>
      </c>
      <c r="P49">
        <f>+VLOOKUP($E49,Hybrid!$1:$1048576,P$2,FALSE)</f>
        <v>0.56403451579999997</v>
      </c>
      <c r="Q49">
        <f>+VLOOKUP($E49,Hybrid!$1:$1048576,Q$2,FALSE)</f>
        <v>0.57578668580000003</v>
      </c>
      <c r="R49">
        <f>+VLOOKUP($E49,Hybrid!$1:$1048576,R$2,FALSE)</f>
        <v>0.58726892829999999</v>
      </c>
      <c r="S49">
        <f>+VLOOKUP($E49,Hybrid!$1:$1048576,S$2,FALSE)</f>
        <v>0.59847786550000004</v>
      </c>
      <c r="T49">
        <f>+VLOOKUP($E49,Hybrid!$1:$1048576,T$2,FALSE)</f>
        <v>0.60941169319999999</v>
      </c>
      <c r="U49">
        <f>+VLOOKUP($E49,Hybrid!$1:$1048576,U$2,FALSE)</f>
        <v>0.62006978459999995</v>
      </c>
      <c r="V49">
        <f>+VLOOKUP($E49,Hybrid!$1:$1048576,V$2,FALSE)</f>
        <v>0.63045240629999999</v>
      </c>
      <c r="W49">
        <f>+VLOOKUP($E49,Hybrid!$1:$1048576,W$2,FALSE)</f>
        <v>0.64056051030000005</v>
      </c>
      <c r="X49">
        <f>+VLOOKUP($E49,Hybrid!$1:$1048576,X$2,FALSE)</f>
        <v>0.65039557940000003</v>
      </c>
      <c r="Y49">
        <f>+VLOOKUP($E49,Hybrid!$1:$1048576,Y$2,FALSE)</f>
        <v>0.65995951269999997</v>
      </c>
      <c r="Z49">
        <f>+VLOOKUP($E49,Hybrid!$1:$1048576,Z$2,FALSE)</f>
        <v>0.66925453729999995</v>
      </c>
      <c r="AA49">
        <f>+VLOOKUP($E49,Hybrid!$1:$1048576,AA$2,FALSE)</f>
        <v>0.67828314190000005</v>
      </c>
      <c r="AB49">
        <f>+VLOOKUP($E49,Hybrid!$1:$1048576,AB$2,FALSE)</f>
        <v>0.6870480229</v>
      </c>
      <c r="AC49">
        <f>+VLOOKUP($E49,Hybrid!$1:$1048576,AC$2,FALSE)</f>
        <v>0.69555204020000005</v>
      </c>
      <c r="AD49">
        <f>+VLOOKUP($E49,Hybrid!$1:$1048576,AD$2,FALSE)</f>
        <v>0.70379817879999995</v>
      </c>
      <c r="AE49">
        <f>+VLOOKUP($E49,Hybrid!$1:$1048576,AE$2,FALSE)</f>
        <v>0.71178951270000002</v>
      </c>
      <c r="AF49">
        <f>+VLOOKUP($E49,Hybrid!$1:$1048576,AF$2,FALSE)</f>
        <v>0.71952917179999998</v>
      </c>
      <c r="AG49">
        <f>+VLOOKUP($E49,Hybrid!$1:$1048576,AG$2,FALSE)</f>
        <v>0.72702030870000001</v>
      </c>
      <c r="AH49">
        <f>+VLOOKUP($E49,Hybrid!$1:$1048576,AH$2,FALSE)</f>
        <v>0.73426606559999996</v>
      </c>
      <c r="AI49">
        <f>+VLOOKUP($E49,Hybrid!$1:$1048576,AI$2,FALSE)</f>
        <v>0.74126954270000001</v>
      </c>
      <c r="AJ49">
        <f>+VLOOKUP($E49,Hybrid!$1:$1048576,AJ$2,FALSE)</f>
        <v>0.74803376580000003</v>
      </c>
      <c r="AK49">
        <f>+VLOOKUP($E49,Hybrid!$1:$1048576,AK$2,FALSE)</f>
        <v>0.75456165590000002</v>
      </c>
      <c r="AL49">
        <f>+VLOOKUP($E49,Hybrid!$1:$1048576,AL$2,FALSE)</f>
        <v>0.76085599989999997</v>
      </c>
    </row>
    <row r="50" spans="1:38" ht="15" customHeight="1" x14ac:dyDescent="0.25">
      <c r="A50" s="171"/>
      <c r="B50" s="170"/>
      <c r="C50" s="219"/>
      <c r="D50" s="130" t="s">
        <v>565</v>
      </c>
      <c r="E50" s="47" t="s">
        <v>397</v>
      </c>
      <c r="F50">
        <f>+VLOOKUP($E50,Hybrid!$1:$1048576,F$2,FALSE)</f>
        <v>0.26108962549999998</v>
      </c>
      <c r="G50">
        <f>+VLOOKUP($E50,Hybrid!$1:$1048576,G$2,FALSE)</f>
        <v>0.26611229930000002</v>
      </c>
      <c r="H50">
        <f>+VLOOKUP($E50,Hybrid!$1:$1048576,H$2,FALSE)</f>
        <v>0.27122925679999998</v>
      </c>
      <c r="I50">
        <f>+VLOOKUP($E50,Hybrid!$1:$1048576,I$2,FALSE)</f>
        <v>0.2762969924</v>
      </c>
      <c r="J50">
        <f>+VLOOKUP($E50,Hybrid!$1:$1048576,J$2,FALSE)</f>
        <v>0.28122528190000001</v>
      </c>
      <c r="K50">
        <f>+VLOOKUP($E50,Hybrid!$1:$1048576,K$2,FALSE)</f>
        <v>0.28595741159999999</v>
      </c>
      <c r="L50">
        <f>+VLOOKUP($E50,Hybrid!$1:$1048576,L$2,FALSE)</f>
        <v>0.29045758589999998</v>
      </c>
      <c r="M50">
        <f>+VLOOKUP($E50,Hybrid!$1:$1048576,M$2,FALSE)</f>
        <v>0.29470310329999999</v>
      </c>
      <c r="N50">
        <f>+VLOOKUP($E50,Hybrid!$1:$1048576,N$2,FALSE)</f>
        <v>0.29867957150000002</v>
      </c>
      <c r="O50">
        <f>+VLOOKUP($E50,Hybrid!$1:$1048576,O$2,FALSE)</f>
        <v>0.30237800100000001</v>
      </c>
      <c r="P50">
        <f>+VLOOKUP($E50,Hybrid!$1:$1048576,P$2,FALSE)</f>
        <v>0.30579303190000001</v>
      </c>
      <c r="Q50">
        <f>+VLOOKUP($E50,Hybrid!$1:$1048576,Q$2,FALSE)</f>
        <v>0.30892183699999998</v>
      </c>
      <c r="R50">
        <f>+VLOOKUP($E50,Hybrid!$1:$1048576,R$2,FALSE)</f>
        <v>0.31176342219999997</v>
      </c>
      <c r="S50">
        <f>+VLOOKUP($E50,Hybrid!$1:$1048576,S$2,FALSE)</f>
        <v>0.31431816540000002</v>
      </c>
      <c r="T50">
        <f>+VLOOKUP($E50,Hybrid!$1:$1048576,T$2,FALSE)</f>
        <v>0.31658750070000002</v>
      </c>
      <c r="U50">
        <f>+VLOOKUP($E50,Hybrid!$1:$1048576,U$2,FALSE)</f>
        <v>0.3185736931</v>
      </c>
      <c r="V50">
        <f>+VLOOKUP($E50,Hybrid!$1:$1048576,V$2,FALSE)</f>
        <v>0.32027967509999999</v>
      </c>
      <c r="W50">
        <f>+VLOOKUP($E50,Hybrid!$1:$1048576,W$2,FALSE)</f>
        <v>0.32170892429999998</v>
      </c>
      <c r="X50">
        <f>+VLOOKUP($E50,Hybrid!$1:$1048576,X$2,FALSE)</f>
        <v>0.32286537100000001</v>
      </c>
      <c r="Y50">
        <f>+VLOOKUP($E50,Hybrid!$1:$1048576,Y$2,FALSE)</f>
        <v>0.3237533279</v>
      </c>
      <c r="Z50">
        <f>+VLOOKUP($E50,Hybrid!$1:$1048576,Z$2,FALSE)</f>
        <v>0.32437743530000002</v>
      </c>
      <c r="AA50">
        <f>+VLOOKUP($E50,Hybrid!$1:$1048576,AA$2,FALSE)</f>
        <v>0.32474261780000002</v>
      </c>
      <c r="AB50">
        <f>+VLOOKUP($E50,Hybrid!$1:$1048576,AB$2,FALSE)</f>
        <v>0.32485404810000001</v>
      </c>
      <c r="AC50">
        <f>+VLOOKUP($E50,Hybrid!$1:$1048576,AC$2,FALSE)</f>
        <v>0.32471711730000002</v>
      </c>
      <c r="AD50">
        <f>+VLOOKUP($E50,Hybrid!$1:$1048576,AD$2,FALSE)</f>
        <v>0.32433740820000001</v>
      </c>
      <c r="AE50">
        <f>+VLOOKUP($E50,Hybrid!$1:$1048576,AE$2,FALSE)</f>
        <v>0.32372067049999997</v>
      </c>
      <c r="AF50">
        <f>+VLOOKUP($E50,Hybrid!$1:$1048576,AF$2,FALSE)</f>
        <v>0.32287279899999999</v>
      </c>
      <c r="AG50">
        <f>+VLOOKUP($E50,Hybrid!$1:$1048576,AG$2,FALSE)</f>
        <v>0.32179981210000003</v>
      </c>
      <c r="AH50">
        <f>+VLOOKUP($E50,Hybrid!$1:$1048576,AH$2,FALSE)</f>
        <v>0.3205078314</v>
      </c>
      <c r="AI50">
        <f>+VLOOKUP($E50,Hybrid!$1:$1048576,AI$2,FALSE)</f>
        <v>0.31900306379999999</v>
      </c>
      <c r="AJ50">
        <f>+VLOOKUP($E50,Hybrid!$1:$1048576,AJ$2,FALSE)</f>
        <v>0.31729178359999999</v>
      </c>
      <c r="AK50">
        <f>+VLOOKUP($E50,Hybrid!$1:$1048576,AK$2,FALSE)</f>
        <v>0.31538031640000003</v>
      </c>
      <c r="AL50">
        <f>+VLOOKUP($E50,Hybrid!$1:$1048576,AL$2,FALSE)</f>
        <v>0.31327502540000002</v>
      </c>
    </row>
    <row r="51" spans="1:38" ht="15" customHeight="1" x14ac:dyDescent="0.25">
      <c r="A51" s="171"/>
      <c r="B51" s="170"/>
      <c r="C51" s="219"/>
      <c r="D51" s="130" t="s">
        <v>566</v>
      </c>
      <c r="E51" s="47" t="s">
        <v>398</v>
      </c>
      <c r="F51">
        <f>+VLOOKUP($E51,Hybrid!$1:$1048576,F$2,FALSE)</f>
        <v>0.1574330914</v>
      </c>
      <c r="G51">
        <f>+VLOOKUP($E51,Hybrid!$1:$1048576,G$2,FALSE)</f>
        <v>0.16032595220000001</v>
      </c>
      <c r="H51">
        <f>+VLOOKUP($E51,Hybrid!$1:$1048576,H$2,FALSE)</f>
        <v>0.16315238379999999</v>
      </c>
      <c r="I51">
        <f>+VLOOKUP($E51,Hybrid!$1:$1048576,I$2,FALSE)</f>
        <v>0.16582827310000001</v>
      </c>
      <c r="J51">
        <f>+VLOOKUP($E51,Hybrid!$1:$1048576,J$2,FALSE)</f>
        <v>0.16830371420000001</v>
      </c>
      <c r="K51">
        <f>+VLOOKUP($E51,Hybrid!$1:$1048576,K$2,FALSE)</f>
        <v>0.1705499402</v>
      </c>
      <c r="L51">
        <f>+VLOOKUP($E51,Hybrid!$1:$1048576,L$2,FALSE)</f>
        <v>0.17255116619999999</v>
      </c>
      <c r="M51">
        <f>+VLOOKUP($E51,Hybrid!$1:$1048576,M$2,FALSE)</f>
        <v>0.17429961799999999</v>
      </c>
      <c r="N51">
        <f>+VLOOKUP($E51,Hybrid!$1:$1048576,N$2,FALSE)</f>
        <v>0.17579254590000001</v>
      </c>
      <c r="O51">
        <f>+VLOOKUP($E51,Hybrid!$1:$1048576,O$2,FALSE)</f>
        <v>0.1770304382</v>
      </c>
      <c r="P51">
        <f>+VLOOKUP($E51,Hybrid!$1:$1048576,P$2,FALSE)</f>
        <v>0.17801594400000001</v>
      </c>
      <c r="Q51">
        <f>+VLOOKUP($E51,Hybrid!$1:$1048576,Q$2,FALSE)</f>
        <v>0.1787532097</v>
      </c>
      <c r="R51">
        <f>+VLOOKUP($E51,Hybrid!$1:$1048576,R$2,FALSE)</f>
        <v>0.17924745619999999</v>
      </c>
      <c r="S51">
        <f>+VLOOKUP($E51,Hybrid!$1:$1048576,S$2,FALSE)</f>
        <v>0.17950469729999999</v>
      </c>
      <c r="T51">
        <f>+VLOOKUP($E51,Hybrid!$1:$1048576,T$2,FALSE)</f>
        <v>0.1795315442</v>
      </c>
      <c r="U51">
        <f>+VLOOKUP($E51,Hybrid!$1:$1048576,U$2,FALSE)</f>
        <v>0.17933506499999999</v>
      </c>
      <c r="V51">
        <f>+VLOOKUP($E51,Hybrid!$1:$1048576,V$2,FALSE)</f>
        <v>0.17892267889999999</v>
      </c>
      <c r="W51">
        <f>+VLOOKUP($E51,Hybrid!$1:$1048576,W$2,FALSE)</f>
        <v>0.17830207689999999</v>
      </c>
      <c r="X51">
        <f>+VLOOKUP($E51,Hybrid!$1:$1048576,X$2,FALSE)</f>
        <v>0.1774811597</v>
      </c>
      <c r="Y51">
        <f>+VLOOKUP($E51,Hybrid!$1:$1048576,Y$2,FALSE)</f>
        <v>0.1764679891</v>
      </c>
      <c r="Z51">
        <f>+VLOOKUP($E51,Hybrid!$1:$1048576,Z$2,FALSE)</f>
        <v>0.1752707479</v>
      </c>
      <c r="AA51">
        <f>+VLOOKUP($E51,Hybrid!$1:$1048576,AA$2,FALSE)</f>
        <v>0.1738977078</v>
      </c>
      <c r="AB51">
        <f>+VLOOKUP($E51,Hybrid!$1:$1048576,AB$2,FALSE)</f>
        <v>0.17235720060000001</v>
      </c>
      <c r="AC51">
        <f>+VLOOKUP($E51,Hybrid!$1:$1048576,AC$2,FALSE)</f>
        <v>0.17065759389999999</v>
      </c>
      <c r="AD51">
        <f>+VLOOKUP($E51,Hybrid!$1:$1048576,AD$2,FALSE)</f>
        <v>0.16880726770000001</v>
      </c>
      <c r="AE51">
        <f>+VLOOKUP($E51,Hybrid!$1:$1048576,AE$2,FALSE)</f>
        <v>0.1668145942</v>
      </c>
      <c r="AF51">
        <f>+VLOOKUP($E51,Hybrid!$1:$1048576,AF$2,FALSE)</f>
        <v>0.16468791720000001</v>
      </c>
      <c r="AG51">
        <f>+VLOOKUP($E51,Hybrid!$1:$1048576,AG$2,FALSE)</f>
        <v>0.16243553429999999</v>
      </c>
      <c r="AH51">
        <f>+VLOOKUP($E51,Hybrid!$1:$1048576,AH$2,FALSE)</f>
        <v>0.16006567869999999</v>
      </c>
      <c r="AI51">
        <f>+VLOOKUP($E51,Hybrid!$1:$1048576,AI$2,FALSE)</f>
        <v>0.15758650330000001</v>
      </c>
      <c r="AJ51">
        <f>+VLOOKUP($E51,Hybrid!$1:$1048576,AJ$2,FALSE)</f>
        <v>0.15500606480000001</v>
      </c>
      <c r="AK51">
        <f>+VLOOKUP($E51,Hybrid!$1:$1048576,AK$2,FALSE)</f>
        <v>0.1523323103</v>
      </c>
      <c r="AL51">
        <f>+VLOOKUP($E51,Hybrid!$1:$1048576,AL$2,FALSE)</f>
        <v>0.14957306400000001</v>
      </c>
    </row>
    <row r="52" spans="1:38" ht="15" customHeight="1" x14ac:dyDescent="0.25">
      <c r="A52" s="171"/>
      <c r="B52" s="170"/>
      <c r="C52" s="219"/>
      <c r="D52" s="130" t="s">
        <v>567</v>
      </c>
      <c r="E52" s="47" t="s">
        <v>399</v>
      </c>
      <c r="F52">
        <f>+VLOOKUP($E52,Hybrid!$1:$1048576,F$2,FALSE)</f>
        <v>7.70104608E-2</v>
      </c>
      <c r="G52">
        <f>+VLOOKUP($E52,Hybrid!$1:$1048576,G$2,FALSE)</f>
        <v>7.7721315700000002E-2</v>
      </c>
      <c r="H52">
        <f>+VLOOKUP($E52,Hybrid!$1:$1048576,H$2,FALSE)</f>
        <v>7.8242029099999999E-2</v>
      </c>
      <c r="I52">
        <f>+VLOOKUP($E52,Hybrid!$1:$1048576,I$2,FALSE)</f>
        <v>7.8545799799999996E-2</v>
      </c>
      <c r="J52">
        <f>+VLOOKUP($E52,Hybrid!$1:$1048576,J$2,FALSE)</f>
        <v>7.8624437599999999E-2</v>
      </c>
      <c r="K52">
        <f>+VLOOKUP($E52,Hybrid!$1:$1048576,K$2,FALSE)</f>
        <v>7.8480431599999997E-2</v>
      </c>
      <c r="L52">
        <f>+VLOOKUP($E52,Hybrid!$1:$1048576,L$2,FALSE)</f>
        <v>7.8122275899999996E-2</v>
      </c>
      <c r="M52">
        <f>+VLOOKUP($E52,Hybrid!$1:$1048576,M$2,FALSE)</f>
        <v>7.7561773200000003E-2</v>
      </c>
      <c r="N52">
        <f>+VLOOKUP($E52,Hybrid!$1:$1048576,N$2,FALSE)</f>
        <v>7.6812491100000005E-2</v>
      </c>
      <c r="O52">
        <f>+VLOOKUP($E52,Hybrid!$1:$1048576,O$2,FALSE)</f>
        <v>7.5888872299999993E-2</v>
      </c>
      <c r="P52">
        <f>+VLOOKUP($E52,Hybrid!$1:$1048576,P$2,FALSE)</f>
        <v>7.4805708200000001E-2</v>
      </c>
      <c r="Q52">
        <f>+VLOOKUP($E52,Hybrid!$1:$1048576,Q$2,FALSE)</f>
        <v>7.3577815000000005E-2</v>
      </c>
      <c r="R52">
        <f>+VLOOKUP($E52,Hybrid!$1:$1048576,R$2,FALSE)</f>
        <v>7.2219823200000005E-2</v>
      </c>
      <c r="S52">
        <f>+VLOOKUP($E52,Hybrid!$1:$1048576,S$2,FALSE)</f>
        <v>7.0746033799999997E-2</v>
      </c>
      <c r="T52">
        <f>+VLOOKUP($E52,Hybrid!$1:$1048576,T$2,FALSE)</f>
        <v>6.9170316300000007E-2</v>
      </c>
      <c r="U52">
        <f>+VLOOKUP($E52,Hybrid!$1:$1048576,U$2,FALSE)</f>
        <v>6.7506034699999995E-2</v>
      </c>
      <c r="V52">
        <f>+VLOOKUP($E52,Hybrid!$1:$1048576,V$2,FALSE)</f>
        <v>6.5765993800000005E-2</v>
      </c>
      <c r="W52">
        <f>+VLOOKUP($E52,Hybrid!$1:$1048576,W$2,FALSE)</f>
        <v>6.39623998E-2</v>
      </c>
      <c r="X52">
        <f>+VLOOKUP($E52,Hybrid!$1:$1048576,X$2,FALSE)</f>
        <v>6.21068335E-2</v>
      </c>
      <c r="Y52">
        <f>+VLOOKUP($E52,Hybrid!$1:$1048576,Y$2,FALSE)</f>
        <v>6.02102318E-2</v>
      </c>
      <c r="Z52">
        <f>+VLOOKUP($E52,Hybrid!$1:$1048576,Z$2,FALSE)</f>
        <v>5.8282877400000002E-2</v>
      </c>
      <c r="AA52">
        <f>+VLOOKUP($E52,Hybrid!$1:$1048576,AA$2,FALSE)</f>
        <v>5.6334393500000003E-2</v>
      </c>
      <c r="AB52">
        <f>+VLOOKUP($E52,Hybrid!$1:$1048576,AB$2,FALSE)</f>
        <v>5.43737444E-2</v>
      </c>
      <c r="AC52">
        <f>+VLOOKUP($E52,Hybrid!$1:$1048576,AC$2,FALSE)</f>
        <v>5.2409239099999998E-2</v>
      </c>
      <c r="AD52">
        <f>+VLOOKUP($E52,Hybrid!$1:$1048576,AD$2,FALSE)</f>
        <v>5.0448539799999997E-2</v>
      </c>
      <c r="AE52">
        <f>+VLOOKUP($E52,Hybrid!$1:$1048576,AE$2,FALSE)</f>
        <v>4.8498672399999998E-2</v>
      </c>
      <c r="AF52">
        <f>+VLOOKUP($E52,Hybrid!$1:$1048576,AF$2,FALSE)</f>
        <v>4.6566040699999998E-2</v>
      </c>
      <c r="AG52">
        <f>+VLOOKUP($E52,Hybrid!$1:$1048576,AG$2,FALSE)</f>
        <v>4.4656442499999997E-2</v>
      </c>
      <c r="AH52">
        <f>+VLOOKUP($E52,Hybrid!$1:$1048576,AH$2,FALSE)</f>
        <v>4.2775088099999997E-2</v>
      </c>
      <c r="AI52">
        <f>+VLOOKUP($E52,Hybrid!$1:$1048576,AI$2,FALSE)</f>
        <v>4.0926621500000003E-2</v>
      </c>
      <c r="AJ52">
        <f>+VLOOKUP($E52,Hybrid!$1:$1048576,AJ$2,FALSE)</f>
        <v>3.9115141899999997E-2</v>
      </c>
      <c r="AK52">
        <f>+VLOOKUP($E52,Hybrid!$1:$1048576,AK$2,FALSE)</f>
        <v>3.7344228100000001E-2</v>
      </c>
      <c r="AL52">
        <f>+VLOOKUP($E52,Hybrid!$1:$1048576,AL$2,FALSE)</f>
        <v>3.5616963299999999E-2</v>
      </c>
    </row>
    <row r="53" spans="1:38" ht="15" customHeight="1" x14ac:dyDescent="0.25">
      <c r="A53" s="171"/>
      <c r="B53" s="170"/>
      <c r="C53" s="220"/>
      <c r="D53" s="131" t="s">
        <v>568</v>
      </c>
      <c r="E53" s="96" t="s">
        <v>400</v>
      </c>
      <c r="F53">
        <f>+VLOOKUP($E53,Hybrid!$1:$1048576,F$2,FALSE)</f>
        <v>0.13870944860000001</v>
      </c>
      <c r="G53">
        <f>+VLOOKUP($E53,Hybrid!$1:$1048576,G$2,FALSE)</f>
        <v>0.1394722561</v>
      </c>
      <c r="H53">
        <f>+VLOOKUP($E53,Hybrid!$1:$1048576,H$2,FALSE)</f>
        <v>0.13965508700000001</v>
      </c>
      <c r="I53">
        <f>+VLOOKUP($E53,Hybrid!$1:$1048576,I$2,FALSE)</f>
        <v>0.13924622179999999</v>
      </c>
      <c r="J53">
        <f>+VLOOKUP($E53,Hybrid!$1:$1048576,J$2,FALSE)</f>
        <v>0.1382696749</v>
      </c>
      <c r="K53">
        <f>+VLOOKUP($E53,Hybrid!$1:$1048576,K$2,FALSE)</f>
        <v>0.1367676786</v>
      </c>
      <c r="L53">
        <f>+VLOOKUP($E53,Hybrid!$1:$1048576,L$2,FALSE)</f>
        <v>0.1347908163</v>
      </c>
      <c r="M53">
        <f>+VLOOKUP($E53,Hybrid!$1:$1048576,M$2,FALSE)</f>
        <v>0.13239259850000001</v>
      </c>
      <c r="N53">
        <f>+VLOOKUP($E53,Hybrid!$1:$1048576,N$2,FALSE)</f>
        <v>0.12962652050000001</v>
      </c>
      <c r="O53">
        <f>+VLOOKUP($E53,Hybrid!$1:$1048576,O$2,FALSE)</f>
        <v>0.12654447029999999</v>
      </c>
      <c r="P53">
        <f>+VLOOKUP($E53,Hybrid!$1:$1048576,P$2,FALSE)</f>
        <v>0.123195865</v>
      </c>
      <c r="Q53">
        <f>+VLOOKUP($E53,Hybrid!$1:$1048576,Q$2,FALSE)</f>
        <v>0.1196271825</v>
      </c>
      <c r="R53">
        <f>+VLOOKUP($E53,Hybrid!$1:$1048576,R$2,FALSE)</f>
        <v>0.11588171479999999</v>
      </c>
      <c r="S53">
        <f>+VLOOKUP($E53,Hybrid!$1:$1048576,S$2,FALSE)</f>
        <v>0.1119994555</v>
      </c>
      <c r="T53">
        <f>+VLOOKUP($E53,Hybrid!$1:$1048576,T$2,FALSE)</f>
        <v>0.10801707219999999</v>
      </c>
      <c r="U53">
        <f>+VLOOKUP($E53,Hybrid!$1:$1048576,U$2,FALSE)</f>
        <v>0.1039679376</v>
      </c>
      <c r="V53">
        <f>+VLOOKUP($E53,Hybrid!$1:$1048576,V$2,FALSE)</f>
        <v>9.9882204399999994E-2</v>
      </c>
      <c r="W53">
        <f>+VLOOKUP($E53,Hybrid!$1:$1048576,W$2,FALSE)</f>
        <v>9.57869103E-2</v>
      </c>
      <c r="X53">
        <f>+VLOOKUP($E53,Hybrid!$1:$1048576,X$2,FALSE)</f>
        <v>9.1706106499999995E-2</v>
      </c>
      <c r="Y53">
        <f>+VLOOKUP($E53,Hybrid!$1:$1048576,Y$2,FALSE)</f>
        <v>8.7661003000000001E-2</v>
      </c>
      <c r="Z53">
        <f>+VLOOKUP($E53,Hybrid!$1:$1048576,Z$2,FALSE)</f>
        <v>8.3670124799999995E-2</v>
      </c>
      <c r="AA53">
        <f>+VLOOKUP($E53,Hybrid!$1:$1048576,AA$2,FALSE)</f>
        <v>7.9749476E-2</v>
      </c>
      <c r="AB53">
        <f>+VLOOKUP($E53,Hybrid!$1:$1048576,AB$2,FALSE)</f>
        <v>7.5912708600000003E-2</v>
      </c>
      <c r="AC53">
        <f>+VLOOKUP($E53,Hybrid!$1:$1048576,AC$2,FALSE)</f>
        <v>7.2171291999999998E-2</v>
      </c>
      <c r="AD53">
        <f>+VLOOKUP($E53,Hybrid!$1:$1048576,AD$2,FALSE)</f>
        <v>6.8534683499999999E-2</v>
      </c>
      <c r="AE53">
        <f>+VLOOKUP($E53,Hybrid!$1:$1048576,AE$2,FALSE)</f>
        <v>6.5010495500000001E-2</v>
      </c>
      <c r="AF53">
        <f>+VLOOKUP($E53,Hybrid!$1:$1048576,AF$2,FALSE)</f>
        <v>6.16046601E-2</v>
      </c>
      <c r="AG53">
        <f>+VLOOKUP($E53,Hybrid!$1:$1048576,AG$2,FALSE)</f>
        <v>5.8321589100000001E-2</v>
      </c>
      <c r="AH53">
        <f>+VLOOKUP($E53,Hybrid!$1:$1048576,AH$2,FALSE)</f>
        <v>5.5164326999999999E-2</v>
      </c>
      <c r="AI53">
        <f>+VLOOKUP($E53,Hybrid!$1:$1048576,AI$2,FALSE)</f>
        <v>5.2134699399999998E-2</v>
      </c>
      <c r="AJ53">
        <f>+VLOOKUP($E53,Hybrid!$1:$1048576,AJ$2,FALSE)</f>
        <v>4.9233452300000001E-2</v>
      </c>
      <c r="AK53">
        <f>+VLOOKUP($E53,Hybrid!$1:$1048576,AK$2,FALSE)</f>
        <v>4.6460385299999997E-2</v>
      </c>
      <c r="AL53">
        <f>+VLOOKUP($E53,Hybrid!$1:$1048576,AL$2,FALSE)</f>
        <v>4.38144746E-2</v>
      </c>
    </row>
    <row r="54" spans="1:38" s="115" customFormat="1" ht="15" customHeight="1" x14ac:dyDescent="0.25">
      <c r="A54" s="171"/>
      <c r="B54" s="170"/>
      <c r="C54" s="128" t="s">
        <v>572</v>
      </c>
      <c r="D54" s="129"/>
      <c r="E54" s="93" t="s">
        <v>402</v>
      </c>
    </row>
    <row r="55" spans="1:38" s="115" customFormat="1" ht="15" customHeight="1" x14ac:dyDescent="0.25">
      <c r="A55" s="171"/>
      <c r="B55" s="170"/>
      <c r="C55" s="128" t="s">
        <v>570</v>
      </c>
      <c r="D55" s="129"/>
      <c r="E55" s="93" t="s">
        <v>403</v>
      </c>
    </row>
    <row r="56" spans="1:38" ht="15" customHeight="1" x14ac:dyDescent="0.25">
      <c r="A56" s="171"/>
      <c r="B56" s="170"/>
      <c r="C56" s="219"/>
      <c r="D56" s="130" t="s">
        <v>562</v>
      </c>
      <c r="E56" s="47" t="s">
        <v>404</v>
      </c>
    </row>
    <row r="57" spans="1:38" ht="15" customHeight="1" x14ac:dyDescent="0.25">
      <c r="A57" s="171"/>
      <c r="B57" s="170"/>
      <c r="C57" s="219"/>
      <c r="D57" s="130" t="s">
        <v>563</v>
      </c>
      <c r="E57" s="47" t="s">
        <v>407</v>
      </c>
    </row>
    <row r="58" spans="1:38" ht="15" customHeight="1" x14ac:dyDescent="0.25">
      <c r="A58" s="171"/>
      <c r="B58" s="170"/>
      <c r="C58" s="219"/>
      <c r="D58" s="130" t="s">
        <v>564</v>
      </c>
      <c r="E58" s="47" t="s">
        <v>408</v>
      </c>
    </row>
    <row r="59" spans="1:38" ht="15" customHeight="1" x14ac:dyDescent="0.25">
      <c r="A59" s="171"/>
      <c r="B59" s="170"/>
      <c r="C59" s="219"/>
      <c r="D59" s="130" t="s">
        <v>565</v>
      </c>
      <c r="E59" s="47" t="s">
        <v>409</v>
      </c>
    </row>
    <row r="60" spans="1:38" ht="15" customHeight="1" x14ac:dyDescent="0.25">
      <c r="A60" s="171"/>
      <c r="B60" s="170"/>
      <c r="C60" s="219"/>
      <c r="D60" s="130" t="s">
        <v>566</v>
      </c>
      <c r="E60" s="47" t="s">
        <v>410</v>
      </c>
    </row>
    <row r="61" spans="1:38" ht="15" customHeight="1" x14ac:dyDescent="0.25">
      <c r="A61" s="171"/>
      <c r="B61" s="170"/>
      <c r="C61" s="219"/>
      <c r="D61" s="130" t="s">
        <v>567</v>
      </c>
      <c r="E61" s="47" t="s">
        <v>411</v>
      </c>
    </row>
    <row r="62" spans="1:38" ht="15" customHeight="1" x14ac:dyDescent="0.25">
      <c r="A62" s="171"/>
      <c r="B62" s="170"/>
      <c r="C62" s="219"/>
      <c r="D62" s="130" t="s">
        <v>568</v>
      </c>
      <c r="E62" s="47" t="s">
        <v>412</v>
      </c>
    </row>
    <row r="63" spans="1:38" s="115" customFormat="1" ht="15" customHeight="1" x14ac:dyDescent="0.25">
      <c r="A63" s="171"/>
      <c r="B63" s="170"/>
      <c r="C63" s="128" t="s">
        <v>867</v>
      </c>
      <c r="D63" s="129"/>
      <c r="E63" s="93" t="s">
        <v>405</v>
      </c>
    </row>
    <row r="64" spans="1:38" ht="15" customHeight="1" x14ac:dyDescent="0.25">
      <c r="A64" s="171"/>
      <c r="B64" s="170"/>
      <c r="C64" s="219"/>
      <c r="D64" s="130" t="s">
        <v>562</v>
      </c>
      <c r="E64" s="47" t="s">
        <v>406</v>
      </c>
    </row>
    <row r="65" spans="1:5" ht="15" customHeight="1" x14ac:dyDescent="0.25">
      <c r="A65" s="171"/>
      <c r="B65" s="170"/>
      <c r="C65" s="219"/>
      <c r="D65" s="130" t="s">
        <v>563</v>
      </c>
      <c r="E65" s="47" t="s">
        <v>413</v>
      </c>
    </row>
    <row r="66" spans="1:5" ht="15" customHeight="1" x14ac:dyDescent="0.25">
      <c r="A66" s="171"/>
      <c r="B66" s="170"/>
      <c r="C66" s="219"/>
      <c r="D66" s="130" t="s">
        <v>564</v>
      </c>
      <c r="E66" s="47" t="s">
        <v>414</v>
      </c>
    </row>
    <row r="67" spans="1:5" ht="15" customHeight="1" x14ac:dyDescent="0.25">
      <c r="A67" s="171"/>
      <c r="B67" s="170"/>
      <c r="C67" s="219"/>
      <c r="D67" s="130" t="s">
        <v>565</v>
      </c>
      <c r="E67" s="47" t="s">
        <v>415</v>
      </c>
    </row>
    <row r="68" spans="1:5" ht="15" customHeight="1" x14ac:dyDescent="0.25">
      <c r="A68" s="171"/>
      <c r="B68" s="170"/>
      <c r="C68" s="219"/>
      <c r="D68" s="130" t="s">
        <v>566</v>
      </c>
      <c r="E68" s="47" t="s">
        <v>416</v>
      </c>
    </row>
    <row r="69" spans="1:5" ht="15" customHeight="1" x14ac:dyDescent="0.25">
      <c r="A69" s="171"/>
      <c r="B69" s="170"/>
      <c r="C69" s="219"/>
      <c r="D69" s="130" t="s">
        <v>567</v>
      </c>
      <c r="E69" s="47" t="s">
        <v>417</v>
      </c>
    </row>
    <row r="70" spans="1:5" ht="15" customHeight="1" x14ac:dyDescent="0.25">
      <c r="A70" s="171"/>
      <c r="B70" s="170"/>
      <c r="C70" s="219"/>
      <c r="D70" s="130" t="s">
        <v>568</v>
      </c>
      <c r="E70" s="47" t="s">
        <v>418</v>
      </c>
    </row>
    <row r="71" spans="1:5" s="115" customFormat="1" ht="15" customHeight="1" x14ac:dyDescent="0.25">
      <c r="A71" s="171"/>
      <c r="B71" s="170"/>
      <c r="C71" s="128" t="s">
        <v>868</v>
      </c>
      <c r="D71" s="128"/>
      <c r="E71" s="93" t="s">
        <v>419</v>
      </c>
    </row>
    <row r="72" spans="1:5" ht="15" customHeight="1" x14ac:dyDescent="0.25">
      <c r="A72" s="171"/>
      <c r="B72" s="170"/>
      <c r="C72" s="219"/>
      <c r="D72" s="130" t="s">
        <v>562</v>
      </c>
      <c r="E72" s="47" t="s">
        <v>420</v>
      </c>
    </row>
    <row r="73" spans="1:5" ht="15" customHeight="1" x14ac:dyDescent="0.25">
      <c r="A73" s="171"/>
      <c r="B73" s="170"/>
      <c r="C73" s="219"/>
      <c r="D73" s="130" t="s">
        <v>563</v>
      </c>
      <c r="E73" s="47" t="s">
        <v>421</v>
      </c>
    </row>
    <row r="74" spans="1:5" ht="15" customHeight="1" x14ac:dyDescent="0.25">
      <c r="A74" s="171"/>
      <c r="B74" s="170"/>
      <c r="C74" s="219"/>
      <c r="D74" s="130" t="s">
        <v>564</v>
      </c>
      <c r="E74" s="47" t="s">
        <v>422</v>
      </c>
    </row>
    <row r="75" spans="1:5" ht="15" customHeight="1" x14ac:dyDescent="0.25">
      <c r="A75" s="171"/>
      <c r="B75" s="170"/>
      <c r="C75" s="219"/>
      <c r="D75" s="130" t="s">
        <v>565</v>
      </c>
      <c r="E75" s="47" t="s">
        <v>423</v>
      </c>
    </row>
    <row r="76" spans="1:5" ht="15" customHeight="1" x14ac:dyDescent="0.25">
      <c r="A76" s="171"/>
      <c r="B76" s="170"/>
      <c r="C76" s="219"/>
      <c r="D76" s="130" t="s">
        <v>566</v>
      </c>
      <c r="E76" s="47" t="s">
        <v>424</v>
      </c>
    </row>
    <row r="77" spans="1:5" ht="15" customHeight="1" x14ac:dyDescent="0.25">
      <c r="A77" s="171"/>
      <c r="B77" s="170"/>
      <c r="C77" s="219"/>
      <c r="D77" s="130" t="s">
        <v>567</v>
      </c>
      <c r="E77" s="47" t="s">
        <v>425</v>
      </c>
    </row>
    <row r="78" spans="1:5" ht="15" customHeight="1" x14ac:dyDescent="0.25">
      <c r="A78" s="171"/>
      <c r="B78" s="170"/>
      <c r="C78" s="220"/>
      <c r="D78" s="131" t="s">
        <v>568</v>
      </c>
      <c r="E78" s="96" t="s">
        <v>426</v>
      </c>
    </row>
    <row r="79" spans="1:5" s="115" customFormat="1" ht="15" customHeight="1" x14ac:dyDescent="0.25">
      <c r="A79" s="171"/>
      <c r="B79" s="170"/>
      <c r="C79" s="128" t="s">
        <v>573</v>
      </c>
      <c r="D79" s="129"/>
      <c r="E79" s="93" t="s">
        <v>427</v>
      </c>
    </row>
    <row r="80" spans="1:5" s="115" customFormat="1" ht="15" customHeight="1" x14ac:dyDescent="0.25">
      <c r="A80" s="171"/>
      <c r="B80" s="170"/>
      <c r="C80" s="128" t="s">
        <v>570</v>
      </c>
      <c r="D80" s="129"/>
      <c r="E80" s="93" t="s">
        <v>428</v>
      </c>
    </row>
    <row r="81" spans="1:5" ht="15" customHeight="1" x14ac:dyDescent="0.25">
      <c r="A81" s="171"/>
      <c r="B81" s="170"/>
      <c r="C81" s="219"/>
      <c r="D81" s="130" t="s">
        <v>562</v>
      </c>
      <c r="E81" s="47" t="s">
        <v>429</v>
      </c>
    </row>
    <row r="82" spans="1:5" ht="15" customHeight="1" x14ac:dyDescent="0.25">
      <c r="A82" s="171"/>
      <c r="B82" s="170"/>
      <c r="C82" s="219"/>
      <c r="D82" s="130" t="s">
        <v>563</v>
      </c>
      <c r="E82" s="47" t="s">
        <v>430</v>
      </c>
    </row>
    <row r="83" spans="1:5" ht="15" customHeight="1" x14ac:dyDescent="0.25">
      <c r="A83" s="171"/>
      <c r="B83" s="170"/>
      <c r="C83" s="219"/>
      <c r="D83" s="130" t="s">
        <v>564</v>
      </c>
      <c r="E83" s="47" t="s">
        <v>431</v>
      </c>
    </row>
    <row r="84" spans="1:5" ht="15" customHeight="1" x14ac:dyDescent="0.25">
      <c r="A84" s="171"/>
      <c r="B84" s="170"/>
      <c r="C84" s="219"/>
      <c r="D84" s="130" t="s">
        <v>565</v>
      </c>
      <c r="E84" s="47" t="s">
        <v>432</v>
      </c>
    </row>
    <row r="85" spans="1:5" ht="15" customHeight="1" x14ac:dyDescent="0.25">
      <c r="A85" s="171"/>
      <c r="B85" s="170"/>
      <c r="C85" s="219"/>
      <c r="D85" s="130" t="s">
        <v>566</v>
      </c>
      <c r="E85" s="47" t="s">
        <v>433</v>
      </c>
    </row>
    <row r="86" spans="1:5" ht="15" customHeight="1" x14ac:dyDescent="0.25">
      <c r="A86" s="171"/>
      <c r="B86" s="170"/>
      <c r="C86" s="219"/>
      <c r="D86" s="130" t="s">
        <v>567</v>
      </c>
      <c r="E86" s="47" t="s">
        <v>434</v>
      </c>
    </row>
    <row r="87" spans="1:5" ht="15" customHeight="1" x14ac:dyDescent="0.25">
      <c r="A87" s="171"/>
      <c r="B87" s="170"/>
      <c r="C87" s="219"/>
      <c r="D87" s="130" t="s">
        <v>568</v>
      </c>
      <c r="E87" s="47" t="s">
        <v>435</v>
      </c>
    </row>
    <row r="88" spans="1:5" s="115" customFormat="1" ht="15" customHeight="1" x14ac:dyDescent="0.25">
      <c r="A88" s="171"/>
      <c r="B88" s="170"/>
      <c r="C88" s="128" t="s">
        <v>867</v>
      </c>
      <c r="D88" s="129"/>
      <c r="E88" s="93" t="s">
        <v>436</v>
      </c>
    </row>
    <row r="89" spans="1:5" ht="15" customHeight="1" x14ac:dyDescent="0.25">
      <c r="A89" s="171"/>
      <c r="B89" s="170"/>
      <c r="C89" s="219"/>
      <c r="D89" s="130" t="s">
        <v>562</v>
      </c>
      <c r="E89" s="47" t="s">
        <v>437</v>
      </c>
    </row>
    <row r="90" spans="1:5" ht="15" customHeight="1" x14ac:dyDescent="0.25">
      <c r="A90" s="171"/>
      <c r="B90" s="170"/>
      <c r="C90" s="219"/>
      <c r="D90" s="130" t="s">
        <v>563</v>
      </c>
      <c r="E90" s="47" t="s">
        <v>438</v>
      </c>
    </row>
    <row r="91" spans="1:5" ht="15" customHeight="1" x14ac:dyDescent="0.25">
      <c r="A91" s="171"/>
      <c r="B91" s="170"/>
      <c r="C91" s="219"/>
      <c r="D91" s="130" t="s">
        <v>564</v>
      </c>
      <c r="E91" s="47" t="s">
        <v>439</v>
      </c>
    </row>
    <row r="92" spans="1:5" ht="15" customHeight="1" x14ac:dyDescent="0.25">
      <c r="A92" s="171"/>
      <c r="B92" s="170"/>
      <c r="C92" s="219"/>
      <c r="D92" s="130" t="s">
        <v>565</v>
      </c>
      <c r="E92" s="47" t="s">
        <v>440</v>
      </c>
    </row>
    <row r="93" spans="1:5" ht="15" customHeight="1" x14ac:dyDescent="0.25">
      <c r="A93" s="171"/>
      <c r="B93" s="170"/>
      <c r="C93" s="219"/>
      <c r="D93" s="130" t="s">
        <v>566</v>
      </c>
      <c r="E93" s="47" t="s">
        <v>441</v>
      </c>
    </row>
    <row r="94" spans="1:5" ht="15" customHeight="1" x14ac:dyDescent="0.25">
      <c r="A94" s="171"/>
      <c r="B94" s="170"/>
      <c r="C94" s="219"/>
      <c r="D94" s="130" t="s">
        <v>567</v>
      </c>
      <c r="E94" s="47" t="s">
        <v>442</v>
      </c>
    </row>
    <row r="95" spans="1:5" ht="15" customHeight="1" x14ac:dyDescent="0.25">
      <c r="A95" s="171"/>
      <c r="B95" s="170"/>
      <c r="C95" s="219"/>
      <c r="D95" s="130" t="s">
        <v>568</v>
      </c>
      <c r="E95" s="47" t="s">
        <v>443</v>
      </c>
    </row>
    <row r="96" spans="1:5" s="115" customFormat="1" ht="15" customHeight="1" x14ac:dyDescent="0.25">
      <c r="A96" s="171"/>
      <c r="B96" s="170"/>
      <c r="C96" s="128" t="s">
        <v>868</v>
      </c>
      <c r="D96" s="128"/>
      <c r="E96" s="93" t="s">
        <v>444</v>
      </c>
    </row>
    <row r="97" spans="1:5" ht="15" customHeight="1" x14ac:dyDescent="0.25">
      <c r="A97" s="171"/>
      <c r="B97" s="170"/>
      <c r="C97" s="219"/>
      <c r="D97" s="130" t="s">
        <v>562</v>
      </c>
      <c r="E97" s="47" t="s">
        <v>445</v>
      </c>
    </row>
    <row r="98" spans="1:5" ht="15" customHeight="1" x14ac:dyDescent="0.25">
      <c r="A98" s="171"/>
      <c r="B98" s="170"/>
      <c r="C98" s="219"/>
      <c r="D98" s="130" t="s">
        <v>563</v>
      </c>
      <c r="E98" s="47" t="s">
        <v>446</v>
      </c>
    </row>
    <row r="99" spans="1:5" ht="15" customHeight="1" x14ac:dyDescent="0.25">
      <c r="A99" s="171"/>
      <c r="B99" s="170"/>
      <c r="C99" s="219"/>
      <c r="D99" s="130" t="s">
        <v>564</v>
      </c>
      <c r="E99" s="47" t="s">
        <v>447</v>
      </c>
    </row>
    <row r="100" spans="1:5" ht="15" customHeight="1" x14ac:dyDescent="0.25">
      <c r="A100" s="171"/>
      <c r="B100" s="170"/>
      <c r="C100" s="219"/>
      <c r="D100" s="130" t="s">
        <v>565</v>
      </c>
      <c r="E100" s="47" t="s">
        <v>448</v>
      </c>
    </row>
    <row r="101" spans="1:5" ht="15" customHeight="1" x14ac:dyDescent="0.25">
      <c r="A101" s="171"/>
      <c r="B101" s="170"/>
      <c r="C101" s="219"/>
      <c r="D101" s="130" t="s">
        <v>566</v>
      </c>
      <c r="E101" s="47" t="s">
        <v>449</v>
      </c>
    </row>
    <row r="102" spans="1:5" ht="15" customHeight="1" x14ac:dyDescent="0.25">
      <c r="A102" s="171"/>
      <c r="B102" s="170"/>
      <c r="C102" s="219"/>
      <c r="D102" s="130" t="s">
        <v>567</v>
      </c>
      <c r="E102" s="47" t="s">
        <v>450</v>
      </c>
    </row>
    <row r="103" spans="1:5" ht="15" customHeight="1" x14ac:dyDescent="0.25">
      <c r="A103" s="171"/>
      <c r="B103" s="170"/>
      <c r="C103" s="219"/>
      <c r="D103" s="130" t="s">
        <v>568</v>
      </c>
      <c r="E103" s="47" t="s">
        <v>451</v>
      </c>
    </row>
    <row r="104" spans="1:5" s="115" customFormat="1" ht="15" customHeight="1" x14ac:dyDescent="0.25">
      <c r="A104" s="171"/>
      <c r="B104" s="169" t="s">
        <v>581</v>
      </c>
      <c r="C104" s="132" t="s">
        <v>571</v>
      </c>
      <c r="D104" s="132"/>
      <c r="E104" s="94" t="s">
        <v>452</v>
      </c>
    </row>
    <row r="105" spans="1:5" ht="15" customHeight="1" x14ac:dyDescent="0.25">
      <c r="A105" s="171"/>
      <c r="B105" s="169"/>
      <c r="C105" s="133"/>
      <c r="D105" s="133" t="s">
        <v>562</v>
      </c>
      <c r="E105" s="48" t="s">
        <v>453</v>
      </c>
    </row>
    <row r="106" spans="1:5" ht="15" customHeight="1" x14ac:dyDescent="0.25">
      <c r="A106" s="171"/>
      <c r="B106" s="169"/>
      <c r="C106" s="133"/>
      <c r="D106" s="133" t="s">
        <v>563</v>
      </c>
      <c r="E106" s="48" t="s">
        <v>454</v>
      </c>
    </row>
    <row r="107" spans="1:5" ht="15" customHeight="1" x14ac:dyDescent="0.25">
      <c r="A107" s="171"/>
      <c r="B107" s="169"/>
      <c r="C107" s="133"/>
      <c r="D107" s="133" t="s">
        <v>564</v>
      </c>
      <c r="E107" s="48" t="s">
        <v>455</v>
      </c>
    </row>
    <row r="108" spans="1:5" ht="15" customHeight="1" x14ac:dyDescent="0.25">
      <c r="A108" s="171"/>
      <c r="B108" s="169"/>
      <c r="C108" s="133"/>
      <c r="D108" s="133" t="s">
        <v>565</v>
      </c>
      <c r="E108" s="48" t="s">
        <v>456</v>
      </c>
    </row>
    <row r="109" spans="1:5" ht="15" customHeight="1" x14ac:dyDescent="0.25">
      <c r="A109" s="171"/>
      <c r="B109" s="169"/>
      <c r="C109" s="133"/>
      <c r="D109" s="133" t="s">
        <v>566</v>
      </c>
      <c r="E109" s="48" t="s">
        <v>457</v>
      </c>
    </row>
    <row r="110" spans="1:5" ht="15" customHeight="1" x14ac:dyDescent="0.25">
      <c r="A110" s="171"/>
      <c r="B110" s="169"/>
      <c r="C110" s="133"/>
      <c r="D110" s="133" t="s">
        <v>567</v>
      </c>
      <c r="E110" s="48" t="s">
        <v>458</v>
      </c>
    </row>
    <row r="111" spans="1:5" ht="15" customHeight="1" x14ac:dyDescent="0.25">
      <c r="A111" s="171"/>
      <c r="B111" s="169"/>
      <c r="C111" s="221"/>
      <c r="D111" s="134" t="s">
        <v>568</v>
      </c>
      <c r="E111" s="53" t="s">
        <v>459</v>
      </c>
    </row>
    <row r="112" spans="1:5" s="115" customFormat="1" ht="15" customHeight="1" x14ac:dyDescent="0.25">
      <c r="A112" s="171"/>
      <c r="B112" s="169"/>
      <c r="C112" s="132" t="s">
        <v>569</v>
      </c>
      <c r="D112" s="132"/>
      <c r="E112" s="94" t="s">
        <v>460</v>
      </c>
    </row>
    <row r="113" spans="1:5" ht="15" customHeight="1" x14ac:dyDescent="0.25">
      <c r="A113" s="171"/>
      <c r="B113" s="169"/>
      <c r="C113" s="133"/>
      <c r="D113" s="133" t="s">
        <v>562</v>
      </c>
      <c r="E113" s="48" t="s">
        <v>461</v>
      </c>
    </row>
    <row r="114" spans="1:5" ht="15" customHeight="1" x14ac:dyDescent="0.25">
      <c r="A114" s="171"/>
      <c r="B114" s="169"/>
      <c r="C114" s="133"/>
      <c r="D114" s="133" t="s">
        <v>563</v>
      </c>
      <c r="E114" s="48" t="s">
        <v>462</v>
      </c>
    </row>
    <row r="115" spans="1:5" ht="15" customHeight="1" x14ac:dyDescent="0.25">
      <c r="A115" s="171"/>
      <c r="B115" s="169"/>
      <c r="C115" s="133"/>
      <c r="D115" s="133" t="s">
        <v>564</v>
      </c>
      <c r="E115" s="48" t="s">
        <v>463</v>
      </c>
    </row>
    <row r="116" spans="1:5" ht="15" customHeight="1" x14ac:dyDescent="0.25">
      <c r="A116" s="171"/>
      <c r="B116" s="169"/>
      <c r="C116" s="133"/>
      <c r="D116" s="133" t="s">
        <v>565</v>
      </c>
      <c r="E116" s="48" t="s">
        <v>464</v>
      </c>
    </row>
    <row r="117" spans="1:5" ht="15" customHeight="1" x14ac:dyDescent="0.25">
      <c r="A117" s="171"/>
      <c r="B117" s="169"/>
      <c r="C117" s="133"/>
      <c r="D117" s="133" t="s">
        <v>566</v>
      </c>
      <c r="E117" s="48" t="s">
        <v>465</v>
      </c>
    </row>
    <row r="118" spans="1:5" ht="15" customHeight="1" x14ac:dyDescent="0.25">
      <c r="A118" s="171"/>
      <c r="B118" s="169"/>
      <c r="C118" s="133"/>
      <c r="D118" s="133" t="s">
        <v>567</v>
      </c>
      <c r="E118" s="48" t="s">
        <v>466</v>
      </c>
    </row>
    <row r="119" spans="1:5" ht="15" customHeight="1" x14ac:dyDescent="0.25">
      <c r="A119" s="171"/>
      <c r="B119" s="169"/>
      <c r="C119" s="133"/>
      <c r="D119" s="135" t="s">
        <v>568</v>
      </c>
      <c r="E119" s="48" t="s">
        <v>467</v>
      </c>
    </row>
    <row r="120" spans="1:5" ht="15" customHeight="1" x14ac:dyDescent="0.25">
      <c r="A120" s="171"/>
      <c r="B120" s="177" t="s">
        <v>582</v>
      </c>
      <c r="C120" s="222" t="s">
        <v>574</v>
      </c>
      <c r="D120" s="136"/>
      <c r="E120" s="49"/>
    </row>
    <row r="121" spans="1:5" ht="15" customHeight="1" x14ac:dyDescent="0.25">
      <c r="A121" s="171"/>
      <c r="B121" s="177"/>
      <c r="C121" s="136" t="s">
        <v>575</v>
      </c>
      <c r="D121" s="136"/>
      <c r="E121" s="49" t="s">
        <v>468</v>
      </c>
    </row>
    <row r="122" spans="1:5" ht="15" customHeight="1" x14ac:dyDescent="0.25">
      <c r="A122" s="171"/>
      <c r="B122" s="177"/>
      <c r="C122" s="136" t="s">
        <v>485</v>
      </c>
      <c r="D122" s="136"/>
      <c r="E122" s="49" t="s">
        <v>469</v>
      </c>
    </row>
    <row r="123" spans="1:5" ht="15" customHeight="1" x14ac:dyDescent="0.25">
      <c r="A123" s="171"/>
      <c r="B123" s="177"/>
      <c r="C123" s="136" t="s">
        <v>577</v>
      </c>
      <c r="D123" s="136"/>
      <c r="E123" s="49" t="s">
        <v>470</v>
      </c>
    </row>
    <row r="124" spans="1:5" ht="15" customHeight="1" x14ac:dyDescent="0.25">
      <c r="A124" s="171"/>
      <c r="B124" s="177"/>
      <c r="C124" s="136"/>
      <c r="D124" s="136" t="s">
        <v>576</v>
      </c>
      <c r="E124" s="49" t="s">
        <v>471</v>
      </c>
    </row>
    <row r="125" spans="1:5" ht="15" customHeight="1" x14ac:dyDescent="0.25">
      <c r="A125" s="171"/>
      <c r="B125" s="177"/>
      <c r="C125" s="136"/>
      <c r="D125" s="136" t="s">
        <v>166</v>
      </c>
      <c r="E125" s="49" t="s">
        <v>472</v>
      </c>
    </row>
    <row r="126" spans="1:5" ht="15" customHeight="1" x14ac:dyDescent="0.25">
      <c r="A126" s="171"/>
      <c r="B126" s="177"/>
      <c r="C126" s="136" t="s">
        <v>578</v>
      </c>
      <c r="D126" s="136"/>
      <c r="E126" s="49" t="s">
        <v>473</v>
      </c>
    </row>
    <row r="127" spans="1:5" ht="15" customHeight="1" x14ac:dyDescent="0.25">
      <c r="A127" s="171"/>
      <c r="B127" s="177"/>
      <c r="C127" s="136"/>
      <c r="D127" s="136" t="s">
        <v>167</v>
      </c>
      <c r="E127" s="49" t="s">
        <v>474</v>
      </c>
    </row>
    <row r="128" spans="1:5" ht="15" customHeight="1" x14ac:dyDescent="0.25">
      <c r="A128" s="171"/>
      <c r="B128" s="177"/>
      <c r="C128" s="137"/>
      <c r="D128" s="137" t="s">
        <v>579</v>
      </c>
      <c r="E128" s="99" t="s">
        <v>475</v>
      </c>
    </row>
    <row r="129" spans="1:5" ht="15" customHeight="1" x14ac:dyDescent="0.25">
      <c r="A129" s="171"/>
      <c r="B129" s="177"/>
      <c r="C129" s="222" t="s">
        <v>476</v>
      </c>
      <c r="D129" s="136"/>
      <c r="E129" s="49"/>
    </row>
    <row r="130" spans="1:5" ht="15" customHeight="1" x14ac:dyDescent="0.25">
      <c r="A130" s="171"/>
      <c r="B130" s="177"/>
      <c r="C130" s="136" t="s">
        <v>575</v>
      </c>
      <c r="D130" s="136"/>
      <c r="E130" s="49" t="s">
        <v>477</v>
      </c>
    </row>
    <row r="131" spans="1:5" ht="15" customHeight="1" x14ac:dyDescent="0.25">
      <c r="A131" s="171"/>
      <c r="B131" s="177"/>
      <c r="C131" s="136" t="s">
        <v>485</v>
      </c>
      <c r="D131" s="136"/>
      <c r="E131" s="49" t="s">
        <v>478</v>
      </c>
    </row>
    <row r="132" spans="1:5" ht="15" customHeight="1" x14ac:dyDescent="0.25">
      <c r="A132" s="171"/>
      <c r="B132" s="177"/>
      <c r="C132" s="136" t="s">
        <v>577</v>
      </c>
      <c r="D132" s="136"/>
      <c r="E132" s="49" t="s">
        <v>479</v>
      </c>
    </row>
    <row r="133" spans="1:5" ht="15" customHeight="1" x14ac:dyDescent="0.25">
      <c r="A133" s="171"/>
      <c r="B133" s="177"/>
      <c r="C133" s="136"/>
      <c r="D133" s="136" t="s">
        <v>165</v>
      </c>
      <c r="E133" s="49" t="s">
        <v>480</v>
      </c>
    </row>
    <row r="134" spans="1:5" ht="15" customHeight="1" x14ac:dyDescent="0.25">
      <c r="A134" s="171"/>
      <c r="B134" s="177"/>
      <c r="C134" s="136"/>
      <c r="D134" s="136" t="s">
        <v>166</v>
      </c>
      <c r="E134" s="49" t="s">
        <v>481</v>
      </c>
    </row>
    <row r="135" spans="1:5" ht="15" customHeight="1" x14ac:dyDescent="0.25">
      <c r="A135" s="171"/>
      <c r="B135" s="177"/>
      <c r="C135" s="136" t="s">
        <v>578</v>
      </c>
      <c r="D135" s="136"/>
      <c r="E135" s="49" t="s">
        <v>482</v>
      </c>
    </row>
    <row r="136" spans="1:5" ht="15" customHeight="1" x14ac:dyDescent="0.25">
      <c r="A136" s="171"/>
      <c r="B136" s="177"/>
      <c r="C136" s="136"/>
      <c r="D136" s="136" t="s">
        <v>167</v>
      </c>
      <c r="E136" s="49" t="s">
        <v>483</v>
      </c>
    </row>
    <row r="137" spans="1:5" ht="15" customHeight="1" x14ac:dyDescent="0.25">
      <c r="A137" s="172"/>
      <c r="B137" s="178"/>
      <c r="C137" s="137"/>
      <c r="D137" s="137" t="s">
        <v>579</v>
      </c>
      <c r="E137" s="50" t="s">
        <v>484</v>
      </c>
    </row>
    <row r="138" spans="1:5" ht="15" customHeight="1" x14ac:dyDescent="0.25">
      <c r="A138" s="179" t="s">
        <v>631</v>
      </c>
      <c r="B138" s="175" t="s">
        <v>588</v>
      </c>
      <c r="C138" s="223" t="s">
        <v>583</v>
      </c>
      <c r="D138" s="138"/>
      <c r="E138" s="87"/>
    </row>
    <row r="139" spans="1:5" ht="15" customHeight="1" x14ac:dyDescent="0.25">
      <c r="A139" s="180"/>
      <c r="B139" s="176"/>
      <c r="C139" s="138"/>
      <c r="D139" s="138" t="s">
        <v>561</v>
      </c>
      <c r="E139" s="87" t="s">
        <v>488</v>
      </c>
    </row>
    <row r="140" spans="1:5" ht="15" customHeight="1" x14ac:dyDescent="0.25">
      <c r="A140" s="180"/>
      <c r="B140" s="176"/>
      <c r="C140" s="138"/>
      <c r="D140" s="138" t="s">
        <v>589</v>
      </c>
      <c r="E140" s="87" t="s">
        <v>489</v>
      </c>
    </row>
    <row r="141" spans="1:5" ht="15" customHeight="1" x14ac:dyDescent="0.25">
      <c r="A141" s="180"/>
      <c r="B141" s="176"/>
      <c r="C141" s="223" t="s">
        <v>584</v>
      </c>
      <c r="D141" s="138"/>
      <c r="E141" s="51"/>
    </row>
    <row r="142" spans="1:5" ht="15" customHeight="1" x14ac:dyDescent="0.25">
      <c r="A142" s="180"/>
      <c r="B142" s="176"/>
      <c r="C142" s="138"/>
      <c r="D142" s="138" t="s">
        <v>561</v>
      </c>
      <c r="E142" s="87" t="s">
        <v>490</v>
      </c>
    </row>
    <row r="143" spans="1:5" ht="15" customHeight="1" x14ac:dyDescent="0.25">
      <c r="A143" s="180"/>
      <c r="B143" s="176"/>
      <c r="C143" s="138"/>
      <c r="D143" s="138" t="s">
        <v>589</v>
      </c>
      <c r="E143" s="87" t="s">
        <v>491</v>
      </c>
    </row>
    <row r="144" spans="1:5" ht="15" customHeight="1" x14ac:dyDescent="0.25">
      <c r="A144" s="180"/>
      <c r="B144" s="176"/>
      <c r="C144" s="223" t="s">
        <v>585</v>
      </c>
      <c r="D144" s="138"/>
      <c r="E144" s="51"/>
    </row>
    <row r="145" spans="1:5" ht="15" customHeight="1" x14ac:dyDescent="0.25">
      <c r="A145" s="180"/>
      <c r="B145" s="176"/>
      <c r="C145" s="138"/>
      <c r="D145" s="138" t="s">
        <v>590</v>
      </c>
      <c r="E145" s="87" t="s">
        <v>494</v>
      </c>
    </row>
    <row r="146" spans="1:5" ht="15" customHeight="1" x14ac:dyDescent="0.25">
      <c r="A146" s="180"/>
      <c r="B146" s="176"/>
      <c r="C146" s="138"/>
      <c r="D146" s="138" t="s">
        <v>591</v>
      </c>
      <c r="E146" s="87" t="s">
        <v>495</v>
      </c>
    </row>
    <row r="147" spans="1:5" ht="15" customHeight="1" x14ac:dyDescent="0.25">
      <c r="A147" s="180"/>
      <c r="B147" s="176"/>
      <c r="C147" s="223" t="s">
        <v>586</v>
      </c>
      <c r="D147" s="138"/>
      <c r="E147" s="51"/>
    </row>
    <row r="148" spans="1:5" s="74" customFormat="1" ht="15" customHeight="1" x14ac:dyDescent="0.25">
      <c r="A148" s="180"/>
      <c r="B148" s="176"/>
      <c r="C148" s="138"/>
      <c r="D148" s="138" t="s">
        <v>172</v>
      </c>
      <c r="E148" s="87" t="s">
        <v>505</v>
      </c>
    </row>
    <row r="149" spans="1:5" s="74" customFormat="1" ht="15" customHeight="1" x14ac:dyDescent="0.25">
      <c r="A149" s="180"/>
      <c r="B149" s="176"/>
      <c r="C149" s="138"/>
      <c r="D149" s="138" t="s">
        <v>173</v>
      </c>
      <c r="E149" s="87" t="s">
        <v>506</v>
      </c>
    </row>
    <row r="150" spans="1:5" s="74" customFormat="1" ht="15" customHeight="1" x14ac:dyDescent="0.25">
      <c r="A150" s="180"/>
      <c r="B150" s="176"/>
      <c r="C150" s="138"/>
      <c r="D150" s="138" t="s">
        <v>174</v>
      </c>
      <c r="E150" s="87" t="s">
        <v>507</v>
      </c>
    </row>
    <row r="151" spans="1:5" s="74" customFormat="1" ht="15" customHeight="1" x14ac:dyDescent="0.25">
      <c r="A151" s="180"/>
      <c r="B151" s="176"/>
      <c r="C151" s="138"/>
      <c r="D151" s="138" t="s">
        <v>175</v>
      </c>
      <c r="E151" s="87" t="s">
        <v>508</v>
      </c>
    </row>
    <row r="152" spans="1:5" s="74" customFormat="1" ht="15" customHeight="1" x14ac:dyDescent="0.25">
      <c r="A152" s="180"/>
      <c r="B152" s="176"/>
      <c r="C152" s="138"/>
      <c r="D152" s="138" t="s">
        <v>176</v>
      </c>
      <c r="E152" s="87" t="s">
        <v>509</v>
      </c>
    </row>
    <row r="153" spans="1:5" ht="15" customHeight="1" x14ac:dyDescent="0.25">
      <c r="A153" s="180"/>
      <c r="B153" s="176"/>
      <c r="C153" s="138"/>
      <c r="D153" s="138" t="s">
        <v>177</v>
      </c>
      <c r="E153" s="87" t="s">
        <v>510</v>
      </c>
    </row>
    <row r="154" spans="1:5" ht="15" customHeight="1" x14ac:dyDescent="0.25">
      <c r="A154" s="180"/>
      <c r="B154" s="176"/>
      <c r="C154" s="138"/>
      <c r="D154" s="138" t="s">
        <v>592</v>
      </c>
      <c r="E154" s="87" t="s">
        <v>511</v>
      </c>
    </row>
    <row r="155" spans="1:5" ht="15" customHeight="1" x14ac:dyDescent="0.25">
      <c r="A155" s="180"/>
      <c r="B155" s="176"/>
      <c r="C155" s="138"/>
      <c r="D155" s="138" t="s">
        <v>503</v>
      </c>
      <c r="E155" s="87" t="s">
        <v>512</v>
      </c>
    </row>
    <row r="156" spans="1:5" ht="15" customHeight="1" x14ac:dyDescent="0.25">
      <c r="A156" s="180"/>
      <c r="B156" s="176"/>
      <c r="C156" s="138"/>
      <c r="D156" s="138" t="s">
        <v>504</v>
      </c>
      <c r="E156" s="87" t="s">
        <v>513</v>
      </c>
    </row>
    <row r="157" spans="1:5" s="74" customFormat="1" ht="15" customHeight="1" x14ac:dyDescent="0.25">
      <c r="A157" s="180"/>
      <c r="B157" s="176"/>
      <c r="C157" s="223" t="s">
        <v>587</v>
      </c>
      <c r="D157" s="138"/>
      <c r="E157" s="87"/>
    </row>
    <row r="158" spans="1:5" s="74" customFormat="1" ht="15" customHeight="1" x14ac:dyDescent="0.25">
      <c r="A158" s="180"/>
      <c r="B158" s="176"/>
      <c r="C158" s="138"/>
      <c r="D158" s="138" t="s">
        <v>172</v>
      </c>
      <c r="E158" s="87" t="s">
        <v>514</v>
      </c>
    </row>
    <row r="159" spans="1:5" s="74" customFormat="1" ht="15" customHeight="1" x14ac:dyDescent="0.25">
      <c r="A159" s="180"/>
      <c r="B159" s="176"/>
      <c r="C159" s="138"/>
      <c r="D159" s="138" t="s">
        <v>173</v>
      </c>
      <c r="E159" s="87" t="s">
        <v>515</v>
      </c>
    </row>
    <row r="160" spans="1:5" s="74" customFormat="1" ht="15" customHeight="1" x14ac:dyDescent="0.25">
      <c r="A160" s="180"/>
      <c r="B160" s="176"/>
      <c r="C160" s="138"/>
      <c r="D160" s="138" t="s">
        <v>174</v>
      </c>
      <c r="E160" s="87" t="s">
        <v>516</v>
      </c>
    </row>
    <row r="161" spans="1:5" s="74" customFormat="1" ht="15" customHeight="1" x14ac:dyDescent="0.25">
      <c r="A161" s="180"/>
      <c r="B161" s="176"/>
      <c r="C161" s="138"/>
      <c r="D161" s="138" t="s">
        <v>175</v>
      </c>
      <c r="E161" s="87" t="s">
        <v>517</v>
      </c>
    </row>
    <row r="162" spans="1:5" s="74" customFormat="1" ht="15" customHeight="1" x14ac:dyDescent="0.25">
      <c r="A162" s="180"/>
      <c r="B162" s="176"/>
      <c r="C162" s="138"/>
      <c r="D162" s="138" t="s">
        <v>176</v>
      </c>
      <c r="E162" s="87" t="s">
        <v>518</v>
      </c>
    </row>
    <row r="163" spans="1:5" s="74" customFormat="1" ht="15" customHeight="1" x14ac:dyDescent="0.25">
      <c r="A163" s="180"/>
      <c r="B163" s="176"/>
      <c r="C163" s="138"/>
      <c r="D163" s="138" t="s">
        <v>177</v>
      </c>
      <c r="E163" s="87" t="s">
        <v>519</v>
      </c>
    </row>
    <row r="164" spans="1:5" s="74" customFormat="1" ht="15" customHeight="1" x14ac:dyDescent="0.25">
      <c r="A164" s="180"/>
      <c r="B164" s="176"/>
      <c r="C164" s="138"/>
      <c r="D164" s="138" t="s">
        <v>592</v>
      </c>
      <c r="E164" s="87" t="s">
        <v>520</v>
      </c>
    </row>
    <row r="165" spans="1:5" s="74" customFormat="1" ht="15" customHeight="1" x14ac:dyDescent="0.25">
      <c r="A165" s="180"/>
      <c r="B165" s="176"/>
      <c r="C165" s="138"/>
      <c r="D165" s="138" t="s">
        <v>503</v>
      </c>
      <c r="E165" s="87" t="s">
        <v>521</v>
      </c>
    </row>
    <row r="166" spans="1:5" s="74" customFormat="1" ht="15" customHeight="1" x14ac:dyDescent="0.25">
      <c r="A166" s="180"/>
      <c r="B166" s="176"/>
      <c r="C166" s="139"/>
      <c r="D166" s="139" t="s">
        <v>504</v>
      </c>
      <c r="E166" s="100" t="s">
        <v>522</v>
      </c>
    </row>
    <row r="167" spans="1:5" s="74" customFormat="1" ht="15" customHeight="1" x14ac:dyDescent="0.25">
      <c r="A167" s="180"/>
      <c r="B167" s="176"/>
      <c r="C167" s="223" t="s">
        <v>523</v>
      </c>
      <c r="D167" s="138"/>
      <c r="E167" s="87"/>
    </row>
    <row r="168" spans="1:5" s="74" customFormat="1" ht="15" customHeight="1" x14ac:dyDescent="0.25">
      <c r="A168" s="180"/>
      <c r="B168" s="176"/>
      <c r="C168" s="138"/>
      <c r="D168" s="138" t="s">
        <v>561</v>
      </c>
      <c r="E168" s="87" t="s">
        <v>528</v>
      </c>
    </row>
    <row r="169" spans="1:5" s="74" customFormat="1" ht="15" customHeight="1" x14ac:dyDescent="0.25">
      <c r="A169" s="180"/>
      <c r="B169" s="176"/>
      <c r="C169" s="138"/>
      <c r="D169" s="138" t="s">
        <v>589</v>
      </c>
      <c r="E169" s="87" t="s">
        <v>529</v>
      </c>
    </row>
    <row r="170" spans="1:5" s="74" customFormat="1" ht="15" customHeight="1" x14ac:dyDescent="0.25">
      <c r="A170" s="180"/>
      <c r="B170" s="176"/>
      <c r="C170" s="223" t="s">
        <v>524</v>
      </c>
      <c r="D170" s="138"/>
      <c r="E170" s="87"/>
    </row>
    <row r="171" spans="1:5" s="74" customFormat="1" ht="15" customHeight="1" x14ac:dyDescent="0.25">
      <c r="A171" s="180"/>
      <c r="B171" s="176"/>
      <c r="C171" s="138"/>
      <c r="D171" s="138" t="s">
        <v>561</v>
      </c>
      <c r="E171" s="87" t="s">
        <v>530</v>
      </c>
    </row>
    <row r="172" spans="1:5" s="74" customFormat="1" ht="15" customHeight="1" x14ac:dyDescent="0.25">
      <c r="A172" s="180"/>
      <c r="B172" s="176"/>
      <c r="C172" s="138"/>
      <c r="D172" s="138" t="s">
        <v>589</v>
      </c>
      <c r="E172" s="87" t="s">
        <v>531</v>
      </c>
    </row>
    <row r="173" spans="1:5" s="74" customFormat="1" ht="15" customHeight="1" x14ac:dyDescent="0.25">
      <c r="A173" s="180"/>
      <c r="B173" s="176"/>
      <c r="C173" s="223" t="s">
        <v>525</v>
      </c>
      <c r="D173" s="138"/>
      <c r="E173" s="87"/>
    </row>
    <row r="174" spans="1:5" s="74" customFormat="1" ht="15" customHeight="1" x14ac:dyDescent="0.25">
      <c r="A174" s="180"/>
      <c r="B174" s="176"/>
      <c r="C174" s="138"/>
      <c r="D174" s="138" t="s">
        <v>590</v>
      </c>
      <c r="E174" s="87" t="s">
        <v>532</v>
      </c>
    </row>
    <row r="175" spans="1:5" s="74" customFormat="1" ht="15" customHeight="1" x14ac:dyDescent="0.25">
      <c r="A175" s="180"/>
      <c r="B175" s="176"/>
      <c r="C175" s="138"/>
      <c r="D175" s="138" t="s">
        <v>591</v>
      </c>
      <c r="E175" s="87" t="s">
        <v>533</v>
      </c>
    </row>
    <row r="176" spans="1:5" s="74" customFormat="1" ht="15" customHeight="1" x14ac:dyDescent="0.25">
      <c r="A176" s="180"/>
      <c r="B176" s="176"/>
      <c r="C176" s="223" t="s">
        <v>526</v>
      </c>
      <c r="D176" s="138"/>
      <c r="E176" s="87"/>
    </row>
    <row r="177" spans="1:5" s="74" customFormat="1" ht="15" customHeight="1" x14ac:dyDescent="0.25">
      <c r="A177" s="180"/>
      <c r="B177" s="176"/>
      <c r="C177" s="138"/>
      <c r="D177" s="138" t="s">
        <v>172</v>
      </c>
      <c r="E177" s="87" t="s">
        <v>534</v>
      </c>
    </row>
    <row r="178" spans="1:5" s="74" customFormat="1" ht="15" customHeight="1" x14ac:dyDescent="0.25">
      <c r="A178" s="180"/>
      <c r="B178" s="176"/>
      <c r="C178" s="138"/>
      <c r="D178" s="138" t="s">
        <v>173</v>
      </c>
      <c r="E178" s="87" t="s">
        <v>535</v>
      </c>
    </row>
    <row r="179" spans="1:5" s="74" customFormat="1" ht="15" customHeight="1" x14ac:dyDescent="0.25">
      <c r="A179" s="180"/>
      <c r="B179" s="176"/>
      <c r="C179" s="138"/>
      <c r="D179" s="138" t="s">
        <v>174</v>
      </c>
      <c r="E179" s="87" t="s">
        <v>536</v>
      </c>
    </row>
    <row r="180" spans="1:5" s="74" customFormat="1" ht="15" customHeight="1" x14ac:dyDescent="0.25">
      <c r="A180" s="180"/>
      <c r="B180" s="176"/>
      <c r="C180" s="138"/>
      <c r="D180" s="138" t="s">
        <v>175</v>
      </c>
      <c r="E180" s="87" t="s">
        <v>537</v>
      </c>
    </row>
    <row r="181" spans="1:5" s="74" customFormat="1" ht="15" customHeight="1" x14ac:dyDescent="0.25">
      <c r="A181" s="180"/>
      <c r="B181" s="176"/>
      <c r="C181" s="138"/>
      <c r="D181" s="138" t="s">
        <v>176</v>
      </c>
      <c r="E181" s="87" t="s">
        <v>538</v>
      </c>
    </row>
    <row r="182" spans="1:5" s="74" customFormat="1" ht="15" customHeight="1" x14ac:dyDescent="0.25">
      <c r="A182" s="180"/>
      <c r="B182" s="176"/>
      <c r="C182" s="138"/>
      <c r="D182" s="138" t="s">
        <v>177</v>
      </c>
      <c r="E182" s="87" t="s">
        <v>539</v>
      </c>
    </row>
    <row r="183" spans="1:5" s="74" customFormat="1" ht="15" customHeight="1" x14ac:dyDescent="0.25">
      <c r="A183" s="180"/>
      <c r="B183" s="176"/>
      <c r="C183" s="138"/>
      <c r="D183" s="138" t="s">
        <v>592</v>
      </c>
      <c r="E183" s="87" t="s">
        <v>540</v>
      </c>
    </row>
    <row r="184" spans="1:5" s="74" customFormat="1" ht="15" customHeight="1" x14ac:dyDescent="0.25">
      <c r="A184" s="180"/>
      <c r="B184" s="176"/>
      <c r="C184" s="138"/>
      <c r="D184" s="138" t="s">
        <v>503</v>
      </c>
      <c r="E184" s="87" t="s">
        <v>541</v>
      </c>
    </row>
    <row r="185" spans="1:5" s="74" customFormat="1" ht="15" customHeight="1" x14ac:dyDescent="0.25">
      <c r="A185" s="180"/>
      <c r="B185" s="176"/>
      <c r="C185" s="138"/>
      <c r="D185" s="138" t="s">
        <v>504</v>
      </c>
      <c r="E185" s="87" t="s">
        <v>542</v>
      </c>
    </row>
    <row r="186" spans="1:5" s="74" customFormat="1" ht="15" customHeight="1" x14ac:dyDescent="0.25">
      <c r="A186" s="180"/>
      <c r="B186" s="176"/>
      <c r="C186" s="223" t="s">
        <v>527</v>
      </c>
      <c r="D186" s="138"/>
      <c r="E186" s="87"/>
    </row>
    <row r="187" spans="1:5" s="74" customFormat="1" ht="15" customHeight="1" x14ac:dyDescent="0.25">
      <c r="A187" s="180"/>
      <c r="B187" s="176"/>
      <c r="C187" s="138"/>
      <c r="D187" s="138" t="s">
        <v>172</v>
      </c>
      <c r="E187" s="87" t="s">
        <v>543</v>
      </c>
    </row>
    <row r="188" spans="1:5" s="74" customFormat="1" ht="15" customHeight="1" x14ac:dyDescent="0.25">
      <c r="A188" s="180"/>
      <c r="B188" s="176"/>
      <c r="C188" s="138"/>
      <c r="D188" s="138" t="s">
        <v>173</v>
      </c>
      <c r="E188" s="87" t="s">
        <v>544</v>
      </c>
    </row>
    <row r="189" spans="1:5" s="74" customFormat="1" ht="15" customHeight="1" x14ac:dyDescent="0.25">
      <c r="A189" s="180"/>
      <c r="B189" s="176"/>
      <c r="C189" s="138"/>
      <c r="D189" s="138" t="s">
        <v>174</v>
      </c>
      <c r="E189" s="87" t="s">
        <v>545</v>
      </c>
    </row>
    <row r="190" spans="1:5" s="74" customFormat="1" ht="15" customHeight="1" x14ac:dyDescent="0.25">
      <c r="A190" s="180"/>
      <c r="B190" s="176"/>
      <c r="C190" s="138"/>
      <c r="D190" s="138" t="s">
        <v>175</v>
      </c>
      <c r="E190" s="87" t="s">
        <v>546</v>
      </c>
    </row>
    <row r="191" spans="1:5" s="74" customFormat="1" ht="15" customHeight="1" x14ac:dyDescent="0.25">
      <c r="A191" s="180"/>
      <c r="B191" s="176"/>
      <c r="C191" s="138"/>
      <c r="D191" s="138" t="s">
        <v>176</v>
      </c>
      <c r="E191" s="87" t="s">
        <v>547</v>
      </c>
    </row>
    <row r="192" spans="1:5" s="74" customFormat="1" ht="15" customHeight="1" x14ac:dyDescent="0.25">
      <c r="A192" s="180"/>
      <c r="B192" s="176"/>
      <c r="C192" s="138"/>
      <c r="D192" s="138" t="s">
        <v>177</v>
      </c>
      <c r="E192" s="87" t="s">
        <v>548</v>
      </c>
    </row>
    <row r="193" spans="1:5" s="74" customFormat="1" ht="15" customHeight="1" x14ac:dyDescent="0.25">
      <c r="A193" s="180"/>
      <c r="B193" s="176"/>
      <c r="C193" s="138"/>
      <c r="D193" s="138" t="s">
        <v>592</v>
      </c>
      <c r="E193" s="87" t="s">
        <v>549</v>
      </c>
    </row>
    <row r="194" spans="1:5" s="74" customFormat="1" ht="15" customHeight="1" x14ac:dyDescent="0.25">
      <c r="A194" s="180"/>
      <c r="B194" s="176"/>
      <c r="C194" s="138"/>
      <c r="D194" s="138" t="s">
        <v>503</v>
      </c>
      <c r="E194" s="87" t="s">
        <v>550</v>
      </c>
    </row>
    <row r="195" spans="1:5" s="74" customFormat="1" ht="15" customHeight="1" x14ac:dyDescent="0.25">
      <c r="A195" s="180"/>
      <c r="B195" s="176"/>
      <c r="C195" s="138"/>
      <c r="D195" s="138" t="s">
        <v>504</v>
      </c>
      <c r="E195" s="87" t="s">
        <v>551</v>
      </c>
    </row>
    <row r="196" spans="1:5" s="115" customFormat="1" ht="15" customHeight="1" x14ac:dyDescent="0.25">
      <c r="A196" s="180"/>
      <c r="B196" s="181" t="s">
        <v>630</v>
      </c>
      <c r="C196" s="140" t="s">
        <v>816</v>
      </c>
      <c r="D196" s="140"/>
      <c r="E196" s="89" t="s">
        <v>1077</v>
      </c>
    </row>
    <row r="197" spans="1:5" s="115" customFormat="1" ht="15" customHeight="1" x14ac:dyDescent="0.25">
      <c r="A197" s="180"/>
      <c r="B197" s="181"/>
      <c r="C197" s="140" t="s">
        <v>593</v>
      </c>
      <c r="D197" s="140"/>
      <c r="E197" s="89" t="s">
        <v>621</v>
      </c>
    </row>
    <row r="198" spans="1:5" s="115" customFormat="1" ht="15" customHeight="1" x14ac:dyDescent="0.25">
      <c r="A198" s="180"/>
      <c r="B198" s="181"/>
      <c r="C198" s="140" t="s">
        <v>594</v>
      </c>
      <c r="D198" s="140"/>
      <c r="E198" s="89" t="s">
        <v>622</v>
      </c>
    </row>
    <row r="199" spans="1:5" s="115" customFormat="1" ht="15" customHeight="1" x14ac:dyDescent="0.25">
      <c r="A199" s="180"/>
      <c r="B199" s="181"/>
      <c r="C199" s="140" t="s">
        <v>583</v>
      </c>
      <c r="D199" s="116"/>
      <c r="E199" s="89" t="s">
        <v>623</v>
      </c>
    </row>
    <row r="200" spans="1:5" s="74" customFormat="1" ht="15" customHeight="1" x14ac:dyDescent="0.25">
      <c r="A200" s="180"/>
      <c r="B200" s="181"/>
      <c r="C200" s="140"/>
      <c r="D200" s="88" t="s">
        <v>561</v>
      </c>
      <c r="E200" s="86" t="s">
        <v>597</v>
      </c>
    </row>
    <row r="201" spans="1:5" s="74" customFormat="1" ht="15" customHeight="1" x14ac:dyDescent="0.25">
      <c r="A201" s="180"/>
      <c r="B201" s="181"/>
      <c r="C201" s="140"/>
      <c r="D201" s="88" t="s">
        <v>589</v>
      </c>
      <c r="E201" s="86" t="s">
        <v>598</v>
      </c>
    </row>
    <row r="202" spans="1:5" s="115" customFormat="1" ht="15" customHeight="1" x14ac:dyDescent="0.25">
      <c r="A202" s="180"/>
      <c r="B202" s="181"/>
      <c r="C202" s="140" t="s">
        <v>584</v>
      </c>
      <c r="D202" s="116"/>
      <c r="E202" s="89" t="s">
        <v>624</v>
      </c>
    </row>
    <row r="203" spans="1:5" s="74" customFormat="1" ht="15" customHeight="1" x14ac:dyDescent="0.25">
      <c r="A203" s="180"/>
      <c r="B203" s="181"/>
      <c r="C203" s="140"/>
      <c r="D203" s="88" t="s">
        <v>561</v>
      </c>
      <c r="E203" s="86" t="s">
        <v>599</v>
      </c>
    </row>
    <row r="204" spans="1:5" s="74" customFormat="1" ht="15" customHeight="1" x14ac:dyDescent="0.25">
      <c r="A204" s="180"/>
      <c r="B204" s="181"/>
      <c r="C204" s="140"/>
      <c r="D204" s="88" t="s">
        <v>589</v>
      </c>
      <c r="E204" s="86" t="s">
        <v>600</v>
      </c>
    </row>
    <row r="205" spans="1:5" s="115" customFormat="1" ht="15" customHeight="1" x14ac:dyDescent="0.25">
      <c r="A205" s="180"/>
      <c r="B205" s="181"/>
      <c r="C205" s="140" t="s">
        <v>585</v>
      </c>
      <c r="D205" s="116"/>
      <c r="E205" s="89" t="s">
        <v>625</v>
      </c>
    </row>
    <row r="206" spans="1:5" s="74" customFormat="1" ht="15" customHeight="1" x14ac:dyDescent="0.25">
      <c r="A206" s="180"/>
      <c r="B206" s="181"/>
      <c r="C206" s="140"/>
      <c r="D206" s="88" t="s">
        <v>590</v>
      </c>
      <c r="E206" s="86" t="s">
        <v>601</v>
      </c>
    </row>
    <row r="207" spans="1:5" s="74" customFormat="1" ht="15" customHeight="1" x14ac:dyDescent="0.25">
      <c r="A207" s="180"/>
      <c r="B207" s="181"/>
      <c r="C207" s="140"/>
      <c r="D207" s="88" t="s">
        <v>591</v>
      </c>
      <c r="E207" s="86" t="s">
        <v>602</v>
      </c>
    </row>
    <row r="208" spans="1:5" s="115" customFormat="1" ht="15" customHeight="1" x14ac:dyDescent="0.25">
      <c r="A208" s="180"/>
      <c r="B208" s="181"/>
      <c r="C208" s="140" t="s">
        <v>586</v>
      </c>
      <c r="D208" s="116"/>
      <c r="E208" s="89" t="s">
        <v>626</v>
      </c>
    </row>
    <row r="209" spans="1:5" s="74" customFormat="1" ht="15" customHeight="1" x14ac:dyDescent="0.25">
      <c r="A209" s="180"/>
      <c r="B209" s="181"/>
      <c r="C209" s="140"/>
      <c r="D209" s="88" t="s">
        <v>172</v>
      </c>
      <c r="E209" s="86" t="s">
        <v>603</v>
      </c>
    </row>
    <row r="210" spans="1:5" s="74" customFormat="1" ht="15" customHeight="1" x14ac:dyDescent="0.25">
      <c r="A210" s="180"/>
      <c r="B210" s="181"/>
      <c r="C210" s="140"/>
      <c r="D210" s="88" t="s">
        <v>173</v>
      </c>
      <c r="E210" s="86" t="s">
        <v>604</v>
      </c>
    </row>
    <row r="211" spans="1:5" s="74" customFormat="1" ht="15" customHeight="1" x14ac:dyDescent="0.25">
      <c r="A211" s="180"/>
      <c r="B211" s="181"/>
      <c r="C211" s="140"/>
      <c r="D211" s="88" t="s">
        <v>174</v>
      </c>
      <c r="E211" s="86" t="s">
        <v>605</v>
      </c>
    </row>
    <row r="212" spans="1:5" s="74" customFormat="1" ht="15" customHeight="1" x14ac:dyDescent="0.25">
      <c r="A212" s="180"/>
      <c r="B212" s="181"/>
      <c r="C212" s="140"/>
      <c r="D212" s="88" t="s">
        <v>175</v>
      </c>
      <c r="E212" s="86" t="s">
        <v>606</v>
      </c>
    </row>
    <row r="213" spans="1:5" s="74" customFormat="1" ht="15" customHeight="1" x14ac:dyDescent="0.25">
      <c r="A213" s="180"/>
      <c r="B213" s="181"/>
      <c r="C213" s="140"/>
      <c r="D213" s="88" t="s">
        <v>176</v>
      </c>
      <c r="E213" s="86" t="s">
        <v>607</v>
      </c>
    </row>
    <row r="214" spans="1:5" s="74" customFormat="1" ht="15" customHeight="1" x14ac:dyDescent="0.25">
      <c r="A214" s="180"/>
      <c r="B214" s="181"/>
      <c r="C214" s="140"/>
      <c r="D214" s="88" t="s">
        <v>177</v>
      </c>
      <c r="E214" s="86" t="s">
        <v>608</v>
      </c>
    </row>
    <row r="215" spans="1:5" s="74" customFormat="1" ht="15" customHeight="1" x14ac:dyDescent="0.25">
      <c r="A215" s="180"/>
      <c r="B215" s="181"/>
      <c r="C215" s="140"/>
      <c r="D215" s="88" t="s">
        <v>592</v>
      </c>
      <c r="E215" s="86" t="s">
        <v>609</v>
      </c>
    </row>
    <row r="216" spans="1:5" s="74" customFormat="1" ht="15" customHeight="1" x14ac:dyDescent="0.25">
      <c r="A216" s="180"/>
      <c r="B216" s="181"/>
      <c r="C216" s="140"/>
      <c r="D216" s="88" t="s">
        <v>503</v>
      </c>
      <c r="E216" s="86" t="s">
        <v>610</v>
      </c>
    </row>
    <row r="217" spans="1:5" s="74" customFormat="1" ht="15" customHeight="1" x14ac:dyDescent="0.25">
      <c r="A217" s="180"/>
      <c r="B217" s="181"/>
      <c r="C217" s="140"/>
      <c r="D217" s="88" t="s">
        <v>504</v>
      </c>
      <c r="E217" s="86" t="s">
        <v>611</v>
      </c>
    </row>
    <row r="218" spans="1:5" s="115" customFormat="1" ht="15" customHeight="1" x14ac:dyDescent="0.25">
      <c r="A218" s="180"/>
      <c r="B218" s="181"/>
      <c r="C218" s="140" t="s">
        <v>587</v>
      </c>
      <c r="D218" s="116"/>
      <c r="E218" s="89" t="s">
        <v>627</v>
      </c>
    </row>
    <row r="219" spans="1:5" s="74" customFormat="1" ht="15" customHeight="1" x14ac:dyDescent="0.25">
      <c r="A219" s="180"/>
      <c r="B219" s="181"/>
      <c r="C219" s="140"/>
      <c r="D219" s="88" t="s">
        <v>172</v>
      </c>
      <c r="E219" s="86" t="s">
        <v>612</v>
      </c>
    </row>
    <row r="220" spans="1:5" s="74" customFormat="1" ht="15" customHeight="1" x14ac:dyDescent="0.25">
      <c r="A220" s="180"/>
      <c r="B220" s="181"/>
      <c r="C220" s="140"/>
      <c r="D220" s="88" t="s">
        <v>173</v>
      </c>
      <c r="E220" s="86" t="s">
        <v>613</v>
      </c>
    </row>
    <row r="221" spans="1:5" s="74" customFormat="1" ht="15" customHeight="1" x14ac:dyDescent="0.25">
      <c r="A221" s="180"/>
      <c r="B221" s="181"/>
      <c r="C221" s="140"/>
      <c r="D221" s="88" t="s">
        <v>174</v>
      </c>
      <c r="E221" s="86" t="s">
        <v>614</v>
      </c>
    </row>
    <row r="222" spans="1:5" s="74" customFormat="1" ht="15" customHeight="1" x14ac:dyDescent="0.25">
      <c r="A222" s="180"/>
      <c r="B222" s="181"/>
      <c r="C222" s="140"/>
      <c r="D222" s="88" t="s">
        <v>175</v>
      </c>
      <c r="E222" s="86" t="s">
        <v>615</v>
      </c>
    </row>
    <row r="223" spans="1:5" s="74" customFormat="1" ht="15" customHeight="1" x14ac:dyDescent="0.25">
      <c r="A223" s="180"/>
      <c r="B223" s="181"/>
      <c r="C223" s="140"/>
      <c r="D223" s="88" t="s">
        <v>176</v>
      </c>
      <c r="E223" s="86" t="s">
        <v>616</v>
      </c>
    </row>
    <row r="224" spans="1:5" s="74" customFormat="1" ht="15" customHeight="1" x14ac:dyDescent="0.25">
      <c r="A224" s="180"/>
      <c r="B224" s="181"/>
      <c r="C224" s="140"/>
      <c r="D224" s="88" t="s">
        <v>177</v>
      </c>
      <c r="E224" s="86" t="s">
        <v>617</v>
      </c>
    </row>
    <row r="225" spans="1:5" s="74" customFormat="1" ht="15" customHeight="1" x14ac:dyDescent="0.25">
      <c r="A225" s="180"/>
      <c r="B225" s="181"/>
      <c r="C225" s="140"/>
      <c r="D225" s="88" t="s">
        <v>592</v>
      </c>
      <c r="E225" s="86" t="s">
        <v>618</v>
      </c>
    </row>
    <row r="226" spans="1:5" s="74" customFormat="1" ht="15" customHeight="1" x14ac:dyDescent="0.25">
      <c r="A226" s="180"/>
      <c r="B226" s="181"/>
      <c r="C226" s="140"/>
      <c r="D226" s="88" t="s">
        <v>503</v>
      </c>
      <c r="E226" s="86" t="s">
        <v>619</v>
      </c>
    </row>
    <row r="227" spans="1:5" s="74" customFormat="1" ht="15" customHeight="1" x14ac:dyDescent="0.25">
      <c r="A227" s="180"/>
      <c r="B227" s="181"/>
      <c r="C227" s="140"/>
      <c r="D227" s="88" t="s">
        <v>504</v>
      </c>
      <c r="E227" s="86" t="s">
        <v>620</v>
      </c>
    </row>
    <row r="228" spans="1:5" s="115" customFormat="1" ht="15" customHeight="1" x14ac:dyDescent="0.25">
      <c r="A228" s="180"/>
      <c r="B228" s="181"/>
      <c r="C228" s="140" t="s">
        <v>595</v>
      </c>
      <c r="D228" s="116"/>
      <c r="E228" s="89" t="s">
        <v>628</v>
      </c>
    </row>
    <row r="229" spans="1:5" s="115" customFormat="1" ht="15" customHeight="1" x14ac:dyDescent="0.25">
      <c r="A229" s="180"/>
      <c r="B229" s="181"/>
      <c r="C229" s="224" t="s">
        <v>596</v>
      </c>
      <c r="D229" s="117"/>
      <c r="E229" s="101" t="s">
        <v>629</v>
      </c>
    </row>
    <row r="230" spans="1:5" s="115" customFormat="1" ht="15" customHeight="1" x14ac:dyDescent="0.25">
      <c r="A230" s="180"/>
      <c r="B230" s="181"/>
      <c r="C230" s="140" t="s">
        <v>861</v>
      </c>
      <c r="D230" s="140"/>
      <c r="E230" s="89" t="s">
        <v>1078</v>
      </c>
    </row>
    <row r="231" spans="1:5" s="115" customFormat="1" ht="15" customHeight="1" x14ac:dyDescent="0.25">
      <c r="A231" s="180"/>
      <c r="B231" s="181"/>
      <c r="C231" s="140" t="s">
        <v>632</v>
      </c>
      <c r="D231" s="140"/>
      <c r="E231" s="89" t="s">
        <v>636</v>
      </c>
    </row>
    <row r="232" spans="1:5" s="115" customFormat="1" ht="15" customHeight="1" x14ac:dyDescent="0.25">
      <c r="A232" s="180"/>
      <c r="B232" s="181"/>
      <c r="C232" s="140" t="s">
        <v>633</v>
      </c>
      <c r="D232" s="140"/>
      <c r="E232" s="89" t="s">
        <v>637</v>
      </c>
    </row>
    <row r="233" spans="1:5" s="115" customFormat="1" ht="15" customHeight="1" x14ac:dyDescent="0.25">
      <c r="A233" s="180"/>
      <c r="B233" s="181"/>
      <c r="C233" s="140" t="s">
        <v>523</v>
      </c>
      <c r="D233" s="116"/>
      <c r="E233" s="89" t="s">
        <v>638</v>
      </c>
    </row>
    <row r="234" spans="1:5" s="74" customFormat="1" ht="15" customHeight="1" x14ac:dyDescent="0.25">
      <c r="A234" s="180"/>
      <c r="B234" s="181"/>
      <c r="C234" s="140"/>
      <c r="D234" s="88" t="s">
        <v>561</v>
      </c>
      <c r="E234" s="86" t="s">
        <v>639</v>
      </c>
    </row>
    <row r="235" spans="1:5" s="74" customFormat="1" ht="15" customHeight="1" x14ac:dyDescent="0.25">
      <c r="A235" s="180"/>
      <c r="B235" s="181"/>
      <c r="C235" s="140"/>
      <c r="D235" s="88" t="s">
        <v>589</v>
      </c>
      <c r="E235" s="86" t="s">
        <v>640</v>
      </c>
    </row>
    <row r="236" spans="1:5" s="115" customFormat="1" ht="15" customHeight="1" x14ac:dyDescent="0.25">
      <c r="A236" s="180"/>
      <c r="B236" s="181"/>
      <c r="C236" s="140" t="s">
        <v>524</v>
      </c>
      <c r="D236" s="116"/>
      <c r="E236" s="89" t="s">
        <v>641</v>
      </c>
    </row>
    <row r="237" spans="1:5" s="74" customFormat="1" ht="15" customHeight="1" x14ac:dyDescent="0.25">
      <c r="A237" s="180"/>
      <c r="B237" s="181"/>
      <c r="C237" s="140"/>
      <c r="D237" s="88" t="s">
        <v>561</v>
      </c>
      <c r="E237" s="86" t="s">
        <v>642</v>
      </c>
    </row>
    <row r="238" spans="1:5" s="74" customFormat="1" ht="15" customHeight="1" x14ac:dyDescent="0.25">
      <c r="A238" s="180"/>
      <c r="B238" s="181"/>
      <c r="C238" s="140"/>
      <c r="D238" s="88" t="s">
        <v>589</v>
      </c>
      <c r="E238" s="86" t="s">
        <v>643</v>
      </c>
    </row>
    <row r="239" spans="1:5" s="115" customFormat="1" ht="15" customHeight="1" x14ac:dyDescent="0.25">
      <c r="A239" s="180"/>
      <c r="B239" s="181"/>
      <c r="C239" s="140" t="s">
        <v>525</v>
      </c>
      <c r="D239" s="116"/>
      <c r="E239" s="89" t="s">
        <v>644</v>
      </c>
    </row>
    <row r="240" spans="1:5" s="74" customFormat="1" ht="15" customHeight="1" x14ac:dyDescent="0.25">
      <c r="A240" s="180"/>
      <c r="B240" s="181"/>
      <c r="C240" s="140"/>
      <c r="D240" s="88" t="s">
        <v>590</v>
      </c>
      <c r="E240" s="86" t="s">
        <v>645</v>
      </c>
    </row>
    <row r="241" spans="1:5" s="74" customFormat="1" ht="15" customHeight="1" x14ac:dyDescent="0.25">
      <c r="A241" s="180"/>
      <c r="B241" s="181"/>
      <c r="C241" s="140"/>
      <c r="D241" s="88" t="s">
        <v>591</v>
      </c>
      <c r="E241" s="86" t="s">
        <v>646</v>
      </c>
    </row>
    <row r="242" spans="1:5" s="115" customFormat="1" ht="15" customHeight="1" x14ac:dyDescent="0.25">
      <c r="A242" s="180"/>
      <c r="B242" s="181"/>
      <c r="C242" s="140" t="s">
        <v>526</v>
      </c>
      <c r="D242" s="116"/>
      <c r="E242" s="89" t="s">
        <v>647</v>
      </c>
    </row>
    <row r="243" spans="1:5" s="74" customFormat="1" ht="15" customHeight="1" x14ac:dyDescent="0.25">
      <c r="A243" s="180"/>
      <c r="B243" s="181"/>
      <c r="C243" s="140"/>
      <c r="D243" s="88" t="s">
        <v>172</v>
      </c>
      <c r="E243" s="86" t="s">
        <v>648</v>
      </c>
    </row>
    <row r="244" spans="1:5" s="74" customFormat="1" ht="15" customHeight="1" x14ac:dyDescent="0.25">
      <c r="A244" s="180"/>
      <c r="B244" s="181"/>
      <c r="C244" s="140"/>
      <c r="D244" s="88" t="s">
        <v>173</v>
      </c>
      <c r="E244" s="86" t="s">
        <v>649</v>
      </c>
    </row>
    <row r="245" spans="1:5" s="74" customFormat="1" ht="15" customHeight="1" x14ac:dyDescent="0.25">
      <c r="A245" s="180"/>
      <c r="B245" s="181"/>
      <c r="C245" s="140"/>
      <c r="D245" s="88" t="s">
        <v>174</v>
      </c>
      <c r="E245" s="86" t="s">
        <v>650</v>
      </c>
    </row>
    <row r="246" spans="1:5" s="74" customFormat="1" ht="15" customHeight="1" x14ac:dyDescent="0.25">
      <c r="A246" s="180"/>
      <c r="B246" s="181"/>
      <c r="C246" s="140"/>
      <c r="D246" s="88" t="s">
        <v>175</v>
      </c>
      <c r="E246" s="86" t="s">
        <v>651</v>
      </c>
    </row>
    <row r="247" spans="1:5" s="74" customFormat="1" ht="15" customHeight="1" x14ac:dyDescent="0.25">
      <c r="A247" s="180"/>
      <c r="B247" s="181"/>
      <c r="C247" s="140"/>
      <c r="D247" s="88" t="s">
        <v>176</v>
      </c>
      <c r="E247" s="86" t="s">
        <v>652</v>
      </c>
    </row>
    <row r="248" spans="1:5" s="74" customFormat="1" ht="15" customHeight="1" x14ac:dyDescent="0.25">
      <c r="A248" s="180"/>
      <c r="B248" s="181"/>
      <c r="C248" s="140"/>
      <c r="D248" s="88" t="s">
        <v>177</v>
      </c>
      <c r="E248" s="86" t="s">
        <v>653</v>
      </c>
    </row>
    <row r="249" spans="1:5" s="74" customFormat="1" ht="15" customHeight="1" x14ac:dyDescent="0.25">
      <c r="A249" s="180"/>
      <c r="B249" s="181"/>
      <c r="C249" s="140"/>
      <c r="D249" s="88" t="s">
        <v>592</v>
      </c>
      <c r="E249" s="86" t="s">
        <v>654</v>
      </c>
    </row>
    <row r="250" spans="1:5" s="74" customFormat="1" ht="15" customHeight="1" x14ac:dyDescent="0.25">
      <c r="A250" s="180"/>
      <c r="B250" s="181"/>
      <c r="C250" s="140"/>
      <c r="D250" s="88" t="s">
        <v>503</v>
      </c>
      <c r="E250" s="86" t="s">
        <v>655</v>
      </c>
    </row>
    <row r="251" spans="1:5" s="74" customFormat="1" ht="15" customHeight="1" x14ac:dyDescent="0.25">
      <c r="A251" s="180"/>
      <c r="B251" s="181"/>
      <c r="C251" s="140"/>
      <c r="D251" s="88" t="s">
        <v>504</v>
      </c>
      <c r="E251" s="86" t="s">
        <v>656</v>
      </c>
    </row>
    <row r="252" spans="1:5" s="115" customFormat="1" ht="15" customHeight="1" x14ac:dyDescent="0.25">
      <c r="A252" s="180"/>
      <c r="B252" s="181"/>
      <c r="C252" s="140" t="s">
        <v>527</v>
      </c>
      <c r="D252" s="116"/>
      <c r="E252" s="89" t="s">
        <v>657</v>
      </c>
    </row>
    <row r="253" spans="1:5" s="74" customFormat="1" ht="15" customHeight="1" x14ac:dyDescent="0.25">
      <c r="A253" s="180"/>
      <c r="B253" s="181"/>
      <c r="C253" s="140"/>
      <c r="D253" s="88" t="s">
        <v>172</v>
      </c>
      <c r="E253" s="86" t="s">
        <v>658</v>
      </c>
    </row>
    <row r="254" spans="1:5" s="74" customFormat="1" ht="15" customHeight="1" x14ac:dyDescent="0.25">
      <c r="A254" s="180"/>
      <c r="B254" s="181"/>
      <c r="C254" s="140"/>
      <c r="D254" s="88" t="s">
        <v>173</v>
      </c>
      <c r="E254" s="86" t="s">
        <v>659</v>
      </c>
    </row>
    <row r="255" spans="1:5" s="74" customFormat="1" ht="15" customHeight="1" x14ac:dyDescent="0.25">
      <c r="A255" s="180"/>
      <c r="B255" s="181"/>
      <c r="C255" s="140"/>
      <c r="D255" s="88" t="s">
        <v>174</v>
      </c>
      <c r="E255" s="86" t="s">
        <v>660</v>
      </c>
    </row>
    <row r="256" spans="1:5" s="74" customFormat="1" ht="15" customHeight="1" x14ac:dyDescent="0.25">
      <c r="A256" s="180"/>
      <c r="B256" s="181"/>
      <c r="C256" s="140"/>
      <c r="D256" s="88" t="s">
        <v>175</v>
      </c>
      <c r="E256" s="86" t="s">
        <v>661</v>
      </c>
    </row>
    <row r="257" spans="1:5" s="74" customFormat="1" ht="15" customHeight="1" x14ac:dyDescent="0.25">
      <c r="A257" s="180"/>
      <c r="B257" s="181"/>
      <c r="C257" s="140"/>
      <c r="D257" s="88" t="s">
        <v>176</v>
      </c>
      <c r="E257" s="86" t="s">
        <v>662</v>
      </c>
    </row>
    <row r="258" spans="1:5" s="74" customFormat="1" ht="15" customHeight="1" x14ac:dyDescent="0.25">
      <c r="A258" s="180"/>
      <c r="B258" s="181"/>
      <c r="C258" s="140"/>
      <c r="D258" s="88" t="s">
        <v>177</v>
      </c>
      <c r="E258" s="86" t="s">
        <v>663</v>
      </c>
    </row>
    <row r="259" spans="1:5" s="74" customFormat="1" ht="15" customHeight="1" x14ac:dyDescent="0.25">
      <c r="A259" s="180"/>
      <c r="B259" s="181"/>
      <c r="C259" s="140"/>
      <c r="D259" s="88" t="s">
        <v>592</v>
      </c>
      <c r="E259" s="86" t="s">
        <v>664</v>
      </c>
    </row>
    <row r="260" spans="1:5" s="74" customFormat="1" ht="15" customHeight="1" x14ac:dyDescent="0.25">
      <c r="A260" s="180"/>
      <c r="B260" s="181"/>
      <c r="C260" s="140"/>
      <c r="D260" s="88" t="s">
        <v>503</v>
      </c>
      <c r="E260" s="86" t="s">
        <v>665</v>
      </c>
    </row>
    <row r="261" spans="1:5" s="74" customFormat="1" ht="15" customHeight="1" x14ac:dyDescent="0.25">
      <c r="A261" s="180"/>
      <c r="B261" s="181"/>
      <c r="C261" s="140"/>
      <c r="D261" s="88" t="s">
        <v>504</v>
      </c>
      <c r="E261" s="86" t="s">
        <v>666</v>
      </c>
    </row>
    <row r="262" spans="1:5" s="115" customFormat="1" ht="15" customHeight="1" x14ac:dyDescent="0.25">
      <c r="A262" s="180"/>
      <c r="B262" s="181"/>
      <c r="C262" s="140" t="s">
        <v>634</v>
      </c>
      <c r="D262" s="116"/>
      <c r="E262" s="89" t="s">
        <v>667</v>
      </c>
    </row>
    <row r="263" spans="1:5" s="115" customFormat="1" ht="15" customHeight="1" x14ac:dyDescent="0.25">
      <c r="A263" s="180"/>
      <c r="B263" s="181"/>
      <c r="C263" s="140" t="s">
        <v>635</v>
      </c>
      <c r="D263" s="116"/>
      <c r="E263" s="89" t="s">
        <v>668</v>
      </c>
    </row>
    <row r="264" spans="1:5" ht="15" customHeight="1" x14ac:dyDescent="0.25">
      <c r="A264" s="180"/>
      <c r="B264" s="182" t="s">
        <v>168</v>
      </c>
      <c r="C264" s="141" t="s">
        <v>169</v>
      </c>
      <c r="D264" s="141"/>
      <c r="E264" s="52"/>
    </row>
    <row r="265" spans="1:5" ht="15" customHeight="1" x14ac:dyDescent="0.25">
      <c r="A265" s="180"/>
      <c r="B265" s="182"/>
      <c r="C265" s="141" t="s">
        <v>170</v>
      </c>
      <c r="D265" s="141"/>
      <c r="E265" s="52"/>
    </row>
    <row r="266" spans="1:5" ht="15" customHeight="1" x14ac:dyDescent="0.25">
      <c r="A266" s="180"/>
      <c r="B266" s="182"/>
      <c r="C266" s="141" t="s">
        <v>171</v>
      </c>
      <c r="D266" s="141"/>
      <c r="E266" s="52"/>
    </row>
    <row r="267" spans="1:5" ht="15" customHeight="1" x14ac:dyDescent="0.25">
      <c r="A267" s="180"/>
      <c r="B267" s="182"/>
      <c r="C267" s="141" t="s">
        <v>164</v>
      </c>
      <c r="D267" s="141"/>
      <c r="E267" s="52"/>
    </row>
    <row r="268" spans="1:5" s="115" customFormat="1" ht="15" customHeight="1" x14ac:dyDescent="0.25">
      <c r="A268" s="180"/>
      <c r="B268" s="169" t="s">
        <v>1112</v>
      </c>
      <c r="C268" s="132" t="s">
        <v>816</v>
      </c>
      <c r="D268" s="132"/>
      <c r="E268" s="94" t="s">
        <v>1076</v>
      </c>
    </row>
    <row r="269" spans="1:5" s="115" customFormat="1" ht="15" customHeight="1" x14ac:dyDescent="0.25">
      <c r="A269" s="180"/>
      <c r="B269" s="169"/>
      <c r="C269" s="132" t="s">
        <v>593</v>
      </c>
      <c r="D269" s="132"/>
      <c r="E269" s="94" t="s">
        <v>1079</v>
      </c>
    </row>
    <row r="270" spans="1:5" s="115" customFormat="1" ht="15" customHeight="1" x14ac:dyDescent="0.25">
      <c r="A270" s="180"/>
      <c r="B270" s="169"/>
      <c r="C270" s="132" t="s">
        <v>594</v>
      </c>
      <c r="D270" s="132"/>
      <c r="E270" s="94" t="s">
        <v>1080</v>
      </c>
    </row>
    <row r="271" spans="1:5" s="115" customFormat="1" ht="15" customHeight="1" x14ac:dyDescent="0.25">
      <c r="A271" s="180"/>
      <c r="B271" s="169"/>
      <c r="C271" s="132" t="s">
        <v>583</v>
      </c>
      <c r="D271" s="132"/>
      <c r="E271" s="94" t="s">
        <v>1081</v>
      </c>
    </row>
    <row r="272" spans="1:5" ht="15" customHeight="1" x14ac:dyDescent="0.25">
      <c r="A272" s="180"/>
      <c r="B272" s="169"/>
      <c r="C272" s="133"/>
      <c r="D272" s="133" t="s">
        <v>561</v>
      </c>
      <c r="E272" s="48" t="s">
        <v>1082</v>
      </c>
    </row>
    <row r="273" spans="1:7" ht="15" customHeight="1" x14ac:dyDescent="0.25">
      <c r="A273" s="180"/>
      <c r="B273" s="169"/>
      <c r="C273" s="133"/>
      <c r="D273" s="133" t="s">
        <v>589</v>
      </c>
      <c r="E273" s="48" t="s">
        <v>1083</v>
      </c>
    </row>
    <row r="274" spans="1:7" s="115" customFormat="1" ht="15" customHeight="1" x14ac:dyDescent="0.25">
      <c r="A274" s="180"/>
      <c r="B274" s="169"/>
      <c r="C274" s="132" t="s">
        <v>584</v>
      </c>
      <c r="D274" s="132"/>
      <c r="E274" s="94" t="s">
        <v>1084</v>
      </c>
    </row>
    <row r="275" spans="1:7" ht="15" customHeight="1" x14ac:dyDescent="0.25">
      <c r="A275" s="180"/>
      <c r="B275" s="169"/>
      <c r="C275" s="133"/>
      <c r="D275" s="133" t="s">
        <v>561</v>
      </c>
      <c r="E275" s="48" t="s">
        <v>1085</v>
      </c>
    </row>
    <row r="276" spans="1:7" ht="15" customHeight="1" x14ac:dyDescent="0.25">
      <c r="A276" s="180"/>
      <c r="B276" s="169"/>
      <c r="C276" s="133"/>
      <c r="D276" s="133" t="s">
        <v>589</v>
      </c>
      <c r="E276" s="48" t="s">
        <v>1086</v>
      </c>
    </row>
    <row r="277" spans="1:7" s="115" customFormat="1" ht="15" customHeight="1" x14ac:dyDescent="0.25">
      <c r="A277" s="180"/>
      <c r="B277" s="169"/>
      <c r="C277" s="132" t="s">
        <v>585</v>
      </c>
      <c r="D277" s="132"/>
      <c r="E277" s="94" t="s">
        <v>1087</v>
      </c>
    </row>
    <row r="278" spans="1:7" s="74" customFormat="1" ht="15" customHeight="1" x14ac:dyDescent="0.25">
      <c r="A278" s="180"/>
      <c r="B278" s="169"/>
      <c r="C278" s="132"/>
      <c r="D278" s="133" t="s">
        <v>590</v>
      </c>
      <c r="E278" s="81" t="s">
        <v>1089</v>
      </c>
    </row>
    <row r="279" spans="1:7" s="74" customFormat="1" ht="15" customHeight="1" x14ac:dyDescent="0.25">
      <c r="A279" s="180"/>
      <c r="B279" s="169"/>
      <c r="C279" s="132"/>
      <c r="D279" s="133" t="s">
        <v>591</v>
      </c>
      <c r="E279" s="81" t="s">
        <v>1090</v>
      </c>
    </row>
    <row r="280" spans="1:7" s="115" customFormat="1" ht="15" customHeight="1" x14ac:dyDescent="0.25">
      <c r="A280" s="180"/>
      <c r="B280" s="169"/>
      <c r="C280" s="132" t="s">
        <v>586</v>
      </c>
      <c r="D280" s="132"/>
      <c r="E280" s="94" t="s">
        <v>1088</v>
      </c>
    </row>
    <row r="281" spans="1:7" ht="15" customHeight="1" x14ac:dyDescent="0.25">
      <c r="A281" s="180"/>
      <c r="B281" s="169"/>
      <c r="C281" s="133"/>
      <c r="D281" s="133" t="s">
        <v>172</v>
      </c>
      <c r="E281" s="48" t="s">
        <v>1091</v>
      </c>
      <c r="G281" s="74"/>
    </row>
    <row r="282" spans="1:7" ht="15" customHeight="1" x14ac:dyDescent="0.25">
      <c r="A282" s="180"/>
      <c r="B282" s="169"/>
      <c r="C282" s="133"/>
      <c r="D282" s="133" t="s">
        <v>173</v>
      </c>
      <c r="E282" s="81" t="s">
        <v>1092</v>
      </c>
      <c r="G282" s="74"/>
    </row>
    <row r="283" spans="1:7" ht="15" customHeight="1" x14ac:dyDescent="0.25">
      <c r="A283" s="180"/>
      <c r="B283" s="169"/>
      <c r="C283" s="133"/>
      <c r="D283" s="133" t="s">
        <v>174</v>
      </c>
      <c r="E283" s="81" t="s">
        <v>1093</v>
      </c>
      <c r="G283" s="74"/>
    </row>
    <row r="284" spans="1:7" ht="15" customHeight="1" x14ac:dyDescent="0.25">
      <c r="A284" s="180"/>
      <c r="B284" s="169"/>
      <c r="C284" s="133"/>
      <c r="D284" s="133" t="s">
        <v>175</v>
      </c>
      <c r="E284" s="81" t="s">
        <v>1094</v>
      </c>
      <c r="G284" s="74"/>
    </row>
    <row r="285" spans="1:7" ht="15" customHeight="1" x14ac:dyDescent="0.25">
      <c r="A285" s="180"/>
      <c r="B285" s="169"/>
      <c r="C285" s="133"/>
      <c r="D285" s="133" t="s">
        <v>176</v>
      </c>
      <c r="E285" s="81" t="s">
        <v>1095</v>
      </c>
      <c r="G285" s="74"/>
    </row>
    <row r="286" spans="1:7" ht="15" customHeight="1" x14ac:dyDescent="0.25">
      <c r="A286" s="180"/>
      <c r="B286" s="169"/>
      <c r="C286" s="133"/>
      <c r="D286" s="133" t="s">
        <v>177</v>
      </c>
      <c r="E286" s="81" t="s">
        <v>1096</v>
      </c>
      <c r="G286" s="74"/>
    </row>
    <row r="287" spans="1:7" ht="15" customHeight="1" x14ac:dyDescent="0.25">
      <c r="A287" s="180"/>
      <c r="B287" s="169"/>
      <c r="C287" s="133"/>
      <c r="D287" s="133" t="s">
        <v>592</v>
      </c>
      <c r="E287" s="81" t="s">
        <v>1097</v>
      </c>
      <c r="G287" s="74"/>
    </row>
    <row r="288" spans="1:7" ht="15" customHeight="1" x14ac:dyDescent="0.25">
      <c r="A288" s="180"/>
      <c r="B288" s="169"/>
      <c r="C288" s="133"/>
      <c r="D288" s="133" t="s">
        <v>503</v>
      </c>
      <c r="E288" s="81" t="s">
        <v>1098</v>
      </c>
      <c r="G288" s="74"/>
    </row>
    <row r="289" spans="1:5" s="74" customFormat="1" ht="15" customHeight="1" x14ac:dyDescent="0.25">
      <c r="A289" s="180"/>
      <c r="B289" s="169"/>
      <c r="C289" s="133"/>
      <c r="D289" s="133" t="s">
        <v>504</v>
      </c>
      <c r="E289" s="81" t="s">
        <v>1099</v>
      </c>
    </row>
    <row r="290" spans="1:5" s="115" customFormat="1" ht="15" customHeight="1" x14ac:dyDescent="0.25">
      <c r="A290" s="180"/>
      <c r="B290" s="169"/>
      <c r="C290" s="132" t="s">
        <v>587</v>
      </c>
      <c r="D290" s="132"/>
      <c r="E290" s="94" t="s">
        <v>1109</v>
      </c>
    </row>
    <row r="291" spans="1:5" s="74" customFormat="1" ht="15" customHeight="1" x14ac:dyDescent="0.25">
      <c r="A291" s="180"/>
      <c r="B291" s="169"/>
      <c r="C291" s="133"/>
      <c r="D291" s="133" t="s">
        <v>172</v>
      </c>
      <c r="E291" s="81" t="s">
        <v>1100</v>
      </c>
    </row>
    <row r="292" spans="1:5" s="74" customFormat="1" ht="15" customHeight="1" x14ac:dyDescent="0.25">
      <c r="A292" s="180"/>
      <c r="B292" s="169"/>
      <c r="C292" s="133"/>
      <c r="D292" s="133" t="s">
        <v>173</v>
      </c>
      <c r="E292" s="81" t="s">
        <v>1101</v>
      </c>
    </row>
    <row r="293" spans="1:5" s="74" customFormat="1" ht="15" customHeight="1" x14ac:dyDescent="0.25">
      <c r="A293" s="180"/>
      <c r="B293" s="169"/>
      <c r="C293" s="133"/>
      <c r="D293" s="133" t="s">
        <v>174</v>
      </c>
      <c r="E293" s="81" t="s">
        <v>1102</v>
      </c>
    </row>
    <row r="294" spans="1:5" s="74" customFormat="1" ht="15" customHeight="1" x14ac:dyDescent="0.25">
      <c r="A294" s="180"/>
      <c r="B294" s="169"/>
      <c r="C294" s="133"/>
      <c r="D294" s="133" t="s">
        <v>175</v>
      </c>
      <c r="E294" s="81" t="s">
        <v>1103</v>
      </c>
    </row>
    <row r="295" spans="1:5" s="74" customFormat="1" ht="15" customHeight="1" x14ac:dyDescent="0.25">
      <c r="A295" s="180"/>
      <c r="B295" s="169"/>
      <c r="C295" s="133"/>
      <c r="D295" s="133" t="s">
        <v>176</v>
      </c>
      <c r="E295" s="81" t="s">
        <v>1104</v>
      </c>
    </row>
    <row r="296" spans="1:5" s="74" customFormat="1" ht="15" customHeight="1" x14ac:dyDescent="0.25">
      <c r="A296" s="180"/>
      <c r="B296" s="169"/>
      <c r="C296" s="133"/>
      <c r="D296" s="133" t="s">
        <v>177</v>
      </c>
      <c r="E296" s="81" t="s">
        <v>1105</v>
      </c>
    </row>
    <row r="297" spans="1:5" s="74" customFormat="1" ht="15" customHeight="1" x14ac:dyDescent="0.25">
      <c r="A297" s="180"/>
      <c r="B297" s="169"/>
      <c r="C297" s="133"/>
      <c r="D297" s="133" t="s">
        <v>592</v>
      </c>
      <c r="E297" s="81" t="s">
        <v>1106</v>
      </c>
    </row>
    <row r="298" spans="1:5" s="74" customFormat="1" ht="15" customHeight="1" x14ac:dyDescent="0.25">
      <c r="A298" s="180"/>
      <c r="B298" s="169"/>
      <c r="C298" s="133"/>
      <c r="D298" s="133" t="s">
        <v>503</v>
      </c>
      <c r="E298" s="81" t="s">
        <v>1107</v>
      </c>
    </row>
    <row r="299" spans="1:5" s="74" customFormat="1" ht="15" customHeight="1" x14ac:dyDescent="0.25">
      <c r="A299" s="180"/>
      <c r="B299" s="169"/>
      <c r="C299" s="133"/>
      <c r="D299" s="133" t="s">
        <v>504</v>
      </c>
      <c r="E299" s="81" t="s">
        <v>1108</v>
      </c>
    </row>
    <row r="300" spans="1:5" s="115" customFormat="1" ht="15" customHeight="1" x14ac:dyDescent="0.25">
      <c r="A300" s="180"/>
      <c r="B300" s="169"/>
      <c r="C300" s="132" t="s">
        <v>595</v>
      </c>
      <c r="D300" s="132"/>
      <c r="E300" s="94" t="s">
        <v>1110</v>
      </c>
    </row>
    <row r="301" spans="1:5" s="115" customFormat="1" ht="15" customHeight="1" x14ac:dyDescent="0.25">
      <c r="A301" s="180"/>
      <c r="B301" s="169"/>
      <c r="C301" s="157" t="s">
        <v>596</v>
      </c>
      <c r="D301" s="157"/>
      <c r="E301" s="158" t="s">
        <v>1111</v>
      </c>
    </row>
    <row r="302" spans="1:5" s="115" customFormat="1" ht="15" customHeight="1" x14ac:dyDescent="0.25">
      <c r="A302" s="180"/>
      <c r="B302" s="169"/>
      <c r="C302" s="132" t="s">
        <v>861</v>
      </c>
      <c r="D302" s="132"/>
      <c r="E302" s="94" t="s">
        <v>1113</v>
      </c>
    </row>
    <row r="303" spans="1:5" s="115" customFormat="1" ht="15" customHeight="1" x14ac:dyDescent="0.25">
      <c r="A303" s="180"/>
      <c r="B303" s="169"/>
      <c r="C303" s="132" t="s">
        <v>632</v>
      </c>
      <c r="D303" s="132"/>
      <c r="E303" s="94" t="s">
        <v>1114</v>
      </c>
    </row>
    <row r="304" spans="1:5" s="115" customFormat="1" ht="15" customHeight="1" x14ac:dyDescent="0.25">
      <c r="A304" s="180"/>
      <c r="B304" s="169"/>
      <c r="C304" s="132" t="s">
        <v>633</v>
      </c>
      <c r="D304" s="132"/>
      <c r="E304" s="94" t="s">
        <v>1115</v>
      </c>
    </row>
    <row r="305" spans="1:5" s="115" customFormat="1" ht="15" customHeight="1" x14ac:dyDescent="0.25">
      <c r="A305" s="180"/>
      <c r="B305" s="169"/>
      <c r="C305" s="132" t="s">
        <v>523</v>
      </c>
      <c r="D305" s="132"/>
      <c r="E305" s="94" t="s">
        <v>1116</v>
      </c>
    </row>
    <row r="306" spans="1:5" s="74" customFormat="1" ht="15" customHeight="1" x14ac:dyDescent="0.25">
      <c r="A306" s="180"/>
      <c r="B306" s="169"/>
      <c r="C306" s="133"/>
      <c r="D306" s="133" t="s">
        <v>561</v>
      </c>
      <c r="E306" s="81" t="s">
        <v>1117</v>
      </c>
    </row>
    <row r="307" spans="1:5" s="74" customFormat="1" ht="15" customHeight="1" x14ac:dyDescent="0.25">
      <c r="A307" s="180"/>
      <c r="B307" s="169"/>
      <c r="C307" s="133"/>
      <c r="D307" s="133" t="s">
        <v>589</v>
      </c>
      <c r="E307" s="81" t="s">
        <v>1118</v>
      </c>
    </row>
    <row r="308" spans="1:5" s="115" customFormat="1" ht="15" customHeight="1" x14ac:dyDescent="0.25">
      <c r="A308" s="180"/>
      <c r="B308" s="169"/>
      <c r="C308" s="132" t="s">
        <v>524</v>
      </c>
      <c r="D308" s="132"/>
      <c r="E308" s="94" t="s">
        <v>1119</v>
      </c>
    </row>
    <row r="309" spans="1:5" s="74" customFormat="1" ht="15" customHeight="1" x14ac:dyDescent="0.25">
      <c r="A309" s="180"/>
      <c r="B309" s="169"/>
      <c r="C309" s="133"/>
      <c r="D309" s="133" t="s">
        <v>561</v>
      </c>
      <c r="E309" s="81" t="s">
        <v>1120</v>
      </c>
    </row>
    <row r="310" spans="1:5" s="74" customFormat="1" ht="15" customHeight="1" x14ac:dyDescent="0.25">
      <c r="A310" s="180"/>
      <c r="B310" s="169"/>
      <c r="C310" s="133"/>
      <c r="D310" s="133" t="s">
        <v>589</v>
      </c>
      <c r="E310" s="81" t="s">
        <v>1121</v>
      </c>
    </row>
    <row r="311" spans="1:5" s="115" customFormat="1" ht="15" customHeight="1" x14ac:dyDescent="0.25">
      <c r="A311" s="180"/>
      <c r="B311" s="169"/>
      <c r="C311" s="132" t="s">
        <v>525</v>
      </c>
      <c r="D311" s="132"/>
      <c r="E311" s="94" t="s">
        <v>1122</v>
      </c>
    </row>
    <row r="312" spans="1:5" s="74" customFormat="1" ht="15" customHeight="1" x14ac:dyDescent="0.25">
      <c r="A312" s="180"/>
      <c r="B312" s="169"/>
      <c r="C312" s="132"/>
      <c r="D312" s="133" t="s">
        <v>590</v>
      </c>
      <c r="E312" s="81" t="s">
        <v>1123</v>
      </c>
    </row>
    <row r="313" spans="1:5" s="74" customFormat="1" ht="15" customHeight="1" x14ac:dyDescent="0.25">
      <c r="A313" s="180"/>
      <c r="B313" s="169"/>
      <c r="C313" s="132"/>
      <c r="D313" s="133" t="s">
        <v>591</v>
      </c>
      <c r="E313" s="81" t="s">
        <v>1124</v>
      </c>
    </row>
    <row r="314" spans="1:5" s="115" customFormat="1" ht="15" customHeight="1" x14ac:dyDescent="0.25">
      <c r="A314" s="180"/>
      <c r="B314" s="169"/>
      <c r="C314" s="132" t="s">
        <v>526</v>
      </c>
      <c r="D314" s="132"/>
      <c r="E314" s="94" t="s">
        <v>1125</v>
      </c>
    </row>
    <row r="315" spans="1:5" s="74" customFormat="1" ht="15" customHeight="1" x14ac:dyDescent="0.25">
      <c r="A315" s="180"/>
      <c r="B315" s="169"/>
      <c r="C315" s="133"/>
      <c r="D315" s="133" t="s">
        <v>172</v>
      </c>
      <c r="E315" s="81" t="s">
        <v>1126</v>
      </c>
    </row>
    <row r="316" spans="1:5" s="74" customFormat="1" ht="15" customHeight="1" x14ac:dyDescent="0.25">
      <c r="A316" s="180"/>
      <c r="B316" s="169"/>
      <c r="C316" s="133"/>
      <c r="D316" s="133" t="s">
        <v>173</v>
      </c>
      <c r="E316" s="81" t="s">
        <v>1127</v>
      </c>
    </row>
    <row r="317" spans="1:5" s="74" customFormat="1" ht="15" customHeight="1" x14ac:dyDescent="0.25">
      <c r="A317" s="180"/>
      <c r="B317" s="169"/>
      <c r="C317" s="133"/>
      <c r="D317" s="133" t="s">
        <v>174</v>
      </c>
      <c r="E317" s="81" t="s">
        <v>1128</v>
      </c>
    </row>
    <row r="318" spans="1:5" s="74" customFormat="1" ht="15" customHeight="1" x14ac:dyDescent="0.25">
      <c r="A318" s="180"/>
      <c r="B318" s="169"/>
      <c r="C318" s="133"/>
      <c r="D318" s="133" t="s">
        <v>175</v>
      </c>
      <c r="E318" s="81" t="s">
        <v>1129</v>
      </c>
    </row>
    <row r="319" spans="1:5" s="74" customFormat="1" ht="15" customHeight="1" x14ac:dyDescent="0.25">
      <c r="A319" s="180"/>
      <c r="B319" s="169"/>
      <c r="C319" s="133"/>
      <c r="D319" s="133" t="s">
        <v>176</v>
      </c>
      <c r="E319" s="81" t="s">
        <v>1130</v>
      </c>
    </row>
    <row r="320" spans="1:5" s="74" customFormat="1" ht="15" customHeight="1" x14ac:dyDescent="0.25">
      <c r="A320" s="180"/>
      <c r="B320" s="169"/>
      <c r="C320" s="133"/>
      <c r="D320" s="133" t="s">
        <v>177</v>
      </c>
      <c r="E320" s="81" t="s">
        <v>1131</v>
      </c>
    </row>
    <row r="321" spans="1:5" s="74" customFormat="1" ht="15" customHeight="1" x14ac:dyDescent="0.25">
      <c r="A321" s="180"/>
      <c r="B321" s="169"/>
      <c r="C321" s="133"/>
      <c r="D321" s="133" t="s">
        <v>592</v>
      </c>
      <c r="E321" s="81" t="s">
        <v>1132</v>
      </c>
    </row>
    <row r="322" spans="1:5" s="74" customFormat="1" ht="15" customHeight="1" x14ac:dyDescent="0.25">
      <c r="A322" s="180"/>
      <c r="B322" s="169"/>
      <c r="C322" s="133"/>
      <c r="D322" s="133" t="s">
        <v>503</v>
      </c>
      <c r="E322" s="81" t="s">
        <v>1133</v>
      </c>
    </row>
    <row r="323" spans="1:5" s="74" customFormat="1" ht="15" customHeight="1" x14ac:dyDescent="0.25">
      <c r="A323" s="180"/>
      <c r="B323" s="169"/>
      <c r="C323" s="133"/>
      <c r="D323" s="133" t="s">
        <v>504</v>
      </c>
      <c r="E323" s="81" t="s">
        <v>1134</v>
      </c>
    </row>
    <row r="324" spans="1:5" s="115" customFormat="1" ht="15" customHeight="1" x14ac:dyDescent="0.25">
      <c r="A324" s="180"/>
      <c r="B324" s="169"/>
      <c r="C324" s="132" t="s">
        <v>527</v>
      </c>
      <c r="D324" s="132"/>
      <c r="E324" s="94" t="s">
        <v>1135</v>
      </c>
    </row>
    <row r="325" spans="1:5" s="74" customFormat="1" ht="15" customHeight="1" x14ac:dyDescent="0.25">
      <c r="A325" s="180"/>
      <c r="B325" s="169"/>
      <c r="C325" s="133"/>
      <c r="D325" s="133" t="s">
        <v>172</v>
      </c>
      <c r="E325" s="81" t="s">
        <v>1136</v>
      </c>
    </row>
    <row r="326" spans="1:5" s="74" customFormat="1" ht="15" customHeight="1" x14ac:dyDescent="0.25">
      <c r="A326" s="180"/>
      <c r="B326" s="169"/>
      <c r="C326" s="133"/>
      <c r="D326" s="133" t="s">
        <v>173</v>
      </c>
      <c r="E326" s="81" t="s">
        <v>1137</v>
      </c>
    </row>
    <row r="327" spans="1:5" s="74" customFormat="1" ht="15" customHeight="1" x14ac:dyDescent="0.25">
      <c r="A327" s="180"/>
      <c r="B327" s="169"/>
      <c r="C327" s="133"/>
      <c r="D327" s="133" t="s">
        <v>174</v>
      </c>
      <c r="E327" s="81" t="s">
        <v>1138</v>
      </c>
    </row>
    <row r="328" spans="1:5" s="74" customFormat="1" ht="15" customHeight="1" x14ac:dyDescent="0.25">
      <c r="A328" s="180"/>
      <c r="B328" s="169"/>
      <c r="C328" s="133"/>
      <c r="D328" s="133" t="s">
        <v>175</v>
      </c>
      <c r="E328" s="81" t="s">
        <v>1139</v>
      </c>
    </row>
    <row r="329" spans="1:5" s="74" customFormat="1" ht="15" customHeight="1" x14ac:dyDescent="0.25">
      <c r="A329" s="180"/>
      <c r="B329" s="169"/>
      <c r="C329" s="133"/>
      <c r="D329" s="133" t="s">
        <v>176</v>
      </c>
      <c r="E329" s="81" t="s">
        <v>1140</v>
      </c>
    </row>
    <row r="330" spans="1:5" s="74" customFormat="1" ht="15" customHeight="1" x14ac:dyDescent="0.25">
      <c r="A330" s="180"/>
      <c r="B330" s="169"/>
      <c r="C330" s="133"/>
      <c r="D330" s="133" t="s">
        <v>177</v>
      </c>
      <c r="E330" s="81" t="s">
        <v>1141</v>
      </c>
    </row>
    <row r="331" spans="1:5" s="74" customFormat="1" ht="15" customHeight="1" x14ac:dyDescent="0.25">
      <c r="A331" s="180"/>
      <c r="B331" s="169"/>
      <c r="C331" s="133"/>
      <c r="D331" s="133" t="s">
        <v>592</v>
      </c>
      <c r="E331" s="81" t="s">
        <v>1142</v>
      </c>
    </row>
    <row r="332" spans="1:5" s="74" customFormat="1" ht="15" customHeight="1" x14ac:dyDescent="0.25">
      <c r="A332" s="180"/>
      <c r="B332" s="169"/>
      <c r="C332" s="133"/>
      <c r="D332" s="133" t="s">
        <v>503</v>
      </c>
      <c r="E332" s="81" t="s">
        <v>1143</v>
      </c>
    </row>
    <row r="333" spans="1:5" s="74" customFormat="1" ht="15" customHeight="1" x14ac:dyDescent="0.25">
      <c r="A333" s="180"/>
      <c r="B333" s="169"/>
      <c r="C333" s="133"/>
      <c r="D333" s="133" t="s">
        <v>504</v>
      </c>
      <c r="E333" s="81" t="s">
        <v>1144</v>
      </c>
    </row>
    <row r="334" spans="1:5" s="115" customFormat="1" ht="15" customHeight="1" x14ac:dyDescent="0.25">
      <c r="A334" s="180"/>
      <c r="B334" s="169"/>
      <c r="C334" s="132" t="s">
        <v>634</v>
      </c>
      <c r="D334" s="132"/>
      <c r="E334" s="94" t="s">
        <v>1145</v>
      </c>
    </row>
    <row r="335" spans="1:5" s="115" customFormat="1" ht="15" customHeight="1" x14ac:dyDescent="0.25">
      <c r="A335" s="180"/>
      <c r="B335" s="169"/>
      <c r="C335" s="132" t="s">
        <v>635</v>
      </c>
      <c r="D335" s="132"/>
      <c r="E335" s="94" t="s">
        <v>1146</v>
      </c>
    </row>
    <row r="336" spans="1:5" s="115" customFormat="1" ht="15" customHeight="1" x14ac:dyDescent="0.25">
      <c r="A336" s="180"/>
      <c r="B336" s="183" t="s">
        <v>1261</v>
      </c>
      <c r="C336" s="161" t="s">
        <v>1147</v>
      </c>
      <c r="D336" s="161"/>
      <c r="E336" s="95" t="s">
        <v>1158</v>
      </c>
    </row>
    <row r="337" spans="1:10" ht="15" customHeight="1" x14ac:dyDescent="0.25">
      <c r="A337" s="180"/>
      <c r="B337" s="183"/>
      <c r="C337" s="161"/>
      <c r="D337" s="159" t="s">
        <v>1151</v>
      </c>
      <c r="E337" s="82" t="s">
        <v>1159</v>
      </c>
    </row>
    <row r="338" spans="1:10" ht="15" customHeight="1" x14ac:dyDescent="0.25">
      <c r="A338" s="180"/>
      <c r="B338" s="183"/>
      <c r="C338" s="159"/>
      <c r="D338" s="159" t="s">
        <v>1152</v>
      </c>
      <c r="E338" s="82" t="s">
        <v>1160</v>
      </c>
    </row>
    <row r="339" spans="1:10" ht="15" customHeight="1" x14ac:dyDescent="0.25">
      <c r="A339" s="180"/>
      <c r="B339" s="183"/>
      <c r="C339" s="159"/>
      <c r="D339" s="159" t="s">
        <v>1153</v>
      </c>
      <c r="E339" s="82" t="s">
        <v>1161</v>
      </c>
    </row>
    <row r="340" spans="1:10" ht="15" customHeight="1" x14ac:dyDescent="0.25">
      <c r="A340" s="180"/>
      <c r="B340" s="183"/>
      <c r="C340" s="159"/>
      <c r="D340" s="159" t="s">
        <v>1154</v>
      </c>
      <c r="E340" s="82" t="s">
        <v>1162</v>
      </c>
    </row>
    <row r="341" spans="1:10" s="74" customFormat="1" ht="15" customHeight="1" x14ac:dyDescent="0.25">
      <c r="A341" s="180"/>
      <c r="B341" s="183"/>
      <c r="C341" s="159"/>
      <c r="D341" s="159" t="s">
        <v>1155</v>
      </c>
      <c r="E341" s="82" t="s">
        <v>1163</v>
      </c>
    </row>
    <row r="342" spans="1:10" s="74" customFormat="1" ht="15" customHeight="1" x14ac:dyDescent="0.25">
      <c r="A342" s="180"/>
      <c r="B342" s="183"/>
      <c r="C342" s="159"/>
      <c r="D342" s="159" t="s">
        <v>1156</v>
      </c>
      <c r="E342" s="82" t="s">
        <v>1164</v>
      </c>
    </row>
    <row r="343" spans="1:10" s="115" customFormat="1" ht="15" customHeight="1" x14ac:dyDescent="0.25">
      <c r="A343" s="180"/>
      <c r="B343" s="183"/>
      <c r="C343" s="161" t="s">
        <v>1148</v>
      </c>
      <c r="D343" s="161"/>
      <c r="E343" s="95" t="s">
        <v>1165</v>
      </c>
    </row>
    <row r="344" spans="1:10" ht="15" customHeight="1" x14ac:dyDescent="0.25">
      <c r="A344" s="180"/>
      <c r="B344" s="183"/>
      <c r="C344" s="159" t="s">
        <v>1170</v>
      </c>
      <c r="D344" s="159"/>
      <c r="E344" s="82" t="s">
        <v>1166</v>
      </c>
    </row>
    <row r="345" spans="1:10" ht="15" customHeight="1" x14ac:dyDescent="0.25">
      <c r="A345" s="180"/>
      <c r="B345" s="183"/>
      <c r="C345" s="159"/>
      <c r="D345" s="159" t="s">
        <v>1157</v>
      </c>
      <c r="E345" s="82" t="s">
        <v>1167</v>
      </c>
    </row>
    <row r="346" spans="1:10" ht="15" customHeight="1" x14ac:dyDescent="0.25">
      <c r="A346" s="180"/>
      <c r="B346" s="183"/>
      <c r="C346" s="159"/>
      <c r="D346" s="159" t="s">
        <v>1153</v>
      </c>
      <c r="E346" s="82" t="s">
        <v>1168</v>
      </c>
    </row>
    <row r="347" spans="1:10" ht="15" customHeight="1" x14ac:dyDescent="0.25">
      <c r="A347" s="180"/>
      <c r="B347" s="183"/>
      <c r="C347" s="159"/>
      <c r="D347" s="159" t="s">
        <v>1154</v>
      </c>
      <c r="E347" s="82" t="s">
        <v>1169</v>
      </c>
    </row>
    <row r="348" spans="1:10" ht="15" customHeight="1" x14ac:dyDescent="0.25">
      <c r="A348" s="180"/>
      <c r="B348" s="183"/>
      <c r="C348" s="159" t="s">
        <v>1171</v>
      </c>
      <c r="D348" s="159"/>
      <c r="E348" s="82" t="s">
        <v>1173</v>
      </c>
    </row>
    <row r="349" spans="1:10" ht="15" customHeight="1" x14ac:dyDescent="0.25">
      <c r="A349" s="180"/>
      <c r="B349" s="183"/>
      <c r="C349" s="159"/>
      <c r="D349" s="159" t="s">
        <v>1151</v>
      </c>
      <c r="E349" s="82" t="s">
        <v>1174</v>
      </c>
      <c r="J349" s="74"/>
    </row>
    <row r="350" spans="1:10" ht="15" customHeight="1" x14ac:dyDescent="0.25">
      <c r="A350" s="180"/>
      <c r="B350" s="183"/>
      <c r="C350" s="159"/>
      <c r="D350" s="159" t="s">
        <v>1157</v>
      </c>
      <c r="E350" s="82" t="s">
        <v>1175</v>
      </c>
      <c r="J350" s="74"/>
    </row>
    <row r="351" spans="1:10" ht="15" customHeight="1" x14ac:dyDescent="0.25">
      <c r="A351" s="180"/>
      <c r="B351" s="183"/>
      <c r="C351" s="159"/>
      <c r="D351" s="159" t="s">
        <v>1152</v>
      </c>
      <c r="E351" s="82" t="s">
        <v>1176</v>
      </c>
      <c r="J351" s="74"/>
    </row>
    <row r="352" spans="1:10" ht="15" customHeight="1" x14ac:dyDescent="0.25">
      <c r="A352" s="180"/>
      <c r="B352" s="183"/>
      <c r="C352" s="159"/>
      <c r="D352" s="159" t="s">
        <v>1153</v>
      </c>
      <c r="E352" s="82" t="s">
        <v>1177</v>
      </c>
      <c r="J352" s="74"/>
    </row>
    <row r="353" spans="1:10" s="74" customFormat="1" ht="15" customHeight="1" x14ac:dyDescent="0.25">
      <c r="A353" s="180"/>
      <c r="B353" s="183"/>
      <c r="C353" s="159"/>
      <c r="D353" s="159" t="s">
        <v>1154</v>
      </c>
      <c r="E353" s="82" t="s">
        <v>1178</v>
      </c>
    </row>
    <row r="354" spans="1:10" s="74" customFormat="1" ht="15" customHeight="1" x14ac:dyDescent="0.25">
      <c r="A354" s="180"/>
      <c r="B354" s="183"/>
      <c r="C354" s="159"/>
      <c r="D354" s="159" t="s">
        <v>1155</v>
      </c>
      <c r="E354" s="82" t="s">
        <v>1179</v>
      </c>
    </row>
    <row r="355" spans="1:10" s="74" customFormat="1" ht="15" customHeight="1" x14ac:dyDescent="0.25">
      <c r="A355" s="180"/>
      <c r="B355" s="183"/>
      <c r="C355" s="159"/>
      <c r="D355" s="159" t="s">
        <v>1156</v>
      </c>
      <c r="E355" s="82" t="s">
        <v>1180</v>
      </c>
    </row>
    <row r="356" spans="1:10" s="74" customFormat="1" ht="15" customHeight="1" x14ac:dyDescent="0.25">
      <c r="A356" s="180"/>
      <c r="B356" s="183"/>
      <c r="C356" s="159"/>
      <c r="D356" s="159" t="s">
        <v>1172</v>
      </c>
      <c r="E356" s="82" t="s">
        <v>1181</v>
      </c>
    </row>
    <row r="357" spans="1:10" s="115" customFormat="1" ht="15" customHeight="1" x14ac:dyDescent="0.25">
      <c r="A357" s="180"/>
      <c r="B357" s="183"/>
      <c r="C357" s="161" t="s">
        <v>1149</v>
      </c>
      <c r="D357" s="161"/>
      <c r="E357" s="95" t="s">
        <v>1190</v>
      </c>
      <c r="J357" s="74"/>
    </row>
    <row r="358" spans="1:10" s="74" customFormat="1" ht="15" customHeight="1" x14ac:dyDescent="0.25">
      <c r="A358" s="180"/>
      <c r="B358" s="183"/>
      <c r="C358" s="159"/>
      <c r="D358" s="159" t="s">
        <v>1151</v>
      </c>
      <c r="E358" s="82" t="s">
        <v>1182</v>
      </c>
    </row>
    <row r="359" spans="1:10" s="74" customFormat="1" ht="15" customHeight="1" x14ac:dyDescent="0.25">
      <c r="A359" s="180"/>
      <c r="B359" s="183"/>
      <c r="C359" s="159"/>
      <c r="D359" s="159" t="s">
        <v>1157</v>
      </c>
      <c r="E359" s="82" t="s">
        <v>1183</v>
      </c>
    </row>
    <row r="360" spans="1:10" s="74" customFormat="1" ht="15" customHeight="1" x14ac:dyDescent="0.25">
      <c r="A360" s="180"/>
      <c r="B360" s="183"/>
      <c r="C360" s="159"/>
      <c r="D360" s="159" t="s">
        <v>1152</v>
      </c>
      <c r="E360" s="82" t="s">
        <v>1184</v>
      </c>
    </row>
    <row r="361" spans="1:10" s="74" customFormat="1" ht="15" customHeight="1" x14ac:dyDescent="0.25">
      <c r="A361" s="180"/>
      <c r="B361" s="183"/>
      <c r="C361" s="159"/>
      <c r="D361" s="159" t="s">
        <v>1153</v>
      </c>
      <c r="E361" s="82" t="s">
        <v>1185</v>
      </c>
    </row>
    <row r="362" spans="1:10" s="74" customFormat="1" ht="15" customHeight="1" x14ac:dyDescent="0.25">
      <c r="A362" s="180"/>
      <c r="B362" s="183"/>
      <c r="C362" s="159"/>
      <c r="D362" s="159" t="s">
        <v>1154</v>
      </c>
      <c r="E362" s="82" t="s">
        <v>1186</v>
      </c>
    </row>
    <row r="363" spans="1:10" s="74" customFormat="1" ht="15" customHeight="1" x14ac:dyDescent="0.25">
      <c r="A363" s="180"/>
      <c r="B363" s="183"/>
      <c r="C363" s="159"/>
      <c r="D363" s="159" t="s">
        <v>1155</v>
      </c>
      <c r="E363" s="82" t="s">
        <v>1187</v>
      </c>
    </row>
    <row r="364" spans="1:10" s="74" customFormat="1" ht="15" customHeight="1" x14ac:dyDescent="0.25">
      <c r="A364" s="180"/>
      <c r="B364" s="183"/>
      <c r="C364" s="159"/>
      <c r="D364" s="159" t="s">
        <v>1156</v>
      </c>
      <c r="E364" s="82" t="s">
        <v>1188</v>
      </c>
    </row>
    <row r="365" spans="1:10" s="74" customFormat="1" ht="15" customHeight="1" x14ac:dyDescent="0.25">
      <c r="A365" s="180"/>
      <c r="B365" s="183"/>
      <c r="C365" s="159"/>
      <c r="D365" s="159" t="s">
        <v>1172</v>
      </c>
      <c r="E365" s="82" t="s">
        <v>1189</v>
      </c>
    </row>
    <row r="366" spans="1:10" s="115" customFormat="1" ht="15" customHeight="1" x14ac:dyDescent="0.25">
      <c r="A366" s="180"/>
      <c r="B366" s="183"/>
      <c r="C366" s="161" t="s">
        <v>1150</v>
      </c>
      <c r="D366" s="161"/>
      <c r="E366" s="95" t="s">
        <v>1191</v>
      </c>
    </row>
    <row r="367" spans="1:10" s="74" customFormat="1" ht="15" customHeight="1" x14ac:dyDescent="0.25">
      <c r="A367" s="180"/>
      <c r="B367" s="183"/>
      <c r="C367" s="159"/>
      <c r="D367" s="159" t="s">
        <v>1151</v>
      </c>
      <c r="E367" s="82" t="s">
        <v>1192</v>
      </c>
    </row>
    <row r="368" spans="1:10" s="74" customFormat="1" ht="15" customHeight="1" x14ac:dyDescent="0.25">
      <c r="A368" s="180"/>
      <c r="B368" s="183"/>
      <c r="C368" s="159"/>
      <c r="D368" s="159" t="s">
        <v>1157</v>
      </c>
      <c r="E368" s="82" t="s">
        <v>1193</v>
      </c>
    </row>
    <row r="369" spans="1:5" s="74" customFormat="1" ht="15" customHeight="1" x14ac:dyDescent="0.25">
      <c r="A369" s="180"/>
      <c r="B369" s="183"/>
      <c r="C369" s="159"/>
      <c r="D369" s="159" t="s">
        <v>1152</v>
      </c>
      <c r="E369" s="82" t="s">
        <v>1194</v>
      </c>
    </row>
    <row r="370" spans="1:5" s="74" customFormat="1" ht="15" customHeight="1" x14ac:dyDescent="0.25">
      <c r="A370" s="180"/>
      <c r="B370" s="183"/>
      <c r="C370" s="159"/>
      <c r="D370" s="159" t="s">
        <v>1153</v>
      </c>
      <c r="E370" s="82" t="s">
        <v>1195</v>
      </c>
    </row>
    <row r="371" spans="1:5" s="74" customFormat="1" ht="15" customHeight="1" x14ac:dyDescent="0.25">
      <c r="A371" s="180"/>
      <c r="B371" s="183"/>
      <c r="C371" s="159"/>
      <c r="D371" s="159" t="s">
        <v>1154</v>
      </c>
      <c r="E371" s="82" t="s">
        <v>1196</v>
      </c>
    </row>
    <row r="372" spans="1:5" s="74" customFormat="1" ht="15" customHeight="1" x14ac:dyDescent="0.25">
      <c r="A372" s="180"/>
      <c r="B372" s="183"/>
      <c r="C372" s="159"/>
      <c r="D372" s="159" t="s">
        <v>1155</v>
      </c>
      <c r="E372" s="82" t="s">
        <v>1197</v>
      </c>
    </row>
    <row r="373" spans="1:5" s="74" customFormat="1" ht="15" customHeight="1" x14ac:dyDescent="0.25">
      <c r="A373" s="180"/>
      <c r="B373" s="183"/>
      <c r="C373" s="159"/>
      <c r="D373" s="159" t="s">
        <v>1156</v>
      </c>
      <c r="E373" s="82" t="s">
        <v>1198</v>
      </c>
    </row>
    <row r="374" spans="1:5" s="74" customFormat="1" ht="15" customHeight="1" x14ac:dyDescent="0.25">
      <c r="A374" s="180"/>
      <c r="B374" s="183"/>
      <c r="C374" s="159"/>
      <c r="D374" s="159" t="s">
        <v>1172</v>
      </c>
      <c r="E374" s="82" t="s">
        <v>1199</v>
      </c>
    </row>
    <row r="375" spans="1:5" s="115" customFormat="1" ht="15" customHeight="1" x14ac:dyDescent="0.25">
      <c r="A375" s="180"/>
      <c r="B375" s="183"/>
      <c r="C375" s="161" t="s">
        <v>821</v>
      </c>
      <c r="D375" s="161"/>
      <c r="E375" s="95" t="s">
        <v>1200</v>
      </c>
    </row>
    <row r="376" spans="1:5" s="74" customFormat="1" ht="15" customHeight="1" x14ac:dyDescent="0.25">
      <c r="A376" s="180"/>
      <c r="B376" s="183"/>
      <c r="C376" s="159"/>
      <c r="D376" s="159" t="s">
        <v>1151</v>
      </c>
      <c r="E376" s="82" t="s">
        <v>1201</v>
      </c>
    </row>
    <row r="377" spans="1:5" s="74" customFormat="1" ht="15" customHeight="1" x14ac:dyDescent="0.25">
      <c r="A377" s="180"/>
      <c r="B377" s="183"/>
      <c r="C377" s="159"/>
      <c r="D377" s="159" t="s">
        <v>1157</v>
      </c>
      <c r="E377" s="82" t="s">
        <v>1202</v>
      </c>
    </row>
    <row r="378" spans="1:5" s="74" customFormat="1" ht="15" customHeight="1" x14ac:dyDescent="0.25">
      <c r="A378" s="180"/>
      <c r="B378" s="183"/>
      <c r="C378" s="159"/>
      <c r="D378" s="159" t="s">
        <v>1152</v>
      </c>
      <c r="E378" s="82" t="s">
        <v>1203</v>
      </c>
    </row>
    <row r="379" spans="1:5" s="74" customFormat="1" ht="15" customHeight="1" x14ac:dyDescent="0.25">
      <c r="A379" s="180"/>
      <c r="B379" s="183"/>
      <c r="C379" s="159"/>
      <c r="D379" s="159" t="s">
        <v>1153</v>
      </c>
      <c r="E379" s="82" t="s">
        <v>1204</v>
      </c>
    </row>
    <row r="380" spans="1:5" s="74" customFormat="1" ht="15" customHeight="1" x14ac:dyDescent="0.25">
      <c r="A380" s="180"/>
      <c r="B380" s="183"/>
      <c r="C380" s="159"/>
      <c r="D380" s="159" t="s">
        <v>1154</v>
      </c>
      <c r="E380" s="82" t="s">
        <v>1205</v>
      </c>
    </row>
    <row r="381" spans="1:5" s="74" customFormat="1" ht="15" customHeight="1" x14ac:dyDescent="0.25">
      <c r="A381" s="180"/>
      <c r="B381" s="183"/>
      <c r="C381" s="159"/>
      <c r="D381" s="159" t="s">
        <v>1155</v>
      </c>
      <c r="E381" s="82" t="s">
        <v>1206</v>
      </c>
    </row>
    <row r="382" spans="1:5" s="74" customFormat="1" ht="15" customHeight="1" x14ac:dyDescent="0.25">
      <c r="A382" s="180"/>
      <c r="B382" s="183"/>
      <c r="C382" s="159"/>
      <c r="D382" s="159" t="s">
        <v>1156</v>
      </c>
      <c r="E382" s="82" t="s">
        <v>1207</v>
      </c>
    </row>
    <row r="383" spans="1:5" s="74" customFormat="1" ht="15" customHeight="1" x14ac:dyDescent="0.25">
      <c r="A383" s="180"/>
      <c r="B383" s="183"/>
      <c r="C383" s="160"/>
      <c r="D383" s="160" t="s">
        <v>1172</v>
      </c>
      <c r="E383" s="102" t="s">
        <v>1208</v>
      </c>
    </row>
    <row r="384" spans="1:5" s="115" customFormat="1" ht="15" customHeight="1" x14ac:dyDescent="0.25">
      <c r="A384" s="180"/>
      <c r="B384" s="183"/>
      <c r="C384" s="161" t="s">
        <v>1209</v>
      </c>
      <c r="D384" s="161"/>
      <c r="E384" s="95" t="s">
        <v>1213</v>
      </c>
    </row>
    <row r="385" spans="1:5" s="74" customFormat="1" ht="15" customHeight="1" x14ac:dyDescent="0.25">
      <c r="A385" s="180"/>
      <c r="B385" s="183"/>
      <c r="C385" s="161"/>
      <c r="D385" s="159" t="s">
        <v>1151</v>
      </c>
      <c r="E385" s="82" t="s">
        <v>1214</v>
      </c>
    </row>
    <row r="386" spans="1:5" s="74" customFormat="1" ht="15" customHeight="1" x14ac:dyDescent="0.25">
      <c r="A386" s="180"/>
      <c r="B386" s="183"/>
      <c r="C386" s="159"/>
      <c r="D386" s="159" t="s">
        <v>1152</v>
      </c>
      <c r="E386" s="82" t="s">
        <v>1215</v>
      </c>
    </row>
    <row r="387" spans="1:5" s="74" customFormat="1" ht="15" customHeight="1" x14ac:dyDescent="0.25">
      <c r="A387" s="180"/>
      <c r="B387" s="183"/>
      <c r="C387" s="159"/>
      <c r="D387" s="159" t="s">
        <v>1153</v>
      </c>
      <c r="E387" s="82" t="s">
        <v>1216</v>
      </c>
    </row>
    <row r="388" spans="1:5" s="74" customFormat="1" ht="15" customHeight="1" x14ac:dyDescent="0.25">
      <c r="A388" s="180"/>
      <c r="B388" s="183"/>
      <c r="C388" s="159"/>
      <c r="D388" s="159" t="s">
        <v>1154</v>
      </c>
      <c r="E388" s="82" t="s">
        <v>1217</v>
      </c>
    </row>
    <row r="389" spans="1:5" s="74" customFormat="1" ht="15" customHeight="1" x14ac:dyDescent="0.25">
      <c r="A389" s="180"/>
      <c r="B389" s="183"/>
      <c r="C389" s="159"/>
      <c r="D389" s="159" t="s">
        <v>1155</v>
      </c>
      <c r="E389" s="82" t="s">
        <v>1218</v>
      </c>
    </row>
    <row r="390" spans="1:5" s="74" customFormat="1" ht="15" customHeight="1" x14ac:dyDescent="0.25">
      <c r="A390" s="180"/>
      <c r="B390" s="183"/>
      <c r="C390" s="159"/>
      <c r="D390" s="159" t="s">
        <v>1156</v>
      </c>
      <c r="E390" s="82" t="s">
        <v>1219</v>
      </c>
    </row>
    <row r="391" spans="1:5" s="115" customFormat="1" ht="15" customHeight="1" x14ac:dyDescent="0.25">
      <c r="A391" s="180"/>
      <c r="B391" s="183"/>
      <c r="C391" s="161" t="s">
        <v>1210</v>
      </c>
      <c r="D391" s="161"/>
      <c r="E391" s="95" t="s">
        <v>1220</v>
      </c>
    </row>
    <row r="392" spans="1:5" s="74" customFormat="1" ht="15" customHeight="1" x14ac:dyDescent="0.25">
      <c r="A392" s="180"/>
      <c r="B392" s="183"/>
      <c r="C392" s="159" t="s">
        <v>1170</v>
      </c>
      <c r="D392" s="159"/>
      <c r="E392" s="82" t="s">
        <v>1221</v>
      </c>
    </row>
    <row r="393" spans="1:5" s="74" customFormat="1" ht="15" customHeight="1" x14ac:dyDescent="0.25">
      <c r="A393" s="180"/>
      <c r="B393" s="183"/>
      <c r="C393" s="159"/>
      <c r="D393" s="159" t="s">
        <v>1157</v>
      </c>
      <c r="E393" s="82" t="s">
        <v>1222</v>
      </c>
    </row>
    <row r="394" spans="1:5" s="74" customFormat="1" ht="15" customHeight="1" x14ac:dyDescent="0.25">
      <c r="A394" s="180"/>
      <c r="B394" s="183"/>
      <c r="C394" s="159"/>
      <c r="D394" s="159" t="s">
        <v>1153</v>
      </c>
      <c r="E394" s="82" t="s">
        <v>1223</v>
      </c>
    </row>
    <row r="395" spans="1:5" s="74" customFormat="1" ht="15" customHeight="1" x14ac:dyDescent="0.25">
      <c r="A395" s="180"/>
      <c r="B395" s="183"/>
      <c r="C395" s="159"/>
      <c r="D395" s="159" t="s">
        <v>1154</v>
      </c>
      <c r="E395" s="82" t="s">
        <v>1224</v>
      </c>
    </row>
    <row r="396" spans="1:5" s="74" customFormat="1" ht="15" customHeight="1" x14ac:dyDescent="0.25">
      <c r="A396" s="180"/>
      <c r="B396" s="183"/>
      <c r="C396" s="159" t="s">
        <v>1171</v>
      </c>
      <c r="D396" s="159"/>
      <c r="E396" s="82" t="s">
        <v>1225</v>
      </c>
    </row>
    <row r="397" spans="1:5" s="74" customFormat="1" ht="15" customHeight="1" x14ac:dyDescent="0.25">
      <c r="A397" s="180"/>
      <c r="B397" s="183"/>
      <c r="C397" s="159"/>
      <c r="D397" s="159" t="s">
        <v>1151</v>
      </c>
      <c r="E397" s="82" t="s">
        <v>1226</v>
      </c>
    </row>
    <row r="398" spans="1:5" s="74" customFormat="1" ht="15" customHeight="1" x14ac:dyDescent="0.25">
      <c r="A398" s="180"/>
      <c r="B398" s="183"/>
      <c r="C398" s="159"/>
      <c r="D398" s="159" t="s">
        <v>1157</v>
      </c>
      <c r="E398" s="82" t="s">
        <v>1227</v>
      </c>
    </row>
    <row r="399" spans="1:5" s="74" customFormat="1" ht="15" customHeight="1" x14ac:dyDescent="0.25">
      <c r="A399" s="180"/>
      <c r="B399" s="183"/>
      <c r="C399" s="159"/>
      <c r="D399" s="159" t="s">
        <v>1152</v>
      </c>
      <c r="E399" s="82" t="s">
        <v>1228</v>
      </c>
    </row>
    <row r="400" spans="1:5" s="74" customFormat="1" ht="15" customHeight="1" x14ac:dyDescent="0.25">
      <c r="A400" s="180"/>
      <c r="B400" s="183"/>
      <c r="C400" s="159"/>
      <c r="D400" s="159" t="s">
        <v>1153</v>
      </c>
      <c r="E400" s="82" t="s">
        <v>1229</v>
      </c>
    </row>
    <row r="401" spans="1:10" s="74" customFormat="1" ht="15" customHeight="1" x14ac:dyDescent="0.25">
      <c r="A401" s="180"/>
      <c r="B401" s="183"/>
      <c r="C401" s="159"/>
      <c r="D401" s="159" t="s">
        <v>1154</v>
      </c>
      <c r="E401" s="82" t="s">
        <v>1230</v>
      </c>
    </row>
    <row r="402" spans="1:10" s="74" customFormat="1" ht="15" customHeight="1" x14ac:dyDescent="0.25">
      <c r="A402" s="180"/>
      <c r="B402" s="183"/>
      <c r="C402" s="159"/>
      <c r="D402" s="159" t="s">
        <v>1155</v>
      </c>
      <c r="E402" s="82" t="s">
        <v>1231</v>
      </c>
    </row>
    <row r="403" spans="1:10" s="74" customFormat="1" ht="15" customHeight="1" x14ac:dyDescent="0.25">
      <c r="A403" s="180"/>
      <c r="B403" s="183"/>
      <c r="C403" s="159"/>
      <c r="D403" s="159" t="s">
        <v>1156</v>
      </c>
      <c r="E403" s="82" t="s">
        <v>1232</v>
      </c>
    </row>
    <row r="404" spans="1:10" s="74" customFormat="1" ht="15" customHeight="1" x14ac:dyDescent="0.25">
      <c r="A404" s="180"/>
      <c r="B404" s="183"/>
      <c r="C404" s="159"/>
      <c r="D404" s="159" t="s">
        <v>1172</v>
      </c>
      <c r="E404" s="82" t="s">
        <v>1233</v>
      </c>
    </row>
    <row r="405" spans="1:10" s="115" customFormat="1" ht="15" customHeight="1" x14ac:dyDescent="0.25">
      <c r="A405" s="180"/>
      <c r="B405" s="183"/>
      <c r="C405" s="161" t="s">
        <v>1211</v>
      </c>
      <c r="D405" s="161"/>
      <c r="E405" s="95" t="s">
        <v>1234</v>
      </c>
      <c r="J405" s="74"/>
    </row>
    <row r="406" spans="1:10" s="74" customFormat="1" ht="15" customHeight="1" x14ac:dyDescent="0.25">
      <c r="A406" s="180"/>
      <c r="B406" s="183"/>
      <c r="C406" s="159"/>
      <c r="D406" s="159" t="s">
        <v>1151</v>
      </c>
      <c r="E406" s="82" t="s">
        <v>1235</v>
      </c>
    </row>
    <row r="407" spans="1:10" s="74" customFormat="1" ht="15" customHeight="1" x14ac:dyDescent="0.25">
      <c r="A407" s="180"/>
      <c r="B407" s="183"/>
      <c r="C407" s="159"/>
      <c r="D407" s="159" t="s">
        <v>1157</v>
      </c>
      <c r="E407" s="82" t="s">
        <v>1236</v>
      </c>
    </row>
    <row r="408" spans="1:10" s="74" customFormat="1" ht="15" customHeight="1" x14ac:dyDescent="0.25">
      <c r="A408" s="180"/>
      <c r="B408" s="183"/>
      <c r="C408" s="159"/>
      <c r="D408" s="159" t="s">
        <v>1152</v>
      </c>
      <c r="E408" s="82" t="s">
        <v>1237</v>
      </c>
    </row>
    <row r="409" spans="1:10" s="74" customFormat="1" ht="15" customHeight="1" x14ac:dyDescent="0.25">
      <c r="A409" s="180"/>
      <c r="B409" s="183"/>
      <c r="C409" s="159"/>
      <c r="D409" s="159" t="s">
        <v>1153</v>
      </c>
      <c r="E409" s="82" t="s">
        <v>1238</v>
      </c>
    </row>
    <row r="410" spans="1:10" s="74" customFormat="1" ht="15" customHeight="1" x14ac:dyDescent="0.25">
      <c r="A410" s="180"/>
      <c r="B410" s="183"/>
      <c r="C410" s="159"/>
      <c r="D410" s="159" t="s">
        <v>1154</v>
      </c>
      <c r="E410" s="82" t="s">
        <v>1239</v>
      </c>
    </row>
    <row r="411" spans="1:10" s="74" customFormat="1" ht="15" customHeight="1" x14ac:dyDescent="0.25">
      <c r="A411" s="180"/>
      <c r="B411" s="183"/>
      <c r="C411" s="159"/>
      <c r="D411" s="159" t="s">
        <v>1155</v>
      </c>
      <c r="E411" s="82" t="s">
        <v>1240</v>
      </c>
    </row>
    <row r="412" spans="1:10" s="74" customFormat="1" ht="15" customHeight="1" x14ac:dyDescent="0.25">
      <c r="A412" s="180"/>
      <c r="B412" s="183"/>
      <c r="C412" s="159"/>
      <c r="D412" s="159" t="s">
        <v>1156</v>
      </c>
      <c r="E412" s="82" t="s">
        <v>1241</v>
      </c>
    </row>
    <row r="413" spans="1:10" s="74" customFormat="1" ht="15" customHeight="1" x14ac:dyDescent="0.25">
      <c r="A413" s="180"/>
      <c r="B413" s="183"/>
      <c r="C413" s="159"/>
      <c r="D413" s="159" t="s">
        <v>1172</v>
      </c>
      <c r="E413" s="82" t="s">
        <v>1242</v>
      </c>
    </row>
    <row r="414" spans="1:10" s="115" customFormat="1" ht="15" customHeight="1" x14ac:dyDescent="0.25">
      <c r="A414" s="180"/>
      <c r="B414" s="183"/>
      <c r="C414" s="161" t="s">
        <v>1212</v>
      </c>
      <c r="D414" s="161"/>
      <c r="E414" s="95" t="s">
        <v>1243</v>
      </c>
    </row>
    <row r="415" spans="1:10" s="74" customFormat="1" ht="15" customHeight="1" x14ac:dyDescent="0.25">
      <c r="A415" s="180"/>
      <c r="B415" s="183"/>
      <c r="C415" s="159"/>
      <c r="D415" s="159" t="s">
        <v>1151</v>
      </c>
      <c r="E415" s="82" t="s">
        <v>1244</v>
      </c>
    </row>
    <row r="416" spans="1:10" s="74" customFormat="1" ht="15" customHeight="1" x14ac:dyDescent="0.25">
      <c r="A416" s="180"/>
      <c r="B416" s="183"/>
      <c r="C416" s="159"/>
      <c r="D416" s="159" t="s">
        <v>1157</v>
      </c>
      <c r="E416" s="82" t="s">
        <v>1245</v>
      </c>
    </row>
    <row r="417" spans="1:5" s="74" customFormat="1" ht="15" customHeight="1" x14ac:dyDescent="0.25">
      <c r="A417" s="180"/>
      <c r="B417" s="183"/>
      <c r="C417" s="159"/>
      <c r="D417" s="159" t="s">
        <v>1152</v>
      </c>
      <c r="E417" s="82" t="s">
        <v>1246</v>
      </c>
    </row>
    <row r="418" spans="1:5" s="74" customFormat="1" ht="15" customHeight="1" x14ac:dyDescent="0.25">
      <c r="A418" s="180"/>
      <c r="B418" s="183"/>
      <c r="C418" s="159"/>
      <c r="D418" s="159" t="s">
        <v>1153</v>
      </c>
      <c r="E418" s="82" t="s">
        <v>1247</v>
      </c>
    </row>
    <row r="419" spans="1:5" s="74" customFormat="1" ht="15" customHeight="1" x14ac:dyDescent="0.25">
      <c r="A419" s="180"/>
      <c r="B419" s="183"/>
      <c r="C419" s="159"/>
      <c r="D419" s="159" t="s">
        <v>1154</v>
      </c>
      <c r="E419" s="82" t="s">
        <v>1248</v>
      </c>
    </row>
    <row r="420" spans="1:5" s="74" customFormat="1" ht="15" customHeight="1" x14ac:dyDescent="0.25">
      <c r="A420" s="180"/>
      <c r="B420" s="183"/>
      <c r="C420" s="159"/>
      <c r="D420" s="159" t="s">
        <v>1155</v>
      </c>
      <c r="E420" s="82" t="s">
        <v>1249</v>
      </c>
    </row>
    <row r="421" spans="1:5" s="74" customFormat="1" ht="15" customHeight="1" x14ac:dyDescent="0.25">
      <c r="A421" s="180"/>
      <c r="B421" s="183"/>
      <c r="C421" s="159"/>
      <c r="D421" s="159" t="s">
        <v>1156</v>
      </c>
      <c r="E421" s="82" t="s">
        <v>1250</v>
      </c>
    </row>
    <row r="422" spans="1:5" s="74" customFormat="1" ht="15" customHeight="1" x14ac:dyDescent="0.25">
      <c r="A422" s="180"/>
      <c r="B422" s="183"/>
      <c r="C422" s="159"/>
      <c r="D422" s="159" t="s">
        <v>1172</v>
      </c>
      <c r="E422" s="82" t="s">
        <v>1251</v>
      </c>
    </row>
    <row r="423" spans="1:5" s="115" customFormat="1" ht="15" customHeight="1" x14ac:dyDescent="0.25">
      <c r="A423" s="180"/>
      <c r="B423" s="183"/>
      <c r="C423" s="161" t="s">
        <v>865</v>
      </c>
      <c r="D423" s="161"/>
      <c r="E423" s="95" t="s">
        <v>1252</v>
      </c>
    </row>
    <row r="424" spans="1:5" s="74" customFormat="1" ht="15" customHeight="1" x14ac:dyDescent="0.25">
      <c r="A424" s="180"/>
      <c r="B424" s="183"/>
      <c r="C424" s="159"/>
      <c r="D424" s="159" t="s">
        <v>1151</v>
      </c>
      <c r="E424" s="82" t="s">
        <v>1253</v>
      </c>
    </row>
    <row r="425" spans="1:5" s="74" customFormat="1" ht="15" customHeight="1" x14ac:dyDescent="0.25">
      <c r="A425" s="180"/>
      <c r="B425" s="183"/>
      <c r="C425" s="159"/>
      <c r="D425" s="159" t="s">
        <v>1157</v>
      </c>
      <c r="E425" s="82" t="s">
        <v>1254</v>
      </c>
    </row>
    <row r="426" spans="1:5" s="74" customFormat="1" ht="15" customHeight="1" x14ac:dyDescent="0.25">
      <c r="A426" s="180"/>
      <c r="B426" s="183"/>
      <c r="C426" s="159"/>
      <c r="D426" s="159" t="s">
        <v>1152</v>
      </c>
      <c r="E426" s="82" t="s">
        <v>1255</v>
      </c>
    </row>
    <row r="427" spans="1:5" s="74" customFormat="1" ht="15" customHeight="1" x14ac:dyDescent="0.25">
      <c r="A427" s="180"/>
      <c r="B427" s="183"/>
      <c r="C427" s="159"/>
      <c r="D427" s="159" t="s">
        <v>1153</v>
      </c>
      <c r="E427" s="82" t="s">
        <v>1256</v>
      </c>
    </row>
    <row r="428" spans="1:5" s="74" customFormat="1" ht="15" customHeight="1" x14ac:dyDescent="0.25">
      <c r="A428" s="180"/>
      <c r="B428" s="183"/>
      <c r="C428" s="159"/>
      <c r="D428" s="159" t="s">
        <v>1154</v>
      </c>
      <c r="E428" s="82" t="s">
        <v>1257</v>
      </c>
    </row>
    <row r="429" spans="1:5" s="74" customFormat="1" ht="15" customHeight="1" x14ac:dyDescent="0.25">
      <c r="A429" s="180"/>
      <c r="B429" s="183"/>
      <c r="C429" s="159"/>
      <c r="D429" s="159" t="s">
        <v>1155</v>
      </c>
      <c r="E429" s="82" t="s">
        <v>1258</v>
      </c>
    </row>
    <row r="430" spans="1:5" s="74" customFormat="1" ht="15" customHeight="1" x14ac:dyDescent="0.25">
      <c r="A430" s="180"/>
      <c r="B430" s="183"/>
      <c r="C430" s="159"/>
      <c r="D430" s="159" t="s">
        <v>1156</v>
      </c>
      <c r="E430" s="82" t="s">
        <v>1259</v>
      </c>
    </row>
    <row r="431" spans="1:5" s="74" customFormat="1" ht="15" customHeight="1" x14ac:dyDescent="0.25">
      <c r="A431" s="180"/>
      <c r="B431" s="183"/>
      <c r="C431" s="159"/>
      <c r="D431" s="159" t="s">
        <v>1172</v>
      </c>
      <c r="E431" s="82" t="s">
        <v>1260</v>
      </c>
    </row>
    <row r="432" spans="1:5" ht="15" customHeight="1" x14ac:dyDescent="0.25">
      <c r="A432" s="171" t="s">
        <v>1073</v>
      </c>
      <c r="B432" s="173" t="s">
        <v>1074</v>
      </c>
      <c r="C432" s="225" t="s">
        <v>1262</v>
      </c>
      <c r="D432" s="142"/>
      <c r="E432" s="54"/>
    </row>
    <row r="433" spans="1:5" s="74" customFormat="1" x14ac:dyDescent="0.25">
      <c r="A433" s="171"/>
      <c r="B433" s="173"/>
      <c r="C433" s="225" t="s">
        <v>1263</v>
      </c>
      <c r="D433" s="142"/>
      <c r="E433" s="54"/>
    </row>
    <row r="434" spans="1:5" s="74" customFormat="1" x14ac:dyDescent="0.25">
      <c r="A434" s="171"/>
      <c r="B434" s="173"/>
      <c r="C434" s="142"/>
      <c r="D434" s="142" t="s">
        <v>669</v>
      </c>
      <c r="E434" s="54" t="s">
        <v>1269</v>
      </c>
    </row>
    <row r="435" spans="1:5" s="74" customFormat="1" x14ac:dyDescent="0.25">
      <c r="A435" s="171"/>
      <c r="B435" s="173"/>
      <c r="C435" s="142"/>
      <c r="D435" s="142" t="s">
        <v>670</v>
      </c>
      <c r="E435" s="54" t="s">
        <v>1270</v>
      </c>
    </row>
    <row r="436" spans="1:5" s="74" customFormat="1" x14ac:dyDescent="0.25">
      <c r="A436" s="171"/>
      <c r="B436" s="173"/>
      <c r="C436" s="142"/>
      <c r="D436" s="142" t="s">
        <v>671</v>
      </c>
      <c r="E436" s="54" t="s">
        <v>1271</v>
      </c>
    </row>
    <row r="437" spans="1:5" s="74" customFormat="1" x14ac:dyDescent="0.25">
      <c r="A437" s="171"/>
      <c r="B437" s="173"/>
      <c r="C437" s="142"/>
      <c r="D437" s="142" t="s">
        <v>672</v>
      </c>
      <c r="E437" s="54" t="s">
        <v>1272</v>
      </c>
    </row>
    <row r="438" spans="1:5" s="74" customFormat="1" x14ac:dyDescent="0.25">
      <c r="A438" s="171"/>
      <c r="B438" s="173"/>
      <c r="C438" s="142"/>
      <c r="D438" s="142" t="s">
        <v>673</v>
      </c>
      <c r="E438" s="54" t="s">
        <v>1273</v>
      </c>
    </row>
    <row r="439" spans="1:5" s="74" customFormat="1" x14ac:dyDescent="0.25">
      <c r="A439" s="171"/>
      <c r="B439" s="173"/>
      <c r="C439" s="142"/>
      <c r="D439" s="142" t="s">
        <v>674</v>
      </c>
      <c r="E439" s="54" t="s">
        <v>1274</v>
      </c>
    </row>
    <row r="440" spans="1:5" s="74" customFormat="1" x14ac:dyDescent="0.25">
      <c r="A440" s="171"/>
      <c r="B440" s="173"/>
      <c r="C440" s="142"/>
      <c r="D440" s="142" t="s">
        <v>675</v>
      </c>
      <c r="E440" s="54" t="s">
        <v>1275</v>
      </c>
    </row>
    <row r="441" spans="1:5" s="74" customFormat="1" x14ac:dyDescent="0.25">
      <c r="A441" s="171"/>
      <c r="B441" s="173"/>
      <c r="C441" s="142"/>
      <c r="D441" s="142" t="s">
        <v>676</v>
      </c>
      <c r="E441" s="54" t="s">
        <v>1276</v>
      </c>
    </row>
    <row r="442" spans="1:5" s="74" customFormat="1" x14ac:dyDescent="0.25">
      <c r="A442" s="171"/>
      <c r="B442" s="173"/>
      <c r="C442" s="142"/>
      <c r="D442" s="142" t="s">
        <v>677</v>
      </c>
      <c r="E442" s="54" t="s">
        <v>1277</v>
      </c>
    </row>
    <row r="443" spans="1:5" s="74" customFormat="1" x14ac:dyDescent="0.25">
      <c r="A443" s="171"/>
      <c r="B443" s="173"/>
      <c r="C443" s="142"/>
      <c r="D443" s="142" t="s">
        <v>678</v>
      </c>
      <c r="E443" s="54" t="s">
        <v>1278</v>
      </c>
    </row>
    <row r="444" spans="1:5" s="74" customFormat="1" x14ac:dyDescent="0.25">
      <c r="A444" s="171"/>
      <c r="B444" s="173"/>
      <c r="C444" s="142"/>
      <c r="D444" s="142" t="s">
        <v>679</v>
      </c>
      <c r="E444" s="54" t="s">
        <v>1279</v>
      </c>
    </row>
    <row r="445" spans="1:5" s="74" customFormat="1" x14ac:dyDescent="0.25">
      <c r="A445" s="171"/>
      <c r="B445" s="173"/>
      <c r="C445" s="142"/>
      <c r="D445" s="142" t="s">
        <v>680</v>
      </c>
      <c r="E445" s="54" t="s">
        <v>1280</v>
      </c>
    </row>
    <row r="446" spans="1:5" s="74" customFormat="1" x14ac:dyDescent="0.25">
      <c r="A446" s="171"/>
      <c r="B446" s="173"/>
      <c r="C446" s="142"/>
      <c r="D446" s="142" t="s">
        <v>681</v>
      </c>
      <c r="E446" s="54" t="s">
        <v>1281</v>
      </c>
    </row>
    <row r="447" spans="1:5" s="74" customFormat="1" x14ac:dyDescent="0.25">
      <c r="A447" s="171"/>
      <c r="B447" s="173"/>
      <c r="C447" s="142"/>
      <c r="D447" s="142" t="s">
        <v>682</v>
      </c>
      <c r="E447" s="54" t="s">
        <v>1282</v>
      </c>
    </row>
    <row r="448" spans="1:5" s="74" customFormat="1" x14ac:dyDescent="0.25">
      <c r="A448" s="171"/>
      <c r="B448" s="173"/>
      <c r="C448" s="142"/>
      <c r="D448" s="142" t="s">
        <v>683</v>
      </c>
      <c r="E448" s="54" t="s">
        <v>1283</v>
      </c>
    </row>
    <row r="449" spans="1:5" s="74" customFormat="1" x14ac:dyDescent="0.25">
      <c r="A449" s="171"/>
      <c r="B449" s="173"/>
      <c r="C449" s="142"/>
      <c r="D449" s="142" t="s">
        <v>684</v>
      </c>
      <c r="E449" s="54" t="s">
        <v>1284</v>
      </c>
    </row>
    <row r="450" spans="1:5" s="74" customFormat="1" x14ac:dyDescent="0.25">
      <c r="A450" s="171"/>
      <c r="B450" s="173"/>
      <c r="C450" s="142"/>
      <c r="D450" s="142" t="s">
        <v>685</v>
      </c>
      <c r="E450" s="54" t="s">
        <v>1285</v>
      </c>
    </row>
    <row r="451" spans="1:5" s="74" customFormat="1" x14ac:dyDescent="0.25">
      <c r="A451" s="171"/>
      <c r="B451" s="173"/>
      <c r="C451" s="142"/>
      <c r="D451" s="142" t="s">
        <v>686</v>
      </c>
      <c r="E451" s="54" t="s">
        <v>1286</v>
      </c>
    </row>
    <row r="452" spans="1:5" s="74" customFormat="1" x14ac:dyDescent="0.25">
      <c r="A452" s="171"/>
      <c r="B452" s="173"/>
      <c r="C452" s="142"/>
      <c r="D452" s="142" t="s">
        <v>687</v>
      </c>
      <c r="E452" s="54" t="s">
        <v>1287</v>
      </c>
    </row>
    <row r="453" spans="1:5" s="74" customFormat="1" x14ac:dyDescent="0.25">
      <c r="A453" s="171"/>
      <c r="B453" s="173"/>
      <c r="C453" s="142"/>
      <c r="D453" s="142" t="s">
        <v>552</v>
      </c>
      <c r="E453" s="54" t="s">
        <v>1288</v>
      </c>
    </row>
    <row r="454" spans="1:5" s="74" customFormat="1" x14ac:dyDescent="0.25">
      <c r="A454" s="171"/>
      <c r="B454" s="173"/>
      <c r="C454" s="142"/>
      <c r="D454" s="142" t="s">
        <v>553</v>
      </c>
      <c r="E454" s="54" t="s">
        <v>1289</v>
      </c>
    </row>
    <row r="455" spans="1:5" s="74" customFormat="1" x14ac:dyDescent="0.25">
      <c r="A455" s="171"/>
      <c r="B455" s="173"/>
      <c r="C455" s="142"/>
      <c r="D455" s="142" t="s">
        <v>554</v>
      </c>
      <c r="E455" s="54" t="s">
        <v>1290</v>
      </c>
    </row>
    <row r="456" spans="1:5" s="74" customFormat="1" x14ac:dyDescent="0.25">
      <c r="A456" s="171"/>
      <c r="B456" s="173"/>
      <c r="C456" s="142"/>
      <c r="D456" s="142" t="s">
        <v>555</v>
      </c>
      <c r="E456" s="54" t="s">
        <v>1291</v>
      </c>
    </row>
    <row r="457" spans="1:5" s="74" customFormat="1" x14ac:dyDescent="0.25">
      <c r="A457" s="171"/>
      <c r="B457" s="173"/>
      <c r="C457" s="142"/>
      <c r="D457" s="142" t="s">
        <v>556</v>
      </c>
      <c r="E457" s="54" t="s">
        <v>1292</v>
      </c>
    </row>
    <row r="458" spans="1:5" s="74" customFormat="1" x14ac:dyDescent="0.25">
      <c r="A458" s="171"/>
      <c r="B458" s="173"/>
      <c r="C458" s="142"/>
      <c r="D458" s="142" t="s">
        <v>557</v>
      </c>
      <c r="E458" s="54" t="s">
        <v>1293</v>
      </c>
    </row>
    <row r="459" spans="1:5" s="74" customFormat="1" x14ac:dyDescent="0.25">
      <c r="A459" s="171"/>
      <c r="B459" s="173"/>
      <c r="C459" s="142"/>
      <c r="D459" s="142" t="s">
        <v>558</v>
      </c>
      <c r="E459" s="54" t="s">
        <v>1294</v>
      </c>
    </row>
    <row r="460" spans="1:5" s="74" customFormat="1" x14ac:dyDescent="0.25">
      <c r="A460" s="171"/>
      <c r="B460" s="173"/>
      <c r="C460" s="142"/>
      <c r="D460" s="142" t="s">
        <v>559</v>
      </c>
      <c r="E460" s="54" t="s">
        <v>1295</v>
      </c>
    </row>
    <row r="461" spans="1:5" s="74" customFormat="1" x14ac:dyDescent="0.25">
      <c r="A461" s="171"/>
      <c r="B461" s="173"/>
      <c r="C461" s="142"/>
      <c r="D461" s="142" t="s">
        <v>560</v>
      </c>
      <c r="E461" s="54" t="s">
        <v>1296</v>
      </c>
    </row>
    <row r="462" spans="1:5" s="74" customFormat="1" x14ac:dyDescent="0.25">
      <c r="A462" s="171"/>
      <c r="B462" s="173"/>
      <c r="C462" s="225" t="s">
        <v>1264</v>
      </c>
      <c r="D462" s="142"/>
      <c r="E462" s="54"/>
    </row>
    <row r="463" spans="1:5" s="74" customFormat="1" x14ac:dyDescent="0.25">
      <c r="A463" s="171"/>
      <c r="B463" s="173"/>
      <c r="C463" s="142"/>
      <c r="D463" s="142" t="s">
        <v>669</v>
      </c>
      <c r="E463" s="54" t="s">
        <v>1297</v>
      </c>
    </row>
    <row r="464" spans="1:5" s="74" customFormat="1" x14ac:dyDescent="0.25">
      <c r="A464" s="171"/>
      <c r="B464" s="173"/>
      <c r="C464" s="142"/>
      <c r="D464" s="142" t="s">
        <v>670</v>
      </c>
      <c r="E464" s="54" t="s">
        <v>1298</v>
      </c>
    </row>
    <row r="465" spans="1:5" s="74" customFormat="1" x14ac:dyDescent="0.25">
      <c r="A465" s="171"/>
      <c r="B465" s="173"/>
      <c r="C465" s="142"/>
      <c r="D465" s="142" t="s">
        <v>671</v>
      </c>
      <c r="E465" s="54" t="s">
        <v>1299</v>
      </c>
    </row>
    <row r="466" spans="1:5" s="74" customFormat="1" x14ac:dyDescent="0.25">
      <c r="A466" s="171"/>
      <c r="B466" s="173"/>
      <c r="C466" s="142"/>
      <c r="D466" s="142" t="s">
        <v>672</v>
      </c>
      <c r="E466" s="54" t="s">
        <v>1300</v>
      </c>
    </row>
    <row r="467" spans="1:5" s="74" customFormat="1" x14ac:dyDescent="0.25">
      <c r="A467" s="171"/>
      <c r="B467" s="173"/>
      <c r="C467" s="142"/>
      <c r="D467" s="142" t="s">
        <v>673</v>
      </c>
      <c r="E467" s="54" t="s">
        <v>1301</v>
      </c>
    </row>
    <row r="468" spans="1:5" s="74" customFormat="1" x14ac:dyDescent="0.25">
      <c r="A468" s="171"/>
      <c r="B468" s="173"/>
      <c r="C468" s="142"/>
      <c r="D468" s="142" t="s">
        <v>674</v>
      </c>
      <c r="E468" s="54" t="s">
        <v>1302</v>
      </c>
    </row>
    <row r="469" spans="1:5" s="74" customFormat="1" x14ac:dyDescent="0.25">
      <c r="A469" s="171"/>
      <c r="B469" s="173"/>
      <c r="C469" s="142"/>
      <c r="D469" s="142" t="s">
        <v>675</v>
      </c>
      <c r="E469" s="54" t="s">
        <v>1303</v>
      </c>
    </row>
    <row r="470" spans="1:5" s="74" customFormat="1" x14ac:dyDescent="0.25">
      <c r="A470" s="171"/>
      <c r="B470" s="173"/>
      <c r="C470" s="142"/>
      <c r="D470" s="142" t="s">
        <v>676</v>
      </c>
      <c r="E470" s="54" t="s">
        <v>1304</v>
      </c>
    </row>
    <row r="471" spans="1:5" s="74" customFormat="1" x14ac:dyDescent="0.25">
      <c r="A471" s="171"/>
      <c r="B471" s="173"/>
      <c r="C471" s="142"/>
      <c r="D471" s="142" t="s">
        <v>677</v>
      </c>
      <c r="E471" s="54" t="s">
        <v>1305</v>
      </c>
    </row>
    <row r="472" spans="1:5" s="74" customFormat="1" x14ac:dyDescent="0.25">
      <c r="A472" s="171"/>
      <c r="B472" s="173"/>
      <c r="C472" s="142"/>
      <c r="D472" s="142" t="s">
        <v>678</v>
      </c>
      <c r="E472" s="54" t="s">
        <v>1306</v>
      </c>
    </row>
    <row r="473" spans="1:5" s="74" customFormat="1" x14ac:dyDescent="0.25">
      <c r="A473" s="171"/>
      <c r="B473" s="173"/>
      <c r="C473" s="142"/>
      <c r="D473" s="142" t="s">
        <v>679</v>
      </c>
      <c r="E473" s="54" t="s">
        <v>1307</v>
      </c>
    </row>
    <row r="474" spans="1:5" s="74" customFormat="1" x14ac:dyDescent="0.25">
      <c r="A474" s="171"/>
      <c r="B474" s="173"/>
      <c r="C474" s="142"/>
      <c r="D474" s="142" t="s">
        <v>680</v>
      </c>
      <c r="E474" s="54" t="s">
        <v>1308</v>
      </c>
    </row>
    <row r="475" spans="1:5" s="74" customFormat="1" x14ac:dyDescent="0.25">
      <c r="A475" s="171"/>
      <c r="B475" s="173"/>
      <c r="C475" s="142"/>
      <c r="D475" s="142" t="s">
        <v>681</v>
      </c>
      <c r="E475" s="54" t="s">
        <v>1309</v>
      </c>
    </row>
    <row r="476" spans="1:5" s="74" customFormat="1" x14ac:dyDescent="0.25">
      <c r="A476" s="171"/>
      <c r="B476" s="173"/>
      <c r="C476" s="142"/>
      <c r="D476" s="142" t="s">
        <v>682</v>
      </c>
      <c r="E476" s="54" t="s">
        <v>1310</v>
      </c>
    </row>
    <row r="477" spans="1:5" s="74" customFormat="1" x14ac:dyDescent="0.25">
      <c r="A477" s="171"/>
      <c r="B477" s="173"/>
      <c r="C477" s="142"/>
      <c r="D477" s="142" t="s">
        <v>683</v>
      </c>
      <c r="E477" s="54" t="s">
        <v>1311</v>
      </c>
    </row>
    <row r="478" spans="1:5" s="74" customFormat="1" x14ac:dyDescent="0.25">
      <c r="A478" s="171"/>
      <c r="B478" s="173"/>
      <c r="C478" s="142"/>
      <c r="D478" s="142" t="s">
        <v>684</v>
      </c>
      <c r="E478" s="54" t="s">
        <v>1312</v>
      </c>
    </row>
    <row r="479" spans="1:5" s="74" customFormat="1" x14ac:dyDescent="0.25">
      <c r="A479" s="171"/>
      <c r="B479" s="173"/>
      <c r="C479" s="142"/>
      <c r="D479" s="142" t="s">
        <v>685</v>
      </c>
      <c r="E479" s="54" t="s">
        <v>1313</v>
      </c>
    </row>
    <row r="480" spans="1:5" s="74" customFormat="1" x14ac:dyDescent="0.25">
      <c r="A480" s="171"/>
      <c r="B480" s="173"/>
      <c r="C480" s="142"/>
      <c r="D480" s="142" t="s">
        <v>686</v>
      </c>
      <c r="E480" s="54" t="s">
        <v>1314</v>
      </c>
    </row>
    <row r="481" spans="1:5" s="74" customFormat="1" x14ac:dyDescent="0.25">
      <c r="A481" s="171"/>
      <c r="B481" s="173"/>
      <c r="C481" s="142"/>
      <c r="D481" s="142" t="s">
        <v>687</v>
      </c>
      <c r="E481" s="54" t="s">
        <v>1315</v>
      </c>
    </row>
    <row r="482" spans="1:5" s="74" customFormat="1" x14ac:dyDescent="0.25">
      <c r="A482" s="171"/>
      <c r="B482" s="173"/>
      <c r="C482" s="142"/>
      <c r="D482" s="142" t="s">
        <v>552</v>
      </c>
      <c r="E482" s="54" t="s">
        <v>1316</v>
      </c>
    </row>
    <row r="483" spans="1:5" s="74" customFormat="1" x14ac:dyDescent="0.25">
      <c r="A483" s="171"/>
      <c r="B483" s="173"/>
      <c r="C483" s="142"/>
      <c r="D483" s="142" t="s">
        <v>553</v>
      </c>
      <c r="E483" s="54" t="s">
        <v>1317</v>
      </c>
    </row>
    <row r="484" spans="1:5" s="74" customFormat="1" x14ac:dyDescent="0.25">
      <c r="A484" s="171"/>
      <c r="B484" s="173"/>
      <c r="C484" s="142"/>
      <c r="D484" s="142" t="s">
        <v>554</v>
      </c>
      <c r="E484" s="54" t="s">
        <v>1318</v>
      </c>
    </row>
    <row r="485" spans="1:5" s="74" customFormat="1" x14ac:dyDescent="0.25">
      <c r="A485" s="171"/>
      <c r="B485" s="173"/>
      <c r="C485" s="142"/>
      <c r="D485" s="142" t="s">
        <v>555</v>
      </c>
      <c r="E485" s="54" t="s">
        <v>1319</v>
      </c>
    </row>
    <row r="486" spans="1:5" s="74" customFormat="1" x14ac:dyDescent="0.25">
      <c r="A486" s="171"/>
      <c r="B486" s="173"/>
      <c r="C486" s="142"/>
      <c r="D486" s="142" t="s">
        <v>556</v>
      </c>
      <c r="E486" s="54" t="s">
        <v>1320</v>
      </c>
    </row>
    <row r="487" spans="1:5" s="74" customFormat="1" x14ac:dyDescent="0.25">
      <c r="A487" s="171"/>
      <c r="B487" s="173"/>
      <c r="C487" s="142"/>
      <c r="D487" s="142" t="s">
        <v>557</v>
      </c>
      <c r="E487" s="54" t="s">
        <v>1321</v>
      </c>
    </row>
    <row r="488" spans="1:5" s="74" customFormat="1" x14ac:dyDescent="0.25">
      <c r="A488" s="171"/>
      <c r="B488" s="173"/>
      <c r="C488" s="142"/>
      <c r="D488" s="142" t="s">
        <v>558</v>
      </c>
      <c r="E488" s="54" t="s">
        <v>1322</v>
      </c>
    </row>
    <row r="489" spans="1:5" s="74" customFormat="1" x14ac:dyDescent="0.25">
      <c r="A489" s="171"/>
      <c r="B489" s="173"/>
      <c r="C489" s="142"/>
      <c r="D489" s="142" t="s">
        <v>559</v>
      </c>
      <c r="E489" s="54" t="s">
        <v>1323</v>
      </c>
    </row>
    <row r="490" spans="1:5" s="74" customFormat="1" x14ac:dyDescent="0.25">
      <c r="A490" s="171"/>
      <c r="B490" s="173"/>
      <c r="C490" s="142"/>
      <c r="D490" s="142" t="s">
        <v>560</v>
      </c>
      <c r="E490" s="54" t="s">
        <v>1324</v>
      </c>
    </row>
    <row r="491" spans="1:5" s="74" customFormat="1" x14ac:dyDescent="0.25">
      <c r="A491" s="171"/>
      <c r="B491" s="173"/>
      <c r="C491" s="225" t="s">
        <v>1265</v>
      </c>
      <c r="D491" s="142"/>
      <c r="E491" s="54"/>
    </row>
    <row r="492" spans="1:5" s="74" customFormat="1" x14ac:dyDescent="0.25">
      <c r="A492" s="171"/>
      <c r="B492" s="173"/>
      <c r="C492" s="142"/>
      <c r="D492" s="142" t="s">
        <v>669</v>
      </c>
      <c r="E492" s="54" t="s">
        <v>1325</v>
      </c>
    </row>
    <row r="493" spans="1:5" s="74" customFormat="1" x14ac:dyDescent="0.25">
      <c r="A493" s="171"/>
      <c r="B493" s="173"/>
      <c r="C493" s="142"/>
      <c r="D493" s="142" t="s">
        <v>670</v>
      </c>
      <c r="E493" s="54" t="s">
        <v>1326</v>
      </c>
    </row>
    <row r="494" spans="1:5" s="74" customFormat="1" x14ac:dyDescent="0.25">
      <c r="A494" s="171"/>
      <c r="B494" s="173"/>
      <c r="C494" s="142"/>
      <c r="D494" s="142" t="s">
        <v>671</v>
      </c>
      <c r="E494" s="54" t="s">
        <v>1327</v>
      </c>
    </row>
    <row r="495" spans="1:5" s="74" customFormat="1" x14ac:dyDescent="0.25">
      <c r="A495" s="171"/>
      <c r="B495" s="173"/>
      <c r="C495" s="142"/>
      <c r="D495" s="142" t="s">
        <v>672</v>
      </c>
      <c r="E495" s="54" t="s">
        <v>1328</v>
      </c>
    </row>
    <row r="496" spans="1:5" s="74" customFormat="1" x14ac:dyDescent="0.25">
      <c r="A496" s="171"/>
      <c r="B496" s="173"/>
      <c r="C496" s="142"/>
      <c r="D496" s="142" t="s">
        <v>673</v>
      </c>
      <c r="E496" s="54" t="s">
        <v>1329</v>
      </c>
    </row>
    <row r="497" spans="1:5" s="74" customFormat="1" x14ac:dyDescent="0.25">
      <c r="A497" s="171"/>
      <c r="B497" s="173"/>
      <c r="C497" s="142"/>
      <c r="D497" s="142" t="s">
        <v>674</v>
      </c>
      <c r="E497" s="54" t="s">
        <v>1330</v>
      </c>
    </row>
    <row r="498" spans="1:5" s="74" customFormat="1" x14ac:dyDescent="0.25">
      <c r="A498" s="171"/>
      <c r="B498" s="173"/>
      <c r="C498" s="142"/>
      <c r="D498" s="142" t="s">
        <v>675</v>
      </c>
      <c r="E498" s="54" t="s">
        <v>1331</v>
      </c>
    </row>
    <row r="499" spans="1:5" s="74" customFormat="1" x14ac:dyDescent="0.25">
      <c r="A499" s="171"/>
      <c r="B499" s="173"/>
      <c r="C499" s="142"/>
      <c r="D499" s="142" t="s">
        <v>676</v>
      </c>
      <c r="E499" s="54" t="s">
        <v>1332</v>
      </c>
    </row>
    <row r="500" spans="1:5" s="74" customFormat="1" x14ac:dyDescent="0.25">
      <c r="A500" s="171"/>
      <c r="B500" s="173"/>
      <c r="C500" s="142"/>
      <c r="D500" s="142" t="s">
        <v>677</v>
      </c>
      <c r="E500" s="54" t="s">
        <v>1333</v>
      </c>
    </row>
    <row r="501" spans="1:5" s="74" customFormat="1" x14ac:dyDescent="0.25">
      <c r="A501" s="171"/>
      <c r="B501" s="173"/>
      <c r="C501" s="142"/>
      <c r="D501" s="142" t="s">
        <v>678</v>
      </c>
      <c r="E501" s="54" t="s">
        <v>1334</v>
      </c>
    </row>
    <row r="502" spans="1:5" s="74" customFormat="1" x14ac:dyDescent="0.25">
      <c r="A502" s="171"/>
      <c r="B502" s="173"/>
      <c r="C502" s="142"/>
      <c r="D502" s="142" t="s">
        <v>679</v>
      </c>
      <c r="E502" s="54" t="s">
        <v>1335</v>
      </c>
    </row>
    <row r="503" spans="1:5" s="74" customFormat="1" x14ac:dyDescent="0.25">
      <c r="A503" s="171"/>
      <c r="B503" s="173"/>
      <c r="C503" s="142"/>
      <c r="D503" s="142" t="s">
        <v>680</v>
      </c>
      <c r="E503" s="54" t="s">
        <v>1336</v>
      </c>
    </row>
    <row r="504" spans="1:5" s="74" customFormat="1" x14ac:dyDescent="0.25">
      <c r="A504" s="171"/>
      <c r="B504" s="173"/>
      <c r="C504" s="142"/>
      <c r="D504" s="142" t="s">
        <v>681</v>
      </c>
      <c r="E504" s="54" t="s">
        <v>1337</v>
      </c>
    </row>
    <row r="505" spans="1:5" s="74" customFormat="1" x14ac:dyDescent="0.25">
      <c r="A505" s="171"/>
      <c r="B505" s="173"/>
      <c r="C505" s="142"/>
      <c r="D505" s="142" t="s">
        <v>682</v>
      </c>
      <c r="E505" s="54" t="s">
        <v>1338</v>
      </c>
    </row>
    <row r="506" spans="1:5" s="74" customFormat="1" x14ac:dyDescent="0.25">
      <c r="A506" s="171"/>
      <c r="B506" s="173"/>
      <c r="C506" s="142"/>
      <c r="D506" s="142" t="s">
        <v>683</v>
      </c>
      <c r="E506" s="54" t="s">
        <v>1339</v>
      </c>
    </row>
    <row r="507" spans="1:5" s="74" customFormat="1" x14ac:dyDescent="0.25">
      <c r="A507" s="171"/>
      <c r="B507" s="173"/>
      <c r="C507" s="142"/>
      <c r="D507" s="142" t="s">
        <v>684</v>
      </c>
      <c r="E507" s="54" t="s">
        <v>1340</v>
      </c>
    </row>
    <row r="508" spans="1:5" s="74" customFormat="1" x14ac:dyDescent="0.25">
      <c r="A508" s="171"/>
      <c r="B508" s="173"/>
      <c r="C508" s="142"/>
      <c r="D508" s="142" t="s">
        <v>685</v>
      </c>
      <c r="E508" s="54" t="s">
        <v>1341</v>
      </c>
    </row>
    <row r="509" spans="1:5" s="74" customFormat="1" x14ac:dyDescent="0.25">
      <c r="A509" s="171"/>
      <c r="B509" s="173"/>
      <c r="C509" s="142"/>
      <c r="D509" s="142" t="s">
        <v>686</v>
      </c>
      <c r="E509" s="54" t="s">
        <v>1342</v>
      </c>
    </row>
    <row r="510" spans="1:5" s="74" customFormat="1" x14ac:dyDescent="0.25">
      <c r="A510" s="171"/>
      <c r="B510" s="173"/>
      <c r="C510" s="142"/>
      <c r="D510" s="142" t="s">
        <v>687</v>
      </c>
      <c r="E510" s="54" t="s">
        <v>1343</v>
      </c>
    </row>
    <row r="511" spans="1:5" s="74" customFormat="1" x14ac:dyDescent="0.25">
      <c r="A511" s="171"/>
      <c r="B511" s="173"/>
      <c r="C511" s="142"/>
      <c r="D511" s="142" t="s">
        <v>552</v>
      </c>
      <c r="E511" s="54" t="s">
        <v>1344</v>
      </c>
    </row>
    <row r="512" spans="1:5" s="74" customFormat="1" x14ac:dyDescent="0.25">
      <c r="A512" s="171"/>
      <c r="B512" s="173"/>
      <c r="C512" s="142"/>
      <c r="D512" s="142" t="s">
        <v>553</v>
      </c>
      <c r="E512" s="54" t="s">
        <v>1345</v>
      </c>
    </row>
    <row r="513" spans="1:5" s="74" customFormat="1" x14ac:dyDescent="0.25">
      <c r="A513" s="171"/>
      <c r="B513" s="173"/>
      <c r="C513" s="142"/>
      <c r="D513" s="142" t="s">
        <v>554</v>
      </c>
      <c r="E513" s="54" t="s">
        <v>1346</v>
      </c>
    </row>
    <row r="514" spans="1:5" s="74" customFormat="1" x14ac:dyDescent="0.25">
      <c r="A514" s="171"/>
      <c r="B514" s="173"/>
      <c r="C514" s="142"/>
      <c r="D514" s="142" t="s">
        <v>555</v>
      </c>
      <c r="E514" s="54" t="s">
        <v>1347</v>
      </c>
    </row>
    <row r="515" spans="1:5" s="74" customFormat="1" x14ac:dyDescent="0.25">
      <c r="A515" s="171"/>
      <c r="B515" s="173"/>
      <c r="C515" s="142"/>
      <c r="D515" s="142" t="s">
        <v>556</v>
      </c>
      <c r="E515" s="54" t="s">
        <v>1348</v>
      </c>
    </row>
    <row r="516" spans="1:5" s="74" customFormat="1" x14ac:dyDescent="0.25">
      <c r="A516" s="171"/>
      <c r="B516" s="173"/>
      <c r="C516" s="142"/>
      <c r="D516" s="142" t="s">
        <v>557</v>
      </c>
      <c r="E516" s="54" t="s">
        <v>1349</v>
      </c>
    </row>
    <row r="517" spans="1:5" s="74" customFormat="1" x14ac:dyDescent="0.25">
      <c r="A517" s="171"/>
      <c r="B517" s="173"/>
      <c r="C517" s="142"/>
      <c r="D517" s="142" t="s">
        <v>558</v>
      </c>
      <c r="E517" s="54" t="s">
        <v>1350</v>
      </c>
    </row>
    <row r="518" spans="1:5" s="74" customFormat="1" x14ac:dyDescent="0.25">
      <c r="A518" s="171"/>
      <c r="B518" s="173"/>
      <c r="C518" s="142"/>
      <c r="D518" s="142" t="s">
        <v>559</v>
      </c>
      <c r="E518" s="54" t="s">
        <v>1351</v>
      </c>
    </row>
    <row r="519" spans="1:5" s="74" customFormat="1" x14ac:dyDescent="0.25">
      <c r="A519" s="171"/>
      <c r="B519" s="173"/>
      <c r="C519" s="142"/>
      <c r="D519" s="142" t="s">
        <v>560</v>
      </c>
      <c r="E519" s="54" t="s">
        <v>1352</v>
      </c>
    </row>
    <row r="520" spans="1:5" s="74" customFormat="1" x14ac:dyDescent="0.25">
      <c r="A520" s="171"/>
      <c r="B520" s="173"/>
      <c r="C520" s="225" t="s">
        <v>1266</v>
      </c>
      <c r="D520" s="142"/>
      <c r="E520" s="54"/>
    </row>
    <row r="521" spans="1:5" s="74" customFormat="1" x14ac:dyDescent="0.25">
      <c r="A521" s="171"/>
      <c r="B521" s="173"/>
      <c r="C521" s="142"/>
      <c r="D521" s="142" t="s">
        <v>669</v>
      </c>
      <c r="E521" s="54" t="s">
        <v>1353</v>
      </c>
    </row>
    <row r="522" spans="1:5" s="74" customFormat="1" x14ac:dyDescent="0.25">
      <c r="A522" s="171"/>
      <c r="B522" s="173"/>
      <c r="C522" s="142"/>
      <c r="D522" s="142" t="s">
        <v>670</v>
      </c>
      <c r="E522" s="54" t="s">
        <v>1354</v>
      </c>
    </row>
    <row r="523" spans="1:5" s="74" customFormat="1" x14ac:dyDescent="0.25">
      <c r="A523" s="171"/>
      <c r="B523" s="173"/>
      <c r="C523" s="142"/>
      <c r="D523" s="142" t="s">
        <v>671</v>
      </c>
      <c r="E523" s="54" t="s">
        <v>1355</v>
      </c>
    </row>
    <row r="524" spans="1:5" s="74" customFormat="1" x14ac:dyDescent="0.25">
      <c r="A524" s="171"/>
      <c r="B524" s="173"/>
      <c r="C524" s="142"/>
      <c r="D524" s="142" t="s">
        <v>672</v>
      </c>
      <c r="E524" s="54" t="s">
        <v>1356</v>
      </c>
    </row>
    <row r="525" spans="1:5" s="74" customFormat="1" x14ac:dyDescent="0.25">
      <c r="A525" s="171"/>
      <c r="B525" s="173"/>
      <c r="C525" s="142"/>
      <c r="D525" s="142" t="s">
        <v>673</v>
      </c>
      <c r="E525" s="54" t="s">
        <v>1357</v>
      </c>
    </row>
    <row r="526" spans="1:5" s="74" customFormat="1" x14ac:dyDescent="0.25">
      <c r="A526" s="171"/>
      <c r="B526" s="173"/>
      <c r="C526" s="142"/>
      <c r="D526" s="142" t="s">
        <v>674</v>
      </c>
      <c r="E526" s="54" t="s">
        <v>1358</v>
      </c>
    </row>
    <row r="527" spans="1:5" s="74" customFormat="1" x14ac:dyDescent="0.25">
      <c r="A527" s="171"/>
      <c r="B527" s="173"/>
      <c r="C527" s="142"/>
      <c r="D527" s="142" t="s">
        <v>675</v>
      </c>
      <c r="E527" s="54" t="s">
        <v>1359</v>
      </c>
    </row>
    <row r="528" spans="1:5" s="74" customFormat="1" x14ac:dyDescent="0.25">
      <c r="A528" s="171"/>
      <c r="B528" s="173"/>
      <c r="C528" s="142"/>
      <c r="D528" s="142" t="s">
        <v>676</v>
      </c>
      <c r="E528" s="54" t="s">
        <v>1360</v>
      </c>
    </row>
    <row r="529" spans="1:5" s="74" customFormat="1" x14ac:dyDescent="0.25">
      <c r="A529" s="171"/>
      <c r="B529" s="173"/>
      <c r="C529" s="142"/>
      <c r="D529" s="142" t="s">
        <v>677</v>
      </c>
      <c r="E529" s="54" t="s">
        <v>1361</v>
      </c>
    </row>
    <row r="530" spans="1:5" s="74" customFormat="1" x14ac:dyDescent="0.25">
      <c r="A530" s="171"/>
      <c r="B530" s="173"/>
      <c r="C530" s="142"/>
      <c r="D530" s="142" t="s">
        <v>678</v>
      </c>
      <c r="E530" s="54" t="s">
        <v>1362</v>
      </c>
    </row>
    <row r="531" spans="1:5" s="74" customFormat="1" x14ac:dyDescent="0.25">
      <c r="A531" s="171"/>
      <c r="B531" s="173"/>
      <c r="C531" s="142"/>
      <c r="D531" s="142" t="s">
        <v>679</v>
      </c>
      <c r="E531" s="54" t="s">
        <v>1363</v>
      </c>
    </row>
    <row r="532" spans="1:5" s="74" customFormat="1" x14ac:dyDescent="0.25">
      <c r="A532" s="171"/>
      <c r="B532" s="173"/>
      <c r="C532" s="142"/>
      <c r="D532" s="142" t="s">
        <v>680</v>
      </c>
      <c r="E532" s="54" t="s">
        <v>1364</v>
      </c>
    </row>
    <row r="533" spans="1:5" s="74" customFormat="1" x14ac:dyDescent="0.25">
      <c r="A533" s="171"/>
      <c r="B533" s="173"/>
      <c r="C533" s="142"/>
      <c r="D533" s="142" t="s">
        <v>681</v>
      </c>
      <c r="E533" s="54" t="s">
        <v>1365</v>
      </c>
    </row>
    <row r="534" spans="1:5" s="74" customFormat="1" x14ac:dyDescent="0.25">
      <c r="A534" s="171"/>
      <c r="B534" s="173"/>
      <c r="C534" s="142"/>
      <c r="D534" s="142" t="s">
        <v>682</v>
      </c>
      <c r="E534" s="54" t="s">
        <v>1366</v>
      </c>
    </row>
    <row r="535" spans="1:5" s="74" customFormat="1" x14ac:dyDescent="0.25">
      <c r="A535" s="171"/>
      <c r="B535" s="173"/>
      <c r="C535" s="142"/>
      <c r="D535" s="142" t="s">
        <v>683</v>
      </c>
      <c r="E535" s="54" t="s">
        <v>1367</v>
      </c>
    </row>
    <row r="536" spans="1:5" s="74" customFormat="1" x14ac:dyDescent="0.25">
      <c r="A536" s="171"/>
      <c r="B536" s="173"/>
      <c r="C536" s="142"/>
      <c r="D536" s="142" t="s">
        <v>684</v>
      </c>
      <c r="E536" s="54" t="s">
        <v>1368</v>
      </c>
    </row>
    <row r="537" spans="1:5" s="74" customFormat="1" x14ac:dyDescent="0.25">
      <c r="A537" s="171"/>
      <c r="B537" s="173"/>
      <c r="C537" s="142"/>
      <c r="D537" s="142" t="s">
        <v>685</v>
      </c>
      <c r="E537" s="54" t="s">
        <v>1369</v>
      </c>
    </row>
    <row r="538" spans="1:5" s="74" customFormat="1" x14ac:dyDescent="0.25">
      <c r="A538" s="171"/>
      <c r="B538" s="173"/>
      <c r="C538" s="142"/>
      <c r="D538" s="142" t="s">
        <v>686</v>
      </c>
      <c r="E538" s="54" t="s">
        <v>1370</v>
      </c>
    </row>
    <row r="539" spans="1:5" s="74" customFormat="1" x14ac:dyDescent="0.25">
      <c r="A539" s="171"/>
      <c r="B539" s="173"/>
      <c r="C539" s="142"/>
      <c r="D539" s="142" t="s">
        <v>687</v>
      </c>
      <c r="E539" s="54" t="s">
        <v>1371</v>
      </c>
    </row>
    <row r="540" spans="1:5" s="74" customFormat="1" x14ac:dyDescent="0.25">
      <c r="A540" s="171"/>
      <c r="B540" s="173"/>
      <c r="C540" s="142"/>
      <c r="D540" s="142" t="s">
        <v>552</v>
      </c>
      <c r="E540" s="54" t="s">
        <v>1372</v>
      </c>
    </row>
    <row r="541" spans="1:5" s="74" customFormat="1" x14ac:dyDescent="0.25">
      <c r="A541" s="171"/>
      <c r="B541" s="173"/>
      <c r="C541" s="142"/>
      <c r="D541" s="142" t="s">
        <v>553</v>
      </c>
      <c r="E541" s="54" t="s">
        <v>1373</v>
      </c>
    </row>
    <row r="542" spans="1:5" s="74" customFormat="1" x14ac:dyDescent="0.25">
      <c r="A542" s="171"/>
      <c r="B542" s="173"/>
      <c r="C542" s="142"/>
      <c r="D542" s="142" t="s">
        <v>554</v>
      </c>
      <c r="E542" s="54" t="s">
        <v>1374</v>
      </c>
    </row>
    <row r="543" spans="1:5" s="74" customFormat="1" x14ac:dyDescent="0.25">
      <c r="A543" s="171"/>
      <c r="B543" s="173"/>
      <c r="C543" s="142"/>
      <c r="D543" s="142" t="s">
        <v>555</v>
      </c>
      <c r="E543" s="54" t="s">
        <v>1375</v>
      </c>
    </row>
    <row r="544" spans="1:5" s="74" customFormat="1" x14ac:dyDescent="0.25">
      <c r="A544" s="171"/>
      <c r="B544" s="173"/>
      <c r="C544" s="142"/>
      <c r="D544" s="142" t="s">
        <v>556</v>
      </c>
      <c r="E544" s="54" t="s">
        <v>1376</v>
      </c>
    </row>
    <row r="545" spans="1:5" s="74" customFormat="1" x14ac:dyDescent="0.25">
      <c r="A545" s="171"/>
      <c r="B545" s="173"/>
      <c r="C545" s="142"/>
      <c r="D545" s="142" t="s">
        <v>557</v>
      </c>
      <c r="E545" s="54" t="s">
        <v>1377</v>
      </c>
    </row>
    <row r="546" spans="1:5" s="74" customFormat="1" x14ac:dyDescent="0.25">
      <c r="A546" s="171"/>
      <c r="B546" s="173"/>
      <c r="C546" s="142"/>
      <c r="D546" s="142" t="s">
        <v>558</v>
      </c>
      <c r="E546" s="54" t="s">
        <v>1378</v>
      </c>
    </row>
    <row r="547" spans="1:5" s="74" customFormat="1" x14ac:dyDescent="0.25">
      <c r="A547" s="171"/>
      <c r="B547" s="173"/>
      <c r="C547" s="142"/>
      <c r="D547" s="142" t="s">
        <v>559</v>
      </c>
      <c r="E547" s="54" t="s">
        <v>1379</v>
      </c>
    </row>
    <row r="548" spans="1:5" s="74" customFormat="1" x14ac:dyDescent="0.25">
      <c r="A548" s="171"/>
      <c r="B548" s="173"/>
      <c r="C548" s="142"/>
      <c r="D548" s="142" t="s">
        <v>560</v>
      </c>
      <c r="E548" s="54" t="s">
        <v>1380</v>
      </c>
    </row>
    <row r="549" spans="1:5" s="74" customFormat="1" x14ac:dyDescent="0.25">
      <c r="A549" s="171"/>
      <c r="B549" s="173"/>
      <c r="C549" s="225" t="s">
        <v>1267</v>
      </c>
      <c r="D549" s="142"/>
      <c r="E549" s="54"/>
    </row>
    <row r="550" spans="1:5" s="74" customFormat="1" x14ac:dyDescent="0.25">
      <c r="A550" s="171"/>
      <c r="B550" s="173"/>
      <c r="C550" s="142"/>
      <c r="D550" s="142" t="s">
        <v>669</v>
      </c>
      <c r="E550" s="54" t="s">
        <v>1381</v>
      </c>
    </row>
    <row r="551" spans="1:5" s="74" customFormat="1" x14ac:dyDescent="0.25">
      <c r="A551" s="171"/>
      <c r="B551" s="173"/>
      <c r="C551" s="142"/>
      <c r="D551" s="142" t="s">
        <v>670</v>
      </c>
      <c r="E551" s="54" t="s">
        <v>1382</v>
      </c>
    </row>
    <row r="552" spans="1:5" s="74" customFormat="1" x14ac:dyDescent="0.25">
      <c r="A552" s="171"/>
      <c r="B552" s="173"/>
      <c r="C552" s="142"/>
      <c r="D552" s="142" t="s">
        <v>671</v>
      </c>
      <c r="E552" s="54" t="s">
        <v>1383</v>
      </c>
    </row>
    <row r="553" spans="1:5" s="74" customFormat="1" x14ac:dyDescent="0.25">
      <c r="A553" s="171"/>
      <c r="B553" s="173"/>
      <c r="C553" s="142"/>
      <c r="D553" s="142" t="s">
        <v>672</v>
      </c>
      <c r="E553" s="54" t="s">
        <v>1384</v>
      </c>
    </row>
    <row r="554" spans="1:5" s="74" customFormat="1" x14ac:dyDescent="0.25">
      <c r="A554" s="171"/>
      <c r="B554" s="173"/>
      <c r="C554" s="142"/>
      <c r="D554" s="142" t="s">
        <v>673</v>
      </c>
      <c r="E554" s="54" t="s">
        <v>1385</v>
      </c>
    </row>
    <row r="555" spans="1:5" s="74" customFormat="1" x14ac:dyDescent="0.25">
      <c r="A555" s="171"/>
      <c r="B555" s="173"/>
      <c r="C555" s="142"/>
      <c r="D555" s="142" t="s">
        <v>674</v>
      </c>
      <c r="E555" s="54" t="s">
        <v>1386</v>
      </c>
    </row>
    <row r="556" spans="1:5" s="74" customFormat="1" x14ac:dyDescent="0.25">
      <c r="A556" s="171"/>
      <c r="B556" s="173"/>
      <c r="C556" s="142"/>
      <c r="D556" s="142" t="s">
        <v>675</v>
      </c>
      <c r="E556" s="54" t="s">
        <v>1387</v>
      </c>
    </row>
    <row r="557" spans="1:5" s="74" customFormat="1" x14ac:dyDescent="0.25">
      <c r="A557" s="171"/>
      <c r="B557" s="173"/>
      <c r="C557" s="142"/>
      <c r="D557" s="142" t="s">
        <v>676</v>
      </c>
      <c r="E557" s="54" t="s">
        <v>1388</v>
      </c>
    </row>
    <row r="558" spans="1:5" s="74" customFormat="1" x14ac:dyDescent="0.25">
      <c r="A558" s="171"/>
      <c r="B558" s="173"/>
      <c r="C558" s="142"/>
      <c r="D558" s="142" t="s">
        <v>677</v>
      </c>
      <c r="E558" s="54" t="s">
        <v>1389</v>
      </c>
    </row>
    <row r="559" spans="1:5" s="74" customFormat="1" x14ac:dyDescent="0.25">
      <c r="A559" s="171"/>
      <c r="B559" s="173"/>
      <c r="C559" s="142"/>
      <c r="D559" s="142" t="s">
        <v>678</v>
      </c>
      <c r="E559" s="54" t="s">
        <v>1390</v>
      </c>
    </row>
    <row r="560" spans="1:5" s="74" customFormat="1" x14ac:dyDescent="0.25">
      <c r="A560" s="171"/>
      <c r="B560" s="173"/>
      <c r="C560" s="142"/>
      <c r="D560" s="142" t="s">
        <v>679</v>
      </c>
      <c r="E560" s="54" t="s">
        <v>1391</v>
      </c>
    </row>
    <row r="561" spans="1:5" s="74" customFormat="1" x14ac:dyDescent="0.25">
      <c r="A561" s="171"/>
      <c r="B561" s="173"/>
      <c r="C561" s="142"/>
      <c r="D561" s="142" t="s">
        <v>680</v>
      </c>
      <c r="E561" s="54" t="s">
        <v>1392</v>
      </c>
    </row>
    <row r="562" spans="1:5" s="74" customFormat="1" x14ac:dyDescent="0.25">
      <c r="A562" s="171"/>
      <c r="B562" s="173"/>
      <c r="C562" s="142"/>
      <c r="D562" s="142" t="s">
        <v>681</v>
      </c>
      <c r="E562" s="54" t="s">
        <v>1393</v>
      </c>
    </row>
    <row r="563" spans="1:5" s="74" customFormat="1" x14ac:dyDescent="0.25">
      <c r="A563" s="171"/>
      <c r="B563" s="173"/>
      <c r="C563" s="142"/>
      <c r="D563" s="142" t="s">
        <v>682</v>
      </c>
      <c r="E563" s="54" t="s">
        <v>1394</v>
      </c>
    </row>
    <row r="564" spans="1:5" s="74" customFormat="1" x14ac:dyDescent="0.25">
      <c r="A564" s="171"/>
      <c r="B564" s="173"/>
      <c r="C564" s="142"/>
      <c r="D564" s="142" t="s">
        <v>683</v>
      </c>
      <c r="E564" s="54" t="s">
        <v>1395</v>
      </c>
    </row>
    <row r="565" spans="1:5" s="74" customFormat="1" x14ac:dyDescent="0.25">
      <c r="A565" s="171"/>
      <c r="B565" s="173"/>
      <c r="C565" s="142"/>
      <c r="D565" s="142" t="s">
        <v>684</v>
      </c>
      <c r="E565" s="54" t="s">
        <v>1396</v>
      </c>
    </row>
    <row r="566" spans="1:5" s="74" customFormat="1" x14ac:dyDescent="0.25">
      <c r="A566" s="171"/>
      <c r="B566" s="173"/>
      <c r="C566" s="142"/>
      <c r="D566" s="142" t="s">
        <v>685</v>
      </c>
      <c r="E566" s="54" t="s">
        <v>1397</v>
      </c>
    </row>
    <row r="567" spans="1:5" s="74" customFormat="1" x14ac:dyDescent="0.25">
      <c r="A567" s="171"/>
      <c r="B567" s="173"/>
      <c r="C567" s="142"/>
      <c r="D567" s="142" t="s">
        <v>686</v>
      </c>
      <c r="E567" s="54" t="s">
        <v>1398</v>
      </c>
    </row>
    <row r="568" spans="1:5" s="74" customFormat="1" x14ac:dyDescent="0.25">
      <c r="A568" s="171"/>
      <c r="B568" s="173"/>
      <c r="C568" s="142"/>
      <c r="D568" s="142" t="s">
        <v>687</v>
      </c>
      <c r="E568" s="54" t="s">
        <v>1399</v>
      </c>
    </row>
    <row r="569" spans="1:5" s="74" customFormat="1" x14ac:dyDescent="0.25">
      <c r="A569" s="171"/>
      <c r="B569" s="173"/>
      <c r="C569" s="142"/>
      <c r="D569" s="142" t="s">
        <v>552</v>
      </c>
      <c r="E569" s="54" t="s">
        <v>1400</v>
      </c>
    </row>
    <row r="570" spans="1:5" s="74" customFormat="1" x14ac:dyDescent="0.25">
      <c r="A570" s="171"/>
      <c r="B570" s="173"/>
      <c r="C570" s="142"/>
      <c r="D570" s="142" t="s">
        <v>553</v>
      </c>
      <c r="E570" s="54" t="s">
        <v>1401</v>
      </c>
    </row>
    <row r="571" spans="1:5" s="74" customFormat="1" x14ac:dyDescent="0.25">
      <c r="A571" s="171"/>
      <c r="B571" s="173"/>
      <c r="C571" s="142"/>
      <c r="D571" s="142" t="s">
        <v>554</v>
      </c>
      <c r="E571" s="54" t="s">
        <v>1402</v>
      </c>
    </row>
    <row r="572" spans="1:5" s="74" customFormat="1" x14ac:dyDescent="0.25">
      <c r="A572" s="171"/>
      <c r="B572" s="173"/>
      <c r="C572" s="142"/>
      <c r="D572" s="142" t="s">
        <v>555</v>
      </c>
      <c r="E572" s="54" t="s">
        <v>1403</v>
      </c>
    </row>
    <row r="573" spans="1:5" s="74" customFormat="1" x14ac:dyDescent="0.25">
      <c r="A573" s="171"/>
      <c r="B573" s="173"/>
      <c r="C573" s="142"/>
      <c r="D573" s="142" t="s">
        <v>556</v>
      </c>
      <c r="E573" s="54" t="s">
        <v>1404</v>
      </c>
    </row>
    <row r="574" spans="1:5" s="74" customFormat="1" x14ac:dyDescent="0.25">
      <c r="A574" s="171"/>
      <c r="B574" s="173"/>
      <c r="C574" s="142"/>
      <c r="D574" s="142" t="s">
        <v>557</v>
      </c>
      <c r="E574" s="54" t="s">
        <v>1405</v>
      </c>
    </row>
    <row r="575" spans="1:5" s="74" customFormat="1" x14ac:dyDescent="0.25">
      <c r="A575" s="171"/>
      <c r="B575" s="173"/>
      <c r="C575" s="142"/>
      <c r="D575" s="142" t="s">
        <v>558</v>
      </c>
      <c r="E575" s="54" t="s">
        <v>1406</v>
      </c>
    </row>
    <row r="576" spans="1:5" s="74" customFormat="1" x14ac:dyDescent="0.25">
      <c r="A576" s="171"/>
      <c r="B576" s="173"/>
      <c r="C576" s="142"/>
      <c r="D576" s="142" t="s">
        <v>559</v>
      </c>
      <c r="E576" s="54" t="s">
        <v>1407</v>
      </c>
    </row>
    <row r="577" spans="1:5" s="74" customFormat="1" x14ac:dyDescent="0.25">
      <c r="A577" s="171"/>
      <c r="B577" s="173"/>
      <c r="C577" s="142"/>
      <c r="D577" s="142" t="s">
        <v>560</v>
      </c>
      <c r="E577" s="54" t="s">
        <v>1408</v>
      </c>
    </row>
    <row r="578" spans="1:5" s="74" customFormat="1" x14ac:dyDescent="0.25">
      <c r="A578" s="171"/>
      <c r="B578" s="173"/>
      <c r="C578" s="225" t="s">
        <v>1268</v>
      </c>
      <c r="D578" s="142"/>
      <c r="E578" s="54"/>
    </row>
    <row r="579" spans="1:5" s="74" customFormat="1" x14ac:dyDescent="0.25">
      <c r="A579" s="171"/>
      <c r="B579" s="173"/>
      <c r="C579" s="142"/>
      <c r="D579" s="142" t="s">
        <v>669</v>
      </c>
      <c r="E579" s="54" t="s">
        <v>1409</v>
      </c>
    </row>
    <row r="580" spans="1:5" s="74" customFormat="1" x14ac:dyDescent="0.25">
      <c r="A580" s="171"/>
      <c r="B580" s="173"/>
      <c r="C580" s="142"/>
      <c r="D580" s="142" t="s">
        <v>670</v>
      </c>
      <c r="E580" s="54" t="s">
        <v>1410</v>
      </c>
    </row>
    <row r="581" spans="1:5" s="74" customFormat="1" x14ac:dyDescent="0.25">
      <c r="A581" s="171"/>
      <c r="B581" s="173"/>
      <c r="C581" s="142"/>
      <c r="D581" s="142" t="s">
        <v>671</v>
      </c>
      <c r="E581" s="54" t="s">
        <v>1411</v>
      </c>
    </row>
    <row r="582" spans="1:5" s="74" customFormat="1" x14ac:dyDescent="0.25">
      <c r="A582" s="171"/>
      <c r="B582" s="173"/>
      <c r="C582" s="142"/>
      <c r="D582" s="142" t="s">
        <v>672</v>
      </c>
      <c r="E582" s="54" t="s">
        <v>1412</v>
      </c>
    </row>
    <row r="583" spans="1:5" s="74" customFormat="1" x14ac:dyDescent="0.25">
      <c r="A583" s="171"/>
      <c r="B583" s="173"/>
      <c r="C583" s="142"/>
      <c r="D583" s="142" t="s">
        <v>673</v>
      </c>
      <c r="E583" s="54" t="s">
        <v>1413</v>
      </c>
    </row>
    <row r="584" spans="1:5" s="74" customFormat="1" x14ac:dyDescent="0.25">
      <c r="A584" s="171"/>
      <c r="B584" s="173"/>
      <c r="C584" s="142"/>
      <c r="D584" s="142" t="s">
        <v>674</v>
      </c>
      <c r="E584" s="54" t="s">
        <v>1414</v>
      </c>
    </row>
    <row r="585" spans="1:5" s="74" customFormat="1" x14ac:dyDescent="0.25">
      <c r="A585" s="171"/>
      <c r="B585" s="173"/>
      <c r="C585" s="142"/>
      <c r="D585" s="142" t="s">
        <v>675</v>
      </c>
      <c r="E585" s="54" t="s">
        <v>1415</v>
      </c>
    </row>
    <row r="586" spans="1:5" s="74" customFormat="1" x14ac:dyDescent="0.25">
      <c r="A586" s="171"/>
      <c r="B586" s="173"/>
      <c r="C586" s="142"/>
      <c r="D586" s="142" t="s">
        <v>676</v>
      </c>
      <c r="E586" s="54" t="s">
        <v>1416</v>
      </c>
    </row>
    <row r="587" spans="1:5" s="74" customFormat="1" x14ac:dyDescent="0.25">
      <c r="A587" s="171"/>
      <c r="B587" s="173"/>
      <c r="C587" s="142"/>
      <c r="D587" s="142" t="s">
        <v>677</v>
      </c>
      <c r="E587" s="54" t="s">
        <v>1417</v>
      </c>
    </row>
    <row r="588" spans="1:5" s="74" customFormat="1" x14ac:dyDescent="0.25">
      <c r="A588" s="171"/>
      <c r="B588" s="173"/>
      <c r="C588" s="142"/>
      <c r="D588" s="142" t="s">
        <v>678</v>
      </c>
      <c r="E588" s="54" t="s">
        <v>1418</v>
      </c>
    </row>
    <row r="589" spans="1:5" s="74" customFormat="1" x14ac:dyDescent="0.25">
      <c r="A589" s="171"/>
      <c r="B589" s="173"/>
      <c r="C589" s="142"/>
      <c r="D589" s="142" t="s">
        <v>679</v>
      </c>
      <c r="E589" s="54" t="s">
        <v>1419</v>
      </c>
    </row>
    <row r="590" spans="1:5" s="74" customFormat="1" x14ac:dyDescent="0.25">
      <c r="A590" s="171"/>
      <c r="B590" s="173"/>
      <c r="C590" s="142"/>
      <c r="D590" s="142" t="s">
        <v>680</v>
      </c>
      <c r="E590" s="54" t="s">
        <v>1420</v>
      </c>
    </row>
    <row r="591" spans="1:5" s="74" customFormat="1" x14ac:dyDescent="0.25">
      <c r="A591" s="171"/>
      <c r="B591" s="173"/>
      <c r="C591" s="142"/>
      <c r="D591" s="142" t="s">
        <v>681</v>
      </c>
      <c r="E591" s="54" t="s">
        <v>1421</v>
      </c>
    </row>
    <row r="592" spans="1:5" s="74" customFormat="1" x14ac:dyDescent="0.25">
      <c r="A592" s="171"/>
      <c r="B592" s="173"/>
      <c r="C592" s="142"/>
      <c r="D592" s="142" t="s">
        <v>682</v>
      </c>
      <c r="E592" s="54" t="s">
        <v>1422</v>
      </c>
    </row>
    <row r="593" spans="1:5" s="74" customFormat="1" x14ac:dyDescent="0.25">
      <c r="A593" s="171"/>
      <c r="B593" s="173"/>
      <c r="C593" s="142"/>
      <c r="D593" s="142" t="s">
        <v>683</v>
      </c>
      <c r="E593" s="54" t="s">
        <v>1423</v>
      </c>
    </row>
    <row r="594" spans="1:5" s="74" customFormat="1" x14ac:dyDescent="0.25">
      <c r="A594" s="171"/>
      <c r="B594" s="173"/>
      <c r="C594" s="142"/>
      <c r="D594" s="142" t="s">
        <v>684</v>
      </c>
      <c r="E594" s="54" t="s">
        <v>1424</v>
      </c>
    </row>
    <row r="595" spans="1:5" s="74" customFormat="1" x14ac:dyDescent="0.25">
      <c r="A595" s="171"/>
      <c r="B595" s="173"/>
      <c r="C595" s="142"/>
      <c r="D595" s="142" t="s">
        <v>685</v>
      </c>
      <c r="E595" s="54" t="s">
        <v>1425</v>
      </c>
    </row>
    <row r="596" spans="1:5" s="74" customFormat="1" x14ac:dyDescent="0.25">
      <c r="A596" s="171"/>
      <c r="B596" s="173"/>
      <c r="C596" s="142"/>
      <c r="D596" s="142" t="s">
        <v>686</v>
      </c>
      <c r="E596" s="54" t="s">
        <v>1426</v>
      </c>
    </row>
    <row r="597" spans="1:5" s="74" customFormat="1" x14ac:dyDescent="0.25">
      <c r="A597" s="171"/>
      <c r="B597" s="173"/>
      <c r="C597" s="142"/>
      <c r="D597" s="142" t="s">
        <v>687</v>
      </c>
      <c r="E597" s="54" t="s">
        <v>1427</v>
      </c>
    </row>
    <row r="598" spans="1:5" s="74" customFormat="1" x14ac:dyDescent="0.25">
      <c r="A598" s="171"/>
      <c r="B598" s="173"/>
      <c r="C598" s="142"/>
      <c r="D598" s="142" t="s">
        <v>552</v>
      </c>
      <c r="E598" s="54" t="s">
        <v>1428</v>
      </c>
    </row>
    <row r="599" spans="1:5" s="74" customFormat="1" x14ac:dyDescent="0.25">
      <c r="A599" s="171"/>
      <c r="B599" s="173"/>
      <c r="C599" s="142"/>
      <c r="D599" s="142" t="s">
        <v>553</v>
      </c>
      <c r="E599" s="54" t="s">
        <v>1429</v>
      </c>
    </row>
    <row r="600" spans="1:5" s="74" customFormat="1" x14ac:dyDescent="0.25">
      <c r="A600" s="171"/>
      <c r="B600" s="173"/>
      <c r="C600" s="142"/>
      <c r="D600" s="142" t="s">
        <v>554</v>
      </c>
      <c r="E600" s="54" t="s">
        <v>1430</v>
      </c>
    </row>
    <row r="601" spans="1:5" s="74" customFormat="1" x14ac:dyDescent="0.25">
      <c r="A601" s="171"/>
      <c r="B601" s="173"/>
      <c r="C601" s="142"/>
      <c r="D601" s="142" t="s">
        <v>555</v>
      </c>
      <c r="E601" s="54" t="s">
        <v>1431</v>
      </c>
    </row>
    <row r="602" spans="1:5" s="74" customFormat="1" x14ac:dyDescent="0.25">
      <c r="A602" s="171"/>
      <c r="B602" s="173"/>
      <c r="C602" s="142"/>
      <c r="D602" s="142" t="s">
        <v>556</v>
      </c>
      <c r="E602" s="54" t="s">
        <v>1432</v>
      </c>
    </row>
    <row r="603" spans="1:5" s="74" customFormat="1" x14ac:dyDescent="0.25">
      <c r="A603" s="171"/>
      <c r="B603" s="173"/>
      <c r="C603" s="142"/>
      <c r="D603" s="142" t="s">
        <v>557</v>
      </c>
      <c r="E603" s="54" t="s">
        <v>1433</v>
      </c>
    </row>
    <row r="604" spans="1:5" s="74" customFormat="1" x14ac:dyDescent="0.25">
      <c r="A604" s="171"/>
      <c r="B604" s="173"/>
      <c r="C604" s="142"/>
      <c r="D604" s="142" t="s">
        <v>558</v>
      </c>
      <c r="E604" s="54" t="s">
        <v>1434</v>
      </c>
    </row>
    <row r="605" spans="1:5" s="74" customFormat="1" x14ac:dyDescent="0.25">
      <c r="A605" s="171"/>
      <c r="B605" s="173"/>
      <c r="C605" s="142"/>
      <c r="D605" s="142" t="s">
        <v>559</v>
      </c>
      <c r="E605" s="54" t="s">
        <v>1435</v>
      </c>
    </row>
    <row r="606" spans="1:5" s="74" customFormat="1" x14ac:dyDescent="0.25">
      <c r="A606" s="171"/>
      <c r="B606" s="173"/>
      <c r="C606" s="226"/>
      <c r="D606" s="226" t="s">
        <v>560</v>
      </c>
      <c r="E606" s="210" t="s">
        <v>1436</v>
      </c>
    </row>
    <row r="607" spans="1:5" s="74" customFormat="1" ht="15" customHeight="1" x14ac:dyDescent="0.25">
      <c r="A607" s="171"/>
      <c r="B607" s="173"/>
      <c r="C607" s="225" t="s">
        <v>1437</v>
      </c>
      <c r="D607" s="142"/>
      <c r="E607" s="54"/>
    </row>
    <row r="608" spans="1:5" s="74" customFormat="1" x14ac:dyDescent="0.25">
      <c r="A608" s="171"/>
      <c r="B608" s="173"/>
      <c r="C608" s="225" t="s">
        <v>1263</v>
      </c>
      <c r="D608" s="142"/>
      <c r="E608" s="54"/>
    </row>
    <row r="609" spans="1:5" s="74" customFormat="1" x14ac:dyDescent="0.25">
      <c r="A609" s="171"/>
      <c r="B609" s="173"/>
      <c r="C609" s="142"/>
      <c r="D609" s="142" t="s">
        <v>669</v>
      </c>
      <c r="E609" s="54" t="s">
        <v>1438</v>
      </c>
    </row>
    <row r="610" spans="1:5" s="74" customFormat="1" x14ac:dyDescent="0.25">
      <c r="A610" s="171"/>
      <c r="B610" s="173"/>
      <c r="C610" s="142"/>
      <c r="D610" s="142" t="s">
        <v>670</v>
      </c>
      <c r="E610" s="54" t="s">
        <v>1439</v>
      </c>
    </row>
    <row r="611" spans="1:5" s="74" customFormat="1" x14ac:dyDescent="0.25">
      <c r="A611" s="171"/>
      <c r="B611" s="173"/>
      <c r="C611" s="142"/>
      <c r="D611" s="142" t="s">
        <v>671</v>
      </c>
      <c r="E611" s="54" t="s">
        <v>1440</v>
      </c>
    </row>
    <row r="612" spans="1:5" s="74" customFormat="1" x14ac:dyDescent="0.25">
      <c r="A612" s="171"/>
      <c r="B612" s="173"/>
      <c r="C612" s="142"/>
      <c r="D612" s="142" t="s">
        <v>672</v>
      </c>
      <c r="E612" s="54" t="s">
        <v>1441</v>
      </c>
    </row>
    <row r="613" spans="1:5" s="74" customFormat="1" x14ac:dyDescent="0.25">
      <c r="A613" s="171"/>
      <c r="B613" s="173"/>
      <c r="C613" s="142"/>
      <c r="D613" s="142" t="s">
        <v>673</v>
      </c>
      <c r="E613" s="54" t="s">
        <v>1442</v>
      </c>
    </row>
    <row r="614" spans="1:5" s="74" customFormat="1" x14ac:dyDescent="0.25">
      <c r="A614" s="171"/>
      <c r="B614" s="173"/>
      <c r="C614" s="142"/>
      <c r="D614" s="142" t="s">
        <v>674</v>
      </c>
      <c r="E614" s="54" t="s">
        <v>1443</v>
      </c>
    </row>
    <row r="615" spans="1:5" s="74" customFormat="1" x14ac:dyDescent="0.25">
      <c r="A615" s="171"/>
      <c r="B615" s="173"/>
      <c r="C615" s="142"/>
      <c r="D615" s="142" t="s">
        <v>675</v>
      </c>
      <c r="E615" s="54" t="s">
        <v>1444</v>
      </c>
    </row>
    <row r="616" spans="1:5" s="74" customFormat="1" x14ac:dyDescent="0.25">
      <c r="A616" s="171"/>
      <c r="B616" s="173"/>
      <c r="C616" s="142"/>
      <c r="D616" s="142" t="s">
        <v>676</v>
      </c>
      <c r="E616" s="54" t="s">
        <v>1445</v>
      </c>
    </row>
    <row r="617" spans="1:5" s="74" customFormat="1" x14ac:dyDescent="0.25">
      <c r="A617" s="171"/>
      <c r="B617" s="173"/>
      <c r="C617" s="142"/>
      <c r="D617" s="142" t="s">
        <v>677</v>
      </c>
      <c r="E617" s="54" t="s">
        <v>1446</v>
      </c>
    </row>
    <row r="618" spans="1:5" s="74" customFormat="1" x14ac:dyDescent="0.25">
      <c r="A618" s="171"/>
      <c r="B618" s="173"/>
      <c r="C618" s="142"/>
      <c r="D618" s="142" t="s">
        <v>678</v>
      </c>
      <c r="E618" s="54" t="s">
        <v>1447</v>
      </c>
    </row>
    <row r="619" spans="1:5" s="74" customFormat="1" x14ac:dyDescent="0.25">
      <c r="A619" s="171"/>
      <c r="B619" s="173"/>
      <c r="C619" s="142"/>
      <c r="D619" s="142" t="s">
        <v>679</v>
      </c>
      <c r="E619" s="54" t="s">
        <v>1448</v>
      </c>
    </row>
    <row r="620" spans="1:5" s="74" customFormat="1" x14ac:dyDescent="0.25">
      <c r="A620" s="171"/>
      <c r="B620" s="173"/>
      <c r="C620" s="142"/>
      <c r="D620" s="142" t="s">
        <v>680</v>
      </c>
      <c r="E620" s="54" t="s">
        <v>1449</v>
      </c>
    </row>
    <row r="621" spans="1:5" s="74" customFormat="1" x14ac:dyDescent="0.25">
      <c r="A621" s="171"/>
      <c r="B621" s="173"/>
      <c r="C621" s="142"/>
      <c r="D621" s="142" t="s">
        <v>681</v>
      </c>
      <c r="E621" s="54" t="s">
        <v>1450</v>
      </c>
    </row>
    <row r="622" spans="1:5" s="74" customFormat="1" x14ac:dyDescent="0.25">
      <c r="A622" s="171"/>
      <c r="B622" s="173"/>
      <c r="C622" s="142"/>
      <c r="D622" s="142" t="s">
        <v>682</v>
      </c>
      <c r="E622" s="54" t="s">
        <v>1451</v>
      </c>
    </row>
    <row r="623" spans="1:5" s="74" customFormat="1" x14ac:dyDescent="0.25">
      <c r="A623" s="171"/>
      <c r="B623" s="173"/>
      <c r="C623" s="142"/>
      <c r="D623" s="142" t="s">
        <v>683</v>
      </c>
      <c r="E623" s="54" t="s">
        <v>1452</v>
      </c>
    </row>
    <row r="624" spans="1:5" s="74" customFormat="1" x14ac:dyDescent="0.25">
      <c r="A624" s="171"/>
      <c r="B624" s="173"/>
      <c r="C624" s="142"/>
      <c r="D624" s="142" t="s">
        <v>684</v>
      </c>
      <c r="E624" s="54" t="s">
        <v>1453</v>
      </c>
    </row>
    <row r="625" spans="1:5" s="74" customFormat="1" x14ac:dyDescent="0.25">
      <c r="A625" s="171"/>
      <c r="B625" s="173"/>
      <c r="C625" s="142"/>
      <c r="D625" s="142" t="s">
        <v>685</v>
      </c>
      <c r="E625" s="54" t="s">
        <v>1454</v>
      </c>
    </row>
    <row r="626" spans="1:5" s="74" customFormat="1" x14ac:dyDescent="0.25">
      <c r="A626" s="171"/>
      <c r="B626" s="173"/>
      <c r="C626" s="142"/>
      <c r="D626" s="142" t="s">
        <v>686</v>
      </c>
      <c r="E626" s="54" t="s">
        <v>1455</v>
      </c>
    </row>
    <row r="627" spans="1:5" s="74" customFormat="1" x14ac:dyDescent="0.25">
      <c r="A627" s="171"/>
      <c r="B627" s="173"/>
      <c r="C627" s="142"/>
      <c r="D627" s="142" t="s">
        <v>687</v>
      </c>
      <c r="E627" s="54" t="s">
        <v>1456</v>
      </c>
    </row>
    <row r="628" spans="1:5" s="74" customFormat="1" x14ac:dyDescent="0.25">
      <c r="A628" s="171"/>
      <c r="B628" s="173"/>
      <c r="C628" s="142"/>
      <c r="D628" s="142" t="s">
        <v>552</v>
      </c>
      <c r="E628" s="54" t="s">
        <v>1457</v>
      </c>
    </row>
    <row r="629" spans="1:5" s="74" customFormat="1" x14ac:dyDescent="0.25">
      <c r="A629" s="171"/>
      <c r="B629" s="173"/>
      <c r="C629" s="142"/>
      <c r="D629" s="142" t="s">
        <v>553</v>
      </c>
      <c r="E629" s="54" t="s">
        <v>1458</v>
      </c>
    </row>
    <row r="630" spans="1:5" s="74" customFormat="1" x14ac:dyDescent="0.25">
      <c r="A630" s="171"/>
      <c r="B630" s="173"/>
      <c r="C630" s="142"/>
      <c r="D630" s="142" t="s">
        <v>554</v>
      </c>
      <c r="E630" s="54" t="s">
        <v>1459</v>
      </c>
    </row>
    <row r="631" spans="1:5" s="74" customFormat="1" x14ac:dyDescent="0.25">
      <c r="A631" s="171"/>
      <c r="B631" s="173"/>
      <c r="C631" s="142"/>
      <c r="D631" s="142" t="s">
        <v>555</v>
      </c>
      <c r="E631" s="54" t="s">
        <v>1460</v>
      </c>
    </row>
    <row r="632" spans="1:5" s="74" customFormat="1" x14ac:dyDescent="0.25">
      <c r="A632" s="171"/>
      <c r="B632" s="173"/>
      <c r="C632" s="142"/>
      <c r="D632" s="142" t="s">
        <v>556</v>
      </c>
      <c r="E632" s="54" t="s">
        <v>1461</v>
      </c>
    </row>
    <row r="633" spans="1:5" s="74" customFormat="1" x14ac:dyDescent="0.25">
      <c r="A633" s="171"/>
      <c r="B633" s="173"/>
      <c r="C633" s="142"/>
      <c r="D633" s="142" t="s">
        <v>557</v>
      </c>
      <c r="E633" s="54" t="s">
        <v>1462</v>
      </c>
    </row>
    <row r="634" spans="1:5" s="74" customFormat="1" x14ac:dyDescent="0.25">
      <c r="A634" s="171"/>
      <c r="B634" s="173"/>
      <c r="C634" s="142"/>
      <c r="D634" s="142" t="s">
        <v>558</v>
      </c>
      <c r="E634" s="54" t="s">
        <v>1463</v>
      </c>
    </row>
    <row r="635" spans="1:5" s="74" customFormat="1" x14ac:dyDescent="0.25">
      <c r="A635" s="171"/>
      <c r="B635" s="173"/>
      <c r="C635" s="142"/>
      <c r="D635" s="142" t="s">
        <v>559</v>
      </c>
      <c r="E635" s="54" t="s">
        <v>1464</v>
      </c>
    </row>
    <row r="636" spans="1:5" s="74" customFormat="1" x14ac:dyDescent="0.25">
      <c r="A636" s="171"/>
      <c r="B636" s="173"/>
      <c r="C636" s="142"/>
      <c r="D636" s="142" t="s">
        <v>560</v>
      </c>
      <c r="E636" s="54" t="s">
        <v>1465</v>
      </c>
    </row>
    <row r="637" spans="1:5" s="74" customFormat="1" x14ac:dyDescent="0.25">
      <c r="A637" s="171"/>
      <c r="B637" s="173"/>
      <c r="C637" s="225" t="s">
        <v>1264</v>
      </c>
      <c r="D637" s="142"/>
      <c r="E637" s="54"/>
    </row>
    <row r="638" spans="1:5" s="74" customFormat="1" x14ac:dyDescent="0.25">
      <c r="A638" s="171"/>
      <c r="B638" s="173"/>
      <c r="C638" s="142"/>
      <c r="D638" s="142" t="s">
        <v>669</v>
      </c>
      <c r="E638" s="54" t="s">
        <v>1466</v>
      </c>
    </row>
    <row r="639" spans="1:5" s="74" customFormat="1" x14ac:dyDescent="0.25">
      <c r="A639" s="171"/>
      <c r="B639" s="173"/>
      <c r="C639" s="142"/>
      <c r="D639" s="142" t="s">
        <v>670</v>
      </c>
      <c r="E639" s="54" t="s">
        <v>1467</v>
      </c>
    </row>
    <row r="640" spans="1:5" s="74" customFormat="1" x14ac:dyDescent="0.25">
      <c r="A640" s="171"/>
      <c r="B640" s="173"/>
      <c r="C640" s="142"/>
      <c r="D640" s="142" t="s">
        <v>671</v>
      </c>
      <c r="E640" s="54" t="s">
        <v>1468</v>
      </c>
    </row>
    <row r="641" spans="1:5" s="74" customFormat="1" x14ac:dyDescent="0.25">
      <c r="A641" s="171"/>
      <c r="B641" s="173"/>
      <c r="C641" s="142"/>
      <c r="D641" s="142" t="s">
        <v>672</v>
      </c>
      <c r="E641" s="54" t="s">
        <v>1469</v>
      </c>
    </row>
    <row r="642" spans="1:5" s="74" customFormat="1" x14ac:dyDescent="0.25">
      <c r="A642" s="171"/>
      <c r="B642" s="173"/>
      <c r="C642" s="142"/>
      <c r="D642" s="142" t="s">
        <v>673</v>
      </c>
      <c r="E642" s="54" t="s">
        <v>1470</v>
      </c>
    </row>
    <row r="643" spans="1:5" s="74" customFormat="1" x14ac:dyDescent="0.25">
      <c r="A643" s="171"/>
      <c r="B643" s="173"/>
      <c r="C643" s="142"/>
      <c r="D643" s="142" t="s">
        <v>674</v>
      </c>
      <c r="E643" s="54" t="s">
        <v>1471</v>
      </c>
    </row>
    <row r="644" spans="1:5" s="74" customFormat="1" x14ac:dyDescent="0.25">
      <c r="A644" s="171"/>
      <c r="B644" s="173"/>
      <c r="C644" s="142"/>
      <c r="D644" s="142" t="s">
        <v>675</v>
      </c>
      <c r="E644" s="54" t="s">
        <v>1472</v>
      </c>
    </row>
    <row r="645" spans="1:5" s="74" customFormat="1" x14ac:dyDescent="0.25">
      <c r="A645" s="171"/>
      <c r="B645" s="173"/>
      <c r="C645" s="142"/>
      <c r="D645" s="142" t="s">
        <v>676</v>
      </c>
      <c r="E645" s="54" t="s">
        <v>1473</v>
      </c>
    </row>
    <row r="646" spans="1:5" s="74" customFormat="1" x14ac:dyDescent="0.25">
      <c r="A646" s="171"/>
      <c r="B646" s="173"/>
      <c r="C646" s="142"/>
      <c r="D646" s="142" t="s">
        <v>677</v>
      </c>
      <c r="E646" s="54" t="s">
        <v>1474</v>
      </c>
    </row>
    <row r="647" spans="1:5" s="74" customFormat="1" x14ac:dyDescent="0.25">
      <c r="A647" s="171"/>
      <c r="B647" s="173"/>
      <c r="C647" s="142"/>
      <c r="D647" s="142" t="s">
        <v>678</v>
      </c>
      <c r="E647" s="54" t="s">
        <v>1475</v>
      </c>
    </row>
    <row r="648" spans="1:5" s="74" customFormat="1" x14ac:dyDescent="0.25">
      <c r="A648" s="171"/>
      <c r="B648" s="173"/>
      <c r="C648" s="142"/>
      <c r="D648" s="142" t="s">
        <v>679</v>
      </c>
      <c r="E648" s="54" t="s">
        <v>1476</v>
      </c>
    </row>
    <row r="649" spans="1:5" s="74" customFormat="1" x14ac:dyDescent="0.25">
      <c r="A649" s="171"/>
      <c r="B649" s="173"/>
      <c r="C649" s="142"/>
      <c r="D649" s="142" t="s">
        <v>680</v>
      </c>
      <c r="E649" s="54" t="s">
        <v>1477</v>
      </c>
    </row>
    <row r="650" spans="1:5" s="74" customFormat="1" x14ac:dyDescent="0.25">
      <c r="A650" s="171"/>
      <c r="B650" s="173"/>
      <c r="C650" s="142"/>
      <c r="D650" s="142" t="s">
        <v>681</v>
      </c>
      <c r="E650" s="54" t="s">
        <v>1478</v>
      </c>
    </row>
    <row r="651" spans="1:5" s="74" customFormat="1" x14ac:dyDescent="0.25">
      <c r="A651" s="171"/>
      <c r="B651" s="173"/>
      <c r="C651" s="142"/>
      <c r="D651" s="142" t="s">
        <v>682</v>
      </c>
      <c r="E651" s="54" t="s">
        <v>1479</v>
      </c>
    </row>
    <row r="652" spans="1:5" s="74" customFormat="1" x14ac:dyDescent="0.25">
      <c r="A652" s="171"/>
      <c r="B652" s="173"/>
      <c r="C652" s="142"/>
      <c r="D652" s="142" t="s">
        <v>683</v>
      </c>
      <c r="E652" s="54" t="s">
        <v>1480</v>
      </c>
    </row>
    <row r="653" spans="1:5" s="74" customFormat="1" x14ac:dyDescent="0.25">
      <c r="A653" s="171"/>
      <c r="B653" s="173"/>
      <c r="C653" s="142"/>
      <c r="D653" s="142" t="s">
        <v>684</v>
      </c>
      <c r="E653" s="54" t="s">
        <v>1481</v>
      </c>
    </row>
    <row r="654" spans="1:5" s="74" customFormat="1" x14ac:dyDescent="0.25">
      <c r="A654" s="171"/>
      <c r="B654" s="173"/>
      <c r="C654" s="142"/>
      <c r="D654" s="142" t="s">
        <v>685</v>
      </c>
      <c r="E654" s="54" t="s">
        <v>1482</v>
      </c>
    </row>
    <row r="655" spans="1:5" s="74" customFormat="1" x14ac:dyDescent="0.25">
      <c r="A655" s="171"/>
      <c r="B655" s="173"/>
      <c r="C655" s="142"/>
      <c r="D655" s="142" t="s">
        <v>686</v>
      </c>
      <c r="E655" s="54" t="s">
        <v>1483</v>
      </c>
    </row>
    <row r="656" spans="1:5" s="74" customFormat="1" x14ac:dyDescent="0.25">
      <c r="A656" s="171"/>
      <c r="B656" s="173"/>
      <c r="C656" s="142"/>
      <c r="D656" s="142" t="s">
        <v>687</v>
      </c>
      <c r="E656" s="54" t="s">
        <v>1484</v>
      </c>
    </row>
    <row r="657" spans="1:5" s="74" customFormat="1" x14ac:dyDescent="0.25">
      <c r="A657" s="171"/>
      <c r="B657" s="173"/>
      <c r="C657" s="142"/>
      <c r="D657" s="142" t="s">
        <v>552</v>
      </c>
      <c r="E657" s="54" t="s">
        <v>1485</v>
      </c>
    </row>
    <row r="658" spans="1:5" s="74" customFormat="1" x14ac:dyDescent="0.25">
      <c r="A658" s="171"/>
      <c r="B658" s="173"/>
      <c r="C658" s="142"/>
      <c r="D658" s="142" t="s">
        <v>553</v>
      </c>
      <c r="E658" s="54" t="s">
        <v>1486</v>
      </c>
    </row>
    <row r="659" spans="1:5" s="74" customFormat="1" x14ac:dyDescent="0.25">
      <c r="A659" s="171"/>
      <c r="B659" s="173"/>
      <c r="C659" s="142"/>
      <c r="D659" s="142" t="s">
        <v>554</v>
      </c>
      <c r="E659" s="54" t="s">
        <v>1487</v>
      </c>
    </row>
    <row r="660" spans="1:5" s="74" customFormat="1" x14ac:dyDescent="0.25">
      <c r="A660" s="171"/>
      <c r="B660" s="173"/>
      <c r="C660" s="142"/>
      <c r="D660" s="142" t="s">
        <v>555</v>
      </c>
      <c r="E660" s="54" t="s">
        <v>1488</v>
      </c>
    </row>
    <row r="661" spans="1:5" s="74" customFormat="1" x14ac:dyDescent="0.25">
      <c r="A661" s="171"/>
      <c r="B661" s="173"/>
      <c r="C661" s="142"/>
      <c r="D661" s="142" t="s">
        <v>556</v>
      </c>
      <c r="E661" s="54" t="s">
        <v>1489</v>
      </c>
    </row>
    <row r="662" spans="1:5" s="74" customFormat="1" x14ac:dyDescent="0.25">
      <c r="A662" s="171"/>
      <c r="B662" s="173"/>
      <c r="C662" s="142"/>
      <c r="D662" s="142" t="s">
        <v>557</v>
      </c>
      <c r="E662" s="54" t="s">
        <v>1490</v>
      </c>
    </row>
    <row r="663" spans="1:5" s="74" customFormat="1" x14ac:dyDescent="0.25">
      <c r="A663" s="171"/>
      <c r="B663" s="173"/>
      <c r="C663" s="142"/>
      <c r="D663" s="142" t="s">
        <v>558</v>
      </c>
      <c r="E663" s="54" t="s">
        <v>1491</v>
      </c>
    </row>
    <row r="664" spans="1:5" s="74" customFormat="1" x14ac:dyDescent="0.25">
      <c r="A664" s="171"/>
      <c r="B664" s="173"/>
      <c r="C664" s="142"/>
      <c r="D664" s="142" t="s">
        <v>559</v>
      </c>
      <c r="E664" s="54" t="s">
        <v>1492</v>
      </c>
    </row>
    <row r="665" spans="1:5" s="74" customFormat="1" x14ac:dyDescent="0.25">
      <c r="A665" s="171"/>
      <c r="B665" s="173"/>
      <c r="C665" s="142"/>
      <c r="D665" s="142" t="s">
        <v>560</v>
      </c>
      <c r="E665" s="54" t="s">
        <v>1493</v>
      </c>
    </row>
    <row r="666" spans="1:5" s="74" customFormat="1" x14ac:dyDescent="0.25">
      <c r="A666" s="171"/>
      <c r="B666" s="173"/>
      <c r="C666" s="225" t="s">
        <v>1265</v>
      </c>
      <c r="D666" s="142"/>
      <c r="E666" s="54"/>
    </row>
    <row r="667" spans="1:5" s="74" customFormat="1" x14ac:dyDescent="0.25">
      <c r="A667" s="171"/>
      <c r="B667" s="173"/>
      <c r="C667" s="142"/>
      <c r="D667" s="142" t="s">
        <v>669</v>
      </c>
      <c r="E667" s="54" t="s">
        <v>1494</v>
      </c>
    </row>
    <row r="668" spans="1:5" s="74" customFormat="1" x14ac:dyDescent="0.25">
      <c r="A668" s="171"/>
      <c r="B668" s="173"/>
      <c r="C668" s="142"/>
      <c r="D668" s="142" t="s">
        <v>670</v>
      </c>
      <c r="E668" s="54" t="s">
        <v>1495</v>
      </c>
    </row>
    <row r="669" spans="1:5" s="74" customFormat="1" x14ac:dyDescent="0.25">
      <c r="A669" s="171"/>
      <c r="B669" s="173"/>
      <c r="C669" s="142"/>
      <c r="D669" s="142" t="s">
        <v>671</v>
      </c>
      <c r="E669" s="54" t="s">
        <v>1496</v>
      </c>
    </row>
    <row r="670" spans="1:5" s="74" customFormat="1" x14ac:dyDescent="0.25">
      <c r="A670" s="171"/>
      <c r="B670" s="173"/>
      <c r="C670" s="142"/>
      <c r="D670" s="142" t="s">
        <v>672</v>
      </c>
      <c r="E670" s="54" t="s">
        <v>1497</v>
      </c>
    </row>
    <row r="671" spans="1:5" s="74" customFormat="1" x14ac:dyDescent="0.25">
      <c r="A671" s="171"/>
      <c r="B671" s="173"/>
      <c r="C671" s="142"/>
      <c r="D671" s="142" t="s">
        <v>673</v>
      </c>
      <c r="E671" s="54" t="s">
        <v>1498</v>
      </c>
    </row>
    <row r="672" spans="1:5" s="74" customFormat="1" x14ac:dyDescent="0.25">
      <c r="A672" s="171"/>
      <c r="B672" s="173"/>
      <c r="C672" s="142"/>
      <c r="D672" s="142" t="s">
        <v>674</v>
      </c>
      <c r="E672" s="54" t="s">
        <v>1499</v>
      </c>
    </row>
    <row r="673" spans="1:5" s="74" customFormat="1" x14ac:dyDescent="0.25">
      <c r="A673" s="171"/>
      <c r="B673" s="173"/>
      <c r="C673" s="142"/>
      <c r="D673" s="142" t="s">
        <v>675</v>
      </c>
      <c r="E673" s="54" t="s">
        <v>1500</v>
      </c>
    </row>
    <row r="674" spans="1:5" s="74" customFormat="1" x14ac:dyDescent="0.25">
      <c r="A674" s="171"/>
      <c r="B674" s="173"/>
      <c r="C674" s="142"/>
      <c r="D674" s="142" t="s">
        <v>676</v>
      </c>
      <c r="E674" s="54" t="s">
        <v>1501</v>
      </c>
    </row>
    <row r="675" spans="1:5" s="74" customFormat="1" x14ac:dyDescent="0.25">
      <c r="A675" s="171"/>
      <c r="B675" s="173"/>
      <c r="C675" s="142"/>
      <c r="D675" s="142" t="s">
        <v>677</v>
      </c>
      <c r="E675" s="54" t="s">
        <v>1502</v>
      </c>
    </row>
    <row r="676" spans="1:5" s="74" customFormat="1" x14ac:dyDescent="0.25">
      <c r="A676" s="171"/>
      <c r="B676" s="173"/>
      <c r="C676" s="142"/>
      <c r="D676" s="142" t="s">
        <v>678</v>
      </c>
      <c r="E676" s="54" t="s">
        <v>1503</v>
      </c>
    </row>
    <row r="677" spans="1:5" s="74" customFormat="1" x14ac:dyDescent="0.25">
      <c r="A677" s="171"/>
      <c r="B677" s="173"/>
      <c r="C677" s="142"/>
      <c r="D677" s="142" t="s">
        <v>679</v>
      </c>
      <c r="E677" s="54" t="s">
        <v>1504</v>
      </c>
    </row>
    <row r="678" spans="1:5" s="74" customFormat="1" x14ac:dyDescent="0.25">
      <c r="A678" s="171"/>
      <c r="B678" s="173"/>
      <c r="C678" s="142"/>
      <c r="D678" s="142" t="s">
        <v>680</v>
      </c>
      <c r="E678" s="54" t="s">
        <v>1505</v>
      </c>
    </row>
    <row r="679" spans="1:5" s="74" customFormat="1" x14ac:dyDescent="0.25">
      <c r="A679" s="171"/>
      <c r="B679" s="173"/>
      <c r="C679" s="142"/>
      <c r="D679" s="142" t="s">
        <v>681</v>
      </c>
      <c r="E679" s="54" t="s">
        <v>1506</v>
      </c>
    </row>
    <row r="680" spans="1:5" s="74" customFormat="1" x14ac:dyDescent="0.25">
      <c r="A680" s="171"/>
      <c r="B680" s="173"/>
      <c r="C680" s="142"/>
      <c r="D680" s="142" t="s">
        <v>682</v>
      </c>
      <c r="E680" s="54" t="s">
        <v>1507</v>
      </c>
    </row>
    <row r="681" spans="1:5" s="74" customFormat="1" x14ac:dyDescent="0.25">
      <c r="A681" s="171"/>
      <c r="B681" s="173"/>
      <c r="C681" s="142"/>
      <c r="D681" s="142" t="s">
        <v>683</v>
      </c>
      <c r="E681" s="54" t="s">
        <v>1508</v>
      </c>
    </row>
    <row r="682" spans="1:5" s="74" customFormat="1" x14ac:dyDescent="0.25">
      <c r="A682" s="171"/>
      <c r="B682" s="173"/>
      <c r="C682" s="142"/>
      <c r="D682" s="142" t="s">
        <v>684</v>
      </c>
      <c r="E682" s="54" t="s">
        <v>1509</v>
      </c>
    </row>
    <row r="683" spans="1:5" s="74" customFormat="1" x14ac:dyDescent="0.25">
      <c r="A683" s="171"/>
      <c r="B683" s="173"/>
      <c r="C683" s="142"/>
      <c r="D683" s="142" t="s">
        <v>685</v>
      </c>
      <c r="E683" s="54" t="s">
        <v>1510</v>
      </c>
    </row>
    <row r="684" spans="1:5" s="74" customFormat="1" x14ac:dyDescent="0.25">
      <c r="A684" s="171"/>
      <c r="B684" s="173"/>
      <c r="C684" s="142"/>
      <c r="D684" s="142" t="s">
        <v>686</v>
      </c>
      <c r="E684" s="54" t="s">
        <v>1511</v>
      </c>
    </row>
    <row r="685" spans="1:5" s="74" customFormat="1" x14ac:dyDescent="0.25">
      <c r="A685" s="171"/>
      <c r="B685" s="173"/>
      <c r="C685" s="142"/>
      <c r="D685" s="142" t="s">
        <v>687</v>
      </c>
      <c r="E685" s="54" t="s">
        <v>1512</v>
      </c>
    </row>
    <row r="686" spans="1:5" s="74" customFormat="1" x14ac:dyDescent="0.25">
      <c r="A686" s="171"/>
      <c r="B686" s="173"/>
      <c r="C686" s="142"/>
      <c r="D686" s="142" t="s">
        <v>552</v>
      </c>
      <c r="E686" s="54" t="s">
        <v>1513</v>
      </c>
    </row>
    <row r="687" spans="1:5" s="74" customFormat="1" x14ac:dyDescent="0.25">
      <c r="A687" s="171"/>
      <c r="B687" s="173"/>
      <c r="C687" s="142"/>
      <c r="D687" s="142" t="s">
        <v>553</v>
      </c>
      <c r="E687" s="54" t="s">
        <v>1514</v>
      </c>
    </row>
    <row r="688" spans="1:5" s="74" customFormat="1" x14ac:dyDescent="0.25">
      <c r="A688" s="171"/>
      <c r="B688" s="173"/>
      <c r="C688" s="142"/>
      <c r="D688" s="142" t="s">
        <v>554</v>
      </c>
      <c r="E688" s="54" t="s">
        <v>1515</v>
      </c>
    </row>
    <row r="689" spans="1:5" s="74" customFormat="1" x14ac:dyDescent="0.25">
      <c r="A689" s="171"/>
      <c r="B689" s="173"/>
      <c r="C689" s="142"/>
      <c r="D689" s="142" t="s">
        <v>555</v>
      </c>
      <c r="E689" s="54" t="s">
        <v>1516</v>
      </c>
    </row>
    <row r="690" spans="1:5" s="74" customFormat="1" x14ac:dyDescent="0.25">
      <c r="A690" s="171"/>
      <c r="B690" s="173"/>
      <c r="C690" s="142"/>
      <c r="D690" s="142" t="s">
        <v>556</v>
      </c>
      <c r="E690" s="54" t="s">
        <v>1517</v>
      </c>
    </row>
    <row r="691" spans="1:5" s="74" customFormat="1" x14ac:dyDescent="0.25">
      <c r="A691" s="171"/>
      <c r="B691" s="173"/>
      <c r="C691" s="142"/>
      <c r="D691" s="142" t="s">
        <v>557</v>
      </c>
      <c r="E691" s="54" t="s">
        <v>1518</v>
      </c>
    </row>
    <row r="692" spans="1:5" s="74" customFormat="1" x14ac:dyDescent="0.25">
      <c r="A692" s="171"/>
      <c r="B692" s="173"/>
      <c r="C692" s="142"/>
      <c r="D692" s="142" t="s">
        <v>558</v>
      </c>
      <c r="E692" s="54" t="s">
        <v>1519</v>
      </c>
    </row>
    <row r="693" spans="1:5" s="74" customFormat="1" x14ac:dyDescent="0.25">
      <c r="A693" s="171"/>
      <c r="B693" s="173"/>
      <c r="C693" s="142"/>
      <c r="D693" s="142" t="s">
        <v>559</v>
      </c>
      <c r="E693" s="54" t="s">
        <v>1520</v>
      </c>
    </row>
    <row r="694" spans="1:5" s="74" customFormat="1" x14ac:dyDescent="0.25">
      <c r="A694" s="171"/>
      <c r="B694" s="173"/>
      <c r="C694" s="142"/>
      <c r="D694" s="142" t="s">
        <v>560</v>
      </c>
      <c r="E694" s="54" t="s">
        <v>1521</v>
      </c>
    </row>
    <row r="695" spans="1:5" s="74" customFormat="1" x14ac:dyDescent="0.25">
      <c r="A695" s="171"/>
      <c r="B695" s="173"/>
      <c r="C695" s="225" t="s">
        <v>1266</v>
      </c>
      <c r="D695" s="142"/>
      <c r="E695" s="54"/>
    </row>
    <row r="696" spans="1:5" s="74" customFormat="1" x14ac:dyDescent="0.25">
      <c r="A696" s="171"/>
      <c r="B696" s="173"/>
      <c r="C696" s="142"/>
      <c r="D696" s="142" t="s">
        <v>669</v>
      </c>
      <c r="E696" s="54" t="s">
        <v>1522</v>
      </c>
    </row>
    <row r="697" spans="1:5" s="74" customFormat="1" x14ac:dyDescent="0.25">
      <c r="A697" s="171"/>
      <c r="B697" s="173"/>
      <c r="C697" s="142"/>
      <c r="D697" s="142" t="s">
        <v>670</v>
      </c>
      <c r="E697" s="54" t="s">
        <v>1523</v>
      </c>
    </row>
    <row r="698" spans="1:5" s="74" customFormat="1" x14ac:dyDescent="0.25">
      <c r="A698" s="171"/>
      <c r="B698" s="173"/>
      <c r="C698" s="142"/>
      <c r="D698" s="142" t="s">
        <v>671</v>
      </c>
      <c r="E698" s="54" t="s">
        <v>1524</v>
      </c>
    </row>
    <row r="699" spans="1:5" s="74" customFormat="1" x14ac:dyDescent="0.25">
      <c r="A699" s="171"/>
      <c r="B699" s="173"/>
      <c r="C699" s="142"/>
      <c r="D699" s="142" t="s">
        <v>672</v>
      </c>
      <c r="E699" s="54" t="s">
        <v>1525</v>
      </c>
    </row>
    <row r="700" spans="1:5" s="74" customFormat="1" x14ac:dyDescent="0.25">
      <c r="A700" s="171"/>
      <c r="B700" s="173"/>
      <c r="C700" s="142"/>
      <c r="D700" s="142" t="s">
        <v>673</v>
      </c>
      <c r="E700" s="54" t="s">
        <v>1526</v>
      </c>
    </row>
    <row r="701" spans="1:5" s="74" customFormat="1" x14ac:dyDescent="0.25">
      <c r="A701" s="171"/>
      <c r="B701" s="173"/>
      <c r="C701" s="142"/>
      <c r="D701" s="142" t="s">
        <v>674</v>
      </c>
      <c r="E701" s="54" t="s">
        <v>1527</v>
      </c>
    </row>
    <row r="702" spans="1:5" s="74" customFormat="1" x14ac:dyDescent="0.25">
      <c r="A702" s="171"/>
      <c r="B702" s="173"/>
      <c r="C702" s="142"/>
      <c r="D702" s="142" t="s">
        <v>675</v>
      </c>
      <c r="E702" s="54" t="s">
        <v>1528</v>
      </c>
    </row>
    <row r="703" spans="1:5" s="74" customFormat="1" x14ac:dyDescent="0.25">
      <c r="A703" s="171"/>
      <c r="B703" s="173"/>
      <c r="C703" s="142"/>
      <c r="D703" s="142" t="s">
        <v>676</v>
      </c>
      <c r="E703" s="54" t="s">
        <v>1529</v>
      </c>
    </row>
    <row r="704" spans="1:5" s="74" customFormat="1" x14ac:dyDescent="0.25">
      <c r="A704" s="171"/>
      <c r="B704" s="173"/>
      <c r="C704" s="142"/>
      <c r="D704" s="142" t="s">
        <v>677</v>
      </c>
      <c r="E704" s="54" t="s">
        <v>1530</v>
      </c>
    </row>
    <row r="705" spans="1:5" s="74" customFormat="1" x14ac:dyDescent="0.25">
      <c r="A705" s="171"/>
      <c r="B705" s="173"/>
      <c r="C705" s="142"/>
      <c r="D705" s="142" t="s">
        <v>678</v>
      </c>
      <c r="E705" s="54" t="s">
        <v>1531</v>
      </c>
    </row>
    <row r="706" spans="1:5" s="74" customFormat="1" x14ac:dyDescent="0.25">
      <c r="A706" s="171"/>
      <c r="B706" s="173"/>
      <c r="C706" s="142"/>
      <c r="D706" s="142" t="s">
        <v>679</v>
      </c>
      <c r="E706" s="54" t="s">
        <v>1532</v>
      </c>
    </row>
    <row r="707" spans="1:5" s="74" customFormat="1" x14ac:dyDescent="0.25">
      <c r="A707" s="171"/>
      <c r="B707" s="173"/>
      <c r="C707" s="142"/>
      <c r="D707" s="142" t="s">
        <v>680</v>
      </c>
      <c r="E707" s="54" t="s">
        <v>1533</v>
      </c>
    </row>
    <row r="708" spans="1:5" s="74" customFormat="1" x14ac:dyDescent="0.25">
      <c r="A708" s="171"/>
      <c r="B708" s="173"/>
      <c r="C708" s="142"/>
      <c r="D708" s="142" t="s">
        <v>681</v>
      </c>
      <c r="E708" s="54" t="s">
        <v>1534</v>
      </c>
    </row>
    <row r="709" spans="1:5" s="74" customFormat="1" x14ac:dyDescent="0.25">
      <c r="A709" s="171"/>
      <c r="B709" s="173"/>
      <c r="C709" s="142"/>
      <c r="D709" s="142" t="s">
        <v>682</v>
      </c>
      <c r="E709" s="54" t="s">
        <v>1535</v>
      </c>
    </row>
    <row r="710" spans="1:5" s="74" customFormat="1" x14ac:dyDescent="0.25">
      <c r="A710" s="171"/>
      <c r="B710" s="173"/>
      <c r="C710" s="142"/>
      <c r="D710" s="142" t="s">
        <v>683</v>
      </c>
      <c r="E710" s="54" t="s">
        <v>1536</v>
      </c>
    </row>
    <row r="711" spans="1:5" s="74" customFormat="1" x14ac:dyDescent="0.25">
      <c r="A711" s="171"/>
      <c r="B711" s="173"/>
      <c r="C711" s="142"/>
      <c r="D711" s="142" t="s">
        <v>684</v>
      </c>
      <c r="E711" s="54" t="s">
        <v>1537</v>
      </c>
    </row>
    <row r="712" spans="1:5" s="74" customFormat="1" x14ac:dyDescent="0.25">
      <c r="A712" s="171"/>
      <c r="B712" s="173"/>
      <c r="C712" s="142"/>
      <c r="D712" s="142" t="s">
        <v>685</v>
      </c>
      <c r="E712" s="54" t="s">
        <v>1538</v>
      </c>
    </row>
    <row r="713" spans="1:5" s="74" customFormat="1" x14ac:dyDescent="0.25">
      <c r="A713" s="171"/>
      <c r="B713" s="173"/>
      <c r="C713" s="142"/>
      <c r="D713" s="142" t="s">
        <v>686</v>
      </c>
      <c r="E713" s="54" t="s">
        <v>1539</v>
      </c>
    </row>
    <row r="714" spans="1:5" s="74" customFormat="1" x14ac:dyDescent="0.25">
      <c r="A714" s="171"/>
      <c r="B714" s="173"/>
      <c r="C714" s="142"/>
      <c r="D714" s="142" t="s">
        <v>687</v>
      </c>
      <c r="E714" s="54" t="s">
        <v>1540</v>
      </c>
    </row>
    <row r="715" spans="1:5" s="74" customFormat="1" x14ac:dyDescent="0.25">
      <c r="A715" s="171"/>
      <c r="B715" s="173"/>
      <c r="C715" s="142"/>
      <c r="D715" s="142" t="s">
        <v>552</v>
      </c>
      <c r="E715" s="54" t="s">
        <v>1541</v>
      </c>
    </row>
    <row r="716" spans="1:5" s="74" customFormat="1" x14ac:dyDescent="0.25">
      <c r="A716" s="171"/>
      <c r="B716" s="173"/>
      <c r="C716" s="142"/>
      <c r="D716" s="142" t="s">
        <v>553</v>
      </c>
      <c r="E716" s="54" t="s">
        <v>1542</v>
      </c>
    </row>
    <row r="717" spans="1:5" s="74" customFormat="1" x14ac:dyDescent="0.25">
      <c r="A717" s="171"/>
      <c r="B717" s="173"/>
      <c r="C717" s="142"/>
      <c r="D717" s="142" t="s">
        <v>554</v>
      </c>
      <c r="E717" s="54" t="s">
        <v>1543</v>
      </c>
    </row>
    <row r="718" spans="1:5" s="74" customFormat="1" x14ac:dyDescent="0.25">
      <c r="A718" s="171"/>
      <c r="B718" s="173"/>
      <c r="C718" s="142"/>
      <c r="D718" s="142" t="s">
        <v>555</v>
      </c>
      <c r="E718" s="54" t="s">
        <v>1544</v>
      </c>
    </row>
    <row r="719" spans="1:5" s="74" customFormat="1" x14ac:dyDescent="0.25">
      <c r="A719" s="171"/>
      <c r="B719" s="173"/>
      <c r="C719" s="142"/>
      <c r="D719" s="142" t="s">
        <v>556</v>
      </c>
      <c r="E719" s="54" t="s">
        <v>1545</v>
      </c>
    </row>
    <row r="720" spans="1:5" s="74" customFormat="1" x14ac:dyDescent="0.25">
      <c r="A720" s="171"/>
      <c r="B720" s="173"/>
      <c r="C720" s="142"/>
      <c r="D720" s="142" t="s">
        <v>557</v>
      </c>
      <c r="E720" s="54" t="s">
        <v>1546</v>
      </c>
    </row>
    <row r="721" spans="1:5" s="74" customFormat="1" x14ac:dyDescent="0.25">
      <c r="A721" s="171"/>
      <c r="B721" s="173"/>
      <c r="C721" s="142"/>
      <c r="D721" s="142" t="s">
        <v>558</v>
      </c>
      <c r="E721" s="54" t="s">
        <v>1547</v>
      </c>
    </row>
    <row r="722" spans="1:5" s="74" customFormat="1" x14ac:dyDescent="0.25">
      <c r="A722" s="171"/>
      <c r="B722" s="173"/>
      <c r="C722" s="142"/>
      <c r="D722" s="142" t="s">
        <v>559</v>
      </c>
      <c r="E722" s="54" t="s">
        <v>1548</v>
      </c>
    </row>
    <row r="723" spans="1:5" s="74" customFormat="1" x14ac:dyDescent="0.25">
      <c r="A723" s="171"/>
      <c r="B723" s="173"/>
      <c r="C723" s="142"/>
      <c r="D723" s="142" t="s">
        <v>560</v>
      </c>
      <c r="E723" s="54" t="s">
        <v>1549</v>
      </c>
    </row>
    <row r="724" spans="1:5" s="74" customFormat="1" x14ac:dyDescent="0.25">
      <c r="A724" s="171"/>
      <c r="B724" s="173"/>
      <c r="C724" s="225" t="s">
        <v>1267</v>
      </c>
      <c r="D724" s="142"/>
      <c r="E724" s="54"/>
    </row>
    <row r="725" spans="1:5" s="74" customFormat="1" x14ac:dyDescent="0.25">
      <c r="A725" s="171"/>
      <c r="B725" s="173"/>
      <c r="C725" s="142"/>
      <c r="D725" s="142" t="s">
        <v>669</v>
      </c>
      <c r="E725" s="54" t="s">
        <v>1550</v>
      </c>
    </row>
    <row r="726" spans="1:5" s="74" customFormat="1" x14ac:dyDescent="0.25">
      <c r="A726" s="171"/>
      <c r="B726" s="173"/>
      <c r="C726" s="142"/>
      <c r="D726" s="142" t="s">
        <v>670</v>
      </c>
      <c r="E726" s="54" t="s">
        <v>1551</v>
      </c>
    </row>
    <row r="727" spans="1:5" s="74" customFormat="1" x14ac:dyDescent="0.25">
      <c r="A727" s="171"/>
      <c r="B727" s="173"/>
      <c r="C727" s="142"/>
      <c r="D727" s="142" t="s">
        <v>671</v>
      </c>
      <c r="E727" s="54" t="s">
        <v>1552</v>
      </c>
    </row>
    <row r="728" spans="1:5" s="74" customFormat="1" x14ac:dyDescent="0.25">
      <c r="A728" s="171"/>
      <c r="B728" s="173"/>
      <c r="C728" s="142"/>
      <c r="D728" s="142" t="s">
        <v>672</v>
      </c>
      <c r="E728" s="54" t="s">
        <v>1553</v>
      </c>
    </row>
    <row r="729" spans="1:5" s="74" customFormat="1" x14ac:dyDescent="0.25">
      <c r="A729" s="171"/>
      <c r="B729" s="173"/>
      <c r="C729" s="142"/>
      <c r="D729" s="142" t="s">
        <v>673</v>
      </c>
      <c r="E729" s="54" t="s">
        <v>1554</v>
      </c>
    </row>
    <row r="730" spans="1:5" s="74" customFormat="1" x14ac:dyDescent="0.25">
      <c r="A730" s="171"/>
      <c r="B730" s="173"/>
      <c r="C730" s="142"/>
      <c r="D730" s="142" t="s">
        <v>674</v>
      </c>
      <c r="E730" s="54" t="s">
        <v>1555</v>
      </c>
    </row>
    <row r="731" spans="1:5" s="74" customFormat="1" x14ac:dyDescent="0.25">
      <c r="A731" s="171"/>
      <c r="B731" s="173"/>
      <c r="C731" s="142"/>
      <c r="D731" s="142" t="s">
        <v>675</v>
      </c>
      <c r="E731" s="54" t="s">
        <v>1556</v>
      </c>
    </row>
    <row r="732" spans="1:5" s="74" customFormat="1" x14ac:dyDescent="0.25">
      <c r="A732" s="171"/>
      <c r="B732" s="173"/>
      <c r="C732" s="142"/>
      <c r="D732" s="142" t="s">
        <v>676</v>
      </c>
      <c r="E732" s="54" t="s">
        <v>1557</v>
      </c>
    </row>
    <row r="733" spans="1:5" s="74" customFormat="1" x14ac:dyDescent="0.25">
      <c r="A733" s="171"/>
      <c r="B733" s="173"/>
      <c r="C733" s="142"/>
      <c r="D733" s="142" t="s">
        <v>677</v>
      </c>
      <c r="E733" s="54" t="s">
        <v>1558</v>
      </c>
    </row>
    <row r="734" spans="1:5" s="74" customFormat="1" x14ac:dyDescent="0.25">
      <c r="A734" s="171"/>
      <c r="B734" s="173"/>
      <c r="C734" s="142"/>
      <c r="D734" s="142" t="s">
        <v>678</v>
      </c>
      <c r="E734" s="54" t="s">
        <v>1559</v>
      </c>
    </row>
    <row r="735" spans="1:5" s="74" customFormat="1" x14ac:dyDescent="0.25">
      <c r="A735" s="171"/>
      <c r="B735" s="173"/>
      <c r="C735" s="142"/>
      <c r="D735" s="142" t="s">
        <v>679</v>
      </c>
      <c r="E735" s="54" t="s">
        <v>1560</v>
      </c>
    </row>
    <row r="736" spans="1:5" s="74" customFormat="1" x14ac:dyDescent="0.25">
      <c r="A736" s="171"/>
      <c r="B736" s="173"/>
      <c r="C736" s="142"/>
      <c r="D736" s="142" t="s">
        <v>680</v>
      </c>
      <c r="E736" s="54" t="s">
        <v>1561</v>
      </c>
    </row>
    <row r="737" spans="1:5" s="74" customFormat="1" x14ac:dyDescent="0.25">
      <c r="A737" s="171"/>
      <c r="B737" s="173"/>
      <c r="C737" s="142"/>
      <c r="D737" s="142" t="s">
        <v>681</v>
      </c>
      <c r="E737" s="54" t="s">
        <v>1562</v>
      </c>
    </row>
    <row r="738" spans="1:5" s="74" customFormat="1" x14ac:dyDescent="0.25">
      <c r="A738" s="171"/>
      <c r="B738" s="173"/>
      <c r="C738" s="142"/>
      <c r="D738" s="142" t="s">
        <v>682</v>
      </c>
      <c r="E738" s="54" t="s">
        <v>1563</v>
      </c>
    </row>
    <row r="739" spans="1:5" s="74" customFormat="1" x14ac:dyDescent="0.25">
      <c r="A739" s="171"/>
      <c r="B739" s="173"/>
      <c r="C739" s="142"/>
      <c r="D739" s="142" t="s">
        <v>683</v>
      </c>
      <c r="E739" s="54" t="s">
        <v>1564</v>
      </c>
    </row>
    <row r="740" spans="1:5" s="74" customFormat="1" x14ac:dyDescent="0.25">
      <c r="A740" s="171"/>
      <c r="B740" s="173"/>
      <c r="C740" s="142"/>
      <c r="D740" s="142" t="s">
        <v>684</v>
      </c>
      <c r="E740" s="54" t="s">
        <v>1565</v>
      </c>
    </row>
    <row r="741" spans="1:5" s="74" customFormat="1" x14ac:dyDescent="0.25">
      <c r="A741" s="171"/>
      <c r="B741" s="173"/>
      <c r="C741" s="142"/>
      <c r="D741" s="142" t="s">
        <v>685</v>
      </c>
      <c r="E741" s="54" t="s">
        <v>1566</v>
      </c>
    </row>
    <row r="742" spans="1:5" s="74" customFormat="1" x14ac:dyDescent="0.25">
      <c r="A742" s="171"/>
      <c r="B742" s="173"/>
      <c r="C742" s="142"/>
      <c r="D742" s="142" t="s">
        <v>686</v>
      </c>
      <c r="E742" s="54" t="s">
        <v>1567</v>
      </c>
    </row>
    <row r="743" spans="1:5" s="74" customFormat="1" x14ac:dyDescent="0.25">
      <c r="A743" s="171"/>
      <c r="B743" s="173"/>
      <c r="C743" s="142"/>
      <c r="D743" s="142" t="s">
        <v>687</v>
      </c>
      <c r="E743" s="54" t="s">
        <v>1568</v>
      </c>
    </row>
    <row r="744" spans="1:5" s="74" customFormat="1" x14ac:dyDescent="0.25">
      <c r="A744" s="171"/>
      <c r="B744" s="173"/>
      <c r="C744" s="142"/>
      <c r="D744" s="142" t="s">
        <v>552</v>
      </c>
      <c r="E744" s="54" t="s">
        <v>1569</v>
      </c>
    </row>
    <row r="745" spans="1:5" s="74" customFormat="1" x14ac:dyDescent="0.25">
      <c r="A745" s="171"/>
      <c r="B745" s="173"/>
      <c r="C745" s="142"/>
      <c r="D745" s="142" t="s">
        <v>553</v>
      </c>
      <c r="E745" s="54" t="s">
        <v>1570</v>
      </c>
    </row>
    <row r="746" spans="1:5" s="74" customFormat="1" x14ac:dyDescent="0.25">
      <c r="A746" s="171"/>
      <c r="B746" s="173"/>
      <c r="C746" s="142"/>
      <c r="D746" s="142" t="s">
        <v>554</v>
      </c>
      <c r="E746" s="54" t="s">
        <v>1571</v>
      </c>
    </row>
    <row r="747" spans="1:5" s="74" customFormat="1" x14ac:dyDescent="0.25">
      <c r="A747" s="171"/>
      <c r="B747" s="173"/>
      <c r="C747" s="142"/>
      <c r="D747" s="142" t="s">
        <v>555</v>
      </c>
      <c r="E747" s="54" t="s">
        <v>1572</v>
      </c>
    </row>
    <row r="748" spans="1:5" s="74" customFormat="1" x14ac:dyDescent="0.25">
      <c r="A748" s="171"/>
      <c r="B748" s="173"/>
      <c r="C748" s="142"/>
      <c r="D748" s="142" t="s">
        <v>556</v>
      </c>
      <c r="E748" s="54" t="s">
        <v>1573</v>
      </c>
    </row>
    <row r="749" spans="1:5" s="74" customFormat="1" x14ac:dyDescent="0.25">
      <c r="A749" s="171"/>
      <c r="B749" s="173"/>
      <c r="C749" s="142"/>
      <c r="D749" s="142" t="s">
        <v>557</v>
      </c>
      <c r="E749" s="54" t="s">
        <v>1574</v>
      </c>
    </row>
    <row r="750" spans="1:5" s="74" customFormat="1" x14ac:dyDescent="0.25">
      <c r="A750" s="171"/>
      <c r="B750" s="173"/>
      <c r="C750" s="142"/>
      <c r="D750" s="142" t="s">
        <v>558</v>
      </c>
      <c r="E750" s="54" t="s">
        <v>1575</v>
      </c>
    </row>
    <row r="751" spans="1:5" s="74" customFormat="1" x14ac:dyDescent="0.25">
      <c r="A751" s="171"/>
      <c r="B751" s="173"/>
      <c r="C751" s="142"/>
      <c r="D751" s="142" t="s">
        <v>559</v>
      </c>
      <c r="E751" s="54" t="s">
        <v>1576</v>
      </c>
    </row>
    <row r="752" spans="1:5" s="74" customFormat="1" x14ac:dyDescent="0.25">
      <c r="A752" s="171"/>
      <c r="B752" s="173"/>
      <c r="C752" s="142"/>
      <c r="D752" s="142" t="s">
        <v>560</v>
      </c>
      <c r="E752" s="54" t="s">
        <v>1577</v>
      </c>
    </row>
    <row r="753" spans="1:5" s="74" customFormat="1" x14ac:dyDescent="0.25">
      <c r="A753" s="171"/>
      <c r="B753" s="173"/>
      <c r="C753" s="225" t="s">
        <v>1268</v>
      </c>
      <c r="D753" s="142"/>
      <c r="E753" s="54"/>
    </row>
    <row r="754" spans="1:5" s="74" customFormat="1" x14ac:dyDescent="0.25">
      <c r="A754" s="171"/>
      <c r="B754" s="173"/>
      <c r="C754" s="142"/>
      <c r="D754" s="142" t="s">
        <v>669</v>
      </c>
      <c r="E754" s="54" t="s">
        <v>1578</v>
      </c>
    </row>
    <row r="755" spans="1:5" s="74" customFormat="1" x14ac:dyDescent="0.25">
      <c r="A755" s="171"/>
      <c r="B755" s="173"/>
      <c r="C755" s="142"/>
      <c r="D755" s="142" t="s">
        <v>670</v>
      </c>
      <c r="E755" s="54" t="s">
        <v>1579</v>
      </c>
    </row>
    <row r="756" spans="1:5" s="74" customFormat="1" x14ac:dyDescent="0.25">
      <c r="A756" s="171"/>
      <c r="B756" s="173"/>
      <c r="C756" s="142"/>
      <c r="D756" s="142" t="s">
        <v>671</v>
      </c>
      <c r="E756" s="54" t="s">
        <v>1580</v>
      </c>
    </row>
    <row r="757" spans="1:5" s="74" customFormat="1" x14ac:dyDescent="0.25">
      <c r="A757" s="171"/>
      <c r="B757" s="173"/>
      <c r="C757" s="142"/>
      <c r="D757" s="142" t="s">
        <v>672</v>
      </c>
      <c r="E757" s="54" t="s">
        <v>1581</v>
      </c>
    </row>
    <row r="758" spans="1:5" s="74" customFormat="1" x14ac:dyDescent="0.25">
      <c r="A758" s="171"/>
      <c r="B758" s="173"/>
      <c r="C758" s="142"/>
      <c r="D758" s="142" t="s">
        <v>673</v>
      </c>
      <c r="E758" s="54" t="s">
        <v>1582</v>
      </c>
    </row>
    <row r="759" spans="1:5" s="74" customFormat="1" x14ac:dyDescent="0.25">
      <c r="A759" s="171"/>
      <c r="B759" s="173"/>
      <c r="C759" s="142"/>
      <c r="D759" s="142" t="s">
        <v>674</v>
      </c>
      <c r="E759" s="54" t="s">
        <v>1583</v>
      </c>
    </row>
    <row r="760" spans="1:5" s="74" customFormat="1" x14ac:dyDescent="0.25">
      <c r="A760" s="171"/>
      <c r="B760" s="173"/>
      <c r="C760" s="142"/>
      <c r="D760" s="142" t="s">
        <v>675</v>
      </c>
      <c r="E760" s="54" t="s">
        <v>1584</v>
      </c>
    </row>
    <row r="761" spans="1:5" s="74" customFormat="1" x14ac:dyDescent="0.25">
      <c r="A761" s="171"/>
      <c r="B761" s="173"/>
      <c r="C761" s="142"/>
      <c r="D761" s="142" t="s">
        <v>676</v>
      </c>
      <c r="E761" s="54" t="s">
        <v>1585</v>
      </c>
    </row>
    <row r="762" spans="1:5" s="74" customFormat="1" x14ac:dyDescent="0.25">
      <c r="A762" s="171"/>
      <c r="B762" s="173"/>
      <c r="C762" s="142"/>
      <c r="D762" s="142" t="s">
        <v>677</v>
      </c>
      <c r="E762" s="54" t="s">
        <v>1586</v>
      </c>
    </row>
    <row r="763" spans="1:5" s="74" customFormat="1" x14ac:dyDescent="0.25">
      <c r="A763" s="171"/>
      <c r="B763" s="173"/>
      <c r="C763" s="142"/>
      <c r="D763" s="142" t="s">
        <v>678</v>
      </c>
      <c r="E763" s="54" t="s">
        <v>1587</v>
      </c>
    </row>
    <row r="764" spans="1:5" s="74" customFormat="1" x14ac:dyDescent="0.25">
      <c r="A764" s="171"/>
      <c r="B764" s="173"/>
      <c r="C764" s="142"/>
      <c r="D764" s="142" t="s">
        <v>679</v>
      </c>
      <c r="E764" s="54" t="s">
        <v>1588</v>
      </c>
    </row>
    <row r="765" spans="1:5" s="74" customFormat="1" x14ac:dyDescent="0.25">
      <c r="A765" s="171"/>
      <c r="B765" s="173"/>
      <c r="C765" s="142"/>
      <c r="D765" s="142" t="s">
        <v>680</v>
      </c>
      <c r="E765" s="54" t="s">
        <v>1589</v>
      </c>
    </row>
    <row r="766" spans="1:5" s="74" customFormat="1" x14ac:dyDescent="0.25">
      <c r="A766" s="171"/>
      <c r="B766" s="173"/>
      <c r="C766" s="142"/>
      <c r="D766" s="142" t="s">
        <v>681</v>
      </c>
      <c r="E766" s="54" t="s">
        <v>1590</v>
      </c>
    </row>
    <row r="767" spans="1:5" s="74" customFormat="1" x14ac:dyDescent="0.25">
      <c r="A767" s="171"/>
      <c r="B767" s="173"/>
      <c r="C767" s="142"/>
      <c r="D767" s="142" t="s">
        <v>682</v>
      </c>
      <c r="E767" s="54" t="s">
        <v>1591</v>
      </c>
    </row>
    <row r="768" spans="1:5" s="74" customFormat="1" x14ac:dyDescent="0.25">
      <c r="A768" s="171"/>
      <c r="B768" s="173"/>
      <c r="C768" s="142"/>
      <c r="D768" s="142" t="s">
        <v>683</v>
      </c>
      <c r="E768" s="54" t="s">
        <v>1592</v>
      </c>
    </row>
    <row r="769" spans="1:11" s="74" customFormat="1" x14ac:dyDescent="0.25">
      <c r="A769" s="171"/>
      <c r="B769" s="173"/>
      <c r="C769" s="142"/>
      <c r="D769" s="142" t="s">
        <v>684</v>
      </c>
      <c r="E769" s="54" t="s">
        <v>1593</v>
      </c>
    </row>
    <row r="770" spans="1:11" s="74" customFormat="1" x14ac:dyDescent="0.25">
      <c r="A770" s="171"/>
      <c r="B770" s="173"/>
      <c r="C770" s="142"/>
      <c r="D770" s="142" t="s">
        <v>685</v>
      </c>
      <c r="E770" s="54" t="s">
        <v>1594</v>
      </c>
    </row>
    <row r="771" spans="1:11" s="74" customFormat="1" x14ac:dyDescent="0.25">
      <c r="A771" s="171"/>
      <c r="B771" s="173"/>
      <c r="C771" s="142"/>
      <c r="D771" s="142" t="s">
        <v>686</v>
      </c>
      <c r="E771" s="54" t="s">
        <v>1595</v>
      </c>
    </row>
    <row r="772" spans="1:11" s="74" customFormat="1" x14ac:dyDescent="0.25">
      <c r="A772" s="171"/>
      <c r="B772" s="173"/>
      <c r="C772" s="142"/>
      <c r="D772" s="142" t="s">
        <v>687</v>
      </c>
      <c r="E772" s="54" t="s">
        <v>1596</v>
      </c>
    </row>
    <row r="773" spans="1:11" s="74" customFormat="1" x14ac:dyDescent="0.25">
      <c r="A773" s="171"/>
      <c r="B773" s="173"/>
      <c r="C773" s="142"/>
      <c r="D773" s="142" t="s">
        <v>552</v>
      </c>
      <c r="E773" s="54" t="s">
        <v>1597</v>
      </c>
    </row>
    <row r="774" spans="1:11" s="74" customFormat="1" x14ac:dyDescent="0.25">
      <c r="A774" s="171"/>
      <c r="B774" s="173"/>
      <c r="C774" s="142"/>
      <c r="D774" s="142" t="s">
        <v>553</v>
      </c>
      <c r="E774" s="54" t="s">
        <v>1598</v>
      </c>
    </row>
    <row r="775" spans="1:11" s="74" customFormat="1" x14ac:dyDescent="0.25">
      <c r="A775" s="171"/>
      <c r="B775" s="173"/>
      <c r="C775" s="142"/>
      <c r="D775" s="142" t="s">
        <v>554</v>
      </c>
      <c r="E775" s="54" t="s">
        <v>1599</v>
      </c>
    </row>
    <row r="776" spans="1:11" s="74" customFormat="1" x14ac:dyDescent="0.25">
      <c r="A776" s="171"/>
      <c r="B776" s="173"/>
      <c r="C776" s="142"/>
      <c r="D776" s="142" t="s">
        <v>555</v>
      </c>
      <c r="E776" s="54" t="s">
        <v>1600</v>
      </c>
    </row>
    <row r="777" spans="1:11" s="74" customFormat="1" x14ac:dyDescent="0.25">
      <c r="A777" s="171"/>
      <c r="B777" s="173"/>
      <c r="C777" s="142"/>
      <c r="D777" s="142" t="s">
        <v>556</v>
      </c>
      <c r="E777" s="54" t="s">
        <v>1601</v>
      </c>
    </row>
    <row r="778" spans="1:11" s="74" customFormat="1" x14ac:dyDescent="0.25">
      <c r="A778" s="171"/>
      <c r="B778" s="173"/>
      <c r="C778" s="142"/>
      <c r="D778" s="142" t="s">
        <v>557</v>
      </c>
      <c r="E778" s="54" t="s">
        <v>1602</v>
      </c>
    </row>
    <row r="779" spans="1:11" s="74" customFormat="1" x14ac:dyDescent="0.25">
      <c r="A779" s="171"/>
      <c r="B779" s="173"/>
      <c r="C779" s="142"/>
      <c r="D779" s="142" t="s">
        <v>558</v>
      </c>
      <c r="E779" s="54" t="s">
        <v>1603</v>
      </c>
    </row>
    <row r="780" spans="1:11" s="74" customFormat="1" x14ac:dyDescent="0.25">
      <c r="A780" s="171"/>
      <c r="B780" s="173"/>
      <c r="C780" s="142"/>
      <c r="D780" s="142" t="s">
        <v>559</v>
      </c>
      <c r="E780" s="54" t="s">
        <v>1604</v>
      </c>
    </row>
    <row r="781" spans="1:11" s="74" customFormat="1" x14ac:dyDescent="0.25">
      <c r="A781" s="171"/>
      <c r="B781" s="173"/>
      <c r="C781" s="142"/>
      <c r="D781" s="142" t="s">
        <v>560</v>
      </c>
      <c r="E781" s="54" t="s">
        <v>1605</v>
      </c>
    </row>
    <row r="782" spans="1:11" s="115" customFormat="1" ht="15" customHeight="1" x14ac:dyDescent="0.25">
      <c r="A782" s="171"/>
      <c r="B782" s="251" t="s">
        <v>1072</v>
      </c>
      <c r="C782" s="227" t="s">
        <v>1760</v>
      </c>
      <c r="D782" s="227"/>
      <c r="E782" s="211"/>
    </row>
    <row r="783" spans="1:11" ht="15" customHeight="1" x14ac:dyDescent="0.25">
      <c r="A783" s="171"/>
      <c r="B783" s="251"/>
      <c r="C783" s="143"/>
      <c r="D783" s="143" t="s">
        <v>1151</v>
      </c>
      <c r="E783" s="64" t="s">
        <v>1768</v>
      </c>
      <c r="F783" t="s">
        <v>1776</v>
      </c>
      <c r="K783" s="74"/>
    </row>
    <row r="784" spans="1:11" ht="15" customHeight="1" x14ac:dyDescent="0.25">
      <c r="A784" s="171"/>
      <c r="B784" s="251"/>
      <c r="C784" s="143"/>
      <c r="D784" s="143" t="s">
        <v>1157</v>
      </c>
      <c r="E784" s="55" t="s">
        <v>1769</v>
      </c>
      <c r="K784" s="74"/>
    </row>
    <row r="785" spans="1:11" ht="15" customHeight="1" x14ac:dyDescent="0.25">
      <c r="A785" s="171"/>
      <c r="B785" s="251"/>
      <c r="C785" s="143"/>
      <c r="D785" s="143" t="s">
        <v>1152</v>
      </c>
      <c r="E785" s="55" t="s">
        <v>1770</v>
      </c>
      <c r="K785" s="74"/>
    </row>
    <row r="786" spans="1:11" s="74" customFormat="1" ht="15" customHeight="1" x14ac:dyDescent="0.25">
      <c r="A786" s="171"/>
      <c r="B786" s="251"/>
      <c r="C786" s="143"/>
      <c r="D786" s="143" t="s">
        <v>1153</v>
      </c>
      <c r="E786" s="55" t="s">
        <v>1771</v>
      </c>
    </row>
    <row r="787" spans="1:11" s="74" customFormat="1" ht="15" customHeight="1" x14ac:dyDescent="0.25">
      <c r="A787" s="171"/>
      <c r="B787" s="251"/>
      <c r="C787" s="143"/>
      <c r="D787" s="143" t="s">
        <v>1154</v>
      </c>
      <c r="E787" s="55" t="s">
        <v>1772</v>
      </c>
    </row>
    <row r="788" spans="1:11" s="74" customFormat="1" ht="15" customHeight="1" x14ac:dyDescent="0.25">
      <c r="A788" s="171"/>
      <c r="B788" s="251"/>
      <c r="C788" s="143"/>
      <c r="D788" s="143" t="s">
        <v>1155</v>
      </c>
      <c r="E788" s="55" t="s">
        <v>1773</v>
      </c>
    </row>
    <row r="789" spans="1:11" s="74" customFormat="1" ht="15" customHeight="1" x14ac:dyDescent="0.25">
      <c r="A789" s="171"/>
      <c r="B789" s="251"/>
      <c r="C789" s="143"/>
      <c r="D789" s="143" t="s">
        <v>1156</v>
      </c>
      <c r="E789" s="55" t="s">
        <v>1774</v>
      </c>
    </row>
    <row r="790" spans="1:11" ht="15" customHeight="1" x14ac:dyDescent="0.25">
      <c r="A790" s="171"/>
      <c r="B790" s="251"/>
      <c r="C790" s="143"/>
      <c r="D790" s="143" t="s">
        <v>1172</v>
      </c>
      <c r="E790" s="55" t="s">
        <v>1775</v>
      </c>
    </row>
    <row r="791" spans="1:11" s="74" customFormat="1" ht="15" customHeight="1" x14ac:dyDescent="0.25">
      <c r="A791" s="171"/>
      <c r="B791" s="251"/>
      <c r="C791" s="143"/>
      <c r="D791" s="143"/>
      <c r="E791" s="55"/>
    </row>
    <row r="792" spans="1:11" s="115" customFormat="1" ht="15" customHeight="1" x14ac:dyDescent="0.25">
      <c r="A792" s="171"/>
      <c r="B792" s="251"/>
      <c r="C792" s="227" t="s">
        <v>1761</v>
      </c>
      <c r="D792" s="227"/>
      <c r="E792" s="211" t="s">
        <v>1606</v>
      </c>
    </row>
    <row r="793" spans="1:11" s="74" customFormat="1" ht="15" customHeight="1" x14ac:dyDescent="0.25">
      <c r="A793" s="171"/>
      <c r="B793" s="251"/>
      <c r="C793" s="143"/>
      <c r="D793" s="143" t="s">
        <v>1151</v>
      </c>
      <c r="E793" s="64" t="s">
        <v>1607</v>
      </c>
      <c r="F793" s="74" t="s">
        <v>1756</v>
      </c>
    </row>
    <row r="794" spans="1:11" s="74" customFormat="1" ht="15" customHeight="1" x14ac:dyDescent="0.25">
      <c r="A794" s="171"/>
      <c r="B794" s="251"/>
      <c r="C794" s="143"/>
      <c r="D794" s="143" t="s">
        <v>1157</v>
      </c>
      <c r="E794" s="55" t="s">
        <v>1608</v>
      </c>
    </row>
    <row r="795" spans="1:11" s="74" customFormat="1" ht="15" customHeight="1" x14ac:dyDescent="0.25">
      <c r="A795" s="171"/>
      <c r="B795" s="251"/>
      <c r="C795" s="143"/>
      <c r="D795" s="143" t="s">
        <v>1152</v>
      </c>
      <c r="E795" s="55" t="s">
        <v>1609</v>
      </c>
    </row>
    <row r="796" spans="1:11" s="74" customFormat="1" ht="15" customHeight="1" x14ac:dyDescent="0.25">
      <c r="A796" s="171"/>
      <c r="B796" s="251"/>
      <c r="C796" s="143"/>
      <c r="D796" s="143" t="s">
        <v>1153</v>
      </c>
      <c r="E796" s="55" t="s">
        <v>1610</v>
      </c>
    </row>
    <row r="797" spans="1:11" s="74" customFormat="1" ht="15" customHeight="1" x14ac:dyDescent="0.25">
      <c r="A797" s="171"/>
      <c r="B797" s="251"/>
      <c r="C797" s="143"/>
      <c r="D797" s="143" t="s">
        <v>1154</v>
      </c>
      <c r="E797" s="55" t="s">
        <v>1611</v>
      </c>
    </row>
    <row r="798" spans="1:11" s="74" customFormat="1" ht="15" customHeight="1" x14ac:dyDescent="0.25">
      <c r="A798" s="171"/>
      <c r="B798" s="251"/>
      <c r="C798" s="143"/>
      <c r="D798" s="143" t="s">
        <v>1155</v>
      </c>
      <c r="E798" s="55" t="s">
        <v>1612</v>
      </c>
    </row>
    <row r="799" spans="1:11" s="74" customFormat="1" ht="15" customHeight="1" x14ac:dyDescent="0.25">
      <c r="A799" s="171"/>
      <c r="B799" s="251"/>
      <c r="C799" s="143"/>
      <c r="D799" s="143" t="s">
        <v>1156</v>
      </c>
      <c r="E799" s="55" t="s">
        <v>1613</v>
      </c>
    </row>
    <row r="800" spans="1:11" s="74" customFormat="1" ht="15" customHeight="1" x14ac:dyDescent="0.25">
      <c r="A800" s="171"/>
      <c r="B800" s="251"/>
      <c r="C800" s="143"/>
      <c r="D800" s="143" t="s">
        <v>1172</v>
      </c>
      <c r="E800" s="55" t="s">
        <v>1614</v>
      </c>
    </row>
    <row r="801" spans="1:6" ht="15" customHeight="1" x14ac:dyDescent="0.25">
      <c r="A801" s="171"/>
      <c r="B801" s="251"/>
      <c r="C801" s="143" t="s">
        <v>1615</v>
      </c>
      <c r="D801" s="143"/>
      <c r="E801" s="64" t="s">
        <v>1757</v>
      </c>
      <c r="F801" s="74" t="s">
        <v>1756</v>
      </c>
    </row>
    <row r="802" spans="1:6" ht="15" customHeight="1" x14ac:dyDescent="0.25">
      <c r="A802" s="171"/>
      <c r="B802" s="251"/>
      <c r="C802" s="143" t="s">
        <v>180</v>
      </c>
      <c r="D802" s="143"/>
      <c r="E802" s="64" t="s">
        <v>1758</v>
      </c>
      <c r="F802" s="74" t="s">
        <v>1756</v>
      </c>
    </row>
    <row r="803" spans="1:6" s="74" customFormat="1" ht="15" customHeight="1" x14ac:dyDescent="0.25">
      <c r="A803" s="171"/>
      <c r="B803" s="251"/>
      <c r="C803" s="143"/>
      <c r="D803" s="143"/>
      <c r="E803" s="55"/>
    </row>
    <row r="804" spans="1:6" s="115" customFormat="1" ht="15" customHeight="1" x14ac:dyDescent="0.25">
      <c r="A804" s="171"/>
      <c r="B804" s="251"/>
      <c r="C804" s="227" t="s">
        <v>1729</v>
      </c>
      <c r="D804" s="227" t="s">
        <v>1151</v>
      </c>
      <c r="E804" s="246" t="s">
        <v>1764</v>
      </c>
      <c r="F804" s="115" t="s">
        <v>1766</v>
      </c>
    </row>
    <row r="805" spans="1:6" s="115" customFormat="1" ht="15" customHeight="1" x14ac:dyDescent="0.25">
      <c r="A805" s="171"/>
      <c r="B805" s="251"/>
      <c r="C805" s="212" t="s">
        <v>1723</v>
      </c>
      <c r="D805" s="227" t="s">
        <v>1151</v>
      </c>
      <c r="E805" s="246" t="s">
        <v>1765</v>
      </c>
      <c r="F805" s="115" t="s">
        <v>1767</v>
      </c>
    </row>
    <row r="806" spans="1:6" s="74" customFormat="1" ht="15" customHeight="1" x14ac:dyDescent="0.25">
      <c r="A806" s="171"/>
      <c r="B806" s="251"/>
      <c r="C806" s="213" t="s">
        <v>803</v>
      </c>
      <c r="D806" s="143" t="s">
        <v>1151</v>
      </c>
      <c r="E806" s="64" t="s">
        <v>1755</v>
      </c>
      <c r="F806" s="74" t="s">
        <v>1756</v>
      </c>
    </row>
    <row r="807" spans="1:6" s="74" customFormat="1" ht="15" customHeight="1" x14ac:dyDescent="0.25">
      <c r="A807" s="171"/>
      <c r="B807" s="251"/>
      <c r="C807" s="213" t="s">
        <v>804</v>
      </c>
      <c r="D807" s="143" t="s">
        <v>1151</v>
      </c>
      <c r="E807" s="55" t="s">
        <v>1647</v>
      </c>
    </row>
    <row r="808" spans="1:6" s="115" customFormat="1" ht="15" customHeight="1" x14ac:dyDescent="0.25">
      <c r="A808" s="171"/>
      <c r="B808" s="251"/>
      <c r="C808" s="212" t="s">
        <v>1724</v>
      </c>
      <c r="D808" s="227" t="s">
        <v>1151</v>
      </c>
      <c r="E808" s="211" t="s">
        <v>1648</v>
      </c>
    </row>
    <row r="809" spans="1:6" s="74" customFormat="1" ht="15" customHeight="1" x14ac:dyDescent="0.25">
      <c r="A809" s="171"/>
      <c r="B809" s="251"/>
      <c r="C809" s="213" t="s">
        <v>805</v>
      </c>
      <c r="D809" s="143" t="s">
        <v>1151</v>
      </c>
      <c r="E809" s="55" t="s">
        <v>1649</v>
      </c>
    </row>
    <row r="810" spans="1:6" s="74" customFormat="1" ht="15" customHeight="1" x14ac:dyDescent="0.25">
      <c r="A810" s="171"/>
      <c r="B810" s="251"/>
      <c r="C810" s="213" t="s">
        <v>806</v>
      </c>
      <c r="D810" s="143" t="s">
        <v>1151</v>
      </c>
      <c r="E810" s="55" t="s">
        <v>1650</v>
      </c>
    </row>
    <row r="811" spans="1:6" s="74" customFormat="1" ht="15" customHeight="1" x14ac:dyDescent="0.25">
      <c r="A811" s="171"/>
      <c r="B811" s="251"/>
      <c r="C811" s="213" t="s">
        <v>807</v>
      </c>
      <c r="D811" s="143" t="s">
        <v>1151</v>
      </c>
      <c r="E811" s="55" t="s">
        <v>1651</v>
      </c>
    </row>
    <row r="812" spans="1:6" s="74" customFormat="1" ht="15" customHeight="1" x14ac:dyDescent="0.25">
      <c r="A812" s="171"/>
      <c r="B812" s="251"/>
      <c r="C812" s="213" t="s">
        <v>808</v>
      </c>
      <c r="D812" s="143" t="s">
        <v>1151</v>
      </c>
      <c r="E812" s="55" t="s">
        <v>1652</v>
      </c>
    </row>
    <row r="813" spans="1:6" s="74" customFormat="1" ht="15" customHeight="1" x14ac:dyDescent="0.25">
      <c r="A813" s="171"/>
      <c r="B813" s="251"/>
      <c r="C813" s="213" t="s">
        <v>809</v>
      </c>
      <c r="D813" s="143" t="s">
        <v>1151</v>
      </c>
      <c r="E813" s="55" t="s">
        <v>1653</v>
      </c>
    </row>
    <row r="814" spans="1:6" s="74" customFormat="1" ht="15" customHeight="1" x14ac:dyDescent="0.25">
      <c r="A814" s="171"/>
      <c r="B814" s="251"/>
      <c r="C814" s="213" t="s">
        <v>810</v>
      </c>
      <c r="D814" s="143" t="s">
        <v>1151</v>
      </c>
      <c r="E814" s="55" t="s">
        <v>1654</v>
      </c>
    </row>
    <row r="815" spans="1:6" s="74" customFormat="1" ht="15" customHeight="1" x14ac:dyDescent="0.25">
      <c r="A815" s="171"/>
      <c r="B815" s="251"/>
      <c r="C815" s="213" t="s">
        <v>811</v>
      </c>
      <c r="D815" s="143" t="s">
        <v>1151</v>
      </c>
      <c r="E815" s="55" t="s">
        <v>1655</v>
      </c>
    </row>
    <row r="816" spans="1:6" s="74" customFormat="1" ht="15" customHeight="1" x14ac:dyDescent="0.25">
      <c r="A816" s="171"/>
      <c r="B816" s="251"/>
      <c r="C816" s="213" t="s">
        <v>812</v>
      </c>
      <c r="D816" s="143" t="s">
        <v>1151</v>
      </c>
      <c r="E816" s="55" t="s">
        <v>1656</v>
      </c>
    </row>
    <row r="817" spans="1:5" s="74" customFormat="1" ht="15" customHeight="1" x14ac:dyDescent="0.25">
      <c r="A817" s="171"/>
      <c r="B817" s="251"/>
      <c r="C817" s="213" t="s">
        <v>813</v>
      </c>
      <c r="D817" s="143" t="s">
        <v>1151</v>
      </c>
      <c r="E817" s="55" t="s">
        <v>1657</v>
      </c>
    </row>
    <row r="818" spans="1:5" s="74" customFormat="1" ht="15" customHeight="1" x14ac:dyDescent="0.25">
      <c r="A818" s="171"/>
      <c r="B818" s="251"/>
      <c r="C818" s="213" t="s">
        <v>814</v>
      </c>
      <c r="D818" s="143" t="s">
        <v>1151</v>
      </c>
      <c r="E818" s="55" t="s">
        <v>1658</v>
      </c>
    </row>
    <row r="819" spans="1:5" s="74" customFormat="1" ht="15" customHeight="1" x14ac:dyDescent="0.25">
      <c r="A819" s="171"/>
      <c r="B819" s="251"/>
      <c r="C819" s="213" t="s">
        <v>815</v>
      </c>
      <c r="D819" s="143" t="s">
        <v>1151</v>
      </c>
      <c r="E819" s="55" t="s">
        <v>1659</v>
      </c>
    </row>
    <row r="820" spans="1:5" s="115" customFormat="1" ht="15" customHeight="1" x14ac:dyDescent="0.25">
      <c r="A820" s="171"/>
      <c r="B820" s="251"/>
      <c r="C820" s="212" t="s">
        <v>1725</v>
      </c>
      <c r="D820" s="227" t="s">
        <v>1151</v>
      </c>
      <c r="E820" s="211" t="s">
        <v>1660</v>
      </c>
    </row>
    <row r="821" spans="1:5" s="74" customFormat="1" ht="15" customHeight="1" x14ac:dyDescent="0.25">
      <c r="A821" s="171"/>
      <c r="B821" s="251"/>
      <c r="C821" s="213" t="s">
        <v>681</v>
      </c>
      <c r="D821" s="143" t="s">
        <v>1151</v>
      </c>
      <c r="E821" s="55" t="s">
        <v>1661</v>
      </c>
    </row>
    <row r="822" spans="1:5" s="74" customFormat="1" ht="15" customHeight="1" x14ac:dyDescent="0.25">
      <c r="A822" s="171"/>
      <c r="B822" s="251"/>
      <c r="C822" s="213" t="s">
        <v>682</v>
      </c>
      <c r="D822" s="143" t="s">
        <v>1151</v>
      </c>
      <c r="E822" s="55" t="s">
        <v>1662</v>
      </c>
    </row>
    <row r="823" spans="1:5" s="74" customFormat="1" ht="15" customHeight="1" x14ac:dyDescent="0.25">
      <c r="A823" s="171"/>
      <c r="B823" s="251"/>
      <c r="C823" s="213" t="s">
        <v>683</v>
      </c>
      <c r="D823" s="143" t="s">
        <v>1151</v>
      </c>
      <c r="E823" s="55" t="s">
        <v>1663</v>
      </c>
    </row>
    <row r="824" spans="1:5" s="74" customFormat="1" ht="15" customHeight="1" x14ac:dyDescent="0.25">
      <c r="A824" s="171"/>
      <c r="B824" s="251"/>
      <c r="C824" s="213" t="s">
        <v>684</v>
      </c>
      <c r="D824" s="143" t="s">
        <v>1151</v>
      </c>
      <c r="E824" s="55" t="s">
        <v>1664</v>
      </c>
    </row>
    <row r="825" spans="1:5" s="115" customFormat="1" ht="15" customHeight="1" x14ac:dyDescent="0.25">
      <c r="A825" s="171"/>
      <c r="B825" s="251"/>
      <c r="C825" s="212" t="s">
        <v>1726</v>
      </c>
      <c r="D825" s="227" t="s">
        <v>1151</v>
      </c>
      <c r="E825" s="211" t="s">
        <v>1665</v>
      </c>
    </row>
    <row r="826" spans="1:5" s="74" customFormat="1" ht="15" customHeight="1" x14ac:dyDescent="0.25">
      <c r="A826" s="171"/>
      <c r="B826" s="251"/>
      <c r="C826" s="213" t="s">
        <v>685</v>
      </c>
      <c r="D826" s="143" t="s">
        <v>1151</v>
      </c>
      <c r="E826" s="55" t="s">
        <v>1666</v>
      </c>
    </row>
    <row r="827" spans="1:5" s="74" customFormat="1" ht="15" customHeight="1" x14ac:dyDescent="0.25">
      <c r="A827" s="171"/>
      <c r="B827" s="251"/>
      <c r="C827" s="213" t="s">
        <v>686</v>
      </c>
      <c r="D827" s="143" t="s">
        <v>1151</v>
      </c>
      <c r="E827" s="55" t="s">
        <v>1667</v>
      </c>
    </row>
    <row r="828" spans="1:5" s="115" customFormat="1" ht="15" customHeight="1" x14ac:dyDescent="0.25">
      <c r="A828" s="171"/>
      <c r="B828" s="251"/>
      <c r="C828" s="212" t="s">
        <v>1727</v>
      </c>
      <c r="D828" s="227" t="s">
        <v>1151</v>
      </c>
      <c r="E828" s="211" t="s">
        <v>1668</v>
      </c>
    </row>
    <row r="829" spans="1:5" s="74" customFormat="1" ht="15" customHeight="1" x14ac:dyDescent="0.25">
      <c r="A829" s="171"/>
      <c r="B829" s="251"/>
      <c r="C829" s="213" t="s">
        <v>486</v>
      </c>
      <c r="D829" s="143" t="s">
        <v>1151</v>
      </c>
      <c r="E829" s="55" t="s">
        <v>1669</v>
      </c>
    </row>
    <row r="830" spans="1:5" s="74" customFormat="1" ht="15" customHeight="1" x14ac:dyDescent="0.25">
      <c r="A830" s="171"/>
      <c r="B830" s="251"/>
      <c r="C830" s="213" t="s">
        <v>487</v>
      </c>
      <c r="D830" s="143" t="s">
        <v>1151</v>
      </c>
      <c r="E830" s="55" t="s">
        <v>1670</v>
      </c>
    </row>
    <row r="831" spans="1:5" s="74" customFormat="1" ht="15" customHeight="1" x14ac:dyDescent="0.25">
      <c r="A831" s="171"/>
      <c r="B831" s="251"/>
      <c r="C831" s="213" t="s">
        <v>492</v>
      </c>
      <c r="D831" s="143" t="s">
        <v>1151</v>
      </c>
      <c r="E831" s="55" t="s">
        <v>1671</v>
      </c>
    </row>
    <row r="832" spans="1:5" s="74" customFormat="1" ht="15" customHeight="1" x14ac:dyDescent="0.25">
      <c r="A832" s="171"/>
      <c r="B832" s="251"/>
      <c r="C832" s="213" t="s">
        <v>493</v>
      </c>
      <c r="D832" s="143" t="s">
        <v>1151</v>
      </c>
      <c r="E832" s="55" t="s">
        <v>1672</v>
      </c>
    </row>
    <row r="833" spans="1:5" s="115" customFormat="1" ht="15" customHeight="1" x14ac:dyDescent="0.25">
      <c r="A833" s="171"/>
      <c r="B833" s="251"/>
      <c r="C833" s="212" t="s">
        <v>1728</v>
      </c>
      <c r="D833" s="227" t="s">
        <v>1151</v>
      </c>
      <c r="E833" s="211" t="s">
        <v>1673</v>
      </c>
    </row>
    <row r="834" spans="1:5" s="74" customFormat="1" ht="15" customHeight="1" x14ac:dyDescent="0.25">
      <c r="A834" s="171"/>
      <c r="B834" s="251"/>
      <c r="C834" s="213" t="s">
        <v>496</v>
      </c>
      <c r="D834" s="143" t="s">
        <v>1151</v>
      </c>
      <c r="E834" s="55" t="s">
        <v>1674</v>
      </c>
    </row>
    <row r="835" spans="1:5" s="74" customFormat="1" ht="15" customHeight="1" x14ac:dyDescent="0.25">
      <c r="A835" s="171"/>
      <c r="B835" s="251"/>
      <c r="C835" s="213" t="s">
        <v>497</v>
      </c>
      <c r="D835" s="143" t="s">
        <v>1151</v>
      </c>
      <c r="E835" s="55" t="s">
        <v>1675</v>
      </c>
    </row>
    <row r="836" spans="1:5" s="74" customFormat="1" ht="15" customHeight="1" x14ac:dyDescent="0.25">
      <c r="A836" s="171"/>
      <c r="B836" s="251"/>
      <c r="C836" s="213" t="s">
        <v>498</v>
      </c>
      <c r="D836" s="143" t="s">
        <v>1151</v>
      </c>
      <c r="E836" s="55" t="s">
        <v>1676</v>
      </c>
    </row>
    <row r="837" spans="1:5" s="74" customFormat="1" ht="15" customHeight="1" x14ac:dyDescent="0.25">
      <c r="A837" s="171"/>
      <c r="B837" s="251"/>
      <c r="C837" s="213" t="s">
        <v>499</v>
      </c>
      <c r="D837" s="143" t="s">
        <v>1151</v>
      </c>
      <c r="E837" s="55" t="s">
        <v>1677</v>
      </c>
    </row>
    <row r="838" spans="1:5" s="74" customFormat="1" ht="15" customHeight="1" x14ac:dyDescent="0.25">
      <c r="A838" s="171"/>
      <c r="B838" s="251"/>
      <c r="C838" s="213" t="s">
        <v>500</v>
      </c>
      <c r="D838" s="143" t="s">
        <v>1151</v>
      </c>
      <c r="E838" s="55" t="s">
        <v>1678</v>
      </c>
    </row>
    <row r="839" spans="1:5" s="74" customFormat="1" ht="15" customHeight="1" x14ac:dyDescent="0.25">
      <c r="A839" s="171"/>
      <c r="B839" s="251"/>
      <c r="C839" s="213" t="s">
        <v>501</v>
      </c>
      <c r="D839" s="143" t="s">
        <v>1151</v>
      </c>
      <c r="E839" s="55" t="s">
        <v>1679</v>
      </c>
    </row>
    <row r="840" spans="1:5" s="74" customFormat="1" ht="15" customHeight="1" x14ac:dyDescent="0.25">
      <c r="A840" s="171"/>
      <c r="B840" s="251"/>
      <c r="C840" s="213" t="s">
        <v>502</v>
      </c>
      <c r="D840" s="143" t="s">
        <v>1151</v>
      </c>
      <c r="E840" s="55" t="s">
        <v>1680</v>
      </c>
    </row>
    <row r="841" spans="1:5" s="74" customFormat="1" ht="15" customHeight="1" x14ac:dyDescent="0.25">
      <c r="A841" s="171"/>
      <c r="B841" s="251"/>
      <c r="C841" s="213" t="s">
        <v>503</v>
      </c>
      <c r="D841" s="143" t="s">
        <v>1151</v>
      </c>
      <c r="E841" s="55" t="s">
        <v>1681</v>
      </c>
    </row>
    <row r="842" spans="1:5" s="74" customFormat="1" ht="15" customHeight="1" x14ac:dyDescent="0.25">
      <c r="A842" s="171"/>
      <c r="B842" s="251"/>
      <c r="C842" s="248" t="s">
        <v>504</v>
      </c>
      <c r="D842" s="143" t="s">
        <v>1151</v>
      </c>
      <c r="E842" s="55" t="s">
        <v>1682</v>
      </c>
    </row>
    <row r="843" spans="1:5" s="74" customFormat="1" ht="15" customHeight="1" x14ac:dyDescent="0.25">
      <c r="A843" s="171"/>
      <c r="B843" s="251"/>
      <c r="C843" s="247"/>
      <c r="D843" s="143"/>
      <c r="E843" s="247"/>
    </row>
    <row r="844" spans="1:5" s="115" customFormat="1" ht="15" customHeight="1" x14ac:dyDescent="0.25">
      <c r="A844" s="171"/>
      <c r="B844" s="251"/>
      <c r="C844" s="227" t="s">
        <v>1729</v>
      </c>
      <c r="D844" s="227" t="s">
        <v>1683</v>
      </c>
      <c r="E844" s="246" t="s">
        <v>1762</v>
      </c>
    </row>
    <row r="845" spans="1:5" s="115" customFormat="1" ht="15" customHeight="1" x14ac:dyDescent="0.25">
      <c r="A845" s="171"/>
      <c r="B845" s="251"/>
      <c r="C845" s="212" t="s">
        <v>1723</v>
      </c>
      <c r="D845" s="227" t="s">
        <v>1683</v>
      </c>
      <c r="E845" s="246" t="s">
        <v>1763</v>
      </c>
    </row>
    <row r="846" spans="1:5" s="74" customFormat="1" ht="15" customHeight="1" x14ac:dyDescent="0.25">
      <c r="A846" s="171"/>
      <c r="B846" s="251"/>
      <c r="C846" s="213" t="s">
        <v>803</v>
      </c>
      <c r="D846" s="143" t="s">
        <v>1683</v>
      </c>
      <c r="E846" s="64" t="s">
        <v>1759</v>
      </c>
    </row>
    <row r="847" spans="1:5" s="74" customFormat="1" ht="15" customHeight="1" x14ac:dyDescent="0.25">
      <c r="A847" s="171"/>
      <c r="B847" s="251"/>
      <c r="C847" s="213" t="s">
        <v>804</v>
      </c>
      <c r="D847" s="143" t="s">
        <v>1683</v>
      </c>
      <c r="E847" s="55" t="s">
        <v>1684</v>
      </c>
    </row>
    <row r="848" spans="1:5" s="115" customFormat="1" ht="15" customHeight="1" x14ac:dyDescent="0.25">
      <c r="A848" s="171"/>
      <c r="B848" s="251"/>
      <c r="C848" s="212" t="s">
        <v>1724</v>
      </c>
      <c r="D848" s="227" t="s">
        <v>1683</v>
      </c>
      <c r="E848" s="211" t="s">
        <v>1685</v>
      </c>
    </row>
    <row r="849" spans="1:5" s="74" customFormat="1" ht="15" customHeight="1" x14ac:dyDescent="0.25">
      <c r="A849" s="171"/>
      <c r="B849" s="251"/>
      <c r="C849" s="213" t="s">
        <v>805</v>
      </c>
      <c r="D849" s="143" t="s">
        <v>1683</v>
      </c>
      <c r="E849" s="55" t="s">
        <v>1686</v>
      </c>
    </row>
    <row r="850" spans="1:5" s="74" customFormat="1" ht="15" customHeight="1" x14ac:dyDescent="0.25">
      <c r="A850" s="171"/>
      <c r="B850" s="251"/>
      <c r="C850" s="213" t="s">
        <v>806</v>
      </c>
      <c r="D850" s="143" t="s">
        <v>1683</v>
      </c>
      <c r="E850" s="55" t="s">
        <v>1687</v>
      </c>
    </row>
    <row r="851" spans="1:5" s="74" customFormat="1" ht="15" customHeight="1" x14ac:dyDescent="0.25">
      <c r="A851" s="171"/>
      <c r="B851" s="251"/>
      <c r="C851" s="213" t="s">
        <v>807</v>
      </c>
      <c r="D851" s="143" t="s">
        <v>1683</v>
      </c>
      <c r="E851" s="55" t="s">
        <v>1688</v>
      </c>
    </row>
    <row r="852" spans="1:5" s="74" customFormat="1" ht="15" customHeight="1" x14ac:dyDescent="0.25">
      <c r="A852" s="171"/>
      <c r="B852" s="251"/>
      <c r="C852" s="213" t="s">
        <v>808</v>
      </c>
      <c r="D852" s="143" t="s">
        <v>1683</v>
      </c>
      <c r="E852" s="55" t="s">
        <v>1689</v>
      </c>
    </row>
    <row r="853" spans="1:5" s="74" customFormat="1" ht="15" customHeight="1" x14ac:dyDescent="0.25">
      <c r="A853" s="171"/>
      <c r="B853" s="251"/>
      <c r="C853" s="213" t="s">
        <v>809</v>
      </c>
      <c r="D853" s="143" t="s">
        <v>1683</v>
      </c>
      <c r="E853" s="55" t="s">
        <v>1690</v>
      </c>
    </row>
    <row r="854" spans="1:5" s="74" customFormat="1" ht="15" customHeight="1" x14ac:dyDescent="0.25">
      <c r="A854" s="171"/>
      <c r="B854" s="251"/>
      <c r="C854" s="213" t="s">
        <v>810</v>
      </c>
      <c r="D854" s="143" t="s">
        <v>1683</v>
      </c>
      <c r="E854" s="55" t="s">
        <v>1691</v>
      </c>
    </row>
    <row r="855" spans="1:5" s="74" customFormat="1" ht="15" customHeight="1" x14ac:dyDescent="0.25">
      <c r="A855" s="171"/>
      <c r="B855" s="251"/>
      <c r="C855" s="213" t="s">
        <v>811</v>
      </c>
      <c r="D855" s="143" t="s">
        <v>1683</v>
      </c>
      <c r="E855" s="55" t="s">
        <v>1692</v>
      </c>
    </row>
    <row r="856" spans="1:5" s="74" customFormat="1" ht="15" customHeight="1" x14ac:dyDescent="0.25">
      <c r="A856" s="171"/>
      <c r="B856" s="251"/>
      <c r="C856" s="213" t="s">
        <v>812</v>
      </c>
      <c r="D856" s="143" t="s">
        <v>1683</v>
      </c>
      <c r="E856" s="55" t="s">
        <v>1693</v>
      </c>
    </row>
    <row r="857" spans="1:5" s="74" customFormat="1" ht="15" customHeight="1" x14ac:dyDescent="0.25">
      <c r="A857" s="171"/>
      <c r="B857" s="251"/>
      <c r="C857" s="213" t="s">
        <v>813</v>
      </c>
      <c r="D857" s="143" t="s">
        <v>1683</v>
      </c>
      <c r="E857" s="55" t="s">
        <v>1694</v>
      </c>
    </row>
    <row r="858" spans="1:5" s="74" customFormat="1" ht="15" customHeight="1" x14ac:dyDescent="0.25">
      <c r="A858" s="171"/>
      <c r="B858" s="251"/>
      <c r="C858" s="213" t="s">
        <v>814</v>
      </c>
      <c r="D858" s="143" t="s">
        <v>1683</v>
      </c>
      <c r="E858" s="55" t="s">
        <v>1695</v>
      </c>
    </row>
    <row r="859" spans="1:5" s="74" customFormat="1" ht="15" customHeight="1" x14ac:dyDescent="0.25">
      <c r="A859" s="171"/>
      <c r="B859" s="251"/>
      <c r="C859" s="213" t="s">
        <v>815</v>
      </c>
      <c r="D859" s="143" t="s">
        <v>1683</v>
      </c>
      <c r="E859" s="55" t="s">
        <v>1696</v>
      </c>
    </row>
    <row r="860" spans="1:5" s="115" customFormat="1" ht="15" customHeight="1" x14ac:dyDescent="0.25">
      <c r="A860" s="171"/>
      <c r="B860" s="251"/>
      <c r="C860" s="212" t="s">
        <v>1725</v>
      </c>
      <c r="D860" s="227" t="s">
        <v>1683</v>
      </c>
      <c r="E860" s="211" t="s">
        <v>1697</v>
      </c>
    </row>
    <row r="861" spans="1:5" s="74" customFormat="1" ht="15" customHeight="1" x14ac:dyDescent="0.25">
      <c r="A861" s="171"/>
      <c r="B861" s="251"/>
      <c r="C861" s="213" t="s">
        <v>681</v>
      </c>
      <c r="D861" s="143" t="s">
        <v>1683</v>
      </c>
      <c r="E861" s="55" t="s">
        <v>1698</v>
      </c>
    </row>
    <row r="862" spans="1:5" s="74" customFormat="1" ht="15" customHeight="1" x14ac:dyDescent="0.25">
      <c r="A862" s="171"/>
      <c r="B862" s="251"/>
      <c r="C862" s="213" t="s">
        <v>682</v>
      </c>
      <c r="D862" s="143" t="s">
        <v>1683</v>
      </c>
      <c r="E862" s="55" t="s">
        <v>1699</v>
      </c>
    </row>
    <row r="863" spans="1:5" s="74" customFormat="1" ht="15" customHeight="1" x14ac:dyDescent="0.25">
      <c r="A863" s="171"/>
      <c r="B863" s="251"/>
      <c r="C863" s="213" t="s">
        <v>683</v>
      </c>
      <c r="D863" s="143" t="s">
        <v>1683</v>
      </c>
      <c r="E863" s="55" t="s">
        <v>1700</v>
      </c>
    </row>
    <row r="864" spans="1:5" s="74" customFormat="1" ht="15" customHeight="1" x14ac:dyDescent="0.25">
      <c r="A864" s="171"/>
      <c r="B864" s="251"/>
      <c r="C864" s="213" t="s">
        <v>684</v>
      </c>
      <c r="D864" s="143" t="s">
        <v>1683</v>
      </c>
      <c r="E864" s="55" t="s">
        <v>1701</v>
      </c>
    </row>
    <row r="865" spans="1:5" s="115" customFormat="1" ht="15" customHeight="1" x14ac:dyDescent="0.25">
      <c r="A865" s="171"/>
      <c r="B865" s="251"/>
      <c r="C865" s="212" t="s">
        <v>1726</v>
      </c>
      <c r="D865" s="227" t="s">
        <v>1683</v>
      </c>
      <c r="E865" s="211" t="s">
        <v>1702</v>
      </c>
    </row>
    <row r="866" spans="1:5" s="74" customFormat="1" ht="15" customHeight="1" x14ac:dyDescent="0.25">
      <c r="A866" s="171"/>
      <c r="B866" s="251"/>
      <c r="C866" s="213" t="s">
        <v>685</v>
      </c>
      <c r="D866" s="143" t="s">
        <v>1683</v>
      </c>
      <c r="E866" s="55" t="s">
        <v>1703</v>
      </c>
    </row>
    <row r="867" spans="1:5" s="74" customFormat="1" ht="15" customHeight="1" x14ac:dyDescent="0.25">
      <c r="A867" s="171"/>
      <c r="B867" s="251"/>
      <c r="C867" s="213" t="s">
        <v>686</v>
      </c>
      <c r="D867" s="143" t="s">
        <v>1683</v>
      </c>
      <c r="E867" s="55" t="s">
        <v>1704</v>
      </c>
    </row>
    <row r="868" spans="1:5" s="115" customFormat="1" ht="15" customHeight="1" x14ac:dyDescent="0.25">
      <c r="A868" s="171"/>
      <c r="B868" s="251"/>
      <c r="C868" s="212" t="s">
        <v>1727</v>
      </c>
      <c r="D868" s="227" t="s">
        <v>1683</v>
      </c>
      <c r="E868" s="211" t="s">
        <v>1705</v>
      </c>
    </row>
    <row r="869" spans="1:5" s="74" customFormat="1" ht="15" customHeight="1" x14ac:dyDescent="0.25">
      <c r="A869" s="171"/>
      <c r="B869" s="251"/>
      <c r="C869" s="213" t="s">
        <v>486</v>
      </c>
      <c r="D869" s="143" t="s">
        <v>1683</v>
      </c>
      <c r="E869" s="55" t="s">
        <v>1706</v>
      </c>
    </row>
    <row r="870" spans="1:5" s="74" customFormat="1" ht="15" customHeight="1" x14ac:dyDescent="0.25">
      <c r="A870" s="171"/>
      <c r="B870" s="251"/>
      <c r="C870" s="213" t="s">
        <v>487</v>
      </c>
      <c r="D870" s="143" t="s">
        <v>1683</v>
      </c>
      <c r="E870" s="55" t="s">
        <v>1707</v>
      </c>
    </row>
    <row r="871" spans="1:5" s="74" customFormat="1" ht="15" customHeight="1" x14ac:dyDescent="0.25">
      <c r="A871" s="171"/>
      <c r="B871" s="251"/>
      <c r="C871" s="213" t="s">
        <v>492</v>
      </c>
      <c r="D871" s="143" t="s">
        <v>1683</v>
      </c>
      <c r="E871" s="55" t="s">
        <v>1708</v>
      </c>
    </row>
    <row r="872" spans="1:5" s="74" customFormat="1" ht="15" customHeight="1" x14ac:dyDescent="0.25">
      <c r="A872" s="171"/>
      <c r="B872" s="251"/>
      <c r="C872" s="213" t="s">
        <v>493</v>
      </c>
      <c r="D872" s="143" t="s">
        <v>1683</v>
      </c>
      <c r="E872" s="55" t="s">
        <v>1709</v>
      </c>
    </row>
    <row r="873" spans="1:5" s="115" customFormat="1" ht="15" customHeight="1" x14ac:dyDescent="0.25">
      <c r="A873" s="171"/>
      <c r="B873" s="251"/>
      <c r="C873" s="212" t="s">
        <v>1728</v>
      </c>
      <c r="D873" s="227" t="s">
        <v>1683</v>
      </c>
      <c r="E873" s="211" t="s">
        <v>1710</v>
      </c>
    </row>
    <row r="874" spans="1:5" s="74" customFormat="1" ht="15" customHeight="1" x14ac:dyDescent="0.25">
      <c r="A874" s="171"/>
      <c r="B874" s="251"/>
      <c r="C874" s="213" t="s">
        <v>496</v>
      </c>
      <c r="D874" s="143" t="s">
        <v>1683</v>
      </c>
      <c r="E874" s="55" t="s">
        <v>1711</v>
      </c>
    </row>
    <row r="875" spans="1:5" s="74" customFormat="1" ht="15" customHeight="1" x14ac:dyDescent="0.25">
      <c r="A875" s="171"/>
      <c r="B875" s="251"/>
      <c r="C875" s="213" t="s">
        <v>497</v>
      </c>
      <c r="D875" s="143" t="s">
        <v>1683</v>
      </c>
      <c r="E875" s="55" t="s">
        <v>1712</v>
      </c>
    </row>
    <row r="876" spans="1:5" s="74" customFormat="1" ht="15" customHeight="1" x14ac:dyDescent="0.25">
      <c r="A876" s="171"/>
      <c r="B876" s="251"/>
      <c r="C876" s="213" t="s">
        <v>498</v>
      </c>
      <c r="D876" s="143" t="s">
        <v>1683</v>
      </c>
      <c r="E876" s="55" t="s">
        <v>1713</v>
      </c>
    </row>
    <row r="877" spans="1:5" s="74" customFormat="1" ht="15" customHeight="1" x14ac:dyDescent="0.25">
      <c r="A877" s="171"/>
      <c r="B877" s="251"/>
      <c r="C877" s="213" t="s">
        <v>499</v>
      </c>
      <c r="D877" s="143" t="s">
        <v>1683</v>
      </c>
      <c r="E877" s="55" t="s">
        <v>1714</v>
      </c>
    </row>
    <row r="878" spans="1:5" s="74" customFormat="1" ht="15" customHeight="1" x14ac:dyDescent="0.25">
      <c r="A878" s="171"/>
      <c r="B878" s="251"/>
      <c r="C878" s="213" t="s">
        <v>500</v>
      </c>
      <c r="D878" s="143" t="s">
        <v>1683</v>
      </c>
      <c r="E878" s="55" t="s">
        <v>1715</v>
      </c>
    </row>
    <row r="879" spans="1:5" s="74" customFormat="1" ht="15" customHeight="1" x14ac:dyDescent="0.25">
      <c r="A879" s="171"/>
      <c r="B879" s="251"/>
      <c r="C879" s="213" t="s">
        <v>501</v>
      </c>
      <c r="D879" s="143" t="s">
        <v>1683</v>
      </c>
      <c r="E879" s="55" t="s">
        <v>1716</v>
      </c>
    </row>
    <row r="880" spans="1:5" s="74" customFormat="1" ht="15" customHeight="1" x14ac:dyDescent="0.25">
      <c r="A880" s="171"/>
      <c r="B880" s="251"/>
      <c r="C880" s="213" t="s">
        <v>502</v>
      </c>
      <c r="D880" s="143" t="s">
        <v>1683</v>
      </c>
      <c r="E880" s="55" t="s">
        <v>1717</v>
      </c>
    </row>
    <row r="881" spans="1:6" s="74" customFormat="1" ht="15" customHeight="1" x14ac:dyDescent="0.25">
      <c r="A881" s="171"/>
      <c r="B881" s="251"/>
      <c r="C881" s="213" t="s">
        <v>503</v>
      </c>
      <c r="D881" s="143" t="s">
        <v>1683</v>
      </c>
      <c r="E881" s="55" t="s">
        <v>1718</v>
      </c>
    </row>
    <row r="882" spans="1:6" s="74" customFormat="1" ht="15" customHeight="1" x14ac:dyDescent="0.25">
      <c r="A882" s="171"/>
      <c r="B882" s="251"/>
      <c r="C882" s="248" t="s">
        <v>504</v>
      </c>
      <c r="D882" s="143" t="s">
        <v>1683</v>
      </c>
      <c r="E882" s="55" t="s">
        <v>1719</v>
      </c>
    </row>
    <row r="883" spans="1:6" s="74" customFormat="1" ht="15" customHeight="1" x14ac:dyDescent="0.25">
      <c r="A883" s="171"/>
      <c r="B883" s="251"/>
      <c r="C883" s="248"/>
      <c r="D883" s="143"/>
      <c r="E883" s="55"/>
    </row>
    <row r="884" spans="1:6" s="115" customFormat="1" ht="15" customHeight="1" x14ac:dyDescent="0.25">
      <c r="A884" s="171"/>
      <c r="B884" s="251"/>
      <c r="C884" s="227" t="s">
        <v>1730</v>
      </c>
      <c r="D884" s="227"/>
      <c r="E884" s="246" t="s">
        <v>186</v>
      </c>
    </row>
    <row r="885" spans="1:6" s="74" customFormat="1" ht="15" customHeight="1" x14ac:dyDescent="0.25">
      <c r="A885" s="171"/>
      <c r="B885" s="251"/>
      <c r="C885" s="213" t="s">
        <v>803</v>
      </c>
      <c r="D885" s="143"/>
      <c r="E885" s="55"/>
    </row>
    <row r="886" spans="1:6" s="74" customFormat="1" ht="15" customHeight="1" x14ac:dyDescent="0.25">
      <c r="A886" s="171"/>
      <c r="B886" s="251"/>
      <c r="C886" s="213" t="s">
        <v>807</v>
      </c>
      <c r="D886" s="143"/>
      <c r="E886" s="55"/>
    </row>
    <row r="887" spans="1:6" s="74" customFormat="1" ht="15" customHeight="1" x14ac:dyDescent="0.25">
      <c r="A887" s="171"/>
      <c r="B887" s="251"/>
      <c r="C887" s="213"/>
      <c r="D887" s="143"/>
      <c r="E887" s="55"/>
    </row>
    <row r="888" spans="1:6" s="115" customFormat="1" ht="15" customHeight="1" x14ac:dyDescent="0.25">
      <c r="A888" s="171"/>
      <c r="B888" s="251"/>
      <c r="C888" s="227" t="s">
        <v>1722</v>
      </c>
      <c r="D888" s="227"/>
      <c r="E888" s="246" t="s">
        <v>1733</v>
      </c>
      <c r="F888" s="115" t="s">
        <v>1735</v>
      </c>
    </row>
    <row r="889" spans="1:6" s="115" customFormat="1" ht="15" customHeight="1" x14ac:dyDescent="0.25">
      <c r="A889" s="171"/>
      <c r="B889" s="251"/>
      <c r="C889" s="212" t="s">
        <v>1723</v>
      </c>
      <c r="D889" s="227"/>
      <c r="E889" s="246" t="s">
        <v>1740</v>
      </c>
      <c r="F889" s="115" t="s">
        <v>1743</v>
      </c>
    </row>
    <row r="890" spans="1:6" s="74" customFormat="1" ht="15" customHeight="1" x14ac:dyDescent="0.25">
      <c r="A890" s="171"/>
      <c r="B890" s="251"/>
      <c r="C890" s="213" t="s">
        <v>803</v>
      </c>
      <c r="D890" s="143"/>
      <c r="E890" s="64" t="s">
        <v>1734</v>
      </c>
      <c r="F890" s="74" t="s">
        <v>1736</v>
      </c>
    </row>
    <row r="891" spans="1:6" s="74" customFormat="1" ht="15" customHeight="1" x14ac:dyDescent="0.25">
      <c r="A891" s="171"/>
      <c r="B891" s="251"/>
      <c r="C891" s="213" t="s">
        <v>804</v>
      </c>
      <c r="D891" s="143"/>
      <c r="E891" s="55" t="s">
        <v>1616</v>
      </c>
    </row>
    <row r="892" spans="1:6" s="115" customFormat="1" ht="15" customHeight="1" x14ac:dyDescent="0.25">
      <c r="A892" s="171"/>
      <c r="B892" s="251"/>
      <c r="C892" s="212" t="s">
        <v>1724</v>
      </c>
      <c r="D892" s="227"/>
      <c r="E892" s="211" t="s">
        <v>1747</v>
      </c>
      <c r="F892" s="115" t="s">
        <v>1751</v>
      </c>
    </row>
    <row r="893" spans="1:6" s="74" customFormat="1" ht="15" customHeight="1" x14ac:dyDescent="0.25">
      <c r="A893" s="171"/>
      <c r="B893" s="251"/>
      <c r="C893" s="213" t="s">
        <v>805</v>
      </c>
      <c r="D893" s="143"/>
      <c r="E893" s="55" t="s">
        <v>1617</v>
      </c>
    </row>
    <row r="894" spans="1:6" s="74" customFormat="1" ht="15" customHeight="1" x14ac:dyDescent="0.25">
      <c r="A894" s="171"/>
      <c r="B894" s="251"/>
      <c r="C894" s="213" t="s">
        <v>806</v>
      </c>
      <c r="D894" s="143"/>
      <c r="E894" s="55" t="s">
        <v>1618</v>
      </c>
    </row>
    <row r="895" spans="1:6" s="74" customFormat="1" ht="15" customHeight="1" x14ac:dyDescent="0.25">
      <c r="A895" s="171"/>
      <c r="B895" s="251"/>
      <c r="C895" s="213" t="s">
        <v>807</v>
      </c>
      <c r="D895" s="143"/>
      <c r="E895" s="55" t="s">
        <v>1619</v>
      </c>
    </row>
    <row r="896" spans="1:6" s="74" customFormat="1" ht="15" customHeight="1" x14ac:dyDescent="0.25">
      <c r="A896" s="171"/>
      <c r="B896" s="251"/>
      <c r="C896" s="213" t="s">
        <v>808</v>
      </c>
      <c r="D896" s="143"/>
      <c r="E896" s="55" t="s">
        <v>1620</v>
      </c>
    </row>
    <row r="897" spans="1:6" s="74" customFormat="1" ht="15" customHeight="1" x14ac:dyDescent="0.25">
      <c r="A897" s="171"/>
      <c r="B897" s="251"/>
      <c r="C897" s="213" t="s">
        <v>809</v>
      </c>
      <c r="D897" s="143"/>
      <c r="E897" s="55" t="s">
        <v>1621</v>
      </c>
    </row>
    <row r="898" spans="1:6" s="74" customFormat="1" ht="15" customHeight="1" x14ac:dyDescent="0.25">
      <c r="A898" s="171"/>
      <c r="B898" s="251"/>
      <c r="C898" s="213" t="s">
        <v>810</v>
      </c>
      <c r="D898" s="143"/>
      <c r="E898" s="55" t="s">
        <v>1622</v>
      </c>
    </row>
    <row r="899" spans="1:6" s="74" customFormat="1" ht="15" customHeight="1" x14ac:dyDescent="0.25">
      <c r="A899" s="171"/>
      <c r="B899" s="251"/>
      <c r="C899" s="213" t="s">
        <v>811</v>
      </c>
      <c r="D899" s="143"/>
      <c r="E899" s="55" t="s">
        <v>1623</v>
      </c>
    </row>
    <row r="900" spans="1:6" s="74" customFormat="1" ht="15" customHeight="1" x14ac:dyDescent="0.25">
      <c r="A900" s="171"/>
      <c r="B900" s="251"/>
      <c r="C900" s="213" t="s">
        <v>812</v>
      </c>
      <c r="D900" s="143"/>
      <c r="E900" s="55" t="s">
        <v>1624</v>
      </c>
    </row>
    <row r="901" spans="1:6" s="74" customFormat="1" ht="15" customHeight="1" x14ac:dyDescent="0.25">
      <c r="A901" s="171"/>
      <c r="B901" s="251"/>
      <c r="C901" s="213" t="s">
        <v>813</v>
      </c>
      <c r="D901" s="143"/>
      <c r="E901" s="55" t="s">
        <v>1625</v>
      </c>
    </row>
    <row r="902" spans="1:6" s="74" customFormat="1" ht="15" customHeight="1" x14ac:dyDescent="0.25">
      <c r="A902" s="171"/>
      <c r="B902" s="251"/>
      <c r="C902" s="213" t="s">
        <v>814</v>
      </c>
      <c r="D902" s="143"/>
      <c r="E902" s="55" t="s">
        <v>1626</v>
      </c>
    </row>
    <row r="903" spans="1:6" s="74" customFormat="1" ht="15" customHeight="1" x14ac:dyDescent="0.25">
      <c r="A903" s="171"/>
      <c r="B903" s="251"/>
      <c r="C903" s="213" t="s">
        <v>815</v>
      </c>
      <c r="D903" s="143"/>
      <c r="E903" s="55" t="s">
        <v>1627</v>
      </c>
    </row>
    <row r="904" spans="1:6" s="115" customFormat="1" ht="15" customHeight="1" x14ac:dyDescent="0.25">
      <c r="A904" s="171"/>
      <c r="B904" s="251"/>
      <c r="C904" s="212" t="s">
        <v>1725</v>
      </c>
      <c r="D904" s="227"/>
      <c r="E904" s="211" t="s">
        <v>1742</v>
      </c>
      <c r="F904" s="115" t="s">
        <v>1746</v>
      </c>
    </row>
    <row r="905" spans="1:6" s="74" customFormat="1" ht="15" customHeight="1" x14ac:dyDescent="0.25">
      <c r="A905" s="171"/>
      <c r="B905" s="251"/>
      <c r="C905" s="213" t="s">
        <v>681</v>
      </c>
      <c r="D905" s="143"/>
      <c r="E905" s="55" t="s">
        <v>1628</v>
      </c>
    </row>
    <row r="906" spans="1:6" s="74" customFormat="1" ht="15" customHeight="1" x14ac:dyDescent="0.25">
      <c r="A906" s="171"/>
      <c r="B906" s="251"/>
      <c r="C906" s="213" t="s">
        <v>682</v>
      </c>
      <c r="D906" s="143"/>
      <c r="E906" s="55" t="s">
        <v>1629</v>
      </c>
    </row>
    <row r="907" spans="1:6" s="74" customFormat="1" ht="15" customHeight="1" x14ac:dyDescent="0.25">
      <c r="A907" s="171"/>
      <c r="B907" s="251"/>
      <c r="C907" s="213" t="s">
        <v>683</v>
      </c>
      <c r="D907" s="143"/>
      <c r="E907" s="55" t="s">
        <v>1630</v>
      </c>
    </row>
    <row r="908" spans="1:6" s="74" customFormat="1" ht="15" customHeight="1" x14ac:dyDescent="0.25">
      <c r="A908" s="171"/>
      <c r="B908" s="251"/>
      <c r="C908" s="213" t="s">
        <v>684</v>
      </c>
      <c r="D908" s="143"/>
      <c r="E908" s="55" t="s">
        <v>1631</v>
      </c>
    </row>
    <row r="909" spans="1:6" s="115" customFormat="1" ht="15" customHeight="1" x14ac:dyDescent="0.25">
      <c r="A909" s="171"/>
      <c r="B909" s="251"/>
      <c r="C909" s="212" t="s">
        <v>1726</v>
      </c>
      <c r="D909" s="227"/>
      <c r="E909" s="211" t="s">
        <v>1748</v>
      </c>
      <c r="F909" s="115" t="s">
        <v>1752</v>
      </c>
    </row>
    <row r="910" spans="1:6" s="74" customFormat="1" ht="15" customHeight="1" x14ac:dyDescent="0.25">
      <c r="A910" s="171"/>
      <c r="B910" s="251"/>
      <c r="C910" s="213" t="s">
        <v>685</v>
      </c>
      <c r="D910" s="143"/>
      <c r="E910" s="55" t="s">
        <v>1632</v>
      </c>
    </row>
    <row r="911" spans="1:6" s="74" customFormat="1" ht="15" customHeight="1" x14ac:dyDescent="0.25">
      <c r="A911" s="171"/>
      <c r="B911" s="251"/>
      <c r="C911" s="213" t="s">
        <v>686</v>
      </c>
      <c r="D911" s="143"/>
      <c r="E911" s="55" t="s">
        <v>1633</v>
      </c>
    </row>
    <row r="912" spans="1:6" s="115" customFormat="1" ht="15" customHeight="1" x14ac:dyDescent="0.25">
      <c r="A912" s="171"/>
      <c r="B912" s="251"/>
      <c r="C912" s="212" t="s">
        <v>1727</v>
      </c>
      <c r="D912" s="227"/>
      <c r="E912" s="211" t="s">
        <v>1749</v>
      </c>
      <c r="F912" s="115" t="s">
        <v>1753</v>
      </c>
    </row>
    <row r="913" spans="1:9" s="74" customFormat="1" ht="15" customHeight="1" x14ac:dyDescent="0.25">
      <c r="A913" s="171"/>
      <c r="B913" s="251"/>
      <c r="C913" s="213" t="s">
        <v>486</v>
      </c>
      <c r="D913" s="143"/>
      <c r="E913" s="55" t="s">
        <v>1634</v>
      </c>
    </row>
    <row r="914" spans="1:9" s="74" customFormat="1" ht="15" customHeight="1" x14ac:dyDescent="0.25">
      <c r="A914" s="171"/>
      <c r="B914" s="251"/>
      <c r="C914" s="213" t="s">
        <v>487</v>
      </c>
      <c r="D914" s="143"/>
      <c r="E914" s="55" t="s">
        <v>1635</v>
      </c>
    </row>
    <row r="915" spans="1:9" s="74" customFormat="1" ht="15" customHeight="1" x14ac:dyDescent="0.25">
      <c r="A915" s="171"/>
      <c r="B915" s="251"/>
      <c r="C915" s="213" t="s">
        <v>492</v>
      </c>
      <c r="D915" s="143"/>
      <c r="E915" s="55" t="s">
        <v>1636</v>
      </c>
    </row>
    <row r="916" spans="1:9" s="74" customFormat="1" ht="15" customHeight="1" x14ac:dyDescent="0.25">
      <c r="A916" s="171"/>
      <c r="B916" s="251"/>
      <c r="C916" s="213" t="s">
        <v>493</v>
      </c>
      <c r="D916" s="143"/>
      <c r="E916" s="55" t="s">
        <v>1637</v>
      </c>
    </row>
    <row r="917" spans="1:9" s="115" customFormat="1" ht="15" customHeight="1" x14ac:dyDescent="0.25">
      <c r="A917" s="171"/>
      <c r="B917" s="251"/>
      <c r="C917" s="212" t="s">
        <v>1728</v>
      </c>
      <c r="D917" s="227"/>
      <c r="E917" s="211" t="s">
        <v>1750</v>
      </c>
      <c r="F917" s="115" t="s">
        <v>1754</v>
      </c>
    </row>
    <row r="918" spans="1:9" s="74" customFormat="1" ht="15" customHeight="1" x14ac:dyDescent="0.25">
      <c r="A918" s="171"/>
      <c r="B918" s="251"/>
      <c r="C918" s="213" t="s">
        <v>496</v>
      </c>
      <c r="D918" s="143"/>
      <c r="E918" s="55" t="s">
        <v>1638</v>
      </c>
    </row>
    <row r="919" spans="1:9" s="74" customFormat="1" ht="15" customHeight="1" x14ac:dyDescent="0.25">
      <c r="A919" s="171"/>
      <c r="B919" s="251"/>
      <c r="C919" s="213" t="s">
        <v>497</v>
      </c>
      <c r="D919" s="143"/>
      <c r="E919" s="55" t="s">
        <v>1639</v>
      </c>
    </row>
    <row r="920" spans="1:9" s="74" customFormat="1" ht="15" customHeight="1" x14ac:dyDescent="0.25">
      <c r="A920" s="171"/>
      <c r="B920" s="251"/>
      <c r="C920" s="213" t="s">
        <v>498</v>
      </c>
      <c r="D920" s="143"/>
      <c r="E920" s="55" t="s">
        <v>1640</v>
      </c>
    </row>
    <row r="921" spans="1:9" s="74" customFormat="1" ht="15" customHeight="1" x14ac:dyDescent="0.25">
      <c r="A921" s="171"/>
      <c r="B921" s="251"/>
      <c r="C921" s="213" t="s">
        <v>499</v>
      </c>
      <c r="D921" s="143"/>
      <c r="E921" s="55" t="s">
        <v>1645</v>
      </c>
    </row>
    <row r="922" spans="1:9" s="74" customFormat="1" ht="15" customHeight="1" x14ac:dyDescent="0.25">
      <c r="A922" s="171"/>
      <c r="B922" s="251"/>
      <c r="C922" s="213" t="s">
        <v>500</v>
      </c>
      <c r="D922" s="143"/>
      <c r="E922" s="55" t="s">
        <v>1641</v>
      </c>
    </row>
    <row r="923" spans="1:9" s="74" customFormat="1" ht="15" customHeight="1" x14ac:dyDescent="0.25">
      <c r="A923" s="171"/>
      <c r="B923" s="251"/>
      <c r="C923" s="213" t="s">
        <v>501</v>
      </c>
      <c r="D923" s="143"/>
      <c r="E923" s="55" t="s">
        <v>1642</v>
      </c>
    </row>
    <row r="924" spans="1:9" s="74" customFormat="1" ht="15" customHeight="1" x14ac:dyDescent="0.25">
      <c r="A924" s="171"/>
      <c r="B924" s="251"/>
      <c r="C924" s="213" t="s">
        <v>502</v>
      </c>
      <c r="D924" s="143"/>
      <c r="E924" s="55" t="s">
        <v>1643</v>
      </c>
    </row>
    <row r="925" spans="1:9" s="74" customFormat="1" ht="15" customHeight="1" x14ac:dyDescent="0.25">
      <c r="A925" s="171"/>
      <c r="B925" s="251"/>
      <c r="C925" s="213" t="s">
        <v>503</v>
      </c>
      <c r="D925" s="143"/>
      <c r="E925" s="55" t="s">
        <v>1646</v>
      </c>
    </row>
    <row r="926" spans="1:9" s="74" customFormat="1" ht="15" customHeight="1" x14ac:dyDescent="0.25">
      <c r="A926" s="171"/>
      <c r="B926" s="251"/>
      <c r="C926" s="248" t="s">
        <v>504</v>
      </c>
      <c r="D926" s="143"/>
      <c r="E926" s="247" t="s">
        <v>1644</v>
      </c>
    </row>
    <row r="927" spans="1:9" s="74" customFormat="1" ht="15" customHeight="1" x14ac:dyDescent="0.25">
      <c r="A927" s="171"/>
      <c r="B927" s="251"/>
      <c r="C927" s="247"/>
      <c r="D927" s="143"/>
      <c r="E927" s="55"/>
    </row>
    <row r="928" spans="1:9" s="115" customFormat="1" ht="15" customHeight="1" x14ac:dyDescent="0.25">
      <c r="A928" s="171"/>
      <c r="B928" s="251"/>
      <c r="C928" s="227" t="s">
        <v>1731</v>
      </c>
      <c r="D928" s="227"/>
      <c r="E928" s="249" t="s">
        <v>1738</v>
      </c>
      <c r="F928" s="115" t="s">
        <v>1737</v>
      </c>
      <c r="I928" s="250"/>
    </row>
    <row r="929" spans="1:6" s="115" customFormat="1" ht="15" customHeight="1" x14ac:dyDescent="0.25">
      <c r="A929" s="171"/>
      <c r="B929" s="251"/>
      <c r="C929" s="227" t="s">
        <v>1732</v>
      </c>
      <c r="D929" s="227"/>
      <c r="E929" s="246" t="s">
        <v>1739</v>
      </c>
      <c r="F929" s="115" t="s">
        <v>182</v>
      </c>
    </row>
    <row r="930" spans="1:6" ht="15" customHeight="1" x14ac:dyDescent="0.25">
      <c r="A930" s="171"/>
      <c r="B930" s="251"/>
      <c r="C930" s="143" t="s">
        <v>1720</v>
      </c>
      <c r="D930" s="143"/>
      <c r="E930" s="64" t="s">
        <v>1741</v>
      </c>
      <c r="F930" s="74" t="s">
        <v>1745</v>
      </c>
    </row>
    <row r="931" spans="1:6" ht="15" customHeight="1" x14ac:dyDescent="0.25">
      <c r="A931" s="171"/>
      <c r="B931" s="251"/>
      <c r="C931" s="143" t="s">
        <v>1721</v>
      </c>
      <c r="D931" s="143"/>
      <c r="E931" s="55" t="s">
        <v>1744</v>
      </c>
      <c r="F931" s="74"/>
    </row>
    <row r="932" spans="1:6" ht="15" customHeight="1" x14ac:dyDescent="0.25">
      <c r="A932" s="172"/>
      <c r="B932" s="56" t="s">
        <v>1071</v>
      </c>
      <c r="C932" s="228"/>
      <c r="D932" s="144"/>
      <c r="E932" s="57"/>
    </row>
    <row r="933" spans="1:6" ht="15" customHeight="1" x14ac:dyDescent="0.25">
      <c r="A933" s="171" t="s">
        <v>1068</v>
      </c>
      <c r="B933" s="184" t="s">
        <v>1069</v>
      </c>
      <c r="C933" s="229" t="s">
        <v>187</v>
      </c>
      <c r="D933" s="145"/>
      <c r="E933" s="58" t="s">
        <v>188</v>
      </c>
    </row>
    <row r="934" spans="1:6" ht="15" customHeight="1" x14ac:dyDescent="0.25">
      <c r="A934" s="171"/>
      <c r="B934" s="184"/>
      <c r="C934" s="145"/>
      <c r="D934" s="145" t="s">
        <v>169</v>
      </c>
      <c r="E934" s="59" t="s">
        <v>189</v>
      </c>
    </row>
    <row r="935" spans="1:6" ht="15" customHeight="1" x14ac:dyDescent="0.25">
      <c r="A935" s="171"/>
      <c r="B935" s="184"/>
      <c r="C935" s="145"/>
      <c r="D935" s="145" t="s">
        <v>162</v>
      </c>
      <c r="E935" s="58" t="s">
        <v>190</v>
      </c>
    </row>
    <row r="936" spans="1:6" ht="15" customHeight="1" x14ac:dyDescent="0.25">
      <c r="A936" s="171"/>
      <c r="B936" s="184"/>
      <c r="C936" s="145"/>
      <c r="D936" s="145" t="s">
        <v>164</v>
      </c>
      <c r="E936" s="60" t="s">
        <v>191</v>
      </c>
    </row>
    <row r="937" spans="1:6" ht="15" customHeight="1" x14ac:dyDescent="0.25">
      <c r="A937" s="171"/>
      <c r="B937" s="184"/>
      <c r="C937" s="229" t="s">
        <v>192</v>
      </c>
      <c r="D937" s="145"/>
      <c r="E937" s="58" t="s">
        <v>193</v>
      </c>
    </row>
    <row r="938" spans="1:6" ht="15" customHeight="1" x14ac:dyDescent="0.25">
      <c r="A938" s="171"/>
      <c r="B938" s="184"/>
      <c r="C938" s="229" t="s">
        <v>194</v>
      </c>
      <c r="D938" s="145"/>
      <c r="E938" s="58" t="s">
        <v>195</v>
      </c>
    </row>
    <row r="939" spans="1:6" ht="15" customHeight="1" x14ac:dyDescent="0.25">
      <c r="A939" s="171"/>
      <c r="B939" s="184"/>
      <c r="C939" s="145" t="s">
        <v>179</v>
      </c>
      <c r="D939" s="145"/>
      <c r="E939" s="58" t="s">
        <v>196</v>
      </c>
    </row>
    <row r="940" spans="1:6" ht="15" customHeight="1" x14ac:dyDescent="0.25">
      <c r="A940" s="171"/>
      <c r="B940" s="184"/>
      <c r="C940" s="145"/>
      <c r="D940" s="145" t="s">
        <v>169</v>
      </c>
      <c r="E940" s="58" t="s">
        <v>197</v>
      </c>
    </row>
    <row r="941" spans="1:6" ht="15" customHeight="1" x14ac:dyDescent="0.25">
      <c r="A941" s="171"/>
      <c r="B941" s="184"/>
      <c r="C941" s="145"/>
      <c r="D941" s="145" t="s">
        <v>162</v>
      </c>
      <c r="E941" s="58" t="s">
        <v>163</v>
      </c>
    </row>
    <row r="942" spans="1:6" ht="15" customHeight="1" x14ac:dyDescent="0.25">
      <c r="A942" s="171"/>
      <c r="B942" s="184"/>
      <c r="C942" s="145"/>
      <c r="D942" s="145" t="s">
        <v>164</v>
      </c>
      <c r="E942" s="58" t="s">
        <v>163</v>
      </c>
    </row>
    <row r="943" spans="1:6" ht="15" customHeight="1" x14ac:dyDescent="0.25">
      <c r="A943" s="171"/>
      <c r="B943" s="184"/>
      <c r="C943" s="145" t="s">
        <v>180</v>
      </c>
      <c r="D943" s="145"/>
      <c r="E943" s="58" t="s">
        <v>198</v>
      </c>
    </row>
    <row r="944" spans="1:6" ht="15" customHeight="1" x14ac:dyDescent="0.25">
      <c r="A944" s="171"/>
      <c r="B944" s="184"/>
      <c r="C944" s="229" t="s">
        <v>199</v>
      </c>
      <c r="D944" s="145"/>
      <c r="E944" s="58" t="s">
        <v>200</v>
      </c>
    </row>
    <row r="945" spans="1:5" ht="15" customHeight="1" x14ac:dyDescent="0.25">
      <c r="A945" s="171"/>
      <c r="B945" s="184"/>
      <c r="C945" s="229" t="s">
        <v>201</v>
      </c>
      <c r="D945" s="145"/>
      <c r="E945" s="58" t="s">
        <v>202</v>
      </c>
    </row>
    <row r="946" spans="1:5" ht="15" customHeight="1" x14ac:dyDescent="0.25">
      <c r="A946" s="171"/>
      <c r="B946" s="184"/>
      <c r="C946" s="145"/>
      <c r="D946" s="145" t="s">
        <v>169</v>
      </c>
      <c r="E946" s="58" t="s">
        <v>203</v>
      </c>
    </row>
    <row r="947" spans="1:5" ht="15" customHeight="1" x14ac:dyDescent="0.25">
      <c r="A947" s="171"/>
      <c r="B947" s="184"/>
      <c r="C947" s="145"/>
      <c r="D947" s="145" t="s">
        <v>162</v>
      </c>
      <c r="E947" s="58" t="s">
        <v>204</v>
      </c>
    </row>
    <row r="948" spans="1:5" ht="15" customHeight="1" x14ac:dyDescent="0.25">
      <c r="A948" s="171"/>
      <c r="B948" s="184"/>
      <c r="C948" s="145"/>
      <c r="D948" s="145" t="s">
        <v>164</v>
      </c>
      <c r="E948" s="58" t="s">
        <v>205</v>
      </c>
    </row>
    <row r="949" spans="1:5" ht="15" customHeight="1" x14ac:dyDescent="0.25">
      <c r="A949" s="171"/>
      <c r="B949" s="184"/>
      <c r="C949" s="229" t="s">
        <v>206</v>
      </c>
      <c r="D949" s="145"/>
      <c r="E949" s="58" t="s">
        <v>207</v>
      </c>
    </row>
    <row r="950" spans="1:5" ht="15" customHeight="1" x14ac:dyDescent="0.25">
      <c r="A950" s="171"/>
      <c r="B950" s="184"/>
      <c r="C950" s="145" t="s">
        <v>183</v>
      </c>
      <c r="D950" s="145"/>
      <c r="E950" s="58" t="s">
        <v>208</v>
      </c>
    </row>
    <row r="951" spans="1:5" ht="15" customHeight="1" x14ac:dyDescent="0.25">
      <c r="A951" s="171"/>
      <c r="B951" s="184"/>
      <c r="C951" s="145"/>
      <c r="D951" s="145" t="s">
        <v>169</v>
      </c>
      <c r="E951" s="58" t="s">
        <v>209</v>
      </c>
    </row>
    <row r="952" spans="1:5" ht="15" customHeight="1" x14ac:dyDescent="0.25">
      <c r="A952" s="171"/>
      <c r="B952" s="184"/>
      <c r="C952" s="145"/>
      <c r="D952" s="145" t="s">
        <v>162</v>
      </c>
      <c r="E952" s="58" t="s">
        <v>210</v>
      </c>
    </row>
    <row r="953" spans="1:5" ht="15" customHeight="1" x14ac:dyDescent="0.25">
      <c r="A953" s="171"/>
      <c r="B953" s="184"/>
      <c r="C953" s="145"/>
      <c r="D953" s="145" t="s">
        <v>164</v>
      </c>
      <c r="E953" s="58" t="s">
        <v>211</v>
      </c>
    </row>
    <row r="954" spans="1:5" ht="15" customHeight="1" x14ac:dyDescent="0.25">
      <c r="A954" s="171"/>
      <c r="B954" s="184"/>
      <c r="C954" s="145" t="s">
        <v>184</v>
      </c>
      <c r="D954" s="145"/>
      <c r="E954" s="58" t="s">
        <v>212</v>
      </c>
    </row>
    <row r="955" spans="1:5" ht="15" customHeight="1" x14ac:dyDescent="0.25">
      <c r="A955" s="171"/>
      <c r="B955" s="184"/>
      <c r="C955" s="145"/>
      <c r="D955" s="145" t="s">
        <v>169</v>
      </c>
      <c r="E955" s="58" t="s">
        <v>213</v>
      </c>
    </row>
    <row r="956" spans="1:5" ht="15" customHeight="1" x14ac:dyDescent="0.25">
      <c r="A956" s="171"/>
      <c r="B956" s="184"/>
      <c r="C956" s="145"/>
      <c r="D956" s="145" t="s">
        <v>162</v>
      </c>
      <c r="E956" s="58" t="s">
        <v>214</v>
      </c>
    </row>
    <row r="957" spans="1:5" ht="15" customHeight="1" x14ac:dyDescent="0.25">
      <c r="A957" s="171"/>
      <c r="B957" s="184"/>
      <c r="C957" s="145"/>
      <c r="D957" s="145" t="s">
        <v>164</v>
      </c>
      <c r="E957" s="58" t="s">
        <v>215</v>
      </c>
    </row>
    <row r="958" spans="1:5" ht="15" customHeight="1" x14ac:dyDescent="0.25">
      <c r="A958" s="171"/>
      <c r="B958" s="184"/>
      <c r="C958" s="145" t="s">
        <v>185</v>
      </c>
      <c r="D958" s="145"/>
      <c r="E958" s="58" t="s">
        <v>216</v>
      </c>
    </row>
    <row r="959" spans="1:5" ht="15" customHeight="1" x14ac:dyDescent="0.25">
      <c r="A959" s="171"/>
      <c r="B959" s="184"/>
      <c r="C959" s="145"/>
      <c r="D959" s="145" t="s">
        <v>169</v>
      </c>
      <c r="E959" s="58" t="s">
        <v>217</v>
      </c>
    </row>
    <row r="960" spans="1:5" ht="15" customHeight="1" x14ac:dyDescent="0.25">
      <c r="A960" s="171"/>
      <c r="B960" s="184"/>
      <c r="C960" s="145"/>
      <c r="D960" s="145" t="s">
        <v>162</v>
      </c>
      <c r="E960" s="58" t="s">
        <v>218</v>
      </c>
    </row>
    <row r="961" spans="1:5" ht="15" customHeight="1" x14ac:dyDescent="0.25">
      <c r="A961" s="171"/>
      <c r="B961" s="184"/>
      <c r="C961" s="145"/>
      <c r="D961" s="145" t="s">
        <v>164</v>
      </c>
      <c r="E961" s="58" t="s">
        <v>219</v>
      </c>
    </row>
    <row r="962" spans="1:5" ht="15" customHeight="1" x14ac:dyDescent="0.25">
      <c r="A962" s="171"/>
      <c r="B962" s="184"/>
      <c r="C962" s="145" t="s">
        <v>181</v>
      </c>
      <c r="D962" s="145"/>
      <c r="E962" s="58" t="s">
        <v>220</v>
      </c>
    </row>
    <row r="963" spans="1:5" ht="15" customHeight="1" x14ac:dyDescent="0.25">
      <c r="A963" s="171"/>
      <c r="B963" s="184"/>
      <c r="C963" s="145"/>
      <c r="D963" s="145" t="s">
        <v>169</v>
      </c>
      <c r="E963" s="58" t="s">
        <v>221</v>
      </c>
    </row>
    <row r="964" spans="1:5" ht="15" customHeight="1" x14ac:dyDescent="0.25">
      <c r="A964" s="171"/>
      <c r="B964" s="184"/>
      <c r="C964" s="145"/>
      <c r="D964" s="145" t="s">
        <v>162</v>
      </c>
      <c r="E964" s="58" t="s">
        <v>222</v>
      </c>
    </row>
    <row r="965" spans="1:5" ht="15" customHeight="1" x14ac:dyDescent="0.25">
      <c r="A965" s="171"/>
      <c r="B965" s="184"/>
      <c r="C965" s="145"/>
      <c r="D965" s="145" t="s">
        <v>164</v>
      </c>
      <c r="E965" s="60" t="s">
        <v>223</v>
      </c>
    </row>
    <row r="966" spans="1:5" ht="15" customHeight="1" x14ac:dyDescent="0.25">
      <c r="A966" s="171"/>
      <c r="B966" s="185" t="s">
        <v>1070</v>
      </c>
      <c r="C966" s="230" t="s">
        <v>224</v>
      </c>
      <c r="D966" s="135"/>
      <c r="E966" s="48"/>
    </row>
    <row r="967" spans="1:5" ht="15" customHeight="1" x14ac:dyDescent="0.25">
      <c r="A967" s="171"/>
      <c r="B967" s="185"/>
      <c r="C967" s="230" t="s">
        <v>225</v>
      </c>
      <c r="D967" s="135"/>
      <c r="E967" s="48"/>
    </row>
    <row r="968" spans="1:5" ht="15" customHeight="1" x14ac:dyDescent="0.25">
      <c r="A968" s="171"/>
      <c r="B968" s="185"/>
      <c r="C968" s="230" t="s">
        <v>226</v>
      </c>
      <c r="D968" s="135"/>
      <c r="E968" s="48"/>
    </row>
    <row r="969" spans="1:5" ht="15" customHeight="1" x14ac:dyDescent="0.25">
      <c r="A969" s="172"/>
      <c r="B969" s="186"/>
      <c r="C969" s="231" t="s">
        <v>227</v>
      </c>
      <c r="D969" s="134"/>
      <c r="E969" s="53"/>
    </row>
    <row r="970" spans="1:5" ht="15" customHeight="1" x14ac:dyDescent="0.25">
      <c r="A970" s="188" t="s">
        <v>1052</v>
      </c>
      <c r="B970" s="174" t="s">
        <v>228</v>
      </c>
      <c r="C970" s="143" t="s">
        <v>229</v>
      </c>
      <c r="D970" s="143"/>
      <c r="E970" s="55" t="s">
        <v>230</v>
      </c>
    </row>
    <row r="971" spans="1:5" ht="15" customHeight="1" x14ac:dyDescent="0.25">
      <c r="A971" s="189"/>
      <c r="B971" s="174"/>
      <c r="C971" s="143" t="s">
        <v>231</v>
      </c>
      <c r="D971" s="143"/>
      <c r="E971" s="55" t="s">
        <v>232</v>
      </c>
    </row>
    <row r="972" spans="1:5" ht="15" customHeight="1" x14ac:dyDescent="0.25">
      <c r="A972" s="189"/>
      <c r="B972" s="174"/>
      <c r="C972" s="143" t="s">
        <v>2</v>
      </c>
      <c r="D972" s="143"/>
      <c r="E972" s="55" t="s">
        <v>233</v>
      </c>
    </row>
    <row r="973" spans="1:5" ht="15" customHeight="1" x14ac:dyDescent="0.25">
      <c r="A973" s="189"/>
      <c r="B973" s="174"/>
      <c r="C973" s="143" t="s">
        <v>234</v>
      </c>
      <c r="D973" s="143"/>
      <c r="E973" s="55" t="s">
        <v>235</v>
      </c>
    </row>
    <row r="974" spans="1:5" ht="15" customHeight="1" x14ac:dyDescent="0.25">
      <c r="A974" s="189"/>
      <c r="B974" s="174"/>
      <c r="C974" s="143" t="s">
        <v>236</v>
      </c>
      <c r="D974" s="143"/>
      <c r="E974" s="55" t="s">
        <v>237</v>
      </c>
    </row>
    <row r="975" spans="1:5" ht="15" customHeight="1" x14ac:dyDescent="0.25">
      <c r="A975" s="189"/>
      <c r="B975" s="174"/>
      <c r="C975" s="143" t="s">
        <v>3</v>
      </c>
      <c r="D975" s="143"/>
      <c r="E975" s="55" t="s">
        <v>238</v>
      </c>
    </row>
    <row r="976" spans="1:5" ht="15" customHeight="1" x14ac:dyDescent="0.25">
      <c r="A976" s="189"/>
      <c r="B976" s="174"/>
      <c r="C976" s="143" t="s">
        <v>239</v>
      </c>
      <c r="D976" s="143"/>
      <c r="E976" s="55" t="s">
        <v>240</v>
      </c>
    </row>
    <row r="977" spans="1:5" ht="15" customHeight="1" x14ac:dyDescent="0.25">
      <c r="A977" s="189"/>
      <c r="B977" s="174"/>
      <c r="C977" s="143" t="s">
        <v>241</v>
      </c>
      <c r="D977" s="143"/>
      <c r="E977" s="55" t="s">
        <v>242</v>
      </c>
    </row>
    <row r="978" spans="1:5" ht="15" customHeight="1" x14ac:dyDescent="0.25">
      <c r="A978" s="189"/>
      <c r="B978" s="174"/>
      <c r="C978" s="143" t="s">
        <v>2</v>
      </c>
      <c r="D978" s="143" t="s">
        <v>243</v>
      </c>
      <c r="E978" s="55" t="s">
        <v>244</v>
      </c>
    </row>
    <row r="979" spans="1:5" ht="15" customHeight="1" x14ac:dyDescent="0.25">
      <c r="A979" s="189"/>
      <c r="B979" s="174"/>
      <c r="C979" s="143" t="s">
        <v>3</v>
      </c>
      <c r="D979" s="143" t="s">
        <v>245</v>
      </c>
      <c r="E979" s="55" t="s">
        <v>246</v>
      </c>
    </row>
    <row r="980" spans="1:5" ht="15" customHeight="1" x14ac:dyDescent="0.25">
      <c r="A980" s="189"/>
      <c r="B980" s="174"/>
      <c r="C980" s="143" t="s">
        <v>247</v>
      </c>
      <c r="D980" s="143"/>
      <c r="E980" s="55" t="s">
        <v>248</v>
      </c>
    </row>
    <row r="981" spans="1:5" ht="15" customHeight="1" x14ac:dyDescent="0.25">
      <c r="A981" s="189"/>
      <c r="B981" s="174"/>
      <c r="C981" s="143" t="s">
        <v>249</v>
      </c>
      <c r="D981" s="143" t="s">
        <v>245</v>
      </c>
      <c r="E981" s="55" t="s">
        <v>250</v>
      </c>
    </row>
    <row r="982" spans="1:5" ht="15" customHeight="1" x14ac:dyDescent="0.25">
      <c r="A982" s="189"/>
      <c r="B982" s="174"/>
      <c r="C982" s="143" t="s">
        <v>251</v>
      </c>
      <c r="D982" s="143"/>
      <c r="E982" s="55" t="s">
        <v>252</v>
      </c>
    </row>
    <row r="983" spans="1:5" ht="15" customHeight="1" x14ac:dyDescent="0.25">
      <c r="A983" s="189"/>
      <c r="B983" s="174"/>
      <c r="C983" s="146" t="s">
        <v>2</v>
      </c>
      <c r="D983" s="146"/>
      <c r="E983" s="61" t="s">
        <v>253</v>
      </c>
    </row>
    <row r="984" spans="1:5" ht="15" customHeight="1" x14ac:dyDescent="0.25">
      <c r="A984" s="189"/>
      <c r="B984" s="174"/>
      <c r="C984" s="143" t="s">
        <v>234</v>
      </c>
      <c r="D984" s="143"/>
      <c r="E984" s="55" t="s">
        <v>254</v>
      </c>
    </row>
    <row r="985" spans="1:5" ht="15" customHeight="1" x14ac:dyDescent="0.25">
      <c r="A985" s="189"/>
      <c r="B985" s="174"/>
      <c r="C985" s="143" t="s">
        <v>236</v>
      </c>
      <c r="D985" s="143"/>
      <c r="E985" s="55" t="s">
        <v>255</v>
      </c>
    </row>
    <row r="986" spans="1:5" ht="15" customHeight="1" x14ac:dyDescent="0.25">
      <c r="A986" s="189"/>
      <c r="B986" s="174"/>
      <c r="C986" s="143" t="s">
        <v>3</v>
      </c>
      <c r="D986" s="143"/>
      <c r="E986" s="55" t="s">
        <v>256</v>
      </c>
    </row>
    <row r="987" spans="1:5" ht="15" customHeight="1" x14ac:dyDescent="0.25">
      <c r="A987" s="189"/>
      <c r="B987" s="174"/>
      <c r="C987" s="143" t="s">
        <v>247</v>
      </c>
      <c r="D987" s="143"/>
      <c r="E987" s="55" t="s">
        <v>257</v>
      </c>
    </row>
    <row r="988" spans="1:5" ht="15" customHeight="1" x14ac:dyDescent="0.25">
      <c r="A988" s="189"/>
      <c r="B988" s="174"/>
      <c r="C988" s="143" t="s">
        <v>4</v>
      </c>
      <c r="D988" s="143"/>
      <c r="E988" s="55" t="s">
        <v>258</v>
      </c>
    </row>
    <row r="989" spans="1:5" ht="15" customHeight="1" x14ac:dyDescent="0.25">
      <c r="A989" s="189"/>
      <c r="B989" s="174"/>
      <c r="C989" s="143" t="s">
        <v>5</v>
      </c>
      <c r="D989" s="143"/>
      <c r="E989" s="55" t="s">
        <v>259</v>
      </c>
    </row>
    <row r="990" spans="1:5" ht="15" customHeight="1" x14ac:dyDescent="0.25">
      <c r="A990" s="189"/>
      <c r="B990" s="174"/>
      <c r="C990" s="143" t="s">
        <v>2</v>
      </c>
      <c r="D990" s="143" t="s">
        <v>243</v>
      </c>
      <c r="E990" s="55" t="s">
        <v>260</v>
      </c>
    </row>
    <row r="991" spans="1:5" ht="15" customHeight="1" x14ac:dyDescent="0.25">
      <c r="A991" s="189"/>
      <c r="B991" s="174"/>
      <c r="C991" s="143" t="s">
        <v>3</v>
      </c>
      <c r="D991" s="143" t="s">
        <v>245</v>
      </c>
      <c r="E991" s="55" t="s">
        <v>261</v>
      </c>
    </row>
    <row r="992" spans="1:5" ht="15" customHeight="1" x14ac:dyDescent="0.25">
      <c r="A992" s="189"/>
      <c r="B992" s="174"/>
      <c r="C992" s="143" t="s">
        <v>249</v>
      </c>
      <c r="D992" s="143" t="s">
        <v>245</v>
      </c>
      <c r="E992" s="55" t="s">
        <v>262</v>
      </c>
    </row>
    <row r="993" spans="1:5" ht="15" customHeight="1" x14ac:dyDescent="0.25">
      <c r="A993" s="189"/>
      <c r="B993" s="174"/>
      <c r="C993" s="147" t="s">
        <v>251</v>
      </c>
      <c r="D993" s="147"/>
      <c r="E993" s="62" t="s">
        <v>263</v>
      </c>
    </row>
    <row r="994" spans="1:5" ht="15" customHeight="1" x14ac:dyDescent="0.25">
      <c r="A994" s="189"/>
      <c r="B994" s="174"/>
      <c r="C994" s="143" t="s">
        <v>264</v>
      </c>
      <c r="D994" s="146"/>
      <c r="E994" s="61" t="s">
        <v>265</v>
      </c>
    </row>
    <row r="995" spans="1:5" ht="15" customHeight="1" x14ac:dyDescent="0.25">
      <c r="A995" s="189"/>
      <c r="B995" s="174"/>
      <c r="C995" s="143" t="s">
        <v>266</v>
      </c>
      <c r="D995" s="143"/>
      <c r="E995" s="55" t="s">
        <v>267</v>
      </c>
    </row>
    <row r="996" spans="1:5" ht="15" customHeight="1" x14ac:dyDescent="0.25">
      <c r="A996" s="189"/>
      <c r="B996" s="174"/>
      <c r="C996" s="143" t="s">
        <v>268</v>
      </c>
      <c r="D996" s="143"/>
      <c r="E996" s="55" t="s">
        <v>269</v>
      </c>
    </row>
    <row r="997" spans="1:5" ht="15" customHeight="1" x14ac:dyDescent="0.25">
      <c r="A997" s="189"/>
      <c r="B997" s="174"/>
      <c r="C997" s="143" t="s">
        <v>270</v>
      </c>
      <c r="D997" s="143"/>
      <c r="E997" s="55" t="s">
        <v>271</v>
      </c>
    </row>
    <row r="998" spans="1:5" ht="15" customHeight="1" x14ac:dyDescent="0.25">
      <c r="A998" s="189"/>
      <c r="B998" s="174"/>
      <c r="C998" s="143" t="s">
        <v>272</v>
      </c>
      <c r="D998" s="147"/>
      <c r="E998" s="62" t="s">
        <v>273</v>
      </c>
    </row>
    <row r="999" spans="1:5" ht="15" customHeight="1" x14ac:dyDescent="0.25">
      <c r="A999" s="189"/>
      <c r="B999" s="174"/>
      <c r="C999" s="146" t="s">
        <v>274</v>
      </c>
      <c r="D999" s="146"/>
      <c r="E999" s="61" t="s">
        <v>275</v>
      </c>
    </row>
    <row r="1000" spans="1:5" ht="15" customHeight="1" x14ac:dyDescent="0.25">
      <c r="A1000" s="189"/>
      <c r="B1000" s="174"/>
      <c r="C1000" s="143" t="s">
        <v>276</v>
      </c>
      <c r="D1000" s="143"/>
      <c r="E1000" s="55" t="s">
        <v>277</v>
      </c>
    </row>
    <row r="1001" spans="1:5" ht="15" customHeight="1" x14ac:dyDescent="0.25">
      <c r="A1001" s="189"/>
      <c r="B1001" s="174"/>
      <c r="C1001" s="143" t="s">
        <v>7</v>
      </c>
      <c r="D1001" s="143"/>
      <c r="E1001" s="55" t="s">
        <v>278</v>
      </c>
    </row>
    <row r="1002" spans="1:5" ht="15" customHeight="1" x14ac:dyDescent="0.25">
      <c r="A1002" s="189"/>
      <c r="B1002" s="174"/>
      <c r="C1002" s="147" t="s">
        <v>8</v>
      </c>
      <c r="D1002" s="147"/>
      <c r="E1002" s="62" t="s">
        <v>279</v>
      </c>
    </row>
    <row r="1003" spans="1:5" ht="15" customHeight="1" x14ac:dyDescent="0.25">
      <c r="A1003" s="189"/>
      <c r="B1003" s="174"/>
      <c r="C1003" s="146" t="s">
        <v>280</v>
      </c>
      <c r="D1003" s="146"/>
      <c r="E1003" s="61" t="s">
        <v>281</v>
      </c>
    </row>
    <row r="1004" spans="1:5" ht="15" customHeight="1" x14ac:dyDescent="0.25">
      <c r="A1004" s="189"/>
      <c r="B1004" s="174"/>
      <c r="C1004" s="143" t="s">
        <v>282</v>
      </c>
      <c r="D1004" s="143"/>
      <c r="E1004" s="55" t="s">
        <v>283</v>
      </c>
    </row>
    <row r="1005" spans="1:5" ht="15" customHeight="1" x14ac:dyDescent="0.25">
      <c r="A1005" s="189"/>
      <c r="B1005" s="174"/>
      <c r="C1005" s="143" t="s">
        <v>284</v>
      </c>
      <c r="D1005" s="143"/>
      <c r="E1005" s="55" t="s">
        <v>285</v>
      </c>
    </row>
    <row r="1006" spans="1:5" ht="15" customHeight="1" x14ac:dyDescent="0.25">
      <c r="A1006" s="189"/>
      <c r="B1006" s="174"/>
      <c r="C1006" s="143" t="s">
        <v>286</v>
      </c>
      <c r="D1006" s="143"/>
      <c r="E1006" s="55" t="s">
        <v>287</v>
      </c>
    </row>
    <row r="1007" spans="1:5" ht="15" customHeight="1" x14ac:dyDescent="0.25">
      <c r="A1007" s="189"/>
      <c r="B1007" s="174"/>
      <c r="C1007" s="143" t="s">
        <v>288</v>
      </c>
      <c r="D1007" s="143"/>
      <c r="E1007" s="55" t="s">
        <v>289</v>
      </c>
    </row>
    <row r="1008" spans="1:5" ht="15" customHeight="1" x14ac:dyDescent="0.25">
      <c r="A1008" s="189"/>
      <c r="B1008" s="174"/>
      <c r="C1008" s="143" t="s">
        <v>290</v>
      </c>
      <c r="D1008" s="143"/>
      <c r="E1008" s="55" t="s">
        <v>291</v>
      </c>
    </row>
    <row r="1009" spans="1:5" ht="15" customHeight="1" x14ac:dyDescent="0.25">
      <c r="A1009" s="189"/>
      <c r="B1009" s="174"/>
      <c r="C1009" s="143" t="s">
        <v>292</v>
      </c>
      <c r="D1009" s="147"/>
      <c r="E1009" s="62" t="s">
        <v>293</v>
      </c>
    </row>
    <row r="1010" spans="1:5" ht="15" customHeight="1" x14ac:dyDescent="0.25">
      <c r="A1010" s="189"/>
      <c r="B1010" s="174"/>
      <c r="C1010" s="146" t="s">
        <v>294</v>
      </c>
      <c r="D1010" s="146"/>
      <c r="E1010" s="55" t="s">
        <v>295</v>
      </c>
    </row>
    <row r="1011" spans="1:5" ht="15" customHeight="1" x14ac:dyDescent="0.25">
      <c r="A1011" s="189"/>
      <c r="B1011" s="174"/>
      <c r="C1011" s="143" t="s">
        <v>296</v>
      </c>
      <c r="D1011" s="143"/>
      <c r="E1011" s="55" t="s">
        <v>297</v>
      </c>
    </row>
    <row r="1012" spans="1:5" ht="15" customHeight="1" x14ac:dyDescent="0.25">
      <c r="A1012" s="189"/>
      <c r="B1012" s="174"/>
      <c r="C1012" s="143" t="s">
        <v>298</v>
      </c>
      <c r="D1012" s="143"/>
      <c r="E1012" s="55" t="s">
        <v>299</v>
      </c>
    </row>
    <row r="1013" spans="1:5" ht="15" customHeight="1" x14ac:dyDescent="0.25">
      <c r="A1013" s="189"/>
      <c r="B1013" s="174"/>
      <c r="C1013" s="143" t="s">
        <v>300</v>
      </c>
      <c r="D1013" s="143"/>
      <c r="E1013" s="55" t="s">
        <v>301</v>
      </c>
    </row>
    <row r="1014" spans="1:5" ht="15" customHeight="1" x14ac:dyDescent="0.25">
      <c r="A1014" s="189"/>
      <c r="B1014" s="174"/>
      <c r="C1014" s="143" t="s">
        <v>302</v>
      </c>
      <c r="D1014" s="143"/>
      <c r="E1014" s="55" t="s">
        <v>303</v>
      </c>
    </row>
    <row r="1015" spans="1:5" ht="15" customHeight="1" x14ac:dyDescent="0.25">
      <c r="A1015" s="189"/>
      <c r="B1015" s="187" t="s">
        <v>304</v>
      </c>
      <c r="C1015" s="232" t="s">
        <v>229</v>
      </c>
      <c r="D1015" s="148"/>
      <c r="E1015" s="63" t="s">
        <v>305</v>
      </c>
    </row>
    <row r="1016" spans="1:5" ht="15" customHeight="1" x14ac:dyDescent="0.25">
      <c r="A1016" s="189"/>
      <c r="B1016" s="187"/>
      <c r="C1016" s="232" t="s">
        <v>306</v>
      </c>
      <c r="D1016" s="148"/>
      <c r="E1016" s="63" t="s">
        <v>307</v>
      </c>
    </row>
    <row r="1017" spans="1:5" ht="15" customHeight="1" x14ac:dyDescent="0.25">
      <c r="A1017" s="189"/>
      <c r="B1017" s="187"/>
      <c r="C1017" s="232" t="s">
        <v>236</v>
      </c>
      <c r="D1017" s="148"/>
      <c r="E1017" s="63" t="s">
        <v>308</v>
      </c>
    </row>
    <row r="1018" spans="1:5" ht="15" customHeight="1" x14ac:dyDescent="0.25">
      <c r="A1018" s="189"/>
      <c r="B1018" s="187"/>
      <c r="C1018" s="232" t="s">
        <v>309</v>
      </c>
      <c r="D1018" s="148"/>
      <c r="E1018" s="63" t="s">
        <v>310</v>
      </c>
    </row>
    <row r="1019" spans="1:5" ht="15" customHeight="1" x14ac:dyDescent="0.25">
      <c r="A1019" s="189"/>
      <c r="B1019" s="187"/>
      <c r="C1019" s="232" t="s">
        <v>311</v>
      </c>
      <c r="D1019" s="148"/>
      <c r="E1019" s="63" t="s">
        <v>312</v>
      </c>
    </row>
    <row r="1020" spans="1:5" ht="15" customHeight="1" x14ac:dyDescent="0.25">
      <c r="A1020" s="189"/>
      <c r="B1020" s="187"/>
      <c r="C1020" s="232" t="s">
        <v>302</v>
      </c>
      <c r="D1020" s="148"/>
      <c r="E1020" s="63" t="s">
        <v>313</v>
      </c>
    </row>
    <row r="1021" spans="1:5" ht="15" customHeight="1" x14ac:dyDescent="0.25">
      <c r="A1021" s="189"/>
      <c r="B1021" s="194" t="s">
        <v>314</v>
      </c>
      <c r="C1021" s="233"/>
      <c r="D1021" s="149"/>
      <c r="E1021" s="64" t="s">
        <v>315</v>
      </c>
    </row>
    <row r="1022" spans="1:5" ht="15" customHeight="1" x14ac:dyDescent="0.25">
      <c r="A1022" s="189"/>
      <c r="B1022" s="195"/>
      <c r="C1022" s="233"/>
      <c r="D1022" s="149"/>
      <c r="E1022" s="64" t="s">
        <v>316</v>
      </c>
    </row>
    <row r="1023" spans="1:5" ht="15" customHeight="1" x14ac:dyDescent="0.3">
      <c r="A1023" s="189"/>
      <c r="B1023" s="65" t="s">
        <v>317</v>
      </c>
      <c r="C1023" s="234" t="s">
        <v>318</v>
      </c>
      <c r="D1023" s="150"/>
      <c r="E1023" s="66" t="s">
        <v>319</v>
      </c>
    </row>
    <row r="1024" spans="1:5" ht="15" customHeight="1" x14ac:dyDescent="0.25">
      <c r="A1024" s="189"/>
      <c r="B1024" s="196" t="s">
        <v>178</v>
      </c>
      <c r="C1024" s="235" t="s">
        <v>320</v>
      </c>
      <c r="D1024" s="151"/>
      <c r="E1024" s="67" t="s">
        <v>321</v>
      </c>
    </row>
    <row r="1025" spans="1:5" ht="15" customHeight="1" x14ac:dyDescent="0.25">
      <c r="A1025" s="189"/>
      <c r="B1025" s="196"/>
      <c r="C1025" s="236" t="s">
        <v>322</v>
      </c>
      <c r="D1025" s="151"/>
      <c r="E1025" s="67" t="s">
        <v>323</v>
      </c>
    </row>
    <row r="1026" spans="1:5" ht="15" customHeight="1" x14ac:dyDescent="0.25">
      <c r="A1026" s="189"/>
      <c r="B1026" s="196"/>
      <c r="C1026" s="236" t="s">
        <v>324</v>
      </c>
      <c r="D1026" s="151"/>
      <c r="E1026" s="68" t="s">
        <v>325</v>
      </c>
    </row>
    <row r="1027" spans="1:5" ht="15" customHeight="1" x14ac:dyDescent="0.25">
      <c r="A1027" s="189"/>
      <c r="B1027" s="196"/>
      <c r="C1027" s="236" t="s">
        <v>326</v>
      </c>
      <c r="D1027" s="151"/>
      <c r="E1027" s="67" t="s">
        <v>327</v>
      </c>
    </row>
    <row r="1028" spans="1:5" ht="15" customHeight="1" x14ac:dyDescent="0.25">
      <c r="A1028" s="189"/>
      <c r="B1028" s="196"/>
      <c r="C1028" s="236" t="s">
        <v>328</v>
      </c>
      <c r="D1028" s="151"/>
      <c r="E1028" s="69" t="s">
        <v>329</v>
      </c>
    </row>
    <row r="1029" spans="1:5" ht="15" customHeight="1" x14ac:dyDescent="0.25">
      <c r="A1029" s="189"/>
      <c r="B1029" s="196"/>
      <c r="C1029" s="236" t="s">
        <v>330</v>
      </c>
      <c r="D1029" s="151"/>
      <c r="E1029" s="70" t="s">
        <v>331</v>
      </c>
    </row>
    <row r="1030" spans="1:5" ht="15" customHeight="1" x14ac:dyDescent="0.25">
      <c r="A1030" s="189"/>
      <c r="B1030" s="196"/>
      <c r="C1030" s="236" t="s">
        <v>332</v>
      </c>
      <c r="D1030" s="151"/>
      <c r="E1030" s="70" t="s">
        <v>333</v>
      </c>
    </row>
    <row r="1031" spans="1:5" ht="15" customHeight="1" x14ac:dyDescent="0.25">
      <c r="A1031" s="189"/>
      <c r="B1031" s="196"/>
      <c r="C1031" s="236" t="s">
        <v>334</v>
      </c>
      <c r="D1031" s="151"/>
      <c r="E1031" s="69" t="s">
        <v>335</v>
      </c>
    </row>
    <row r="1032" spans="1:5" ht="15" customHeight="1" x14ac:dyDescent="0.25">
      <c r="A1032" s="189"/>
      <c r="B1032" s="196"/>
      <c r="C1032" s="236" t="s">
        <v>336</v>
      </c>
      <c r="D1032" s="151"/>
      <c r="E1032" s="69" t="s">
        <v>337</v>
      </c>
    </row>
    <row r="1033" spans="1:5" ht="15" customHeight="1" x14ac:dyDescent="0.25">
      <c r="A1033" s="189"/>
      <c r="B1033" s="196"/>
      <c r="C1033" s="236" t="s">
        <v>338</v>
      </c>
      <c r="D1033" s="151"/>
      <c r="E1033" s="70" t="s">
        <v>339</v>
      </c>
    </row>
    <row r="1034" spans="1:5" ht="15" customHeight="1" x14ac:dyDescent="0.25">
      <c r="A1034" s="189"/>
      <c r="B1034" s="196"/>
      <c r="C1034" s="235" t="s">
        <v>340</v>
      </c>
      <c r="D1034" s="152" t="s">
        <v>341</v>
      </c>
      <c r="E1034" s="69" t="s">
        <v>342</v>
      </c>
    </row>
    <row r="1035" spans="1:5" ht="15" customHeight="1" x14ac:dyDescent="0.25">
      <c r="A1035" s="189"/>
      <c r="B1035" s="196"/>
      <c r="C1035" s="236" t="s">
        <v>343</v>
      </c>
      <c r="D1035" s="151"/>
      <c r="E1035" s="67" t="s">
        <v>344</v>
      </c>
    </row>
    <row r="1036" spans="1:5" ht="15" customHeight="1" x14ac:dyDescent="0.25">
      <c r="A1036" s="189"/>
      <c r="B1036" s="196"/>
      <c r="C1036" s="236" t="s">
        <v>345</v>
      </c>
      <c r="D1036" s="151"/>
      <c r="E1036" s="67" t="s">
        <v>346</v>
      </c>
    </row>
    <row r="1037" spans="1:5" ht="15" customHeight="1" x14ac:dyDescent="0.25">
      <c r="A1037" s="189"/>
      <c r="B1037" s="196"/>
      <c r="C1037" s="236" t="s">
        <v>347</v>
      </c>
      <c r="D1037" s="151"/>
      <c r="E1037" s="67" t="s">
        <v>348</v>
      </c>
    </row>
    <row r="1038" spans="1:5" ht="15" customHeight="1" x14ac:dyDescent="0.25">
      <c r="A1038" s="189"/>
      <c r="B1038" s="196"/>
      <c r="C1038" s="235" t="s">
        <v>349</v>
      </c>
      <c r="D1038" s="152" t="s">
        <v>341</v>
      </c>
      <c r="E1038" s="67" t="s">
        <v>350</v>
      </c>
    </row>
    <row r="1039" spans="1:5" s="115" customFormat="1" ht="15" customHeight="1" x14ac:dyDescent="0.25">
      <c r="A1039" s="189"/>
      <c r="B1039" s="197" t="s">
        <v>1054</v>
      </c>
      <c r="C1039" s="92" t="s">
        <v>816</v>
      </c>
      <c r="D1039" s="162"/>
      <c r="E1039" s="95" t="s">
        <v>817</v>
      </c>
    </row>
    <row r="1040" spans="1:5" s="115" customFormat="1" ht="15" customHeight="1" x14ac:dyDescent="0.25">
      <c r="A1040" s="189"/>
      <c r="B1040" s="198"/>
      <c r="C1040" s="92" t="s">
        <v>818</v>
      </c>
      <c r="D1040" s="162"/>
      <c r="E1040" s="95" t="s">
        <v>823</v>
      </c>
    </row>
    <row r="1041" spans="1:5" s="74" customFormat="1" ht="15" customHeight="1" x14ac:dyDescent="0.25">
      <c r="A1041" s="189"/>
      <c r="B1041" s="198"/>
      <c r="C1041" s="214" t="s">
        <v>803</v>
      </c>
      <c r="D1041" s="118"/>
      <c r="E1041" s="82" t="s">
        <v>829</v>
      </c>
    </row>
    <row r="1042" spans="1:5" s="74" customFormat="1" ht="15" customHeight="1" x14ac:dyDescent="0.25">
      <c r="A1042" s="189"/>
      <c r="B1042" s="198"/>
      <c r="C1042" s="214" t="s">
        <v>804</v>
      </c>
      <c r="D1042" s="118"/>
      <c r="E1042" s="82" t="s">
        <v>830</v>
      </c>
    </row>
    <row r="1043" spans="1:5" s="115" customFormat="1" ht="15" customHeight="1" x14ac:dyDescent="0.25">
      <c r="A1043" s="189"/>
      <c r="B1043" s="198"/>
      <c r="C1043" s="92" t="s">
        <v>819</v>
      </c>
      <c r="D1043" s="162"/>
      <c r="E1043" s="95" t="s">
        <v>824</v>
      </c>
    </row>
    <row r="1044" spans="1:5" s="74" customFormat="1" ht="15" customHeight="1" x14ac:dyDescent="0.25">
      <c r="A1044" s="189"/>
      <c r="B1044" s="198"/>
      <c r="C1044" s="214" t="s">
        <v>805</v>
      </c>
      <c r="D1044" s="118"/>
      <c r="E1044" s="82" t="s">
        <v>831</v>
      </c>
    </row>
    <row r="1045" spans="1:5" s="74" customFormat="1" ht="15" customHeight="1" x14ac:dyDescent="0.25">
      <c r="A1045" s="189"/>
      <c r="B1045" s="198"/>
      <c r="C1045" s="214" t="s">
        <v>806</v>
      </c>
      <c r="D1045" s="118"/>
      <c r="E1045" s="82" t="s">
        <v>832</v>
      </c>
    </row>
    <row r="1046" spans="1:5" s="74" customFormat="1" ht="15" customHeight="1" x14ac:dyDescent="0.25">
      <c r="A1046" s="189"/>
      <c r="B1046" s="198"/>
      <c r="C1046" s="214" t="s">
        <v>807</v>
      </c>
      <c r="D1046" s="118"/>
      <c r="E1046" s="82" t="s">
        <v>833</v>
      </c>
    </row>
    <row r="1047" spans="1:5" s="74" customFormat="1" ht="15" customHeight="1" x14ac:dyDescent="0.25">
      <c r="A1047" s="189"/>
      <c r="B1047" s="198"/>
      <c r="C1047" s="214" t="s">
        <v>808</v>
      </c>
      <c r="D1047" s="118"/>
      <c r="E1047" s="82" t="s">
        <v>834</v>
      </c>
    </row>
    <row r="1048" spans="1:5" s="74" customFormat="1" ht="15" customHeight="1" x14ac:dyDescent="0.25">
      <c r="A1048" s="189"/>
      <c r="B1048" s="198"/>
      <c r="C1048" s="214" t="s">
        <v>809</v>
      </c>
      <c r="D1048" s="118"/>
      <c r="E1048" s="82" t="s">
        <v>835</v>
      </c>
    </row>
    <row r="1049" spans="1:5" s="74" customFormat="1" ht="15" customHeight="1" x14ac:dyDescent="0.25">
      <c r="A1049" s="189"/>
      <c r="B1049" s="198"/>
      <c r="C1049" s="214" t="s">
        <v>810</v>
      </c>
      <c r="D1049" s="118"/>
      <c r="E1049" s="82" t="s">
        <v>836</v>
      </c>
    </row>
    <row r="1050" spans="1:5" s="74" customFormat="1" ht="15" customHeight="1" x14ac:dyDescent="0.25">
      <c r="A1050" s="189"/>
      <c r="B1050" s="198"/>
      <c r="C1050" s="214" t="s">
        <v>811</v>
      </c>
      <c r="D1050" s="118"/>
      <c r="E1050" s="82" t="s">
        <v>837</v>
      </c>
    </row>
    <row r="1051" spans="1:5" s="74" customFormat="1" ht="15" customHeight="1" x14ac:dyDescent="0.25">
      <c r="A1051" s="189"/>
      <c r="B1051" s="198"/>
      <c r="C1051" s="214" t="s">
        <v>812</v>
      </c>
      <c r="D1051" s="118"/>
      <c r="E1051" s="82" t="s">
        <v>838</v>
      </c>
    </row>
    <row r="1052" spans="1:5" s="74" customFormat="1" ht="15" customHeight="1" x14ac:dyDescent="0.25">
      <c r="A1052" s="189"/>
      <c r="B1052" s="198"/>
      <c r="C1052" s="214" t="s">
        <v>813</v>
      </c>
      <c r="D1052" s="118"/>
      <c r="E1052" s="82" t="s">
        <v>839</v>
      </c>
    </row>
    <row r="1053" spans="1:5" s="74" customFormat="1" ht="15" customHeight="1" x14ac:dyDescent="0.25">
      <c r="A1053" s="189"/>
      <c r="B1053" s="198"/>
      <c r="C1053" s="214" t="s">
        <v>814</v>
      </c>
      <c r="D1053" s="118"/>
      <c r="E1053" s="82" t="s">
        <v>840</v>
      </c>
    </row>
    <row r="1054" spans="1:5" s="74" customFormat="1" ht="15" customHeight="1" x14ac:dyDescent="0.25">
      <c r="A1054" s="189"/>
      <c r="B1054" s="198"/>
      <c r="C1054" s="214" t="s">
        <v>815</v>
      </c>
      <c r="D1054" s="118"/>
      <c r="E1054" s="82" t="s">
        <v>841</v>
      </c>
    </row>
    <row r="1055" spans="1:5" s="115" customFormat="1" ht="15" customHeight="1" x14ac:dyDescent="0.25">
      <c r="A1055" s="189"/>
      <c r="B1055" s="198"/>
      <c r="C1055" s="92" t="s">
        <v>820</v>
      </c>
      <c r="D1055" s="162"/>
      <c r="E1055" s="95" t="s">
        <v>825</v>
      </c>
    </row>
    <row r="1056" spans="1:5" s="74" customFormat="1" ht="15" customHeight="1" x14ac:dyDescent="0.25">
      <c r="A1056" s="189"/>
      <c r="B1056" s="198"/>
      <c r="C1056" s="214" t="s">
        <v>681</v>
      </c>
      <c r="D1056" s="118"/>
      <c r="E1056" s="82" t="s">
        <v>842</v>
      </c>
    </row>
    <row r="1057" spans="1:5" s="74" customFormat="1" ht="15" customHeight="1" x14ac:dyDescent="0.25">
      <c r="A1057" s="189"/>
      <c r="B1057" s="198"/>
      <c r="C1057" s="214" t="s">
        <v>682</v>
      </c>
      <c r="D1057" s="118"/>
      <c r="E1057" s="82" t="s">
        <v>843</v>
      </c>
    </row>
    <row r="1058" spans="1:5" s="74" customFormat="1" ht="15" customHeight="1" x14ac:dyDescent="0.25">
      <c r="A1058" s="189"/>
      <c r="B1058" s="198"/>
      <c r="C1058" s="214" t="s">
        <v>683</v>
      </c>
      <c r="D1058" s="118"/>
      <c r="E1058" s="82" t="s">
        <v>844</v>
      </c>
    </row>
    <row r="1059" spans="1:5" s="74" customFormat="1" ht="15" customHeight="1" x14ac:dyDescent="0.25">
      <c r="A1059" s="189"/>
      <c r="B1059" s="198"/>
      <c r="C1059" s="214" t="s">
        <v>684</v>
      </c>
      <c r="D1059" s="118"/>
      <c r="E1059" s="82" t="s">
        <v>845</v>
      </c>
    </row>
    <row r="1060" spans="1:5" s="115" customFormat="1" ht="15" customHeight="1" x14ac:dyDescent="0.25">
      <c r="A1060" s="189"/>
      <c r="B1060" s="198"/>
      <c r="C1060" s="92" t="s">
        <v>821</v>
      </c>
      <c r="D1060" s="162"/>
      <c r="E1060" s="95" t="s">
        <v>826</v>
      </c>
    </row>
    <row r="1061" spans="1:5" s="74" customFormat="1" ht="15" customHeight="1" x14ac:dyDescent="0.25">
      <c r="A1061" s="189"/>
      <c r="B1061" s="198"/>
      <c r="C1061" s="214" t="s">
        <v>685</v>
      </c>
      <c r="D1061" s="118"/>
      <c r="E1061" s="82" t="s">
        <v>846</v>
      </c>
    </row>
    <row r="1062" spans="1:5" s="74" customFormat="1" ht="15" customHeight="1" x14ac:dyDescent="0.25">
      <c r="A1062" s="189"/>
      <c r="B1062" s="198"/>
      <c r="C1062" s="214" t="s">
        <v>686</v>
      </c>
      <c r="D1062" s="118"/>
      <c r="E1062" s="82" t="s">
        <v>847</v>
      </c>
    </row>
    <row r="1063" spans="1:5" s="115" customFormat="1" ht="15" customHeight="1" x14ac:dyDescent="0.25">
      <c r="A1063" s="189"/>
      <c r="B1063" s="198"/>
      <c r="C1063" s="92" t="s">
        <v>822</v>
      </c>
      <c r="D1063" s="162"/>
      <c r="E1063" s="95" t="s">
        <v>827</v>
      </c>
    </row>
    <row r="1064" spans="1:5" s="74" customFormat="1" ht="15" customHeight="1" x14ac:dyDescent="0.25">
      <c r="A1064" s="189"/>
      <c r="B1064" s="198"/>
      <c r="C1064" s="214" t="s">
        <v>486</v>
      </c>
      <c r="D1064" s="118"/>
      <c r="E1064" s="82" t="s">
        <v>848</v>
      </c>
    </row>
    <row r="1065" spans="1:5" s="74" customFormat="1" ht="15" customHeight="1" x14ac:dyDescent="0.25">
      <c r="A1065" s="189"/>
      <c r="B1065" s="198"/>
      <c r="C1065" s="214" t="s">
        <v>487</v>
      </c>
      <c r="D1065" s="118"/>
      <c r="E1065" s="82" t="s">
        <v>849</v>
      </c>
    </row>
    <row r="1066" spans="1:5" s="74" customFormat="1" ht="15" customHeight="1" x14ac:dyDescent="0.25">
      <c r="A1066" s="189"/>
      <c r="B1066" s="198"/>
      <c r="C1066" s="214" t="s">
        <v>492</v>
      </c>
      <c r="D1066" s="118"/>
      <c r="E1066" s="82" t="s">
        <v>850</v>
      </c>
    </row>
    <row r="1067" spans="1:5" s="74" customFormat="1" ht="15" customHeight="1" x14ac:dyDescent="0.25">
      <c r="A1067" s="189"/>
      <c r="B1067" s="198"/>
      <c r="C1067" s="214" t="s">
        <v>493</v>
      </c>
      <c r="D1067" s="118"/>
      <c r="E1067" s="82" t="s">
        <v>851</v>
      </c>
    </row>
    <row r="1068" spans="1:5" s="115" customFormat="1" ht="15" customHeight="1" x14ac:dyDescent="0.25">
      <c r="A1068" s="189"/>
      <c r="B1068" s="198"/>
      <c r="C1068" s="92" t="s">
        <v>586</v>
      </c>
      <c r="D1068" s="162"/>
      <c r="E1068" s="95" t="s">
        <v>828</v>
      </c>
    </row>
    <row r="1069" spans="1:5" s="74" customFormat="1" ht="15" customHeight="1" x14ac:dyDescent="0.25">
      <c r="A1069" s="189"/>
      <c r="B1069" s="198"/>
      <c r="C1069" s="214" t="s">
        <v>496</v>
      </c>
      <c r="D1069" s="118"/>
      <c r="E1069" s="82" t="s">
        <v>852</v>
      </c>
    </row>
    <row r="1070" spans="1:5" s="74" customFormat="1" ht="15" customHeight="1" x14ac:dyDescent="0.25">
      <c r="A1070" s="189"/>
      <c r="B1070" s="198"/>
      <c r="C1070" s="214" t="s">
        <v>497</v>
      </c>
      <c r="D1070" s="118"/>
      <c r="E1070" s="82" t="s">
        <v>853</v>
      </c>
    </row>
    <row r="1071" spans="1:5" s="74" customFormat="1" ht="15" customHeight="1" x14ac:dyDescent="0.25">
      <c r="A1071" s="189"/>
      <c r="B1071" s="198"/>
      <c r="C1071" s="214" t="s">
        <v>498</v>
      </c>
      <c r="D1071" s="118"/>
      <c r="E1071" s="82" t="s">
        <v>854</v>
      </c>
    </row>
    <row r="1072" spans="1:5" s="74" customFormat="1" ht="15" customHeight="1" x14ac:dyDescent="0.25">
      <c r="A1072" s="189"/>
      <c r="B1072" s="198"/>
      <c r="C1072" s="214" t="s">
        <v>499</v>
      </c>
      <c r="D1072" s="118"/>
      <c r="E1072" s="82" t="s">
        <v>855</v>
      </c>
    </row>
    <row r="1073" spans="1:5" s="74" customFormat="1" ht="15" customHeight="1" x14ac:dyDescent="0.25">
      <c r="A1073" s="189"/>
      <c r="B1073" s="198"/>
      <c r="C1073" s="214" t="s">
        <v>500</v>
      </c>
      <c r="D1073" s="118"/>
      <c r="E1073" s="82" t="s">
        <v>856</v>
      </c>
    </row>
    <row r="1074" spans="1:5" s="74" customFormat="1" ht="15" customHeight="1" x14ac:dyDescent="0.25">
      <c r="A1074" s="189"/>
      <c r="B1074" s="198"/>
      <c r="C1074" s="214" t="s">
        <v>501</v>
      </c>
      <c r="D1074" s="118"/>
      <c r="E1074" s="82" t="s">
        <v>857</v>
      </c>
    </row>
    <row r="1075" spans="1:5" s="74" customFormat="1" ht="15" customHeight="1" x14ac:dyDescent="0.25">
      <c r="A1075" s="189"/>
      <c r="B1075" s="198"/>
      <c r="C1075" s="214" t="s">
        <v>502</v>
      </c>
      <c r="D1075" s="118"/>
      <c r="E1075" s="82" t="s">
        <v>858</v>
      </c>
    </row>
    <row r="1076" spans="1:5" s="74" customFormat="1" ht="15" customHeight="1" x14ac:dyDescent="0.25">
      <c r="A1076" s="189"/>
      <c r="B1076" s="198"/>
      <c r="C1076" s="214" t="s">
        <v>503</v>
      </c>
      <c r="D1076" s="118"/>
      <c r="E1076" s="82" t="s">
        <v>859</v>
      </c>
    </row>
    <row r="1077" spans="1:5" s="74" customFormat="1" ht="15" customHeight="1" x14ac:dyDescent="0.25">
      <c r="A1077" s="189"/>
      <c r="B1077" s="198"/>
      <c r="C1077" s="124" t="s">
        <v>504</v>
      </c>
      <c r="D1077" s="119"/>
      <c r="E1077" s="102" t="s">
        <v>860</v>
      </c>
    </row>
    <row r="1078" spans="1:5" s="115" customFormat="1" ht="15" customHeight="1" x14ac:dyDescent="0.25">
      <c r="A1078" s="189"/>
      <c r="B1078" s="198"/>
      <c r="C1078" s="92" t="s">
        <v>861</v>
      </c>
      <c r="D1078" s="162"/>
      <c r="E1078" s="95" t="s">
        <v>817</v>
      </c>
    </row>
    <row r="1079" spans="1:5" s="115" customFormat="1" ht="15" customHeight="1" x14ac:dyDescent="0.25">
      <c r="A1079" s="189"/>
      <c r="B1079" s="198"/>
      <c r="C1079" s="92" t="s">
        <v>862</v>
      </c>
      <c r="D1079" s="162"/>
      <c r="E1079" s="95" t="s">
        <v>823</v>
      </c>
    </row>
    <row r="1080" spans="1:5" s="74" customFormat="1" ht="15" customHeight="1" x14ac:dyDescent="0.25">
      <c r="A1080" s="189"/>
      <c r="B1080" s="198"/>
      <c r="C1080" s="214" t="s">
        <v>803</v>
      </c>
      <c r="D1080" s="118"/>
      <c r="E1080" s="82" t="s">
        <v>829</v>
      </c>
    </row>
    <row r="1081" spans="1:5" s="74" customFormat="1" ht="15" customHeight="1" x14ac:dyDescent="0.25">
      <c r="A1081" s="189"/>
      <c r="B1081" s="198"/>
      <c r="C1081" s="214" t="s">
        <v>804</v>
      </c>
      <c r="D1081" s="118"/>
      <c r="E1081" s="82" t="s">
        <v>830</v>
      </c>
    </row>
    <row r="1082" spans="1:5" s="115" customFormat="1" ht="15" customHeight="1" x14ac:dyDescent="0.25">
      <c r="A1082" s="189"/>
      <c r="B1082" s="198"/>
      <c r="C1082" s="92" t="s">
        <v>863</v>
      </c>
      <c r="D1082" s="162"/>
      <c r="E1082" s="95" t="s">
        <v>869</v>
      </c>
    </row>
    <row r="1083" spans="1:5" s="74" customFormat="1" ht="15" customHeight="1" x14ac:dyDescent="0.25">
      <c r="A1083" s="189"/>
      <c r="B1083" s="198"/>
      <c r="C1083" s="214" t="s">
        <v>805</v>
      </c>
      <c r="D1083" s="118"/>
      <c r="E1083" s="82" t="s">
        <v>870</v>
      </c>
    </row>
    <row r="1084" spans="1:5" s="74" customFormat="1" ht="15" customHeight="1" x14ac:dyDescent="0.25">
      <c r="A1084" s="189"/>
      <c r="B1084" s="198"/>
      <c r="C1084" s="214" t="s">
        <v>806</v>
      </c>
      <c r="D1084" s="118"/>
      <c r="E1084" s="82" t="s">
        <v>871</v>
      </c>
    </row>
    <row r="1085" spans="1:5" s="74" customFormat="1" ht="15" customHeight="1" x14ac:dyDescent="0.25">
      <c r="A1085" s="189"/>
      <c r="B1085" s="198"/>
      <c r="C1085" s="214" t="s">
        <v>807</v>
      </c>
      <c r="D1085" s="118"/>
      <c r="E1085" s="82" t="s">
        <v>872</v>
      </c>
    </row>
    <row r="1086" spans="1:5" s="74" customFormat="1" ht="15" customHeight="1" x14ac:dyDescent="0.25">
      <c r="A1086" s="189"/>
      <c r="B1086" s="198"/>
      <c r="C1086" s="214" t="s">
        <v>808</v>
      </c>
      <c r="D1086" s="118"/>
      <c r="E1086" s="82" t="s">
        <v>873</v>
      </c>
    </row>
    <row r="1087" spans="1:5" s="74" customFormat="1" ht="15" customHeight="1" x14ac:dyDescent="0.25">
      <c r="A1087" s="189"/>
      <c r="B1087" s="198"/>
      <c r="C1087" s="214" t="s">
        <v>809</v>
      </c>
      <c r="D1087" s="118"/>
      <c r="E1087" s="82" t="s">
        <v>874</v>
      </c>
    </row>
    <row r="1088" spans="1:5" s="74" customFormat="1" ht="15" customHeight="1" x14ac:dyDescent="0.25">
      <c r="A1088" s="189"/>
      <c r="B1088" s="198"/>
      <c r="C1088" s="214" t="s">
        <v>810</v>
      </c>
      <c r="D1088" s="118"/>
      <c r="E1088" s="82" t="s">
        <v>875</v>
      </c>
    </row>
    <row r="1089" spans="1:5" s="74" customFormat="1" ht="15" customHeight="1" x14ac:dyDescent="0.25">
      <c r="A1089" s="189"/>
      <c r="B1089" s="198"/>
      <c r="C1089" s="214" t="s">
        <v>811</v>
      </c>
      <c r="D1089" s="118"/>
      <c r="E1089" s="82" t="s">
        <v>876</v>
      </c>
    </row>
    <row r="1090" spans="1:5" s="74" customFormat="1" ht="15" customHeight="1" x14ac:dyDescent="0.25">
      <c r="A1090" s="189"/>
      <c r="B1090" s="198"/>
      <c r="C1090" s="214" t="s">
        <v>812</v>
      </c>
      <c r="D1090" s="118"/>
      <c r="E1090" s="82" t="s">
        <v>877</v>
      </c>
    </row>
    <row r="1091" spans="1:5" s="74" customFormat="1" ht="15" customHeight="1" x14ac:dyDescent="0.25">
      <c r="A1091" s="189"/>
      <c r="B1091" s="198"/>
      <c r="C1091" s="214" t="s">
        <v>813</v>
      </c>
      <c r="D1091" s="118"/>
      <c r="E1091" s="82" t="s">
        <v>878</v>
      </c>
    </row>
    <row r="1092" spans="1:5" s="74" customFormat="1" ht="15" customHeight="1" x14ac:dyDescent="0.25">
      <c r="A1092" s="189"/>
      <c r="B1092" s="198"/>
      <c r="C1092" s="214" t="s">
        <v>814</v>
      </c>
      <c r="D1092" s="118"/>
      <c r="E1092" s="82" t="s">
        <v>879</v>
      </c>
    </row>
    <row r="1093" spans="1:5" s="74" customFormat="1" ht="15" customHeight="1" x14ac:dyDescent="0.25">
      <c r="A1093" s="189"/>
      <c r="B1093" s="198"/>
      <c r="C1093" s="214" t="s">
        <v>815</v>
      </c>
      <c r="D1093" s="118"/>
      <c r="E1093" s="82" t="s">
        <v>880</v>
      </c>
    </row>
    <row r="1094" spans="1:5" s="115" customFormat="1" ht="15" customHeight="1" x14ac:dyDescent="0.25">
      <c r="A1094" s="189"/>
      <c r="B1094" s="198"/>
      <c r="C1094" s="92" t="s">
        <v>864</v>
      </c>
      <c r="D1094" s="162"/>
      <c r="E1094" s="95" t="s">
        <v>881</v>
      </c>
    </row>
    <row r="1095" spans="1:5" s="74" customFormat="1" ht="15" customHeight="1" x14ac:dyDescent="0.25">
      <c r="A1095" s="189"/>
      <c r="B1095" s="198"/>
      <c r="C1095" s="214" t="s">
        <v>681</v>
      </c>
      <c r="D1095" s="118"/>
      <c r="E1095" s="82" t="s">
        <v>882</v>
      </c>
    </row>
    <row r="1096" spans="1:5" s="74" customFormat="1" ht="15" customHeight="1" x14ac:dyDescent="0.25">
      <c r="A1096" s="189"/>
      <c r="B1096" s="198"/>
      <c r="C1096" s="214" t="s">
        <v>682</v>
      </c>
      <c r="D1096" s="118"/>
      <c r="E1096" s="82" t="s">
        <v>883</v>
      </c>
    </row>
    <row r="1097" spans="1:5" s="74" customFormat="1" ht="15" customHeight="1" x14ac:dyDescent="0.25">
      <c r="A1097" s="189"/>
      <c r="B1097" s="198"/>
      <c r="C1097" s="214" t="s">
        <v>683</v>
      </c>
      <c r="D1097" s="118"/>
      <c r="E1097" s="82" t="s">
        <v>884</v>
      </c>
    </row>
    <row r="1098" spans="1:5" s="74" customFormat="1" ht="15" customHeight="1" x14ac:dyDescent="0.25">
      <c r="A1098" s="189"/>
      <c r="B1098" s="198"/>
      <c r="C1098" s="214" t="s">
        <v>684</v>
      </c>
      <c r="D1098" s="118"/>
      <c r="E1098" s="82" t="s">
        <v>885</v>
      </c>
    </row>
    <row r="1099" spans="1:5" s="115" customFormat="1" ht="15" customHeight="1" x14ac:dyDescent="0.25">
      <c r="A1099" s="189"/>
      <c r="B1099" s="198"/>
      <c r="C1099" s="92" t="s">
        <v>865</v>
      </c>
      <c r="D1099" s="162"/>
      <c r="E1099" s="95" t="s">
        <v>886</v>
      </c>
    </row>
    <row r="1100" spans="1:5" s="74" customFormat="1" ht="15" customHeight="1" x14ac:dyDescent="0.25">
      <c r="A1100" s="189"/>
      <c r="B1100" s="198"/>
      <c r="C1100" s="214" t="s">
        <v>685</v>
      </c>
      <c r="D1100" s="118"/>
      <c r="E1100" s="82" t="s">
        <v>887</v>
      </c>
    </row>
    <row r="1101" spans="1:5" s="74" customFormat="1" ht="15" customHeight="1" x14ac:dyDescent="0.25">
      <c r="A1101" s="189"/>
      <c r="B1101" s="198"/>
      <c r="C1101" s="214" t="s">
        <v>686</v>
      </c>
      <c r="D1101" s="118"/>
      <c r="E1101" s="82" t="s">
        <v>888</v>
      </c>
    </row>
    <row r="1102" spans="1:5" s="115" customFormat="1" ht="15" customHeight="1" x14ac:dyDescent="0.25">
      <c r="A1102" s="189"/>
      <c r="B1102" s="198"/>
      <c r="C1102" s="92" t="s">
        <v>866</v>
      </c>
      <c r="D1102" s="162"/>
      <c r="E1102" s="95" t="s">
        <v>889</v>
      </c>
    </row>
    <row r="1103" spans="1:5" s="74" customFormat="1" ht="15" customHeight="1" x14ac:dyDescent="0.25">
      <c r="A1103" s="189"/>
      <c r="B1103" s="198"/>
      <c r="C1103" s="214" t="s">
        <v>486</v>
      </c>
      <c r="D1103" s="118"/>
      <c r="E1103" s="82" t="s">
        <v>890</v>
      </c>
    </row>
    <row r="1104" spans="1:5" s="74" customFormat="1" ht="15" customHeight="1" x14ac:dyDescent="0.25">
      <c r="A1104" s="189"/>
      <c r="B1104" s="198"/>
      <c r="C1104" s="214" t="s">
        <v>487</v>
      </c>
      <c r="D1104" s="118"/>
      <c r="E1104" s="82" t="s">
        <v>891</v>
      </c>
    </row>
    <row r="1105" spans="1:5" s="74" customFormat="1" ht="15" customHeight="1" x14ac:dyDescent="0.25">
      <c r="A1105" s="189"/>
      <c r="B1105" s="198"/>
      <c r="C1105" s="214" t="s">
        <v>492</v>
      </c>
      <c r="D1105" s="118"/>
      <c r="E1105" s="82" t="s">
        <v>892</v>
      </c>
    </row>
    <row r="1106" spans="1:5" s="74" customFormat="1" ht="15" customHeight="1" x14ac:dyDescent="0.25">
      <c r="A1106" s="189"/>
      <c r="B1106" s="198"/>
      <c r="C1106" s="214" t="s">
        <v>493</v>
      </c>
      <c r="D1106" s="118"/>
      <c r="E1106" s="82" t="s">
        <v>893</v>
      </c>
    </row>
    <row r="1107" spans="1:5" s="115" customFormat="1" ht="15" customHeight="1" x14ac:dyDescent="0.25">
      <c r="A1107" s="189"/>
      <c r="B1107" s="198"/>
      <c r="C1107" s="92" t="s">
        <v>526</v>
      </c>
      <c r="D1107" s="162"/>
      <c r="E1107" s="95" t="s">
        <v>894</v>
      </c>
    </row>
    <row r="1108" spans="1:5" s="74" customFormat="1" ht="15" customHeight="1" x14ac:dyDescent="0.25">
      <c r="A1108" s="189"/>
      <c r="B1108" s="198"/>
      <c r="C1108" s="214" t="s">
        <v>496</v>
      </c>
      <c r="D1108" s="118"/>
      <c r="E1108" s="82" t="s">
        <v>895</v>
      </c>
    </row>
    <row r="1109" spans="1:5" s="74" customFormat="1" ht="15" customHeight="1" x14ac:dyDescent="0.25">
      <c r="A1109" s="189"/>
      <c r="B1109" s="198"/>
      <c r="C1109" s="214" t="s">
        <v>497</v>
      </c>
      <c r="D1109" s="118"/>
      <c r="E1109" s="82" t="s">
        <v>896</v>
      </c>
    </row>
    <row r="1110" spans="1:5" s="74" customFormat="1" ht="15" customHeight="1" x14ac:dyDescent="0.25">
      <c r="A1110" s="189"/>
      <c r="B1110" s="198"/>
      <c r="C1110" s="214" t="s">
        <v>498</v>
      </c>
      <c r="D1110" s="118"/>
      <c r="E1110" s="82" t="s">
        <v>897</v>
      </c>
    </row>
    <row r="1111" spans="1:5" s="74" customFormat="1" ht="15" customHeight="1" x14ac:dyDescent="0.25">
      <c r="A1111" s="189"/>
      <c r="B1111" s="198"/>
      <c r="C1111" s="214" t="s">
        <v>499</v>
      </c>
      <c r="D1111" s="118"/>
      <c r="E1111" s="82" t="s">
        <v>898</v>
      </c>
    </row>
    <row r="1112" spans="1:5" s="74" customFormat="1" ht="15" customHeight="1" x14ac:dyDescent="0.25">
      <c r="A1112" s="189"/>
      <c r="B1112" s="198"/>
      <c r="C1112" s="214" t="s">
        <v>500</v>
      </c>
      <c r="D1112" s="118"/>
      <c r="E1112" s="82" t="s">
        <v>899</v>
      </c>
    </row>
    <row r="1113" spans="1:5" s="74" customFormat="1" ht="15" customHeight="1" x14ac:dyDescent="0.25">
      <c r="A1113" s="189"/>
      <c r="B1113" s="198"/>
      <c r="C1113" s="214" t="s">
        <v>501</v>
      </c>
      <c r="D1113" s="118"/>
      <c r="E1113" s="82" t="s">
        <v>900</v>
      </c>
    </row>
    <row r="1114" spans="1:5" s="74" customFormat="1" ht="15" customHeight="1" x14ac:dyDescent="0.25">
      <c r="A1114" s="189"/>
      <c r="B1114" s="198"/>
      <c r="C1114" s="214" t="s">
        <v>502</v>
      </c>
      <c r="D1114" s="118"/>
      <c r="E1114" s="82" t="s">
        <v>901</v>
      </c>
    </row>
    <row r="1115" spans="1:5" s="74" customFormat="1" ht="15" customHeight="1" x14ac:dyDescent="0.25">
      <c r="A1115" s="189"/>
      <c r="B1115" s="198"/>
      <c r="C1115" s="214" t="s">
        <v>503</v>
      </c>
      <c r="D1115" s="118"/>
      <c r="E1115" s="82" t="s">
        <v>902</v>
      </c>
    </row>
    <row r="1116" spans="1:5" s="74" customFormat="1" ht="15" customHeight="1" x14ac:dyDescent="0.25">
      <c r="A1116" s="189"/>
      <c r="B1116" s="198"/>
      <c r="C1116" s="214" t="s">
        <v>504</v>
      </c>
      <c r="D1116" s="118"/>
      <c r="E1116" s="82" t="s">
        <v>903</v>
      </c>
    </row>
    <row r="1117" spans="1:5" s="115" customFormat="1" ht="15" customHeight="1" x14ac:dyDescent="0.25">
      <c r="A1117" s="189"/>
      <c r="B1117" s="187" t="s">
        <v>1053</v>
      </c>
      <c r="C1117" s="107" t="s">
        <v>816</v>
      </c>
      <c r="D1117" s="163"/>
      <c r="E1117" s="108" t="s">
        <v>904</v>
      </c>
    </row>
    <row r="1118" spans="1:5" s="115" customFormat="1" ht="15" customHeight="1" x14ac:dyDescent="0.25">
      <c r="A1118" s="189"/>
      <c r="B1118" s="187"/>
      <c r="C1118" s="107" t="s">
        <v>818</v>
      </c>
      <c r="D1118" s="163"/>
      <c r="E1118" s="108" t="s">
        <v>905</v>
      </c>
    </row>
    <row r="1119" spans="1:5" s="74" customFormat="1" ht="15" customHeight="1" x14ac:dyDescent="0.25">
      <c r="A1119" s="189"/>
      <c r="B1119" s="187"/>
      <c r="C1119" s="215" t="s">
        <v>803</v>
      </c>
      <c r="D1119" s="120"/>
      <c r="E1119" s="80" t="s">
        <v>906</v>
      </c>
    </row>
    <row r="1120" spans="1:5" s="74" customFormat="1" ht="15" customHeight="1" x14ac:dyDescent="0.25">
      <c r="A1120" s="189"/>
      <c r="B1120" s="187"/>
      <c r="C1120" s="215" t="s">
        <v>804</v>
      </c>
      <c r="D1120" s="120"/>
      <c r="E1120" s="80" t="s">
        <v>907</v>
      </c>
    </row>
    <row r="1121" spans="1:5" s="115" customFormat="1" ht="15" customHeight="1" x14ac:dyDescent="0.25">
      <c r="A1121" s="189"/>
      <c r="B1121" s="187"/>
      <c r="C1121" s="107" t="s">
        <v>819</v>
      </c>
      <c r="D1121" s="163"/>
      <c r="E1121" s="108" t="s">
        <v>908</v>
      </c>
    </row>
    <row r="1122" spans="1:5" s="74" customFormat="1" ht="15" customHeight="1" x14ac:dyDescent="0.25">
      <c r="A1122" s="189"/>
      <c r="B1122" s="187"/>
      <c r="C1122" s="215" t="s">
        <v>805</v>
      </c>
      <c r="D1122" s="120"/>
      <c r="E1122" s="80" t="s">
        <v>909</v>
      </c>
    </row>
    <row r="1123" spans="1:5" s="74" customFormat="1" ht="15" customHeight="1" x14ac:dyDescent="0.25">
      <c r="A1123" s="189"/>
      <c r="B1123" s="187"/>
      <c r="C1123" s="215" t="s">
        <v>806</v>
      </c>
      <c r="D1123" s="120"/>
      <c r="E1123" s="80" t="s">
        <v>910</v>
      </c>
    </row>
    <row r="1124" spans="1:5" s="74" customFormat="1" ht="15" customHeight="1" x14ac:dyDescent="0.25">
      <c r="A1124" s="189"/>
      <c r="B1124" s="187"/>
      <c r="C1124" s="215" t="s">
        <v>807</v>
      </c>
      <c r="D1124" s="120"/>
      <c r="E1124" s="80" t="s">
        <v>911</v>
      </c>
    </row>
    <row r="1125" spans="1:5" s="74" customFormat="1" ht="15" customHeight="1" x14ac:dyDescent="0.25">
      <c r="A1125" s="189"/>
      <c r="B1125" s="187"/>
      <c r="C1125" s="215" t="s">
        <v>808</v>
      </c>
      <c r="D1125" s="120"/>
      <c r="E1125" s="80" t="s">
        <v>912</v>
      </c>
    </row>
    <row r="1126" spans="1:5" s="74" customFormat="1" ht="15" customHeight="1" x14ac:dyDescent="0.25">
      <c r="A1126" s="189"/>
      <c r="B1126" s="187"/>
      <c r="C1126" s="215" t="s">
        <v>809</v>
      </c>
      <c r="D1126" s="120"/>
      <c r="E1126" s="80" t="s">
        <v>913</v>
      </c>
    </row>
    <row r="1127" spans="1:5" s="74" customFormat="1" ht="15" customHeight="1" x14ac:dyDescent="0.25">
      <c r="A1127" s="189"/>
      <c r="B1127" s="187"/>
      <c r="C1127" s="215" t="s">
        <v>810</v>
      </c>
      <c r="D1127" s="120"/>
      <c r="E1127" s="80" t="s">
        <v>914</v>
      </c>
    </row>
    <row r="1128" spans="1:5" s="74" customFormat="1" ht="15" customHeight="1" x14ac:dyDescent="0.25">
      <c r="A1128" s="189"/>
      <c r="B1128" s="187"/>
      <c r="C1128" s="215" t="s">
        <v>811</v>
      </c>
      <c r="D1128" s="120"/>
      <c r="E1128" s="80" t="s">
        <v>915</v>
      </c>
    </row>
    <row r="1129" spans="1:5" s="74" customFormat="1" ht="15" customHeight="1" x14ac:dyDescent="0.25">
      <c r="A1129" s="189"/>
      <c r="B1129" s="187"/>
      <c r="C1129" s="215" t="s">
        <v>812</v>
      </c>
      <c r="D1129" s="120"/>
      <c r="E1129" s="80" t="s">
        <v>916</v>
      </c>
    </row>
    <row r="1130" spans="1:5" s="74" customFormat="1" ht="15" customHeight="1" x14ac:dyDescent="0.25">
      <c r="A1130" s="189"/>
      <c r="B1130" s="187"/>
      <c r="C1130" s="215" t="s">
        <v>813</v>
      </c>
      <c r="D1130" s="120"/>
      <c r="E1130" s="80" t="s">
        <v>917</v>
      </c>
    </row>
    <row r="1131" spans="1:5" s="74" customFormat="1" ht="15" customHeight="1" x14ac:dyDescent="0.25">
      <c r="A1131" s="189"/>
      <c r="B1131" s="187"/>
      <c r="C1131" s="215" t="s">
        <v>814</v>
      </c>
      <c r="D1131" s="120"/>
      <c r="E1131" s="80" t="s">
        <v>918</v>
      </c>
    </row>
    <row r="1132" spans="1:5" s="74" customFormat="1" ht="15" customHeight="1" x14ac:dyDescent="0.25">
      <c r="A1132" s="189"/>
      <c r="B1132" s="187"/>
      <c r="C1132" s="215" t="s">
        <v>815</v>
      </c>
      <c r="D1132" s="120"/>
      <c r="E1132" s="80" t="s">
        <v>919</v>
      </c>
    </row>
    <row r="1133" spans="1:5" s="115" customFormat="1" ht="15" customHeight="1" x14ac:dyDescent="0.25">
      <c r="A1133" s="189"/>
      <c r="B1133" s="187"/>
      <c r="C1133" s="107" t="s">
        <v>820</v>
      </c>
      <c r="D1133" s="163"/>
      <c r="E1133" s="108" t="s">
        <v>920</v>
      </c>
    </row>
    <row r="1134" spans="1:5" s="74" customFormat="1" ht="15" customHeight="1" x14ac:dyDescent="0.25">
      <c r="A1134" s="189"/>
      <c r="B1134" s="187"/>
      <c r="C1134" s="215" t="s">
        <v>681</v>
      </c>
      <c r="D1134" s="120"/>
      <c r="E1134" s="80" t="s">
        <v>921</v>
      </c>
    </row>
    <row r="1135" spans="1:5" s="74" customFormat="1" ht="15" customHeight="1" x14ac:dyDescent="0.25">
      <c r="A1135" s="189"/>
      <c r="B1135" s="187"/>
      <c r="C1135" s="215" t="s">
        <v>682</v>
      </c>
      <c r="D1135" s="120"/>
      <c r="E1135" s="80" t="s">
        <v>922</v>
      </c>
    </row>
    <row r="1136" spans="1:5" s="74" customFormat="1" ht="15" customHeight="1" x14ac:dyDescent="0.25">
      <c r="A1136" s="189"/>
      <c r="B1136" s="187"/>
      <c r="C1136" s="215" t="s">
        <v>683</v>
      </c>
      <c r="D1136" s="120"/>
      <c r="E1136" s="80" t="s">
        <v>923</v>
      </c>
    </row>
    <row r="1137" spans="1:5" s="74" customFormat="1" ht="15" customHeight="1" x14ac:dyDescent="0.25">
      <c r="A1137" s="189"/>
      <c r="B1137" s="187"/>
      <c r="C1137" s="215" t="s">
        <v>684</v>
      </c>
      <c r="D1137" s="120"/>
      <c r="E1137" s="80" t="s">
        <v>924</v>
      </c>
    </row>
    <row r="1138" spans="1:5" s="115" customFormat="1" ht="15" customHeight="1" x14ac:dyDescent="0.25">
      <c r="A1138" s="189"/>
      <c r="B1138" s="187"/>
      <c r="C1138" s="107" t="s">
        <v>821</v>
      </c>
      <c r="D1138" s="163"/>
      <c r="E1138" s="108" t="s">
        <v>925</v>
      </c>
    </row>
    <row r="1139" spans="1:5" s="74" customFormat="1" ht="15" customHeight="1" x14ac:dyDescent="0.25">
      <c r="A1139" s="189"/>
      <c r="B1139" s="187"/>
      <c r="C1139" s="215" t="s">
        <v>685</v>
      </c>
      <c r="D1139" s="120"/>
      <c r="E1139" s="80" t="s">
        <v>926</v>
      </c>
    </row>
    <row r="1140" spans="1:5" s="74" customFormat="1" ht="15" customHeight="1" x14ac:dyDescent="0.25">
      <c r="A1140" s="189"/>
      <c r="B1140" s="187"/>
      <c r="C1140" s="215" t="s">
        <v>686</v>
      </c>
      <c r="D1140" s="120"/>
      <c r="E1140" s="80" t="s">
        <v>927</v>
      </c>
    </row>
    <row r="1141" spans="1:5" s="115" customFormat="1" ht="15" customHeight="1" x14ac:dyDescent="0.25">
      <c r="A1141" s="189"/>
      <c r="B1141" s="187"/>
      <c r="C1141" s="107" t="s">
        <v>822</v>
      </c>
      <c r="D1141" s="163"/>
      <c r="E1141" s="108" t="s">
        <v>928</v>
      </c>
    </row>
    <row r="1142" spans="1:5" s="74" customFormat="1" ht="15" customHeight="1" x14ac:dyDescent="0.25">
      <c r="A1142" s="189"/>
      <c r="B1142" s="187"/>
      <c r="C1142" s="215" t="s">
        <v>486</v>
      </c>
      <c r="D1142" s="120"/>
      <c r="E1142" s="80" t="s">
        <v>929</v>
      </c>
    </row>
    <row r="1143" spans="1:5" s="74" customFormat="1" ht="15" customHeight="1" x14ac:dyDescent="0.25">
      <c r="A1143" s="189"/>
      <c r="B1143" s="187"/>
      <c r="C1143" s="215" t="s">
        <v>487</v>
      </c>
      <c r="D1143" s="120"/>
      <c r="E1143" s="80" t="s">
        <v>930</v>
      </c>
    </row>
    <row r="1144" spans="1:5" s="74" customFormat="1" ht="15" customHeight="1" x14ac:dyDescent="0.25">
      <c r="A1144" s="189"/>
      <c r="B1144" s="187"/>
      <c r="C1144" s="215" t="s">
        <v>492</v>
      </c>
      <c r="D1144" s="120"/>
      <c r="E1144" s="80" t="s">
        <v>931</v>
      </c>
    </row>
    <row r="1145" spans="1:5" s="74" customFormat="1" ht="15" customHeight="1" x14ac:dyDescent="0.25">
      <c r="A1145" s="189"/>
      <c r="B1145" s="187"/>
      <c r="C1145" s="215" t="s">
        <v>493</v>
      </c>
      <c r="D1145" s="120"/>
      <c r="E1145" s="80" t="s">
        <v>932</v>
      </c>
    </row>
    <row r="1146" spans="1:5" s="115" customFormat="1" ht="15" customHeight="1" x14ac:dyDescent="0.25">
      <c r="A1146" s="189"/>
      <c r="B1146" s="187"/>
      <c r="C1146" s="107" t="s">
        <v>586</v>
      </c>
      <c r="D1146" s="163"/>
      <c r="E1146" s="108" t="s">
        <v>933</v>
      </c>
    </row>
    <row r="1147" spans="1:5" s="74" customFormat="1" ht="15" customHeight="1" x14ac:dyDescent="0.25">
      <c r="A1147" s="189"/>
      <c r="B1147" s="187"/>
      <c r="C1147" s="215" t="s">
        <v>496</v>
      </c>
      <c r="D1147" s="120"/>
      <c r="E1147" s="80" t="s">
        <v>934</v>
      </c>
    </row>
    <row r="1148" spans="1:5" s="74" customFormat="1" ht="15" customHeight="1" x14ac:dyDescent="0.25">
      <c r="A1148" s="189"/>
      <c r="B1148" s="187"/>
      <c r="C1148" s="215" t="s">
        <v>497</v>
      </c>
      <c r="D1148" s="120"/>
      <c r="E1148" s="80" t="s">
        <v>935</v>
      </c>
    </row>
    <row r="1149" spans="1:5" s="74" customFormat="1" ht="15" customHeight="1" x14ac:dyDescent="0.25">
      <c r="A1149" s="189"/>
      <c r="B1149" s="187"/>
      <c r="C1149" s="215" t="s">
        <v>498</v>
      </c>
      <c r="D1149" s="120"/>
      <c r="E1149" s="80" t="s">
        <v>936</v>
      </c>
    </row>
    <row r="1150" spans="1:5" s="74" customFormat="1" ht="15" customHeight="1" x14ac:dyDescent="0.25">
      <c r="A1150" s="189"/>
      <c r="B1150" s="187"/>
      <c r="C1150" s="215" t="s">
        <v>499</v>
      </c>
      <c r="D1150" s="120"/>
      <c r="E1150" s="80" t="s">
        <v>937</v>
      </c>
    </row>
    <row r="1151" spans="1:5" s="74" customFormat="1" ht="15" customHeight="1" x14ac:dyDescent="0.25">
      <c r="A1151" s="189"/>
      <c r="B1151" s="187"/>
      <c r="C1151" s="215" t="s">
        <v>500</v>
      </c>
      <c r="D1151" s="120"/>
      <c r="E1151" s="80" t="s">
        <v>938</v>
      </c>
    </row>
    <row r="1152" spans="1:5" s="74" customFormat="1" ht="15" customHeight="1" x14ac:dyDescent="0.25">
      <c r="A1152" s="189"/>
      <c r="B1152" s="187"/>
      <c r="C1152" s="215" t="s">
        <v>501</v>
      </c>
      <c r="D1152" s="120"/>
      <c r="E1152" s="80" t="s">
        <v>939</v>
      </c>
    </row>
    <row r="1153" spans="1:5" s="74" customFormat="1" ht="15" customHeight="1" x14ac:dyDescent="0.25">
      <c r="A1153" s="189"/>
      <c r="B1153" s="187"/>
      <c r="C1153" s="215" t="s">
        <v>502</v>
      </c>
      <c r="D1153" s="120"/>
      <c r="E1153" s="80" t="s">
        <v>940</v>
      </c>
    </row>
    <row r="1154" spans="1:5" s="74" customFormat="1" ht="15" customHeight="1" x14ac:dyDescent="0.25">
      <c r="A1154" s="189"/>
      <c r="B1154" s="187"/>
      <c r="C1154" s="215" t="s">
        <v>503</v>
      </c>
      <c r="D1154" s="120"/>
      <c r="E1154" s="80" t="s">
        <v>941</v>
      </c>
    </row>
    <row r="1155" spans="1:5" s="74" customFormat="1" ht="15" customHeight="1" x14ac:dyDescent="0.25">
      <c r="A1155" s="189"/>
      <c r="B1155" s="187"/>
      <c r="C1155" s="216" t="s">
        <v>504</v>
      </c>
      <c r="D1155" s="121"/>
      <c r="E1155" s="109" t="s">
        <v>942</v>
      </c>
    </row>
    <row r="1156" spans="1:5" s="115" customFormat="1" ht="15" customHeight="1" x14ac:dyDescent="0.25">
      <c r="A1156" s="189"/>
      <c r="B1156" s="187"/>
      <c r="C1156" s="107" t="s">
        <v>861</v>
      </c>
      <c r="D1156" s="163"/>
      <c r="E1156" s="108" t="s">
        <v>904</v>
      </c>
    </row>
    <row r="1157" spans="1:5" s="115" customFormat="1" ht="15" customHeight="1" x14ac:dyDescent="0.25">
      <c r="A1157" s="189"/>
      <c r="B1157" s="187"/>
      <c r="C1157" s="107" t="s">
        <v>862</v>
      </c>
      <c r="D1157" s="163"/>
      <c r="E1157" s="108" t="s">
        <v>905</v>
      </c>
    </row>
    <row r="1158" spans="1:5" s="74" customFormat="1" ht="15" customHeight="1" x14ac:dyDescent="0.25">
      <c r="A1158" s="189"/>
      <c r="B1158" s="187"/>
      <c r="C1158" s="215" t="s">
        <v>803</v>
      </c>
      <c r="D1158" s="120"/>
      <c r="E1158" s="80" t="s">
        <v>906</v>
      </c>
    </row>
    <row r="1159" spans="1:5" s="74" customFormat="1" ht="15" customHeight="1" x14ac:dyDescent="0.25">
      <c r="A1159" s="189"/>
      <c r="B1159" s="187"/>
      <c r="C1159" s="215" t="s">
        <v>804</v>
      </c>
      <c r="D1159" s="120"/>
      <c r="E1159" s="80" t="s">
        <v>907</v>
      </c>
    </row>
    <row r="1160" spans="1:5" s="115" customFormat="1" ht="15" customHeight="1" x14ac:dyDescent="0.25">
      <c r="A1160" s="189"/>
      <c r="B1160" s="187"/>
      <c r="C1160" s="107" t="s">
        <v>863</v>
      </c>
      <c r="D1160" s="163"/>
      <c r="E1160" s="108" t="s">
        <v>943</v>
      </c>
    </row>
    <row r="1161" spans="1:5" s="74" customFormat="1" ht="15" customHeight="1" x14ac:dyDescent="0.25">
      <c r="A1161" s="189"/>
      <c r="B1161" s="187"/>
      <c r="C1161" s="215" t="s">
        <v>805</v>
      </c>
      <c r="D1161" s="120"/>
      <c r="E1161" s="80" t="s">
        <v>944</v>
      </c>
    </row>
    <row r="1162" spans="1:5" s="74" customFormat="1" ht="15" customHeight="1" x14ac:dyDescent="0.25">
      <c r="A1162" s="189"/>
      <c r="B1162" s="187"/>
      <c r="C1162" s="215" t="s">
        <v>806</v>
      </c>
      <c r="D1162" s="120"/>
      <c r="E1162" s="80" t="s">
        <v>945</v>
      </c>
    </row>
    <row r="1163" spans="1:5" s="74" customFormat="1" ht="15" customHeight="1" x14ac:dyDescent="0.25">
      <c r="A1163" s="189"/>
      <c r="B1163" s="187"/>
      <c r="C1163" s="215" t="s">
        <v>807</v>
      </c>
      <c r="D1163" s="120"/>
      <c r="E1163" s="80" t="s">
        <v>946</v>
      </c>
    </row>
    <row r="1164" spans="1:5" s="74" customFormat="1" ht="15" customHeight="1" x14ac:dyDescent="0.25">
      <c r="A1164" s="189"/>
      <c r="B1164" s="187"/>
      <c r="C1164" s="215" t="s">
        <v>808</v>
      </c>
      <c r="D1164" s="120"/>
      <c r="E1164" s="80" t="s">
        <v>947</v>
      </c>
    </row>
    <row r="1165" spans="1:5" s="74" customFormat="1" ht="15" customHeight="1" x14ac:dyDescent="0.25">
      <c r="A1165" s="189"/>
      <c r="B1165" s="187"/>
      <c r="C1165" s="215" t="s">
        <v>809</v>
      </c>
      <c r="D1165" s="120"/>
      <c r="E1165" s="80" t="s">
        <v>948</v>
      </c>
    </row>
    <row r="1166" spans="1:5" s="74" customFormat="1" ht="15" customHeight="1" x14ac:dyDescent="0.25">
      <c r="A1166" s="189"/>
      <c r="B1166" s="187"/>
      <c r="C1166" s="215" t="s">
        <v>810</v>
      </c>
      <c r="D1166" s="120"/>
      <c r="E1166" s="80" t="s">
        <v>949</v>
      </c>
    </row>
    <row r="1167" spans="1:5" s="74" customFormat="1" ht="15" customHeight="1" x14ac:dyDescent="0.25">
      <c r="A1167" s="189"/>
      <c r="B1167" s="187"/>
      <c r="C1167" s="215" t="s">
        <v>811</v>
      </c>
      <c r="D1167" s="120"/>
      <c r="E1167" s="80" t="s">
        <v>950</v>
      </c>
    </row>
    <row r="1168" spans="1:5" s="74" customFormat="1" ht="15" customHeight="1" x14ac:dyDescent="0.25">
      <c r="A1168" s="189"/>
      <c r="B1168" s="187"/>
      <c r="C1168" s="215" t="s">
        <v>812</v>
      </c>
      <c r="D1168" s="120"/>
      <c r="E1168" s="80" t="s">
        <v>951</v>
      </c>
    </row>
    <row r="1169" spans="1:5" s="74" customFormat="1" ht="15" customHeight="1" x14ac:dyDescent="0.25">
      <c r="A1169" s="189"/>
      <c r="B1169" s="187"/>
      <c r="C1169" s="215" t="s">
        <v>813</v>
      </c>
      <c r="D1169" s="120"/>
      <c r="E1169" s="80" t="s">
        <v>952</v>
      </c>
    </row>
    <row r="1170" spans="1:5" s="74" customFormat="1" ht="15" customHeight="1" x14ac:dyDescent="0.25">
      <c r="A1170" s="189"/>
      <c r="B1170" s="187"/>
      <c r="C1170" s="215" t="s">
        <v>814</v>
      </c>
      <c r="D1170" s="120"/>
      <c r="E1170" s="80" t="s">
        <v>953</v>
      </c>
    </row>
    <row r="1171" spans="1:5" s="74" customFormat="1" ht="15" customHeight="1" x14ac:dyDescent="0.25">
      <c r="A1171" s="189"/>
      <c r="B1171" s="187"/>
      <c r="C1171" s="215" t="s">
        <v>815</v>
      </c>
      <c r="D1171" s="120"/>
      <c r="E1171" s="80" t="s">
        <v>954</v>
      </c>
    </row>
    <row r="1172" spans="1:5" s="115" customFormat="1" ht="15" customHeight="1" x14ac:dyDescent="0.25">
      <c r="A1172" s="189"/>
      <c r="B1172" s="187"/>
      <c r="C1172" s="107" t="s">
        <v>864</v>
      </c>
      <c r="D1172" s="163"/>
      <c r="E1172" s="108" t="s">
        <v>955</v>
      </c>
    </row>
    <row r="1173" spans="1:5" s="74" customFormat="1" ht="15" customHeight="1" x14ac:dyDescent="0.25">
      <c r="A1173" s="189"/>
      <c r="B1173" s="187"/>
      <c r="C1173" s="215" t="s">
        <v>681</v>
      </c>
      <c r="D1173" s="120"/>
      <c r="E1173" s="80" t="s">
        <v>956</v>
      </c>
    </row>
    <row r="1174" spans="1:5" s="74" customFormat="1" ht="15" customHeight="1" x14ac:dyDescent="0.25">
      <c r="A1174" s="189"/>
      <c r="B1174" s="187"/>
      <c r="C1174" s="215" t="s">
        <v>682</v>
      </c>
      <c r="D1174" s="120"/>
      <c r="E1174" s="80" t="s">
        <v>957</v>
      </c>
    </row>
    <row r="1175" spans="1:5" s="74" customFormat="1" ht="15" customHeight="1" x14ac:dyDescent="0.25">
      <c r="A1175" s="189"/>
      <c r="B1175" s="187"/>
      <c r="C1175" s="215" t="s">
        <v>683</v>
      </c>
      <c r="D1175" s="120"/>
      <c r="E1175" s="80" t="s">
        <v>958</v>
      </c>
    </row>
    <row r="1176" spans="1:5" s="74" customFormat="1" ht="15" customHeight="1" x14ac:dyDescent="0.25">
      <c r="A1176" s="189"/>
      <c r="B1176" s="187"/>
      <c r="C1176" s="215" t="s">
        <v>684</v>
      </c>
      <c r="D1176" s="120"/>
      <c r="E1176" s="80" t="s">
        <v>959</v>
      </c>
    </row>
    <row r="1177" spans="1:5" s="115" customFormat="1" ht="15" customHeight="1" x14ac:dyDescent="0.25">
      <c r="A1177" s="189"/>
      <c r="B1177" s="187"/>
      <c r="C1177" s="107" t="s">
        <v>865</v>
      </c>
      <c r="D1177" s="163"/>
      <c r="E1177" s="108" t="s">
        <v>960</v>
      </c>
    </row>
    <row r="1178" spans="1:5" s="74" customFormat="1" ht="15" customHeight="1" x14ac:dyDescent="0.25">
      <c r="A1178" s="189"/>
      <c r="B1178" s="187"/>
      <c r="C1178" s="215" t="s">
        <v>685</v>
      </c>
      <c r="D1178" s="120"/>
      <c r="E1178" s="80" t="s">
        <v>961</v>
      </c>
    </row>
    <row r="1179" spans="1:5" s="74" customFormat="1" ht="15" customHeight="1" x14ac:dyDescent="0.25">
      <c r="A1179" s="189"/>
      <c r="B1179" s="187"/>
      <c r="C1179" s="215" t="s">
        <v>686</v>
      </c>
      <c r="D1179" s="120"/>
      <c r="E1179" s="80" t="s">
        <v>962</v>
      </c>
    </row>
    <row r="1180" spans="1:5" s="115" customFormat="1" ht="15" customHeight="1" x14ac:dyDescent="0.25">
      <c r="A1180" s="189"/>
      <c r="B1180" s="187"/>
      <c r="C1180" s="107" t="s">
        <v>866</v>
      </c>
      <c r="D1180" s="163"/>
      <c r="E1180" s="108" t="s">
        <v>963</v>
      </c>
    </row>
    <row r="1181" spans="1:5" s="74" customFormat="1" ht="15" customHeight="1" x14ac:dyDescent="0.25">
      <c r="A1181" s="189"/>
      <c r="B1181" s="187"/>
      <c r="C1181" s="215" t="s">
        <v>486</v>
      </c>
      <c r="D1181" s="120"/>
      <c r="E1181" s="80" t="s">
        <v>964</v>
      </c>
    </row>
    <row r="1182" spans="1:5" s="74" customFormat="1" ht="15" customHeight="1" x14ac:dyDescent="0.25">
      <c r="A1182" s="189"/>
      <c r="B1182" s="187"/>
      <c r="C1182" s="215" t="s">
        <v>487</v>
      </c>
      <c r="D1182" s="120"/>
      <c r="E1182" s="80" t="s">
        <v>965</v>
      </c>
    </row>
    <row r="1183" spans="1:5" s="74" customFormat="1" ht="15" customHeight="1" x14ac:dyDescent="0.25">
      <c r="A1183" s="189"/>
      <c r="B1183" s="187"/>
      <c r="C1183" s="215" t="s">
        <v>492</v>
      </c>
      <c r="D1183" s="120"/>
      <c r="E1183" s="80" t="s">
        <v>966</v>
      </c>
    </row>
    <row r="1184" spans="1:5" s="74" customFormat="1" ht="15" customHeight="1" x14ac:dyDescent="0.25">
      <c r="A1184" s="189"/>
      <c r="B1184" s="187"/>
      <c r="C1184" s="215" t="s">
        <v>493</v>
      </c>
      <c r="D1184" s="120"/>
      <c r="E1184" s="80" t="s">
        <v>967</v>
      </c>
    </row>
    <row r="1185" spans="1:5" s="115" customFormat="1" ht="15" customHeight="1" x14ac:dyDescent="0.25">
      <c r="A1185" s="189"/>
      <c r="B1185" s="187"/>
      <c r="C1185" s="107" t="s">
        <v>526</v>
      </c>
      <c r="D1185" s="163"/>
      <c r="E1185" s="108" t="s">
        <v>968</v>
      </c>
    </row>
    <row r="1186" spans="1:5" s="74" customFormat="1" ht="15" customHeight="1" x14ac:dyDescent="0.25">
      <c r="A1186" s="189"/>
      <c r="B1186" s="187"/>
      <c r="C1186" s="215" t="s">
        <v>496</v>
      </c>
      <c r="D1186" s="120"/>
      <c r="E1186" s="80" t="s">
        <v>969</v>
      </c>
    </row>
    <row r="1187" spans="1:5" s="74" customFormat="1" ht="15" customHeight="1" x14ac:dyDescent="0.25">
      <c r="A1187" s="189"/>
      <c r="B1187" s="187"/>
      <c r="C1187" s="215" t="s">
        <v>497</v>
      </c>
      <c r="D1187" s="120"/>
      <c r="E1187" s="80" t="s">
        <v>970</v>
      </c>
    </row>
    <row r="1188" spans="1:5" s="74" customFormat="1" ht="15" customHeight="1" x14ac:dyDescent="0.25">
      <c r="A1188" s="189"/>
      <c r="B1188" s="187"/>
      <c r="C1188" s="215" t="s">
        <v>498</v>
      </c>
      <c r="D1188" s="120"/>
      <c r="E1188" s="80" t="s">
        <v>971</v>
      </c>
    </row>
    <row r="1189" spans="1:5" s="74" customFormat="1" ht="15" customHeight="1" x14ac:dyDescent="0.25">
      <c r="A1189" s="189"/>
      <c r="B1189" s="187"/>
      <c r="C1189" s="215" t="s">
        <v>499</v>
      </c>
      <c r="D1189" s="120"/>
      <c r="E1189" s="80" t="s">
        <v>972</v>
      </c>
    </row>
    <row r="1190" spans="1:5" s="74" customFormat="1" ht="15" customHeight="1" x14ac:dyDescent="0.25">
      <c r="A1190" s="189"/>
      <c r="B1190" s="187"/>
      <c r="C1190" s="215" t="s">
        <v>500</v>
      </c>
      <c r="D1190" s="120"/>
      <c r="E1190" s="80" t="s">
        <v>973</v>
      </c>
    </row>
    <row r="1191" spans="1:5" s="74" customFormat="1" ht="15" customHeight="1" x14ac:dyDescent="0.25">
      <c r="A1191" s="189"/>
      <c r="B1191" s="187"/>
      <c r="C1191" s="215" t="s">
        <v>501</v>
      </c>
      <c r="D1191" s="120"/>
      <c r="E1191" s="80" t="s">
        <v>974</v>
      </c>
    </row>
    <row r="1192" spans="1:5" s="74" customFormat="1" ht="15" customHeight="1" x14ac:dyDescent="0.25">
      <c r="A1192" s="189"/>
      <c r="B1192" s="187"/>
      <c r="C1192" s="215" t="s">
        <v>502</v>
      </c>
      <c r="D1192" s="120"/>
      <c r="E1192" s="80" t="s">
        <v>975</v>
      </c>
    </row>
    <row r="1193" spans="1:5" s="74" customFormat="1" ht="15" customHeight="1" x14ac:dyDescent="0.25">
      <c r="A1193" s="189"/>
      <c r="B1193" s="187"/>
      <c r="C1193" s="215" t="s">
        <v>503</v>
      </c>
      <c r="D1193" s="120"/>
      <c r="E1193" s="80" t="s">
        <v>976</v>
      </c>
    </row>
    <row r="1194" spans="1:5" s="74" customFormat="1" ht="15" customHeight="1" x14ac:dyDescent="0.25">
      <c r="A1194" s="189"/>
      <c r="B1194" s="187"/>
      <c r="C1194" s="215" t="s">
        <v>504</v>
      </c>
      <c r="D1194" s="120"/>
      <c r="E1194" s="80" t="s">
        <v>977</v>
      </c>
    </row>
    <row r="1195" spans="1:5" s="74" customFormat="1" ht="15" customHeight="1" x14ac:dyDescent="0.25">
      <c r="A1195" s="189"/>
      <c r="B1195" s="193" t="s">
        <v>1055</v>
      </c>
      <c r="C1195" s="112" t="s">
        <v>574</v>
      </c>
      <c r="D1195" s="82"/>
      <c r="E1195" s="78"/>
    </row>
    <row r="1196" spans="1:5" s="74" customFormat="1" ht="15" customHeight="1" x14ac:dyDescent="0.25">
      <c r="A1196" s="189"/>
      <c r="B1196" s="193"/>
      <c r="C1196" s="122" t="s">
        <v>1056</v>
      </c>
      <c r="D1196" s="122"/>
      <c r="E1196" s="78"/>
    </row>
    <row r="1197" spans="1:5" s="74" customFormat="1" ht="15" customHeight="1" x14ac:dyDescent="0.25">
      <c r="A1197" s="189"/>
      <c r="B1197" s="193"/>
      <c r="C1197" s="122" t="s">
        <v>1057</v>
      </c>
      <c r="D1197" s="123"/>
      <c r="E1197" s="78"/>
    </row>
    <row r="1198" spans="1:5" s="74" customFormat="1" ht="15" customHeight="1" x14ac:dyDescent="0.25">
      <c r="A1198" s="189"/>
      <c r="B1198" s="193"/>
      <c r="C1198" s="123" t="s">
        <v>1058</v>
      </c>
      <c r="D1198" s="82"/>
      <c r="E1198" s="78"/>
    </row>
    <row r="1199" spans="1:5" s="74" customFormat="1" ht="15" customHeight="1" x14ac:dyDescent="0.25">
      <c r="A1199" s="189"/>
      <c r="B1199" s="193"/>
      <c r="C1199" s="124" t="s">
        <v>1059</v>
      </c>
      <c r="D1199" s="124"/>
      <c r="E1199" s="113"/>
    </row>
    <row r="1200" spans="1:5" s="74" customFormat="1" ht="15" customHeight="1" x14ac:dyDescent="0.25">
      <c r="A1200" s="189"/>
      <c r="B1200" s="193"/>
      <c r="C1200" s="112" t="s">
        <v>476</v>
      </c>
      <c r="D1200" s="82"/>
      <c r="E1200" s="78"/>
    </row>
    <row r="1201" spans="1:5" s="74" customFormat="1" ht="15" customHeight="1" x14ac:dyDescent="0.25">
      <c r="A1201" s="189"/>
      <c r="B1201" s="193"/>
      <c r="C1201" s="122" t="s">
        <v>1056</v>
      </c>
      <c r="D1201" s="122"/>
      <c r="E1201" s="78"/>
    </row>
    <row r="1202" spans="1:5" s="74" customFormat="1" ht="15" customHeight="1" x14ac:dyDescent="0.25">
      <c r="A1202" s="189"/>
      <c r="B1202" s="193"/>
      <c r="C1202" s="122" t="s">
        <v>1057</v>
      </c>
      <c r="D1202" s="123"/>
      <c r="E1202" s="78"/>
    </row>
    <row r="1203" spans="1:5" s="74" customFormat="1" ht="15" customHeight="1" x14ac:dyDescent="0.25">
      <c r="A1203" s="189"/>
      <c r="B1203" s="193"/>
      <c r="C1203" s="123" t="s">
        <v>1058</v>
      </c>
      <c r="D1203" s="82"/>
      <c r="E1203" s="78"/>
    </row>
    <row r="1204" spans="1:5" s="74" customFormat="1" ht="15" customHeight="1" x14ac:dyDescent="0.25">
      <c r="A1204" s="189"/>
      <c r="B1204" s="193"/>
      <c r="C1204" s="123" t="s">
        <v>1059</v>
      </c>
      <c r="D1204" s="123"/>
      <c r="E1204" s="78"/>
    </row>
    <row r="1205" spans="1:5" s="115" customFormat="1" ht="15" customHeight="1" x14ac:dyDescent="0.25">
      <c r="A1205" s="189"/>
      <c r="B1205" s="192" t="s">
        <v>1063</v>
      </c>
      <c r="C1205" s="111" t="s">
        <v>816</v>
      </c>
      <c r="D1205" s="164"/>
      <c r="E1205" s="94" t="s">
        <v>978</v>
      </c>
    </row>
    <row r="1206" spans="1:5" s="115" customFormat="1" ht="15" customHeight="1" x14ac:dyDescent="0.25">
      <c r="A1206" s="189"/>
      <c r="B1206" s="192"/>
      <c r="C1206" s="111" t="s">
        <v>818</v>
      </c>
      <c r="D1206" s="164"/>
      <c r="E1206" s="94" t="s">
        <v>979</v>
      </c>
    </row>
    <row r="1207" spans="1:5" s="74" customFormat="1" ht="15" customHeight="1" x14ac:dyDescent="0.25">
      <c r="A1207" s="189"/>
      <c r="B1207" s="192"/>
      <c r="C1207" s="217" t="s">
        <v>803</v>
      </c>
      <c r="D1207" s="125"/>
      <c r="E1207" s="81" t="s">
        <v>980</v>
      </c>
    </row>
    <row r="1208" spans="1:5" s="74" customFormat="1" ht="15" customHeight="1" x14ac:dyDescent="0.25">
      <c r="A1208" s="189"/>
      <c r="B1208" s="192"/>
      <c r="C1208" s="217" t="s">
        <v>804</v>
      </c>
      <c r="D1208" s="125"/>
      <c r="E1208" s="81" t="s">
        <v>981</v>
      </c>
    </row>
    <row r="1209" spans="1:5" s="115" customFormat="1" ht="15" customHeight="1" x14ac:dyDescent="0.25">
      <c r="A1209" s="189"/>
      <c r="B1209" s="192"/>
      <c r="C1209" s="111" t="s">
        <v>819</v>
      </c>
      <c r="D1209" s="164"/>
      <c r="E1209" s="94" t="s">
        <v>982</v>
      </c>
    </row>
    <row r="1210" spans="1:5" s="74" customFormat="1" ht="15" customHeight="1" x14ac:dyDescent="0.25">
      <c r="A1210" s="189"/>
      <c r="B1210" s="192"/>
      <c r="C1210" s="217" t="s">
        <v>805</v>
      </c>
      <c r="D1210" s="125"/>
      <c r="E1210" s="81" t="s">
        <v>983</v>
      </c>
    </row>
    <row r="1211" spans="1:5" s="74" customFormat="1" ht="15" customHeight="1" x14ac:dyDescent="0.25">
      <c r="A1211" s="189"/>
      <c r="B1211" s="192"/>
      <c r="C1211" s="217" t="s">
        <v>806</v>
      </c>
      <c r="D1211" s="125"/>
      <c r="E1211" s="81" t="s">
        <v>984</v>
      </c>
    </row>
    <row r="1212" spans="1:5" s="74" customFormat="1" ht="15" customHeight="1" x14ac:dyDescent="0.25">
      <c r="A1212" s="189"/>
      <c r="B1212" s="192"/>
      <c r="C1212" s="217" t="s">
        <v>807</v>
      </c>
      <c r="D1212" s="125"/>
      <c r="E1212" s="81" t="s">
        <v>985</v>
      </c>
    </row>
    <row r="1213" spans="1:5" s="74" customFormat="1" ht="15" customHeight="1" x14ac:dyDescent="0.25">
      <c r="A1213" s="189"/>
      <c r="B1213" s="192"/>
      <c r="C1213" s="217" t="s">
        <v>808</v>
      </c>
      <c r="D1213" s="125"/>
      <c r="E1213" s="81" t="s">
        <v>986</v>
      </c>
    </row>
    <row r="1214" spans="1:5" s="74" customFormat="1" ht="15" customHeight="1" x14ac:dyDescent="0.25">
      <c r="A1214" s="189"/>
      <c r="B1214" s="192"/>
      <c r="C1214" s="217" t="s">
        <v>809</v>
      </c>
      <c r="D1214" s="125"/>
      <c r="E1214" s="81" t="s">
        <v>987</v>
      </c>
    </row>
    <row r="1215" spans="1:5" s="74" customFormat="1" ht="15" customHeight="1" x14ac:dyDescent="0.25">
      <c r="A1215" s="189"/>
      <c r="B1215" s="192"/>
      <c r="C1215" s="217" t="s">
        <v>810</v>
      </c>
      <c r="D1215" s="125"/>
      <c r="E1215" s="81" t="s">
        <v>988</v>
      </c>
    </row>
    <row r="1216" spans="1:5" s="74" customFormat="1" ht="15" customHeight="1" x14ac:dyDescent="0.25">
      <c r="A1216" s="189"/>
      <c r="B1216" s="192"/>
      <c r="C1216" s="217" t="s">
        <v>811</v>
      </c>
      <c r="D1216" s="125"/>
      <c r="E1216" s="81" t="s">
        <v>989</v>
      </c>
    </row>
    <row r="1217" spans="1:5" s="74" customFormat="1" ht="15" customHeight="1" x14ac:dyDescent="0.25">
      <c r="A1217" s="189"/>
      <c r="B1217" s="192"/>
      <c r="C1217" s="217" t="s">
        <v>812</v>
      </c>
      <c r="D1217" s="125"/>
      <c r="E1217" s="81" t="s">
        <v>990</v>
      </c>
    </row>
    <row r="1218" spans="1:5" s="74" customFormat="1" ht="15" customHeight="1" x14ac:dyDescent="0.25">
      <c r="A1218" s="189"/>
      <c r="B1218" s="192"/>
      <c r="C1218" s="217" t="s">
        <v>813</v>
      </c>
      <c r="D1218" s="125"/>
      <c r="E1218" s="81" t="s">
        <v>991</v>
      </c>
    </row>
    <row r="1219" spans="1:5" s="74" customFormat="1" ht="15" customHeight="1" x14ac:dyDescent="0.25">
      <c r="A1219" s="189"/>
      <c r="B1219" s="192"/>
      <c r="C1219" s="217" t="s">
        <v>814</v>
      </c>
      <c r="D1219" s="125"/>
      <c r="E1219" s="81" t="s">
        <v>992</v>
      </c>
    </row>
    <row r="1220" spans="1:5" s="74" customFormat="1" ht="15" customHeight="1" x14ac:dyDescent="0.25">
      <c r="A1220" s="189"/>
      <c r="B1220" s="192"/>
      <c r="C1220" s="217" t="s">
        <v>815</v>
      </c>
      <c r="D1220" s="125"/>
      <c r="E1220" s="81" t="s">
        <v>993</v>
      </c>
    </row>
    <row r="1221" spans="1:5" s="115" customFormat="1" ht="15" customHeight="1" x14ac:dyDescent="0.25">
      <c r="A1221" s="189"/>
      <c r="B1221" s="192"/>
      <c r="C1221" s="111" t="s">
        <v>820</v>
      </c>
      <c r="D1221" s="164"/>
      <c r="E1221" s="94" t="s">
        <v>994</v>
      </c>
    </row>
    <row r="1222" spans="1:5" s="74" customFormat="1" ht="15" customHeight="1" x14ac:dyDescent="0.25">
      <c r="A1222" s="189"/>
      <c r="B1222" s="192"/>
      <c r="C1222" s="217" t="s">
        <v>681</v>
      </c>
      <c r="D1222" s="125"/>
      <c r="E1222" s="81" t="s">
        <v>995</v>
      </c>
    </row>
    <row r="1223" spans="1:5" s="74" customFormat="1" ht="15" customHeight="1" x14ac:dyDescent="0.25">
      <c r="A1223" s="189"/>
      <c r="B1223" s="192"/>
      <c r="C1223" s="217" t="s">
        <v>682</v>
      </c>
      <c r="D1223" s="125"/>
      <c r="E1223" s="81" t="s">
        <v>996</v>
      </c>
    </row>
    <row r="1224" spans="1:5" s="74" customFormat="1" ht="15" customHeight="1" x14ac:dyDescent="0.25">
      <c r="A1224" s="189"/>
      <c r="B1224" s="192"/>
      <c r="C1224" s="217" t="s">
        <v>683</v>
      </c>
      <c r="D1224" s="125"/>
      <c r="E1224" s="81" t="s">
        <v>997</v>
      </c>
    </row>
    <row r="1225" spans="1:5" s="74" customFormat="1" ht="15" customHeight="1" x14ac:dyDescent="0.25">
      <c r="A1225" s="189"/>
      <c r="B1225" s="192"/>
      <c r="C1225" s="217" t="s">
        <v>684</v>
      </c>
      <c r="D1225" s="125"/>
      <c r="E1225" s="81" t="s">
        <v>998</v>
      </c>
    </row>
    <row r="1226" spans="1:5" s="115" customFormat="1" ht="15" customHeight="1" x14ac:dyDescent="0.25">
      <c r="A1226" s="189"/>
      <c r="B1226" s="192"/>
      <c r="C1226" s="111" t="s">
        <v>821</v>
      </c>
      <c r="D1226" s="164"/>
      <c r="E1226" s="94" t="s">
        <v>999</v>
      </c>
    </row>
    <row r="1227" spans="1:5" s="74" customFormat="1" ht="15" customHeight="1" x14ac:dyDescent="0.25">
      <c r="A1227" s="189"/>
      <c r="B1227" s="192"/>
      <c r="C1227" s="217" t="s">
        <v>685</v>
      </c>
      <c r="D1227" s="125"/>
      <c r="E1227" s="81" t="s">
        <v>1000</v>
      </c>
    </row>
    <row r="1228" spans="1:5" s="74" customFormat="1" ht="15" customHeight="1" x14ac:dyDescent="0.25">
      <c r="A1228" s="189"/>
      <c r="B1228" s="192"/>
      <c r="C1228" s="217" t="s">
        <v>686</v>
      </c>
      <c r="D1228" s="125"/>
      <c r="E1228" s="81" t="s">
        <v>1001</v>
      </c>
    </row>
    <row r="1229" spans="1:5" s="115" customFormat="1" ht="15" customHeight="1" x14ac:dyDescent="0.25">
      <c r="A1229" s="189"/>
      <c r="B1229" s="192"/>
      <c r="C1229" s="111" t="s">
        <v>822</v>
      </c>
      <c r="D1229" s="164"/>
      <c r="E1229" s="94" t="s">
        <v>1002</v>
      </c>
    </row>
    <row r="1230" spans="1:5" s="74" customFormat="1" ht="15" customHeight="1" x14ac:dyDescent="0.25">
      <c r="A1230" s="189"/>
      <c r="B1230" s="192"/>
      <c r="C1230" s="217" t="s">
        <v>486</v>
      </c>
      <c r="D1230" s="125"/>
      <c r="E1230" s="81" t="s">
        <v>1003</v>
      </c>
    </row>
    <row r="1231" spans="1:5" s="74" customFormat="1" ht="15" customHeight="1" x14ac:dyDescent="0.25">
      <c r="A1231" s="189"/>
      <c r="B1231" s="192"/>
      <c r="C1231" s="217" t="s">
        <v>487</v>
      </c>
      <c r="D1231" s="125"/>
      <c r="E1231" s="81" t="s">
        <v>1004</v>
      </c>
    </row>
    <row r="1232" spans="1:5" s="74" customFormat="1" ht="15" customHeight="1" x14ac:dyDescent="0.25">
      <c r="A1232" s="189"/>
      <c r="B1232" s="192"/>
      <c r="C1232" s="217" t="s">
        <v>492</v>
      </c>
      <c r="D1232" s="125"/>
      <c r="E1232" s="81" t="s">
        <v>1005</v>
      </c>
    </row>
    <row r="1233" spans="1:5" s="74" customFormat="1" ht="15" customHeight="1" x14ac:dyDescent="0.25">
      <c r="A1233" s="189"/>
      <c r="B1233" s="192"/>
      <c r="C1233" s="217" t="s">
        <v>493</v>
      </c>
      <c r="D1233" s="125"/>
      <c r="E1233" s="81" t="s">
        <v>1006</v>
      </c>
    </row>
    <row r="1234" spans="1:5" s="115" customFormat="1" ht="15" customHeight="1" x14ac:dyDescent="0.25">
      <c r="A1234" s="189"/>
      <c r="B1234" s="192"/>
      <c r="C1234" s="111" t="s">
        <v>586</v>
      </c>
      <c r="D1234" s="164"/>
      <c r="E1234" s="94" t="s">
        <v>1007</v>
      </c>
    </row>
    <row r="1235" spans="1:5" s="74" customFormat="1" ht="15" customHeight="1" x14ac:dyDescent="0.25">
      <c r="A1235" s="189"/>
      <c r="B1235" s="192"/>
      <c r="C1235" s="217" t="s">
        <v>496</v>
      </c>
      <c r="D1235" s="125"/>
      <c r="E1235" s="81" t="s">
        <v>1008</v>
      </c>
    </row>
    <row r="1236" spans="1:5" s="74" customFormat="1" ht="15" customHeight="1" x14ac:dyDescent="0.25">
      <c r="A1236" s="189"/>
      <c r="B1236" s="192"/>
      <c r="C1236" s="217" t="s">
        <v>497</v>
      </c>
      <c r="D1236" s="125"/>
      <c r="E1236" s="81" t="s">
        <v>1009</v>
      </c>
    </row>
    <row r="1237" spans="1:5" s="74" customFormat="1" ht="15" customHeight="1" x14ac:dyDescent="0.25">
      <c r="A1237" s="189"/>
      <c r="B1237" s="192"/>
      <c r="C1237" s="217" t="s">
        <v>498</v>
      </c>
      <c r="D1237" s="125"/>
      <c r="E1237" s="81" t="s">
        <v>1010</v>
      </c>
    </row>
    <row r="1238" spans="1:5" s="74" customFormat="1" ht="15" customHeight="1" x14ac:dyDescent="0.25">
      <c r="A1238" s="189"/>
      <c r="B1238" s="192"/>
      <c r="C1238" s="217" t="s">
        <v>499</v>
      </c>
      <c r="D1238" s="125"/>
      <c r="E1238" s="81" t="s">
        <v>1011</v>
      </c>
    </row>
    <row r="1239" spans="1:5" s="74" customFormat="1" ht="15" customHeight="1" x14ac:dyDescent="0.25">
      <c r="A1239" s="189"/>
      <c r="B1239" s="192"/>
      <c r="C1239" s="217" t="s">
        <v>500</v>
      </c>
      <c r="D1239" s="125"/>
      <c r="E1239" s="81" t="s">
        <v>1012</v>
      </c>
    </row>
    <row r="1240" spans="1:5" s="74" customFormat="1" ht="15" customHeight="1" x14ac:dyDescent="0.25">
      <c r="A1240" s="189"/>
      <c r="B1240" s="192"/>
      <c r="C1240" s="217" t="s">
        <v>501</v>
      </c>
      <c r="D1240" s="125"/>
      <c r="E1240" s="81" t="s">
        <v>1013</v>
      </c>
    </row>
    <row r="1241" spans="1:5" s="74" customFormat="1" ht="15" customHeight="1" x14ac:dyDescent="0.25">
      <c r="A1241" s="189"/>
      <c r="B1241" s="192"/>
      <c r="C1241" s="217" t="s">
        <v>502</v>
      </c>
      <c r="D1241" s="125"/>
      <c r="E1241" s="81" t="s">
        <v>1014</v>
      </c>
    </row>
    <row r="1242" spans="1:5" s="74" customFormat="1" ht="15" customHeight="1" x14ac:dyDescent="0.25">
      <c r="A1242" s="189"/>
      <c r="B1242" s="192"/>
      <c r="C1242" s="217" t="s">
        <v>503</v>
      </c>
      <c r="D1242" s="125"/>
      <c r="E1242" s="81" t="s">
        <v>1015</v>
      </c>
    </row>
    <row r="1243" spans="1:5" s="74" customFormat="1" ht="15" customHeight="1" x14ac:dyDescent="0.25">
      <c r="A1243" s="189"/>
      <c r="B1243" s="192"/>
      <c r="C1243" s="218" t="s">
        <v>504</v>
      </c>
      <c r="D1243" s="126"/>
      <c r="E1243" s="53" t="s">
        <v>1016</v>
      </c>
    </row>
    <row r="1244" spans="1:5" s="115" customFormat="1" ht="15" customHeight="1" x14ac:dyDescent="0.25">
      <c r="A1244" s="189"/>
      <c r="B1244" s="192"/>
      <c r="C1244" s="111" t="s">
        <v>861</v>
      </c>
      <c r="D1244" s="164"/>
      <c r="E1244" s="94" t="s">
        <v>978</v>
      </c>
    </row>
    <row r="1245" spans="1:5" s="115" customFormat="1" ht="15" customHeight="1" x14ac:dyDescent="0.25">
      <c r="A1245" s="189"/>
      <c r="B1245" s="192"/>
      <c r="C1245" s="111" t="s">
        <v>862</v>
      </c>
      <c r="D1245" s="164"/>
      <c r="E1245" s="94" t="s">
        <v>979</v>
      </c>
    </row>
    <row r="1246" spans="1:5" s="74" customFormat="1" ht="15" customHeight="1" x14ac:dyDescent="0.25">
      <c r="A1246" s="189"/>
      <c r="B1246" s="192"/>
      <c r="C1246" s="217" t="s">
        <v>803</v>
      </c>
      <c r="D1246" s="125"/>
      <c r="E1246" s="81" t="s">
        <v>980</v>
      </c>
    </row>
    <row r="1247" spans="1:5" s="74" customFormat="1" ht="15" customHeight="1" x14ac:dyDescent="0.25">
      <c r="A1247" s="189"/>
      <c r="B1247" s="192"/>
      <c r="C1247" s="217" t="s">
        <v>804</v>
      </c>
      <c r="D1247" s="125"/>
      <c r="E1247" s="81" t="s">
        <v>981</v>
      </c>
    </row>
    <row r="1248" spans="1:5" s="115" customFormat="1" ht="15" customHeight="1" x14ac:dyDescent="0.25">
      <c r="A1248" s="189"/>
      <c r="B1248" s="192"/>
      <c r="C1248" s="111" t="s">
        <v>863</v>
      </c>
      <c r="D1248" s="164"/>
      <c r="E1248" s="94" t="s">
        <v>1017</v>
      </c>
    </row>
    <row r="1249" spans="1:5" s="74" customFormat="1" ht="15" customHeight="1" x14ac:dyDescent="0.25">
      <c r="A1249" s="189"/>
      <c r="B1249" s="192"/>
      <c r="C1249" s="217" t="s">
        <v>805</v>
      </c>
      <c r="D1249" s="125"/>
      <c r="E1249" s="81" t="s">
        <v>1018</v>
      </c>
    </row>
    <row r="1250" spans="1:5" s="74" customFormat="1" ht="15" customHeight="1" x14ac:dyDescent="0.25">
      <c r="A1250" s="189"/>
      <c r="B1250" s="192"/>
      <c r="C1250" s="217" t="s">
        <v>806</v>
      </c>
      <c r="D1250" s="125"/>
      <c r="E1250" s="81" t="s">
        <v>1019</v>
      </c>
    </row>
    <row r="1251" spans="1:5" s="74" customFormat="1" ht="15" customHeight="1" x14ac:dyDescent="0.25">
      <c r="A1251" s="189"/>
      <c r="B1251" s="192"/>
      <c r="C1251" s="217" t="s">
        <v>807</v>
      </c>
      <c r="D1251" s="125"/>
      <c r="E1251" s="81" t="s">
        <v>1020</v>
      </c>
    </row>
    <row r="1252" spans="1:5" s="74" customFormat="1" ht="15" customHeight="1" x14ac:dyDescent="0.25">
      <c r="A1252" s="189"/>
      <c r="B1252" s="192"/>
      <c r="C1252" s="217" t="s">
        <v>808</v>
      </c>
      <c r="D1252" s="125"/>
      <c r="E1252" s="81" t="s">
        <v>1021</v>
      </c>
    </row>
    <row r="1253" spans="1:5" s="74" customFormat="1" ht="15" customHeight="1" x14ac:dyDescent="0.25">
      <c r="A1253" s="189"/>
      <c r="B1253" s="192"/>
      <c r="C1253" s="217" t="s">
        <v>809</v>
      </c>
      <c r="D1253" s="125"/>
      <c r="E1253" s="81" t="s">
        <v>1022</v>
      </c>
    </row>
    <row r="1254" spans="1:5" s="74" customFormat="1" ht="15" customHeight="1" x14ac:dyDescent="0.25">
      <c r="A1254" s="189"/>
      <c r="B1254" s="192"/>
      <c r="C1254" s="217" t="s">
        <v>810</v>
      </c>
      <c r="D1254" s="125"/>
      <c r="E1254" s="81" t="s">
        <v>1023</v>
      </c>
    </row>
    <row r="1255" spans="1:5" s="74" customFormat="1" ht="15" customHeight="1" x14ac:dyDescent="0.25">
      <c r="A1255" s="189"/>
      <c r="B1255" s="192"/>
      <c r="C1255" s="217" t="s">
        <v>811</v>
      </c>
      <c r="D1255" s="125"/>
      <c r="E1255" s="81" t="s">
        <v>1024</v>
      </c>
    </row>
    <row r="1256" spans="1:5" s="74" customFormat="1" ht="15" customHeight="1" x14ac:dyDescent="0.25">
      <c r="A1256" s="189"/>
      <c r="B1256" s="192"/>
      <c r="C1256" s="217" t="s">
        <v>812</v>
      </c>
      <c r="D1256" s="125"/>
      <c r="E1256" s="81" t="s">
        <v>1025</v>
      </c>
    </row>
    <row r="1257" spans="1:5" s="74" customFormat="1" ht="15" customHeight="1" x14ac:dyDescent="0.25">
      <c r="A1257" s="189"/>
      <c r="B1257" s="192"/>
      <c r="C1257" s="217" t="s">
        <v>813</v>
      </c>
      <c r="D1257" s="125"/>
      <c r="E1257" s="81" t="s">
        <v>1026</v>
      </c>
    </row>
    <row r="1258" spans="1:5" s="74" customFormat="1" ht="15" customHeight="1" x14ac:dyDescent="0.25">
      <c r="A1258" s="189"/>
      <c r="B1258" s="192"/>
      <c r="C1258" s="217" t="s">
        <v>814</v>
      </c>
      <c r="D1258" s="125"/>
      <c r="E1258" s="81" t="s">
        <v>1027</v>
      </c>
    </row>
    <row r="1259" spans="1:5" s="74" customFormat="1" ht="15" customHeight="1" x14ac:dyDescent="0.25">
      <c r="A1259" s="189"/>
      <c r="B1259" s="192"/>
      <c r="C1259" s="217" t="s">
        <v>815</v>
      </c>
      <c r="D1259" s="125"/>
      <c r="E1259" s="81" t="s">
        <v>1028</v>
      </c>
    </row>
    <row r="1260" spans="1:5" s="115" customFormat="1" ht="15" customHeight="1" x14ac:dyDescent="0.25">
      <c r="A1260" s="189"/>
      <c r="B1260" s="192"/>
      <c r="C1260" s="111" t="s">
        <v>864</v>
      </c>
      <c r="D1260" s="164"/>
      <c r="E1260" s="94" t="s">
        <v>1029</v>
      </c>
    </row>
    <row r="1261" spans="1:5" s="74" customFormat="1" ht="15" customHeight="1" x14ac:dyDescent="0.25">
      <c r="A1261" s="189"/>
      <c r="B1261" s="192"/>
      <c r="C1261" s="217" t="s">
        <v>681</v>
      </c>
      <c r="D1261" s="125"/>
      <c r="E1261" s="81" t="s">
        <v>1030</v>
      </c>
    </row>
    <row r="1262" spans="1:5" s="74" customFormat="1" ht="15" customHeight="1" x14ac:dyDescent="0.25">
      <c r="A1262" s="189"/>
      <c r="B1262" s="192"/>
      <c r="C1262" s="217" t="s">
        <v>682</v>
      </c>
      <c r="D1262" s="125"/>
      <c r="E1262" s="81" t="s">
        <v>1031</v>
      </c>
    </row>
    <row r="1263" spans="1:5" s="74" customFormat="1" ht="15" customHeight="1" x14ac:dyDescent="0.25">
      <c r="A1263" s="189"/>
      <c r="B1263" s="192"/>
      <c r="C1263" s="217" t="s">
        <v>683</v>
      </c>
      <c r="D1263" s="125"/>
      <c r="E1263" s="81" t="s">
        <v>1032</v>
      </c>
    </row>
    <row r="1264" spans="1:5" s="74" customFormat="1" ht="15" customHeight="1" x14ac:dyDescent="0.25">
      <c r="A1264" s="189"/>
      <c r="B1264" s="192"/>
      <c r="C1264" s="217" t="s">
        <v>684</v>
      </c>
      <c r="D1264" s="125"/>
      <c r="E1264" s="81" t="s">
        <v>1033</v>
      </c>
    </row>
    <row r="1265" spans="1:5" s="115" customFormat="1" ht="15" customHeight="1" x14ac:dyDescent="0.25">
      <c r="A1265" s="189"/>
      <c r="B1265" s="192"/>
      <c r="C1265" s="111" t="s">
        <v>865</v>
      </c>
      <c r="D1265" s="164"/>
      <c r="E1265" s="94" t="s">
        <v>1034</v>
      </c>
    </row>
    <row r="1266" spans="1:5" s="74" customFormat="1" ht="15" customHeight="1" x14ac:dyDescent="0.25">
      <c r="A1266" s="189"/>
      <c r="B1266" s="192"/>
      <c r="C1266" s="217" t="s">
        <v>685</v>
      </c>
      <c r="D1266" s="125"/>
      <c r="E1266" s="81" t="s">
        <v>1035</v>
      </c>
    </row>
    <row r="1267" spans="1:5" s="74" customFormat="1" ht="15" customHeight="1" x14ac:dyDescent="0.25">
      <c r="A1267" s="189"/>
      <c r="B1267" s="192"/>
      <c r="C1267" s="217" t="s">
        <v>686</v>
      </c>
      <c r="D1267" s="125"/>
      <c r="E1267" s="81" t="s">
        <v>1036</v>
      </c>
    </row>
    <row r="1268" spans="1:5" s="115" customFormat="1" ht="15" customHeight="1" x14ac:dyDescent="0.25">
      <c r="A1268" s="189"/>
      <c r="B1268" s="192"/>
      <c r="C1268" s="111" t="s">
        <v>866</v>
      </c>
      <c r="D1268" s="164"/>
      <c r="E1268" s="94" t="s">
        <v>1037</v>
      </c>
    </row>
    <row r="1269" spans="1:5" s="74" customFormat="1" ht="15" customHeight="1" x14ac:dyDescent="0.25">
      <c r="A1269" s="189"/>
      <c r="B1269" s="192"/>
      <c r="C1269" s="217" t="s">
        <v>486</v>
      </c>
      <c r="D1269" s="125"/>
      <c r="E1269" s="81" t="s">
        <v>1038</v>
      </c>
    </row>
    <row r="1270" spans="1:5" s="74" customFormat="1" ht="15" customHeight="1" x14ac:dyDescent="0.25">
      <c r="A1270" s="189"/>
      <c r="B1270" s="192"/>
      <c r="C1270" s="217" t="s">
        <v>487</v>
      </c>
      <c r="D1270" s="125"/>
      <c r="E1270" s="81" t="s">
        <v>1039</v>
      </c>
    </row>
    <row r="1271" spans="1:5" s="74" customFormat="1" ht="15" customHeight="1" x14ac:dyDescent="0.25">
      <c r="A1271" s="189"/>
      <c r="B1271" s="192"/>
      <c r="C1271" s="217" t="s">
        <v>492</v>
      </c>
      <c r="D1271" s="125"/>
      <c r="E1271" s="81" t="s">
        <v>1040</v>
      </c>
    </row>
    <row r="1272" spans="1:5" s="74" customFormat="1" ht="15" customHeight="1" x14ac:dyDescent="0.25">
      <c r="A1272" s="189"/>
      <c r="B1272" s="192"/>
      <c r="C1272" s="217" t="s">
        <v>493</v>
      </c>
      <c r="D1272" s="125"/>
      <c r="E1272" s="81" t="s">
        <v>1041</v>
      </c>
    </row>
    <row r="1273" spans="1:5" s="115" customFormat="1" ht="15" customHeight="1" x14ac:dyDescent="0.25">
      <c r="A1273" s="189"/>
      <c r="B1273" s="192"/>
      <c r="C1273" s="111" t="s">
        <v>526</v>
      </c>
      <c r="D1273" s="164"/>
      <c r="E1273" s="94" t="s">
        <v>1042</v>
      </c>
    </row>
    <row r="1274" spans="1:5" s="74" customFormat="1" ht="15" customHeight="1" x14ac:dyDescent="0.25">
      <c r="A1274" s="189"/>
      <c r="B1274" s="192"/>
      <c r="C1274" s="217" t="s">
        <v>496</v>
      </c>
      <c r="D1274" s="125"/>
      <c r="E1274" s="81" t="s">
        <v>1043</v>
      </c>
    </row>
    <row r="1275" spans="1:5" s="74" customFormat="1" ht="15" customHeight="1" x14ac:dyDescent="0.25">
      <c r="A1275" s="189"/>
      <c r="B1275" s="192"/>
      <c r="C1275" s="217" t="s">
        <v>497</v>
      </c>
      <c r="D1275" s="125"/>
      <c r="E1275" s="81" t="s">
        <v>1044</v>
      </c>
    </row>
    <row r="1276" spans="1:5" s="74" customFormat="1" ht="15" customHeight="1" x14ac:dyDescent="0.25">
      <c r="A1276" s="189"/>
      <c r="B1276" s="192"/>
      <c r="C1276" s="217" t="s">
        <v>498</v>
      </c>
      <c r="D1276" s="125"/>
      <c r="E1276" s="81" t="s">
        <v>1045</v>
      </c>
    </row>
    <row r="1277" spans="1:5" s="74" customFormat="1" ht="15" customHeight="1" x14ac:dyDescent="0.25">
      <c r="A1277" s="189"/>
      <c r="B1277" s="192"/>
      <c r="C1277" s="217" t="s">
        <v>499</v>
      </c>
      <c r="D1277" s="125"/>
      <c r="E1277" s="81" t="s">
        <v>1046</v>
      </c>
    </row>
    <row r="1278" spans="1:5" s="74" customFormat="1" ht="15" customHeight="1" x14ac:dyDescent="0.25">
      <c r="A1278" s="189"/>
      <c r="B1278" s="192"/>
      <c r="C1278" s="217" t="s">
        <v>500</v>
      </c>
      <c r="D1278" s="125"/>
      <c r="E1278" s="81" t="s">
        <v>1047</v>
      </c>
    </row>
    <row r="1279" spans="1:5" s="74" customFormat="1" ht="15" customHeight="1" x14ac:dyDescent="0.25">
      <c r="A1279" s="189"/>
      <c r="B1279" s="192"/>
      <c r="C1279" s="217" t="s">
        <v>501</v>
      </c>
      <c r="D1279" s="125"/>
      <c r="E1279" s="81" t="s">
        <v>1048</v>
      </c>
    </row>
    <row r="1280" spans="1:5" s="74" customFormat="1" ht="15" customHeight="1" x14ac:dyDescent="0.25">
      <c r="A1280" s="189"/>
      <c r="B1280" s="192"/>
      <c r="C1280" s="217" t="s">
        <v>502</v>
      </c>
      <c r="D1280" s="125"/>
      <c r="E1280" s="81" t="s">
        <v>1049</v>
      </c>
    </row>
    <row r="1281" spans="1:8" s="74" customFormat="1" ht="15" customHeight="1" x14ac:dyDescent="0.25">
      <c r="A1281" s="189"/>
      <c r="B1281" s="192"/>
      <c r="C1281" s="217" t="s">
        <v>503</v>
      </c>
      <c r="D1281" s="125"/>
      <c r="E1281" s="81" t="s">
        <v>1050</v>
      </c>
    </row>
    <row r="1282" spans="1:8" s="74" customFormat="1" ht="15" customHeight="1" x14ac:dyDescent="0.25">
      <c r="A1282" s="189"/>
      <c r="B1282" s="192"/>
      <c r="C1282" s="217" t="s">
        <v>504</v>
      </c>
      <c r="D1282" s="125"/>
      <c r="E1282" s="81" t="s">
        <v>1051</v>
      </c>
    </row>
    <row r="1283" spans="1:8" ht="15" customHeight="1" x14ac:dyDescent="0.25">
      <c r="A1283" s="189"/>
      <c r="B1283" s="199" t="s">
        <v>1064</v>
      </c>
      <c r="C1283" s="237"/>
      <c r="D1283" s="153"/>
      <c r="E1283" s="77" t="s">
        <v>1075</v>
      </c>
      <c r="H1283" s="76"/>
    </row>
    <row r="1284" spans="1:8" ht="15" customHeight="1" x14ac:dyDescent="0.25">
      <c r="A1284" s="189"/>
      <c r="B1284" s="199"/>
      <c r="C1284" s="238"/>
      <c r="D1284" s="153"/>
      <c r="E1284" s="114"/>
    </row>
    <row r="1285" spans="1:8" ht="15" customHeight="1" x14ac:dyDescent="0.25">
      <c r="A1285" s="189"/>
      <c r="B1285" s="199"/>
      <c r="C1285" s="238"/>
      <c r="D1285" s="153"/>
      <c r="E1285" s="114"/>
    </row>
    <row r="1286" spans="1:8" ht="15" customHeight="1" x14ac:dyDescent="0.25">
      <c r="A1286" s="189"/>
      <c r="B1286" s="199"/>
      <c r="C1286" s="238"/>
      <c r="D1286" s="153"/>
      <c r="E1286" s="114"/>
    </row>
    <row r="1287" spans="1:8" ht="15" customHeight="1" x14ac:dyDescent="0.25">
      <c r="A1287" s="189"/>
      <c r="B1287" s="199"/>
      <c r="C1287" s="238"/>
      <c r="D1287" s="153"/>
      <c r="E1287" s="114"/>
    </row>
    <row r="1288" spans="1:8" ht="15" customHeight="1" x14ac:dyDescent="0.25">
      <c r="A1288" s="189"/>
      <c r="B1288" s="199"/>
      <c r="C1288" s="238"/>
      <c r="D1288" s="153"/>
      <c r="E1288" s="114"/>
    </row>
    <row r="1289" spans="1:8" ht="15" customHeight="1" x14ac:dyDescent="0.25">
      <c r="A1289" s="189"/>
      <c r="B1289" s="199"/>
      <c r="C1289" s="238"/>
      <c r="D1289" s="153"/>
      <c r="E1289" s="114"/>
    </row>
    <row r="1290" spans="1:8" ht="15" customHeight="1" x14ac:dyDescent="0.25">
      <c r="A1290" s="189"/>
      <c r="B1290" s="199"/>
      <c r="C1290" s="238"/>
      <c r="D1290" s="153"/>
      <c r="E1290" s="114"/>
    </row>
    <row r="1291" spans="1:8" ht="15" customHeight="1" x14ac:dyDescent="0.25">
      <c r="A1291" s="189"/>
      <c r="B1291" s="199"/>
      <c r="C1291" s="238"/>
      <c r="D1291" s="153"/>
      <c r="E1291" s="114"/>
    </row>
    <row r="1292" spans="1:8" ht="15" customHeight="1" x14ac:dyDescent="0.25">
      <c r="A1292" s="189"/>
      <c r="B1292" s="199"/>
      <c r="C1292" s="238"/>
      <c r="D1292" s="153"/>
      <c r="E1292" s="114"/>
    </row>
    <row r="1293" spans="1:8" ht="15" customHeight="1" x14ac:dyDescent="0.25">
      <c r="A1293" s="189"/>
      <c r="B1293" s="199"/>
      <c r="C1293" s="238"/>
      <c r="D1293" s="153"/>
      <c r="E1293" s="114"/>
    </row>
    <row r="1294" spans="1:8" ht="15" customHeight="1" x14ac:dyDescent="0.25">
      <c r="A1294" s="189"/>
      <c r="B1294" s="199"/>
      <c r="C1294" s="238"/>
      <c r="D1294" s="153"/>
      <c r="E1294" s="114"/>
    </row>
    <row r="1295" spans="1:8" ht="15" customHeight="1" x14ac:dyDescent="0.25">
      <c r="A1295" s="189"/>
      <c r="B1295" s="199"/>
      <c r="C1295" s="238"/>
      <c r="D1295" s="153"/>
      <c r="E1295" s="114"/>
    </row>
    <row r="1296" spans="1:8" ht="15" customHeight="1" x14ac:dyDescent="0.25">
      <c r="A1296" s="189"/>
      <c r="B1296" s="199"/>
      <c r="C1296" s="238"/>
      <c r="D1296" s="153"/>
      <c r="E1296" s="114"/>
    </row>
    <row r="1297" spans="1:6" ht="15" customHeight="1" x14ac:dyDescent="0.25">
      <c r="A1297" s="189"/>
      <c r="B1297" s="199"/>
      <c r="C1297" s="238"/>
      <c r="D1297" s="153"/>
      <c r="E1297" s="114"/>
    </row>
    <row r="1298" spans="1:6" ht="15" customHeight="1" x14ac:dyDescent="0.25">
      <c r="A1298" s="189"/>
      <c r="B1298" s="199"/>
      <c r="C1298" s="237"/>
      <c r="D1298" s="153"/>
      <c r="E1298" s="114"/>
    </row>
    <row r="1299" spans="1:6" ht="15" customHeight="1" x14ac:dyDescent="0.25">
      <c r="A1299" s="189"/>
      <c r="B1299" s="194" t="s">
        <v>1065</v>
      </c>
      <c r="C1299" s="239" t="s">
        <v>574</v>
      </c>
      <c r="D1299" s="149"/>
      <c r="E1299" s="71"/>
    </row>
    <row r="1300" spans="1:6" s="74" customFormat="1" ht="15" customHeight="1" x14ac:dyDescent="0.25">
      <c r="A1300" s="189"/>
      <c r="B1300" s="194"/>
      <c r="C1300" s="240" t="s">
        <v>1060</v>
      </c>
      <c r="D1300" s="149"/>
      <c r="E1300" s="83"/>
    </row>
    <row r="1301" spans="1:6" ht="15" customHeight="1" x14ac:dyDescent="0.25">
      <c r="A1301" s="189"/>
      <c r="B1301" s="194"/>
      <c r="C1301" s="240" t="s">
        <v>1061</v>
      </c>
      <c r="D1301" s="149"/>
      <c r="E1301" s="71"/>
    </row>
    <row r="1302" spans="1:6" ht="15" customHeight="1" x14ac:dyDescent="0.25">
      <c r="A1302" s="189"/>
      <c r="B1302" s="194"/>
      <c r="C1302" s="241" t="s">
        <v>1062</v>
      </c>
      <c r="D1302" s="154"/>
      <c r="E1302" s="110"/>
    </row>
    <row r="1303" spans="1:6" s="74" customFormat="1" ht="15" customHeight="1" x14ac:dyDescent="0.25">
      <c r="A1303" s="189"/>
      <c r="B1303" s="194"/>
      <c r="C1303" s="242" t="s">
        <v>476</v>
      </c>
      <c r="D1303" s="149"/>
      <c r="E1303" s="83"/>
    </row>
    <row r="1304" spans="1:6" s="74" customFormat="1" ht="15" customHeight="1" x14ac:dyDescent="0.25">
      <c r="A1304" s="189"/>
      <c r="B1304" s="194"/>
      <c r="C1304" s="240" t="s">
        <v>1060</v>
      </c>
      <c r="D1304" s="149"/>
      <c r="E1304" s="83"/>
    </row>
    <row r="1305" spans="1:6" s="74" customFormat="1" ht="15" customHeight="1" x14ac:dyDescent="0.25">
      <c r="A1305" s="189"/>
      <c r="B1305" s="194"/>
      <c r="C1305" s="240" t="s">
        <v>1061</v>
      </c>
      <c r="D1305" s="149"/>
      <c r="E1305" s="83"/>
    </row>
    <row r="1306" spans="1:6" ht="15" customHeight="1" x14ac:dyDescent="0.25">
      <c r="A1306" s="189"/>
      <c r="B1306" s="194"/>
      <c r="C1306" s="240" t="s">
        <v>1062</v>
      </c>
      <c r="D1306" s="149"/>
      <c r="E1306" s="64"/>
    </row>
    <row r="1307" spans="1:6" s="115" customFormat="1" ht="15" customHeight="1" x14ac:dyDescent="0.25">
      <c r="A1307" s="189"/>
      <c r="B1307" s="190" t="s">
        <v>1066</v>
      </c>
      <c r="C1307" s="90" t="s">
        <v>816</v>
      </c>
      <c r="D1307" s="165"/>
      <c r="E1307" s="90" t="s">
        <v>745</v>
      </c>
      <c r="F1307" s="75"/>
    </row>
    <row r="1308" spans="1:6" s="74" customFormat="1" ht="15" customHeight="1" x14ac:dyDescent="0.25">
      <c r="A1308" s="189"/>
      <c r="B1308" s="191"/>
      <c r="C1308" s="84" t="s">
        <v>669</v>
      </c>
      <c r="D1308" s="91"/>
      <c r="E1308" s="84" t="s">
        <v>746</v>
      </c>
      <c r="F1308" s="75"/>
    </row>
    <row r="1309" spans="1:6" s="74" customFormat="1" ht="15" customHeight="1" x14ac:dyDescent="0.25">
      <c r="A1309" s="189"/>
      <c r="B1309" s="191"/>
      <c r="C1309" s="84" t="s">
        <v>670</v>
      </c>
      <c r="D1309" s="91"/>
      <c r="E1309" s="84" t="s">
        <v>747</v>
      </c>
      <c r="F1309" s="75"/>
    </row>
    <row r="1310" spans="1:6" s="74" customFormat="1" ht="15" customHeight="1" x14ac:dyDescent="0.25">
      <c r="A1310" s="189"/>
      <c r="B1310" s="191"/>
      <c r="C1310" s="84" t="s">
        <v>671</v>
      </c>
      <c r="D1310" s="91"/>
      <c r="E1310" s="84" t="s">
        <v>748</v>
      </c>
      <c r="F1310" s="75"/>
    </row>
    <row r="1311" spans="1:6" s="74" customFormat="1" ht="15" customHeight="1" x14ac:dyDescent="0.25">
      <c r="A1311" s="189"/>
      <c r="B1311" s="191"/>
      <c r="C1311" s="84" t="s">
        <v>672</v>
      </c>
      <c r="D1311" s="91"/>
      <c r="E1311" s="84" t="s">
        <v>749</v>
      </c>
      <c r="F1311" s="75"/>
    </row>
    <row r="1312" spans="1:6" s="74" customFormat="1" ht="15" customHeight="1" x14ac:dyDescent="0.25">
      <c r="A1312" s="189"/>
      <c r="B1312" s="191"/>
      <c r="C1312" s="84" t="s">
        <v>673</v>
      </c>
      <c r="D1312" s="91"/>
      <c r="E1312" s="84" t="s">
        <v>750</v>
      </c>
      <c r="F1312" s="75"/>
    </row>
    <row r="1313" spans="1:6" s="74" customFormat="1" ht="15" customHeight="1" x14ac:dyDescent="0.25">
      <c r="A1313" s="189"/>
      <c r="B1313" s="191"/>
      <c r="C1313" s="84" t="s">
        <v>674</v>
      </c>
      <c r="D1313" s="91"/>
      <c r="E1313" s="84" t="s">
        <v>751</v>
      </c>
      <c r="F1313" s="75"/>
    </row>
    <row r="1314" spans="1:6" s="74" customFormat="1" ht="15" customHeight="1" x14ac:dyDescent="0.25">
      <c r="A1314" s="189"/>
      <c r="B1314" s="191"/>
      <c r="C1314" s="84" t="s">
        <v>675</v>
      </c>
      <c r="D1314" s="91"/>
      <c r="E1314" s="84" t="s">
        <v>752</v>
      </c>
      <c r="F1314" s="75"/>
    </row>
    <row r="1315" spans="1:6" s="74" customFormat="1" ht="15" customHeight="1" x14ac:dyDescent="0.25">
      <c r="A1315" s="189"/>
      <c r="B1315" s="191"/>
      <c r="C1315" s="84" t="s">
        <v>676</v>
      </c>
      <c r="D1315" s="91"/>
      <c r="E1315" s="84" t="s">
        <v>753</v>
      </c>
      <c r="F1315" s="75"/>
    </row>
    <row r="1316" spans="1:6" s="74" customFormat="1" ht="15" customHeight="1" x14ac:dyDescent="0.25">
      <c r="A1316" s="189"/>
      <c r="B1316" s="191"/>
      <c r="C1316" s="84" t="s">
        <v>677</v>
      </c>
      <c r="D1316" s="91"/>
      <c r="E1316" s="84" t="s">
        <v>754</v>
      </c>
      <c r="F1316" s="75"/>
    </row>
    <row r="1317" spans="1:6" s="74" customFormat="1" ht="15" customHeight="1" x14ac:dyDescent="0.25">
      <c r="A1317" s="189"/>
      <c r="B1317" s="191"/>
      <c r="C1317" s="84" t="s">
        <v>678</v>
      </c>
      <c r="D1317" s="91"/>
      <c r="E1317" s="84" t="s">
        <v>755</v>
      </c>
      <c r="F1317" s="75"/>
    </row>
    <row r="1318" spans="1:6" s="74" customFormat="1" ht="15" customHeight="1" x14ac:dyDescent="0.25">
      <c r="A1318" s="189"/>
      <c r="B1318" s="191"/>
      <c r="C1318" s="84" t="s">
        <v>679</v>
      </c>
      <c r="D1318" s="91"/>
      <c r="E1318" s="84" t="s">
        <v>756</v>
      </c>
      <c r="F1318" s="75"/>
    </row>
    <row r="1319" spans="1:6" s="74" customFormat="1" ht="15" customHeight="1" x14ac:dyDescent="0.25">
      <c r="A1319" s="189"/>
      <c r="B1319" s="191"/>
      <c r="C1319" s="84" t="s">
        <v>680</v>
      </c>
      <c r="D1319" s="91"/>
      <c r="E1319" s="84" t="s">
        <v>757</v>
      </c>
      <c r="F1319" s="75"/>
    </row>
    <row r="1320" spans="1:6" s="74" customFormat="1" ht="15" customHeight="1" x14ac:dyDescent="0.25">
      <c r="A1320" s="189"/>
      <c r="B1320" s="191"/>
      <c r="C1320" s="84" t="s">
        <v>681</v>
      </c>
      <c r="D1320" s="91"/>
      <c r="E1320" s="84" t="s">
        <v>758</v>
      </c>
      <c r="F1320" s="75"/>
    </row>
    <row r="1321" spans="1:6" s="74" customFormat="1" ht="15" customHeight="1" x14ac:dyDescent="0.25">
      <c r="A1321" s="189"/>
      <c r="B1321" s="191"/>
      <c r="C1321" s="84" t="s">
        <v>682</v>
      </c>
      <c r="D1321" s="91"/>
      <c r="E1321" s="84" t="s">
        <v>759</v>
      </c>
      <c r="F1321" s="75"/>
    </row>
    <row r="1322" spans="1:6" s="74" customFormat="1" ht="15" customHeight="1" x14ac:dyDescent="0.25">
      <c r="A1322" s="189"/>
      <c r="B1322" s="191"/>
      <c r="C1322" s="84" t="s">
        <v>683</v>
      </c>
      <c r="D1322" s="91"/>
      <c r="E1322" s="84" t="s">
        <v>760</v>
      </c>
      <c r="F1322" s="75"/>
    </row>
    <row r="1323" spans="1:6" s="74" customFormat="1" ht="15" customHeight="1" x14ac:dyDescent="0.25">
      <c r="A1323" s="189"/>
      <c r="B1323" s="191"/>
      <c r="C1323" s="84" t="s">
        <v>684</v>
      </c>
      <c r="D1323" s="91"/>
      <c r="E1323" s="84" t="s">
        <v>761</v>
      </c>
      <c r="F1323" s="75"/>
    </row>
    <row r="1324" spans="1:6" s="74" customFormat="1" ht="15" customHeight="1" x14ac:dyDescent="0.25">
      <c r="A1324" s="189"/>
      <c r="B1324" s="191"/>
      <c r="C1324" s="84" t="s">
        <v>685</v>
      </c>
      <c r="D1324" s="91"/>
      <c r="E1324" s="84" t="s">
        <v>762</v>
      </c>
      <c r="F1324" s="75"/>
    </row>
    <row r="1325" spans="1:6" s="74" customFormat="1" ht="15" customHeight="1" x14ac:dyDescent="0.25">
      <c r="A1325" s="189"/>
      <c r="B1325" s="191"/>
      <c r="C1325" s="84" t="s">
        <v>686</v>
      </c>
      <c r="D1325" s="91"/>
      <c r="E1325" s="84" t="s">
        <v>763</v>
      </c>
      <c r="F1325" s="75"/>
    </row>
    <row r="1326" spans="1:6" s="74" customFormat="1" ht="15" customHeight="1" x14ac:dyDescent="0.25">
      <c r="A1326" s="189"/>
      <c r="B1326" s="191"/>
      <c r="C1326" s="84" t="s">
        <v>687</v>
      </c>
      <c r="D1326" s="91"/>
      <c r="E1326" s="84" t="s">
        <v>764</v>
      </c>
      <c r="F1326" s="75"/>
    </row>
    <row r="1327" spans="1:6" s="74" customFormat="1" ht="15" customHeight="1" x14ac:dyDescent="0.25">
      <c r="A1327" s="189"/>
      <c r="B1327" s="191"/>
      <c r="C1327" s="84" t="s">
        <v>552</v>
      </c>
      <c r="D1327" s="91"/>
      <c r="E1327" s="84" t="s">
        <v>765</v>
      </c>
      <c r="F1327" s="75"/>
    </row>
    <row r="1328" spans="1:6" s="74" customFormat="1" ht="15" customHeight="1" x14ac:dyDescent="0.25">
      <c r="A1328" s="189"/>
      <c r="B1328" s="191"/>
      <c r="C1328" s="84" t="s">
        <v>553</v>
      </c>
      <c r="D1328" s="91"/>
      <c r="E1328" s="84" t="s">
        <v>766</v>
      </c>
      <c r="F1328" s="75"/>
    </row>
    <row r="1329" spans="1:6" s="74" customFormat="1" ht="15" customHeight="1" x14ac:dyDescent="0.25">
      <c r="A1329" s="189"/>
      <c r="B1329" s="191"/>
      <c r="C1329" s="84" t="s">
        <v>554</v>
      </c>
      <c r="D1329" s="91"/>
      <c r="E1329" s="84" t="s">
        <v>767</v>
      </c>
      <c r="F1329" s="75"/>
    </row>
    <row r="1330" spans="1:6" s="74" customFormat="1" ht="15" customHeight="1" x14ac:dyDescent="0.25">
      <c r="A1330" s="189"/>
      <c r="B1330" s="191"/>
      <c r="C1330" s="84" t="s">
        <v>555</v>
      </c>
      <c r="D1330" s="91"/>
      <c r="E1330" s="84" t="s">
        <v>768</v>
      </c>
      <c r="F1330" s="75"/>
    </row>
    <row r="1331" spans="1:6" s="74" customFormat="1" ht="15" customHeight="1" x14ac:dyDescent="0.25">
      <c r="A1331" s="189"/>
      <c r="B1331" s="191"/>
      <c r="C1331" s="84" t="s">
        <v>556</v>
      </c>
      <c r="D1331" s="91"/>
      <c r="E1331" s="84" t="s">
        <v>769</v>
      </c>
      <c r="F1331" s="75"/>
    </row>
    <row r="1332" spans="1:6" s="74" customFormat="1" ht="15" customHeight="1" x14ac:dyDescent="0.25">
      <c r="A1332" s="189"/>
      <c r="B1332" s="191"/>
      <c r="C1332" s="84" t="s">
        <v>557</v>
      </c>
      <c r="D1332" s="91"/>
      <c r="E1332" s="84" t="s">
        <v>770</v>
      </c>
      <c r="F1332" s="75"/>
    </row>
    <row r="1333" spans="1:6" s="74" customFormat="1" ht="15" customHeight="1" x14ac:dyDescent="0.25">
      <c r="A1333" s="189"/>
      <c r="B1333" s="191"/>
      <c r="C1333" s="84" t="s">
        <v>558</v>
      </c>
      <c r="D1333" s="91"/>
      <c r="E1333" s="84" t="s">
        <v>771</v>
      </c>
      <c r="F1333" s="75"/>
    </row>
    <row r="1334" spans="1:6" s="74" customFormat="1" ht="15" customHeight="1" x14ac:dyDescent="0.25">
      <c r="A1334" s="189"/>
      <c r="B1334" s="191"/>
      <c r="C1334" s="84" t="s">
        <v>559</v>
      </c>
      <c r="D1334" s="91"/>
      <c r="E1334" s="84" t="s">
        <v>772</v>
      </c>
      <c r="F1334" s="75"/>
    </row>
    <row r="1335" spans="1:6" s="74" customFormat="1" ht="15" customHeight="1" x14ac:dyDescent="0.25">
      <c r="A1335" s="189"/>
      <c r="B1335" s="191"/>
      <c r="C1335" s="103" t="s">
        <v>560</v>
      </c>
      <c r="D1335" s="104"/>
      <c r="E1335" s="105" t="s">
        <v>773</v>
      </c>
      <c r="F1335" s="75"/>
    </row>
    <row r="1336" spans="1:6" s="115" customFormat="1" ht="15" customHeight="1" x14ac:dyDescent="0.25">
      <c r="A1336" s="189"/>
      <c r="B1336" s="191"/>
      <c r="C1336" s="90" t="s">
        <v>861</v>
      </c>
      <c r="D1336" s="165"/>
      <c r="E1336" s="90" t="s">
        <v>774</v>
      </c>
      <c r="F1336" s="75"/>
    </row>
    <row r="1337" spans="1:6" s="74" customFormat="1" ht="15" customHeight="1" x14ac:dyDescent="0.25">
      <c r="A1337" s="189"/>
      <c r="B1337" s="191"/>
      <c r="C1337" s="84" t="s">
        <v>669</v>
      </c>
      <c r="D1337" s="91"/>
      <c r="E1337" s="84" t="s">
        <v>775</v>
      </c>
      <c r="F1337" s="75"/>
    </row>
    <row r="1338" spans="1:6" s="74" customFormat="1" ht="15" customHeight="1" x14ac:dyDescent="0.25">
      <c r="A1338" s="189"/>
      <c r="B1338" s="191"/>
      <c r="C1338" s="84" t="s">
        <v>670</v>
      </c>
      <c r="D1338" s="91"/>
      <c r="E1338" s="84" t="s">
        <v>776</v>
      </c>
      <c r="F1338" s="75"/>
    </row>
    <row r="1339" spans="1:6" s="74" customFormat="1" ht="15" customHeight="1" x14ac:dyDescent="0.25">
      <c r="A1339" s="189"/>
      <c r="B1339" s="191"/>
      <c r="C1339" s="84" t="s">
        <v>671</v>
      </c>
      <c r="D1339" s="91"/>
      <c r="E1339" s="84" t="s">
        <v>777</v>
      </c>
      <c r="F1339" s="75"/>
    </row>
    <row r="1340" spans="1:6" s="74" customFormat="1" ht="15" customHeight="1" x14ac:dyDescent="0.25">
      <c r="A1340" s="189"/>
      <c r="B1340" s="191"/>
      <c r="C1340" s="84" t="s">
        <v>672</v>
      </c>
      <c r="D1340" s="91"/>
      <c r="E1340" s="84" t="s">
        <v>778</v>
      </c>
      <c r="F1340" s="75"/>
    </row>
    <row r="1341" spans="1:6" s="74" customFormat="1" ht="15" customHeight="1" x14ac:dyDescent="0.25">
      <c r="A1341" s="189"/>
      <c r="B1341" s="191"/>
      <c r="C1341" s="84" t="s">
        <v>673</v>
      </c>
      <c r="D1341" s="91"/>
      <c r="E1341" s="84" t="s">
        <v>779</v>
      </c>
      <c r="F1341" s="75"/>
    </row>
    <row r="1342" spans="1:6" s="74" customFormat="1" ht="15" customHeight="1" x14ac:dyDescent="0.25">
      <c r="A1342" s="189"/>
      <c r="B1342" s="191"/>
      <c r="C1342" s="84" t="s">
        <v>674</v>
      </c>
      <c r="D1342" s="91"/>
      <c r="E1342" s="84" t="s">
        <v>780</v>
      </c>
      <c r="F1342" s="75"/>
    </row>
    <row r="1343" spans="1:6" s="74" customFormat="1" ht="15" customHeight="1" x14ac:dyDescent="0.25">
      <c r="A1343" s="189"/>
      <c r="B1343" s="191"/>
      <c r="C1343" s="84" t="s">
        <v>675</v>
      </c>
      <c r="D1343" s="91"/>
      <c r="E1343" s="84" t="s">
        <v>781</v>
      </c>
      <c r="F1343" s="75"/>
    </row>
    <row r="1344" spans="1:6" s="74" customFormat="1" ht="15" customHeight="1" x14ac:dyDescent="0.25">
      <c r="A1344" s="189"/>
      <c r="B1344" s="191"/>
      <c r="C1344" s="84" t="s">
        <v>676</v>
      </c>
      <c r="D1344" s="91"/>
      <c r="E1344" s="84" t="s">
        <v>782</v>
      </c>
      <c r="F1344" s="75"/>
    </row>
    <row r="1345" spans="1:6" s="74" customFormat="1" ht="15" customHeight="1" x14ac:dyDescent="0.25">
      <c r="A1345" s="189"/>
      <c r="B1345" s="191"/>
      <c r="C1345" s="84" t="s">
        <v>677</v>
      </c>
      <c r="D1345" s="91"/>
      <c r="E1345" s="84" t="s">
        <v>783</v>
      </c>
      <c r="F1345" s="75"/>
    </row>
    <row r="1346" spans="1:6" s="74" customFormat="1" ht="15" customHeight="1" x14ac:dyDescent="0.25">
      <c r="A1346" s="189"/>
      <c r="B1346" s="191"/>
      <c r="C1346" s="84" t="s">
        <v>678</v>
      </c>
      <c r="D1346" s="91"/>
      <c r="E1346" s="84" t="s">
        <v>784</v>
      </c>
      <c r="F1346" s="75"/>
    </row>
    <row r="1347" spans="1:6" s="74" customFormat="1" ht="15" customHeight="1" x14ac:dyDescent="0.25">
      <c r="A1347" s="189"/>
      <c r="B1347" s="191"/>
      <c r="C1347" s="84" t="s">
        <v>679</v>
      </c>
      <c r="D1347" s="91"/>
      <c r="E1347" s="84" t="s">
        <v>785</v>
      </c>
      <c r="F1347" s="75"/>
    </row>
    <row r="1348" spans="1:6" s="74" customFormat="1" ht="15" customHeight="1" x14ac:dyDescent="0.25">
      <c r="A1348" s="189"/>
      <c r="B1348" s="191"/>
      <c r="C1348" s="84" t="s">
        <v>680</v>
      </c>
      <c r="D1348" s="91"/>
      <c r="E1348" s="84" t="s">
        <v>786</v>
      </c>
      <c r="F1348" s="75"/>
    </row>
    <row r="1349" spans="1:6" s="74" customFormat="1" ht="15" customHeight="1" x14ac:dyDescent="0.25">
      <c r="A1349" s="189"/>
      <c r="B1349" s="191"/>
      <c r="C1349" s="84" t="s">
        <v>681</v>
      </c>
      <c r="D1349" s="91"/>
      <c r="E1349" s="84" t="s">
        <v>787</v>
      </c>
      <c r="F1349" s="75"/>
    </row>
    <row r="1350" spans="1:6" s="74" customFormat="1" ht="15" customHeight="1" x14ac:dyDescent="0.25">
      <c r="A1350" s="189"/>
      <c r="B1350" s="191"/>
      <c r="C1350" s="84" t="s">
        <v>682</v>
      </c>
      <c r="D1350" s="91"/>
      <c r="E1350" s="84" t="s">
        <v>788</v>
      </c>
      <c r="F1350" s="75"/>
    </row>
    <row r="1351" spans="1:6" s="74" customFormat="1" ht="15" customHeight="1" x14ac:dyDescent="0.25">
      <c r="A1351" s="189"/>
      <c r="B1351" s="191"/>
      <c r="C1351" s="84" t="s">
        <v>683</v>
      </c>
      <c r="D1351" s="91"/>
      <c r="E1351" s="84" t="s">
        <v>789</v>
      </c>
      <c r="F1351" s="75"/>
    </row>
    <row r="1352" spans="1:6" s="74" customFormat="1" ht="15" customHeight="1" x14ac:dyDescent="0.25">
      <c r="A1352" s="189"/>
      <c r="B1352" s="191"/>
      <c r="C1352" s="84" t="s">
        <v>684</v>
      </c>
      <c r="D1352" s="91"/>
      <c r="E1352" s="84" t="s">
        <v>790</v>
      </c>
      <c r="F1352" s="75"/>
    </row>
    <row r="1353" spans="1:6" s="74" customFormat="1" ht="15" customHeight="1" x14ac:dyDescent="0.25">
      <c r="A1353" s="189"/>
      <c r="B1353" s="191"/>
      <c r="C1353" s="84" t="s">
        <v>685</v>
      </c>
      <c r="D1353" s="91"/>
      <c r="E1353" s="84" t="s">
        <v>791</v>
      </c>
      <c r="F1353" s="75"/>
    </row>
    <row r="1354" spans="1:6" s="74" customFormat="1" ht="15" customHeight="1" x14ac:dyDescent="0.25">
      <c r="A1354" s="189"/>
      <c r="B1354" s="191"/>
      <c r="C1354" s="84" t="s">
        <v>686</v>
      </c>
      <c r="D1354" s="91"/>
      <c r="E1354" s="84" t="s">
        <v>792</v>
      </c>
      <c r="F1354" s="75"/>
    </row>
    <row r="1355" spans="1:6" s="74" customFormat="1" ht="15" customHeight="1" x14ac:dyDescent="0.25">
      <c r="A1355" s="189"/>
      <c r="B1355" s="191"/>
      <c r="C1355" s="84" t="s">
        <v>687</v>
      </c>
      <c r="D1355" s="91"/>
      <c r="E1355" s="84" t="s">
        <v>793</v>
      </c>
      <c r="F1355" s="75"/>
    </row>
    <row r="1356" spans="1:6" s="74" customFormat="1" ht="15" customHeight="1" x14ac:dyDescent="0.25">
      <c r="A1356" s="189"/>
      <c r="B1356" s="191"/>
      <c r="C1356" s="84" t="s">
        <v>552</v>
      </c>
      <c r="D1356" s="91"/>
      <c r="E1356" s="84" t="s">
        <v>794</v>
      </c>
      <c r="F1356" s="75"/>
    </row>
    <row r="1357" spans="1:6" s="74" customFormat="1" ht="15" customHeight="1" x14ac:dyDescent="0.25">
      <c r="A1357" s="189"/>
      <c r="B1357" s="191"/>
      <c r="C1357" s="84" t="s">
        <v>553</v>
      </c>
      <c r="D1357" s="91"/>
      <c r="E1357" s="84" t="s">
        <v>795</v>
      </c>
      <c r="F1357" s="75"/>
    </row>
    <row r="1358" spans="1:6" s="74" customFormat="1" ht="15" customHeight="1" x14ac:dyDescent="0.25">
      <c r="A1358" s="189"/>
      <c r="B1358" s="191"/>
      <c r="C1358" s="84" t="s">
        <v>554</v>
      </c>
      <c r="D1358" s="91"/>
      <c r="E1358" s="84" t="s">
        <v>796</v>
      </c>
      <c r="F1358" s="75"/>
    </row>
    <row r="1359" spans="1:6" s="74" customFormat="1" ht="15" customHeight="1" x14ac:dyDescent="0.25">
      <c r="A1359" s="189"/>
      <c r="B1359" s="191"/>
      <c r="C1359" s="84" t="s">
        <v>555</v>
      </c>
      <c r="D1359" s="91"/>
      <c r="E1359" s="84" t="s">
        <v>797</v>
      </c>
      <c r="F1359" s="75"/>
    </row>
    <row r="1360" spans="1:6" s="74" customFormat="1" ht="15" customHeight="1" x14ac:dyDescent="0.25">
      <c r="A1360" s="189"/>
      <c r="B1360" s="191"/>
      <c r="C1360" s="84" t="s">
        <v>556</v>
      </c>
      <c r="D1360" s="91"/>
      <c r="E1360" s="84" t="s">
        <v>798</v>
      </c>
      <c r="F1360" s="75"/>
    </row>
    <row r="1361" spans="1:6" s="74" customFormat="1" ht="15" customHeight="1" x14ac:dyDescent="0.25">
      <c r="A1361" s="189"/>
      <c r="B1361" s="191"/>
      <c r="C1361" s="84" t="s">
        <v>557</v>
      </c>
      <c r="D1361" s="91"/>
      <c r="E1361" s="84" t="s">
        <v>799</v>
      </c>
      <c r="F1361" s="75"/>
    </row>
    <row r="1362" spans="1:6" s="74" customFormat="1" ht="15" customHeight="1" x14ac:dyDescent="0.25">
      <c r="A1362" s="189"/>
      <c r="B1362" s="191"/>
      <c r="C1362" s="84" t="s">
        <v>558</v>
      </c>
      <c r="D1362" s="91"/>
      <c r="E1362" s="84" t="s">
        <v>800</v>
      </c>
      <c r="F1362" s="75"/>
    </row>
    <row r="1363" spans="1:6" s="74" customFormat="1" ht="15" customHeight="1" x14ac:dyDescent="0.25">
      <c r="A1363" s="189"/>
      <c r="B1363" s="191"/>
      <c r="C1363" s="84" t="s">
        <v>559</v>
      </c>
      <c r="D1363" s="91"/>
      <c r="E1363" s="84" t="s">
        <v>801</v>
      </c>
      <c r="F1363" s="75"/>
    </row>
    <row r="1364" spans="1:6" s="74" customFormat="1" ht="15" customHeight="1" x14ac:dyDescent="0.25">
      <c r="A1364" s="189"/>
      <c r="B1364" s="191"/>
      <c r="C1364" s="84" t="s">
        <v>560</v>
      </c>
      <c r="D1364" s="91"/>
      <c r="E1364" s="84" t="s">
        <v>802</v>
      </c>
      <c r="F1364" s="75"/>
    </row>
    <row r="1365" spans="1:6" s="115" customFormat="1" ht="15" customHeight="1" x14ac:dyDescent="0.25">
      <c r="A1365" s="189"/>
      <c r="B1365" s="200" t="s">
        <v>1067</v>
      </c>
      <c r="C1365" s="243" t="s">
        <v>816</v>
      </c>
      <c r="D1365" s="166"/>
      <c r="E1365" s="167" t="s">
        <v>315</v>
      </c>
      <c r="F1365" s="75"/>
    </row>
    <row r="1366" spans="1:6" ht="15" customHeight="1" x14ac:dyDescent="0.25">
      <c r="A1366" s="189"/>
      <c r="B1366" s="201"/>
      <c r="C1366" s="244" t="s">
        <v>669</v>
      </c>
      <c r="D1366" s="155"/>
      <c r="E1366" s="72" t="s">
        <v>688</v>
      </c>
      <c r="F1366" s="75"/>
    </row>
    <row r="1367" spans="1:6" ht="15" customHeight="1" x14ac:dyDescent="0.25">
      <c r="A1367" s="189"/>
      <c r="B1367" s="201"/>
      <c r="C1367" s="244" t="s">
        <v>670</v>
      </c>
      <c r="D1367" s="155"/>
      <c r="E1367" s="72" t="s">
        <v>689</v>
      </c>
      <c r="F1367" s="75"/>
    </row>
    <row r="1368" spans="1:6" ht="15" customHeight="1" x14ac:dyDescent="0.25">
      <c r="A1368" s="189"/>
      <c r="B1368" s="201"/>
      <c r="C1368" s="244" t="s">
        <v>671</v>
      </c>
      <c r="D1368" s="155"/>
      <c r="E1368" s="72" t="s">
        <v>690</v>
      </c>
      <c r="F1368" s="75"/>
    </row>
    <row r="1369" spans="1:6" ht="15" customHeight="1" x14ac:dyDescent="0.25">
      <c r="A1369" s="189"/>
      <c r="B1369" s="201"/>
      <c r="C1369" s="244" t="s">
        <v>672</v>
      </c>
      <c r="D1369" s="155"/>
      <c r="E1369" s="85" t="s">
        <v>691</v>
      </c>
      <c r="F1369" s="75"/>
    </row>
    <row r="1370" spans="1:6" ht="15" customHeight="1" x14ac:dyDescent="0.25">
      <c r="A1370" s="189"/>
      <c r="B1370" s="201"/>
      <c r="C1370" s="244" t="s">
        <v>673</v>
      </c>
      <c r="D1370" s="155"/>
      <c r="E1370" s="85" t="s">
        <v>692</v>
      </c>
      <c r="F1370" s="75"/>
    </row>
    <row r="1371" spans="1:6" ht="15" customHeight="1" x14ac:dyDescent="0.25">
      <c r="A1371" s="189"/>
      <c r="B1371" s="201"/>
      <c r="C1371" s="244" t="s">
        <v>674</v>
      </c>
      <c r="D1371" s="155"/>
      <c r="E1371" s="85" t="s">
        <v>693</v>
      </c>
      <c r="F1371" s="75"/>
    </row>
    <row r="1372" spans="1:6" ht="15" customHeight="1" x14ac:dyDescent="0.25">
      <c r="A1372" s="189"/>
      <c r="B1372" s="201"/>
      <c r="C1372" s="244" t="s">
        <v>675</v>
      </c>
      <c r="D1372" s="155"/>
      <c r="E1372" s="85" t="s">
        <v>694</v>
      </c>
      <c r="F1372" s="75"/>
    </row>
    <row r="1373" spans="1:6" ht="15" customHeight="1" x14ac:dyDescent="0.25">
      <c r="A1373" s="189"/>
      <c r="B1373" s="201"/>
      <c r="C1373" s="244" t="s">
        <v>676</v>
      </c>
      <c r="D1373" s="155"/>
      <c r="E1373" s="85" t="s">
        <v>695</v>
      </c>
      <c r="F1373" s="75"/>
    </row>
    <row r="1374" spans="1:6" ht="15" customHeight="1" x14ac:dyDescent="0.25">
      <c r="A1374" s="189"/>
      <c r="B1374" s="201"/>
      <c r="C1374" s="244" t="s">
        <v>677</v>
      </c>
      <c r="D1374" s="155"/>
      <c r="E1374" s="85" t="s">
        <v>696</v>
      </c>
      <c r="F1374" s="75"/>
    </row>
    <row r="1375" spans="1:6" ht="15" customHeight="1" x14ac:dyDescent="0.25">
      <c r="A1375" s="189"/>
      <c r="B1375" s="201"/>
      <c r="C1375" s="244" t="s">
        <v>678</v>
      </c>
      <c r="D1375" s="155"/>
      <c r="E1375" s="85" t="s">
        <v>697</v>
      </c>
      <c r="F1375" s="75"/>
    </row>
    <row r="1376" spans="1:6" ht="15" customHeight="1" x14ac:dyDescent="0.25">
      <c r="A1376" s="189"/>
      <c r="B1376" s="201"/>
      <c r="C1376" s="244" t="s">
        <v>679</v>
      </c>
      <c r="D1376" s="155"/>
      <c r="E1376" s="85" t="s">
        <v>698</v>
      </c>
      <c r="F1376" s="75"/>
    </row>
    <row r="1377" spans="1:6" ht="15" customHeight="1" x14ac:dyDescent="0.25">
      <c r="A1377" s="189"/>
      <c r="B1377" s="201"/>
      <c r="C1377" s="244" t="s">
        <v>680</v>
      </c>
      <c r="D1377" s="155"/>
      <c r="E1377" s="85" t="s">
        <v>699</v>
      </c>
      <c r="F1377" s="75"/>
    </row>
    <row r="1378" spans="1:6" ht="15" customHeight="1" x14ac:dyDescent="0.25">
      <c r="A1378" s="189"/>
      <c r="B1378" s="201"/>
      <c r="C1378" s="244" t="s">
        <v>681</v>
      </c>
      <c r="D1378" s="155"/>
      <c r="E1378" s="85" t="s">
        <v>700</v>
      </c>
      <c r="F1378" s="75"/>
    </row>
    <row r="1379" spans="1:6" ht="15" customHeight="1" x14ac:dyDescent="0.25">
      <c r="A1379" s="189"/>
      <c r="B1379" s="201"/>
      <c r="C1379" s="244" t="s">
        <v>682</v>
      </c>
      <c r="D1379" s="155"/>
      <c r="E1379" s="85" t="s">
        <v>701</v>
      </c>
      <c r="F1379" s="75"/>
    </row>
    <row r="1380" spans="1:6" ht="15" customHeight="1" x14ac:dyDescent="0.25">
      <c r="A1380" s="189"/>
      <c r="B1380" s="201"/>
      <c r="C1380" s="244" t="s">
        <v>683</v>
      </c>
      <c r="D1380" s="155"/>
      <c r="E1380" s="85" t="s">
        <v>702</v>
      </c>
      <c r="F1380" s="75"/>
    </row>
    <row r="1381" spans="1:6" ht="15" customHeight="1" x14ac:dyDescent="0.25">
      <c r="A1381" s="189"/>
      <c r="B1381" s="201"/>
      <c r="C1381" s="244" t="s">
        <v>684</v>
      </c>
      <c r="D1381" s="155"/>
      <c r="E1381" s="85" t="s">
        <v>703</v>
      </c>
      <c r="F1381" s="75"/>
    </row>
    <row r="1382" spans="1:6" ht="15" customHeight="1" x14ac:dyDescent="0.25">
      <c r="A1382" s="189"/>
      <c r="B1382" s="201"/>
      <c r="C1382" s="244" t="s">
        <v>685</v>
      </c>
      <c r="D1382" s="155"/>
      <c r="E1382" s="85" t="s">
        <v>704</v>
      </c>
      <c r="F1382" s="75"/>
    </row>
    <row r="1383" spans="1:6" ht="15" customHeight="1" x14ac:dyDescent="0.25">
      <c r="A1383" s="189"/>
      <c r="B1383" s="201"/>
      <c r="C1383" s="244" t="s">
        <v>686</v>
      </c>
      <c r="D1383" s="155"/>
      <c r="E1383" s="85" t="s">
        <v>705</v>
      </c>
      <c r="F1383" s="75"/>
    </row>
    <row r="1384" spans="1:6" ht="15" customHeight="1" x14ac:dyDescent="0.25">
      <c r="A1384" s="189"/>
      <c r="B1384" s="201"/>
      <c r="C1384" s="244" t="s">
        <v>687</v>
      </c>
      <c r="D1384" s="155"/>
      <c r="E1384" s="85" t="s">
        <v>706</v>
      </c>
      <c r="F1384" s="75"/>
    </row>
    <row r="1385" spans="1:6" ht="15" customHeight="1" x14ac:dyDescent="0.25">
      <c r="A1385" s="189"/>
      <c r="B1385" s="201"/>
      <c r="C1385" s="244" t="s">
        <v>552</v>
      </c>
      <c r="D1385" s="155"/>
      <c r="E1385" s="85" t="s">
        <v>707</v>
      </c>
      <c r="F1385" s="75"/>
    </row>
    <row r="1386" spans="1:6" ht="15" customHeight="1" x14ac:dyDescent="0.25">
      <c r="A1386" s="189"/>
      <c r="B1386" s="201"/>
      <c r="C1386" s="244" t="s">
        <v>553</v>
      </c>
      <c r="D1386" s="155"/>
      <c r="E1386" s="85" t="s">
        <v>708</v>
      </c>
      <c r="F1386" s="75"/>
    </row>
    <row r="1387" spans="1:6" ht="15" customHeight="1" x14ac:dyDescent="0.25">
      <c r="A1387" s="189"/>
      <c r="B1387" s="201"/>
      <c r="C1387" s="244" t="s">
        <v>554</v>
      </c>
      <c r="D1387" s="155"/>
      <c r="E1387" s="85" t="s">
        <v>709</v>
      </c>
      <c r="F1387" s="75"/>
    </row>
    <row r="1388" spans="1:6" ht="15" customHeight="1" x14ac:dyDescent="0.25">
      <c r="A1388" s="189"/>
      <c r="B1388" s="201"/>
      <c r="C1388" s="244" t="s">
        <v>555</v>
      </c>
      <c r="D1388" s="155"/>
      <c r="E1388" s="85" t="s">
        <v>710</v>
      </c>
      <c r="F1388" s="75"/>
    </row>
    <row r="1389" spans="1:6" s="74" customFormat="1" ht="15" customHeight="1" x14ac:dyDescent="0.25">
      <c r="A1389" s="189"/>
      <c r="B1389" s="201"/>
      <c r="C1389" s="244" t="s">
        <v>556</v>
      </c>
      <c r="D1389" s="155"/>
      <c r="E1389" s="85" t="s">
        <v>711</v>
      </c>
      <c r="F1389" s="75"/>
    </row>
    <row r="1390" spans="1:6" s="74" customFormat="1" ht="15" customHeight="1" x14ac:dyDescent="0.25">
      <c r="A1390" s="189"/>
      <c r="B1390" s="201"/>
      <c r="C1390" s="244" t="s">
        <v>557</v>
      </c>
      <c r="D1390" s="155"/>
      <c r="E1390" s="85" t="s">
        <v>712</v>
      </c>
      <c r="F1390" s="75"/>
    </row>
    <row r="1391" spans="1:6" s="74" customFormat="1" ht="15" customHeight="1" x14ac:dyDescent="0.25">
      <c r="A1391" s="189"/>
      <c r="B1391" s="201"/>
      <c r="C1391" s="244" t="s">
        <v>558</v>
      </c>
      <c r="D1391" s="155"/>
      <c r="E1391" s="85" t="s">
        <v>713</v>
      </c>
      <c r="F1391" s="75"/>
    </row>
    <row r="1392" spans="1:6" s="74" customFormat="1" ht="15" customHeight="1" x14ac:dyDescent="0.25">
      <c r="A1392" s="189"/>
      <c r="B1392" s="201"/>
      <c r="C1392" s="244" t="s">
        <v>559</v>
      </c>
      <c r="D1392" s="155"/>
      <c r="E1392" s="85" t="s">
        <v>714</v>
      </c>
      <c r="F1392" s="75"/>
    </row>
    <row r="1393" spans="1:6" s="74" customFormat="1" ht="15" customHeight="1" x14ac:dyDescent="0.25">
      <c r="A1393" s="189"/>
      <c r="B1393" s="201"/>
      <c r="C1393" s="245" t="s">
        <v>560</v>
      </c>
      <c r="D1393" s="156"/>
      <c r="E1393" s="106" t="s">
        <v>715</v>
      </c>
      <c r="F1393" s="75"/>
    </row>
    <row r="1394" spans="1:6" s="115" customFormat="1" ht="15" customHeight="1" x14ac:dyDescent="0.25">
      <c r="A1394" s="189"/>
      <c r="B1394" s="201"/>
      <c r="C1394" s="243" t="s">
        <v>861</v>
      </c>
      <c r="D1394" s="166"/>
      <c r="E1394" s="167" t="s">
        <v>716</v>
      </c>
      <c r="F1394" s="75"/>
    </row>
    <row r="1395" spans="1:6" s="74" customFormat="1" ht="15" customHeight="1" x14ac:dyDescent="0.25">
      <c r="A1395" s="189"/>
      <c r="B1395" s="201"/>
      <c r="C1395" s="244" t="s">
        <v>669</v>
      </c>
      <c r="D1395" s="155"/>
      <c r="E1395" s="85" t="s">
        <v>717</v>
      </c>
      <c r="F1395" s="75"/>
    </row>
    <row r="1396" spans="1:6" s="74" customFormat="1" ht="15" customHeight="1" x14ac:dyDescent="0.25">
      <c r="A1396" s="189"/>
      <c r="B1396" s="201"/>
      <c r="C1396" s="244" t="s">
        <v>670</v>
      </c>
      <c r="D1396" s="155"/>
      <c r="E1396" s="85" t="s">
        <v>718</v>
      </c>
      <c r="F1396" s="75"/>
    </row>
    <row r="1397" spans="1:6" s="74" customFormat="1" ht="15" customHeight="1" x14ac:dyDescent="0.25">
      <c r="A1397" s="189"/>
      <c r="B1397" s="201"/>
      <c r="C1397" s="244" t="s">
        <v>671</v>
      </c>
      <c r="D1397" s="155"/>
      <c r="E1397" s="85" t="s">
        <v>719</v>
      </c>
      <c r="F1397" s="75"/>
    </row>
    <row r="1398" spans="1:6" s="74" customFormat="1" ht="15" customHeight="1" x14ac:dyDescent="0.25">
      <c r="A1398" s="189"/>
      <c r="B1398" s="201"/>
      <c r="C1398" s="244" t="s">
        <v>672</v>
      </c>
      <c r="D1398" s="155"/>
      <c r="E1398" s="85" t="s">
        <v>720</v>
      </c>
      <c r="F1398" s="75"/>
    </row>
    <row r="1399" spans="1:6" s="74" customFormat="1" ht="15" customHeight="1" x14ac:dyDescent="0.25">
      <c r="A1399" s="189"/>
      <c r="B1399" s="201"/>
      <c r="C1399" s="244" t="s">
        <v>673</v>
      </c>
      <c r="D1399" s="155"/>
      <c r="E1399" s="85" t="s">
        <v>721</v>
      </c>
      <c r="F1399" s="75"/>
    </row>
    <row r="1400" spans="1:6" s="74" customFormat="1" ht="15" customHeight="1" x14ac:dyDescent="0.25">
      <c r="A1400" s="189"/>
      <c r="B1400" s="201"/>
      <c r="C1400" s="244" t="s">
        <v>674</v>
      </c>
      <c r="D1400" s="155"/>
      <c r="E1400" s="85" t="s">
        <v>722</v>
      </c>
      <c r="F1400" s="75"/>
    </row>
    <row r="1401" spans="1:6" s="74" customFormat="1" ht="15" customHeight="1" x14ac:dyDescent="0.25">
      <c r="A1401" s="189"/>
      <c r="B1401" s="201"/>
      <c r="C1401" s="244" t="s">
        <v>675</v>
      </c>
      <c r="D1401" s="155"/>
      <c r="E1401" s="85" t="s">
        <v>723</v>
      </c>
      <c r="F1401" s="75"/>
    </row>
    <row r="1402" spans="1:6" s="74" customFormat="1" ht="15" customHeight="1" x14ac:dyDescent="0.25">
      <c r="A1402" s="189"/>
      <c r="B1402" s="201"/>
      <c r="C1402" s="244" t="s">
        <v>676</v>
      </c>
      <c r="D1402" s="155"/>
      <c r="E1402" s="85" t="s">
        <v>724</v>
      </c>
      <c r="F1402" s="75"/>
    </row>
    <row r="1403" spans="1:6" s="74" customFormat="1" ht="15" customHeight="1" x14ac:dyDescent="0.25">
      <c r="A1403" s="189"/>
      <c r="B1403" s="201"/>
      <c r="C1403" s="244" t="s">
        <v>677</v>
      </c>
      <c r="D1403" s="155"/>
      <c r="E1403" s="85" t="s">
        <v>725</v>
      </c>
      <c r="F1403" s="75"/>
    </row>
    <row r="1404" spans="1:6" s="74" customFormat="1" ht="15" customHeight="1" x14ac:dyDescent="0.25">
      <c r="A1404" s="189"/>
      <c r="B1404" s="201"/>
      <c r="C1404" s="244" t="s">
        <v>678</v>
      </c>
      <c r="D1404" s="155"/>
      <c r="E1404" s="85" t="s">
        <v>726</v>
      </c>
      <c r="F1404" s="75"/>
    </row>
    <row r="1405" spans="1:6" s="74" customFormat="1" ht="15" customHeight="1" x14ac:dyDescent="0.25">
      <c r="A1405" s="189"/>
      <c r="B1405" s="201"/>
      <c r="C1405" s="244" t="s">
        <v>679</v>
      </c>
      <c r="D1405" s="155"/>
      <c r="E1405" s="85" t="s">
        <v>727</v>
      </c>
      <c r="F1405" s="75"/>
    </row>
    <row r="1406" spans="1:6" s="74" customFormat="1" ht="15" customHeight="1" x14ac:dyDescent="0.25">
      <c r="A1406" s="189"/>
      <c r="B1406" s="201"/>
      <c r="C1406" s="244" t="s">
        <v>680</v>
      </c>
      <c r="D1406" s="155"/>
      <c r="E1406" s="85" t="s">
        <v>728</v>
      </c>
      <c r="F1406" s="75"/>
    </row>
    <row r="1407" spans="1:6" s="74" customFormat="1" ht="15" customHeight="1" x14ac:dyDescent="0.25">
      <c r="A1407" s="189"/>
      <c r="B1407" s="201"/>
      <c r="C1407" s="244" t="s">
        <v>681</v>
      </c>
      <c r="D1407" s="155"/>
      <c r="E1407" s="85" t="s">
        <v>729</v>
      </c>
      <c r="F1407" s="75"/>
    </row>
    <row r="1408" spans="1:6" s="74" customFormat="1" ht="15" customHeight="1" x14ac:dyDescent="0.25">
      <c r="A1408" s="189"/>
      <c r="B1408" s="201"/>
      <c r="C1408" s="244" t="s">
        <v>682</v>
      </c>
      <c r="D1408" s="155"/>
      <c r="E1408" s="85" t="s">
        <v>730</v>
      </c>
      <c r="F1408" s="75"/>
    </row>
    <row r="1409" spans="1:6" s="74" customFormat="1" ht="15" customHeight="1" x14ac:dyDescent="0.25">
      <c r="A1409" s="189"/>
      <c r="B1409" s="201"/>
      <c r="C1409" s="244" t="s">
        <v>683</v>
      </c>
      <c r="D1409" s="155"/>
      <c r="E1409" s="85" t="s">
        <v>731</v>
      </c>
      <c r="F1409" s="75"/>
    </row>
    <row r="1410" spans="1:6" s="74" customFormat="1" ht="15" customHeight="1" x14ac:dyDescent="0.25">
      <c r="A1410" s="189"/>
      <c r="B1410" s="201"/>
      <c r="C1410" s="244" t="s">
        <v>684</v>
      </c>
      <c r="D1410" s="155"/>
      <c r="E1410" s="85" t="s">
        <v>732</v>
      </c>
      <c r="F1410" s="75"/>
    </row>
    <row r="1411" spans="1:6" s="74" customFormat="1" ht="15" customHeight="1" x14ac:dyDescent="0.25">
      <c r="A1411" s="189"/>
      <c r="B1411" s="201"/>
      <c r="C1411" s="244" t="s">
        <v>685</v>
      </c>
      <c r="D1411" s="155"/>
      <c r="E1411" s="85" t="s">
        <v>733</v>
      </c>
      <c r="F1411" s="75"/>
    </row>
    <row r="1412" spans="1:6" s="74" customFormat="1" ht="15" customHeight="1" x14ac:dyDescent="0.25">
      <c r="A1412" s="189"/>
      <c r="B1412" s="201"/>
      <c r="C1412" s="244" t="s">
        <v>686</v>
      </c>
      <c r="D1412" s="155"/>
      <c r="E1412" s="85" t="s">
        <v>734</v>
      </c>
      <c r="F1412" s="75"/>
    </row>
    <row r="1413" spans="1:6" s="74" customFormat="1" ht="15" customHeight="1" x14ac:dyDescent="0.25">
      <c r="A1413" s="189"/>
      <c r="B1413" s="201"/>
      <c r="C1413" s="244" t="s">
        <v>687</v>
      </c>
      <c r="D1413" s="155"/>
      <c r="E1413" s="85" t="s">
        <v>735</v>
      </c>
      <c r="F1413" s="75"/>
    </row>
    <row r="1414" spans="1:6" s="74" customFormat="1" ht="15" customHeight="1" x14ac:dyDescent="0.25">
      <c r="A1414" s="189"/>
      <c r="B1414" s="201"/>
      <c r="C1414" s="244" t="s">
        <v>552</v>
      </c>
      <c r="D1414" s="155"/>
      <c r="E1414" s="85" t="s">
        <v>736</v>
      </c>
      <c r="F1414" s="75"/>
    </row>
    <row r="1415" spans="1:6" s="74" customFormat="1" ht="15" customHeight="1" x14ac:dyDescent="0.25">
      <c r="A1415" s="189"/>
      <c r="B1415" s="201"/>
      <c r="C1415" s="244" t="s">
        <v>553</v>
      </c>
      <c r="D1415" s="155"/>
      <c r="E1415" s="85" t="s">
        <v>737</v>
      </c>
      <c r="F1415" s="75"/>
    </row>
    <row r="1416" spans="1:6" s="74" customFormat="1" ht="15" customHeight="1" x14ac:dyDescent="0.25">
      <c r="A1416" s="189"/>
      <c r="B1416" s="201"/>
      <c r="C1416" s="244" t="s">
        <v>554</v>
      </c>
      <c r="D1416" s="155"/>
      <c r="E1416" s="85" t="s">
        <v>738</v>
      </c>
      <c r="F1416" s="75"/>
    </row>
    <row r="1417" spans="1:6" s="74" customFormat="1" ht="15" customHeight="1" x14ac:dyDescent="0.25">
      <c r="A1417" s="189"/>
      <c r="B1417" s="201"/>
      <c r="C1417" s="244" t="s">
        <v>555</v>
      </c>
      <c r="D1417" s="155"/>
      <c r="E1417" s="85" t="s">
        <v>739</v>
      </c>
      <c r="F1417" s="75"/>
    </row>
    <row r="1418" spans="1:6" s="74" customFormat="1" ht="15" customHeight="1" x14ac:dyDescent="0.25">
      <c r="A1418" s="189"/>
      <c r="B1418" s="201"/>
      <c r="C1418" s="244" t="s">
        <v>556</v>
      </c>
      <c r="D1418" s="155"/>
      <c r="E1418" s="85" t="s">
        <v>740</v>
      </c>
      <c r="F1418" s="75"/>
    </row>
    <row r="1419" spans="1:6" s="74" customFormat="1" ht="15" customHeight="1" x14ac:dyDescent="0.25">
      <c r="A1419" s="189"/>
      <c r="B1419" s="201"/>
      <c r="C1419" s="244" t="s">
        <v>557</v>
      </c>
      <c r="D1419" s="155"/>
      <c r="E1419" s="85" t="s">
        <v>741</v>
      </c>
      <c r="F1419" s="75"/>
    </row>
    <row r="1420" spans="1:6" s="74" customFormat="1" ht="15" customHeight="1" x14ac:dyDescent="0.25">
      <c r="A1420" s="189"/>
      <c r="B1420" s="201"/>
      <c r="C1420" s="244" t="s">
        <v>558</v>
      </c>
      <c r="D1420" s="155"/>
      <c r="E1420" s="85" t="s">
        <v>742</v>
      </c>
      <c r="F1420" s="75"/>
    </row>
    <row r="1421" spans="1:6" s="74" customFormat="1" ht="15" customHeight="1" x14ac:dyDescent="0.25">
      <c r="A1421" s="189"/>
      <c r="B1421" s="201"/>
      <c r="C1421" s="244" t="s">
        <v>559</v>
      </c>
      <c r="D1421" s="155"/>
      <c r="E1421" s="85" t="s">
        <v>743</v>
      </c>
      <c r="F1421" s="75"/>
    </row>
    <row r="1422" spans="1:6" s="74" customFormat="1" ht="15" customHeight="1" x14ac:dyDescent="0.25">
      <c r="A1422" s="189"/>
      <c r="B1422" s="201"/>
      <c r="C1422" s="244" t="s">
        <v>560</v>
      </c>
      <c r="D1422" s="155"/>
      <c r="E1422" s="85" t="s">
        <v>744</v>
      </c>
      <c r="F1422" s="75"/>
    </row>
    <row r="1423" spans="1:6" x14ac:dyDescent="0.25">
      <c r="F1423" s="75"/>
    </row>
  </sheetData>
  <mergeCells count="29">
    <mergeCell ref="A933:A969"/>
    <mergeCell ref="B933:B965"/>
    <mergeCell ref="B966:B969"/>
    <mergeCell ref="B970:B1014"/>
    <mergeCell ref="B1015:B1020"/>
    <mergeCell ref="A970:A1422"/>
    <mergeCell ref="B1307:B1364"/>
    <mergeCell ref="B1117:B1194"/>
    <mergeCell ref="B1205:B1282"/>
    <mergeCell ref="B1195:B1204"/>
    <mergeCell ref="B1021:B1022"/>
    <mergeCell ref="B1024:B1038"/>
    <mergeCell ref="B1039:B1116"/>
    <mergeCell ref="B1283:B1298"/>
    <mergeCell ref="B1299:B1306"/>
    <mergeCell ref="B1365:B1422"/>
    <mergeCell ref="A1:D1"/>
    <mergeCell ref="B104:B119"/>
    <mergeCell ref="B4:B103"/>
    <mergeCell ref="A432:A932"/>
    <mergeCell ref="B432:B781"/>
    <mergeCell ref="B138:B195"/>
    <mergeCell ref="B120:B137"/>
    <mergeCell ref="A4:A137"/>
    <mergeCell ref="A138:A431"/>
    <mergeCell ref="B196:B263"/>
    <mergeCell ref="B264:B267"/>
    <mergeCell ref="B268:B335"/>
    <mergeCell ref="B336:B4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/>
  </sheetViews>
  <sheetFormatPr baseColWidth="10" defaultRowHeight="15" x14ac:dyDescent="0.25"/>
  <cols>
    <col min="1" max="1" width="21.42578125" customWidth="1"/>
  </cols>
  <sheetData>
    <row r="1" spans="1:37" x14ac:dyDescent="0.2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66</v>
      </c>
      <c r="B6">
        <v>7095.7005250000002</v>
      </c>
      <c r="C6">
        <v>7141.7439880000002</v>
      </c>
      <c r="D6">
        <v>7236.2108500000004</v>
      </c>
      <c r="E6">
        <v>7362.7565290000002</v>
      </c>
      <c r="F6">
        <v>7510.0299349999996</v>
      </c>
      <c r="G6">
        <v>7670.2472029999999</v>
      </c>
      <c r="H6">
        <v>7838.7850349999999</v>
      </c>
      <c r="I6">
        <v>8013.1055109999998</v>
      </c>
      <c r="J6">
        <v>8191.2469520000004</v>
      </c>
      <c r="K6">
        <v>8371.6255729999993</v>
      </c>
      <c r="L6">
        <v>8552.9218550000005</v>
      </c>
      <c r="M6">
        <v>8733.9921400000003</v>
      </c>
      <c r="N6">
        <v>8913.8008030000001</v>
      </c>
      <c r="O6">
        <v>9091.3683889999993</v>
      </c>
      <c r="P6">
        <v>9265.7305400000005</v>
      </c>
      <c r="Q6">
        <v>9435.9022650000006</v>
      </c>
      <c r="R6">
        <v>9601.6398969999991</v>
      </c>
      <c r="S6">
        <v>9763.3043679999992</v>
      </c>
      <c r="T6">
        <v>9920.8512179999998</v>
      </c>
      <c r="U6">
        <v>10073.96235</v>
      </c>
      <c r="V6">
        <v>10222.14596</v>
      </c>
      <c r="W6">
        <v>10364.787990000001</v>
      </c>
      <c r="X6">
        <v>10501.17597</v>
      </c>
      <c r="Y6">
        <v>10630.50922</v>
      </c>
      <c r="Z6">
        <v>10751.902609999999</v>
      </c>
      <c r="AA6">
        <v>10864.38847</v>
      </c>
      <c r="AB6">
        <v>10966.918830000001</v>
      </c>
      <c r="AC6">
        <v>11058.36961</v>
      </c>
      <c r="AD6">
        <v>11137.54775</v>
      </c>
      <c r="AE6">
        <v>11203.201940000001</v>
      </c>
      <c r="AF6">
        <v>11254.03751</v>
      </c>
      <c r="AG6">
        <v>11288.73596</v>
      </c>
      <c r="AH6">
        <v>11305.979009999999</v>
      </c>
      <c r="AI6">
        <v>11304.4774</v>
      </c>
      <c r="AJ6">
        <v>11283.00395</v>
      </c>
      <c r="AK6">
        <v>11240.43024</v>
      </c>
    </row>
    <row r="7" spans="1:37" x14ac:dyDescent="0.25">
      <c r="A7" t="s">
        <v>67</v>
      </c>
      <c r="B7">
        <v>8251.256421</v>
      </c>
      <c r="C7">
        <v>8182.7844539999996</v>
      </c>
      <c r="D7">
        <v>8168.3355730000003</v>
      </c>
      <c r="E7">
        <v>8191.2663309999998</v>
      </c>
      <c r="F7">
        <v>8239.9130120000009</v>
      </c>
      <c r="G7">
        <v>8306.1530999999995</v>
      </c>
      <c r="H7">
        <v>8384.9727180000009</v>
      </c>
      <c r="I7">
        <v>8473.4298299999991</v>
      </c>
      <c r="J7">
        <v>8569.2031970000007</v>
      </c>
      <c r="K7">
        <v>8670.3748560000004</v>
      </c>
      <c r="L7">
        <v>8775.3060330000008</v>
      </c>
      <c r="M7">
        <v>8882.5442230000008</v>
      </c>
      <c r="N7">
        <v>8990.7536220000002</v>
      </c>
      <c r="O7">
        <v>9098.6627050000006</v>
      </c>
      <c r="P7">
        <v>9205.0230439999996</v>
      </c>
      <c r="Q7">
        <v>9308.5738020000008</v>
      </c>
      <c r="R7">
        <v>9408.7536359999995</v>
      </c>
      <c r="S7">
        <v>9505.5997970000008</v>
      </c>
      <c r="T7">
        <v>9598.8301439999996</v>
      </c>
      <c r="U7">
        <v>9687.9491309999994</v>
      </c>
      <c r="V7">
        <v>9772.3322900000003</v>
      </c>
      <c r="W7">
        <v>9851.2702169999993</v>
      </c>
      <c r="X7">
        <v>9923.9897560000009</v>
      </c>
      <c r="Y7">
        <v>9989.6639109999996</v>
      </c>
      <c r="Z7">
        <v>10047.417020000001</v>
      </c>
      <c r="AA7">
        <v>10096.328729999999</v>
      </c>
      <c r="AB7">
        <v>10135.43887</v>
      </c>
      <c r="AC7">
        <v>10163.754150000001</v>
      </c>
      <c r="AD7">
        <v>10180.257680000001</v>
      </c>
      <c r="AE7">
        <v>10183.92152</v>
      </c>
      <c r="AF7">
        <v>10173.722529999999</v>
      </c>
      <c r="AG7">
        <v>10148.661630000001</v>
      </c>
      <c r="AH7">
        <v>10107.786260000001</v>
      </c>
      <c r="AI7">
        <v>10050.215630000001</v>
      </c>
      <c r="AJ7">
        <v>9975.1682849999997</v>
      </c>
      <c r="AK7">
        <v>9881.9910660000005</v>
      </c>
    </row>
    <row r="8" spans="1:37" x14ac:dyDescent="0.25">
      <c r="A8" t="s">
        <v>68</v>
      </c>
      <c r="B8">
        <v>6777.6024520000001</v>
      </c>
      <c r="C8">
        <v>6646.7628590000004</v>
      </c>
      <c r="D8">
        <v>6558.9663870000004</v>
      </c>
      <c r="E8">
        <v>6502.0081840000003</v>
      </c>
      <c r="F8">
        <v>6467.26224</v>
      </c>
      <c r="G8">
        <v>6448.6372609999999</v>
      </c>
      <c r="H8">
        <v>6442.2478430000001</v>
      </c>
      <c r="I8">
        <v>6445.6930149999998</v>
      </c>
      <c r="J8">
        <v>6457.0498120000002</v>
      </c>
      <c r="K8">
        <v>6474.7042330000004</v>
      </c>
      <c r="L8">
        <v>6497.2552610000002</v>
      </c>
      <c r="M8">
        <v>6523.4452289999999</v>
      </c>
      <c r="N8">
        <v>6552.1088769999997</v>
      </c>
      <c r="O8">
        <v>6582.1355510000003</v>
      </c>
      <c r="P8">
        <v>6612.4398520000004</v>
      </c>
      <c r="Q8">
        <v>6641.9366570000002</v>
      </c>
      <c r="R8">
        <v>6670.0211129999998</v>
      </c>
      <c r="S8">
        <v>6696.5179209999997</v>
      </c>
      <c r="T8">
        <v>6721.0788030000003</v>
      </c>
      <c r="U8">
        <v>6743.242346</v>
      </c>
      <c r="V8">
        <v>6762.4847749999999</v>
      </c>
      <c r="W8">
        <v>6778.2466480000003</v>
      </c>
      <c r="X8">
        <v>6789.9460079999999</v>
      </c>
      <c r="Y8">
        <v>6796.9849889999996</v>
      </c>
      <c r="Z8">
        <v>6798.7538560000003</v>
      </c>
      <c r="AA8">
        <v>6794.6346009999997</v>
      </c>
      <c r="AB8">
        <v>6784.0052619999997</v>
      </c>
      <c r="AC8">
        <v>6766.2455490000002</v>
      </c>
      <c r="AD8">
        <v>6740.7441310000004</v>
      </c>
      <c r="AE8">
        <v>6706.9076919999998</v>
      </c>
      <c r="AF8">
        <v>6664.1717500000004</v>
      </c>
      <c r="AG8">
        <v>6612.0131240000001</v>
      </c>
      <c r="AH8">
        <v>6549.9637679999996</v>
      </c>
      <c r="AI8">
        <v>6477.6256270000003</v>
      </c>
      <c r="AJ8">
        <v>6394.6860070000002</v>
      </c>
      <c r="AK8">
        <v>6300.9328379999997</v>
      </c>
    </row>
    <row r="9" spans="1:37" x14ac:dyDescent="0.25">
      <c r="A9" t="s">
        <v>69</v>
      </c>
      <c r="B9">
        <v>4159.6639080000004</v>
      </c>
      <c r="C9">
        <v>4054.5797419999999</v>
      </c>
      <c r="D9">
        <v>3973.8284979999999</v>
      </c>
      <c r="E9">
        <v>3910.0598810000001</v>
      </c>
      <c r="F9">
        <v>3858.1675019999998</v>
      </c>
      <c r="G9">
        <v>3814.603525</v>
      </c>
      <c r="H9">
        <v>3777.1169620000001</v>
      </c>
      <c r="I9">
        <v>3744.3155849999998</v>
      </c>
      <c r="J9">
        <v>3715.1046860000001</v>
      </c>
      <c r="K9">
        <v>3688.5794689999998</v>
      </c>
      <c r="L9">
        <v>3663.966539</v>
      </c>
      <c r="M9">
        <v>3640.5846419999998</v>
      </c>
      <c r="N9">
        <v>3617.8179610000002</v>
      </c>
      <c r="O9">
        <v>3595.0978479999999</v>
      </c>
      <c r="P9">
        <v>3571.8900829999998</v>
      </c>
      <c r="Q9">
        <v>3547.6856480000001</v>
      </c>
      <c r="R9">
        <v>3522.2278809999998</v>
      </c>
      <c r="S9">
        <v>3495.4858749999999</v>
      </c>
      <c r="T9">
        <v>3467.3739759999999</v>
      </c>
      <c r="U9">
        <v>3437.7763599999998</v>
      </c>
      <c r="V9">
        <v>3406.5692130000002</v>
      </c>
      <c r="W9">
        <v>3373.63229</v>
      </c>
      <c r="X9">
        <v>3338.854241</v>
      </c>
      <c r="Y9">
        <v>3302.1347110000002</v>
      </c>
      <c r="Z9">
        <v>3263.3849359999999</v>
      </c>
      <c r="AA9">
        <v>3222.5277270000001</v>
      </c>
      <c r="AB9">
        <v>3179.4972859999998</v>
      </c>
      <c r="AC9">
        <v>3134.2390569999998</v>
      </c>
      <c r="AD9">
        <v>3086.7097010000002</v>
      </c>
      <c r="AE9">
        <v>3036.8772060000001</v>
      </c>
      <c r="AF9">
        <v>2984.7211400000001</v>
      </c>
      <c r="AG9">
        <v>2930.233025</v>
      </c>
      <c r="AH9">
        <v>2873.4168239999999</v>
      </c>
      <c r="AI9">
        <v>2814.28955</v>
      </c>
      <c r="AJ9">
        <v>2752.881969</v>
      </c>
      <c r="AK9">
        <v>2689.239435</v>
      </c>
    </row>
    <row r="10" spans="1:37" x14ac:dyDescent="0.25">
      <c r="A10" t="s">
        <v>70</v>
      </c>
      <c r="B10">
        <v>2503.7292430000002</v>
      </c>
      <c r="C10">
        <v>2442.716915</v>
      </c>
      <c r="D10">
        <v>2395.2654680000001</v>
      </c>
      <c r="E10">
        <v>2356.683145</v>
      </c>
      <c r="F10">
        <v>2323.7961850000002</v>
      </c>
      <c r="G10">
        <v>2294.4653119999998</v>
      </c>
      <c r="H10">
        <v>2267.380537</v>
      </c>
      <c r="I10">
        <v>2241.7722570000001</v>
      </c>
      <c r="J10">
        <v>2217.0646809999998</v>
      </c>
      <c r="K10">
        <v>2192.8016640000001</v>
      </c>
      <c r="L10">
        <v>2168.607501</v>
      </c>
      <c r="M10">
        <v>2144.1620480000001</v>
      </c>
      <c r="N10">
        <v>2119.1846540000001</v>
      </c>
      <c r="O10">
        <v>2093.42371</v>
      </c>
      <c r="P10">
        <v>2066.649754</v>
      </c>
      <c r="Q10">
        <v>2038.6508260000001</v>
      </c>
      <c r="R10">
        <v>2009.35256</v>
      </c>
      <c r="S10">
        <v>1978.8037879999999</v>
      </c>
      <c r="T10">
        <v>1947.0308769999999</v>
      </c>
      <c r="U10">
        <v>1914.048667</v>
      </c>
      <c r="V10">
        <v>1879.8711149999999</v>
      </c>
      <c r="W10">
        <v>1844.5167650000001</v>
      </c>
      <c r="X10">
        <v>1808.011115</v>
      </c>
      <c r="Y10">
        <v>1770.3873530000001</v>
      </c>
      <c r="Z10">
        <v>1731.6863330000001</v>
      </c>
      <c r="AA10">
        <v>1691.9562410000001</v>
      </c>
      <c r="AB10">
        <v>1651.2521509999999</v>
      </c>
      <c r="AC10">
        <v>1609.6355759999999</v>
      </c>
      <c r="AD10">
        <v>1567.174037</v>
      </c>
      <c r="AE10">
        <v>1523.9406530000001</v>
      </c>
      <c r="AF10">
        <v>1480.013733</v>
      </c>
      <c r="AG10">
        <v>1435.476369</v>
      </c>
      <c r="AH10">
        <v>1390.416017</v>
      </c>
      <c r="AI10">
        <v>1344.9240589999999</v>
      </c>
      <c r="AJ10">
        <v>1299.095358</v>
      </c>
      <c r="AK10">
        <v>1253.0278020000001</v>
      </c>
    </row>
    <row r="11" spans="1:37" x14ac:dyDescent="0.25">
      <c r="A11" t="s">
        <v>71</v>
      </c>
      <c r="B11">
        <v>1243.6668460000001</v>
      </c>
      <c r="C11">
        <v>1210.492495</v>
      </c>
      <c r="D11">
        <v>1182.323858</v>
      </c>
      <c r="E11">
        <v>1156.636193</v>
      </c>
      <c r="F11">
        <v>1131.8888010000001</v>
      </c>
      <c r="G11">
        <v>1107.1769650000001</v>
      </c>
      <c r="H11">
        <v>1082.050888</v>
      </c>
      <c r="I11">
        <v>1056.334942</v>
      </c>
      <c r="J11">
        <v>1029.955195</v>
      </c>
      <c r="K11">
        <v>1002.894758</v>
      </c>
      <c r="L11">
        <v>975.17131440000003</v>
      </c>
      <c r="M11">
        <v>946.82415349999997</v>
      </c>
      <c r="N11">
        <v>917.90639620000002</v>
      </c>
      <c r="O11">
        <v>888.48020250000002</v>
      </c>
      <c r="P11">
        <v>858.61372919999997</v>
      </c>
      <c r="Q11">
        <v>828.37916280000002</v>
      </c>
      <c r="R11">
        <v>797.88431449999996</v>
      </c>
      <c r="S11">
        <v>767.26368239999999</v>
      </c>
      <c r="T11">
        <v>736.63803399999995</v>
      </c>
      <c r="U11">
        <v>706.11730850000004</v>
      </c>
      <c r="V11">
        <v>675.80339600000002</v>
      </c>
      <c r="W11">
        <v>645.79139239999995</v>
      </c>
      <c r="X11">
        <v>616.1699539</v>
      </c>
      <c r="Y11">
        <v>587.02122580000002</v>
      </c>
      <c r="Z11">
        <v>558.42062080000005</v>
      </c>
      <c r="AA11">
        <v>530.43659400000001</v>
      </c>
      <c r="AB11">
        <v>503.13047640000002</v>
      </c>
      <c r="AC11">
        <v>476.55638979999998</v>
      </c>
      <c r="AD11">
        <v>450.76124620000002</v>
      </c>
      <c r="AE11">
        <v>425.78482250000002</v>
      </c>
      <c r="AF11">
        <v>401.65990470000003</v>
      </c>
      <c r="AG11">
        <v>378.41249169999998</v>
      </c>
      <c r="AH11">
        <v>356.06205340000002</v>
      </c>
      <c r="AI11">
        <v>334.62183520000002</v>
      </c>
      <c r="AJ11">
        <v>314.09920460000001</v>
      </c>
      <c r="AK11">
        <v>294.49603300000001</v>
      </c>
    </row>
    <row r="12" spans="1:37" x14ac:dyDescent="0.25">
      <c r="A12" t="s">
        <v>72</v>
      </c>
      <c r="B12">
        <v>2239.620606</v>
      </c>
      <c r="C12">
        <v>2182.9511900000002</v>
      </c>
      <c r="D12">
        <v>2132.3988039999999</v>
      </c>
      <c r="E12">
        <v>2083.0710549999999</v>
      </c>
      <c r="F12">
        <v>2032.3339940000001</v>
      </c>
      <c r="G12">
        <v>1978.9455640000001</v>
      </c>
      <c r="H12">
        <v>1922.5733849999999</v>
      </c>
      <c r="I12">
        <v>1863.38723</v>
      </c>
      <c r="J12">
        <v>1801.724555</v>
      </c>
      <c r="K12">
        <v>1737.993365</v>
      </c>
      <c r="L12">
        <v>1672.625378</v>
      </c>
      <c r="M12">
        <v>1606.0510870000001</v>
      </c>
      <c r="N12">
        <v>1538.6862080000001</v>
      </c>
      <c r="O12">
        <v>1470.924264</v>
      </c>
      <c r="P12">
        <v>1403.132642</v>
      </c>
      <c r="Q12">
        <v>1335.6506919999999</v>
      </c>
      <c r="R12">
        <v>1268.8255959999999</v>
      </c>
      <c r="S12">
        <v>1202.999047</v>
      </c>
      <c r="T12">
        <v>1138.4631440000001</v>
      </c>
      <c r="U12">
        <v>1075.4659320000001</v>
      </c>
      <c r="V12">
        <v>1014.216772</v>
      </c>
      <c r="W12">
        <v>954.88991929999997</v>
      </c>
      <c r="X12">
        <v>897.62713929999995</v>
      </c>
      <c r="Y12">
        <v>842.53990799999997</v>
      </c>
      <c r="Z12">
        <v>789.71152359999996</v>
      </c>
      <c r="AA12">
        <v>739.19925909999995</v>
      </c>
      <c r="AB12">
        <v>691.03658819999998</v>
      </c>
      <c r="AC12">
        <v>645.23546690000001</v>
      </c>
      <c r="AD12">
        <v>601.78863509999996</v>
      </c>
      <c r="AE12">
        <v>560.67190059999996</v>
      </c>
      <c r="AF12">
        <v>521.84636839999996</v>
      </c>
      <c r="AG12">
        <v>485.26058890000002</v>
      </c>
      <c r="AH12">
        <v>450.85260019999998</v>
      </c>
      <c r="AI12">
        <v>418.55184789999998</v>
      </c>
      <c r="AJ12">
        <v>388.28096840000001</v>
      </c>
      <c r="AK12">
        <v>359.95742710000002</v>
      </c>
    </row>
    <row r="13" spans="1:37" x14ac:dyDescent="0.25">
      <c r="A13" t="s">
        <v>73</v>
      </c>
      <c r="B13">
        <v>9.8427898650000003</v>
      </c>
      <c r="C13">
        <v>14.98677562</v>
      </c>
      <c r="D13">
        <v>20.44188892</v>
      </c>
      <c r="E13">
        <v>26.112449139999999</v>
      </c>
      <c r="F13">
        <v>31.950416000000001</v>
      </c>
      <c r="G13">
        <v>37.949261730000003</v>
      </c>
      <c r="H13">
        <v>44.142141090000003</v>
      </c>
      <c r="I13">
        <v>50.582779780000003</v>
      </c>
      <c r="J13">
        <v>57.325872269999998</v>
      </c>
      <c r="K13">
        <v>64.430769369999993</v>
      </c>
      <c r="L13">
        <v>71.966934690000002</v>
      </c>
      <c r="M13">
        <v>80.020459020000004</v>
      </c>
      <c r="N13">
        <v>88.701914599999995</v>
      </c>
      <c r="O13">
        <v>98.156257339999996</v>
      </c>
      <c r="P13">
        <v>108.57594520000001</v>
      </c>
      <c r="Q13">
        <v>120.2190784</v>
      </c>
      <c r="R13">
        <v>133.4370993</v>
      </c>
      <c r="S13">
        <v>148.6682544</v>
      </c>
      <c r="T13">
        <v>166.4089108</v>
      </c>
      <c r="U13">
        <v>187.22067989999999</v>
      </c>
      <c r="V13">
        <v>211.73773399999999</v>
      </c>
      <c r="W13">
        <v>240.67353679999999</v>
      </c>
      <c r="X13">
        <v>274.82690589999999</v>
      </c>
      <c r="Y13">
        <v>315.08722010000002</v>
      </c>
      <c r="Z13">
        <v>362.4384718</v>
      </c>
      <c r="AA13">
        <v>417.9617619</v>
      </c>
      <c r="AB13">
        <v>482.83575330000002</v>
      </c>
      <c r="AC13">
        <v>558.33453750000001</v>
      </c>
      <c r="AD13">
        <v>645.82233480000002</v>
      </c>
      <c r="AE13">
        <v>746.74444080000001</v>
      </c>
      <c r="AF13">
        <v>862.61385929999994</v>
      </c>
      <c r="AG13">
        <v>994.99314949999996</v>
      </c>
      <c r="AH13">
        <v>1145.4711460000001</v>
      </c>
      <c r="AI13">
        <v>1315.634419</v>
      </c>
      <c r="AJ13">
        <v>1507.033623</v>
      </c>
      <c r="AK13">
        <v>1721.1452220000001</v>
      </c>
    </row>
    <row r="14" spans="1:37" x14ac:dyDescent="0.25">
      <c r="A14" t="s">
        <v>74</v>
      </c>
      <c r="B14">
        <v>11.44571741</v>
      </c>
      <c r="C14">
        <v>16.298725730000001</v>
      </c>
      <c r="D14">
        <v>21.445142629999999</v>
      </c>
      <c r="E14">
        <v>26.792131120000001</v>
      </c>
      <c r="F14">
        <v>32.294000230000002</v>
      </c>
      <c r="G14">
        <v>37.945945260000002</v>
      </c>
      <c r="H14">
        <v>43.781767790000004</v>
      </c>
      <c r="I14">
        <v>49.854747240000002</v>
      </c>
      <c r="J14">
        <v>56.21847236</v>
      </c>
      <c r="K14">
        <v>62.930440470000001</v>
      </c>
      <c r="L14">
        <v>70.057372700000002</v>
      </c>
      <c r="M14">
        <v>77.681484060000003</v>
      </c>
      <c r="N14">
        <v>85.907924730000005</v>
      </c>
      <c r="O14">
        <v>94.874013860000005</v>
      </c>
      <c r="P14">
        <v>104.76130120000001</v>
      </c>
      <c r="Q14">
        <v>115.8120426</v>
      </c>
      <c r="R14">
        <v>128.35424190000001</v>
      </c>
      <c r="S14">
        <v>142.7937646</v>
      </c>
      <c r="T14">
        <v>159.58537770000001</v>
      </c>
      <c r="U14">
        <v>179.2376491</v>
      </c>
      <c r="V14">
        <v>202.3178685</v>
      </c>
      <c r="W14">
        <v>229.45618899999999</v>
      </c>
      <c r="X14">
        <v>261.34888030000002</v>
      </c>
      <c r="Y14">
        <v>298.76051790000002</v>
      </c>
      <c r="Z14">
        <v>342.52484459999999</v>
      </c>
      <c r="AA14">
        <v>393.54397510000001</v>
      </c>
      <c r="AB14">
        <v>452.78556479999997</v>
      </c>
      <c r="AC14">
        <v>521.27754449999998</v>
      </c>
      <c r="AD14">
        <v>600.1000229</v>
      </c>
      <c r="AE14">
        <v>690.37399719999996</v>
      </c>
      <c r="AF14">
        <v>793.2465737</v>
      </c>
      <c r="AG14">
        <v>909.87251289999995</v>
      </c>
      <c r="AH14">
        <v>1041.3920660000001</v>
      </c>
      <c r="AI14">
        <v>1188.9052670000001</v>
      </c>
      <c r="AJ14">
        <v>1353.4430850000001</v>
      </c>
      <c r="AK14">
        <v>1535.9361309999999</v>
      </c>
    </row>
    <row r="15" spans="1:37" x14ac:dyDescent="0.25">
      <c r="A15" t="s">
        <v>75</v>
      </c>
      <c r="B15">
        <v>9.4015406210000005</v>
      </c>
      <c r="C15">
        <v>12.69768285</v>
      </c>
      <c r="D15">
        <v>16.19335895</v>
      </c>
      <c r="E15">
        <v>19.823554609999999</v>
      </c>
      <c r="F15">
        <v>23.556821750000001</v>
      </c>
      <c r="G15">
        <v>27.39065647</v>
      </c>
      <c r="H15">
        <v>31.34954905</v>
      </c>
      <c r="I15">
        <v>35.47124152</v>
      </c>
      <c r="J15">
        <v>39.793247970000003</v>
      </c>
      <c r="K15">
        <v>44.35537171</v>
      </c>
      <c r="L15">
        <v>49.203413930000004</v>
      </c>
      <c r="M15">
        <v>54.393495029999997</v>
      </c>
      <c r="N15">
        <v>59.99710151</v>
      </c>
      <c r="O15">
        <v>66.107249269999997</v>
      </c>
      <c r="P15">
        <v>72.846419979999993</v>
      </c>
      <c r="Q15">
        <v>80.377270300000006</v>
      </c>
      <c r="R15">
        <v>88.91887423</v>
      </c>
      <c r="S15">
        <v>98.740275030000006</v>
      </c>
      <c r="T15">
        <v>110.1396676</v>
      </c>
      <c r="U15">
        <v>123.4465984</v>
      </c>
      <c r="V15">
        <v>139.024114</v>
      </c>
      <c r="W15">
        <v>157.27027609999999</v>
      </c>
      <c r="X15">
        <v>178.61896239999999</v>
      </c>
      <c r="Y15">
        <v>203.53984109999999</v>
      </c>
      <c r="Z15">
        <v>232.53736660000001</v>
      </c>
      <c r="AA15">
        <v>266.14861280000002</v>
      </c>
      <c r="AB15">
        <v>304.93974739999999</v>
      </c>
      <c r="AC15">
        <v>349.50095399999998</v>
      </c>
      <c r="AD15">
        <v>400.43962970000001</v>
      </c>
      <c r="AE15">
        <v>458.3717302</v>
      </c>
      <c r="AF15">
        <v>523.9111881</v>
      </c>
      <c r="AG15">
        <v>597.65742379999995</v>
      </c>
      <c r="AH15">
        <v>680.18106290000003</v>
      </c>
      <c r="AI15">
        <v>772.00810660000002</v>
      </c>
      <c r="AJ15">
        <v>873.60293979999994</v>
      </c>
      <c r="AK15">
        <v>985.35070729999995</v>
      </c>
    </row>
    <row r="16" spans="1:37" x14ac:dyDescent="0.25">
      <c r="A16" t="s">
        <v>76</v>
      </c>
      <c r="B16">
        <v>5.770071272</v>
      </c>
      <c r="C16">
        <v>7.5615054730000004</v>
      </c>
      <c r="D16">
        <v>9.4379838589999991</v>
      </c>
      <c r="E16">
        <v>11.35207945</v>
      </c>
      <c r="F16">
        <v>13.275194150000001</v>
      </c>
      <c r="G16">
        <v>15.19295917</v>
      </c>
      <c r="H16">
        <v>17.10332404</v>
      </c>
      <c r="I16">
        <v>19.010938110000001</v>
      </c>
      <c r="J16">
        <v>20.921141630000001</v>
      </c>
      <c r="K16">
        <v>22.840063820000001</v>
      </c>
      <c r="L16">
        <v>24.775194509999999</v>
      </c>
      <c r="M16">
        <v>26.73612</v>
      </c>
      <c r="N16">
        <v>28.735392220000001</v>
      </c>
      <c r="O16">
        <v>30.789568280000001</v>
      </c>
      <c r="P16">
        <v>32.920506150000001</v>
      </c>
      <c r="Q16">
        <v>35.157052210000003</v>
      </c>
      <c r="R16">
        <v>37.538923269999998</v>
      </c>
      <c r="S16">
        <v>40.114565859999999</v>
      </c>
      <c r="T16">
        <v>42.934930999999999</v>
      </c>
      <c r="U16">
        <v>46.053606670000001</v>
      </c>
      <c r="V16">
        <v>49.526958950000001</v>
      </c>
      <c r="W16">
        <v>53.41412141</v>
      </c>
      <c r="X16">
        <v>57.776851649999998</v>
      </c>
      <c r="Y16">
        <v>62.679266990000002</v>
      </c>
      <c r="Z16">
        <v>68.187461170000006</v>
      </c>
      <c r="AA16">
        <v>74.368996670000001</v>
      </c>
      <c r="AB16">
        <v>81.292263750000004</v>
      </c>
      <c r="AC16">
        <v>89.025695900000002</v>
      </c>
      <c r="AD16">
        <v>97.636831959999995</v>
      </c>
      <c r="AE16">
        <v>107.191216</v>
      </c>
      <c r="AF16">
        <v>117.7511284</v>
      </c>
      <c r="AG16">
        <v>129.37414480000001</v>
      </c>
      <c r="AH16">
        <v>142.1115246</v>
      </c>
      <c r="AI16">
        <v>156.0064361</v>
      </c>
      <c r="AJ16">
        <v>171.09203640000001</v>
      </c>
      <c r="AK16">
        <v>187.38943420000001</v>
      </c>
    </row>
    <row r="17" spans="1:37" x14ac:dyDescent="0.25">
      <c r="A17" t="s">
        <v>77</v>
      </c>
      <c r="B17">
        <v>3.4730440960000002</v>
      </c>
      <c r="C17">
        <v>4.5722154760000002</v>
      </c>
      <c r="D17">
        <v>5.7140433249999996</v>
      </c>
      <c r="E17">
        <v>6.8675525430000004</v>
      </c>
      <c r="F17">
        <v>8.0145189620000004</v>
      </c>
      <c r="G17">
        <v>9.1461110110000003</v>
      </c>
      <c r="H17">
        <v>10.261243759999999</v>
      </c>
      <c r="I17">
        <v>11.362807200000001</v>
      </c>
      <c r="J17">
        <v>12.45393795</v>
      </c>
      <c r="K17">
        <v>13.538066860000001</v>
      </c>
      <c r="L17">
        <v>14.619250660000001</v>
      </c>
      <c r="M17">
        <v>15.70257655</v>
      </c>
      <c r="N17">
        <v>16.794605059999999</v>
      </c>
      <c r="O17">
        <v>17.903858849999999</v>
      </c>
      <c r="P17">
        <v>19.04138876</v>
      </c>
      <c r="Q17">
        <v>20.221467619999999</v>
      </c>
      <c r="R17">
        <v>21.463368240000001</v>
      </c>
      <c r="S17">
        <v>22.789836999999999</v>
      </c>
      <c r="T17">
        <v>24.223509069999999</v>
      </c>
      <c r="U17">
        <v>25.786814570000001</v>
      </c>
      <c r="V17">
        <v>27.50190834</v>
      </c>
      <c r="W17">
        <v>29.390532260000001</v>
      </c>
      <c r="X17">
        <v>31.473822670000001</v>
      </c>
      <c r="Y17">
        <v>33.772074310000001</v>
      </c>
      <c r="Z17">
        <v>36.304468649999997</v>
      </c>
      <c r="AA17">
        <v>39.088771960000003</v>
      </c>
      <c r="AB17">
        <v>42.141007449999996</v>
      </c>
      <c r="AC17">
        <v>45.475105829999997</v>
      </c>
      <c r="AD17">
        <v>49.102538780000003</v>
      </c>
      <c r="AE17">
        <v>53.031940990000003</v>
      </c>
      <c r="AF17">
        <v>57.268726450000003</v>
      </c>
      <c r="AG17">
        <v>61.814705940000003</v>
      </c>
      <c r="AH17">
        <v>66.667713710000001</v>
      </c>
      <c r="AI17">
        <v>71.821252290000004</v>
      </c>
      <c r="AJ17">
        <v>77.264166209999999</v>
      </c>
      <c r="AK17">
        <v>82.980357240000004</v>
      </c>
    </row>
    <row r="18" spans="1:37" x14ac:dyDescent="0.25">
      <c r="A18" t="s">
        <v>78</v>
      </c>
      <c r="B18">
        <v>1.7251505170000001</v>
      </c>
      <c r="C18">
        <v>2.244394497</v>
      </c>
      <c r="D18">
        <v>2.7668950890000001</v>
      </c>
      <c r="E18">
        <v>3.2740041689999999</v>
      </c>
      <c r="F18">
        <v>3.7551965630000002</v>
      </c>
      <c r="G18">
        <v>4.2053456369999997</v>
      </c>
      <c r="H18">
        <v>4.6232034869999996</v>
      </c>
      <c r="I18">
        <v>5.0095093979999996</v>
      </c>
      <c r="J18">
        <v>5.3653540150000003</v>
      </c>
      <c r="K18">
        <v>5.6920121210000003</v>
      </c>
      <c r="L18">
        <v>5.9909231490000003</v>
      </c>
      <c r="M18">
        <v>6.2637074889999997</v>
      </c>
      <c r="N18">
        <v>6.5121891439999997</v>
      </c>
      <c r="O18">
        <v>6.738415045</v>
      </c>
      <c r="P18">
        <v>6.9446695040000002</v>
      </c>
      <c r="Q18">
        <v>7.1334857420000004</v>
      </c>
      <c r="R18">
        <v>7.3079419129999996</v>
      </c>
      <c r="S18">
        <v>7.4712815580000003</v>
      </c>
      <c r="T18">
        <v>7.6261899179999997</v>
      </c>
      <c r="U18">
        <v>7.7748277469999998</v>
      </c>
      <c r="V18">
        <v>7.9188780850000002</v>
      </c>
      <c r="W18">
        <v>8.0595840780000003</v>
      </c>
      <c r="X18">
        <v>8.1977818669999998</v>
      </c>
      <c r="Y18">
        <v>8.333932055</v>
      </c>
      <c r="Z18">
        <v>8.4681519220000006</v>
      </c>
      <c r="AA18">
        <v>8.6002494380000005</v>
      </c>
      <c r="AB18">
        <v>8.7297594230000009</v>
      </c>
      <c r="AC18">
        <v>8.8559816930000004</v>
      </c>
      <c r="AD18">
        <v>8.9780207720000007</v>
      </c>
      <c r="AE18">
        <v>9.0948264979999998</v>
      </c>
      <c r="AF18">
        <v>9.2052348070000001</v>
      </c>
      <c r="AG18">
        <v>9.3080078709999992</v>
      </c>
      <c r="AH18">
        <v>9.4018728300000003</v>
      </c>
      <c r="AI18">
        <v>9.4855584250000007</v>
      </c>
      <c r="AJ18">
        <v>9.5578289190000003</v>
      </c>
      <c r="AK18">
        <v>9.6175148539999995</v>
      </c>
    </row>
    <row r="19" spans="1:37" x14ac:dyDescent="0.25">
      <c r="A19" t="s">
        <v>79</v>
      </c>
      <c r="B19">
        <v>3.1066862139999998</v>
      </c>
      <c r="C19">
        <v>4.0702695269999998</v>
      </c>
      <c r="D19">
        <v>5.0143829850000001</v>
      </c>
      <c r="E19">
        <v>5.9012134720000002</v>
      </c>
      <c r="F19">
        <v>6.711763382</v>
      </c>
      <c r="G19">
        <v>7.4388891170000004</v>
      </c>
      <c r="H19">
        <v>8.0831671870000008</v>
      </c>
      <c r="I19">
        <v>8.6487843669999993</v>
      </c>
      <c r="J19">
        <v>9.1404852200000004</v>
      </c>
      <c r="K19">
        <v>9.5631832140000004</v>
      </c>
      <c r="L19">
        <v>9.9218700230000003</v>
      </c>
      <c r="M19">
        <v>10.221594680000001</v>
      </c>
      <c r="N19">
        <v>10.467450299999999</v>
      </c>
      <c r="O19">
        <v>10.66455011</v>
      </c>
      <c r="P19">
        <v>10.81799124</v>
      </c>
      <c r="Q19">
        <v>10.932810529999999</v>
      </c>
      <c r="R19">
        <v>11.014264259999999</v>
      </c>
      <c r="S19">
        <v>11.06733715</v>
      </c>
      <c r="T19">
        <v>11.09599064</v>
      </c>
      <c r="U19">
        <v>11.103313999999999</v>
      </c>
      <c r="V19">
        <v>11.09168113</v>
      </c>
      <c r="W19">
        <v>11.062885189999999</v>
      </c>
      <c r="X19">
        <v>11.01825519</v>
      </c>
      <c r="Y19">
        <v>10.958758449999999</v>
      </c>
      <c r="Z19">
        <v>10.885091149999999</v>
      </c>
      <c r="AA19">
        <v>10.797758099999999</v>
      </c>
      <c r="AB19">
        <v>10.697142210000001</v>
      </c>
      <c r="AC19">
        <v>10.583563829999999</v>
      </c>
      <c r="AD19">
        <v>10.457329830000001</v>
      </c>
      <c r="AE19">
        <v>10.31877289</v>
      </c>
      <c r="AF19">
        <v>10.168281</v>
      </c>
      <c r="AG19">
        <v>10.006317960000001</v>
      </c>
      <c r="AH19">
        <v>9.8334354479999995</v>
      </c>
      <c r="AI19">
        <v>9.6502777650000002</v>
      </c>
      <c r="AJ19">
        <v>9.4575801429999995</v>
      </c>
      <c r="AK19">
        <v>9.2561619079999993</v>
      </c>
    </row>
    <row r="20" spans="1:37" x14ac:dyDescent="0.25">
      <c r="A20" t="s">
        <v>80</v>
      </c>
      <c r="B20">
        <v>0.42568169729999999</v>
      </c>
      <c r="C20">
        <v>0.44933516569999998</v>
      </c>
      <c r="D20">
        <v>0.47587941420000002</v>
      </c>
      <c r="E20">
        <v>0.50407722799999999</v>
      </c>
      <c r="F20">
        <v>0.53308136819999996</v>
      </c>
      <c r="G20">
        <v>0.56232302369999998</v>
      </c>
      <c r="H20">
        <v>0.59148356609999997</v>
      </c>
      <c r="I20">
        <v>0.62040925059999996</v>
      </c>
      <c r="J20">
        <v>0.64898775880000004</v>
      </c>
      <c r="K20">
        <v>0.67713271480000004</v>
      </c>
      <c r="L20">
        <v>0.70477498770000002</v>
      </c>
      <c r="M20">
        <v>0.73185591490000002</v>
      </c>
      <c r="N20">
        <v>0.75832209910000004</v>
      </c>
      <c r="O20">
        <v>0.78412142839999999</v>
      </c>
      <c r="P20">
        <v>0.80919991300000005</v>
      </c>
      <c r="Q20">
        <v>0.83349889870000005</v>
      </c>
      <c r="R20">
        <v>0.85701923759999998</v>
      </c>
      <c r="S20">
        <v>0.87981092790000004</v>
      </c>
      <c r="T20">
        <v>0.90188914539999998</v>
      </c>
      <c r="U20">
        <v>0.9232448379</v>
      </c>
      <c r="V20">
        <v>0.94385284790000001</v>
      </c>
      <c r="W20">
        <v>0.96367609990000003</v>
      </c>
      <c r="X20">
        <v>0.98266755900000002</v>
      </c>
      <c r="Y20">
        <v>1.0007710569999999</v>
      </c>
      <c r="Z20">
        <v>1.017921608</v>
      </c>
      <c r="AA20">
        <v>1.0340455669999999</v>
      </c>
      <c r="AB20">
        <v>1.04906082</v>
      </c>
      <c r="AC20">
        <v>1.0628771379999999</v>
      </c>
      <c r="AD20">
        <v>1.075396789</v>
      </c>
      <c r="AE20">
        <v>1.086515452</v>
      </c>
      <c r="AF20">
        <v>1.0961235090000001</v>
      </c>
      <c r="AG20">
        <v>1.1041077189999999</v>
      </c>
      <c r="AH20">
        <v>1.110353323</v>
      </c>
      <c r="AI20">
        <v>1.1147465519999999</v>
      </c>
      <c r="AJ20">
        <v>1.1171775319999999</v>
      </c>
      <c r="AK20">
        <v>1.1175435330000001</v>
      </c>
    </row>
    <row r="21" spans="1:37" x14ac:dyDescent="0.25">
      <c r="A21" t="s">
        <v>81</v>
      </c>
      <c r="B21">
        <v>0.49500522540000003</v>
      </c>
      <c r="C21">
        <v>0.51226023529999998</v>
      </c>
      <c r="D21">
        <v>0.53252768289999997</v>
      </c>
      <c r="E21">
        <v>0.55457425149999995</v>
      </c>
      <c r="F21">
        <v>0.57755324689999998</v>
      </c>
      <c r="G21">
        <v>0.60089213809999997</v>
      </c>
      <c r="H21">
        <v>0.62426223319999996</v>
      </c>
      <c r="I21">
        <v>0.64749666139999995</v>
      </c>
      <c r="J21">
        <v>0.67047190050000005</v>
      </c>
      <c r="K21">
        <v>0.69309085189999997</v>
      </c>
      <c r="L21">
        <v>0.71527340210000001</v>
      </c>
      <c r="M21">
        <v>0.73694937849999997</v>
      </c>
      <c r="N21">
        <v>0.75805330260000003</v>
      </c>
      <c r="O21">
        <v>0.77852045520000002</v>
      </c>
      <c r="P21">
        <v>0.79828378960000002</v>
      </c>
      <c r="Q21">
        <v>0.81727124470000001</v>
      </c>
      <c r="R21">
        <v>0.83546578540000005</v>
      </c>
      <c r="S21">
        <v>0.85289806000000001</v>
      </c>
      <c r="T21">
        <v>0.86957021209999996</v>
      </c>
      <c r="U21">
        <v>0.88546447849999999</v>
      </c>
      <c r="V21">
        <v>0.90055013559999997</v>
      </c>
      <c r="W21">
        <v>0.91478716169999996</v>
      </c>
      <c r="X21">
        <v>0.92812804270000004</v>
      </c>
      <c r="Y21">
        <v>0.94051865629999998</v>
      </c>
      <c r="Z21">
        <v>0.95189876699999998</v>
      </c>
      <c r="AA21">
        <v>0.96220242659999999</v>
      </c>
      <c r="AB21">
        <v>0.97135844280000005</v>
      </c>
      <c r="AC21">
        <v>0.97929101659999995</v>
      </c>
      <c r="AD21">
        <v>0.98592060800000003</v>
      </c>
      <c r="AE21">
        <v>0.99116507129999998</v>
      </c>
      <c r="AF21">
        <v>0.99494107899999995</v>
      </c>
      <c r="AG21">
        <v>0.99716584399999997</v>
      </c>
      <c r="AH21">
        <v>0.99775912789999999</v>
      </c>
      <c r="AI21">
        <v>0.99664551010000002</v>
      </c>
      <c r="AJ21">
        <v>0.99375687069999996</v>
      </c>
      <c r="AK21">
        <v>0.98903501650000003</v>
      </c>
    </row>
    <row r="22" spans="1:37" x14ac:dyDescent="0.25">
      <c r="A22" t="s">
        <v>82</v>
      </c>
      <c r="B22">
        <v>0.40659851759999999</v>
      </c>
      <c r="C22">
        <v>0.41450489509999999</v>
      </c>
      <c r="D22">
        <v>0.42467781360000001</v>
      </c>
      <c r="E22">
        <v>0.43623168080000002</v>
      </c>
      <c r="F22">
        <v>0.44855712269999998</v>
      </c>
      <c r="G22">
        <v>0.46123940009999997</v>
      </c>
      <c r="H22">
        <v>0.47403519</v>
      </c>
      <c r="I22">
        <v>0.48681568390000002</v>
      </c>
      <c r="J22">
        <v>0.49948458439999999</v>
      </c>
      <c r="K22">
        <v>0.51196499689999997</v>
      </c>
      <c r="L22">
        <v>0.52419217389999995</v>
      </c>
      <c r="M22">
        <v>0.53610829790000003</v>
      </c>
      <c r="N22">
        <v>0.54765870569999997</v>
      </c>
      <c r="O22">
        <v>0.55878912010000004</v>
      </c>
      <c r="P22">
        <v>0.5694435162</v>
      </c>
      <c r="Q22">
        <v>0.57956229820000005</v>
      </c>
      <c r="R22">
        <v>0.58912284820000005</v>
      </c>
      <c r="S22">
        <v>0.5981360952</v>
      </c>
      <c r="T22">
        <v>0.60659660650000002</v>
      </c>
      <c r="U22">
        <v>0.61448750770000005</v>
      </c>
      <c r="V22">
        <v>0.62178472299999998</v>
      </c>
      <c r="W22">
        <v>0.62845926100000005</v>
      </c>
      <c r="X22">
        <v>0.63447839289999997</v>
      </c>
      <c r="Y22">
        <v>0.63980629440000003</v>
      </c>
      <c r="Z22">
        <v>0.644404474</v>
      </c>
      <c r="AA22">
        <v>0.64823216500000003</v>
      </c>
      <c r="AB22">
        <v>0.6512467757</v>
      </c>
      <c r="AC22">
        <v>0.65340445079999998</v>
      </c>
      <c r="AD22">
        <v>0.65466077290000002</v>
      </c>
      <c r="AE22">
        <v>0.65497161780000002</v>
      </c>
      <c r="AF22">
        <v>0.65429416220000003</v>
      </c>
      <c r="AG22">
        <v>0.65258803860000003</v>
      </c>
      <c r="AH22">
        <v>0.64981661390000001</v>
      </c>
      <c r="AI22">
        <v>0.64594836470000006</v>
      </c>
      <c r="AJ22">
        <v>0.64095830639999996</v>
      </c>
      <c r="AK22">
        <v>0.63482942539999998</v>
      </c>
    </row>
    <row r="23" spans="1:37" x14ac:dyDescent="0.25">
      <c r="A23" t="s">
        <v>83</v>
      </c>
      <c r="B23">
        <v>0.2495444651</v>
      </c>
      <c r="C23">
        <v>0.25231484729999998</v>
      </c>
      <c r="D23">
        <v>0.25626929209999999</v>
      </c>
      <c r="E23">
        <v>0.26087537430000002</v>
      </c>
      <c r="F23">
        <v>0.26577440320000001</v>
      </c>
      <c r="G23">
        <v>0.27072765720000003</v>
      </c>
      <c r="H23">
        <v>0.2755970888</v>
      </c>
      <c r="I23">
        <v>0.28031070759999999</v>
      </c>
      <c r="J23">
        <v>0.28481691539999998</v>
      </c>
      <c r="K23">
        <v>0.28907613640000002</v>
      </c>
      <c r="L23">
        <v>0.29305639220000002</v>
      </c>
      <c r="M23">
        <v>0.29673038730000001</v>
      </c>
      <c r="N23">
        <v>0.30007357600000001</v>
      </c>
      <c r="O23">
        <v>0.30306288310000001</v>
      </c>
      <c r="P23">
        <v>0.30567585050000001</v>
      </c>
      <c r="Q23">
        <v>0.30789004790000002</v>
      </c>
      <c r="R23">
        <v>0.30970231990000002</v>
      </c>
      <c r="S23">
        <v>0.31112699659999998</v>
      </c>
      <c r="T23">
        <v>0.3121727104</v>
      </c>
      <c r="U23">
        <v>0.31284445999999999</v>
      </c>
      <c r="V23">
        <v>0.31314550299999999</v>
      </c>
      <c r="W23">
        <v>0.31307838389999998</v>
      </c>
      <c r="X23">
        <v>0.31264544919999998</v>
      </c>
      <c r="Y23">
        <v>0.31184909459999999</v>
      </c>
      <c r="Z23">
        <v>0.31069188349999999</v>
      </c>
      <c r="AA23">
        <v>0.30917661140000002</v>
      </c>
      <c r="AB23">
        <v>0.3073063513</v>
      </c>
      <c r="AC23">
        <v>0.30508449850000002</v>
      </c>
      <c r="AD23">
        <v>0.30251482159999998</v>
      </c>
      <c r="AE23">
        <v>0.29960152220000003</v>
      </c>
      <c r="AF23">
        <v>0.29634930250000002</v>
      </c>
      <c r="AG23">
        <v>0.29276344180000002</v>
      </c>
      <c r="AH23">
        <v>0.28884987909999998</v>
      </c>
      <c r="AI23">
        <v>0.28461530429999998</v>
      </c>
      <c r="AJ23">
        <v>0.28006725609999999</v>
      </c>
      <c r="AK23">
        <v>0.2752142286</v>
      </c>
    </row>
    <row r="24" spans="1:37" x14ac:dyDescent="0.25">
      <c r="A24" t="s">
        <v>84</v>
      </c>
      <c r="B24">
        <v>0.15020246549999999</v>
      </c>
      <c r="C24">
        <v>0.15205803779999999</v>
      </c>
      <c r="D24">
        <v>0.15453801219999999</v>
      </c>
      <c r="E24">
        <v>0.15729786309999999</v>
      </c>
      <c r="F24">
        <v>0.1601114521</v>
      </c>
      <c r="G24">
        <v>0.1628329332</v>
      </c>
      <c r="H24">
        <v>0.16538125870000001</v>
      </c>
      <c r="I24">
        <v>0.16771728020000001</v>
      </c>
      <c r="J24">
        <v>0.16981554709999999</v>
      </c>
      <c r="K24">
        <v>0.1716584864</v>
      </c>
      <c r="L24">
        <v>0.17323339930000001</v>
      </c>
      <c r="M24">
        <v>0.1745305919</v>
      </c>
      <c r="N24">
        <v>0.17554220109999999</v>
      </c>
      <c r="O24">
        <v>0.17626146009999999</v>
      </c>
      <c r="P24">
        <v>0.17668224090000001</v>
      </c>
      <c r="Q24">
        <v>0.17679876850000001</v>
      </c>
      <c r="R24">
        <v>0.17661580239999999</v>
      </c>
      <c r="S24">
        <v>0.17614766870000001</v>
      </c>
      <c r="T24">
        <v>0.17540622980000001</v>
      </c>
      <c r="U24">
        <v>0.1744018108</v>
      </c>
      <c r="V24">
        <v>0.17314411430000001</v>
      </c>
      <c r="W24">
        <v>0.1716427133</v>
      </c>
      <c r="X24">
        <v>0.1699072875</v>
      </c>
      <c r="Y24">
        <v>0.1679477247</v>
      </c>
      <c r="Z24">
        <v>0.16577415570000001</v>
      </c>
      <c r="AA24">
        <v>0.16339696109999999</v>
      </c>
      <c r="AB24">
        <v>0.16082676630000001</v>
      </c>
      <c r="AC24">
        <v>0.15807443390000001</v>
      </c>
      <c r="AD24">
        <v>0.15515105439999999</v>
      </c>
      <c r="AE24">
        <v>0.15206793660000001</v>
      </c>
      <c r="AF24">
        <v>0.14883659690000001</v>
      </c>
      <c r="AG24">
        <v>0.14546874570000001</v>
      </c>
      <c r="AH24">
        <v>0.1419762712</v>
      </c>
      <c r="AI24">
        <v>0.1383712201</v>
      </c>
      <c r="AJ24">
        <v>0.13466577630000001</v>
      </c>
      <c r="AK24">
        <v>0.13087223649999999</v>
      </c>
    </row>
    <row r="25" spans="1:37" x14ac:dyDescent="0.25">
      <c r="A25" t="s">
        <v>85</v>
      </c>
      <c r="B25">
        <v>7.4609436000000001E-2</v>
      </c>
      <c r="C25">
        <v>7.5290206700000001E-2</v>
      </c>
      <c r="D25">
        <v>7.6132076399999998E-2</v>
      </c>
      <c r="E25">
        <v>7.6945596599999999E-2</v>
      </c>
      <c r="F25">
        <v>7.7619323800000001E-2</v>
      </c>
      <c r="G25">
        <v>7.8092136100000001E-2</v>
      </c>
      <c r="H25">
        <v>7.8339035299999998E-2</v>
      </c>
      <c r="I25">
        <v>7.8356677999999999E-2</v>
      </c>
      <c r="J25">
        <v>7.8149325199999994E-2</v>
      </c>
      <c r="K25">
        <v>7.7725280399999999E-2</v>
      </c>
      <c r="L25">
        <v>7.7095122399999994E-2</v>
      </c>
      <c r="M25">
        <v>7.62706992E-2</v>
      </c>
      <c r="N25">
        <v>7.5264537399999998E-2</v>
      </c>
      <c r="O25">
        <v>7.4089487400000001E-2</v>
      </c>
      <c r="P25">
        <v>7.27585065E-2</v>
      </c>
      <c r="Q25">
        <v>7.1284526400000006E-2</v>
      </c>
      <c r="R25">
        <v>6.9683135300000004E-2</v>
      </c>
      <c r="S25">
        <v>6.7971894099999999E-2</v>
      </c>
      <c r="T25">
        <v>6.61669919E-2</v>
      </c>
      <c r="U25">
        <v>6.4283485700000004E-2</v>
      </c>
      <c r="V25">
        <v>6.2335534200000001E-2</v>
      </c>
      <c r="W25">
        <v>6.0336506400000003E-2</v>
      </c>
      <c r="X25">
        <v>5.8299016600000003E-2</v>
      </c>
      <c r="Y25">
        <v>5.6234922999999999E-2</v>
      </c>
      <c r="Z25">
        <v>5.4155314500000003E-2</v>
      </c>
      <c r="AA25">
        <v>5.2070495299999998E-2</v>
      </c>
      <c r="AB25">
        <v>4.9989974499999999E-2</v>
      </c>
      <c r="AC25">
        <v>4.7922462499999999E-2</v>
      </c>
      <c r="AD25">
        <v>4.5875873099999999E-2</v>
      </c>
      <c r="AE25">
        <v>4.3857332999999998E-2</v>
      </c>
      <c r="AF25">
        <v>4.1873196100000003E-2</v>
      </c>
      <c r="AG25">
        <v>3.99290635E-2</v>
      </c>
      <c r="AH25">
        <v>3.8029807399999997E-2</v>
      </c>
      <c r="AI25">
        <v>3.6179600200000002E-2</v>
      </c>
      <c r="AJ25">
        <v>3.4381946099999998E-2</v>
      </c>
      <c r="AK25">
        <v>3.2639716800000003E-2</v>
      </c>
    </row>
    <row r="26" spans="1:37" x14ac:dyDescent="0.25">
      <c r="A26" t="s">
        <v>86</v>
      </c>
      <c r="B26">
        <v>0.13435819299999999</v>
      </c>
      <c r="C26">
        <v>0.13584218980000001</v>
      </c>
      <c r="D26">
        <v>0.13737684</v>
      </c>
      <c r="E26">
        <v>0.1385879552</v>
      </c>
      <c r="F26">
        <v>0.1392824819</v>
      </c>
      <c r="G26">
        <v>0.13937914670000001</v>
      </c>
      <c r="H26">
        <v>0.1388700584</v>
      </c>
      <c r="I26">
        <v>0.13778783189999999</v>
      </c>
      <c r="J26">
        <v>0.13617824119999999</v>
      </c>
      <c r="K26">
        <v>0.13409233240000001</v>
      </c>
      <c r="L26">
        <v>0.1315826209</v>
      </c>
      <c r="M26">
        <v>0.12870105940000001</v>
      </c>
      <c r="N26">
        <v>0.1254979266</v>
      </c>
      <c r="O26">
        <v>0.1220212123</v>
      </c>
      <c r="P26">
        <v>0.1183162839</v>
      </c>
      <c r="Q26">
        <v>0.1144257199</v>
      </c>
      <c r="R26">
        <v>0.1103923143</v>
      </c>
      <c r="S26">
        <v>0.1062579949</v>
      </c>
      <c r="T26">
        <v>0.10206013680000001</v>
      </c>
      <c r="U26">
        <v>9.7831987600000003E-2</v>
      </c>
      <c r="V26">
        <v>9.3603088900000006E-2</v>
      </c>
      <c r="W26">
        <v>8.9399555199999994E-2</v>
      </c>
      <c r="X26">
        <v>8.5244278899999998E-2</v>
      </c>
      <c r="Y26">
        <v>8.1157103600000002E-2</v>
      </c>
      <c r="Z26">
        <v>7.7154994300000002E-2</v>
      </c>
      <c r="AA26">
        <v>7.3252213799999993E-2</v>
      </c>
      <c r="AB26">
        <v>6.9460508700000007E-2</v>
      </c>
      <c r="AC26">
        <v>6.5789302399999999E-2</v>
      </c>
      <c r="AD26">
        <v>6.2245893199999999E-2</v>
      </c>
      <c r="AE26">
        <v>5.8835653199999997E-2</v>
      </c>
      <c r="AF26">
        <v>5.5562225600000001E-2</v>
      </c>
      <c r="AG26">
        <v>5.2427716700000002E-2</v>
      </c>
      <c r="AH26">
        <v>4.9432881800000002E-2</v>
      </c>
      <c r="AI26">
        <v>4.6577301699999997E-2</v>
      </c>
      <c r="AJ26">
        <v>4.3859550599999998E-2</v>
      </c>
      <c r="AK26">
        <v>4.1277351099999998E-2</v>
      </c>
    </row>
    <row r="27" spans="1:37" x14ac:dyDescent="0.25">
      <c r="A27" t="s">
        <v>87</v>
      </c>
      <c r="B27">
        <v>32317.940999999999</v>
      </c>
      <c r="C27">
        <v>31931.6253</v>
      </c>
      <c r="D27">
        <v>31743.508249999999</v>
      </c>
      <c r="E27">
        <v>31687.79249</v>
      </c>
      <c r="F27">
        <v>31720.643349999998</v>
      </c>
      <c r="G27">
        <v>31813.33711</v>
      </c>
      <c r="H27">
        <v>31947.162380000002</v>
      </c>
      <c r="I27">
        <v>32109.87729</v>
      </c>
      <c r="J27">
        <v>32293.361379999998</v>
      </c>
      <c r="K27">
        <v>32492.108840000001</v>
      </c>
      <c r="L27">
        <v>32702.282360000001</v>
      </c>
      <c r="M27">
        <v>32921.126179999999</v>
      </c>
      <c r="N27">
        <v>33146.603029999998</v>
      </c>
      <c r="O27">
        <v>33377.167979999998</v>
      </c>
      <c r="P27">
        <v>33611.625030000003</v>
      </c>
      <c r="Q27">
        <v>33849.033629999998</v>
      </c>
      <c r="R27">
        <v>34088.645530000002</v>
      </c>
      <c r="S27">
        <v>34329.860690000001</v>
      </c>
      <c r="T27">
        <v>34572.195419999996</v>
      </c>
      <c r="U27">
        <v>34815.258710000002</v>
      </c>
      <c r="V27">
        <v>35058.734510000002</v>
      </c>
      <c r="W27">
        <v>35302.36808</v>
      </c>
      <c r="X27">
        <v>35545.95566</v>
      </c>
      <c r="Y27">
        <v>35789.336340000002</v>
      </c>
      <c r="Z27">
        <v>36032.385739999998</v>
      </c>
      <c r="AA27">
        <v>36275.010999999999</v>
      </c>
      <c r="AB27">
        <v>36517.146650000002</v>
      </c>
      <c r="AC27">
        <v>36758.751190000003</v>
      </c>
      <c r="AD27">
        <v>36999.804109999997</v>
      </c>
      <c r="AE27">
        <v>37240.303260000001</v>
      </c>
      <c r="AF27">
        <v>37480.262430000002</v>
      </c>
      <c r="AG27">
        <v>37719.709159999999</v>
      </c>
      <c r="AH27">
        <v>37958.682679999998</v>
      </c>
      <c r="AI27">
        <v>38197.23199</v>
      </c>
      <c r="AJ27">
        <v>38435.414069999999</v>
      </c>
      <c r="AK27">
        <v>38673.292269999998</v>
      </c>
    </row>
    <row r="28" spans="1:37" x14ac:dyDescent="0.25">
      <c r="A28" t="s">
        <v>88</v>
      </c>
      <c r="B28">
        <v>32271.24</v>
      </c>
      <c r="C28">
        <v>31867.184539999998</v>
      </c>
      <c r="D28">
        <v>31660.485769999999</v>
      </c>
      <c r="E28">
        <v>31585.837940000001</v>
      </c>
      <c r="F28">
        <v>31599.720549999998</v>
      </c>
      <c r="G28">
        <v>31673.60284</v>
      </c>
      <c r="H28">
        <v>31788.887490000001</v>
      </c>
      <c r="I28">
        <v>31933.39687</v>
      </c>
      <c r="J28">
        <v>32099.043880000001</v>
      </c>
      <c r="K28">
        <v>32280.33711</v>
      </c>
      <c r="L28">
        <v>32473.442050000001</v>
      </c>
      <c r="M28">
        <v>32675.5985</v>
      </c>
      <c r="N28">
        <v>32884.760260000003</v>
      </c>
      <c r="O28">
        <v>33099.37055</v>
      </c>
      <c r="P28">
        <v>33318.219720000001</v>
      </c>
      <c r="Q28">
        <v>33540.352330000002</v>
      </c>
      <c r="R28">
        <v>33765.004459999996</v>
      </c>
      <c r="S28">
        <v>33991.559860000001</v>
      </c>
      <c r="T28">
        <v>34219.518219999998</v>
      </c>
      <c r="U28">
        <v>34448.471680000002</v>
      </c>
      <c r="V28">
        <v>34678.087050000002</v>
      </c>
      <c r="W28">
        <v>34908.092270000001</v>
      </c>
      <c r="X28">
        <v>35138.265950000001</v>
      </c>
      <c r="Y28">
        <v>35368.429279999997</v>
      </c>
      <c r="Z28">
        <v>35598.439659999996</v>
      </c>
      <c r="AA28">
        <v>35828.185579999998</v>
      </c>
      <c r="AB28">
        <v>36057.582459999998</v>
      </c>
      <c r="AC28">
        <v>36286.56912</v>
      </c>
      <c r="AD28">
        <v>36515.104740000002</v>
      </c>
      <c r="AE28">
        <v>36743.166120000002</v>
      </c>
      <c r="AF28">
        <v>36970.745210000001</v>
      </c>
      <c r="AG28">
        <v>37197.846769999996</v>
      </c>
      <c r="AH28">
        <v>37424.486270000001</v>
      </c>
      <c r="AI28">
        <v>37650.6878</v>
      </c>
      <c r="AJ28">
        <v>37876.482239999998</v>
      </c>
      <c r="AK28">
        <v>38101.905460000002</v>
      </c>
    </row>
    <row r="29" spans="1:37" x14ac:dyDescent="0.25">
      <c r="A29" t="s">
        <v>89</v>
      </c>
      <c r="B29">
        <v>44.765000000000001</v>
      </c>
      <c r="C29">
        <v>62.448716269999998</v>
      </c>
      <c r="D29">
        <v>80.96397125</v>
      </c>
      <c r="E29">
        <v>99.823967240000002</v>
      </c>
      <c r="F29">
        <v>118.71771630000001</v>
      </c>
      <c r="G29">
        <v>137.45419670000001</v>
      </c>
      <c r="H29">
        <v>155.92054479999999</v>
      </c>
      <c r="I29">
        <v>174.05323809999999</v>
      </c>
      <c r="J29">
        <v>191.819312</v>
      </c>
      <c r="K29">
        <v>209.20456300000001</v>
      </c>
      <c r="L29">
        <v>226.20631040000001</v>
      </c>
      <c r="M29">
        <v>242.8290054</v>
      </c>
      <c r="N29">
        <v>259.08157080000001</v>
      </c>
      <c r="O29">
        <v>274.9757745</v>
      </c>
      <c r="P29">
        <v>290.52522199999999</v>
      </c>
      <c r="Q29">
        <v>305.74471920000002</v>
      </c>
      <c r="R29">
        <v>320.64986579999999</v>
      </c>
      <c r="S29">
        <v>335.25679709999997</v>
      </c>
      <c r="T29">
        <v>349.58202449999999</v>
      </c>
      <c r="U29">
        <v>363.64234420000003</v>
      </c>
      <c r="V29">
        <v>377.45479499999999</v>
      </c>
      <c r="W29">
        <v>391.03665089999998</v>
      </c>
      <c r="X29">
        <v>404.40544</v>
      </c>
      <c r="Y29">
        <v>417.57898280000001</v>
      </c>
      <c r="Z29">
        <v>430.57544489999998</v>
      </c>
      <c r="AA29">
        <v>443.41340109999999</v>
      </c>
      <c r="AB29">
        <v>456.11190629999999</v>
      </c>
      <c r="AC29">
        <v>468.69057370000002</v>
      </c>
      <c r="AD29">
        <v>481.16965679999998</v>
      </c>
      <c r="AE29">
        <v>493.57013669999998</v>
      </c>
      <c r="AF29">
        <v>505.91381250000001</v>
      </c>
      <c r="AG29">
        <v>518.22339710000006</v>
      </c>
      <c r="AH29">
        <v>530.5226169</v>
      </c>
      <c r="AI29">
        <v>542.83631739999998</v>
      </c>
      <c r="AJ29">
        <v>555.19057529999998</v>
      </c>
      <c r="AK29">
        <v>567.61281750000001</v>
      </c>
    </row>
    <row r="30" spans="1:37" x14ac:dyDescent="0.25">
      <c r="A30" t="s">
        <v>90</v>
      </c>
      <c r="B30">
        <v>1.9359999999999999</v>
      </c>
      <c r="C30">
        <v>1.992038478</v>
      </c>
      <c r="D30">
        <v>2.0585130399999998</v>
      </c>
      <c r="E30">
        <v>2.1305753150000002</v>
      </c>
      <c r="F30">
        <v>2.205083192</v>
      </c>
      <c r="G30">
        <v>2.2800657229999999</v>
      </c>
      <c r="H30">
        <v>2.3543231279999999</v>
      </c>
      <c r="I30">
        <v>2.4271483549999999</v>
      </c>
      <c r="J30">
        <v>2.498142573</v>
      </c>
      <c r="K30">
        <v>2.5670970789999998</v>
      </c>
      <c r="L30">
        <v>2.6339195040000001</v>
      </c>
      <c r="M30">
        <v>2.69858844</v>
      </c>
      <c r="N30">
        <v>2.7611257519999999</v>
      </c>
      <c r="O30">
        <v>2.8215796809999998</v>
      </c>
      <c r="P30">
        <v>2.8800144360000002</v>
      </c>
      <c r="Q30">
        <v>2.9365036600000001</v>
      </c>
      <c r="R30">
        <v>2.9911262380000001</v>
      </c>
      <c r="S30">
        <v>3.0439635360000001</v>
      </c>
      <c r="T30">
        <v>3.0950975459999999</v>
      </c>
      <c r="U30">
        <v>3.1446096300000002</v>
      </c>
      <c r="V30">
        <v>3.192579673</v>
      </c>
      <c r="W30">
        <v>3.239085524</v>
      </c>
      <c r="X30">
        <v>3.2842026450000001</v>
      </c>
      <c r="Y30">
        <v>3.3280039100000001</v>
      </c>
      <c r="Z30">
        <v>3.370559514</v>
      </c>
      <c r="AA30">
        <v>3.4119369420000001</v>
      </c>
      <c r="AB30">
        <v>3.452200994</v>
      </c>
      <c r="AC30">
        <v>3.4914138370000001</v>
      </c>
      <c r="AD30">
        <v>3.5296350570000001</v>
      </c>
      <c r="AE30">
        <v>3.5669217350000002</v>
      </c>
      <c r="AF30">
        <v>3.6033285020000001</v>
      </c>
      <c r="AG30">
        <v>3.6389076010000001</v>
      </c>
      <c r="AH30">
        <v>3.6737089360000001</v>
      </c>
      <c r="AI30">
        <v>3.707780122</v>
      </c>
      <c r="AJ30">
        <v>3.741166524</v>
      </c>
      <c r="AK30">
        <v>3.7739112929999998</v>
      </c>
    </row>
    <row r="31" spans="1:37" x14ac:dyDescent="0.25">
      <c r="A31" t="s">
        <v>91</v>
      </c>
      <c r="B31">
        <v>7095.7005250000002</v>
      </c>
      <c r="C31">
        <v>7143.1787640000002</v>
      </c>
      <c r="D31">
        <v>7239.8100320000003</v>
      </c>
      <c r="E31">
        <v>7369.0432149999997</v>
      </c>
      <c r="F31">
        <v>7519.6803529999997</v>
      </c>
      <c r="G31">
        <v>7684.2985710000003</v>
      </c>
      <c r="H31">
        <v>7858.0379009999997</v>
      </c>
      <c r="I31">
        <v>8037.7298559999999</v>
      </c>
      <c r="J31">
        <v>8221.3015240000004</v>
      </c>
      <c r="K31">
        <v>8407.3826119999994</v>
      </c>
      <c r="L31">
        <v>8595.0529569999999</v>
      </c>
      <c r="M31">
        <v>8783.6831230000007</v>
      </c>
      <c r="N31">
        <v>8972.8346920000004</v>
      </c>
      <c r="O31">
        <v>9162.1979510000001</v>
      </c>
      <c r="P31">
        <v>9351.5526379999992</v>
      </c>
      <c r="Q31">
        <v>9540.7427050000006</v>
      </c>
      <c r="R31">
        <v>9729.6596580000005</v>
      </c>
      <c r="S31">
        <v>9918.2312120000006</v>
      </c>
      <c r="T31">
        <v>10106.41331</v>
      </c>
      <c r="U31">
        <v>10294.18433</v>
      </c>
      <c r="V31">
        <v>10481.540859999999</v>
      </c>
      <c r="W31">
        <v>10668.49447</v>
      </c>
      <c r="X31">
        <v>10855.069320000001</v>
      </c>
      <c r="Y31">
        <v>11041.30032</v>
      </c>
      <c r="Z31">
        <v>11227.23172</v>
      </c>
      <c r="AA31">
        <v>11412.9159</v>
      </c>
      <c r="AB31">
        <v>11598.41252</v>
      </c>
      <c r="AC31">
        <v>11783.787609999999</v>
      </c>
      <c r="AD31">
        <v>11969.11292</v>
      </c>
      <c r="AE31">
        <v>12154.46516</v>
      </c>
      <c r="AF31">
        <v>12339.92534</v>
      </c>
      <c r="AG31">
        <v>12525.57812</v>
      </c>
      <c r="AH31">
        <v>12711.51116</v>
      </c>
      <c r="AI31">
        <v>12897.81444</v>
      </c>
      <c r="AJ31">
        <v>13084.579680000001</v>
      </c>
      <c r="AK31">
        <v>13271.899649999999</v>
      </c>
    </row>
    <row r="32" spans="1:37" x14ac:dyDescent="0.25">
      <c r="A32" t="s">
        <v>92</v>
      </c>
      <c r="B32">
        <v>8251.256421</v>
      </c>
      <c r="C32">
        <v>8184.178527</v>
      </c>
      <c r="D32">
        <v>8171.8778769999999</v>
      </c>
      <c r="E32">
        <v>8197.5342110000001</v>
      </c>
      <c r="F32">
        <v>8249.6491499999993</v>
      </c>
      <c r="G32">
        <v>8320.4704320000001</v>
      </c>
      <c r="H32">
        <v>8404.7877079999998</v>
      </c>
      <c r="I32">
        <v>8499.0715280000004</v>
      </c>
      <c r="J32">
        <v>8600.8872150000007</v>
      </c>
      <c r="K32">
        <v>8708.5096250000006</v>
      </c>
      <c r="L32">
        <v>8820.6760479999994</v>
      </c>
      <c r="M32">
        <v>8936.4301090000008</v>
      </c>
      <c r="N32">
        <v>9055.0237899999993</v>
      </c>
      <c r="O32">
        <v>9175.8556850000004</v>
      </c>
      <c r="P32">
        <v>9298.4315650000008</v>
      </c>
      <c r="Q32">
        <v>9422.3384829999995</v>
      </c>
      <c r="R32">
        <v>9547.2271970000002</v>
      </c>
      <c r="S32">
        <v>9672.7997749999995</v>
      </c>
      <c r="T32">
        <v>9798.8005140000005</v>
      </c>
      <c r="U32">
        <v>9925.0090739999996</v>
      </c>
      <c r="V32">
        <v>10051.23516</v>
      </c>
      <c r="W32">
        <v>10177.31431</v>
      </c>
      <c r="X32">
        <v>10303.10454</v>
      </c>
      <c r="Y32">
        <v>10428.483620000001</v>
      </c>
      <c r="Z32">
        <v>10553.34671</v>
      </c>
      <c r="AA32">
        <v>10677.604530000001</v>
      </c>
      <c r="AB32">
        <v>10801.181570000001</v>
      </c>
      <c r="AC32">
        <v>10924.014639999999</v>
      </c>
      <c r="AD32">
        <v>11046.05148</v>
      </c>
      <c r="AE32">
        <v>11167.24944</v>
      </c>
      <c r="AF32">
        <v>11287.574280000001</v>
      </c>
      <c r="AG32">
        <v>11406.99901</v>
      </c>
      <c r="AH32">
        <v>11525.50275</v>
      </c>
      <c r="AI32">
        <v>11643.06969</v>
      </c>
      <c r="AJ32">
        <v>11759.68808</v>
      </c>
      <c r="AK32">
        <v>11875.349249999999</v>
      </c>
    </row>
    <row r="33" spans="1:37" x14ac:dyDescent="0.25">
      <c r="A33" t="s">
        <v>93</v>
      </c>
      <c r="B33">
        <v>6777.6024520000001</v>
      </c>
      <c r="C33">
        <v>6647.7392339999997</v>
      </c>
      <c r="D33">
        <v>6561.4777880000001</v>
      </c>
      <c r="E33">
        <v>6506.5051000000003</v>
      </c>
      <c r="F33">
        <v>6474.3213969999997</v>
      </c>
      <c r="G33">
        <v>6459.1067370000001</v>
      </c>
      <c r="H33">
        <v>6456.8591409999999</v>
      </c>
      <c r="I33">
        <v>6464.7815380000002</v>
      </c>
      <c r="J33">
        <v>6480.8662649999997</v>
      </c>
      <c r="K33">
        <v>6503.6228220000003</v>
      </c>
      <c r="L33">
        <v>6531.9035240000003</v>
      </c>
      <c r="M33">
        <v>6564.7932879999998</v>
      </c>
      <c r="N33">
        <v>6601.5401860000002</v>
      </c>
      <c r="O33">
        <v>6641.5113270000002</v>
      </c>
      <c r="P33">
        <v>6684.1642849999998</v>
      </c>
      <c r="Q33">
        <v>6729.0279730000002</v>
      </c>
      <c r="R33">
        <v>6775.6893330000003</v>
      </c>
      <c r="S33">
        <v>6823.7836639999996</v>
      </c>
      <c r="T33">
        <v>6872.9873250000001</v>
      </c>
      <c r="U33">
        <v>6923.012025</v>
      </c>
      <c r="V33">
        <v>6973.600265</v>
      </c>
      <c r="W33">
        <v>7024.5216149999997</v>
      </c>
      <c r="X33">
        <v>7075.56963</v>
      </c>
      <c r="Y33">
        <v>7126.559252</v>
      </c>
      <c r="Z33">
        <v>7177.324595</v>
      </c>
      <c r="AA33">
        <v>7227.7170050000004</v>
      </c>
      <c r="AB33">
        <v>7277.6033479999996</v>
      </c>
      <c r="AC33">
        <v>7326.8644670000003</v>
      </c>
      <c r="AD33">
        <v>7375.3937619999997</v>
      </c>
      <c r="AE33">
        <v>7423.0958760000003</v>
      </c>
      <c r="AF33">
        <v>7469.8854730000003</v>
      </c>
      <c r="AG33">
        <v>7515.6860820000002</v>
      </c>
      <c r="AH33">
        <v>7560.4290179999998</v>
      </c>
      <c r="AI33">
        <v>7604.0523620000004</v>
      </c>
      <c r="AJ33">
        <v>7646.5000209999998</v>
      </c>
      <c r="AK33">
        <v>7687.7208369999998</v>
      </c>
    </row>
    <row r="34" spans="1:37" x14ac:dyDescent="0.25">
      <c r="A34" t="s">
        <v>94</v>
      </c>
      <c r="B34">
        <v>4159.6639080000004</v>
      </c>
      <c r="C34">
        <v>4055.1231299999999</v>
      </c>
      <c r="D34">
        <v>3975.232931</v>
      </c>
      <c r="E34">
        <v>3912.580833</v>
      </c>
      <c r="F34">
        <v>3862.1234340000001</v>
      </c>
      <c r="G34">
        <v>3820.4515780000002</v>
      </c>
      <c r="H34">
        <v>3785.243532</v>
      </c>
      <c r="I34">
        <v>3754.885698</v>
      </c>
      <c r="J34">
        <v>3728.221814</v>
      </c>
      <c r="K34">
        <v>3704.392398</v>
      </c>
      <c r="L34">
        <v>3682.7340829999998</v>
      </c>
      <c r="M34">
        <v>3662.7171469999998</v>
      </c>
      <c r="N34">
        <v>3643.9066910000001</v>
      </c>
      <c r="O34">
        <v>3625.9381819999999</v>
      </c>
      <c r="P34">
        <v>3608.501608</v>
      </c>
      <c r="Q34">
        <v>3591.3308040000002</v>
      </c>
      <c r="R34">
        <v>3574.1959099999999</v>
      </c>
      <c r="S34">
        <v>3556.897802</v>
      </c>
      <c r="T34">
        <v>3539.263817</v>
      </c>
      <c r="U34">
        <v>3521.1443530000001</v>
      </c>
      <c r="V34">
        <v>3502.4101219999998</v>
      </c>
      <c r="W34">
        <v>3482.9498749999998</v>
      </c>
      <c r="X34">
        <v>3462.668494</v>
      </c>
      <c r="Y34">
        <v>3441.4853720000001</v>
      </c>
      <c r="Z34">
        <v>3419.3330099999998</v>
      </c>
      <c r="AA34">
        <v>3396.1557819999998</v>
      </c>
      <c r="AB34">
        <v>3371.9088350000002</v>
      </c>
      <c r="AC34">
        <v>3346.5571</v>
      </c>
      <c r="AD34">
        <v>3320.0743790000001</v>
      </c>
      <c r="AE34">
        <v>3292.4425150000002</v>
      </c>
      <c r="AF34">
        <v>3263.6506209999998</v>
      </c>
      <c r="AG34">
        <v>3233.6943660000002</v>
      </c>
      <c r="AH34">
        <v>3202.5753220000001</v>
      </c>
      <c r="AI34">
        <v>3170.300358</v>
      </c>
      <c r="AJ34">
        <v>3136.8810910000002</v>
      </c>
      <c r="AK34">
        <v>3102.3333859999998</v>
      </c>
    </row>
    <row r="35" spans="1:37" x14ac:dyDescent="0.25">
      <c r="A35" t="s">
        <v>95</v>
      </c>
      <c r="B35">
        <v>2503.7292430000002</v>
      </c>
      <c r="C35">
        <v>2443.05404</v>
      </c>
      <c r="D35">
        <v>2396.1449859999998</v>
      </c>
      <c r="E35">
        <v>2358.2744779999998</v>
      </c>
      <c r="F35">
        <v>2326.3078700000001</v>
      </c>
      <c r="G35">
        <v>2298.1903590000002</v>
      </c>
      <c r="H35">
        <v>2272.5717709999999</v>
      </c>
      <c r="I35">
        <v>2248.5515999999998</v>
      </c>
      <c r="J35">
        <v>2225.5139140000001</v>
      </c>
      <c r="K35">
        <v>2203.023839</v>
      </c>
      <c r="L35">
        <v>2180.7639549999999</v>
      </c>
      <c r="M35">
        <v>2158.4955650000002</v>
      </c>
      <c r="N35">
        <v>2136.0350469999998</v>
      </c>
      <c r="O35">
        <v>2113.2391520000001</v>
      </c>
      <c r="P35">
        <v>2089.9955719999998</v>
      </c>
      <c r="Q35">
        <v>2066.2166120000002</v>
      </c>
      <c r="R35">
        <v>2041.834726</v>
      </c>
      <c r="S35">
        <v>2016.799209</v>
      </c>
      <c r="T35">
        <v>1991.0736569999999</v>
      </c>
      <c r="U35">
        <v>1964.6339390000001</v>
      </c>
      <c r="V35">
        <v>1937.4665560000001</v>
      </c>
      <c r="W35">
        <v>1909.5672770000001</v>
      </c>
      <c r="X35">
        <v>1880.9399940000001</v>
      </c>
      <c r="Y35">
        <v>1851.595738</v>
      </c>
      <c r="Z35">
        <v>1821.5518219999999</v>
      </c>
      <c r="AA35">
        <v>1790.8310879999999</v>
      </c>
      <c r="AB35">
        <v>1759.4612159999999</v>
      </c>
      <c r="AC35">
        <v>1727.4741120000001</v>
      </c>
      <c r="AD35">
        <v>1694.9053369999999</v>
      </c>
      <c r="AE35">
        <v>1661.7935769999999</v>
      </c>
      <c r="AF35">
        <v>1628.1801620000001</v>
      </c>
      <c r="AG35">
        <v>1594.1086150000001</v>
      </c>
      <c r="AH35">
        <v>1559.624239</v>
      </c>
      <c r="AI35">
        <v>1524.773735</v>
      </c>
      <c r="AJ35">
        <v>1489.604855</v>
      </c>
      <c r="AK35">
        <v>1454.1660850000001</v>
      </c>
    </row>
    <row r="36" spans="1:37" x14ac:dyDescent="0.25">
      <c r="A36" t="s">
        <v>96</v>
      </c>
      <c r="B36">
        <v>1243.6668460000001</v>
      </c>
      <c r="C36">
        <v>1210.6549419999999</v>
      </c>
      <c r="D36">
        <v>1182.747584</v>
      </c>
      <c r="E36">
        <v>1157.3994600000001</v>
      </c>
      <c r="F36">
        <v>1133.082864</v>
      </c>
      <c r="G36">
        <v>1108.924158</v>
      </c>
      <c r="H36">
        <v>1084.4505790000001</v>
      </c>
      <c r="I36">
        <v>1059.4277460000001</v>
      </c>
      <c r="J36">
        <v>1033.760544</v>
      </c>
      <c r="K36">
        <v>1007.434588</v>
      </c>
      <c r="L36">
        <v>980.48231669999996</v>
      </c>
      <c r="M36">
        <v>952.96343330000002</v>
      </c>
      <c r="N36">
        <v>924.95350269999994</v>
      </c>
      <c r="O36">
        <v>896.53710699999999</v>
      </c>
      <c r="P36">
        <v>867.80354409999995</v>
      </c>
      <c r="Q36">
        <v>838.84397420000005</v>
      </c>
      <c r="R36">
        <v>809.74942620000002</v>
      </c>
      <c r="S36">
        <v>780.60934850000001</v>
      </c>
      <c r="T36">
        <v>751.51053019999995</v>
      </c>
      <c r="U36">
        <v>722.53628949999995</v>
      </c>
      <c r="V36">
        <v>693.76586459999999</v>
      </c>
      <c r="W36">
        <v>665.27396150000004</v>
      </c>
      <c r="X36">
        <v>637.13042619999999</v>
      </c>
      <c r="Y36">
        <v>609.40001570000004</v>
      </c>
      <c r="Z36">
        <v>582.14224999999999</v>
      </c>
      <c r="AA36">
        <v>555.41133009999999</v>
      </c>
      <c r="AB36">
        <v>529.25611179999999</v>
      </c>
      <c r="AC36">
        <v>503.72012810000001</v>
      </c>
      <c r="AD36">
        <v>478.8416527</v>
      </c>
      <c r="AE36">
        <v>454.6538008</v>
      </c>
      <c r="AF36">
        <v>431.184662</v>
      </c>
      <c r="AG36">
        <v>408.4574624</v>
      </c>
      <c r="AH36">
        <v>386.49075110000001</v>
      </c>
      <c r="AI36">
        <v>365.2986085</v>
      </c>
      <c r="AJ36">
        <v>344.89087239999998</v>
      </c>
      <c r="AK36">
        <v>325.27337849999998</v>
      </c>
    </row>
    <row r="37" spans="1:37" x14ac:dyDescent="0.25">
      <c r="A37" t="s">
        <v>97</v>
      </c>
      <c r="B37">
        <v>2239.620606</v>
      </c>
      <c r="C37">
        <v>2183.255905</v>
      </c>
      <c r="D37">
        <v>2133.1945719999999</v>
      </c>
      <c r="E37">
        <v>2084.5006480000002</v>
      </c>
      <c r="F37">
        <v>2034.5554790000001</v>
      </c>
      <c r="G37">
        <v>1982.1610049999999</v>
      </c>
      <c r="H37">
        <v>1926.93686</v>
      </c>
      <c r="I37">
        <v>1868.9489080000001</v>
      </c>
      <c r="J37">
        <v>1808.492602</v>
      </c>
      <c r="K37">
        <v>1745.9712300000001</v>
      </c>
      <c r="L37">
        <v>1681.829168</v>
      </c>
      <c r="M37">
        <v>1616.515836</v>
      </c>
      <c r="N37">
        <v>1550.466347</v>
      </c>
      <c r="O37">
        <v>1484.0911450000001</v>
      </c>
      <c r="P37">
        <v>1417.7705080000001</v>
      </c>
      <c r="Q37">
        <v>1351.8517790000001</v>
      </c>
      <c r="R37">
        <v>1286.6482120000001</v>
      </c>
      <c r="S37">
        <v>1222.4388469999999</v>
      </c>
      <c r="T37">
        <v>1159.4690720000001</v>
      </c>
      <c r="U37">
        <v>1097.951673</v>
      </c>
      <c r="V37">
        <v>1038.0682320000001</v>
      </c>
      <c r="W37">
        <v>979.97076800000002</v>
      </c>
      <c r="X37">
        <v>923.78353949999996</v>
      </c>
      <c r="Y37">
        <v>869.6049567</v>
      </c>
      <c r="Z37">
        <v>817.50954709999996</v>
      </c>
      <c r="AA37">
        <v>767.54994399999998</v>
      </c>
      <c r="AB37">
        <v>719.75886479999997</v>
      </c>
      <c r="AC37">
        <v>674.1510591</v>
      </c>
      <c r="AD37">
        <v>630.72520759999998</v>
      </c>
      <c r="AE37">
        <v>589.4657555</v>
      </c>
      <c r="AF37">
        <v>550.34467140000004</v>
      </c>
      <c r="AG37">
        <v>513.32311849999996</v>
      </c>
      <c r="AH37">
        <v>478.3530331</v>
      </c>
      <c r="AI37">
        <v>445.37860369999999</v>
      </c>
      <c r="AJ37">
        <v>414.33764600000001</v>
      </c>
      <c r="AK37">
        <v>385.16287219999998</v>
      </c>
    </row>
    <row r="38" spans="1:37" x14ac:dyDescent="0.25">
      <c r="A38" t="s">
        <v>98</v>
      </c>
      <c r="B38">
        <v>9.8427898650000003</v>
      </c>
      <c r="C38">
        <v>14.99081578</v>
      </c>
      <c r="D38">
        <v>20.42298388</v>
      </c>
      <c r="E38">
        <v>26.012772640000001</v>
      </c>
      <c r="F38">
        <v>31.67694968</v>
      </c>
      <c r="G38">
        <v>37.362607220000001</v>
      </c>
      <c r="H38">
        <v>43.037132409999998</v>
      </c>
      <c r="I38">
        <v>48.681062070000003</v>
      </c>
      <c r="J38">
        <v>54.283284770000002</v>
      </c>
      <c r="K38">
        <v>59.837947139999997</v>
      </c>
      <c r="L38">
        <v>65.342511110000004</v>
      </c>
      <c r="M38">
        <v>70.796552160000005</v>
      </c>
      <c r="N38">
        <v>76.201020200000002</v>
      </c>
      <c r="O38">
        <v>81.557783619999995</v>
      </c>
      <c r="P38">
        <v>86.869346559999997</v>
      </c>
      <c r="Q38">
        <v>92.138671560000006</v>
      </c>
      <c r="R38">
        <v>97.369068650000003</v>
      </c>
      <c r="S38">
        <v>102.5641272</v>
      </c>
      <c r="T38">
        <v>107.7276766</v>
      </c>
      <c r="U38">
        <v>112.8637671</v>
      </c>
      <c r="V38">
        <v>117.9766642</v>
      </c>
      <c r="W38">
        <v>123.0708537</v>
      </c>
      <c r="X38">
        <v>128.1510553</v>
      </c>
      <c r="Y38">
        <v>133.22224080000001</v>
      </c>
      <c r="Z38">
        <v>138.2896585</v>
      </c>
      <c r="AA38">
        <v>143.3588603</v>
      </c>
      <c r="AB38">
        <v>148.43573280000001</v>
      </c>
      <c r="AC38">
        <v>153.52652990000001</v>
      </c>
      <c r="AD38">
        <v>158.63790850000001</v>
      </c>
      <c r="AE38">
        <v>163.7769668</v>
      </c>
      <c r="AF38">
        <v>168.95128389999999</v>
      </c>
      <c r="AG38">
        <v>174.1689633</v>
      </c>
      <c r="AH38">
        <v>179.43867850000001</v>
      </c>
      <c r="AI38">
        <v>184.7697221</v>
      </c>
      <c r="AJ38">
        <v>190.1720593</v>
      </c>
      <c r="AK38">
        <v>195.65638519999999</v>
      </c>
    </row>
    <row r="39" spans="1:37" x14ac:dyDescent="0.25">
      <c r="A39" t="s">
        <v>99</v>
      </c>
      <c r="B39">
        <v>11.44571741</v>
      </c>
      <c r="C39">
        <v>16.302055960000001</v>
      </c>
      <c r="D39">
        <v>21.42389696</v>
      </c>
      <c r="E39">
        <v>26.687145130000001</v>
      </c>
      <c r="F39">
        <v>32.010429279999997</v>
      </c>
      <c r="G39">
        <v>37.342129300000003</v>
      </c>
      <c r="H39">
        <v>42.650406009999998</v>
      </c>
      <c r="I39">
        <v>47.916153549999997</v>
      </c>
      <c r="J39">
        <v>53.128303359999997</v>
      </c>
      <c r="K39">
        <v>58.280818070000002</v>
      </c>
      <c r="L39">
        <v>63.370816159999997</v>
      </c>
      <c r="M39">
        <v>68.397418049999999</v>
      </c>
      <c r="N39">
        <v>73.361038930000007</v>
      </c>
      <c r="O39">
        <v>78.262953139999993</v>
      </c>
      <c r="P39">
        <v>83.105023459999998</v>
      </c>
      <c r="Q39">
        <v>87.889530539999996</v>
      </c>
      <c r="R39">
        <v>92.619065109999994</v>
      </c>
      <c r="S39">
        <v>97.296460890000006</v>
      </c>
      <c r="T39">
        <v>101.9247546</v>
      </c>
      <c r="U39">
        <v>106.507165</v>
      </c>
      <c r="V39">
        <v>111.0470847</v>
      </c>
      <c r="W39">
        <v>115.5480821</v>
      </c>
      <c r="X39">
        <v>120.0139095</v>
      </c>
      <c r="Y39">
        <v>124.4485177</v>
      </c>
      <c r="Z39">
        <v>128.85607329999999</v>
      </c>
      <c r="AA39">
        <v>133.2409796</v>
      </c>
      <c r="AB39">
        <v>137.607899</v>
      </c>
      <c r="AC39">
        <v>141.96177779999999</v>
      </c>
      <c r="AD39">
        <v>146.30787179999999</v>
      </c>
      <c r="AE39">
        <v>150.6517728</v>
      </c>
      <c r="AF39">
        <v>154.999437</v>
      </c>
      <c r="AG39">
        <v>159.35721409999999</v>
      </c>
      <c r="AH39">
        <v>163.7318784</v>
      </c>
      <c r="AI39">
        <v>168.13066079999999</v>
      </c>
      <c r="AJ39">
        <v>172.5612836</v>
      </c>
      <c r="AK39">
        <v>177.03199749999999</v>
      </c>
    </row>
    <row r="40" spans="1:37" x14ac:dyDescent="0.25">
      <c r="A40" t="s">
        <v>100</v>
      </c>
      <c r="B40">
        <v>9.4015406210000005</v>
      </c>
      <c r="C40">
        <v>12.69963972</v>
      </c>
      <c r="D40">
        <v>16.176694980000001</v>
      </c>
      <c r="E40">
        <v>19.745033970000001</v>
      </c>
      <c r="F40">
        <v>23.347366480000002</v>
      </c>
      <c r="G40">
        <v>26.947438290000001</v>
      </c>
      <c r="H40">
        <v>30.522893849999999</v>
      </c>
      <c r="I40">
        <v>34.060268610000001</v>
      </c>
      <c r="J40">
        <v>37.551677079999997</v>
      </c>
      <c r="K40">
        <v>40.992707719999999</v>
      </c>
      <c r="L40">
        <v>44.381118090000001</v>
      </c>
      <c r="M40">
        <v>47.716036359999997</v>
      </c>
      <c r="N40">
        <v>50.997473849999999</v>
      </c>
      <c r="O40">
        <v>54.226025239999998</v>
      </c>
      <c r="P40">
        <v>57.402682130000002</v>
      </c>
      <c r="Q40">
        <v>60.528715060000003</v>
      </c>
      <c r="R40">
        <v>63.605598559999997</v>
      </c>
      <c r="S40">
        <v>66.634963760000005</v>
      </c>
      <c r="T40">
        <v>69.618569719999996</v>
      </c>
      <c r="U40">
        <v>72.558287469999996</v>
      </c>
      <c r="V40">
        <v>75.456092889999994</v>
      </c>
      <c r="W40">
        <v>78.314065979999995</v>
      </c>
      <c r="X40">
        <v>81.13439468</v>
      </c>
      <c r="Y40">
        <v>83.919381950000002</v>
      </c>
      <c r="Z40">
        <v>86.671455140000006</v>
      </c>
      <c r="AA40">
        <v>89.393176929999996</v>
      </c>
      <c r="AB40">
        <v>92.087257199999996</v>
      </c>
      <c r="AC40">
        <v>94.756565589999994</v>
      </c>
      <c r="AD40">
        <v>97.404144360000004</v>
      </c>
      <c r="AE40">
        <v>100.0332216</v>
      </c>
      <c r="AF40">
        <v>102.6472243</v>
      </c>
      <c r="AG40">
        <v>105.2497925</v>
      </c>
      <c r="AH40">
        <v>107.8447925</v>
      </c>
      <c r="AI40">
        <v>110.43633149999999</v>
      </c>
      <c r="AJ40">
        <v>113.0287725</v>
      </c>
      <c r="AK40">
        <v>115.6267496</v>
      </c>
    </row>
    <row r="41" spans="1:37" x14ac:dyDescent="0.25">
      <c r="A41" t="s">
        <v>101</v>
      </c>
      <c r="B41">
        <v>5.770071272</v>
      </c>
      <c r="C41">
        <v>7.5646068240000002</v>
      </c>
      <c r="D41">
        <v>9.4403133399999994</v>
      </c>
      <c r="E41">
        <v>11.343636529999999</v>
      </c>
      <c r="F41">
        <v>13.239824179999999</v>
      </c>
      <c r="G41">
        <v>15.10698481</v>
      </c>
      <c r="H41">
        <v>16.931633550000001</v>
      </c>
      <c r="I41">
        <v>18.70561438</v>
      </c>
      <c r="J41">
        <v>20.42408696</v>
      </c>
      <c r="K41">
        <v>22.084258550000001</v>
      </c>
      <c r="L41">
        <v>23.684604849999999</v>
      </c>
      <c r="M41">
        <v>25.224398170000001</v>
      </c>
      <c r="N41">
        <v>26.703422979999999</v>
      </c>
      <c r="O41">
        <v>28.121803239999998</v>
      </c>
      <c r="P41">
        <v>29.479895930000001</v>
      </c>
      <c r="Q41">
        <v>30.778223629999999</v>
      </c>
      <c r="R41">
        <v>32.017430560000001</v>
      </c>
      <c r="S41">
        <v>33.198253119999997</v>
      </c>
      <c r="T41">
        <v>34.321499789999997</v>
      </c>
      <c r="U41">
        <v>35.388037150000002</v>
      </c>
      <c r="V41">
        <v>36.398780209999998</v>
      </c>
      <c r="W41">
        <v>37.354685549999999</v>
      </c>
      <c r="X41">
        <v>38.256746649999997</v>
      </c>
      <c r="Y41">
        <v>39.105990560000002</v>
      </c>
      <c r="Z41">
        <v>39.903475469999997</v>
      </c>
      <c r="AA41">
        <v>40.650288830000001</v>
      </c>
      <c r="AB41">
        <v>41.347545820000001</v>
      </c>
      <c r="AC41">
        <v>41.996387830000003</v>
      </c>
      <c r="AD41">
        <v>42.597980939999999</v>
      </c>
      <c r="AE41">
        <v>43.153514319999999</v>
      </c>
      <c r="AF41">
        <v>43.664198550000002</v>
      </c>
      <c r="AG41">
        <v>44.13126372</v>
      </c>
      <c r="AH41">
        <v>44.555957579999998</v>
      </c>
      <c r="AI41">
        <v>44.939543489999998</v>
      </c>
      <c r="AJ41">
        <v>45.283298440000003</v>
      </c>
      <c r="AK41">
        <v>45.588511019999999</v>
      </c>
    </row>
    <row r="42" spans="1:37" x14ac:dyDescent="0.25">
      <c r="A42" t="s">
        <v>102</v>
      </c>
      <c r="B42">
        <v>3.4730440960000002</v>
      </c>
      <c r="C42">
        <v>4.5739757470000004</v>
      </c>
      <c r="D42">
        <v>5.7146976629999999</v>
      </c>
      <c r="E42">
        <v>6.8601644190000002</v>
      </c>
      <c r="F42">
        <v>7.9881131219999997</v>
      </c>
      <c r="G42">
        <v>9.0848797099999992</v>
      </c>
      <c r="H42">
        <v>10.142320809999999</v>
      </c>
      <c r="I42">
        <v>11.15573262</v>
      </c>
      <c r="J42">
        <v>12.12251932</v>
      </c>
      <c r="K42">
        <v>13.04137214</v>
      </c>
      <c r="L42">
        <v>13.911774960000001</v>
      </c>
      <c r="M42">
        <v>14.733710289999999</v>
      </c>
      <c r="N42">
        <v>15.507484460000001</v>
      </c>
      <c r="O42">
        <v>16.233622449999999</v>
      </c>
      <c r="P42">
        <v>16.912803</v>
      </c>
      <c r="Q42">
        <v>17.545817230000001</v>
      </c>
      <c r="R42">
        <v>18.133541059999999</v>
      </c>
      <c r="S42">
        <v>18.676916420000001</v>
      </c>
      <c r="T42">
        <v>19.17693775</v>
      </c>
      <c r="U42">
        <v>19.634642320000001</v>
      </c>
      <c r="V42">
        <v>20.05110298</v>
      </c>
      <c r="W42">
        <v>20.427422589999999</v>
      </c>
      <c r="X42">
        <v>20.764729679999999</v>
      </c>
      <c r="Y42">
        <v>21.064174909999998</v>
      </c>
      <c r="Z42">
        <v>21.326927950000002</v>
      </c>
      <c r="AA42">
        <v>21.554174740000001</v>
      </c>
      <c r="AB42">
        <v>21.74711482</v>
      </c>
      <c r="AC42">
        <v>21.90695874</v>
      </c>
      <c r="AD42">
        <v>22.034925470000001</v>
      </c>
      <c r="AE42">
        <v>22.132239760000001</v>
      </c>
      <c r="AF42">
        <v>22.200129520000001</v>
      </c>
      <c r="AG42">
        <v>22.239823130000001</v>
      </c>
      <c r="AH42">
        <v>22.25254687</v>
      </c>
      <c r="AI42">
        <v>22.239522260000001</v>
      </c>
      <c r="AJ42">
        <v>22.201963559999999</v>
      </c>
      <c r="AK42">
        <v>22.141075310000002</v>
      </c>
    </row>
    <row r="43" spans="1:37" x14ac:dyDescent="0.25">
      <c r="A43" t="s">
        <v>103</v>
      </c>
      <c r="B43">
        <v>1.7251505170000001</v>
      </c>
      <c r="C43">
        <v>2.2454555790000001</v>
      </c>
      <c r="D43">
        <v>2.7684617760000001</v>
      </c>
      <c r="E43">
        <v>3.2743104380000001</v>
      </c>
      <c r="F43">
        <v>3.7515155080000002</v>
      </c>
      <c r="G43">
        <v>4.1939767000000003</v>
      </c>
      <c r="H43">
        <v>4.5988845530000004</v>
      </c>
      <c r="I43">
        <v>4.9653764230000004</v>
      </c>
      <c r="J43">
        <v>5.2937201649999999</v>
      </c>
      <c r="K43">
        <v>5.5848351840000001</v>
      </c>
      <c r="L43">
        <v>5.8400167859999996</v>
      </c>
      <c r="M43">
        <v>6.0607780770000002</v>
      </c>
      <c r="N43">
        <v>6.2487579389999999</v>
      </c>
      <c r="O43">
        <v>6.4056655600000001</v>
      </c>
      <c r="P43">
        <v>6.5332451259999997</v>
      </c>
      <c r="Q43">
        <v>6.6332519220000004</v>
      </c>
      <c r="R43">
        <v>6.707435147</v>
      </c>
      <c r="S43">
        <v>6.7575249700000004</v>
      </c>
      <c r="T43">
        <v>6.7852224879999996</v>
      </c>
      <c r="U43">
        <v>6.7921917440000001</v>
      </c>
      <c r="V43">
        <v>6.7800533420000004</v>
      </c>
      <c r="W43">
        <v>6.750379283</v>
      </c>
      <c r="X43">
        <v>6.7046887870000003</v>
      </c>
      <c r="Y43">
        <v>6.6444449319999999</v>
      </c>
      <c r="Z43">
        <v>6.5710519559999998</v>
      </c>
      <c r="AA43">
        <v>6.485853144</v>
      </c>
      <c r="AB43">
        <v>6.3901292239999998</v>
      </c>
      <c r="AC43">
        <v>6.285097232</v>
      </c>
      <c r="AD43">
        <v>6.1719097989999998</v>
      </c>
      <c r="AE43">
        <v>6.0516548429999997</v>
      </c>
      <c r="AF43">
        <v>5.925355637</v>
      </c>
      <c r="AG43">
        <v>5.7939712219999997</v>
      </c>
      <c r="AH43">
        <v>5.6583971609999999</v>
      </c>
      <c r="AI43">
        <v>5.5194665799999996</v>
      </c>
      <c r="AJ43">
        <v>5.3779514920000002</v>
      </c>
      <c r="AK43">
        <v>5.2345643639999997</v>
      </c>
    </row>
    <row r="44" spans="1:37" x14ac:dyDescent="0.25">
      <c r="A44" t="s">
        <v>104</v>
      </c>
      <c r="B44">
        <v>3.1066862139999998</v>
      </c>
      <c r="C44">
        <v>4.0721666550000002</v>
      </c>
      <c r="D44">
        <v>5.0169226489999996</v>
      </c>
      <c r="E44">
        <v>5.9009041160000004</v>
      </c>
      <c r="F44">
        <v>6.7035180270000003</v>
      </c>
      <c r="G44">
        <v>7.4161806490000002</v>
      </c>
      <c r="H44">
        <v>8.0372735639999995</v>
      </c>
      <c r="I44">
        <v>8.5690304140000002</v>
      </c>
      <c r="J44">
        <v>9.0157203080000006</v>
      </c>
      <c r="K44">
        <v>9.3826241629999991</v>
      </c>
      <c r="L44">
        <v>9.6754684019999999</v>
      </c>
      <c r="M44">
        <v>9.9001122630000005</v>
      </c>
      <c r="N44">
        <v>10.062372399999999</v>
      </c>
      <c r="O44">
        <v>10.16792128</v>
      </c>
      <c r="P44">
        <v>10.222225849999999</v>
      </c>
      <c r="Q44">
        <v>10.230509250000001</v>
      </c>
      <c r="R44">
        <v>10.19772671</v>
      </c>
      <c r="S44">
        <v>10.128550779999999</v>
      </c>
      <c r="T44">
        <v>10.027363449999999</v>
      </c>
      <c r="U44">
        <v>9.8982532929999998</v>
      </c>
      <c r="V44">
        <v>9.7450166239999998</v>
      </c>
      <c r="W44">
        <v>9.5711617039999997</v>
      </c>
      <c r="X44">
        <v>9.3799154290000004</v>
      </c>
      <c r="Y44">
        <v>9.1742319200000004</v>
      </c>
      <c r="Z44">
        <v>8.9568026209999996</v>
      </c>
      <c r="AA44">
        <v>8.7300675600000002</v>
      </c>
      <c r="AB44">
        <v>8.4962274789999999</v>
      </c>
      <c r="AC44">
        <v>8.2572566250000001</v>
      </c>
      <c r="AD44">
        <v>8.0149159619999999</v>
      </c>
      <c r="AE44">
        <v>7.7707666499999997</v>
      </c>
      <c r="AF44">
        <v>7.5261836180000001</v>
      </c>
      <c r="AG44">
        <v>7.2823690880000003</v>
      </c>
      <c r="AH44">
        <v>7.0403659259999998</v>
      </c>
      <c r="AI44">
        <v>6.8010707049999999</v>
      </c>
      <c r="AJ44">
        <v>6.5652463799999996</v>
      </c>
      <c r="AK44">
        <v>6.3335344979999997</v>
      </c>
    </row>
    <row r="45" spans="1:37" x14ac:dyDescent="0.25">
      <c r="A45" t="s">
        <v>105</v>
      </c>
      <c r="B45">
        <v>0.42568169729999999</v>
      </c>
      <c r="C45">
        <v>0.44945570270000001</v>
      </c>
      <c r="D45">
        <v>0.47618363180000001</v>
      </c>
      <c r="E45">
        <v>0.50461174259999997</v>
      </c>
      <c r="F45">
        <v>0.53390616749999997</v>
      </c>
      <c r="G45">
        <v>0.56352909380000005</v>
      </c>
      <c r="H45">
        <v>0.59314310530000003</v>
      </c>
      <c r="I45">
        <v>0.62254220360000001</v>
      </c>
      <c r="J45">
        <v>0.65160459059999998</v>
      </c>
      <c r="K45">
        <v>0.68026155590000004</v>
      </c>
      <c r="L45">
        <v>0.70847754080000003</v>
      </c>
      <c r="M45">
        <v>0.73623761710000002</v>
      </c>
      <c r="N45">
        <v>0.76353972240000001</v>
      </c>
      <c r="O45">
        <v>0.79038986950000001</v>
      </c>
      <c r="P45">
        <v>0.81679918529999995</v>
      </c>
      <c r="Q45">
        <v>0.84278205589999999</v>
      </c>
      <c r="R45">
        <v>0.86835494329999996</v>
      </c>
      <c r="S45">
        <v>0.89353561299999995</v>
      </c>
      <c r="T45">
        <v>0.91834261910000003</v>
      </c>
      <c r="U45">
        <v>0.94279495359999999</v>
      </c>
      <c r="V45">
        <v>0.9669118082</v>
      </c>
      <c r="W45">
        <v>0.99071241300000001</v>
      </c>
      <c r="X45">
        <v>1.01421593</v>
      </c>
      <c r="Y45">
        <v>1.0374413819999999</v>
      </c>
      <c r="Z45">
        <v>1.060407619</v>
      </c>
      <c r="AA45">
        <v>1.083133283</v>
      </c>
      <c r="AB45">
        <v>1.1056368050000001</v>
      </c>
      <c r="AC45">
        <v>1.1279363920000001</v>
      </c>
      <c r="AD45">
        <v>1.150050021</v>
      </c>
      <c r="AE45">
        <v>1.1719954340000001</v>
      </c>
      <c r="AF45">
        <v>1.193790127</v>
      </c>
      <c r="AG45">
        <v>1.215451337</v>
      </c>
      <c r="AH45">
        <v>1.236996032</v>
      </c>
      <c r="AI45">
        <v>1.2584408840000001</v>
      </c>
      <c r="AJ45">
        <v>1.2798022600000001</v>
      </c>
      <c r="AK45">
        <v>1.3010961910000001</v>
      </c>
    </row>
    <row r="46" spans="1:37" x14ac:dyDescent="0.25">
      <c r="A46" t="s">
        <v>106</v>
      </c>
      <c r="B46">
        <v>0.49500522540000003</v>
      </c>
      <c r="C46">
        <v>0.51237735269999996</v>
      </c>
      <c r="D46">
        <v>0.53282706970000004</v>
      </c>
      <c r="E46">
        <v>0.55510706389999998</v>
      </c>
      <c r="F46">
        <v>0.57838510870000004</v>
      </c>
      <c r="G46">
        <v>0.60212053229999996</v>
      </c>
      <c r="H46">
        <v>0.6259693207</v>
      </c>
      <c r="I46">
        <v>0.64971611019999997</v>
      </c>
      <c r="J46">
        <v>0.67322789579999998</v>
      </c>
      <c r="K46">
        <v>0.69642367620000001</v>
      </c>
      <c r="L46">
        <v>0.71925508319999998</v>
      </c>
      <c r="M46">
        <v>0.74169425229999997</v>
      </c>
      <c r="N46">
        <v>0.76372631199999996</v>
      </c>
      <c r="O46">
        <v>0.78534474669999998</v>
      </c>
      <c r="P46">
        <v>0.80654852040000002</v>
      </c>
      <c r="Q46">
        <v>0.82734025919999998</v>
      </c>
      <c r="R46">
        <v>0.84772507720000001</v>
      </c>
      <c r="S46">
        <v>0.86770979619999999</v>
      </c>
      <c r="T46">
        <v>0.8873024115</v>
      </c>
      <c r="U46">
        <v>0.90651171779999995</v>
      </c>
      <c r="V46">
        <v>0.92534704339999996</v>
      </c>
      <c r="W46">
        <v>0.94381806079999997</v>
      </c>
      <c r="X46">
        <v>0.96193465069999995</v>
      </c>
      <c r="Y46">
        <v>0.97970680529999998</v>
      </c>
      <c r="Z46">
        <v>0.99714455849999994</v>
      </c>
      <c r="AA46">
        <v>1.014257934</v>
      </c>
      <c r="AB46">
        <v>1.031056907</v>
      </c>
      <c r="AC46">
        <v>1.0475513670000001</v>
      </c>
      <c r="AD46">
        <v>1.0637510910000001</v>
      </c>
      <c r="AE46">
        <v>1.0796657119999999</v>
      </c>
      <c r="AF46">
        <v>1.095304689</v>
      </c>
      <c r="AG46">
        <v>1.110677272</v>
      </c>
      <c r="AH46">
        <v>1.125792473</v>
      </c>
      <c r="AI46">
        <v>1.1406590299999999</v>
      </c>
      <c r="AJ46">
        <v>1.155285369</v>
      </c>
      <c r="AK46">
        <v>1.169679575</v>
      </c>
    </row>
    <row r="47" spans="1:37" x14ac:dyDescent="0.25">
      <c r="A47" t="s">
        <v>107</v>
      </c>
      <c r="B47">
        <v>0.40659851759999999</v>
      </c>
      <c r="C47">
        <v>0.41458692130000002</v>
      </c>
      <c r="D47">
        <v>0.42489005559999998</v>
      </c>
      <c r="E47">
        <v>0.4366138819</v>
      </c>
      <c r="F47">
        <v>0.44916009270000001</v>
      </c>
      <c r="G47">
        <v>0.46213734029999998</v>
      </c>
      <c r="H47">
        <v>0.475293415</v>
      </c>
      <c r="I47">
        <v>0.48846693209999997</v>
      </c>
      <c r="J47">
        <v>0.50155462500000003</v>
      </c>
      <c r="K47">
        <v>0.51449000320000005</v>
      </c>
      <c r="L47">
        <v>0.52722978740000004</v>
      </c>
      <c r="M47">
        <v>0.53974544120000001</v>
      </c>
      <c r="N47">
        <v>0.55201793570000002</v>
      </c>
      <c r="O47">
        <v>0.56403451579999997</v>
      </c>
      <c r="P47">
        <v>0.57578668580000003</v>
      </c>
      <c r="Q47">
        <v>0.58726892829999999</v>
      </c>
      <c r="R47">
        <v>0.59847786550000004</v>
      </c>
      <c r="S47">
        <v>0.60941169319999999</v>
      </c>
      <c r="T47">
        <v>0.62006978459999995</v>
      </c>
      <c r="U47">
        <v>0.63045240629999999</v>
      </c>
      <c r="V47">
        <v>0.64056051030000005</v>
      </c>
      <c r="W47">
        <v>0.65039557940000003</v>
      </c>
      <c r="X47">
        <v>0.65995951269999997</v>
      </c>
      <c r="Y47">
        <v>0.66925453729999995</v>
      </c>
      <c r="Z47">
        <v>0.67828314190000005</v>
      </c>
      <c r="AA47">
        <v>0.6870480229</v>
      </c>
      <c r="AB47">
        <v>0.69555204020000005</v>
      </c>
      <c r="AC47">
        <v>0.70379817879999995</v>
      </c>
      <c r="AD47">
        <v>0.71178951270000002</v>
      </c>
      <c r="AE47">
        <v>0.71952917179999998</v>
      </c>
      <c r="AF47">
        <v>0.72702030870000001</v>
      </c>
      <c r="AG47">
        <v>0.73426606559999996</v>
      </c>
      <c r="AH47">
        <v>0.74126954270000001</v>
      </c>
      <c r="AI47">
        <v>0.74803376580000003</v>
      </c>
      <c r="AJ47">
        <v>0.75456165590000002</v>
      </c>
      <c r="AK47">
        <v>0.76085599989999997</v>
      </c>
    </row>
    <row r="48" spans="1:37" x14ac:dyDescent="0.25">
      <c r="A48" t="s">
        <v>108</v>
      </c>
      <c r="B48">
        <v>0.2495444651</v>
      </c>
      <c r="C48">
        <v>0.25236049780000003</v>
      </c>
      <c r="D48">
        <v>0.25638797930000001</v>
      </c>
      <c r="E48">
        <v>0.26108962549999998</v>
      </c>
      <c r="F48">
        <v>0.26611229930000002</v>
      </c>
      <c r="G48">
        <v>0.27122925679999998</v>
      </c>
      <c r="H48">
        <v>0.2762969924</v>
      </c>
      <c r="I48">
        <v>0.28122528190000001</v>
      </c>
      <c r="J48">
        <v>0.28595741159999999</v>
      </c>
      <c r="K48">
        <v>0.29045758589999998</v>
      </c>
      <c r="L48">
        <v>0.29470310329999999</v>
      </c>
      <c r="M48">
        <v>0.29867957150000002</v>
      </c>
      <c r="N48">
        <v>0.30237800100000001</v>
      </c>
      <c r="O48">
        <v>0.30579303190000001</v>
      </c>
      <c r="P48">
        <v>0.30892183699999998</v>
      </c>
      <c r="Q48">
        <v>0.31176342219999997</v>
      </c>
      <c r="R48">
        <v>0.31431816540000002</v>
      </c>
      <c r="S48">
        <v>0.31658750070000002</v>
      </c>
      <c r="T48">
        <v>0.3185736931</v>
      </c>
      <c r="U48">
        <v>0.32027967509999999</v>
      </c>
      <c r="V48">
        <v>0.32170892429999998</v>
      </c>
      <c r="W48">
        <v>0.32286537100000001</v>
      </c>
      <c r="X48">
        <v>0.3237533279</v>
      </c>
      <c r="Y48">
        <v>0.32437743530000002</v>
      </c>
      <c r="Z48">
        <v>0.32474261780000002</v>
      </c>
      <c r="AA48">
        <v>0.32485404810000001</v>
      </c>
      <c r="AB48">
        <v>0.32471711730000002</v>
      </c>
      <c r="AC48">
        <v>0.32433740820000001</v>
      </c>
      <c r="AD48">
        <v>0.32372067049999997</v>
      </c>
      <c r="AE48">
        <v>0.32287279899999999</v>
      </c>
      <c r="AF48">
        <v>0.32179981210000003</v>
      </c>
      <c r="AG48">
        <v>0.3205078314</v>
      </c>
      <c r="AH48">
        <v>0.31900306379999999</v>
      </c>
      <c r="AI48">
        <v>0.31729178359999999</v>
      </c>
      <c r="AJ48">
        <v>0.31538031640000003</v>
      </c>
      <c r="AK48">
        <v>0.31327502540000002</v>
      </c>
    </row>
    <row r="49" spans="1:37" x14ac:dyDescent="0.25">
      <c r="A49" t="s">
        <v>109</v>
      </c>
      <c r="B49">
        <v>0.15020246549999999</v>
      </c>
      <c r="C49">
        <v>0.15208636</v>
      </c>
      <c r="D49">
        <v>0.15461233529999999</v>
      </c>
      <c r="E49">
        <v>0.1574330914</v>
      </c>
      <c r="F49">
        <v>0.16032595220000001</v>
      </c>
      <c r="G49">
        <v>0.16315238379999999</v>
      </c>
      <c r="H49">
        <v>0.16582827310000001</v>
      </c>
      <c r="I49">
        <v>0.16830371420000001</v>
      </c>
      <c r="J49">
        <v>0.1705499402</v>
      </c>
      <c r="K49">
        <v>0.17255116619999999</v>
      </c>
      <c r="L49">
        <v>0.17429961799999999</v>
      </c>
      <c r="M49">
        <v>0.17579254590000001</v>
      </c>
      <c r="N49">
        <v>0.1770304382</v>
      </c>
      <c r="O49">
        <v>0.17801594400000001</v>
      </c>
      <c r="P49">
        <v>0.1787532097</v>
      </c>
      <c r="Q49">
        <v>0.17924745619999999</v>
      </c>
      <c r="R49">
        <v>0.17950469729999999</v>
      </c>
      <c r="S49">
        <v>0.1795315442</v>
      </c>
      <c r="T49">
        <v>0.17933506499999999</v>
      </c>
      <c r="U49">
        <v>0.17892267889999999</v>
      </c>
      <c r="V49">
        <v>0.17830207689999999</v>
      </c>
      <c r="W49">
        <v>0.1774811597</v>
      </c>
      <c r="X49">
        <v>0.1764679891</v>
      </c>
      <c r="Y49">
        <v>0.1752707479</v>
      </c>
      <c r="Z49">
        <v>0.1738977078</v>
      </c>
      <c r="AA49">
        <v>0.17235720060000001</v>
      </c>
      <c r="AB49">
        <v>0.17065759389999999</v>
      </c>
      <c r="AC49">
        <v>0.16880726770000001</v>
      </c>
      <c r="AD49">
        <v>0.1668145942</v>
      </c>
      <c r="AE49">
        <v>0.16468791720000001</v>
      </c>
      <c r="AF49">
        <v>0.16243553429999999</v>
      </c>
      <c r="AG49">
        <v>0.16006567869999999</v>
      </c>
      <c r="AH49">
        <v>0.15758650330000001</v>
      </c>
      <c r="AI49">
        <v>0.15500606480000001</v>
      </c>
      <c r="AJ49">
        <v>0.1523323103</v>
      </c>
      <c r="AK49">
        <v>0.14957306400000001</v>
      </c>
    </row>
    <row r="50" spans="1:37" x14ac:dyDescent="0.25">
      <c r="A50" t="s">
        <v>110</v>
      </c>
      <c r="B50">
        <v>7.4609436000000001E-2</v>
      </c>
      <c r="C50">
        <v>7.5303854000000003E-2</v>
      </c>
      <c r="D50">
        <v>7.61678831E-2</v>
      </c>
      <c r="E50">
        <v>7.70104608E-2</v>
      </c>
      <c r="F50">
        <v>7.7721315700000002E-2</v>
      </c>
      <c r="G50">
        <v>7.8242029099999999E-2</v>
      </c>
      <c r="H50">
        <v>7.8545799799999996E-2</v>
      </c>
      <c r="I50">
        <v>7.8624437599999999E-2</v>
      </c>
      <c r="J50">
        <v>7.8480431599999997E-2</v>
      </c>
      <c r="K50">
        <v>7.8122275899999996E-2</v>
      </c>
      <c r="L50">
        <v>7.7561773200000003E-2</v>
      </c>
      <c r="M50">
        <v>7.6812491100000005E-2</v>
      </c>
      <c r="N50">
        <v>7.5888872299999993E-2</v>
      </c>
      <c r="O50">
        <v>7.4805708200000001E-2</v>
      </c>
      <c r="P50">
        <v>7.3577815000000005E-2</v>
      </c>
      <c r="Q50">
        <v>7.2219823200000005E-2</v>
      </c>
      <c r="R50">
        <v>7.0746033799999997E-2</v>
      </c>
      <c r="S50">
        <v>6.9170316300000007E-2</v>
      </c>
      <c r="T50">
        <v>6.7506034699999995E-2</v>
      </c>
      <c r="U50">
        <v>6.5765993800000005E-2</v>
      </c>
      <c r="V50">
        <v>6.39623998E-2</v>
      </c>
      <c r="W50">
        <v>6.21068335E-2</v>
      </c>
      <c r="X50">
        <v>6.02102318E-2</v>
      </c>
      <c r="Y50">
        <v>5.8282877400000002E-2</v>
      </c>
      <c r="Z50">
        <v>5.6334393500000003E-2</v>
      </c>
      <c r="AA50">
        <v>5.43737444E-2</v>
      </c>
      <c r="AB50">
        <v>5.2409239099999998E-2</v>
      </c>
      <c r="AC50">
        <v>5.0448539799999997E-2</v>
      </c>
      <c r="AD50">
        <v>4.8498672399999998E-2</v>
      </c>
      <c r="AE50">
        <v>4.6566040699999998E-2</v>
      </c>
      <c r="AF50">
        <v>4.4656442499999997E-2</v>
      </c>
      <c r="AG50">
        <v>4.2775088099999997E-2</v>
      </c>
      <c r="AH50">
        <v>4.0926621500000003E-2</v>
      </c>
      <c r="AI50">
        <v>3.9115141899999997E-2</v>
      </c>
      <c r="AJ50">
        <v>3.7344228100000001E-2</v>
      </c>
      <c r="AK50">
        <v>3.5616963299999999E-2</v>
      </c>
    </row>
    <row r="51" spans="1:37" x14ac:dyDescent="0.25">
      <c r="A51" t="s">
        <v>111</v>
      </c>
      <c r="B51">
        <v>0.13435819299999999</v>
      </c>
      <c r="C51">
        <v>0.13586778920000001</v>
      </c>
      <c r="D51">
        <v>0.1374440854</v>
      </c>
      <c r="E51">
        <v>0.13870944860000001</v>
      </c>
      <c r="F51">
        <v>0.1394722561</v>
      </c>
      <c r="G51">
        <v>0.13965508700000001</v>
      </c>
      <c r="H51">
        <v>0.13924622179999999</v>
      </c>
      <c r="I51">
        <v>0.1382696749</v>
      </c>
      <c r="J51">
        <v>0.1367676786</v>
      </c>
      <c r="K51">
        <v>0.1347908163</v>
      </c>
      <c r="L51">
        <v>0.13239259850000001</v>
      </c>
      <c r="M51">
        <v>0.12962652050000001</v>
      </c>
      <c r="N51">
        <v>0.12654447029999999</v>
      </c>
      <c r="O51">
        <v>0.123195865</v>
      </c>
      <c r="P51">
        <v>0.1196271825</v>
      </c>
      <c r="Q51">
        <v>0.11588171479999999</v>
      </c>
      <c r="R51">
        <v>0.1119994555</v>
      </c>
      <c r="S51">
        <v>0.10801707219999999</v>
      </c>
      <c r="T51">
        <v>0.1039679376</v>
      </c>
      <c r="U51">
        <v>9.9882204399999994E-2</v>
      </c>
      <c r="V51">
        <v>9.57869103E-2</v>
      </c>
      <c r="W51">
        <v>9.1706106499999995E-2</v>
      </c>
      <c r="X51">
        <v>8.7661003000000001E-2</v>
      </c>
      <c r="Y51">
        <v>8.3670124799999995E-2</v>
      </c>
      <c r="Z51">
        <v>7.9749476E-2</v>
      </c>
      <c r="AA51">
        <v>7.5912708600000003E-2</v>
      </c>
      <c r="AB51">
        <v>7.2171291999999998E-2</v>
      </c>
      <c r="AC51">
        <v>6.8534683499999999E-2</v>
      </c>
      <c r="AD51">
        <v>6.5010495500000001E-2</v>
      </c>
      <c r="AE51">
        <v>6.16046601E-2</v>
      </c>
      <c r="AF51">
        <v>5.8321589100000001E-2</v>
      </c>
      <c r="AG51">
        <v>5.5164326999999999E-2</v>
      </c>
      <c r="AH51">
        <v>5.2134699399999998E-2</v>
      </c>
      <c r="AI51">
        <v>4.9233452300000001E-2</v>
      </c>
      <c r="AJ51">
        <v>4.6460385299999997E-2</v>
      </c>
      <c r="AK51">
        <v>4.38144746E-2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E12" sqref="E12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202" t="s">
        <v>37</v>
      </c>
      <c r="C1" s="202"/>
      <c r="D1" s="202"/>
      <c r="E1" s="202"/>
      <c r="F1" s="202"/>
      <c r="G1" s="202"/>
      <c r="H1" s="10"/>
      <c r="I1" s="10"/>
      <c r="J1" s="10"/>
    </row>
    <row r="2" spans="1:10" ht="15.75" x14ac:dyDescent="0.25">
      <c r="A2" s="8"/>
      <c r="B2" s="203" t="s">
        <v>0</v>
      </c>
      <c r="C2" s="204"/>
      <c r="D2" s="204"/>
      <c r="E2" s="204"/>
      <c r="F2" s="204"/>
      <c r="G2" s="205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0.11251556631557413</v>
      </c>
      <c r="C5" s="12">
        <f>Macro!I3</f>
        <v>0.15121566866254099</v>
      </c>
      <c r="D5" s="12">
        <f>Macro!J3</f>
        <v>0.19244796452977386</v>
      </c>
      <c r="E5" s="12">
        <f>Macro!L3</f>
        <v>0.27910298405513512</v>
      </c>
      <c r="F5" s="12">
        <f>Macro!Q3</f>
        <v>0.58194624165135433</v>
      </c>
      <c r="G5" s="13">
        <f>Macro!AK3</f>
        <v>2.8569809500042398</v>
      </c>
      <c r="H5" s="10"/>
      <c r="I5" s="10"/>
      <c r="J5" s="10"/>
    </row>
    <row r="6" spans="1:10" x14ac:dyDescent="0.25">
      <c r="A6" s="5" t="s">
        <v>3</v>
      </c>
      <c r="B6" s="11">
        <f>Macro!H4</f>
        <v>-5.9365516176024258E-2</v>
      </c>
      <c r="C6" s="12">
        <f>Macro!I4</f>
        <v>-7.5529889180436793E-2</v>
      </c>
      <c r="D6" s="12">
        <f>Macro!J4</f>
        <v>-9.1710764186325733E-2</v>
      </c>
      <c r="E6" s="12">
        <f>Macro!L4</f>
        <v>-0.12569350278309743</v>
      </c>
      <c r="F6" s="12">
        <f>Macro!Q4</f>
        <v>-0.24634602124126159</v>
      </c>
      <c r="G6" s="13">
        <f>Macro!AK4</f>
        <v>-1.153091425806807</v>
      </c>
      <c r="H6" s="10"/>
      <c r="I6" s="10"/>
      <c r="J6" s="10"/>
    </row>
    <row r="7" spans="1:10" x14ac:dyDescent="0.25">
      <c r="A7" s="5" t="s">
        <v>4</v>
      </c>
      <c r="B7" s="11">
        <f>Macro!H5</f>
        <v>-8.4743656817842794E-2</v>
      </c>
      <c r="C7" s="12">
        <f>Macro!I5</f>
        <v>-0.12011475921420711</v>
      </c>
      <c r="D7" s="12">
        <f>Macro!J5</f>
        <v>-0.16133862827192313</v>
      </c>
      <c r="E7" s="12">
        <f>Macro!L5</f>
        <v>-0.25968196953497502</v>
      </c>
      <c r="F7" s="12">
        <f>Macro!Q5</f>
        <v>-0.62273485779784643</v>
      </c>
      <c r="G7" s="13">
        <f>Macro!AK5</f>
        <v>-4.3575532745635641</v>
      </c>
      <c r="H7" s="10"/>
      <c r="I7" s="10"/>
      <c r="J7" s="10"/>
    </row>
    <row r="8" spans="1:10" x14ac:dyDescent="0.25">
      <c r="A8" s="5" t="s">
        <v>5</v>
      </c>
      <c r="B8" s="11">
        <f>Macro!H6</f>
        <v>-8.1006384895143668E-2</v>
      </c>
      <c r="C8" s="12">
        <f>Macro!I6</f>
        <v>-9.3915886507911495E-2</v>
      </c>
      <c r="D8" s="12">
        <f>Macro!J6</f>
        <v>-0.10310887444271444</v>
      </c>
      <c r="E8" s="12">
        <f>Macro!L6</f>
        <v>-0.11740134376440059</v>
      </c>
      <c r="F8" s="12">
        <f>Macro!Q6</f>
        <v>-0.18982160993969988</v>
      </c>
      <c r="G8" s="13">
        <f>Macro!AK6</f>
        <v>-0.25427953200130027</v>
      </c>
      <c r="H8" s="10"/>
      <c r="I8" s="10"/>
      <c r="J8" s="10"/>
    </row>
    <row r="9" spans="1:10" x14ac:dyDescent="0.25">
      <c r="A9" s="5" t="s">
        <v>60</v>
      </c>
      <c r="B9" s="11">
        <f>Macro!H7</f>
        <v>0.12157521038389518</v>
      </c>
      <c r="C9" s="12">
        <f>Macro!I7</f>
        <v>0.1601725494615458</v>
      </c>
      <c r="D9" s="12">
        <f>Macro!J7</f>
        <v>0.20029739158338167</v>
      </c>
      <c r="E9" s="12">
        <f>Macro!L7</f>
        <v>0.28453423812833112</v>
      </c>
      <c r="F9" s="12">
        <f>Macro!Q7</f>
        <v>0.59324440983614668</v>
      </c>
      <c r="G9" s="13">
        <f>Macro!AK7</f>
        <v>2.8463130574759354</v>
      </c>
      <c r="H9" s="10"/>
      <c r="I9" s="10"/>
      <c r="J9" s="10"/>
    </row>
    <row r="10" spans="1:10" x14ac:dyDescent="0.25">
      <c r="A10" s="5" t="s">
        <v>58</v>
      </c>
      <c r="B10" s="11">
        <f>Macro!H8</f>
        <v>8.0213899999986848E-3</v>
      </c>
      <c r="C10" s="12">
        <f>Macro!I8</f>
        <v>7.9267299999991048E-3</v>
      </c>
      <c r="D10" s="12">
        <f>Macro!J8</f>
        <v>6.943469999999563E-3</v>
      </c>
      <c r="E10" s="12">
        <f>Macro!L8</f>
        <v>4.8000399999997834E-3</v>
      </c>
      <c r="F10" s="12">
        <f>Macro!Q8</f>
        <v>9.9548000000004855E-3</v>
      </c>
      <c r="G10" s="13">
        <f>Macro!AK8</f>
        <v>-9.1944900000001661E-3</v>
      </c>
      <c r="H10" s="10"/>
      <c r="I10" s="10"/>
      <c r="J10" s="10"/>
    </row>
    <row r="11" spans="1:10" x14ac:dyDescent="0.25">
      <c r="A11" s="5" t="s">
        <v>6</v>
      </c>
      <c r="B11" s="11">
        <f>Macro!H9</f>
        <v>0.36952058289894119</v>
      </c>
      <c r="C11" s="12">
        <f>Macro!I9</f>
        <v>0.47010293291394056</v>
      </c>
      <c r="D11" s="12">
        <f>Macro!J9</f>
        <v>0.57633973261892457</v>
      </c>
      <c r="E11" s="12">
        <f>Macro!L9</f>
        <v>0.81690358037678212</v>
      </c>
      <c r="F11" s="12">
        <f>Macro!Q9</f>
        <v>1.7507386540959402</v>
      </c>
      <c r="G11" s="13">
        <f>Macro!AK9</f>
        <v>9.4772122696094705</v>
      </c>
      <c r="H11" s="10"/>
      <c r="I11" s="10"/>
      <c r="J11" s="10"/>
    </row>
    <row r="12" spans="1:10" x14ac:dyDescent="0.25">
      <c r="A12" s="5" t="s">
        <v>35</v>
      </c>
      <c r="B12" s="11">
        <f>Macro!H10</f>
        <v>0.16101627796076823</v>
      </c>
      <c r="C12" s="12">
        <f>Macro!I10</f>
        <v>0.22699330874180745</v>
      </c>
      <c r="D12" s="12">
        <f>Macro!J10</f>
        <v>0.30376118517134731</v>
      </c>
      <c r="E12" s="12">
        <f>Macro!L10</f>
        <v>0.48622175052746019</v>
      </c>
      <c r="F12" s="12">
        <f>Macro!Q10</f>
        <v>1.1478252411117884</v>
      </c>
      <c r="G12" s="13">
        <f>Macro!AK10</f>
        <v>7.9308716263475576</v>
      </c>
      <c r="H12" s="10"/>
      <c r="I12" s="10"/>
      <c r="J12" s="10"/>
    </row>
    <row r="13" spans="1:10" x14ac:dyDescent="0.25">
      <c r="A13" s="5" t="s">
        <v>33</v>
      </c>
      <c r="B13" s="11">
        <f>Macro!H11</f>
        <v>-0.11409150719374761</v>
      </c>
      <c r="C13" s="12">
        <f>Macro!I11</f>
        <v>-9.9489263249596949E-2</v>
      </c>
      <c r="D13" s="12">
        <f>Macro!J11</f>
        <v>-6.8390501972404039E-2</v>
      </c>
      <c r="E13" s="12">
        <f>Macro!L11</f>
        <v>2.1294043303221599E-2</v>
      </c>
      <c r="F13" s="12">
        <f>Macro!Q11</f>
        <v>0.2469707851670222</v>
      </c>
      <c r="G13" s="13">
        <f>Macro!AK11</f>
        <v>4.4747757301231816</v>
      </c>
      <c r="H13" s="10"/>
      <c r="I13" s="10"/>
      <c r="J13" s="10"/>
    </row>
    <row r="14" spans="1:10" x14ac:dyDescent="0.25">
      <c r="A14" s="5" t="s">
        <v>34</v>
      </c>
      <c r="B14" s="11">
        <f>Macro!H12</f>
        <v>0.44768826858940791</v>
      </c>
      <c r="C14" s="12">
        <f>Macro!I12</f>
        <v>0.56728174365983097</v>
      </c>
      <c r="D14" s="12">
        <f>Macro!J12</f>
        <v>0.69175234595819646</v>
      </c>
      <c r="E14" s="12">
        <f>Macro!L12</f>
        <v>0.97122731949939034</v>
      </c>
      <c r="F14" s="12">
        <f>Macro!Q12</f>
        <v>2.0898956190398499</v>
      </c>
      <c r="G14" s="13">
        <f>Macro!AK12</f>
        <v>11.613077506346903</v>
      </c>
      <c r="H14" s="10"/>
      <c r="I14" s="10"/>
      <c r="J14" s="10"/>
    </row>
    <row r="15" spans="1:10" x14ac:dyDescent="0.25">
      <c r="A15" s="5" t="s">
        <v>7</v>
      </c>
      <c r="B15" s="11">
        <f>Macro!H13</f>
        <v>0.25431324482032558</v>
      </c>
      <c r="C15" s="12">
        <f>Macro!I13</f>
        <v>0.33938229040177958</v>
      </c>
      <c r="D15" s="12">
        <f>Macro!J13</f>
        <v>0.4316857719868894</v>
      </c>
      <c r="E15" s="12">
        <f>Macro!L13</f>
        <v>0.63899438838832534</v>
      </c>
      <c r="F15" s="12">
        <f>Macro!Q13</f>
        <v>1.4145330871613515</v>
      </c>
      <c r="G15" s="13">
        <f>Macro!AK13</f>
        <v>8.7682090831969752</v>
      </c>
      <c r="H15" s="10"/>
      <c r="I15" s="10"/>
      <c r="J15" s="10"/>
    </row>
    <row r="16" spans="1:10" x14ac:dyDescent="0.25">
      <c r="A16" s="5" t="s">
        <v>8</v>
      </c>
      <c r="B16" s="11">
        <f>Macro!H14</f>
        <v>0</v>
      </c>
      <c r="C16" s="12">
        <f>Macro!I14</f>
        <v>0</v>
      </c>
      <c r="D16" s="12">
        <f>Macro!J14</f>
        <v>0</v>
      </c>
      <c r="E16" s="12">
        <f>Macro!L14</f>
        <v>0</v>
      </c>
      <c r="F16" s="12">
        <f>Macro!Q14</f>
        <v>0</v>
      </c>
      <c r="G16" s="13">
        <f>Macro!AK14</f>
        <v>0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0.18858050410446303</v>
      </c>
      <c r="C17" s="12">
        <f>Macro!I15</f>
        <v>0.27285209051604031</v>
      </c>
      <c r="D17" s="12">
        <f>Macro!J15</f>
        <v>0.37044544246807032</v>
      </c>
      <c r="E17" s="12">
        <f>Macro!L15</f>
        <v>0.595315274699737</v>
      </c>
      <c r="F17" s="12">
        <f>Macro!Q15</f>
        <v>1.3715251531530415</v>
      </c>
      <c r="G17" s="13">
        <f>Macro!AK15</f>
        <v>9.1274191390819492</v>
      </c>
      <c r="H17" s="10"/>
      <c r="I17" s="10"/>
      <c r="J17" s="10"/>
    </row>
    <row r="18" spans="1:10" x14ac:dyDescent="0.25">
      <c r="A18" s="5" t="s">
        <v>10</v>
      </c>
      <c r="B18" s="11">
        <f>Macro!H16</f>
        <v>0.30301773065501969</v>
      </c>
      <c r="C18" s="12">
        <f>Macro!I16</f>
        <v>0.37271217410255186</v>
      </c>
      <c r="D18" s="12">
        <f>Macro!J16</f>
        <v>0.43913626518283788</v>
      </c>
      <c r="E18" s="12">
        <f>Macro!L16</f>
        <v>0.57389903546454235</v>
      </c>
      <c r="F18" s="12">
        <f>Macro!Q16</f>
        <v>1.1217838924006296</v>
      </c>
      <c r="G18" s="13">
        <f>Macro!AK16</f>
        <v>4.453365260608666</v>
      </c>
      <c r="H18" s="10"/>
      <c r="I18" s="10"/>
      <c r="J18" s="10"/>
    </row>
    <row r="19" spans="1:10" x14ac:dyDescent="0.25">
      <c r="A19" s="5" t="s">
        <v>11</v>
      </c>
      <c r="B19" s="11">
        <f>Macro!H17</f>
        <v>26.986350000002858</v>
      </c>
      <c r="C19" s="12">
        <f>Macro!I17</f>
        <v>34.739529999998922</v>
      </c>
      <c r="D19" s="12">
        <f>Macro!J17</f>
        <v>42.163759999999456</v>
      </c>
      <c r="E19" s="12">
        <f>Macro!L17</f>
        <v>55.362229999998817</v>
      </c>
      <c r="F19" s="12">
        <f>Macro!Q17</f>
        <v>98.335049999997864</v>
      </c>
      <c r="G19" s="13">
        <f>Macro!AK17</f>
        <v>344.19142000000284</v>
      </c>
      <c r="H19" s="10"/>
      <c r="I19" s="10"/>
      <c r="J19" s="10"/>
    </row>
    <row r="20" spans="1:10" x14ac:dyDescent="0.25">
      <c r="A20" s="5" t="s">
        <v>38</v>
      </c>
      <c r="B20" s="11">
        <f>Macro!H18</f>
        <v>-6.5679769999998916E-2</v>
      </c>
      <c r="C20" s="12">
        <f>Macro!I18</f>
        <v>-8.3592529999998444E-2</v>
      </c>
      <c r="D20" s="12">
        <f>Macro!J18</f>
        <v>-0.1003292299999986</v>
      </c>
      <c r="E20" s="12">
        <f>Macro!L18</f>
        <v>-0.12927664999999866</v>
      </c>
      <c r="F20" s="12">
        <f>Macro!Q18</f>
        <v>-0.22590734000000057</v>
      </c>
      <c r="G20" s="13">
        <f>Macro!AK18</f>
        <v>-0.73289311999999995</v>
      </c>
      <c r="H20" s="10"/>
      <c r="I20" s="10"/>
      <c r="J20" s="10"/>
    </row>
    <row r="21" spans="1:10" x14ac:dyDescent="0.25">
      <c r="A21" s="5" t="s">
        <v>12</v>
      </c>
      <c r="B21" s="11">
        <f>Macro!H19</f>
        <v>7.7560869999999948E-2</v>
      </c>
      <c r="C21" s="12">
        <f>Macro!I19</f>
        <v>9.7017180000000092E-2</v>
      </c>
      <c r="D21" s="12">
        <f>Macro!J19</f>
        <v>0.11577688999999999</v>
      </c>
      <c r="E21" s="12">
        <f>Macro!L19</f>
        <v>0.15406328000000002</v>
      </c>
      <c r="F21" s="12">
        <f>Macro!Q19</f>
        <v>0.30085051800000007</v>
      </c>
      <c r="G21" s="13">
        <f>Macro!AK19</f>
        <v>1.2166336099999999</v>
      </c>
      <c r="H21" s="10"/>
      <c r="I21" s="10"/>
      <c r="J21" s="10"/>
    </row>
    <row r="22" spans="1:10" x14ac:dyDescent="0.25">
      <c r="A22" s="5" t="s">
        <v>36</v>
      </c>
      <c r="B22" s="11">
        <f>Macro!H20</f>
        <v>4.8717009999999991E-2</v>
      </c>
      <c r="C22" s="12">
        <f>Macro!I20</f>
        <v>6.5151400000000054E-2</v>
      </c>
      <c r="D22" s="12">
        <f>Macro!J20</f>
        <v>8.122626000000005E-2</v>
      </c>
      <c r="E22" s="12">
        <f>Macro!L20</f>
        <v>0.11100171999999989</v>
      </c>
      <c r="F22" s="12">
        <f>Macro!Q20</f>
        <v>0.21785925700000003</v>
      </c>
      <c r="G22" s="13">
        <f>Macro!AK20</f>
        <v>0.98712456700000006</v>
      </c>
      <c r="H22" s="10"/>
      <c r="I22" s="10"/>
      <c r="J22" s="10"/>
    </row>
    <row r="23" spans="1:10" x14ac:dyDescent="0.25">
      <c r="A23" s="5" t="s">
        <v>31</v>
      </c>
      <c r="B23" s="11">
        <f>Macro!H21</f>
        <v>-0.3830715900000059</v>
      </c>
      <c r="C23" s="12">
        <f>Macro!I21</f>
        <v>-0.51876303999999207</v>
      </c>
      <c r="D23" s="12">
        <f>Macro!J21</f>
        <v>-0.67357828999999869</v>
      </c>
      <c r="E23" s="12">
        <f>Macro!L21</f>
        <v>-1.0411177599999988</v>
      </c>
      <c r="F23" s="12">
        <f>Macro!Q21</f>
        <v>-2.4580048500000062</v>
      </c>
      <c r="G23" s="13">
        <f>Macro!AK21</f>
        <v>-17.787567559999996</v>
      </c>
      <c r="H23" s="10"/>
      <c r="I23" s="10"/>
      <c r="J23" s="10"/>
    </row>
    <row r="24" spans="1:10" x14ac:dyDescent="0.25">
      <c r="A24" s="5" t="s">
        <v>40</v>
      </c>
      <c r="B24" s="11">
        <f>Macro!H22</f>
        <v>-1.7612059724864237</v>
      </c>
      <c r="C24" s="12">
        <f>Macro!I22</f>
        <v>-2.2324390846755526</v>
      </c>
      <c r="D24" s="12">
        <f>Macro!J22</f>
        <v>-2.6954211860647836</v>
      </c>
      <c r="E24" s="12">
        <f>Macro!L22</f>
        <v>-3.6119939361743181</v>
      </c>
      <c r="F24" s="12">
        <f>Macro!Q22</f>
        <v>-6.6014015570079465</v>
      </c>
      <c r="G24" s="13">
        <f>Macro!AK22</f>
        <v>-22.746640781263704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206" t="s">
        <v>13</v>
      </c>
      <c r="C26" s="206"/>
      <c r="D26" s="206"/>
      <c r="E26" s="206"/>
      <c r="F26" s="206"/>
      <c r="G26" s="206"/>
      <c r="H26" s="10"/>
      <c r="I26" s="10"/>
      <c r="J26" s="10"/>
    </row>
    <row r="27" spans="1:10" ht="15.75" x14ac:dyDescent="0.25">
      <c r="A27" s="8"/>
      <c r="B27" s="207" t="s">
        <v>14</v>
      </c>
      <c r="C27" s="207"/>
      <c r="D27" s="207"/>
      <c r="E27" s="207"/>
      <c r="F27" s="207"/>
      <c r="G27" s="208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0.11251556631557413</v>
      </c>
      <c r="C30" s="12">
        <f t="shared" si="1"/>
        <v>0.15121566866254099</v>
      </c>
      <c r="D30" s="12">
        <f t="shared" si="1"/>
        <v>0.19244796452977386</v>
      </c>
      <c r="E30" s="12">
        <f t="shared" si="1"/>
        <v>0.27910298405513512</v>
      </c>
      <c r="F30" s="12">
        <f t="shared" si="1"/>
        <v>0.58194624165135433</v>
      </c>
      <c r="G30" s="13">
        <f t="shared" si="1"/>
        <v>2.8569809500042398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-5.9365516176024258E-2</v>
      </c>
      <c r="C31" s="12">
        <f t="shared" si="2"/>
        <v>-7.5529889180436793E-2</v>
      </c>
      <c r="D31" s="12">
        <f t="shared" si="2"/>
        <v>-9.1710764186325733E-2</v>
      </c>
      <c r="E31" s="12">
        <f t="shared" si="2"/>
        <v>-0.12569350278309743</v>
      </c>
      <c r="F31" s="12">
        <f t="shared" si="2"/>
        <v>-0.24634602124126159</v>
      </c>
      <c r="G31" s="13">
        <f t="shared" si="2"/>
        <v>-1.153091425806807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-8.4743656817842794E-2</v>
      </c>
      <c r="C32" s="12">
        <f t="shared" si="3"/>
        <v>-0.12011475921420711</v>
      </c>
      <c r="D32" s="12">
        <f t="shared" si="3"/>
        <v>-0.16133862827192313</v>
      </c>
      <c r="E32" s="12">
        <f t="shared" si="3"/>
        <v>-0.25968196953497502</v>
      </c>
      <c r="F32" s="12">
        <f t="shared" si="3"/>
        <v>-0.62273485779784643</v>
      </c>
      <c r="G32" s="13">
        <f t="shared" si="3"/>
        <v>-4.3575532745635641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-8.1006384895143668E-2</v>
      </c>
      <c r="C33" s="12">
        <f t="shared" si="4"/>
        <v>-9.3915886507911495E-2</v>
      </c>
      <c r="D33" s="12">
        <f t="shared" si="4"/>
        <v>-0.10310887444271444</v>
      </c>
      <c r="E33" s="12">
        <f t="shared" si="4"/>
        <v>-0.11740134376440059</v>
      </c>
      <c r="F33" s="12">
        <f t="shared" si="4"/>
        <v>-0.18982160993969988</v>
      </c>
      <c r="G33" s="13">
        <f t="shared" si="4"/>
        <v>-0.25427953200130027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0.12157521038389518</v>
      </c>
      <c r="C34" s="12">
        <f t="shared" si="5"/>
        <v>0.1601725494615458</v>
      </c>
      <c r="D34" s="12">
        <f t="shared" si="5"/>
        <v>0.20029739158338167</v>
      </c>
      <c r="E34" s="12">
        <f t="shared" si="5"/>
        <v>0.28453423812833112</v>
      </c>
      <c r="F34" s="12">
        <f t="shared" si="5"/>
        <v>0.59324440983614668</v>
      </c>
      <c r="G34" s="13">
        <f t="shared" si="5"/>
        <v>2.8463130574759354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8.0213899999986848E-3</v>
      </c>
      <c r="C35" s="12">
        <f t="shared" si="6"/>
        <v>7.9267299999991048E-3</v>
      </c>
      <c r="D35" s="12">
        <f t="shared" si="6"/>
        <v>6.943469999999563E-3</v>
      </c>
      <c r="E35" s="12">
        <f t="shared" si="6"/>
        <v>4.8000399999997834E-3</v>
      </c>
      <c r="F35" s="12">
        <f t="shared" si="6"/>
        <v>9.9548000000004855E-3</v>
      </c>
      <c r="G35" s="13">
        <f t="shared" si="6"/>
        <v>-9.1944900000001661E-3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0.36952058289894119</v>
      </c>
      <c r="C36" s="12">
        <f t="shared" si="7"/>
        <v>0.47010293291394056</v>
      </c>
      <c r="D36" s="12">
        <f t="shared" si="7"/>
        <v>0.57633973261892457</v>
      </c>
      <c r="E36" s="12">
        <f t="shared" si="7"/>
        <v>0.81690358037678212</v>
      </c>
      <c r="F36" s="12">
        <f t="shared" si="7"/>
        <v>1.7507386540959402</v>
      </c>
      <c r="G36" s="13">
        <f t="shared" si="7"/>
        <v>9.4772122696094705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0.16101627796076823</v>
      </c>
      <c r="C37" s="12">
        <f t="shared" si="8"/>
        <v>0.22699330874180745</v>
      </c>
      <c r="D37" s="12">
        <f t="shared" si="8"/>
        <v>0.30376118517134731</v>
      </c>
      <c r="E37" s="12">
        <f t="shared" si="8"/>
        <v>0.48622175052746019</v>
      </c>
      <c r="F37" s="12">
        <f t="shared" si="8"/>
        <v>1.1478252411117884</v>
      </c>
      <c r="G37" s="13">
        <f t="shared" si="8"/>
        <v>7.9308716263475576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-0.11409150719374761</v>
      </c>
      <c r="C38" s="12">
        <f t="shared" si="9"/>
        <v>-9.9489263249596949E-2</v>
      </c>
      <c r="D38" s="12">
        <f t="shared" si="9"/>
        <v>-6.8390501972404039E-2</v>
      </c>
      <c r="E38" s="12">
        <f t="shared" si="9"/>
        <v>2.1294043303221599E-2</v>
      </c>
      <c r="F38" s="12">
        <f t="shared" si="9"/>
        <v>0.2469707851670222</v>
      </c>
      <c r="G38" s="13">
        <f t="shared" si="9"/>
        <v>4.4747757301231816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0.44768826858940791</v>
      </c>
      <c r="C39" s="12">
        <f t="shared" si="10"/>
        <v>0.56728174365983097</v>
      </c>
      <c r="D39" s="12">
        <f t="shared" si="10"/>
        <v>0.69175234595819646</v>
      </c>
      <c r="E39" s="12">
        <f t="shared" si="10"/>
        <v>0.97122731949939034</v>
      </c>
      <c r="F39" s="12">
        <f t="shared" si="10"/>
        <v>2.0898956190398499</v>
      </c>
      <c r="G39" s="13">
        <f t="shared" si="10"/>
        <v>11.613077506346903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0.25431324482032558</v>
      </c>
      <c r="C40" s="12">
        <f t="shared" si="11"/>
        <v>0.33938229040177958</v>
      </c>
      <c r="D40" s="12">
        <f t="shared" si="11"/>
        <v>0.4316857719868894</v>
      </c>
      <c r="E40" s="12">
        <f t="shared" si="11"/>
        <v>0.63899438838832534</v>
      </c>
      <c r="F40" s="12">
        <f t="shared" si="11"/>
        <v>1.4145330871613515</v>
      </c>
      <c r="G40" s="13">
        <f t="shared" si="11"/>
        <v>8.7682090831969752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0</v>
      </c>
      <c r="C41" s="12">
        <f t="shared" si="12"/>
        <v>0</v>
      </c>
      <c r="D41" s="12">
        <f t="shared" si="12"/>
        <v>0</v>
      </c>
      <c r="E41" s="12">
        <f t="shared" si="12"/>
        <v>0</v>
      </c>
      <c r="F41" s="12">
        <f t="shared" si="12"/>
        <v>0</v>
      </c>
      <c r="G41" s="13">
        <f t="shared" si="12"/>
        <v>0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0.18858050410446303</v>
      </c>
      <c r="C42" s="12">
        <f t="shared" si="13"/>
        <v>0.27285209051604031</v>
      </c>
      <c r="D42" s="12">
        <f t="shared" si="13"/>
        <v>0.37044544246807032</v>
      </c>
      <c r="E42" s="12">
        <f t="shared" si="13"/>
        <v>0.595315274699737</v>
      </c>
      <c r="F42" s="12">
        <f t="shared" si="13"/>
        <v>1.3715251531530415</v>
      </c>
      <c r="G42" s="13">
        <f t="shared" si="13"/>
        <v>9.1274191390819492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0.30301773065501969</v>
      </c>
      <c r="C43" s="12">
        <f t="shared" si="14"/>
        <v>0.37271217410255186</v>
      </c>
      <c r="D43" s="12">
        <f t="shared" si="14"/>
        <v>0.43913626518283788</v>
      </c>
      <c r="E43" s="12">
        <f t="shared" si="14"/>
        <v>0.57389903546454235</v>
      </c>
      <c r="F43" s="12">
        <f t="shared" si="14"/>
        <v>1.1217838924006296</v>
      </c>
      <c r="G43" s="13">
        <f t="shared" si="14"/>
        <v>4.453365260608666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26.986350000002858</v>
      </c>
      <c r="C44" s="12">
        <f t="shared" si="15"/>
        <v>34.739529999998922</v>
      </c>
      <c r="D44" s="12">
        <f t="shared" si="15"/>
        <v>42.163759999999456</v>
      </c>
      <c r="E44" s="12">
        <f t="shared" si="15"/>
        <v>55.362229999998817</v>
      </c>
      <c r="F44" s="12">
        <f t="shared" si="15"/>
        <v>98.335049999997864</v>
      </c>
      <c r="G44" s="13">
        <f t="shared" si="15"/>
        <v>344.19142000000284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-6.5679769999998916E-2</v>
      </c>
      <c r="C45" s="12">
        <f t="shared" si="16"/>
        <v>-8.3592529999998444E-2</v>
      </c>
      <c r="D45" s="12">
        <f t="shared" si="16"/>
        <v>-0.1003292299999986</v>
      </c>
      <c r="E45" s="12">
        <f t="shared" si="16"/>
        <v>-0.12927664999999866</v>
      </c>
      <c r="F45" s="12">
        <f t="shared" si="16"/>
        <v>-0.22590734000000057</v>
      </c>
      <c r="G45" s="13">
        <f t="shared" si="16"/>
        <v>-0.73289311999999995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7.7560869999999948E-2</v>
      </c>
      <c r="C46" s="12">
        <f t="shared" si="17"/>
        <v>9.7017180000000092E-2</v>
      </c>
      <c r="D46" s="12">
        <f t="shared" si="17"/>
        <v>0.11577688999999999</v>
      </c>
      <c r="E46" s="12">
        <f t="shared" si="17"/>
        <v>0.15406328000000002</v>
      </c>
      <c r="F46" s="12">
        <f t="shared" si="17"/>
        <v>0.30085051800000007</v>
      </c>
      <c r="G46" s="13">
        <f t="shared" si="17"/>
        <v>1.2166336099999999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4.8717009999999991E-2</v>
      </c>
      <c r="C47" s="12">
        <f t="shared" si="18"/>
        <v>6.5151400000000054E-2</v>
      </c>
      <c r="D47" s="12">
        <f t="shared" si="18"/>
        <v>8.122626000000005E-2</v>
      </c>
      <c r="E47" s="12">
        <f t="shared" si="18"/>
        <v>0.11100171999999989</v>
      </c>
      <c r="F47" s="12">
        <f t="shared" si="18"/>
        <v>0.21785925700000003</v>
      </c>
      <c r="G47" s="13">
        <f t="shared" si="18"/>
        <v>0.98712456700000006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-0.3830715900000059</v>
      </c>
      <c r="C48" s="12">
        <f t="shared" si="18"/>
        <v>-0.51876303999999207</v>
      </c>
      <c r="D48" s="12">
        <f t="shared" si="18"/>
        <v>-0.67357828999999869</v>
      </c>
      <c r="E48" s="12">
        <f t="shared" si="18"/>
        <v>-1.0411177599999988</v>
      </c>
      <c r="F48" s="12">
        <f t="shared" si="18"/>
        <v>-2.4580048500000062</v>
      </c>
      <c r="G48" s="13">
        <f t="shared" si="18"/>
        <v>-17.787567559999996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-1.7612059724864237</v>
      </c>
      <c r="C49" s="12">
        <f t="shared" si="18"/>
        <v>-2.2324390846755526</v>
      </c>
      <c r="D49" s="12">
        <f t="shared" si="18"/>
        <v>-2.6954211860647836</v>
      </c>
      <c r="E49" s="12">
        <f t="shared" si="18"/>
        <v>-3.6119939361743181</v>
      </c>
      <c r="F49" s="12">
        <f t="shared" si="18"/>
        <v>-6.6014015570079465</v>
      </c>
      <c r="G49" s="13">
        <f t="shared" si="18"/>
        <v>-22.746640781263704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203" t="s">
        <v>0</v>
      </c>
      <c r="D2" s="204"/>
      <c r="E2" s="204"/>
      <c r="F2" s="204"/>
      <c r="G2" s="204"/>
      <c r="H2" s="205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209"/>
      <c r="D32" s="209"/>
      <c r="E32" s="209"/>
      <c r="F32" s="209"/>
      <c r="G32" s="209"/>
      <c r="H32" s="209"/>
    </row>
    <row r="33" spans="1:11" ht="15.75" x14ac:dyDescent="0.25">
      <c r="A33" s="9"/>
      <c r="B33" s="28"/>
      <c r="C33" s="207" t="s">
        <v>14</v>
      </c>
      <c r="D33" s="207"/>
      <c r="E33" s="207"/>
      <c r="F33" s="207"/>
      <c r="G33" s="207"/>
      <c r="H33" s="207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113</v>
      </c>
      <c r="B3">
        <v>0</v>
      </c>
      <c r="C3">
        <v>4.0055392577897919E-3</v>
      </c>
      <c r="D3">
        <v>1.3727548382114207E-2</v>
      </c>
      <c r="E3">
        <v>2.9358830272774306E-2</v>
      </c>
      <c r="F3">
        <v>5.0742052921504133E-2</v>
      </c>
      <c r="G3">
        <v>7.8457722130753638E-2</v>
      </c>
      <c r="H3">
        <v>0.11251556631557413</v>
      </c>
      <c r="I3">
        <v>0.15121566866254099</v>
      </c>
      <c r="J3">
        <v>0.19244796452977386</v>
      </c>
      <c r="K3">
        <v>0.23501692141201236</v>
      </c>
      <c r="L3">
        <v>0.27910298405513512</v>
      </c>
      <c r="M3">
        <v>0.32599045153041128</v>
      </c>
      <c r="N3">
        <v>0.37759554731375822</v>
      </c>
      <c r="O3">
        <v>0.43606675607372747</v>
      </c>
      <c r="P3">
        <v>0.50352805569837678</v>
      </c>
      <c r="Q3">
        <v>0.58194624165135433</v>
      </c>
      <c r="R3">
        <v>0.67185041528592393</v>
      </c>
      <c r="S3">
        <v>0.77157128575227052</v>
      </c>
      <c r="T3">
        <v>0.87851096397639772</v>
      </c>
      <c r="U3">
        <v>0.99028321912326689</v>
      </c>
      <c r="V3">
        <v>1.10523647917673</v>
      </c>
      <c r="W3">
        <v>1.2224211707336563</v>
      </c>
      <c r="X3">
        <v>1.3413526472340287</v>
      </c>
      <c r="Y3">
        <v>1.461767286362825</v>
      </c>
      <c r="Z3">
        <v>1.5834437545064528</v>
      </c>
      <c r="AA3">
        <v>1.7060965799519767</v>
      </c>
      <c r="AB3">
        <v>1.8293273655509701</v>
      </c>
      <c r="AC3">
        <v>1.9526152289849108</v>
      </c>
      <c r="AD3">
        <v>2.0753324063535805</v>
      </c>
      <c r="AE3">
        <v>2.196772555877069</v>
      </c>
      <c r="AF3">
        <v>2.3161832912837799</v>
      </c>
      <c r="AG3">
        <v>2.4327994142356646</v>
      </c>
      <c r="AH3">
        <v>2.5458709371255273</v>
      </c>
      <c r="AI3">
        <v>2.6546857633344745</v>
      </c>
      <c r="AJ3">
        <v>2.7585865444856639</v>
      </c>
      <c r="AK3">
        <v>2.8569809500042398</v>
      </c>
    </row>
    <row r="4" spans="1:37" x14ac:dyDescent="0.25">
      <c r="A4" t="s">
        <v>114</v>
      </c>
      <c r="B4">
        <v>0</v>
      </c>
      <c r="C4">
        <v>-4.6338231390774531E-3</v>
      </c>
      <c r="D4">
        <v>-1.1432338218120286E-2</v>
      </c>
      <c r="E4">
        <v>-1.9738649162925892E-2</v>
      </c>
      <c r="F4">
        <v>-3.0099289925600292E-2</v>
      </c>
      <c r="G4">
        <v>-4.3591278743360107E-2</v>
      </c>
      <c r="H4">
        <v>-5.9365516176024258E-2</v>
      </c>
      <c r="I4">
        <v>-7.5529889180436793E-2</v>
      </c>
      <c r="J4">
        <v>-9.1710764186325733E-2</v>
      </c>
      <c r="K4">
        <v>-0.1082526553606189</v>
      </c>
      <c r="L4">
        <v>-0.12569350278309743</v>
      </c>
      <c r="M4">
        <v>-0.14456916272882481</v>
      </c>
      <c r="N4">
        <v>-0.16541451695339937</v>
      </c>
      <c r="O4">
        <v>-0.18882793431833633</v>
      </c>
      <c r="P4">
        <v>-0.21552383094205485</v>
      </c>
      <c r="Q4">
        <v>-0.24634602124126159</v>
      </c>
      <c r="R4">
        <v>-0.28087374221729133</v>
      </c>
      <c r="S4">
        <v>-0.31788339104479313</v>
      </c>
      <c r="T4">
        <v>-0.35702665098213959</v>
      </c>
      <c r="U4">
        <v>-0.39828610098511241</v>
      </c>
      <c r="V4">
        <v>-0.44160759310606368</v>
      </c>
      <c r="W4">
        <v>-0.48676437698925712</v>
      </c>
      <c r="X4">
        <v>-0.53337375017448174</v>
      </c>
      <c r="Y4">
        <v>-0.58097564111110334</v>
      </c>
      <c r="Z4">
        <v>-0.629115377651146</v>
      </c>
      <c r="AA4">
        <v>-0.67740527239373849</v>
      </c>
      <c r="AB4">
        <v>-0.72555932896060105</v>
      </c>
      <c r="AC4">
        <v>-0.77340525642467517</v>
      </c>
      <c r="AD4">
        <v>-0.82088032963462121</v>
      </c>
      <c r="AE4">
        <v>-0.86801770131952338</v>
      </c>
      <c r="AF4">
        <v>-0.91492806052884124</v>
      </c>
      <c r="AG4">
        <v>-0.96178028429029228</v>
      </c>
      <c r="AH4">
        <v>-1.0087835254926292</v>
      </c>
      <c r="AI4">
        <v>-1.0561716562439316</v>
      </c>
      <c r="AJ4">
        <v>-1.1041910350297668</v>
      </c>
      <c r="AK4">
        <v>-1.153091425806807</v>
      </c>
    </row>
    <row r="5" spans="1:37" x14ac:dyDescent="0.25">
      <c r="A5" t="s">
        <v>115</v>
      </c>
      <c r="B5">
        <v>0</v>
      </c>
      <c r="C5">
        <v>-2.5491856302295446E-3</v>
      </c>
      <c r="D5">
        <v>-8.5910816649659161E-3</v>
      </c>
      <c r="E5">
        <v>-1.8818883106908046E-2</v>
      </c>
      <c r="F5">
        <v>-3.4155167018723454E-2</v>
      </c>
      <c r="G5">
        <v>-5.5920622417393595E-2</v>
      </c>
      <c r="H5">
        <v>-8.4743656817842794E-2</v>
      </c>
      <c r="I5">
        <v>-0.12011475921420711</v>
      </c>
      <c r="J5">
        <v>-0.16133862827192313</v>
      </c>
      <c r="K5">
        <v>-0.20791035179900108</v>
      </c>
      <c r="L5">
        <v>-0.25968196953497502</v>
      </c>
      <c r="M5">
        <v>-0.31694183765166306</v>
      </c>
      <c r="N5">
        <v>-0.38044514976971477</v>
      </c>
      <c r="O5">
        <v>-0.45141088649005567</v>
      </c>
      <c r="P5">
        <v>-0.53149316996680129</v>
      </c>
      <c r="Q5">
        <v>-0.62273485779784643</v>
      </c>
      <c r="R5">
        <v>-0.72664833176684374</v>
      </c>
      <c r="S5">
        <v>-0.84365631243028538</v>
      </c>
      <c r="T5">
        <v>-0.97362659854567379</v>
      </c>
      <c r="U5">
        <v>-1.116090505123446</v>
      </c>
      <c r="V5">
        <v>-1.2703568867630022</v>
      </c>
      <c r="W5">
        <v>-1.4355883316849671</v>
      </c>
      <c r="X5">
        <v>-1.6108573804437754</v>
      </c>
      <c r="Y5">
        <v>-1.7951870531409009</v>
      </c>
      <c r="Z5">
        <v>-1.9875783680686654</v>
      </c>
      <c r="AA5">
        <v>-2.1870276704960889</v>
      </c>
      <c r="AB5">
        <v>-2.3925368006765591</v>
      </c>
      <c r="AC5">
        <v>-2.6031189380972375</v>
      </c>
      <c r="AD5">
        <v>-2.8178016998180677</v>
      </c>
      <c r="AE5">
        <v>-3.0356291911333377</v>
      </c>
      <c r="AF5">
        <v>-3.255663481902149</v>
      </c>
      <c r="AG5">
        <v>-3.4769860226307459</v>
      </c>
      <c r="AH5">
        <v>-3.6986991698695681</v>
      </c>
      <c r="AI5">
        <v>-3.9199277359178497</v>
      </c>
      <c r="AJ5">
        <v>-4.1398207354947587</v>
      </c>
      <c r="AK5">
        <v>-4.3575532745635641</v>
      </c>
    </row>
    <row r="6" spans="1:37" x14ac:dyDescent="0.25">
      <c r="A6" t="s">
        <v>116</v>
      </c>
      <c r="B6">
        <v>0</v>
      </c>
      <c r="C6">
        <v>-9.7074529827434475E-3</v>
      </c>
      <c r="D6">
        <v>-2.1687179759621866E-2</v>
      </c>
      <c r="E6">
        <v>-3.4010922366944918E-2</v>
      </c>
      <c r="F6">
        <v>-4.7603819238506428E-2</v>
      </c>
      <c r="G6">
        <v>-6.4181484608138994E-2</v>
      </c>
      <c r="H6">
        <v>-8.1006384895143668E-2</v>
      </c>
      <c r="I6">
        <v>-9.3915886507911495E-2</v>
      </c>
      <c r="J6">
        <v>-0.10310887444271444</v>
      </c>
      <c r="K6">
        <v>-0.11033069662231831</v>
      </c>
      <c r="L6">
        <v>-0.11740134376440059</v>
      </c>
      <c r="M6">
        <v>-0.12577706943327494</v>
      </c>
      <c r="N6">
        <v>-0.13653471307765175</v>
      </c>
      <c r="O6">
        <v>-0.1504568711977905</v>
      </c>
      <c r="P6">
        <v>-0.16809946355931249</v>
      </c>
      <c r="Q6">
        <v>-0.18982160993969988</v>
      </c>
      <c r="R6">
        <v>-0.2127070505132389</v>
      </c>
      <c r="S6">
        <v>-0.23262718864660581</v>
      </c>
      <c r="T6">
        <v>-0.24862889259933407</v>
      </c>
      <c r="U6">
        <v>-0.26100229766630179</v>
      </c>
      <c r="V6">
        <v>-0.27025332345886888</v>
      </c>
      <c r="W6">
        <v>-0.27677430952776083</v>
      </c>
      <c r="X6">
        <v>-0.28082104880805536</v>
      </c>
      <c r="Y6">
        <v>-0.28258265608067656</v>
      </c>
      <c r="Z6">
        <v>-0.28225407517774581</v>
      </c>
      <c r="AA6">
        <v>-0.280084202406361</v>
      </c>
      <c r="AB6">
        <v>-0.27639747199564857</v>
      </c>
      <c r="AC6">
        <v>-0.27159551047148955</v>
      </c>
      <c r="AD6">
        <v>-0.26614580748079986</v>
      </c>
      <c r="AE6">
        <v>-0.26056376299383732</v>
      </c>
      <c r="AF6">
        <v>-0.25539199689675884</v>
      </c>
      <c r="AG6">
        <v>-0.25118047443831726</v>
      </c>
      <c r="AH6">
        <v>-0.24846850734993042</v>
      </c>
      <c r="AI6">
        <v>-0.24777016434299748</v>
      </c>
      <c r="AJ6">
        <v>-0.24956290490996125</v>
      </c>
      <c r="AK6">
        <v>-0.25427953200130027</v>
      </c>
    </row>
    <row r="7" spans="1:37" x14ac:dyDescent="0.25">
      <c r="A7" t="s">
        <v>117</v>
      </c>
      <c r="B7">
        <v>0</v>
      </c>
      <c r="C7">
        <v>5.3999496521850432E-3</v>
      </c>
      <c r="D7">
        <v>1.7255271085070412E-2</v>
      </c>
      <c r="E7">
        <v>3.4772077307776428E-2</v>
      </c>
      <c r="F7">
        <v>5.7523275998683232E-2</v>
      </c>
      <c r="G7">
        <v>8.6540381838062785E-2</v>
      </c>
      <c r="H7">
        <v>0.12157521038389518</v>
      </c>
      <c r="I7">
        <v>0.1601725494615458</v>
      </c>
      <c r="J7">
        <v>0.20029739158338167</v>
      </c>
      <c r="K7">
        <v>0.24145167875371243</v>
      </c>
      <c r="L7">
        <v>0.28453423812833112</v>
      </c>
      <c r="M7">
        <v>0.33122177928950336</v>
      </c>
      <c r="N7">
        <v>0.3834925694551572</v>
      </c>
      <c r="O7">
        <v>0.44335079979340719</v>
      </c>
      <c r="P7">
        <v>0.51269018637158936</v>
      </c>
      <c r="Q7">
        <v>0.59324440983614668</v>
      </c>
      <c r="R7">
        <v>0.68488719160502143</v>
      </c>
      <c r="S7">
        <v>0.78515264278795627</v>
      </c>
      <c r="T7">
        <v>0.89132880535132131</v>
      </c>
      <c r="U7">
        <v>1.0014621991219608</v>
      </c>
      <c r="V7">
        <v>1.1144572086887683</v>
      </c>
      <c r="W7">
        <v>1.2297586349639955</v>
      </c>
      <c r="X7">
        <v>1.3470635547808696</v>
      </c>
      <c r="Y7">
        <v>1.4661315748039083</v>
      </c>
      <c r="Z7">
        <v>1.5866780652403767</v>
      </c>
      <c r="AA7">
        <v>1.708323147136559</v>
      </c>
      <c r="AB7">
        <v>1.8305774431431443</v>
      </c>
      <c r="AC7">
        <v>1.9528497673490186</v>
      </c>
      <c r="AD7">
        <v>2.0744675332022622</v>
      </c>
      <c r="AE7">
        <v>2.1947049490877335</v>
      </c>
      <c r="AF7">
        <v>2.3128105708708713</v>
      </c>
      <c r="AG7">
        <v>2.4280346767987959</v>
      </c>
      <c r="AH7">
        <v>2.5396518677200497</v>
      </c>
      <c r="AI7">
        <v>2.646979012414219</v>
      </c>
      <c r="AJ7">
        <v>2.7493878676470906</v>
      </c>
      <c r="AK7">
        <v>2.8463130574759354</v>
      </c>
    </row>
    <row r="8" spans="1:37" x14ac:dyDescent="0.25">
      <c r="A8" t="s">
        <v>118</v>
      </c>
      <c r="B8">
        <v>0</v>
      </c>
      <c r="C8">
        <v>1.2359800000000254E-3</v>
      </c>
      <c r="D8">
        <v>3.1267899999992688E-3</v>
      </c>
      <c r="E8">
        <v>4.7976499999990985E-3</v>
      </c>
      <c r="F8">
        <v>6.0086799999997664E-3</v>
      </c>
      <c r="G8">
        <v>7.1594399999999614E-3</v>
      </c>
      <c r="H8">
        <v>8.0213899999986848E-3</v>
      </c>
      <c r="I8">
        <v>7.9267299999991048E-3</v>
      </c>
      <c r="J8">
        <v>6.943469999999563E-3</v>
      </c>
      <c r="K8">
        <v>5.6894800000012458E-3</v>
      </c>
      <c r="L8">
        <v>4.8000399999997834E-3</v>
      </c>
      <c r="M8">
        <v>4.6210800000001662E-3</v>
      </c>
      <c r="N8">
        <v>5.2065499999989773E-3</v>
      </c>
      <c r="O8">
        <v>6.4273000000003577E-3</v>
      </c>
      <c r="P8">
        <v>8.0790600000005264E-3</v>
      </c>
      <c r="Q8">
        <v>9.9548000000004855E-3</v>
      </c>
      <c r="R8">
        <v>1.147633000000009E-2</v>
      </c>
      <c r="S8">
        <v>1.1943920000000163E-2</v>
      </c>
      <c r="T8">
        <v>1.1260750000000042E-2</v>
      </c>
      <c r="U8">
        <v>9.8103799999998964E-3</v>
      </c>
      <c r="V8">
        <v>8.0829300000001547E-3</v>
      </c>
      <c r="W8">
        <v>6.4247300000000451E-3</v>
      </c>
      <c r="X8">
        <v>4.9947200000011183E-3</v>
      </c>
      <c r="Y8">
        <v>3.8125700000002372E-3</v>
      </c>
      <c r="Z8">
        <v>2.8221199999997615E-3</v>
      </c>
      <c r="AA8">
        <v>1.9405099999994513E-3</v>
      </c>
      <c r="AB8">
        <v>1.0882199999992515E-3</v>
      </c>
      <c r="AC8">
        <v>2.0386999999982836E-4</v>
      </c>
      <c r="AD8">
        <v>-7.5109000000073145E-4</v>
      </c>
      <c r="AE8">
        <v>-1.7933900000002834E-3</v>
      </c>
      <c r="AF8">
        <v>-2.9220800000007152E-3</v>
      </c>
      <c r="AG8">
        <v>-4.1234800000011784E-3</v>
      </c>
      <c r="AH8">
        <v>-5.3761600000007403E-3</v>
      </c>
      <c r="AI8">
        <v>-6.6552400000002843E-3</v>
      </c>
      <c r="AJ8">
        <v>-7.935679999999945E-3</v>
      </c>
      <c r="AK8">
        <v>-9.1944900000001661E-3</v>
      </c>
    </row>
    <row r="9" spans="1:37" x14ac:dyDescent="0.25">
      <c r="A9" t="s">
        <v>119</v>
      </c>
      <c r="B9">
        <v>0</v>
      </c>
      <c r="C9">
        <v>3.564481337581249E-2</v>
      </c>
      <c r="D9">
        <v>7.451175331247839E-2</v>
      </c>
      <c r="E9">
        <v>0.12266123394637507</v>
      </c>
      <c r="F9">
        <v>0.18626678847324385</v>
      </c>
      <c r="G9">
        <v>0.27150892751710565</v>
      </c>
      <c r="H9">
        <v>0.36952058289894119</v>
      </c>
      <c r="I9">
        <v>0.47010293291394056</v>
      </c>
      <c r="J9">
        <v>0.57633973261892457</v>
      </c>
      <c r="K9">
        <v>0.69099153762575138</v>
      </c>
      <c r="L9">
        <v>0.81690358037678212</v>
      </c>
      <c r="M9">
        <v>0.95734259160793478</v>
      </c>
      <c r="N9">
        <v>1.1161684575277109</v>
      </c>
      <c r="O9">
        <v>1.2978717164908726</v>
      </c>
      <c r="P9">
        <v>1.5075321986219858</v>
      </c>
      <c r="Q9">
        <v>1.7507386540959402</v>
      </c>
      <c r="R9">
        <v>2.0224970828861322</v>
      </c>
      <c r="S9">
        <v>2.3147610092684845</v>
      </c>
      <c r="T9">
        <v>2.6276678092947758</v>
      </c>
      <c r="U9">
        <v>2.9604915588276048</v>
      </c>
      <c r="V9">
        <v>3.3118777342181271</v>
      </c>
      <c r="W9">
        <v>3.6800960276071049</v>
      </c>
      <c r="X9">
        <v>4.0632206324088704</v>
      </c>
      <c r="Y9">
        <v>4.4592380756246719</v>
      </c>
      <c r="Z9">
        <v>4.8661038621982566</v>
      </c>
      <c r="AA9">
        <v>5.2817690514169513</v>
      </c>
      <c r="AB9">
        <v>5.7041901518308125</v>
      </c>
      <c r="AC9">
        <v>6.131331944069851</v>
      </c>
      <c r="AD9">
        <v>6.5611674203596149</v>
      </c>
      <c r="AE9">
        <v>6.9916764942540954</v>
      </c>
      <c r="AF9">
        <v>7.420847354032345</v>
      </c>
      <c r="AG9">
        <v>7.8466779912979234</v>
      </c>
      <c r="AH9">
        <v>8.2671806452786925</v>
      </c>
      <c r="AI9">
        <v>8.6803884117280905</v>
      </c>
      <c r="AJ9">
        <v>9.0843642352254506</v>
      </c>
      <c r="AK9">
        <v>9.4772122696094705</v>
      </c>
    </row>
    <row r="10" spans="1:37" x14ac:dyDescent="0.25">
      <c r="A10" t="s">
        <v>120</v>
      </c>
      <c r="B10">
        <v>0</v>
      </c>
      <c r="C10">
        <v>5.8105778391714935E-3</v>
      </c>
      <c r="D10">
        <v>1.7409199864637515E-2</v>
      </c>
      <c r="E10">
        <v>3.660132915010994E-2</v>
      </c>
      <c r="F10">
        <v>6.5554012837920617E-2</v>
      </c>
      <c r="G10">
        <v>0.10680856174265507</v>
      </c>
      <c r="H10">
        <v>0.16101627796076823</v>
      </c>
      <c r="I10">
        <v>0.22699330874180745</v>
      </c>
      <c r="J10">
        <v>0.30376118517134731</v>
      </c>
      <c r="K10">
        <v>0.39035096581423456</v>
      </c>
      <c r="L10">
        <v>0.48622175052746019</v>
      </c>
      <c r="M10">
        <v>0.59162577386466797</v>
      </c>
      <c r="N10">
        <v>0.70778923165957242</v>
      </c>
      <c r="O10">
        <v>0.83694583479712037</v>
      </c>
      <c r="P10">
        <v>0.98227978411451478</v>
      </c>
      <c r="Q10">
        <v>1.1478252411117884</v>
      </c>
      <c r="R10">
        <v>1.3364189955936467</v>
      </c>
      <c r="S10">
        <v>1.549013912075714</v>
      </c>
      <c r="T10">
        <v>1.785831894099621</v>
      </c>
      <c r="U10">
        <v>2.0461511823092415</v>
      </c>
      <c r="V10">
        <v>2.3285825191145637</v>
      </c>
      <c r="W10">
        <v>2.6313651799968252</v>
      </c>
      <c r="X10">
        <v>2.9525727863084494</v>
      </c>
      <c r="Y10">
        <v>3.2902295563524975</v>
      </c>
      <c r="Z10">
        <v>3.6423653098894837</v>
      </c>
      <c r="AA10">
        <v>4.0070350899589213</v>
      </c>
      <c r="AB10">
        <v>4.3823223347437157</v>
      </c>
      <c r="AC10">
        <v>4.7663351336242998</v>
      </c>
      <c r="AD10">
        <v>5.157200851833732</v>
      </c>
      <c r="AE10">
        <v>5.5530621125526425</v>
      </c>
      <c r="AF10">
        <v>5.952074587052536</v>
      </c>
      <c r="AG10">
        <v>6.3524064604046249</v>
      </c>
      <c r="AH10">
        <v>6.7522403940404097</v>
      </c>
      <c r="AI10">
        <v>7.1497764352109749</v>
      </c>
      <c r="AJ10">
        <v>7.5432367594374217</v>
      </c>
      <c r="AK10">
        <v>7.9308716263475576</v>
      </c>
    </row>
    <row r="11" spans="1:37" x14ac:dyDescent="0.25">
      <c r="A11" t="s">
        <v>121</v>
      </c>
      <c r="B11">
        <v>0</v>
      </c>
      <c r="C11">
        <v>-2.9375200939951718E-2</v>
      </c>
      <c r="D11">
        <v>-5.2075455450384389E-2</v>
      </c>
      <c r="E11">
        <v>-7.0848407248513823E-2</v>
      </c>
      <c r="F11">
        <v>-8.8333192952916306E-2</v>
      </c>
      <c r="G11">
        <v>-0.10681034013843016</v>
      </c>
      <c r="H11">
        <v>-0.11409150719374761</v>
      </c>
      <c r="I11">
        <v>-9.9489263249596949E-2</v>
      </c>
      <c r="J11">
        <v>-6.8390501972404039E-2</v>
      </c>
      <c r="K11">
        <v>-2.6412005098519487E-2</v>
      </c>
      <c r="L11">
        <v>2.1294043303221599E-2</v>
      </c>
      <c r="M11">
        <v>7.0585526076749616E-2</v>
      </c>
      <c r="N11">
        <v>0.1186125655856296</v>
      </c>
      <c r="O11">
        <v>0.16390129990759839</v>
      </c>
      <c r="P11">
        <v>0.20631749775792407</v>
      </c>
      <c r="Q11">
        <v>0.2469707851670222</v>
      </c>
      <c r="R11">
        <v>0.29877484660507658</v>
      </c>
      <c r="S11">
        <v>0.3752590705079939</v>
      </c>
      <c r="T11">
        <v>0.47735263485053636</v>
      </c>
      <c r="U11">
        <v>0.60458245639061214</v>
      </c>
      <c r="V11">
        <v>0.75553242550963073</v>
      </c>
      <c r="W11">
        <v>0.92828093383134913</v>
      </c>
      <c r="X11">
        <v>1.1206933783675765</v>
      </c>
      <c r="Y11">
        <v>1.3305873607489138</v>
      </c>
      <c r="Z11">
        <v>1.5558079195669539</v>
      </c>
      <c r="AA11">
        <v>1.7942545325374537</v>
      </c>
      <c r="AB11">
        <v>2.0438828671723419</v>
      </c>
      <c r="AC11">
        <v>2.3026965937011701</v>
      </c>
      <c r="AD11">
        <v>2.5687382163808836</v>
      </c>
      <c r="AE11">
        <v>2.8400808032867486</v>
      </c>
      <c r="AF11">
        <v>3.1148234040219602</v>
      </c>
      <c r="AG11">
        <v>3.3910888796235827</v>
      </c>
      <c r="AH11">
        <v>3.6670247320037541</v>
      </c>
      <c r="AI11">
        <v>3.9408061784461434</v>
      </c>
      <c r="AJ11">
        <v>4.2106409724884886</v>
      </c>
      <c r="AK11">
        <v>4.4747757301231816</v>
      </c>
    </row>
    <row r="12" spans="1:37" x14ac:dyDescent="0.25">
      <c r="A12" t="s">
        <v>122</v>
      </c>
      <c r="B12">
        <v>0</v>
      </c>
      <c r="C12">
        <v>4.2458743292561607E-2</v>
      </c>
      <c r="D12">
        <v>8.9778680120566889E-2</v>
      </c>
      <c r="E12">
        <v>0.14851579448025287</v>
      </c>
      <c r="F12">
        <v>0.22585094105325165</v>
      </c>
      <c r="G12">
        <v>0.32935998796101984</v>
      </c>
      <c r="H12">
        <v>0.44768826858940791</v>
      </c>
      <c r="I12">
        <v>0.56728174365983097</v>
      </c>
      <c r="J12">
        <v>0.69175234595819646</v>
      </c>
      <c r="K12">
        <v>0.82497563832155674</v>
      </c>
      <c r="L12">
        <v>0.97122731949939034</v>
      </c>
      <c r="M12">
        <v>1.1353592844286498</v>
      </c>
      <c r="N12">
        <v>1.3228774359171691</v>
      </c>
      <c r="O12">
        <v>1.539925427602995</v>
      </c>
      <c r="P12">
        <v>1.7932093238278712</v>
      </c>
      <c r="Q12">
        <v>2.0898956190398499</v>
      </c>
      <c r="R12">
        <v>2.4223555811371034</v>
      </c>
      <c r="S12">
        <v>2.7784096673563408</v>
      </c>
      <c r="T12">
        <v>3.1575394722442196</v>
      </c>
      <c r="U12">
        <v>3.5587583892700891</v>
      </c>
      <c r="V12">
        <v>3.9806983843974075</v>
      </c>
      <c r="W12">
        <v>4.4217609004915781</v>
      </c>
      <c r="X12">
        <v>4.8802303309745332</v>
      </c>
      <c r="Y12">
        <v>5.3543406018937922</v>
      </c>
      <c r="Z12">
        <v>5.8423078741301593</v>
      </c>
      <c r="AA12">
        <v>6.3423439638034873</v>
      </c>
      <c r="AB12">
        <v>6.8526602255797542</v>
      </c>
      <c r="AC12">
        <v>7.3714681701257057</v>
      </c>
      <c r="AD12">
        <v>7.8969784921267827</v>
      </c>
      <c r="AE12">
        <v>8.4274013498988545</v>
      </c>
      <c r="AF12">
        <v>8.9609464598652711</v>
      </c>
      <c r="AG12">
        <v>9.4958245215484673</v>
      </c>
      <c r="AH12">
        <v>10.030249799236636</v>
      </c>
      <c r="AI12">
        <v>10.562443013556155</v>
      </c>
      <c r="AJ12">
        <v>11.090636168201273</v>
      </c>
      <c r="AK12">
        <v>11.613077506346903</v>
      </c>
    </row>
    <row r="13" spans="1:37" x14ac:dyDescent="0.25">
      <c r="A13" t="s">
        <v>123</v>
      </c>
      <c r="B13">
        <v>0</v>
      </c>
      <c r="C13">
        <v>1.4166794160597185E-2</v>
      </c>
      <c r="D13">
        <v>3.7844698782163455E-2</v>
      </c>
      <c r="E13">
        <v>7.1235258308255389E-2</v>
      </c>
      <c r="F13">
        <v>0.11680205840070013</v>
      </c>
      <c r="G13">
        <v>0.17835931550487238</v>
      </c>
      <c r="H13">
        <v>0.25431324482032558</v>
      </c>
      <c r="I13">
        <v>0.33938229040177958</v>
      </c>
      <c r="J13">
        <v>0.4316857719868894</v>
      </c>
      <c r="K13">
        <v>0.53115289606366911</v>
      </c>
      <c r="L13">
        <v>0.63899438838832534</v>
      </c>
      <c r="M13">
        <v>0.75749896013792561</v>
      </c>
      <c r="N13">
        <v>0.88990517344422759</v>
      </c>
      <c r="O13">
        <v>1.0402760915505294</v>
      </c>
      <c r="P13">
        <v>1.2133729336131216</v>
      </c>
      <c r="Q13">
        <v>1.4145330871613515</v>
      </c>
      <c r="R13">
        <v>1.6445182286069837</v>
      </c>
      <c r="S13">
        <v>1.8998964734671775</v>
      </c>
      <c r="T13">
        <v>2.1784281472318368</v>
      </c>
      <c r="U13">
        <v>2.4781825831838855</v>
      </c>
      <c r="V13">
        <v>2.7973098004947738</v>
      </c>
      <c r="W13">
        <v>3.1340103518742835</v>
      </c>
      <c r="X13">
        <v>3.4865403773429726</v>
      </c>
      <c r="Y13">
        <v>3.8532107292365225</v>
      </c>
      <c r="Z13">
        <v>4.2323755683345787</v>
      </c>
      <c r="AA13">
        <v>4.6224172293187982</v>
      </c>
      <c r="AB13">
        <v>5.0217317333273392</v>
      </c>
      <c r="AC13">
        <v>5.4287191452327521</v>
      </c>
      <c r="AD13">
        <v>5.8417771170086841</v>
      </c>
      <c r="AE13">
        <v>6.259299353490988</v>
      </c>
      <c r="AF13">
        <v>6.679675898885562</v>
      </c>
      <c r="AG13">
        <v>7.1012959905422335</v>
      </c>
      <c r="AH13">
        <v>7.5225518293691396</v>
      </c>
      <c r="AI13">
        <v>7.9418435845699742</v>
      </c>
      <c r="AJ13">
        <v>8.3575848186848702</v>
      </c>
      <c r="AK13">
        <v>8.7682090831969752</v>
      </c>
    </row>
    <row r="14" spans="1:37" x14ac:dyDescent="0.25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25">
      <c r="A15" t="s">
        <v>125</v>
      </c>
      <c r="B15">
        <v>0</v>
      </c>
      <c r="C15">
        <v>6.0117937170645064E-4</v>
      </c>
      <c r="D15">
        <v>1.2267696218115631E-2</v>
      </c>
      <c r="E15">
        <v>3.5864523555328987E-2</v>
      </c>
      <c r="F15">
        <v>7.1671214529689387E-2</v>
      </c>
      <c r="G15">
        <v>0.12149582221829824</v>
      </c>
      <c r="H15">
        <v>0.18858050410446303</v>
      </c>
      <c r="I15">
        <v>0.27285209051604031</v>
      </c>
      <c r="J15">
        <v>0.37044544246807032</v>
      </c>
      <c r="K15">
        <v>0.47836434897368107</v>
      </c>
      <c r="L15">
        <v>0.595315274699737</v>
      </c>
      <c r="M15">
        <v>0.72162009701715046</v>
      </c>
      <c r="N15">
        <v>0.85899338485386778</v>
      </c>
      <c r="O15">
        <v>1.0103419216497933</v>
      </c>
      <c r="P15">
        <v>1.1795910700872714</v>
      </c>
      <c r="Q15">
        <v>1.3715251531530415</v>
      </c>
      <c r="R15">
        <v>1.591447600326279</v>
      </c>
      <c r="S15">
        <v>1.8417563770623424</v>
      </c>
      <c r="T15">
        <v>2.1210270619247629</v>
      </c>
      <c r="U15">
        <v>2.4270691177683101</v>
      </c>
      <c r="V15">
        <v>2.7576065808719186</v>
      </c>
      <c r="W15">
        <v>3.1103672572253327</v>
      </c>
      <c r="X15">
        <v>3.4830756706548005</v>
      </c>
      <c r="Y15">
        <v>3.8734527941521213</v>
      </c>
      <c r="Z15">
        <v>4.2792260523359493</v>
      </c>
      <c r="AA15">
        <v>4.698139689993619</v>
      </c>
      <c r="AB15">
        <v>5.1279600167020378</v>
      </c>
      <c r="AC15">
        <v>5.566475372437818</v>
      </c>
      <c r="AD15">
        <v>6.0114929601477352</v>
      </c>
      <c r="AE15">
        <v>6.4608350444962381</v>
      </c>
      <c r="AF15">
        <v>6.9123363757949141</v>
      </c>
      <c r="AG15">
        <v>7.3638430422306778</v>
      </c>
      <c r="AH15">
        <v>7.8132149200365486</v>
      </c>
      <c r="AI15">
        <v>8.2583290009827781</v>
      </c>
      <c r="AJ15">
        <v>8.6970861152653178</v>
      </c>
      <c r="AK15">
        <v>9.1274191390819492</v>
      </c>
    </row>
    <row r="16" spans="1:37" x14ac:dyDescent="0.25">
      <c r="A16" t="s">
        <v>126</v>
      </c>
      <c r="B16">
        <v>0</v>
      </c>
      <c r="C16">
        <v>2.9985186784320383E-2</v>
      </c>
      <c r="D16">
        <v>6.4376672268484647E-2</v>
      </c>
      <c r="E16">
        <v>0.10678858192383345</v>
      </c>
      <c r="F16">
        <v>0.16014588160320198</v>
      </c>
      <c r="G16">
        <v>0.22855027718549081</v>
      </c>
      <c r="H16">
        <v>0.30301773065501969</v>
      </c>
      <c r="I16">
        <v>0.37271217410255186</v>
      </c>
      <c r="J16">
        <v>0.43913626518283788</v>
      </c>
      <c r="K16">
        <v>0.5049096950506371</v>
      </c>
      <c r="L16">
        <v>0.57389903546454235</v>
      </c>
      <c r="M16">
        <v>0.65057536494024237</v>
      </c>
      <c r="N16">
        <v>0.73950368268824729</v>
      </c>
      <c r="O16">
        <v>0.84505558162579764</v>
      </c>
      <c r="P16">
        <v>0.97126966490712618</v>
      </c>
      <c r="Q16">
        <v>1.1217838924006296</v>
      </c>
      <c r="R16">
        <v>1.2888220716192444</v>
      </c>
      <c r="S16">
        <v>1.4610147277477559</v>
      </c>
      <c r="T16">
        <v>1.6358655718960335</v>
      </c>
      <c r="U16">
        <v>1.8115344516346221</v>
      </c>
      <c r="V16">
        <v>1.987061268486956</v>
      </c>
      <c r="W16">
        <v>2.1620167251650946</v>
      </c>
      <c r="X16">
        <v>2.3362006067054519</v>
      </c>
      <c r="Y16">
        <v>2.5094746591787898</v>
      </c>
      <c r="Z16">
        <v>2.6816960544890023</v>
      </c>
      <c r="AA16">
        <v>2.852700482137549</v>
      </c>
      <c r="AB16">
        <v>3.0223047021361582</v>
      </c>
      <c r="AC16">
        <v>3.1903154774315379</v>
      </c>
      <c r="AD16">
        <v>3.3565341293535278</v>
      </c>
      <c r="AE16">
        <v>3.520761781539794</v>
      </c>
      <c r="AF16">
        <v>3.6828001995304227</v>
      </c>
      <c r="AG16">
        <v>3.8424531538209905</v>
      </c>
      <c r="AH16">
        <v>3.9995265225987175</v>
      </c>
      <c r="AI16">
        <v>4.1538284719610186</v>
      </c>
      <c r="AJ16">
        <v>4.3051699125945309</v>
      </c>
      <c r="AK16">
        <v>4.453365260608666</v>
      </c>
    </row>
    <row r="17" spans="1:37" x14ac:dyDescent="0.25">
      <c r="A17" t="s">
        <v>127</v>
      </c>
      <c r="B17">
        <v>0</v>
      </c>
      <c r="C17">
        <v>1.3115900000011607</v>
      </c>
      <c r="D17">
        <v>4.027620000000752</v>
      </c>
      <c r="E17">
        <v>7.9804599999988568</v>
      </c>
      <c r="F17">
        <v>13.099419999998645</v>
      </c>
      <c r="G17">
        <v>19.518749999999272</v>
      </c>
      <c r="H17">
        <v>26.986350000002858</v>
      </c>
      <c r="I17">
        <v>34.739529999998922</v>
      </c>
      <c r="J17">
        <v>42.163759999999456</v>
      </c>
      <c r="K17">
        <v>49.001090000001568</v>
      </c>
      <c r="L17">
        <v>55.362229999998817</v>
      </c>
      <c r="M17">
        <v>61.648409999997966</v>
      </c>
      <c r="N17">
        <v>68.441899999997986</v>
      </c>
      <c r="O17">
        <v>76.399939999999333</v>
      </c>
      <c r="P17">
        <v>86.170450000001438</v>
      </c>
      <c r="Q17">
        <v>98.335049999997864</v>
      </c>
      <c r="R17">
        <v>112.90267999999924</v>
      </c>
      <c r="S17">
        <v>129.16825000000244</v>
      </c>
      <c r="T17">
        <v>146.27600000000166</v>
      </c>
      <c r="U17">
        <v>163.4736899999989</v>
      </c>
      <c r="V17">
        <v>180.21169999999984</v>
      </c>
      <c r="W17">
        <v>196.15566000000035</v>
      </c>
      <c r="X17">
        <v>211.15298999999868</v>
      </c>
      <c r="Y17">
        <v>225.18197000000146</v>
      </c>
      <c r="Z17">
        <v>238.3009200000015</v>
      </c>
      <c r="AA17">
        <v>250.60637000000133</v>
      </c>
      <c r="AB17">
        <v>262.20332000000053</v>
      </c>
      <c r="AC17">
        <v>273.18675999999687</v>
      </c>
      <c r="AD17">
        <v>283.63241999999809</v>
      </c>
      <c r="AE17">
        <v>293.59414000000106</v>
      </c>
      <c r="AF17">
        <v>303.10543999999936</v>
      </c>
      <c r="AG17">
        <v>312.18340000000171</v>
      </c>
      <c r="AH17">
        <v>320.83351000000039</v>
      </c>
      <c r="AI17">
        <v>329.05432999999903</v>
      </c>
      <c r="AJ17">
        <v>336.84159999999974</v>
      </c>
      <c r="AK17">
        <v>344.19142000000284</v>
      </c>
    </row>
    <row r="18" spans="1:37" x14ac:dyDescent="0.25">
      <c r="A18" t="s">
        <v>128</v>
      </c>
      <c r="B18">
        <v>0</v>
      </c>
      <c r="C18">
        <v>-3.4888499999996547E-3</v>
      </c>
      <c r="D18">
        <v>-1.042947999999877E-2</v>
      </c>
      <c r="E18">
        <v>-2.0226100000000913E-2</v>
      </c>
      <c r="F18">
        <v>-3.2649889999999959E-2</v>
      </c>
      <c r="G18">
        <v>-4.8038379999998382E-2</v>
      </c>
      <c r="H18">
        <v>-6.5679769999998916E-2</v>
      </c>
      <c r="I18">
        <v>-8.3592529999998444E-2</v>
      </c>
      <c r="J18">
        <v>-0.1003292299999986</v>
      </c>
      <c r="K18">
        <v>-0.11541371000000078</v>
      </c>
      <c r="L18">
        <v>-0.12927664999999866</v>
      </c>
      <c r="M18">
        <v>-0.14300297000000017</v>
      </c>
      <c r="N18">
        <v>-0.15803775999999881</v>
      </c>
      <c r="O18">
        <v>-0.17592809000000209</v>
      </c>
      <c r="P18">
        <v>-0.1981331599999997</v>
      </c>
      <c r="Q18">
        <v>-0.22590734000000057</v>
      </c>
      <c r="R18">
        <v>-0.25902955000000061</v>
      </c>
      <c r="S18">
        <v>-0.29556917000000127</v>
      </c>
      <c r="T18">
        <v>-0.33341608999999939</v>
      </c>
      <c r="U18">
        <v>-0.37085292999999853</v>
      </c>
      <c r="V18">
        <v>-0.40672053999999958</v>
      </c>
      <c r="W18">
        <v>-0.4403887199999984</v>
      </c>
      <c r="X18">
        <v>-0.47164000000000095</v>
      </c>
      <c r="Y18">
        <v>-0.50053154000000155</v>
      </c>
      <c r="Z18">
        <v>-0.5272716599999977</v>
      </c>
      <c r="AA18">
        <v>-0.55212634000000038</v>
      </c>
      <c r="AB18">
        <v>-0.57535733999999894</v>
      </c>
      <c r="AC18">
        <v>-0.59718773999999919</v>
      </c>
      <c r="AD18">
        <v>-0.61778763000000236</v>
      </c>
      <c r="AE18">
        <v>-0.6372735200000007</v>
      </c>
      <c r="AF18">
        <v>-0.65571570000000079</v>
      </c>
      <c r="AG18">
        <v>-0.67314919999999778</v>
      </c>
      <c r="AH18">
        <v>-0.68958574000000106</v>
      </c>
      <c r="AI18">
        <v>-0.70502446999999857</v>
      </c>
      <c r="AJ18">
        <v>-0.71946084999999771</v>
      </c>
      <c r="AK18">
        <v>-0.73289311999999995</v>
      </c>
    </row>
    <row r="19" spans="1:37" x14ac:dyDescent="0.25">
      <c r="A19" t="s">
        <v>129</v>
      </c>
      <c r="B19">
        <v>0</v>
      </c>
      <c r="C19">
        <v>6.5387899999999957E-3</v>
      </c>
      <c r="D19">
        <v>1.5627129999999829E-2</v>
      </c>
      <c r="E19">
        <v>2.6593549999999987E-2</v>
      </c>
      <c r="F19">
        <v>4.019623999999989E-2</v>
      </c>
      <c r="G19">
        <v>5.7704959999999896E-2</v>
      </c>
      <c r="H19">
        <v>7.7560869999999948E-2</v>
      </c>
      <c r="I19">
        <v>9.7017180000000092E-2</v>
      </c>
      <c r="J19">
        <v>0.11577688999999999</v>
      </c>
      <c r="K19">
        <v>0.1344808500000001</v>
      </c>
      <c r="L19">
        <v>0.15406328000000002</v>
      </c>
      <c r="M19">
        <v>0.17553528000000002</v>
      </c>
      <c r="N19">
        <v>0.19992763</v>
      </c>
      <c r="O19">
        <v>0.22827308000000004</v>
      </c>
      <c r="P19">
        <v>0.26158842999999993</v>
      </c>
      <c r="Q19">
        <v>0.30085051800000007</v>
      </c>
      <c r="R19">
        <v>0.34482179399999996</v>
      </c>
      <c r="S19">
        <v>0.3910156580000001</v>
      </c>
      <c r="T19">
        <v>0.43843659600000007</v>
      </c>
      <c r="U19">
        <v>0.48664226999999993</v>
      </c>
      <c r="V19">
        <v>0.53534705900000001</v>
      </c>
      <c r="W19">
        <v>0.58429876300000005</v>
      </c>
      <c r="X19">
        <v>0.63325968899999996</v>
      </c>
      <c r="Y19">
        <v>0.68201603099999997</v>
      </c>
      <c r="Z19">
        <v>0.73038805200000001</v>
      </c>
      <c r="AA19">
        <v>0.77823450199999999</v>
      </c>
      <c r="AB19">
        <v>0.82545167699999999</v>
      </c>
      <c r="AC19">
        <v>0.87196914500000011</v>
      </c>
      <c r="AD19">
        <v>0.9177436149999999</v>
      </c>
      <c r="AE19">
        <v>0.96275240200000001</v>
      </c>
      <c r="AF19">
        <v>1.006987152</v>
      </c>
      <c r="AG19">
        <v>1.0504481643000001</v>
      </c>
      <c r="AH19">
        <v>1.0931398014</v>
      </c>
      <c r="AI19">
        <v>1.1350668248700002</v>
      </c>
      <c r="AJ19">
        <v>1.1762318341</v>
      </c>
      <c r="AK19">
        <v>1.2166336099999999</v>
      </c>
    </row>
    <row r="20" spans="1:37" x14ac:dyDescent="0.25">
      <c r="A20" t="s">
        <v>130</v>
      </c>
      <c r="B20">
        <v>0</v>
      </c>
      <c r="C20">
        <v>-6.1921999999943467E-5</v>
      </c>
      <c r="D20">
        <v>4.814832000000005E-3</v>
      </c>
      <c r="E20">
        <v>1.2596930000000062E-2</v>
      </c>
      <c r="F20">
        <v>2.2305480000000058E-2</v>
      </c>
      <c r="G20">
        <v>3.4082960000000016E-2</v>
      </c>
      <c r="H20">
        <v>4.8717009999999991E-2</v>
      </c>
      <c r="I20">
        <v>6.5151400000000054E-2</v>
      </c>
      <c r="J20">
        <v>8.122626000000005E-2</v>
      </c>
      <c r="K20">
        <v>9.6342760000000041E-2</v>
      </c>
      <c r="L20">
        <v>0.11100171999999989</v>
      </c>
      <c r="M20">
        <v>0.12627738999999999</v>
      </c>
      <c r="N20">
        <v>0.14343962000000002</v>
      </c>
      <c r="O20">
        <v>0.16372731399999993</v>
      </c>
      <c r="P20">
        <v>0.18823304900000004</v>
      </c>
      <c r="Q20">
        <v>0.21785925700000003</v>
      </c>
      <c r="R20">
        <v>0.25311527199999989</v>
      </c>
      <c r="S20">
        <v>0.29269831899999993</v>
      </c>
      <c r="T20">
        <v>0.33419094199999988</v>
      </c>
      <c r="U20">
        <v>0.37607814700000003</v>
      </c>
      <c r="V20">
        <v>0.41761501600000012</v>
      </c>
      <c r="W20">
        <v>0.45855980200000007</v>
      </c>
      <c r="X20">
        <v>0.49894471200000007</v>
      </c>
      <c r="Y20">
        <v>0.5389140790000001</v>
      </c>
      <c r="Z20">
        <v>0.57862221599999997</v>
      </c>
      <c r="AA20">
        <v>0.61817667199999993</v>
      </c>
      <c r="AB20">
        <v>0.65761354900000013</v>
      </c>
      <c r="AC20">
        <v>0.69689416299999996</v>
      </c>
      <c r="AD20">
        <v>0.73591467099999996</v>
      </c>
      <c r="AE20">
        <v>0.77452244999999997</v>
      </c>
      <c r="AF20">
        <v>0.81253462359999995</v>
      </c>
      <c r="AG20">
        <v>0.84975578289999998</v>
      </c>
      <c r="AH20">
        <v>0.88599303371000004</v>
      </c>
      <c r="AI20">
        <v>0.9210674578000001</v>
      </c>
      <c r="AJ20">
        <v>0.95482178870000012</v>
      </c>
      <c r="AK20">
        <v>0.98712456700000006</v>
      </c>
    </row>
    <row r="21" spans="1:37" x14ac:dyDescent="0.25">
      <c r="A21" t="s">
        <v>131</v>
      </c>
      <c r="B21">
        <v>0</v>
      </c>
      <c r="C21">
        <v>-2.4781200000001391E-2</v>
      </c>
      <c r="D21">
        <v>-5.6029579999994361E-2</v>
      </c>
      <c r="E21">
        <v>-0.10247763999999826</v>
      </c>
      <c r="F21">
        <v>-0.1702542900000048</v>
      </c>
      <c r="G21">
        <v>-0.26509135000000184</v>
      </c>
      <c r="H21">
        <v>-0.3830715900000059</v>
      </c>
      <c r="I21">
        <v>-0.51876303999999207</v>
      </c>
      <c r="J21">
        <v>-0.67357828999999869</v>
      </c>
      <c r="K21">
        <v>-0.84745628999999267</v>
      </c>
      <c r="L21">
        <v>-1.0411177599999988</v>
      </c>
      <c r="M21">
        <v>-1.2570876700000011</v>
      </c>
      <c r="N21">
        <v>-1.4998753600000025</v>
      </c>
      <c r="O21">
        <v>-1.7757328099999969</v>
      </c>
      <c r="P21">
        <v>-2.0922605900000057</v>
      </c>
      <c r="Q21">
        <v>-2.4580048500000062</v>
      </c>
      <c r="R21">
        <v>-2.8742685799999945</v>
      </c>
      <c r="S21">
        <v>-3.3388587500000066</v>
      </c>
      <c r="T21">
        <v>-3.8524406399999989</v>
      </c>
      <c r="U21">
        <v>-4.4130114699999945</v>
      </c>
      <c r="V21">
        <v>-5.0175449199999944</v>
      </c>
      <c r="W21">
        <v>-5.6629382400000043</v>
      </c>
      <c r="X21">
        <v>-6.3464114300000096</v>
      </c>
      <c r="Y21">
        <v>-7.0655892600000048</v>
      </c>
      <c r="Z21">
        <v>-7.818432629999994</v>
      </c>
      <c r="AA21">
        <v>-8.6031178099999934</v>
      </c>
      <c r="AB21">
        <v>-9.4179148699999988</v>
      </c>
      <c r="AC21">
        <v>-10.261088579999999</v>
      </c>
      <c r="AD21">
        <v>-11.13082971</v>
      </c>
      <c r="AE21">
        <v>-12.025216399999994</v>
      </c>
      <c r="AF21">
        <v>-12.942201370000006</v>
      </c>
      <c r="AG21">
        <v>-13.879619160000001</v>
      </c>
      <c r="AH21">
        <v>-14.835207519999994</v>
      </c>
      <c r="AI21">
        <v>-15.806637040000005</v>
      </c>
      <c r="AJ21">
        <v>-16.791544720000008</v>
      </c>
      <c r="AK21">
        <v>-17.787567559999996</v>
      </c>
    </row>
    <row r="22" spans="1:37" x14ac:dyDescent="0.25">
      <c r="A22" t="s">
        <v>132</v>
      </c>
      <c r="B22">
        <v>0</v>
      </c>
      <c r="C22">
        <v>-0.1212422627225096</v>
      </c>
      <c r="D22">
        <v>-0.31745265344894635</v>
      </c>
      <c r="E22">
        <v>-0.57356653760012311</v>
      </c>
      <c r="F22">
        <v>-0.89534443723829904</v>
      </c>
      <c r="G22">
        <v>-1.2994357164767045</v>
      </c>
      <c r="H22">
        <v>-1.7612059724864237</v>
      </c>
      <c r="I22">
        <v>-2.2324390846755526</v>
      </c>
      <c r="J22">
        <v>-2.6954211860647836</v>
      </c>
      <c r="K22">
        <v>-3.1513473496157629</v>
      </c>
      <c r="L22">
        <v>-3.6119939361743181</v>
      </c>
      <c r="M22">
        <v>-4.094415954684294</v>
      </c>
      <c r="N22">
        <v>-4.6174949122913418</v>
      </c>
      <c r="O22">
        <v>-5.1995490228767931</v>
      </c>
      <c r="P22">
        <v>-5.8566231188115658</v>
      </c>
      <c r="Q22">
        <v>-6.6014015570079465</v>
      </c>
      <c r="R22">
        <v>-7.4194710113869906</v>
      </c>
      <c r="S22">
        <v>-8.2777056500303985</v>
      </c>
      <c r="T22">
        <v>-9.1540120262801334</v>
      </c>
      <c r="U22">
        <v>-10.034458835737203</v>
      </c>
      <c r="V22">
        <v>-10.910528944058473</v>
      </c>
      <c r="W22">
        <v>-11.777204758282245</v>
      </c>
      <c r="X22">
        <v>-12.631733003522283</v>
      </c>
      <c r="Y22">
        <v>-13.472836398216092</v>
      </c>
      <c r="Z22">
        <v>-14.300206989976916</v>
      </c>
      <c r="AA22">
        <v>-15.114174645059887</v>
      </c>
      <c r="AB22">
        <v>-15.915485574569576</v>
      </c>
      <c r="AC22">
        <v>-16.705150764984911</v>
      </c>
      <c r="AD22">
        <v>-17.484338415407851</v>
      </c>
      <c r="AE22">
        <v>-18.254295059975366</v>
      </c>
      <c r="AF22">
        <v>-19.016284320756917</v>
      </c>
      <c r="AG22">
        <v>-19.771539191583564</v>
      </c>
      <c r="AH22">
        <v>-20.521220807955643</v>
      </c>
      <c r="AI22">
        <v>-21.266382982636365</v>
      </c>
      <c r="AJ22">
        <v>-22.007940450205908</v>
      </c>
      <c r="AK22">
        <v>-22.746640781263704</v>
      </c>
    </row>
    <row r="23" spans="1:37" x14ac:dyDescent="0.25">
      <c r="A23" t="s">
        <v>133</v>
      </c>
      <c r="B23">
        <v>0</v>
      </c>
      <c r="C23">
        <v>2.1929801292393551E-3</v>
      </c>
      <c r="D23">
        <v>7.5184546232559641E-3</v>
      </c>
      <c r="E23">
        <v>1.6082426605880946E-2</v>
      </c>
      <c r="F23">
        <v>2.7795420576632132E-2</v>
      </c>
      <c r="G23">
        <v>4.2970976653510254E-2</v>
      </c>
      <c r="H23">
        <v>6.1611112926349514E-2</v>
      </c>
      <c r="I23">
        <v>8.2784009888317148E-2</v>
      </c>
      <c r="J23">
        <v>0.10533604742285728</v>
      </c>
      <c r="K23">
        <v>0.12861588418264308</v>
      </c>
      <c r="L23">
        <v>0.15272544968730833</v>
      </c>
      <c r="M23">
        <v>0.17837011329577626</v>
      </c>
      <c r="N23">
        <v>0.2066003486214317</v>
      </c>
      <c r="O23">
        <v>0.23859338027939864</v>
      </c>
      <c r="P23">
        <v>0.27551308756454418</v>
      </c>
      <c r="Q23">
        <v>0.31843770756627204</v>
      </c>
      <c r="R23">
        <v>0.36765925482625389</v>
      </c>
      <c r="S23">
        <v>0.422266946577388</v>
      </c>
      <c r="T23">
        <v>0.48084151497358008</v>
      </c>
      <c r="U23">
        <v>0.54207887069117044</v>
      </c>
      <c r="V23">
        <v>0.60507626449336727</v>
      </c>
      <c r="W23">
        <v>0.66931450264481518</v>
      </c>
      <c r="X23">
        <v>0.73452829882734683</v>
      </c>
      <c r="Y23">
        <v>0.80057284992927424</v>
      </c>
      <c r="Z23">
        <v>0.86732603850979939</v>
      </c>
      <c r="AA23">
        <v>0.93463019624378585</v>
      </c>
      <c r="AB23">
        <v>1.0022654131686775</v>
      </c>
      <c r="AC23">
        <v>1.0699443439920739</v>
      </c>
      <c r="AD23">
        <v>1.1373208059818991</v>
      </c>
      <c r="AE23">
        <v>1.2040053514960891</v>
      </c>
      <c r="AF23">
        <v>1.2695831772577657</v>
      </c>
      <c r="AG23">
        <v>1.3336324167502562</v>
      </c>
      <c r="AH23">
        <v>1.3957395880125727</v>
      </c>
      <c r="AI23">
        <v>1.4555121056877469</v>
      </c>
      <c r="AJ23">
        <v>1.5125875871955801</v>
      </c>
      <c r="AK23">
        <v>1.5666395386702705</v>
      </c>
    </row>
    <row r="24" spans="1:37" x14ac:dyDescent="0.25">
      <c r="A24" t="s">
        <v>134</v>
      </c>
      <c r="B24">
        <v>0</v>
      </c>
      <c r="C24">
        <v>-9.9763864684440759E-4</v>
      </c>
      <c r="D24">
        <v>-2.462690351238916E-3</v>
      </c>
      <c r="E24">
        <v>-4.2537118431673158E-3</v>
      </c>
      <c r="F24">
        <v>-6.4880603463437153E-3</v>
      </c>
      <c r="G24">
        <v>-9.39750066284494E-3</v>
      </c>
      <c r="H24">
        <v>-1.2798618492635741E-2</v>
      </c>
      <c r="I24">
        <v>-1.6283173430287231E-2</v>
      </c>
      <c r="J24">
        <v>-1.9770476254849643E-2</v>
      </c>
      <c r="K24">
        <v>-2.3334814080219347E-2</v>
      </c>
      <c r="L24">
        <v>-2.709223314837261E-2</v>
      </c>
      <c r="M24">
        <v>-3.1158342958253107E-2</v>
      </c>
      <c r="N24">
        <v>-3.5648542828729861E-2</v>
      </c>
      <c r="O24">
        <v>-4.0691918324186324E-2</v>
      </c>
      <c r="P24">
        <v>-4.644257746437265E-2</v>
      </c>
      <c r="Q24">
        <v>-5.3082542528644465E-2</v>
      </c>
      <c r="R24">
        <v>-6.0521403437572591E-2</v>
      </c>
      <c r="S24">
        <v>-6.8495843217574431E-2</v>
      </c>
      <c r="T24">
        <v>-7.6931207019790351E-2</v>
      </c>
      <c r="U24">
        <v>-8.5824172437211521E-2</v>
      </c>
      <c r="V24">
        <v>-9.516352380878422E-2</v>
      </c>
      <c r="W24">
        <v>-0.10490085705417057</v>
      </c>
      <c r="X24">
        <v>-0.11495414160961029</v>
      </c>
      <c r="Y24">
        <v>-0.12522462561397507</v>
      </c>
      <c r="Z24">
        <v>-0.13561464815759339</v>
      </c>
      <c r="AA24">
        <v>-0.1460408968902312</v>
      </c>
      <c r="AB24">
        <v>-0.15644188361829028</v>
      </c>
      <c r="AC24">
        <v>-0.16678053866974724</v>
      </c>
      <c r="AD24">
        <v>-0.17704333043301432</v>
      </c>
      <c r="AE24">
        <v>-0.18723732920923136</v>
      </c>
      <c r="AF24">
        <v>-0.19738626947088458</v>
      </c>
      <c r="AG24">
        <v>-0.20752639330270237</v>
      </c>
      <c r="AH24">
        <v>-0.21770260073032716</v>
      </c>
      <c r="AI24">
        <v>-0.22796510530214692</v>
      </c>
      <c r="AJ24">
        <v>-0.23836680321383855</v>
      </c>
      <c r="AK24">
        <v>-0.24896131887889866</v>
      </c>
    </row>
    <row r="25" spans="1:37" x14ac:dyDescent="0.25">
      <c r="A25" t="s">
        <v>135</v>
      </c>
      <c r="B25">
        <v>0</v>
      </c>
      <c r="C25">
        <v>2.1687683099262615E-3</v>
      </c>
      <c r="D25">
        <v>4.0265624211144341E-3</v>
      </c>
      <c r="E25">
        <v>4.7914325929475097E-3</v>
      </c>
      <c r="F25">
        <v>4.4664594628584754E-3</v>
      </c>
      <c r="G25">
        <v>3.1807951710291975E-3</v>
      </c>
      <c r="H25">
        <v>-7.3934973113505697E-5</v>
      </c>
      <c r="I25">
        <v>-6.4049606547935288E-3</v>
      </c>
      <c r="J25">
        <v>-1.5550476883721626E-2</v>
      </c>
      <c r="K25">
        <v>-2.6836641379988889E-2</v>
      </c>
      <c r="L25">
        <v>-3.9670208796402769E-2</v>
      </c>
      <c r="M25">
        <v>-5.3693895298208796E-2</v>
      </c>
      <c r="N25">
        <v>-6.8799803706163162E-2</v>
      </c>
      <c r="O25">
        <v>-8.5102599029611009E-2</v>
      </c>
      <c r="P25">
        <v>-0.10291054797933855</v>
      </c>
      <c r="Q25">
        <v>-0.12270277248028133</v>
      </c>
      <c r="R25">
        <v>-0.14578785975824202</v>
      </c>
      <c r="S25">
        <v>-0.17352223980913228</v>
      </c>
      <c r="T25">
        <v>-0.20614789749233189</v>
      </c>
      <c r="U25">
        <v>-0.2434364972575899</v>
      </c>
      <c r="V25">
        <v>-0.28503111511704249</v>
      </c>
      <c r="W25">
        <v>-0.33056725651768409</v>
      </c>
      <c r="X25">
        <v>-0.37969609261439285</v>
      </c>
      <c r="Y25">
        <v>-0.4320753005105552</v>
      </c>
      <c r="Z25">
        <v>-0.48735534654494833</v>
      </c>
      <c r="AA25">
        <v>-0.54517012206335902</v>
      </c>
      <c r="AB25">
        <v>-0.60513344321984563</v>
      </c>
      <c r="AC25">
        <v>-0.66684024693399435</v>
      </c>
      <c r="AD25">
        <v>-0.72987085788497541</v>
      </c>
      <c r="AE25">
        <v>-0.79379690823635118</v>
      </c>
      <c r="AF25">
        <v>-0.85818789360515157</v>
      </c>
      <c r="AG25">
        <v>-0.92261744959165826</v>
      </c>
      <c r="AH25">
        <v>-0.98666908570501266</v>
      </c>
      <c r="AI25">
        <v>-1.049940901887737</v>
      </c>
      <c r="AJ25">
        <v>-1.112049392579292</v>
      </c>
      <c r="AK25">
        <v>-1.1726322991952836</v>
      </c>
    </row>
    <row r="26" spans="1:37" x14ac:dyDescent="0.25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/>
  </sheetViews>
  <sheetFormatPr baseColWidth="10" defaultColWidth="9.140625" defaultRowHeight="15" x14ac:dyDescent="0.25"/>
  <cols>
    <col min="1" max="1" width="17.42578125" bestFit="1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137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138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139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140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141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142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143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144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145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146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147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148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149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150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151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152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153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154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155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156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Results</vt:lpstr>
      <vt:lpstr>Hybrid</vt:lpstr>
      <vt:lpstr>Tab-macro</vt:lpstr>
      <vt:lpstr>Tab-baseline</vt:lpstr>
      <vt:lpstr>Macro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2021-07-02T15:51:46Z</dcterms:modified>
</cp:coreProperties>
</file>