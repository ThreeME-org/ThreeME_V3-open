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8405" yWindow="-16320" windowWidth="29040" windowHeight="15840"/>
  </bookViews>
  <sheets>
    <sheet name="Results" sheetId="28" r:id="rId1"/>
    <sheet name="Primary" sheetId="33" r:id="rId2"/>
    <sheet name="Energy_Mix" sheetId="32" r:id="rId3"/>
    <sheet name="Transports" sheetId="31" r:id="rId4"/>
    <sheet name="Hybrid" sheetId="27" r:id="rId5"/>
    <sheet name="Tab-macro" sheetId="7" state="hidden" r:id="rId6"/>
    <sheet name="Tab-baseline" sheetId="12" state="hidden" r:id="rId7"/>
    <sheet name="Macro" sheetId="8" r:id="rId8"/>
    <sheet name="Baseline" sheetId="26" r:id="rId9"/>
    <sheet name="produits-secteurs V2-V3" sheetId="29" r:id="rId10"/>
    <sheet name="Sect&amp;Com_V3" sheetId="30" r:id="rId11"/>
  </sheets>
  <externalReferences>
    <externalReference r:id="rId12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6" i="28" l="1"/>
  <c r="H206" i="28"/>
  <c r="I206" i="28"/>
  <c r="J206" i="28"/>
  <c r="K206" i="28"/>
  <c r="L206" i="28"/>
  <c r="M206" i="28"/>
  <c r="N206" i="28"/>
  <c r="O206" i="28"/>
  <c r="P206" i="28"/>
  <c r="Q206" i="28"/>
  <c r="R206" i="28"/>
  <c r="S206" i="28"/>
  <c r="T206" i="28"/>
  <c r="U206" i="28"/>
  <c r="V206" i="28"/>
  <c r="W206" i="28"/>
  <c r="X206" i="28"/>
  <c r="Y206" i="28"/>
  <c r="Z206" i="28"/>
  <c r="AA206" i="28"/>
  <c r="AB206" i="28"/>
  <c r="AC206" i="28"/>
  <c r="AD206" i="28"/>
  <c r="AE206" i="28"/>
  <c r="AF206" i="28"/>
  <c r="AG206" i="28"/>
  <c r="AH206" i="28"/>
  <c r="AI206" i="28"/>
  <c r="AJ206" i="28"/>
  <c r="AK206" i="28"/>
  <c r="AL206" i="28"/>
  <c r="AM206" i="28"/>
  <c r="AN206" i="28"/>
  <c r="AO206" i="28"/>
  <c r="G207" i="28"/>
  <c r="H207" i="28"/>
  <c r="I207" i="28"/>
  <c r="J207" i="28"/>
  <c r="K207" i="28"/>
  <c r="L207" i="28"/>
  <c r="M207" i="28"/>
  <c r="N207" i="28"/>
  <c r="O207" i="28"/>
  <c r="P207" i="28"/>
  <c r="Q207" i="28"/>
  <c r="R207" i="28"/>
  <c r="S207" i="28"/>
  <c r="T207" i="28"/>
  <c r="U207" i="28"/>
  <c r="V207" i="28"/>
  <c r="W207" i="28"/>
  <c r="X207" i="28"/>
  <c r="Y207" i="28"/>
  <c r="Z207" i="28"/>
  <c r="AA207" i="28"/>
  <c r="AB207" i="28"/>
  <c r="AC207" i="28"/>
  <c r="AD207" i="28"/>
  <c r="AE207" i="28"/>
  <c r="AF207" i="28"/>
  <c r="AG207" i="28"/>
  <c r="AH207" i="28"/>
  <c r="AI207" i="28"/>
  <c r="AJ207" i="28"/>
  <c r="AK207" i="28"/>
  <c r="AL207" i="28"/>
  <c r="AM207" i="28"/>
  <c r="AN207" i="28"/>
  <c r="AO207" i="28"/>
  <c r="G208" i="28"/>
  <c r="H208" i="28"/>
  <c r="I208" i="28"/>
  <c r="J208" i="28"/>
  <c r="K208" i="28"/>
  <c r="L208" i="28"/>
  <c r="M208" i="28"/>
  <c r="N208" i="28"/>
  <c r="O208" i="28"/>
  <c r="P208" i="28"/>
  <c r="Q208" i="28"/>
  <c r="R208" i="28"/>
  <c r="S208" i="28"/>
  <c r="T208" i="28"/>
  <c r="U208" i="28"/>
  <c r="V208" i="28"/>
  <c r="W208" i="28"/>
  <c r="X208" i="28"/>
  <c r="Y208" i="28"/>
  <c r="Z208" i="28"/>
  <c r="AA208" i="28"/>
  <c r="AB208" i="28"/>
  <c r="AC208" i="28"/>
  <c r="AD208" i="28"/>
  <c r="AE208" i="28"/>
  <c r="AF208" i="28"/>
  <c r="AG208" i="28"/>
  <c r="AH208" i="28"/>
  <c r="AI208" i="28"/>
  <c r="AJ208" i="28"/>
  <c r="AK208" i="28"/>
  <c r="AL208" i="28"/>
  <c r="AM208" i="28"/>
  <c r="AN208" i="28"/>
  <c r="AO208" i="28"/>
  <c r="G209" i="28"/>
  <c r="H209" i="28"/>
  <c r="I209" i="28"/>
  <c r="J209" i="28"/>
  <c r="K209" i="28"/>
  <c r="L209" i="28"/>
  <c r="M209" i="28"/>
  <c r="N209" i="28"/>
  <c r="O209" i="28"/>
  <c r="P209" i="28"/>
  <c r="Q209" i="28"/>
  <c r="R209" i="28"/>
  <c r="S209" i="28"/>
  <c r="T209" i="28"/>
  <c r="U209" i="28"/>
  <c r="V209" i="28"/>
  <c r="W209" i="28"/>
  <c r="X209" i="28"/>
  <c r="Y209" i="28"/>
  <c r="Z209" i="28"/>
  <c r="AA209" i="28"/>
  <c r="AB209" i="28"/>
  <c r="AC209" i="28"/>
  <c r="AD209" i="28"/>
  <c r="AE209" i="28"/>
  <c r="AF209" i="28"/>
  <c r="AG209" i="28"/>
  <c r="AH209" i="28"/>
  <c r="AI209" i="28"/>
  <c r="AJ209" i="28"/>
  <c r="AK209" i="28"/>
  <c r="AL209" i="28"/>
  <c r="AM209" i="28"/>
  <c r="AN209" i="28"/>
  <c r="AO209" i="28"/>
  <c r="G210" i="28"/>
  <c r="H210" i="28"/>
  <c r="I210" i="28"/>
  <c r="J210" i="28"/>
  <c r="K210" i="28"/>
  <c r="L210" i="28"/>
  <c r="M210" i="28"/>
  <c r="N210" i="28"/>
  <c r="O210" i="28"/>
  <c r="P210" i="28"/>
  <c r="Q210" i="28"/>
  <c r="R210" i="28"/>
  <c r="S210" i="28"/>
  <c r="T210" i="28"/>
  <c r="U210" i="28"/>
  <c r="V210" i="28"/>
  <c r="W210" i="28"/>
  <c r="X210" i="28"/>
  <c r="Y210" i="28"/>
  <c r="Z210" i="28"/>
  <c r="AA210" i="28"/>
  <c r="AB210" i="28"/>
  <c r="AC210" i="28"/>
  <c r="AD210" i="28"/>
  <c r="AE210" i="28"/>
  <c r="AF210" i="28"/>
  <c r="AG210" i="28"/>
  <c r="AH210" i="28"/>
  <c r="AI210" i="28"/>
  <c r="AJ210" i="28"/>
  <c r="AK210" i="28"/>
  <c r="AL210" i="28"/>
  <c r="AM210" i="28"/>
  <c r="AN210" i="28"/>
  <c r="AO210" i="28"/>
  <c r="G211" i="28"/>
  <c r="H211" i="28"/>
  <c r="I211" i="28"/>
  <c r="J211" i="28"/>
  <c r="K211" i="28"/>
  <c r="L211" i="28"/>
  <c r="M211" i="28"/>
  <c r="N211" i="28"/>
  <c r="O211" i="28"/>
  <c r="P211" i="28"/>
  <c r="Q211" i="28"/>
  <c r="R211" i="28"/>
  <c r="S211" i="28"/>
  <c r="T211" i="28"/>
  <c r="U211" i="28"/>
  <c r="V211" i="28"/>
  <c r="W211" i="28"/>
  <c r="X211" i="28"/>
  <c r="Y211" i="28"/>
  <c r="Z211" i="28"/>
  <c r="AA211" i="28"/>
  <c r="AB211" i="28"/>
  <c r="AC211" i="28"/>
  <c r="AD211" i="28"/>
  <c r="AE211" i="28"/>
  <c r="AF211" i="28"/>
  <c r="AG211" i="28"/>
  <c r="AH211" i="28"/>
  <c r="AI211" i="28"/>
  <c r="AJ211" i="28"/>
  <c r="AK211" i="28"/>
  <c r="AL211" i="28"/>
  <c r="AM211" i="28"/>
  <c r="AN211" i="28"/>
  <c r="AO211" i="28"/>
  <c r="G212" i="28"/>
  <c r="H212" i="28"/>
  <c r="I212" i="28"/>
  <c r="J212" i="28"/>
  <c r="K212" i="28"/>
  <c r="L212" i="28"/>
  <c r="M212" i="28"/>
  <c r="N212" i="28"/>
  <c r="O212" i="28"/>
  <c r="P212" i="28"/>
  <c r="Q212" i="28"/>
  <c r="R212" i="28"/>
  <c r="S212" i="28"/>
  <c r="T212" i="28"/>
  <c r="U212" i="28"/>
  <c r="V212" i="28"/>
  <c r="W212" i="28"/>
  <c r="X212" i="28"/>
  <c r="Y212" i="28"/>
  <c r="Z212" i="28"/>
  <c r="AA212" i="28"/>
  <c r="AB212" i="28"/>
  <c r="AC212" i="28"/>
  <c r="AD212" i="28"/>
  <c r="AE212" i="28"/>
  <c r="AF212" i="28"/>
  <c r="AG212" i="28"/>
  <c r="AH212" i="28"/>
  <c r="AI212" i="28"/>
  <c r="AJ212" i="28"/>
  <c r="AK212" i="28"/>
  <c r="AL212" i="28"/>
  <c r="AM212" i="28"/>
  <c r="AN212" i="28"/>
  <c r="AO212" i="28"/>
  <c r="G213" i="28"/>
  <c r="H213" i="28"/>
  <c r="I213" i="28"/>
  <c r="J213" i="28"/>
  <c r="K213" i="28"/>
  <c r="L213" i="28"/>
  <c r="M213" i="28"/>
  <c r="N213" i="28"/>
  <c r="O213" i="28"/>
  <c r="P213" i="28"/>
  <c r="Q213" i="28"/>
  <c r="R213" i="28"/>
  <c r="S213" i="28"/>
  <c r="T213" i="28"/>
  <c r="U213" i="28"/>
  <c r="V213" i="28"/>
  <c r="W213" i="28"/>
  <c r="X213" i="28"/>
  <c r="Y213" i="28"/>
  <c r="Z213" i="28"/>
  <c r="AA213" i="28"/>
  <c r="AB213" i="28"/>
  <c r="AC213" i="28"/>
  <c r="AD213" i="28"/>
  <c r="AE213" i="28"/>
  <c r="AF213" i="28"/>
  <c r="AG213" i="28"/>
  <c r="AH213" i="28"/>
  <c r="AI213" i="28"/>
  <c r="AJ213" i="28"/>
  <c r="AK213" i="28"/>
  <c r="AL213" i="28"/>
  <c r="AM213" i="28"/>
  <c r="AN213" i="28"/>
  <c r="AO213" i="28"/>
  <c r="G214" i="28"/>
  <c r="H214" i="28"/>
  <c r="I214" i="28"/>
  <c r="J214" i="28"/>
  <c r="K214" i="28"/>
  <c r="L214" i="28"/>
  <c r="M214" i="28"/>
  <c r="N214" i="28"/>
  <c r="O214" i="28"/>
  <c r="P214" i="28"/>
  <c r="Q214" i="28"/>
  <c r="R214" i="28"/>
  <c r="S214" i="28"/>
  <c r="T214" i="28"/>
  <c r="U214" i="28"/>
  <c r="V214" i="28"/>
  <c r="W214" i="28"/>
  <c r="X214" i="28"/>
  <c r="Y214" i="28"/>
  <c r="Z214" i="28"/>
  <c r="AA214" i="28"/>
  <c r="AB214" i="28"/>
  <c r="AC214" i="28"/>
  <c r="AD214" i="28"/>
  <c r="AE214" i="28"/>
  <c r="AF214" i="28"/>
  <c r="AG214" i="28"/>
  <c r="AH214" i="28"/>
  <c r="AI214" i="28"/>
  <c r="AJ214" i="28"/>
  <c r="AK214" i="28"/>
  <c r="AL214" i="28"/>
  <c r="AM214" i="28"/>
  <c r="AN214" i="28"/>
  <c r="AO214" i="28"/>
  <c r="G215" i="28"/>
  <c r="H215" i="28"/>
  <c r="I215" i="28"/>
  <c r="J215" i="28"/>
  <c r="K215" i="28"/>
  <c r="L215" i="28"/>
  <c r="M215" i="28"/>
  <c r="N215" i="28"/>
  <c r="O215" i="28"/>
  <c r="P215" i="28"/>
  <c r="Q215" i="28"/>
  <c r="R215" i="28"/>
  <c r="S215" i="28"/>
  <c r="T215" i="28"/>
  <c r="U215" i="28"/>
  <c r="V215" i="28"/>
  <c r="W215" i="28"/>
  <c r="X215" i="28"/>
  <c r="Y215" i="28"/>
  <c r="Z215" i="28"/>
  <c r="AA215" i="28"/>
  <c r="AB215" i="28"/>
  <c r="AC215" i="28"/>
  <c r="AD215" i="28"/>
  <c r="AE215" i="28"/>
  <c r="AF215" i="28"/>
  <c r="AG215" i="28"/>
  <c r="AH215" i="28"/>
  <c r="AI215" i="28"/>
  <c r="AJ215" i="28"/>
  <c r="AK215" i="28"/>
  <c r="AL215" i="28"/>
  <c r="AM215" i="28"/>
  <c r="AN215" i="28"/>
  <c r="AO215" i="28"/>
  <c r="G216" i="28"/>
  <c r="H216" i="28"/>
  <c r="I216" i="28"/>
  <c r="J216" i="28"/>
  <c r="K216" i="28"/>
  <c r="L216" i="28"/>
  <c r="M216" i="28"/>
  <c r="N216" i="28"/>
  <c r="O216" i="28"/>
  <c r="P216" i="28"/>
  <c r="Q216" i="28"/>
  <c r="R216" i="28"/>
  <c r="S216" i="28"/>
  <c r="T216" i="28"/>
  <c r="U216" i="28"/>
  <c r="V216" i="28"/>
  <c r="W216" i="28"/>
  <c r="X216" i="28"/>
  <c r="Y216" i="28"/>
  <c r="Z216" i="28"/>
  <c r="AA216" i="28"/>
  <c r="AB216" i="28"/>
  <c r="AC216" i="28"/>
  <c r="AD216" i="28"/>
  <c r="AE216" i="28"/>
  <c r="AF216" i="28"/>
  <c r="AG216" i="28"/>
  <c r="AH216" i="28"/>
  <c r="AI216" i="28"/>
  <c r="AJ216" i="28"/>
  <c r="AK216" i="28"/>
  <c r="AL216" i="28"/>
  <c r="AM216" i="28"/>
  <c r="AN216" i="28"/>
  <c r="AO216" i="28"/>
  <c r="G217" i="28"/>
  <c r="H217" i="28"/>
  <c r="I217" i="28"/>
  <c r="J217" i="28"/>
  <c r="K217" i="28"/>
  <c r="L217" i="28"/>
  <c r="M217" i="28"/>
  <c r="N217" i="28"/>
  <c r="O217" i="28"/>
  <c r="P217" i="28"/>
  <c r="Q217" i="28"/>
  <c r="R217" i="28"/>
  <c r="S217" i="28"/>
  <c r="T217" i="28"/>
  <c r="U217" i="28"/>
  <c r="V217" i="28"/>
  <c r="W217" i="28"/>
  <c r="X217" i="28"/>
  <c r="Y217" i="28"/>
  <c r="Z217" i="28"/>
  <c r="AA217" i="28"/>
  <c r="AB217" i="28"/>
  <c r="AC217" i="28"/>
  <c r="AD217" i="28"/>
  <c r="AE217" i="28"/>
  <c r="AF217" i="28"/>
  <c r="AG217" i="28"/>
  <c r="AH217" i="28"/>
  <c r="AI217" i="28"/>
  <c r="AJ217" i="28"/>
  <c r="AK217" i="28"/>
  <c r="AL217" i="28"/>
  <c r="AM217" i="28"/>
  <c r="AN217" i="28"/>
  <c r="AO217" i="28"/>
  <c r="G218" i="28"/>
  <c r="H218" i="28"/>
  <c r="I218" i="28"/>
  <c r="J218" i="28"/>
  <c r="K218" i="28"/>
  <c r="L218" i="28"/>
  <c r="M218" i="28"/>
  <c r="N218" i="28"/>
  <c r="O218" i="28"/>
  <c r="P218" i="28"/>
  <c r="Q218" i="28"/>
  <c r="R218" i="28"/>
  <c r="S218" i="28"/>
  <c r="T218" i="28"/>
  <c r="U218" i="28"/>
  <c r="V218" i="28"/>
  <c r="W218" i="28"/>
  <c r="X218" i="28"/>
  <c r="Y218" i="28"/>
  <c r="Z218" i="28"/>
  <c r="AA218" i="28"/>
  <c r="AB218" i="28"/>
  <c r="AC218" i="28"/>
  <c r="AD218" i="28"/>
  <c r="AE218" i="28"/>
  <c r="AF218" i="28"/>
  <c r="AG218" i="28"/>
  <c r="AH218" i="28"/>
  <c r="AI218" i="28"/>
  <c r="AJ218" i="28"/>
  <c r="AK218" i="28"/>
  <c r="AL218" i="28"/>
  <c r="AM218" i="28"/>
  <c r="AN218" i="28"/>
  <c r="AO218" i="28"/>
  <c r="G219" i="28"/>
  <c r="H219" i="28"/>
  <c r="I219" i="28"/>
  <c r="J219" i="28"/>
  <c r="K219" i="28"/>
  <c r="L219" i="28"/>
  <c r="M219" i="28"/>
  <c r="N219" i="28"/>
  <c r="O219" i="28"/>
  <c r="P219" i="28"/>
  <c r="Q219" i="28"/>
  <c r="R219" i="28"/>
  <c r="S219" i="28"/>
  <c r="T219" i="28"/>
  <c r="U219" i="28"/>
  <c r="V219" i="28"/>
  <c r="W219" i="28"/>
  <c r="X219" i="28"/>
  <c r="Y219" i="28"/>
  <c r="Z219" i="28"/>
  <c r="AA219" i="28"/>
  <c r="AB219" i="28"/>
  <c r="AC219" i="28"/>
  <c r="AD219" i="28"/>
  <c r="AE219" i="28"/>
  <c r="AF219" i="28"/>
  <c r="AG219" i="28"/>
  <c r="AH219" i="28"/>
  <c r="AI219" i="28"/>
  <c r="AJ219" i="28"/>
  <c r="AK219" i="28"/>
  <c r="AL219" i="28"/>
  <c r="AM219" i="28"/>
  <c r="AN219" i="28"/>
  <c r="AO219" i="28"/>
  <c r="G220" i="28"/>
  <c r="H220" i="28"/>
  <c r="I220" i="28"/>
  <c r="J220" i="28"/>
  <c r="K220" i="28"/>
  <c r="L220" i="28"/>
  <c r="M220" i="28"/>
  <c r="N220" i="28"/>
  <c r="O220" i="28"/>
  <c r="P220" i="28"/>
  <c r="Q220" i="28"/>
  <c r="R220" i="28"/>
  <c r="S220" i="28"/>
  <c r="T220" i="28"/>
  <c r="U220" i="28"/>
  <c r="V220" i="28"/>
  <c r="W220" i="28"/>
  <c r="X220" i="28"/>
  <c r="Y220" i="28"/>
  <c r="Z220" i="28"/>
  <c r="AA220" i="28"/>
  <c r="AB220" i="28"/>
  <c r="AC220" i="28"/>
  <c r="AD220" i="28"/>
  <c r="AE220" i="28"/>
  <c r="AF220" i="28"/>
  <c r="AG220" i="28"/>
  <c r="AH220" i="28"/>
  <c r="AI220" i="28"/>
  <c r="AJ220" i="28"/>
  <c r="AK220" i="28"/>
  <c r="AL220" i="28"/>
  <c r="AM220" i="28"/>
  <c r="AN220" i="28"/>
  <c r="AO220" i="28"/>
  <c r="G221" i="28"/>
  <c r="H221" i="28"/>
  <c r="I221" i="28"/>
  <c r="J221" i="28"/>
  <c r="K221" i="28"/>
  <c r="L221" i="28"/>
  <c r="M221" i="28"/>
  <c r="N221" i="28"/>
  <c r="O221" i="28"/>
  <c r="P221" i="28"/>
  <c r="Q221" i="28"/>
  <c r="R221" i="28"/>
  <c r="S221" i="28"/>
  <c r="T221" i="28"/>
  <c r="U221" i="28"/>
  <c r="V221" i="28"/>
  <c r="W221" i="28"/>
  <c r="X221" i="28"/>
  <c r="Y221" i="28"/>
  <c r="Z221" i="28"/>
  <c r="AA221" i="28"/>
  <c r="AB221" i="28"/>
  <c r="AC221" i="28"/>
  <c r="AD221" i="28"/>
  <c r="AE221" i="28"/>
  <c r="AF221" i="28"/>
  <c r="AG221" i="28"/>
  <c r="AH221" i="28"/>
  <c r="AI221" i="28"/>
  <c r="AJ221" i="28"/>
  <c r="AK221" i="28"/>
  <c r="AL221" i="28"/>
  <c r="AM221" i="28"/>
  <c r="AN221" i="28"/>
  <c r="AO221" i="28"/>
  <c r="G222" i="28"/>
  <c r="H222" i="28"/>
  <c r="I222" i="28"/>
  <c r="J222" i="28"/>
  <c r="K222" i="28"/>
  <c r="L222" i="28"/>
  <c r="M222" i="28"/>
  <c r="N222" i="28"/>
  <c r="O222" i="28"/>
  <c r="P222" i="28"/>
  <c r="Q222" i="28"/>
  <c r="R222" i="28"/>
  <c r="S222" i="28"/>
  <c r="T222" i="28"/>
  <c r="U222" i="28"/>
  <c r="V222" i="28"/>
  <c r="W222" i="28"/>
  <c r="X222" i="28"/>
  <c r="Y222" i="28"/>
  <c r="Z222" i="28"/>
  <c r="AA222" i="28"/>
  <c r="AB222" i="28"/>
  <c r="AC222" i="28"/>
  <c r="AD222" i="28"/>
  <c r="AE222" i="28"/>
  <c r="AF222" i="28"/>
  <c r="AG222" i="28"/>
  <c r="AH222" i="28"/>
  <c r="AI222" i="28"/>
  <c r="AJ222" i="28"/>
  <c r="AK222" i="28"/>
  <c r="AL222" i="28"/>
  <c r="AM222" i="28"/>
  <c r="AN222" i="28"/>
  <c r="AO222" i="28"/>
  <c r="G223" i="28"/>
  <c r="H223" i="28"/>
  <c r="I223" i="28"/>
  <c r="J223" i="28"/>
  <c r="K223" i="28"/>
  <c r="L223" i="28"/>
  <c r="M223" i="28"/>
  <c r="N223" i="28"/>
  <c r="O223" i="28"/>
  <c r="P223" i="28"/>
  <c r="Q223" i="28"/>
  <c r="R223" i="28"/>
  <c r="S223" i="28"/>
  <c r="T223" i="28"/>
  <c r="U223" i="28"/>
  <c r="V223" i="28"/>
  <c r="W223" i="28"/>
  <c r="X223" i="28"/>
  <c r="Y223" i="28"/>
  <c r="Z223" i="28"/>
  <c r="AA223" i="28"/>
  <c r="AB223" i="28"/>
  <c r="AC223" i="28"/>
  <c r="AD223" i="28"/>
  <c r="AE223" i="28"/>
  <c r="AF223" i="28"/>
  <c r="AG223" i="28"/>
  <c r="AH223" i="28"/>
  <c r="AI223" i="28"/>
  <c r="AJ223" i="28"/>
  <c r="AK223" i="28"/>
  <c r="AL223" i="28"/>
  <c r="AM223" i="28"/>
  <c r="AN223" i="28"/>
  <c r="AO223" i="28"/>
  <c r="G224" i="28"/>
  <c r="H224" i="28"/>
  <c r="I224" i="28"/>
  <c r="J224" i="28"/>
  <c r="K224" i="28"/>
  <c r="L224" i="28"/>
  <c r="M224" i="28"/>
  <c r="N224" i="28"/>
  <c r="O224" i="28"/>
  <c r="P224" i="28"/>
  <c r="Q224" i="28"/>
  <c r="R224" i="28"/>
  <c r="S224" i="28"/>
  <c r="T224" i="28"/>
  <c r="U224" i="28"/>
  <c r="V224" i="28"/>
  <c r="W224" i="28"/>
  <c r="X224" i="28"/>
  <c r="Y224" i="28"/>
  <c r="Z224" i="28"/>
  <c r="AA224" i="28"/>
  <c r="AB224" i="28"/>
  <c r="AC224" i="28"/>
  <c r="AD224" i="28"/>
  <c r="AE224" i="28"/>
  <c r="AF224" i="28"/>
  <c r="AG224" i="28"/>
  <c r="AH224" i="28"/>
  <c r="AI224" i="28"/>
  <c r="AJ224" i="28"/>
  <c r="AK224" i="28"/>
  <c r="AL224" i="28"/>
  <c r="AM224" i="28"/>
  <c r="AN224" i="28"/>
  <c r="AO224" i="28"/>
  <c r="G225" i="28"/>
  <c r="H225" i="28"/>
  <c r="I225" i="28"/>
  <c r="J225" i="28"/>
  <c r="K225" i="28"/>
  <c r="L225" i="28"/>
  <c r="M225" i="28"/>
  <c r="N225" i="28"/>
  <c r="O225" i="28"/>
  <c r="P225" i="28"/>
  <c r="Q225" i="28"/>
  <c r="R225" i="28"/>
  <c r="S225" i="28"/>
  <c r="T225" i="28"/>
  <c r="U225" i="28"/>
  <c r="V225" i="28"/>
  <c r="W225" i="28"/>
  <c r="X225" i="28"/>
  <c r="Y225" i="28"/>
  <c r="Z225" i="28"/>
  <c r="AA225" i="28"/>
  <c r="AB225" i="28"/>
  <c r="AC225" i="28"/>
  <c r="AD225" i="28"/>
  <c r="AE225" i="28"/>
  <c r="AF225" i="28"/>
  <c r="AG225" i="28"/>
  <c r="AH225" i="28"/>
  <c r="AI225" i="28"/>
  <c r="AJ225" i="28"/>
  <c r="AK225" i="28"/>
  <c r="AL225" i="28"/>
  <c r="AM225" i="28"/>
  <c r="AN225" i="28"/>
  <c r="AO225" i="28"/>
  <c r="G226" i="28"/>
  <c r="H226" i="28"/>
  <c r="I226" i="28"/>
  <c r="J226" i="28"/>
  <c r="K226" i="28"/>
  <c r="L226" i="28"/>
  <c r="M226" i="28"/>
  <c r="N226" i="28"/>
  <c r="O226" i="28"/>
  <c r="P226" i="28"/>
  <c r="Q226" i="28"/>
  <c r="R226" i="28"/>
  <c r="S226" i="28"/>
  <c r="T226" i="28"/>
  <c r="U226" i="28"/>
  <c r="V226" i="28"/>
  <c r="W226" i="28"/>
  <c r="X226" i="28"/>
  <c r="Y226" i="28"/>
  <c r="Z226" i="28"/>
  <c r="AA226" i="28"/>
  <c r="AB226" i="28"/>
  <c r="AC226" i="28"/>
  <c r="AD226" i="28"/>
  <c r="AE226" i="28"/>
  <c r="AF226" i="28"/>
  <c r="AG226" i="28"/>
  <c r="AH226" i="28"/>
  <c r="AI226" i="28"/>
  <c r="AJ226" i="28"/>
  <c r="AK226" i="28"/>
  <c r="AL226" i="28"/>
  <c r="AM226" i="28"/>
  <c r="AN226" i="28"/>
  <c r="AO226" i="28"/>
  <c r="G227" i="28"/>
  <c r="H227" i="28"/>
  <c r="I227" i="28"/>
  <c r="J227" i="28"/>
  <c r="K227" i="28"/>
  <c r="L227" i="28"/>
  <c r="M227" i="28"/>
  <c r="N227" i="28"/>
  <c r="O227" i="28"/>
  <c r="P227" i="28"/>
  <c r="Q227" i="28"/>
  <c r="R227" i="28"/>
  <c r="S227" i="28"/>
  <c r="T227" i="28"/>
  <c r="U227" i="28"/>
  <c r="V227" i="28"/>
  <c r="W227" i="28"/>
  <c r="X227" i="28"/>
  <c r="Y227" i="28"/>
  <c r="Z227" i="28"/>
  <c r="AA227" i="28"/>
  <c r="AB227" i="28"/>
  <c r="AC227" i="28"/>
  <c r="AD227" i="28"/>
  <c r="AE227" i="28"/>
  <c r="AF227" i="28"/>
  <c r="AG227" i="28"/>
  <c r="AH227" i="28"/>
  <c r="AI227" i="28"/>
  <c r="AJ227" i="28"/>
  <c r="AK227" i="28"/>
  <c r="AL227" i="28"/>
  <c r="AM227" i="28"/>
  <c r="AN227" i="28"/>
  <c r="AO227" i="28"/>
  <c r="G228" i="28"/>
  <c r="H228" i="28"/>
  <c r="I228" i="28"/>
  <c r="J228" i="28"/>
  <c r="K228" i="28"/>
  <c r="L228" i="28"/>
  <c r="M228" i="28"/>
  <c r="N228" i="28"/>
  <c r="O228" i="28"/>
  <c r="P228" i="28"/>
  <c r="Q228" i="28"/>
  <c r="R228" i="28"/>
  <c r="S228" i="28"/>
  <c r="T228" i="28"/>
  <c r="U228" i="28"/>
  <c r="V228" i="28"/>
  <c r="W228" i="28"/>
  <c r="X228" i="28"/>
  <c r="Y228" i="28"/>
  <c r="Z228" i="28"/>
  <c r="AA228" i="28"/>
  <c r="AB228" i="28"/>
  <c r="AC228" i="28"/>
  <c r="AD228" i="28"/>
  <c r="AE228" i="28"/>
  <c r="AF228" i="28"/>
  <c r="AG228" i="28"/>
  <c r="AH228" i="28"/>
  <c r="AI228" i="28"/>
  <c r="AJ228" i="28"/>
  <c r="AK228" i="28"/>
  <c r="AL228" i="28"/>
  <c r="AM228" i="28"/>
  <c r="AN228" i="28"/>
  <c r="AO228" i="28"/>
  <c r="G229" i="28"/>
  <c r="H229" i="28"/>
  <c r="I229" i="28"/>
  <c r="J229" i="28"/>
  <c r="K229" i="28"/>
  <c r="L229" i="28"/>
  <c r="M229" i="28"/>
  <c r="N229" i="28"/>
  <c r="O229" i="28"/>
  <c r="P229" i="28"/>
  <c r="Q229" i="28"/>
  <c r="R229" i="28"/>
  <c r="S229" i="28"/>
  <c r="T229" i="28"/>
  <c r="U229" i="28"/>
  <c r="V229" i="28"/>
  <c r="W229" i="28"/>
  <c r="X229" i="28"/>
  <c r="Y229" i="28"/>
  <c r="Z229" i="28"/>
  <c r="AA229" i="28"/>
  <c r="AB229" i="28"/>
  <c r="AC229" i="28"/>
  <c r="AD229" i="28"/>
  <c r="AE229" i="28"/>
  <c r="AF229" i="28"/>
  <c r="AG229" i="28"/>
  <c r="AH229" i="28"/>
  <c r="AI229" i="28"/>
  <c r="AJ229" i="28"/>
  <c r="AK229" i="28"/>
  <c r="AL229" i="28"/>
  <c r="AM229" i="28"/>
  <c r="AN229" i="28"/>
  <c r="AO229" i="28"/>
  <c r="G230" i="28"/>
  <c r="H230" i="28"/>
  <c r="I230" i="28"/>
  <c r="J230" i="28"/>
  <c r="K230" i="28"/>
  <c r="L230" i="28"/>
  <c r="M230" i="28"/>
  <c r="N230" i="28"/>
  <c r="O230" i="28"/>
  <c r="P230" i="28"/>
  <c r="Q230" i="28"/>
  <c r="R230" i="28"/>
  <c r="S230" i="28"/>
  <c r="T230" i="28"/>
  <c r="U230" i="28"/>
  <c r="V230" i="28"/>
  <c r="W230" i="28"/>
  <c r="X230" i="28"/>
  <c r="Y230" i="28"/>
  <c r="Z230" i="28"/>
  <c r="AA230" i="28"/>
  <c r="AB230" i="28"/>
  <c r="AC230" i="28"/>
  <c r="AD230" i="28"/>
  <c r="AE230" i="28"/>
  <c r="AF230" i="28"/>
  <c r="AG230" i="28"/>
  <c r="AH230" i="28"/>
  <c r="AI230" i="28"/>
  <c r="AJ230" i="28"/>
  <c r="AK230" i="28"/>
  <c r="AL230" i="28"/>
  <c r="AM230" i="28"/>
  <c r="AN230" i="28"/>
  <c r="AO230" i="28"/>
  <c r="G231" i="28"/>
  <c r="H231" i="28"/>
  <c r="I231" i="28"/>
  <c r="J231" i="28"/>
  <c r="K231" i="28"/>
  <c r="L231" i="28"/>
  <c r="M231" i="28"/>
  <c r="N231" i="28"/>
  <c r="O231" i="28"/>
  <c r="P231" i="28"/>
  <c r="Q231" i="28"/>
  <c r="R231" i="28"/>
  <c r="S231" i="28"/>
  <c r="T231" i="28"/>
  <c r="U231" i="28"/>
  <c r="V231" i="28"/>
  <c r="W231" i="28"/>
  <c r="X231" i="28"/>
  <c r="Y231" i="28"/>
  <c r="Z231" i="28"/>
  <c r="AA231" i="28"/>
  <c r="AB231" i="28"/>
  <c r="AC231" i="28"/>
  <c r="AD231" i="28"/>
  <c r="AE231" i="28"/>
  <c r="AF231" i="28"/>
  <c r="AG231" i="28"/>
  <c r="AH231" i="28"/>
  <c r="AI231" i="28"/>
  <c r="AJ231" i="28"/>
  <c r="AK231" i="28"/>
  <c r="AL231" i="28"/>
  <c r="AM231" i="28"/>
  <c r="AN231" i="28"/>
  <c r="AO231" i="28"/>
  <c r="G232" i="28"/>
  <c r="H232" i="28"/>
  <c r="I232" i="28"/>
  <c r="J232" i="28"/>
  <c r="K232" i="28"/>
  <c r="L232" i="28"/>
  <c r="M232" i="28"/>
  <c r="N232" i="28"/>
  <c r="O232" i="28"/>
  <c r="P232" i="28"/>
  <c r="Q232" i="28"/>
  <c r="R232" i="28"/>
  <c r="S232" i="28"/>
  <c r="T232" i="28"/>
  <c r="U232" i="28"/>
  <c r="V232" i="28"/>
  <c r="W232" i="28"/>
  <c r="X232" i="28"/>
  <c r="Y232" i="28"/>
  <c r="Z232" i="28"/>
  <c r="AA232" i="28"/>
  <c r="AB232" i="28"/>
  <c r="AC232" i="28"/>
  <c r="AD232" i="28"/>
  <c r="AE232" i="28"/>
  <c r="AF232" i="28"/>
  <c r="AG232" i="28"/>
  <c r="AH232" i="28"/>
  <c r="AI232" i="28"/>
  <c r="AJ232" i="28"/>
  <c r="AK232" i="28"/>
  <c r="AL232" i="28"/>
  <c r="AM232" i="28"/>
  <c r="AN232" i="28"/>
  <c r="AO232" i="28"/>
  <c r="G233" i="28"/>
  <c r="H233" i="28"/>
  <c r="I233" i="28"/>
  <c r="J233" i="28"/>
  <c r="K233" i="28"/>
  <c r="L233" i="28"/>
  <c r="M233" i="28"/>
  <c r="N233" i="28"/>
  <c r="O233" i="28"/>
  <c r="P233" i="28"/>
  <c r="Q233" i="28"/>
  <c r="R233" i="28"/>
  <c r="S233" i="28"/>
  <c r="T233" i="28"/>
  <c r="U233" i="28"/>
  <c r="V233" i="28"/>
  <c r="W233" i="28"/>
  <c r="X233" i="28"/>
  <c r="Y233" i="28"/>
  <c r="Z233" i="28"/>
  <c r="AA233" i="28"/>
  <c r="AB233" i="28"/>
  <c r="AC233" i="28"/>
  <c r="AD233" i="28"/>
  <c r="AE233" i="28"/>
  <c r="AF233" i="28"/>
  <c r="AG233" i="28"/>
  <c r="AH233" i="28"/>
  <c r="AI233" i="28"/>
  <c r="AJ233" i="28"/>
  <c r="AK233" i="28"/>
  <c r="AL233" i="28"/>
  <c r="AM233" i="28"/>
  <c r="AN233" i="28"/>
  <c r="AO233" i="28"/>
  <c r="G234" i="28"/>
  <c r="H234" i="28"/>
  <c r="I234" i="28"/>
  <c r="J234" i="28"/>
  <c r="K234" i="28"/>
  <c r="L234" i="28"/>
  <c r="M234" i="28"/>
  <c r="N234" i="28"/>
  <c r="O234" i="28"/>
  <c r="P234" i="28"/>
  <c r="Q234" i="28"/>
  <c r="R234" i="28"/>
  <c r="S234" i="28"/>
  <c r="T234" i="28"/>
  <c r="U234" i="28"/>
  <c r="V234" i="28"/>
  <c r="W234" i="28"/>
  <c r="X234" i="28"/>
  <c r="Y234" i="28"/>
  <c r="Z234" i="28"/>
  <c r="AA234" i="28"/>
  <c r="AB234" i="28"/>
  <c r="AC234" i="28"/>
  <c r="AD234" i="28"/>
  <c r="AE234" i="28"/>
  <c r="AF234" i="28"/>
  <c r="AG234" i="28"/>
  <c r="AH234" i="28"/>
  <c r="AI234" i="28"/>
  <c r="AJ234" i="28"/>
  <c r="AK234" i="28"/>
  <c r="AL234" i="28"/>
  <c r="AM234" i="28"/>
  <c r="AN234" i="28"/>
  <c r="AO234" i="28"/>
  <c r="G235" i="28"/>
  <c r="H235" i="28"/>
  <c r="I235" i="28"/>
  <c r="J235" i="28"/>
  <c r="K235" i="28"/>
  <c r="L235" i="28"/>
  <c r="M235" i="28"/>
  <c r="N235" i="28"/>
  <c r="O235" i="28"/>
  <c r="P235" i="28"/>
  <c r="Q235" i="28"/>
  <c r="R235" i="28"/>
  <c r="S235" i="28"/>
  <c r="T235" i="28"/>
  <c r="U235" i="28"/>
  <c r="V235" i="28"/>
  <c r="W235" i="28"/>
  <c r="X235" i="28"/>
  <c r="Y235" i="28"/>
  <c r="Z235" i="28"/>
  <c r="AA235" i="28"/>
  <c r="AB235" i="28"/>
  <c r="AC235" i="28"/>
  <c r="AD235" i="28"/>
  <c r="AE235" i="28"/>
  <c r="AF235" i="28"/>
  <c r="AG235" i="28"/>
  <c r="AH235" i="28"/>
  <c r="AI235" i="28"/>
  <c r="AJ235" i="28"/>
  <c r="AK235" i="28"/>
  <c r="AL235" i="28"/>
  <c r="AM235" i="28"/>
  <c r="AN235" i="28"/>
  <c r="AO235" i="28"/>
  <c r="G236" i="28"/>
  <c r="H236" i="28"/>
  <c r="I236" i="28"/>
  <c r="J236" i="28"/>
  <c r="K236" i="28"/>
  <c r="L236" i="28"/>
  <c r="M236" i="28"/>
  <c r="N236" i="28"/>
  <c r="O236" i="28"/>
  <c r="P236" i="28"/>
  <c r="Q236" i="28"/>
  <c r="R236" i="28"/>
  <c r="S236" i="28"/>
  <c r="T236" i="28"/>
  <c r="U236" i="28"/>
  <c r="V236" i="28"/>
  <c r="W236" i="28"/>
  <c r="X236" i="28"/>
  <c r="Y236" i="28"/>
  <c r="Z236" i="28"/>
  <c r="AA236" i="28"/>
  <c r="AB236" i="28"/>
  <c r="AC236" i="28"/>
  <c r="AD236" i="28"/>
  <c r="AE236" i="28"/>
  <c r="AF236" i="28"/>
  <c r="AG236" i="28"/>
  <c r="AH236" i="28"/>
  <c r="AI236" i="28"/>
  <c r="AJ236" i="28"/>
  <c r="AK236" i="28"/>
  <c r="AL236" i="28"/>
  <c r="AM236" i="28"/>
  <c r="AN236" i="28"/>
  <c r="AO236" i="28"/>
  <c r="G237" i="28"/>
  <c r="H237" i="28"/>
  <c r="I237" i="28"/>
  <c r="J237" i="28"/>
  <c r="K237" i="28"/>
  <c r="L237" i="28"/>
  <c r="M237" i="28"/>
  <c r="N237" i="28"/>
  <c r="O237" i="28"/>
  <c r="P237" i="28"/>
  <c r="Q237" i="28"/>
  <c r="R237" i="28"/>
  <c r="S237" i="28"/>
  <c r="T237" i="28"/>
  <c r="U237" i="28"/>
  <c r="V237" i="28"/>
  <c r="W237" i="28"/>
  <c r="X237" i="28"/>
  <c r="Y237" i="28"/>
  <c r="Z237" i="28"/>
  <c r="AA237" i="28"/>
  <c r="AB237" i="28"/>
  <c r="AC237" i="28"/>
  <c r="AD237" i="28"/>
  <c r="AE237" i="28"/>
  <c r="AF237" i="28"/>
  <c r="AG237" i="28"/>
  <c r="AH237" i="28"/>
  <c r="AI237" i="28"/>
  <c r="AJ237" i="28"/>
  <c r="AK237" i="28"/>
  <c r="AL237" i="28"/>
  <c r="AM237" i="28"/>
  <c r="AN237" i="28"/>
  <c r="AO237" i="28"/>
  <c r="G238" i="28"/>
  <c r="H238" i="28"/>
  <c r="I238" i="28"/>
  <c r="J238" i="28"/>
  <c r="K238" i="28"/>
  <c r="L238" i="28"/>
  <c r="M238" i="28"/>
  <c r="N238" i="28"/>
  <c r="O238" i="28"/>
  <c r="P238" i="28"/>
  <c r="Q238" i="28"/>
  <c r="R238" i="28"/>
  <c r="S238" i="28"/>
  <c r="T238" i="28"/>
  <c r="U238" i="28"/>
  <c r="V238" i="28"/>
  <c r="W238" i="28"/>
  <c r="X238" i="28"/>
  <c r="Y238" i="28"/>
  <c r="Z238" i="28"/>
  <c r="AA238" i="28"/>
  <c r="AB238" i="28"/>
  <c r="AC238" i="28"/>
  <c r="AD238" i="28"/>
  <c r="AE238" i="28"/>
  <c r="AF238" i="28"/>
  <c r="AG238" i="28"/>
  <c r="AH238" i="28"/>
  <c r="AI238" i="28"/>
  <c r="AJ238" i="28"/>
  <c r="AK238" i="28"/>
  <c r="AL238" i="28"/>
  <c r="AM238" i="28"/>
  <c r="AN238" i="28"/>
  <c r="AO238" i="28"/>
  <c r="G239" i="28"/>
  <c r="H239" i="28"/>
  <c r="I239" i="28"/>
  <c r="J239" i="28"/>
  <c r="K239" i="28"/>
  <c r="L239" i="28"/>
  <c r="M239" i="28"/>
  <c r="N239" i="28"/>
  <c r="O239" i="28"/>
  <c r="P239" i="28"/>
  <c r="Q239" i="28"/>
  <c r="R239" i="28"/>
  <c r="S239" i="28"/>
  <c r="T239" i="28"/>
  <c r="U239" i="28"/>
  <c r="V239" i="28"/>
  <c r="W239" i="28"/>
  <c r="X239" i="28"/>
  <c r="Y239" i="28"/>
  <c r="Z239" i="28"/>
  <c r="AA239" i="28"/>
  <c r="AB239" i="28"/>
  <c r="AC239" i="28"/>
  <c r="AD239" i="28"/>
  <c r="AE239" i="28"/>
  <c r="AF239" i="28"/>
  <c r="AG239" i="28"/>
  <c r="AH239" i="28"/>
  <c r="AI239" i="28"/>
  <c r="AJ239" i="28"/>
  <c r="AK239" i="28"/>
  <c r="AL239" i="28"/>
  <c r="AM239" i="28"/>
  <c r="AN239" i="28"/>
  <c r="AO239" i="28"/>
  <c r="G240" i="28"/>
  <c r="H240" i="28"/>
  <c r="I240" i="28"/>
  <c r="J240" i="28"/>
  <c r="K240" i="28"/>
  <c r="L240" i="28"/>
  <c r="M240" i="28"/>
  <c r="N240" i="28"/>
  <c r="O240" i="28"/>
  <c r="P240" i="28"/>
  <c r="Q240" i="28"/>
  <c r="R240" i="28"/>
  <c r="S240" i="28"/>
  <c r="T240" i="28"/>
  <c r="U240" i="28"/>
  <c r="V240" i="28"/>
  <c r="W240" i="28"/>
  <c r="X240" i="28"/>
  <c r="Y240" i="28"/>
  <c r="Z240" i="28"/>
  <c r="AA240" i="28"/>
  <c r="AB240" i="28"/>
  <c r="AC240" i="28"/>
  <c r="AD240" i="28"/>
  <c r="AE240" i="28"/>
  <c r="AF240" i="28"/>
  <c r="AG240" i="28"/>
  <c r="AH240" i="28"/>
  <c r="AI240" i="28"/>
  <c r="AJ240" i="28"/>
  <c r="AK240" i="28"/>
  <c r="AL240" i="28"/>
  <c r="AM240" i="28"/>
  <c r="AN240" i="28"/>
  <c r="AO240" i="28"/>
  <c r="G241" i="28"/>
  <c r="H241" i="28"/>
  <c r="I241" i="28"/>
  <c r="J241" i="28"/>
  <c r="K241" i="28"/>
  <c r="L241" i="28"/>
  <c r="M241" i="28"/>
  <c r="N241" i="28"/>
  <c r="O241" i="28"/>
  <c r="P241" i="28"/>
  <c r="Q241" i="28"/>
  <c r="R241" i="28"/>
  <c r="S241" i="28"/>
  <c r="T241" i="28"/>
  <c r="U241" i="28"/>
  <c r="V241" i="28"/>
  <c r="W241" i="28"/>
  <c r="X241" i="28"/>
  <c r="Y241" i="28"/>
  <c r="Z241" i="28"/>
  <c r="AA241" i="28"/>
  <c r="AB241" i="28"/>
  <c r="AC241" i="28"/>
  <c r="AD241" i="28"/>
  <c r="AE241" i="28"/>
  <c r="AF241" i="28"/>
  <c r="AG241" i="28"/>
  <c r="AH241" i="28"/>
  <c r="AI241" i="28"/>
  <c r="AJ241" i="28"/>
  <c r="AK241" i="28"/>
  <c r="AL241" i="28"/>
  <c r="AM241" i="28"/>
  <c r="AN241" i="28"/>
  <c r="AO241" i="28"/>
  <c r="G242" i="28"/>
  <c r="H242" i="28"/>
  <c r="I242" i="28"/>
  <c r="J242" i="28"/>
  <c r="K242" i="28"/>
  <c r="L242" i="28"/>
  <c r="M242" i="28"/>
  <c r="N242" i="28"/>
  <c r="O242" i="28"/>
  <c r="P242" i="28"/>
  <c r="Q242" i="28"/>
  <c r="R242" i="28"/>
  <c r="S242" i="28"/>
  <c r="T242" i="28"/>
  <c r="U242" i="28"/>
  <c r="V242" i="28"/>
  <c r="W242" i="28"/>
  <c r="X242" i="28"/>
  <c r="Y242" i="28"/>
  <c r="Z242" i="28"/>
  <c r="AA242" i="28"/>
  <c r="AB242" i="28"/>
  <c r="AC242" i="28"/>
  <c r="AD242" i="28"/>
  <c r="AE242" i="28"/>
  <c r="AF242" i="28"/>
  <c r="AG242" i="28"/>
  <c r="AH242" i="28"/>
  <c r="AI242" i="28"/>
  <c r="AJ242" i="28"/>
  <c r="AK242" i="28"/>
  <c r="AL242" i="28"/>
  <c r="AM242" i="28"/>
  <c r="AN242" i="28"/>
  <c r="AO242" i="28"/>
  <c r="G243" i="28"/>
  <c r="H243" i="28"/>
  <c r="I243" i="28"/>
  <c r="J243" i="28"/>
  <c r="K243" i="28"/>
  <c r="L243" i="28"/>
  <c r="M243" i="28"/>
  <c r="N243" i="28"/>
  <c r="O243" i="28"/>
  <c r="P243" i="28"/>
  <c r="Q243" i="28"/>
  <c r="R243" i="28"/>
  <c r="S243" i="28"/>
  <c r="T243" i="28"/>
  <c r="U243" i="28"/>
  <c r="V243" i="28"/>
  <c r="W243" i="28"/>
  <c r="X243" i="28"/>
  <c r="Y243" i="28"/>
  <c r="Z243" i="28"/>
  <c r="AA243" i="28"/>
  <c r="AB243" i="28"/>
  <c r="AC243" i="28"/>
  <c r="AD243" i="28"/>
  <c r="AE243" i="28"/>
  <c r="AF243" i="28"/>
  <c r="AG243" i="28"/>
  <c r="AH243" i="28"/>
  <c r="AI243" i="28"/>
  <c r="AJ243" i="28"/>
  <c r="AK243" i="28"/>
  <c r="AL243" i="28"/>
  <c r="AM243" i="28"/>
  <c r="AN243" i="28"/>
  <c r="AO243" i="28"/>
  <c r="G244" i="28"/>
  <c r="H244" i="28"/>
  <c r="I244" i="28"/>
  <c r="J244" i="28"/>
  <c r="K244" i="28"/>
  <c r="L244" i="28"/>
  <c r="M244" i="28"/>
  <c r="N244" i="28"/>
  <c r="O244" i="28"/>
  <c r="P244" i="28"/>
  <c r="Q244" i="28"/>
  <c r="R244" i="28"/>
  <c r="S244" i="28"/>
  <c r="T244" i="28"/>
  <c r="U244" i="28"/>
  <c r="V244" i="28"/>
  <c r="W244" i="28"/>
  <c r="X244" i="28"/>
  <c r="Y244" i="28"/>
  <c r="Z244" i="28"/>
  <c r="AA244" i="28"/>
  <c r="AB244" i="28"/>
  <c r="AC244" i="28"/>
  <c r="AD244" i="28"/>
  <c r="AE244" i="28"/>
  <c r="AF244" i="28"/>
  <c r="AG244" i="28"/>
  <c r="AH244" i="28"/>
  <c r="AI244" i="28"/>
  <c r="AJ244" i="28"/>
  <c r="AK244" i="28"/>
  <c r="AL244" i="28"/>
  <c r="AM244" i="28"/>
  <c r="AN244" i="28"/>
  <c r="AO244" i="28"/>
  <c r="G245" i="28"/>
  <c r="H245" i="28"/>
  <c r="I245" i="28"/>
  <c r="J245" i="28"/>
  <c r="K245" i="28"/>
  <c r="L245" i="28"/>
  <c r="M245" i="28"/>
  <c r="N245" i="28"/>
  <c r="O245" i="28"/>
  <c r="P245" i="28"/>
  <c r="Q245" i="28"/>
  <c r="R245" i="28"/>
  <c r="S245" i="28"/>
  <c r="T245" i="28"/>
  <c r="U245" i="28"/>
  <c r="V245" i="28"/>
  <c r="W245" i="28"/>
  <c r="X245" i="28"/>
  <c r="Y245" i="28"/>
  <c r="Z245" i="28"/>
  <c r="AA245" i="28"/>
  <c r="AB245" i="28"/>
  <c r="AC245" i="28"/>
  <c r="AD245" i="28"/>
  <c r="AE245" i="28"/>
  <c r="AF245" i="28"/>
  <c r="AG245" i="28"/>
  <c r="AH245" i="28"/>
  <c r="AI245" i="28"/>
  <c r="AJ245" i="28"/>
  <c r="AK245" i="28"/>
  <c r="AL245" i="28"/>
  <c r="AM245" i="28"/>
  <c r="AN245" i="28"/>
  <c r="AO245" i="28"/>
  <c r="G246" i="28"/>
  <c r="H246" i="28"/>
  <c r="I246" i="28"/>
  <c r="J246" i="28"/>
  <c r="K246" i="28"/>
  <c r="L246" i="28"/>
  <c r="M246" i="28"/>
  <c r="N246" i="28"/>
  <c r="O246" i="28"/>
  <c r="P246" i="28"/>
  <c r="Q246" i="28"/>
  <c r="R246" i="28"/>
  <c r="S246" i="28"/>
  <c r="T246" i="28"/>
  <c r="U246" i="28"/>
  <c r="V246" i="28"/>
  <c r="W246" i="28"/>
  <c r="X246" i="28"/>
  <c r="Y246" i="28"/>
  <c r="Z246" i="28"/>
  <c r="AA246" i="28"/>
  <c r="AB246" i="28"/>
  <c r="AC246" i="28"/>
  <c r="AD246" i="28"/>
  <c r="AE246" i="28"/>
  <c r="AF246" i="28"/>
  <c r="AG246" i="28"/>
  <c r="AH246" i="28"/>
  <c r="AI246" i="28"/>
  <c r="AJ246" i="28"/>
  <c r="AK246" i="28"/>
  <c r="AL246" i="28"/>
  <c r="AM246" i="28"/>
  <c r="AN246" i="28"/>
  <c r="AO246" i="28"/>
  <c r="G247" i="28"/>
  <c r="H247" i="28"/>
  <c r="I247" i="28"/>
  <c r="J247" i="28"/>
  <c r="K247" i="28"/>
  <c r="L247" i="28"/>
  <c r="M247" i="28"/>
  <c r="N247" i="28"/>
  <c r="O247" i="28"/>
  <c r="P247" i="28"/>
  <c r="Q247" i="28"/>
  <c r="R247" i="28"/>
  <c r="S247" i="28"/>
  <c r="T247" i="28"/>
  <c r="U247" i="28"/>
  <c r="V247" i="28"/>
  <c r="W247" i="28"/>
  <c r="X247" i="28"/>
  <c r="Y247" i="28"/>
  <c r="Z247" i="28"/>
  <c r="AA247" i="28"/>
  <c r="AB247" i="28"/>
  <c r="AC247" i="28"/>
  <c r="AD247" i="28"/>
  <c r="AE247" i="28"/>
  <c r="AF247" i="28"/>
  <c r="AG247" i="28"/>
  <c r="AH247" i="28"/>
  <c r="AI247" i="28"/>
  <c r="AJ247" i="28"/>
  <c r="AK247" i="28"/>
  <c r="AL247" i="28"/>
  <c r="AM247" i="28"/>
  <c r="AN247" i="28"/>
  <c r="AO247" i="28"/>
  <c r="G248" i="28"/>
  <c r="H248" i="28"/>
  <c r="I248" i="28"/>
  <c r="J248" i="28"/>
  <c r="K248" i="28"/>
  <c r="L248" i="28"/>
  <c r="M248" i="28"/>
  <c r="N248" i="28"/>
  <c r="O248" i="28"/>
  <c r="P248" i="28"/>
  <c r="Q248" i="28"/>
  <c r="R248" i="28"/>
  <c r="S248" i="28"/>
  <c r="T248" i="28"/>
  <c r="U248" i="28"/>
  <c r="V248" i="28"/>
  <c r="W248" i="28"/>
  <c r="X248" i="28"/>
  <c r="Y248" i="28"/>
  <c r="Z248" i="28"/>
  <c r="AA248" i="28"/>
  <c r="AB248" i="28"/>
  <c r="AC248" i="28"/>
  <c r="AD248" i="28"/>
  <c r="AE248" i="28"/>
  <c r="AF248" i="28"/>
  <c r="AG248" i="28"/>
  <c r="AH248" i="28"/>
  <c r="AI248" i="28"/>
  <c r="AJ248" i="28"/>
  <c r="AK248" i="28"/>
  <c r="AL248" i="28"/>
  <c r="AM248" i="28"/>
  <c r="AN248" i="28"/>
  <c r="AO248" i="28"/>
  <c r="G249" i="28"/>
  <c r="H249" i="28"/>
  <c r="I249" i="28"/>
  <c r="J249" i="28"/>
  <c r="K249" i="28"/>
  <c r="L249" i="28"/>
  <c r="M249" i="28"/>
  <c r="N249" i="28"/>
  <c r="O249" i="28"/>
  <c r="P249" i="28"/>
  <c r="Q249" i="28"/>
  <c r="R249" i="28"/>
  <c r="S249" i="28"/>
  <c r="T249" i="28"/>
  <c r="U249" i="28"/>
  <c r="V249" i="28"/>
  <c r="W249" i="28"/>
  <c r="X249" i="28"/>
  <c r="Y249" i="28"/>
  <c r="Z249" i="28"/>
  <c r="AA249" i="28"/>
  <c r="AB249" i="28"/>
  <c r="AC249" i="28"/>
  <c r="AD249" i="28"/>
  <c r="AE249" i="28"/>
  <c r="AF249" i="28"/>
  <c r="AG249" i="28"/>
  <c r="AH249" i="28"/>
  <c r="AI249" i="28"/>
  <c r="AJ249" i="28"/>
  <c r="AK249" i="28"/>
  <c r="AL249" i="28"/>
  <c r="AM249" i="28"/>
  <c r="AN249" i="28"/>
  <c r="AO249" i="28"/>
  <c r="G250" i="28"/>
  <c r="H250" i="28"/>
  <c r="I250" i="28"/>
  <c r="J250" i="28"/>
  <c r="K250" i="28"/>
  <c r="L250" i="28"/>
  <c r="M250" i="28"/>
  <c r="N250" i="28"/>
  <c r="O250" i="28"/>
  <c r="P250" i="28"/>
  <c r="Q250" i="28"/>
  <c r="R250" i="28"/>
  <c r="S250" i="28"/>
  <c r="T250" i="28"/>
  <c r="U250" i="28"/>
  <c r="V250" i="28"/>
  <c r="W250" i="28"/>
  <c r="X250" i="28"/>
  <c r="Y250" i="28"/>
  <c r="Z250" i="28"/>
  <c r="AA250" i="28"/>
  <c r="AB250" i="28"/>
  <c r="AC250" i="28"/>
  <c r="AD250" i="28"/>
  <c r="AE250" i="28"/>
  <c r="AF250" i="28"/>
  <c r="AG250" i="28"/>
  <c r="AH250" i="28"/>
  <c r="AI250" i="28"/>
  <c r="AJ250" i="28"/>
  <c r="AK250" i="28"/>
  <c r="AL250" i="28"/>
  <c r="AM250" i="28"/>
  <c r="AN250" i="28"/>
  <c r="AO250" i="28"/>
  <c r="G251" i="28"/>
  <c r="H251" i="28"/>
  <c r="I251" i="28"/>
  <c r="J251" i="28"/>
  <c r="K251" i="28"/>
  <c r="L251" i="28"/>
  <c r="M251" i="28"/>
  <c r="N251" i="28"/>
  <c r="O251" i="28"/>
  <c r="P251" i="28"/>
  <c r="Q251" i="28"/>
  <c r="R251" i="28"/>
  <c r="S251" i="28"/>
  <c r="T251" i="28"/>
  <c r="U251" i="28"/>
  <c r="V251" i="28"/>
  <c r="W251" i="28"/>
  <c r="X251" i="28"/>
  <c r="Y251" i="28"/>
  <c r="Z251" i="28"/>
  <c r="AA251" i="28"/>
  <c r="AB251" i="28"/>
  <c r="AC251" i="28"/>
  <c r="AD251" i="28"/>
  <c r="AE251" i="28"/>
  <c r="AF251" i="28"/>
  <c r="AG251" i="28"/>
  <c r="AH251" i="28"/>
  <c r="AI251" i="28"/>
  <c r="AJ251" i="28"/>
  <c r="AK251" i="28"/>
  <c r="AL251" i="28"/>
  <c r="AM251" i="28"/>
  <c r="AN251" i="28"/>
  <c r="AO251" i="28"/>
  <c r="G252" i="28"/>
  <c r="H252" i="28"/>
  <c r="I252" i="28"/>
  <c r="J252" i="28"/>
  <c r="K252" i="28"/>
  <c r="L252" i="28"/>
  <c r="M252" i="28"/>
  <c r="N252" i="28"/>
  <c r="O252" i="28"/>
  <c r="P252" i="28"/>
  <c r="Q252" i="28"/>
  <c r="R252" i="28"/>
  <c r="S252" i="28"/>
  <c r="T252" i="28"/>
  <c r="U252" i="28"/>
  <c r="V252" i="28"/>
  <c r="W252" i="28"/>
  <c r="X252" i="28"/>
  <c r="Y252" i="28"/>
  <c r="Z252" i="28"/>
  <c r="AA252" i="28"/>
  <c r="AB252" i="28"/>
  <c r="AC252" i="28"/>
  <c r="AD252" i="28"/>
  <c r="AE252" i="28"/>
  <c r="AF252" i="28"/>
  <c r="AG252" i="28"/>
  <c r="AH252" i="28"/>
  <c r="AI252" i="28"/>
  <c r="AJ252" i="28"/>
  <c r="AK252" i="28"/>
  <c r="AL252" i="28"/>
  <c r="AM252" i="28"/>
  <c r="AN252" i="28"/>
  <c r="AO252" i="28"/>
  <c r="G253" i="28"/>
  <c r="H253" i="28"/>
  <c r="I253" i="28"/>
  <c r="J253" i="28"/>
  <c r="K253" i="28"/>
  <c r="L253" i="28"/>
  <c r="M253" i="28"/>
  <c r="N253" i="28"/>
  <c r="O253" i="28"/>
  <c r="P253" i="28"/>
  <c r="Q253" i="28"/>
  <c r="R253" i="28"/>
  <c r="S253" i="28"/>
  <c r="T253" i="28"/>
  <c r="U253" i="28"/>
  <c r="V253" i="28"/>
  <c r="W253" i="28"/>
  <c r="X253" i="28"/>
  <c r="Y253" i="28"/>
  <c r="Z253" i="28"/>
  <c r="AA253" i="28"/>
  <c r="AB253" i="28"/>
  <c r="AC253" i="28"/>
  <c r="AD253" i="28"/>
  <c r="AE253" i="28"/>
  <c r="AF253" i="28"/>
  <c r="AG253" i="28"/>
  <c r="AH253" i="28"/>
  <c r="AI253" i="28"/>
  <c r="AJ253" i="28"/>
  <c r="AK253" i="28"/>
  <c r="AL253" i="28"/>
  <c r="AM253" i="28"/>
  <c r="AN253" i="28"/>
  <c r="AO253" i="28"/>
  <c r="G254" i="28"/>
  <c r="H254" i="28"/>
  <c r="I254" i="28"/>
  <c r="J254" i="28"/>
  <c r="K254" i="28"/>
  <c r="L254" i="28"/>
  <c r="M254" i="28"/>
  <c r="N254" i="28"/>
  <c r="O254" i="28"/>
  <c r="P254" i="28"/>
  <c r="Q254" i="28"/>
  <c r="R254" i="28"/>
  <c r="S254" i="28"/>
  <c r="T254" i="28"/>
  <c r="U254" i="28"/>
  <c r="V254" i="28"/>
  <c r="W254" i="28"/>
  <c r="X254" i="28"/>
  <c r="Y254" i="28"/>
  <c r="Z254" i="28"/>
  <c r="AA254" i="28"/>
  <c r="AB254" i="28"/>
  <c r="AC254" i="28"/>
  <c r="AD254" i="28"/>
  <c r="AE254" i="28"/>
  <c r="AF254" i="28"/>
  <c r="AG254" i="28"/>
  <c r="AH254" i="28"/>
  <c r="AI254" i="28"/>
  <c r="AJ254" i="28"/>
  <c r="AK254" i="28"/>
  <c r="AL254" i="28"/>
  <c r="AM254" i="28"/>
  <c r="AN254" i="28"/>
  <c r="AO254" i="28"/>
  <c r="G255" i="28"/>
  <c r="H255" i="28"/>
  <c r="I255" i="28"/>
  <c r="J255" i="28"/>
  <c r="K255" i="28"/>
  <c r="L255" i="28"/>
  <c r="M255" i="28"/>
  <c r="N255" i="28"/>
  <c r="O255" i="28"/>
  <c r="P255" i="28"/>
  <c r="Q255" i="28"/>
  <c r="R255" i="28"/>
  <c r="S255" i="28"/>
  <c r="T255" i="28"/>
  <c r="U255" i="28"/>
  <c r="V255" i="28"/>
  <c r="W255" i="28"/>
  <c r="X255" i="28"/>
  <c r="Y255" i="28"/>
  <c r="Z255" i="28"/>
  <c r="AA255" i="28"/>
  <c r="AB255" i="28"/>
  <c r="AC255" i="28"/>
  <c r="AD255" i="28"/>
  <c r="AE255" i="28"/>
  <c r="AF255" i="28"/>
  <c r="AG255" i="28"/>
  <c r="AH255" i="28"/>
  <c r="AI255" i="28"/>
  <c r="AJ255" i="28"/>
  <c r="AK255" i="28"/>
  <c r="AL255" i="28"/>
  <c r="AM255" i="28"/>
  <c r="AN255" i="28"/>
  <c r="AO255" i="28"/>
  <c r="G256" i="28"/>
  <c r="H256" i="28"/>
  <c r="I256" i="28"/>
  <c r="J256" i="28"/>
  <c r="K256" i="28"/>
  <c r="L256" i="28"/>
  <c r="M256" i="28"/>
  <c r="N256" i="28"/>
  <c r="O256" i="28"/>
  <c r="P256" i="28"/>
  <c r="Q256" i="28"/>
  <c r="R256" i="28"/>
  <c r="S256" i="28"/>
  <c r="T256" i="28"/>
  <c r="U256" i="28"/>
  <c r="V256" i="28"/>
  <c r="W256" i="28"/>
  <c r="X256" i="28"/>
  <c r="Y256" i="28"/>
  <c r="Z256" i="28"/>
  <c r="AA256" i="28"/>
  <c r="AB256" i="28"/>
  <c r="AC256" i="28"/>
  <c r="AD256" i="28"/>
  <c r="AE256" i="28"/>
  <c r="AF256" i="28"/>
  <c r="AG256" i="28"/>
  <c r="AH256" i="28"/>
  <c r="AI256" i="28"/>
  <c r="AJ256" i="28"/>
  <c r="AK256" i="28"/>
  <c r="AL256" i="28"/>
  <c r="AM256" i="28"/>
  <c r="AN256" i="28"/>
  <c r="AO256" i="28"/>
  <c r="G257" i="28"/>
  <c r="H257" i="28"/>
  <c r="I257" i="28"/>
  <c r="J257" i="28"/>
  <c r="K257" i="28"/>
  <c r="L257" i="28"/>
  <c r="M257" i="28"/>
  <c r="N257" i="28"/>
  <c r="O257" i="28"/>
  <c r="P257" i="28"/>
  <c r="Q257" i="28"/>
  <c r="R257" i="28"/>
  <c r="S257" i="28"/>
  <c r="T257" i="28"/>
  <c r="U257" i="28"/>
  <c r="V257" i="28"/>
  <c r="W257" i="28"/>
  <c r="X257" i="28"/>
  <c r="Y257" i="28"/>
  <c r="Z257" i="28"/>
  <c r="AA257" i="28"/>
  <c r="AB257" i="28"/>
  <c r="AC257" i="28"/>
  <c r="AD257" i="28"/>
  <c r="AE257" i="28"/>
  <c r="AF257" i="28"/>
  <c r="AG257" i="28"/>
  <c r="AH257" i="28"/>
  <c r="AI257" i="28"/>
  <c r="AJ257" i="28"/>
  <c r="AK257" i="28"/>
  <c r="AL257" i="28"/>
  <c r="AM257" i="28"/>
  <c r="AN257" i="28"/>
  <c r="AO257" i="28"/>
  <c r="G258" i="28"/>
  <c r="H258" i="28"/>
  <c r="I258" i="28"/>
  <c r="J258" i="28"/>
  <c r="K258" i="28"/>
  <c r="L258" i="28"/>
  <c r="M258" i="28"/>
  <c r="N258" i="28"/>
  <c r="O258" i="28"/>
  <c r="P258" i="28"/>
  <c r="Q258" i="28"/>
  <c r="R258" i="28"/>
  <c r="S258" i="28"/>
  <c r="T258" i="28"/>
  <c r="U258" i="28"/>
  <c r="V258" i="28"/>
  <c r="W258" i="28"/>
  <c r="X258" i="28"/>
  <c r="Y258" i="28"/>
  <c r="Z258" i="28"/>
  <c r="AA258" i="28"/>
  <c r="AB258" i="28"/>
  <c r="AC258" i="28"/>
  <c r="AD258" i="28"/>
  <c r="AE258" i="28"/>
  <c r="AF258" i="28"/>
  <c r="AG258" i="28"/>
  <c r="AH258" i="28"/>
  <c r="AI258" i="28"/>
  <c r="AJ258" i="28"/>
  <c r="AK258" i="28"/>
  <c r="AL258" i="28"/>
  <c r="AM258" i="28"/>
  <c r="AN258" i="28"/>
  <c r="AO258" i="28"/>
  <c r="G259" i="28"/>
  <c r="H259" i="28"/>
  <c r="I259" i="28"/>
  <c r="J259" i="28"/>
  <c r="K259" i="28"/>
  <c r="L259" i="28"/>
  <c r="M259" i="28"/>
  <c r="N259" i="28"/>
  <c r="O259" i="28"/>
  <c r="P259" i="28"/>
  <c r="Q259" i="28"/>
  <c r="R259" i="28"/>
  <c r="S259" i="28"/>
  <c r="T259" i="28"/>
  <c r="U259" i="28"/>
  <c r="V259" i="28"/>
  <c r="W259" i="28"/>
  <c r="X259" i="28"/>
  <c r="Y259" i="28"/>
  <c r="Z259" i="28"/>
  <c r="AA259" i="28"/>
  <c r="AB259" i="28"/>
  <c r="AC259" i="28"/>
  <c r="AD259" i="28"/>
  <c r="AE259" i="28"/>
  <c r="AF259" i="28"/>
  <c r="AG259" i="28"/>
  <c r="AH259" i="28"/>
  <c r="AI259" i="28"/>
  <c r="AJ259" i="28"/>
  <c r="AK259" i="28"/>
  <c r="AL259" i="28"/>
  <c r="AM259" i="28"/>
  <c r="AN259" i="28"/>
  <c r="AO259" i="28"/>
  <c r="G260" i="28"/>
  <c r="H260" i="28"/>
  <c r="I260" i="28"/>
  <c r="J260" i="28"/>
  <c r="K260" i="28"/>
  <c r="L260" i="28"/>
  <c r="M260" i="28"/>
  <c r="N260" i="28"/>
  <c r="O260" i="28"/>
  <c r="P260" i="28"/>
  <c r="Q260" i="28"/>
  <c r="R260" i="28"/>
  <c r="S260" i="28"/>
  <c r="T260" i="28"/>
  <c r="U260" i="28"/>
  <c r="V260" i="28"/>
  <c r="W260" i="28"/>
  <c r="X260" i="28"/>
  <c r="Y260" i="28"/>
  <c r="Z260" i="28"/>
  <c r="AA260" i="28"/>
  <c r="AB260" i="28"/>
  <c r="AC260" i="28"/>
  <c r="AD260" i="28"/>
  <c r="AE260" i="28"/>
  <c r="AF260" i="28"/>
  <c r="AG260" i="28"/>
  <c r="AH260" i="28"/>
  <c r="AI260" i="28"/>
  <c r="AJ260" i="28"/>
  <c r="AK260" i="28"/>
  <c r="AL260" i="28"/>
  <c r="AM260" i="28"/>
  <c r="AN260" i="28"/>
  <c r="AO260" i="28"/>
  <c r="G261" i="28"/>
  <c r="H261" i="28"/>
  <c r="I261" i="28"/>
  <c r="J261" i="28"/>
  <c r="K261" i="28"/>
  <c r="L261" i="28"/>
  <c r="M261" i="28"/>
  <c r="N261" i="28"/>
  <c r="O261" i="28"/>
  <c r="P261" i="28"/>
  <c r="Q261" i="28"/>
  <c r="R261" i="28"/>
  <c r="S261" i="28"/>
  <c r="T261" i="28"/>
  <c r="U261" i="28"/>
  <c r="V261" i="28"/>
  <c r="W261" i="28"/>
  <c r="X261" i="28"/>
  <c r="Y261" i="28"/>
  <c r="Z261" i="28"/>
  <c r="AA261" i="28"/>
  <c r="AB261" i="28"/>
  <c r="AC261" i="28"/>
  <c r="AD261" i="28"/>
  <c r="AE261" i="28"/>
  <c r="AF261" i="28"/>
  <c r="AG261" i="28"/>
  <c r="AH261" i="28"/>
  <c r="AI261" i="28"/>
  <c r="AJ261" i="28"/>
  <c r="AK261" i="28"/>
  <c r="AL261" i="28"/>
  <c r="AM261" i="28"/>
  <c r="AN261" i="28"/>
  <c r="AO261" i="28"/>
  <c r="G262" i="28"/>
  <c r="H262" i="28"/>
  <c r="I262" i="28"/>
  <c r="J262" i="28"/>
  <c r="K262" i="28"/>
  <c r="L262" i="28"/>
  <c r="M262" i="28"/>
  <c r="N262" i="28"/>
  <c r="O262" i="28"/>
  <c r="P262" i="28"/>
  <c r="Q262" i="28"/>
  <c r="R262" i="28"/>
  <c r="S262" i="28"/>
  <c r="T262" i="28"/>
  <c r="U262" i="28"/>
  <c r="V262" i="28"/>
  <c r="W262" i="28"/>
  <c r="X262" i="28"/>
  <c r="Y262" i="28"/>
  <c r="Z262" i="28"/>
  <c r="AA262" i="28"/>
  <c r="AB262" i="28"/>
  <c r="AC262" i="28"/>
  <c r="AD262" i="28"/>
  <c r="AE262" i="28"/>
  <c r="AF262" i="28"/>
  <c r="AG262" i="28"/>
  <c r="AH262" i="28"/>
  <c r="AI262" i="28"/>
  <c r="AJ262" i="28"/>
  <c r="AK262" i="28"/>
  <c r="AL262" i="28"/>
  <c r="AM262" i="28"/>
  <c r="AN262" i="28"/>
  <c r="AO262" i="28"/>
  <c r="G263" i="28"/>
  <c r="H263" i="28"/>
  <c r="I263" i="28"/>
  <c r="J263" i="28"/>
  <c r="K263" i="28"/>
  <c r="L263" i="28"/>
  <c r="M263" i="28"/>
  <c r="N263" i="28"/>
  <c r="O263" i="28"/>
  <c r="P263" i="28"/>
  <c r="Q263" i="28"/>
  <c r="R263" i="28"/>
  <c r="S263" i="28"/>
  <c r="T263" i="28"/>
  <c r="U263" i="28"/>
  <c r="V263" i="28"/>
  <c r="W263" i="28"/>
  <c r="X263" i="28"/>
  <c r="Y263" i="28"/>
  <c r="Z263" i="28"/>
  <c r="AA263" i="28"/>
  <c r="AB263" i="28"/>
  <c r="AC263" i="28"/>
  <c r="AD263" i="28"/>
  <c r="AE263" i="28"/>
  <c r="AF263" i="28"/>
  <c r="AG263" i="28"/>
  <c r="AH263" i="28"/>
  <c r="AI263" i="28"/>
  <c r="AJ263" i="28"/>
  <c r="AK263" i="28"/>
  <c r="AL263" i="28"/>
  <c r="AM263" i="28"/>
  <c r="AN263" i="28"/>
  <c r="AO263" i="28"/>
  <c r="G264" i="28"/>
  <c r="H264" i="28"/>
  <c r="I264" i="28"/>
  <c r="J264" i="28"/>
  <c r="K264" i="28"/>
  <c r="L264" i="28"/>
  <c r="M264" i="28"/>
  <c r="N264" i="28"/>
  <c r="O264" i="28"/>
  <c r="P264" i="28"/>
  <c r="Q264" i="28"/>
  <c r="R264" i="28"/>
  <c r="S264" i="28"/>
  <c r="T264" i="28"/>
  <c r="U264" i="28"/>
  <c r="V264" i="28"/>
  <c r="W264" i="28"/>
  <c r="X264" i="28"/>
  <c r="Y264" i="28"/>
  <c r="Z264" i="28"/>
  <c r="AA264" i="28"/>
  <c r="AB264" i="28"/>
  <c r="AC264" i="28"/>
  <c r="AD264" i="28"/>
  <c r="AE264" i="28"/>
  <c r="AF264" i="28"/>
  <c r="AG264" i="28"/>
  <c r="AH264" i="28"/>
  <c r="AI264" i="28"/>
  <c r="AJ264" i="28"/>
  <c r="AK264" i="28"/>
  <c r="AL264" i="28"/>
  <c r="AM264" i="28"/>
  <c r="AN264" i="28"/>
  <c r="AO264" i="28"/>
  <c r="G265" i="28"/>
  <c r="H265" i="28"/>
  <c r="I265" i="28"/>
  <c r="J265" i="28"/>
  <c r="K265" i="28"/>
  <c r="L265" i="28"/>
  <c r="M265" i="28"/>
  <c r="N265" i="28"/>
  <c r="O265" i="28"/>
  <c r="P265" i="28"/>
  <c r="Q265" i="28"/>
  <c r="R265" i="28"/>
  <c r="S265" i="28"/>
  <c r="T265" i="28"/>
  <c r="U265" i="28"/>
  <c r="V265" i="28"/>
  <c r="W265" i="28"/>
  <c r="X265" i="28"/>
  <c r="Y265" i="28"/>
  <c r="Z265" i="28"/>
  <c r="AA265" i="28"/>
  <c r="AB265" i="28"/>
  <c r="AC265" i="28"/>
  <c r="AD265" i="28"/>
  <c r="AE265" i="28"/>
  <c r="AF265" i="28"/>
  <c r="AG265" i="28"/>
  <c r="AH265" i="28"/>
  <c r="AI265" i="28"/>
  <c r="AJ265" i="28"/>
  <c r="AK265" i="28"/>
  <c r="AL265" i="28"/>
  <c r="AM265" i="28"/>
  <c r="AN265" i="28"/>
  <c r="AO265" i="28"/>
  <c r="G266" i="28"/>
  <c r="H266" i="28"/>
  <c r="I266" i="28"/>
  <c r="J266" i="28"/>
  <c r="K266" i="28"/>
  <c r="L266" i="28"/>
  <c r="M266" i="28"/>
  <c r="N266" i="28"/>
  <c r="O266" i="28"/>
  <c r="P266" i="28"/>
  <c r="Q266" i="28"/>
  <c r="R266" i="28"/>
  <c r="S266" i="28"/>
  <c r="T266" i="28"/>
  <c r="U266" i="28"/>
  <c r="V266" i="28"/>
  <c r="W266" i="28"/>
  <c r="X266" i="28"/>
  <c r="Y266" i="28"/>
  <c r="Z266" i="28"/>
  <c r="AA266" i="28"/>
  <c r="AB266" i="28"/>
  <c r="AC266" i="28"/>
  <c r="AD266" i="28"/>
  <c r="AE266" i="28"/>
  <c r="AF266" i="28"/>
  <c r="AG266" i="28"/>
  <c r="AH266" i="28"/>
  <c r="AI266" i="28"/>
  <c r="AJ266" i="28"/>
  <c r="AK266" i="28"/>
  <c r="AL266" i="28"/>
  <c r="AM266" i="28"/>
  <c r="AN266" i="28"/>
  <c r="AO266" i="28"/>
  <c r="G267" i="28"/>
  <c r="H267" i="28"/>
  <c r="I267" i="28"/>
  <c r="J267" i="28"/>
  <c r="K267" i="28"/>
  <c r="L267" i="28"/>
  <c r="M267" i="28"/>
  <c r="N267" i="28"/>
  <c r="O267" i="28"/>
  <c r="P267" i="28"/>
  <c r="Q267" i="28"/>
  <c r="R267" i="28"/>
  <c r="S267" i="28"/>
  <c r="T267" i="28"/>
  <c r="U267" i="28"/>
  <c r="V267" i="28"/>
  <c r="W267" i="28"/>
  <c r="X267" i="28"/>
  <c r="Y267" i="28"/>
  <c r="Z267" i="28"/>
  <c r="AA267" i="28"/>
  <c r="AB267" i="28"/>
  <c r="AC267" i="28"/>
  <c r="AD267" i="28"/>
  <c r="AE267" i="28"/>
  <c r="AF267" i="28"/>
  <c r="AG267" i="28"/>
  <c r="AH267" i="28"/>
  <c r="AI267" i="28"/>
  <c r="AJ267" i="28"/>
  <c r="AK267" i="28"/>
  <c r="AL267" i="28"/>
  <c r="AM267" i="28"/>
  <c r="AN267" i="28"/>
  <c r="AO267" i="28"/>
  <c r="G268" i="28"/>
  <c r="H268" i="28"/>
  <c r="I268" i="28"/>
  <c r="J268" i="28"/>
  <c r="K268" i="28"/>
  <c r="L268" i="28"/>
  <c r="M268" i="28"/>
  <c r="N268" i="28"/>
  <c r="O268" i="28"/>
  <c r="P268" i="28"/>
  <c r="Q268" i="28"/>
  <c r="R268" i="28"/>
  <c r="S268" i="28"/>
  <c r="T268" i="28"/>
  <c r="U268" i="28"/>
  <c r="V268" i="28"/>
  <c r="W268" i="28"/>
  <c r="X268" i="28"/>
  <c r="Y268" i="28"/>
  <c r="Z268" i="28"/>
  <c r="AA268" i="28"/>
  <c r="AB268" i="28"/>
  <c r="AC268" i="28"/>
  <c r="AD268" i="28"/>
  <c r="AE268" i="28"/>
  <c r="AF268" i="28"/>
  <c r="AG268" i="28"/>
  <c r="AH268" i="28"/>
  <c r="AI268" i="28"/>
  <c r="AJ268" i="28"/>
  <c r="AK268" i="28"/>
  <c r="AL268" i="28"/>
  <c r="AM268" i="28"/>
  <c r="AN268" i="28"/>
  <c r="AO268" i="28"/>
  <c r="G269" i="28"/>
  <c r="H269" i="28"/>
  <c r="I269" i="28"/>
  <c r="J269" i="28"/>
  <c r="K269" i="28"/>
  <c r="L269" i="28"/>
  <c r="M269" i="28"/>
  <c r="N269" i="28"/>
  <c r="O269" i="28"/>
  <c r="P269" i="28"/>
  <c r="Q269" i="28"/>
  <c r="R269" i="28"/>
  <c r="S269" i="28"/>
  <c r="T269" i="28"/>
  <c r="U269" i="28"/>
  <c r="V269" i="28"/>
  <c r="W269" i="28"/>
  <c r="X269" i="28"/>
  <c r="Y269" i="28"/>
  <c r="Z269" i="28"/>
  <c r="AA269" i="28"/>
  <c r="AB269" i="28"/>
  <c r="AC269" i="28"/>
  <c r="AD269" i="28"/>
  <c r="AE269" i="28"/>
  <c r="AF269" i="28"/>
  <c r="AG269" i="28"/>
  <c r="AH269" i="28"/>
  <c r="AI269" i="28"/>
  <c r="AJ269" i="28"/>
  <c r="AK269" i="28"/>
  <c r="AL269" i="28"/>
  <c r="AM269" i="28"/>
  <c r="AN269" i="28"/>
  <c r="AO269" i="28"/>
  <c r="G270" i="28"/>
  <c r="H270" i="28"/>
  <c r="I270" i="28"/>
  <c r="J270" i="28"/>
  <c r="K270" i="28"/>
  <c r="L270" i="28"/>
  <c r="M270" i="28"/>
  <c r="N270" i="28"/>
  <c r="O270" i="28"/>
  <c r="P270" i="28"/>
  <c r="Q270" i="28"/>
  <c r="R270" i="28"/>
  <c r="S270" i="28"/>
  <c r="T270" i="28"/>
  <c r="U270" i="28"/>
  <c r="V270" i="28"/>
  <c r="W270" i="28"/>
  <c r="X270" i="28"/>
  <c r="Y270" i="28"/>
  <c r="Z270" i="28"/>
  <c r="AA270" i="28"/>
  <c r="AB270" i="28"/>
  <c r="AC270" i="28"/>
  <c r="AD270" i="28"/>
  <c r="AE270" i="28"/>
  <c r="AF270" i="28"/>
  <c r="AG270" i="28"/>
  <c r="AH270" i="28"/>
  <c r="AI270" i="28"/>
  <c r="AJ270" i="28"/>
  <c r="AK270" i="28"/>
  <c r="AL270" i="28"/>
  <c r="AM270" i="28"/>
  <c r="AN270" i="28"/>
  <c r="AO270" i="28"/>
  <c r="G271" i="28"/>
  <c r="H271" i="28"/>
  <c r="I271" i="28"/>
  <c r="J271" i="28"/>
  <c r="K271" i="28"/>
  <c r="L271" i="28"/>
  <c r="M271" i="28"/>
  <c r="N271" i="28"/>
  <c r="O271" i="28"/>
  <c r="P271" i="28"/>
  <c r="Q271" i="28"/>
  <c r="R271" i="28"/>
  <c r="S271" i="28"/>
  <c r="T271" i="28"/>
  <c r="U271" i="28"/>
  <c r="V271" i="28"/>
  <c r="W271" i="28"/>
  <c r="X271" i="28"/>
  <c r="Y271" i="28"/>
  <c r="Z271" i="28"/>
  <c r="AA271" i="28"/>
  <c r="AB271" i="28"/>
  <c r="AC271" i="28"/>
  <c r="AD271" i="28"/>
  <c r="AE271" i="28"/>
  <c r="AF271" i="28"/>
  <c r="AG271" i="28"/>
  <c r="AH271" i="28"/>
  <c r="AI271" i="28"/>
  <c r="AJ271" i="28"/>
  <c r="AK271" i="28"/>
  <c r="AL271" i="28"/>
  <c r="AM271" i="28"/>
  <c r="AN271" i="28"/>
  <c r="AO271" i="28"/>
  <c r="G272" i="28"/>
  <c r="H272" i="28"/>
  <c r="I272" i="28"/>
  <c r="J272" i="28"/>
  <c r="K272" i="28"/>
  <c r="L272" i="28"/>
  <c r="M272" i="28"/>
  <c r="N272" i="28"/>
  <c r="O272" i="28"/>
  <c r="P272" i="28"/>
  <c r="Q272" i="28"/>
  <c r="R272" i="28"/>
  <c r="S272" i="28"/>
  <c r="T272" i="28"/>
  <c r="U272" i="28"/>
  <c r="V272" i="28"/>
  <c r="W272" i="28"/>
  <c r="X272" i="28"/>
  <c r="Y272" i="28"/>
  <c r="Z272" i="28"/>
  <c r="AA272" i="28"/>
  <c r="AB272" i="28"/>
  <c r="AC272" i="28"/>
  <c r="AD272" i="28"/>
  <c r="AE272" i="28"/>
  <c r="AF272" i="28"/>
  <c r="AG272" i="28"/>
  <c r="AH272" i="28"/>
  <c r="AI272" i="28"/>
  <c r="AJ272" i="28"/>
  <c r="AK272" i="28"/>
  <c r="AL272" i="28"/>
  <c r="AM272" i="28"/>
  <c r="AN272" i="28"/>
  <c r="AO272" i="28"/>
  <c r="G273" i="28"/>
  <c r="H273" i="28"/>
  <c r="I273" i="28"/>
  <c r="J273" i="28"/>
  <c r="K273" i="28"/>
  <c r="L273" i="28"/>
  <c r="M273" i="28"/>
  <c r="N273" i="28"/>
  <c r="O273" i="28"/>
  <c r="P273" i="28"/>
  <c r="Q273" i="28"/>
  <c r="R273" i="28"/>
  <c r="S273" i="28"/>
  <c r="T273" i="28"/>
  <c r="U273" i="28"/>
  <c r="V273" i="28"/>
  <c r="W273" i="28"/>
  <c r="X273" i="28"/>
  <c r="Y273" i="28"/>
  <c r="Z273" i="28"/>
  <c r="AA273" i="28"/>
  <c r="AB273" i="28"/>
  <c r="AC273" i="28"/>
  <c r="AD273" i="28"/>
  <c r="AE273" i="28"/>
  <c r="AF273" i="28"/>
  <c r="AG273" i="28"/>
  <c r="AH273" i="28"/>
  <c r="AI273" i="28"/>
  <c r="AJ273" i="28"/>
  <c r="AK273" i="28"/>
  <c r="AL273" i="28"/>
  <c r="AM273" i="28"/>
  <c r="AN273" i="28"/>
  <c r="AO273" i="28"/>
  <c r="G274" i="28"/>
  <c r="H274" i="28"/>
  <c r="I274" i="28"/>
  <c r="J274" i="28"/>
  <c r="K274" i="28"/>
  <c r="L274" i="28"/>
  <c r="M274" i="28"/>
  <c r="N274" i="28"/>
  <c r="O274" i="28"/>
  <c r="P274" i="28"/>
  <c r="Q274" i="28"/>
  <c r="R274" i="28"/>
  <c r="S274" i="28"/>
  <c r="T274" i="28"/>
  <c r="U274" i="28"/>
  <c r="V274" i="28"/>
  <c r="W274" i="28"/>
  <c r="X274" i="28"/>
  <c r="Y274" i="28"/>
  <c r="Z274" i="28"/>
  <c r="AA274" i="28"/>
  <c r="AB274" i="28"/>
  <c r="AC274" i="28"/>
  <c r="AD274" i="28"/>
  <c r="AE274" i="28"/>
  <c r="AF274" i="28"/>
  <c r="AG274" i="28"/>
  <c r="AH274" i="28"/>
  <c r="AI274" i="28"/>
  <c r="AJ274" i="28"/>
  <c r="AK274" i="28"/>
  <c r="AL274" i="28"/>
  <c r="AM274" i="28"/>
  <c r="AN274" i="28"/>
  <c r="AO274" i="28"/>
  <c r="G275" i="28"/>
  <c r="H275" i="28"/>
  <c r="I275" i="28"/>
  <c r="J275" i="28"/>
  <c r="K275" i="28"/>
  <c r="L275" i="28"/>
  <c r="M275" i="28"/>
  <c r="N275" i="28"/>
  <c r="O275" i="28"/>
  <c r="P275" i="28"/>
  <c r="Q275" i="28"/>
  <c r="R275" i="28"/>
  <c r="S275" i="28"/>
  <c r="T275" i="28"/>
  <c r="U275" i="28"/>
  <c r="V275" i="28"/>
  <c r="W275" i="28"/>
  <c r="X275" i="28"/>
  <c r="Y275" i="28"/>
  <c r="Z275" i="28"/>
  <c r="AA275" i="28"/>
  <c r="AB275" i="28"/>
  <c r="AC275" i="28"/>
  <c r="AD275" i="28"/>
  <c r="AE275" i="28"/>
  <c r="AF275" i="28"/>
  <c r="AG275" i="28"/>
  <c r="AH275" i="28"/>
  <c r="AI275" i="28"/>
  <c r="AJ275" i="28"/>
  <c r="AK275" i="28"/>
  <c r="AL275" i="28"/>
  <c r="AM275" i="28"/>
  <c r="AN275" i="28"/>
  <c r="AO275" i="28"/>
  <c r="F275" i="28"/>
  <c r="F243" i="28"/>
  <c r="F244" i="28"/>
  <c r="F245" i="28"/>
  <c r="F246" i="28"/>
  <c r="F247" i="28"/>
  <c r="F248" i="28"/>
  <c r="F249" i="28"/>
  <c r="F250" i="28"/>
  <c r="F251" i="28"/>
  <c r="F252" i="28"/>
  <c r="F253" i="28"/>
  <c r="F254" i="28"/>
  <c r="F255" i="28"/>
  <c r="F256" i="28"/>
  <c r="F257" i="28"/>
  <c r="F258" i="28"/>
  <c r="F259" i="28"/>
  <c r="F260" i="28"/>
  <c r="F261" i="28"/>
  <c r="F262" i="28"/>
  <c r="F263" i="28"/>
  <c r="F264" i="28"/>
  <c r="F265" i="28"/>
  <c r="F266" i="28"/>
  <c r="F267" i="28"/>
  <c r="F268" i="28"/>
  <c r="F269" i="28"/>
  <c r="F270" i="28"/>
  <c r="F271" i="28"/>
  <c r="F272" i="28"/>
  <c r="F273" i="28"/>
  <c r="F274" i="28"/>
  <c r="F207" i="28"/>
  <c r="F208" i="28"/>
  <c r="F209" i="28"/>
  <c r="F210" i="28"/>
  <c r="F211" i="28"/>
  <c r="F212" i="28"/>
  <c r="F213" i="28"/>
  <c r="F214" i="28"/>
  <c r="F215" i="28"/>
  <c r="F216" i="28"/>
  <c r="F217" i="28"/>
  <c r="F218" i="28"/>
  <c r="F219" i="28"/>
  <c r="F220" i="28"/>
  <c r="F221" i="28"/>
  <c r="F222" i="28"/>
  <c r="F223" i="28"/>
  <c r="F224" i="28"/>
  <c r="F225" i="28"/>
  <c r="F226" i="28"/>
  <c r="F227" i="28"/>
  <c r="F228" i="28"/>
  <c r="F229" i="28"/>
  <c r="F230" i="28"/>
  <c r="F231" i="28"/>
  <c r="F232" i="28"/>
  <c r="F233" i="28"/>
  <c r="F234" i="28"/>
  <c r="F235" i="28"/>
  <c r="F236" i="28"/>
  <c r="F237" i="28"/>
  <c r="F238" i="28"/>
  <c r="F239" i="28"/>
  <c r="F240" i="28"/>
  <c r="F241" i="28"/>
  <c r="F242" i="28"/>
  <c r="G139" i="28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H148" i="28"/>
  <c r="I148" i="28"/>
  <c r="J148" i="28"/>
  <c r="K148" i="28"/>
  <c r="L148" i="28"/>
  <c r="M148" i="28"/>
  <c r="N148" i="28"/>
  <c r="O148" i="28"/>
  <c r="P148" i="28"/>
  <c r="Q148" i="28"/>
  <c r="R148" i="28"/>
  <c r="S148" i="28"/>
  <c r="T148" i="28"/>
  <c r="U148" i="28"/>
  <c r="V148" i="28"/>
  <c r="W148" i="28"/>
  <c r="X148" i="28"/>
  <c r="Y148" i="28"/>
  <c r="Z148" i="28"/>
  <c r="AA148" i="28"/>
  <c r="AB148" i="28"/>
  <c r="AC148" i="28"/>
  <c r="AD148" i="28"/>
  <c r="AE148" i="28"/>
  <c r="AF148" i="28"/>
  <c r="AG148" i="28"/>
  <c r="AH148" i="28"/>
  <c r="AI148" i="28"/>
  <c r="AJ148" i="28"/>
  <c r="AK148" i="28"/>
  <c r="AL148" i="28"/>
  <c r="AM148" i="28"/>
  <c r="AN148" i="28"/>
  <c r="AO148" i="28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H165" i="28"/>
  <c r="I165" i="28"/>
  <c r="J165" i="28"/>
  <c r="K165" i="28"/>
  <c r="L165" i="28"/>
  <c r="M165" i="28"/>
  <c r="N165" i="28"/>
  <c r="O165" i="28"/>
  <c r="P165" i="28"/>
  <c r="Q165" i="28"/>
  <c r="R165" i="28"/>
  <c r="S165" i="28"/>
  <c r="T165" i="28"/>
  <c r="U165" i="28"/>
  <c r="V165" i="28"/>
  <c r="W165" i="28"/>
  <c r="X165" i="28"/>
  <c r="Y165" i="28"/>
  <c r="Z165" i="28"/>
  <c r="AA165" i="28"/>
  <c r="AB165" i="28"/>
  <c r="AC165" i="28"/>
  <c r="AD165" i="28"/>
  <c r="AE165" i="28"/>
  <c r="AF165" i="28"/>
  <c r="AG165" i="28"/>
  <c r="AH165" i="28"/>
  <c r="AI165" i="28"/>
  <c r="AJ165" i="28"/>
  <c r="AK165" i="28"/>
  <c r="AL165" i="28"/>
  <c r="AM165" i="28"/>
  <c r="AN165" i="28"/>
  <c r="AO165" i="28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H182" i="28"/>
  <c r="I182" i="28"/>
  <c r="J182" i="28"/>
  <c r="K182" i="28"/>
  <c r="L182" i="28"/>
  <c r="M182" i="28"/>
  <c r="N182" i="28"/>
  <c r="O182" i="28"/>
  <c r="P182" i="28"/>
  <c r="Q182" i="28"/>
  <c r="R182" i="28"/>
  <c r="S182" i="28"/>
  <c r="T182" i="28"/>
  <c r="U182" i="28"/>
  <c r="V182" i="28"/>
  <c r="W182" i="28"/>
  <c r="X182" i="28"/>
  <c r="Y182" i="28"/>
  <c r="Z182" i="28"/>
  <c r="AA182" i="28"/>
  <c r="AB182" i="28"/>
  <c r="AC182" i="28"/>
  <c r="AD182" i="28"/>
  <c r="AE182" i="28"/>
  <c r="AF182" i="28"/>
  <c r="AG182" i="28"/>
  <c r="AH182" i="28"/>
  <c r="AI182" i="28"/>
  <c r="AJ182" i="28"/>
  <c r="AK182" i="28"/>
  <c r="AL182" i="28"/>
  <c r="AM182" i="28"/>
  <c r="AN182" i="28"/>
  <c r="AO182" i="28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H199" i="28"/>
  <c r="I199" i="28"/>
  <c r="J199" i="28"/>
  <c r="K199" i="28"/>
  <c r="L199" i="28"/>
  <c r="M199" i="28"/>
  <c r="N199" i="28"/>
  <c r="O199" i="28"/>
  <c r="P199" i="28"/>
  <c r="Q199" i="28"/>
  <c r="R199" i="28"/>
  <c r="S199" i="28"/>
  <c r="T199" i="28"/>
  <c r="U199" i="28"/>
  <c r="V199" i="28"/>
  <c r="W199" i="28"/>
  <c r="X199" i="28"/>
  <c r="Y199" i="28"/>
  <c r="Z199" i="28"/>
  <c r="AA199" i="28"/>
  <c r="AB199" i="28"/>
  <c r="AC199" i="28"/>
  <c r="AD199" i="28"/>
  <c r="AE199" i="28"/>
  <c r="AF199" i="28"/>
  <c r="AG199" i="28"/>
  <c r="AH199" i="28"/>
  <c r="AI199" i="28"/>
  <c r="AJ199" i="28"/>
  <c r="AK199" i="28"/>
  <c r="AL199" i="28"/>
  <c r="AM199" i="28"/>
  <c r="AN199" i="28"/>
  <c r="AO199" i="28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201" i="28"/>
  <c r="F202" i="28"/>
  <c r="F204" i="28"/>
  <c r="F205" i="28"/>
  <c r="F167" i="28"/>
  <c r="F168" i="28"/>
  <c r="F148" i="28"/>
  <c r="F150" i="28"/>
  <c r="F151" i="28"/>
  <c r="F139" i="28"/>
  <c r="F140" i="28"/>
  <c r="F142" i="28"/>
  <c r="F143" i="28"/>
  <c r="F171" i="28"/>
  <c r="F170" i="28"/>
  <c r="F165" i="28"/>
  <c r="F206" i="28"/>
  <c r="F5" i="28" l="1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F3" i="28"/>
  <c r="G3" i="28"/>
  <c r="H3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J54" i="28" l="1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M3" i="28"/>
  <c r="AN3" i="28"/>
  <c r="AO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44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énergétique, mais pour simplifier, je liste uniquement certains secteurs ici
OK ? Pas d'oubli, ou… ?
NB : j'ai supprimé PhiY_cfuh_sbfu_2, qui n'existait pas apparemment
Notamment : on aura peut-être pas PhiY_cfut_soil_2 + PhiY_cfut_sbfu_2 = 100% 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1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= YG_toe_cfut_2 * PhiY_cfut_soil_2 ?</t>
        </r>
      </text>
    </comment>
    <comment ref="E28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= CF_toe_cfut_2 * PhiY_cfut_soil_2 ? 
(approcimation car on applique un coeff de prod primaire sur une conso finale ?) </t>
        </r>
      </text>
    </comment>
    <comment ref="E3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activer ?</t>
        </r>
      </text>
    </comment>
    <comment ref="E35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= sum(CH_toe_auto[cea] on cea) ? Ou CH_toe_trsp (à activer) ? </t>
        </r>
      </text>
    </comment>
    <comment ref="B79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D7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l'instant, il n'y a pas d'émissions par vecteur énergétique dans la V3
on a des émissions par gaz à effet de serre, ou par comodité (les 28)
--&gt; je propose ici des sorties dans la lignée de ce qu'on faisait avec la V2, à voir si c'est possible ?
--&gt; est-ce que la définition proposée de EMS_nrj[ce] englobe bien (et uniquement celles là) les émissions énergétiques ? 
--&gt; si oui, le faire pour toutes les comodités énergétiques ? (je l'ai juste fait pour coal et crude oil ici)</t>
        </r>
      </text>
    </comment>
    <comment ref="I7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validé avec Gissela</t>
        </r>
      </text>
    </comment>
    <comment ref="C8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(concrètement, il ne devrait y avori que du CO2 ?)</t>
        </r>
      </text>
    </comment>
    <comment ref="E8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 pas viser l'exhaustivité ici ? Mais liste de secteurs à valider ? + choisir pour chaque secteur entre EMS_Y et EMS_MAT ?</t>
        </r>
      </text>
    </comment>
    <comment ref="E9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<sst xmlns="http://schemas.openxmlformats.org/spreadsheetml/2006/main" count="3590" uniqueCount="2069">
  <si>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</si>
  <si>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</si>
  <si>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</si>
  <si>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</si>
  <si>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</si>
  <si>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</si>
  <si>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</si>
  <si>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</si>
  <si>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</si>
  <si>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</si>
  <si>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</si>
  <si>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</si>
  <si>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</si>
  <si>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</si>
  <si>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</si>
  <si>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</si>
  <si>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</si>
  <si>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</si>
  <si>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</si>
  <si>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</si>
  <si>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</si>
  <si>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</si>
  <si>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</si>
  <si>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</si>
  <si>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</si>
  <si>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</si>
  <si>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</si>
  <si>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</si>
  <si>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</si>
  <si>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</si>
  <si>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</si>
  <si>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</si>
  <si>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</si>
  <si>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</si>
  <si>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</si>
  <si>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</si>
  <si>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</si>
  <si>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</si>
  <si>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</si>
  <si>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</si>
  <si>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</si>
  <si>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</si>
  <si>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</si>
  <si>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</si>
  <si>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</si>
  <si>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</si>
  <si>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</si>
  <si>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</si>
  <si>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</si>
  <si>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</si>
  <si>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</si>
  <si>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</si>
  <si>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</si>
  <si>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</si>
  <si>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</si>
  <si>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</si>
  <si>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</si>
  <si>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</si>
  <si>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</si>
  <si>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</si>
  <si>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</si>
  <si>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</si>
  <si>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</si>
  <si>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</si>
  <si>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</si>
  <si>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</si>
  <si>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</si>
  <si>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</si>
  <si>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</si>
  <si>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</si>
  <si>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</si>
  <si>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</si>
  <si>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</si>
  <si>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</si>
  <si>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</si>
  <si>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</si>
  <si>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</si>
  <si>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</si>
  <si>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</si>
  <si>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</si>
  <si>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</si>
  <si>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</si>
  <si>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</si>
  <si>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</si>
  <si>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</si>
  <si>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</si>
  <si>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</si>
  <si>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</si>
  <si>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</si>
  <si>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</si>
  <si>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</si>
  <si>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</si>
  <si>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</si>
  <si>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</si>
  <si>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</si>
  <si>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</si>
  <si>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</si>
  <si>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</si>
  <si>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</si>
  <si>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</si>
  <si>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</si>
  <si>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</si>
  <si>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</si>
  <si>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</si>
  <si>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</si>
  <si>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</si>
  <si>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</si>
  <si>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</si>
  <si>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</si>
  <si>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</si>
  <si>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</si>
  <si>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</si>
  <si>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</si>
  <si>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</si>
  <si>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</si>
  <si>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</si>
  <si>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</si>
  <si>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100*((dispinc_at_val_2/pch_2)/(dispinc_at_val_0/pch_0)-1)</t>
  </si>
  <si>
    <t>100*(rsav_h_val_2-rsav_h_val_0)</t>
  </si>
  <si>
    <t>100*(pch_2/pch_0-1)</t>
  </si>
  <si>
    <t>100*(py_2/py_0-1)</t>
  </si>
  <si>
    <t>100*(pva_2/pva_0-1)</t>
  </si>
  <si>
    <t>100*(pci_2/pci_0-1)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</si>
  <si>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</si>
  <si>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</si>
  <si>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</si>
  <si>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</si>
  <si>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</si>
  <si>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</si>
  <si>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100*(rbal_trade_val_2-rbal_trade_val_0)</t>
  </si>
  <si>
    <t>100*(rbal_g_prim_val_2-rbal_g_prim_val_0)</t>
  </si>
  <si>
    <t>100*(rdebt_g_val_2-rdebt_g_val_0)</t>
  </si>
  <si>
    <t>100*(ems_co2_2/ems_co2_0-1)</t>
  </si>
  <si>
    <t>100*(ch_0+g_0)/gdp_0*((ch_2+g_2)/(ch_0+g_0)-1)</t>
  </si>
  <si>
    <t>100*i_0/gdp_0*(i_2/i_0-1)</t>
  </si>
  <si>
    <t>100*(x_0-m_0)/gdp_0*((x_2-m_2)/(x_0-m_0)-1)</t>
  </si>
  <si>
    <t>100*ds_0/gdp_0*(ds_2/ds_0-1)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</si>
  <si>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</si>
  <si>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</si>
  <si>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</si>
  <si>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</si>
  <si>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</si>
  <si>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</si>
  <si>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</si>
  <si>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</si>
  <si>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</si>
  <si>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</si>
  <si>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</si>
  <si>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</si>
  <si>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</si>
  <si>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</si>
  <si>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</si>
  <si>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</si>
  <si>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</si>
  <si>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</si>
  <si>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</si>
  <si>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</si>
  <si>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 xml:space="preserve">NB : on crée ici une liste :
- globale, qui fusionne les reportings 1, 2 et 3 (même si seules les valeurs du scénario de choc présentées ici)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</si>
  <si>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</si>
  <si>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</si>
  <si>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</si>
  <si>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</si>
  <si>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</si>
  <si>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</si>
  <si>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</si>
  <si>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</si>
  <si>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</si>
  <si>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</si>
  <si>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</si>
  <si>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</si>
  <si>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</si>
  <si>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</si>
  <si>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</si>
  <si>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</si>
  <si>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</si>
  <si>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</si>
  <si>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</si>
  <si>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</si>
  <si>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</si>
  <si>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</si>
  <si>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</si>
  <si>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</si>
  <si>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EMS_NETS=EMS_SEC-EMS_ETS</t>
  </si>
  <si>
    <t>agri-forêt</t>
  </si>
  <si>
    <t>industrie hors ETS</t>
  </si>
  <si>
    <t>transport hors ETS</t>
  </si>
  <si>
    <t xml:space="preserve">EMS_Y[s] ? Ou EMS_MAT[s] ? 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</si>
  <si>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</si>
  <si>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</si>
  <si>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</si>
  <si>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</si>
  <si>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</si>
  <si>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</si>
  <si>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</si>
  <si>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</si>
  <si>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</si>
  <si>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</si>
  <si>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</si>
  <si>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</si>
  <si>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</si>
  <si>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</si>
  <si>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</si>
  <si>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</si>
  <si>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</si>
  <si>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</si>
  <si>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</si>
  <si>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</si>
  <si>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</si>
  <si>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</si>
  <si>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</si>
  <si>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</si>
  <si>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</si>
  <si>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</si>
  <si>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</si>
  <si>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</si>
  <si>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</si>
  <si>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</si>
  <si>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</si>
  <si>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</si>
  <si>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</si>
  <si>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</si>
  <si>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</si>
  <si>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</si>
  <si>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</si>
  <si>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</si>
  <si>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</si>
  <si>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</si>
  <si>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</si>
  <si>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MACRO 
(EN ECARTS)</t>
  </si>
  <si>
    <t>PIB</t>
  </si>
  <si>
    <t>100*(GDP_2/GDP_0-1)</t>
  </si>
  <si>
    <t>VA du secteur marchand</t>
  </si>
  <si>
    <t>100*((VA_2-VA_cpub_2)/(VA_0-VA_cpub_0)-1)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</si>
  <si>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</si>
  <si>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</si>
  <si>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</si>
  <si>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</si>
  <si>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</si>
  <si>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</si>
  <si>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</si>
  <si>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</si>
  <si>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</si>
  <si>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</si>
  <si>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</si>
  <si>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</si>
  <si>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</si>
  <si>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</si>
  <si>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</si>
  <si>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100*((I_2-IA_cpub_2-(I_0-IA_cpub_0))/GDP_0)</t>
  </si>
  <si>
    <t>Investissement ménages</t>
  </si>
  <si>
    <t>100*((CH_ccon_2-CH_ccon_0)/GDP_0)</t>
  </si>
  <si>
    <t>Investissement public</t>
  </si>
  <si>
    <t>100*((IA_cpub_2-IA_cpub_0)/GDP_0)</t>
  </si>
  <si>
    <t>100*(CH_2/CH_0-1)</t>
  </si>
  <si>
    <t>100*(CH_cveh_2/CH_cveh_0-1)</t>
  </si>
  <si>
    <t>100*(G_2/G_0-1)</t>
  </si>
  <si>
    <t>100*(I_2/I_0-1)</t>
  </si>
  <si>
    <t>100*((I_2-IA_cpub_2)/(I_0-IA_cpub_0)-1)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</si>
  <si>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</si>
  <si>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</si>
  <si>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</si>
  <si>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</si>
  <si>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</si>
  <si>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100*((IA_cpub_2)/(IA_cpub_0)-1)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</si>
  <si>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</si>
  <si>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</si>
  <si>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</si>
  <si>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</si>
  <si>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</si>
  <si>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</si>
  <si>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</si>
  <si>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</si>
  <si>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</si>
  <si>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</si>
  <si>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</si>
  <si>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</si>
  <si>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</si>
  <si>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</si>
  <si>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</si>
  <si>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</si>
  <si>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</si>
  <si>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</si>
  <si>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</si>
  <si>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</si>
  <si>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</si>
  <si>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</si>
  <si>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</si>
  <si>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</si>
  <si>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</si>
  <si>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</si>
  <si>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</si>
  <si>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</si>
  <si>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</si>
  <si>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</si>
  <si>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</si>
  <si>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</si>
  <si>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</si>
  <si>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</si>
  <si>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</si>
  <si>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</si>
  <si>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</si>
  <si>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</si>
  <si>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</si>
  <si>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</si>
  <si>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MACRO 
(ABSOLU)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</si>
  <si>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</si>
  <si>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</si>
  <si>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</si>
  <si>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</si>
  <si>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</si>
  <si>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</si>
  <si>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</si>
  <si>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</si>
  <si>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</si>
  <si>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DEFLATEUR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</si>
  <si>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</si>
  <si>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</si>
  <si>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</si>
  <si>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</si>
  <si>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</si>
  <si>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</si>
  <si>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</si>
  <si>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</si>
  <si>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</si>
  <si>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</si>
  <si>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</si>
  <si>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</si>
  <si>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</si>
  <si>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</si>
  <si>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</si>
  <si>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</si>
  <si>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</si>
  <si>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</si>
  <si>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</si>
  <si>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</si>
  <si>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</si>
  <si>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</si>
  <si>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</si>
  <si>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</si>
  <si>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</si>
  <si>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</si>
  <si>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</si>
  <si>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</si>
  <si>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</si>
  <si>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</si>
  <si>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</si>
  <si>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</si>
  <si>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</si>
  <si>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</si>
  <si>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</si>
  <si>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</si>
  <si>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</si>
  <si>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</si>
  <si>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</si>
  <si>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</si>
  <si>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</si>
  <si>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</si>
  <si>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</si>
  <si>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</si>
  <si>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</si>
  <si>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</si>
  <si>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</si>
  <si>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</si>
  <si>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</si>
  <si>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</si>
  <si>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</si>
  <si>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</si>
  <si>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</si>
  <si>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</si>
  <si>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</si>
  <si>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</si>
  <si>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</si>
  <si>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</si>
  <si>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</si>
  <si>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</si>
  <si>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</si>
  <si>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</si>
  <si>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</si>
  <si>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</si>
  <si>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</si>
  <si>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</si>
  <si>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</si>
  <si>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</si>
  <si>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</si>
  <si>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</si>
  <si>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</si>
  <si>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</si>
  <si>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</si>
  <si>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</si>
  <si>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</si>
  <si>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</si>
  <si>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</si>
  <si>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</si>
  <si>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</si>
  <si>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</si>
  <si>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</si>
  <si>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</si>
  <si>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</si>
  <si>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</si>
  <si>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</si>
  <si>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</si>
  <si>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</si>
  <si>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</si>
  <si>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</si>
  <si>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</si>
  <si>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</si>
  <si>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</si>
  <si>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</si>
  <si>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</si>
  <si>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</si>
  <si>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</si>
  <si>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</si>
  <si>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</si>
  <si>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</si>
  <si>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</si>
  <si>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</si>
  <si>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</si>
  <si>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</si>
  <si>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</si>
  <si>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</si>
  <si>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</si>
  <si>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</si>
  <si>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</si>
  <si>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</si>
  <si>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</si>
  <si>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</si>
  <si>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</si>
  <si>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</si>
  <si>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</si>
  <si>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</si>
  <si>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</si>
  <si>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</si>
  <si>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</si>
  <si>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</si>
  <si>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</si>
  <si>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</si>
  <si>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</si>
  <si>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</si>
  <si>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</si>
  <si>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</si>
  <si>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</si>
  <si>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</si>
  <si>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</si>
  <si>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</si>
  <si>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</si>
  <si>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</si>
  <si>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</si>
  <si>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</si>
  <si>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</si>
  <si>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</si>
  <si>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</si>
  <si>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</si>
  <si>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</si>
  <si>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</si>
  <si>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</si>
  <si>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</si>
  <si>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</si>
  <si>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</si>
  <si>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</si>
  <si>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</si>
  <si>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</si>
  <si>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</si>
  <si>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</si>
  <si>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</si>
  <si>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</si>
  <si>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</si>
  <si>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</si>
  <si>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</si>
  <si>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</si>
  <si>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</si>
  <si>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</si>
  <si>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</si>
  <si>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</si>
  <si>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</si>
  <si>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</si>
  <si>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</si>
  <si>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</si>
  <si>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</si>
  <si>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</si>
  <si>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</si>
  <si>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</si>
  <si>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</si>
  <si>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</si>
  <si>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</si>
  <si>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</si>
  <si>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</si>
  <si>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</si>
  <si>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</si>
  <si>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</si>
  <si>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</si>
  <si>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</si>
  <si>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</si>
  <si>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</si>
  <si>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</si>
  <si>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</si>
  <si>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</si>
  <si>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</si>
  <si>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</si>
  <si>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</si>
  <si>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</si>
  <si>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</si>
  <si>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</si>
  <si>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</si>
  <si>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</si>
  <si>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</si>
  <si>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</si>
  <si>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</si>
  <si>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</si>
  <si>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</si>
  <si>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</si>
  <si>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</si>
  <si>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</si>
  <si>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</si>
  <si>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</si>
  <si>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</si>
  <si>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</si>
  <si>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</si>
  <si>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</si>
  <si>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</si>
  <si>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</si>
  <si>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</si>
  <si>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</si>
  <si>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</si>
  <si>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</si>
  <si>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</si>
  <si>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</si>
  <si>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</si>
  <si>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</si>
  <si>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</si>
  <si>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</si>
  <si>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</si>
  <si>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</si>
  <si>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</si>
  <si>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</si>
  <si>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</si>
  <si>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</si>
  <si>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</si>
  <si>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</si>
  <si>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</si>
  <si>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oil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</si>
  <si>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</si>
  <si>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</si>
  <si>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</si>
  <si>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</si>
  <si>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</si>
  <si>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</si>
  <si>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</si>
  <si>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</si>
  <si>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</si>
  <si>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</si>
  <si>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</si>
  <si>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</si>
  <si>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</si>
  <si>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</si>
  <si>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</si>
  <si>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</si>
  <si>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</si>
  <si>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</si>
  <si>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AUTOMOBILES
(unit)</t>
  </si>
  <si>
    <t>HOUSING
(m²)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</si>
  <si>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</si>
  <si>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</si>
  <si>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</si>
  <si>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</si>
  <si>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</si>
  <si>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</si>
  <si>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</si>
  <si>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</si>
  <si>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</si>
  <si>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</si>
  <si>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</si>
  <si>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</si>
  <si>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</si>
  <si>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</si>
  <si>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</si>
  <si>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</si>
  <si>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</si>
  <si>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</si>
  <si>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</si>
  <si>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</si>
  <si>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</si>
  <si>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</si>
  <si>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</si>
  <si>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</si>
  <si>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</si>
  <si>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</si>
  <si>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</si>
  <si>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</si>
  <si>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</si>
  <si>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</si>
  <si>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</si>
  <si>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</si>
  <si>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</si>
  <si>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</si>
  <si>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</si>
  <si>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</si>
  <si>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</si>
  <si>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PRIMARY ENERGY
(TEP)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</si>
  <si>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</si>
  <si>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</si>
  <si>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</si>
  <si>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</si>
  <si>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</si>
  <si>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</si>
  <si>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</si>
  <si>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</si>
  <si>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</si>
  <si>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</si>
  <si>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</si>
  <si>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</si>
  <si>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</si>
  <si>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</si>
  <si>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</si>
  <si>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</si>
  <si>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</si>
  <si>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</si>
  <si>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</si>
  <si>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</si>
  <si>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</si>
  <si>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</si>
  <si>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</si>
  <si>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</si>
  <si>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</si>
  <si>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</si>
  <si>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</si>
  <si>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</si>
  <si>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</si>
  <si>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</si>
  <si>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</si>
  <si>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</si>
  <si>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</si>
  <si>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</si>
  <si>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</si>
  <si>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</si>
  <si>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</si>
  <si>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</si>
  <si>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</si>
  <si>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</si>
  <si>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</si>
  <si>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</si>
  <si>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</si>
  <si>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</si>
  <si>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</si>
  <si>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</si>
  <si>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</si>
  <si>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</si>
  <si>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</si>
  <si>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</si>
  <si>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</si>
  <si>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</si>
  <si>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</si>
  <si>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</si>
  <si>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</si>
  <si>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</si>
  <si>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</si>
  <si>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</si>
  <si>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</si>
  <si>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</si>
  <si>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</si>
  <si>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</si>
  <si>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</si>
  <si>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</si>
  <si>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</si>
  <si>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</si>
  <si>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</si>
  <si>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</si>
  <si>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</si>
  <si>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</si>
  <si>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</si>
  <si>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</si>
  <si>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</si>
  <si>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</si>
  <si>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</si>
  <si>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</si>
  <si>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</si>
  <si>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</si>
  <si>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</si>
  <si>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</si>
  <si>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</si>
  <si>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</si>
  <si>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</si>
  <si>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</si>
  <si>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</si>
  <si>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</si>
  <si>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</si>
  <si>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</si>
  <si>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</si>
  <si>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</si>
  <si>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</si>
  <si>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</si>
  <si>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</si>
  <si>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</si>
  <si>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</si>
  <si>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</si>
  <si>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</si>
  <si>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</si>
  <si>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</si>
  <si>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</si>
  <si>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</si>
  <si>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</si>
  <si>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</si>
  <si>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</si>
  <si>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</si>
  <si>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</si>
  <si>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</si>
  <si>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</si>
  <si>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</si>
  <si>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</si>
  <si>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</si>
  <si>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</si>
  <si>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</si>
  <si>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</si>
  <si>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</si>
  <si>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</si>
  <si>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</si>
  <si>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</si>
  <si>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</si>
  <si>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</si>
  <si>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</si>
  <si>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</si>
  <si>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</si>
  <si>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</si>
  <si>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</si>
  <si>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</si>
  <si>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</si>
  <si>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</si>
  <si>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</si>
  <si>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</si>
  <si>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</si>
  <si>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</si>
  <si>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</si>
  <si>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</si>
  <si>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</si>
  <si>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</si>
  <si>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</si>
  <si>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</si>
  <si>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</si>
  <si>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</si>
  <si>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</si>
  <si>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</si>
  <si>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</si>
  <si>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</si>
  <si>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</si>
  <si>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</si>
  <si>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</si>
  <si>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</si>
  <si>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</si>
  <si>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</si>
  <si>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</si>
  <si>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</si>
  <si>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</si>
  <si>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</si>
  <si>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</si>
  <si>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</si>
  <si>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</si>
  <si>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</si>
  <si>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</si>
  <si>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</si>
  <si>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</si>
  <si>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</si>
  <si>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</si>
  <si>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</si>
  <si>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</si>
  <si>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</si>
  <si>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</si>
  <si>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</si>
  <si>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</si>
  <si>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</si>
  <si>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</si>
  <si>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</si>
  <si>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</si>
  <si>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</si>
  <si>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</si>
  <si>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</si>
  <si>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</si>
  <si>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</si>
  <si>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</si>
  <si>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</si>
  <si>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</si>
  <si>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</si>
  <si>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</si>
  <si>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</si>
  <si>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</si>
  <si>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</si>
  <si>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</si>
  <si>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</si>
  <si>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</si>
  <si>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</si>
  <si>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</si>
  <si>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</si>
  <si>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</si>
  <si>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</si>
  <si>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</si>
  <si>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</si>
  <si>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</si>
  <si>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</si>
  <si>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</si>
  <si>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</si>
  <si>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</si>
  <si>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</si>
  <si>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</si>
  <si>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</si>
  <si>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</si>
  <si>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</si>
  <si>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</si>
  <si>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</si>
  <si>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</si>
  <si>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</si>
  <si>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</si>
  <si>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</si>
  <si>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</si>
  <si>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</si>
  <si>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</si>
  <si>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</si>
  <si>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</si>
  <si>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</si>
  <si>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</si>
  <si>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</si>
  <si>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</si>
  <si>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</si>
  <si>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</si>
  <si>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</si>
  <si>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</si>
  <si>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</si>
  <si>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</si>
  <si>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</si>
  <si>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</si>
  <si>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</si>
  <si>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</si>
  <si>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</si>
  <si>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</si>
  <si>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</si>
  <si>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</si>
  <si>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</si>
  <si>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</si>
  <si>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</si>
  <si>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</si>
  <si>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</si>
  <si>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</si>
  <si>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</si>
  <si>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</si>
  <si>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</si>
  <si>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</si>
  <si>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</si>
  <si>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</si>
  <si>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</si>
  <si>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</si>
  <si>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</si>
  <si>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</si>
  <si>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</si>
  <si>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</si>
  <si>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</si>
  <si>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</si>
  <si>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</si>
  <si>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</si>
  <si>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</si>
  <si>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</si>
  <si>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</si>
  <si>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</si>
  <si>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</si>
  <si>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</si>
  <si>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</si>
  <si>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</si>
  <si>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</si>
  <si>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</si>
  <si>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</si>
  <si>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</si>
  <si>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</si>
  <si>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</si>
  <si>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</si>
  <si>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</si>
  <si>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</si>
  <si>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</si>
  <si>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</si>
  <si>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</si>
  <si>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</si>
  <si>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</si>
  <si>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</si>
  <si>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</si>
  <si>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</si>
  <si>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</si>
  <si>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</si>
  <si>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</si>
  <si>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</si>
  <si>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</si>
  <si>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</si>
  <si>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</si>
  <si>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</si>
  <si>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</si>
  <si>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</si>
  <si>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</si>
  <si>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</si>
  <si>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</si>
  <si>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</si>
  <si>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</si>
  <si>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</si>
  <si>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</si>
  <si>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</si>
  <si>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</si>
  <si>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</si>
  <si>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</si>
  <si>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</si>
  <si>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</si>
  <si>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</si>
  <si>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</si>
  <si>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</si>
  <si>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</si>
  <si>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</si>
  <si>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</si>
  <si>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</si>
  <si>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</si>
  <si>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</si>
  <si>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</si>
  <si>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</si>
  <si>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</si>
  <si>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</si>
  <si>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</si>
  <si>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</si>
  <si>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</si>
  <si>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</si>
  <si>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</si>
  <si>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</si>
  <si>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</si>
  <si>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</si>
  <si>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</si>
  <si>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</si>
  <si>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</si>
  <si>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</si>
  <si>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</si>
  <si>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</si>
  <si>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</si>
  <si>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</si>
  <si>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</si>
  <si>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</si>
  <si>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</si>
  <si>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</si>
  <si>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</si>
  <si>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</si>
  <si>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</si>
  <si>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</si>
  <si>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</si>
  <si>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</si>
  <si>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</si>
  <si>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</si>
  <si>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</si>
  <si>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</si>
  <si>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</si>
  <si>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</si>
  <si>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</si>
  <si>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</si>
  <si>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</si>
  <si>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</si>
  <si>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</si>
  <si>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</si>
  <si>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</si>
  <si>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</si>
  <si>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</si>
  <si>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</si>
  <si>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</si>
  <si>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</si>
  <si>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</si>
  <si>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</si>
  <si>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</si>
  <si>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</si>
  <si>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</si>
  <si>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</si>
  <si>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</si>
  <si>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</si>
  <si>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</si>
  <si>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</si>
  <si>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</si>
  <si>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</si>
  <si>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</si>
  <si>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</si>
  <si>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</si>
  <si>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</si>
  <si>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</si>
  <si>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</si>
  <si>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</si>
  <si>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</si>
  <si>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</si>
  <si>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</si>
  <si>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</si>
  <si>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</si>
  <si>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</si>
  <si>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</si>
  <si>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</si>
  <si>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</si>
  <si>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</si>
  <si>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</si>
  <si>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</si>
  <si>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</si>
  <si>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</si>
  <si>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</si>
  <si>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</si>
  <si>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</si>
  <si>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</si>
  <si>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</si>
  <si>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</si>
  <si>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</si>
  <si>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</si>
  <si>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</si>
  <si>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</si>
  <si>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</si>
  <si>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</si>
  <si>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</si>
  <si>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</si>
  <si>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</si>
  <si>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</si>
  <si>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</si>
  <si>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</si>
  <si>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</si>
  <si>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</si>
  <si>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</si>
  <si>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</si>
  <si>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</si>
  <si>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</si>
  <si>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</si>
  <si>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</si>
  <si>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</si>
  <si>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</si>
  <si>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</si>
  <si>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</si>
  <si>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</si>
  <si>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</si>
  <si>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</si>
  <si>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</si>
  <si>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</si>
  <si>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</si>
  <si>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</si>
  <si>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</si>
  <si>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</si>
  <si>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</si>
  <si>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</si>
  <si>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</si>
  <si>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</si>
  <si>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</si>
  <si>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</si>
  <si>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</si>
  <si>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</si>
  <si>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</si>
  <si>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</si>
  <si>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CF_toe_cfuh_sbfu_2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</si>
  <si>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</si>
  <si>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</si>
  <si>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</si>
  <si>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</si>
  <si>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</si>
  <si>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</si>
  <si>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</si>
  <si>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</si>
  <si>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</si>
  <si>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</si>
  <si>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</si>
  <si>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</si>
  <si>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</si>
  <si>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CF_toe_chea_senu_2 </t>
  </si>
  <si>
    <t xml:space="preserve">CF_toe_chea_seoi_2 </t>
  </si>
  <si>
    <t xml:space="preserve">CF_toe_chea_sega_2 </t>
  </si>
  <si>
    <t xml:space="preserve">CF_toe_chea_seco_2 </t>
  </si>
  <si>
    <t xml:space="preserve">CF_toe_chea_sewi_2 </t>
  </si>
  <si>
    <t xml:space="preserve">CF_toe_chea_seso_2 </t>
  </si>
  <si>
    <t xml:space="preserve">CF_toe_chea_sehy_2 </t>
  </si>
  <si>
    <t xml:space="preserve">CF_toe_chea_sech_2 </t>
  </si>
  <si>
    <t xml:space="preserve">CF_toe_chea_seot_2 </t>
  </si>
  <si>
    <t>CF_toe_chea_2</t>
  </si>
  <si>
    <t>CF_toe_cbio_2</t>
  </si>
  <si>
    <t>CF_toe_cote_2</t>
  </si>
  <si>
    <t>FINAL ENERGY CONSUMPTION, BY COMODITY
 (TEP)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</si>
  <si>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</si>
  <si>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</si>
  <si>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</si>
  <si>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</si>
  <si>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</si>
  <si>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</si>
  <si>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</si>
  <si>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</si>
  <si>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CF_toe_cfuh_sbfu_0</t>
  </si>
  <si>
    <t>CF_toe_cgas_0</t>
  </si>
  <si>
    <t>CF_toe_cgas_sgas_0</t>
  </si>
  <si>
    <t>CF_toe_cgas_sbga_0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</si>
  <si>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</si>
  <si>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</si>
  <si>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</si>
  <si>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</si>
  <si>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</si>
  <si>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</si>
  <si>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</si>
  <si>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</si>
  <si>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</si>
  <si>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</si>
  <si>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</si>
  <si>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CF_toe_chea_senu_0 </t>
  </si>
  <si>
    <t xml:space="preserve">CF_toe_chea_seoi_0 </t>
  </si>
  <si>
    <t xml:space="preserve">CF_toe_chea_sega_0 </t>
  </si>
  <si>
    <t xml:space="preserve">CF_toe_chea_seco_0 </t>
  </si>
  <si>
    <t xml:space="preserve">CF_toe_chea_sewi_0 </t>
  </si>
  <si>
    <t xml:space="preserve">CF_toe_chea_seso_0 </t>
  </si>
  <si>
    <t xml:space="preserve">CF_toe_chea_sehy_0 </t>
  </si>
  <si>
    <t xml:space="preserve">CF_toe_chea_sech_0 </t>
  </si>
  <si>
    <t xml:space="preserve">CF_toe_chea_seot_0 </t>
  </si>
  <si>
    <t>CF_toe_cbio_0</t>
  </si>
  <si>
    <t>CF_toe_cote_0</t>
  </si>
  <si>
    <t>HOUSING SHOCK</t>
  </si>
  <si>
    <t>TRANSPORT SHOCK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</si>
  <si>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</si>
  <si>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</si>
  <si>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</si>
  <si>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</si>
  <si>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</si>
  <si>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</si>
  <si>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</si>
  <si>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</si>
  <si>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</si>
  <si>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CH_toe_hous_2</t>
  </si>
  <si>
    <t>CH_toe_hous_ccoa_2</t>
  </si>
  <si>
    <t>CH_toe_hous_cfuh_2</t>
  </si>
  <si>
    <t>CH_toe_hous_cgas_2</t>
  </si>
  <si>
    <t>CH_toe_hous_cele_2</t>
  </si>
  <si>
    <t>CH_toe_hous_chea_2</t>
  </si>
  <si>
    <t>CH_toe_hous_cbio_2</t>
  </si>
  <si>
    <t>CH_toe_auto_2+CI_toe_TRSP_2</t>
  </si>
  <si>
    <t>CH_toe_auto_2</t>
  </si>
  <si>
    <t>CH_toe_auto_cfut_2</t>
  </si>
  <si>
    <t>CH_toe_auto_cgas_2</t>
  </si>
  <si>
    <t>CH_toe_auto_cele_2</t>
  </si>
  <si>
    <t>household (auto)</t>
  </si>
  <si>
    <t>firms</t>
  </si>
  <si>
    <t>other energy</t>
  </si>
  <si>
    <t>CI_toe_TRSP_2</t>
  </si>
  <si>
    <t>CI_toe_TRSP_ccoa_2</t>
  </si>
  <si>
    <t>CI_toe_TRSP_cfut_2</t>
  </si>
  <si>
    <t>CI_toe_TRSP_cfuh_2</t>
  </si>
  <si>
    <t>CI_toe_TRSP_cgas_2</t>
  </si>
  <si>
    <t>CI_toe_TRSP_cele_2</t>
  </si>
  <si>
    <t>CI_toe_TRSP_chea_2</t>
  </si>
  <si>
    <t>CI_toe_TRSP_cbio_2</t>
  </si>
  <si>
    <t>CI_toe_TRSP_cote_2</t>
  </si>
  <si>
    <t>CI_toe_AGRF_ccoa_2</t>
  </si>
  <si>
    <t>CI_toe_AGRF_cfut_2</t>
  </si>
  <si>
    <t>CI_toe_AGRF_cfuh_2</t>
  </si>
  <si>
    <t>CI_toe_AGRF_cgas_2</t>
  </si>
  <si>
    <t>CI_toe_AGRF_cele_2</t>
  </si>
  <si>
    <t>CI_toe_AGRF_chea_2</t>
  </si>
  <si>
    <t>CI_toe_AGRF_cbio_2</t>
  </si>
  <si>
    <t>CI_toe_AGRF_cote_2</t>
  </si>
  <si>
    <t>CI_toe_AGRF_2</t>
  </si>
  <si>
    <t>CI_toe_IND_2</t>
  </si>
  <si>
    <t>CI_toe_IND_ccoa_2</t>
  </si>
  <si>
    <t>CI_toe_IND_cfut_2</t>
  </si>
  <si>
    <t>CI_toe_IND_cfuh_2</t>
  </si>
  <si>
    <t>CI_toe_IND_cgas_2</t>
  </si>
  <si>
    <t>CI_toe_IND_cele_2</t>
  </si>
  <si>
    <t>CI_toe_IND_chea_2</t>
  </si>
  <si>
    <t>CI_toe_IND_cbio_2</t>
  </si>
  <si>
    <t>CI_toe_IND_cote_2</t>
  </si>
  <si>
    <t>CI_toe_SER_2</t>
  </si>
  <si>
    <t>CI_toe_SER_ccoa_2</t>
  </si>
  <si>
    <t>CI_toe_SER_cfut_2</t>
  </si>
  <si>
    <t>CI_toe_SER_cfuh_2</t>
  </si>
  <si>
    <t>CI_toe_SER_cgas_2</t>
  </si>
  <si>
    <t>CI_toe_SER_cele_2</t>
  </si>
  <si>
    <t>CI_toe_SER_chea_2</t>
  </si>
  <si>
    <t>CI_toe_SER_cbio_2</t>
  </si>
  <si>
    <t>CI_toe_SER_cote_2</t>
  </si>
  <si>
    <t>HOUSING BASELINE</t>
  </si>
  <si>
    <t>TRANSPORT BASELINE</t>
  </si>
  <si>
    <t>AGRICULTURE BASELINE</t>
  </si>
  <si>
    <t>INDUSTRY BASELINE (excluding energy prod)</t>
  </si>
  <si>
    <t>CH_toe_hous_0</t>
  </si>
  <si>
    <t>CH_toe_hous_ccoa_0</t>
  </si>
  <si>
    <t>CH_toe_hous_cfuh_0</t>
  </si>
  <si>
    <t>CH_toe_hous_cgas_0</t>
  </si>
  <si>
    <t>CH_toe_hous_cele_0</t>
  </si>
  <si>
    <t>CH_toe_hous_chea_0</t>
  </si>
  <si>
    <t>CH_toe_hous_cbio_0</t>
  </si>
  <si>
    <t>CH_toe_auto_0+CI_toe_TRSP_0</t>
  </si>
  <si>
    <t>CH_toe_auto_0</t>
  </si>
  <si>
    <t>CH_toe_auto_cfut_0</t>
  </si>
  <si>
    <t>CH_toe_auto_cgas_0</t>
  </si>
  <si>
    <t>CH_toe_auto_cele_0</t>
  </si>
  <si>
    <t>CI_toe_TRSP_0</t>
  </si>
  <si>
    <t>CI_toe_TRSP_ccoa_0</t>
  </si>
  <si>
    <t>CI_toe_TRSP_cfut_0</t>
  </si>
  <si>
    <t>CI_toe_TRSP_cfuh_0</t>
  </si>
  <si>
    <t>CI_toe_TRSP_cgas_0</t>
  </si>
  <si>
    <t>CI_toe_TRSP_cele_0</t>
  </si>
  <si>
    <t>CI_toe_TRSP_chea_0</t>
  </si>
  <si>
    <t>CI_toe_TRSP_cbio_0</t>
  </si>
  <si>
    <t>CI_toe_TRSP_cote_0</t>
  </si>
  <si>
    <t>CI_toe_AGRF_0</t>
  </si>
  <si>
    <t>CI_toe_AGRF_ccoa_0</t>
  </si>
  <si>
    <t>CI_toe_AGRF_cfut_0</t>
  </si>
  <si>
    <t>CI_toe_AGRF_cfuh_0</t>
  </si>
  <si>
    <t>CI_toe_AGRF_cgas_0</t>
  </si>
  <si>
    <t>CI_toe_AGRF_cele_0</t>
  </si>
  <si>
    <t>CI_toe_AGRF_chea_0</t>
  </si>
  <si>
    <t>CI_toe_AGRF_cbio_0</t>
  </si>
  <si>
    <t>CI_toe_AGRF_cote_0</t>
  </si>
  <si>
    <t>CI_toe_IND_0</t>
  </si>
  <si>
    <t>CI_toe_IND_ccoa_0</t>
  </si>
  <si>
    <t>CI_toe_IND_cfut_0</t>
  </si>
  <si>
    <t>CI_toe_IND_cfuh_0</t>
  </si>
  <si>
    <t>CI_toe_IND_cgas_0</t>
  </si>
  <si>
    <t>CI_toe_IND_cele_0</t>
  </si>
  <si>
    <t>CI_toe_IND_chea_0</t>
  </si>
  <si>
    <t>CI_toe_IND_cbio_0</t>
  </si>
  <si>
    <t>CI_toe_IND_cote_0</t>
  </si>
  <si>
    <t>CI_toe_SER_0</t>
  </si>
  <si>
    <t>CI_toe_SER_ccoa_0</t>
  </si>
  <si>
    <t>CI_toe_SER_cfut_0</t>
  </si>
  <si>
    <t>CI_toe_SER_cfuh_0</t>
  </si>
  <si>
    <t>CI_toe_SER_cgas_0</t>
  </si>
  <si>
    <t>CI_toe_SER_cele_0</t>
  </si>
  <si>
    <t>CI_toe_SER_chea_0</t>
  </si>
  <si>
    <t>CI_toe_SER_cbio_0</t>
  </si>
  <si>
    <t>CI_toe_SER_cote_0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</si>
  <si>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</si>
  <si>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</si>
  <si>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</si>
  <si>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</si>
  <si>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</si>
  <si>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</si>
  <si>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</si>
  <si>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</si>
  <si>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</si>
  <si>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</si>
  <si>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</si>
  <si>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</si>
  <si>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</si>
  <si>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</si>
  <si>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</si>
  <si>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</si>
  <si>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</si>
  <si>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</si>
  <si>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</si>
  <si>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</si>
  <si>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</si>
  <si>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</si>
  <si>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</si>
  <si>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</si>
  <si>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</si>
  <si>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</si>
  <si>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</si>
  <si>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</si>
  <si>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</si>
  <si>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</si>
  <si>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</si>
  <si>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</si>
  <si>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</si>
  <si>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</si>
  <si>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</si>
  <si>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</si>
  <si>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</si>
  <si>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</si>
  <si>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</si>
  <si>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</si>
  <si>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</si>
  <si>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</si>
  <si>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</si>
  <si>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</si>
  <si>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</si>
  <si>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</si>
  <si>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</si>
  <si>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</si>
  <si>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</si>
  <si>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</si>
  <si>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</si>
  <si>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</si>
  <si>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</si>
  <si>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</si>
  <si>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</si>
  <si>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</si>
  <si>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</si>
  <si>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</si>
  <si>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</si>
  <si>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</si>
  <si>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</si>
  <si>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</si>
  <si>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</si>
  <si>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</si>
  <si>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</si>
  <si>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</si>
  <si>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</si>
  <si>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</si>
  <si>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</si>
  <si>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</si>
  <si>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</si>
  <si>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</si>
  <si>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</si>
  <si>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</si>
  <si>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</si>
  <si>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</si>
  <si>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</si>
  <si>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</si>
  <si>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</si>
  <si>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</si>
  <si>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</si>
  <si>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</si>
  <si>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</si>
  <si>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</si>
  <si>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</si>
  <si>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</si>
  <si>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</si>
  <si>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</si>
  <si>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</si>
  <si>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</si>
  <si>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</si>
  <si>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</si>
  <si>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</si>
  <si>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</si>
  <si>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</si>
  <si>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</si>
  <si>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</si>
  <si>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</si>
  <si>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</si>
  <si>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</si>
  <si>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</si>
  <si>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</si>
  <si>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</si>
  <si>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</si>
  <si>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</si>
  <si>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</si>
  <si>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</si>
  <si>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</si>
  <si>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</si>
  <si>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</si>
  <si>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</si>
  <si>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</si>
  <si>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</si>
  <si>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</si>
  <si>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</si>
  <si>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</si>
  <si>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</si>
  <si>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</si>
  <si>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</si>
  <si>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</si>
  <si>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</si>
  <si>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</si>
  <si>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</si>
  <si>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</si>
  <si>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</si>
  <si>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</si>
  <si>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</si>
  <si>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</si>
  <si>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</si>
  <si>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</si>
  <si>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</si>
  <si>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</si>
  <si>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</si>
  <si>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</si>
  <si>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</si>
  <si>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</si>
  <si>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</si>
  <si>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</si>
  <si>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</si>
  <si>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</si>
  <si>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</si>
  <si>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</si>
  <si>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</si>
  <si>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</si>
  <si>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</si>
  <si>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</si>
  <si>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</si>
  <si>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</si>
  <si>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</si>
  <si>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</si>
  <si>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</si>
  <si>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</si>
  <si>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</si>
  <si>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</si>
  <si>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</si>
  <si>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</si>
  <si>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</si>
  <si>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</si>
  <si>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</si>
  <si>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</si>
  <si>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</si>
  <si>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</si>
  <si>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</si>
  <si>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</si>
  <si>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</si>
  <si>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</si>
  <si>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</si>
  <si>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</si>
  <si>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</si>
  <si>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</si>
  <si>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</si>
  <si>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</si>
  <si>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</si>
  <si>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</si>
  <si>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</si>
  <si>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</si>
  <si>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</si>
  <si>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</si>
  <si>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</si>
  <si>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</si>
  <si>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</si>
  <si>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</si>
  <si>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</si>
  <si>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</si>
  <si>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</si>
  <si>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</si>
  <si>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</si>
  <si>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</si>
  <si>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</si>
  <si>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</si>
  <si>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</si>
  <si>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</si>
  <si>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</si>
  <si>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</si>
  <si>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</si>
  <si>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</si>
  <si>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</si>
  <si>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</si>
  <si>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</si>
  <si>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</si>
  <si>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</si>
  <si>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</si>
  <si>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</si>
  <si>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</si>
  <si>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</si>
  <si>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</si>
  <si>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</si>
  <si>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</si>
  <si>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</si>
  <si>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</si>
  <si>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</si>
  <si>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</si>
  <si>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</si>
  <si>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</si>
  <si>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</si>
  <si>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</si>
  <si>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</si>
  <si>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</si>
  <si>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</si>
  <si>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</si>
  <si>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</si>
  <si>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</si>
  <si>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</si>
  <si>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</si>
  <si>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</si>
  <si>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</si>
  <si>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</si>
  <si>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</si>
  <si>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</si>
  <si>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</si>
  <si>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</si>
  <si>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</si>
  <si>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</si>
  <si>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</si>
  <si>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</si>
  <si>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</si>
  <si>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</si>
  <si>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</si>
  <si>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</si>
  <si>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</si>
  <si>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</si>
  <si>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</si>
  <si>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</si>
  <si>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</si>
  <si>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</si>
  <si>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</si>
  <si>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</si>
  <si>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</si>
  <si>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</si>
  <si>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</si>
  <si>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</si>
  <si>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</si>
  <si>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</si>
  <si>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</si>
  <si>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</si>
  <si>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</si>
  <si>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</si>
  <si>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</si>
  <si>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</si>
  <si>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</si>
  <si>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</si>
  <si>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</si>
  <si>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</si>
  <si>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</si>
  <si>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</si>
  <si>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</si>
  <si>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</si>
  <si>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</si>
  <si>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</si>
  <si>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</si>
  <si>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</si>
  <si>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</si>
  <si>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</si>
  <si>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</si>
  <si>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</si>
  <si>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</si>
  <si>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</si>
  <si>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</si>
  <si>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</si>
  <si>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</si>
  <si>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</si>
  <si>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</si>
  <si>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</si>
  <si>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</si>
  <si>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</si>
  <si>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</si>
  <si>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</si>
  <si>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</si>
  <si>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</si>
  <si>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</si>
  <si>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</si>
  <si>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</si>
  <si>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</si>
  <si>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</si>
  <si>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</si>
  <si>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</si>
  <si>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</si>
  <si>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</si>
  <si>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</si>
  <si>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</si>
  <si>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</si>
  <si>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</si>
  <si>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</si>
  <si>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</si>
  <si>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</si>
  <si>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</si>
  <si>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</si>
  <si>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</si>
  <si>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</si>
  <si>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</si>
  <si>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</si>
  <si>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</si>
  <si>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</si>
  <si>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</si>
  <si>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</si>
  <si>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</si>
  <si>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</si>
  <si>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</si>
  <si>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</si>
  <si>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</si>
  <si>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</si>
  <si>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</si>
  <si>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</si>
  <si>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</si>
  <si>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</si>
  <si>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</si>
  <si>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</si>
  <si>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</si>
  <si>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</si>
  <si>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</si>
  <si>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</si>
  <si>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</si>
  <si>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</si>
  <si>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</si>
  <si>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</si>
  <si>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</si>
  <si>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</si>
  <si>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</si>
  <si>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</si>
  <si>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</si>
  <si>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</si>
  <si>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</si>
  <si>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</si>
  <si>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</si>
  <si>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</si>
  <si>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</si>
  <si>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</si>
  <si>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EMS_CH_ccoi_2</t>
  </si>
  <si>
    <t>EMS_CH_cfut_2</t>
  </si>
  <si>
    <t>EMS_CH_cfuh_2</t>
  </si>
  <si>
    <t>EMS_CH_cele_2</t>
  </si>
  <si>
    <t>EMS_CH_chea_2</t>
  </si>
  <si>
    <t>EMS_CH_cbio_2</t>
  </si>
  <si>
    <t>EMS_CH_cote_2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</si>
  <si>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</si>
  <si>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</si>
  <si>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</si>
  <si>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</si>
  <si>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</si>
  <si>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</si>
  <si>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</si>
  <si>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</si>
  <si>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</si>
  <si>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</si>
  <si>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</si>
  <si>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</si>
  <si>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</si>
  <si>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</si>
  <si>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</si>
  <si>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</si>
  <si>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</si>
  <si>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</si>
  <si>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</si>
  <si>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</si>
  <si>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</si>
  <si>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</si>
  <si>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</si>
  <si>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</si>
  <si>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</si>
  <si>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</si>
  <si>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</si>
  <si>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</si>
  <si>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</si>
  <si>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</si>
  <si>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</si>
  <si>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</si>
  <si>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EMS_CI_sfor_ccoa_2</t>
  </si>
  <si>
    <t>EMS_CI_ind_ccoa_2</t>
  </si>
  <si>
    <t>EMS_CI_sfoo_ccoa_2</t>
  </si>
  <si>
    <t>EMS_CI_sveh_ccoa_2</t>
  </si>
  <si>
    <t>EMS_CI_sgla_ccoa_2</t>
  </si>
  <si>
    <t>EMS_CI_spap_ccoa_2</t>
  </si>
  <si>
    <t>EMS_CI_sche_ccoa_2</t>
  </si>
  <si>
    <t>EMS_CI_spla_ccoa_2</t>
  </si>
  <si>
    <t>EMS_CI_smet_ccoa_2</t>
  </si>
  <si>
    <t>EMS_CI_sigo_ccoa_2</t>
  </si>
  <si>
    <t>EMS_CI_scgo_ccoa_2</t>
  </si>
  <si>
    <t>EMS_CI_scon_ccoa_2</t>
  </si>
  <si>
    <t>EMS_CI_smin_ccoa_2</t>
  </si>
  <si>
    <t>EMS_CI_trsp_ccoa_2</t>
  </si>
  <si>
    <t>EMS_CI_srai_ccoa_2</t>
  </si>
  <si>
    <t>EMS_CI_sroa_ccoa_2</t>
  </si>
  <si>
    <t>EMS_CI_swat_ccoa_2</t>
  </si>
  <si>
    <t>EMS_CI_sair_ccoa_2</t>
  </si>
  <si>
    <t>EMS_CI_ser_ccoa_2</t>
  </si>
  <si>
    <t>EMS_CI_spri_ccoa_2</t>
  </si>
  <si>
    <t>EMS_CI_spub_ccoa_2</t>
  </si>
  <si>
    <t>EMS_CI_trsf_ccoa_2</t>
  </si>
  <si>
    <t>EMS_CI_soil_ccoa_2</t>
  </si>
  <si>
    <t>EMS_CI_sbfu_ccoa_2</t>
  </si>
  <si>
    <t>EMS_CI_sgas_ccoa_2</t>
  </si>
  <si>
    <t>EMS_CI_sbga_ccoa_2</t>
  </si>
  <si>
    <t>EMS_CI_ele_ccoa_2</t>
  </si>
  <si>
    <t>EMS_CI_senu_ccoa_2</t>
  </si>
  <si>
    <t>EMS_CI_seoi_ccoa_2</t>
  </si>
  <si>
    <t>EMS_CI_sega_ccoa_2</t>
  </si>
  <si>
    <t>EMS_CI_seco_ccoa_2</t>
  </si>
  <si>
    <t>EMS_CI_sewi_ccoa_2</t>
  </si>
  <si>
    <t>EMS_CI_seso_ccoa_2</t>
  </si>
  <si>
    <t>EMS_CI_sehy_ccoa_2</t>
  </si>
  <si>
    <t>EMS_CI_sech_ccoa_2</t>
  </si>
  <si>
    <t>EMS_CI_seot_ccoa_2</t>
  </si>
  <si>
    <t>coil</t>
  </si>
  <si>
    <t>EMS_CI_sfor_coil_2</t>
  </si>
  <si>
    <t>EMS_CI_ind_coil_2</t>
  </si>
  <si>
    <t>EMS_CI_sfoo_coil_2</t>
  </si>
  <si>
    <t>EMS_CI_sveh_coil_2</t>
  </si>
  <si>
    <t>EMS_CI_sgla_coil_2</t>
  </si>
  <si>
    <t>EMS_CI_spap_coil_2</t>
  </si>
  <si>
    <t>EMS_CI_sche_coil_2</t>
  </si>
  <si>
    <t>EMS_CI_spla_coil_2</t>
  </si>
  <si>
    <t>EMS_CI_smet_coil_2</t>
  </si>
  <si>
    <t>EMS_CI_sigo_coil_2</t>
  </si>
  <si>
    <t>EMS_CI_scgo_coil_2</t>
  </si>
  <si>
    <t>EMS_CI_scon_coil_2</t>
  </si>
  <si>
    <t>EMS_CI_smin_coil_2</t>
  </si>
  <si>
    <t>EMS_CI_trsp_coil_2</t>
  </si>
  <si>
    <t>EMS_CI_srai_coil_2</t>
  </si>
  <si>
    <t>EMS_CI_sroa_coil_2</t>
  </si>
  <si>
    <t>EMS_CI_swat_coil_2</t>
  </si>
  <si>
    <t>EMS_CI_sair_coil_2</t>
  </si>
  <si>
    <t>EMS_CI_ser_coil_2</t>
  </si>
  <si>
    <t>EMS_CI_spri_coil_2</t>
  </si>
  <si>
    <t>EMS_CI_spub_coil_2</t>
  </si>
  <si>
    <t>EMS_CI_trsf_coil_2</t>
  </si>
  <si>
    <t>EMS_CI_soil_coil_2</t>
  </si>
  <si>
    <t>EMS_CI_sbfu_coil_2</t>
  </si>
  <si>
    <t>EMS_CI_sgas_coil_2</t>
  </si>
  <si>
    <t>EMS_CI_sbga_coil_2</t>
  </si>
  <si>
    <t>EMS_CI_ele_coil_2</t>
  </si>
  <si>
    <t>EMS_CI_senu_coil_2</t>
  </si>
  <si>
    <t>EMS_CI_seoi_coil_2</t>
  </si>
  <si>
    <t>EMS_CI_sega_coil_2</t>
  </si>
  <si>
    <t>EMS_CI_seco_coil_2</t>
  </si>
  <si>
    <t>EMS_CI_sewi_coil_2</t>
  </si>
  <si>
    <t>EMS_CI_seso_coil_2</t>
  </si>
  <si>
    <t>EMS_CI_sehy_coil_2</t>
  </si>
  <si>
    <t>EMS_CI_sech_coil_2</t>
  </si>
  <si>
    <t>EMS_CI_seot_coil_2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</si>
  <si>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</si>
  <si>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</si>
  <si>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</si>
  <si>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</si>
  <si>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</si>
  <si>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</si>
  <si>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</si>
  <si>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</si>
  <si>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</si>
  <si>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</si>
  <si>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NON ENERGY EMISSIONS SHOCK</t>
  </si>
  <si>
    <t>ETS EMISSIONS SHOCK</t>
  </si>
  <si>
    <t>NON-ETS EMISSIONS SHOCK</t>
  </si>
  <si>
    <t>EMS_SEC_2</t>
  </si>
  <si>
    <t>EMS_sagr_2</t>
  </si>
  <si>
    <t>EMS_SEC=sum(EMS[s] on s)</t>
  </si>
  <si>
    <t>EMS[s]=EMS_CI[s] + EMS_MAT[s] + EMS_Y[s]</t>
  </si>
  <si>
    <t xml:space="preserve">EMS_ETS=sum (EMS[sets] on sets) </t>
  </si>
  <si>
    <t>EMS_ETS_2</t>
  </si>
  <si>
    <t>EMS_NETS_2</t>
  </si>
  <si>
    <t>EMS_AGRF_2</t>
  </si>
  <si>
    <t>EMS_NETSI_2</t>
  </si>
  <si>
    <t>EMS_TRSP_2</t>
  </si>
  <si>
    <t>EMS_TRSP_2-EMS_sair_2</t>
  </si>
  <si>
    <t xml:space="preserve">EMS_NETSI=sum (EMS[snesti] on snetsi) </t>
  </si>
  <si>
    <t xml:space="preserve">EMS_TRSP=sum (EMS[strsp] on strsp) </t>
  </si>
  <si>
    <t>EMS_IND_2</t>
  </si>
  <si>
    <t>EMS_SER_2</t>
  </si>
  <si>
    <t>EMS_TRSF_2</t>
  </si>
  <si>
    <t>EMS_ELE_2</t>
  </si>
  <si>
    <t xml:space="preserve">EMS_IND=sum (EMS[sind] on sind) </t>
  </si>
  <si>
    <t xml:space="preserve">EMS_SER=sum (EMS[sser] on sser) </t>
  </si>
  <si>
    <t xml:space="preserve">EMS_TRSF=sum (EMS[strsf] on strsf) </t>
  </si>
  <si>
    <t xml:space="preserve">EMS_ELE=sum (EMS[sele] on sele) </t>
  </si>
  <si>
    <t>EMS_CI_sagr_ccoa_2</t>
  </si>
  <si>
    <t>possible de le créer ?</t>
  </si>
  <si>
    <t>EMS_CH_BUIL</t>
  </si>
  <si>
    <t>EMS_CH_AUTO</t>
  </si>
  <si>
    <t>EMS_CI_sagr_coil_2</t>
  </si>
  <si>
    <t>ENERGY TOTAL EMISSIONS SHOCK</t>
  </si>
  <si>
    <t>ENERGY HOUSEHOLD EMISSIONS SHOCK</t>
  </si>
  <si>
    <t>EMS_CI_coil_2</t>
  </si>
  <si>
    <t>EMS_CI_agrf_coil_2</t>
  </si>
  <si>
    <t>EMS_CI_ccoa_2</t>
  </si>
  <si>
    <t>EMS_CI_agrf_ccoa_2</t>
  </si>
  <si>
    <t>EMS_nrj_ccoa_2</t>
  </si>
  <si>
    <t>EMS_nrj_ccoi_2</t>
  </si>
  <si>
    <t>EMS_nrj_cfut_2</t>
  </si>
  <si>
    <t>EMS_nrj_cfuh_2</t>
  </si>
  <si>
    <t>EMS_nrj_cele_2</t>
  </si>
  <si>
    <t>EMS_nrj_chea_2</t>
  </si>
  <si>
    <t>EMS_nrj_cbio_2</t>
  </si>
  <si>
    <t>EMS_nrj_cote_2</t>
  </si>
  <si>
    <t>EMS_nrj[ce]=EMS_CH[ce]+EMS_CI[ce]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</si>
  <si>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</si>
  <si>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</si>
  <si>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</si>
  <si>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</si>
  <si>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</si>
  <si>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</si>
  <si>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</si>
  <si>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</si>
  <si>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</si>
  <si>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</si>
  <si>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</si>
  <si>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</si>
  <si>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</si>
  <si>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</si>
  <si>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</si>
  <si>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</si>
  <si>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</si>
  <si>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</si>
  <si>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</si>
  <si>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</si>
  <si>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</si>
  <si>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</si>
  <si>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</si>
  <si>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</si>
  <si>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</si>
  <si>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</si>
  <si>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</si>
  <si>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</si>
  <si>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</si>
  <si>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</si>
  <si>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</si>
  <si>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</si>
  <si>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</si>
  <si>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</si>
  <si>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</si>
  <si>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</si>
  <si>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</si>
  <si>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</si>
  <si>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</si>
  <si>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</si>
  <si>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</si>
  <si>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</si>
  <si>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</si>
  <si>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</si>
  <si>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</si>
  <si>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</si>
  <si>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</si>
  <si>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</si>
  <si>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</si>
  <si>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</si>
  <si>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</si>
  <si>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</si>
  <si>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</si>
  <si>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</si>
  <si>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</si>
  <si>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</si>
  <si>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</si>
  <si>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</si>
  <si>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</si>
  <si>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</si>
  <si>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</si>
  <si>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</si>
  <si>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</si>
  <si>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</si>
  <si>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</si>
  <si>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</si>
  <si>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</si>
  <si>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</si>
  <si>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</si>
  <si>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</si>
  <si>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</si>
  <si>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</si>
  <si>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</si>
  <si>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</si>
  <si>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</si>
  <si>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</si>
  <si>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</si>
  <si>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</si>
  <si>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</si>
  <si>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</si>
  <si>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</si>
  <si>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</si>
  <si>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</si>
  <si>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</si>
  <si>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</si>
  <si>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</si>
  <si>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</si>
  <si>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</si>
  <si>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</si>
  <si>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</si>
  <si>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</si>
  <si>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</si>
  <si>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</si>
  <si>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</si>
  <si>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</si>
  <si>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</si>
  <si>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</si>
  <si>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</si>
  <si>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</si>
  <si>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</si>
  <si>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</si>
  <si>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</si>
  <si>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</si>
  <si>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</si>
  <si>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</si>
  <si>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</si>
  <si>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</si>
  <si>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</si>
  <si>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</si>
  <si>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</si>
  <si>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</si>
  <si>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</si>
  <si>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</si>
  <si>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</si>
  <si>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</si>
  <si>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</si>
  <si>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</si>
  <si>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</si>
  <si>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</si>
  <si>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</si>
  <si>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</si>
  <si>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</si>
  <si>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</si>
  <si>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</si>
  <si>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</si>
  <si>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</si>
  <si>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</si>
  <si>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</si>
  <si>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</si>
  <si>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</si>
  <si>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</si>
  <si>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</si>
  <si>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</si>
  <si>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</si>
  <si>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</si>
  <si>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</si>
  <si>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</si>
  <si>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</si>
  <si>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</si>
  <si>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</si>
  <si>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</si>
  <si>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</si>
  <si>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</si>
  <si>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</si>
  <si>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</si>
  <si>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</si>
  <si>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</si>
  <si>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</si>
  <si>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</si>
  <si>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</si>
  <si>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</si>
  <si>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EMS_CI[ce]=sum(EMS_CI[s;ce] on s)</t>
  </si>
  <si>
    <t>EMS_CI[s,ce]=sum(EMS_CI[ghg,ce,s] on ghg)</t>
  </si>
  <si>
    <t>EMS_CI[sagrf,ce]=sum(EMS_CI[s;ce] on sagrf)</t>
  </si>
  <si>
    <t xml:space="preserve">EMS_AGRF=sum (EMS[s] on sagrf) </t>
  </si>
  <si>
    <t>EMS_CH[ce]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</si>
  <si>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</si>
  <si>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</si>
  <si>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</si>
  <si>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</si>
  <si>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</si>
  <si>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</si>
  <si>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</si>
  <si>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</si>
  <si>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</si>
  <si>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</si>
  <si>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</si>
  <si>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</si>
  <si>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</si>
  <si>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</si>
  <si>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</si>
  <si>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</si>
  <si>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</si>
  <si>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</si>
  <si>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</si>
  <si>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</si>
  <si>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</si>
  <si>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</si>
  <si>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</si>
  <si>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</si>
  <si>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</si>
  <si>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</si>
  <si>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</si>
  <si>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</si>
  <si>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</si>
  <si>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</si>
  <si>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</si>
  <si>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</si>
  <si>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</si>
  <si>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</si>
  <si>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</si>
  <si>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</si>
  <si>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</si>
  <si>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</si>
  <si>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</si>
  <si>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</si>
  <si>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</si>
  <si>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</si>
  <si>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</si>
  <si>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</si>
  <si>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</si>
  <si>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</si>
  <si>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</si>
  <si>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</si>
  <si>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</si>
  <si>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</si>
  <si>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</si>
  <si>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</si>
  <si>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</si>
  <si>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</si>
  <si>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</si>
  <si>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</si>
  <si>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</si>
  <si>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</si>
  <si>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</si>
  <si>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</si>
  <si>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</si>
  <si>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</si>
  <si>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</si>
  <si>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</si>
  <si>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</si>
  <si>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</si>
  <si>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</si>
  <si>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</si>
  <si>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</si>
  <si>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</si>
  <si>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</si>
  <si>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</si>
  <si>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</si>
  <si>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</si>
  <si>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</si>
  <si>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</si>
  <si>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</si>
  <si>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</si>
  <si>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</si>
  <si>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</si>
  <si>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</si>
  <si>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</si>
  <si>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</si>
  <si>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</si>
  <si>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</si>
  <si>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</si>
  <si>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</si>
  <si>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</si>
  <si>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</si>
  <si>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</si>
  <si>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</si>
  <si>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</si>
  <si>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</si>
  <si>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</si>
  <si>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</si>
  <si>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</si>
  <si>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</si>
  <si>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</si>
  <si>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</si>
  <si>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</si>
  <si>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</si>
  <si>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</si>
  <si>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</si>
  <si>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</si>
  <si>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</si>
  <si>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</si>
  <si>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</si>
  <si>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</si>
  <si>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</si>
  <si>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</si>
  <si>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</si>
  <si>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</si>
  <si>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</si>
  <si>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</si>
  <si>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</si>
  <si>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</si>
  <si>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</si>
  <si>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</si>
  <si>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</si>
  <si>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</si>
  <si>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</si>
  <si>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</si>
  <si>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</si>
  <si>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</si>
  <si>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</si>
  <si>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</si>
  <si>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</si>
  <si>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</si>
  <si>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</si>
  <si>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</si>
  <si>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</si>
  <si>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</si>
  <si>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</si>
  <si>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</si>
  <si>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</si>
  <si>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</si>
  <si>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PhiY_ccoal_smin_2</t>
  </si>
  <si>
    <t>PhiY_ccoal_soil_2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</si>
  <si>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</si>
  <si>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</si>
  <si>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</si>
  <si>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</si>
  <si>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</si>
  <si>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</si>
  <si>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</si>
  <si>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</si>
  <si>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</si>
  <si>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</si>
  <si>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PhiY_ccoal_smin_0</t>
  </si>
  <si>
    <t>PhiY_ccoal_soil_0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</si>
  <si>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</si>
  <si>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</si>
  <si>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</si>
  <si>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</si>
  <si>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</si>
  <si>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</si>
  <si>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</si>
  <si>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</si>
  <si>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</si>
  <si>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</si>
  <si>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YG_ccoa_smin_2</t>
  </si>
  <si>
    <t>YG_ccoa_soil_2</t>
  </si>
  <si>
    <t>YG_toe_cfuh_soil_2</t>
  </si>
  <si>
    <t>YG_toe_cgas_smet_2</t>
  </si>
  <si>
    <t>YG_toe_cgas_smin_2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</si>
  <si>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</si>
  <si>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</si>
  <si>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</si>
  <si>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</si>
  <si>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</si>
  <si>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</si>
  <si>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YG_ccoa_smin_0</t>
  </si>
  <si>
    <t>YG_ccoa_soil_0</t>
  </si>
  <si>
    <t>YG_toe_ccoi_smin_0</t>
  </si>
  <si>
    <t>YG_toe_ccoi_soil_0</t>
  </si>
  <si>
    <t>YG_toe_cfuh_soil_0</t>
  </si>
  <si>
    <t>YG_toe_cgas_smet_0</t>
  </si>
  <si>
    <t>YG_toe_cgas_smin_0</t>
  </si>
  <si>
    <t>YG_toe_chea_sech_0</t>
  </si>
  <si>
    <t>YG_toe_cbio_sfor_0</t>
  </si>
  <si>
    <t>YG_toe_cbio_spub_0</t>
  </si>
  <si>
    <t>YG_toe_cote_soil_0</t>
  </si>
  <si>
    <t>YG_toe_cote_spub_0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</si>
</sst>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5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</cellStyleXfs>
  <cellXfs count="369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9" borderId="0" xfId="2" applyNumberFormat="1" applyFont="1" applyFill="1" applyBorder="1"/>
    <xf numFmtId="1" fontId="11" fillId="6" borderId="5" xfId="2" applyNumberFormat="1" applyFont="1" applyFill="1" applyBorder="1"/>
    <xf numFmtId="1" fontId="11" fillId="10" borderId="0" xfId="2" applyNumberFormat="1" applyFont="1" applyFill="1" applyBorder="1"/>
    <xf numFmtId="1" fontId="11" fillId="11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2" borderId="0" xfId="2" applyNumberFormat="1" applyFont="1" applyFill="1"/>
    <xf numFmtId="1" fontId="11" fillId="12" borderId="0" xfId="2" applyNumberFormat="1" applyFont="1" applyFill="1" applyAlignment="1">
      <alignment wrapText="1"/>
    </xf>
    <xf numFmtId="1" fontId="11" fillId="12" borderId="0" xfId="2" applyNumberFormat="1" applyFont="1" applyFill="1" applyBorder="1"/>
    <xf numFmtId="1" fontId="11" fillId="11" borderId="15" xfId="2" applyNumberFormat="1" applyFont="1" applyFill="1" applyBorder="1"/>
    <xf numFmtId="1" fontId="11" fillId="11" borderId="5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 applyBorder="1"/>
    <xf numFmtId="0" fontId="13" fillId="14" borderId="0" xfId="0" applyFont="1" applyFill="1" applyAlignment="1">
      <alignment horizontal="center"/>
    </xf>
    <xf numFmtId="1" fontId="11" fillId="14" borderId="0" xfId="2" applyNumberFormat="1" applyFont="1" applyFill="1"/>
    <xf numFmtId="1" fontId="11" fillId="3" borderId="0" xfId="2" applyNumberFormat="1" applyFont="1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1" fontId="11" fillId="17" borderId="0" xfId="2" applyNumberFormat="1" applyFont="1" applyFill="1" applyBorder="1"/>
    <xf numFmtId="0" fontId="0" fillId="18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5" borderId="0" xfId="2" applyNumberFormat="1" applyFill="1" applyBorder="1"/>
    <xf numFmtId="1" fontId="11" fillId="13" borderId="0" xfId="2" applyNumberFormat="1" applyFont="1" applyFill="1" applyBorder="1"/>
    <xf numFmtId="1" fontId="11" fillId="6" borderId="0" xfId="2" applyNumberFormat="1" applyFont="1" applyFill="1" applyBorder="1"/>
    <xf numFmtId="1" fontId="11" fillId="15" borderId="0" xfId="2" applyNumberFormat="1" applyFont="1" applyFill="1" applyBorder="1"/>
    <xf numFmtId="1" fontId="11" fillId="4" borderId="0" xfId="2" applyNumberFormat="1" applyFont="1" applyFill="1"/>
    <xf numFmtId="1" fontId="11" fillId="16" borderId="0" xfId="2" applyNumberFormat="1" applyFont="1" applyFill="1" applyBorder="1"/>
    <xf numFmtId="1" fontId="11" fillId="17" borderId="0" xfId="2" applyNumberFormat="1" applyFont="1" applyFill="1" applyBorder="1"/>
    <xf numFmtId="1" fontId="11" fillId="8" borderId="0" xfId="2" applyNumberFormat="1" applyFont="1" applyFill="1" applyBorder="1"/>
    <xf numFmtId="1" fontId="11" fillId="7" borderId="0" xfId="2" applyNumberFormat="1" applyFont="1" applyFill="1" applyBorder="1"/>
    <xf numFmtId="1" fontId="11" fillId="8" borderId="6" xfId="2" applyNumberFormat="1" applyFont="1" applyFill="1" applyBorder="1"/>
    <xf numFmtId="1" fontId="17" fillId="8" borderId="0" xfId="2" applyNumberFormat="1" applyFont="1" applyFill="1" applyBorder="1"/>
    <xf numFmtId="1" fontId="17" fillId="16" borderId="0" xfId="2" applyNumberFormat="1" applyFont="1" applyFill="1" applyBorder="1"/>
    <xf numFmtId="1" fontId="11" fillId="16" borderId="1" xfId="2" applyNumberFormat="1" applyFont="1" applyFill="1" applyBorder="1"/>
    <xf numFmtId="1" fontId="17" fillId="15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5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5" borderId="5" xfId="2" applyNumberFormat="1" applyFont="1" applyFill="1" applyBorder="1"/>
    <xf numFmtId="1" fontId="11" fillId="16" borderId="4" xfId="2" applyNumberFormat="1" applyFont="1" applyFill="1" applyBorder="1"/>
    <xf numFmtId="1" fontId="11" fillId="16" borderId="3" xfId="2" applyNumberFormat="1" applyFont="1" applyFill="1" applyBorder="1"/>
    <xf numFmtId="1" fontId="11" fillId="16" borderId="5" xfId="2" applyNumberFormat="1" applyFont="1" applyFill="1" applyBorder="1"/>
    <xf numFmtId="1" fontId="11" fillId="17" borderId="5" xfId="2" applyNumberFormat="1" applyFont="1" applyFill="1" applyBorder="1"/>
    <xf numFmtId="1" fontId="17" fillId="13" borderId="0" xfId="2" applyNumberFormat="1" applyFont="1" applyFill="1"/>
    <xf numFmtId="1" fontId="17" fillId="13" borderId="0" xfId="2" applyNumberFormat="1" applyFont="1" applyFill="1" applyBorder="1"/>
    <xf numFmtId="1" fontId="11" fillId="13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5" borderId="2" xfId="2" applyNumberFormat="1" applyFont="1" applyFill="1" applyBorder="1"/>
    <xf numFmtId="1" fontId="11" fillId="15" borderId="5" xfId="2" applyNumberFormat="1" applyFill="1" applyBorder="1"/>
    <xf numFmtId="1" fontId="11" fillId="19" borderId="0" xfId="2" applyNumberFormat="1" applyFont="1" applyFill="1" applyBorder="1"/>
    <xf numFmtId="0" fontId="1" fillId="0" borderId="0" xfId="0" applyFont="1"/>
    <xf numFmtId="1" fontId="17" fillId="8" borderId="6" xfId="2" applyNumberFormat="1" applyFont="1" applyFill="1" applyBorder="1"/>
    <xf numFmtId="1" fontId="11" fillId="15" borderId="1" xfId="2" applyNumberFormat="1" applyFont="1" applyFill="1" applyBorder="1"/>
    <xf numFmtId="1" fontId="11" fillId="15" borderId="3" xfId="2" applyNumberFormat="1" applyFont="1" applyFill="1" applyBorder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5" borderId="6" xfId="2" applyNumberFormat="1" applyFont="1" applyFill="1" applyBorder="1"/>
    <xf numFmtId="1" fontId="11" fillId="15" borderId="2" xfId="2" applyNumberFormat="1" applyFont="1" applyFill="1" applyBorder="1"/>
    <xf numFmtId="1" fontId="11" fillId="15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9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11" borderId="6" xfId="0" applyFont="1" applyFill="1" applyBorder="1"/>
    <xf numFmtId="0" fontId="8" fillId="3" borderId="3" xfId="0" applyFont="1" applyFill="1" applyBorder="1"/>
    <xf numFmtId="0" fontId="8" fillId="12" borderId="6" xfId="0" applyFont="1" applyFill="1" applyBorder="1"/>
    <xf numFmtId="0" fontId="8" fillId="11" borderId="14" xfId="0" applyFont="1" applyFill="1" applyBorder="1"/>
    <xf numFmtId="0" fontId="8" fillId="11" borderId="7" xfId="0" applyFont="1" applyFill="1" applyBorder="1"/>
    <xf numFmtId="0" fontId="8" fillId="13" borderId="1" xfId="0" applyFont="1" applyFill="1" applyBorder="1"/>
    <xf numFmtId="0" fontId="8" fillId="4" borderId="1" xfId="0" applyFont="1" applyFill="1" applyBorder="1"/>
    <xf numFmtId="0" fontId="8" fillId="14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9" borderId="1" xfId="0" applyFont="1" applyFill="1" applyBorder="1"/>
    <xf numFmtId="0" fontId="8" fillId="4" borderId="3" xfId="0" applyFont="1" applyFill="1" applyBorder="1"/>
    <xf numFmtId="0" fontId="8" fillId="17" borderId="1" xfId="0" applyFont="1" applyFill="1" applyBorder="1"/>
    <xf numFmtId="0" fontId="8" fillId="17" borderId="3" xfId="0" applyFont="1" applyFill="1" applyBorder="1"/>
    <xf numFmtId="0" fontId="9" fillId="6" borderId="7" xfId="0" applyFont="1" applyFill="1" applyBorder="1"/>
    <xf numFmtId="1" fontId="17" fillId="6" borderId="5" xfId="2" applyNumberFormat="1" applyFont="1" applyFill="1" applyBorder="1"/>
    <xf numFmtId="0" fontId="8" fillId="15" borderId="6" xfId="0" applyFont="1" applyFill="1" applyBorder="1"/>
    <xf numFmtId="0" fontId="8" fillId="15" borderId="7" xfId="0" applyFont="1" applyFill="1" applyBorder="1"/>
    <xf numFmtId="0" fontId="9" fillId="15" borderId="6" xfId="0" applyFont="1" applyFill="1" applyBorder="1"/>
    <xf numFmtId="1" fontId="17" fillId="15" borderId="1" xfId="2" applyNumberFormat="1" applyFont="1" applyFill="1" applyBorder="1"/>
    <xf numFmtId="1" fontId="17" fillId="13" borderId="1" xfId="2" applyNumberFormat="1" applyFont="1" applyFill="1" applyBorder="1"/>
    <xf numFmtId="1" fontId="17" fillId="6" borderId="1" xfId="2" applyNumberFormat="1" applyFont="1" applyFill="1" applyBorder="1"/>
    <xf numFmtId="1" fontId="17" fillId="16" borderId="1" xfId="2" applyNumberFormat="1" applyFont="1" applyFill="1" applyBorder="1"/>
    <xf numFmtId="0" fontId="9" fillId="17" borderId="1" xfId="0" applyFont="1" applyFill="1" applyBorder="1"/>
    <xf numFmtId="1" fontId="17" fillId="17" borderId="0" xfId="2" applyNumberFormat="1" applyFont="1" applyFill="1" applyBorder="1"/>
    <xf numFmtId="1" fontId="11" fillId="10" borderId="5" xfId="2" applyNumberFormat="1" applyFont="1" applyFill="1" applyBorder="1"/>
    <xf numFmtId="1" fontId="17" fillId="11" borderId="0" xfId="2" applyNumberFormat="1" applyFont="1" applyFill="1" applyBorder="1"/>
    <xf numFmtId="1" fontId="17" fillId="11" borderId="0" xfId="2" applyNumberFormat="1" applyFont="1" applyFill="1"/>
    <xf numFmtId="1" fontId="11" fillId="11" borderId="0" xfId="2" applyNumberFormat="1" applyFont="1" applyFill="1"/>
    <xf numFmtId="1" fontId="11" fillId="15" borderId="0" xfId="2" applyNumberFormat="1" applyFont="1" applyFill="1"/>
    <xf numFmtId="1" fontId="11" fillId="13" borderId="0" xfId="2" applyNumberFormat="1" applyFont="1" applyFill="1"/>
    <xf numFmtId="1" fontId="11" fillId="13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10" borderId="6" xfId="0" applyFont="1" applyFill="1" applyBorder="1"/>
    <xf numFmtId="0" fontId="8" fillId="10" borderId="7" xfId="0" applyFont="1" applyFill="1" applyBorder="1"/>
    <xf numFmtId="0" fontId="9" fillId="11" borderId="6" xfId="0" applyFont="1" applyFill="1" applyBorder="1"/>
    <xf numFmtId="0" fontId="8" fillId="3" borderId="5" xfId="0" applyFont="1" applyFill="1" applyBorder="1"/>
    <xf numFmtId="0" fontId="9" fillId="12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3" borderId="2" xfId="0" applyFont="1" applyFill="1" applyBorder="1"/>
    <xf numFmtId="0" fontId="8" fillId="4" borderId="2" xfId="0" applyFont="1" applyFill="1" applyBorder="1"/>
    <xf numFmtId="0" fontId="8" fillId="14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9" borderId="2" xfId="0" applyFont="1" applyFill="1" applyBorder="1"/>
    <xf numFmtId="0" fontId="8" fillId="19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7" borderId="2" xfId="0" applyFont="1" applyFill="1" applyBorder="1"/>
    <xf numFmtId="0" fontId="8" fillId="17" borderId="2" xfId="0" applyFont="1" applyFill="1" applyBorder="1"/>
    <xf numFmtId="0" fontId="8" fillId="17" borderId="4" xfId="0" applyFont="1" applyFill="1" applyBorder="1"/>
    <xf numFmtId="1" fontId="17" fillId="4" borderId="0" xfId="2" applyNumberFormat="1" applyFont="1" applyFill="1" applyBorder="1"/>
    <xf numFmtId="1" fontId="11" fillId="11" borderId="2" xfId="2" applyNumberFormat="1" applyFont="1" applyFill="1" applyBorder="1"/>
    <xf numFmtId="1" fontId="11" fillId="11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1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8" borderId="0" xfId="0" applyFont="1" applyFill="1" applyBorder="1" applyAlignment="1">
      <alignment horizontal="left"/>
    </xf>
    <xf numFmtId="0" fontId="20" fillId="18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17" fillId="22" borderId="0" xfId="4" applyFont="1" applyFill="1" applyBorder="1"/>
    <xf numFmtId="166" fontId="17" fillId="22" borderId="1" xfId="3" applyNumberFormat="1" applyFont="1" applyFill="1" applyBorder="1"/>
    <xf numFmtId="0" fontId="21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14" borderId="0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23" borderId="0" xfId="0" applyFill="1" applyBorder="1" applyAlignment="1">
      <alignment horizontal="left"/>
    </xf>
    <xf numFmtId="0" fontId="21" fillId="23" borderId="0" xfId="4" applyFont="1" applyFill="1" applyBorder="1"/>
    <xf numFmtId="9" fontId="0" fillId="23" borderId="1" xfId="1" applyFont="1" applyFill="1" applyBorder="1" applyAlignment="1">
      <alignment horizontal="right"/>
    </xf>
    <xf numFmtId="0" fontId="16" fillId="24" borderId="2" xfId="0" applyFont="1" applyFill="1" applyBorder="1" applyAlignment="1">
      <alignment wrapText="1"/>
    </xf>
    <xf numFmtId="0" fontId="16" fillId="24" borderId="0" xfId="0" applyFont="1" applyFill="1" applyBorder="1" applyAlignment="1">
      <alignment wrapText="1"/>
    </xf>
    <xf numFmtId="0" fontId="0" fillId="0" borderId="2" xfId="0" applyBorder="1"/>
    <xf numFmtId="0" fontId="0" fillId="18" borderId="0" xfId="0" applyFill="1" applyBorder="1"/>
    <xf numFmtId="0" fontId="0" fillId="23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3" borderId="5" xfId="0" applyFont="1" applyFill="1" applyBorder="1" applyAlignment="1">
      <alignment wrapText="1"/>
    </xf>
    <xf numFmtId="0" fontId="0" fillId="18" borderId="5" xfId="0" applyFill="1" applyBorder="1" applyAlignment="1">
      <alignment horizontal="left"/>
    </xf>
    <xf numFmtId="0" fontId="0" fillId="23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8" borderId="0" xfId="0" applyNumberFormat="1" applyFont="1" applyFill="1" applyBorder="1"/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15" borderId="6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 wrapText="1"/>
    </xf>
    <xf numFmtId="0" fontId="10" fillId="17" borderId="1" xfId="0" applyNumberFormat="1" applyFont="1" applyFill="1" applyBorder="1" applyAlignment="1">
      <alignment horizontal="center" vertical="center" wrapText="1"/>
    </xf>
    <xf numFmtId="0" fontId="10" fillId="17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20" borderId="16" xfId="0" applyFont="1" applyFill="1" applyBorder="1" applyAlignment="1">
      <alignment horizontal="center"/>
    </xf>
    <xf numFmtId="0" fontId="13" fillId="20" borderId="17" xfId="0" applyFont="1" applyFill="1" applyBorder="1" applyAlignment="1">
      <alignment horizontal="center"/>
    </xf>
    <xf numFmtId="0" fontId="13" fillId="20" borderId="18" xfId="0" applyFont="1" applyFill="1" applyBorder="1" applyAlignment="1">
      <alignment horizontal="center"/>
    </xf>
    <xf numFmtId="0" fontId="13" fillId="12" borderId="16" xfId="0" applyFont="1" applyFill="1" applyBorder="1" applyAlignment="1">
      <alignment horizontal="center"/>
    </xf>
    <xf numFmtId="0" fontId="13" fillId="12" borderId="17" xfId="0" applyFont="1" applyFill="1" applyBorder="1" applyAlignment="1">
      <alignment horizontal="center"/>
    </xf>
    <xf numFmtId="0" fontId="13" fillId="12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  <xf numFmtId="1" fontId="11" fillId="7" borderId="2" xfId="2" applyNumberFormat="1" applyFont="1" applyFill="1" applyBorder="1"/>
    <xf numFmtId="0" fontId="8" fillId="8" borderId="6" xfId="0" applyFont="1" applyFill="1" applyBorder="1"/>
    <xf numFmtId="0" fontId="0" fillId="0" borderId="0" xfId="0" applyFont="1"/>
    <xf numFmtId="0" fontId="8" fillId="8" borderId="7" xfId="0" applyFont="1" applyFill="1" applyBorder="1"/>
    <xf numFmtId="1" fontId="11" fillId="8" borderId="7" xfId="2" applyNumberFormat="1" applyFont="1" applyFill="1" applyBorder="1"/>
    <xf numFmtId="1" fontId="11" fillId="8" borderId="5" xfId="2" applyNumberFormat="1" applyFont="1" applyFill="1" applyBorder="1"/>
  </cellXfs>
  <cellStyles count="5">
    <cellStyle name="Milliers 2" xfId="3"/>
    <cellStyle name="Normal" xfId="0" builtinId="0"/>
    <cellStyle name="Normal 2" xfId="2"/>
    <cellStyle name="Normal 2 2" xfId="4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1435"/>
  <sheetViews>
    <sheetView tabSelected="1" topLeftCell="A241" zoomScale="80" zoomScaleNormal="80" workbookViewId="0">
      <selection activeCell="AH281" sqref="AH281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8" width="11.42578125" style="73"/>
  </cols>
  <sheetData>
    <row r="1" spans="1:41" ht="80.25" customHeight="1" x14ac:dyDescent="0.25">
      <c r="A1" s="313" t="s">
        <v>157</v>
      </c>
      <c r="B1" s="313"/>
      <c r="C1" s="313"/>
      <c r="D1" s="313"/>
    </row>
    <row r="2" spans="1:41" x14ac:dyDescent="0.25">
      <c r="E2" s="45" t="s">
        <v>160</v>
      </c>
      <c r="F2" s="72">
        <v>2</v>
      </c>
      <c r="G2" s="72">
        <v>3</v>
      </c>
      <c r="H2" s="72">
        <v>4</v>
      </c>
      <c r="I2" s="72">
        <v>5</v>
      </c>
      <c r="J2" s="72">
        <v>6</v>
      </c>
      <c r="K2" s="72">
        <v>7</v>
      </c>
      <c r="L2" s="72">
        <v>8</v>
      </c>
      <c r="M2" s="72">
        <v>9</v>
      </c>
      <c r="N2" s="72">
        <v>10</v>
      </c>
      <c r="O2" s="72">
        <v>11</v>
      </c>
      <c r="P2" s="72">
        <v>12</v>
      </c>
      <c r="Q2" s="72">
        <v>13</v>
      </c>
      <c r="R2" s="72">
        <v>14</v>
      </c>
      <c r="S2" s="72">
        <v>15</v>
      </c>
      <c r="T2" s="72">
        <v>16</v>
      </c>
      <c r="U2" s="72">
        <v>17</v>
      </c>
      <c r="V2" s="72">
        <v>18</v>
      </c>
      <c r="W2" s="72">
        <v>19</v>
      </c>
      <c r="X2" s="72">
        <v>20</v>
      </c>
      <c r="Y2" s="72">
        <v>21</v>
      </c>
      <c r="Z2" s="72">
        <v>22</v>
      </c>
      <c r="AA2" s="72">
        <v>23</v>
      </c>
      <c r="AB2" s="72">
        <v>24</v>
      </c>
      <c r="AC2" s="72">
        <v>25</v>
      </c>
      <c r="AD2" s="72">
        <v>26</v>
      </c>
      <c r="AE2" s="72">
        <v>27</v>
      </c>
      <c r="AF2" s="72">
        <v>28</v>
      </c>
      <c r="AG2" s="72">
        <v>29</v>
      </c>
      <c r="AH2" s="72">
        <v>30</v>
      </c>
      <c r="AI2" s="72">
        <v>31</v>
      </c>
      <c r="AJ2" s="72">
        <v>32</v>
      </c>
      <c r="AK2" s="72">
        <v>33</v>
      </c>
      <c r="AL2" s="72">
        <v>34</v>
      </c>
      <c r="AM2" s="72">
        <v>35</v>
      </c>
      <c r="AN2" s="72">
        <v>36</v>
      </c>
      <c r="AO2" s="72">
        <v>37</v>
      </c>
    </row>
    <row r="3" spans="1:41" s="14" customFormat="1" ht="76.5" customHeight="1" x14ac:dyDescent="0.25">
      <c r="A3" s="309" t="s">
        <v>158</v>
      </c>
      <c r="B3" s="310" t="s">
        <v>159</v>
      </c>
      <c r="C3" s="311"/>
      <c r="D3" s="311"/>
      <c r="E3" s="312" t="s">
        <v>401</v>
      </c>
      <c r="F3" s="14">
        <f>Hybrid!B1</f>
        <v>42005</v>
      </c>
      <c r="G3" s="14">
        <f>Hybrid!C1</f>
        <v>42370</v>
      </c>
      <c r="H3" s="14">
        <f>Hybrid!D1</f>
        <v>42736</v>
      </c>
      <c r="I3" s="14">
        <f>Hybrid!E1</f>
        <v>43101</v>
      </c>
      <c r="J3" s="14">
        <f>Hybrid!F1</f>
        <v>43466</v>
      </c>
      <c r="K3" s="14">
        <f>Hybrid!G1</f>
        <v>43831</v>
      </c>
      <c r="L3" s="14">
        <f>Hybrid!H1</f>
        <v>44197</v>
      </c>
      <c r="M3" s="14">
        <f>Hybrid!I1</f>
        <v>44562</v>
      </c>
      <c r="N3" s="14">
        <f>Hybrid!J1</f>
        <v>44927</v>
      </c>
      <c r="O3" s="14">
        <f>Hybrid!K1</f>
        <v>45292</v>
      </c>
      <c r="P3" s="14">
        <f>Hybrid!L1</f>
        <v>45658</v>
      </c>
      <c r="Q3" s="14">
        <f>Hybrid!M1</f>
        <v>46023</v>
      </c>
      <c r="R3" s="14">
        <f>Hybrid!N1</f>
        <v>46388</v>
      </c>
      <c r="S3" s="14">
        <f>Hybrid!O1</f>
        <v>46753</v>
      </c>
      <c r="T3" s="14">
        <f>Hybrid!P1</f>
        <v>47119</v>
      </c>
      <c r="U3" s="14">
        <f>Hybrid!Q1</f>
        <v>47484</v>
      </c>
      <c r="V3" s="14">
        <f>Hybrid!R1</f>
        <v>47849</v>
      </c>
      <c r="W3" s="14">
        <f>Hybrid!S1</f>
        <v>48214</v>
      </c>
      <c r="X3" s="14">
        <f>Hybrid!T1</f>
        <v>48580</v>
      </c>
      <c r="Y3" s="14">
        <f>Hybrid!U1</f>
        <v>48945</v>
      </c>
      <c r="Z3" s="14">
        <f>Hybrid!V1</f>
        <v>49310</v>
      </c>
      <c r="AA3" s="14">
        <f>Hybrid!W1</f>
        <v>49675</v>
      </c>
      <c r="AB3" s="14">
        <f>Hybrid!X1</f>
        <v>50041</v>
      </c>
      <c r="AC3" s="14">
        <f>Hybrid!Y1</f>
        <v>50406</v>
      </c>
      <c r="AD3" s="14">
        <f>Hybrid!Z1</f>
        <v>50771</v>
      </c>
      <c r="AE3" s="14">
        <f>Hybrid!AA1</f>
        <v>51136</v>
      </c>
      <c r="AF3" s="14">
        <f>Hybrid!AB1</f>
        <v>51502</v>
      </c>
      <c r="AG3" s="14">
        <f>Hybrid!AC1</f>
        <v>51867</v>
      </c>
      <c r="AH3" s="14">
        <f>Hybrid!AD1</f>
        <v>52232</v>
      </c>
      <c r="AI3" s="14">
        <f>Hybrid!AE1</f>
        <v>52597</v>
      </c>
      <c r="AJ3" s="14">
        <f>Hybrid!AF1</f>
        <v>52963</v>
      </c>
      <c r="AK3" s="14">
        <f>Hybrid!AG1</f>
        <v>53328</v>
      </c>
      <c r="AL3" s="14">
        <f>Hybrid!AH1</f>
        <v>53693</v>
      </c>
      <c r="AM3" s="14">
        <f>Hybrid!AI1</f>
        <v>54058</v>
      </c>
      <c r="AN3" s="14">
        <f>Hybrid!AJ1</f>
        <v>54424</v>
      </c>
      <c r="AO3" s="14">
        <f>Hybrid!AK1</f>
        <v>54789</v>
      </c>
    </row>
    <row r="4" spans="1:41" s="111" customFormat="1" ht="15" customHeight="1" x14ac:dyDescent="0.25">
      <c r="A4" s="316" t="s">
        <v>161</v>
      </c>
      <c r="B4" s="315" t="s">
        <v>558</v>
      </c>
      <c r="C4" s="122" t="s">
        <v>549</v>
      </c>
      <c r="D4" s="122"/>
      <c r="E4" s="95" t="s">
        <v>351</v>
      </c>
      <c r="F4" s="111">
        <f>+VLOOKUP($E4,Hybrid!$1:$1048576,F$2,FALSE)</f>
        <v>32317.940999999999</v>
      </c>
      <c r="G4" s="111">
        <f>+VLOOKUP($E4,Hybrid!$1:$1048576,G$2,FALSE)</f>
        <v>31926.454819999999</v>
      </c>
      <c r="H4" s="111">
        <f>+VLOOKUP($E4,Hybrid!$1:$1048576,H$2,FALSE)</f>
        <v>31730.400539999999</v>
      </c>
      <c r="I4" s="111">
        <f>+VLOOKUP($E4,Hybrid!$1:$1048576,I$2,FALSE)</f>
        <v>31664.732889999999</v>
      </c>
      <c r="J4" s="111">
        <f>+VLOOKUP($E4,Hybrid!$1:$1048576,J$2,FALSE)</f>
        <v>31685.151559999998</v>
      </c>
      <c r="K4" s="111">
        <f>+VLOOKUP($E4,Hybrid!$1:$1048576,K$2,FALSE)</f>
        <v>31761.773590000001</v>
      </c>
      <c r="L4" s="111">
        <f>+VLOOKUP($E4,Hybrid!$1:$1048576,L$2,FALSE)</f>
        <v>31876.819759999998</v>
      </c>
      <c r="M4" s="111">
        <f>+VLOOKUP($E4,Hybrid!$1:$1048576,M$2,FALSE)</f>
        <v>32020.398109999998</v>
      </c>
      <c r="N4" s="111">
        <f>+VLOOKUP($E4,Hybrid!$1:$1048576,N$2,FALSE)</f>
        <v>32185.055550000001</v>
      </c>
      <c r="O4" s="111">
        <f>+VLOOKUP($E4,Hybrid!$1:$1048576,O$2,FALSE)</f>
        <v>32364.878639999999</v>
      </c>
      <c r="P4" s="111">
        <f>+VLOOKUP($E4,Hybrid!$1:$1048576,P$2,FALSE)</f>
        <v>32555.008150000001</v>
      </c>
      <c r="Q4" s="111">
        <f>+VLOOKUP($E4,Hybrid!$1:$1048576,Q$2,FALSE)</f>
        <v>32751.304230000002</v>
      </c>
      <c r="R4" s="111">
        <f>+VLOOKUP($E4,Hybrid!$1:$1048576,R$2,FALSE)</f>
        <v>32950.115619999997</v>
      </c>
      <c r="S4" s="111">
        <f>+VLOOKUP($E4,Hybrid!$1:$1048576,S$2,FALSE)</f>
        <v>33148.123549999997</v>
      </c>
      <c r="T4" s="111">
        <f>+VLOOKUP($E4,Hybrid!$1:$1048576,T$2,FALSE)</f>
        <v>33342.23833</v>
      </c>
      <c r="U4" s="111">
        <f>+VLOOKUP($E4,Hybrid!$1:$1048576,U$2,FALSE)</f>
        <v>33529.533100000001</v>
      </c>
      <c r="V4" s="111">
        <f>+VLOOKUP($E4,Hybrid!$1:$1048576,V$2,FALSE)</f>
        <v>33709.687819999999</v>
      </c>
      <c r="W4" s="111">
        <f>+VLOOKUP($E4,Hybrid!$1:$1048576,W$2,FALSE)</f>
        <v>33884.612249999998</v>
      </c>
      <c r="X4" s="111">
        <f>+VLOOKUP($E4,Hybrid!$1:$1048576,X$2,FALSE)</f>
        <v>34055.314740000002</v>
      </c>
      <c r="Y4" s="111">
        <f>+VLOOKUP($E4,Hybrid!$1:$1048576,Y$2,FALSE)</f>
        <v>34222.258249999999</v>
      </c>
      <c r="Z4" s="111">
        <f>+VLOOKUP($E4,Hybrid!$1:$1048576,Z$2,FALSE)</f>
        <v>34385.651189999997</v>
      </c>
      <c r="AA4" s="111">
        <f>+VLOOKUP($E4,Hybrid!$1:$1048576,AA$2,FALSE)</f>
        <v>34545.60383</v>
      </c>
      <c r="AB4" s="111">
        <f>+VLOOKUP($E4,Hybrid!$1:$1048576,AB$2,FALSE)</f>
        <v>34702.207130000003</v>
      </c>
      <c r="AC4" s="111">
        <f>+VLOOKUP($E4,Hybrid!$1:$1048576,AC$2,FALSE)</f>
        <v>34855.571329999999</v>
      </c>
      <c r="AD4" s="111">
        <f>+VLOOKUP($E4,Hybrid!$1:$1048576,AD$2,FALSE)</f>
        <v>35005.844879999997</v>
      </c>
      <c r="AE4" s="111">
        <f>+VLOOKUP($E4,Hybrid!$1:$1048576,AE$2,FALSE)</f>
        <v>35153.224249999999</v>
      </c>
      <c r="AF4" s="111">
        <f>+VLOOKUP($E4,Hybrid!$1:$1048576,AF$2,FALSE)</f>
        <v>35297.960070000001</v>
      </c>
      <c r="AG4" s="111">
        <f>+VLOOKUP($E4,Hybrid!$1:$1048576,AG$2,FALSE)</f>
        <v>35440.36174</v>
      </c>
      <c r="AH4" s="111">
        <f>+VLOOKUP($E4,Hybrid!$1:$1048576,AH$2,FALSE)</f>
        <v>35580.801769999998</v>
      </c>
      <c r="AI4" s="111">
        <f>+VLOOKUP($E4,Hybrid!$1:$1048576,AI$2,FALSE)</f>
        <v>35719.719770000003</v>
      </c>
      <c r="AJ4" s="111">
        <f>+VLOOKUP($E4,Hybrid!$1:$1048576,AJ$2,FALSE)</f>
        <v>35857.62601</v>
      </c>
      <c r="AK4" s="111">
        <f>+VLOOKUP($E4,Hybrid!$1:$1048576,AK$2,FALSE)</f>
        <v>35995.104010000003</v>
      </c>
      <c r="AL4" s="111">
        <f>+VLOOKUP($E4,Hybrid!$1:$1048576,AL$2,FALSE)</f>
        <v>36132.811670000003</v>
      </c>
      <c r="AM4" s="111">
        <f>+VLOOKUP($E4,Hybrid!$1:$1048576,AM$2,FALSE)</f>
        <v>36271.480450000003</v>
      </c>
      <c r="AN4" s="111">
        <f>+VLOOKUP($E4,Hybrid!$1:$1048576,AN$2,FALSE)</f>
        <v>36411.911959999998</v>
      </c>
      <c r="AO4" s="111">
        <f>+VLOOKUP($E4,Hybrid!$1:$1048576,AO$2,FALSE)</f>
        <v>36554.971879999997</v>
      </c>
    </row>
    <row r="5" spans="1:41" s="111" customFormat="1" ht="15" customHeight="1" x14ac:dyDescent="0.25">
      <c r="A5" s="316"/>
      <c r="B5" s="315"/>
      <c r="C5" s="122" t="s">
        <v>548</v>
      </c>
      <c r="D5" s="123"/>
      <c r="E5" s="91" t="s">
        <v>352</v>
      </c>
      <c r="F5" s="111">
        <f>+VLOOKUP($E5,Hybrid!$1:$1048576,F$2,FALSE)</f>
        <v>32271.24</v>
      </c>
      <c r="G5" s="111">
        <f>+VLOOKUP($E5,Hybrid!$1:$1048576,G$2,FALSE)</f>
        <v>31862.031640000001</v>
      </c>
      <c r="H5" s="111">
        <f>+VLOOKUP($E5,Hybrid!$1:$1048576,H$2,FALSE)</f>
        <v>31647.329440000001</v>
      </c>
      <c r="I5" s="111">
        <f>+VLOOKUP($E5,Hybrid!$1:$1048576,I$2,FALSE)</f>
        <v>31562.481319999999</v>
      </c>
      <c r="J5" s="111">
        <f>+VLOOKUP($E5,Hybrid!$1:$1048576,J$2,FALSE)</f>
        <v>31563.391670000001</v>
      </c>
      <c r="K5" s="111">
        <f>+VLOOKUP($E5,Hybrid!$1:$1048576,K$2,FALSE)</f>
        <v>31620.228930000001</v>
      </c>
      <c r="L5" s="111">
        <f>+VLOOKUP($E5,Hybrid!$1:$1048576,L$2,FALSE)</f>
        <v>31715.127369999998</v>
      </c>
      <c r="M5" s="111">
        <f>+VLOOKUP($E5,Hybrid!$1:$1048576,M$2,FALSE)</f>
        <v>31838.038369999998</v>
      </c>
      <c r="N5" s="111">
        <f>+VLOOKUP($E5,Hybrid!$1:$1048576,N$2,FALSE)</f>
        <v>31981.34908</v>
      </c>
      <c r="O5" s="111">
        <f>+VLOOKUP($E5,Hybrid!$1:$1048576,O$2,FALSE)</f>
        <v>32138.97392</v>
      </c>
      <c r="P5" s="111">
        <f>+VLOOKUP($E5,Hybrid!$1:$1048576,P$2,FALSE)</f>
        <v>32305.853879999999</v>
      </c>
      <c r="Q5" s="111">
        <f>+VLOOKUP($E5,Hybrid!$1:$1048576,Q$2,FALSE)</f>
        <v>32477.603520000001</v>
      </c>
      <c r="R5" s="111">
        <f>+VLOOKUP($E5,Hybrid!$1:$1048576,R$2,FALSE)</f>
        <v>32650.258519999999</v>
      </c>
      <c r="S5" s="111">
        <f>+VLOOKUP($E5,Hybrid!$1:$1048576,S$2,FALSE)</f>
        <v>32820.092669999998</v>
      </c>
      <c r="T5" s="111">
        <f>+VLOOKUP($E5,Hybrid!$1:$1048576,T$2,FALSE)</f>
        <v>32983.479639999998</v>
      </c>
      <c r="U5" s="111">
        <f>+VLOOKUP($E5,Hybrid!$1:$1048576,U$2,FALSE)</f>
        <v>33136.779049999997</v>
      </c>
      <c r="V5" s="111">
        <f>+VLOOKUP($E5,Hybrid!$1:$1048576,V$2,FALSE)</f>
        <v>33278.705000000002</v>
      </c>
      <c r="W5" s="111">
        <f>+VLOOKUP($E5,Hybrid!$1:$1048576,W$2,FALSE)</f>
        <v>33409.974479999997</v>
      </c>
      <c r="X5" s="111">
        <f>+VLOOKUP($E5,Hybrid!$1:$1048576,X$2,FALSE)</f>
        <v>33530.266199999998</v>
      </c>
      <c r="Y5" s="111">
        <f>+VLOOKUP($E5,Hybrid!$1:$1048576,Y$2,FALSE)</f>
        <v>33638.562089999999</v>
      </c>
      <c r="Z5" s="111">
        <f>+VLOOKUP($E5,Hybrid!$1:$1048576,Z$2,FALSE)</f>
        <v>33733.42353</v>
      </c>
      <c r="AA5" s="111">
        <f>+VLOOKUP($E5,Hybrid!$1:$1048576,AA$2,FALSE)</f>
        <v>33813.135219999996</v>
      </c>
      <c r="AB5" s="111">
        <f>+VLOOKUP($E5,Hybrid!$1:$1048576,AB$2,FALSE)</f>
        <v>33875.774189999996</v>
      </c>
      <c r="AC5" s="111">
        <f>+VLOOKUP($E5,Hybrid!$1:$1048576,AC$2,FALSE)</f>
        <v>33919.241320000001</v>
      </c>
      <c r="AD5" s="111">
        <f>+VLOOKUP($E5,Hybrid!$1:$1048576,AD$2,FALSE)</f>
        <v>33941.276899999997</v>
      </c>
      <c r="AE5" s="111">
        <f>+VLOOKUP($E5,Hybrid!$1:$1048576,AE$2,FALSE)</f>
        <v>33939.47163</v>
      </c>
      <c r="AF5" s="111">
        <f>+VLOOKUP($E5,Hybrid!$1:$1048576,AF$2,FALSE)</f>
        <v>33911.279459999998</v>
      </c>
      <c r="AG5" s="111">
        <f>+VLOOKUP($E5,Hybrid!$1:$1048576,AG$2,FALSE)</f>
        <v>33854.035799999998</v>
      </c>
      <c r="AH5" s="111">
        <f>+VLOOKUP($E5,Hybrid!$1:$1048576,AH$2,FALSE)</f>
        <v>33764.983189999999</v>
      </c>
      <c r="AI5" s="111">
        <f>+VLOOKUP($E5,Hybrid!$1:$1048576,AI$2,FALSE)</f>
        <v>33641.30573</v>
      </c>
      <c r="AJ5" s="111">
        <f>+VLOOKUP($E5,Hybrid!$1:$1048576,AJ$2,FALSE)</f>
        <v>33480.172939999997</v>
      </c>
      <c r="AK5" s="111">
        <f>+VLOOKUP($E5,Hybrid!$1:$1048576,AK$2,FALSE)</f>
        <v>33278.793189999997</v>
      </c>
      <c r="AL5" s="111">
        <f>+VLOOKUP($E5,Hybrid!$1:$1048576,AL$2,FALSE)</f>
        <v>33034.47653</v>
      </c>
      <c r="AM5" s="111">
        <f>+VLOOKUP($E5,Hybrid!$1:$1048576,AM$2,FALSE)</f>
        <v>32744.70595</v>
      </c>
      <c r="AN5" s="111">
        <f>+VLOOKUP($E5,Hybrid!$1:$1048576,AN$2,FALSE)</f>
        <v>32407.21574</v>
      </c>
      <c r="AO5" s="111">
        <f>+VLOOKUP($E5,Hybrid!$1:$1048576,AO$2,FALSE)</f>
        <v>32020.074850000001</v>
      </c>
    </row>
    <row r="6" spans="1:41" ht="15" customHeight="1" x14ac:dyDescent="0.25">
      <c r="A6" s="316"/>
      <c r="B6" s="315"/>
      <c r="C6" s="171"/>
      <c r="D6" s="124" t="s">
        <v>540</v>
      </c>
      <c r="E6" s="46" t="s">
        <v>353</v>
      </c>
      <c r="F6" s="73">
        <f>+VLOOKUP($E6,Hybrid!$1:$1048576,F$2,FALSE)</f>
        <v>7095.7005250000002</v>
      </c>
      <c r="G6" s="73">
        <f>+VLOOKUP($E6,Hybrid!$1:$1048576,G$2,FALSE)</f>
        <v>7141.7439880000002</v>
      </c>
      <c r="H6" s="73">
        <f>+VLOOKUP($E6,Hybrid!$1:$1048576,H$2,FALSE)</f>
        <v>7236.2108500000004</v>
      </c>
      <c r="I6">
        <f>+VLOOKUP($E6,Hybrid!$1:$1048576,I$2,FALSE)</f>
        <v>7362.7565290000002</v>
      </c>
      <c r="J6">
        <f>+VLOOKUP($E6,Hybrid!$1:$1048576,J$2,FALSE)</f>
        <v>7510.0299349999996</v>
      </c>
      <c r="K6">
        <f>+VLOOKUP($E6,Hybrid!$1:$1048576,K$2,FALSE)</f>
        <v>7670.2472029999999</v>
      </c>
      <c r="L6">
        <f>+VLOOKUP($E6,Hybrid!$1:$1048576,L$2,FALSE)</f>
        <v>7838.7850349999999</v>
      </c>
      <c r="M6">
        <f>+VLOOKUP($E6,Hybrid!$1:$1048576,M$2,FALSE)</f>
        <v>8013.1055109999998</v>
      </c>
      <c r="N6">
        <f>+VLOOKUP($E6,Hybrid!$1:$1048576,N$2,FALSE)</f>
        <v>8191.2469520000004</v>
      </c>
      <c r="O6">
        <f>+VLOOKUP($E6,Hybrid!$1:$1048576,O$2,FALSE)</f>
        <v>8371.6255729999993</v>
      </c>
      <c r="P6">
        <f>+VLOOKUP($E6,Hybrid!$1:$1048576,P$2,FALSE)</f>
        <v>8552.9218550000005</v>
      </c>
      <c r="Q6">
        <f>+VLOOKUP($E6,Hybrid!$1:$1048576,Q$2,FALSE)</f>
        <v>8733.9921400000003</v>
      </c>
      <c r="R6">
        <f>+VLOOKUP($E6,Hybrid!$1:$1048576,R$2,FALSE)</f>
        <v>8913.8008030000001</v>
      </c>
      <c r="S6">
        <f>+VLOOKUP($E6,Hybrid!$1:$1048576,S$2,FALSE)</f>
        <v>9091.3683889999993</v>
      </c>
      <c r="T6">
        <f>+VLOOKUP($E6,Hybrid!$1:$1048576,T$2,FALSE)</f>
        <v>9265.7305400000005</v>
      </c>
      <c r="U6">
        <f>+VLOOKUP($E6,Hybrid!$1:$1048576,U$2,FALSE)</f>
        <v>9435.9022650000006</v>
      </c>
      <c r="V6">
        <f>+VLOOKUP($E6,Hybrid!$1:$1048576,V$2,FALSE)</f>
        <v>9601.6398969999991</v>
      </c>
      <c r="W6">
        <f>+VLOOKUP($E6,Hybrid!$1:$1048576,W$2,FALSE)</f>
        <v>9763.3043679999992</v>
      </c>
      <c r="X6">
        <f>+VLOOKUP($E6,Hybrid!$1:$1048576,X$2,FALSE)</f>
        <v>9920.8512179999998</v>
      </c>
      <c r="Y6">
        <f>+VLOOKUP($E6,Hybrid!$1:$1048576,Y$2,FALSE)</f>
        <v>10073.96235</v>
      </c>
      <c r="Z6">
        <f>+VLOOKUP($E6,Hybrid!$1:$1048576,Z$2,FALSE)</f>
        <v>10222.14596</v>
      </c>
      <c r="AA6">
        <f>+VLOOKUP($E6,Hybrid!$1:$1048576,AA$2,FALSE)</f>
        <v>10364.787990000001</v>
      </c>
      <c r="AB6">
        <f>+VLOOKUP($E6,Hybrid!$1:$1048576,AB$2,FALSE)</f>
        <v>10501.17597</v>
      </c>
      <c r="AC6">
        <f>+VLOOKUP($E6,Hybrid!$1:$1048576,AC$2,FALSE)</f>
        <v>10630.50922</v>
      </c>
      <c r="AD6">
        <f>+VLOOKUP($E6,Hybrid!$1:$1048576,AD$2,FALSE)</f>
        <v>10751.902609999999</v>
      </c>
      <c r="AE6">
        <f>+VLOOKUP($E6,Hybrid!$1:$1048576,AE$2,FALSE)</f>
        <v>10864.38847</v>
      </c>
      <c r="AF6">
        <f>+VLOOKUP($E6,Hybrid!$1:$1048576,AF$2,FALSE)</f>
        <v>10966.918830000001</v>
      </c>
      <c r="AG6">
        <f>+VLOOKUP($E6,Hybrid!$1:$1048576,AG$2,FALSE)</f>
        <v>11058.36961</v>
      </c>
      <c r="AH6">
        <f>+VLOOKUP($E6,Hybrid!$1:$1048576,AH$2,FALSE)</f>
        <v>11137.54775</v>
      </c>
      <c r="AI6">
        <f>+VLOOKUP($E6,Hybrid!$1:$1048576,AI$2,FALSE)</f>
        <v>11203.201940000001</v>
      </c>
      <c r="AJ6">
        <f>+VLOOKUP($E6,Hybrid!$1:$1048576,AJ$2,FALSE)</f>
        <v>11254.03751</v>
      </c>
      <c r="AK6">
        <f>+VLOOKUP($E6,Hybrid!$1:$1048576,AK$2,FALSE)</f>
        <v>11288.73596</v>
      </c>
      <c r="AL6">
        <f>+VLOOKUP($E6,Hybrid!$1:$1048576,AL$2,FALSE)</f>
        <v>11305.979009999999</v>
      </c>
      <c r="AM6">
        <f>+VLOOKUP($E6,Hybrid!$1:$1048576,AM$2,FALSE)</f>
        <v>11304.4774</v>
      </c>
      <c r="AN6">
        <f>+VLOOKUP($E6,Hybrid!$1:$1048576,AN$2,FALSE)</f>
        <v>11283.00395</v>
      </c>
      <c r="AO6">
        <f>+VLOOKUP($E6,Hybrid!$1:$1048576,AO$2,FALSE)</f>
        <v>11240.43024</v>
      </c>
    </row>
    <row r="7" spans="1:41" ht="15" customHeight="1" x14ac:dyDescent="0.25">
      <c r="A7" s="316"/>
      <c r="B7" s="315"/>
      <c r="C7" s="171"/>
      <c r="D7" s="124" t="s">
        <v>541</v>
      </c>
      <c r="E7" s="46" t="s">
        <v>354</v>
      </c>
      <c r="F7" s="73">
        <f>+VLOOKUP($E7,Hybrid!$1:$1048576,F$2,FALSE)</f>
        <v>8251.256421</v>
      </c>
      <c r="G7" s="73">
        <f>+VLOOKUP($E7,Hybrid!$1:$1048576,G$2,FALSE)</f>
        <v>8182.7844539999996</v>
      </c>
      <c r="H7" s="73">
        <f>+VLOOKUP($E7,Hybrid!$1:$1048576,H$2,FALSE)</f>
        <v>8168.3355730000003</v>
      </c>
      <c r="I7">
        <f>+VLOOKUP($E7,Hybrid!$1:$1048576,I$2,FALSE)</f>
        <v>8191.2663309999998</v>
      </c>
      <c r="J7">
        <f>+VLOOKUP($E7,Hybrid!$1:$1048576,J$2,FALSE)</f>
        <v>8239.9130120000009</v>
      </c>
      <c r="K7">
        <f>+VLOOKUP($E7,Hybrid!$1:$1048576,K$2,FALSE)</f>
        <v>8306.1530999999995</v>
      </c>
      <c r="L7">
        <f>+VLOOKUP($E7,Hybrid!$1:$1048576,L$2,FALSE)</f>
        <v>8384.9727180000009</v>
      </c>
      <c r="M7">
        <f>+VLOOKUP($E7,Hybrid!$1:$1048576,M$2,FALSE)</f>
        <v>8473.4298299999991</v>
      </c>
      <c r="N7">
        <f>+VLOOKUP($E7,Hybrid!$1:$1048576,N$2,FALSE)</f>
        <v>8569.2031970000007</v>
      </c>
      <c r="O7">
        <f>+VLOOKUP($E7,Hybrid!$1:$1048576,O$2,FALSE)</f>
        <v>8670.3748560000004</v>
      </c>
      <c r="P7">
        <f>+VLOOKUP($E7,Hybrid!$1:$1048576,P$2,FALSE)</f>
        <v>8775.3060330000008</v>
      </c>
      <c r="Q7">
        <f>+VLOOKUP($E7,Hybrid!$1:$1048576,Q$2,FALSE)</f>
        <v>8882.5442230000008</v>
      </c>
      <c r="R7">
        <f>+VLOOKUP($E7,Hybrid!$1:$1048576,R$2,FALSE)</f>
        <v>8990.7536220000002</v>
      </c>
      <c r="S7">
        <f>+VLOOKUP($E7,Hybrid!$1:$1048576,S$2,FALSE)</f>
        <v>9098.6627050000006</v>
      </c>
      <c r="T7">
        <f>+VLOOKUP($E7,Hybrid!$1:$1048576,T$2,FALSE)</f>
        <v>9205.0230439999996</v>
      </c>
      <c r="U7">
        <f>+VLOOKUP($E7,Hybrid!$1:$1048576,U$2,FALSE)</f>
        <v>9308.5738020000008</v>
      </c>
      <c r="V7">
        <f>+VLOOKUP($E7,Hybrid!$1:$1048576,V$2,FALSE)</f>
        <v>9408.7536359999995</v>
      </c>
      <c r="W7">
        <f>+VLOOKUP($E7,Hybrid!$1:$1048576,W$2,FALSE)</f>
        <v>9505.5997970000008</v>
      </c>
      <c r="X7">
        <f>+VLOOKUP($E7,Hybrid!$1:$1048576,X$2,FALSE)</f>
        <v>9598.8301439999996</v>
      </c>
      <c r="Y7">
        <f>+VLOOKUP($E7,Hybrid!$1:$1048576,Y$2,FALSE)</f>
        <v>9687.9491309999994</v>
      </c>
      <c r="Z7">
        <f>+VLOOKUP($E7,Hybrid!$1:$1048576,Z$2,FALSE)</f>
        <v>9772.3322900000003</v>
      </c>
      <c r="AA7">
        <f>+VLOOKUP($E7,Hybrid!$1:$1048576,AA$2,FALSE)</f>
        <v>9851.2702169999993</v>
      </c>
      <c r="AB7">
        <f>+VLOOKUP($E7,Hybrid!$1:$1048576,AB$2,FALSE)</f>
        <v>9923.9897560000009</v>
      </c>
      <c r="AC7">
        <f>+VLOOKUP($E7,Hybrid!$1:$1048576,AC$2,FALSE)</f>
        <v>9989.6639109999996</v>
      </c>
      <c r="AD7">
        <f>+VLOOKUP($E7,Hybrid!$1:$1048576,AD$2,FALSE)</f>
        <v>10047.417020000001</v>
      </c>
      <c r="AE7">
        <f>+VLOOKUP($E7,Hybrid!$1:$1048576,AE$2,FALSE)</f>
        <v>10096.328729999999</v>
      </c>
      <c r="AF7">
        <f>+VLOOKUP($E7,Hybrid!$1:$1048576,AF$2,FALSE)</f>
        <v>10135.43887</v>
      </c>
      <c r="AG7">
        <f>+VLOOKUP($E7,Hybrid!$1:$1048576,AG$2,FALSE)</f>
        <v>10163.754150000001</v>
      </c>
      <c r="AH7">
        <f>+VLOOKUP($E7,Hybrid!$1:$1048576,AH$2,FALSE)</f>
        <v>10180.257680000001</v>
      </c>
      <c r="AI7">
        <f>+VLOOKUP($E7,Hybrid!$1:$1048576,AI$2,FALSE)</f>
        <v>10183.92152</v>
      </c>
      <c r="AJ7">
        <f>+VLOOKUP($E7,Hybrid!$1:$1048576,AJ$2,FALSE)</f>
        <v>10173.722529999999</v>
      </c>
      <c r="AK7">
        <f>+VLOOKUP($E7,Hybrid!$1:$1048576,AK$2,FALSE)</f>
        <v>10148.661630000001</v>
      </c>
      <c r="AL7">
        <f>+VLOOKUP($E7,Hybrid!$1:$1048576,AL$2,FALSE)</f>
        <v>10107.786260000001</v>
      </c>
      <c r="AM7">
        <f>+VLOOKUP($E7,Hybrid!$1:$1048576,AM$2,FALSE)</f>
        <v>10050.215630000001</v>
      </c>
      <c r="AN7">
        <f>+VLOOKUP($E7,Hybrid!$1:$1048576,AN$2,FALSE)</f>
        <v>9975.1682849999997</v>
      </c>
      <c r="AO7">
        <f>+VLOOKUP($E7,Hybrid!$1:$1048576,AO$2,FALSE)</f>
        <v>9881.9910660000005</v>
      </c>
    </row>
    <row r="8" spans="1:41" ht="15" customHeight="1" x14ac:dyDescent="0.25">
      <c r="A8" s="316"/>
      <c r="B8" s="315"/>
      <c r="C8" s="171"/>
      <c r="D8" s="124" t="s">
        <v>542</v>
      </c>
      <c r="E8" s="46" t="s">
        <v>355</v>
      </c>
      <c r="F8" s="73">
        <f>+VLOOKUP($E8,Hybrid!$1:$1048576,F$2,FALSE)</f>
        <v>6777.6024520000001</v>
      </c>
      <c r="G8" s="73">
        <f>+VLOOKUP($E8,Hybrid!$1:$1048576,G$2,FALSE)</f>
        <v>6646.7628590000004</v>
      </c>
      <c r="H8" s="73">
        <f>+VLOOKUP($E8,Hybrid!$1:$1048576,H$2,FALSE)</f>
        <v>6558.9663870000004</v>
      </c>
      <c r="I8">
        <f>+VLOOKUP($E8,Hybrid!$1:$1048576,I$2,FALSE)</f>
        <v>6502.0081840000003</v>
      </c>
      <c r="J8">
        <f>+VLOOKUP($E8,Hybrid!$1:$1048576,J$2,FALSE)</f>
        <v>6467.26224</v>
      </c>
      <c r="K8">
        <f>+VLOOKUP($E8,Hybrid!$1:$1048576,K$2,FALSE)</f>
        <v>6448.6372609999999</v>
      </c>
      <c r="L8">
        <f>+VLOOKUP($E8,Hybrid!$1:$1048576,L$2,FALSE)</f>
        <v>6442.2478430000001</v>
      </c>
      <c r="M8">
        <f>+VLOOKUP($E8,Hybrid!$1:$1048576,M$2,FALSE)</f>
        <v>6445.6930149999998</v>
      </c>
      <c r="N8">
        <f>+VLOOKUP($E8,Hybrid!$1:$1048576,N$2,FALSE)</f>
        <v>6457.0498120000002</v>
      </c>
      <c r="O8">
        <f>+VLOOKUP($E8,Hybrid!$1:$1048576,O$2,FALSE)</f>
        <v>6474.7042330000004</v>
      </c>
      <c r="P8">
        <f>+VLOOKUP($E8,Hybrid!$1:$1048576,P$2,FALSE)</f>
        <v>6497.2552610000002</v>
      </c>
      <c r="Q8">
        <f>+VLOOKUP($E8,Hybrid!$1:$1048576,Q$2,FALSE)</f>
        <v>6523.4452289999999</v>
      </c>
      <c r="R8">
        <f>+VLOOKUP($E8,Hybrid!$1:$1048576,R$2,FALSE)</f>
        <v>6552.1088769999997</v>
      </c>
      <c r="S8">
        <f>+VLOOKUP($E8,Hybrid!$1:$1048576,S$2,FALSE)</f>
        <v>6582.1355510000003</v>
      </c>
      <c r="T8">
        <f>+VLOOKUP($E8,Hybrid!$1:$1048576,T$2,FALSE)</f>
        <v>6612.4398520000004</v>
      </c>
      <c r="U8">
        <f>+VLOOKUP($E8,Hybrid!$1:$1048576,U$2,FALSE)</f>
        <v>6641.9366570000002</v>
      </c>
      <c r="V8">
        <f>+VLOOKUP($E8,Hybrid!$1:$1048576,V$2,FALSE)</f>
        <v>6670.0211129999998</v>
      </c>
      <c r="W8">
        <f>+VLOOKUP($E8,Hybrid!$1:$1048576,W$2,FALSE)</f>
        <v>6696.5179209999997</v>
      </c>
      <c r="X8">
        <f>+VLOOKUP($E8,Hybrid!$1:$1048576,X$2,FALSE)</f>
        <v>6721.0788030000003</v>
      </c>
      <c r="Y8">
        <f>+VLOOKUP($E8,Hybrid!$1:$1048576,Y$2,FALSE)</f>
        <v>6743.242346</v>
      </c>
      <c r="Z8">
        <f>+VLOOKUP($E8,Hybrid!$1:$1048576,Z$2,FALSE)</f>
        <v>6762.4847749999999</v>
      </c>
      <c r="AA8">
        <f>+VLOOKUP($E8,Hybrid!$1:$1048576,AA$2,FALSE)</f>
        <v>6778.2466480000003</v>
      </c>
      <c r="AB8">
        <f>+VLOOKUP($E8,Hybrid!$1:$1048576,AB$2,FALSE)</f>
        <v>6789.9460079999999</v>
      </c>
      <c r="AC8">
        <f>+VLOOKUP($E8,Hybrid!$1:$1048576,AC$2,FALSE)</f>
        <v>6796.9849889999996</v>
      </c>
      <c r="AD8">
        <f>+VLOOKUP($E8,Hybrid!$1:$1048576,AD$2,FALSE)</f>
        <v>6798.7538560000003</v>
      </c>
      <c r="AE8">
        <f>+VLOOKUP($E8,Hybrid!$1:$1048576,AE$2,FALSE)</f>
        <v>6794.6346009999997</v>
      </c>
      <c r="AF8">
        <f>+VLOOKUP($E8,Hybrid!$1:$1048576,AF$2,FALSE)</f>
        <v>6784.0052619999997</v>
      </c>
      <c r="AG8">
        <f>+VLOOKUP($E8,Hybrid!$1:$1048576,AG$2,FALSE)</f>
        <v>6766.2455490000002</v>
      </c>
      <c r="AH8">
        <f>+VLOOKUP($E8,Hybrid!$1:$1048576,AH$2,FALSE)</f>
        <v>6740.7441310000004</v>
      </c>
      <c r="AI8">
        <f>+VLOOKUP($E8,Hybrid!$1:$1048576,AI$2,FALSE)</f>
        <v>6706.9076919999998</v>
      </c>
      <c r="AJ8">
        <f>+VLOOKUP($E8,Hybrid!$1:$1048576,AJ$2,FALSE)</f>
        <v>6664.1717500000004</v>
      </c>
      <c r="AK8">
        <f>+VLOOKUP($E8,Hybrid!$1:$1048576,AK$2,FALSE)</f>
        <v>6612.0131240000001</v>
      </c>
      <c r="AL8">
        <f>+VLOOKUP($E8,Hybrid!$1:$1048576,AL$2,FALSE)</f>
        <v>6549.9637679999996</v>
      </c>
      <c r="AM8">
        <f>+VLOOKUP($E8,Hybrid!$1:$1048576,AM$2,FALSE)</f>
        <v>6477.6256270000003</v>
      </c>
      <c r="AN8">
        <f>+VLOOKUP($E8,Hybrid!$1:$1048576,AN$2,FALSE)</f>
        <v>6394.6860070000002</v>
      </c>
      <c r="AO8">
        <f>+VLOOKUP($E8,Hybrid!$1:$1048576,AO$2,FALSE)</f>
        <v>6300.9328379999997</v>
      </c>
    </row>
    <row r="9" spans="1:41" ht="15" customHeight="1" x14ac:dyDescent="0.25">
      <c r="A9" s="316"/>
      <c r="B9" s="315"/>
      <c r="C9" s="171"/>
      <c r="D9" s="124" t="s">
        <v>543</v>
      </c>
      <c r="E9" s="46" t="s">
        <v>356</v>
      </c>
      <c r="F9" s="73">
        <f>+VLOOKUP($E9,Hybrid!$1:$1048576,F$2,FALSE)</f>
        <v>4159.6639080000004</v>
      </c>
      <c r="G9" s="73">
        <f>+VLOOKUP($E9,Hybrid!$1:$1048576,G$2,FALSE)</f>
        <v>4054.5797419999999</v>
      </c>
      <c r="H9" s="73">
        <f>+VLOOKUP($E9,Hybrid!$1:$1048576,H$2,FALSE)</f>
        <v>3973.8284979999999</v>
      </c>
      <c r="I9">
        <f>+VLOOKUP($E9,Hybrid!$1:$1048576,I$2,FALSE)</f>
        <v>3910.0598810000001</v>
      </c>
      <c r="J9">
        <f>+VLOOKUP($E9,Hybrid!$1:$1048576,J$2,FALSE)</f>
        <v>3858.1675019999998</v>
      </c>
      <c r="K9">
        <f>+VLOOKUP($E9,Hybrid!$1:$1048576,K$2,FALSE)</f>
        <v>3814.603525</v>
      </c>
      <c r="L9">
        <f>+VLOOKUP($E9,Hybrid!$1:$1048576,L$2,FALSE)</f>
        <v>3777.1169620000001</v>
      </c>
      <c r="M9">
        <f>+VLOOKUP($E9,Hybrid!$1:$1048576,M$2,FALSE)</f>
        <v>3744.3155849999998</v>
      </c>
      <c r="N9">
        <f>+VLOOKUP($E9,Hybrid!$1:$1048576,N$2,FALSE)</f>
        <v>3715.1046860000001</v>
      </c>
      <c r="O9">
        <f>+VLOOKUP($E9,Hybrid!$1:$1048576,O$2,FALSE)</f>
        <v>3688.5794689999998</v>
      </c>
      <c r="P9">
        <f>+VLOOKUP($E9,Hybrid!$1:$1048576,P$2,FALSE)</f>
        <v>3663.966539</v>
      </c>
      <c r="Q9">
        <f>+VLOOKUP($E9,Hybrid!$1:$1048576,Q$2,FALSE)</f>
        <v>3640.5846419999998</v>
      </c>
      <c r="R9">
        <f>+VLOOKUP($E9,Hybrid!$1:$1048576,R$2,FALSE)</f>
        <v>3617.8179610000002</v>
      </c>
      <c r="S9">
        <f>+VLOOKUP($E9,Hybrid!$1:$1048576,S$2,FALSE)</f>
        <v>3595.0978479999999</v>
      </c>
      <c r="T9">
        <f>+VLOOKUP($E9,Hybrid!$1:$1048576,T$2,FALSE)</f>
        <v>3571.8900829999998</v>
      </c>
      <c r="U9">
        <f>+VLOOKUP($E9,Hybrid!$1:$1048576,U$2,FALSE)</f>
        <v>3547.6856480000001</v>
      </c>
      <c r="V9">
        <f>+VLOOKUP($E9,Hybrid!$1:$1048576,V$2,FALSE)</f>
        <v>3522.2278809999998</v>
      </c>
      <c r="W9">
        <f>+VLOOKUP($E9,Hybrid!$1:$1048576,W$2,FALSE)</f>
        <v>3495.4858749999999</v>
      </c>
      <c r="X9">
        <f>+VLOOKUP($E9,Hybrid!$1:$1048576,X$2,FALSE)</f>
        <v>3467.3739759999999</v>
      </c>
      <c r="Y9">
        <f>+VLOOKUP($E9,Hybrid!$1:$1048576,Y$2,FALSE)</f>
        <v>3437.7763599999998</v>
      </c>
      <c r="Z9">
        <f>+VLOOKUP($E9,Hybrid!$1:$1048576,Z$2,FALSE)</f>
        <v>3406.5692130000002</v>
      </c>
      <c r="AA9">
        <f>+VLOOKUP($E9,Hybrid!$1:$1048576,AA$2,FALSE)</f>
        <v>3373.63229</v>
      </c>
      <c r="AB9">
        <f>+VLOOKUP($E9,Hybrid!$1:$1048576,AB$2,FALSE)</f>
        <v>3338.854241</v>
      </c>
      <c r="AC9">
        <f>+VLOOKUP($E9,Hybrid!$1:$1048576,AC$2,FALSE)</f>
        <v>3302.1347110000002</v>
      </c>
      <c r="AD9">
        <f>+VLOOKUP($E9,Hybrid!$1:$1048576,AD$2,FALSE)</f>
        <v>3263.3849359999999</v>
      </c>
      <c r="AE9">
        <f>+VLOOKUP($E9,Hybrid!$1:$1048576,AE$2,FALSE)</f>
        <v>3222.5277270000001</v>
      </c>
      <c r="AF9">
        <f>+VLOOKUP($E9,Hybrid!$1:$1048576,AF$2,FALSE)</f>
        <v>3179.4972859999998</v>
      </c>
      <c r="AG9">
        <f>+VLOOKUP($E9,Hybrid!$1:$1048576,AG$2,FALSE)</f>
        <v>3134.2390569999998</v>
      </c>
      <c r="AH9">
        <f>+VLOOKUP($E9,Hybrid!$1:$1048576,AH$2,FALSE)</f>
        <v>3086.7097010000002</v>
      </c>
      <c r="AI9">
        <f>+VLOOKUP($E9,Hybrid!$1:$1048576,AI$2,FALSE)</f>
        <v>3036.8772060000001</v>
      </c>
      <c r="AJ9">
        <f>+VLOOKUP($E9,Hybrid!$1:$1048576,AJ$2,FALSE)</f>
        <v>2984.7211400000001</v>
      </c>
      <c r="AK9">
        <f>+VLOOKUP($E9,Hybrid!$1:$1048576,AK$2,FALSE)</f>
        <v>2930.233025</v>
      </c>
      <c r="AL9">
        <f>+VLOOKUP($E9,Hybrid!$1:$1048576,AL$2,FALSE)</f>
        <v>2873.4168239999999</v>
      </c>
      <c r="AM9">
        <f>+VLOOKUP($E9,Hybrid!$1:$1048576,AM$2,FALSE)</f>
        <v>2814.28955</v>
      </c>
      <c r="AN9">
        <f>+VLOOKUP($E9,Hybrid!$1:$1048576,AN$2,FALSE)</f>
        <v>2752.881969</v>
      </c>
      <c r="AO9">
        <f>+VLOOKUP($E9,Hybrid!$1:$1048576,AO$2,FALSE)</f>
        <v>2689.239435</v>
      </c>
    </row>
    <row r="10" spans="1:41" ht="15" customHeight="1" x14ac:dyDescent="0.25">
      <c r="A10" s="316"/>
      <c r="B10" s="315"/>
      <c r="C10" s="171"/>
      <c r="D10" s="124" t="s">
        <v>544</v>
      </c>
      <c r="E10" s="46" t="s">
        <v>357</v>
      </c>
      <c r="F10" s="73">
        <f>+VLOOKUP($E10,Hybrid!$1:$1048576,F$2,FALSE)</f>
        <v>2503.7292430000002</v>
      </c>
      <c r="G10" s="73">
        <f>+VLOOKUP($E10,Hybrid!$1:$1048576,G$2,FALSE)</f>
        <v>2442.716915</v>
      </c>
      <c r="H10" s="73">
        <f>+VLOOKUP($E10,Hybrid!$1:$1048576,H$2,FALSE)</f>
        <v>2395.2654680000001</v>
      </c>
      <c r="I10">
        <f>+VLOOKUP($E10,Hybrid!$1:$1048576,I$2,FALSE)</f>
        <v>2356.683145</v>
      </c>
      <c r="J10">
        <f>+VLOOKUP($E10,Hybrid!$1:$1048576,J$2,FALSE)</f>
        <v>2323.7961850000002</v>
      </c>
      <c r="K10">
        <f>+VLOOKUP($E10,Hybrid!$1:$1048576,K$2,FALSE)</f>
        <v>2294.4653119999998</v>
      </c>
      <c r="L10">
        <f>+VLOOKUP($E10,Hybrid!$1:$1048576,L$2,FALSE)</f>
        <v>2267.380537</v>
      </c>
      <c r="M10">
        <f>+VLOOKUP($E10,Hybrid!$1:$1048576,M$2,FALSE)</f>
        <v>2241.7722570000001</v>
      </c>
      <c r="N10">
        <f>+VLOOKUP($E10,Hybrid!$1:$1048576,N$2,FALSE)</f>
        <v>2217.0646809999998</v>
      </c>
      <c r="O10">
        <f>+VLOOKUP($E10,Hybrid!$1:$1048576,O$2,FALSE)</f>
        <v>2192.8016640000001</v>
      </c>
      <c r="P10">
        <f>+VLOOKUP($E10,Hybrid!$1:$1048576,P$2,FALSE)</f>
        <v>2168.607501</v>
      </c>
      <c r="Q10">
        <f>+VLOOKUP($E10,Hybrid!$1:$1048576,Q$2,FALSE)</f>
        <v>2144.1620480000001</v>
      </c>
      <c r="R10">
        <f>+VLOOKUP($E10,Hybrid!$1:$1048576,R$2,FALSE)</f>
        <v>2119.1846540000001</v>
      </c>
      <c r="S10">
        <f>+VLOOKUP($E10,Hybrid!$1:$1048576,S$2,FALSE)</f>
        <v>2093.42371</v>
      </c>
      <c r="T10">
        <f>+VLOOKUP($E10,Hybrid!$1:$1048576,T$2,FALSE)</f>
        <v>2066.649754</v>
      </c>
      <c r="U10">
        <f>+VLOOKUP($E10,Hybrid!$1:$1048576,U$2,FALSE)</f>
        <v>2038.6508260000001</v>
      </c>
      <c r="V10">
        <f>+VLOOKUP($E10,Hybrid!$1:$1048576,V$2,FALSE)</f>
        <v>2009.35256</v>
      </c>
      <c r="W10">
        <f>+VLOOKUP($E10,Hybrid!$1:$1048576,W$2,FALSE)</f>
        <v>1978.8037879999999</v>
      </c>
      <c r="X10">
        <f>+VLOOKUP($E10,Hybrid!$1:$1048576,X$2,FALSE)</f>
        <v>1947.0308769999999</v>
      </c>
      <c r="Y10">
        <f>+VLOOKUP($E10,Hybrid!$1:$1048576,Y$2,FALSE)</f>
        <v>1914.048667</v>
      </c>
      <c r="Z10">
        <f>+VLOOKUP($E10,Hybrid!$1:$1048576,Z$2,FALSE)</f>
        <v>1879.8711149999999</v>
      </c>
      <c r="AA10">
        <f>+VLOOKUP($E10,Hybrid!$1:$1048576,AA$2,FALSE)</f>
        <v>1844.5167650000001</v>
      </c>
      <c r="AB10">
        <f>+VLOOKUP($E10,Hybrid!$1:$1048576,AB$2,FALSE)</f>
        <v>1808.011115</v>
      </c>
      <c r="AC10">
        <f>+VLOOKUP($E10,Hybrid!$1:$1048576,AC$2,FALSE)</f>
        <v>1770.3873530000001</v>
      </c>
      <c r="AD10">
        <f>+VLOOKUP($E10,Hybrid!$1:$1048576,AD$2,FALSE)</f>
        <v>1731.6863330000001</v>
      </c>
      <c r="AE10">
        <f>+VLOOKUP($E10,Hybrid!$1:$1048576,AE$2,FALSE)</f>
        <v>1691.9562410000001</v>
      </c>
      <c r="AF10">
        <f>+VLOOKUP($E10,Hybrid!$1:$1048576,AF$2,FALSE)</f>
        <v>1651.2521509999999</v>
      </c>
      <c r="AG10">
        <f>+VLOOKUP($E10,Hybrid!$1:$1048576,AG$2,FALSE)</f>
        <v>1609.6355759999999</v>
      </c>
      <c r="AH10">
        <f>+VLOOKUP($E10,Hybrid!$1:$1048576,AH$2,FALSE)</f>
        <v>1567.174037</v>
      </c>
      <c r="AI10">
        <f>+VLOOKUP($E10,Hybrid!$1:$1048576,AI$2,FALSE)</f>
        <v>1523.9406530000001</v>
      </c>
      <c r="AJ10">
        <f>+VLOOKUP($E10,Hybrid!$1:$1048576,AJ$2,FALSE)</f>
        <v>1480.013733</v>
      </c>
      <c r="AK10">
        <f>+VLOOKUP($E10,Hybrid!$1:$1048576,AK$2,FALSE)</f>
        <v>1435.476369</v>
      </c>
      <c r="AL10">
        <f>+VLOOKUP($E10,Hybrid!$1:$1048576,AL$2,FALSE)</f>
        <v>1390.416017</v>
      </c>
      <c r="AM10">
        <f>+VLOOKUP($E10,Hybrid!$1:$1048576,AM$2,FALSE)</f>
        <v>1344.9240589999999</v>
      </c>
      <c r="AN10">
        <f>+VLOOKUP($E10,Hybrid!$1:$1048576,AN$2,FALSE)</f>
        <v>1299.095358</v>
      </c>
      <c r="AO10">
        <f>+VLOOKUP($E10,Hybrid!$1:$1048576,AO$2,FALSE)</f>
        <v>1253.0278020000001</v>
      </c>
    </row>
    <row r="11" spans="1:41" ht="15" customHeight="1" x14ac:dyDescent="0.25">
      <c r="A11" s="316"/>
      <c r="B11" s="315"/>
      <c r="C11" s="171"/>
      <c r="D11" s="124" t="s">
        <v>545</v>
      </c>
      <c r="E11" s="46" t="s">
        <v>358</v>
      </c>
      <c r="F11" s="73">
        <f>+VLOOKUP($E11,Hybrid!$1:$1048576,F$2,FALSE)</f>
        <v>1243.6668460000001</v>
      </c>
      <c r="G11" s="73">
        <f>+VLOOKUP($E11,Hybrid!$1:$1048576,G$2,FALSE)</f>
        <v>1210.492495</v>
      </c>
      <c r="H11" s="73">
        <f>+VLOOKUP($E11,Hybrid!$1:$1048576,H$2,FALSE)</f>
        <v>1182.323858</v>
      </c>
      <c r="I11">
        <f>+VLOOKUP($E11,Hybrid!$1:$1048576,I$2,FALSE)</f>
        <v>1156.636193</v>
      </c>
      <c r="J11">
        <f>+VLOOKUP($E11,Hybrid!$1:$1048576,J$2,FALSE)</f>
        <v>1131.8888010000001</v>
      </c>
      <c r="K11">
        <f>+VLOOKUP($E11,Hybrid!$1:$1048576,K$2,FALSE)</f>
        <v>1107.1769650000001</v>
      </c>
      <c r="L11">
        <f>+VLOOKUP($E11,Hybrid!$1:$1048576,L$2,FALSE)</f>
        <v>1082.050888</v>
      </c>
      <c r="M11">
        <f>+VLOOKUP($E11,Hybrid!$1:$1048576,M$2,FALSE)</f>
        <v>1056.334942</v>
      </c>
      <c r="N11">
        <f>+VLOOKUP($E11,Hybrid!$1:$1048576,N$2,FALSE)</f>
        <v>1029.955195</v>
      </c>
      <c r="O11">
        <f>+VLOOKUP($E11,Hybrid!$1:$1048576,O$2,FALSE)</f>
        <v>1002.894758</v>
      </c>
      <c r="P11">
        <f>+VLOOKUP($E11,Hybrid!$1:$1048576,P$2,FALSE)</f>
        <v>975.17131440000003</v>
      </c>
      <c r="Q11">
        <f>+VLOOKUP($E11,Hybrid!$1:$1048576,Q$2,FALSE)</f>
        <v>946.82415349999997</v>
      </c>
      <c r="R11">
        <f>+VLOOKUP($E11,Hybrid!$1:$1048576,R$2,FALSE)</f>
        <v>917.90639620000002</v>
      </c>
      <c r="S11">
        <f>+VLOOKUP($E11,Hybrid!$1:$1048576,S$2,FALSE)</f>
        <v>888.48020250000002</v>
      </c>
      <c r="T11">
        <f>+VLOOKUP($E11,Hybrid!$1:$1048576,T$2,FALSE)</f>
        <v>858.61372919999997</v>
      </c>
      <c r="U11">
        <f>+VLOOKUP($E11,Hybrid!$1:$1048576,U$2,FALSE)</f>
        <v>828.37916280000002</v>
      </c>
      <c r="V11">
        <f>+VLOOKUP($E11,Hybrid!$1:$1048576,V$2,FALSE)</f>
        <v>797.88431449999996</v>
      </c>
      <c r="W11">
        <f>+VLOOKUP($E11,Hybrid!$1:$1048576,W$2,FALSE)</f>
        <v>767.26368239999999</v>
      </c>
      <c r="X11">
        <f>+VLOOKUP($E11,Hybrid!$1:$1048576,X$2,FALSE)</f>
        <v>736.63803399999995</v>
      </c>
      <c r="Y11">
        <f>+VLOOKUP($E11,Hybrid!$1:$1048576,Y$2,FALSE)</f>
        <v>706.11730850000004</v>
      </c>
      <c r="Z11">
        <f>+VLOOKUP($E11,Hybrid!$1:$1048576,Z$2,FALSE)</f>
        <v>675.80339600000002</v>
      </c>
      <c r="AA11">
        <f>+VLOOKUP($E11,Hybrid!$1:$1048576,AA$2,FALSE)</f>
        <v>645.79139239999995</v>
      </c>
      <c r="AB11">
        <f>+VLOOKUP($E11,Hybrid!$1:$1048576,AB$2,FALSE)</f>
        <v>616.1699539</v>
      </c>
      <c r="AC11">
        <f>+VLOOKUP($E11,Hybrid!$1:$1048576,AC$2,FALSE)</f>
        <v>587.02122580000002</v>
      </c>
      <c r="AD11">
        <f>+VLOOKUP($E11,Hybrid!$1:$1048576,AD$2,FALSE)</f>
        <v>558.42062080000005</v>
      </c>
      <c r="AE11">
        <f>+VLOOKUP($E11,Hybrid!$1:$1048576,AE$2,FALSE)</f>
        <v>530.43659400000001</v>
      </c>
      <c r="AF11">
        <f>+VLOOKUP($E11,Hybrid!$1:$1048576,AF$2,FALSE)</f>
        <v>503.13047640000002</v>
      </c>
      <c r="AG11">
        <f>+VLOOKUP($E11,Hybrid!$1:$1048576,AG$2,FALSE)</f>
        <v>476.55638979999998</v>
      </c>
      <c r="AH11">
        <f>+VLOOKUP($E11,Hybrid!$1:$1048576,AH$2,FALSE)</f>
        <v>450.76124620000002</v>
      </c>
      <c r="AI11">
        <f>+VLOOKUP($E11,Hybrid!$1:$1048576,AI$2,FALSE)</f>
        <v>425.78482250000002</v>
      </c>
      <c r="AJ11">
        <f>+VLOOKUP($E11,Hybrid!$1:$1048576,AJ$2,FALSE)</f>
        <v>401.65990470000003</v>
      </c>
      <c r="AK11">
        <f>+VLOOKUP($E11,Hybrid!$1:$1048576,AK$2,FALSE)</f>
        <v>378.41249169999998</v>
      </c>
      <c r="AL11">
        <f>+VLOOKUP($E11,Hybrid!$1:$1048576,AL$2,FALSE)</f>
        <v>356.06205340000002</v>
      </c>
      <c r="AM11">
        <f>+VLOOKUP($E11,Hybrid!$1:$1048576,AM$2,FALSE)</f>
        <v>334.62183520000002</v>
      </c>
      <c r="AN11">
        <f>+VLOOKUP($E11,Hybrid!$1:$1048576,AN$2,FALSE)</f>
        <v>314.09920460000001</v>
      </c>
      <c r="AO11">
        <f>+VLOOKUP($E11,Hybrid!$1:$1048576,AO$2,FALSE)</f>
        <v>294.49603300000001</v>
      </c>
    </row>
    <row r="12" spans="1:41" ht="15" customHeight="1" x14ac:dyDescent="0.25">
      <c r="A12" s="316"/>
      <c r="B12" s="315"/>
      <c r="C12" s="171"/>
      <c r="D12" s="124" t="s">
        <v>546</v>
      </c>
      <c r="E12" s="46" t="s">
        <v>359</v>
      </c>
      <c r="F12" s="73">
        <f>+VLOOKUP($E12,Hybrid!$1:$1048576,F$2,FALSE)</f>
        <v>2239.620606</v>
      </c>
      <c r="G12" s="73">
        <f>+VLOOKUP($E12,Hybrid!$1:$1048576,G$2,FALSE)</f>
        <v>2182.9511900000002</v>
      </c>
      <c r="H12" s="73">
        <f>+VLOOKUP($E12,Hybrid!$1:$1048576,H$2,FALSE)</f>
        <v>2132.3988039999999</v>
      </c>
      <c r="I12">
        <f>+VLOOKUP($E12,Hybrid!$1:$1048576,I$2,FALSE)</f>
        <v>2083.0710549999999</v>
      </c>
      <c r="J12">
        <f>+VLOOKUP($E12,Hybrid!$1:$1048576,J$2,FALSE)</f>
        <v>2032.3339940000001</v>
      </c>
      <c r="K12">
        <f>+VLOOKUP($E12,Hybrid!$1:$1048576,K$2,FALSE)</f>
        <v>1978.9455640000001</v>
      </c>
      <c r="L12">
        <f>+VLOOKUP($E12,Hybrid!$1:$1048576,L$2,FALSE)</f>
        <v>1922.5733849999999</v>
      </c>
      <c r="M12">
        <f>+VLOOKUP($E12,Hybrid!$1:$1048576,M$2,FALSE)</f>
        <v>1863.38723</v>
      </c>
      <c r="N12">
        <f>+VLOOKUP($E12,Hybrid!$1:$1048576,N$2,FALSE)</f>
        <v>1801.724555</v>
      </c>
      <c r="O12">
        <f>+VLOOKUP($E12,Hybrid!$1:$1048576,O$2,FALSE)</f>
        <v>1737.993365</v>
      </c>
      <c r="P12">
        <f>+VLOOKUP($E12,Hybrid!$1:$1048576,P$2,FALSE)</f>
        <v>1672.625378</v>
      </c>
      <c r="Q12">
        <f>+VLOOKUP($E12,Hybrid!$1:$1048576,Q$2,FALSE)</f>
        <v>1606.0510870000001</v>
      </c>
      <c r="R12">
        <f>+VLOOKUP($E12,Hybrid!$1:$1048576,R$2,FALSE)</f>
        <v>1538.6862080000001</v>
      </c>
      <c r="S12">
        <f>+VLOOKUP($E12,Hybrid!$1:$1048576,S$2,FALSE)</f>
        <v>1470.924264</v>
      </c>
      <c r="T12">
        <f>+VLOOKUP($E12,Hybrid!$1:$1048576,T$2,FALSE)</f>
        <v>1403.132642</v>
      </c>
      <c r="U12">
        <f>+VLOOKUP($E12,Hybrid!$1:$1048576,U$2,FALSE)</f>
        <v>1335.6506919999999</v>
      </c>
      <c r="V12">
        <f>+VLOOKUP($E12,Hybrid!$1:$1048576,V$2,FALSE)</f>
        <v>1268.8255959999999</v>
      </c>
      <c r="W12">
        <f>+VLOOKUP($E12,Hybrid!$1:$1048576,W$2,FALSE)</f>
        <v>1202.999047</v>
      </c>
      <c r="X12">
        <f>+VLOOKUP($E12,Hybrid!$1:$1048576,X$2,FALSE)</f>
        <v>1138.4631440000001</v>
      </c>
      <c r="Y12">
        <f>+VLOOKUP($E12,Hybrid!$1:$1048576,Y$2,FALSE)</f>
        <v>1075.4659320000001</v>
      </c>
      <c r="Z12">
        <f>+VLOOKUP($E12,Hybrid!$1:$1048576,Z$2,FALSE)</f>
        <v>1014.216772</v>
      </c>
      <c r="AA12">
        <f>+VLOOKUP($E12,Hybrid!$1:$1048576,AA$2,FALSE)</f>
        <v>954.88991929999997</v>
      </c>
      <c r="AB12">
        <f>+VLOOKUP($E12,Hybrid!$1:$1048576,AB$2,FALSE)</f>
        <v>897.62713929999995</v>
      </c>
      <c r="AC12">
        <f>+VLOOKUP($E12,Hybrid!$1:$1048576,AC$2,FALSE)</f>
        <v>842.53990799999997</v>
      </c>
      <c r="AD12">
        <f>+VLOOKUP($E12,Hybrid!$1:$1048576,AD$2,FALSE)</f>
        <v>789.71152359999996</v>
      </c>
      <c r="AE12">
        <f>+VLOOKUP($E12,Hybrid!$1:$1048576,AE$2,FALSE)</f>
        <v>739.19925909999995</v>
      </c>
      <c r="AF12">
        <f>+VLOOKUP($E12,Hybrid!$1:$1048576,AF$2,FALSE)</f>
        <v>691.03658819999998</v>
      </c>
      <c r="AG12">
        <f>+VLOOKUP($E12,Hybrid!$1:$1048576,AG$2,FALSE)</f>
        <v>645.23546690000001</v>
      </c>
      <c r="AH12">
        <f>+VLOOKUP($E12,Hybrid!$1:$1048576,AH$2,FALSE)</f>
        <v>601.78863509999996</v>
      </c>
      <c r="AI12">
        <f>+VLOOKUP($E12,Hybrid!$1:$1048576,AI$2,FALSE)</f>
        <v>560.67190059999996</v>
      </c>
      <c r="AJ12">
        <f>+VLOOKUP($E12,Hybrid!$1:$1048576,AJ$2,FALSE)</f>
        <v>521.84636839999996</v>
      </c>
      <c r="AK12">
        <f>+VLOOKUP($E12,Hybrid!$1:$1048576,AK$2,FALSE)</f>
        <v>485.26058890000002</v>
      </c>
      <c r="AL12">
        <f>+VLOOKUP($E12,Hybrid!$1:$1048576,AL$2,FALSE)</f>
        <v>450.85260019999998</v>
      </c>
      <c r="AM12">
        <f>+VLOOKUP($E12,Hybrid!$1:$1048576,AM$2,FALSE)</f>
        <v>418.55184789999998</v>
      </c>
      <c r="AN12">
        <f>+VLOOKUP($E12,Hybrid!$1:$1048576,AN$2,FALSE)</f>
        <v>388.28096840000001</v>
      </c>
      <c r="AO12">
        <f>+VLOOKUP($E12,Hybrid!$1:$1048576,AO$2,FALSE)</f>
        <v>359.95742710000002</v>
      </c>
    </row>
    <row r="13" spans="1:41" s="111" customFormat="1" ht="15" customHeight="1" x14ac:dyDescent="0.25">
      <c r="A13" s="316"/>
      <c r="B13" s="315"/>
      <c r="C13" s="122" t="s">
        <v>823</v>
      </c>
      <c r="D13" s="123"/>
      <c r="E13" s="91" t="s">
        <v>360</v>
      </c>
      <c r="F13" s="111">
        <f>+VLOOKUP($E13,Hybrid!$1:$1048576,F$2,FALSE)</f>
        <v>44.765000000000001</v>
      </c>
      <c r="G13" s="111">
        <f>+VLOOKUP($E13,Hybrid!$1:$1048576,G$2,FALSE)</f>
        <v>62.431569170000003</v>
      </c>
      <c r="H13" s="111">
        <f>+VLOOKUP($E13,Hybrid!$1:$1048576,H$2,FALSE)</f>
        <v>81.013695760000004</v>
      </c>
      <c r="I13" s="111">
        <f>+VLOOKUP($E13,Hybrid!$1:$1048576,I$2,FALSE)</f>
        <v>100.1229845</v>
      </c>
      <c r="J13" s="111">
        <f>+VLOOKUP($E13,Hybrid!$1:$1048576,J$2,FALSE)</f>
        <v>119.557911</v>
      </c>
      <c r="K13" s="111">
        <f>+VLOOKUP($E13,Hybrid!$1:$1048576,K$2,FALSE)</f>
        <v>139.26916840000001</v>
      </c>
      <c r="L13" s="111">
        <f>+VLOOKUP($E13,Hybrid!$1:$1048576,L$2,FALSE)</f>
        <v>159.34439639999999</v>
      </c>
      <c r="M13" s="111">
        <f>+VLOOKUP($E13,Hybrid!$1:$1048576,M$2,FALSE)</f>
        <v>179.9408076</v>
      </c>
      <c r="N13" s="111">
        <f>+VLOOKUP($E13,Hybrid!$1:$1048576,N$2,FALSE)</f>
        <v>201.21851140000001</v>
      </c>
      <c r="O13" s="111">
        <f>+VLOOKUP($E13,Hybrid!$1:$1048576,O$2,FALSE)</f>
        <v>223.34990759999999</v>
      </c>
      <c r="P13" s="111">
        <f>+VLOOKUP($E13,Hybrid!$1:$1048576,P$2,FALSE)</f>
        <v>246.5349597</v>
      </c>
      <c r="Q13" s="111">
        <f>+VLOOKUP($E13,Hybrid!$1:$1048576,Q$2,FALSE)</f>
        <v>271.01943679999999</v>
      </c>
      <c r="R13" s="111">
        <f>+VLOOKUP($E13,Hybrid!$1:$1048576,R$2,FALSE)</f>
        <v>297.11657760000003</v>
      </c>
      <c r="S13" s="111">
        <f>+VLOOKUP($E13,Hybrid!$1:$1048576,S$2,FALSE)</f>
        <v>325.23391279999998</v>
      </c>
      <c r="T13" s="111">
        <f>+VLOOKUP($E13,Hybrid!$1:$1048576,T$2,FALSE)</f>
        <v>355.90822200000002</v>
      </c>
      <c r="U13" s="111">
        <f>+VLOOKUP($E13,Hybrid!$1:$1048576,U$2,FALSE)</f>
        <v>389.85320739999997</v>
      </c>
      <c r="V13" s="111">
        <f>+VLOOKUP($E13,Hybrid!$1:$1048576,V$2,FALSE)</f>
        <v>428.0347132</v>
      </c>
      <c r="W13" s="111">
        <f>+VLOOKUP($E13,Hybrid!$1:$1048576,W$2,FALSE)</f>
        <v>471.6453156</v>
      </c>
      <c r="X13" s="111">
        <f>+VLOOKUP($E13,Hybrid!$1:$1048576,X$2,FALSE)</f>
        <v>522.01457679999999</v>
      </c>
      <c r="Y13" s="111">
        <f>+VLOOKUP($E13,Hybrid!$1:$1048576,Y$2,FALSE)</f>
        <v>580.62349040000004</v>
      </c>
      <c r="Z13" s="111">
        <f>+VLOOKUP($E13,Hybrid!$1:$1048576,Z$2,FALSE)</f>
        <v>649.11914290000004</v>
      </c>
      <c r="AA13" s="111">
        <f>+VLOOKUP($E13,Hybrid!$1:$1048576,AA$2,FALSE)</f>
        <v>729.32712479999998</v>
      </c>
      <c r="AB13" s="111">
        <f>+VLOOKUP($E13,Hybrid!$1:$1048576,AB$2,FALSE)</f>
        <v>823.26146000000006</v>
      </c>
      <c r="AC13" s="111">
        <f>+VLOOKUP($E13,Hybrid!$1:$1048576,AC$2,FALSE)</f>
        <v>933.13161100000002</v>
      </c>
      <c r="AD13" s="111">
        <f>+VLOOKUP($E13,Hybrid!$1:$1048576,AD$2,FALSE)</f>
        <v>1061.3458559999999</v>
      </c>
      <c r="AE13" s="111">
        <f>+VLOOKUP($E13,Hybrid!$1:$1048576,AE$2,FALSE)</f>
        <v>1210.5101259999999</v>
      </c>
      <c r="AF13" s="111">
        <f>+VLOOKUP($E13,Hybrid!$1:$1048576,AF$2,FALSE)</f>
        <v>1383.4212379999999</v>
      </c>
      <c r="AG13" s="111">
        <f>+VLOOKUP($E13,Hybrid!$1:$1048576,AG$2,FALSE)</f>
        <v>1583.0533829999999</v>
      </c>
      <c r="AH13" s="111">
        <f>+VLOOKUP($E13,Hybrid!$1:$1048576,AH$2,FALSE)</f>
        <v>1812.536709</v>
      </c>
      <c r="AI13" s="111">
        <f>+VLOOKUP($E13,Hybrid!$1:$1048576,AI$2,FALSE)</f>
        <v>2075.126925</v>
      </c>
      <c r="AJ13" s="111">
        <f>+VLOOKUP($E13,Hybrid!$1:$1048576,AJ$2,FALSE)</f>
        <v>2374.164992</v>
      </c>
      <c r="AK13" s="111">
        <f>+VLOOKUP($E13,Hybrid!$1:$1048576,AK$2,FALSE)</f>
        <v>2713.0262630000002</v>
      </c>
      <c r="AL13" s="111">
        <f>+VLOOKUP($E13,Hybrid!$1:$1048576,AL$2,FALSE)</f>
        <v>3095.0588210000001</v>
      </c>
      <c r="AM13" s="111">
        <f>+VLOOKUP($E13,Hybrid!$1:$1048576,AM$2,FALSE)</f>
        <v>3523.511317</v>
      </c>
      <c r="AN13" s="111">
        <f>+VLOOKUP($E13,Hybrid!$1:$1048576,AN$2,FALSE)</f>
        <v>4001.4512589999999</v>
      </c>
      <c r="AO13" s="111">
        <f>+VLOOKUP($E13,Hybrid!$1:$1048576,AO$2,FALSE)</f>
        <v>4531.6755290000001</v>
      </c>
    </row>
    <row r="14" spans="1:41" ht="15" customHeight="1" x14ac:dyDescent="0.25">
      <c r="A14" s="316"/>
      <c r="B14" s="315"/>
      <c r="C14" s="171"/>
      <c r="D14" s="124" t="s">
        <v>540</v>
      </c>
      <c r="E14" s="46" t="s">
        <v>361</v>
      </c>
      <c r="F14" s="73">
        <f>+VLOOKUP($E14,Hybrid!$1:$1048576,F$2,FALSE)</f>
        <v>9.8427898650000003</v>
      </c>
      <c r="G14" s="73">
        <f>+VLOOKUP($E14,Hybrid!$1:$1048576,G$2,FALSE)</f>
        <v>14.98677562</v>
      </c>
      <c r="H14" s="73">
        <f>+VLOOKUP($E14,Hybrid!$1:$1048576,H$2,FALSE)</f>
        <v>20.44188892</v>
      </c>
      <c r="I14">
        <f>+VLOOKUP($E14,Hybrid!$1:$1048576,I$2,FALSE)</f>
        <v>26.112449139999999</v>
      </c>
      <c r="J14">
        <f>+VLOOKUP($E14,Hybrid!$1:$1048576,J$2,FALSE)</f>
        <v>31.950416000000001</v>
      </c>
      <c r="K14">
        <f>+VLOOKUP($E14,Hybrid!$1:$1048576,K$2,FALSE)</f>
        <v>37.949261730000003</v>
      </c>
      <c r="L14">
        <f>+VLOOKUP($E14,Hybrid!$1:$1048576,L$2,FALSE)</f>
        <v>44.142141090000003</v>
      </c>
      <c r="M14">
        <f>+VLOOKUP($E14,Hybrid!$1:$1048576,M$2,FALSE)</f>
        <v>50.582779780000003</v>
      </c>
      <c r="N14">
        <f>+VLOOKUP($E14,Hybrid!$1:$1048576,N$2,FALSE)</f>
        <v>57.325872269999998</v>
      </c>
      <c r="O14">
        <f>+VLOOKUP($E14,Hybrid!$1:$1048576,O$2,FALSE)</f>
        <v>64.430769369999993</v>
      </c>
      <c r="P14">
        <f>+VLOOKUP($E14,Hybrid!$1:$1048576,P$2,FALSE)</f>
        <v>71.966934690000002</v>
      </c>
      <c r="Q14">
        <f>+VLOOKUP($E14,Hybrid!$1:$1048576,Q$2,FALSE)</f>
        <v>80.020459020000004</v>
      </c>
      <c r="R14">
        <f>+VLOOKUP($E14,Hybrid!$1:$1048576,R$2,FALSE)</f>
        <v>88.701914599999995</v>
      </c>
      <c r="S14">
        <f>+VLOOKUP($E14,Hybrid!$1:$1048576,S$2,FALSE)</f>
        <v>98.156257339999996</v>
      </c>
      <c r="T14">
        <f>+VLOOKUP($E14,Hybrid!$1:$1048576,T$2,FALSE)</f>
        <v>108.57594520000001</v>
      </c>
      <c r="U14">
        <f>+VLOOKUP($E14,Hybrid!$1:$1048576,U$2,FALSE)</f>
        <v>120.2190784</v>
      </c>
      <c r="V14">
        <f>+VLOOKUP($E14,Hybrid!$1:$1048576,V$2,FALSE)</f>
        <v>133.4370993</v>
      </c>
      <c r="W14">
        <f>+VLOOKUP($E14,Hybrid!$1:$1048576,W$2,FALSE)</f>
        <v>148.6682544</v>
      </c>
      <c r="X14">
        <f>+VLOOKUP($E14,Hybrid!$1:$1048576,X$2,FALSE)</f>
        <v>166.4089108</v>
      </c>
      <c r="Y14">
        <f>+VLOOKUP($E14,Hybrid!$1:$1048576,Y$2,FALSE)</f>
        <v>187.22067989999999</v>
      </c>
      <c r="Z14">
        <f>+VLOOKUP($E14,Hybrid!$1:$1048576,Z$2,FALSE)</f>
        <v>211.73773399999999</v>
      </c>
      <c r="AA14">
        <f>+VLOOKUP($E14,Hybrid!$1:$1048576,AA$2,FALSE)</f>
        <v>240.67353679999999</v>
      </c>
      <c r="AB14">
        <f>+VLOOKUP($E14,Hybrid!$1:$1048576,AB$2,FALSE)</f>
        <v>274.82690589999999</v>
      </c>
      <c r="AC14">
        <f>+VLOOKUP($E14,Hybrid!$1:$1048576,AC$2,FALSE)</f>
        <v>315.08722010000002</v>
      </c>
      <c r="AD14">
        <f>+VLOOKUP($E14,Hybrid!$1:$1048576,AD$2,FALSE)</f>
        <v>362.4384718</v>
      </c>
      <c r="AE14">
        <f>+VLOOKUP($E14,Hybrid!$1:$1048576,AE$2,FALSE)</f>
        <v>417.9617619</v>
      </c>
      <c r="AF14">
        <f>+VLOOKUP($E14,Hybrid!$1:$1048576,AF$2,FALSE)</f>
        <v>482.83575330000002</v>
      </c>
      <c r="AG14">
        <f>+VLOOKUP($E14,Hybrid!$1:$1048576,AG$2,FALSE)</f>
        <v>558.33453750000001</v>
      </c>
      <c r="AH14">
        <f>+VLOOKUP($E14,Hybrid!$1:$1048576,AH$2,FALSE)</f>
        <v>645.82233480000002</v>
      </c>
      <c r="AI14">
        <f>+VLOOKUP($E14,Hybrid!$1:$1048576,AI$2,FALSE)</f>
        <v>746.74444080000001</v>
      </c>
      <c r="AJ14">
        <f>+VLOOKUP($E14,Hybrid!$1:$1048576,AJ$2,FALSE)</f>
        <v>862.61385929999994</v>
      </c>
      <c r="AK14">
        <f>+VLOOKUP($E14,Hybrid!$1:$1048576,AK$2,FALSE)</f>
        <v>994.99314949999996</v>
      </c>
      <c r="AL14">
        <f>+VLOOKUP($E14,Hybrid!$1:$1048576,AL$2,FALSE)</f>
        <v>1145.4711460000001</v>
      </c>
      <c r="AM14">
        <f>+VLOOKUP($E14,Hybrid!$1:$1048576,AM$2,FALSE)</f>
        <v>1315.634419</v>
      </c>
      <c r="AN14">
        <f>+VLOOKUP($E14,Hybrid!$1:$1048576,AN$2,FALSE)</f>
        <v>1507.033623</v>
      </c>
      <c r="AO14">
        <f>+VLOOKUP($E14,Hybrid!$1:$1048576,AO$2,FALSE)</f>
        <v>1721.1452220000001</v>
      </c>
    </row>
    <row r="15" spans="1:41" ht="15" customHeight="1" x14ac:dyDescent="0.25">
      <c r="A15" s="316"/>
      <c r="B15" s="315"/>
      <c r="C15" s="171"/>
      <c r="D15" s="124" t="s">
        <v>541</v>
      </c>
      <c r="E15" s="46" t="s">
        <v>362</v>
      </c>
      <c r="F15" s="73">
        <f>+VLOOKUP($E15,Hybrid!$1:$1048576,F$2,FALSE)</f>
        <v>11.44571741</v>
      </c>
      <c r="G15" s="73">
        <f>+VLOOKUP($E15,Hybrid!$1:$1048576,G$2,FALSE)</f>
        <v>16.298725730000001</v>
      </c>
      <c r="H15" s="73">
        <f>+VLOOKUP($E15,Hybrid!$1:$1048576,H$2,FALSE)</f>
        <v>21.445142629999999</v>
      </c>
      <c r="I15">
        <f>+VLOOKUP($E15,Hybrid!$1:$1048576,I$2,FALSE)</f>
        <v>26.792131120000001</v>
      </c>
      <c r="J15">
        <f>+VLOOKUP($E15,Hybrid!$1:$1048576,J$2,FALSE)</f>
        <v>32.294000230000002</v>
      </c>
      <c r="K15">
        <f>+VLOOKUP($E15,Hybrid!$1:$1048576,K$2,FALSE)</f>
        <v>37.945945260000002</v>
      </c>
      <c r="L15">
        <f>+VLOOKUP($E15,Hybrid!$1:$1048576,L$2,FALSE)</f>
        <v>43.781767790000004</v>
      </c>
      <c r="M15">
        <f>+VLOOKUP($E15,Hybrid!$1:$1048576,M$2,FALSE)</f>
        <v>49.854747240000002</v>
      </c>
      <c r="N15">
        <f>+VLOOKUP($E15,Hybrid!$1:$1048576,N$2,FALSE)</f>
        <v>56.21847236</v>
      </c>
      <c r="O15">
        <f>+VLOOKUP($E15,Hybrid!$1:$1048576,O$2,FALSE)</f>
        <v>62.930440470000001</v>
      </c>
      <c r="P15">
        <f>+VLOOKUP($E15,Hybrid!$1:$1048576,P$2,FALSE)</f>
        <v>70.057372700000002</v>
      </c>
      <c r="Q15">
        <f>+VLOOKUP($E15,Hybrid!$1:$1048576,Q$2,FALSE)</f>
        <v>77.681484060000003</v>
      </c>
      <c r="R15">
        <f>+VLOOKUP($E15,Hybrid!$1:$1048576,R$2,FALSE)</f>
        <v>85.907924730000005</v>
      </c>
      <c r="S15">
        <f>+VLOOKUP($E15,Hybrid!$1:$1048576,S$2,FALSE)</f>
        <v>94.874013860000005</v>
      </c>
      <c r="T15">
        <f>+VLOOKUP($E15,Hybrid!$1:$1048576,T$2,FALSE)</f>
        <v>104.76130120000001</v>
      </c>
      <c r="U15">
        <f>+VLOOKUP($E15,Hybrid!$1:$1048576,U$2,FALSE)</f>
        <v>115.8120426</v>
      </c>
      <c r="V15">
        <f>+VLOOKUP($E15,Hybrid!$1:$1048576,V$2,FALSE)</f>
        <v>128.35424190000001</v>
      </c>
      <c r="W15">
        <f>+VLOOKUP($E15,Hybrid!$1:$1048576,W$2,FALSE)</f>
        <v>142.7937646</v>
      </c>
      <c r="X15">
        <f>+VLOOKUP($E15,Hybrid!$1:$1048576,X$2,FALSE)</f>
        <v>159.58537770000001</v>
      </c>
      <c r="Y15">
        <f>+VLOOKUP($E15,Hybrid!$1:$1048576,Y$2,FALSE)</f>
        <v>179.2376491</v>
      </c>
      <c r="Z15">
        <f>+VLOOKUP($E15,Hybrid!$1:$1048576,Z$2,FALSE)</f>
        <v>202.3178685</v>
      </c>
      <c r="AA15">
        <f>+VLOOKUP($E15,Hybrid!$1:$1048576,AA$2,FALSE)</f>
        <v>229.45618899999999</v>
      </c>
      <c r="AB15">
        <f>+VLOOKUP($E15,Hybrid!$1:$1048576,AB$2,FALSE)</f>
        <v>261.34888030000002</v>
      </c>
      <c r="AC15">
        <f>+VLOOKUP($E15,Hybrid!$1:$1048576,AC$2,FALSE)</f>
        <v>298.76051790000002</v>
      </c>
      <c r="AD15">
        <f>+VLOOKUP($E15,Hybrid!$1:$1048576,AD$2,FALSE)</f>
        <v>342.52484459999999</v>
      </c>
      <c r="AE15">
        <f>+VLOOKUP($E15,Hybrid!$1:$1048576,AE$2,FALSE)</f>
        <v>393.54397510000001</v>
      </c>
      <c r="AF15">
        <f>+VLOOKUP($E15,Hybrid!$1:$1048576,AF$2,FALSE)</f>
        <v>452.78556479999997</v>
      </c>
      <c r="AG15">
        <f>+VLOOKUP($E15,Hybrid!$1:$1048576,AG$2,FALSE)</f>
        <v>521.27754449999998</v>
      </c>
      <c r="AH15">
        <f>+VLOOKUP($E15,Hybrid!$1:$1048576,AH$2,FALSE)</f>
        <v>600.1000229</v>
      </c>
      <c r="AI15">
        <f>+VLOOKUP($E15,Hybrid!$1:$1048576,AI$2,FALSE)</f>
        <v>690.37399719999996</v>
      </c>
      <c r="AJ15">
        <f>+VLOOKUP($E15,Hybrid!$1:$1048576,AJ$2,FALSE)</f>
        <v>793.2465737</v>
      </c>
      <c r="AK15">
        <f>+VLOOKUP($E15,Hybrid!$1:$1048576,AK$2,FALSE)</f>
        <v>909.87251289999995</v>
      </c>
      <c r="AL15">
        <f>+VLOOKUP($E15,Hybrid!$1:$1048576,AL$2,FALSE)</f>
        <v>1041.3920660000001</v>
      </c>
      <c r="AM15">
        <f>+VLOOKUP($E15,Hybrid!$1:$1048576,AM$2,FALSE)</f>
        <v>1188.9052670000001</v>
      </c>
      <c r="AN15">
        <f>+VLOOKUP($E15,Hybrid!$1:$1048576,AN$2,FALSE)</f>
        <v>1353.4430850000001</v>
      </c>
      <c r="AO15">
        <f>+VLOOKUP($E15,Hybrid!$1:$1048576,AO$2,FALSE)</f>
        <v>1535.9361309999999</v>
      </c>
    </row>
    <row r="16" spans="1:41" ht="15" customHeight="1" x14ac:dyDescent="0.25">
      <c r="A16" s="316"/>
      <c r="B16" s="315"/>
      <c r="C16" s="171"/>
      <c r="D16" s="124" t="s">
        <v>542</v>
      </c>
      <c r="E16" s="46" t="s">
        <v>363</v>
      </c>
      <c r="F16" s="73">
        <f>+VLOOKUP($E16,Hybrid!$1:$1048576,F$2,FALSE)</f>
        <v>9.4015406210000005</v>
      </c>
      <c r="G16" s="73">
        <f>+VLOOKUP($E16,Hybrid!$1:$1048576,G$2,FALSE)</f>
        <v>12.69768285</v>
      </c>
      <c r="H16" s="73">
        <f>+VLOOKUP($E16,Hybrid!$1:$1048576,H$2,FALSE)</f>
        <v>16.19335895</v>
      </c>
      <c r="I16">
        <f>+VLOOKUP($E16,Hybrid!$1:$1048576,I$2,FALSE)</f>
        <v>19.823554609999999</v>
      </c>
      <c r="J16">
        <f>+VLOOKUP($E16,Hybrid!$1:$1048576,J$2,FALSE)</f>
        <v>23.556821750000001</v>
      </c>
      <c r="K16">
        <f>+VLOOKUP($E16,Hybrid!$1:$1048576,K$2,FALSE)</f>
        <v>27.39065647</v>
      </c>
      <c r="L16">
        <f>+VLOOKUP($E16,Hybrid!$1:$1048576,L$2,FALSE)</f>
        <v>31.34954905</v>
      </c>
      <c r="M16">
        <f>+VLOOKUP($E16,Hybrid!$1:$1048576,M$2,FALSE)</f>
        <v>35.47124152</v>
      </c>
      <c r="N16">
        <f>+VLOOKUP($E16,Hybrid!$1:$1048576,N$2,FALSE)</f>
        <v>39.793247970000003</v>
      </c>
      <c r="O16">
        <f>+VLOOKUP($E16,Hybrid!$1:$1048576,O$2,FALSE)</f>
        <v>44.35537171</v>
      </c>
      <c r="P16">
        <f>+VLOOKUP($E16,Hybrid!$1:$1048576,P$2,FALSE)</f>
        <v>49.203413930000004</v>
      </c>
      <c r="Q16">
        <f>+VLOOKUP($E16,Hybrid!$1:$1048576,Q$2,FALSE)</f>
        <v>54.393495029999997</v>
      </c>
      <c r="R16">
        <f>+VLOOKUP($E16,Hybrid!$1:$1048576,R$2,FALSE)</f>
        <v>59.99710151</v>
      </c>
      <c r="S16">
        <f>+VLOOKUP($E16,Hybrid!$1:$1048576,S$2,FALSE)</f>
        <v>66.107249269999997</v>
      </c>
      <c r="T16">
        <f>+VLOOKUP($E16,Hybrid!$1:$1048576,T$2,FALSE)</f>
        <v>72.846419979999993</v>
      </c>
      <c r="U16">
        <f>+VLOOKUP($E16,Hybrid!$1:$1048576,U$2,FALSE)</f>
        <v>80.377270300000006</v>
      </c>
      <c r="V16">
        <f>+VLOOKUP($E16,Hybrid!$1:$1048576,V$2,FALSE)</f>
        <v>88.91887423</v>
      </c>
      <c r="W16">
        <f>+VLOOKUP($E16,Hybrid!$1:$1048576,W$2,FALSE)</f>
        <v>98.740275030000006</v>
      </c>
      <c r="X16">
        <f>+VLOOKUP($E16,Hybrid!$1:$1048576,X$2,FALSE)</f>
        <v>110.1396676</v>
      </c>
      <c r="Y16">
        <f>+VLOOKUP($E16,Hybrid!$1:$1048576,Y$2,FALSE)</f>
        <v>123.4465984</v>
      </c>
      <c r="Z16">
        <f>+VLOOKUP($E16,Hybrid!$1:$1048576,Z$2,FALSE)</f>
        <v>139.024114</v>
      </c>
      <c r="AA16">
        <f>+VLOOKUP($E16,Hybrid!$1:$1048576,AA$2,FALSE)</f>
        <v>157.27027609999999</v>
      </c>
      <c r="AB16">
        <f>+VLOOKUP($E16,Hybrid!$1:$1048576,AB$2,FALSE)</f>
        <v>178.61896239999999</v>
      </c>
      <c r="AC16">
        <f>+VLOOKUP($E16,Hybrid!$1:$1048576,AC$2,FALSE)</f>
        <v>203.53984109999999</v>
      </c>
      <c r="AD16">
        <f>+VLOOKUP($E16,Hybrid!$1:$1048576,AD$2,FALSE)</f>
        <v>232.53736660000001</v>
      </c>
      <c r="AE16">
        <f>+VLOOKUP($E16,Hybrid!$1:$1048576,AE$2,FALSE)</f>
        <v>266.14861280000002</v>
      </c>
      <c r="AF16">
        <f>+VLOOKUP($E16,Hybrid!$1:$1048576,AF$2,FALSE)</f>
        <v>304.93974739999999</v>
      </c>
      <c r="AG16">
        <f>+VLOOKUP($E16,Hybrid!$1:$1048576,AG$2,FALSE)</f>
        <v>349.50095399999998</v>
      </c>
      <c r="AH16">
        <f>+VLOOKUP($E16,Hybrid!$1:$1048576,AH$2,FALSE)</f>
        <v>400.43962970000001</v>
      </c>
      <c r="AI16">
        <f>+VLOOKUP($E16,Hybrid!$1:$1048576,AI$2,FALSE)</f>
        <v>458.3717302</v>
      </c>
      <c r="AJ16">
        <f>+VLOOKUP($E16,Hybrid!$1:$1048576,AJ$2,FALSE)</f>
        <v>523.9111881</v>
      </c>
      <c r="AK16">
        <f>+VLOOKUP($E16,Hybrid!$1:$1048576,AK$2,FALSE)</f>
        <v>597.65742379999995</v>
      </c>
      <c r="AL16">
        <f>+VLOOKUP($E16,Hybrid!$1:$1048576,AL$2,FALSE)</f>
        <v>680.18106290000003</v>
      </c>
      <c r="AM16">
        <f>+VLOOKUP($E16,Hybrid!$1:$1048576,AM$2,FALSE)</f>
        <v>772.00810660000002</v>
      </c>
      <c r="AN16">
        <f>+VLOOKUP($E16,Hybrid!$1:$1048576,AN$2,FALSE)</f>
        <v>873.60293979999994</v>
      </c>
      <c r="AO16">
        <f>+VLOOKUP($E16,Hybrid!$1:$1048576,AO$2,FALSE)</f>
        <v>985.35070729999995</v>
      </c>
    </row>
    <row r="17" spans="1:41" ht="15" customHeight="1" x14ac:dyDescent="0.25">
      <c r="A17" s="316"/>
      <c r="B17" s="315"/>
      <c r="C17" s="171"/>
      <c r="D17" s="124" t="s">
        <v>543</v>
      </c>
      <c r="E17" s="46" t="s">
        <v>364</v>
      </c>
      <c r="F17" s="73">
        <f>+VLOOKUP($E17,Hybrid!$1:$1048576,F$2,FALSE)</f>
        <v>5.770071272</v>
      </c>
      <c r="G17" s="73">
        <f>+VLOOKUP($E17,Hybrid!$1:$1048576,G$2,FALSE)</f>
        <v>7.5615054730000004</v>
      </c>
      <c r="H17" s="73">
        <f>+VLOOKUP($E17,Hybrid!$1:$1048576,H$2,FALSE)</f>
        <v>9.4379838589999991</v>
      </c>
      <c r="I17">
        <f>+VLOOKUP($E17,Hybrid!$1:$1048576,I$2,FALSE)</f>
        <v>11.35207945</v>
      </c>
      <c r="J17">
        <f>+VLOOKUP($E17,Hybrid!$1:$1048576,J$2,FALSE)</f>
        <v>13.275194150000001</v>
      </c>
      <c r="K17">
        <f>+VLOOKUP($E17,Hybrid!$1:$1048576,K$2,FALSE)</f>
        <v>15.19295917</v>
      </c>
      <c r="L17">
        <f>+VLOOKUP($E17,Hybrid!$1:$1048576,L$2,FALSE)</f>
        <v>17.10332404</v>
      </c>
      <c r="M17">
        <f>+VLOOKUP($E17,Hybrid!$1:$1048576,M$2,FALSE)</f>
        <v>19.010938110000001</v>
      </c>
      <c r="N17">
        <f>+VLOOKUP($E17,Hybrid!$1:$1048576,N$2,FALSE)</f>
        <v>20.921141630000001</v>
      </c>
      <c r="O17">
        <f>+VLOOKUP($E17,Hybrid!$1:$1048576,O$2,FALSE)</f>
        <v>22.840063820000001</v>
      </c>
      <c r="P17">
        <f>+VLOOKUP($E17,Hybrid!$1:$1048576,P$2,FALSE)</f>
        <v>24.775194509999999</v>
      </c>
      <c r="Q17">
        <f>+VLOOKUP($E17,Hybrid!$1:$1048576,Q$2,FALSE)</f>
        <v>26.73612</v>
      </c>
      <c r="R17">
        <f>+VLOOKUP($E17,Hybrid!$1:$1048576,R$2,FALSE)</f>
        <v>28.735392220000001</v>
      </c>
      <c r="S17">
        <f>+VLOOKUP($E17,Hybrid!$1:$1048576,S$2,FALSE)</f>
        <v>30.789568280000001</v>
      </c>
      <c r="T17">
        <f>+VLOOKUP($E17,Hybrid!$1:$1048576,T$2,FALSE)</f>
        <v>32.920506150000001</v>
      </c>
      <c r="U17">
        <f>+VLOOKUP($E17,Hybrid!$1:$1048576,U$2,FALSE)</f>
        <v>35.157052210000003</v>
      </c>
      <c r="V17">
        <f>+VLOOKUP($E17,Hybrid!$1:$1048576,V$2,FALSE)</f>
        <v>37.538923269999998</v>
      </c>
      <c r="W17">
        <f>+VLOOKUP($E17,Hybrid!$1:$1048576,W$2,FALSE)</f>
        <v>40.114565859999999</v>
      </c>
      <c r="X17">
        <f>+VLOOKUP($E17,Hybrid!$1:$1048576,X$2,FALSE)</f>
        <v>42.934930999999999</v>
      </c>
      <c r="Y17">
        <f>+VLOOKUP($E17,Hybrid!$1:$1048576,Y$2,FALSE)</f>
        <v>46.053606670000001</v>
      </c>
      <c r="Z17">
        <f>+VLOOKUP($E17,Hybrid!$1:$1048576,Z$2,FALSE)</f>
        <v>49.526958950000001</v>
      </c>
      <c r="AA17">
        <f>+VLOOKUP($E17,Hybrid!$1:$1048576,AA$2,FALSE)</f>
        <v>53.41412141</v>
      </c>
      <c r="AB17">
        <f>+VLOOKUP($E17,Hybrid!$1:$1048576,AB$2,FALSE)</f>
        <v>57.776851649999998</v>
      </c>
      <c r="AC17">
        <f>+VLOOKUP($E17,Hybrid!$1:$1048576,AC$2,FALSE)</f>
        <v>62.679266990000002</v>
      </c>
      <c r="AD17">
        <f>+VLOOKUP($E17,Hybrid!$1:$1048576,AD$2,FALSE)</f>
        <v>68.187461170000006</v>
      </c>
      <c r="AE17">
        <f>+VLOOKUP($E17,Hybrid!$1:$1048576,AE$2,FALSE)</f>
        <v>74.368996670000001</v>
      </c>
      <c r="AF17">
        <f>+VLOOKUP($E17,Hybrid!$1:$1048576,AF$2,FALSE)</f>
        <v>81.292263750000004</v>
      </c>
      <c r="AG17">
        <f>+VLOOKUP($E17,Hybrid!$1:$1048576,AG$2,FALSE)</f>
        <v>89.025695900000002</v>
      </c>
      <c r="AH17">
        <f>+VLOOKUP($E17,Hybrid!$1:$1048576,AH$2,FALSE)</f>
        <v>97.636831959999995</v>
      </c>
      <c r="AI17">
        <f>+VLOOKUP($E17,Hybrid!$1:$1048576,AI$2,FALSE)</f>
        <v>107.191216</v>
      </c>
      <c r="AJ17">
        <f>+VLOOKUP($E17,Hybrid!$1:$1048576,AJ$2,FALSE)</f>
        <v>117.7511284</v>
      </c>
      <c r="AK17">
        <f>+VLOOKUP($E17,Hybrid!$1:$1048576,AK$2,FALSE)</f>
        <v>129.37414480000001</v>
      </c>
      <c r="AL17">
        <f>+VLOOKUP($E17,Hybrid!$1:$1048576,AL$2,FALSE)</f>
        <v>142.1115246</v>
      </c>
      <c r="AM17">
        <f>+VLOOKUP($E17,Hybrid!$1:$1048576,AM$2,FALSE)</f>
        <v>156.0064361</v>
      </c>
      <c r="AN17">
        <f>+VLOOKUP($E17,Hybrid!$1:$1048576,AN$2,FALSE)</f>
        <v>171.09203640000001</v>
      </c>
      <c r="AO17">
        <f>+VLOOKUP($E17,Hybrid!$1:$1048576,AO$2,FALSE)</f>
        <v>187.38943420000001</v>
      </c>
    </row>
    <row r="18" spans="1:41" ht="15" customHeight="1" x14ac:dyDescent="0.25">
      <c r="A18" s="316"/>
      <c r="B18" s="315"/>
      <c r="C18" s="171"/>
      <c r="D18" s="124" t="s">
        <v>544</v>
      </c>
      <c r="E18" s="46" t="s">
        <v>365</v>
      </c>
      <c r="F18" s="73">
        <f>+VLOOKUP($E18,Hybrid!$1:$1048576,F$2,FALSE)</f>
        <v>3.4730440960000002</v>
      </c>
      <c r="G18" s="73">
        <f>+VLOOKUP($E18,Hybrid!$1:$1048576,G$2,FALSE)</f>
        <v>4.5722154760000002</v>
      </c>
      <c r="H18" s="73">
        <f>+VLOOKUP($E18,Hybrid!$1:$1048576,H$2,FALSE)</f>
        <v>5.7140433249999996</v>
      </c>
      <c r="I18">
        <f>+VLOOKUP($E18,Hybrid!$1:$1048576,I$2,FALSE)</f>
        <v>6.8675525430000004</v>
      </c>
      <c r="J18">
        <f>+VLOOKUP($E18,Hybrid!$1:$1048576,J$2,FALSE)</f>
        <v>8.0145189620000004</v>
      </c>
      <c r="K18">
        <f>+VLOOKUP($E18,Hybrid!$1:$1048576,K$2,FALSE)</f>
        <v>9.1461110110000003</v>
      </c>
      <c r="L18">
        <f>+VLOOKUP($E18,Hybrid!$1:$1048576,L$2,FALSE)</f>
        <v>10.261243759999999</v>
      </c>
      <c r="M18">
        <f>+VLOOKUP($E18,Hybrid!$1:$1048576,M$2,FALSE)</f>
        <v>11.362807200000001</v>
      </c>
      <c r="N18">
        <f>+VLOOKUP($E18,Hybrid!$1:$1048576,N$2,FALSE)</f>
        <v>12.45393795</v>
      </c>
      <c r="O18">
        <f>+VLOOKUP($E18,Hybrid!$1:$1048576,O$2,FALSE)</f>
        <v>13.538066860000001</v>
      </c>
      <c r="P18">
        <f>+VLOOKUP($E18,Hybrid!$1:$1048576,P$2,FALSE)</f>
        <v>14.619250660000001</v>
      </c>
      <c r="Q18">
        <f>+VLOOKUP($E18,Hybrid!$1:$1048576,Q$2,FALSE)</f>
        <v>15.70257655</v>
      </c>
      <c r="R18">
        <f>+VLOOKUP($E18,Hybrid!$1:$1048576,R$2,FALSE)</f>
        <v>16.794605059999999</v>
      </c>
      <c r="S18">
        <f>+VLOOKUP($E18,Hybrid!$1:$1048576,S$2,FALSE)</f>
        <v>17.903858849999999</v>
      </c>
      <c r="T18">
        <f>+VLOOKUP($E18,Hybrid!$1:$1048576,T$2,FALSE)</f>
        <v>19.04138876</v>
      </c>
      <c r="U18">
        <f>+VLOOKUP($E18,Hybrid!$1:$1048576,U$2,FALSE)</f>
        <v>20.221467619999999</v>
      </c>
      <c r="V18">
        <f>+VLOOKUP($E18,Hybrid!$1:$1048576,V$2,FALSE)</f>
        <v>21.463368240000001</v>
      </c>
      <c r="W18">
        <f>+VLOOKUP($E18,Hybrid!$1:$1048576,W$2,FALSE)</f>
        <v>22.789836999999999</v>
      </c>
      <c r="X18">
        <f>+VLOOKUP($E18,Hybrid!$1:$1048576,X$2,FALSE)</f>
        <v>24.223509069999999</v>
      </c>
      <c r="Y18">
        <f>+VLOOKUP($E18,Hybrid!$1:$1048576,Y$2,FALSE)</f>
        <v>25.786814570000001</v>
      </c>
      <c r="Z18">
        <f>+VLOOKUP($E18,Hybrid!$1:$1048576,Z$2,FALSE)</f>
        <v>27.50190834</v>
      </c>
      <c r="AA18">
        <f>+VLOOKUP($E18,Hybrid!$1:$1048576,AA$2,FALSE)</f>
        <v>29.390532260000001</v>
      </c>
      <c r="AB18">
        <f>+VLOOKUP($E18,Hybrid!$1:$1048576,AB$2,FALSE)</f>
        <v>31.473822670000001</v>
      </c>
      <c r="AC18">
        <f>+VLOOKUP($E18,Hybrid!$1:$1048576,AC$2,FALSE)</f>
        <v>33.772074310000001</v>
      </c>
      <c r="AD18">
        <f>+VLOOKUP($E18,Hybrid!$1:$1048576,AD$2,FALSE)</f>
        <v>36.304468649999997</v>
      </c>
      <c r="AE18">
        <f>+VLOOKUP($E18,Hybrid!$1:$1048576,AE$2,FALSE)</f>
        <v>39.088771960000003</v>
      </c>
      <c r="AF18">
        <f>+VLOOKUP($E18,Hybrid!$1:$1048576,AF$2,FALSE)</f>
        <v>42.141007449999996</v>
      </c>
      <c r="AG18">
        <f>+VLOOKUP($E18,Hybrid!$1:$1048576,AG$2,FALSE)</f>
        <v>45.475105829999997</v>
      </c>
      <c r="AH18">
        <f>+VLOOKUP($E18,Hybrid!$1:$1048576,AH$2,FALSE)</f>
        <v>49.102538780000003</v>
      </c>
      <c r="AI18">
        <f>+VLOOKUP($E18,Hybrid!$1:$1048576,AI$2,FALSE)</f>
        <v>53.031940990000003</v>
      </c>
      <c r="AJ18">
        <f>+VLOOKUP($E18,Hybrid!$1:$1048576,AJ$2,FALSE)</f>
        <v>57.268726450000003</v>
      </c>
      <c r="AK18">
        <f>+VLOOKUP($E18,Hybrid!$1:$1048576,AK$2,FALSE)</f>
        <v>61.814705940000003</v>
      </c>
      <c r="AL18">
        <f>+VLOOKUP($E18,Hybrid!$1:$1048576,AL$2,FALSE)</f>
        <v>66.667713710000001</v>
      </c>
      <c r="AM18">
        <f>+VLOOKUP($E18,Hybrid!$1:$1048576,AM$2,FALSE)</f>
        <v>71.821252290000004</v>
      </c>
      <c r="AN18">
        <f>+VLOOKUP($E18,Hybrid!$1:$1048576,AN$2,FALSE)</f>
        <v>77.264166209999999</v>
      </c>
      <c r="AO18">
        <f>+VLOOKUP($E18,Hybrid!$1:$1048576,AO$2,FALSE)</f>
        <v>82.980357240000004</v>
      </c>
    </row>
    <row r="19" spans="1:41" ht="15" customHeight="1" x14ac:dyDescent="0.25">
      <c r="A19" s="316"/>
      <c r="B19" s="315"/>
      <c r="C19" s="171"/>
      <c r="D19" s="124" t="s">
        <v>545</v>
      </c>
      <c r="E19" s="46" t="s">
        <v>366</v>
      </c>
      <c r="F19" s="73">
        <f>+VLOOKUP($E19,Hybrid!$1:$1048576,F$2,FALSE)</f>
        <v>1.7251505170000001</v>
      </c>
      <c r="G19" s="73">
        <f>+VLOOKUP($E19,Hybrid!$1:$1048576,G$2,FALSE)</f>
        <v>2.244394497</v>
      </c>
      <c r="H19" s="73">
        <f>+VLOOKUP($E19,Hybrid!$1:$1048576,H$2,FALSE)</f>
        <v>2.7668950890000001</v>
      </c>
      <c r="I19">
        <f>+VLOOKUP($E19,Hybrid!$1:$1048576,I$2,FALSE)</f>
        <v>3.2740041689999999</v>
      </c>
      <c r="J19">
        <f>+VLOOKUP($E19,Hybrid!$1:$1048576,J$2,FALSE)</f>
        <v>3.7551965630000002</v>
      </c>
      <c r="K19">
        <f>+VLOOKUP($E19,Hybrid!$1:$1048576,K$2,FALSE)</f>
        <v>4.2053456369999997</v>
      </c>
      <c r="L19">
        <f>+VLOOKUP($E19,Hybrid!$1:$1048576,L$2,FALSE)</f>
        <v>4.6232034869999996</v>
      </c>
      <c r="M19">
        <f>+VLOOKUP($E19,Hybrid!$1:$1048576,M$2,FALSE)</f>
        <v>5.0095093979999996</v>
      </c>
      <c r="N19">
        <f>+VLOOKUP($E19,Hybrid!$1:$1048576,N$2,FALSE)</f>
        <v>5.3653540150000003</v>
      </c>
      <c r="O19">
        <f>+VLOOKUP($E19,Hybrid!$1:$1048576,O$2,FALSE)</f>
        <v>5.6920121210000003</v>
      </c>
      <c r="P19">
        <f>+VLOOKUP($E19,Hybrid!$1:$1048576,P$2,FALSE)</f>
        <v>5.9909231490000003</v>
      </c>
      <c r="Q19">
        <f>+VLOOKUP($E19,Hybrid!$1:$1048576,Q$2,FALSE)</f>
        <v>6.2637074889999997</v>
      </c>
      <c r="R19">
        <f>+VLOOKUP($E19,Hybrid!$1:$1048576,R$2,FALSE)</f>
        <v>6.5121891439999997</v>
      </c>
      <c r="S19">
        <f>+VLOOKUP($E19,Hybrid!$1:$1048576,S$2,FALSE)</f>
        <v>6.738415045</v>
      </c>
      <c r="T19">
        <f>+VLOOKUP($E19,Hybrid!$1:$1048576,T$2,FALSE)</f>
        <v>6.9446695040000002</v>
      </c>
      <c r="U19">
        <f>+VLOOKUP($E19,Hybrid!$1:$1048576,U$2,FALSE)</f>
        <v>7.1334857420000004</v>
      </c>
      <c r="V19">
        <f>+VLOOKUP($E19,Hybrid!$1:$1048576,V$2,FALSE)</f>
        <v>7.3079419129999996</v>
      </c>
      <c r="W19">
        <f>+VLOOKUP($E19,Hybrid!$1:$1048576,W$2,FALSE)</f>
        <v>7.4712815580000003</v>
      </c>
      <c r="X19">
        <f>+VLOOKUP($E19,Hybrid!$1:$1048576,X$2,FALSE)</f>
        <v>7.6261899179999997</v>
      </c>
      <c r="Y19">
        <f>+VLOOKUP($E19,Hybrid!$1:$1048576,Y$2,FALSE)</f>
        <v>7.7748277469999998</v>
      </c>
      <c r="Z19">
        <f>+VLOOKUP($E19,Hybrid!$1:$1048576,Z$2,FALSE)</f>
        <v>7.9188780850000002</v>
      </c>
      <c r="AA19">
        <f>+VLOOKUP($E19,Hybrid!$1:$1048576,AA$2,FALSE)</f>
        <v>8.0595840780000003</v>
      </c>
      <c r="AB19">
        <f>+VLOOKUP($E19,Hybrid!$1:$1048576,AB$2,FALSE)</f>
        <v>8.1977818669999998</v>
      </c>
      <c r="AC19">
        <f>+VLOOKUP($E19,Hybrid!$1:$1048576,AC$2,FALSE)</f>
        <v>8.333932055</v>
      </c>
      <c r="AD19">
        <f>+VLOOKUP($E19,Hybrid!$1:$1048576,AD$2,FALSE)</f>
        <v>8.4681519220000006</v>
      </c>
      <c r="AE19">
        <f>+VLOOKUP($E19,Hybrid!$1:$1048576,AE$2,FALSE)</f>
        <v>8.6002494380000005</v>
      </c>
      <c r="AF19">
        <f>+VLOOKUP($E19,Hybrid!$1:$1048576,AF$2,FALSE)</f>
        <v>8.7297594230000009</v>
      </c>
      <c r="AG19">
        <f>+VLOOKUP($E19,Hybrid!$1:$1048576,AG$2,FALSE)</f>
        <v>8.8559816930000004</v>
      </c>
      <c r="AH19">
        <f>+VLOOKUP($E19,Hybrid!$1:$1048576,AH$2,FALSE)</f>
        <v>8.9780207720000007</v>
      </c>
      <c r="AI19">
        <f>+VLOOKUP($E19,Hybrid!$1:$1048576,AI$2,FALSE)</f>
        <v>9.0948264979999998</v>
      </c>
      <c r="AJ19">
        <f>+VLOOKUP($E19,Hybrid!$1:$1048576,AJ$2,FALSE)</f>
        <v>9.2052348070000001</v>
      </c>
      <c r="AK19">
        <f>+VLOOKUP($E19,Hybrid!$1:$1048576,AK$2,FALSE)</f>
        <v>9.3080078709999992</v>
      </c>
      <c r="AL19">
        <f>+VLOOKUP($E19,Hybrid!$1:$1048576,AL$2,FALSE)</f>
        <v>9.4018728300000003</v>
      </c>
      <c r="AM19">
        <f>+VLOOKUP($E19,Hybrid!$1:$1048576,AM$2,FALSE)</f>
        <v>9.4855584250000007</v>
      </c>
      <c r="AN19">
        <f>+VLOOKUP($E19,Hybrid!$1:$1048576,AN$2,FALSE)</f>
        <v>9.5578289190000003</v>
      </c>
      <c r="AO19">
        <f>+VLOOKUP($E19,Hybrid!$1:$1048576,AO$2,FALSE)</f>
        <v>9.6175148539999995</v>
      </c>
    </row>
    <row r="20" spans="1:41" ht="15" customHeight="1" x14ac:dyDescent="0.25">
      <c r="A20" s="316"/>
      <c r="B20" s="315"/>
      <c r="C20" s="171"/>
      <c r="D20" s="124" t="s">
        <v>546</v>
      </c>
      <c r="E20" s="46" t="s">
        <v>367</v>
      </c>
      <c r="F20" s="73">
        <f>+VLOOKUP($E20,Hybrid!$1:$1048576,F$2,FALSE)</f>
        <v>3.1066862139999998</v>
      </c>
      <c r="G20" s="73">
        <f>+VLOOKUP($E20,Hybrid!$1:$1048576,G$2,FALSE)</f>
        <v>4.0702695269999998</v>
      </c>
      <c r="H20" s="73">
        <f>+VLOOKUP($E20,Hybrid!$1:$1048576,H$2,FALSE)</f>
        <v>5.0143829850000001</v>
      </c>
      <c r="I20">
        <f>+VLOOKUP($E20,Hybrid!$1:$1048576,I$2,FALSE)</f>
        <v>5.9012134720000002</v>
      </c>
      <c r="J20">
        <f>+VLOOKUP($E20,Hybrid!$1:$1048576,J$2,FALSE)</f>
        <v>6.711763382</v>
      </c>
      <c r="K20">
        <f>+VLOOKUP($E20,Hybrid!$1:$1048576,K$2,FALSE)</f>
        <v>7.4388891170000004</v>
      </c>
      <c r="L20">
        <f>+VLOOKUP($E20,Hybrid!$1:$1048576,L$2,FALSE)</f>
        <v>8.0831671870000008</v>
      </c>
      <c r="M20">
        <f>+VLOOKUP($E20,Hybrid!$1:$1048576,M$2,FALSE)</f>
        <v>8.6487843669999993</v>
      </c>
      <c r="N20">
        <f>+VLOOKUP($E20,Hybrid!$1:$1048576,N$2,FALSE)</f>
        <v>9.1404852200000004</v>
      </c>
      <c r="O20">
        <f>+VLOOKUP($E20,Hybrid!$1:$1048576,O$2,FALSE)</f>
        <v>9.5631832140000004</v>
      </c>
      <c r="P20">
        <f>+VLOOKUP($E20,Hybrid!$1:$1048576,P$2,FALSE)</f>
        <v>9.9218700230000003</v>
      </c>
      <c r="Q20">
        <f>+VLOOKUP($E20,Hybrid!$1:$1048576,Q$2,FALSE)</f>
        <v>10.221594680000001</v>
      </c>
      <c r="R20">
        <f>+VLOOKUP($E20,Hybrid!$1:$1048576,R$2,FALSE)</f>
        <v>10.467450299999999</v>
      </c>
      <c r="S20">
        <f>+VLOOKUP($E20,Hybrid!$1:$1048576,S$2,FALSE)</f>
        <v>10.66455011</v>
      </c>
      <c r="T20">
        <f>+VLOOKUP($E20,Hybrid!$1:$1048576,T$2,FALSE)</f>
        <v>10.81799124</v>
      </c>
      <c r="U20">
        <f>+VLOOKUP($E20,Hybrid!$1:$1048576,U$2,FALSE)</f>
        <v>10.932810529999999</v>
      </c>
      <c r="V20">
        <f>+VLOOKUP($E20,Hybrid!$1:$1048576,V$2,FALSE)</f>
        <v>11.014264259999999</v>
      </c>
      <c r="W20">
        <f>+VLOOKUP($E20,Hybrid!$1:$1048576,W$2,FALSE)</f>
        <v>11.06733715</v>
      </c>
      <c r="X20">
        <f>+VLOOKUP($E20,Hybrid!$1:$1048576,X$2,FALSE)</f>
        <v>11.09599064</v>
      </c>
      <c r="Y20">
        <f>+VLOOKUP($E20,Hybrid!$1:$1048576,Y$2,FALSE)</f>
        <v>11.103313999999999</v>
      </c>
      <c r="Z20">
        <f>+VLOOKUP($E20,Hybrid!$1:$1048576,Z$2,FALSE)</f>
        <v>11.09168113</v>
      </c>
      <c r="AA20">
        <f>+VLOOKUP($E20,Hybrid!$1:$1048576,AA$2,FALSE)</f>
        <v>11.062885189999999</v>
      </c>
      <c r="AB20">
        <f>+VLOOKUP($E20,Hybrid!$1:$1048576,AB$2,FALSE)</f>
        <v>11.01825519</v>
      </c>
      <c r="AC20">
        <f>+VLOOKUP($E20,Hybrid!$1:$1048576,AC$2,FALSE)</f>
        <v>10.958758449999999</v>
      </c>
      <c r="AD20">
        <f>+VLOOKUP($E20,Hybrid!$1:$1048576,AD$2,FALSE)</f>
        <v>10.885091149999999</v>
      </c>
      <c r="AE20">
        <f>+VLOOKUP($E20,Hybrid!$1:$1048576,AE$2,FALSE)</f>
        <v>10.797758099999999</v>
      </c>
      <c r="AF20">
        <f>+VLOOKUP($E20,Hybrid!$1:$1048576,AF$2,FALSE)</f>
        <v>10.697142210000001</v>
      </c>
      <c r="AG20">
        <f>+VLOOKUP($E20,Hybrid!$1:$1048576,AG$2,FALSE)</f>
        <v>10.583563829999999</v>
      </c>
      <c r="AH20">
        <f>+VLOOKUP($E20,Hybrid!$1:$1048576,AH$2,FALSE)</f>
        <v>10.457329830000001</v>
      </c>
      <c r="AI20">
        <f>+VLOOKUP($E20,Hybrid!$1:$1048576,AI$2,FALSE)</f>
        <v>10.31877289</v>
      </c>
      <c r="AJ20">
        <f>+VLOOKUP($E20,Hybrid!$1:$1048576,AJ$2,FALSE)</f>
        <v>10.168281</v>
      </c>
      <c r="AK20">
        <f>+VLOOKUP($E20,Hybrid!$1:$1048576,AK$2,FALSE)</f>
        <v>10.006317960000001</v>
      </c>
      <c r="AL20">
        <f>+VLOOKUP($E20,Hybrid!$1:$1048576,AL$2,FALSE)</f>
        <v>9.8334354479999995</v>
      </c>
      <c r="AM20">
        <f>+VLOOKUP($E20,Hybrid!$1:$1048576,AM$2,FALSE)</f>
        <v>9.6502777650000002</v>
      </c>
      <c r="AN20">
        <f>+VLOOKUP($E20,Hybrid!$1:$1048576,AN$2,FALSE)</f>
        <v>9.4575801429999995</v>
      </c>
      <c r="AO20">
        <f>+VLOOKUP($E20,Hybrid!$1:$1048576,AO$2,FALSE)</f>
        <v>9.2561619079999993</v>
      </c>
    </row>
    <row r="21" spans="1:41" s="111" customFormat="1" ht="15" customHeight="1" x14ac:dyDescent="0.25">
      <c r="A21" s="316"/>
      <c r="B21" s="315"/>
      <c r="C21" s="122" t="s">
        <v>824</v>
      </c>
      <c r="D21" s="123"/>
      <c r="E21" s="91" t="s">
        <v>368</v>
      </c>
      <c r="F21" s="111">
        <f>+VLOOKUP($E21,Hybrid!$1:$1048576,F$2,FALSE)</f>
        <v>1.9359999999999999</v>
      </c>
      <c r="G21" s="111">
        <f>+VLOOKUP($E21,Hybrid!$1:$1048576,G$2,FALSE)</f>
        <v>1.9916055779999999</v>
      </c>
      <c r="H21" s="111">
        <f>+VLOOKUP($E21,Hybrid!$1:$1048576,H$2,FALSE)</f>
        <v>2.0574011310000002</v>
      </c>
      <c r="I21" s="111">
        <f>+VLOOKUP($E21,Hybrid!$1:$1048576,I$2,FALSE)</f>
        <v>2.1285899490000002</v>
      </c>
      <c r="J21" s="111">
        <f>+VLOOKUP($E21,Hybrid!$1:$1048576,J$2,FALSE)</f>
        <v>2.2019793989999998</v>
      </c>
      <c r="K21" s="111">
        <f>+VLOOKUP($E21,Hybrid!$1:$1048576,K$2,FALSE)</f>
        <v>2.2754864349999999</v>
      </c>
      <c r="L21" s="111">
        <f>+VLOOKUP($E21,Hybrid!$1:$1048576,L$2,FALSE)</f>
        <v>2.347968431</v>
      </c>
      <c r="M21" s="111">
        <f>+VLOOKUP($E21,Hybrid!$1:$1048576,M$2,FALSE)</f>
        <v>2.4188940940000001</v>
      </c>
      <c r="N21" s="111">
        <f>+VLOOKUP($E21,Hybrid!$1:$1048576,N$2,FALSE)</f>
        <v>2.4879042729999998</v>
      </c>
      <c r="O21" s="111">
        <f>+VLOOKUP($E21,Hybrid!$1:$1048576,O$2,FALSE)</f>
        <v>2.5547407990000002</v>
      </c>
      <c r="P21" s="111">
        <f>+VLOOKUP($E21,Hybrid!$1:$1048576,P$2,FALSE)</f>
        <v>2.6192080980000001</v>
      </c>
      <c r="Q21" s="111">
        <f>+VLOOKUP($E21,Hybrid!$1:$1048576,Q$2,FALSE)</f>
        <v>2.6811463290000002</v>
      </c>
      <c r="R21" s="111">
        <f>+VLOOKUP($E21,Hybrid!$1:$1048576,R$2,FALSE)</f>
        <v>2.7404123490000001</v>
      </c>
      <c r="S21" s="111">
        <f>+VLOOKUP($E21,Hybrid!$1:$1048576,S$2,FALSE)</f>
        <v>2.796866047</v>
      </c>
      <c r="T21" s="111">
        <f>+VLOOKUP($E21,Hybrid!$1:$1048576,T$2,FALSE)</f>
        <v>2.8503601010000001</v>
      </c>
      <c r="U21" s="111">
        <f>+VLOOKUP($E21,Hybrid!$1:$1048576,U$2,FALSE)</f>
        <v>2.9007315039999999</v>
      </c>
      <c r="V21" s="111">
        <f>+VLOOKUP($E21,Hybrid!$1:$1048576,V$2,FALSE)</f>
        <v>2.9480014429999999</v>
      </c>
      <c r="W21" s="111">
        <f>+VLOOKUP($E21,Hybrid!$1:$1048576,W$2,FALSE)</f>
        <v>2.9923496369999998</v>
      </c>
      <c r="X21" s="111">
        <f>+VLOOKUP($E21,Hybrid!$1:$1048576,X$2,FALSE)</f>
        <v>3.0338620330000001</v>
      </c>
      <c r="Y21" s="111">
        <f>+VLOOKUP($E21,Hybrid!$1:$1048576,Y$2,FALSE)</f>
        <v>3.0725585679999998</v>
      </c>
      <c r="Z21" s="111">
        <f>+VLOOKUP($E21,Hybrid!$1:$1048576,Z$2,FALSE)</f>
        <v>3.1084159470000001</v>
      </c>
      <c r="AA21" s="111">
        <f>+VLOOKUP($E21,Hybrid!$1:$1048576,AA$2,FALSE)</f>
        <v>3.1413796810000001</v>
      </c>
      <c r="AB21" s="111">
        <f>+VLOOKUP($E21,Hybrid!$1:$1048576,AB$2,FALSE)</f>
        <v>3.171370027</v>
      </c>
      <c r="AC21" s="111">
        <f>+VLOOKUP($E21,Hybrid!$1:$1048576,AC$2,FALSE)</f>
        <v>3.1982848530000001</v>
      </c>
      <c r="AD21" s="111">
        <f>+VLOOKUP($E21,Hybrid!$1:$1048576,AD$2,FALSE)</f>
        <v>3.222001197</v>
      </c>
      <c r="AE21" s="111">
        <f>+VLOOKUP($E21,Hybrid!$1:$1048576,AE$2,FALSE)</f>
        <v>3.2423764400000001</v>
      </c>
      <c r="AF21" s="111">
        <f>+VLOOKUP($E21,Hybrid!$1:$1048576,AF$2,FALSE)</f>
        <v>3.2592496390000001</v>
      </c>
      <c r="AG21" s="111">
        <f>+VLOOKUP($E21,Hybrid!$1:$1048576,AG$2,FALSE)</f>
        <v>3.2724433030000002</v>
      </c>
      <c r="AH21" s="111">
        <f>+VLOOKUP($E21,Hybrid!$1:$1048576,AH$2,FALSE)</f>
        <v>3.2817658120000002</v>
      </c>
      <c r="AI21" s="111">
        <f>+VLOOKUP($E21,Hybrid!$1:$1048576,AI$2,FALSE)</f>
        <v>3.2870145860000002</v>
      </c>
      <c r="AJ21" s="111">
        <f>+VLOOKUP($E21,Hybrid!$1:$1048576,AJ$2,FALSE)</f>
        <v>3.2879800709999998</v>
      </c>
      <c r="AK21" s="111">
        <f>+VLOOKUP($E21,Hybrid!$1:$1048576,AK$2,FALSE)</f>
        <v>3.2844505700000002</v>
      </c>
      <c r="AL21" s="111">
        <f>+VLOOKUP($E21,Hybrid!$1:$1048576,AL$2,FALSE)</f>
        <v>3.2762179050000002</v>
      </c>
      <c r="AM21" s="111">
        <f>+VLOOKUP($E21,Hybrid!$1:$1048576,AM$2,FALSE)</f>
        <v>3.2630838529999999</v>
      </c>
      <c r="AN21" s="111">
        <f>+VLOOKUP($E21,Hybrid!$1:$1048576,AN$2,FALSE)</f>
        <v>3.2448672379999999</v>
      </c>
      <c r="AO21" s="111">
        <f>+VLOOKUP($E21,Hybrid!$1:$1048576,AO$2,FALSE)</f>
        <v>3.2214115080000001</v>
      </c>
    </row>
    <row r="22" spans="1:41" ht="15" customHeight="1" x14ac:dyDescent="0.25">
      <c r="A22" s="316"/>
      <c r="B22" s="315"/>
      <c r="C22" s="171"/>
      <c r="D22" s="124" t="s">
        <v>540</v>
      </c>
      <c r="E22" s="46" t="s">
        <v>369</v>
      </c>
      <c r="F22" s="73">
        <f>+VLOOKUP($E22,Hybrid!$1:$1048576,F$2,FALSE)</f>
        <v>0.42568169729999999</v>
      </c>
      <c r="G22" s="73">
        <f>+VLOOKUP($E22,Hybrid!$1:$1048576,G$2,FALSE)</f>
        <v>0.44933516569999998</v>
      </c>
      <c r="H22" s="73">
        <f>+VLOOKUP($E22,Hybrid!$1:$1048576,H$2,FALSE)</f>
        <v>0.47587941420000002</v>
      </c>
      <c r="I22">
        <f>+VLOOKUP($E22,Hybrid!$1:$1048576,I$2,FALSE)</f>
        <v>0.50407722799999999</v>
      </c>
      <c r="J22">
        <f>+VLOOKUP($E22,Hybrid!$1:$1048576,J$2,FALSE)</f>
        <v>0.53308136819999996</v>
      </c>
      <c r="K22">
        <f>+VLOOKUP($E22,Hybrid!$1:$1048576,K$2,FALSE)</f>
        <v>0.56232302369999998</v>
      </c>
      <c r="L22">
        <f>+VLOOKUP($E22,Hybrid!$1:$1048576,L$2,FALSE)</f>
        <v>0.59148356609999997</v>
      </c>
      <c r="M22">
        <f>+VLOOKUP($E22,Hybrid!$1:$1048576,M$2,FALSE)</f>
        <v>0.62040925059999996</v>
      </c>
      <c r="N22">
        <f>+VLOOKUP($E22,Hybrid!$1:$1048576,N$2,FALSE)</f>
        <v>0.64898775880000004</v>
      </c>
      <c r="O22">
        <f>+VLOOKUP($E22,Hybrid!$1:$1048576,O$2,FALSE)</f>
        <v>0.67713271480000004</v>
      </c>
      <c r="P22">
        <f>+VLOOKUP($E22,Hybrid!$1:$1048576,P$2,FALSE)</f>
        <v>0.70477498770000002</v>
      </c>
      <c r="Q22">
        <f>+VLOOKUP($E22,Hybrid!$1:$1048576,Q$2,FALSE)</f>
        <v>0.73185591490000002</v>
      </c>
      <c r="R22">
        <f>+VLOOKUP($E22,Hybrid!$1:$1048576,R$2,FALSE)</f>
        <v>0.75832209910000004</v>
      </c>
      <c r="S22">
        <f>+VLOOKUP($E22,Hybrid!$1:$1048576,S$2,FALSE)</f>
        <v>0.78412142839999999</v>
      </c>
      <c r="T22">
        <f>+VLOOKUP($E22,Hybrid!$1:$1048576,T$2,FALSE)</f>
        <v>0.80919991300000005</v>
      </c>
      <c r="U22">
        <f>+VLOOKUP($E22,Hybrid!$1:$1048576,U$2,FALSE)</f>
        <v>0.83349889870000005</v>
      </c>
      <c r="V22">
        <f>+VLOOKUP($E22,Hybrid!$1:$1048576,V$2,FALSE)</f>
        <v>0.85701923759999998</v>
      </c>
      <c r="W22">
        <f>+VLOOKUP($E22,Hybrid!$1:$1048576,W$2,FALSE)</f>
        <v>0.87981092790000004</v>
      </c>
      <c r="X22">
        <f>+VLOOKUP($E22,Hybrid!$1:$1048576,X$2,FALSE)</f>
        <v>0.90188914539999998</v>
      </c>
      <c r="Y22">
        <f>+VLOOKUP($E22,Hybrid!$1:$1048576,Y$2,FALSE)</f>
        <v>0.9232448379</v>
      </c>
      <c r="Z22">
        <f>+VLOOKUP($E22,Hybrid!$1:$1048576,Z$2,FALSE)</f>
        <v>0.94385284790000001</v>
      </c>
      <c r="AA22">
        <f>+VLOOKUP($E22,Hybrid!$1:$1048576,AA$2,FALSE)</f>
        <v>0.96367609990000003</v>
      </c>
      <c r="AB22">
        <f>+VLOOKUP($E22,Hybrid!$1:$1048576,AB$2,FALSE)</f>
        <v>0.98266755900000002</v>
      </c>
      <c r="AC22">
        <f>+VLOOKUP($E22,Hybrid!$1:$1048576,AC$2,FALSE)</f>
        <v>1.0007710569999999</v>
      </c>
      <c r="AD22">
        <f>+VLOOKUP($E22,Hybrid!$1:$1048576,AD$2,FALSE)</f>
        <v>1.017921608</v>
      </c>
      <c r="AE22">
        <f>+VLOOKUP($E22,Hybrid!$1:$1048576,AE$2,FALSE)</f>
        <v>1.0340455669999999</v>
      </c>
      <c r="AF22">
        <f>+VLOOKUP($E22,Hybrid!$1:$1048576,AF$2,FALSE)</f>
        <v>1.04906082</v>
      </c>
      <c r="AG22">
        <f>+VLOOKUP($E22,Hybrid!$1:$1048576,AG$2,FALSE)</f>
        <v>1.0628771379999999</v>
      </c>
      <c r="AH22">
        <f>+VLOOKUP($E22,Hybrid!$1:$1048576,AH$2,FALSE)</f>
        <v>1.075396789</v>
      </c>
      <c r="AI22">
        <f>+VLOOKUP($E22,Hybrid!$1:$1048576,AI$2,FALSE)</f>
        <v>1.086515452</v>
      </c>
      <c r="AJ22">
        <f>+VLOOKUP($E22,Hybrid!$1:$1048576,AJ$2,FALSE)</f>
        <v>1.0961235090000001</v>
      </c>
      <c r="AK22">
        <f>+VLOOKUP($E22,Hybrid!$1:$1048576,AK$2,FALSE)</f>
        <v>1.1041077189999999</v>
      </c>
      <c r="AL22">
        <f>+VLOOKUP($E22,Hybrid!$1:$1048576,AL$2,FALSE)</f>
        <v>1.110353323</v>
      </c>
      <c r="AM22">
        <f>+VLOOKUP($E22,Hybrid!$1:$1048576,AM$2,FALSE)</f>
        <v>1.1147465519999999</v>
      </c>
      <c r="AN22">
        <f>+VLOOKUP($E22,Hybrid!$1:$1048576,AN$2,FALSE)</f>
        <v>1.1171775319999999</v>
      </c>
      <c r="AO22">
        <f>+VLOOKUP($E22,Hybrid!$1:$1048576,AO$2,FALSE)</f>
        <v>1.1175435330000001</v>
      </c>
    </row>
    <row r="23" spans="1:41" ht="15" customHeight="1" x14ac:dyDescent="0.25">
      <c r="A23" s="316"/>
      <c r="B23" s="315"/>
      <c r="C23" s="171"/>
      <c r="D23" s="124" t="s">
        <v>541</v>
      </c>
      <c r="E23" s="46" t="s">
        <v>370</v>
      </c>
      <c r="F23" s="73">
        <f>+VLOOKUP($E23,Hybrid!$1:$1048576,F$2,FALSE)</f>
        <v>0.49500522540000003</v>
      </c>
      <c r="G23" s="73">
        <f>+VLOOKUP($E23,Hybrid!$1:$1048576,G$2,FALSE)</f>
        <v>0.51226023529999998</v>
      </c>
      <c r="H23" s="73">
        <f>+VLOOKUP($E23,Hybrid!$1:$1048576,H$2,FALSE)</f>
        <v>0.53252768289999997</v>
      </c>
      <c r="I23">
        <f>+VLOOKUP($E23,Hybrid!$1:$1048576,I$2,FALSE)</f>
        <v>0.55457425149999995</v>
      </c>
      <c r="J23">
        <f>+VLOOKUP($E23,Hybrid!$1:$1048576,J$2,FALSE)</f>
        <v>0.57755324689999998</v>
      </c>
      <c r="K23">
        <f>+VLOOKUP($E23,Hybrid!$1:$1048576,K$2,FALSE)</f>
        <v>0.60089213809999997</v>
      </c>
      <c r="L23">
        <f>+VLOOKUP($E23,Hybrid!$1:$1048576,L$2,FALSE)</f>
        <v>0.62426223319999996</v>
      </c>
      <c r="M23">
        <f>+VLOOKUP($E23,Hybrid!$1:$1048576,M$2,FALSE)</f>
        <v>0.64749666139999995</v>
      </c>
      <c r="N23">
        <f>+VLOOKUP($E23,Hybrid!$1:$1048576,N$2,FALSE)</f>
        <v>0.67047190050000005</v>
      </c>
      <c r="O23">
        <f>+VLOOKUP($E23,Hybrid!$1:$1048576,O$2,FALSE)</f>
        <v>0.69309085189999997</v>
      </c>
      <c r="P23">
        <f>+VLOOKUP($E23,Hybrid!$1:$1048576,P$2,FALSE)</f>
        <v>0.71527340210000001</v>
      </c>
      <c r="Q23">
        <f>+VLOOKUP($E23,Hybrid!$1:$1048576,Q$2,FALSE)</f>
        <v>0.73694937849999997</v>
      </c>
      <c r="R23">
        <f>+VLOOKUP($E23,Hybrid!$1:$1048576,R$2,FALSE)</f>
        <v>0.75805330260000003</v>
      </c>
      <c r="S23">
        <f>+VLOOKUP($E23,Hybrid!$1:$1048576,S$2,FALSE)</f>
        <v>0.77852045520000002</v>
      </c>
      <c r="T23">
        <f>+VLOOKUP($E23,Hybrid!$1:$1048576,T$2,FALSE)</f>
        <v>0.79828378960000002</v>
      </c>
      <c r="U23">
        <f>+VLOOKUP($E23,Hybrid!$1:$1048576,U$2,FALSE)</f>
        <v>0.81727124470000001</v>
      </c>
      <c r="V23">
        <f>+VLOOKUP($E23,Hybrid!$1:$1048576,V$2,FALSE)</f>
        <v>0.83546578540000005</v>
      </c>
      <c r="W23">
        <f>+VLOOKUP($E23,Hybrid!$1:$1048576,W$2,FALSE)</f>
        <v>0.85289806000000001</v>
      </c>
      <c r="X23">
        <f>+VLOOKUP($E23,Hybrid!$1:$1048576,X$2,FALSE)</f>
        <v>0.86957021209999996</v>
      </c>
      <c r="Y23">
        <f>+VLOOKUP($E23,Hybrid!$1:$1048576,Y$2,FALSE)</f>
        <v>0.88546447849999999</v>
      </c>
      <c r="Z23">
        <f>+VLOOKUP($E23,Hybrid!$1:$1048576,Z$2,FALSE)</f>
        <v>0.90055013559999997</v>
      </c>
      <c r="AA23">
        <f>+VLOOKUP($E23,Hybrid!$1:$1048576,AA$2,FALSE)</f>
        <v>0.91478716169999996</v>
      </c>
      <c r="AB23">
        <f>+VLOOKUP($E23,Hybrid!$1:$1048576,AB$2,FALSE)</f>
        <v>0.92812804270000004</v>
      </c>
      <c r="AC23">
        <f>+VLOOKUP($E23,Hybrid!$1:$1048576,AC$2,FALSE)</f>
        <v>0.94051865629999998</v>
      </c>
      <c r="AD23">
        <f>+VLOOKUP($E23,Hybrid!$1:$1048576,AD$2,FALSE)</f>
        <v>0.95189876699999998</v>
      </c>
      <c r="AE23">
        <f>+VLOOKUP($E23,Hybrid!$1:$1048576,AE$2,FALSE)</f>
        <v>0.96220242659999999</v>
      </c>
      <c r="AF23">
        <f>+VLOOKUP($E23,Hybrid!$1:$1048576,AF$2,FALSE)</f>
        <v>0.97135844280000005</v>
      </c>
      <c r="AG23">
        <f>+VLOOKUP($E23,Hybrid!$1:$1048576,AG$2,FALSE)</f>
        <v>0.97929101659999995</v>
      </c>
      <c r="AH23">
        <f>+VLOOKUP($E23,Hybrid!$1:$1048576,AH$2,FALSE)</f>
        <v>0.98592060800000003</v>
      </c>
      <c r="AI23">
        <f>+VLOOKUP($E23,Hybrid!$1:$1048576,AI$2,FALSE)</f>
        <v>0.99116507129999998</v>
      </c>
      <c r="AJ23">
        <f>+VLOOKUP($E23,Hybrid!$1:$1048576,AJ$2,FALSE)</f>
        <v>0.99494107899999995</v>
      </c>
      <c r="AK23">
        <f>+VLOOKUP($E23,Hybrid!$1:$1048576,AK$2,FALSE)</f>
        <v>0.99716584399999997</v>
      </c>
      <c r="AL23">
        <f>+VLOOKUP($E23,Hybrid!$1:$1048576,AL$2,FALSE)</f>
        <v>0.99775912789999999</v>
      </c>
      <c r="AM23">
        <f>+VLOOKUP($E23,Hybrid!$1:$1048576,AM$2,FALSE)</f>
        <v>0.99664551010000002</v>
      </c>
      <c r="AN23">
        <f>+VLOOKUP($E23,Hybrid!$1:$1048576,AN$2,FALSE)</f>
        <v>0.99375687069999996</v>
      </c>
      <c r="AO23">
        <f>+VLOOKUP($E23,Hybrid!$1:$1048576,AO$2,FALSE)</f>
        <v>0.98903501650000003</v>
      </c>
    </row>
    <row r="24" spans="1:41" ht="15" customHeight="1" x14ac:dyDescent="0.25">
      <c r="A24" s="316"/>
      <c r="B24" s="315"/>
      <c r="C24" s="171"/>
      <c r="D24" s="124" t="s">
        <v>542</v>
      </c>
      <c r="E24" s="46" t="s">
        <v>371</v>
      </c>
      <c r="F24" s="73">
        <f>+VLOOKUP($E24,Hybrid!$1:$1048576,F$2,FALSE)</f>
        <v>0.40659851759999999</v>
      </c>
      <c r="G24" s="73">
        <f>+VLOOKUP($E24,Hybrid!$1:$1048576,G$2,FALSE)</f>
        <v>0.41450489509999999</v>
      </c>
      <c r="H24" s="73">
        <f>+VLOOKUP($E24,Hybrid!$1:$1048576,H$2,FALSE)</f>
        <v>0.42467781360000001</v>
      </c>
      <c r="I24">
        <f>+VLOOKUP($E24,Hybrid!$1:$1048576,I$2,FALSE)</f>
        <v>0.43623168080000002</v>
      </c>
      <c r="J24">
        <f>+VLOOKUP($E24,Hybrid!$1:$1048576,J$2,FALSE)</f>
        <v>0.44855712269999998</v>
      </c>
      <c r="K24">
        <f>+VLOOKUP($E24,Hybrid!$1:$1048576,K$2,FALSE)</f>
        <v>0.46123940009999997</v>
      </c>
      <c r="L24">
        <f>+VLOOKUP($E24,Hybrid!$1:$1048576,L$2,FALSE)</f>
        <v>0.47403519</v>
      </c>
      <c r="M24">
        <f>+VLOOKUP($E24,Hybrid!$1:$1048576,M$2,FALSE)</f>
        <v>0.48681568390000002</v>
      </c>
      <c r="N24">
        <f>+VLOOKUP($E24,Hybrid!$1:$1048576,N$2,FALSE)</f>
        <v>0.49948458439999999</v>
      </c>
      <c r="O24">
        <f>+VLOOKUP($E24,Hybrid!$1:$1048576,O$2,FALSE)</f>
        <v>0.51196499689999997</v>
      </c>
      <c r="P24">
        <f>+VLOOKUP($E24,Hybrid!$1:$1048576,P$2,FALSE)</f>
        <v>0.52419217389999995</v>
      </c>
      <c r="Q24">
        <f>+VLOOKUP($E24,Hybrid!$1:$1048576,Q$2,FALSE)</f>
        <v>0.53610829790000003</v>
      </c>
      <c r="R24">
        <f>+VLOOKUP($E24,Hybrid!$1:$1048576,R$2,FALSE)</f>
        <v>0.54765870569999997</v>
      </c>
      <c r="S24">
        <f>+VLOOKUP($E24,Hybrid!$1:$1048576,S$2,FALSE)</f>
        <v>0.55878912010000004</v>
      </c>
      <c r="T24">
        <f>+VLOOKUP($E24,Hybrid!$1:$1048576,T$2,FALSE)</f>
        <v>0.5694435162</v>
      </c>
      <c r="U24">
        <f>+VLOOKUP($E24,Hybrid!$1:$1048576,U$2,FALSE)</f>
        <v>0.57956229820000005</v>
      </c>
      <c r="V24">
        <f>+VLOOKUP($E24,Hybrid!$1:$1048576,V$2,FALSE)</f>
        <v>0.58912284820000005</v>
      </c>
      <c r="W24">
        <f>+VLOOKUP($E24,Hybrid!$1:$1048576,W$2,FALSE)</f>
        <v>0.5981360952</v>
      </c>
      <c r="X24">
        <f>+VLOOKUP($E24,Hybrid!$1:$1048576,X$2,FALSE)</f>
        <v>0.60659660650000002</v>
      </c>
      <c r="Y24">
        <f>+VLOOKUP($E24,Hybrid!$1:$1048576,Y$2,FALSE)</f>
        <v>0.61448750770000005</v>
      </c>
      <c r="Z24">
        <f>+VLOOKUP($E24,Hybrid!$1:$1048576,Z$2,FALSE)</f>
        <v>0.62178472299999998</v>
      </c>
      <c r="AA24">
        <f>+VLOOKUP($E24,Hybrid!$1:$1048576,AA$2,FALSE)</f>
        <v>0.62845926100000005</v>
      </c>
      <c r="AB24">
        <f>+VLOOKUP($E24,Hybrid!$1:$1048576,AB$2,FALSE)</f>
        <v>0.63447839289999997</v>
      </c>
      <c r="AC24">
        <f>+VLOOKUP($E24,Hybrid!$1:$1048576,AC$2,FALSE)</f>
        <v>0.63980629440000003</v>
      </c>
      <c r="AD24">
        <f>+VLOOKUP($E24,Hybrid!$1:$1048576,AD$2,FALSE)</f>
        <v>0.644404474</v>
      </c>
      <c r="AE24">
        <f>+VLOOKUP($E24,Hybrid!$1:$1048576,AE$2,FALSE)</f>
        <v>0.64823216500000003</v>
      </c>
      <c r="AF24">
        <f>+VLOOKUP($E24,Hybrid!$1:$1048576,AF$2,FALSE)</f>
        <v>0.6512467757</v>
      </c>
      <c r="AG24">
        <f>+VLOOKUP($E24,Hybrid!$1:$1048576,AG$2,FALSE)</f>
        <v>0.65340445079999998</v>
      </c>
      <c r="AH24">
        <f>+VLOOKUP($E24,Hybrid!$1:$1048576,AH$2,FALSE)</f>
        <v>0.65466077290000002</v>
      </c>
      <c r="AI24">
        <f>+VLOOKUP($E24,Hybrid!$1:$1048576,AI$2,FALSE)</f>
        <v>0.65497161780000002</v>
      </c>
      <c r="AJ24">
        <f>+VLOOKUP($E24,Hybrid!$1:$1048576,AJ$2,FALSE)</f>
        <v>0.65429416220000003</v>
      </c>
      <c r="AK24">
        <f>+VLOOKUP($E24,Hybrid!$1:$1048576,AK$2,FALSE)</f>
        <v>0.65258803860000003</v>
      </c>
      <c r="AL24">
        <f>+VLOOKUP($E24,Hybrid!$1:$1048576,AL$2,FALSE)</f>
        <v>0.64981661390000001</v>
      </c>
      <c r="AM24">
        <f>+VLOOKUP($E24,Hybrid!$1:$1048576,AM$2,FALSE)</f>
        <v>0.64594836470000006</v>
      </c>
      <c r="AN24">
        <f>+VLOOKUP($E24,Hybrid!$1:$1048576,AN$2,FALSE)</f>
        <v>0.64095830639999996</v>
      </c>
      <c r="AO24">
        <f>+VLOOKUP($E24,Hybrid!$1:$1048576,AO$2,FALSE)</f>
        <v>0.63482942539999998</v>
      </c>
    </row>
    <row r="25" spans="1:41" ht="15" customHeight="1" x14ac:dyDescent="0.25">
      <c r="A25" s="316"/>
      <c r="B25" s="315"/>
      <c r="C25" s="171"/>
      <c r="D25" s="124" t="s">
        <v>543</v>
      </c>
      <c r="E25" s="46" t="s">
        <v>372</v>
      </c>
      <c r="F25" s="73">
        <f>+VLOOKUP($E25,Hybrid!$1:$1048576,F$2,FALSE)</f>
        <v>0.2495444651</v>
      </c>
      <c r="G25" s="73">
        <f>+VLOOKUP($E25,Hybrid!$1:$1048576,G$2,FALSE)</f>
        <v>0.25231484729999998</v>
      </c>
      <c r="H25" s="73">
        <f>+VLOOKUP($E25,Hybrid!$1:$1048576,H$2,FALSE)</f>
        <v>0.25626929209999999</v>
      </c>
      <c r="I25">
        <f>+VLOOKUP($E25,Hybrid!$1:$1048576,I$2,FALSE)</f>
        <v>0.26087537430000002</v>
      </c>
      <c r="J25">
        <f>+VLOOKUP($E25,Hybrid!$1:$1048576,J$2,FALSE)</f>
        <v>0.26577440320000001</v>
      </c>
      <c r="K25">
        <f>+VLOOKUP($E25,Hybrid!$1:$1048576,K$2,FALSE)</f>
        <v>0.27072765720000003</v>
      </c>
      <c r="L25">
        <f>+VLOOKUP($E25,Hybrid!$1:$1048576,L$2,FALSE)</f>
        <v>0.2755970888</v>
      </c>
      <c r="M25">
        <f>+VLOOKUP($E25,Hybrid!$1:$1048576,M$2,FALSE)</f>
        <v>0.28031070759999999</v>
      </c>
      <c r="N25">
        <f>+VLOOKUP($E25,Hybrid!$1:$1048576,N$2,FALSE)</f>
        <v>0.28481691539999998</v>
      </c>
      <c r="O25">
        <f>+VLOOKUP($E25,Hybrid!$1:$1048576,O$2,FALSE)</f>
        <v>0.28907613640000002</v>
      </c>
      <c r="P25">
        <f>+VLOOKUP($E25,Hybrid!$1:$1048576,P$2,FALSE)</f>
        <v>0.29305639220000002</v>
      </c>
      <c r="Q25">
        <f>+VLOOKUP($E25,Hybrid!$1:$1048576,Q$2,FALSE)</f>
        <v>0.29673038730000001</v>
      </c>
      <c r="R25">
        <f>+VLOOKUP($E25,Hybrid!$1:$1048576,R$2,FALSE)</f>
        <v>0.30007357600000001</v>
      </c>
      <c r="S25">
        <f>+VLOOKUP($E25,Hybrid!$1:$1048576,S$2,FALSE)</f>
        <v>0.30306288310000001</v>
      </c>
      <c r="T25">
        <f>+VLOOKUP($E25,Hybrid!$1:$1048576,T$2,FALSE)</f>
        <v>0.30567585050000001</v>
      </c>
      <c r="U25">
        <f>+VLOOKUP($E25,Hybrid!$1:$1048576,U$2,FALSE)</f>
        <v>0.30789004790000002</v>
      </c>
      <c r="V25">
        <f>+VLOOKUP($E25,Hybrid!$1:$1048576,V$2,FALSE)</f>
        <v>0.30970231990000002</v>
      </c>
      <c r="W25">
        <f>+VLOOKUP($E25,Hybrid!$1:$1048576,W$2,FALSE)</f>
        <v>0.31112699659999998</v>
      </c>
      <c r="X25">
        <f>+VLOOKUP($E25,Hybrid!$1:$1048576,X$2,FALSE)</f>
        <v>0.3121727104</v>
      </c>
      <c r="Y25">
        <f>+VLOOKUP($E25,Hybrid!$1:$1048576,Y$2,FALSE)</f>
        <v>0.31284445999999999</v>
      </c>
      <c r="Z25">
        <f>+VLOOKUP($E25,Hybrid!$1:$1048576,Z$2,FALSE)</f>
        <v>0.31314550299999999</v>
      </c>
      <c r="AA25">
        <f>+VLOOKUP($E25,Hybrid!$1:$1048576,AA$2,FALSE)</f>
        <v>0.31307838389999998</v>
      </c>
      <c r="AB25">
        <f>+VLOOKUP($E25,Hybrid!$1:$1048576,AB$2,FALSE)</f>
        <v>0.31264544919999998</v>
      </c>
      <c r="AC25">
        <f>+VLOOKUP($E25,Hybrid!$1:$1048576,AC$2,FALSE)</f>
        <v>0.31184909459999999</v>
      </c>
      <c r="AD25">
        <f>+VLOOKUP($E25,Hybrid!$1:$1048576,AD$2,FALSE)</f>
        <v>0.31069188349999999</v>
      </c>
      <c r="AE25">
        <f>+VLOOKUP($E25,Hybrid!$1:$1048576,AE$2,FALSE)</f>
        <v>0.30917661140000002</v>
      </c>
      <c r="AF25">
        <f>+VLOOKUP($E25,Hybrid!$1:$1048576,AF$2,FALSE)</f>
        <v>0.3073063513</v>
      </c>
      <c r="AG25">
        <f>+VLOOKUP($E25,Hybrid!$1:$1048576,AG$2,FALSE)</f>
        <v>0.30508449850000002</v>
      </c>
      <c r="AH25">
        <f>+VLOOKUP($E25,Hybrid!$1:$1048576,AH$2,FALSE)</f>
        <v>0.30251482159999998</v>
      </c>
      <c r="AI25">
        <f>+VLOOKUP($E25,Hybrid!$1:$1048576,AI$2,FALSE)</f>
        <v>0.29960152220000003</v>
      </c>
      <c r="AJ25">
        <f>+VLOOKUP($E25,Hybrid!$1:$1048576,AJ$2,FALSE)</f>
        <v>0.29634930250000002</v>
      </c>
      <c r="AK25">
        <f>+VLOOKUP($E25,Hybrid!$1:$1048576,AK$2,FALSE)</f>
        <v>0.29276344180000002</v>
      </c>
      <c r="AL25">
        <f>+VLOOKUP($E25,Hybrid!$1:$1048576,AL$2,FALSE)</f>
        <v>0.28884987909999998</v>
      </c>
      <c r="AM25">
        <f>+VLOOKUP($E25,Hybrid!$1:$1048576,AM$2,FALSE)</f>
        <v>0.28461530429999998</v>
      </c>
      <c r="AN25">
        <f>+VLOOKUP($E25,Hybrid!$1:$1048576,AN$2,FALSE)</f>
        <v>0.28006725609999999</v>
      </c>
      <c r="AO25">
        <f>+VLOOKUP($E25,Hybrid!$1:$1048576,AO$2,FALSE)</f>
        <v>0.2752142286</v>
      </c>
    </row>
    <row r="26" spans="1:41" ht="15" customHeight="1" x14ac:dyDescent="0.25">
      <c r="A26" s="316"/>
      <c r="B26" s="315"/>
      <c r="C26" s="171"/>
      <c r="D26" s="124" t="s">
        <v>544</v>
      </c>
      <c r="E26" s="46" t="s">
        <v>373</v>
      </c>
      <c r="F26" s="73">
        <f>+VLOOKUP($E26,Hybrid!$1:$1048576,F$2,FALSE)</f>
        <v>0.15020246549999999</v>
      </c>
      <c r="G26" s="73">
        <f>+VLOOKUP($E26,Hybrid!$1:$1048576,G$2,FALSE)</f>
        <v>0.15205803779999999</v>
      </c>
      <c r="H26" s="73">
        <f>+VLOOKUP($E26,Hybrid!$1:$1048576,H$2,FALSE)</f>
        <v>0.15453801219999999</v>
      </c>
      <c r="I26">
        <f>+VLOOKUP($E26,Hybrid!$1:$1048576,I$2,FALSE)</f>
        <v>0.15729786309999999</v>
      </c>
      <c r="J26">
        <f>+VLOOKUP($E26,Hybrid!$1:$1048576,J$2,FALSE)</f>
        <v>0.1601114521</v>
      </c>
      <c r="K26">
        <f>+VLOOKUP($E26,Hybrid!$1:$1048576,K$2,FALSE)</f>
        <v>0.1628329332</v>
      </c>
      <c r="L26">
        <f>+VLOOKUP($E26,Hybrid!$1:$1048576,L$2,FALSE)</f>
        <v>0.16538125870000001</v>
      </c>
      <c r="M26">
        <f>+VLOOKUP($E26,Hybrid!$1:$1048576,M$2,FALSE)</f>
        <v>0.16771728020000001</v>
      </c>
      <c r="N26">
        <f>+VLOOKUP($E26,Hybrid!$1:$1048576,N$2,FALSE)</f>
        <v>0.16981554709999999</v>
      </c>
      <c r="O26">
        <f>+VLOOKUP($E26,Hybrid!$1:$1048576,O$2,FALSE)</f>
        <v>0.1716584864</v>
      </c>
      <c r="P26">
        <f>+VLOOKUP($E26,Hybrid!$1:$1048576,P$2,FALSE)</f>
        <v>0.17323339930000001</v>
      </c>
      <c r="Q26">
        <f>+VLOOKUP($E26,Hybrid!$1:$1048576,Q$2,FALSE)</f>
        <v>0.1745305919</v>
      </c>
      <c r="R26">
        <f>+VLOOKUP($E26,Hybrid!$1:$1048576,R$2,FALSE)</f>
        <v>0.17554220109999999</v>
      </c>
      <c r="S26">
        <f>+VLOOKUP($E26,Hybrid!$1:$1048576,S$2,FALSE)</f>
        <v>0.17626146009999999</v>
      </c>
      <c r="T26">
        <f>+VLOOKUP($E26,Hybrid!$1:$1048576,T$2,FALSE)</f>
        <v>0.17668224090000001</v>
      </c>
      <c r="U26">
        <f>+VLOOKUP($E26,Hybrid!$1:$1048576,U$2,FALSE)</f>
        <v>0.17679876850000001</v>
      </c>
      <c r="V26">
        <f>+VLOOKUP($E26,Hybrid!$1:$1048576,V$2,FALSE)</f>
        <v>0.17661580239999999</v>
      </c>
      <c r="W26">
        <f>+VLOOKUP($E26,Hybrid!$1:$1048576,W$2,FALSE)</f>
        <v>0.17614766870000001</v>
      </c>
      <c r="X26">
        <f>+VLOOKUP($E26,Hybrid!$1:$1048576,X$2,FALSE)</f>
        <v>0.17540622980000001</v>
      </c>
      <c r="Y26">
        <f>+VLOOKUP($E26,Hybrid!$1:$1048576,Y$2,FALSE)</f>
        <v>0.1744018108</v>
      </c>
      <c r="Z26">
        <f>+VLOOKUP($E26,Hybrid!$1:$1048576,Z$2,FALSE)</f>
        <v>0.17314411430000001</v>
      </c>
      <c r="AA26">
        <f>+VLOOKUP($E26,Hybrid!$1:$1048576,AA$2,FALSE)</f>
        <v>0.1716427133</v>
      </c>
      <c r="AB26">
        <f>+VLOOKUP($E26,Hybrid!$1:$1048576,AB$2,FALSE)</f>
        <v>0.1699072875</v>
      </c>
      <c r="AC26">
        <f>+VLOOKUP($E26,Hybrid!$1:$1048576,AC$2,FALSE)</f>
        <v>0.1679477247</v>
      </c>
      <c r="AD26">
        <f>+VLOOKUP($E26,Hybrid!$1:$1048576,AD$2,FALSE)</f>
        <v>0.16577415570000001</v>
      </c>
      <c r="AE26">
        <f>+VLOOKUP($E26,Hybrid!$1:$1048576,AE$2,FALSE)</f>
        <v>0.16339696109999999</v>
      </c>
      <c r="AF26">
        <f>+VLOOKUP($E26,Hybrid!$1:$1048576,AF$2,FALSE)</f>
        <v>0.16082676630000001</v>
      </c>
      <c r="AG26">
        <f>+VLOOKUP($E26,Hybrid!$1:$1048576,AG$2,FALSE)</f>
        <v>0.15807443390000001</v>
      </c>
      <c r="AH26">
        <f>+VLOOKUP($E26,Hybrid!$1:$1048576,AH$2,FALSE)</f>
        <v>0.15515105439999999</v>
      </c>
      <c r="AI26">
        <f>+VLOOKUP($E26,Hybrid!$1:$1048576,AI$2,FALSE)</f>
        <v>0.15206793660000001</v>
      </c>
      <c r="AJ26">
        <f>+VLOOKUP($E26,Hybrid!$1:$1048576,AJ$2,FALSE)</f>
        <v>0.14883659690000001</v>
      </c>
      <c r="AK26">
        <f>+VLOOKUP($E26,Hybrid!$1:$1048576,AK$2,FALSE)</f>
        <v>0.14546874570000001</v>
      </c>
      <c r="AL26">
        <f>+VLOOKUP($E26,Hybrid!$1:$1048576,AL$2,FALSE)</f>
        <v>0.1419762712</v>
      </c>
      <c r="AM26">
        <f>+VLOOKUP($E26,Hybrid!$1:$1048576,AM$2,FALSE)</f>
        <v>0.1383712201</v>
      </c>
      <c r="AN26">
        <f>+VLOOKUP($E26,Hybrid!$1:$1048576,AN$2,FALSE)</f>
        <v>0.13466577630000001</v>
      </c>
      <c r="AO26">
        <f>+VLOOKUP($E26,Hybrid!$1:$1048576,AO$2,FALSE)</f>
        <v>0.13087223649999999</v>
      </c>
    </row>
    <row r="27" spans="1:41" ht="15" customHeight="1" x14ac:dyDescent="0.25">
      <c r="A27" s="316"/>
      <c r="B27" s="315"/>
      <c r="C27" s="171"/>
      <c r="D27" s="124" t="s">
        <v>545</v>
      </c>
      <c r="E27" s="46" t="s">
        <v>374</v>
      </c>
      <c r="F27" s="73">
        <f>+VLOOKUP($E27,Hybrid!$1:$1048576,F$2,FALSE)</f>
        <v>7.4609436000000001E-2</v>
      </c>
      <c r="G27" s="73">
        <f>+VLOOKUP($E27,Hybrid!$1:$1048576,G$2,FALSE)</f>
        <v>7.5290206700000001E-2</v>
      </c>
      <c r="H27" s="73">
        <f>+VLOOKUP($E27,Hybrid!$1:$1048576,H$2,FALSE)</f>
        <v>7.6132076399999998E-2</v>
      </c>
      <c r="I27">
        <f>+VLOOKUP($E27,Hybrid!$1:$1048576,I$2,FALSE)</f>
        <v>7.6945596599999999E-2</v>
      </c>
      <c r="J27">
        <f>+VLOOKUP($E27,Hybrid!$1:$1048576,J$2,FALSE)</f>
        <v>7.7619323800000001E-2</v>
      </c>
      <c r="K27">
        <f>+VLOOKUP($E27,Hybrid!$1:$1048576,K$2,FALSE)</f>
        <v>7.8092136100000001E-2</v>
      </c>
      <c r="L27">
        <f>+VLOOKUP($E27,Hybrid!$1:$1048576,L$2,FALSE)</f>
        <v>7.8339035299999998E-2</v>
      </c>
      <c r="M27">
        <f>+VLOOKUP($E27,Hybrid!$1:$1048576,M$2,FALSE)</f>
        <v>7.8356677999999999E-2</v>
      </c>
      <c r="N27">
        <f>+VLOOKUP($E27,Hybrid!$1:$1048576,N$2,FALSE)</f>
        <v>7.8149325199999994E-2</v>
      </c>
      <c r="O27">
        <f>+VLOOKUP($E27,Hybrid!$1:$1048576,O$2,FALSE)</f>
        <v>7.7725280399999999E-2</v>
      </c>
      <c r="P27">
        <f>+VLOOKUP($E27,Hybrid!$1:$1048576,P$2,FALSE)</f>
        <v>7.7095122399999994E-2</v>
      </c>
      <c r="Q27">
        <f>+VLOOKUP($E27,Hybrid!$1:$1048576,Q$2,FALSE)</f>
        <v>7.62706992E-2</v>
      </c>
      <c r="R27">
        <f>+VLOOKUP($E27,Hybrid!$1:$1048576,R$2,FALSE)</f>
        <v>7.5264537399999998E-2</v>
      </c>
      <c r="S27">
        <f>+VLOOKUP($E27,Hybrid!$1:$1048576,S$2,FALSE)</f>
        <v>7.4089487400000001E-2</v>
      </c>
      <c r="T27">
        <f>+VLOOKUP($E27,Hybrid!$1:$1048576,T$2,FALSE)</f>
        <v>7.27585065E-2</v>
      </c>
      <c r="U27">
        <f>+VLOOKUP($E27,Hybrid!$1:$1048576,U$2,FALSE)</f>
        <v>7.1284526400000006E-2</v>
      </c>
      <c r="V27">
        <f>+VLOOKUP($E27,Hybrid!$1:$1048576,V$2,FALSE)</f>
        <v>6.9683135300000004E-2</v>
      </c>
      <c r="W27">
        <f>+VLOOKUP($E27,Hybrid!$1:$1048576,W$2,FALSE)</f>
        <v>6.7971894099999999E-2</v>
      </c>
      <c r="X27">
        <f>+VLOOKUP($E27,Hybrid!$1:$1048576,X$2,FALSE)</f>
        <v>6.61669919E-2</v>
      </c>
      <c r="Y27">
        <f>+VLOOKUP($E27,Hybrid!$1:$1048576,Y$2,FALSE)</f>
        <v>6.4283485700000004E-2</v>
      </c>
      <c r="Z27">
        <f>+VLOOKUP($E27,Hybrid!$1:$1048576,Z$2,FALSE)</f>
        <v>6.2335534200000001E-2</v>
      </c>
      <c r="AA27">
        <f>+VLOOKUP($E27,Hybrid!$1:$1048576,AA$2,FALSE)</f>
        <v>6.0336506400000003E-2</v>
      </c>
      <c r="AB27">
        <f>+VLOOKUP($E27,Hybrid!$1:$1048576,AB$2,FALSE)</f>
        <v>5.8299016600000003E-2</v>
      </c>
      <c r="AC27">
        <f>+VLOOKUP($E27,Hybrid!$1:$1048576,AC$2,FALSE)</f>
        <v>5.6234922999999999E-2</v>
      </c>
      <c r="AD27">
        <f>+VLOOKUP($E27,Hybrid!$1:$1048576,AD$2,FALSE)</f>
        <v>5.4155314500000003E-2</v>
      </c>
      <c r="AE27">
        <f>+VLOOKUP($E27,Hybrid!$1:$1048576,AE$2,FALSE)</f>
        <v>5.2070495299999998E-2</v>
      </c>
      <c r="AF27">
        <f>+VLOOKUP($E27,Hybrid!$1:$1048576,AF$2,FALSE)</f>
        <v>4.9989974499999999E-2</v>
      </c>
      <c r="AG27">
        <f>+VLOOKUP($E27,Hybrid!$1:$1048576,AG$2,FALSE)</f>
        <v>4.7922462499999999E-2</v>
      </c>
      <c r="AH27">
        <f>+VLOOKUP($E27,Hybrid!$1:$1048576,AH$2,FALSE)</f>
        <v>4.5875873099999999E-2</v>
      </c>
      <c r="AI27">
        <f>+VLOOKUP($E27,Hybrid!$1:$1048576,AI$2,FALSE)</f>
        <v>4.3857332999999998E-2</v>
      </c>
      <c r="AJ27">
        <f>+VLOOKUP($E27,Hybrid!$1:$1048576,AJ$2,FALSE)</f>
        <v>4.1873196100000003E-2</v>
      </c>
      <c r="AK27">
        <f>+VLOOKUP($E27,Hybrid!$1:$1048576,AK$2,FALSE)</f>
        <v>3.99290635E-2</v>
      </c>
      <c r="AL27">
        <f>+VLOOKUP($E27,Hybrid!$1:$1048576,AL$2,FALSE)</f>
        <v>3.8029807399999997E-2</v>
      </c>
      <c r="AM27">
        <f>+VLOOKUP($E27,Hybrid!$1:$1048576,AM$2,FALSE)</f>
        <v>3.6179600200000002E-2</v>
      </c>
      <c r="AN27">
        <f>+VLOOKUP($E27,Hybrid!$1:$1048576,AN$2,FALSE)</f>
        <v>3.4381946099999998E-2</v>
      </c>
      <c r="AO27">
        <f>+VLOOKUP($E27,Hybrid!$1:$1048576,AO$2,FALSE)</f>
        <v>3.2639716800000003E-2</v>
      </c>
    </row>
    <row r="28" spans="1:41" ht="15" customHeight="1" x14ac:dyDescent="0.25">
      <c r="A28" s="316"/>
      <c r="B28" s="315"/>
      <c r="C28" s="172"/>
      <c r="D28" s="125" t="s">
        <v>546</v>
      </c>
      <c r="E28" s="308" t="s">
        <v>375</v>
      </c>
      <c r="F28" s="245">
        <f>+VLOOKUP($E28,Hybrid!$1:$1048576,F$2,FALSE)</f>
        <v>0.13435819299999999</v>
      </c>
      <c r="G28" s="245">
        <f>+VLOOKUP($E28,Hybrid!$1:$1048576,G$2,FALSE)</f>
        <v>0.13584218980000001</v>
      </c>
      <c r="H28" s="245">
        <f>+VLOOKUP($E28,Hybrid!$1:$1048576,H$2,FALSE)</f>
        <v>0.13737684</v>
      </c>
      <c r="I28" s="245">
        <f>+VLOOKUP($E28,Hybrid!$1:$1048576,I$2,FALSE)</f>
        <v>0.1385879552</v>
      </c>
      <c r="J28" s="245">
        <f>+VLOOKUP($E28,Hybrid!$1:$1048576,J$2,FALSE)</f>
        <v>0.1392824819</v>
      </c>
      <c r="K28" s="245">
        <f>+VLOOKUP($E28,Hybrid!$1:$1048576,K$2,FALSE)</f>
        <v>0.13937914670000001</v>
      </c>
      <c r="L28" s="245">
        <f>+VLOOKUP($E28,Hybrid!$1:$1048576,L$2,FALSE)</f>
        <v>0.1388700584</v>
      </c>
      <c r="M28" s="245">
        <f>+VLOOKUP($E28,Hybrid!$1:$1048576,M$2,FALSE)</f>
        <v>0.13778783189999999</v>
      </c>
      <c r="N28" s="245">
        <f>+VLOOKUP($E28,Hybrid!$1:$1048576,N$2,FALSE)</f>
        <v>0.13617824119999999</v>
      </c>
      <c r="O28" s="245">
        <f>+VLOOKUP($E28,Hybrid!$1:$1048576,O$2,FALSE)</f>
        <v>0.13409233240000001</v>
      </c>
      <c r="P28" s="245">
        <f>+VLOOKUP($E28,Hybrid!$1:$1048576,P$2,FALSE)</f>
        <v>0.1315826209</v>
      </c>
      <c r="Q28" s="245">
        <f>+VLOOKUP($E28,Hybrid!$1:$1048576,Q$2,FALSE)</f>
        <v>0.12870105940000001</v>
      </c>
      <c r="R28" s="245">
        <f>+VLOOKUP($E28,Hybrid!$1:$1048576,R$2,FALSE)</f>
        <v>0.1254979266</v>
      </c>
      <c r="S28" s="245">
        <f>+VLOOKUP($E28,Hybrid!$1:$1048576,S$2,FALSE)</f>
        <v>0.1220212123</v>
      </c>
      <c r="T28" s="245">
        <f>+VLOOKUP($E28,Hybrid!$1:$1048576,T$2,FALSE)</f>
        <v>0.1183162839</v>
      </c>
      <c r="U28" s="245">
        <f>+VLOOKUP($E28,Hybrid!$1:$1048576,U$2,FALSE)</f>
        <v>0.1144257199</v>
      </c>
      <c r="V28" s="245">
        <f>+VLOOKUP($E28,Hybrid!$1:$1048576,V$2,FALSE)</f>
        <v>0.1103923143</v>
      </c>
      <c r="W28" s="245">
        <f>+VLOOKUP($E28,Hybrid!$1:$1048576,W$2,FALSE)</f>
        <v>0.1062579949</v>
      </c>
      <c r="X28" s="245">
        <f>+VLOOKUP($E28,Hybrid!$1:$1048576,X$2,FALSE)</f>
        <v>0.10206013680000001</v>
      </c>
      <c r="Y28" s="245">
        <f>+VLOOKUP($E28,Hybrid!$1:$1048576,Y$2,FALSE)</f>
        <v>9.7831987600000003E-2</v>
      </c>
      <c r="Z28" s="245">
        <f>+VLOOKUP($E28,Hybrid!$1:$1048576,Z$2,FALSE)</f>
        <v>9.3603088900000006E-2</v>
      </c>
      <c r="AA28" s="245">
        <f>+VLOOKUP($E28,Hybrid!$1:$1048576,AA$2,FALSE)</f>
        <v>8.9399555199999994E-2</v>
      </c>
      <c r="AB28" s="245">
        <f>+VLOOKUP($E28,Hybrid!$1:$1048576,AB$2,FALSE)</f>
        <v>8.5244278899999998E-2</v>
      </c>
      <c r="AC28" s="245">
        <f>+VLOOKUP($E28,Hybrid!$1:$1048576,AC$2,FALSE)</f>
        <v>8.1157103600000002E-2</v>
      </c>
      <c r="AD28" s="245">
        <f>+VLOOKUP($E28,Hybrid!$1:$1048576,AD$2,FALSE)</f>
        <v>7.7154994300000002E-2</v>
      </c>
      <c r="AE28" s="245">
        <f>+VLOOKUP($E28,Hybrid!$1:$1048576,AE$2,FALSE)</f>
        <v>7.3252213799999993E-2</v>
      </c>
      <c r="AF28" s="245">
        <f>+VLOOKUP($E28,Hybrid!$1:$1048576,AF$2,FALSE)</f>
        <v>6.9460508700000007E-2</v>
      </c>
      <c r="AG28" s="245">
        <f>+VLOOKUP($E28,Hybrid!$1:$1048576,AG$2,FALSE)</f>
        <v>6.5789302399999999E-2</v>
      </c>
      <c r="AH28" s="245">
        <f>+VLOOKUP($E28,Hybrid!$1:$1048576,AH$2,FALSE)</f>
        <v>6.2245893199999999E-2</v>
      </c>
      <c r="AI28" s="245">
        <f>+VLOOKUP($E28,Hybrid!$1:$1048576,AI$2,FALSE)</f>
        <v>5.8835653199999997E-2</v>
      </c>
      <c r="AJ28" s="245">
        <f>+VLOOKUP($E28,Hybrid!$1:$1048576,AJ$2,FALSE)</f>
        <v>5.5562225600000001E-2</v>
      </c>
      <c r="AK28" s="245">
        <f>+VLOOKUP($E28,Hybrid!$1:$1048576,AK$2,FALSE)</f>
        <v>5.2427716700000002E-2</v>
      </c>
      <c r="AL28" s="245">
        <f>+VLOOKUP($E28,Hybrid!$1:$1048576,AL$2,FALSE)</f>
        <v>4.9432881800000002E-2</v>
      </c>
      <c r="AM28" s="245">
        <f>+VLOOKUP($E28,Hybrid!$1:$1048576,AM$2,FALSE)</f>
        <v>4.6577301699999997E-2</v>
      </c>
      <c r="AN28" s="245">
        <f>+VLOOKUP($E28,Hybrid!$1:$1048576,AN$2,FALSE)</f>
        <v>4.3859550599999998E-2</v>
      </c>
      <c r="AO28" s="245">
        <f>+VLOOKUP($E28,Hybrid!$1:$1048576,AO$2,FALSE)</f>
        <v>4.1277351099999998E-2</v>
      </c>
    </row>
    <row r="29" spans="1:41" s="111" customFormat="1" ht="15" customHeight="1" x14ac:dyDescent="0.25">
      <c r="A29" s="316"/>
      <c r="B29" s="315"/>
      <c r="C29" s="122" t="s">
        <v>547</v>
      </c>
      <c r="D29" s="122"/>
      <c r="E29" s="91" t="s">
        <v>376</v>
      </c>
      <c r="F29" s="111">
        <f>+VLOOKUP($E29,Hybrid!$1:$1048576,F$2,FALSE)</f>
        <v>32317.940999999999</v>
      </c>
      <c r="G29" s="111">
        <f>+VLOOKUP($E29,Hybrid!$1:$1048576,G$2,FALSE)</f>
        <v>31931.6253</v>
      </c>
      <c r="H29" s="111">
        <f>+VLOOKUP($E29,Hybrid!$1:$1048576,H$2,FALSE)</f>
        <v>31743.508249999999</v>
      </c>
      <c r="I29" s="111">
        <f>+VLOOKUP($E29,Hybrid!$1:$1048576,I$2,FALSE)</f>
        <v>31687.79249</v>
      </c>
      <c r="J29" s="111">
        <f>+VLOOKUP($E29,Hybrid!$1:$1048576,J$2,FALSE)</f>
        <v>31720.643349999998</v>
      </c>
      <c r="K29" s="111">
        <f>+VLOOKUP($E29,Hybrid!$1:$1048576,K$2,FALSE)</f>
        <v>31813.33711</v>
      </c>
      <c r="L29" s="111">
        <f>+VLOOKUP($E29,Hybrid!$1:$1048576,L$2,FALSE)</f>
        <v>31947.162380000002</v>
      </c>
      <c r="M29" s="111">
        <f>+VLOOKUP($E29,Hybrid!$1:$1048576,M$2,FALSE)</f>
        <v>32109.87729</v>
      </c>
      <c r="N29" s="111">
        <f>+VLOOKUP($E29,Hybrid!$1:$1048576,N$2,FALSE)</f>
        <v>32293.361379999998</v>
      </c>
      <c r="O29" s="111">
        <f>+VLOOKUP($E29,Hybrid!$1:$1048576,O$2,FALSE)</f>
        <v>32492.108840000001</v>
      </c>
      <c r="P29" s="111">
        <f>+VLOOKUP($E29,Hybrid!$1:$1048576,P$2,FALSE)</f>
        <v>32702.282360000001</v>
      </c>
      <c r="Q29" s="111">
        <f>+VLOOKUP($E29,Hybrid!$1:$1048576,Q$2,FALSE)</f>
        <v>32921.126179999999</v>
      </c>
      <c r="R29" s="111">
        <f>+VLOOKUP($E29,Hybrid!$1:$1048576,R$2,FALSE)</f>
        <v>33146.603029999998</v>
      </c>
      <c r="S29" s="111">
        <f>+VLOOKUP($E29,Hybrid!$1:$1048576,S$2,FALSE)</f>
        <v>33377.167979999998</v>
      </c>
      <c r="T29" s="111">
        <f>+VLOOKUP($E29,Hybrid!$1:$1048576,T$2,FALSE)</f>
        <v>33611.625030000003</v>
      </c>
      <c r="U29" s="111">
        <f>+VLOOKUP($E29,Hybrid!$1:$1048576,U$2,FALSE)</f>
        <v>33849.033629999998</v>
      </c>
      <c r="V29" s="111">
        <f>+VLOOKUP($E29,Hybrid!$1:$1048576,V$2,FALSE)</f>
        <v>34088.645530000002</v>
      </c>
      <c r="W29" s="111">
        <f>+VLOOKUP($E29,Hybrid!$1:$1048576,W$2,FALSE)</f>
        <v>34329.860690000001</v>
      </c>
      <c r="X29" s="111">
        <f>+VLOOKUP($E29,Hybrid!$1:$1048576,X$2,FALSE)</f>
        <v>34572.195419999996</v>
      </c>
      <c r="Y29" s="111">
        <f>+VLOOKUP($E29,Hybrid!$1:$1048576,Y$2,FALSE)</f>
        <v>34815.258710000002</v>
      </c>
      <c r="Z29" s="111">
        <f>+VLOOKUP($E29,Hybrid!$1:$1048576,Z$2,FALSE)</f>
        <v>35058.734510000002</v>
      </c>
      <c r="AA29" s="111">
        <f>+VLOOKUP($E29,Hybrid!$1:$1048576,AA$2,FALSE)</f>
        <v>35302.36808</v>
      </c>
      <c r="AB29" s="111">
        <f>+VLOOKUP($E29,Hybrid!$1:$1048576,AB$2,FALSE)</f>
        <v>35545.95566</v>
      </c>
      <c r="AC29" s="111">
        <f>+VLOOKUP($E29,Hybrid!$1:$1048576,AC$2,FALSE)</f>
        <v>35789.336340000002</v>
      </c>
      <c r="AD29" s="111">
        <f>+VLOOKUP($E29,Hybrid!$1:$1048576,AD$2,FALSE)</f>
        <v>36032.385739999998</v>
      </c>
      <c r="AE29" s="111">
        <f>+VLOOKUP($E29,Hybrid!$1:$1048576,AE$2,FALSE)</f>
        <v>36275.010999999999</v>
      </c>
      <c r="AF29" s="111">
        <f>+VLOOKUP($E29,Hybrid!$1:$1048576,AF$2,FALSE)</f>
        <v>36517.146650000002</v>
      </c>
      <c r="AG29" s="111">
        <f>+VLOOKUP($E29,Hybrid!$1:$1048576,AG$2,FALSE)</f>
        <v>36758.751190000003</v>
      </c>
      <c r="AH29" s="111">
        <f>+VLOOKUP($E29,Hybrid!$1:$1048576,AH$2,FALSE)</f>
        <v>36999.804109999997</v>
      </c>
      <c r="AI29" s="111">
        <f>+VLOOKUP($E29,Hybrid!$1:$1048576,AI$2,FALSE)</f>
        <v>37240.303260000001</v>
      </c>
      <c r="AJ29" s="111">
        <f>+VLOOKUP($E29,Hybrid!$1:$1048576,AJ$2,FALSE)</f>
        <v>37480.262430000002</v>
      </c>
      <c r="AK29" s="111">
        <f>+VLOOKUP($E29,Hybrid!$1:$1048576,AK$2,FALSE)</f>
        <v>37719.709159999999</v>
      </c>
      <c r="AL29" s="111">
        <f>+VLOOKUP($E29,Hybrid!$1:$1048576,AL$2,FALSE)</f>
        <v>37958.682679999998</v>
      </c>
      <c r="AM29" s="111">
        <f>+VLOOKUP($E29,Hybrid!$1:$1048576,AM$2,FALSE)</f>
        <v>38197.23199</v>
      </c>
      <c r="AN29" s="111">
        <f>+VLOOKUP($E29,Hybrid!$1:$1048576,AN$2,FALSE)</f>
        <v>38435.414069999999</v>
      </c>
      <c r="AO29" s="111">
        <f>+VLOOKUP($E29,Hybrid!$1:$1048576,AO$2,FALSE)</f>
        <v>38673.292269999998</v>
      </c>
    </row>
    <row r="30" spans="1:41" s="111" customFormat="1" ht="15" customHeight="1" x14ac:dyDescent="0.25">
      <c r="A30" s="316"/>
      <c r="B30" s="315"/>
      <c r="C30" s="122" t="s">
        <v>548</v>
      </c>
      <c r="D30" s="123"/>
      <c r="E30" s="91" t="s">
        <v>377</v>
      </c>
      <c r="F30" s="111">
        <f>+VLOOKUP($E30,Hybrid!$1:$1048576,F$2,FALSE)</f>
        <v>32271.24</v>
      </c>
      <c r="G30" s="111">
        <f>+VLOOKUP($E30,Hybrid!$1:$1048576,G$2,FALSE)</f>
        <v>31867.184539999998</v>
      </c>
      <c r="H30" s="111">
        <f>+VLOOKUP($E30,Hybrid!$1:$1048576,H$2,FALSE)</f>
        <v>31660.485769999999</v>
      </c>
      <c r="I30" s="111">
        <f>+VLOOKUP($E30,Hybrid!$1:$1048576,I$2,FALSE)</f>
        <v>31585.837940000001</v>
      </c>
      <c r="J30" s="111">
        <f>+VLOOKUP($E30,Hybrid!$1:$1048576,J$2,FALSE)</f>
        <v>31599.720549999998</v>
      </c>
      <c r="K30" s="111">
        <f>+VLOOKUP($E30,Hybrid!$1:$1048576,K$2,FALSE)</f>
        <v>31673.60284</v>
      </c>
      <c r="L30" s="111">
        <f>+VLOOKUP($E30,Hybrid!$1:$1048576,L$2,FALSE)</f>
        <v>31788.887490000001</v>
      </c>
      <c r="M30" s="111">
        <f>+VLOOKUP($E30,Hybrid!$1:$1048576,M$2,FALSE)</f>
        <v>31933.39687</v>
      </c>
      <c r="N30" s="111">
        <f>+VLOOKUP($E30,Hybrid!$1:$1048576,N$2,FALSE)</f>
        <v>32099.043880000001</v>
      </c>
      <c r="O30" s="111">
        <f>+VLOOKUP($E30,Hybrid!$1:$1048576,O$2,FALSE)</f>
        <v>32280.33711</v>
      </c>
      <c r="P30" s="111">
        <f>+VLOOKUP($E30,Hybrid!$1:$1048576,P$2,FALSE)</f>
        <v>32473.442050000001</v>
      </c>
      <c r="Q30" s="111">
        <f>+VLOOKUP($E30,Hybrid!$1:$1048576,Q$2,FALSE)</f>
        <v>32675.5985</v>
      </c>
      <c r="R30" s="111">
        <f>+VLOOKUP($E30,Hybrid!$1:$1048576,R$2,FALSE)</f>
        <v>32884.760260000003</v>
      </c>
      <c r="S30" s="111">
        <f>+VLOOKUP($E30,Hybrid!$1:$1048576,S$2,FALSE)</f>
        <v>33099.37055</v>
      </c>
      <c r="T30" s="111">
        <f>+VLOOKUP($E30,Hybrid!$1:$1048576,T$2,FALSE)</f>
        <v>33318.219720000001</v>
      </c>
      <c r="U30" s="111">
        <f>+VLOOKUP($E30,Hybrid!$1:$1048576,U$2,FALSE)</f>
        <v>33540.352330000002</v>
      </c>
      <c r="V30" s="111">
        <f>+VLOOKUP($E30,Hybrid!$1:$1048576,V$2,FALSE)</f>
        <v>33765.004459999996</v>
      </c>
      <c r="W30" s="111">
        <f>+VLOOKUP($E30,Hybrid!$1:$1048576,W$2,FALSE)</f>
        <v>33991.559860000001</v>
      </c>
      <c r="X30" s="111">
        <f>+VLOOKUP($E30,Hybrid!$1:$1048576,X$2,FALSE)</f>
        <v>34219.518219999998</v>
      </c>
      <c r="Y30" s="111">
        <f>+VLOOKUP($E30,Hybrid!$1:$1048576,Y$2,FALSE)</f>
        <v>34448.471680000002</v>
      </c>
      <c r="Z30" s="111">
        <f>+VLOOKUP($E30,Hybrid!$1:$1048576,Z$2,FALSE)</f>
        <v>34678.087050000002</v>
      </c>
      <c r="AA30" s="111">
        <f>+VLOOKUP($E30,Hybrid!$1:$1048576,AA$2,FALSE)</f>
        <v>34908.092270000001</v>
      </c>
      <c r="AB30" s="111">
        <f>+VLOOKUP($E30,Hybrid!$1:$1048576,AB$2,FALSE)</f>
        <v>35138.265950000001</v>
      </c>
      <c r="AC30" s="111">
        <f>+VLOOKUP($E30,Hybrid!$1:$1048576,AC$2,FALSE)</f>
        <v>35368.429279999997</v>
      </c>
      <c r="AD30" s="111">
        <f>+VLOOKUP($E30,Hybrid!$1:$1048576,AD$2,FALSE)</f>
        <v>35598.439659999996</v>
      </c>
      <c r="AE30" s="111">
        <f>+VLOOKUP($E30,Hybrid!$1:$1048576,AE$2,FALSE)</f>
        <v>35828.185579999998</v>
      </c>
      <c r="AF30" s="111">
        <f>+VLOOKUP($E30,Hybrid!$1:$1048576,AF$2,FALSE)</f>
        <v>36057.582459999998</v>
      </c>
      <c r="AG30" s="111">
        <f>+VLOOKUP($E30,Hybrid!$1:$1048576,AG$2,FALSE)</f>
        <v>36286.56912</v>
      </c>
      <c r="AH30" s="111">
        <f>+VLOOKUP($E30,Hybrid!$1:$1048576,AH$2,FALSE)</f>
        <v>36515.104740000002</v>
      </c>
      <c r="AI30" s="111">
        <f>+VLOOKUP($E30,Hybrid!$1:$1048576,AI$2,FALSE)</f>
        <v>36743.166120000002</v>
      </c>
      <c r="AJ30" s="111">
        <f>+VLOOKUP($E30,Hybrid!$1:$1048576,AJ$2,FALSE)</f>
        <v>36970.745210000001</v>
      </c>
      <c r="AK30" s="111">
        <f>+VLOOKUP($E30,Hybrid!$1:$1048576,AK$2,FALSE)</f>
        <v>37197.846769999996</v>
      </c>
      <c r="AL30" s="111">
        <f>+VLOOKUP($E30,Hybrid!$1:$1048576,AL$2,FALSE)</f>
        <v>37424.486270000001</v>
      </c>
      <c r="AM30" s="111">
        <f>+VLOOKUP($E30,Hybrid!$1:$1048576,AM$2,FALSE)</f>
        <v>37650.6878</v>
      </c>
      <c r="AN30" s="111">
        <f>+VLOOKUP($E30,Hybrid!$1:$1048576,AN$2,FALSE)</f>
        <v>37876.482239999998</v>
      </c>
      <c r="AO30" s="111">
        <f>+VLOOKUP($E30,Hybrid!$1:$1048576,AO$2,FALSE)</f>
        <v>38101.905460000002</v>
      </c>
    </row>
    <row r="31" spans="1:41" ht="15" customHeight="1" x14ac:dyDescent="0.25">
      <c r="A31" s="316"/>
      <c r="B31" s="315"/>
      <c r="C31" s="171"/>
      <c r="D31" s="124" t="s">
        <v>540</v>
      </c>
      <c r="E31" s="46" t="s">
        <v>378</v>
      </c>
      <c r="F31" s="73">
        <f>+VLOOKUP($E31,Hybrid!$1:$1048576,F$2,FALSE)</f>
        <v>7095.7005250000002</v>
      </c>
      <c r="G31" s="73">
        <f>+VLOOKUP($E31,Hybrid!$1:$1048576,G$2,FALSE)</f>
        <v>7143.1787640000002</v>
      </c>
      <c r="H31" s="73">
        <f>+VLOOKUP($E31,Hybrid!$1:$1048576,H$2,FALSE)</f>
        <v>7239.8100320000003</v>
      </c>
      <c r="I31">
        <f>+VLOOKUP($E31,Hybrid!$1:$1048576,I$2,FALSE)</f>
        <v>7369.0432149999997</v>
      </c>
      <c r="J31">
        <f>+VLOOKUP($E31,Hybrid!$1:$1048576,J$2,FALSE)</f>
        <v>7519.6803529999997</v>
      </c>
      <c r="K31">
        <f>+VLOOKUP($E31,Hybrid!$1:$1048576,K$2,FALSE)</f>
        <v>7684.2985710000003</v>
      </c>
      <c r="L31">
        <f>+VLOOKUP($E31,Hybrid!$1:$1048576,L$2,FALSE)</f>
        <v>7858.0379009999997</v>
      </c>
      <c r="M31">
        <f>+VLOOKUP($E31,Hybrid!$1:$1048576,M$2,FALSE)</f>
        <v>8037.7298559999999</v>
      </c>
      <c r="N31">
        <f>+VLOOKUP($E31,Hybrid!$1:$1048576,N$2,FALSE)</f>
        <v>8221.3015240000004</v>
      </c>
      <c r="O31">
        <f>+VLOOKUP($E31,Hybrid!$1:$1048576,O$2,FALSE)</f>
        <v>8407.3826119999994</v>
      </c>
      <c r="P31">
        <f>+VLOOKUP($E31,Hybrid!$1:$1048576,P$2,FALSE)</f>
        <v>8595.0529569999999</v>
      </c>
      <c r="Q31">
        <f>+VLOOKUP($E31,Hybrid!$1:$1048576,Q$2,FALSE)</f>
        <v>8783.6831230000007</v>
      </c>
      <c r="R31">
        <f>+VLOOKUP($E31,Hybrid!$1:$1048576,R$2,FALSE)</f>
        <v>8972.8346920000004</v>
      </c>
      <c r="S31">
        <f>+VLOOKUP($E31,Hybrid!$1:$1048576,S$2,FALSE)</f>
        <v>9162.1979510000001</v>
      </c>
      <c r="T31">
        <f>+VLOOKUP($E31,Hybrid!$1:$1048576,T$2,FALSE)</f>
        <v>9351.5526379999992</v>
      </c>
      <c r="U31">
        <f>+VLOOKUP($E31,Hybrid!$1:$1048576,U$2,FALSE)</f>
        <v>9540.7427050000006</v>
      </c>
      <c r="V31">
        <f>+VLOOKUP($E31,Hybrid!$1:$1048576,V$2,FALSE)</f>
        <v>9729.6596580000005</v>
      </c>
      <c r="W31">
        <f>+VLOOKUP($E31,Hybrid!$1:$1048576,W$2,FALSE)</f>
        <v>9918.2312120000006</v>
      </c>
      <c r="X31">
        <f>+VLOOKUP($E31,Hybrid!$1:$1048576,X$2,FALSE)</f>
        <v>10106.41331</v>
      </c>
      <c r="Y31">
        <f>+VLOOKUP($E31,Hybrid!$1:$1048576,Y$2,FALSE)</f>
        <v>10294.18433</v>
      </c>
      <c r="Z31">
        <f>+VLOOKUP($E31,Hybrid!$1:$1048576,Z$2,FALSE)</f>
        <v>10481.540859999999</v>
      </c>
      <c r="AA31">
        <f>+VLOOKUP($E31,Hybrid!$1:$1048576,AA$2,FALSE)</f>
        <v>10668.49447</v>
      </c>
      <c r="AB31">
        <f>+VLOOKUP($E31,Hybrid!$1:$1048576,AB$2,FALSE)</f>
        <v>10855.069320000001</v>
      </c>
      <c r="AC31">
        <f>+VLOOKUP($E31,Hybrid!$1:$1048576,AC$2,FALSE)</f>
        <v>11041.30032</v>
      </c>
      <c r="AD31">
        <f>+VLOOKUP($E31,Hybrid!$1:$1048576,AD$2,FALSE)</f>
        <v>11227.23172</v>
      </c>
      <c r="AE31">
        <f>+VLOOKUP($E31,Hybrid!$1:$1048576,AE$2,FALSE)</f>
        <v>11412.9159</v>
      </c>
      <c r="AF31">
        <f>+VLOOKUP($E31,Hybrid!$1:$1048576,AF$2,FALSE)</f>
        <v>11598.41252</v>
      </c>
      <c r="AG31">
        <f>+VLOOKUP($E31,Hybrid!$1:$1048576,AG$2,FALSE)</f>
        <v>11783.787609999999</v>
      </c>
      <c r="AH31">
        <f>+VLOOKUP($E31,Hybrid!$1:$1048576,AH$2,FALSE)</f>
        <v>11969.11292</v>
      </c>
      <c r="AI31">
        <f>+VLOOKUP($E31,Hybrid!$1:$1048576,AI$2,FALSE)</f>
        <v>12154.46516</v>
      </c>
      <c r="AJ31">
        <f>+VLOOKUP($E31,Hybrid!$1:$1048576,AJ$2,FALSE)</f>
        <v>12339.92534</v>
      </c>
      <c r="AK31">
        <f>+VLOOKUP($E31,Hybrid!$1:$1048576,AK$2,FALSE)</f>
        <v>12525.57812</v>
      </c>
      <c r="AL31">
        <f>+VLOOKUP($E31,Hybrid!$1:$1048576,AL$2,FALSE)</f>
        <v>12711.51116</v>
      </c>
      <c r="AM31">
        <f>+VLOOKUP($E31,Hybrid!$1:$1048576,AM$2,FALSE)</f>
        <v>12897.81444</v>
      </c>
      <c r="AN31">
        <f>+VLOOKUP($E31,Hybrid!$1:$1048576,AN$2,FALSE)</f>
        <v>13084.579680000001</v>
      </c>
      <c r="AO31">
        <f>+VLOOKUP($E31,Hybrid!$1:$1048576,AO$2,FALSE)</f>
        <v>13271.899649999999</v>
      </c>
    </row>
    <row r="32" spans="1:41" ht="15" customHeight="1" x14ac:dyDescent="0.25">
      <c r="A32" s="316"/>
      <c r="B32" s="315"/>
      <c r="C32" s="171"/>
      <c r="D32" s="124" t="s">
        <v>541</v>
      </c>
      <c r="E32" s="46" t="s">
        <v>379</v>
      </c>
      <c r="F32" s="73">
        <f>+VLOOKUP($E32,Hybrid!$1:$1048576,F$2,FALSE)</f>
        <v>8251.256421</v>
      </c>
      <c r="G32" s="73">
        <f>+VLOOKUP($E32,Hybrid!$1:$1048576,G$2,FALSE)</f>
        <v>8184.178527</v>
      </c>
      <c r="H32" s="73">
        <f>+VLOOKUP($E32,Hybrid!$1:$1048576,H$2,FALSE)</f>
        <v>8171.8778769999999</v>
      </c>
      <c r="I32">
        <f>+VLOOKUP($E32,Hybrid!$1:$1048576,I$2,FALSE)</f>
        <v>8197.5342110000001</v>
      </c>
      <c r="J32">
        <f>+VLOOKUP($E32,Hybrid!$1:$1048576,J$2,FALSE)</f>
        <v>8249.6491499999993</v>
      </c>
      <c r="K32">
        <f>+VLOOKUP($E32,Hybrid!$1:$1048576,K$2,FALSE)</f>
        <v>8320.4704320000001</v>
      </c>
      <c r="L32">
        <f>+VLOOKUP($E32,Hybrid!$1:$1048576,L$2,FALSE)</f>
        <v>8404.7877079999998</v>
      </c>
      <c r="M32">
        <f>+VLOOKUP($E32,Hybrid!$1:$1048576,M$2,FALSE)</f>
        <v>8499.0715280000004</v>
      </c>
      <c r="N32">
        <f>+VLOOKUP($E32,Hybrid!$1:$1048576,N$2,FALSE)</f>
        <v>8600.8872150000007</v>
      </c>
      <c r="O32">
        <f>+VLOOKUP($E32,Hybrid!$1:$1048576,O$2,FALSE)</f>
        <v>8708.5096250000006</v>
      </c>
      <c r="P32">
        <f>+VLOOKUP($E32,Hybrid!$1:$1048576,P$2,FALSE)</f>
        <v>8820.6760479999994</v>
      </c>
      <c r="Q32">
        <f>+VLOOKUP($E32,Hybrid!$1:$1048576,Q$2,FALSE)</f>
        <v>8936.4301090000008</v>
      </c>
      <c r="R32">
        <f>+VLOOKUP($E32,Hybrid!$1:$1048576,R$2,FALSE)</f>
        <v>9055.0237899999993</v>
      </c>
      <c r="S32">
        <f>+VLOOKUP($E32,Hybrid!$1:$1048576,S$2,FALSE)</f>
        <v>9175.8556850000004</v>
      </c>
      <c r="T32">
        <f>+VLOOKUP($E32,Hybrid!$1:$1048576,T$2,FALSE)</f>
        <v>9298.4315650000008</v>
      </c>
      <c r="U32">
        <f>+VLOOKUP($E32,Hybrid!$1:$1048576,U$2,FALSE)</f>
        <v>9422.3384829999995</v>
      </c>
      <c r="V32">
        <f>+VLOOKUP($E32,Hybrid!$1:$1048576,V$2,FALSE)</f>
        <v>9547.2271970000002</v>
      </c>
      <c r="W32">
        <f>+VLOOKUP($E32,Hybrid!$1:$1048576,W$2,FALSE)</f>
        <v>9672.7997749999995</v>
      </c>
      <c r="X32">
        <f>+VLOOKUP($E32,Hybrid!$1:$1048576,X$2,FALSE)</f>
        <v>9798.8005140000005</v>
      </c>
      <c r="Y32">
        <f>+VLOOKUP($E32,Hybrid!$1:$1048576,Y$2,FALSE)</f>
        <v>9925.0090739999996</v>
      </c>
      <c r="Z32">
        <f>+VLOOKUP($E32,Hybrid!$1:$1048576,Z$2,FALSE)</f>
        <v>10051.23516</v>
      </c>
      <c r="AA32">
        <f>+VLOOKUP($E32,Hybrid!$1:$1048576,AA$2,FALSE)</f>
        <v>10177.31431</v>
      </c>
      <c r="AB32">
        <f>+VLOOKUP($E32,Hybrid!$1:$1048576,AB$2,FALSE)</f>
        <v>10303.10454</v>
      </c>
      <c r="AC32">
        <f>+VLOOKUP($E32,Hybrid!$1:$1048576,AC$2,FALSE)</f>
        <v>10428.483620000001</v>
      </c>
      <c r="AD32">
        <f>+VLOOKUP($E32,Hybrid!$1:$1048576,AD$2,FALSE)</f>
        <v>10553.34671</v>
      </c>
      <c r="AE32">
        <f>+VLOOKUP($E32,Hybrid!$1:$1048576,AE$2,FALSE)</f>
        <v>10677.604530000001</v>
      </c>
      <c r="AF32">
        <f>+VLOOKUP($E32,Hybrid!$1:$1048576,AF$2,FALSE)</f>
        <v>10801.181570000001</v>
      </c>
      <c r="AG32">
        <f>+VLOOKUP($E32,Hybrid!$1:$1048576,AG$2,FALSE)</f>
        <v>10924.014639999999</v>
      </c>
      <c r="AH32">
        <f>+VLOOKUP($E32,Hybrid!$1:$1048576,AH$2,FALSE)</f>
        <v>11046.05148</v>
      </c>
      <c r="AI32">
        <f>+VLOOKUP($E32,Hybrid!$1:$1048576,AI$2,FALSE)</f>
        <v>11167.24944</v>
      </c>
      <c r="AJ32">
        <f>+VLOOKUP($E32,Hybrid!$1:$1048576,AJ$2,FALSE)</f>
        <v>11287.574280000001</v>
      </c>
      <c r="AK32">
        <f>+VLOOKUP($E32,Hybrid!$1:$1048576,AK$2,FALSE)</f>
        <v>11406.99901</v>
      </c>
      <c r="AL32">
        <f>+VLOOKUP($E32,Hybrid!$1:$1048576,AL$2,FALSE)</f>
        <v>11525.50275</v>
      </c>
      <c r="AM32">
        <f>+VLOOKUP($E32,Hybrid!$1:$1048576,AM$2,FALSE)</f>
        <v>11643.06969</v>
      </c>
      <c r="AN32">
        <f>+VLOOKUP($E32,Hybrid!$1:$1048576,AN$2,FALSE)</f>
        <v>11759.68808</v>
      </c>
      <c r="AO32">
        <f>+VLOOKUP($E32,Hybrid!$1:$1048576,AO$2,FALSE)</f>
        <v>11875.349249999999</v>
      </c>
    </row>
    <row r="33" spans="1:41" ht="15" customHeight="1" x14ac:dyDescent="0.25">
      <c r="A33" s="316"/>
      <c r="B33" s="315"/>
      <c r="C33" s="171"/>
      <c r="D33" s="124" t="s">
        <v>542</v>
      </c>
      <c r="E33" s="46" t="s">
        <v>380</v>
      </c>
      <c r="F33" s="73">
        <f>+VLOOKUP($E33,Hybrid!$1:$1048576,F$2,FALSE)</f>
        <v>6777.6024520000001</v>
      </c>
      <c r="G33" s="73">
        <f>+VLOOKUP($E33,Hybrid!$1:$1048576,G$2,FALSE)</f>
        <v>6647.7392339999997</v>
      </c>
      <c r="H33" s="73">
        <f>+VLOOKUP($E33,Hybrid!$1:$1048576,H$2,FALSE)</f>
        <v>6561.4777880000001</v>
      </c>
      <c r="I33">
        <f>+VLOOKUP($E33,Hybrid!$1:$1048576,I$2,FALSE)</f>
        <v>6506.5051000000003</v>
      </c>
      <c r="J33">
        <f>+VLOOKUP($E33,Hybrid!$1:$1048576,J$2,FALSE)</f>
        <v>6474.3213969999997</v>
      </c>
      <c r="K33">
        <f>+VLOOKUP($E33,Hybrid!$1:$1048576,K$2,FALSE)</f>
        <v>6459.1067370000001</v>
      </c>
      <c r="L33">
        <f>+VLOOKUP($E33,Hybrid!$1:$1048576,L$2,FALSE)</f>
        <v>6456.8591409999999</v>
      </c>
      <c r="M33">
        <f>+VLOOKUP($E33,Hybrid!$1:$1048576,M$2,FALSE)</f>
        <v>6464.7815380000002</v>
      </c>
      <c r="N33">
        <f>+VLOOKUP($E33,Hybrid!$1:$1048576,N$2,FALSE)</f>
        <v>6480.8662649999997</v>
      </c>
      <c r="O33">
        <f>+VLOOKUP($E33,Hybrid!$1:$1048576,O$2,FALSE)</f>
        <v>6503.6228220000003</v>
      </c>
      <c r="P33">
        <f>+VLOOKUP($E33,Hybrid!$1:$1048576,P$2,FALSE)</f>
        <v>6531.9035240000003</v>
      </c>
      <c r="Q33">
        <f>+VLOOKUP($E33,Hybrid!$1:$1048576,Q$2,FALSE)</f>
        <v>6564.7932879999998</v>
      </c>
      <c r="R33">
        <f>+VLOOKUP($E33,Hybrid!$1:$1048576,R$2,FALSE)</f>
        <v>6601.5401860000002</v>
      </c>
      <c r="S33">
        <f>+VLOOKUP($E33,Hybrid!$1:$1048576,S$2,FALSE)</f>
        <v>6641.5113270000002</v>
      </c>
      <c r="T33">
        <f>+VLOOKUP($E33,Hybrid!$1:$1048576,T$2,FALSE)</f>
        <v>6684.1642849999998</v>
      </c>
      <c r="U33">
        <f>+VLOOKUP($E33,Hybrid!$1:$1048576,U$2,FALSE)</f>
        <v>6729.0279730000002</v>
      </c>
      <c r="V33">
        <f>+VLOOKUP($E33,Hybrid!$1:$1048576,V$2,FALSE)</f>
        <v>6775.6893330000003</v>
      </c>
      <c r="W33">
        <f>+VLOOKUP($E33,Hybrid!$1:$1048576,W$2,FALSE)</f>
        <v>6823.7836639999996</v>
      </c>
      <c r="X33">
        <f>+VLOOKUP($E33,Hybrid!$1:$1048576,X$2,FALSE)</f>
        <v>6872.9873250000001</v>
      </c>
      <c r="Y33">
        <f>+VLOOKUP($E33,Hybrid!$1:$1048576,Y$2,FALSE)</f>
        <v>6923.012025</v>
      </c>
      <c r="Z33">
        <f>+VLOOKUP($E33,Hybrid!$1:$1048576,Z$2,FALSE)</f>
        <v>6973.600265</v>
      </c>
      <c r="AA33">
        <f>+VLOOKUP($E33,Hybrid!$1:$1048576,AA$2,FALSE)</f>
        <v>7024.5216149999997</v>
      </c>
      <c r="AB33">
        <f>+VLOOKUP($E33,Hybrid!$1:$1048576,AB$2,FALSE)</f>
        <v>7075.56963</v>
      </c>
      <c r="AC33">
        <f>+VLOOKUP($E33,Hybrid!$1:$1048576,AC$2,FALSE)</f>
        <v>7126.559252</v>
      </c>
      <c r="AD33">
        <f>+VLOOKUP($E33,Hybrid!$1:$1048576,AD$2,FALSE)</f>
        <v>7177.324595</v>
      </c>
      <c r="AE33">
        <f>+VLOOKUP($E33,Hybrid!$1:$1048576,AE$2,FALSE)</f>
        <v>7227.7170050000004</v>
      </c>
      <c r="AF33">
        <f>+VLOOKUP($E33,Hybrid!$1:$1048576,AF$2,FALSE)</f>
        <v>7277.6033479999996</v>
      </c>
      <c r="AG33">
        <f>+VLOOKUP($E33,Hybrid!$1:$1048576,AG$2,FALSE)</f>
        <v>7326.8644670000003</v>
      </c>
      <c r="AH33">
        <f>+VLOOKUP($E33,Hybrid!$1:$1048576,AH$2,FALSE)</f>
        <v>7375.3937619999997</v>
      </c>
      <c r="AI33">
        <f>+VLOOKUP($E33,Hybrid!$1:$1048576,AI$2,FALSE)</f>
        <v>7423.0958760000003</v>
      </c>
      <c r="AJ33">
        <f>+VLOOKUP($E33,Hybrid!$1:$1048576,AJ$2,FALSE)</f>
        <v>7469.8854730000003</v>
      </c>
      <c r="AK33">
        <f>+VLOOKUP($E33,Hybrid!$1:$1048576,AK$2,FALSE)</f>
        <v>7515.6860820000002</v>
      </c>
      <c r="AL33">
        <f>+VLOOKUP($E33,Hybrid!$1:$1048576,AL$2,FALSE)</f>
        <v>7560.4290179999998</v>
      </c>
      <c r="AM33">
        <f>+VLOOKUP($E33,Hybrid!$1:$1048576,AM$2,FALSE)</f>
        <v>7604.0523620000004</v>
      </c>
      <c r="AN33">
        <f>+VLOOKUP($E33,Hybrid!$1:$1048576,AN$2,FALSE)</f>
        <v>7646.5000209999998</v>
      </c>
      <c r="AO33">
        <f>+VLOOKUP($E33,Hybrid!$1:$1048576,AO$2,FALSE)</f>
        <v>7687.7208369999998</v>
      </c>
    </row>
    <row r="34" spans="1:41" ht="15" customHeight="1" x14ac:dyDescent="0.25">
      <c r="A34" s="316"/>
      <c r="B34" s="315"/>
      <c r="C34" s="171"/>
      <c r="D34" s="124" t="s">
        <v>543</v>
      </c>
      <c r="E34" s="46" t="s">
        <v>381</v>
      </c>
      <c r="F34" s="73">
        <f>+VLOOKUP($E34,Hybrid!$1:$1048576,F$2,FALSE)</f>
        <v>4159.6639080000004</v>
      </c>
      <c r="G34" s="73">
        <f>+VLOOKUP($E34,Hybrid!$1:$1048576,G$2,FALSE)</f>
        <v>4055.1231299999999</v>
      </c>
      <c r="H34" s="73">
        <f>+VLOOKUP($E34,Hybrid!$1:$1048576,H$2,FALSE)</f>
        <v>3975.232931</v>
      </c>
      <c r="I34">
        <f>+VLOOKUP($E34,Hybrid!$1:$1048576,I$2,FALSE)</f>
        <v>3912.580833</v>
      </c>
      <c r="J34">
        <f>+VLOOKUP($E34,Hybrid!$1:$1048576,J$2,FALSE)</f>
        <v>3862.1234340000001</v>
      </c>
      <c r="K34">
        <f>+VLOOKUP($E34,Hybrid!$1:$1048576,K$2,FALSE)</f>
        <v>3820.4515780000002</v>
      </c>
      <c r="L34">
        <f>+VLOOKUP($E34,Hybrid!$1:$1048576,L$2,FALSE)</f>
        <v>3785.243532</v>
      </c>
      <c r="M34">
        <f>+VLOOKUP($E34,Hybrid!$1:$1048576,M$2,FALSE)</f>
        <v>3754.885698</v>
      </c>
      <c r="N34">
        <f>+VLOOKUP($E34,Hybrid!$1:$1048576,N$2,FALSE)</f>
        <v>3728.221814</v>
      </c>
      <c r="O34">
        <f>+VLOOKUP($E34,Hybrid!$1:$1048576,O$2,FALSE)</f>
        <v>3704.392398</v>
      </c>
      <c r="P34">
        <f>+VLOOKUP($E34,Hybrid!$1:$1048576,P$2,FALSE)</f>
        <v>3682.7340829999998</v>
      </c>
      <c r="Q34">
        <f>+VLOOKUP($E34,Hybrid!$1:$1048576,Q$2,FALSE)</f>
        <v>3662.7171469999998</v>
      </c>
      <c r="R34">
        <f>+VLOOKUP($E34,Hybrid!$1:$1048576,R$2,FALSE)</f>
        <v>3643.9066910000001</v>
      </c>
      <c r="S34">
        <f>+VLOOKUP($E34,Hybrid!$1:$1048576,S$2,FALSE)</f>
        <v>3625.9381819999999</v>
      </c>
      <c r="T34">
        <f>+VLOOKUP($E34,Hybrid!$1:$1048576,T$2,FALSE)</f>
        <v>3608.501608</v>
      </c>
      <c r="U34">
        <f>+VLOOKUP($E34,Hybrid!$1:$1048576,U$2,FALSE)</f>
        <v>3591.3308040000002</v>
      </c>
      <c r="V34">
        <f>+VLOOKUP($E34,Hybrid!$1:$1048576,V$2,FALSE)</f>
        <v>3574.1959099999999</v>
      </c>
      <c r="W34">
        <f>+VLOOKUP($E34,Hybrid!$1:$1048576,W$2,FALSE)</f>
        <v>3556.897802</v>
      </c>
      <c r="X34">
        <f>+VLOOKUP($E34,Hybrid!$1:$1048576,X$2,FALSE)</f>
        <v>3539.263817</v>
      </c>
      <c r="Y34">
        <f>+VLOOKUP($E34,Hybrid!$1:$1048576,Y$2,FALSE)</f>
        <v>3521.1443530000001</v>
      </c>
      <c r="Z34">
        <f>+VLOOKUP($E34,Hybrid!$1:$1048576,Z$2,FALSE)</f>
        <v>3502.4101219999998</v>
      </c>
      <c r="AA34">
        <f>+VLOOKUP($E34,Hybrid!$1:$1048576,AA$2,FALSE)</f>
        <v>3482.9498749999998</v>
      </c>
      <c r="AB34">
        <f>+VLOOKUP($E34,Hybrid!$1:$1048576,AB$2,FALSE)</f>
        <v>3462.668494</v>
      </c>
      <c r="AC34">
        <f>+VLOOKUP($E34,Hybrid!$1:$1048576,AC$2,FALSE)</f>
        <v>3441.4853720000001</v>
      </c>
      <c r="AD34">
        <f>+VLOOKUP($E34,Hybrid!$1:$1048576,AD$2,FALSE)</f>
        <v>3419.3330099999998</v>
      </c>
      <c r="AE34">
        <f>+VLOOKUP($E34,Hybrid!$1:$1048576,AE$2,FALSE)</f>
        <v>3396.1557819999998</v>
      </c>
      <c r="AF34">
        <f>+VLOOKUP($E34,Hybrid!$1:$1048576,AF$2,FALSE)</f>
        <v>3371.9088350000002</v>
      </c>
      <c r="AG34">
        <f>+VLOOKUP($E34,Hybrid!$1:$1048576,AG$2,FALSE)</f>
        <v>3346.5571</v>
      </c>
      <c r="AH34">
        <f>+VLOOKUP($E34,Hybrid!$1:$1048576,AH$2,FALSE)</f>
        <v>3320.0743790000001</v>
      </c>
      <c r="AI34">
        <f>+VLOOKUP($E34,Hybrid!$1:$1048576,AI$2,FALSE)</f>
        <v>3292.4425150000002</v>
      </c>
      <c r="AJ34">
        <f>+VLOOKUP($E34,Hybrid!$1:$1048576,AJ$2,FALSE)</f>
        <v>3263.6506209999998</v>
      </c>
      <c r="AK34">
        <f>+VLOOKUP($E34,Hybrid!$1:$1048576,AK$2,FALSE)</f>
        <v>3233.6943660000002</v>
      </c>
      <c r="AL34">
        <f>+VLOOKUP($E34,Hybrid!$1:$1048576,AL$2,FALSE)</f>
        <v>3202.5753220000001</v>
      </c>
      <c r="AM34">
        <f>+VLOOKUP($E34,Hybrid!$1:$1048576,AM$2,FALSE)</f>
        <v>3170.300358</v>
      </c>
      <c r="AN34">
        <f>+VLOOKUP($E34,Hybrid!$1:$1048576,AN$2,FALSE)</f>
        <v>3136.8810910000002</v>
      </c>
      <c r="AO34">
        <f>+VLOOKUP($E34,Hybrid!$1:$1048576,AO$2,FALSE)</f>
        <v>3102.3333859999998</v>
      </c>
    </row>
    <row r="35" spans="1:41" ht="15" customHeight="1" x14ac:dyDescent="0.25">
      <c r="A35" s="316"/>
      <c r="B35" s="315"/>
      <c r="C35" s="171"/>
      <c r="D35" s="124" t="s">
        <v>544</v>
      </c>
      <c r="E35" s="46" t="s">
        <v>382</v>
      </c>
      <c r="F35" s="73">
        <f>+VLOOKUP($E35,Hybrid!$1:$1048576,F$2,FALSE)</f>
        <v>2503.7292430000002</v>
      </c>
      <c r="G35" s="73">
        <f>+VLOOKUP($E35,Hybrid!$1:$1048576,G$2,FALSE)</f>
        <v>2443.05404</v>
      </c>
      <c r="H35" s="73">
        <f>+VLOOKUP($E35,Hybrid!$1:$1048576,H$2,FALSE)</f>
        <v>2396.1449859999998</v>
      </c>
      <c r="I35">
        <f>+VLOOKUP($E35,Hybrid!$1:$1048576,I$2,FALSE)</f>
        <v>2358.2744779999998</v>
      </c>
      <c r="J35">
        <f>+VLOOKUP($E35,Hybrid!$1:$1048576,J$2,FALSE)</f>
        <v>2326.3078700000001</v>
      </c>
      <c r="K35">
        <f>+VLOOKUP($E35,Hybrid!$1:$1048576,K$2,FALSE)</f>
        <v>2298.1903590000002</v>
      </c>
      <c r="L35">
        <f>+VLOOKUP($E35,Hybrid!$1:$1048576,L$2,FALSE)</f>
        <v>2272.5717709999999</v>
      </c>
      <c r="M35">
        <f>+VLOOKUP($E35,Hybrid!$1:$1048576,M$2,FALSE)</f>
        <v>2248.5515999999998</v>
      </c>
      <c r="N35">
        <f>+VLOOKUP($E35,Hybrid!$1:$1048576,N$2,FALSE)</f>
        <v>2225.5139140000001</v>
      </c>
      <c r="O35">
        <f>+VLOOKUP($E35,Hybrid!$1:$1048576,O$2,FALSE)</f>
        <v>2203.023839</v>
      </c>
      <c r="P35">
        <f>+VLOOKUP($E35,Hybrid!$1:$1048576,P$2,FALSE)</f>
        <v>2180.7639549999999</v>
      </c>
      <c r="Q35">
        <f>+VLOOKUP($E35,Hybrid!$1:$1048576,Q$2,FALSE)</f>
        <v>2158.4955650000002</v>
      </c>
      <c r="R35">
        <f>+VLOOKUP($E35,Hybrid!$1:$1048576,R$2,FALSE)</f>
        <v>2136.0350469999998</v>
      </c>
      <c r="S35">
        <f>+VLOOKUP($E35,Hybrid!$1:$1048576,S$2,FALSE)</f>
        <v>2113.2391520000001</v>
      </c>
      <c r="T35">
        <f>+VLOOKUP($E35,Hybrid!$1:$1048576,T$2,FALSE)</f>
        <v>2089.9955719999998</v>
      </c>
      <c r="U35">
        <f>+VLOOKUP($E35,Hybrid!$1:$1048576,U$2,FALSE)</f>
        <v>2066.2166120000002</v>
      </c>
      <c r="V35">
        <f>+VLOOKUP($E35,Hybrid!$1:$1048576,V$2,FALSE)</f>
        <v>2041.834726</v>
      </c>
      <c r="W35">
        <f>+VLOOKUP($E35,Hybrid!$1:$1048576,W$2,FALSE)</f>
        <v>2016.799209</v>
      </c>
      <c r="X35">
        <f>+VLOOKUP($E35,Hybrid!$1:$1048576,X$2,FALSE)</f>
        <v>1991.0736569999999</v>
      </c>
      <c r="Y35">
        <f>+VLOOKUP($E35,Hybrid!$1:$1048576,Y$2,FALSE)</f>
        <v>1964.6339390000001</v>
      </c>
      <c r="Z35">
        <f>+VLOOKUP($E35,Hybrid!$1:$1048576,Z$2,FALSE)</f>
        <v>1937.4665560000001</v>
      </c>
      <c r="AA35">
        <f>+VLOOKUP($E35,Hybrid!$1:$1048576,AA$2,FALSE)</f>
        <v>1909.5672770000001</v>
      </c>
      <c r="AB35">
        <f>+VLOOKUP($E35,Hybrid!$1:$1048576,AB$2,FALSE)</f>
        <v>1880.9399940000001</v>
      </c>
      <c r="AC35">
        <f>+VLOOKUP($E35,Hybrid!$1:$1048576,AC$2,FALSE)</f>
        <v>1851.595738</v>
      </c>
      <c r="AD35">
        <f>+VLOOKUP($E35,Hybrid!$1:$1048576,AD$2,FALSE)</f>
        <v>1821.5518219999999</v>
      </c>
      <c r="AE35">
        <f>+VLOOKUP($E35,Hybrid!$1:$1048576,AE$2,FALSE)</f>
        <v>1790.8310879999999</v>
      </c>
      <c r="AF35">
        <f>+VLOOKUP($E35,Hybrid!$1:$1048576,AF$2,FALSE)</f>
        <v>1759.4612159999999</v>
      </c>
      <c r="AG35">
        <f>+VLOOKUP($E35,Hybrid!$1:$1048576,AG$2,FALSE)</f>
        <v>1727.4741120000001</v>
      </c>
      <c r="AH35">
        <f>+VLOOKUP($E35,Hybrid!$1:$1048576,AH$2,FALSE)</f>
        <v>1694.9053369999999</v>
      </c>
      <c r="AI35">
        <f>+VLOOKUP($E35,Hybrid!$1:$1048576,AI$2,FALSE)</f>
        <v>1661.7935769999999</v>
      </c>
      <c r="AJ35">
        <f>+VLOOKUP($E35,Hybrid!$1:$1048576,AJ$2,FALSE)</f>
        <v>1628.1801620000001</v>
      </c>
      <c r="AK35">
        <f>+VLOOKUP($E35,Hybrid!$1:$1048576,AK$2,FALSE)</f>
        <v>1594.1086150000001</v>
      </c>
      <c r="AL35">
        <f>+VLOOKUP($E35,Hybrid!$1:$1048576,AL$2,FALSE)</f>
        <v>1559.624239</v>
      </c>
      <c r="AM35">
        <f>+VLOOKUP($E35,Hybrid!$1:$1048576,AM$2,FALSE)</f>
        <v>1524.773735</v>
      </c>
      <c r="AN35">
        <f>+VLOOKUP($E35,Hybrid!$1:$1048576,AN$2,FALSE)</f>
        <v>1489.604855</v>
      </c>
      <c r="AO35">
        <f>+VLOOKUP($E35,Hybrid!$1:$1048576,AO$2,FALSE)</f>
        <v>1454.1660850000001</v>
      </c>
    </row>
    <row r="36" spans="1:41" ht="15" customHeight="1" x14ac:dyDescent="0.25">
      <c r="A36" s="316"/>
      <c r="B36" s="315"/>
      <c r="C36" s="171"/>
      <c r="D36" s="124" t="s">
        <v>545</v>
      </c>
      <c r="E36" s="46" t="s">
        <v>383</v>
      </c>
      <c r="F36" s="73">
        <f>+VLOOKUP($E36,Hybrid!$1:$1048576,F$2,FALSE)</f>
        <v>1243.6668460000001</v>
      </c>
      <c r="G36" s="73">
        <f>+VLOOKUP($E36,Hybrid!$1:$1048576,G$2,FALSE)</f>
        <v>1210.6549419999999</v>
      </c>
      <c r="H36" s="73">
        <f>+VLOOKUP($E36,Hybrid!$1:$1048576,H$2,FALSE)</f>
        <v>1182.747584</v>
      </c>
      <c r="I36">
        <f>+VLOOKUP($E36,Hybrid!$1:$1048576,I$2,FALSE)</f>
        <v>1157.3994600000001</v>
      </c>
      <c r="J36">
        <f>+VLOOKUP($E36,Hybrid!$1:$1048576,J$2,FALSE)</f>
        <v>1133.082864</v>
      </c>
      <c r="K36">
        <f>+VLOOKUP($E36,Hybrid!$1:$1048576,K$2,FALSE)</f>
        <v>1108.924158</v>
      </c>
      <c r="L36">
        <f>+VLOOKUP($E36,Hybrid!$1:$1048576,L$2,FALSE)</f>
        <v>1084.4505790000001</v>
      </c>
      <c r="M36">
        <f>+VLOOKUP($E36,Hybrid!$1:$1048576,M$2,FALSE)</f>
        <v>1059.4277460000001</v>
      </c>
      <c r="N36">
        <f>+VLOOKUP($E36,Hybrid!$1:$1048576,N$2,FALSE)</f>
        <v>1033.760544</v>
      </c>
      <c r="O36">
        <f>+VLOOKUP($E36,Hybrid!$1:$1048576,O$2,FALSE)</f>
        <v>1007.434588</v>
      </c>
      <c r="P36">
        <f>+VLOOKUP($E36,Hybrid!$1:$1048576,P$2,FALSE)</f>
        <v>980.48231669999996</v>
      </c>
      <c r="Q36">
        <f>+VLOOKUP($E36,Hybrid!$1:$1048576,Q$2,FALSE)</f>
        <v>952.96343330000002</v>
      </c>
      <c r="R36">
        <f>+VLOOKUP($E36,Hybrid!$1:$1048576,R$2,FALSE)</f>
        <v>924.95350269999994</v>
      </c>
      <c r="S36">
        <f>+VLOOKUP($E36,Hybrid!$1:$1048576,S$2,FALSE)</f>
        <v>896.53710699999999</v>
      </c>
      <c r="T36">
        <f>+VLOOKUP($E36,Hybrid!$1:$1048576,T$2,FALSE)</f>
        <v>867.80354409999995</v>
      </c>
      <c r="U36">
        <f>+VLOOKUP($E36,Hybrid!$1:$1048576,U$2,FALSE)</f>
        <v>838.84397420000005</v>
      </c>
      <c r="V36">
        <f>+VLOOKUP($E36,Hybrid!$1:$1048576,V$2,FALSE)</f>
        <v>809.74942620000002</v>
      </c>
      <c r="W36">
        <f>+VLOOKUP($E36,Hybrid!$1:$1048576,W$2,FALSE)</f>
        <v>780.60934850000001</v>
      </c>
      <c r="X36">
        <f>+VLOOKUP($E36,Hybrid!$1:$1048576,X$2,FALSE)</f>
        <v>751.51053019999995</v>
      </c>
      <c r="Y36">
        <f>+VLOOKUP($E36,Hybrid!$1:$1048576,Y$2,FALSE)</f>
        <v>722.53628949999995</v>
      </c>
      <c r="Z36">
        <f>+VLOOKUP($E36,Hybrid!$1:$1048576,Z$2,FALSE)</f>
        <v>693.76586459999999</v>
      </c>
      <c r="AA36">
        <f>+VLOOKUP($E36,Hybrid!$1:$1048576,AA$2,FALSE)</f>
        <v>665.27396150000004</v>
      </c>
      <c r="AB36">
        <f>+VLOOKUP($E36,Hybrid!$1:$1048576,AB$2,FALSE)</f>
        <v>637.13042619999999</v>
      </c>
      <c r="AC36">
        <f>+VLOOKUP($E36,Hybrid!$1:$1048576,AC$2,FALSE)</f>
        <v>609.40001570000004</v>
      </c>
      <c r="AD36">
        <f>+VLOOKUP($E36,Hybrid!$1:$1048576,AD$2,FALSE)</f>
        <v>582.14224999999999</v>
      </c>
      <c r="AE36">
        <f>+VLOOKUP($E36,Hybrid!$1:$1048576,AE$2,FALSE)</f>
        <v>555.41133009999999</v>
      </c>
      <c r="AF36">
        <f>+VLOOKUP($E36,Hybrid!$1:$1048576,AF$2,FALSE)</f>
        <v>529.25611179999999</v>
      </c>
      <c r="AG36">
        <f>+VLOOKUP($E36,Hybrid!$1:$1048576,AG$2,FALSE)</f>
        <v>503.72012810000001</v>
      </c>
      <c r="AH36">
        <f>+VLOOKUP($E36,Hybrid!$1:$1048576,AH$2,FALSE)</f>
        <v>478.8416527</v>
      </c>
      <c r="AI36">
        <f>+VLOOKUP($E36,Hybrid!$1:$1048576,AI$2,FALSE)</f>
        <v>454.6538008</v>
      </c>
      <c r="AJ36">
        <f>+VLOOKUP($E36,Hybrid!$1:$1048576,AJ$2,FALSE)</f>
        <v>431.184662</v>
      </c>
      <c r="AK36">
        <f>+VLOOKUP($E36,Hybrid!$1:$1048576,AK$2,FALSE)</f>
        <v>408.4574624</v>
      </c>
      <c r="AL36">
        <f>+VLOOKUP($E36,Hybrid!$1:$1048576,AL$2,FALSE)</f>
        <v>386.49075110000001</v>
      </c>
      <c r="AM36">
        <f>+VLOOKUP($E36,Hybrid!$1:$1048576,AM$2,FALSE)</f>
        <v>365.2986085</v>
      </c>
      <c r="AN36">
        <f>+VLOOKUP($E36,Hybrid!$1:$1048576,AN$2,FALSE)</f>
        <v>344.89087239999998</v>
      </c>
      <c r="AO36">
        <f>+VLOOKUP($E36,Hybrid!$1:$1048576,AO$2,FALSE)</f>
        <v>325.27337849999998</v>
      </c>
    </row>
    <row r="37" spans="1:41" ht="15" customHeight="1" x14ac:dyDescent="0.25">
      <c r="A37" s="316"/>
      <c r="B37" s="315"/>
      <c r="C37" s="171"/>
      <c r="D37" s="124" t="s">
        <v>546</v>
      </c>
      <c r="E37" s="46" t="s">
        <v>384</v>
      </c>
      <c r="F37" s="73">
        <f>+VLOOKUP($E37,Hybrid!$1:$1048576,F$2,FALSE)</f>
        <v>2239.620606</v>
      </c>
      <c r="G37" s="73">
        <f>+VLOOKUP($E37,Hybrid!$1:$1048576,G$2,FALSE)</f>
        <v>2183.255905</v>
      </c>
      <c r="H37" s="73">
        <f>+VLOOKUP($E37,Hybrid!$1:$1048576,H$2,FALSE)</f>
        <v>2133.1945719999999</v>
      </c>
      <c r="I37">
        <f>+VLOOKUP($E37,Hybrid!$1:$1048576,I$2,FALSE)</f>
        <v>2084.5006480000002</v>
      </c>
      <c r="J37">
        <f>+VLOOKUP($E37,Hybrid!$1:$1048576,J$2,FALSE)</f>
        <v>2034.5554790000001</v>
      </c>
      <c r="K37">
        <f>+VLOOKUP($E37,Hybrid!$1:$1048576,K$2,FALSE)</f>
        <v>1982.1610049999999</v>
      </c>
      <c r="L37">
        <f>+VLOOKUP($E37,Hybrid!$1:$1048576,L$2,FALSE)</f>
        <v>1926.93686</v>
      </c>
      <c r="M37">
        <f>+VLOOKUP($E37,Hybrid!$1:$1048576,M$2,FALSE)</f>
        <v>1868.9489080000001</v>
      </c>
      <c r="N37">
        <f>+VLOOKUP($E37,Hybrid!$1:$1048576,N$2,FALSE)</f>
        <v>1808.492602</v>
      </c>
      <c r="O37">
        <f>+VLOOKUP($E37,Hybrid!$1:$1048576,O$2,FALSE)</f>
        <v>1745.9712300000001</v>
      </c>
      <c r="P37">
        <f>+VLOOKUP($E37,Hybrid!$1:$1048576,P$2,FALSE)</f>
        <v>1681.829168</v>
      </c>
      <c r="Q37">
        <f>+VLOOKUP($E37,Hybrid!$1:$1048576,Q$2,FALSE)</f>
        <v>1616.515836</v>
      </c>
      <c r="R37">
        <f>+VLOOKUP($E37,Hybrid!$1:$1048576,R$2,FALSE)</f>
        <v>1550.466347</v>
      </c>
      <c r="S37">
        <f>+VLOOKUP($E37,Hybrid!$1:$1048576,S$2,FALSE)</f>
        <v>1484.0911450000001</v>
      </c>
      <c r="T37">
        <f>+VLOOKUP($E37,Hybrid!$1:$1048576,T$2,FALSE)</f>
        <v>1417.7705080000001</v>
      </c>
      <c r="U37">
        <f>+VLOOKUP($E37,Hybrid!$1:$1048576,U$2,FALSE)</f>
        <v>1351.8517790000001</v>
      </c>
      <c r="V37">
        <f>+VLOOKUP($E37,Hybrid!$1:$1048576,V$2,FALSE)</f>
        <v>1286.6482120000001</v>
      </c>
      <c r="W37">
        <f>+VLOOKUP($E37,Hybrid!$1:$1048576,W$2,FALSE)</f>
        <v>1222.4388469999999</v>
      </c>
      <c r="X37">
        <f>+VLOOKUP($E37,Hybrid!$1:$1048576,X$2,FALSE)</f>
        <v>1159.4690720000001</v>
      </c>
      <c r="Y37">
        <f>+VLOOKUP($E37,Hybrid!$1:$1048576,Y$2,FALSE)</f>
        <v>1097.951673</v>
      </c>
      <c r="Z37">
        <f>+VLOOKUP($E37,Hybrid!$1:$1048576,Z$2,FALSE)</f>
        <v>1038.0682320000001</v>
      </c>
      <c r="AA37">
        <f>+VLOOKUP($E37,Hybrid!$1:$1048576,AA$2,FALSE)</f>
        <v>979.97076800000002</v>
      </c>
      <c r="AB37">
        <f>+VLOOKUP($E37,Hybrid!$1:$1048576,AB$2,FALSE)</f>
        <v>923.78353949999996</v>
      </c>
      <c r="AC37">
        <f>+VLOOKUP($E37,Hybrid!$1:$1048576,AC$2,FALSE)</f>
        <v>869.6049567</v>
      </c>
      <c r="AD37">
        <f>+VLOOKUP($E37,Hybrid!$1:$1048576,AD$2,FALSE)</f>
        <v>817.50954709999996</v>
      </c>
      <c r="AE37">
        <f>+VLOOKUP($E37,Hybrid!$1:$1048576,AE$2,FALSE)</f>
        <v>767.54994399999998</v>
      </c>
      <c r="AF37">
        <f>+VLOOKUP($E37,Hybrid!$1:$1048576,AF$2,FALSE)</f>
        <v>719.75886479999997</v>
      </c>
      <c r="AG37">
        <f>+VLOOKUP($E37,Hybrid!$1:$1048576,AG$2,FALSE)</f>
        <v>674.1510591</v>
      </c>
      <c r="AH37">
        <f>+VLOOKUP($E37,Hybrid!$1:$1048576,AH$2,FALSE)</f>
        <v>630.72520759999998</v>
      </c>
      <c r="AI37">
        <f>+VLOOKUP($E37,Hybrid!$1:$1048576,AI$2,FALSE)</f>
        <v>589.4657555</v>
      </c>
      <c r="AJ37">
        <f>+VLOOKUP($E37,Hybrid!$1:$1048576,AJ$2,FALSE)</f>
        <v>550.34467140000004</v>
      </c>
      <c r="AK37">
        <f>+VLOOKUP($E37,Hybrid!$1:$1048576,AK$2,FALSE)</f>
        <v>513.32311849999996</v>
      </c>
      <c r="AL37">
        <f>+VLOOKUP($E37,Hybrid!$1:$1048576,AL$2,FALSE)</f>
        <v>478.3530331</v>
      </c>
      <c r="AM37">
        <f>+VLOOKUP($E37,Hybrid!$1:$1048576,AM$2,FALSE)</f>
        <v>445.37860369999999</v>
      </c>
      <c r="AN37">
        <f>+VLOOKUP($E37,Hybrid!$1:$1048576,AN$2,FALSE)</f>
        <v>414.33764600000001</v>
      </c>
      <c r="AO37">
        <f>+VLOOKUP($E37,Hybrid!$1:$1048576,AO$2,FALSE)</f>
        <v>385.16287219999998</v>
      </c>
    </row>
    <row r="38" spans="1:41" s="111" customFormat="1" ht="15" customHeight="1" x14ac:dyDescent="0.25">
      <c r="A38" s="316"/>
      <c r="B38" s="315"/>
      <c r="C38" s="122" t="s">
        <v>823</v>
      </c>
      <c r="D38" s="123"/>
      <c r="E38" s="91" t="s">
        <v>385</v>
      </c>
      <c r="F38" s="111">
        <f>+VLOOKUP($E38,Hybrid!$1:$1048576,F$2,FALSE)</f>
        <v>44.765000000000001</v>
      </c>
      <c r="G38" s="111">
        <f>+VLOOKUP($E38,Hybrid!$1:$1048576,G$2,FALSE)</f>
        <v>62.448716269999998</v>
      </c>
      <c r="H38" s="111">
        <f>+VLOOKUP($E38,Hybrid!$1:$1048576,H$2,FALSE)</f>
        <v>80.96397125</v>
      </c>
      <c r="I38" s="111">
        <f>+VLOOKUP($E38,Hybrid!$1:$1048576,I$2,FALSE)</f>
        <v>99.823967240000002</v>
      </c>
      <c r="J38" s="111">
        <f>+VLOOKUP($E38,Hybrid!$1:$1048576,J$2,FALSE)</f>
        <v>118.71771630000001</v>
      </c>
      <c r="K38" s="111">
        <f>+VLOOKUP($E38,Hybrid!$1:$1048576,K$2,FALSE)</f>
        <v>137.45419670000001</v>
      </c>
      <c r="L38" s="111">
        <f>+VLOOKUP($E38,Hybrid!$1:$1048576,L$2,FALSE)</f>
        <v>155.92054479999999</v>
      </c>
      <c r="M38" s="111">
        <f>+VLOOKUP($E38,Hybrid!$1:$1048576,M$2,FALSE)</f>
        <v>174.05323809999999</v>
      </c>
      <c r="N38" s="111">
        <f>+VLOOKUP($E38,Hybrid!$1:$1048576,N$2,FALSE)</f>
        <v>191.819312</v>
      </c>
      <c r="O38" s="111">
        <f>+VLOOKUP($E38,Hybrid!$1:$1048576,O$2,FALSE)</f>
        <v>209.20456300000001</v>
      </c>
      <c r="P38" s="111">
        <f>+VLOOKUP($E38,Hybrid!$1:$1048576,P$2,FALSE)</f>
        <v>226.20631040000001</v>
      </c>
      <c r="Q38" s="111">
        <f>+VLOOKUP($E38,Hybrid!$1:$1048576,Q$2,FALSE)</f>
        <v>242.8290054</v>
      </c>
      <c r="R38" s="111">
        <f>+VLOOKUP($E38,Hybrid!$1:$1048576,R$2,FALSE)</f>
        <v>259.08157080000001</v>
      </c>
      <c r="S38" s="111">
        <f>+VLOOKUP($E38,Hybrid!$1:$1048576,S$2,FALSE)</f>
        <v>274.9757745</v>
      </c>
      <c r="T38" s="111">
        <f>+VLOOKUP($E38,Hybrid!$1:$1048576,T$2,FALSE)</f>
        <v>290.52522199999999</v>
      </c>
      <c r="U38" s="111">
        <f>+VLOOKUP($E38,Hybrid!$1:$1048576,U$2,FALSE)</f>
        <v>305.74471920000002</v>
      </c>
      <c r="V38" s="111">
        <f>+VLOOKUP($E38,Hybrid!$1:$1048576,V$2,FALSE)</f>
        <v>320.64986579999999</v>
      </c>
      <c r="W38" s="111">
        <f>+VLOOKUP($E38,Hybrid!$1:$1048576,W$2,FALSE)</f>
        <v>335.25679709999997</v>
      </c>
      <c r="X38" s="111">
        <f>+VLOOKUP($E38,Hybrid!$1:$1048576,X$2,FALSE)</f>
        <v>349.58202449999999</v>
      </c>
      <c r="Y38" s="111">
        <f>+VLOOKUP($E38,Hybrid!$1:$1048576,Y$2,FALSE)</f>
        <v>363.64234420000003</v>
      </c>
      <c r="Z38" s="111">
        <f>+VLOOKUP($E38,Hybrid!$1:$1048576,Z$2,FALSE)</f>
        <v>377.45479499999999</v>
      </c>
      <c r="AA38" s="111">
        <f>+VLOOKUP($E38,Hybrid!$1:$1048576,AA$2,FALSE)</f>
        <v>391.03665089999998</v>
      </c>
      <c r="AB38" s="111">
        <f>+VLOOKUP($E38,Hybrid!$1:$1048576,AB$2,FALSE)</f>
        <v>404.40544</v>
      </c>
      <c r="AC38" s="111">
        <f>+VLOOKUP($E38,Hybrid!$1:$1048576,AC$2,FALSE)</f>
        <v>417.57898280000001</v>
      </c>
      <c r="AD38" s="111">
        <f>+VLOOKUP($E38,Hybrid!$1:$1048576,AD$2,FALSE)</f>
        <v>430.57544489999998</v>
      </c>
      <c r="AE38" s="111">
        <f>+VLOOKUP($E38,Hybrid!$1:$1048576,AE$2,FALSE)</f>
        <v>443.41340109999999</v>
      </c>
      <c r="AF38" s="111">
        <f>+VLOOKUP($E38,Hybrid!$1:$1048576,AF$2,FALSE)</f>
        <v>456.11190629999999</v>
      </c>
      <c r="AG38" s="111">
        <f>+VLOOKUP($E38,Hybrid!$1:$1048576,AG$2,FALSE)</f>
        <v>468.69057370000002</v>
      </c>
      <c r="AH38" s="111">
        <f>+VLOOKUP($E38,Hybrid!$1:$1048576,AH$2,FALSE)</f>
        <v>481.16965679999998</v>
      </c>
      <c r="AI38" s="111">
        <f>+VLOOKUP($E38,Hybrid!$1:$1048576,AI$2,FALSE)</f>
        <v>493.57013669999998</v>
      </c>
      <c r="AJ38" s="111">
        <f>+VLOOKUP($E38,Hybrid!$1:$1048576,AJ$2,FALSE)</f>
        <v>505.91381250000001</v>
      </c>
      <c r="AK38" s="111">
        <f>+VLOOKUP($E38,Hybrid!$1:$1048576,AK$2,FALSE)</f>
        <v>518.22339710000006</v>
      </c>
      <c r="AL38" s="111">
        <f>+VLOOKUP($E38,Hybrid!$1:$1048576,AL$2,FALSE)</f>
        <v>530.5226169</v>
      </c>
      <c r="AM38" s="111">
        <f>+VLOOKUP($E38,Hybrid!$1:$1048576,AM$2,FALSE)</f>
        <v>542.83631739999998</v>
      </c>
      <c r="AN38" s="111">
        <f>+VLOOKUP($E38,Hybrid!$1:$1048576,AN$2,FALSE)</f>
        <v>555.19057529999998</v>
      </c>
      <c r="AO38" s="111">
        <f>+VLOOKUP($E38,Hybrid!$1:$1048576,AO$2,FALSE)</f>
        <v>567.61281750000001</v>
      </c>
    </row>
    <row r="39" spans="1:41" ht="15" customHeight="1" x14ac:dyDescent="0.25">
      <c r="A39" s="316"/>
      <c r="B39" s="315"/>
      <c r="C39" s="171"/>
      <c r="D39" s="124" t="s">
        <v>540</v>
      </c>
      <c r="E39" s="46" t="s">
        <v>386</v>
      </c>
      <c r="F39" s="73">
        <f>+VLOOKUP($E39,Hybrid!$1:$1048576,F$2,FALSE)</f>
        <v>9.8427898650000003</v>
      </c>
      <c r="G39" s="73">
        <f>+VLOOKUP($E39,Hybrid!$1:$1048576,G$2,FALSE)</f>
        <v>14.99081578</v>
      </c>
      <c r="H39" s="73">
        <f>+VLOOKUP($E39,Hybrid!$1:$1048576,H$2,FALSE)</f>
        <v>20.42298388</v>
      </c>
      <c r="I39">
        <f>+VLOOKUP($E39,Hybrid!$1:$1048576,I$2,FALSE)</f>
        <v>26.012772640000001</v>
      </c>
      <c r="J39">
        <f>+VLOOKUP($E39,Hybrid!$1:$1048576,J$2,FALSE)</f>
        <v>31.67694968</v>
      </c>
      <c r="K39">
        <f>+VLOOKUP($E39,Hybrid!$1:$1048576,K$2,FALSE)</f>
        <v>37.362607220000001</v>
      </c>
      <c r="L39">
        <f>+VLOOKUP($E39,Hybrid!$1:$1048576,L$2,FALSE)</f>
        <v>43.037132409999998</v>
      </c>
      <c r="M39">
        <f>+VLOOKUP($E39,Hybrid!$1:$1048576,M$2,FALSE)</f>
        <v>48.681062070000003</v>
      </c>
      <c r="N39">
        <f>+VLOOKUP($E39,Hybrid!$1:$1048576,N$2,FALSE)</f>
        <v>54.283284770000002</v>
      </c>
      <c r="O39">
        <f>+VLOOKUP($E39,Hybrid!$1:$1048576,O$2,FALSE)</f>
        <v>59.837947139999997</v>
      </c>
      <c r="P39">
        <f>+VLOOKUP($E39,Hybrid!$1:$1048576,P$2,FALSE)</f>
        <v>65.342511110000004</v>
      </c>
      <c r="Q39">
        <f>+VLOOKUP($E39,Hybrid!$1:$1048576,Q$2,FALSE)</f>
        <v>70.796552160000005</v>
      </c>
      <c r="R39">
        <f>+VLOOKUP($E39,Hybrid!$1:$1048576,R$2,FALSE)</f>
        <v>76.201020200000002</v>
      </c>
      <c r="S39">
        <f>+VLOOKUP($E39,Hybrid!$1:$1048576,S$2,FALSE)</f>
        <v>81.557783619999995</v>
      </c>
      <c r="T39">
        <f>+VLOOKUP($E39,Hybrid!$1:$1048576,T$2,FALSE)</f>
        <v>86.869346559999997</v>
      </c>
      <c r="U39">
        <f>+VLOOKUP($E39,Hybrid!$1:$1048576,U$2,FALSE)</f>
        <v>92.138671560000006</v>
      </c>
      <c r="V39">
        <f>+VLOOKUP($E39,Hybrid!$1:$1048576,V$2,FALSE)</f>
        <v>97.369068650000003</v>
      </c>
      <c r="W39">
        <f>+VLOOKUP($E39,Hybrid!$1:$1048576,W$2,FALSE)</f>
        <v>102.5641272</v>
      </c>
      <c r="X39">
        <f>+VLOOKUP($E39,Hybrid!$1:$1048576,X$2,FALSE)</f>
        <v>107.7276766</v>
      </c>
      <c r="Y39">
        <f>+VLOOKUP($E39,Hybrid!$1:$1048576,Y$2,FALSE)</f>
        <v>112.8637671</v>
      </c>
      <c r="Z39">
        <f>+VLOOKUP($E39,Hybrid!$1:$1048576,Z$2,FALSE)</f>
        <v>117.9766642</v>
      </c>
      <c r="AA39">
        <f>+VLOOKUP($E39,Hybrid!$1:$1048576,AA$2,FALSE)</f>
        <v>123.0708537</v>
      </c>
      <c r="AB39">
        <f>+VLOOKUP($E39,Hybrid!$1:$1048576,AB$2,FALSE)</f>
        <v>128.1510553</v>
      </c>
      <c r="AC39">
        <f>+VLOOKUP($E39,Hybrid!$1:$1048576,AC$2,FALSE)</f>
        <v>133.22224080000001</v>
      </c>
      <c r="AD39">
        <f>+VLOOKUP($E39,Hybrid!$1:$1048576,AD$2,FALSE)</f>
        <v>138.2896585</v>
      </c>
      <c r="AE39">
        <f>+VLOOKUP($E39,Hybrid!$1:$1048576,AE$2,FALSE)</f>
        <v>143.3588603</v>
      </c>
      <c r="AF39">
        <f>+VLOOKUP($E39,Hybrid!$1:$1048576,AF$2,FALSE)</f>
        <v>148.43573280000001</v>
      </c>
      <c r="AG39">
        <f>+VLOOKUP($E39,Hybrid!$1:$1048576,AG$2,FALSE)</f>
        <v>153.52652990000001</v>
      </c>
      <c r="AH39">
        <f>+VLOOKUP($E39,Hybrid!$1:$1048576,AH$2,FALSE)</f>
        <v>158.63790850000001</v>
      </c>
      <c r="AI39">
        <f>+VLOOKUP($E39,Hybrid!$1:$1048576,AI$2,FALSE)</f>
        <v>163.7769668</v>
      </c>
      <c r="AJ39">
        <f>+VLOOKUP($E39,Hybrid!$1:$1048576,AJ$2,FALSE)</f>
        <v>168.95128389999999</v>
      </c>
      <c r="AK39">
        <f>+VLOOKUP($E39,Hybrid!$1:$1048576,AK$2,FALSE)</f>
        <v>174.1689633</v>
      </c>
      <c r="AL39">
        <f>+VLOOKUP($E39,Hybrid!$1:$1048576,AL$2,FALSE)</f>
        <v>179.43867850000001</v>
      </c>
      <c r="AM39">
        <f>+VLOOKUP($E39,Hybrid!$1:$1048576,AM$2,FALSE)</f>
        <v>184.7697221</v>
      </c>
      <c r="AN39">
        <f>+VLOOKUP($E39,Hybrid!$1:$1048576,AN$2,FALSE)</f>
        <v>190.1720593</v>
      </c>
      <c r="AO39">
        <f>+VLOOKUP($E39,Hybrid!$1:$1048576,AO$2,FALSE)</f>
        <v>195.65638519999999</v>
      </c>
    </row>
    <row r="40" spans="1:41" ht="15" customHeight="1" x14ac:dyDescent="0.25">
      <c r="A40" s="316"/>
      <c r="B40" s="315"/>
      <c r="C40" s="171"/>
      <c r="D40" s="124" t="s">
        <v>541</v>
      </c>
      <c r="E40" s="46" t="s">
        <v>387</v>
      </c>
      <c r="F40" s="73">
        <f>+VLOOKUP($E40,Hybrid!$1:$1048576,F$2,FALSE)</f>
        <v>11.44571741</v>
      </c>
      <c r="G40" s="73">
        <f>+VLOOKUP($E40,Hybrid!$1:$1048576,G$2,FALSE)</f>
        <v>16.302055960000001</v>
      </c>
      <c r="H40" s="73">
        <f>+VLOOKUP($E40,Hybrid!$1:$1048576,H$2,FALSE)</f>
        <v>21.42389696</v>
      </c>
      <c r="I40">
        <f>+VLOOKUP($E40,Hybrid!$1:$1048576,I$2,FALSE)</f>
        <v>26.687145130000001</v>
      </c>
      <c r="J40">
        <f>+VLOOKUP($E40,Hybrid!$1:$1048576,J$2,FALSE)</f>
        <v>32.010429279999997</v>
      </c>
      <c r="K40">
        <f>+VLOOKUP($E40,Hybrid!$1:$1048576,K$2,FALSE)</f>
        <v>37.342129300000003</v>
      </c>
      <c r="L40">
        <f>+VLOOKUP($E40,Hybrid!$1:$1048576,L$2,FALSE)</f>
        <v>42.650406009999998</v>
      </c>
      <c r="M40">
        <f>+VLOOKUP($E40,Hybrid!$1:$1048576,M$2,FALSE)</f>
        <v>47.916153549999997</v>
      </c>
      <c r="N40">
        <f>+VLOOKUP($E40,Hybrid!$1:$1048576,N$2,FALSE)</f>
        <v>53.128303359999997</v>
      </c>
      <c r="O40">
        <f>+VLOOKUP($E40,Hybrid!$1:$1048576,O$2,FALSE)</f>
        <v>58.280818070000002</v>
      </c>
      <c r="P40">
        <f>+VLOOKUP($E40,Hybrid!$1:$1048576,P$2,FALSE)</f>
        <v>63.370816159999997</v>
      </c>
      <c r="Q40">
        <f>+VLOOKUP($E40,Hybrid!$1:$1048576,Q$2,FALSE)</f>
        <v>68.397418049999999</v>
      </c>
      <c r="R40">
        <f>+VLOOKUP($E40,Hybrid!$1:$1048576,R$2,FALSE)</f>
        <v>73.361038930000007</v>
      </c>
      <c r="S40">
        <f>+VLOOKUP($E40,Hybrid!$1:$1048576,S$2,FALSE)</f>
        <v>78.262953139999993</v>
      </c>
      <c r="T40">
        <f>+VLOOKUP($E40,Hybrid!$1:$1048576,T$2,FALSE)</f>
        <v>83.105023459999998</v>
      </c>
      <c r="U40">
        <f>+VLOOKUP($E40,Hybrid!$1:$1048576,U$2,FALSE)</f>
        <v>87.889530539999996</v>
      </c>
      <c r="V40">
        <f>+VLOOKUP($E40,Hybrid!$1:$1048576,V$2,FALSE)</f>
        <v>92.619065109999994</v>
      </c>
      <c r="W40">
        <f>+VLOOKUP($E40,Hybrid!$1:$1048576,W$2,FALSE)</f>
        <v>97.296460890000006</v>
      </c>
      <c r="X40">
        <f>+VLOOKUP($E40,Hybrid!$1:$1048576,X$2,FALSE)</f>
        <v>101.9247546</v>
      </c>
      <c r="Y40">
        <f>+VLOOKUP($E40,Hybrid!$1:$1048576,Y$2,FALSE)</f>
        <v>106.507165</v>
      </c>
      <c r="Z40">
        <f>+VLOOKUP($E40,Hybrid!$1:$1048576,Z$2,FALSE)</f>
        <v>111.0470847</v>
      </c>
      <c r="AA40">
        <f>+VLOOKUP($E40,Hybrid!$1:$1048576,AA$2,FALSE)</f>
        <v>115.5480821</v>
      </c>
      <c r="AB40">
        <f>+VLOOKUP($E40,Hybrid!$1:$1048576,AB$2,FALSE)</f>
        <v>120.0139095</v>
      </c>
      <c r="AC40">
        <f>+VLOOKUP($E40,Hybrid!$1:$1048576,AC$2,FALSE)</f>
        <v>124.4485177</v>
      </c>
      <c r="AD40">
        <f>+VLOOKUP($E40,Hybrid!$1:$1048576,AD$2,FALSE)</f>
        <v>128.85607329999999</v>
      </c>
      <c r="AE40">
        <f>+VLOOKUP($E40,Hybrid!$1:$1048576,AE$2,FALSE)</f>
        <v>133.2409796</v>
      </c>
      <c r="AF40">
        <f>+VLOOKUP($E40,Hybrid!$1:$1048576,AF$2,FALSE)</f>
        <v>137.607899</v>
      </c>
      <c r="AG40">
        <f>+VLOOKUP($E40,Hybrid!$1:$1048576,AG$2,FALSE)</f>
        <v>141.96177779999999</v>
      </c>
      <c r="AH40">
        <f>+VLOOKUP($E40,Hybrid!$1:$1048576,AH$2,FALSE)</f>
        <v>146.30787179999999</v>
      </c>
      <c r="AI40">
        <f>+VLOOKUP($E40,Hybrid!$1:$1048576,AI$2,FALSE)</f>
        <v>150.6517728</v>
      </c>
      <c r="AJ40">
        <f>+VLOOKUP($E40,Hybrid!$1:$1048576,AJ$2,FALSE)</f>
        <v>154.999437</v>
      </c>
      <c r="AK40">
        <f>+VLOOKUP($E40,Hybrid!$1:$1048576,AK$2,FALSE)</f>
        <v>159.35721409999999</v>
      </c>
      <c r="AL40">
        <f>+VLOOKUP($E40,Hybrid!$1:$1048576,AL$2,FALSE)</f>
        <v>163.7318784</v>
      </c>
      <c r="AM40">
        <f>+VLOOKUP($E40,Hybrid!$1:$1048576,AM$2,FALSE)</f>
        <v>168.13066079999999</v>
      </c>
      <c r="AN40">
        <f>+VLOOKUP($E40,Hybrid!$1:$1048576,AN$2,FALSE)</f>
        <v>172.5612836</v>
      </c>
      <c r="AO40">
        <f>+VLOOKUP($E40,Hybrid!$1:$1048576,AO$2,FALSE)</f>
        <v>177.03199749999999</v>
      </c>
    </row>
    <row r="41" spans="1:41" ht="15" customHeight="1" x14ac:dyDescent="0.25">
      <c r="A41" s="316"/>
      <c r="B41" s="315"/>
      <c r="C41" s="171"/>
      <c r="D41" s="124" t="s">
        <v>542</v>
      </c>
      <c r="E41" s="46" t="s">
        <v>388</v>
      </c>
      <c r="F41" s="73">
        <f>+VLOOKUP($E41,Hybrid!$1:$1048576,F$2,FALSE)</f>
        <v>9.4015406210000005</v>
      </c>
      <c r="G41" s="73">
        <f>+VLOOKUP($E41,Hybrid!$1:$1048576,G$2,FALSE)</f>
        <v>12.69963972</v>
      </c>
      <c r="H41" s="73">
        <f>+VLOOKUP($E41,Hybrid!$1:$1048576,H$2,FALSE)</f>
        <v>16.176694980000001</v>
      </c>
      <c r="I41">
        <f>+VLOOKUP($E41,Hybrid!$1:$1048576,I$2,FALSE)</f>
        <v>19.745033970000001</v>
      </c>
      <c r="J41">
        <f>+VLOOKUP($E41,Hybrid!$1:$1048576,J$2,FALSE)</f>
        <v>23.347366480000002</v>
      </c>
      <c r="K41">
        <f>+VLOOKUP($E41,Hybrid!$1:$1048576,K$2,FALSE)</f>
        <v>26.947438290000001</v>
      </c>
      <c r="L41">
        <f>+VLOOKUP($E41,Hybrid!$1:$1048576,L$2,FALSE)</f>
        <v>30.522893849999999</v>
      </c>
      <c r="M41">
        <f>+VLOOKUP($E41,Hybrid!$1:$1048576,M$2,FALSE)</f>
        <v>34.060268610000001</v>
      </c>
      <c r="N41">
        <f>+VLOOKUP($E41,Hybrid!$1:$1048576,N$2,FALSE)</f>
        <v>37.551677079999997</v>
      </c>
      <c r="O41">
        <f>+VLOOKUP($E41,Hybrid!$1:$1048576,O$2,FALSE)</f>
        <v>40.992707719999999</v>
      </c>
      <c r="P41">
        <f>+VLOOKUP($E41,Hybrid!$1:$1048576,P$2,FALSE)</f>
        <v>44.381118090000001</v>
      </c>
      <c r="Q41">
        <f>+VLOOKUP($E41,Hybrid!$1:$1048576,Q$2,FALSE)</f>
        <v>47.716036359999997</v>
      </c>
      <c r="R41">
        <f>+VLOOKUP($E41,Hybrid!$1:$1048576,R$2,FALSE)</f>
        <v>50.997473849999999</v>
      </c>
      <c r="S41">
        <f>+VLOOKUP($E41,Hybrid!$1:$1048576,S$2,FALSE)</f>
        <v>54.226025239999998</v>
      </c>
      <c r="T41">
        <f>+VLOOKUP($E41,Hybrid!$1:$1048576,T$2,FALSE)</f>
        <v>57.402682130000002</v>
      </c>
      <c r="U41">
        <f>+VLOOKUP($E41,Hybrid!$1:$1048576,U$2,FALSE)</f>
        <v>60.528715060000003</v>
      </c>
      <c r="V41">
        <f>+VLOOKUP($E41,Hybrid!$1:$1048576,V$2,FALSE)</f>
        <v>63.605598559999997</v>
      </c>
      <c r="W41">
        <f>+VLOOKUP($E41,Hybrid!$1:$1048576,W$2,FALSE)</f>
        <v>66.634963760000005</v>
      </c>
      <c r="X41">
        <f>+VLOOKUP($E41,Hybrid!$1:$1048576,X$2,FALSE)</f>
        <v>69.618569719999996</v>
      </c>
      <c r="Y41">
        <f>+VLOOKUP($E41,Hybrid!$1:$1048576,Y$2,FALSE)</f>
        <v>72.558287469999996</v>
      </c>
      <c r="Z41">
        <f>+VLOOKUP($E41,Hybrid!$1:$1048576,Z$2,FALSE)</f>
        <v>75.456092889999994</v>
      </c>
      <c r="AA41">
        <f>+VLOOKUP($E41,Hybrid!$1:$1048576,AA$2,FALSE)</f>
        <v>78.314065979999995</v>
      </c>
      <c r="AB41">
        <f>+VLOOKUP($E41,Hybrid!$1:$1048576,AB$2,FALSE)</f>
        <v>81.13439468</v>
      </c>
      <c r="AC41">
        <f>+VLOOKUP($E41,Hybrid!$1:$1048576,AC$2,FALSE)</f>
        <v>83.919381950000002</v>
      </c>
      <c r="AD41">
        <f>+VLOOKUP($E41,Hybrid!$1:$1048576,AD$2,FALSE)</f>
        <v>86.671455140000006</v>
      </c>
      <c r="AE41">
        <f>+VLOOKUP($E41,Hybrid!$1:$1048576,AE$2,FALSE)</f>
        <v>89.393176929999996</v>
      </c>
      <c r="AF41">
        <f>+VLOOKUP($E41,Hybrid!$1:$1048576,AF$2,FALSE)</f>
        <v>92.087257199999996</v>
      </c>
      <c r="AG41">
        <f>+VLOOKUP($E41,Hybrid!$1:$1048576,AG$2,FALSE)</f>
        <v>94.756565589999994</v>
      </c>
      <c r="AH41">
        <f>+VLOOKUP($E41,Hybrid!$1:$1048576,AH$2,FALSE)</f>
        <v>97.404144360000004</v>
      </c>
      <c r="AI41">
        <f>+VLOOKUP($E41,Hybrid!$1:$1048576,AI$2,FALSE)</f>
        <v>100.0332216</v>
      </c>
      <c r="AJ41">
        <f>+VLOOKUP($E41,Hybrid!$1:$1048576,AJ$2,FALSE)</f>
        <v>102.6472243</v>
      </c>
      <c r="AK41">
        <f>+VLOOKUP($E41,Hybrid!$1:$1048576,AK$2,FALSE)</f>
        <v>105.2497925</v>
      </c>
      <c r="AL41">
        <f>+VLOOKUP($E41,Hybrid!$1:$1048576,AL$2,FALSE)</f>
        <v>107.8447925</v>
      </c>
      <c r="AM41">
        <f>+VLOOKUP($E41,Hybrid!$1:$1048576,AM$2,FALSE)</f>
        <v>110.43633149999999</v>
      </c>
      <c r="AN41">
        <f>+VLOOKUP($E41,Hybrid!$1:$1048576,AN$2,FALSE)</f>
        <v>113.0287725</v>
      </c>
      <c r="AO41">
        <f>+VLOOKUP($E41,Hybrid!$1:$1048576,AO$2,FALSE)</f>
        <v>115.6267496</v>
      </c>
    </row>
    <row r="42" spans="1:41" ht="15" customHeight="1" x14ac:dyDescent="0.25">
      <c r="A42" s="316"/>
      <c r="B42" s="315"/>
      <c r="C42" s="171"/>
      <c r="D42" s="124" t="s">
        <v>543</v>
      </c>
      <c r="E42" s="46" t="s">
        <v>389</v>
      </c>
      <c r="F42" s="73">
        <f>+VLOOKUP($E42,Hybrid!$1:$1048576,F$2,FALSE)</f>
        <v>5.770071272</v>
      </c>
      <c r="G42" s="73">
        <f>+VLOOKUP($E42,Hybrid!$1:$1048576,G$2,FALSE)</f>
        <v>7.5646068240000002</v>
      </c>
      <c r="H42" s="73">
        <f>+VLOOKUP($E42,Hybrid!$1:$1048576,H$2,FALSE)</f>
        <v>9.4403133399999994</v>
      </c>
      <c r="I42">
        <f>+VLOOKUP($E42,Hybrid!$1:$1048576,I$2,FALSE)</f>
        <v>11.343636529999999</v>
      </c>
      <c r="J42">
        <f>+VLOOKUP($E42,Hybrid!$1:$1048576,J$2,FALSE)</f>
        <v>13.239824179999999</v>
      </c>
      <c r="K42">
        <f>+VLOOKUP($E42,Hybrid!$1:$1048576,K$2,FALSE)</f>
        <v>15.10698481</v>
      </c>
      <c r="L42">
        <f>+VLOOKUP($E42,Hybrid!$1:$1048576,L$2,FALSE)</f>
        <v>16.931633550000001</v>
      </c>
      <c r="M42">
        <f>+VLOOKUP($E42,Hybrid!$1:$1048576,M$2,FALSE)</f>
        <v>18.70561438</v>
      </c>
      <c r="N42">
        <f>+VLOOKUP($E42,Hybrid!$1:$1048576,N$2,FALSE)</f>
        <v>20.42408696</v>
      </c>
      <c r="O42">
        <f>+VLOOKUP($E42,Hybrid!$1:$1048576,O$2,FALSE)</f>
        <v>22.084258550000001</v>
      </c>
      <c r="P42">
        <f>+VLOOKUP($E42,Hybrid!$1:$1048576,P$2,FALSE)</f>
        <v>23.684604849999999</v>
      </c>
      <c r="Q42">
        <f>+VLOOKUP($E42,Hybrid!$1:$1048576,Q$2,FALSE)</f>
        <v>25.224398170000001</v>
      </c>
      <c r="R42">
        <f>+VLOOKUP($E42,Hybrid!$1:$1048576,R$2,FALSE)</f>
        <v>26.703422979999999</v>
      </c>
      <c r="S42">
        <f>+VLOOKUP($E42,Hybrid!$1:$1048576,S$2,FALSE)</f>
        <v>28.121803239999998</v>
      </c>
      <c r="T42">
        <f>+VLOOKUP($E42,Hybrid!$1:$1048576,T$2,FALSE)</f>
        <v>29.479895930000001</v>
      </c>
      <c r="U42">
        <f>+VLOOKUP($E42,Hybrid!$1:$1048576,U$2,FALSE)</f>
        <v>30.778223629999999</v>
      </c>
      <c r="V42">
        <f>+VLOOKUP($E42,Hybrid!$1:$1048576,V$2,FALSE)</f>
        <v>32.017430560000001</v>
      </c>
      <c r="W42">
        <f>+VLOOKUP($E42,Hybrid!$1:$1048576,W$2,FALSE)</f>
        <v>33.198253119999997</v>
      </c>
      <c r="X42">
        <f>+VLOOKUP($E42,Hybrid!$1:$1048576,X$2,FALSE)</f>
        <v>34.321499789999997</v>
      </c>
      <c r="Y42">
        <f>+VLOOKUP($E42,Hybrid!$1:$1048576,Y$2,FALSE)</f>
        <v>35.388037150000002</v>
      </c>
      <c r="Z42">
        <f>+VLOOKUP($E42,Hybrid!$1:$1048576,Z$2,FALSE)</f>
        <v>36.398780209999998</v>
      </c>
      <c r="AA42">
        <f>+VLOOKUP($E42,Hybrid!$1:$1048576,AA$2,FALSE)</f>
        <v>37.354685549999999</v>
      </c>
      <c r="AB42">
        <f>+VLOOKUP($E42,Hybrid!$1:$1048576,AB$2,FALSE)</f>
        <v>38.256746649999997</v>
      </c>
      <c r="AC42">
        <f>+VLOOKUP($E42,Hybrid!$1:$1048576,AC$2,FALSE)</f>
        <v>39.105990560000002</v>
      </c>
      <c r="AD42">
        <f>+VLOOKUP($E42,Hybrid!$1:$1048576,AD$2,FALSE)</f>
        <v>39.903475469999997</v>
      </c>
      <c r="AE42">
        <f>+VLOOKUP($E42,Hybrid!$1:$1048576,AE$2,FALSE)</f>
        <v>40.650288830000001</v>
      </c>
      <c r="AF42">
        <f>+VLOOKUP($E42,Hybrid!$1:$1048576,AF$2,FALSE)</f>
        <v>41.347545820000001</v>
      </c>
      <c r="AG42">
        <f>+VLOOKUP($E42,Hybrid!$1:$1048576,AG$2,FALSE)</f>
        <v>41.996387830000003</v>
      </c>
      <c r="AH42">
        <f>+VLOOKUP($E42,Hybrid!$1:$1048576,AH$2,FALSE)</f>
        <v>42.597980939999999</v>
      </c>
      <c r="AI42">
        <f>+VLOOKUP($E42,Hybrid!$1:$1048576,AI$2,FALSE)</f>
        <v>43.153514319999999</v>
      </c>
      <c r="AJ42">
        <f>+VLOOKUP($E42,Hybrid!$1:$1048576,AJ$2,FALSE)</f>
        <v>43.664198550000002</v>
      </c>
      <c r="AK42">
        <f>+VLOOKUP($E42,Hybrid!$1:$1048576,AK$2,FALSE)</f>
        <v>44.13126372</v>
      </c>
      <c r="AL42">
        <f>+VLOOKUP($E42,Hybrid!$1:$1048576,AL$2,FALSE)</f>
        <v>44.555957579999998</v>
      </c>
      <c r="AM42">
        <f>+VLOOKUP($E42,Hybrid!$1:$1048576,AM$2,FALSE)</f>
        <v>44.939543489999998</v>
      </c>
      <c r="AN42">
        <f>+VLOOKUP($E42,Hybrid!$1:$1048576,AN$2,FALSE)</f>
        <v>45.283298440000003</v>
      </c>
      <c r="AO42">
        <f>+VLOOKUP($E42,Hybrid!$1:$1048576,AO$2,FALSE)</f>
        <v>45.588511019999999</v>
      </c>
    </row>
    <row r="43" spans="1:41" ht="15" customHeight="1" x14ac:dyDescent="0.25">
      <c r="A43" s="316"/>
      <c r="B43" s="315"/>
      <c r="C43" s="171"/>
      <c r="D43" s="124" t="s">
        <v>544</v>
      </c>
      <c r="E43" s="46" t="s">
        <v>390</v>
      </c>
      <c r="F43" s="73">
        <f>+VLOOKUP($E43,Hybrid!$1:$1048576,F$2,FALSE)</f>
        <v>3.4730440960000002</v>
      </c>
      <c r="G43" s="73">
        <f>+VLOOKUP($E43,Hybrid!$1:$1048576,G$2,FALSE)</f>
        <v>4.5739757470000004</v>
      </c>
      <c r="H43" s="73">
        <f>+VLOOKUP($E43,Hybrid!$1:$1048576,H$2,FALSE)</f>
        <v>5.7146976629999999</v>
      </c>
      <c r="I43">
        <f>+VLOOKUP($E43,Hybrid!$1:$1048576,I$2,FALSE)</f>
        <v>6.8601644190000002</v>
      </c>
      <c r="J43">
        <f>+VLOOKUP($E43,Hybrid!$1:$1048576,J$2,FALSE)</f>
        <v>7.9881131219999997</v>
      </c>
      <c r="K43">
        <f>+VLOOKUP($E43,Hybrid!$1:$1048576,K$2,FALSE)</f>
        <v>9.0848797099999992</v>
      </c>
      <c r="L43">
        <f>+VLOOKUP($E43,Hybrid!$1:$1048576,L$2,FALSE)</f>
        <v>10.142320809999999</v>
      </c>
      <c r="M43">
        <f>+VLOOKUP($E43,Hybrid!$1:$1048576,M$2,FALSE)</f>
        <v>11.15573262</v>
      </c>
      <c r="N43">
        <f>+VLOOKUP($E43,Hybrid!$1:$1048576,N$2,FALSE)</f>
        <v>12.12251932</v>
      </c>
      <c r="O43">
        <f>+VLOOKUP($E43,Hybrid!$1:$1048576,O$2,FALSE)</f>
        <v>13.04137214</v>
      </c>
      <c r="P43">
        <f>+VLOOKUP($E43,Hybrid!$1:$1048576,P$2,FALSE)</f>
        <v>13.911774960000001</v>
      </c>
      <c r="Q43">
        <f>+VLOOKUP($E43,Hybrid!$1:$1048576,Q$2,FALSE)</f>
        <v>14.733710289999999</v>
      </c>
      <c r="R43">
        <f>+VLOOKUP($E43,Hybrid!$1:$1048576,R$2,FALSE)</f>
        <v>15.507484460000001</v>
      </c>
      <c r="S43">
        <f>+VLOOKUP($E43,Hybrid!$1:$1048576,S$2,FALSE)</f>
        <v>16.233622449999999</v>
      </c>
      <c r="T43">
        <f>+VLOOKUP($E43,Hybrid!$1:$1048576,T$2,FALSE)</f>
        <v>16.912803</v>
      </c>
      <c r="U43">
        <f>+VLOOKUP($E43,Hybrid!$1:$1048576,U$2,FALSE)</f>
        <v>17.545817230000001</v>
      </c>
      <c r="V43">
        <f>+VLOOKUP($E43,Hybrid!$1:$1048576,V$2,FALSE)</f>
        <v>18.133541059999999</v>
      </c>
      <c r="W43">
        <f>+VLOOKUP($E43,Hybrid!$1:$1048576,W$2,FALSE)</f>
        <v>18.676916420000001</v>
      </c>
      <c r="X43">
        <f>+VLOOKUP($E43,Hybrid!$1:$1048576,X$2,FALSE)</f>
        <v>19.17693775</v>
      </c>
      <c r="Y43">
        <f>+VLOOKUP($E43,Hybrid!$1:$1048576,Y$2,FALSE)</f>
        <v>19.634642320000001</v>
      </c>
      <c r="Z43">
        <f>+VLOOKUP($E43,Hybrid!$1:$1048576,Z$2,FALSE)</f>
        <v>20.05110298</v>
      </c>
      <c r="AA43">
        <f>+VLOOKUP($E43,Hybrid!$1:$1048576,AA$2,FALSE)</f>
        <v>20.427422589999999</v>
      </c>
      <c r="AB43">
        <f>+VLOOKUP($E43,Hybrid!$1:$1048576,AB$2,FALSE)</f>
        <v>20.764729679999999</v>
      </c>
      <c r="AC43">
        <f>+VLOOKUP($E43,Hybrid!$1:$1048576,AC$2,FALSE)</f>
        <v>21.064174909999998</v>
      </c>
      <c r="AD43">
        <f>+VLOOKUP($E43,Hybrid!$1:$1048576,AD$2,FALSE)</f>
        <v>21.326927950000002</v>
      </c>
      <c r="AE43">
        <f>+VLOOKUP($E43,Hybrid!$1:$1048576,AE$2,FALSE)</f>
        <v>21.554174740000001</v>
      </c>
      <c r="AF43">
        <f>+VLOOKUP($E43,Hybrid!$1:$1048576,AF$2,FALSE)</f>
        <v>21.74711482</v>
      </c>
      <c r="AG43">
        <f>+VLOOKUP($E43,Hybrid!$1:$1048576,AG$2,FALSE)</f>
        <v>21.90695874</v>
      </c>
      <c r="AH43">
        <f>+VLOOKUP($E43,Hybrid!$1:$1048576,AH$2,FALSE)</f>
        <v>22.034925470000001</v>
      </c>
      <c r="AI43">
        <f>+VLOOKUP($E43,Hybrid!$1:$1048576,AI$2,FALSE)</f>
        <v>22.132239760000001</v>
      </c>
      <c r="AJ43">
        <f>+VLOOKUP($E43,Hybrid!$1:$1048576,AJ$2,FALSE)</f>
        <v>22.200129520000001</v>
      </c>
      <c r="AK43">
        <f>+VLOOKUP($E43,Hybrid!$1:$1048576,AK$2,FALSE)</f>
        <v>22.239823130000001</v>
      </c>
      <c r="AL43">
        <f>+VLOOKUP($E43,Hybrid!$1:$1048576,AL$2,FALSE)</f>
        <v>22.25254687</v>
      </c>
      <c r="AM43">
        <f>+VLOOKUP($E43,Hybrid!$1:$1048576,AM$2,FALSE)</f>
        <v>22.239522260000001</v>
      </c>
      <c r="AN43">
        <f>+VLOOKUP($E43,Hybrid!$1:$1048576,AN$2,FALSE)</f>
        <v>22.201963559999999</v>
      </c>
      <c r="AO43">
        <f>+VLOOKUP($E43,Hybrid!$1:$1048576,AO$2,FALSE)</f>
        <v>22.141075310000002</v>
      </c>
    </row>
    <row r="44" spans="1:41" ht="15" customHeight="1" x14ac:dyDescent="0.25">
      <c r="A44" s="316"/>
      <c r="B44" s="315"/>
      <c r="C44" s="171"/>
      <c r="D44" s="124" t="s">
        <v>545</v>
      </c>
      <c r="E44" s="46" t="s">
        <v>391</v>
      </c>
      <c r="F44" s="73">
        <f>+VLOOKUP($E44,Hybrid!$1:$1048576,F$2,FALSE)</f>
        <v>1.7251505170000001</v>
      </c>
      <c r="G44" s="73">
        <f>+VLOOKUP($E44,Hybrid!$1:$1048576,G$2,FALSE)</f>
        <v>2.2454555790000001</v>
      </c>
      <c r="H44" s="73">
        <f>+VLOOKUP($E44,Hybrid!$1:$1048576,H$2,FALSE)</f>
        <v>2.7684617760000001</v>
      </c>
      <c r="I44">
        <f>+VLOOKUP($E44,Hybrid!$1:$1048576,I$2,FALSE)</f>
        <v>3.2743104380000001</v>
      </c>
      <c r="J44">
        <f>+VLOOKUP($E44,Hybrid!$1:$1048576,J$2,FALSE)</f>
        <v>3.7515155080000002</v>
      </c>
      <c r="K44">
        <f>+VLOOKUP($E44,Hybrid!$1:$1048576,K$2,FALSE)</f>
        <v>4.1939767000000003</v>
      </c>
      <c r="L44">
        <f>+VLOOKUP($E44,Hybrid!$1:$1048576,L$2,FALSE)</f>
        <v>4.5988845530000004</v>
      </c>
      <c r="M44">
        <f>+VLOOKUP($E44,Hybrid!$1:$1048576,M$2,FALSE)</f>
        <v>4.9653764230000004</v>
      </c>
      <c r="N44">
        <f>+VLOOKUP($E44,Hybrid!$1:$1048576,N$2,FALSE)</f>
        <v>5.2937201649999999</v>
      </c>
      <c r="O44">
        <f>+VLOOKUP($E44,Hybrid!$1:$1048576,O$2,FALSE)</f>
        <v>5.5848351840000001</v>
      </c>
      <c r="P44">
        <f>+VLOOKUP($E44,Hybrid!$1:$1048576,P$2,FALSE)</f>
        <v>5.8400167859999996</v>
      </c>
      <c r="Q44">
        <f>+VLOOKUP($E44,Hybrid!$1:$1048576,Q$2,FALSE)</f>
        <v>6.0607780770000002</v>
      </c>
      <c r="R44">
        <f>+VLOOKUP($E44,Hybrid!$1:$1048576,R$2,FALSE)</f>
        <v>6.2487579389999999</v>
      </c>
      <c r="S44">
        <f>+VLOOKUP($E44,Hybrid!$1:$1048576,S$2,FALSE)</f>
        <v>6.4056655600000001</v>
      </c>
      <c r="T44">
        <f>+VLOOKUP($E44,Hybrid!$1:$1048576,T$2,FALSE)</f>
        <v>6.5332451259999997</v>
      </c>
      <c r="U44">
        <f>+VLOOKUP($E44,Hybrid!$1:$1048576,U$2,FALSE)</f>
        <v>6.6332519220000004</v>
      </c>
      <c r="V44">
        <f>+VLOOKUP($E44,Hybrid!$1:$1048576,V$2,FALSE)</f>
        <v>6.707435147</v>
      </c>
      <c r="W44">
        <f>+VLOOKUP($E44,Hybrid!$1:$1048576,W$2,FALSE)</f>
        <v>6.7575249700000004</v>
      </c>
      <c r="X44">
        <f>+VLOOKUP($E44,Hybrid!$1:$1048576,X$2,FALSE)</f>
        <v>6.7852224879999996</v>
      </c>
      <c r="Y44">
        <f>+VLOOKUP($E44,Hybrid!$1:$1048576,Y$2,FALSE)</f>
        <v>6.7921917440000001</v>
      </c>
      <c r="Z44">
        <f>+VLOOKUP($E44,Hybrid!$1:$1048576,Z$2,FALSE)</f>
        <v>6.7800533420000004</v>
      </c>
      <c r="AA44">
        <f>+VLOOKUP($E44,Hybrid!$1:$1048576,AA$2,FALSE)</f>
        <v>6.750379283</v>
      </c>
      <c r="AB44">
        <f>+VLOOKUP($E44,Hybrid!$1:$1048576,AB$2,FALSE)</f>
        <v>6.7046887870000003</v>
      </c>
      <c r="AC44">
        <f>+VLOOKUP($E44,Hybrid!$1:$1048576,AC$2,FALSE)</f>
        <v>6.6444449319999999</v>
      </c>
      <c r="AD44">
        <f>+VLOOKUP($E44,Hybrid!$1:$1048576,AD$2,FALSE)</f>
        <v>6.5710519559999998</v>
      </c>
      <c r="AE44">
        <f>+VLOOKUP($E44,Hybrid!$1:$1048576,AE$2,FALSE)</f>
        <v>6.485853144</v>
      </c>
      <c r="AF44">
        <f>+VLOOKUP($E44,Hybrid!$1:$1048576,AF$2,FALSE)</f>
        <v>6.3901292239999998</v>
      </c>
      <c r="AG44">
        <f>+VLOOKUP($E44,Hybrid!$1:$1048576,AG$2,FALSE)</f>
        <v>6.285097232</v>
      </c>
      <c r="AH44">
        <f>+VLOOKUP($E44,Hybrid!$1:$1048576,AH$2,FALSE)</f>
        <v>6.1719097989999998</v>
      </c>
      <c r="AI44">
        <f>+VLOOKUP($E44,Hybrid!$1:$1048576,AI$2,FALSE)</f>
        <v>6.0516548429999997</v>
      </c>
      <c r="AJ44">
        <f>+VLOOKUP($E44,Hybrid!$1:$1048576,AJ$2,FALSE)</f>
        <v>5.925355637</v>
      </c>
      <c r="AK44">
        <f>+VLOOKUP($E44,Hybrid!$1:$1048576,AK$2,FALSE)</f>
        <v>5.7939712219999997</v>
      </c>
      <c r="AL44">
        <f>+VLOOKUP($E44,Hybrid!$1:$1048576,AL$2,FALSE)</f>
        <v>5.6583971609999999</v>
      </c>
      <c r="AM44">
        <f>+VLOOKUP($E44,Hybrid!$1:$1048576,AM$2,FALSE)</f>
        <v>5.5194665799999996</v>
      </c>
      <c r="AN44">
        <f>+VLOOKUP($E44,Hybrid!$1:$1048576,AN$2,FALSE)</f>
        <v>5.3779514920000002</v>
      </c>
      <c r="AO44">
        <f>+VLOOKUP($E44,Hybrid!$1:$1048576,AO$2,FALSE)</f>
        <v>5.2345643639999997</v>
      </c>
    </row>
    <row r="45" spans="1:41" ht="15" customHeight="1" x14ac:dyDescent="0.25">
      <c r="A45" s="316"/>
      <c r="B45" s="315"/>
      <c r="C45" s="171"/>
      <c r="D45" s="124" t="s">
        <v>546</v>
      </c>
      <c r="E45" s="46" t="s">
        <v>392</v>
      </c>
      <c r="F45" s="73">
        <f>+VLOOKUP($E45,Hybrid!$1:$1048576,F$2,FALSE)</f>
        <v>3.1066862139999998</v>
      </c>
      <c r="G45" s="73">
        <f>+VLOOKUP($E45,Hybrid!$1:$1048576,G$2,FALSE)</f>
        <v>4.0721666550000002</v>
      </c>
      <c r="H45" s="73">
        <f>+VLOOKUP($E45,Hybrid!$1:$1048576,H$2,FALSE)</f>
        <v>5.0169226489999996</v>
      </c>
      <c r="I45">
        <f>+VLOOKUP($E45,Hybrid!$1:$1048576,I$2,FALSE)</f>
        <v>5.9009041160000004</v>
      </c>
      <c r="J45">
        <f>+VLOOKUP($E45,Hybrid!$1:$1048576,J$2,FALSE)</f>
        <v>6.7035180270000003</v>
      </c>
      <c r="K45">
        <f>+VLOOKUP($E45,Hybrid!$1:$1048576,K$2,FALSE)</f>
        <v>7.4161806490000002</v>
      </c>
      <c r="L45">
        <f>+VLOOKUP($E45,Hybrid!$1:$1048576,L$2,FALSE)</f>
        <v>8.0372735639999995</v>
      </c>
      <c r="M45">
        <f>+VLOOKUP($E45,Hybrid!$1:$1048576,M$2,FALSE)</f>
        <v>8.5690304140000002</v>
      </c>
      <c r="N45">
        <f>+VLOOKUP($E45,Hybrid!$1:$1048576,N$2,FALSE)</f>
        <v>9.0157203080000006</v>
      </c>
      <c r="O45">
        <f>+VLOOKUP($E45,Hybrid!$1:$1048576,O$2,FALSE)</f>
        <v>9.3826241629999991</v>
      </c>
      <c r="P45">
        <f>+VLOOKUP($E45,Hybrid!$1:$1048576,P$2,FALSE)</f>
        <v>9.6754684019999999</v>
      </c>
      <c r="Q45">
        <f>+VLOOKUP($E45,Hybrid!$1:$1048576,Q$2,FALSE)</f>
        <v>9.9001122630000005</v>
      </c>
      <c r="R45">
        <f>+VLOOKUP($E45,Hybrid!$1:$1048576,R$2,FALSE)</f>
        <v>10.062372399999999</v>
      </c>
      <c r="S45">
        <f>+VLOOKUP($E45,Hybrid!$1:$1048576,S$2,FALSE)</f>
        <v>10.16792128</v>
      </c>
      <c r="T45">
        <f>+VLOOKUP($E45,Hybrid!$1:$1048576,T$2,FALSE)</f>
        <v>10.222225849999999</v>
      </c>
      <c r="U45">
        <f>+VLOOKUP($E45,Hybrid!$1:$1048576,U$2,FALSE)</f>
        <v>10.230509250000001</v>
      </c>
      <c r="V45">
        <f>+VLOOKUP($E45,Hybrid!$1:$1048576,V$2,FALSE)</f>
        <v>10.19772671</v>
      </c>
      <c r="W45">
        <f>+VLOOKUP($E45,Hybrid!$1:$1048576,W$2,FALSE)</f>
        <v>10.128550779999999</v>
      </c>
      <c r="X45">
        <f>+VLOOKUP($E45,Hybrid!$1:$1048576,X$2,FALSE)</f>
        <v>10.027363449999999</v>
      </c>
      <c r="Y45">
        <f>+VLOOKUP($E45,Hybrid!$1:$1048576,Y$2,FALSE)</f>
        <v>9.8982532929999998</v>
      </c>
      <c r="Z45">
        <f>+VLOOKUP($E45,Hybrid!$1:$1048576,Z$2,FALSE)</f>
        <v>9.7450166239999998</v>
      </c>
      <c r="AA45">
        <f>+VLOOKUP($E45,Hybrid!$1:$1048576,AA$2,FALSE)</f>
        <v>9.5711617039999997</v>
      </c>
      <c r="AB45">
        <f>+VLOOKUP($E45,Hybrid!$1:$1048576,AB$2,FALSE)</f>
        <v>9.3799154290000004</v>
      </c>
      <c r="AC45">
        <f>+VLOOKUP($E45,Hybrid!$1:$1048576,AC$2,FALSE)</f>
        <v>9.1742319200000004</v>
      </c>
      <c r="AD45">
        <f>+VLOOKUP($E45,Hybrid!$1:$1048576,AD$2,FALSE)</f>
        <v>8.9568026209999996</v>
      </c>
      <c r="AE45">
        <f>+VLOOKUP($E45,Hybrid!$1:$1048576,AE$2,FALSE)</f>
        <v>8.7300675600000002</v>
      </c>
      <c r="AF45">
        <f>+VLOOKUP($E45,Hybrid!$1:$1048576,AF$2,FALSE)</f>
        <v>8.4962274789999999</v>
      </c>
      <c r="AG45">
        <f>+VLOOKUP($E45,Hybrid!$1:$1048576,AG$2,FALSE)</f>
        <v>8.2572566250000001</v>
      </c>
      <c r="AH45">
        <f>+VLOOKUP($E45,Hybrid!$1:$1048576,AH$2,FALSE)</f>
        <v>8.0149159619999999</v>
      </c>
      <c r="AI45">
        <f>+VLOOKUP($E45,Hybrid!$1:$1048576,AI$2,FALSE)</f>
        <v>7.7707666499999997</v>
      </c>
      <c r="AJ45">
        <f>+VLOOKUP($E45,Hybrid!$1:$1048576,AJ$2,FALSE)</f>
        <v>7.5261836180000001</v>
      </c>
      <c r="AK45">
        <f>+VLOOKUP($E45,Hybrid!$1:$1048576,AK$2,FALSE)</f>
        <v>7.2823690880000003</v>
      </c>
      <c r="AL45">
        <f>+VLOOKUP($E45,Hybrid!$1:$1048576,AL$2,FALSE)</f>
        <v>7.0403659259999998</v>
      </c>
      <c r="AM45">
        <f>+VLOOKUP($E45,Hybrid!$1:$1048576,AM$2,FALSE)</f>
        <v>6.8010707049999999</v>
      </c>
      <c r="AN45">
        <f>+VLOOKUP($E45,Hybrid!$1:$1048576,AN$2,FALSE)</f>
        <v>6.5652463799999996</v>
      </c>
      <c r="AO45">
        <f>+VLOOKUP($E45,Hybrid!$1:$1048576,AO$2,FALSE)</f>
        <v>6.3335344979999997</v>
      </c>
    </row>
    <row r="46" spans="1:41" s="111" customFormat="1" ht="15" customHeight="1" x14ac:dyDescent="0.25">
      <c r="A46" s="316"/>
      <c r="B46" s="315"/>
      <c r="C46" s="122" t="s">
        <v>824</v>
      </c>
      <c r="D46" s="123"/>
      <c r="E46" s="91" t="s">
        <v>393</v>
      </c>
      <c r="F46" s="111">
        <f>+VLOOKUP($E46,Hybrid!$1:$1048576,F$2,FALSE)</f>
        <v>1.9359999999999999</v>
      </c>
      <c r="G46" s="111">
        <f>+VLOOKUP($E46,Hybrid!$1:$1048576,G$2,FALSE)</f>
        <v>1.992038478</v>
      </c>
      <c r="H46" s="111">
        <f>+VLOOKUP($E46,Hybrid!$1:$1048576,H$2,FALSE)</f>
        <v>2.0585130399999998</v>
      </c>
      <c r="I46" s="111">
        <f>+VLOOKUP($E46,Hybrid!$1:$1048576,I$2,FALSE)</f>
        <v>2.1305753150000002</v>
      </c>
      <c r="J46" s="111">
        <f>+VLOOKUP($E46,Hybrid!$1:$1048576,J$2,FALSE)</f>
        <v>2.205083192</v>
      </c>
      <c r="K46" s="111">
        <f>+VLOOKUP($E46,Hybrid!$1:$1048576,K$2,FALSE)</f>
        <v>2.2800657229999999</v>
      </c>
      <c r="L46" s="111">
        <f>+VLOOKUP($E46,Hybrid!$1:$1048576,L$2,FALSE)</f>
        <v>2.3543231279999999</v>
      </c>
      <c r="M46" s="111">
        <f>+VLOOKUP($E46,Hybrid!$1:$1048576,M$2,FALSE)</f>
        <v>2.4271483549999999</v>
      </c>
      <c r="N46" s="111">
        <f>+VLOOKUP($E46,Hybrid!$1:$1048576,N$2,FALSE)</f>
        <v>2.498142573</v>
      </c>
      <c r="O46" s="111">
        <f>+VLOOKUP($E46,Hybrid!$1:$1048576,O$2,FALSE)</f>
        <v>2.5670970789999998</v>
      </c>
      <c r="P46" s="111">
        <f>+VLOOKUP($E46,Hybrid!$1:$1048576,P$2,FALSE)</f>
        <v>2.6339195040000001</v>
      </c>
      <c r="Q46" s="111">
        <f>+VLOOKUP($E46,Hybrid!$1:$1048576,Q$2,FALSE)</f>
        <v>2.69858844</v>
      </c>
      <c r="R46" s="111">
        <f>+VLOOKUP($E46,Hybrid!$1:$1048576,R$2,FALSE)</f>
        <v>2.7611257519999999</v>
      </c>
      <c r="S46" s="111">
        <f>+VLOOKUP($E46,Hybrid!$1:$1048576,S$2,FALSE)</f>
        <v>2.8215796809999998</v>
      </c>
      <c r="T46" s="111">
        <f>+VLOOKUP($E46,Hybrid!$1:$1048576,T$2,FALSE)</f>
        <v>2.8800144360000002</v>
      </c>
      <c r="U46" s="111">
        <f>+VLOOKUP($E46,Hybrid!$1:$1048576,U$2,FALSE)</f>
        <v>2.9365036600000001</v>
      </c>
      <c r="V46" s="111">
        <f>+VLOOKUP($E46,Hybrid!$1:$1048576,V$2,FALSE)</f>
        <v>2.9911262380000001</v>
      </c>
      <c r="W46" s="111">
        <f>+VLOOKUP($E46,Hybrid!$1:$1048576,W$2,FALSE)</f>
        <v>3.0439635360000001</v>
      </c>
      <c r="X46" s="111">
        <f>+VLOOKUP($E46,Hybrid!$1:$1048576,X$2,FALSE)</f>
        <v>3.0950975459999999</v>
      </c>
      <c r="Y46" s="111">
        <f>+VLOOKUP($E46,Hybrid!$1:$1048576,Y$2,FALSE)</f>
        <v>3.1446096300000002</v>
      </c>
      <c r="Z46" s="111">
        <f>+VLOOKUP($E46,Hybrid!$1:$1048576,Z$2,FALSE)</f>
        <v>3.192579673</v>
      </c>
      <c r="AA46" s="111">
        <f>+VLOOKUP($E46,Hybrid!$1:$1048576,AA$2,FALSE)</f>
        <v>3.239085524</v>
      </c>
      <c r="AB46" s="111">
        <f>+VLOOKUP($E46,Hybrid!$1:$1048576,AB$2,FALSE)</f>
        <v>3.2842026450000001</v>
      </c>
      <c r="AC46" s="111">
        <f>+VLOOKUP($E46,Hybrid!$1:$1048576,AC$2,FALSE)</f>
        <v>3.3280039100000001</v>
      </c>
      <c r="AD46" s="111">
        <f>+VLOOKUP($E46,Hybrid!$1:$1048576,AD$2,FALSE)</f>
        <v>3.370559514</v>
      </c>
      <c r="AE46" s="111">
        <f>+VLOOKUP($E46,Hybrid!$1:$1048576,AE$2,FALSE)</f>
        <v>3.4119369420000001</v>
      </c>
      <c r="AF46" s="111">
        <f>+VLOOKUP($E46,Hybrid!$1:$1048576,AF$2,FALSE)</f>
        <v>3.452200994</v>
      </c>
      <c r="AG46" s="111">
        <f>+VLOOKUP($E46,Hybrid!$1:$1048576,AG$2,FALSE)</f>
        <v>3.4914138370000001</v>
      </c>
      <c r="AH46" s="111">
        <f>+VLOOKUP($E46,Hybrid!$1:$1048576,AH$2,FALSE)</f>
        <v>3.5296350570000001</v>
      </c>
      <c r="AI46" s="111">
        <f>+VLOOKUP($E46,Hybrid!$1:$1048576,AI$2,FALSE)</f>
        <v>3.5669217350000002</v>
      </c>
      <c r="AJ46" s="111">
        <f>+VLOOKUP($E46,Hybrid!$1:$1048576,AJ$2,FALSE)</f>
        <v>3.6033285020000001</v>
      </c>
      <c r="AK46" s="111">
        <f>+VLOOKUP($E46,Hybrid!$1:$1048576,AK$2,FALSE)</f>
        <v>3.6389076010000001</v>
      </c>
      <c r="AL46" s="111">
        <f>+VLOOKUP($E46,Hybrid!$1:$1048576,AL$2,FALSE)</f>
        <v>3.6737089360000001</v>
      </c>
      <c r="AM46" s="111">
        <f>+VLOOKUP($E46,Hybrid!$1:$1048576,AM$2,FALSE)</f>
        <v>3.707780122</v>
      </c>
      <c r="AN46" s="111">
        <f>+VLOOKUP($E46,Hybrid!$1:$1048576,AN$2,FALSE)</f>
        <v>3.741166524</v>
      </c>
      <c r="AO46" s="111">
        <f>+VLOOKUP($E46,Hybrid!$1:$1048576,AO$2,FALSE)</f>
        <v>3.7739112929999998</v>
      </c>
    </row>
    <row r="47" spans="1:41" ht="15" customHeight="1" x14ac:dyDescent="0.25">
      <c r="A47" s="316"/>
      <c r="B47" s="315"/>
      <c r="C47" s="171"/>
      <c r="D47" s="124" t="s">
        <v>540</v>
      </c>
      <c r="E47" s="46" t="s">
        <v>394</v>
      </c>
      <c r="F47" s="73">
        <f>+VLOOKUP($E47,Hybrid!$1:$1048576,F$2,FALSE)</f>
        <v>0.42568169729999999</v>
      </c>
      <c r="G47" s="73">
        <f>+VLOOKUP($E47,Hybrid!$1:$1048576,G$2,FALSE)</f>
        <v>0.44945570270000001</v>
      </c>
      <c r="H47" s="73">
        <f>+VLOOKUP($E47,Hybrid!$1:$1048576,H$2,FALSE)</f>
        <v>0.47618363180000001</v>
      </c>
      <c r="I47">
        <f>+VLOOKUP($E47,Hybrid!$1:$1048576,I$2,FALSE)</f>
        <v>0.50461174259999997</v>
      </c>
      <c r="J47">
        <f>+VLOOKUP($E47,Hybrid!$1:$1048576,J$2,FALSE)</f>
        <v>0.53390616749999997</v>
      </c>
      <c r="K47">
        <f>+VLOOKUP($E47,Hybrid!$1:$1048576,K$2,FALSE)</f>
        <v>0.56352909380000005</v>
      </c>
      <c r="L47">
        <f>+VLOOKUP($E47,Hybrid!$1:$1048576,L$2,FALSE)</f>
        <v>0.59314310530000003</v>
      </c>
      <c r="M47">
        <f>+VLOOKUP($E47,Hybrid!$1:$1048576,M$2,FALSE)</f>
        <v>0.62254220360000001</v>
      </c>
      <c r="N47">
        <f>+VLOOKUP($E47,Hybrid!$1:$1048576,N$2,FALSE)</f>
        <v>0.65160459059999998</v>
      </c>
      <c r="O47">
        <f>+VLOOKUP($E47,Hybrid!$1:$1048576,O$2,FALSE)</f>
        <v>0.68026155590000004</v>
      </c>
      <c r="P47">
        <f>+VLOOKUP($E47,Hybrid!$1:$1048576,P$2,FALSE)</f>
        <v>0.70847754080000003</v>
      </c>
      <c r="Q47">
        <f>+VLOOKUP($E47,Hybrid!$1:$1048576,Q$2,FALSE)</f>
        <v>0.73623761710000002</v>
      </c>
      <c r="R47">
        <f>+VLOOKUP($E47,Hybrid!$1:$1048576,R$2,FALSE)</f>
        <v>0.76353972240000001</v>
      </c>
      <c r="S47">
        <f>+VLOOKUP($E47,Hybrid!$1:$1048576,S$2,FALSE)</f>
        <v>0.79038986950000001</v>
      </c>
      <c r="T47">
        <f>+VLOOKUP($E47,Hybrid!$1:$1048576,T$2,FALSE)</f>
        <v>0.81679918529999995</v>
      </c>
      <c r="U47">
        <f>+VLOOKUP($E47,Hybrid!$1:$1048576,U$2,FALSE)</f>
        <v>0.84278205589999999</v>
      </c>
      <c r="V47">
        <f>+VLOOKUP($E47,Hybrid!$1:$1048576,V$2,FALSE)</f>
        <v>0.86835494329999996</v>
      </c>
      <c r="W47">
        <f>+VLOOKUP($E47,Hybrid!$1:$1048576,W$2,FALSE)</f>
        <v>0.89353561299999995</v>
      </c>
      <c r="X47">
        <f>+VLOOKUP($E47,Hybrid!$1:$1048576,X$2,FALSE)</f>
        <v>0.91834261910000003</v>
      </c>
      <c r="Y47">
        <f>+VLOOKUP($E47,Hybrid!$1:$1048576,Y$2,FALSE)</f>
        <v>0.94279495359999999</v>
      </c>
      <c r="Z47">
        <f>+VLOOKUP($E47,Hybrid!$1:$1048576,Z$2,FALSE)</f>
        <v>0.9669118082</v>
      </c>
      <c r="AA47">
        <f>+VLOOKUP($E47,Hybrid!$1:$1048576,AA$2,FALSE)</f>
        <v>0.99071241300000001</v>
      </c>
      <c r="AB47">
        <f>+VLOOKUP($E47,Hybrid!$1:$1048576,AB$2,FALSE)</f>
        <v>1.01421593</v>
      </c>
      <c r="AC47">
        <f>+VLOOKUP($E47,Hybrid!$1:$1048576,AC$2,FALSE)</f>
        <v>1.0374413819999999</v>
      </c>
      <c r="AD47">
        <f>+VLOOKUP($E47,Hybrid!$1:$1048576,AD$2,FALSE)</f>
        <v>1.060407619</v>
      </c>
      <c r="AE47">
        <f>+VLOOKUP($E47,Hybrid!$1:$1048576,AE$2,FALSE)</f>
        <v>1.083133283</v>
      </c>
      <c r="AF47">
        <f>+VLOOKUP($E47,Hybrid!$1:$1048576,AF$2,FALSE)</f>
        <v>1.1056368050000001</v>
      </c>
      <c r="AG47">
        <f>+VLOOKUP($E47,Hybrid!$1:$1048576,AG$2,FALSE)</f>
        <v>1.1279363920000001</v>
      </c>
      <c r="AH47">
        <f>+VLOOKUP($E47,Hybrid!$1:$1048576,AH$2,FALSE)</f>
        <v>1.150050021</v>
      </c>
      <c r="AI47">
        <f>+VLOOKUP($E47,Hybrid!$1:$1048576,AI$2,FALSE)</f>
        <v>1.1719954340000001</v>
      </c>
      <c r="AJ47">
        <f>+VLOOKUP($E47,Hybrid!$1:$1048576,AJ$2,FALSE)</f>
        <v>1.193790127</v>
      </c>
      <c r="AK47">
        <f>+VLOOKUP($E47,Hybrid!$1:$1048576,AK$2,FALSE)</f>
        <v>1.215451337</v>
      </c>
      <c r="AL47">
        <f>+VLOOKUP($E47,Hybrid!$1:$1048576,AL$2,FALSE)</f>
        <v>1.236996032</v>
      </c>
      <c r="AM47">
        <f>+VLOOKUP($E47,Hybrid!$1:$1048576,AM$2,FALSE)</f>
        <v>1.2584408840000001</v>
      </c>
      <c r="AN47">
        <f>+VLOOKUP($E47,Hybrid!$1:$1048576,AN$2,FALSE)</f>
        <v>1.2798022600000001</v>
      </c>
      <c r="AO47">
        <f>+VLOOKUP($E47,Hybrid!$1:$1048576,AO$2,FALSE)</f>
        <v>1.3010961910000001</v>
      </c>
    </row>
    <row r="48" spans="1:41" ht="15" customHeight="1" x14ac:dyDescent="0.25">
      <c r="A48" s="316"/>
      <c r="B48" s="315"/>
      <c r="C48" s="171"/>
      <c r="D48" s="124" t="s">
        <v>541</v>
      </c>
      <c r="E48" s="46" t="s">
        <v>395</v>
      </c>
      <c r="F48" s="73">
        <f>+VLOOKUP($E48,Hybrid!$1:$1048576,F$2,FALSE)</f>
        <v>0.49500522540000003</v>
      </c>
      <c r="G48" s="73">
        <f>+VLOOKUP($E48,Hybrid!$1:$1048576,G$2,FALSE)</f>
        <v>0.51237735269999996</v>
      </c>
      <c r="H48" s="73">
        <f>+VLOOKUP($E48,Hybrid!$1:$1048576,H$2,FALSE)</f>
        <v>0.53282706970000004</v>
      </c>
      <c r="I48">
        <f>+VLOOKUP($E48,Hybrid!$1:$1048576,I$2,FALSE)</f>
        <v>0.55510706389999998</v>
      </c>
      <c r="J48">
        <f>+VLOOKUP($E48,Hybrid!$1:$1048576,J$2,FALSE)</f>
        <v>0.57838510870000004</v>
      </c>
      <c r="K48">
        <f>+VLOOKUP($E48,Hybrid!$1:$1048576,K$2,FALSE)</f>
        <v>0.60212053229999996</v>
      </c>
      <c r="L48">
        <f>+VLOOKUP($E48,Hybrid!$1:$1048576,L$2,FALSE)</f>
        <v>0.6259693207</v>
      </c>
      <c r="M48">
        <f>+VLOOKUP($E48,Hybrid!$1:$1048576,M$2,FALSE)</f>
        <v>0.64971611019999997</v>
      </c>
      <c r="N48">
        <f>+VLOOKUP($E48,Hybrid!$1:$1048576,N$2,FALSE)</f>
        <v>0.67322789579999998</v>
      </c>
      <c r="O48">
        <f>+VLOOKUP($E48,Hybrid!$1:$1048576,O$2,FALSE)</f>
        <v>0.69642367620000001</v>
      </c>
      <c r="P48">
        <f>+VLOOKUP($E48,Hybrid!$1:$1048576,P$2,FALSE)</f>
        <v>0.71925508319999998</v>
      </c>
      <c r="Q48">
        <f>+VLOOKUP($E48,Hybrid!$1:$1048576,Q$2,FALSE)</f>
        <v>0.74169425229999997</v>
      </c>
      <c r="R48">
        <f>+VLOOKUP($E48,Hybrid!$1:$1048576,R$2,FALSE)</f>
        <v>0.76372631199999996</v>
      </c>
      <c r="S48">
        <f>+VLOOKUP($E48,Hybrid!$1:$1048576,S$2,FALSE)</f>
        <v>0.78534474669999998</v>
      </c>
      <c r="T48">
        <f>+VLOOKUP($E48,Hybrid!$1:$1048576,T$2,FALSE)</f>
        <v>0.80654852040000002</v>
      </c>
      <c r="U48">
        <f>+VLOOKUP($E48,Hybrid!$1:$1048576,U$2,FALSE)</f>
        <v>0.82734025919999998</v>
      </c>
      <c r="V48">
        <f>+VLOOKUP($E48,Hybrid!$1:$1048576,V$2,FALSE)</f>
        <v>0.84772507720000001</v>
      </c>
      <c r="W48">
        <f>+VLOOKUP($E48,Hybrid!$1:$1048576,W$2,FALSE)</f>
        <v>0.86770979619999999</v>
      </c>
      <c r="X48">
        <f>+VLOOKUP($E48,Hybrid!$1:$1048576,X$2,FALSE)</f>
        <v>0.8873024115</v>
      </c>
      <c r="Y48">
        <f>+VLOOKUP($E48,Hybrid!$1:$1048576,Y$2,FALSE)</f>
        <v>0.90651171779999995</v>
      </c>
      <c r="Z48">
        <f>+VLOOKUP($E48,Hybrid!$1:$1048576,Z$2,FALSE)</f>
        <v>0.92534704339999996</v>
      </c>
      <c r="AA48">
        <f>+VLOOKUP($E48,Hybrid!$1:$1048576,AA$2,FALSE)</f>
        <v>0.94381806079999997</v>
      </c>
      <c r="AB48">
        <f>+VLOOKUP($E48,Hybrid!$1:$1048576,AB$2,FALSE)</f>
        <v>0.96193465069999995</v>
      </c>
      <c r="AC48">
        <f>+VLOOKUP($E48,Hybrid!$1:$1048576,AC$2,FALSE)</f>
        <v>0.97970680529999998</v>
      </c>
      <c r="AD48">
        <f>+VLOOKUP($E48,Hybrid!$1:$1048576,AD$2,FALSE)</f>
        <v>0.99714455849999994</v>
      </c>
      <c r="AE48">
        <f>+VLOOKUP($E48,Hybrid!$1:$1048576,AE$2,FALSE)</f>
        <v>1.014257934</v>
      </c>
      <c r="AF48">
        <f>+VLOOKUP($E48,Hybrid!$1:$1048576,AF$2,FALSE)</f>
        <v>1.031056907</v>
      </c>
      <c r="AG48">
        <f>+VLOOKUP($E48,Hybrid!$1:$1048576,AG$2,FALSE)</f>
        <v>1.0475513670000001</v>
      </c>
      <c r="AH48">
        <f>+VLOOKUP($E48,Hybrid!$1:$1048576,AH$2,FALSE)</f>
        <v>1.0637510910000001</v>
      </c>
      <c r="AI48">
        <f>+VLOOKUP($E48,Hybrid!$1:$1048576,AI$2,FALSE)</f>
        <v>1.0796657119999999</v>
      </c>
      <c r="AJ48">
        <f>+VLOOKUP($E48,Hybrid!$1:$1048576,AJ$2,FALSE)</f>
        <v>1.095304689</v>
      </c>
      <c r="AK48">
        <f>+VLOOKUP($E48,Hybrid!$1:$1048576,AK$2,FALSE)</f>
        <v>1.110677272</v>
      </c>
      <c r="AL48">
        <f>+VLOOKUP($E48,Hybrid!$1:$1048576,AL$2,FALSE)</f>
        <v>1.125792473</v>
      </c>
      <c r="AM48">
        <f>+VLOOKUP($E48,Hybrid!$1:$1048576,AM$2,FALSE)</f>
        <v>1.1406590299999999</v>
      </c>
      <c r="AN48">
        <f>+VLOOKUP($E48,Hybrid!$1:$1048576,AN$2,FALSE)</f>
        <v>1.155285369</v>
      </c>
      <c r="AO48">
        <f>+VLOOKUP($E48,Hybrid!$1:$1048576,AO$2,FALSE)</f>
        <v>1.169679575</v>
      </c>
    </row>
    <row r="49" spans="1:43" ht="15" customHeight="1" x14ac:dyDescent="0.25">
      <c r="A49" s="316"/>
      <c r="B49" s="315"/>
      <c r="C49" s="171"/>
      <c r="D49" s="124" t="s">
        <v>542</v>
      </c>
      <c r="E49" s="46" t="s">
        <v>396</v>
      </c>
      <c r="F49" s="73">
        <f>+VLOOKUP($E49,Hybrid!$1:$1048576,F$2,FALSE)</f>
        <v>0.40659851759999999</v>
      </c>
      <c r="G49" s="73">
        <f>+VLOOKUP($E49,Hybrid!$1:$1048576,G$2,FALSE)</f>
        <v>0.41458692130000002</v>
      </c>
      <c r="H49" s="73">
        <f>+VLOOKUP($E49,Hybrid!$1:$1048576,H$2,FALSE)</f>
        <v>0.42489005559999998</v>
      </c>
      <c r="I49">
        <f>+VLOOKUP($E49,Hybrid!$1:$1048576,I$2,FALSE)</f>
        <v>0.4366138819</v>
      </c>
      <c r="J49">
        <f>+VLOOKUP($E49,Hybrid!$1:$1048576,J$2,FALSE)</f>
        <v>0.44916009270000001</v>
      </c>
      <c r="K49">
        <f>+VLOOKUP($E49,Hybrid!$1:$1048576,K$2,FALSE)</f>
        <v>0.46213734029999998</v>
      </c>
      <c r="L49">
        <f>+VLOOKUP($E49,Hybrid!$1:$1048576,L$2,FALSE)</f>
        <v>0.475293415</v>
      </c>
      <c r="M49">
        <f>+VLOOKUP($E49,Hybrid!$1:$1048576,M$2,FALSE)</f>
        <v>0.48846693209999997</v>
      </c>
      <c r="N49">
        <f>+VLOOKUP($E49,Hybrid!$1:$1048576,N$2,FALSE)</f>
        <v>0.50155462500000003</v>
      </c>
      <c r="O49">
        <f>+VLOOKUP($E49,Hybrid!$1:$1048576,O$2,FALSE)</f>
        <v>0.51449000320000005</v>
      </c>
      <c r="P49">
        <f>+VLOOKUP($E49,Hybrid!$1:$1048576,P$2,FALSE)</f>
        <v>0.52722978740000004</v>
      </c>
      <c r="Q49">
        <f>+VLOOKUP($E49,Hybrid!$1:$1048576,Q$2,FALSE)</f>
        <v>0.53974544120000001</v>
      </c>
      <c r="R49">
        <f>+VLOOKUP($E49,Hybrid!$1:$1048576,R$2,FALSE)</f>
        <v>0.55201793570000002</v>
      </c>
      <c r="S49">
        <f>+VLOOKUP($E49,Hybrid!$1:$1048576,S$2,FALSE)</f>
        <v>0.56403451579999997</v>
      </c>
      <c r="T49">
        <f>+VLOOKUP($E49,Hybrid!$1:$1048576,T$2,FALSE)</f>
        <v>0.57578668580000003</v>
      </c>
      <c r="U49">
        <f>+VLOOKUP($E49,Hybrid!$1:$1048576,U$2,FALSE)</f>
        <v>0.58726892829999999</v>
      </c>
      <c r="V49">
        <f>+VLOOKUP($E49,Hybrid!$1:$1048576,V$2,FALSE)</f>
        <v>0.59847786550000004</v>
      </c>
      <c r="W49">
        <f>+VLOOKUP($E49,Hybrid!$1:$1048576,W$2,FALSE)</f>
        <v>0.60941169319999999</v>
      </c>
      <c r="X49">
        <f>+VLOOKUP($E49,Hybrid!$1:$1048576,X$2,FALSE)</f>
        <v>0.62006978459999995</v>
      </c>
      <c r="Y49">
        <f>+VLOOKUP($E49,Hybrid!$1:$1048576,Y$2,FALSE)</f>
        <v>0.63045240629999999</v>
      </c>
      <c r="Z49">
        <f>+VLOOKUP($E49,Hybrid!$1:$1048576,Z$2,FALSE)</f>
        <v>0.64056051030000005</v>
      </c>
      <c r="AA49">
        <f>+VLOOKUP($E49,Hybrid!$1:$1048576,AA$2,FALSE)</f>
        <v>0.65039557940000003</v>
      </c>
      <c r="AB49">
        <f>+VLOOKUP($E49,Hybrid!$1:$1048576,AB$2,FALSE)</f>
        <v>0.65995951269999997</v>
      </c>
      <c r="AC49">
        <f>+VLOOKUP($E49,Hybrid!$1:$1048576,AC$2,FALSE)</f>
        <v>0.66925453729999995</v>
      </c>
      <c r="AD49">
        <f>+VLOOKUP($E49,Hybrid!$1:$1048576,AD$2,FALSE)</f>
        <v>0.67828314190000005</v>
      </c>
      <c r="AE49">
        <f>+VLOOKUP($E49,Hybrid!$1:$1048576,AE$2,FALSE)</f>
        <v>0.6870480229</v>
      </c>
      <c r="AF49">
        <f>+VLOOKUP($E49,Hybrid!$1:$1048576,AF$2,FALSE)</f>
        <v>0.69555204020000005</v>
      </c>
      <c r="AG49">
        <f>+VLOOKUP($E49,Hybrid!$1:$1048576,AG$2,FALSE)</f>
        <v>0.70379817879999995</v>
      </c>
      <c r="AH49">
        <f>+VLOOKUP($E49,Hybrid!$1:$1048576,AH$2,FALSE)</f>
        <v>0.71178951270000002</v>
      </c>
      <c r="AI49">
        <f>+VLOOKUP($E49,Hybrid!$1:$1048576,AI$2,FALSE)</f>
        <v>0.71952917179999998</v>
      </c>
      <c r="AJ49">
        <f>+VLOOKUP($E49,Hybrid!$1:$1048576,AJ$2,FALSE)</f>
        <v>0.72702030870000001</v>
      </c>
      <c r="AK49">
        <f>+VLOOKUP($E49,Hybrid!$1:$1048576,AK$2,FALSE)</f>
        <v>0.73426606559999996</v>
      </c>
      <c r="AL49">
        <f>+VLOOKUP($E49,Hybrid!$1:$1048576,AL$2,FALSE)</f>
        <v>0.74126954270000001</v>
      </c>
      <c r="AM49">
        <f>+VLOOKUP($E49,Hybrid!$1:$1048576,AM$2,FALSE)</f>
        <v>0.74803376580000003</v>
      </c>
      <c r="AN49">
        <f>+VLOOKUP($E49,Hybrid!$1:$1048576,AN$2,FALSE)</f>
        <v>0.75456165590000002</v>
      </c>
      <c r="AO49">
        <f>+VLOOKUP($E49,Hybrid!$1:$1048576,AO$2,FALSE)</f>
        <v>0.76085599989999997</v>
      </c>
    </row>
    <row r="50" spans="1:43" ht="15" customHeight="1" x14ac:dyDescent="0.25">
      <c r="A50" s="316"/>
      <c r="B50" s="315"/>
      <c r="C50" s="171"/>
      <c r="D50" s="124" t="s">
        <v>543</v>
      </c>
      <c r="E50" s="46" t="s">
        <v>397</v>
      </c>
      <c r="F50" s="73">
        <f>+VLOOKUP($E50,Hybrid!$1:$1048576,F$2,FALSE)</f>
        <v>0.2495444651</v>
      </c>
      <c r="G50" s="73">
        <f>+VLOOKUP($E50,Hybrid!$1:$1048576,G$2,FALSE)</f>
        <v>0.25236049780000003</v>
      </c>
      <c r="H50" s="73">
        <f>+VLOOKUP($E50,Hybrid!$1:$1048576,H$2,FALSE)</f>
        <v>0.25638797930000001</v>
      </c>
      <c r="I50">
        <f>+VLOOKUP($E50,Hybrid!$1:$1048576,I$2,FALSE)</f>
        <v>0.26108962549999998</v>
      </c>
      <c r="J50">
        <f>+VLOOKUP($E50,Hybrid!$1:$1048576,J$2,FALSE)</f>
        <v>0.26611229930000002</v>
      </c>
      <c r="K50">
        <f>+VLOOKUP($E50,Hybrid!$1:$1048576,K$2,FALSE)</f>
        <v>0.27122925679999998</v>
      </c>
      <c r="L50">
        <f>+VLOOKUP($E50,Hybrid!$1:$1048576,L$2,FALSE)</f>
        <v>0.2762969924</v>
      </c>
      <c r="M50">
        <f>+VLOOKUP($E50,Hybrid!$1:$1048576,M$2,FALSE)</f>
        <v>0.28122528190000001</v>
      </c>
      <c r="N50">
        <f>+VLOOKUP($E50,Hybrid!$1:$1048576,N$2,FALSE)</f>
        <v>0.28595741159999999</v>
      </c>
      <c r="O50">
        <f>+VLOOKUP($E50,Hybrid!$1:$1048576,O$2,FALSE)</f>
        <v>0.29045758589999998</v>
      </c>
      <c r="P50">
        <f>+VLOOKUP($E50,Hybrid!$1:$1048576,P$2,FALSE)</f>
        <v>0.29470310329999999</v>
      </c>
      <c r="Q50">
        <f>+VLOOKUP($E50,Hybrid!$1:$1048576,Q$2,FALSE)</f>
        <v>0.29867957150000002</v>
      </c>
      <c r="R50">
        <f>+VLOOKUP($E50,Hybrid!$1:$1048576,R$2,FALSE)</f>
        <v>0.30237800100000001</v>
      </c>
      <c r="S50">
        <f>+VLOOKUP($E50,Hybrid!$1:$1048576,S$2,FALSE)</f>
        <v>0.30579303190000001</v>
      </c>
      <c r="T50">
        <f>+VLOOKUP($E50,Hybrid!$1:$1048576,T$2,FALSE)</f>
        <v>0.30892183699999998</v>
      </c>
      <c r="U50">
        <f>+VLOOKUP($E50,Hybrid!$1:$1048576,U$2,FALSE)</f>
        <v>0.31176342219999997</v>
      </c>
      <c r="V50">
        <f>+VLOOKUP($E50,Hybrid!$1:$1048576,V$2,FALSE)</f>
        <v>0.31431816540000002</v>
      </c>
      <c r="W50">
        <f>+VLOOKUP($E50,Hybrid!$1:$1048576,W$2,FALSE)</f>
        <v>0.31658750070000002</v>
      </c>
      <c r="X50">
        <f>+VLOOKUP($E50,Hybrid!$1:$1048576,X$2,FALSE)</f>
        <v>0.3185736931</v>
      </c>
      <c r="Y50">
        <f>+VLOOKUP($E50,Hybrid!$1:$1048576,Y$2,FALSE)</f>
        <v>0.32027967509999999</v>
      </c>
      <c r="Z50">
        <f>+VLOOKUP($E50,Hybrid!$1:$1048576,Z$2,FALSE)</f>
        <v>0.32170892429999998</v>
      </c>
      <c r="AA50">
        <f>+VLOOKUP($E50,Hybrid!$1:$1048576,AA$2,FALSE)</f>
        <v>0.32286537100000001</v>
      </c>
      <c r="AB50">
        <f>+VLOOKUP($E50,Hybrid!$1:$1048576,AB$2,FALSE)</f>
        <v>0.3237533279</v>
      </c>
      <c r="AC50">
        <f>+VLOOKUP($E50,Hybrid!$1:$1048576,AC$2,FALSE)</f>
        <v>0.32437743530000002</v>
      </c>
      <c r="AD50">
        <f>+VLOOKUP($E50,Hybrid!$1:$1048576,AD$2,FALSE)</f>
        <v>0.32474261780000002</v>
      </c>
      <c r="AE50">
        <f>+VLOOKUP($E50,Hybrid!$1:$1048576,AE$2,FALSE)</f>
        <v>0.32485404810000001</v>
      </c>
      <c r="AF50">
        <f>+VLOOKUP($E50,Hybrid!$1:$1048576,AF$2,FALSE)</f>
        <v>0.32471711730000002</v>
      </c>
      <c r="AG50">
        <f>+VLOOKUP($E50,Hybrid!$1:$1048576,AG$2,FALSE)</f>
        <v>0.32433740820000001</v>
      </c>
      <c r="AH50">
        <f>+VLOOKUP($E50,Hybrid!$1:$1048576,AH$2,FALSE)</f>
        <v>0.32372067049999997</v>
      </c>
      <c r="AI50">
        <f>+VLOOKUP($E50,Hybrid!$1:$1048576,AI$2,FALSE)</f>
        <v>0.32287279899999999</v>
      </c>
      <c r="AJ50">
        <f>+VLOOKUP($E50,Hybrid!$1:$1048576,AJ$2,FALSE)</f>
        <v>0.32179981210000003</v>
      </c>
      <c r="AK50">
        <f>+VLOOKUP($E50,Hybrid!$1:$1048576,AK$2,FALSE)</f>
        <v>0.3205078314</v>
      </c>
      <c r="AL50">
        <f>+VLOOKUP($E50,Hybrid!$1:$1048576,AL$2,FALSE)</f>
        <v>0.31900306379999999</v>
      </c>
      <c r="AM50">
        <f>+VLOOKUP($E50,Hybrid!$1:$1048576,AM$2,FALSE)</f>
        <v>0.31729178359999999</v>
      </c>
      <c r="AN50">
        <f>+VLOOKUP($E50,Hybrid!$1:$1048576,AN$2,FALSE)</f>
        <v>0.31538031640000003</v>
      </c>
      <c r="AO50">
        <f>+VLOOKUP($E50,Hybrid!$1:$1048576,AO$2,FALSE)</f>
        <v>0.31327502540000002</v>
      </c>
    </row>
    <row r="51" spans="1:43" ht="15" customHeight="1" x14ac:dyDescent="0.25">
      <c r="A51" s="316"/>
      <c r="B51" s="315"/>
      <c r="C51" s="171"/>
      <c r="D51" s="124" t="s">
        <v>544</v>
      </c>
      <c r="E51" s="46" t="s">
        <v>398</v>
      </c>
      <c r="F51" s="73">
        <f>+VLOOKUP($E51,Hybrid!$1:$1048576,F$2,FALSE)</f>
        <v>0.15020246549999999</v>
      </c>
      <c r="G51" s="73">
        <f>+VLOOKUP($E51,Hybrid!$1:$1048576,G$2,FALSE)</f>
        <v>0.15208636</v>
      </c>
      <c r="H51" s="73">
        <f>+VLOOKUP($E51,Hybrid!$1:$1048576,H$2,FALSE)</f>
        <v>0.15461233529999999</v>
      </c>
      <c r="I51">
        <f>+VLOOKUP($E51,Hybrid!$1:$1048576,I$2,FALSE)</f>
        <v>0.1574330914</v>
      </c>
      <c r="J51">
        <f>+VLOOKUP($E51,Hybrid!$1:$1048576,J$2,FALSE)</f>
        <v>0.16032595220000001</v>
      </c>
      <c r="K51">
        <f>+VLOOKUP($E51,Hybrid!$1:$1048576,K$2,FALSE)</f>
        <v>0.16315238379999999</v>
      </c>
      <c r="L51">
        <f>+VLOOKUP($E51,Hybrid!$1:$1048576,L$2,FALSE)</f>
        <v>0.16582827310000001</v>
      </c>
      <c r="M51">
        <f>+VLOOKUP($E51,Hybrid!$1:$1048576,M$2,FALSE)</f>
        <v>0.16830371420000001</v>
      </c>
      <c r="N51">
        <f>+VLOOKUP($E51,Hybrid!$1:$1048576,N$2,FALSE)</f>
        <v>0.1705499402</v>
      </c>
      <c r="O51">
        <f>+VLOOKUP($E51,Hybrid!$1:$1048576,O$2,FALSE)</f>
        <v>0.17255116619999999</v>
      </c>
      <c r="P51">
        <f>+VLOOKUP($E51,Hybrid!$1:$1048576,P$2,FALSE)</f>
        <v>0.17429961799999999</v>
      </c>
      <c r="Q51">
        <f>+VLOOKUP($E51,Hybrid!$1:$1048576,Q$2,FALSE)</f>
        <v>0.17579254590000001</v>
      </c>
      <c r="R51">
        <f>+VLOOKUP($E51,Hybrid!$1:$1048576,R$2,FALSE)</f>
        <v>0.1770304382</v>
      </c>
      <c r="S51">
        <f>+VLOOKUP($E51,Hybrid!$1:$1048576,S$2,FALSE)</f>
        <v>0.17801594400000001</v>
      </c>
      <c r="T51">
        <f>+VLOOKUP($E51,Hybrid!$1:$1048576,T$2,FALSE)</f>
        <v>0.1787532097</v>
      </c>
      <c r="U51">
        <f>+VLOOKUP($E51,Hybrid!$1:$1048576,U$2,FALSE)</f>
        <v>0.17924745619999999</v>
      </c>
      <c r="V51">
        <f>+VLOOKUP($E51,Hybrid!$1:$1048576,V$2,FALSE)</f>
        <v>0.17950469729999999</v>
      </c>
      <c r="W51">
        <f>+VLOOKUP($E51,Hybrid!$1:$1048576,W$2,FALSE)</f>
        <v>0.1795315442</v>
      </c>
      <c r="X51">
        <f>+VLOOKUP($E51,Hybrid!$1:$1048576,X$2,FALSE)</f>
        <v>0.17933506499999999</v>
      </c>
      <c r="Y51">
        <f>+VLOOKUP($E51,Hybrid!$1:$1048576,Y$2,FALSE)</f>
        <v>0.17892267889999999</v>
      </c>
      <c r="Z51">
        <f>+VLOOKUP($E51,Hybrid!$1:$1048576,Z$2,FALSE)</f>
        <v>0.17830207689999999</v>
      </c>
      <c r="AA51">
        <f>+VLOOKUP($E51,Hybrid!$1:$1048576,AA$2,FALSE)</f>
        <v>0.1774811597</v>
      </c>
      <c r="AB51">
        <f>+VLOOKUP($E51,Hybrid!$1:$1048576,AB$2,FALSE)</f>
        <v>0.1764679891</v>
      </c>
      <c r="AC51">
        <f>+VLOOKUP($E51,Hybrid!$1:$1048576,AC$2,FALSE)</f>
        <v>0.1752707479</v>
      </c>
      <c r="AD51">
        <f>+VLOOKUP($E51,Hybrid!$1:$1048576,AD$2,FALSE)</f>
        <v>0.1738977078</v>
      </c>
      <c r="AE51">
        <f>+VLOOKUP($E51,Hybrid!$1:$1048576,AE$2,FALSE)</f>
        <v>0.17235720060000001</v>
      </c>
      <c r="AF51">
        <f>+VLOOKUP($E51,Hybrid!$1:$1048576,AF$2,FALSE)</f>
        <v>0.17065759389999999</v>
      </c>
      <c r="AG51">
        <f>+VLOOKUP($E51,Hybrid!$1:$1048576,AG$2,FALSE)</f>
        <v>0.16880726770000001</v>
      </c>
      <c r="AH51">
        <f>+VLOOKUP($E51,Hybrid!$1:$1048576,AH$2,FALSE)</f>
        <v>0.1668145942</v>
      </c>
      <c r="AI51">
        <f>+VLOOKUP($E51,Hybrid!$1:$1048576,AI$2,FALSE)</f>
        <v>0.16468791720000001</v>
      </c>
      <c r="AJ51">
        <f>+VLOOKUP($E51,Hybrid!$1:$1048576,AJ$2,FALSE)</f>
        <v>0.16243553429999999</v>
      </c>
      <c r="AK51">
        <f>+VLOOKUP($E51,Hybrid!$1:$1048576,AK$2,FALSE)</f>
        <v>0.16006567869999999</v>
      </c>
      <c r="AL51">
        <f>+VLOOKUP($E51,Hybrid!$1:$1048576,AL$2,FALSE)</f>
        <v>0.15758650330000001</v>
      </c>
      <c r="AM51">
        <f>+VLOOKUP($E51,Hybrid!$1:$1048576,AM$2,FALSE)</f>
        <v>0.15500606480000001</v>
      </c>
      <c r="AN51">
        <f>+VLOOKUP($E51,Hybrid!$1:$1048576,AN$2,FALSE)</f>
        <v>0.1523323103</v>
      </c>
      <c r="AO51">
        <f>+VLOOKUP($E51,Hybrid!$1:$1048576,AO$2,FALSE)</f>
        <v>0.14957306400000001</v>
      </c>
    </row>
    <row r="52" spans="1:43" ht="15" customHeight="1" x14ac:dyDescent="0.25">
      <c r="A52" s="316"/>
      <c r="B52" s="315"/>
      <c r="C52" s="171"/>
      <c r="D52" s="124" t="s">
        <v>545</v>
      </c>
      <c r="E52" s="46" t="s">
        <v>399</v>
      </c>
      <c r="F52" s="73">
        <f>+VLOOKUP($E52,Hybrid!$1:$1048576,F$2,FALSE)</f>
        <v>7.4609436000000001E-2</v>
      </c>
      <c r="G52" s="73">
        <f>+VLOOKUP($E52,Hybrid!$1:$1048576,G$2,FALSE)</f>
        <v>7.5303854000000003E-2</v>
      </c>
      <c r="H52" s="73">
        <f>+VLOOKUP($E52,Hybrid!$1:$1048576,H$2,FALSE)</f>
        <v>7.61678831E-2</v>
      </c>
      <c r="I52">
        <f>+VLOOKUP($E52,Hybrid!$1:$1048576,I$2,FALSE)</f>
        <v>7.70104608E-2</v>
      </c>
      <c r="J52">
        <f>+VLOOKUP($E52,Hybrid!$1:$1048576,J$2,FALSE)</f>
        <v>7.7721315700000002E-2</v>
      </c>
      <c r="K52">
        <f>+VLOOKUP($E52,Hybrid!$1:$1048576,K$2,FALSE)</f>
        <v>7.8242029099999999E-2</v>
      </c>
      <c r="L52">
        <f>+VLOOKUP($E52,Hybrid!$1:$1048576,L$2,FALSE)</f>
        <v>7.8545799799999996E-2</v>
      </c>
      <c r="M52">
        <f>+VLOOKUP($E52,Hybrid!$1:$1048576,M$2,FALSE)</f>
        <v>7.8624437599999999E-2</v>
      </c>
      <c r="N52">
        <f>+VLOOKUP($E52,Hybrid!$1:$1048576,N$2,FALSE)</f>
        <v>7.8480431599999997E-2</v>
      </c>
      <c r="O52">
        <f>+VLOOKUP($E52,Hybrid!$1:$1048576,O$2,FALSE)</f>
        <v>7.8122275899999996E-2</v>
      </c>
      <c r="P52">
        <f>+VLOOKUP($E52,Hybrid!$1:$1048576,P$2,FALSE)</f>
        <v>7.7561773200000003E-2</v>
      </c>
      <c r="Q52">
        <f>+VLOOKUP($E52,Hybrid!$1:$1048576,Q$2,FALSE)</f>
        <v>7.6812491100000005E-2</v>
      </c>
      <c r="R52">
        <f>+VLOOKUP($E52,Hybrid!$1:$1048576,R$2,FALSE)</f>
        <v>7.5888872299999993E-2</v>
      </c>
      <c r="S52">
        <f>+VLOOKUP($E52,Hybrid!$1:$1048576,S$2,FALSE)</f>
        <v>7.4805708200000001E-2</v>
      </c>
      <c r="T52">
        <f>+VLOOKUP($E52,Hybrid!$1:$1048576,T$2,FALSE)</f>
        <v>7.3577815000000005E-2</v>
      </c>
      <c r="U52">
        <f>+VLOOKUP($E52,Hybrid!$1:$1048576,U$2,FALSE)</f>
        <v>7.2219823200000005E-2</v>
      </c>
      <c r="V52">
        <f>+VLOOKUP($E52,Hybrid!$1:$1048576,V$2,FALSE)</f>
        <v>7.0746033799999997E-2</v>
      </c>
      <c r="W52">
        <f>+VLOOKUP($E52,Hybrid!$1:$1048576,W$2,FALSE)</f>
        <v>6.9170316300000007E-2</v>
      </c>
      <c r="X52">
        <f>+VLOOKUP($E52,Hybrid!$1:$1048576,X$2,FALSE)</f>
        <v>6.7506034699999995E-2</v>
      </c>
      <c r="Y52">
        <f>+VLOOKUP($E52,Hybrid!$1:$1048576,Y$2,FALSE)</f>
        <v>6.5765993800000005E-2</v>
      </c>
      <c r="Z52">
        <f>+VLOOKUP($E52,Hybrid!$1:$1048576,Z$2,FALSE)</f>
        <v>6.39623998E-2</v>
      </c>
      <c r="AA52">
        <f>+VLOOKUP($E52,Hybrid!$1:$1048576,AA$2,FALSE)</f>
        <v>6.21068335E-2</v>
      </c>
      <c r="AB52">
        <f>+VLOOKUP($E52,Hybrid!$1:$1048576,AB$2,FALSE)</f>
        <v>6.02102318E-2</v>
      </c>
      <c r="AC52">
        <f>+VLOOKUP($E52,Hybrid!$1:$1048576,AC$2,FALSE)</f>
        <v>5.8282877400000002E-2</v>
      </c>
      <c r="AD52">
        <f>+VLOOKUP($E52,Hybrid!$1:$1048576,AD$2,FALSE)</f>
        <v>5.6334393500000003E-2</v>
      </c>
      <c r="AE52">
        <f>+VLOOKUP($E52,Hybrid!$1:$1048576,AE$2,FALSE)</f>
        <v>5.43737444E-2</v>
      </c>
      <c r="AF52">
        <f>+VLOOKUP($E52,Hybrid!$1:$1048576,AF$2,FALSE)</f>
        <v>5.2409239099999998E-2</v>
      </c>
      <c r="AG52">
        <f>+VLOOKUP($E52,Hybrid!$1:$1048576,AG$2,FALSE)</f>
        <v>5.0448539799999997E-2</v>
      </c>
      <c r="AH52">
        <f>+VLOOKUP($E52,Hybrid!$1:$1048576,AH$2,FALSE)</f>
        <v>4.8498672399999998E-2</v>
      </c>
      <c r="AI52">
        <f>+VLOOKUP($E52,Hybrid!$1:$1048576,AI$2,FALSE)</f>
        <v>4.6566040699999998E-2</v>
      </c>
      <c r="AJ52">
        <f>+VLOOKUP($E52,Hybrid!$1:$1048576,AJ$2,FALSE)</f>
        <v>4.4656442499999997E-2</v>
      </c>
      <c r="AK52">
        <f>+VLOOKUP($E52,Hybrid!$1:$1048576,AK$2,FALSE)</f>
        <v>4.2775088099999997E-2</v>
      </c>
      <c r="AL52">
        <f>+VLOOKUP($E52,Hybrid!$1:$1048576,AL$2,FALSE)</f>
        <v>4.0926621500000003E-2</v>
      </c>
      <c r="AM52">
        <f>+VLOOKUP($E52,Hybrid!$1:$1048576,AM$2,FALSE)</f>
        <v>3.9115141899999997E-2</v>
      </c>
      <c r="AN52">
        <f>+VLOOKUP($E52,Hybrid!$1:$1048576,AN$2,FALSE)</f>
        <v>3.7344228100000001E-2</v>
      </c>
      <c r="AO52">
        <f>+VLOOKUP($E52,Hybrid!$1:$1048576,AO$2,FALSE)</f>
        <v>3.5616963299999999E-2</v>
      </c>
    </row>
    <row r="53" spans="1:43" ht="15" customHeight="1" x14ac:dyDescent="0.25">
      <c r="A53" s="316"/>
      <c r="B53" s="315"/>
      <c r="C53" s="172"/>
      <c r="D53" s="125" t="s">
        <v>546</v>
      </c>
      <c r="E53" s="94" t="s">
        <v>400</v>
      </c>
      <c r="F53" s="245">
        <f>+VLOOKUP($E53,Hybrid!$1:$1048576,F$2,FALSE)</f>
        <v>0.13435819299999999</v>
      </c>
      <c r="G53" s="245">
        <f>+VLOOKUP($E53,Hybrid!$1:$1048576,G$2,FALSE)</f>
        <v>0.13586778920000001</v>
      </c>
      <c r="H53" s="245">
        <f>+VLOOKUP($E53,Hybrid!$1:$1048576,H$2,FALSE)</f>
        <v>0.1374440854</v>
      </c>
      <c r="I53" s="245">
        <f>+VLOOKUP($E53,Hybrid!$1:$1048576,I$2,FALSE)</f>
        <v>0.13870944860000001</v>
      </c>
      <c r="J53" s="245">
        <f>+VLOOKUP($E53,Hybrid!$1:$1048576,J$2,FALSE)</f>
        <v>0.1394722561</v>
      </c>
      <c r="K53" s="245">
        <f>+VLOOKUP($E53,Hybrid!$1:$1048576,K$2,FALSE)</f>
        <v>0.13965508700000001</v>
      </c>
      <c r="L53" s="245">
        <f>+VLOOKUP($E53,Hybrid!$1:$1048576,L$2,FALSE)</f>
        <v>0.13924622179999999</v>
      </c>
      <c r="M53" s="245">
        <f>+VLOOKUP($E53,Hybrid!$1:$1048576,M$2,FALSE)</f>
        <v>0.1382696749</v>
      </c>
      <c r="N53" s="245">
        <f>+VLOOKUP($E53,Hybrid!$1:$1048576,N$2,FALSE)</f>
        <v>0.1367676786</v>
      </c>
      <c r="O53" s="245">
        <f>+VLOOKUP($E53,Hybrid!$1:$1048576,O$2,FALSE)</f>
        <v>0.1347908163</v>
      </c>
      <c r="P53" s="245">
        <f>+VLOOKUP($E53,Hybrid!$1:$1048576,P$2,FALSE)</f>
        <v>0.13239259850000001</v>
      </c>
      <c r="Q53" s="245">
        <f>+VLOOKUP($E53,Hybrid!$1:$1048576,Q$2,FALSE)</f>
        <v>0.12962652050000001</v>
      </c>
      <c r="R53" s="245">
        <f>+VLOOKUP($E53,Hybrid!$1:$1048576,R$2,FALSE)</f>
        <v>0.12654447029999999</v>
      </c>
      <c r="S53" s="245">
        <f>+VLOOKUP($E53,Hybrid!$1:$1048576,S$2,FALSE)</f>
        <v>0.123195865</v>
      </c>
      <c r="T53" s="245">
        <f>+VLOOKUP($E53,Hybrid!$1:$1048576,T$2,FALSE)</f>
        <v>0.1196271825</v>
      </c>
      <c r="U53" s="245">
        <f>+VLOOKUP($E53,Hybrid!$1:$1048576,U$2,FALSE)</f>
        <v>0.11588171479999999</v>
      </c>
      <c r="V53" s="245">
        <f>+VLOOKUP($E53,Hybrid!$1:$1048576,V$2,FALSE)</f>
        <v>0.1119994555</v>
      </c>
      <c r="W53" s="245">
        <f>+VLOOKUP($E53,Hybrid!$1:$1048576,W$2,FALSE)</f>
        <v>0.10801707219999999</v>
      </c>
      <c r="X53" s="245">
        <f>+VLOOKUP($E53,Hybrid!$1:$1048576,X$2,FALSE)</f>
        <v>0.1039679376</v>
      </c>
      <c r="Y53" s="245">
        <f>+VLOOKUP($E53,Hybrid!$1:$1048576,Y$2,FALSE)</f>
        <v>9.9882204399999994E-2</v>
      </c>
      <c r="Z53" s="245">
        <f>+VLOOKUP($E53,Hybrid!$1:$1048576,Z$2,FALSE)</f>
        <v>9.57869103E-2</v>
      </c>
      <c r="AA53" s="245">
        <f>+VLOOKUP($E53,Hybrid!$1:$1048576,AA$2,FALSE)</f>
        <v>9.1706106499999995E-2</v>
      </c>
      <c r="AB53" s="245">
        <f>+VLOOKUP($E53,Hybrid!$1:$1048576,AB$2,FALSE)</f>
        <v>8.7661003000000001E-2</v>
      </c>
      <c r="AC53" s="245">
        <f>+VLOOKUP($E53,Hybrid!$1:$1048576,AC$2,FALSE)</f>
        <v>8.3670124799999995E-2</v>
      </c>
      <c r="AD53" s="245">
        <f>+VLOOKUP($E53,Hybrid!$1:$1048576,AD$2,FALSE)</f>
        <v>7.9749476E-2</v>
      </c>
      <c r="AE53" s="245">
        <f>+VLOOKUP($E53,Hybrid!$1:$1048576,AE$2,FALSE)</f>
        <v>7.5912708600000003E-2</v>
      </c>
      <c r="AF53" s="245">
        <f>+VLOOKUP($E53,Hybrid!$1:$1048576,AF$2,FALSE)</f>
        <v>7.2171291999999998E-2</v>
      </c>
      <c r="AG53" s="245">
        <f>+VLOOKUP($E53,Hybrid!$1:$1048576,AG$2,FALSE)</f>
        <v>6.8534683499999999E-2</v>
      </c>
      <c r="AH53" s="245">
        <f>+VLOOKUP($E53,Hybrid!$1:$1048576,AH$2,FALSE)</f>
        <v>6.5010495500000001E-2</v>
      </c>
      <c r="AI53" s="245">
        <f>+VLOOKUP($E53,Hybrid!$1:$1048576,AI$2,FALSE)</f>
        <v>6.16046601E-2</v>
      </c>
      <c r="AJ53" s="245">
        <f>+VLOOKUP($E53,Hybrid!$1:$1048576,AJ$2,FALSE)</f>
        <v>5.8321589100000001E-2</v>
      </c>
      <c r="AK53" s="245">
        <f>+VLOOKUP($E53,Hybrid!$1:$1048576,AK$2,FALSE)</f>
        <v>5.5164326999999999E-2</v>
      </c>
      <c r="AL53" s="245">
        <f>+VLOOKUP($E53,Hybrid!$1:$1048576,AL$2,FALSE)</f>
        <v>5.2134699399999998E-2</v>
      </c>
      <c r="AM53" s="245">
        <f>+VLOOKUP($E53,Hybrid!$1:$1048576,AM$2,FALSE)</f>
        <v>4.9233452300000001E-2</v>
      </c>
      <c r="AN53" s="245">
        <f>+VLOOKUP($E53,Hybrid!$1:$1048576,AN$2,FALSE)</f>
        <v>4.6460385299999997E-2</v>
      </c>
      <c r="AO53" s="245">
        <f>+VLOOKUP($E53,Hybrid!$1:$1048576,AO$2,FALSE)</f>
        <v>4.38144746E-2</v>
      </c>
    </row>
    <row r="54" spans="1:43" s="111" customFormat="1" ht="15" customHeight="1" x14ac:dyDescent="0.25">
      <c r="A54" s="316"/>
      <c r="B54" s="315"/>
      <c r="C54" s="122" t="s">
        <v>550</v>
      </c>
      <c r="D54" s="123"/>
      <c r="E54" s="91" t="s">
        <v>402</v>
      </c>
      <c r="F54" s="111">
        <f>+VLOOKUP($E54,Hybrid!$1:$1048576,F$2,FALSE)</f>
        <v>1886.229</v>
      </c>
      <c r="G54" s="111">
        <f>+VLOOKUP($E54,Hybrid!$1:$1048576,G$2,FALSE)</f>
        <v>2121.8059619999999</v>
      </c>
      <c r="H54" s="111">
        <f>+VLOOKUP($E54,Hybrid!$1:$1048576,H$2,FALSE)</f>
        <v>2286.102993</v>
      </c>
      <c r="I54" s="111">
        <f>+VLOOKUP($E54,Hybrid!$1:$1048576,I$2,FALSE)</f>
        <v>2400.528687</v>
      </c>
      <c r="J54" s="111">
        <f>+VLOOKUP($E54,Hybrid!$1:$1048576,J$2,FALSE)</f>
        <v>2480.7808479999999</v>
      </c>
      <c r="K54" s="111">
        <f>+VLOOKUP($E54,Hybrid!$1:$1048576,K$2,FALSE)</f>
        <v>2537.837047</v>
      </c>
      <c r="L54" s="111">
        <f>+VLOOKUP($E54,Hybrid!$1:$1048576,L$2,FALSE)</f>
        <v>2581.477351</v>
      </c>
      <c r="M54" s="111">
        <f>+VLOOKUP($E54,Hybrid!$1:$1048576,M$2,FALSE)</f>
        <v>2618.2021749999999</v>
      </c>
      <c r="N54" s="111">
        <f>+VLOOKUP($E54,Hybrid!$1:$1048576,N$2,FALSE)</f>
        <v>2649.6746109999999</v>
      </c>
      <c r="O54" s="111">
        <f>+VLOOKUP($E54,Hybrid!$1:$1048576,O$2,FALSE)</f>
        <v>2676.8482650000001</v>
      </c>
      <c r="P54" s="111">
        <f>+VLOOKUP($E54,Hybrid!$1:$1048576,P$2,FALSE)</f>
        <v>2700.3106360000002</v>
      </c>
      <c r="Q54" s="111">
        <f>+VLOOKUP($E54,Hybrid!$1:$1048576,Q$2,FALSE)</f>
        <v>2720.3954100000001</v>
      </c>
      <c r="R54" s="111">
        <f>+VLOOKUP($E54,Hybrid!$1:$1048576,R$2,FALSE)</f>
        <v>2737.259708</v>
      </c>
      <c r="S54" s="111">
        <f>+VLOOKUP($E54,Hybrid!$1:$1048576,S$2,FALSE)</f>
        <v>2750.9400209999999</v>
      </c>
      <c r="T54" s="111">
        <f>+VLOOKUP($E54,Hybrid!$1:$1048576,T$2,FALSE)</f>
        <v>2761.391752</v>
      </c>
      <c r="U54" s="111">
        <f>+VLOOKUP($E54,Hybrid!$1:$1048576,U$2,FALSE)</f>
        <v>2768.516995</v>
      </c>
      <c r="V54" s="111">
        <f>+VLOOKUP($E54,Hybrid!$1:$1048576,V$2,FALSE)</f>
        <v>2774.6678139999999</v>
      </c>
      <c r="W54" s="111">
        <f>+VLOOKUP($E54,Hybrid!$1:$1048576,W$2,FALSE)</f>
        <v>2782.0125619999999</v>
      </c>
      <c r="X54" s="111">
        <f>+VLOOKUP($E54,Hybrid!$1:$1048576,X$2,FALSE)</f>
        <v>2789.753342</v>
      </c>
      <c r="Y54" s="111">
        <f>+VLOOKUP($E54,Hybrid!$1:$1048576,Y$2,FALSE)</f>
        <v>2797.372942</v>
      </c>
      <c r="Z54" s="111">
        <f>+VLOOKUP($E54,Hybrid!$1:$1048576,Z$2,FALSE)</f>
        <v>2804.5968539999999</v>
      </c>
      <c r="AA54" s="111">
        <f>+VLOOKUP($E54,Hybrid!$1:$1048576,AA$2,FALSE)</f>
        <v>2811.280827</v>
      </c>
      <c r="AB54" s="111">
        <f>+VLOOKUP($E54,Hybrid!$1:$1048576,AB$2,FALSE)</f>
        <v>2817.345108</v>
      </c>
      <c r="AC54" s="111">
        <f>+VLOOKUP($E54,Hybrid!$1:$1048576,AC$2,FALSE)</f>
        <v>2822.7398899999998</v>
      </c>
      <c r="AD54" s="111">
        <f>+VLOOKUP($E54,Hybrid!$1:$1048576,AD$2,FALSE)</f>
        <v>2827.4283770000002</v>
      </c>
      <c r="AE54" s="111">
        <f>+VLOOKUP($E54,Hybrid!$1:$1048576,AE$2,FALSE)</f>
        <v>2831.3790909999998</v>
      </c>
      <c r="AF54" s="111">
        <f>+VLOOKUP($E54,Hybrid!$1:$1048576,AF$2,FALSE)</f>
        <v>2834.5628860000002</v>
      </c>
      <c r="AG54" s="111">
        <f>+VLOOKUP($E54,Hybrid!$1:$1048576,AG$2,FALSE)</f>
        <v>2836.952299</v>
      </c>
      <c r="AH54" s="111">
        <f>+VLOOKUP($E54,Hybrid!$1:$1048576,AH$2,FALSE)</f>
        <v>2838.522011</v>
      </c>
      <c r="AI54" s="111">
        <f>+VLOOKUP($E54,Hybrid!$1:$1048576,AI$2,FALSE)</f>
        <v>2839.24973</v>
      </c>
      <c r="AJ54" s="111">
        <f>+VLOOKUP($E54,Hybrid!$1:$1048576,AJ$2,FALSE)</f>
        <v>2839.1171979999999</v>
      </c>
      <c r="AK54" s="111">
        <f>+VLOOKUP($E54,Hybrid!$1:$1048576,AK$2,FALSE)</f>
        <v>2838.111022</v>
      </c>
      <c r="AL54" s="111">
        <f>+VLOOKUP($E54,Hybrid!$1:$1048576,AL$2,FALSE)</f>
        <v>2836.223348</v>
      </c>
      <c r="AM54" s="111">
        <f>+VLOOKUP($E54,Hybrid!$1:$1048576,AM$2,FALSE)</f>
        <v>2833.4522750000001</v>
      </c>
      <c r="AN54" s="111">
        <f>+VLOOKUP($E54,Hybrid!$1:$1048576,AN$2,FALSE)</f>
        <v>2829.8020540000002</v>
      </c>
      <c r="AO54" s="111">
        <f>+VLOOKUP($E54,Hybrid!$1:$1048576,AO$2,FALSE)</f>
        <v>2825.2830899999999</v>
      </c>
    </row>
    <row r="55" spans="1:43" s="111" customFormat="1" ht="15" customHeight="1" x14ac:dyDescent="0.25">
      <c r="A55" s="316"/>
      <c r="B55" s="315"/>
      <c r="C55" s="122" t="s">
        <v>548</v>
      </c>
      <c r="D55" s="123"/>
      <c r="E55" s="91" t="s">
        <v>403</v>
      </c>
      <c r="F55" s="111">
        <f>+VLOOKUP($E55,Hybrid!$1:$1048576,F$2,FALSE)</f>
        <v>1868.8030000000001</v>
      </c>
      <c r="G55" s="111">
        <f>+VLOOKUP($E55,Hybrid!$1:$1048576,G$2,FALSE)</f>
        <v>2102.1721870000001</v>
      </c>
      <c r="H55" s="111">
        <f>+VLOOKUP($E55,Hybrid!$1:$1048576,H$2,FALSE)</f>
        <v>2264.8333320000002</v>
      </c>
      <c r="I55" s="111">
        <f>+VLOOKUP($E55,Hybrid!$1:$1048576,I$2,FALSE)</f>
        <v>2377.9790739999999</v>
      </c>
      <c r="J55" s="111">
        <f>+VLOOKUP($E55,Hybrid!$1:$1048576,J$2,FALSE)</f>
        <v>2457.1345759999999</v>
      </c>
      <c r="K55" s="111">
        <f>+VLOOKUP($E55,Hybrid!$1:$1048576,K$2,FALSE)</f>
        <v>2513.1323339999999</v>
      </c>
      <c r="L55" s="111">
        <f>+VLOOKUP($E55,Hybrid!$1:$1048576,L$2,FALSE)</f>
        <v>2555.616642</v>
      </c>
      <c r="M55" s="111">
        <f>+VLOOKUP($E55,Hybrid!$1:$1048576,M$2,FALSE)</f>
        <v>2591.0142970000002</v>
      </c>
      <c r="N55" s="111">
        <f>+VLOOKUP($E55,Hybrid!$1:$1048576,N$2,FALSE)</f>
        <v>2620.9790659999999</v>
      </c>
      <c r="O55" s="111">
        <f>+VLOOKUP($E55,Hybrid!$1:$1048576,O$2,FALSE)</f>
        <v>2646.4457790000001</v>
      </c>
      <c r="P55" s="111">
        <f>+VLOOKUP($E55,Hybrid!$1:$1048576,P$2,FALSE)</f>
        <v>2667.9674279999999</v>
      </c>
      <c r="Q55" s="111">
        <f>+VLOOKUP($E55,Hybrid!$1:$1048576,Q$2,FALSE)</f>
        <v>2685.8238729999998</v>
      </c>
      <c r="R55" s="111">
        <f>+VLOOKUP($E55,Hybrid!$1:$1048576,R$2,FALSE)</f>
        <v>2700.0949620000001</v>
      </c>
      <c r="S55" s="111">
        <f>+VLOOKUP($E55,Hybrid!$1:$1048576,S$2,FALSE)</f>
        <v>2710.710298</v>
      </c>
      <c r="T55" s="111">
        <f>+VLOOKUP($E55,Hybrid!$1:$1048576,T$2,FALSE)</f>
        <v>2717.4797899999999</v>
      </c>
      <c r="U55" s="111">
        <f>+VLOOKUP($E55,Hybrid!$1:$1048576,U$2,FALSE)</f>
        <v>2720.1071619999998</v>
      </c>
      <c r="V55" s="111">
        <f>+VLOOKUP($E55,Hybrid!$1:$1048576,V$2,FALSE)</f>
        <v>2720.6636140000001</v>
      </c>
      <c r="W55" s="111">
        <f>+VLOOKUP($E55,Hybrid!$1:$1048576,W$2,FALSE)</f>
        <v>2721.0519720000002</v>
      </c>
      <c r="X55" s="111">
        <f>+VLOOKUP($E55,Hybrid!$1:$1048576,X$2,FALSE)</f>
        <v>2720.2897320000002</v>
      </c>
      <c r="Y55" s="111">
        <f>+VLOOKUP($E55,Hybrid!$1:$1048576,Y$2,FALSE)</f>
        <v>2717.655131</v>
      </c>
      <c r="Z55" s="111">
        <f>+VLOOKUP($E55,Hybrid!$1:$1048576,Z$2,FALSE)</f>
        <v>2712.6483680000001</v>
      </c>
      <c r="AA55" s="111">
        <f>+VLOOKUP($E55,Hybrid!$1:$1048576,AA$2,FALSE)</f>
        <v>2704.880838</v>
      </c>
      <c r="AB55" s="111">
        <f>+VLOOKUP($E55,Hybrid!$1:$1048576,AB$2,FALSE)</f>
        <v>2694.0113590000001</v>
      </c>
      <c r="AC55" s="111">
        <f>+VLOOKUP($E55,Hybrid!$1:$1048576,AC$2,FALSE)</f>
        <v>2679.714152</v>
      </c>
      <c r="AD55" s="111">
        <f>+VLOOKUP($E55,Hybrid!$1:$1048576,AD$2,FALSE)</f>
        <v>2661.6652549999999</v>
      </c>
      <c r="AE55" s="111">
        <f>+VLOOKUP($E55,Hybrid!$1:$1048576,AE$2,FALSE)</f>
        <v>2639.5392350000002</v>
      </c>
      <c r="AF55" s="111">
        <f>+VLOOKUP($E55,Hybrid!$1:$1048576,AF$2,FALSE)</f>
        <v>2613.0118499999999</v>
      </c>
      <c r="AG55" s="111">
        <f>+VLOOKUP($E55,Hybrid!$1:$1048576,AG$2,FALSE)</f>
        <v>2581.7664169999998</v>
      </c>
      <c r="AH55" s="111">
        <f>+VLOOKUP($E55,Hybrid!$1:$1048576,AH$2,FALSE)</f>
        <v>2545.5027</v>
      </c>
      <c r="AI55" s="111">
        <f>+VLOOKUP($E55,Hybrid!$1:$1048576,AI$2,FALSE)</f>
        <v>2503.9476909999998</v>
      </c>
      <c r="AJ55" s="111">
        <f>+VLOOKUP($E55,Hybrid!$1:$1048576,AJ$2,FALSE)</f>
        <v>2456.8676519999999</v>
      </c>
      <c r="AK55" s="111">
        <f>+VLOOKUP($E55,Hybrid!$1:$1048576,AK$2,FALSE)</f>
        <v>2404.0811840000001</v>
      </c>
      <c r="AL55" s="111">
        <f>+VLOOKUP($E55,Hybrid!$1:$1048576,AL$2,FALSE)</f>
        <v>2345.4726949999999</v>
      </c>
      <c r="AM55" s="111">
        <f>+VLOOKUP($E55,Hybrid!$1:$1048576,AM$2,FALSE)</f>
        <v>2281.005799</v>
      </c>
      <c r="AN55" s="111">
        <f>+VLOOKUP($E55,Hybrid!$1:$1048576,AN$2,FALSE)</f>
        <v>2210.7359339999998</v>
      </c>
      <c r="AO55" s="111">
        <f>+VLOOKUP($E55,Hybrid!$1:$1048576,AO$2,FALSE)</f>
        <v>2134.8214229999999</v>
      </c>
    </row>
    <row r="56" spans="1:43" ht="15" customHeight="1" x14ac:dyDescent="0.25">
      <c r="A56" s="316"/>
      <c r="B56" s="315"/>
      <c r="C56" s="171"/>
      <c r="D56" s="124" t="s">
        <v>540</v>
      </c>
      <c r="E56" s="46" t="s">
        <v>404</v>
      </c>
      <c r="F56" s="73">
        <f>+VLOOKUP($E56,Hybrid!$1:$1048576,F$2,FALSE)</f>
        <v>528.68436870000005</v>
      </c>
      <c r="G56" s="73">
        <f>+VLOOKUP($E56,Hybrid!$1:$1048576,G$2,FALSE)</f>
        <v>598.23805579999998</v>
      </c>
      <c r="H56" s="73">
        <f>+VLOOKUP($E56,Hybrid!$1:$1048576,H$2,FALSE)</f>
        <v>650.24460480000005</v>
      </c>
      <c r="I56" s="73">
        <f>+VLOOKUP($E56,Hybrid!$1:$1048576,I$2,FALSE)</f>
        <v>689.67492819999995</v>
      </c>
      <c r="J56" s="73">
        <f>+VLOOKUP($E56,Hybrid!$1:$1048576,J$2,FALSE)</f>
        <v>720.25056719999998</v>
      </c>
      <c r="K56" s="73">
        <f>+VLOOKUP($E56,Hybrid!$1:$1048576,K$2,FALSE)</f>
        <v>744.65539590000003</v>
      </c>
      <c r="L56" s="73">
        <f>+VLOOKUP($E56,Hybrid!$1:$1048576,L$2,FALSE)</f>
        <v>765.44422840000004</v>
      </c>
      <c r="M56" s="73">
        <f>+VLOOKUP($E56,Hybrid!$1:$1048576,M$2,FALSE)</f>
        <v>784.34265800000003</v>
      </c>
      <c r="N56" s="73">
        <f>+VLOOKUP($E56,Hybrid!$1:$1048576,N$2,FALSE)</f>
        <v>801.72941860000003</v>
      </c>
      <c r="O56" s="73">
        <f>+VLOOKUP($E56,Hybrid!$1:$1048576,O$2,FALSE)</f>
        <v>817.82974609999997</v>
      </c>
      <c r="P56" s="73">
        <f>+VLOOKUP($E56,Hybrid!$1:$1048576,P$2,FALSE)</f>
        <v>832.7846528</v>
      </c>
      <c r="Q56" s="73">
        <f>+VLOOKUP($E56,Hybrid!$1:$1048576,Q$2,FALSE)</f>
        <v>846.66731630000004</v>
      </c>
      <c r="R56" s="73">
        <f>+VLOOKUP($E56,Hybrid!$1:$1048576,R$2,FALSE)</f>
        <v>859.4967676</v>
      </c>
      <c r="S56" s="73">
        <f>+VLOOKUP($E56,Hybrid!$1:$1048576,S$2,FALSE)</f>
        <v>871.24858270000004</v>
      </c>
      <c r="T56" s="73">
        <f>+VLOOKUP($E56,Hybrid!$1:$1048576,T$2,FALSE)</f>
        <v>881.8616366</v>
      </c>
      <c r="U56" s="73">
        <f>+VLOOKUP($E56,Hybrid!$1:$1048576,U$2,FALSE)</f>
        <v>891.24024899999995</v>
      </c>
      <c r="V56" s="73">
        <f>+VLOOKUP($E56,Hybrid!$1:$1048576,V$2,FALSE)</f>
        <v>900.04909250000003</v>
      </c>
      <c r="W56" s="73">
        <f>+VLOOKUP($E56,Hybrid!$1:$1048576,W$2,FALSE)</f>
        <v>908.87380159999998</v>
      </c>
      <c r="X56" s="73">
        <f>+VLOOKUP($E56,Hybrid!$1:$1048576,X$2,FALSE)</f>
        <v>917.33707300000003</v>
      </c>
      <c r="Y56" s="73">
        <f>+VLOOKUP($E56,Hybrid!$1:$1048576,Y$2,FALSE)</f>
        <v>925.16180569999995</v>
      </c>
      <c r="Z56" s="73">
        <f>+VLOOKUP($E56,Hybrid!$1:$1048576,Z$2,FALSE)</f>
        <v>932.14956099999995</v>
      </c>
      <c r="AA56" s="73">
        <f>+VLOOKUP($E56,Hybrid!$1:$1048576,AA$2,FALSE)</f>
        <v>938.13976090000006</v>
      </c>
      <c r="AB56" s="73">
        <f>+VLOOKUP($E56,Hybrid!$1:$1048576,AB$2,FALSE)</f>
        <v>942.98627309999995</v>
      </c>
      <c r="AC56" s="73">
        <f>+VLOOKUP($E56,Hybrid!$1:$1048576,AC$2,FALSE)</f>
        <v>946.54538720000005</v>
      </c>
      <c r="AD56" s="73">
        <f>+VLOOKUP($E56,Hybrid!$1:$1048576,AD$2,FALSE)</f>
        <v>948.67037560000006</v>
      </c>
      <c r="AE56" s="73">
        <f>+VLOOKUP($E56,Hybrid!$1:$1048576,AE$2,FALSE)</f>
        <v>949.20979680000005</v>
      </c>
      <c r="AF56" s="73">
        <f>+VLOOKUP($E56,Hybrid!$1:$1048576,AF$2,FALSE)</f>
        <v>948.00805839999998</v>
      </c>
      <c r="AG56" s="73">
        <f>+VLOOKUP($E56,Hybrid!$1:$1048576,AG$2,FALSE)</f>
        <v>944.90750270000001</v>
      </c>
      <c r="AH56" s="73">
        <f>+VLOOKUP($E56,Hybrid!$1:$1048576,AH$2,FALSE)</f>
        <v>939.75165130000005</v>
      </c>
      <c r="AI56" s="73">
        <f>+VLOOKUP($E56,Hybrid!$1:$1048576,AI$2,FALSE)</f>
        <v>932.38941580000005</v>
      </c>
      <c r="AJ56" s="73">
        <f>+VLOOKUP($E56,Hybrid!$1:$1048576,AJ$2,FALSE)</f>
        <v>922.68008650000002</v>
      </c>
      <c r="AK56" s="73">
        <f>+VLOOKUP($E56,Hybrid!$1:$1048576,AK$2,FALSE)</f>
        <v>910.49903270000004</v>
      </c>
      <c r="AL56" s="73">
        <f>+VLOOKUP($E56,Hybrid!$1:$1048576,AL$2,FALSE)</f>
        <v>895.74389910000002</v>
      </c>
      <c r="AM56" s="73">
        <f>+VLOOKUP($E56,Hybrid!$1:$1048576,AM$2,FALSE)</f>
        <v>878.34111270000005</v>
      </c>
      <c r="AN56" s="73">
        <f>+VLOOKUP($E56,Hybrid!$1:$1048576,AN$2,FALSE)</f>
        <v>858.25241679999999</v>
      </c>
      <c r="AO56" s="73">
        <f>+VLOOKUP($E56,Hybrid!$1:$1048576,AO$2,FALSE)</f>
        <v>835.48108079999997</v>
      </c>
      <c r="AP56" s="73"/>
      <c r="AQ56" s="73"/>
    </row>
    <row r="57" spans="1:43" ht="15" customHeight="1" x14ac:dyDescent="0.25">
      <c r="A57" s="316"/>
      <c r="B57" s="315"/>
      <c r="C57" s="171"/>
      <c r="D57" s="124" t="s">
        <v>541</v>
      </c>
      <c r="E57" s="46" t="s">
        <v>407</v>
      </c>
      <c r="F57" s="73">
        <f>+VLOOKUP($E57,Hybrid!$1:$1048576,F$2,FALSE)</f>
        <v>507.5668948</v>
      </c>
      <c r="G57" s="73">
        <f>+VLOOKUP($E57,Hybrid!$1:$1048576,G$2,FALSE)</f>
        <v>573.64915540000004</v>
      </c>
      <c r="H57" s="73">
        <f>+VLOOKUP($E57,Hybrid!$1:$1048576,H$2,FALSE)</f>
        <v>622.34368410000002</v>
      </c>
      <c r="I57" s="73">
        <f>+VLOOKUP($E57,Hybrid!$1:$1048576,I$2,FALSE)</f>
        <v>658.59889599999997</v>
      </c>
      <c r="J57" s="73">
        <f>+VLOOKUP($E57,Hybrid!$1:$1048576,J$2,FALSE)</f>
        <v>686.09931349999999</v>
      </c>
      <c r="K57" s="73">
        <f>+VLOOKUP($E57,Hybrid!$1:$1048576,K$2,FALSE)</f>
        <v>707.47845489999997</v>
      </c>
      <c r="L57" s="73">
        <f>+VLOOKUP($E57,Hybrid!$1:$1048576,L$2,FALSE)</f>
        <v>725.2128553</v>
      </c>
      <c r="M57" s="73">
        <f>+VLOOKUP($E57,Hybrid!$1:$1048576,M$2,FALSE)</f>
        <v>740.98417119999999</v>
      </c>
      <c r="N57" s="73">
        <f>+VLOOKUP($E57,Hybrid!$1:$1048576,N$2,FALSE)</f>
        <v>755.18424949999996</v>
      </c>
      <c r="O57" s="73">
        <f>+VLOOKUP($E57,Hybrid!$1:$1048576,O$2,FALSE)</f>
        <v>768.03572029999998</v>
      </c>
      <c r="P57" s="73">
        <f>+VLOOKUP($E57,Hybrid!$1:$1048576,P$2,FALSE)</f>
        <v>779.66852029999995</v>
      </c>
      <c r="Q57" s="73">
        <f>+VLOOKUP($E57,Hybrid!$1:$1048576,Q$2,FALSE)</f>
        <v>790.14138330000003</v>
      </c>
      <c r="R57" s="73">
        <f>+VLOOKUP($E57,Hybrid!$1:$1048576,R$2,FALSE)</f>
        <v>799.45797630000004</v>
      </c>
      <c r="S57" s="73">
        <f>+VLOOKUP($E57,Hybrid!$1:$1048576,S$2,FALSE)</f>
        <v>807.5786253</v>
      </c>
      <c r="T57" s="73">
        <f>+VLOOKUP($E57,Hybrid!$1:$1048576,T$2,FALSE)</f>
        <v>814.42747629999997</v>
      </c>
      <c r="U57" s="73">
        <f>+VLOOKUP($E57,Hybrid!$1:$1048576,U$2,FALSE)</f>
        <v>819.89496350000002</v>
      </c>
      <c r="V57" s="73">
        <f>+VLOOKUP($E57,Hybrid!$1:$1048576,V$2,FALSE)</f>
        <v>824.58246410000004</v>
      </c>
      <c r="W57" s="73">
        <f>+VLOOKUP($E57,Hybrid!$1:$1048576,W$2,FALSE)</f>
        <v>829.04488790000005</v>
      </c>
      <c r="X57" s="73">
        <f>+VLOOKUP($E57,Hybrid!$1:$1048576,X$2,FALSE)</f>
        <v>832.96574009999995</v>
      </c>
      <c r="Y57" s="73">
        <f>+VLOOKUP($E57,Hybrid!$1:$1048576,Y$2,FALSE)</f>
        <v>836.10965940000006</v>
      </c>
      <c r="Z57" s="73">
        <f>+VLOOKUP($E57,Hybrid!$1:$1048576,Z$2,FALSE)</f>
        <v>838.30916149999996</v>
      </c>
      <c r="AA57" s="73">
        <f>+VLOOKUP($E57,Hybrid!$1:$1048576,AA$2,FALSE)</f>
        <v>839.43071210000005</v>
      </c>
      <c r="AB57" s="73">
        <f>+VLOOKUP($E57,Hybrid!$1:$1048576,AB$2,FALSE)</f>
        <v>839.35535370000002</v>
      </c>
      <c r="AC57" s="73">
        <f>+VLOOKUP($E57,Hybrid!$1:$1048576,AC$2,FALSE)</f>
        <v>837.96907780000004</v>
      </c>
      <c r="AD57" s="73">
        <f>+VLOOKUP($E57,Hybrid!$1:$1048576,AD$2,FALSE)</f>
        <v>835.15885649999996</v>
      </c>
      <c r="AE57" s="73">
        <f>+VLOOKUP($E57,Hybrid!$1:$1048576,AE$2,FALSE)</f>
        <v>830.81187460000001</v>
      </c>
      <c r="AF57" s="73">
        <f>+VLOOKUP($E57,Hybrid!$1:$1048576,AF$2,FALSE)</f>
        <v>824.81665220000002</v>
      </c>
      <c r="AG57" s="73">
        <f>+VLOOKUP($E57,Hybrid!$1:$1048576,AG$2,FALSE)</f>
        <v>817.06538850000004</v>
      </c>
      <c r="AH57" s="73">
        <f>+VLOOKUP($E57,Hybrid!$1:$1048576,AH$2,FALSE)</f>
        <v>807.45716349999998</v>
      </c>
      <c r="AI57" s="73">
        <f>+VLOOKUP($E57,Hybrid!$1:$1048576,AI$2,FALSE)</f>
        <v>795.90178719999994</v>
      </c>
      <c r="AJ57" s="73">
        <f>+VLOOKUP($E57,Hybrid!$1:$1048576,AJ$2,FALSE)</f>
        <v>782.3240816</v>
      </c>
      <c r="AK57" s="73">
        <f>+VLOOKUP($E57,Hybrid!$1:$1048576,AK$2,FALSE)</f>
        <v>766.66848449999998</v>
      </c>
      <c r="AL57" s="73">
        <f>+VLOOKUP($E57,Hybrid!$1:$1048576,AL$2,FALSE)</f>
        <v>748.90374629999997</v>
      </c>
      <c r="AM57" s="73">
        <f>+VLOOKUP($E57,Hybrid!$1:$1048576,AM$2,FALSE)</f>
        <v>729.0275226</v>
      </c>
      <c r="AN57" s="73">
        <f>+VLOOKUP($E57,Hybrid!$1:$1048576,AN$2,FALSE)</f>
        <v>707.07060109999998</v>
      </c>
      <c r="AO57" s="73">
        <f>+VLOOKUP($E57,Hybrid!$1:$1048576,AO$2,FALSE)</f>
        <v>683.10046839999995</v>
      </c>
      <c r="AP57" s="73"/>
      <c r="AQ57" s="73"/>
    </row>
    <row r="58" spans="1:43" ht="15" customHeight="1" x14ac:dyDescent="0.25">
      <c r="A58" s="316"/>
      <c r="B58" s="315"/>
      <c r="C58" s="171"/>
      <c r="D58" s="124" t="s">
        <v>542</v>
      </c>
      <c r="E58" s="46" t="s">
        <v>408</v>
      </c>
      <c r="F58" s="73">
        <f>+VLOOKUP($E58,Hybrid!$1:$1048576,F$2,FALSE)</f>
        <v>351.33496400000001</v>
      </c>
      <c r="G58" s="73">
        <f>+VLOOKUP($E58,Hybrid!$1:$1048576,G$2,FALSE)</f>
        <v>396.60028699999998</v>
      </c>
      <c r="H58" s="73">
        <f>+VLOOKUP($E58,Hybrid!$1:$1048576,H$2,FALSE)</f>
        <v>429.46133750000001</v>
      </c>
      <c r="I58" s="73">
        <f>+VLOOKUP($E58,Hybrid!$1:$1048576,I$2,FALSE)</f>
        <v>453.467197</v>
      </c>
      <c r="J58" s="73">
        <f>+VLOOKUP($E58,Hybrid!$1:$1048576,J$2,FALSE)</f>
        <v>471.24691050000001</v>
      </c>
      <c r="K58" s="73">
        <f>+VLOOKUP($E58,Hybrid!$1:$1048576,K$2,FALSE)</f>
        <v>484.66391160000001</v>
      </c>
      <c r="L58" s="73">
        <f>+VLOOKUP($E58,Hybrid!$1:$1048576,L$2,FALSE)</f>
        <v>495.45005730000003</v>
      </c>
      <c r="M58" s="73">
        <f>+VLOOKUP($E58,Hybrid!$1:$1048576,M$2,FALSE)</f>
        <v>504.78741650000001</v>
      </c>
      <c r="N58" s="73">
        <f>+VLOOKUP($E58,Hybrid!$1:$1048576,N$2,FALSE)</f>
        <v>512.96714889999998</v>
      </c>
      <c r="O58" s="73">
        <f>+VLOOKUP($E58,Hybrid!$1:$1048576,O$2,FALSE)</f>
        <v>520.14856959999997</v>
      </c>
      <c r="P58" s="73">
        <f>+VLOOKUP($E58,Hybrid!$1:$1048576,P$2,FALSE)</f>
        <v>526.41906159999996</v>
      </c>
      <c r="Q58" s="73">
        <f>+VLOOKUP($E58,Hybrid!$1:$1048576,Q$2,FALSE)</f>
        <v>531.81294579999997</v>
      </c>
      <c r="R58" s="73">
        <f>+VLOOKUP($E58,Hybrid!$1:$1048576,R$2,FALSE)</f>
        <v>536.32475509999995</v>
      </c>
      <c r="S58" s="73">
        <f>+VLOOKUP($E58,Hybrid!$1:$1048576,S$2,FALSE)</f>
        <v>539.91841529999999</v>
      </c>
      <c r="T58" s="73">
        <f>+VLOOKUP($E58,Hybrid!$1:$1048576,T$2,FALSE)</f>
        <v>542.53274820000001</v>
      </c>
      <c r="U58" s="73">
        <f>+VLOOKUP($E58,Hybrid!$1:$1048576,U$2,FALSE)</f>
        <v>544.08356460000005</v>
      </c>
      <c r="V58" s="73">
        <f>+VLOOKUP($E58,Hybrid!$1:$1048576,V$2,FALSE)</f>
        <v>544.96668590000002</v>
      </c>
      <c r="W58" s="73">
        <f>+VLOOKUP($E58,Hybrid!$1:$1048576,W$2,FALSE)</f>
        <v>545.56459859999995</v>
      </c>
      <c r="X58" s="73">
        <f>+VLOOKUP($E58,Hybrid!$1:$1048576,X$2,FALSE)</f>
        <v>545.69068200000004</v>
      </c>
      <c r="Y58" s="73">
        <f>+VLOOKUP($E58,Hybrid!$1:$1048576,Y$2,FALSE)</f>
        <v>545.20469500000002</v>
      </c>
      <c r="Z58" s="73">
        <f>+VLOOKUP($E58,Hybrid!$1:$1048576,Z$2,FALSE)</f>
        <v>544.00836979999997</v>
      </c>
      <c r="AA58" s="73">
        <f>+VLOOKUP($E58,Hybrid!$1:$1048576,AA$2,FALSE)</f>
        <v>542.02527940000004</v>
      </c>
      <c r="AB58" s="73">
        <f>+VLOOKUP($E58,Hybrid!$1:$1048576,AB$2,FALSE)</f>
        <v>539.18937149999999</v>
      </c>
      <c r="AC58" s="73">
        <f>+VLOOKUP($E58,Hybrid!$1:$1048576,AC$2,FALSE)</f>
        <v>535.43944929999998</v>
      </c>
      <c r="AD58" s="73">
        <f>+VLOOKUP($E58,Hybrid!$1:$1048576,AD$2,FALSE)</f>
        <v>530.71711479999999</v>
      </c>
      <c r="AE58" s="73">
        <f>+VLOOKUP($E58,Hybrid!$1:$1048576,AE$2,FALSE)</f>
        <v>524.96664859999998</v>
      </c>
      <c r="AF58" s="73">
        <f>+VLOOKUP($E58,Hybrid!$1:$1048576,AF$2,FALSE)</f>
        <v>518.13599910000005</v>
      </c>
      <c r="AG58" s="73">
        <f>+VLOOKUP($E58,Hybrid!$1:$1048576,AG$2,FALSE)</f>
        <v>510.17844029999998</v>
      </c>
      <c r="AH58" s="73">
        <f>+VLOOKUP($E58,Hybrid!$1:$1048576,AH$2,FALSE)</f>
        <v>501.05465579999998</v>
      </c>
      <c r="AI58" s="73">
        <f>+VLOOKUP($E58,Hybrid!$1:$1048576,AI$2,FALSE)</f>
        <v>490.7350879</v>
      </c>
      <c r="AJ58" s="73">
        <f>+VLOOKUP($E58,Hybrid!$1:$1048576,AJ$2,FALSE)</f>
        <v>479.20240030000002</v>
      </c>
      <c r="AK58" s="73">
        <f>+VLOOKUP($E58,Hybrid!$1:$1048576,AK$2,FALSE)</f>
        <v>466.4539613</v>
      </c>
      <c r="AL58" s="73">
        <f>+VLOOKUP($E58,Hybrid!$1:$1048576,AL$2,FALSE)</f>
        <v>452.50419429999999</v>
      </c>
      <c r="AM58" s="73">
        <f>+VLOOKUP($E58,Hybrid!$1:$1048576,AM$2,FALSE)</f>
        <v>437.38666640000002</v>
      </c>
      <c r="AN58" s="73">
        <f>+VLOOKUP($E58,Hybrid!$1:$1048576,AN$2,FALSE)</f>
        <v>421.15575919999998</v>
      </c>
      <c r="AO58" s="73">
        <f>+VLOOKUP($E58,Hybrid!$1:$1048576,AO$2,FALSE)</f>
        <v>403.8877655</v>
      </c>
      <c r="AP58" s="73"/>
      <c r="AQ58" s="73"/>
    </row>
    <row r="59" spans="1:43" ht="15" customHeight="1" x14ac:dyDescent="0.25">
      <c r="A59" s="316"/>
      <c r="B59" s="315"/>
      <c r="C59" s="171"/>
      <c r="D59" s="124" t="s">
        <v>543</v>
      </c>
      <c r="E59" s="46" t="s">
        <v>409</v>
      </c>
      <c r="F59" s="73">
        <f>+VLOOKUP($E59,Hybrid!$1:$1048576,F$2,FALSE)</f>
        <v>194.7292726</v>
      </c>
      <c r="G59" s="73">
        <f>+VLOOKUP($E59,Hybrid!$1:$1048576,G$2,FALSE)</f>
        <v>218.62508769999999</v>
      </c>
      <c r="H59" s="73">
        <f>+VLOOKUP($E59,Hybrid!$1:$1048576,H$2,FALSE)</f>
        <v>234.78025410000001</v>
      </c>
      <c r="I59" s="73">
        <f>+VLOOKUP($E59,Hybrid!$1:$1048576,I$2,FALSE)</f>
        <v>245.4787365</v>
      </c>
      <c r="J59" s="73">
        <f>+VLOOKUP($E59,Hybrid!$1:$1048576,J$2,FALSE)</f>
        <v>252.3924366</v>
      </c>
      <c r="K59" s="73">
        <f>+VLOOKUP($E59,Hybrid!$1:$1048576,K$2,FALSE)</f>
        <v>256.6825217</v>
      </c>
      <c r="L59" s="73">
        <f>+VLOOKUP($E59,Hybrid!$1:$1048576,L$2,FALSE)</f>
        <v>259.36974249999997</v>
      </c>
      <c r="M59" s="73">
        <f>+VLOOKUP($E59,Hybrid!$1:$1048576,M$2,FALSE)</f>
        <v>261.13768549999998</v>
      </c>
      <c r="N59" s="73">
        <f>+VLOOKUP($E59,Hybrid!$1:$1048576,N$2,FALSE)</f>
        <v>262.17552810000001</v>
      </c>
      <c r="O59" s="73">
        <f>+VLOOKUP($E59,Hybrid!$1:$1048576,O$2,FALSE)</f>
        <v>262.587988</v>
      </c>
      <c r="P59" s="73">
        <f>+VLOOKUP($E59,Hybrid!$1:$1048576,P$2,FALSE)</f>
        <v>262.43605609999997</v>
      </c>
      <c r="Q59" s="73">
        <f>+VLOOKUP($E59,Hybrid!$1:$1048576,Q$2,FALSE)</f>
        <v>261.75168550000001</v>
      </c>
      <c r="R59" s="73">
        <f>+VLOOKUP($E59,Hybrid!$1:$1048576,R$2,FALSE)</f>
        <v>260.54729939999999</v>
      </c>
      <c r="S59" s="73">
        <f>+VLOOKUP($E59,Hybrid!$1:$1048576,S$2,FALSE)</f>
        <v>258.8221403</v>
      </c>
      <c r="T59" s="73">
        <f>+VLOOKUP($E59,Hybrid!$1:$1048576,T$2,FALSE)</f>
        <v>256.56638720000001</v>
      </c>
      <c r="U59" s="73">
        <f>+VLOOKUP($E59,Hybrid!$1:$1048576,U$2,FALSE)</f>
        <v>253.76366490000001</v>
      </c>
      <c r="V59" s="73">
        <f>+VLOOKUP($E59,Hybrid!$1:$1048576,V$2,FALSE)</f>
        <v>250.62671839999999</v>
      </c>
      <c r="W59" s="73">
        <f>+VLOOKUP($E59,Hybrid!$1:$1048576,W$2,FALSE)</f>
        <v>247.3613312</v>
      </c>
      <c r="X59" s="73">
        <f>+VLOOKUP($E59,Hybrid!$1:$1048576,X$2,FALSE)</f>
        <v>243.91034859999999</v>
      </c>
      <c r="Y59" s="73">
        <f>+VLOOKUP($E59,Hybrid!$1:$1048576,Y$2,FALSE)</f>
        <v>240.23693470000001</v>
      </c>
      <c r="Z59" s="73">
        <f>+VLOOKUP($E59,Hybrid!$1:$1048576,Z$2,FALSE)</f>
        <v>236.3240868</v>
      </c>
      <c r="AA59" s="73">
        <f>+VLOOKUP($E59,Hybrid!$1:$1048576,AA$2,FALSE)</f>
        <v>232.1657395</v>
      </c>
      <c r="AB59" s="73">
        <f>+VLOOKUP($E59,Hybrid!$1:$1048576,AB$2,FALSE)</f>
        <v>227.7614289</v>
      </c>
      <c r="AC59" s="73">
        <f>+VLOOKUP($E59,Hybrid!$1:$1048576,AC$2,FALSE)</f>
        <v>223.113485</v>
      </c>
      <c r="AD59" s="73">
        <f>+VLOOKUP($E59,Hybrid!$1:$1048576,AD$2,FALSE)</f>
        <v>218.22568899999999</v>
      </c>
      <c r="AE59" s="73">
        <f>+VLOOKUP($E59,Hybrid!$1:$1048576,AE$2,FALSE)</f>
        <v>213.1027082</v>
      </c>
      <c r="AF59" s="73">
        <f>+VLOOKUP($E59,Hybrid!$1:$1048576,AF$2,FALSE)</f>
        <v>207.74992639999999</v>
      </c>
      <c r="AG59" s="73">
        <f>+VLOOKUP($E59,Hybrid!$1:$1048576,AG$2,FALSE)</f>
        <v>202.17346649999999</v>
      </c>
      <c r="AH59" s="73">
        <f>+VLOOKUP($E59,Hybrid!$1:$1048576,AH$2,FALSE)</f>
        <v>196.38029789999999</v>
      </c>
      <c r="AI59" s="73">
        <f>+VLOOKUP($E59,Hybrid!$1:$1048576,AI$2,FALSE)</f>
        <v>190.37837690000001</v>
      </c>
      <c r="AJ59" s="73">
        <f>+VLOOKUP($E59,Hybrid!$1:$1048576,AJ$2,FALSE)</f>
        <v>184.1767907</v>
      </c>
      <c r="AK59" s="73">
        <f>+VLOOKUP($E59,Hybrid!$1:$1048576,AK$2,FALSE)</f>
        <v>177.78590320000001</v>
      </c>
      <c r="AL59" s="73">
        <f>+VLOOKUP($E59,Hybrid!$1:$1048576,AL$2,FALSE)</f>
        <v>171.21749840000001</v>
      </c>
      <c r="AM59" s="73">
        <f>+VLOOKUP($E59,Hybrid!$1:$1048576,AM$2,FALSE)</f>
        <v>164.4849298</v>
      </c>
      <c r="AN59" s="73">
        <f>+VLOOKUP($E59,Hybrid!$1:$1048576,AN$2,FALSE)</f>
        <v>157.60327910000001</v>
      </c>
      <c r="AO59" s="73">
        <f>+VLOOKUP($E59,Hybrid!$1:$1048576,AO$2,FALSE)</f>
        <v>150.5895261</v>
      </c>
      <c r="AP59" s="73"/>
      <c r="AQ59" s="73"/>
    </row>
    <row r="60" spans="1:43" ht="15" customHeight="1" x14ac:dyDescent="0.25">
      <c r="A60" s="316"/>
      <c r="B60" s="315"/>
      <c r="C60" s="171"/>
      <c r="D60" s="124" t="s">
        <v>544</v>
      </c>
      <c r="E60" s="46" t="s">
        <v>410</v>
      </c>
      <c r="F60" s="73">
        <f>+VLOOKUP($E60,Hybrid!$1:$1048576,F$2,FALSE)</f>
        <v>119.7902723</v>
      </c>
      <c r="G60" s="73">
        <f>+VLOOKUP($E60,Hybrid!$1:$1048576,G$2,FALSE)</f>
        <v>133.83041510000001</v>
      </c>
      <c r="H60" s="73">
        <f>+VLOOKUP($E60,Hybrid!$1:$1048576,H$2,FALSE)</f>
        <v>142.6432543</v>
      </c>
      <c r="I60" s="73">
        <f>+VLOOKUP($E60,Hybrid!$1:$1048576,I$2,FALSE)</f>
        <v>147.81965880000001</v>
      </c>
      <c r="J60" s="73">
        <f>+VLOOKUP($E60,Hybrid!$1:$1048576,J$2,FALSE)</f>
        <v>150.51250619999999</v>
      </c>
      <c r="K60" s="73">
        <f>+VLOOKUP($E60,Hybrid!$1:$1048576,K$2,FALSE)</f>
        <v>151.5092975</v>
      </c>
      <c r="L60" s="73">
        <f>+VLOOKUP($E60,Hybrid!$1:$1048576,L$2,FALSE)</f>
        <v>151.47283669999999</v>
      </c>
      <c r="M60" s="73">
        <f>+VLOOKUP($E60,Hybrid!$1:$1048576,M$2,FALSE)</f>
        <v>150.84156730000001</v>
      </c>
      <c r="N60" s="73">
        <f>+VLOOKUP($E60,Hybrid!$1:$1048576,N$2,FALSE)</f>
        <v>149.74940889999999</v>
      </c>
      <c r="O60" s="73">
        <f>+VLOOKUP($E60,Hybrid!$1:$1048576,O$2,FALSE)</f>
        <v>148.27119930000001</v>
      </c>
      <c r="P60" s="73">
        <f>+VLOOKUP($E60,Hybrid!$1:$1048576,P$2,FALSE)</f>
        <v>146.4518812</v>
      </c>
      <c r="Q60" s="73">
        <f>+VLOOKUP($E60,Hybrid!$1:$1048576,Q$2,FALSE)</f>
        <v>144.31777629999999</v>
      </c>
      <c r="R60" s="73">
        <f>+VLOOKUP($E60,Hybrid!$1:$1048576,R$2,FALSE)</f>
        <v>141.8834659</v>
      </c>
      <c r="S60" s="73">
        <f>+VLOOKUP($E60,Hybrid!$1:$1048576,S$2,FALSE)</f>
        <v>139.15614969999999</v>
      </c>
      <c r="T60" s="73">
        <f>+VLOOKUP($E60,Hybrid!$1:$1048576,T$2,FALSE)</f>
        <v>136.13839469999999</v>
      </c>
      <c r="U60" s="73">
        <f>+VLOOKUP($E60,Hybrid!$1:$1048576,U$2,FALSE)</f>
        <v>132.82984640000001</v>
      </c>
      <c r="V60" s="73">
        <f>+VLOOKUP($E60,Hybrid!$1:$1048576,V$2,FALSE)</f>
        <v>129.3516041</v>
      </c>
      <c r="W60" s="73">
        <f>+VLOOKUP($E60,Hybrid!$1:$1048576,W$2,FALSE)</f>
        <v>125.82107689999999</v>
      </c>
      <c r="X60" s="73">
        <f>+VLOOKUP($E60,Hybrid!$1:$1048576,X$2,FALSE)</f>
        <v>122.21960180000001</v>
      </c>
      <c r="Y60" s="73">
        <f>+VLOOKUP($E60,Hybrid!$1:$1048576,Y$2,FALSE)</f>
        <v>118.53770249999999</v>
      </c>
      <c r="Z60" s="73">
        <f>+VLOOKUP($E60,Hybrid!$1:$1048576,Z$2,FALSE)</f>
        <v>114.77565130000001</v>
      </c>
      <c r="AA60" s="73">
        <f>+VLOOKUP($E60,Hybrid!$1:$1048576,AA$2,FALSE)</f>
        <v>110.9391227</v>
      </c>
      <c r="AB60" s="73">
        <f>+VLOOKUP($E60,Hybrid!$1:$1048576,AB$2,FALSE)</f>
        <v>107.0365108</v>
      </c>
      <c r="AC60" s="73">
        <f>+VLOOKUP($E60,Hybrid!$1:$1048576,AC$2,FALSE)</f>
        <v>103.0774914</v>
      </c>
      <c r="AD60" s="73">
        <f>+VLOOKUP($E60,Hybrid!$1:$1048576,AD$2,FALSE)</f>
        <v>99.072315219999993</v>
      </c>
      <c r="AE60" s="73">
        <f>+VLOOKUP($E60,Hybrid!$1:$1048576,AE$2,FALSE)</f>
        <v>95.03149062</v>
      </c>
      <c r="AF60" s="73">
        <f>+VLOOKUP($E60,Hybrid!$1:$1048576,AF$2,FALSE)</f>
        <v>90.965656339999995</v>
      </c>
      <c r="AG60" s="73">
        <f>+VLOOKUP($E60,Hybrid!$1:$1048576,AG$2,FALSE)</f>
        <v>86.885537630000002</v>
      </c>
      <c r="AH60" s="73">
        <f>+VLOOKUP($E60,Hybrid!$1:$1048576,AH$2,FALSE)</f>
        <v>82.801930029999994</v>
      </c>
      <c r="AI60" s="73">
        <f>+VLOOKUP($E60,Hybrid!$1:$1048576,AI$2,FALSE)</f>
        <v>78.725684670000007</v>
      </c>
      <c r="AJ60" s="73">
        <f>+VLOOKUP($E60,Hybrid!$1:$1048576,AJ$2,FALSE)</f>
        <v>74.667683229999994</v>
      </c>
      <c r="AK60" s="73">
        <f>+VLOOKUP($E60,Hybrid!$1:$1048576,AK$2,FALSE)</f>
        <v>70.638802609999999</v>
      </c>
      <c r="AL60" s="73">
        <f>+VLOOKUP($E60,Hybrid!$1:$1048576,AL$2,FALSE)</f>
        <v>66.649871430000005</v>
      </c>
      <c r="AM60" s="73">
        <f>+VLOOKUP($E60,Hybrid!$1:$1048576,AM$2,FALSE)</f>
        <v>62.711623080000003</v>
      </c>
      <c r="AN60" s="73">
        <f>+VLOOKUP($E60,Hybrid!$1:$1048576,AN$2,FALSE)</f>
        <v>58.83464961</v>
      </c>
      <c r="AO60" s="73">
        <f>+VLOOKUP($E60,Hybrid!$1:$1048576,AO$2,FALSE)</f>
        <v>55.02935918</v>
      </c>
      <c r="AP60" s="73"/>
      <c r="AQ60" s="73"/>
    </row>
    <row r="61" spans="1:43" ht="15" customHeight="1" x14ac:dyDescent="0.25">
      <c r="A61" s="316"/>
      <c r="B61" s="315"/>
      <c r="C61" s="171"/>
      <c r="D61" s="124" t="s">
        <v>545</v>
      </c>
      <c r="E61" s="46" t="s">
        <v>411</v>
      </c>
      <c r="F61" s="73">
        <f>+VLOOKUP($E61,Hybrid!$1:$1048576,F$2,FALSE)</f>
        <v>57.932893</v>
      </c>
      <c r="G61" s="73">
        <f>+VLOOKUP($E61,Hybrid!$1:$1048576,G$2,FALSE)</f>
        <v>63.609060390000003</v>
      </c>
      <c r="H61" s="73">
        <f>+VLOOKUP($E61,Hybrid!$1:$1048576,H$2,FALSE)</f>
        <v>66.033113589999999</v>
      </c>
      <c r="I61" s="73">
        <f>+VLOOKUP($E61,Hybrid!$1:$1048576,I$2,FALSE)</f>
        <v>66.321973819999997</v>
      </c>
      <c r="J61" s="73">
        <f>+VLOOKUP($E61,Hybrid!$1:$1048576,J$2,FALSE)</f>
        <v>65.263206890000006</v>
      </c>
      <c r="K61" s="73">
        <f>+VLOOKUP($E61,Hybrid!$1:$1048576,K$2,FALSE)</f>
        <v>63.372895249999999</v>
      </c>
      <c r="L61" s="73">
        <f>+VLOOKUP($E61,Hybrid!$1:$1048576,L$2,FALSE)</f>
        <v>61.035555250000002</v>
      </c>
      <c r="M61" s="73">
        <f>+VLOOKUP($E61,Hybrid!$1:$1048576,M$2,FALSE)</f>
        <v>58.490347980000003</v>
      </c>
      <c r="N61" s="73">
        <f>+VLOOKUP($E61,Hybrid!$1:$1048576,N$2,FALSE)</f>
        <v>55.825307479999999</v>
      </c>
      <c r="O61" s="73">
        <f>+VLOOKUP($E61,Hybrid!$1:$1048576,O$2,FALSE)</f>
        <v>53.091717719999998</v>
      </c>
      <c r="P61" s="73">
        <f>+VLOOKUP($E61,Hybrid!$1:$1048576,P$2,FALSE)</f>
        <v>50.322841390000001</v>
      </c>
      <c r="Q61" s="73">
        <f>+VLOOKUP($E61,Hybrid!$1:$1048576,Q$2,FALSE)</f>
        <v>47.541657270000002</v>
      </c>
      <c r="R61" s="73">
        <f>+VLOOKUP($E61,Hybrid!$1:$1048576,R$2,FALSE)</f>
        <v>44.765056190000003</v>
      </c>
      <c r="S61" s="73">
        <f>+VLOOKUP($E61,Hybrid!$1:$1048576,S$2,FALSE)</f>
        <v>42.006210750000001</v>
      </c>
      <c r="T61" s="73">
        <f>+VLOOKUP($E61,Hybrid!$1:$1048576,T$2,FALSE)</f>
        <v>39.275954890000001</v>
      </c>
      <c r="U61" s="73">
        <f>+VLOOKUP($E61,Hybrid!$1:$1048576,U$2,FALSE)</f>
        <v>36.583622660000003</v>
      </c>
      <c r="V61" s="73">
        <f>+VLOOKUP($E61,Hybrid!$1:$1048576,V$2,FALSE)</f>
        <v>33.970456220000003</v>
      </c>
      <c r="W61" s="73">
        <f>+VLOOKUP($E61,Hybrid!$1:$1048576,W$2,FALSE)</f>
        <v>31.471532419999999</v>
      </c>
      <c r="X61" s="73">
        <f>+VLOOKUP($E61,Hybrid!$1:$1048576,X$2,FALSE)</f>
        <v>29.083587609999999</v>
      </c>
      <c r="Y61" s="73">
        <f>+VLOOKUP($E61,Hybrid!$1:$1048576,Y$2,FALSE)</f>
        <v>26.805191499999999</v>
      </c>
      <c r="Z61" s="73">
        <f>+VLOOKUP($E61,Hybrid!$1:$1048576,Z$2,FALSE)</f>
        <v>24.63685087</v>
      </c>
      <c r="AA61" s="73">
        <f>+VLOOKUP($E61,Hybrid!$1:$1048576,AA$2,FALSE)</f>
        <v>22.579700330000001</v>
      </c>
      <c r="AB61" s="73">
        <f>+VLOOKUP($E61,Hybrid!$1:$1048576,AB$2,FALSE)</f>
        <v>20.634701039999999</v>
      </c>
      <c r="AC61" s="73">
        <f>+VLOOKUP($E61,Hybrid!$1:$1048576,AC$2,FALSE)</f>
        <v>18.802240999999999</v>
      </c>
      <c r="AD61" s="73">
        <f>+VLOOKUP($E61,Hybrid!$1:$1048576,AD$2,FALSE)</f>
        <v>17.081980690000002</v>
      </c>
      <c r="AE61" s="73">
        <f>+VLOOKUP($E61,Hybrid!$1:$1048576,AE$2,FALSE)</f>
        <v>15.472830889999999</v>
      </c>
      <c r="AF61" s="73">
        <f>+VLOOKUP($E61,Hybrid!$1:$1048576,AF$2,FALSE)</f>
        <v>13.972994699999999</v>
      </c>
      <c r="AG61" s="73">
        <f>+VLOOKUP($E61,Hybrid!$1:$1048576,AG$2,FALSE)</f>
        <v>12.580036140000001</v>
      </c>
      <c r="AH61" s="73">
        <f>+VLOOKUP($E61,Hybrid!$1:$1048576,AH$2,FALSE)</f>
        <v>11.290956789999999</v>
      </c>
      <c r="AI61" s="73">
        <f>+VLOOKUP($E61,Hybrid!$1:$1048576,AI$2,FALSE)</f>
        <v>10.10227252</v>
      </c>
      <c r="AJ61" s="73">
        <f>+VLOOKUP($E61,Hybrid!$1:$1048576,AJ$2,FALSE)</f>
        <v>9.0100877809999993</v>
      </c>
      <c r="AK61" s="73">
        <f>+VLOOKUP($E61,Hybrid!$1:$1048576,AK$2,FALSE)</f>
        <v>8.0101671400000001</v>
      </c>
      <c r="AL61" s="73">
        <f>+VLOOKUP($E61,Hybrid!$1:$1048576,AL$2,FALSE)</f>
        <v>7.0980046200000002</v>
      </c>
      <c r="AM61" s="73">
        <f>+VLOOKUP($E61,Hybrid!$1:$1048576,AM$2,FALSE)</f>
        <v>6.2688910360000003</v>
      </c>
      <c r="AN61" s="73">
        <f>+VLOOKUP($E61,Hybrid!$1:$1048576,AN$2,FALSE)</f>
        <v>5.5179791749999998</v>
      </c>
      <c r="AO61" s="73">
        <f>+VLOOKUP($E61,Hybrid!$1:$1048576,AO$2,FALSE)</f>
        <v>4.8403462140000002</v>
      </c>
      <c r="AP61" s="73"/>
      <c r="AQ61" s="73"/>
    </row>
    <row r="62" spans="1:43" ht="15" customHeight="1" x14ac:dyDescent="0.25">
      <c r="A62" s="316"/>
      <c r="B62" s="315"/>
      <c r="C62" s="171"/>
      <c r="D62" s="124" t="s">
        <v>546</v>
      </c>
      <c r="E62" s="46" t="s">
        <v>412</v>
      </c>
      <c r="F62" s="73">
        <f>+VLOOKUP($E62,Hybrid!$1:$1048576,F$2,FALSE)</f>
        <v>108.7643346</v>
      </c>
      <c r="G62" s="73">
        <f>+VLOOKUP($E62,Hybrid!$1:$1048576,G$2,FALSE)</f>
        <v>117.6201255</v>
      </c>
      <c r="H62" s="73">
        <f>+VLOOKUP($E62,Hybrid!$1:$1048576,H$2,FALSE)</f>
        <v>119.3270837</v>
      </c>
      <c r="I62" s="73">
        <f>+VLOOKUP($E62,Hybrid!$1:$1048576,I$2,FALSE)</f>
        <v>116.6176839</v>
      </c>
      <c r="J62" s="73">
        <f>+VLOOKUP($E62,Hybrid!$1:$1048576,J$2,FALSE)</f>
        <v>111.3696352</v>
      </c>
      <c r="K62" s="73">
        <f>+VLOOKUP($E62,Hybrid!$1:$1048576,K$2,FALSE)</f>
        <v>104.7698573</v>
      </c>
      <c r="L62" s="73">
        <f>+VLOOKUP($E62,Hybrid!$1:$1048576,L$2,FALSE)</f>
        <v>97.631366979999996</v>
      </c>
      <c r="M62" s="73">
        <f>+VLOOKUP($E62,Hybrid!$1:$1048576,M$2,FALSE)</f>
        <v>90.430450919999998</v>
      </c>
      <c r="N62" s="73">
        <f>+VLOOKUP($E62,Hybrid!$1:$1048576,N$2,FALSE)</f>
        <v>83.348004200000005</v>
      </c>
      <c r="O62" s="73">
        <f>+VLOOKUP($E62,Hybrid!$1:$1048576,O$2,FALSE)</f>
        <v>76.480837870000002</v>
      </c>
      <c r="P62" s="73">
        <f>+VLOOKUP($E62,Hybrid!$1:$1048576,P$2,FALSE)</f>
        <v>69.884414770000006</v>
      </c>
      <c r="Q62" s="73">
        <f>+VLOOKUP($E62,Hybrid!$1:$1048576,Q$2,FALSE)</f>
        <v>63.591108460000001</v>
      </c>
      <c r="R62" s="73">
        <f>+VLOOKUP($E62,Hybrid!$1:$1048576,R$2,FALSE)</f>
        <v>57.619641219999998</v>
      </c>
      <c r="S62" s="73">
        <f>+VLOOKUP($E62,Hybrid!$1:$1048576,S$2,FALSE)</f>
        <v>51.980173739999998</v>
      </c>
      <c r="T62" s="73">
        <f>+VLOOKUP($E62,Hybrid!$1:$1048576,T$2,FALSE)</f>
        <v>46.677191929999999</v>
      </c>
      <c r="U62" s="73">
        <f>+VLOOKUP($E62,Hybrid!$1:$1048576,U$2,FALSE)</f>
        <v>41.711251279999999</v>
      </c>
      <c r="V62" s="73">
        <f>+VLOOKUP($E62,Hybrid!$1:$1048576,V$2,FALSE)</f>
        <v>37.11659246</v>
      </c>
      <c r="W62" s="73">
        <f>+VLOOKUP($E62,Hybrid!$1:$1048576,W$2,FALSE)</f>
        <v>32.914743020000003</v>
      </c>
      <c r="X62" s="73">
        <f>+VLOOKUP($E62,Hybrid!$1:$1048576,X$2,FALSE)</f>
        <v>29.082699059999999</v>
      </c>
      <c r="Y62" s="73">
        <f>+VLOOKUP($E62,Hybrid!$1:$1048576,Y$2,FALSE)</f>
        <v>25.599142400000002</v>
      </c>
      <c r="Z62" s="73">
        <f>+VLOOKUP($E62,Hybrid!$1:$1048576,Z$2,FALSE)</f>
        <v>22.444686390000001</v>
      </c>
      <c r="AA62" s="73">
        <f>+VLOOKUP($E62,Hybrid!$1:$1048576,AA$2,FALSE)</f>
        <v>19.60052258</v>
      </c>
      <c r="AB62" s="73">
        <f>+VLOOKUP($E62,Hybrid!$1:$1048576,AB$2,FALSE)</f>
        <v>17.04771959</v>
      </c>
      <c r="AC62" s="73">
        <f>+VLOOKUP($E62,Hybrid!$1:$1048576,AC$2,FALSE)</f>
        <v>14.767020779999999</v>
      </c>
      <c r="AD62" s="73">
        <f>+VLOOKUP($E62,Hybrid!$1:$1048576,AD$2,FALSE)</f>
        <v>12.738923590000001</v>
      </c>
      <c r="AE62" s="73">
        <f>+VLOOKUP($E62,Hybrid!$1:$1048576,AE$2,FALSE)</f>
        <v>10.943885229999999</v>
      </c>
      <c r="AF62" s="73">
        <f>+VLOOKUP($E62,Hybrid!$1:$1048576,AF$2,FALSE)</f>
        <v>9.3625632949999993</v>
      </c>
      <c r="AG62" s="73">
        <f>+VLOOKUP($E62,Hybrid!$1:$1048576,AG$2,FALSE)</f>
        <v>7.9760450389999997</v>
      </c>
      <c r="AH62" s="73">
        <f>+VLOOKUP($E62,Hybrid!$1:$1048576,AH$2,FALSE)</f>
        <v>6.7660450579999996</v>
      </c>
      <c r="AI62" s="73">
        <f>+VLOOKUP($E62,Hybrid!$1:$1048576,AI$2,FALSE)</f>
        <v>5.715065879</v>
      </c>
      <c r="AJ62" s="73">
        <f>+VLOOKUP($E62,Hybrid!$1:$1048576,AJ$2,FALSE)</f>
        <v>4.8065223379999997</v>
      </c>
      <c r="AK62" s="73">
        <f>+VLOOKUP($E62,Hybrid!$1:$1048576,AK$2,FALSE)</f>
        <v>4.0248328249999998</v>
      </c>
      <c r="AL62" s="73">
        <f>+VLOOKUP($E62,Hybrid!$1:$1048576,AL$2,FALSE)</f>
        <v>3.3554812570000001</v>
      </c>
      <c r="AM62" s="73">
        <f>+VLOOKUP($E62,Hybrid!$1:$1048576,AM$2,FALSE)</f>
        <v>2.785053129</v>
      </c>
      <c r="AN62" s="73">
        <f>+VLOOKUP($E62,Hybrid!$1:$1048576,AN$2,FALSE)</f>
        <v>2.3012487500000001</v>
      </c>
      <c r="AO62" s="73">
        <f>+VLOOKUP($E62,Hybrid!$1:$1048576,AO$2,FALSE)</f>
        <v>1.8928764760000001</v>
      </c>
      <c r="AP62" s="73"/>
      <c r="AQ62" s="73"/>
    </row>
    <row r="63" spans="1:43" s="111" customFormat="1" ht="15" customHeight="1" x14ac:dyDescent="0.25">
      <c r="A63" s="316"/>
      <c r="B63" s="315"/>
      <c r="C63" s="122" t="s">
        <v>823</v>
      </c>
      <c r="D63" s="123"/>
      <c r="E63" s="91" t="s">
        <v>405</v>
      </c>
      <c r="F63" s="111">
        <f>+VLOOKUP($E63,Hybrid!$1:$1048576,F$2,FALSE)</f>
        <v>17.268999999999998</v>
      </c>
      <c r="G63" s="111">
        <f>+VLOOKUP($E63,Hybrid!$1:$1048576,G$2,FALSE)</f>
        <v>19.45716917</v>
      </c>
      <c r="H63" s="111">
        <f>+VLOOKUP($E63,Hybrid!$1:$1048576,H$2,FALSE)</f>
        <v>21.07938936</v>
      </c>
      <c r="I63" s="111">
        <f>+VLOOKUP($E63,Hybrid!$1:$1048576,I$2,FALSE)</f>
        <v>22.349836580000002</v>
      </c>
      <c r="J63" s="111">
        <f>+VLOOKUP($E63,Hybrid!$1:$1048576,J$2,FALSE)</f>
        <v>23.43984592</v>
      </c>
      <c r="K63" s="111">
        <f>+VLOOKUP($E63,Hybrid!$1:$1048576,K$2,FALSE)</f>
        <v>24.4935738</v>
      </c>
      <c r="L63" s="111">
        <f>+VLOOKUP($E63,Hybrid!$1:$1048576,L$2,FALSE)</f>
        <v>25.645994730000002</v>
      </c>
      <c r="M63" s="111">
        <f>+VLOOKUP($E63,Hybrid!$1:$1048576,M$2,FALSE)</f>
        <v>26.970187079999999</v>
      </c>
      <c r="N63" s="111">
        <f>+VLOOKUP($E63,Hybrid!$1:$1048576,N$2,FALSE)</f>
        <v>28.475336110000001</v>
      </c>
      <c r="O63" s="111">
        <f>+VLOOKUP($E63,Hybrid!$1:$1048576,O$2,FALSE)</f>
        <v>30.180136610000002</v>
      </c>
      <c r="P63" s="111">
        <f>+VLOOKUP($E63,Hybrid!$1:$1048576,P$2,FALSE)</f>
        <v>32.119048390000003</v>
      </c>
      <c r="Q63" s="111">
        <f>+VLOOKUP($E63,Hybrid!$1:$1048576,Q$2,FALSE)</f>
        <v>34.345875560000003</v>
      </c>
      <c r="R63" s="111">
        <f>+VLOOKUP($E63,Hybrid!$1:$1048576,R$2,FALSE)</f>
        <v>36.937918199999999</v>
      </c>
      <c r="S63" s="111">
        <f>+VLOOKUP($E63,Hybrid!$1:$1048576,S$2,FALSE)</f>
        <v>40.001998290000003</v>
      </c>
      <c r="T63" s="111">
        <f>+VLOOKUP($E63,Hybrid!$1:$1048576,T$2,FALSE)</f>
        <v>43.683665779999998</v>
      </c>
      <c r="U63" s="111">
        <f>+VLOOKUP($E63,Hybrid!$1:$1048576,U$2,FALSE)</f>
        <v>48.181314209999996</v>
      </c>
      <c r="V63" s="111">
        <f>+VLOOKUP($E63,Hybrid!$1:$1048576,V$2,FALSE)</f>
        <v>53.775634099999998</v>
      </c>
      <c r="W63" s="111">
        <f>+VLOOKUP($E63,Hybrid!$1:$1048576,W$2,FALSE)</f>
        <v>60.731990940000003</v>
      </c>
      <c r="X63" s="111">
        <f>+VLOOKUP($E63,Hybrid!$1:$1048576,X$2,FALSE)</f>
        <v>69.235073839999998</v>
      </c>
      <c r="Y63" s="111">
        <f>+VLOOKUP($E63,Hybrid!$1:$1048576,Y$2,FALSE)</f>
        <v>79.489496700000004</v>
      </c>
      <c r="Z63" s="111">
        <f>+VLOOKUP($E63,Hybrid!$1:$1048576,Z$2,FALSE)</f>
        <v>91.720592139999994</v>
      </c>
      <c r="AA63" s="111">
        <f>+VLOOKUP($E63,Hybrid!$1:$1048576,AA$2,FALSE)</f>
        <v>106.17274759999999</v>
      </c>
      <c r="AB63" s="111">
        <f>+VLOOKUP($E63,Hybrid!$1:$1048576,AB$2,FALSE)</f>
        <v>123.10742020000001</v>
      </c>
      <c r="AC63" s="111">
        <f>+VLOOKUP($E63,Hybrid!$1:$1048576,AC$2,FALSE)</f>
        <v>142.80060929999999</v>
      </c>
      <c r="AD63" s="111">
        <f>+VLOOKUP($E63,Hybrid!$1:$1048576,AD$2,FALSE)</f>
        <v>165.53950939999999</v>
      </c>
      <c r="AE63" s="111">
        <f>+VLOOKUP($E63,Hybrid!$1:$1048576,AE$2,FALSE)</f>
        <v>191.6181043</v>
      </c>
      <c r="AF63" s="111">
        <f>+VLOOKUP($E63,Hybrid!$1:$1048576,AF$2,FALSE)</f>
        <v>221.3315174</v>
      </c>
      <c r="AG63" s="111">
        <f>+VLOOKUP($E63,Hybrid!$1:$1048576,AG$2,FALSE)</f>
        <v>254.96899440000001</v>
      </c>
      <c r="AH63" s="111">
        <f>+VLOOKUP($E63,Hybrid!$1:$1048576,AH$2,FALSE)</f>
        <v>292.80546079999999</v>
      </c>
      <c r="AI63" s="111">
        <f>+VLOOKUP($E63,Hybrid!$1:$1048576,AI$2,FALSE)</f>
        <v>335.09168419999997</v>
      </c>
      <c r="AJ63" s="111">
        <f>+VLOOKUP($E63,Hybrid!$1:$1048576,AJ$2,FALSE)</f>
        <v>382.04314419999997</v>
      </c>
      <c r="AK63" s="111">
        <f>+VLOOKUP($E63,Hybrid!$1:$1048576,AK$2,FALSE)</f>
        <v>433.82787080000003</v>
      </c>
      <c r="AL63" s="111">
        <f>+VLOOKUP($E63,Hybrid!$1:$1048576,AL$2,FALSE)</f>
        <v>490.55360910000002</v>
      </c>
      <c r="AM63" s="111">
        <f>+VLOOKUP($E63,Hybrid!$1:$1048576,AM$2,FALSE)</f>
        <v>552.25484800000004</v>
      </c>
      <c r="AN63" s="111">
        <f>+VLOOKUP($E63,Hybrid!$1:$1048576,AN$2,FALSE)</f>
        <v>618.88039509999999</v>
      </c>
      <c r="AO63" s="111">
        <f>+VLOOKUP($E63,Hybrid!$1:$1048576,AO$2,FALSE)</f>
        <v>690.28232000000003</v>
      </c>
    </row>
    <row r="64" spans="1:43" ht="15" customHeight="1" x14ac:dyDescent="0.25">
      <c r="A64" s="316"/>
      <c r="B64" s="315"/>
      <c r="C64" s="171"/>
      <c r="D64" s="124" t="s">
        <v>540</v>
      </c>
      <c r="E64" s="46" t="s">
        <v>406</v>
      </c>
      <c r="F64" s="73">
        <f>+VLOOKUP($E64,Hybrid!$1:$1048576,F$2,FALSE)</f>
        <v>4.8854001</v>
      </c>
      <c r="G64" s="73">
        <f>+VLOOKUP($E64,Hybrid!$1:$1048576,G$2,FALSE)</f>
        <v>5.537697348</v>
      </c>
      <c r="H64" s="73">
        <f>+VLOOKUP($E64,Hybrid!$1:$1048576,H$2,FALSE)</f>
        <v>6.0545843220000002</v>
      </c>
      <c r="I64" s="73">
        <f>+VLOOKUP($E64,Hybrid!$1:$1048576,I$2,FALSE)</f>
        <v>6.488235779</v>
      </c>
      <c r="J64" s="73">
        <f>+VLOOKUP($E64,Hybrid!$1:$1048576,J$2,FALSE)</f>
        <v>6.8824648310000001</v>
      </c>
      <c r="K64" s="73">
        <f>+VLOOKUP($E64,Hybrid!$1:$1048576,K$2,FALSE)</f>
        <v>7.2768623689999998</v>
      </c>
      <c r="L64" s="73">
        <f>+VLOOKUP($E64,Hybrid!$1:$1048576,L$2,FALSE)</f>
        <v>7.710849821</v>
      </c>
      <c r="M64" s="73">
        <f>+VLOOKUP($E64,Hybrid!$1:$1048576,M$2,FALSE)</f>
        <v>8.2063243430000004</v>
      </c>
      <c r="N64" s="73">
        <f>+VLOOKUP($E64,Hybrid!$1:$1048576,N$2,FALSE)</f>
        <v>8.7664036779999996</v>
      </c>
      <c r="O64" s="73">
        <f>+VLOOKUP($E64,Hybrid!$1:$1048576,O$2,FALSE)</f>
        <v>9.3979319879999998</v>
      </c>
      <c r="P64" s="73">
        <f>+VLOOKUP($E64,Hybrid!$1:$1048576,P$2,FALSE)</f>
        <v>10.113396099999999</v>
      </c>
      <c r="Q64" s="73">
        <f>+VLOOKUP($E64,Hybrid!$1:$1048576,Q$2,FALSE)</f>
        <v>10.932201709999999</v>
      </c>
      <c r="R64" s="73">
        <f>+VLOOKUP($E64,Hybrid!$1:$1048576,R$2,FALSE)</f>
        <v>11.88227395</v>
      </c>
      <c r="S64" s="73">
        <f>+VLOOKUP($E64,Hybrid!$1:$1048576,S$2,FALSE)</f>
        <v>13.00241933</v>
      </c>
      <c r="T64" s="73">
        <f>+VLOOKUP($E64,Hybrid!$1:$1048576,T$2,FALSE)</f>
        <v>14.345938139999999</v>
      </c>
      <c r="U64" s="73">
        <f>+VLOOKUP($E64,Hybrid!$1:$1048576,U$2,FALSE)</f>
        <v>15.98617099</v>
      </c>
      <c r="V64" s="73">
        <f>+VLOOKUP($E64,Hybrid!$1:$1048576,V$2,FALSE)</f>
        <v>18.026784060000001</v>
      </c>
      <c r="W64" s="73">
        <f>+VLOOKUP($E64,Hybrid!$1:$1048576,W$2,FALSE)</f>
        <v>20.568639050000002</v>
      </c>
      <c r="X64" s="73">
        <f>+VLOOKUP($E64,Hybrid!$1:$1048576,X$2,FALSE)</f>
        <v>23.687386579999998</v>
      </c>
      <c r="Y64" s="73">
        <f>+VLOOKUP($E64,Hybrid!$1:$1048576,Y$2,FALSE)</f>
        <v>27.468125560000001</v>
      </c>
      <c r="Z64" s="73">
        <f>+VLOOKUP($E64,Hybrid!$1:$1048576,Z$2,FALSE)</f>
        <v>32.005881260000002</v>
      </c>
      <c r="AA64" s="73">
        <f>+VLOOKUP($E64,Hybrid!$1:$1048576,AA$2,FALSE)</f>
        <v>37.405312199999997</v>
      </c>
      <c r="AB64" s="73">
        <f>+VLOOKUP($E64,Hybrid!$1:$1048576,AB$2,FALSE)</f>
        <v>43.780310579999998</v>
      </c>
      <c r="AC64" s="73">
        <f>+VLOOKUP($E64,Hybrid!$1:$1048576,AC$2,FALSE)</f>
        <v>51.253390410000002</v>
      </c>
      <c r="AD64" s="73">
        <f>+VLOOKUP($E64,Hybrid!$1:$1048576,AD$2,FALSE)</f>
        <v>59.954740479999998</v>
      </c>
      <c r="AE64" s="73">
        <f>+VLOOKUP($E64,Hybrid!$1:$1048576,AE$2,FALSE)</f>
        <v>70.02082901</v>
      </c>
      <c r="AF64" s="73">
        <f>+VLOOKUP($E64,Hybrid!$1:$1048576,AF$2,FALSE)</f>
        <v>81.592461839999999</v>
      </c>
      <c r="AG64" s="73">
        <f>+VLOOKUP($E64,Hybrid!$1:$1048576,AG$2,FALSE)</f>
        <v>94.812214350000005</v>
      </c>
      <c r="AH64" s="73">
        <f>+VLOOKUP($E64,Hybrid!$1:$1048576,AH$2,FALSE)</f>
        <v>109.8211788</v>
      </c>
      <c r="AI64" s="73">
        <f>+VLOOKUP($E64,Hybrid!$1:$1048576,AI$2,FALSE)</f>
        <v>126.7549994</v>
      </c>
      <c r="AJ64" s="73">
        <f>+VLOOKUP($E64,Hybrid!$1:$1048576,AJ$2,FALSE)</f>
        <v>145.73919620000001</v>
      </c>
      <c r="AK64" s="73">
        <f>+VLOOKUP($E64,Hybrid!$1:$1048576,AK$2,FALSE)</f>
        <v>166.8838446</v>
      </c>
      <c r="AL64" s="73">
        <f>+VLOOKUP($E64,Hybrid!$1:$1048576,AL$2,FALSE)</f>
        <v>190.2777222</v>
      </c>
      <c r="AM64" s="73">
        <f>+VLOOKUP($E64,Hybrid!$1:$1048576,AM$2,FALSE)</f>
        <v>215.98211860000001</v>
      </c>
      <c r="AN64" s="73">
        <f>+VLOOKUP($E64,Hybrid!$1:$1048576,AN$2,FALSE)</f>
        <v>244.0245807</v>
      </c>
      <c r="AO64" s="73">
        <f>+VLOOKUP($E64,Hybrid!$1:$1048576,AO$2,FALSE)</f>
        <v>274.39294439999998</v>
      </c>
      <c r="AP64" s="73"/>
      <c r="AQ64" s="73"/>
    </row>
    <row r="65" spans="1:43" ht="15" customHeight="1" x14ac:dyDescent="0.25">
      <c r="A65" s="316"/>
      <c r="B65" s="315"/>
      <c r="C65" s="171"/>
      <c r="D65" s="124" t="s">
        <v>541</v>
      </c>
      <c r="E65" s="46" t="s">
        <v>413</v>
      </c>
      <c r="F65" s="73">
        <f>+VLOOKUP($E65,Hybrid!$1:$1048576,F$2,FALSE)</f>
        <v>4.6902603999999997</v>
      </c>
      <c r="G65" s="73">
        <f>+VLOOKUP($E65,Hybrid!$1:$1048576,G$2,FALSE)</f>
        <v>5.3108370069999999</v>
      </c>
      <c r="H65" s="73">
        <f>+VLOOKUP($E65,Hybrid!$1:$1048576,H$2,FALSE)</f>
        <v>5.7983659379999999</v>
      </c>
      <c r="I65" s="73">
        <f>+VLOOKUP($E65,Hybrid!$1:$1048576,I$2,FALSE)</f>
        <v>6.2047941919999996</v>
      </c>
      <c r="J65" s="73">
        <f>+VLOOKUP($E65,Hybrid!$1:$1048576,J$2,FALSE)</f>
        <v>6.5735543559999998</v>
      </c>
      <c r="K65" s="73">
        <f>+VLOOKUP($E65,Hybrid!$1:$1048576,K$2,FALSE)</f>
        <v>6.9437050390000001</v>
      </c>
      <c r="L65" s="73">
        <f>+VLOOKUP($E65,Hybrid!$1:$1048576,L$2,FALSE)</f>
        <v>7.3536603349999998</v>
      </c>
      <c r="M65" s="73">
        <f>+VLOOKUP($E65,Hybrid!$1:$1048576,M$2,FALSE)</f>
        <v>7.8242501600000001</v>
      </c>
      <c r="N65" s="73">
        <f>+VLOOKUP($E65,Hybrid!$1:$1048576,N$2,FALSE)</f>
        <v>8.3579150099999993</v>
      </c>
      <c r="O65" s="73">
        <f>+VLOOKUP($E65,Hybrid!$1:$1048576,O$2,FALSE)</f>
        <v>8.9607070130000004</v>
      </c>
      <c r="P65" s="73">
        <f>+VLOOKUP($E65,Hybrid!$1:$1048576,P$2,FALSE)</f>
        <v>9.6441498410000008</v>
      </c>
      <c r="Q65" s="73">
        <f>+VLOOKUP($E65,Hybrid!$1:$1048576,Q$2,FALSE)</f>
        <v>10.426406269999999</v>
      </c>
      <c r="R65" s="73">
        <f>+VLOOKUP($E65,Hybrid!$1:$1048576,R$2,FALSE)</f>
        <v>11.33370002</v>
      </c>
      <c r="S65" s="73">
        <f>+VLOOKUP($E65,Hybrid!$1:$1048576,S$2,FALSE)</f>
        <v>12.40240612</v>
      </c>
      <c r="T65" s="73">
        <f>+VLOOKUP($E65,Hybrid!$1:$1048576,T$2,FALSE)</f>
        <v>13.682247889999999</v>
      </c>
      <c r="U65" s="73">
        <f>+VLOOKUP($E65,Hybrid!$1:$1048576,U$2,FALSE)</f>
        <v>15.241193429999999</v>
      </c>
      <c r="V65" s="73">
        <f>+VLOOKUP($E65,Hybrid!$1:$1048576,V$2,FALSE)</f>
        <v>17.174681069999998</v>
      </c>
      <c r="W65" s="73">
        <f>+VLOOKUP($E65,Hybrid!$1:$1048576,W$2,FALSE)</f>
        <v>19.573692319999999</v>
      </c>
      <c r="X65" s="73">
        <f>+VLOOKUP($E65,Hybrid!$1:$1048576,X$2,FALSE)</f>
        <v>22.503363749999998</v>
      </c>
      <c r="Y65" s="73">
        <f>+VLOOKUP($E65,Hybrid!$1:$1048576,Y$2,FALSE)</f>
        <v>26.03568645</v>
      </c>
      <c r="Z65" s="73">
        <f>+VLOOKUP($E65,Hybrid!$1:$1048576,Z$2,FALSE)</f>
        <v>30.249725349999999</v>
      </c>
      <c r="AA65" s="73">
        <f>+VLOOKUP($E65,Hybrid!$1:$1048576,AA$2,FALSE)</f>
        <v>35.231035210000002</v>
      </c>
      <c r="AB65" s="73">
        <f>+VLOOKUP($E65,Hybrid!$1:$1048576,AB$2,FALSE)</f>
        <v>41.070938920000003</v>
      </c>
      <c r="AC65" s="73">
        <f>+VLOOKUP($E65,Hybrid!$1:$1048576,AC$2,FALSE)</f>
        <v>47.865592820000003</v>
      </c>
      <c r="AD65" s="73">
        <f>+VLOOKUP($E65,Hybrid!$1:$1048576,AD$2,FALSE)</f>
        <v>55.714747420000002</v>
      </c>
      <c r="AE65" s="73">
        <f>+VLOOKUP($E65,Hybrid!$1:$1048576,AE$2,FALSE)</f>
        <v>64.720124220000002</v>
      </c>
      <c r="AF65" s="73">
        <f>+VLOOKUP($E65,Hybrid!$1:$1048576,AF$2,FALSE)</f>
        <v>74.983348739999997</v>
      </c>
      <c r="AG65" s="73">
        <f>+VLOOKUP($E65,Hybrid!$1:$1048576,AG$2,FALSE)</f>
        <v>86.603402299999999</v>
      </c>
      <c r="AH65" s="73">
        <f>+VLOOKUP($E65,Hybrid!$1:$1048576,AH$2,FALSE)</f>
        <v>99.673580119999997</v>
      </c>
      <c r="AI65" s="73">
        <f>+VLOOKUP($E65,Hybrid!$1:$1048576,AI$2,FALSE)</f>
        <v>114.27797529999999</v>
      </c>
      <c r="AJ65" s="73">
        <f>+VLOOKUP($E65,Hybrid!$1:$1048576,AJ$2,FALSE)</f>
        <v>130.48753629999999</v>
      </c>
      <c r="AK65" s="73">
        <f>+VLOOKUP($E65,Hybrid!$1:$1048576,AK$2,FALSE)</f>
        <v>148.3558022</v>
      </c>
      <c r="AL65" s="73">
        <f>+VLOOKUP($E65,Hybrid!$1:$1048576,AL$2,FALSE)</f>
        <v>167.91445379999999</v>
      </c>
      <c r="AM65" s="73">
        <f>+VLOOKUP($E65,Hybrid!$1:$1048576,AM$2,FALSE)</f>
        <v>189.1688833</v>
      </c>
      <c r="AN65" s="73">
        <f>+VLOOKUP($E65,Hybrid!$1:$1048576,AN$2,FALSE)</f>
        <v>212.09402879999999</v>
      </c>
      <c r="AO65" s="73">
        <f>+VLOOKUP($E65,Hybrid!$1:$1048576,AO$2,FALSE)</f>
        <v>236.63076960000001</v>
      </c>
      <c r="AP65" s="73"/>
      <c r="AQ65" s="73"/>
    </row>
    <row r="66" spans="1:43" ht="15" customHeight="1" x14ac:dyDescent="0.25">
      <c r="A66" s="316"/>
      <c r="B66" s="315"/>
      <c r="C66" s="171"/>
      <c r="D66" s="124" t="s">
        <v>542</v>
      </c>
      <c r="E66" s="46" t="s">
        <v>414</v>
      </c>
      <c r="F66" s="73">
        <f>+VLOOKUP($E66,Hybrid!$1:$1048576,F$2,FALSE)</f>
        <v>3.246572</v>
      </c>
      <c r="G66" s="73">
        <f>+VLOOKUP($E66,Hybrid!$1:$1048576,G$2,FALSE)</f>
        <v>3.6722038530000001</v>
      </c>
      <c r="H66" s="73">
        <f>+VLOOKUP($E66,Hybrid!$1:$1048576,H$2,FALSE)</f>
        <v>4.0035834159999997</v>
      </c>
      <c r="I66" s="73">
        <f>+VLOOKUP($E66,Hybrid!$1:$1048576,I$2,FALSE)</f>
        <v>4.2779300180000002</v>
      </c>
      <c r="J66" s="73">
        <f>+VLOOKUP($E66,Hybrid!$1:$1048576,J$2,FALSE)</f>
        <v>4.5262093229999998</v>
      </c>
      <c r="K66" s="73">
        <f>+VLOOKUP($E66,Hybrid!$1:$1048576,K$2,FALSE)</f>
        <v>4.7761075890000004</v>
      </c>
      <c r="L66" s="73">
        <f>+VLOOKUP($E66,Hybrid!$1:$1048576,L$2,FALSE)</f>
        <v>5.0545188359999997</v>
      </c>
      <c r="M66" s="73">
        <f>+VLOOKUP($E66,Hybrid!$1:$1048576,M$2,FALSE)</f>
        <v>5.3756744359999997</v>
      </c>
      <c r="N66" s="73">
        <f>+VLOOKUP($E66,Hybrid!$1:$1048576,N$2,FALSE)</f>
        <v>5.7408561110000003</v>
      </c>
      <c r="O66" s="73">
        <f>+VLOOKUP($E66,Hybrid!$1:$1048576,O$2,FALSE)</f>
        <v>6.1538536610000003</v>
      </c>
      <c r="P66" s="73">
        <f>+VLOOKUP($E66,Hybrid!$1:$1048576,P$2,FALSE)</f>
        <v>6.6222570870000004</v>
      </c>
      <c r="Q66" s="73">
        <f>+VLOOKUP($E66,Hybrid!$1:$1048576,Q$2,FALSE)</f>
        <v>7.1582176579999999</v>
      </c>
      <c r="R66" s="73">
        <f>+VLOOKUP($E66,Hybrid!$1:$1048576,R$2,FALSE)</f>
        <v>7.7793462819999997</v>
      </c>
      <c r="S66" s="73">
        <f>+VLOOKUP($E66,Hybrid!$1:$1048576,S$2,FALSE)</f>
        <v>8.5100318149999996</v>
      </c>
      <c r="T66" s="73">
        <f>+VLOOKUP($E66,Hybrid!$1:$1048576,T$2,FALSE)</f>
        <v>9.3834606889999996</v>
      </c>
      <c r="U66" s="73">
        <f>+VLOOKUP($E66,Hybrid!$1:$1048576,U$2,FALSE)</f>
        <v>10.44470711</v>
      </c>
      <c r="V66" s="73">
        <f>+VLOOKUP($E66,Hybrid!$1:$1048576,V$2,FALSE)</f>
        <v>11.756694749999999</v>
      </c>
      <c r="W66" s="73">
        <f>+VLOOKUP($E66,Hybrid!$1:$1048576,W$2,FALSE)</f>
        <v>13.378155769999999</v>
      </c>
      <c r="X66" s="73">
        <f>+VLOOKUP($E66,Hybrid!$1:$1048576,X$2,FALSE)</f>
        <v>15.3490036</v>
      </c>
      <c r="Y66" s="73">
        <f>+VLOOKUP($E66,Hybrid!$1:$1048576,Y$2,FALSE)</f>
        <v>17.712517510000001</v>
      </c>
      <c r="Z66" s="73">
        <f>+VLOOKUP($E66,Hybrid!$1:$1048576,Z$2,FALSE)</f>
        <v>20.515379490000001</v>
      </c>
      <c r="AA66" s="73">
        <f>+VLOOKUP($E66,Hybrid!$1:$1048576,AA$2,FALSE)</f>
        <v>23.807126650000001</v>
      </c>
      <c r="AB66" s="73">
        <f>+VLOOKUP($E66,Hybrid!$1:$1048576,AB$2,FALSE)</f>
        <v>27.63949736</v>
      </c>
      <c r="AC66" s="73">
        <f>+VLOOKUP($E66,Hybrid!$1:$1048576,AC$2,FALSE)</f>
        <v>32.065637240000001</v>
      </c>
      <c r="AD66" s="73">
        <f>+VLOOKUP($E66,Hybrid!$1:$1048576,AD$2,FALSE)</f>
        <v>37.13911916</v>
      </c>
      <c r="AE66" s="73">
        <f>+VLOOKUP($E66,Hybrid!$1:$1048576,AE$2,FALSE)</f>
        <v>42.912740839999998</v>
      </c>
      <c r="AF66" s="73">
        <f>+VLOOKUP($E66,Hybrid!$1:$1048576,AF$2,FALSE)</f>
        <v>49.437079109999999</v>
      </c>
      <c r="AG66" s="73">
        <f>+VLOOKUP($E66,Hybrid!$1:$1048576,AG$2,FALSE)</f>
        <v>56.758796429999997</v>
      </c>
      <c r="AH66" s="73">
        <f>+VLOOKUP($E66,Hybrid!$1:$1048576,AH$2,FALSE)</f>
        <v>64.918713949999997</v>
      </c>
      <c r="AI66" s="73">
        <f>+VLOOKUP($E66,Hybrid!$1:$1048576,AI$2,FALSE)</f>
        <v>73.949685619999997</v>
      </c>
      <c r="AJ66" s="73">
        <f>+VLOOKUP($E66,Hybrid!$1:$1048576,AJ$2,FALSE)</f>
        <v>83.874327170000001</v>
      </c>
      <c r="AK66" s="73">
        <f>+VLOOKUP($E66,Hybrid!$1:$1048576,AK$2,FALSE)</f>
        <v>94.702683230000005</v>
      </c>
      <c r="AL66" s="73">
        <f>+VLOOKUP($E66,Hybrid!$1:$1048576,AL$2,FALSE)</f>
        <v>106.429936</v>
      </c>
      <c r="AM66" s="73">
        <f>+VLOOKUP($E66,Hybrid!$1:$1048576,AM$2,FALSE)</f>
        <v>119.0342862</v>
      </c>
      <c r="AN66" s="73">
        <f>+VLOOKUP($E66,Hybrid!$1:$1048576,AN$2,FALSE)</f>
        <v>132.47515749999999</v>
      </c>
      <c r="AO66" s="73">
        <f>+VLOOKUP($E66,Hybrid!$1:$1048576,AO$2,FALSE)</f>
        <v>146.69188510000001</v>
      </c>
      <c r="AP66" s="73"/>
      <c r="AQ66" s="73"/>
    </row>
    <row r="67" spans="1:43" ht="15" customHeight="1" x14ac:dyDescent="0.25">
      <c r="A67" s="316"/>
      <c r="B67" s="315"/>
      <c r="C67" s="171"/>
      <c r="D67" s="124" t="s">
        <v>543</v>
      </c>
      <c r="E67" s="46" t="s">
        <v>415</v>
      </c>
      <c r="F67" s="73">
        <f>+VLOOKUP($E67,Hybrid!$1:$1048576,F$2,FALSE)</f>
        <v>1.7994298</v>
      </c>
      <c r="G67" s="73">
        <f>+VLOOKUP($E67,Hybrid!$1:$1048576,G$2,FALSE)</f>
        <v>2.0222370519999999</v>
      </c>
      <c r="H67" s="73">
        <f>+VLOOKUP($E67,Hybrid!$1:$1048576,H$2,FALSE)</f>
        <v>2.1789386049999999</v>
      </c>
      <c r="I67" s="73">
        <f>+VLOOKUP($E67,Hybrid!$1:$1048576,I$2,FALSE)</f>
        <v>2.2916149479999999</v>
      </c>
      <c r="J67" s="73">
        <f>+VLOOKUP($E67,Hybrid!$1:$1048576,J$2,FALSE)</f>
        <v>2.3771978759999999</v>
      </c>
      <c r="K67" s="73">
        <f>+VLOOKUP($E67,Hybrid!$1:$1048576,K$2,FALSE)</f>
        <v>2.4487727850000001</v>
      </c>
      <c r="L67" s="73">
        <f>+VLOOKUP($E67,Hybrid!$1:$1048576,L$2,FALSE)</f>
        <v>2.5180832369999999</v>
      </c>
      <c r="M67" s="73">
        <f>+VLOOKUP($E67,Hybrid!$1:$1048576,M$2,FALSE)</f>
        <v>2.5917470310000001</v>
      </c>
      <c r="N67" s="73">
        <f>+VLOOKUP($E67,Hybrid!$1:$1048576,N$2,FALSE)</f>
        <v>2.67064105</v>
      </c>
      <c r="O67" s="73">
        <f>+VLOOKUP($E67,Hybrid!$1:$1048576,O$2,FALSE)</f>
        <v>2.7557678540000001</v>
      </c>
      <c r="P67" s="73">
        <f>+VLOOKUP($E67,Hybrid!$1:$1048576,P$2,FALSE)</f>
        <v>2.8487332400000001</v>
      </c>
      <c r="Q67" s="73">
        <f>+VLOOKUP($E67,Hybrid!$1:$1048576,Q$2,FALSE)</f>
        <v>2.9519332739999999</v>
      </c>
      <c r="R67" s="73">
        <f>+VLOOKUP($E67,Hybrid!$1:$1048576,R$2,FALSE)</f>
        <v>3.0687170130000001</v>
      </c>
      <c r="S67" s="73">
        <f>+VLOOKUP($E67,Hybrid!$1:$1048576,S$2,FALSE)</f>
        <v>3.2035917519999999</v>
      </c>
      <c r="T67" s="73">
        <f>+VLOOKUP($E67,Hybrid!$1:$1048576,T$2,FALSE)</f>
        <v>3.3625205990000002</v>
      </c>
      <c r="U67" s="73">
        <f>+VLOOKUP($E67,Hybrid!$1:$1048576,U$2,FALSE)</f>
        <v>3.553366311</v>
      </c>
      <c r="V67" s="73">
        <f>+VLOOKUP($E67,Hybrid!$1:$1048576,V$2,FALSE)</f>
        <v>3.7881531449999999</v>
      </c>
      <c r="W67" s="73">
        <f>+VLOOKUP($E67,Hybrid!$1:$1048576,W$2,FALSE)</f>
        <v>4.0771995209999998</v>
      </c>
      <c r="X67" s="73">
        <f>+VLOOKUP($E67,Hybrid!$1:$1048576,X$2,FALSE)</f>
        <v>4.4249477769999999</v>
      </c>
      <c r="Y67" s="73">
        <f>+VLOOKUP($E67,Hybrid!$1:$1048576,Y$2,FALSE)</f>
        <v>4.836072905</v>
      </c>
      <c r="Z67" s="73">
        <f>+VLOOKUP($E67,Hybrid!$1:$1048576,Z$2,FALSE)</f>
        <v>5.3154965440000002</v>
      </c>
      <c r="AA67" s="73">
        <f>+VLOOKUP($E67,Hybrid!$1:$1048576,AA$2,FALSE)</f>
        <v>5.868240825</v>
      </c>
      <c r="AB67" s="73">
        <f>+VLOOKUP($E67,Hybrid!$1:$1048576,AB$2,FALSE)</f>
        <v>6.4992950970000001</v>
      </c>
      <c r="AC67" s="73">
        <f>+VLOOKUP($E67,Hybrid!$1:$1048576,AC$2,FALSE)</f>
        <v>7.2134894029999996</v>
      </c>
      <c r="AD67" s="73">
        <f>+VLOOKUP($E67,Hybrid!$1:$1048576,AD$2,FALSE)</f>
        <v>8.0153648569999998</v>
      </c>
      <c r="AE67" s="73">
        <f>+VLOOKUP($E67,Hybrid!$1:$1048576,AE$2,FALSE)</f>
        <v>8.9090339509999996</v>
      </c>
      <c r="AF67" s="73">
        <f>+VLOOKUP($E67,Hybrid!$1:$1048576,AF$2,FALSE)</f>
        <v>9.8980269429999996</v>
      </c>
      <c r="AG67" s="73">
        <f>+VLOOKUP($E67,Hybrid!$1:$1048576,AG$2,FALSE)</f>
        <v>10.985122710000001</v>
      </c>
      <c r="AH67" s="73">
        <f>+VLOOKUP($E67,Hybrid!$1:$1048576,AH$2,FALSE)</f>
        <v>12.17216389</v>
      </c>
      <c r="AI67" s="73">
        <f>+VLOOKUP($E67,Hybrid!$1:$1048576,AI$2,FALSE)</f>
        <v>13.45985731</v>
      </c>
      <c r="AJ67" s="73">
        <f>+VLOOKUP($E67,Hybrid!$1:$1048576,AJ$2,FALSE)</f>
        <v>14.84756103</v>
      </c>
      <c r="AK67" s="73">
        <f>+VLOOKUP($E67,Hybrid!$1:$1048576,AK$2,FALSE)</f>
        <v>16.33306159</v>
      </c>
      <c r="AL67" s="73">
        <f>+VLOOKUP($E67,Hybrid!$1:$1048576,AL$2,FALSE)</f>
        <v>17.912345590000001</v>
      </c>
      <c r="AM67" s="73">
        <f>+VLOOKUP($E67,Hybrid!$1:$1048576,AM$2,FALSE)</f>
        <v>19.579372469999999</v>
      </c>
      <c r="AN67" s="73">
        <f>+VLOOKUP($E67,Hybrid!$1:$1048576,AN$2,FALSE)</f>
        <v>21.325857769999999</v>
      </c>
      <c r="AO67" s="73">
        <f>+VLOOKUP($E67,Hybrid!$1:$1048576,AO$2,FALSE)</f>
        <v>23.141079250000001</v>
      </c>
      <c r="AP67" s="73"/>
      <c r="AQ67" s="73"/>
    </row>
    <row r="68" spans="1:43" ht="15" customHeight="1" x14ac:dyDescent="0.25">
      <c r="A68" s="316"/>
      <c r="B68" s="315"/>
      <c r="C68" s="171"/>
      <c r="D68" s="124" t="s">
        <v>544</v>
      </c>
      <c r="E68" s="46" t="s">
        <v>416</v>
      </c>
      <c r="F68" s="73">
        <f>+VLOOKUP($E68,Hybrid!$1:$1048576,F$2,FALSE)</f>
        <v>1.1069429</v>
      </c>
      <c r="G68" s="73">
        <f>+VLOOKUP($E68,Hybrid!$1:$1048576,G$2,FALSE)</f>
        <v>1.238093144</v>
      </c>
      <c r="H68" s="73">
        <f>+VLOOKUP($E68,Hybrid!$1:$1048576,H$2,FALSE)</f>
        <v>1.3247164680000001</v>
      </c>
      <c r="I68" s="73">
        <f>+VLOOKUP($E68,Hybrid!$1:$1048576,I$2,FALSE)</f>
        <v>1.382070951</v>
      </c>
      <c r="J68" s="73">
        <f>+VLOOKUP($E68,Hybrid!$1:$1048576,J$2,FALSE)</f>
        <v>1.421668521</v>
      </c>
      <c r="K68" s="73">
        <f>+VLOOKUP($E68,Hybrid!$1:$1048576,K$2,FALSE)</f>
        <v>1.452172808</v>
      </c>
      <c r="L68" s="73">
        <f>+VLOOKUP($E68,Hybrid!$1:$1048576,L$2,FALSE)</f>
        <v>1.480977188</v>
      </c>
      <c r="M68" s="73">
        <f>+VLOOKUP($E68,Hybrid!$1:$1048576,M$2,FALSE)</f>
        <v>1.5120131889999999</v>
      </c>
      <c r="N68" s="73">
        <f>+VLOOKUP($E68,Hybrid!$1:$1048576,N$2,FALSE)</f>
        <v>1.545643044</v>
      </c>
      <c r="O68" s="73">
        <f>+VLOOKUP($E68,Hybrid!$1:$1048576,O$2,FALSE)</f>
        <v>1.5822864210000001</v>
      </c>
      <c r="P68" s="73">
        <f>+VLOOKUP($E68,Hybrid!$1:$1048576,P$2,FALSE)</f>
        <v>1.6227064739999999</v>
      </c>
      <c r="Q68" s="73">
        <f>+VLOOKUP($E68,Hybrid!$1:$1048576,Q$2,FALSE)</f>
        <v>1.6680959230000001</v>
      </c>
      <c r="R68" s="73">
        <f>+VLOOKUP($E68,Hybrid!$1:$1048576,R$2,FALSE)</f>
        <v>1.7201315720000001</v>
      </c>
      <c r="S68" s="73">
        <f>+VLOOKUP($E68,Hybrid!$1:$1048576,S$2,FALSE)</f>
        <v>1.781037988</v>
      </c>
      <c r="T68" s="73">
        <f>+VLOOKUP($E68,Hybrid!$1:$1048576,T$2,FALSE)</f>
        <v>1.8536842650000001</v>
      </c>
      <c r="U68" s="73">
        <f>+VLOOKUP($E68,Hybrid!$1:$1048576,U$2,FALSE)</f>
        <v>1.9417344080000001</v>
      </c>
      <c r="V68" s="73">
        <f>+VLOOKUP($E68,Hybrid!$1:$1048576,V$2,FALSE)</f>
        <v>2.0507593279999998</v>
      </c>
      <c r="W68" s="73">
        <f>+VLOOKUP($E68,Hybrid!$1:$1048576,W$2,FALSE)</f>
        <v>2.185003494</v>
      </c>
      <c r="X68" s="73">
        <f>+VLOOKUP($E68,Hybrid!$1:$1048576,X$2,FALSE)</f>
        <v>2.345265543</v>
      </c>
      <c r="Y68" s="73">
        <f>+VLOOKUP($E68,Hybrid!$1:$1048576,Y$2,FALSE)</f>
        <v>2.5322458640000001</v>
      </c>
      <c r="Z68" s="73">
        <f>+VLOOKUP($E68,Hybrid!$1:$1048576,Z$2,FALSE)</f>
        <v>2.7465663500000002</v>
      </c>
      <c r="AA68" s="73">
        <f>+VLOOKUP($E68,Hybrid!$1:$1048576,AA$2,FALSE)</f>
        <v>2.9887002549999999</v>
      </c>
      <c r="AB68" s="73">
        <f>+VLOOKUP($E68,Hybrid!$1:$1048576,AB$2,FALSE)</f>
        <v>3.2589117019999998</v>
      </c>
      <c r="AC68" s="73">
        <f>+VLOOKUP($E68,Hybrid!$1:$1048576,AC$2,FALSE)</f>
        <v>3.557204547</v>
      </c>
      <c r="AD68" s="73">
        <f>+VLOOKUP($E68,Hybrid!$1:$1048576,AD$2,FALSE)</f>
        <v>3.8832773110000001</v>
      </c>
      <c r="AE68" s="73">
        <f>+VLOOKUP($E68,Hybrid!$1:$1048576,AE$2,FALSE)</f>
        <v>4.2364820539999997</v>
      </c>
      <c r="AF68" s="73">
        <f>+VLOOKUP($E68,Hybrid!$1:$1048576,AF$2,FALSE)</f>
        <v>4.6157863770000001</v>
      </c>
      <c r="AG68" s="73">
        <f>+VLOOKUP($E68,Hybrid!$1:$1048576,AG$2,FALSE)</f>
        <v>5.0197386689999997</v>
      </c>
      <c r="AH68" s="73">
        <f>+VLOOKUP($E68,Hybrid!$1:$1048576,AH$2,FALSE)</f>
        <v>5.4464371849999997</v>
      </c>
      <c r="AI68" s="73">
        <f>+VLOOKUP($E68,Hybrid!$1:$1048576,AI$2,FALSE)</f>
        <v>5.8935037680000004</v>
      </c>
      <c r="AJ68" s="73">
        <f>+VLOOKUP($E68,Hybrid!$1:$1048576,AJ$2,FALSE)</f>
        <v>6.3580630930000002</v>
      </c>
      <c r="AK68" s="73">
        <f>+VLOOKUP($E68,Hybrid!$1:$1048576,AK$2,FALSE)</f>
        <v>6.8367285459999998</v>
      </c>
      <c r="AL68" s="73">
        <f>+VLOOKUP($E68,Hybrid!$1:$1048576,AL$2,FALSE)</f>
        <v>7.325596011</v>
      </c>
      <c r="AM68" s="73">
        <f>+VLOOKUP($E68,Hybrid!$1:$1048576,AM$2,FALSE)</f>
        <v>7.8202471310000004</v>
      </c>
      <c r="AN68" s="73">
        <f>+VLOOKUP($E68,Hybrid!$1:$1048576,AN$2,FALSE)</f>
        <v>8.3157640130000008</v>
      </c>
      <c r="AO68" s="73">
        <f>+VLOOKUP($E68,Hybrid!$1:$1048576,AO$2,FALSE)</f>
        <v>8.8067576790000004</v>
      </c>
      <c r="AP68" s="73"/>
      <c r="AQ68" s="73"/>
    </row>
    <row r="69" spans="1:43" ht="15" customHeight="1" x14ac:dyDescent="0.25">
      <c r="A69" s="316"/>
      <c r="B69" s="315"/>
      <c r="C69" s="171"/>
      <c r="D69" s="124" t="s">
        <v>545</v>
      </c>
      <c r="E69" s="46" t="s">
        <v>417</v>
      </c>
      <c r="F69" s="73">
        <f>+VLOOKUP($E69,Hybrid!$1:$1048576,F$2,FALSE)</f>
        <v>0.53533900000000001</v>
      </c>
      <c r="G69" s="73">
        <f>+VLOOKUP($E69,Hybrid!$1:$1048576,G$2,FALSE)</f>
        <v>0.5882500007</v>
      </c>
      <c r="H69" s="73">
        <f>+VLOOKUP($E69,Hybrid!$1:$1048576,H$2,FALSE)</f>
        <v>0.61227637170000004</v>
      </c>
      <c r="I69" s="73">
        <f>+VLOOKUP($E69,Hybrid!$1:$1048576,I$2,FALSE)</f>
        <v>0.6177848829</v>
      </c>
      <c r="J69" s="73">
        <f>+VLOOKUP($E69,Hybrid!$1:$1048576,J$2,FALSE)</f>
        <v>0.61215256149999997</v>
      </c>
      <c r="K69" s="73">
        <f>+VLOOKUP($E69,Hybrid!$1:$1048576,K$2,FALSE)</f>
        <v>0.60035693590000005</v>
      </c>
      <c r="L69" s="73">
        <f>+VLOOKUP($E69,Hybrid!$1:$1048576,L$2,FALSE)</f>
        <v>0.58607167540000005</v>
      </c>
      <c r="M69" s="73">
        <f>+VLOOKUP($E69,Hybrid!$1:$1048576,M$2,FALSE)</f>
        <v>0.5712340508</v>
      </c>
      <c r="N69" s="73">
        <f>+VLOOKUP($E69,Hybrid!$1:$1048576,N$2,FALSE)</f>
        <v>0.55622499280000004</v>
      </c>
      <c r="O69" s="73">
        <f>+VLOOKUP($E69,Hybrid!$1:$1048576,O$2,FALSE)</f>
        <v>0.54127226650000004</v>
      </c>
      <c r="P69" s="73">
        <f>+VLOOKUP($E69,Hybrid!$1:$1048576,P$2,FALSE)</f>
        <v>0.5265915135</v>
      </c>
      <c r="Q69" s="73">
        <f>+VLOOKUP($E69,Hybrid!$1:$1048576,Q$2,FALSE)</f>
        <v>0.51242126529999998</v>
      </c>
      <c r="R69" s="73">
        <f>+VLOOKUP($E69,Hybrid!$1:$1048576,R$2,FALSE)</f>
        <v>0.49902995439999998</v>
      </c>
      <c r="S69" s="73">
        <f>+VLOOKUP($E69,Hybrid!$1:$1048576,S$2,FALSE)</f>
        <v>0.48671346720000003</v>
      </c>
      <c r="T69" s="73">
        <f>+VLOOKUP($E69,Hybrid!$1:$1048576,T$2,FALSE)</f>
        <v>0.47579106030000001</v>
      </c>
      <c r="U69" s="73">
        <f>+VLOOKUP($E69,Hybrid!$1:$1048576,U$2,FALSE)</f>
        <v>0.46660301840000001</v>
      </c>
      <c r="V69" s="73">
        <f>+VLOOKUP($E69,Hybrid!$1:$1048576,V$2,FALSE)</f>
        <v>0.4597956004</v>
      </c>
      <c r="W69" s="73">
        <f>+VLOOKUP($E69,Hybrid!$1:$1048576,W$2,FALSE)</f>
        <v>0.45565732240000001</v>
      </c>
      <c r="X69" s="73">
        <f>+VLOOKUP($E69,Hybrid!$1:$1048576,X$2,FALSE)</f>
        <v>0.45375962139999998</v>
      </c>
      <c r="Y69" s="73">
        <f>+VLOOKUP($E69,Hybrid!$1:$1048576,Y$2,FALSE)</f>
        <v>0.45368542620000002</v>
      </c>
      <c r="Z69" s="73">
        <f>+VLOOKUP($E69,Hybrid!$1:$1048576,Z$2,FALSE)</f>
        <v>0.4550434478</v>
      </c>
      <c r="AA69" s="73">
        <f>+VLOOKUP($E69,Hybrid!$1:$1048576,AA$2,FALSE)</f>
        <v>0.45746111649999999</v>
      </c>
      <c r="AB69" s="73">
        <f>+VLOOKUP($E69,Hybrid!$1:$1048576,AB$2,FALSE)</f>
        <v>0.46058115189999999</v>
      </c>
      <c r="AC69" s="73">
        <f>+VLOOKUP($E69,Hybrid!$1:$1048576,AC$2,FALSE)</f>
        <v>0.46406146279999999</v>
      </c>
      <c r="AD69" s="73">
        <f>+VLOOKUP($E69,Hybrid!$1:$1048576,AD$2,FALSE)</f>
        <v>0.46757714880000001</v>
      </c>
      <c r="AE69" s="73">
        <f>+VLOOKUP($E69,Hybrid!$1:$1048576,AE$2,FALSE)</f>
        <v>0.47082359350000003</v>
      </c>
      <c r="AF69" s="73">
        <f>+VLOOKUP($E69,Hybrid!$1:$1048576,AF$2,FALSE)</f>
        <v>0.47351996229999999</v>
      </c>
      <c r="AG69" s="73">
        <f>+VLOOKUP($E69,Hybrid!$1:$1048576,AG$2,FALSE)</f>
        <v>0.47541264750000001</v>
      </c>
      <c r="AH69" s="73">
        <f>+VLOOKUP($E69,Hybrid!$1:$1048576,AH$2,FALSE)</f>
        <v>0.4762783458</v>
      </c>
      <c r="AI69" s="73">
        <f>+VLOOKUP($E69,Hybrid!$1:$1048576,AI$2,FALSE)</f>
        <v>0.47592655699999997</v>
      </c>
      <c r="AJ69" s="73">
        <f>+VLOOKUP($E69,Hybrid!$1:$1048576,AJ$2,FALSE)</f>
        <v>0.47420136940000002</v>
      </c>
      <c r="AK69" s="73">
        <f>+VLOOKUP($E69,Hybrid!$1:$1048576,AK$2,FALSE)</f>
        <v>0.47098245570000002</v>
      </c>
      <c r="AL69" s="73">
        <f>+VLOOKUP($E69,Hybrid!$1:$1048576,AL$2,FALSE)</f>
        <v>0.46618527389999997</v>
      </c>
      <c r="AM69" s="73">
        <f>+VLOOKUP($E69,Hybrid!$1:$1048576,AM$2,FALSE)</f>
        <v>0.4597605085</v>
      </c>
      <c r="AN69" s="73">
        <f>+VLOOKUP($E69,Hybrid!$1:$1048576,AN$2,FALSE)</f>
        <v>0.45169283139999999</v>
      </c>
      <c r="AO69" s="73">
        <f>+VLOOKUP($E69,Hybrid!$1:$1048576,AO$2,FALSE)</f>
        <v>0.44199909129999998</v>
      </c>
      <c r="AP69" s="73"/>
      <c r="AQ69" s="73"/>
    </row>
    <row r="70" spans="1:43" ht="15" customHeight="1" x14ac:dyDescent="0.25">
      <c r="A70" s="316"/>
      <c r="B70" s="315"/>
      <c r="C70" s="171"/>
      <c r="D70" s="124" t="s">
        <v>546</v>
      </c>
      <c r="E70" s="46" t="s">
        <v>418</v>
      </c>
      <c r="F70" s="73">
        <f>+VLOOKUP($E70,Hybrid!$1:$1048576,F$2,FALSE)</f>
        <v>1.0050558000000001</v>
      </c>
      <c r="G70" s="73">
        <f>+VLOOKUP($E70,Hybrid!$1:$1048576,G$2,FALSE)</f>
        <v>1.0878507610000001</v>
      </c>
      <c r="H70" s="73">
        <f>+VLOOKUP($E70,Hybrid!$1:$1048576,H$2,FALSE)</f>
        <v>1.1069242399999999</v>
      </c>
      <c r="I70" s="73">
        <f>+VLOOKUP($E70,Hybrid!$1:$1048576,I$2,FALSE)</f>
        <v>1.087405806</v>
      </c>
      <c r="J70" s="73">
        <f>+VLOOKUP($E70,Hybrid!$1:$1048576,J$2,FALSE)</f>
        <v>1.046598449</v>
      </c>
      <c r="K70" s="73">
        <f>+VLOOKUP($E70,Hybrid!$1:$1048576,K$2,FALSE)</f>
        <v>0.99559627019999997</v>
      </c>
      <c r="L70" s="73">
        <f>+VLOOKUP($E70,Hybrid!$1:$1048576,L$2,FALSE)</f>
        <v>0.94183363399999998</v>
      </c>
      <c r="M70" s="73">
        <f>+VLOOKUP($E70,Hybrid!$1:$1048576,M$2,FALSE)</f>
        <v>0.88894386800000003</v>
      </c>
      <c r="N70" s="73">
        <f>+VLOOKUP($E70,Hybrid!$1:$1048576,N$2,FALSE)</f>
        <v>0.83765222800000005</v>
      </c>
      <c r="O70" s="73">
        <f>+VLOOKUP($E70,Hybrid!$1:$1048576,O$2,FALSE)</f>
        <v>0.78831740279999996</v>
      </c>
      <c r="P70" s="73">
        <f>+VLOOKUP($E70,Hybrid!$1:$1048576,P$2,FALSE)</f>
        <v>0.74121413719999996</v>
      </c>
      <c r="Q70" s="73">
        <f>+VLOOKUP($E70,Hybrid!$1:$1048576,Q$2,FALSE)</f>
        <v>0.6965994539</v>
      </c>
      <c r="R70" s="73">
        <f>+VLOOKUP($E70,Hybrid!$1:$1048576,R$2,FALSE)</f>
        <v>0.65471940939999995</v>
      </c>
      <c r="S70" s="73">
        <f>+VLOOKUP($E70,Hybrid!$1:$1048576,S$2,FALSE)</f>
        <v>0.61579782189999999</v>
      </c>
      <c r="T70" s="73">
        <f>+VLOOKUP($E70,Hybrid!$1:$1048576,T$2,FALSE)</f>
        <v>0.58002313719999998</v>
      </c>
      <c r="U70" s="73">
        <f>+VLOOKUP($E70,Hybrid!$1:$1048576,U$2,FALSE)</f>
        <v>0.54753893360000006</v>
      </c>
      <c r="V70" s="73">
        <f>+VLOOKUP($E70,Hybrid!$1:$1048576,V$2,FALSE)</f>
        <v>0.51876615270000004</v>
      </c>
      <c r="W70" s="73">
        <f>+VLOOKUP($E70,Hybrid!$1:$1048576,W$2,FALSE)</f>
        <v>0.4936434677</v>
      </c>
      <c r="X70" s="73">
        <f>+VLOOKUP($E70,Hybrid!$1:$1048576,X$2,FALSE)</f>
        <v>0.47134696850000002</v>
      </c>
      <c r="Y70" s="73">
        <f>+VLOOKUP($E70,Hybrid!$1:$1048576,Y$2,FALSE)</f>
        <v>0.45116298529999999</v>
      </c>
      <c r="Z70" s="73">
        <f>+VLOOKUP($E70,Hybrid!$1:$1048576,Z$2,FALSE)</f>
        <v>0.43249969630000001</v>
      </c>
      <c r="AA70" s="73">
        <f>+VLOOKUP($E70,Hybrid!$1:$1048576,AA$2,FALSE)</f>
        <v>0.41487130430000002</v>
      </c>
      <c r="AB70" s="73">
        <f>+VLOOKUP($E70,Hybrid!$1:$1048576,AB$2,FALSE)</f>
        <v>0.39788540729999999</v>
      </c>
      <c r="AC70" s="73">
        <f>+VLOOKUP($E70,Hybrid!$1:$1048576,AC$2,FALSE)</f>
        <v>0.38123347000000002</v>
      </c>
      <c r="AD70" s="73">
        <f>+VLOOKUP($E70,Hybrid!$1:$1048576,AD$2,FALSE)</f>
        <v>0.3646830358</v>
      </c>
      <c r="AE70" s="73">
        <f>+VLOOKUP($E70,Hybrid!$1:$1048576,AE$2,FALSE)</f>
        <v>0.34807059099999998</v>
      </c>
      <c r="AF70" s="73">
        <f>+VLOOKUP($E70,Hybrid!$1:$1048576,AF$2,FALSE)</f>
        <v>0.33129444060000002</v>
      </c>
      <c r="AG70" s="73">
        <f>+VLOOKUP($E70,Hybrid!$1:$1048576,AG$2,FALSE)</f>
        <v>0.31430730220000003</v>
      </c>
      <c r="AH70" s="73">
        <f>+VLOOKUP($E70,Hybrid!$1:$1048576,AH$2,FALSE)</f>
        <v>0.29710855809999998</v>
      </c>
      <c r="AI70" s="73">
        <f>+VLOOKUP($E70,Hybrid!$1:$1048576,AI$2,FALSE)</f>
        <v>0.27973625369999999</v>
      </c>
      <c r="AJ70" s="73">
        <f>+VLOOKUP($E70,Hybrid!$1:$1048576,AJ$2,FALSE)</f>
        <v>0.26225902800000001</v>
      </c>
      <c r="AK70" s="73">
        <f>+VLOOKUP($E70,Hybrid!$1:$1048576,AK$2,FALSE)</f>
        <v>0.2447681941</v>
      </c>
      <c r="AL70" s="73">
        <f>+VLOOKUP($E70,Hybrid!$1:$1048576,AL$2,FALSE)</f>
        <v>0.22737020790000001</v>
      </c>
      <c r="AM70" s="73">
        <f>+VLOOKUP($E70,Hybrid!$1:$1048576,AM$2,FALSE)</f>
        <v>0.21017973449999999</v>
      </c>
      <c r="AN70" s="73">
        <f>+VLOOKUP($E70,Hybrid!$1:$1048576,AN$2,FALSE)</f>
        <v>0.19331348840000001</v>
      </c>
      <c r="AO70" s="73">
        <f>+VLOOKUP($E70,Hybrid!$1:$1048576,AO$2,FALSE)</f>
        <v>0.17688497149999999</v>
      </c>
      <c r="AP70" s="73"/>
      <c r="AQ70" s="73"/>
    </row>
    <row r="71" spans="1:43" s="111" customFormat="1" ht="15" customHeight="1" x14ac:dyDescent="0.25">
      <c r="A71" s="316"/>
      <c r="B71" s="315"/>
      <c r="C71" s="122" t="s">
        <v>824</v>
      </c>
      <c r="D71" s="122"/>
      <c r="E71" s="91" t="s">
        <v>419</v>
      </c>
      <c r="F71" s="111">
        <f>+VLOOKUP($E71,Hybrid!$1:$1048576,F$2,FALSE)</f>
        <v>0.157</v>
      </c>
      <c r="G71" s="111">
        <f>+VLOOKUP($E71,Hybrid!$1:$1048576,G$2,FALSE)</f>
        <v>0.17660557769999999</v>
      </c>
      <c r="H71" s="111">
        <f>+VLOOKUP($E71,Hybrid!$1:$1048576,H$2,FALSE)</f>
        <v>0.1902709024</v>
      </c>
      <c r="I71" s="111">
        <f>+VLOOKUP($E71,Hybrid!$1:$1048576,I$2,FALSE)</f>
        <v>0.19977638880000001</v>
      </c>
      <c r="J71" s="111">
        <f>+VLOOKUP($E71,Hybrid!$1:$1048576,J$2,FALSE)</f>
        <v>0.20642632129999999</v>
      </c>
      <c r="K71" s="111">
        <f>+VLOOKUP($E71,Hybrid!$1:$1048576,K$2,FALSE)</f>
        <v>0.2111307486</v>
      </c>
      <c r="L71" s="111">
        <f>+VLOOKUP($E71,Hybrid!$1:$1048576,L$2,FALSE)</f>
        <v>0.2146998977</v>
      </c>
      <c r="M71" s="111">
        <f>+VLOOKUP($E71,Hybrid!$1:$1048576,M$2,FALSE)</f>
        <v>0.21767368989999999</v>
      </c>
      <c r="N71" s="111">
        <f>+VLOOKUP($E71,Hybrid!$1:$1048576,N$2,FALSE)</f>
        <v>0.22019105990000001</v>
      </c>
      <c r="O71" s="111">
        <f>+VLOOKUP($E71,Hybrid!$1:$1048576,O$2,FALSE)</f>
        <v>0.2223305438</v>
      </c>
      <c r="P71" s="111">
        <f>+VLOOKUP($E71,Hybrid!$1:$1048576,P$2,FALSE)</f>
        <v>0.22413859899999999</v>
      </c>
      <c r="Q71" s="111">
        <f>+VLOOKUP($E71,Hybrid!$1:$1048576,Q$2,FALSE)</f>
        <v>0.22563873670000001</v>
      </c>
      <c r="R71" s="111">
        <f>+VLOOKUP($E71,Hybrid!$1:$1048576,R$2,FALSE)</f>
        <v>0.2268376651</v>
      </c>
      <c r="S71" s="111">
        <f>+VLOOKUP($E71,Hybrid!$1:$1048576,S$2,FALSE)</f>
        <v>0.22772946999999999</v>
      </c>
      <c r="T71" s="111">
        <f>+VLOOKUP($E71,Hybrid!$1:$1048576,T$2,FALSE)</f>
        <v>0.2282981818</v>
      </c>
      <c r="U71" s="111">
        <f>+VLOOKUP($E71,Hybrid!$1:$1048576,U$2,FALSE)</f>
        <v>0.22851890999999999</v>
      </c>
      <c r="V71" s="111">
        <f>+VLOOKUP($E71,Hybrid!$1:$1048576,V$2,FALSE)</f>
        <v>0.228565658</v>
      </c>
      <c r="W71" s="111">
        <f>+VLOOKUP($E71,Hybrid!$1:$1048576,W$2,FALSE)</f>
        <v>0.22859828430000001</v>
      </c>
      <c r="X71" s="111">
        <f>+VLOOKUP($E71,Hybrid!$1:$1048576,X$2,FALSE)</f>
        <v>0.22853424780000001</v>
      </c>
      <c r="Y71" s="111">
        <f>+VLOOKUP($E71,Hybrid!$1:$1048576,Y$2,FALSE)</f>
        <v>0.22831291240000001</v>
      </c>
      <c r="Z71" s="111">
        <f>+VLOOKUP($E71,Hybrid!$1:$1048576,Z$2,FALSE)</f>
        <v>0.22789228919999999</v>
      </c>
      <c r="AA71" s="111">
        <f>+VLOOKUP($E71,Hybrid!$1:$1048576,AA$2,FALSE)</f>
        <v>0.2272397313</v>
      </c>
      <c r="AB71" s="111">
        <f>+VLOOKUP($E71,Hybrid!$1:$1048576,AB$2,FALSE)</f>
        <v>0.22632657549999999</v>
      </c>
      <c r="AC71" s="111">
        <f>+VLOOKUP($E71,Hybrid!$1:$1048576,AC$2,FALSE)</f>
        <v>0.225125453</v>
      </c>
      <c r="AD71" s="111">
        <f>+VLOOKUP($E71,Hybrid!$1:$1048576,AD$2,FALSE)</f>
        <v>0.2236091472</v>
      </c>
      <c r="AE71" s="111">
        <f>+VLOOKUP($E71,Hybrid!$1:$1048576,AE$2,FALSE)</f>
        <v>0.22175031819999999</v>
      </c>
      <c r="AF71" s="111">
        <f>+VLOOKUP($E71,Hybrid!$1:$1048576,AF$2,FALSE)</f>
        <v>0.21952172619999999</v>
      </c>
      <c r="AG71" s="111">
        <f>+VLOOKUP($E71,Hybrid!$1:$1048576,AG$2,FALSE)</f>
        <v>0.21689676620000001</v>
      </c>
      <c r="AH71" s="111">
        <f>+VLOOKUP($E71,Hybrid!$1:$1048576,AH$2,FALSE)</f>
        <v>0.21385021530000001</v>
      </c>
      <c r="AI71" s="111">
        <f>+VLOOKUP($E71,Hybrid!$1:$1048576,AI$2,FALSE)</f>
        <v>0.2103591376</v>
      </c>
      <c r="AJ71" s="111">
        <f>+VLOOKUP($E71,Hybrid!$1:$1048576,AJ$2,FALSE)</f>
        <v>0.20640389670000001</v>
      </c>
      <c r="AK71" s="111">
        <f>+VLOOKUP($E71,Hybrid!$1:$1048576,AK$2,FALSE)</f>
        <v>0.20196925299999999</v>
      </c>
      <c r="AL71" s="111">
        <f>+VLOOKUP($E71,Hybrid!$1:$1048576,AL$2,FALSE)</f>
        <v>0.1970454955</v>
      </c>
      <c r="AM71" s="111">
        <f>+VLOOKUP($E71,Hybrid!$1:$1048576,AM$2,FALSE)</f>
        <v>0.19162956740000001</v>
      </c>
      <c r="AN71" s="111">
        <f>+VLOOKUP($E71,Hybrid!$1:$1048576,AN$2,FALSE)</f>
        <v>0.1857261261</v>
      </c>
      <c r="AO71" s="111">
        <f>+VLOOKUP($E71,Hybrid!$1:$1048576,AO$2,FALSE)</f>
        <v>0.17934847239999999</v>
      </c>
    </row>
    <row r="72" spans="1:43" ht="15" customHeight="1" x14ac:dyDescent="0.25">
      <c r="A72" s="316"/>
      <c r="B72" s="315"/>
      <c r="C72" s="171"/>
      <c r="D72" s="124" t="s">
        <v>540</v>
      </c>
      <c r="E72" s="46" t="s">
        <v>420</v>
      </c>
      <c r="F72" s="73">
        <f>+VLOOKUP($E72,Hybrid!$1:$1048576,F$2,FALSE)</f>
        <v>4.4415299999999998E-2</v>
      </c>
      <c r="G72" s="73">
        <f>+VLOOKUP($E72,Hybrid!$1:$1048576,G$2,FALSE)</f>
        <v>5.02585745E-2</v>
      </c>
      <c r="H72" s="73">
        <f>+VLOOKUP($E72,Hybrid!$1:$1048576,H$2,FALSE)</f>
        <v>5.4627696400000002E-2</v>
      </c>
      <c r="I72" s="73">
        <f>+VLOOKUP($E72,Hybrid!$1:$1048576,I$2,FALSE)</f>
        <v>5.79402771E-2</v>
      </c>
      <c r="J72" s="73">
        <f>+VLOOKUP($E72,Hybrid!$1:$1048576,J$2,FALSE)</f>
        <v>6.0508966999999997E-2</v>
      </c>
      <c r="K72" s="73">
        <f>+VLOOKUP($E72,Hybrid!$1:$1048576,K$2,FALSE)</f>
        <v>6.2559240899999993E-2</v>
      </c>
      <c r="L72" s="73">
        <f>+VLOOKUP($E72,Hybrid!$1:$1048576,L$2,FALSE)</f>
        <v>6.4305731500000005E-2</v>
      </c>
      <c r="M72" s="73">
        <f>+VLOOKUP($E72,Hybrid!$1:$1048576,M$2,FALSE)</f>
        <v>6.5893407299999998E-2</v>
      </c>
      <c r="N72" s="73">
        <f>+VLOOKUP($E72,Hybrid!$1:$1048576,N$2,FALSE)</f>
        <v>6.7354086399999999E-2</v>
      </c>
      <c r="O72" s="73">
        <f>+VLOOKUP($E72,Hybrid!$1:$1048576,O$2,FALSE)</f>
        <v>6.8706690900000006E-2</v>
      </c>
      <c r="P72" s="73">
        <f>+VLOOKUP($E72,Hybrid!$1:$1048576,P$2,FALSE)</f>
        <v>6.9963067500000004E-2</v>
      </c>
      <c r="Q72" s="73">
        <f>+VLOOKUP($E72,Hybrid!$1:$1048576,Q$2,FALSE)</f>
        <v>7.1129363900000006E-2</v>
      </c>
      <c r="R72" s="73">
        <f>+VLOOKUP($E72,Hybrid!$1:$1048576,R$2,FALSE)</f>
        <v>7.2207178900000002E-2</v>
      </c>
      <c r="S72" s="73">
        <f>+VLOOKUP($E72,Hybrid!$1:$1048576,S$2,FALSE)</f>
        <v>7.3194460599999997E-2</v>
      </c>
      <c r="T72" s="73">
        <f>+VLOOKUP($E72,Hybrid!$1:$1048576,T$2,FALSE)</f>
        <v>7.4086073799999999E-2</v>
      </c>
      <c r="U72" s="73">
        <f>+VLOOKUP($E72,Hybrid!$1:$1048576,U$2,FALSE)</f>
        <v>7.4873980300000004E-2</v>
      </c>
      <c r="V72" s="73">
        <f>+VLOOKUP($E72,Hybrid!$1:$1048576,V$2,FALSE)</f>
        <v>7.5614020099999998E-2</v>
      </c>
      <c r="W72" s="73">
        <f>+VLOOKUP($E72,Hybrid!$1:$1048576,W$2,FALSE)</f>
        <v>7.6355392600000002E-2</v>
      </c>
      <c r="X72" s="73">
        <f>+VLOOKUP($E72,Hybrid!$1:$1048576,X$2,FALSE)</f>
        <v>7.7066400500000007E-2</v>
      </c>
      <c r="Y72" s="73">
        <f>+VLOOKUP($E72,Hybrid!$1:$1048576,Y$2,FALSE)</f>
        <v>7.7723764099999995E-2</v>
      </c>
      <c r="Z72" s="73">
        <f>+VLOOKUP($E72,Hybrid!$1:$1048576,Z$2,FALSE)</f>
        <v>7.8310812399999999E-2</v>
      </c>
      <c r="AA72" s="73">
        <f>+VLOOKUP($E72,Hybrid!$1:$1048576,AA$2,FALSE)</f>
        <v>7.8814054999999994E-2</v>
      </c>
      <c r="AB72" s="73">
        <f>+VLOOKUP($E72,Hybrid!$1:$1048576,AB$2,FALSE)</f>
        <v>7.9221215299999995E-2</v>
      </c>
      <c r="AC72" s="73">
        <f>+VLOOKUP($E72,Hybrid!$1:$1048576,AC$2,FALSE)</f>
        <v>7.9520220000000003E-2</v>
      </c>
      <c r="AD72" s="73">
        <f>+VLOOKUP($E72,Hybrid!$1:$1048576,AD$2,FALSE)</f>
        <v>7.9698742399999994E-2</v>
      </c>
      <c r="AE72" s="73">
        <f>+VLOOKUP($E72,Hybrid!$1:$1048576,AE$2,FALSE)</f>
        <v>7.9744059800000003E-2</v>
      </c>
      <c r="AF72" s="73">
        <f>+VLOOKUP($E72,Hybrid!$1:$1048576,AF$2,FALSE)</f>
        <v>7.9643100499999994E-2</v>
      </c>
      <c r="AG72" s="73">
        <f>+VLOOKUP($E72,Hybrid!$1:$1048576,AG$2,FALSE)</f>
        <v>7.9382619700000004E-2</v>
      </c>
      <c r="AH72" s="73">
        <f>+VLOOKUP($E72,Hybrid!$1:$1048576,AH$2,FALSE)</f>
        <v>7.8949471500000007E-2</v>
      </c>
      <c r="AI72" s="73">
        <f>+VLOOKUP($E72,Hybrid!$1:$1048576,AI$2,FALSE)</f>
        <v>7.8330962800000001E-2</v>
      </c>
      <c r="AJ72" s="73">
        <f>+VLOOKUP($E72,Hybrid!$1:$1048576,AJ$2,FALSE)</f>
        <v>7.7515272400000002E-2</v>
      </c>
      <c r="AK72" s="73">
        <f>+VLOOKUP($E72,Hybrid!$1:$1048576,AK$2,FALSE)</f>
        <v>7.6491929900000005E-2</v>
      </c>
      <c r="AL72" s="73">
        <f>+VLOOKUP($E72,Hybrid!$1:$1048576,AL$2,FALSE)</f>
        <v>7.5252336500000003E-2</v>
      </c>
      <c r="AM72" s="73">
        <f>+VLOOKUP($E72,Hybrid!$1:$1048576,AM$2,FALSE)</f>
        <v>7.3790311100000006E-2</v>
      </c>
      <c r="AN72" s="73">
        <f>+VLOOKUP($E72,Hybrid!$1:$1048576,AN$2,FALSE)</f>
        <v>7.2102639699999999E-2</v>
      </c>
      <c r="AO72" s="73">
        <f>+VLOOKUP($E72,Hybrid!$1:$1048576,AO$2,FALSE)</f>
        <v>7.0189597100000001E-2</v>
      </c>
      <c r="AP72" s="73"/>
      <c r="AQ72" s="73"/>
    </row>
    <row r="73" spans="1:43" ht="15" customHeight="1" x14ac:dyDescent="0.25">
      <c r="A73" s="316"/>
      <c r="B73" s="315"/>
      <c r="C73" s="171"/>
      <c r="D73" s="124" t="s">
        <v>541</v>
      </c>
      <c r="E73" s="46" t="s">
        <v>421</v>
      </c>
      <c r="F73" s="73">
        <f>+VLOOKUP($E73,Hybrid!$1:$1048576,F$2,FALSE)</f>
        <v>4.2641199999999997E-2</v>
      </c>
      <c r="G73" s="73">
        <f>+VLOOKUP($E73,Hybrid!$1:$1048576,G$2,FALSE)</f>
        <v>4.8192836500000003E-2</v>
      </c>
      <c r="H73" s="73">
        <f>+VLOOKUP($E73,Hybrid!$1:$1048576,H$2,FALSE)</f>
        <v>5.22837123E-2</v>
      </c>
      <c r="I73" s="73">
        <f>+VLOOKUP($E73,Hybrid!$1:$1048576,I$2,FALSE)</f>
        <v>5.5329548700000002E-2</v>
      </c>
      <c r="J73" s="73">
        <f>+VLOOKUP($E73,Hybrid!$1:$1048576,J$2,FALSE)</f>
        <v>5.7639886199999997E-2</v>
      </c>
      <c r="K73" s="73">
        <f>+VLOOKUP($E73,Hybrid!$1:$1048576,K$2,FALSE)</f>
        <v>5.94359691E-2</v>
      </c>
      <c r="L73" s="73">
        <f>+VLOOKUP($E73,Hybrid!$1:$1048576,L$2,FALSE)</f>
        <v>6.0925853799999999E-2</v>
      </c>
      <c r="M73" s="73">
        <f>+VLOOKUP($E73,Hybrid!$1:$1048576,M$2,FALSE)</f>
        <v>6.2250817700000002E-2</v>
      </c>
      <c r="N73" s="73">
        <f>+VLOOKUP($E73,Hybrid!$1:$1048576,N$2,FALSE)</f>
        <v>6.3443780399999997E-2</v>
      </c>
      <c r="O73" s="73">
        <f>+VLOOKUP($E73,Hybrid!$1:$1048576,O$2,FALSE)</f>
        <v>6.4523445299999996E-2</v>
      </c>
      <c r="P73" s="73">
        <f>+VLOOKUP($E73,Hybrid!$1:$1048576,P$2,FALSE)</f>
        <v>6.55007284E-2</v>
      </c>
      <c r="Q73" s="73">
        <f>+VLOOKUP($E73,Hybrid!$1:$1048576,Q$2,FALSE)</f>
        <v>6.6380564000000003E-2</v>
      </c>
      <c r="R73" s="73">
        <f>+VLOOKUP($E73,Hybrid!$1:$1048576,R$2,FALSE)</f>
        <v>6.7163260299999999E-2</v>
      </c>
      <c r="S73" s="73">
        <f>+VLOOKUP($E73,Hybrid!$1:$1048576,S$2,FALSE)</f>
        <v>6.7845484100000006E-2</v>
      </c>
      <c r="T73" s="73">
        <f>+VLOOKUP($E73,Hybrid!$1:$1048576,T$2,FALSE)</f>
        <v>6.8420862900000004E-2</v>
      </c>
      <c r="U73" s="73">
        <f>+VLOOKUP($E73,Hybrid!$1:$1048576,U$2,FALSE)</f>
        <v>6.8880191899999998E-2</v>
      </c>
      <c r="V73" s="73">
        <f>+VLOOKUP($E73,Hybrid!$1:$1048576,V$2,FALSE)</f>
        <v>6.9273993500000006E-2</v>
      </c>
      <c r="W73" s="73">
        <f>+VLOOKUP($E73,Hybrid!$1:$1048576,W$2,FALSE)</f>
        <v>6.9648886199999996E-2</v>
      </c>
      <c r="X73" s="73">
        <f>+VLOOKUP($E73,Hybrid!$1:$1048576,X$2,FALSE)</f>
        <v>6.9978280899999995E-2</v>
      </c>
      <c r="Y73" s="73">
        <f>+VLOOKUP($E73,Hybrid!$1:$1048576,Y$2,FALSE)</f>
        <v>7.0242404600000002E-2</v>
      </c>
      <c r="Z73" s="73">
        <f>+VLOOKUP($E73,Hybrid!$1:$1048576,Z$2,FALSE)</f>
        <v>7.0427187000000002E-2</v>
      </c>
      <c r="AA73" s="73">
        <f>+VLOOKUP($E73,Hybrid!$1:$1048576,AA$2,FALSE)</f>
        <v>7.0521409600000001E-2</v>
      </c>
      <c r="AB73" s="73">
        <f>+VLOOKUP($E73,Hybrid!$1:$1048576,AB$2,FALSE)</f>
        <v>7.0515078699999997E-2</v>
      </c>
      <c r="AC73" s="73">
        <f>+VLOOKUP($E73,Hybrid!$1:$1048576,AC$2,FALSE)</f>
        <v>7.03986162E-2</v>
      </c>
      <c r="AD73" s="73">
        <f>+VLOOKUP($E73,Hybrid!$1:$1048576,AD$2,FALSE)</f>
        <v>7.0162526700000005E-2</v>
      </c>
      <c r="AE73" s="73">
        <f>+VLOOKUP($E73,Hybrid!$1:$1048576,AE$2,FALSE)</f>
        <v>6.9797332500000003E-2</v>
      </c>
      <c r="AF73" s="73">
        <f>+VLOOKUP($E73,Hybrid!$1:$1048576,AF$2,FALSE)</f>
        <v>6.9293667899999994E-2</v>
      </c>
      <c r="AG73" s="73">
        <f>+VLOOKUP($E73,Hybrid!$1:$1048576,AG$2,FALSE)</f>
        <v>6.8642476499999994E-2</v>
      </c>
      <c r="AH73" s="73">
        <f>+VLOOKUP($E73,Hybrid!$1:$1048576,AH$2,FALSE)</f>
        <v>6.7835279900000003E-2</v>
      </c>
      <c r="AI73" s="73">
        <f>+VLOOKUP($E73,Hybrid!$1:$1048576,AI$2,FALSE)</f>
        <v>6.6864501300000004E-2</v>
      </c>
      <c r="AJ73" s="73">
        <f>+VLOOKUP($E73,Hybrid!$1:$1048576,AJ$2,FALSE)</f>
        <v>6.5723824700000003E-2</v>
      </c>
      <c r="AK73" s="73">
        <f>+VLOOKUP($E73,Hybrid!$1:$1048576,AK$2,FALSE)</f>
        <v>6.4408582399999997E-2</v>
      </c>
      <c r="AL73" s="73">
        <f>+VLOOKUP($E73,Hybrid!$1:$1048576,AL$2,FALSE)</f>
        <v>6.2916149099999999E-2</v>
      </c>
      <c r="AM73" s="73">
        <f>+VLOOKUP($E73,Hybrid!$1:$1048576,AM$2,FALSE)</f>
        <v>6.12463278E-2</v>
      </c>
      <c r="AN73" s="73">
        <f>+VLOOKUP($E73,Hybrid!$1:$1048576,AN$2,FALSE)</f>
        <v>5.9401704899999998E-2</v>
      </c>
      <c r="AO73" s="73">
        <f>+VLOOKUP($E73,Hybrid!$1:$1048576,AO$2,FALSE)</f>
        <v>5.7387950200000003E-2</v>
      </c>
      <c r="AP73" s="73"/>
      <c r="AQ73" s="73"/>
    </row>
    <row r="74" spans="1:43" ht="15" customHeight="1" x14ac:dyDescent="0.25">
      <c r="A74" s="316"/>
      <c r="B74" s="315"/>
      <c r="C74" s="171"/>
      <c r="D74" s="124" t="s">
        <v>542</v>
      </c>
      <c r="E74" s="46" t="s">
        <v>422</v>
      </c>
      <c r="F74" s="73">
        <f>+VLOOKUP($E74,Hybrid!$1:$1048576,F$2,FALSE)</f>
        <v>2.9516000000000001E-2</v>
      </c>
      <c r="G74" s="73">
        <f>+VLOOKUP($E74,Hybrid!$1:$1048576,G$2,FALSE)</f>
        <v>3.3318784800000001E-2</v>
      </c>
      <c r="H74" s="73">
        <f>+VLOOKUP($E74,Hybrid!$1:$1048576,H$2,FALSE)</f>
        <v>3.6079474399999999E-2</v>
      </c>
      <c r="I74" s="73">
        <f>+VLOOKUP($E74,Hybrid!$1:$1048576,I$2,FALSE)</f>
        <v>3.8096230500000001E-2</v>
      </c>
      <c r="J74" s="73">
        <f>+VLOOKUP($E74,Hybrid!$1:$1048576,J$2,FALSE)</f>
        <v>3.9589922E-2</v>
      </c>
      <c r="K74" s="73">
        <f>+VLOOKUP($E74,Hybrid!$1:$1048576,K$2,FALSE)</f>
        <v>4.0717097600000002E-2</v>
      </c>
      <c r="L74" s="73">
        <f>+VLOOKUP($E74,Hybrid!$1:$1048576,L$2,FALSE)</f>
        <v>4.1623252399999998E-2</v>
      </c>
      <c r="M74" s="73">
        <f>+VLOOKUP($E74,Hybrid!$1:$1048576,M$2,FALSE)</f>
        <v>4.24076933E-2</v>
      </c>
      <c r="N74" s="73">
        <f>+VLOOKUP($E74,Hybrid!$1:$1048576,N$2,FALSE)</f>
        <v>4.3094880699999998E-2</v>
      </c>
      <c r="O74" s="73">
        <f>+VLOOKUP($E74,Hybrid!$1:$1048576,O$2,FALSE)</f>
        <v>4.3698199E-2</v>
      </c>
      <c r="P74" s="73">
        <f>+VLOOKUP($E74,Hybrid!$1:$1048576,P$2,FALSE)</f>
        <v>4.4224989300000003E-2</v>
      </c>
      <c r="Q74" s="73">
        <f>+VLOOKUP($E74,Hybrid!$1:$1048576,Q$2,FALSE)</f>
        <v>4.4678134899999999E-2</v>
      </c>
      <c r="R74" s="73">
        <f>+VLOOKUP($E74,Hybrid!$1:$1048576,R$2,FALSE)</f>
        <v>4.5057176499999997E-2</v>
      </c>
      <c r="S74" s="73">
        <f>+VLOOKUP($E74,Hybrid!$1:$1048576,S$2,FALSE)</f>
        <v>4.53590834E-2</v>
      </c>
      <c r="T74" s="73">
        <f>+VLOOKUP($E74,Hybrid!$1:$1048576,T$2,FALSE)</f>
        <v>4.55787161E-2</v>
      </c>
      <c r="U74" s="73">
        <f>+VLOOKUP($E74,Hybrid!$1:$1048576,U$2,FALSE)</f>
        <v>4.5709001800000003E-2</v>
      </c>
      <c r="V74" s="73">
        <f>+VLOOKUP($E74,Hybrid!$1:$1048576,V$2,FALSE)</f>
        <v>4.5783193700000002E-2</v>
      </c>
      <c r="W74" s="73">
        <f>+VLOOKUP($E74,Hybrid!$1:$1048576,W$2,FALSE)</f>
        <v>4.5833424900000003E-2</v>
      </c>
      <c r="X74" s="73">
        <f>+VLOOKUP($E74,Hybrid!$1:$1048576,X$2,FALSE)</f>
        <v>4.5844017299999998E-2</v>
      </c>
      <c r="Y74" s="73">
        <f>+VLOOKUP($E74,Hybrid!$1:$1048576,Y$2,FALSE)</f>
        <v>4.5803189100000002E-2</v>
      </c>
      <c r="Z74" s="73">
        <f>+VLOOKUP($E74,Hybrid!$1:$1048576,Z$2,FALSE)</f>
        <v>4.5702684600000001E-2</v>
      </c>
      <c r="AA74" s="73">
        <f>+VLOOKUP($E74,Hybrid!$1:$1048576,AA$2,FALSE)</f>
        <v>4.5536083200000001E-2</v>
      </c>
      <c r="AB74" s="73">
        <f>+VLOOKUP($E74,Hybrid!$1:$1048576,AB$2,FALSE)</f>
        <v>4.5297835699999997E-2</v>
      </c>
      <c r="AC74" s="73">
        <f>+VLOOKUP($E74,Hybrid!$1:$1048576,AC$2,FALSE)</f>
        <v>4.4982801000000003E-2</v>
      </c>
      <c r="AD74" s="73">
        <f>+VLOOKUP($E74,Hybrid!$1:$1048576,AD$2,FALSE)</f>
        <v>4.4586072999999997E-2</v>
      </c>
      <c r="AE74" s="73">
        <f>+VLOOKUP($E74,Hybrid!$1:$1048576,AE$2,FALSE)</f>
        <v>4.4102970599999999E-2</v>
      </c>
      <c r="AF74" s="73">
        <f>+VLOOKUP($E74,Hybrid!$1:$1048576,AF$2,FALSE)</f>
        <v>4.3529120999999997E-2</v>
      </c>
      <c r="AG74" s="73">
        <f>+VLOOKUP($E74,Hybrid!$1:$1048576,AG$2,FALSE)</f>
        <v>4.2860598499999999E-2</v>
      </c>
      <c r="AH74" s="73">
        <f>+VLOOKUP($E74,Hybrid!$1:$1048576,AH$2,FALSE)</f>
        <v>4.2094100299999999E-2</v>
      </c>
      <c r="AI74" s="73">
        <f>+VLOOKUP($E74,Hybrid!$1:$1048576,AI$2,FALSE)</f>
        <v>4.1227143199999997E-2</v>
      </c>
      <c r="AJ74" s="73">
        <f>+VLOOKUP($E74,Hybrid!$1:$1048576,AJ$2,FALSE)</f>
        <v>4.02582706E-2</v>
      </c>
      <c r="AK74" s="73">
        <f>+VLOOKUP($E74,Hybrid!$1:$1048576,AK$2,FALSE)</f>
        <v>3.9187261500000001E-2</v>
      </c>
      <c r="AL74" s="73">
        <f>+VLOOKUP($E74,Hybrid!$1:$1048576,AL$2,FALSE)</f>
        <v>3.8015327699999997E-2</v>
      </c>
      <c r="AM74" s="73">
        <f>+VLOOKUP($E74,Hybrid!$1:$1048576,AM$2,FALSE)</f>
        <v>3.6745289200000003E-2</v>
      </c>
      <c r="AN74" s="73">
        <f>+VLOOKUP($E74,Hybrid!$1:$1048576,AN$2,FALSE)</f>
        <v>3.5381714500000001E-2</v>
      </c>
      <c r="AO74" s="73">
        <f>+VLOOKUP($E74,Hybrid!$1:$1048576,AO$2,FALSE)</f>
        <v>3.3931013199999999E-2</v>
      </c>
      <c r="AP74" s="73"/>
      <c r="AQ74" s="73"/>
    </row>
    <row r="75" spans="1:43" ht="15" customHeight="1" x14ac:dyDescent="0.25">
      <c r="A75" s="316"/>
      <c r="B75" s="315"/>
      <c r="C75" s="171"/>
      <c r="D75" s="124" t="s">
        <v>543</v>
      </c>
      <c r="E75" s="46" t="s">
        <v>423</v>
      </c>
      <c r="F75" s="73">
        <f>+VLOOKUP($E75,Hybrid!$1:$1048576,F$2,FALSE)</f>
        <v>1.63594E-2</v>
      </c>
      <c r="G75" s="73">
        <f>+VLOOKUP($E75,Hybrid!$1:$1048576,G$2,FALSE)</f>
        <v>1.8366911199999999E-2</v>
      </c>
      <c r="H75" s="73">
        <f>+VLOOKUP($E75,Hybrid!$1:$1048576,H$2,FALSE)</f>
        <v>1.97241228E-2</v>
      </c>
      <c r="I75" s="73">
        <f>+VLOOKUP($E75,Hybrid!$1:$1048576,I$2,FALSE)</f>
        <v>2.0622913E-2</v>
      </c>
      <c r="J75" s="73">
        <f>+VLOOKUP($E75,Hybrid!$1:$1048576,J$2,FALSE)</f>
        <v>2.1203739799999999E-2</v>
      </c>
      <c r="K75" s="73">
        <f>+VLOOKUP($E75,Hybrid!$1:$1048576,K$2,FALSE)</f>
        <v>2.15641541E-2</v>
      </c>
      <c r="L75" s="73">
        <f>+VLOOKUP($E75,Hybrid!$1:$1048576,L$2,FALSE)</f>
        <v>2.1789910199999998E-2</v>
      </c>
      <c r="M75" s="73">
        <f>+VLOOKUP($E75,Hybrid!$1:$1048576,M$2,FALSE)</f>
        <v>2.19384369E-2</v>
      </c>
      <c r="N75" s="73">
        <f>+VLOOKUP($E75,Hybrid!$1:$1048576,N$2,FALSE)</f>
        <v>2.20256271E-2</v>
      </c>
      <c r="O75" s="73">
        <f>+VLOOKUP($E75,Hybrid!$1:$1048576,O$2,FALSE)</f>
        <v>2.2060278199999998E-2</v>
      </c>
      <c r="P75" s="73">
        <f>+VLOOKUP($E75,Hybrid!$1:$1048576,P$2,FALSE)</f>
        <v>2.2047514300000001E-2</v>
      </c>
      <c r="Q75" s="73">
        <f>+VLOOKUP($E75,Hybrid!$1:$1048576,Q$2,FALSE)</f>
        <v>2.1990019600000001E-2</v>
      </c>
      <c r="R75" s="73">
        <f>+VLOOKUP($E75,Hybrid!$1:$1048576,R$2,FALSE)</f>
        <v>2.1888837899999999E-2</v>
      </c>
      <c r="S75" s="73">
        <f>+VLOOKUP($E75,Hybrid!$1:$1048576,S$2,FALSE)</f>
        <v>2.1743905599999998E-2</v>
      </c>
      <c r="T75" s="73">
        <f>+VLOOKUP($E75,Hybrid!$1:$1048576,T$2,FALSE)</f>
        <v>2.1554397499999999E-2</v>
      </c>
      <c r="U75" s="73">
        <f>+VLOOKUP($E75,Hybrid!$1:$1048576,U$2,FALSE)</f>
        <v>2.13189381E-2</v>
      </c>
      <c r="V75" s="73">
        <f>+VLOOKUP($E75,Hybrid!$1:$1048576,V$2,FALSE)</f>
        <v>2.10554001E-2</v>
      </c>
      <c r="W75" s="73">
        <f>+VLOOKUP($E75,Hybrid!$1:$1048576,W$2,FALSE)</f>
        <v>2.0781071599999999E-2</v>
      </c>
      <c r="X75" s="73">
        <f>+VLOOKUP($E75,Hybrid!$1:$1048576,X$2,FALSE)</f>
        <v>2.04911511E-2</v>
      </c>
      <c r="Y75" s="73">
        <f>+VLOOKUP($E75,Hybrid!$1:$1048576,Y$2,FALSE)</f>
        <v>2.0182544E-2</v>
      </c>
      <c r="Z75" s="73">
        <f>+VLOOKUP($E75,Hybrid!$1:$1048576,Z$2,FALSE)</f>
        <v>1.98538217E-2</v>
      </c>
      <c r="AA75" s="73">
        <f>+VLOOKUP($E75,Hybrid!$1:$1048576,AA$2,FALSE)</f>
        <v>1.9504474800000001E-2</v>
      </c>
      <c r="AB75" s="73">
        <f>+VLOOKUP($E75,Hybrid!$1:$1048576,AB$2,FALSE)</f>
        <v>1.9134464300000001E-2</v>
      </c>
      <c r="AC75" s="73">
        <f>+VLOOKUP($E75,Hybrid!$1:$1048576,AC$2,FALSE)</f>
        <v>1.8743985899999999E-2</v>
      </c>
      <c r="AD75" s="73">
        <f>+VLOOKUP($E75,Hybrid!$1:$1048576,AD$2,FALSE)</f>
        <v>1.8333357299999999E-2</v>
      </c>
      <c r="AE75" s="73">
        <f>+VLOOKUP($E75,Hybrid!$1:$1048576,AE$2,FALSE)</f>
        <v>1.7902970599999998E-2</v>
      </c>
      <c r="AF75" s="73">
        <f>+VLOOKUP($E75,Hybrid!$1:$1048576,AF$2,FALSE)</f>
        <v>1.74532781E-2</v>
      </c>
      <c r="AG75" s="73">
        <f>+VLOOKUP($E75,Hybrid!$1:$1048576,AG$2,FALSE)</f>
        <v>1.6984794099999999E-2</v>
      </c>
      <c r="AH75" s="73">
        <f>+VLOOKUP($E75,Hybrid!$1:$1048576,AH$2,FALSE)</f>
        <v>1.64981043E-2</v>
      </c>
      <c r="AI75" s="73">
        <f>+VLOOKUP($E75,Hybrid!$1:$1048576,AI$2,FALSE)</f>
        <v>1.5993876899999999E-2</v>
      </c>
      <c r="AJ75" s="73">
        <f>+VLOOKUP($E75,Hybrid!$1:$1048576,AJ$2,FALSE)</f>
        <v>1.54728755E-2</v>
      </c>
      <c r="AK75" s="73">
        <f>+VLOOKUP($E75,Hybrid!$1:$1048576,AK$2,FALSE)</f>
        <v>1.49359707E-2</v>
      </c>
      <c r="AL75" s="73">
        <f>+VLOOKUP($E75,Hybrid!$1:$1048576,AL$2,FALSE)</f>
        <v>1.4384152399999999E-2</v>
      </c>
      <c r="AM75" s="73">
        <f>+VLOOKUP($E75,Hybrid!$1:$1048576,AM$2,FALSE)</f>
        <v>1.38185427E-2</v>
      </c>
      <c r="AN75" s="73">
        <f>+VLOOKUP($E75,Hybrid!$1:$1048576,AN$2,FALSE)</f>
        <v>1.3240408299999999E-2</v>
      </c>
      <c r="AO75" s="73">
        <f>+VLOOKUP($E75,Hybrid!$1:$1048576,AO$2,FALSE)</f>
        <v>1.2651176E-2</v>
      </c>
      <c r="AP75" s="73"/>
      <c r="AQ75" s="73"/>
    </row>
    <row r="76" spans="1:43" ht="15" customHeight="1" x14ac:dyDescent="0.25">
      <c r="A76" s="316"/>
      <c r="B76" s="315"/>
      <c r="C76" s="171"/>
      <c r="D76" s="124" t="s">
        <v>544</v>
      </c>
      <c r="E76" s="46" t="s">
        <v>424</v>
      </c>
      <c r="F76" s="73">
        <f>+VLOOKUP($E76,Hybrid!$1:$1048576,F$2,FALSE)</f>
        <v>1.00637E-2</v>
      </c>
      <c r="G76" s="73">
        <f>+VLOOKUP($E76,Hybrid!$1:$1048576,G$2,FALSE)</f>
        <v>1.12432264E-2</v>
      </c>
      <c r="H76" s="73">
        <f>+VLOOKUP($E76,Hybrid!$1:$1048576,H$2,FALSE)</f>
        <v>1.19836018E-2</v>
      </c>
      <c r="I76" s="73">
        <f>+VLOOKUP($E76,Hybrid!$1:$1048576,I$2,FALSE)</f>
        <v>1.24184767E-2</v>
      </c>
      <c r="J76" s="73">
        <f>+VLOOKUP($E76,Hybrid!$1:$1048576,J$2,FALSE)</f>
        <v>1.2644705399999999E-2</v>
      </c>
      <c r="K76" s="73">
        <f>+VLOOKUP($E76,Hybrid!$1:$1048576,K$2,FALSE)</f>
        <v>1.2728446900000001E-2</v>
      </c>
      <c r="L76" s="73">
        <f>+VLOOKUP($E76,Hybrid!$1:$1048576,L$2,FALSE)</f>
        <v>1.27253838E-2</v>
      </c>
      <c r="M76" s="73">
        <f>+VLOOKUP($E76,Hybrid!$1:$1048576,M$2,FALSE)</f>
        <v>1.26723502E-2</v>
      </c>
      <c r="N76" s="73">
        <f>+VLOOKUP($E76,Hybrid!$1:$1048576,N$2,FALSE)</f>
        <v>1.2580596899999999E-2</v>
      </c>
      <c r="O76" s="73">
        <f>+VLOOKUP($E76,Hybrid!$1:$1048576,O$2,FALSE)</f>
        <v>1.2456411000000001E-2</v>
      </c>
      <c r="P76" s="73">
        <f>+VLOOKUP($E76,Hybrid!$1:$1048576,P$2,FALSE)</f>
        <v>1.23035683E-2</v>
      </c>
      <c r="Q76" s="73">
        <f>+VLOOKUP($E76,Hybrid!$1:$1048576,Q$2,FALSE)</f>
        <v>1.2124279999999999E-2</v>
      </c>
      <c r="R76" s="73">
        <f>+VLOOKUP($E76,Hybrid!$1:$1048576,R$2,FALSE)</f>
        <v>1.19197712E-2</v>
      </c>
      <c r="S76" s="73">
        <f>+VLOOKUP($E76,Hybrid!$1:$1048576,S$2,FALSE)</f>
        <v>1.16906466E-2</v>
      </c>
      <c r="T76" s="73">
        <f>+VLOOKUP($E76,Hybrid!$1:$1048576,T$2,FALSE)</f>
        <v>1.1437121999999999E-2</v>
      </c>
      <c r="U76" s="73">
        <f>+VLOOKUP($E76,Hybrid!$1:$1048576,U$2,FALSE)</f>
        <v>1.11591676E-2</v>
      </c>
      <c r="V76" s="73">
        <f>+VLOOKUP($E76,Hybrid!$1:$1048576,V$2,FALSE)</f>
        <v>1.0866957E-2</v>
      </c>
      <c r="W76" s="73">
        <f>+VLOOKUP($E76,Hybrid!$1:$1048576,W$2,FALSE)</f>
        <v>1.0570353899999999E-2</v>
      </c>
      <c r="X76" s="73">
        <f>+VLOOKUP($E76,Hybrid!$1:$1048576,X$2,FALSE)</f>
        <v>1.0267790400000001E-2</v>
      </c>
      <c r="Y76" s="73">
        <f>+VLOOKUP($E76,Hybrid!$1:$1048576,Y$2,FALSE)</f>
        <v>9.9584703699999999E-3</v>
      </c>
      <c r="Z76" s="73">
        <f>+VLOOKUP($E76,Hybrid!$1:$1048576,Z$2,FALSE)</f>
        <v>9.6424166999999998E-3</v>
      </c>
      <c r="AA76" s="73">
        <f>+VLOOKUP($E76,Hybrid!$1:$1048576,AA$2,FALSE)</f>
        <v>9.3201061100000003E-3</v>
      </c>
      <c r="AB76" s="73">
        <f>+VLOOKUP($E76,Hybrid!$1:$1048576,AB$2,FALSE)</f>
        <v>8.9922438099999998E-3</v>
      </c>
      <c r="AC76" s="73">
        <f>+VLOOKUP($E76,Hybrid!$1:$1048576,AC$2,FALSE)</f>
        <v>8.6596426399999996E-3</v>
      </c>
      <c r="AD76" s="73">
        <f>+VLOOKUP($E76,Hybrid!$1:$1048576,AD$2,FALSE)</f>
        <v>8.3231638100000008E-3</v>
      </c>
      <c r="AE76" s="73">
        <f>+VLOOKUP($E76,Hybrid!$1:$1048576,AE$2,FALSE)</f>
        <v>7.9836901100000003E-3</v>
      </c>
      <c r="AF76" s="73">
        <f>+VLOOKUP($E76,Hybrid!$1:$1048576,AF$2,FALSE)</f>
        <v>7.6421153300000001E-3</v>
      </c>
      <c r="AG76" s="73">
        <f>+VLOOKUP($E76,Hybrid!$1:$1048576,AG$2,FALSE)</f>
        <v>7.2993404900000003E-3</v>
      </c>
      <c r="AH76" s="73">
        <f>+VLOOKUP($E76,Hybrid!$1:$1048576,AH$2,FALSE)</f>
        <v>6.9562725499999999E-3</v>
      </c>
      <c r="AI76" s="73">
        <f>+VLOOKUP($E76,Hybrid!$1:$1048576,AI$2,FALSE)</f>
        <v>6.61382312E-3</v>
      </c>
      <c r="AJ76" s="73">
        <f>+VLOOKUP($E76,Hybrid!$1:$1048576,AJ$2,FALSE)</f>
        <v>6.2729063800000002E-3</v>
      </c>
      <c r="AK76" s="73">
        <f>+VLOOKUP($E76,Hybrid!$1:$1048576,AK$2,FALSE)</f>
        <v>5.93443611E-3</v>
      </c>
      <c r="AL76" s="73">
        <f>+VLOOKUP($E76,Hybrid!$1:$1048576,AL$2,FALSE)</f>
        <v>5.5993220300000002E-3</v>
      </c>
      <c r="AM76" s="73">
        <f>+VLOOKUP($E76,Hybrid!$1:$1048576,AM$2,FALSE)</f>
        <v>5.2684658699999999E-3</v>
      </c>
      <c r="AN76" s="73">
        <f>+VLOOKUP($E76,Hybrid!$1:$1048576,AN$2,FALSE)</f>
        <v>4.9427574699999997E-3</v>
      </c>
      <c r="AO76" s="73">
        <f>+VLOOKUP($E76,Hybrid!$1:$1048576,AO$2,FALSE)</f>
        <v>4.6230712300000002E-3</v>
      </c>
      <c r="AP76" s="73"/>
      <c r="AQ76" s="73"/>
    </row>
    <row r="77" spans="1:43" ht="15" customHeight="1" x14ac:dyDescent="0.25">
      <c r="A77" s="316"/>
      <c r="B77" s="315"/>
      <c r="C77" s="171"/>
      <c r="D77" s="124" t="s">
        <v>545</v>
      </c>
      <c r="E77" s="46" t="s">
        <v>425</v>
      </c>
      <c r="F77" s="73">
        <f>+VLOOKUP($E77,Hybrid!$1:$1048576,F$2,FALSE)</f>
        <v>4.8669999999999998E-3</v>
      </c>
      <c r="G77" s="73">
        <f>+VLOOKUP($E77,Hybrid!$1:$1048576,G$2,FALSE)</f>
        <v>5.3438604699999996E-3</v>
      </c>
      <c r="H77" s="73">
        <f>+VLOOKUP($E77,Hybrid!$1:$1048576,H$2,FALSE)</f>
        <v>5.5475075900000004E-3</v>
      </c>
      <c r="I77" s="73">
        <f>+VLOOKUP($E77,Hybrid!$1:$1048576,I$2,FALSE)</f>
        <v>5.57177503E-3</v>
      </c>
      <c r="J77" s="73">
        <f>+VLOOKUP($E77,Hybrid!$1:$1048576,J$2,FALSE)</f>
        <v>5.4828269700000001E-3</v>
      </c>
      <c r="K77" s="73">
        <f>+VLOOKUP($E77,Hybrid!$1:$1048576,K$2,FALSE)</f>
        <v>5.3240199999999996E-3</v>
      </c>
      <c r="L77" s="73">
        <f>+VLOOKUP($E77,Hybrid!$1:$1048576,L$2,FALSE)</f>
        <v>5.1276577400000004E-3</v>
      </c>
      <c r="M77" s="73">
        <f>+VLOOKUP($E77,Hybrid!$1:$1048576,M$2,FALSE)</f>
        <v>4.9138323500000003E-3</v>
      </c>
      <c r="N77" s="73">
        <f>+VLOOKUP($E77,Hybrid!$1:$1048576,N$2,FALSE)</f>
        <v>4.6899396399999998E-3</v>
      </c>
      <c r="O77" s="73">
        <f>+VLOOKUP($E77,Hybrid!$1:$1048576,O$2,FALSE)</f>
        <v>4.4602880500000004E-3</v>
      </c>
      <c r="P77" s="73">
        <f>+VLOOKUP($E77,Hybrid!$1:$1048576,P$2,FALSE)</f>
        <v>4.2276719900000001E-3</v>
      </c>
      <c r="Q77" s="73">
        <f>+VLOOKUP($E77,Hybrid!$1:$1048576,Q$2,FALSE)</f>
        <v>3.9940219400000001E-3</v>
      </c>
      <c r="R77" s="73">
        <f>+VLOOKUP($E77,Hybrid!$1:$1048576,R$2,FALSE)</f>
        <v>3.7607569199999999E-3</v>
      </c>
      <c r="S77" s="73">
        <f>+VLOOKUP($E77,Hybrid!$1:$1048576,S$2,FALSE)</f>
        <v>3.5289835700000002E-3</v>
      </c>
      <c r="T77" s="73">
        <f>+VLOOKUP($E77,Hybrid!$1:$1048576,T$2,FALSE)</f>
        <v>3.2996120600000001E-3</v>
      </c>
      <c r="U77" s="73">
        <f>+VLOOKUP($E77,Hybrid!$1:$1048576,U$2,FALSE)</f>
        <v>3.0734265500000002E-3</v>
      </c>
      <c r="V77" s="73">
        <f>+VLOOKUP($E77,Hybrid!$1:$1048576,V$2,FALSE)</f>
        <v>2.85389184E-3</v>
      </c>
      <c r="W77" s="73">
        <f>+VLOOKUP($E77,Hybrid!$1:$1048576,W$2,FALSE)</f>
        <v>2.64395476E-3</v>
      </c>
      <c r="X77" s="73">
        <f>+VLOOKUP($E77,Hybrid!$1:$1048576,X$2,FALSE)</f>
        <v>2.4433411399999998E-3</v>
      </c>
      <c r="Y77" s="73">
        <f>+VLOOKUP($E77,Hybrid!$1:$1048576,Y$2,FALSE)</f>
        <v>2.2519308199999998E-3</v>
      </c>
      <c r="Z77" s="73">
        <f>+VLOOKUP($E77,Hybrid!$1:$1048576,Z$2,FALSE)</f>
        <v>2.0697663600000001E-3</v>
      </c>
      <c r="AA77" s="73">
        <f>+VLOOKUP($E77,Hybrid!$1:$1048576,AA$2,FALSE)</f>
        <v>1.8969430999999999E-3</v>
      </c>
      <c r="AB77" s="73">
        <f>+VLOOKUP($E77,Hybrid!$1:$1048576,AB$2,FALSE)</f>
        <v>1.7335417700000001E-3</v>
      </c>
      <c r="AC77" s="73">
        <f>+VLOOKUP($E77,Hybrid!$1:$1048576,AC$2,FALSE)</f>
        <v>1.5795949799999999E-3</v>
      </c>
      <c r="AD77" s="73">
        <f>+VLOOKUP($E77,Hybrid!$1:$1048576,AD$2,FALSE)</f>
        <v>1.4350742E-3</v>
      </c>
      <c r="AE77" s="73">
        <f>+VLOOKUP($E77,Hybrid!$1:$1048576,AE$2,FALSE)</f>
        <v>1.29988792E-3</v>
      </c>
      <c r="AF77" s="73">
        <f>+VLOOKUP($E77,Hybrid!$1:$1048576,AF$2,FALSE)</f>
        <v>1.1738851900000001E-3</v>
      </c>
      <c r="AG77" s="73">
        <f>+VLOOKUP($E77,Hybrid!$1:$1048576,AG$2,FALSE)</f>
        <v>1.0568613599999999E-3</v>
      </c>
      <c r="AH77" s="73">
        <f>+VLOOKUP($E77,Hybrid!$1:$1048576,AH$2,FALSE)</f>
        <v>9.4856451800000004E-4</v>
      </c>
      <c r="AI77" s="73">
        <f>+VLOOKUP($E77,Hybrid!$1:$1048576,AI$2,FALSE)</f>
        <v>8.4870196900000002E-4</v>
      </c>
      <c r="AJ77" s="73">
        <f>+VLOOKUP($E77,Hybrid!$1:$1048576,AJ$2,FALSE)</f>
        <v>7.5694644199999995E-4</v>
      </c>
      <c r="AK77" s="73">
        <f>+VLOOKUP($E77,Hybrid!$1:$1048576,AK$2,FALSE)</f>
        <v>6.7294211400000003E-4</v>
      </c>
      <c r="AL77" s="73">
        <f>+VLOOKUP($E77,Hybrid!$1:$1048576,AL$2,FALSE)</f>
        <v>5.9631043299999997E-4</v>
      </c>
      <c r="AM77" s="73">
        <f>+VLOOKUP($E77,Hybrid!$1:$1048576,AM$2,FALSE)</f>
        <v>5.2665577500000005E-4</v>
      </c>
      <c r="AN77" s="73">
        <f>+VLOOKUP($E77,Hybrid!$1:$1048576,AN$2,FALSE)</f>
        <v>4.6357092200000001E-4</v>
      </c>
      <c r="AO77" s="73">
        <f>+VLOOKUP($E77,Hybrid!$1:$1048576,AO$2,FALSE)</f>
        <v>4.0664230300000001E-4</v>
      </c>
      <c r="AP77" s="73"/>
      <c r="AQ77" s="73"/>
    </row>
    <row r="78" spans="1:43" ht="15" customHeight="1" x14ac:dyDescent="0.25">
      <c r="A78" s="316"/>
      <c r="B78" s="315"/>
      <c r="C78" s="172"/>
      <c r="D78" s="125" t="s">
        <v>546</v>
      </c>
      <c r="E78" s="94" t="s">
        <v>426</v>
      </c>
      <c r="F78" s="245">
        <f>+VLOOKUP($E78,Hybrid!$1:$1048576,F$2,FALSE)</f>
        <v>9.1374000000000004E-3</v>
      </c>
      <c r="G78" s="245">
        <f>+VLOOKUP($E78,Hybrid!$1:$1048576,G$2,FALSE)</f>
        <v>9.8813838099999999E-3</v>
      </c>
      <c r="H78" s="245">
        <f>+VLOOKUP($E78,Hybrid!$1:$1048576,H$2,FALSE)</f>
        <v>1.00247871E-2</v>
      </c>
      <c r="I78" s="245">
        <f>+VLOOKUP($E78,Hybrid!$1:$1048576,I$2,FALSE)</f>
        <v>9.7971676900000006E-3</v>
      </c>
      <c r="J78" s="245">
        <f>+VLOOKUP($E78,Hybrid!$1:$1048576,J$2,FALSE)</f>
        <v>9.3562738999999999E-3</v>
      </c>
      <c r="K78" s="245">
        <f>+VLOOKUP($E78,Hybrid!$1:$1048576,K$2,FALSE)</f>
        <v>8.8018199899999993E-3</v>
      </c>
      <c r="L78" s="245">
        <f>+VLOOKUP($E78,Hybrid!$1:$1048576,L$2,FALSE)</f>
        <v>8.2021083099999992E-3</v>
      </c>
      <c r="M78" s="245">
        <f>+VLOOKUP($E78,Hybrid!$1:$1048576,M$2,FALSE)</f>
        <v>7.5971521900000004E-3</v>
      </c>
      <c r="N78" s="245">
        <f>+VLOOKUP($E78,Hybrid!$1:$1048576,N$2,FALSE)</f>
        <v>7.00214879E-3</v>
      </c>
      <c r="O78" s="245">
        <f>+VLOOKUP($E78,Hybrid!$1:$1048576,O$2,FALSE)</f>
        <v>6.4252313099999996E-3</v>
      </c>
      <c r="P78" s="245">
        <f>+VLOOKUP($E78,Hybrid!$1:$1048576,P$2,FALSE)</f>
        <v>5.8710592400000004E-3</v>
      </c>
      <c r="Q78" s="245">
        <f>+VLOOKUP($E78,Hybrid!$1:$1048576,Q$2,FALSE)</f>
        <v>5.3423523100000004E-3</v>
      </c>
      <c r="R78" s="245">
        <f>+VLOOKUP($E78,Hybrid!$1:$1048576,R$2,FALSE)</f>
        <v>4.8406834100000002E-3</v>
      </c>
      <c r="S78" s="245">
        <f>+VLOOKUP($E78,Hybrid!$1:$1048576,S$2,FALSE)</f>
        <v>4.3669061299999997E-3</v>
      </c>
      <c r="T78" s="245">
        <f>+VLOOKUP($E78,Hybrid!$1:$1048576,T$2,FALSE)</f>
        <v>3.9213973500000004E-3</v>
      </c>
      <c r="U78" s="245">
        <f>+VLOOKUP($E78,Hybrid!$1:$1048576,U$2,FALSE)</f>
        <v>3.5042037300000001E-3</v>
      </c>
      <c r="V78" s="245">
        <f>+VLOOKUP($E78,Hybrid!$1:$1048576,V$2,FALSE)</f>
        <v>3.1182018700000001E-3</v>
      </c>
      <c r="W78" s="245">
        <f>+VLOOKUP($E78,Hybrid!$1:$1048576,W$2,FALSE)</f>
        <v>2.7652003199999998E-3</v>
      </c>
      <c r="X78" s="245">
        <f>+VLOOKUP($E78,Hybrid!$1:$1048576,X$2,FALSE)</f>
        <v>2.4432664900000001E-3</v>
      </c>
      <c r="Y78" s="245">
        <f>+VLOOKUP($E78,Hybrid!$1:$1048576,Y$2,FALSE)</f>
        <v>2.15060943E-3</v>
      </c>
      <c r="Z78" s="245">
        <f>+VLOOKUP($E78,Hybrid!$1:$1048576,Z$2,FALSE)</f>
        <v>1.8856004400000001E-3</v>
      </c>
      <c r="AA78" s="245">
        <f>+VLOOKUP($E78,Hybrid!$1:$1048576,AA$2,FALSE)</f>
        <v>1.6466594100000001E-3</v>
      </c>
      <c r="AB78" s="245">
        <f>+VLOOKUP($E78,Hybrid!$1:$1048576,AB$2,FALSE)</f>
        <v>1.43219589E-3</v>
      </c>
      <c r="AC78" s="245">
        <f>+VLOOKUP($E78,Hybrid!$1:$1048576,AC$2,FALSE)</f>
        <v>1.24059211E-3</v>
      </c>
      <c r="AD78" s="245">
        <f>+VLOOKUP($E78,Hybrid!$1:$1048576,AD$2,FALSE)</f>
        <v>1.0702096499999999E-3</v>
      </c>
      <c r="AE78" s="245">
        <f>+VLOOKUP($E78,Hybrid!$1:$1048576,AE$2,FALSE)</f>
        <v>9.1940668999999995E-4</v>
      </c>
      <c r="AF78" s="245">
        <f>+VLOOKUP($E78,Hybrid!$1:$1048576,AF$2,FALSE)</f>
        <v>7.8655826099999996E-4</v>
      </c>
      <c r="AG78" s="245">
        <f>+VLOOKUP($E78,Hybrid!$1:$1048576,AG$2,FALSE)</f>
        <v>6.7007548200000004E-4</v>
      </c>
      <c r="AH78" s="245">
        <f>+VLOOKUP($E78,Hybrid!$1:$1048576,AH$2,FALSE)</f>
        <v>5.68422179E-4</v>
      </c>
      <c r="AI78" s="245">
        <f>+VLOOKUP($E78,Hybrid!$1:$1048576,AI$2,FALSE)</f>
        <v>4.80128373E-4</v>
      </c>
      <c r="AJ78" s="245">
        <f>+VLOOKUP($E78,Hybrid!$1:$1048576,AJ$2,FALSE)</f>
        <v>4.0380072499999998E-4</v>
      </c>
      <c r="AK78" s="245">
        <f>+VLOOKUP($E78,Hybrid!$1:$1048576,AK$2,FALSE)</f>
        <v>3.3813021099999999E-4</v>
      </c>
      <c r="AL78" s="245">
        <f>+VLOOKUP($E78,Hybrid!$1:$1048576,AL$2,FALSE)</f>
        <v>2.8189732E-4</v>
      </c>
      <c r="AM78" s="245">
        <f>+VLOOKUP($E78,Hybrid!$1:$1048576,AM$2,FALSE)</f>
        <v>2.3397508499999999E-4</v>
      </c>
      <c r="AN78" s="245">
        <f>+VLOOKUP($E78,Hybrid!$1:$1048576,AN$2,FALSE)</f>
        <v>1.9333019799999999E-4</v>
      </c>
      <c r="AO78" s="245">
        <f>+VLOOKUP($E78,Hybrid!$1:$1048576,AO$2,FALSE)</f>
        <v>1.59022437E-4</v>
      </c>
      <c r="AP78" s="73"/>
      <c r="AQ78" s="73"/>
    </row>
    <row r="79" spans="1:43" s="111" customFormat="1" ht="15" customHeight="1" x14ac:dyDescent="0.25">
      <c r="A79" s="316"/>
      <c r="B79" s="315"/>
      <c r="C79" s="122" t="s">
        <v>551</v>
      </c>
      <c r="D79" s="123"/>
      <c r="E79" s="91" t="s">
        <v>427</v>
      </c>
      <c r="F79" s="111">
        <f>+VLOOKUP($E79,Hybrid!$1:$1048576,F$2,FALSE)</f>
        <v>1886.229</v>
      </c>
      <c r="G79" s="111">
        <f>+VLOOKUP($E79,Hybrid!$1:$1048576,G$2,FALSE)</f>
        <v>2126.9764409999998</v>
      </c>
      <c r="H79" s="111">
        <f>+VLOOKUP($E79,Hybrid!$1:$1048576,H$2,FALSE)</f>
        <v>2294.441949</v>
      </c>
      <c r="I79" s="111">
        <f>+VLOOKUP($E79,Hybrid!$1:$1048576,I$2,FALSE)</f>
        <v>2411.5024819999999</v>
      </c>
      <c r="J79" s="111">
        <f>+VLOOKUP($E79,Hybrid!$1:$1048576,J$2,FALSE)</f>
        <v>2495.0188450000001</v>
      </c>
      <c r="K79" s="111">
        <f>+VLOOKUP($E79,Hybrid!$1:$1048576,K$2,FALSE)</f>
        <v>2556.7025119999998</v>
      </c>
      <c r="L79" s="111">
        <f>+VLOOKUP($E79,Hybrid!$1:$1048576,L$2,FALSE)</f>
        <v>2604.3377540000001</v>
      </c>
      <c r="M79" s="111">
        <f>+VLOOKUP($E79,Hybrid!$1:$1048576,M$2,FALSE)</f>
        <v>2642.9422650000001</v>
      </c>
      <c r="N79" s="111">
        <f>+VLOOKUP($E79,Hybrid!$1:$1048576,N$2,FALSE)</f>
        <v>2675.6871630000001</v>
      </c>
      <c r="O79" s="111">
        <f>+VLOOKUP($E79,Hybrid!$1:$1048576,O$2,FALSE)</f>
        <v>2704.556431</v>
      </c>
      <c r="P79" s="111">
        <f>+VLOOKUP($E79,Hybrid!$1:$1048576,P$2,FALSE)</f>
        <v>2730.7906400000002</v>
      </c>
      <c r="Q79" s="111">
        <f>+VLOOKUP($E79,Hybrid!$1:$1048576,Q$2,FALSE)</f>
        <v>2755.1728119999998</v>
      </c>
      <c r="R79" s="111">
        <f>+VLOOKUP($E79,Hybrid!$1:$1048576,R$2,FALSE)</f>
        <v>2778.2068039999999</v>
      </c>
      <c r="S79" s="111">
        <f>+VLOOKUP($E79,Hybrid!$1:$1048576,S$2,FALSE)</f>
        <v>2800.226091</v>
      </c>
      <c r="T79" s="111">
        <f>+VLOOKUP($E79,Hybrid!$1:$1048576,T$2,FALSE)</f>
        <v>2821.4589340000002</v>
      </c>
      <c r="U79" s="111">
        <f>+VLOOKUP($E79,Hybrid!$1:$1048576,U$2,FALSE)</f>
        <v>2842.0671710000001</v>
      </c>
      <c r="V79" s="111">
        <f>+VLOOKUP($E79,Hybrid!$1:$1048576,V$2,FALSE)</f>
        <v>2862.1693700000001</v>
      </c>
      <c r="W79" s="111">
        <f>+VLOOKUP($E79,Hybrid!$1:$1048576,W$2,FALSE)</f>
        <v>2881.8549119999998</v>
      </c>
      <c r="X79" s="111">
        <f>+VLOOKUP($E79,Hybrid!$1:$1048576,X$2,FALSE)</f>
        <v>2901.192822</v>
      </c>
      <c r="Y79" s="111">
        <f>+VLOOKUP($E79,Hybrid!$1:$1048576,Y$2,FALSE)</f>
        <v>2920.2375459999998</v>
      </c>
      <c r="Z79" s="111">
        <f>+VLOOKUP($E79,Hybrid!$1:$1048576,Z$2,FALSE)</f>
        <v>2939.0329419999998</v>
      </c>
      <c r="AA79" s="111">
        <f>+VLOOKUP($E79,Hybrid!$1:$1048576,AA$2,FALSE)</f>
        <v>2957.6151220000002</v>
      </c>
      <c r="AB79" s="111">
        <f>+VLOOKUP($E79,Hybrid!$1:$1048576,AB$2,FALSE)</f>
        <v>2976.0145470000002</v>
      </c>
      <c r="AC79" s="111">
        <f>+VLOOKUP($E79,Hybrid!$1:$1048576,AC$2,FALSE)</f>
        <v>2994.25756</v>
      </c>
      <c r="AD79" s="111">
        <f>+VLOOKUP($E79,Hybrid!$1:$1048576,AD$2,FALSE)</f>
        <v>3012.367506</v>
      </c>
      <c r="AE79" s="111">
        <f>+VLOOKUP($E79,Hybrid!$1:$1048576,AE$2,FALSE)</f>
        <v>3030.3655220000001</v>
      </c>
      <c r="AF79" s="111">
        <f>+VLOOKUP($E79,Hybrid!$1:$1048576,AF$2,FALSE)</f>
        <v>3048.2710809999999</v>
      </c>
      <c r="AG79" s="111">
        <f>+VLOOKUP($E79,Hybrid!$1:$1048576,AG$2,FALSE)</f>
        <v>3066.1023279999999</v>
      </c>
      <c r="AH79" s="111">
        <f>+VLOOKUP($E79,Hybrid!$1:$1048576,AH$2,FALSE)</f>
        <v>3083.87628</v>
      </c>
      <c r="AI79" s="111">
        <f>+VLOOKUP($E79,Hybrid!$1:$1048576,AI$2,FALSE)</f>
        <v>3101.6089280000001</v>
      </c>
      <c r="AJ79" s="111">
        <f>+VLOOKUP($E79,Hybrid!$1:$1048576,AJ$2,FALSE)</f>
        <v>3119.3152650000002</v>
      </c>
      <c r="AK79" s="111">
        <f>+VLOOKUP($E79,Hybrid!$1:$1048576,AK$2,FALSE)</f>
        <v>3137.0092840000002</v>
      </c>
      <c r="AL79" s="111">
        <f>+VLOOKUP($E79,Hybrid!$1:$1048576,AL$2,FALSE)</f>
        <v>3154.703955</v>
      </c>
      <c r="AM79" s="111">
        <f>+VLOOKUP($E79,Hybrid!$1:$1048576,AM$2,FALSE)</f>
        <v>3172.4112030000001</v>
      </c>
      <c r="AN79" s="111">
        <f>+VLOOKUP($E79,Hybrid!$1:$1048576,AN$2,FALSE)</f>
        <v>3190.1418899999999</v>
      </c>
      <c r="AO79" s="111">
        <f>+VLOOKUP($E79,Hybrid!$1:$1048576,AO$2,FALSE)</f>
        <v>3207.9058129999999</v>
      </c>
    </row>
    <row r="80" spans="1:43" s="111" customFormat="1" ht="15" customHeight="1" x14ac:dyDescent="0.25">
      <c r="A80" s="316"/>
      <c r="B80" s="315"/>
      <c r="C80" s="122" t="s">
        <v>548</v>
      </c>
      <c r="D80" s="123"/>
      <c r="E80" s="91" t="s">
        <v>428</v>
      </c>
      <c r="F80" s="111">
        <f>+VLOOKUP($E80,Hybrid!$1:$1048576,F$2,FALSE)</f>
        <v>1868.8030000000001</v>
      </c>
      <c r="G80" s="111">
        <f>+VLOOKUP($E80,Hybrid!$1:$1048576,G$2,FALSE)</f>
        <v>2107.3250859999998</v>
      </c>
      <c r="H80" s="111">
        <f>+VLOOKUP($E80,Hybrid!$1:$1048576,H$2,FALSE)</f>
        <v>2273.237768</v>
      </c>
      <c r="I80" s="111">
        <f>+VLOOKUP($E80,Hybrid!$1:$1048576,I$2,FALSE)</f>
        <v>2389.2032079999999</v>
      </c>
      <c r="J80" s="111">
        <f>+VLOOKUP($E80,Hybrid!$1:$1048576,J$2,FALSE)</f>
        <v>2471.9244659999999</v>
      </c>
      <c r="K80" s="111">
        <f>+VLOOKUP($E80,Hybrid!$1:$1048576,K$2,FALSE)</f>
        <v>2533.004516</v>
      </c>
      <c r="L80" s="111">
        <f>+VLOOKUP($E80,Hybrid!$1:$1048576,L$2,FALSE)</f>
        <v>2580.1564659999999</v>
      </c>
      <c r="M80" s="111">
        <f>+VLOOKUP($E80,Hybrid!$1:$1048576,M$2,FALSE)</f>
        <v>2618.3527669999999</v>
      </c>
      <c r="N80" s="111">
        <f>+VLOOKUP($E80,Hybrid!$1:$1048576,N$2,FALSE)</f>
        <v>2650.7362549999998</v>
      </c>
      <c r="O80" s="111">
        <f>+VLOOKUP($E80,Hybrid!$1:$1048576,O$2,FALSE)</f>
        <v>2679.2733050000002</v>
      </c>
      <c r="P80" s="111">
        <f>+VLOOKUP($E80,Hybrid!$1:$1048576,P$2,FALSE)</f>
        <v>2705.1934289999999</v>
      </c>
      <c r="Q80" s="111">
        <f>+VLOOKUP($E80,Hybrid!$1:$1048576,Q$2,FALSE)</f>
        <v>2729.2725620000001</v>
      </c>
      <c r="R80" s="111">
        <f>+VLOOKUP($E80,Hybrid!$1:$1048576,R$2,FALSE)</f>
        <v>2752.009888</v>
      </c>
      <c r="S80" s="111">
        <f>+VLOOKUP($E80,Hybrid!$1:$1048576,S$2,FALSE)</f>
        <v>2773.735604</v>
      </c>
      <c r="T80" s="111">
        <f>+VLOOKUP($E80,Hybrid!$1:$1048576,T$2,FALSE)</f>
        <v>2794.6756730000002</v>
      </c>
      <c r="U80" s="111">
        <f>+VLOOKUP($E80,Hybrid!$1:$1048576,U$2,FALSE)</f>
        <v>2814.9901749999999</v>
      </c>
      <c r="V80" s="111">
        <f>+VLOOKUP($E80,Hybrid!$1:$1048576,V$2,FALSE)</f>
        <v>2834.79628</v>
      </c>
      <c r="W80" s="111">
        <f>+VLOOKUP($E80,Hybrid!$1:$1048576,W$2,FALSE)</f>
        <v>2854.1822029999998</v>
      </c>
      <c r="X80" s="111">
        <f>+VLOOKUP($E80,Hybrid!$1:$1048576,X$2,FALSE)</f>
        <v>2873.21594</v>
      </c>
      <c r="Y80" s="111">
        <f>+VLOOKUP($E80,Hybrid!$1:$1048576,Y$2,FALSE)</f>
        <v>2891.9509889999999</v>
      </c>
      <c r="Z80" s="111">
        <f>+VLOOKUP($E80,Hybrid!$1:$1048576,Z$2,FALSE)</f>
        <v>2910.430288</v>
      </c>
      <c r="AA80" s="111">
        <f>+VLOOKUP($E80,Hybrid!$1:$1048576,AA$2,FALSE)</f>
        <v>2928.6890320000002</v>
      </c>
      <c r="AB80" s="111">
        <f>+VLOOKUP($E80,Hybrid!$1:$1048576,AB$2,FALSE)</f>
        <v>2946.7567319999998</v>
      </c>
      <c r="AC80" s="111">
        <f>+VLOOKUP($E80,Hybrid!$1:$1048576,AC$2,FALSE)</f>
        <v>2964.658735</v>
      </c>
      <c r="AD80" s="111">
        <f>+VLOOKUP($E80,Hybrid!$1:$1048576,AD$2,FALSE)</f>
        <v>2982.417328</v>
      </c>
      <c r="AE80" s="111">
        <f>+VLOOKUP($E80,Hybrid!$1:$1048576,AE$2,FALSE)</f>
        <v>3000.05251</v>
      </c>
      <c r="AF80" s="111">
        <f>+VLOOKUP($E80,Hybrid!$1:$1048576,AF$2,FALSE)</f>
        <v>3017.5825289999998</v>
      </c>
      <c r="AG80" s="111">
        <f>+VLOOKUP($E80,Hybrid!$1:$1048576,AG$2,FALSE)</f>
        <v>3035.0242079999998</v>
      </c>
      <c r="AH80" s="111">
        <f>+VLOOKUP($E80,Hybrid!$1:$1048576,AH$2,FALSE)</f>
        <v>3052.3931389999998</v>
      </c>
      <c r="AI80" s="111">
        <f>+VLOOKUP($E80,Hybrid!$1:$1048576,AI$2,FALSE)</f>
        <v>3069.7037719999998</v>
      </c>
      <c r="AJ80" s="111">
        <f>+VLOOKUP($E80,Hybrid!$1:$1048576,AJ$2,FALSE)</f>
        <v>3086.969443</v>
      </c>
      <c r="AK80" s="111">
        <f>+VLOOKUP($E80,Hybrid!$1:$1048576,AK$2,FALSE)</f>
        <v>3104.2023589999999</v>
      </c>
      <c r="AL80" s="111">
        <f>+VLOOKUP($E80,Hybrid!$1:$1048576,AL$2,FALSE)</f>
        <v>3121.4135649999998</v>
      </c>
      <c r="AM80" s="111">
        <f>+VLOOKUP($E80,Hybrid!$1:$1048576,AM$2,FALSE)</f>
        <v>3138.6129190000001</v>
      </c>
      <c r="AN80" s="111">
        <f>+VLOOKUP($E80,Hybrid!$1:$1048576,AN$2,FALSE)</f>
        <v>3155.8090560000001</v>
      </c>
      <c r="AO80" s="111">
        <f>+VLOOKUP($E80,Hybrid!$1:$1048576,AO$2,FALSE)</f>
        <v>3173.00938</v>
      </c>
    </row>
    <row r="81" spans="1:43" ht="15" customHeight="1" x14ac:dyDescent="0.25">
      <c r="A81" s="316"/>
      <c r="B81" s="315"/>
      <c r="C81" s="171"/>
      <c r="D81" s="124" t="s">
        <v>540</v>
      </c>
      <c r="E81" s="46" t="s">
        <v>429</v>
      </c>
      <c r="F81" s="73">
        <f>+VLOOKUP($E81,Hybrid!$1:$1048576,F$2,FALSE)</f>
        <v>528.68436870000005</v>
      </c>
      <c r="G81" s="73">
        <f>+VLOOKUP($E81,Hybrid!$1:$1048576,G$2,FALSE)</f>
        <v>599.67283199999997</v>
      </c>
      <c r="H81" s="73">
        <f>+VLOOKUP($E81,Hybrid!$1:$1048576,H$2,FALSE)</f>
        <v>652.52066590000004</v>
      </c>
      <c r="I81" s="73">
        <f>+VLOOKUP($E81,Hybrid!$1:$1048576,I$2,FALSE)</f>
        <v>692.64252380000005</v>
      </c>
      <c r="J81" s="73">
        <f>+VLOOKUP($E81,Hybrid!$1:$1048576,J$2,FALSE)</f>
        <v>724.10353659999998</v>
      </c>
      <c r="K81" s="73">
        <f>+VLOOKUP($E81,Hybrid!$1:$1048576,K$2,FALSE)</f>
        <v>749.80735089999996</v>
      </c>
      <c r="L81" s="73">
        <f>+VLOOKUP($E81,Hybrid!$1:$1048576,L$2,FALSE)</f>
        <v>771.7392188</v>
      </c>
      <c r="M81" s="73">
        <f>+VLOOKUP($E81,Hybrid!$1:$1048576,M$2,FALSE)</f>
        <v>791.21241399999997</v>
      </c>
      <c r="N81" s="73">
        <f>+VLOOKUP($E81,Hybrid!$1:$1048576,N$2,FALSE)</f>
        <v>809.0759372</v>
      </c>
      <c r="O81" s="73">
        <f>+VLOOKUP($E81,Hybrid!$1:$1048576,O$2,FALSE)</f>
        <v>825.87108920000003</v>
      </c>
      <c r="P81" s="73">
        <f>+VLOOKUP($E81,Hybrid!$1:$1048576,P$2,FALSE)</f>
        <v>841.94136619999995</v>
      </c>
      <c r="Q81" s="73">
        <f>+VLOOKUP($E81,Hybrid!$1:$1048576,Q$2,FALSE)</f>
        <v>857.50588200000004</v>
      </c>
      <c r="R81" s="73">
        <f>+VLOOKUP($E81,Hybrid!$1:$1048576,R$2,FALSE)</f>
        <v>872.70667600000002</v>
      </c>
      <c r="S81" s="73">
        <f>+VLOOKUP($E81,Hybrid!$1:$1048576,S$2,FALSE)</f>
        <v>887.63833199999999</v>
      </c>
      <c r="T81" s="73">
        <f>+VLOOKUP($E81,Hybrid!$1:$1048576,T$2,FALSE)</f>
        <v>902.36620100000005</v>
      </c>
      <c r="U81" s="73">
        <f>+VLOOKUP($E81,Hybrid!$1:$1048576,U$2,FALSE)</f>
        <v>916.93735379999998</v>
      </c>
      <c r="V81" s="73">
        <f>+VLOOKUP($E81,Hybrid!$1:$1048576,V$2,FALSE)</f>
        <v>931.38720209999997</v>
      </c>
      <c r="W81" s="73">
        <f>+VLOOKUP($E81,Hybrid!$1:$1048576,W$2,FALSE)</f>
        <v>945.74351190000004</v>
      </c>
      <c r="X81" s="73">
        <f>+VLOOKUP($E81,Hybrid!$1:$1048576,X$2,FALSE)</f>
        <v>960.02888189999999</v>
      </c>
      <c r="Y81" s="73">
        <f>+VLOOKUP($E81,Hybrid!$1:$1048576,Y$2,FALSE)</f>
        <v>974.26233200000001</v>
      </c>
      <c r="Z81" s="73">
        <f>+VLOOKUP($E81,Hybrid!$1:$1048576,Z$2,FALSE)</f>
        <v>988.46036749999996</v>
      </c>
      <c r="AA81" s="73">
        <f>+VLOOKUP($E81,Hybrid!$1:$1048576,AA$2,FALSE)</f>
        <v>1002.6377210000001</v>
      </c>
      <c r="AB81" s="73">
        <f>+VLOOKUP($E81,Hybrid!$1:$1048576,AB$2,FALSE)</f>
        <v>1016.8078829999999</v>
      </c>
      <c r="AC81" s="73">
        <f>+VLOOKUP($E81,Hybrid!$1:$1048576,AC$2,FALSE)</f>
        <v>1030.983483</v>
      </c>
      <c r="AD81" s="73">
        <f>+VLOOKUP($E81,Hybrid!$1:$1048576,AD$2,FALSE)</f>
        <v>1045.1765539999999</v>
      </c>
      <c r="AE81" s="73">
        <f>+VLOOKUP($E81,Hybrid!$1:$1048576,AE$2,FALSE)</f>
        <v>1059.398715</v>
      </c>
      <c r="AF81" s="73">
        <f>+VLOOKUP($E81,Hybrid!$1:$1048576,AF$2,FALSE)</f>
        <v>1073.661276</v>
      </c>
      <c r="AG81" s="73">
        <f>+VLOOKUP($E81,Hybrid!$1:$1048576,AG$2,FALSE)</f>
        <v>1087.975293</v>
      </c>
      <c r="AH81" s="73">
        <f>+VLOOKUP($E81,Hybrid!$1:$1048576,AH$2,FALSE)</f>
        <v>1102.351584</v>
      </c>
      <c r="AI81" s="73">
        <f>+VLOOKUP($E81,Hybrid!$1:$1048576,AI$2,FALSE)</f>
        <v>1116.8007110000001</v>
      </c>
      <c r="AJ81" s="73">
        <f>+VLOOKUP($E81,Hybrid!$1:$1048576,AJ$2,FALSE)</f>
        <v>1131.332952</v>
      </c>
      <c r="AK81" s="73">
        <f>+VLOOKUP($E81,Hybrid!$1:$1048576,AK$2,FALSE)</f>
        <v>1145.9582559999999</v>
      </c>
      <c r="AL81" s="73">
        <f>+VLOOKUP($E81,Hybrid!$1:$1048576,AL$2,FALSE)</f>
        <v>1160.6862000000001</v>
      </c>
      <c r="AM81" s="73">
        <f>+VLOOKUP($E81,Hybrid!$1:$1048576,AM$2,FALSE)</f>
        <v>1175.5259450000001</v>
      </c>
      <c r="AN81" s="73">
        <f>+VLOOKUP($E81,Hybrid!$1:$1048576,AN$2,FALSE)</f>
        <v>1190.4862009999999</v>
      </c>
      <c r="AO81" s="73">
        <f>+VLOOKUP($E81,Hybrid!$1:$1048576,AO$2,FALSE)</f>
        <v>1205.575198</v>
      </c>
      <c r="AP81" s="73"/>
      <c r="AQ81" s="73"/>
    </row>
    <row r="82" spans="1:43" ht="15" customHeight="1" x14ac:dyDescent="0.25">
      <c r="A82" s="316"/>
      <c r="B82" s="315"/>
      <c r="C82" s="171"/>
      <c r="D82" s="124" t="s">
        <v>541</v>
      </c>
      <c r="E82" s="46" t="s">
        <v>430</v>
      </c>
      <c r="F82" s="73">
        <f>+VLOOKUP($E82,Hybrid!$1:$1048576,F$2,FALSE)</f>
        <v>507.5668948</v>
      </c>
      <c r="G82" s="73">
        <f>+VLOOKUP($E82,Hybrid!$1:$1048576,G$2,FALSE)</f>
        <v>575.04322830000001</v>
      </c>
      <c r="H82" s="73">
        <f>+VLOOKUP($E82,Hybrid!$1:$1048576,H$2,FALSE)</f>
        <v>624.60040319999996</v>
      </c>
      <c r="I82" s="73">
        <f>+VLOOKUP($E82,Hybrid!$1:$1048576,I$2,FALSE)</f>
        <v>661.60013719999995</v>
      </c>
      <c r="J82" s="73">
        <f>+VLOOKUP($E82,Hybrid!$1:$1048576,J$2,FALSE)</f>
        <v>690.0553453</v>
      </c>
      <c r="K82" s="73">
        <f>+VLOOKUP($E82,Hybrid!$1:$1048576,K$2,FALSE)</f>
        <v>712.81732480000005</v>
      </c>
      <c r="L82" s="73">
        <f>+VLOOKUP($E82,Hybrid!$1:$1048576,L$2,FALSE)</f>
        <v>731.82470220000005</v>
      </c>
      <c r="M82" s="73">
        <f>+VLOOKUP($E82,Hybrid!$1:$1048576,M$2,FALSE)</f>
        <v>748.35290199999997</v>
      </c>
      <c r="N82" s="73">
        <f>+VLOOKUP($E82,Hybrid!$1:$1048576,N$2,FALSE)</f>
        <v>763.22203139999999</v>
      </c>
      <c r="O82" s="73">
        <f>+VLOOKUP($E82,Hybrid!$1:$1048576,O$2,FALSE)</f>
        <v>776.95215510000003</v>
      </c>
      <c r="P82" s="73">
        <f>+VLOOKUP($E82,Hybrid!$1:$1048576,P$2,FALSE)</f>
        <v>789.87145199999998</v>
      </c>
      <c r="Q82" s="73">
        <f>+VLOOKUP($E82,Hybrid!$1:$1048576,Q$2,FALSE)</f>
        <v>802.18799460000002</v>
      </c>
      <c r="R82" s="73">
        <f>+VLOOKUP($E82,Hybrid!$1:$1048576,R$2,FALSE)</f>
        <v>814.03571250000005</v>
      </c>
      <c r="S82" s="73">
        <f>+VLOOKUP($E82,Hybrid!$1:$1048576,S$2,FALSE)</f>
        <v>825.50300719999996</v>
      </c>
      <c r="T82" s="73">
        <f>+VLOOKUP($E82,Hybrid!$1:$1048576,T$2,FALSE)</f>
        <v>836.65025249999997</v>
      </c>
      <c r="U82" s="73">
        <f>+VLOOKUP($E82,Hybrid!$1:$1048576,U$2,FALSE)</f>
        <v>847.52026899999998</v>
      </c>
      <c r="V82" s="73">
        <f>+VLOOKUP($E82,Hybrid!$1:$1048576,V$2,FALSE)</f>
        <v>858.14462700000001</v>
      </c>
      <c r="W82" s="73">
        <f>+VLOOKUP($E82,Hybrid!$1:$1048576,W$2,FALSE)</f>
        <v>868.54745739999998</v>
      </c>
      <c r="X82" s="73">
        <f>+VLOOKUP($E82,Hybrid!$1:$1048576,X$2,FALSE)</f>
        <v>878.74780350000003</v>
      </c>
      <c r="Y82" s="73">
        <f>+VLOOKUP($E82,Hybrid!$1:$1048576,Y$2,FALSE)</f>
        <v>888.76112880000005</v>
      </c>
      <c r="Z82" s="73">
        <f>+VLOOKUP($E82,Hybrid!$1:$1048576,Z$2,FALSE)</f>
        <v>898.60032920000003</v>
      </c>
      <c r="AA82" s="73">
        <f>+VLOOKUP($E82,Hybrid!$1:$1048576,AA$2,FALSE)</f>
        <v>908.27643880000005</v>
      </c>
      <c r="AB82" s="73">
        <f>+VLOOKUP($E82,Hybrid!$1:$1048576,AB$2,FALSE)</f>
        <v>917.79913380000005</v>
      </c>
      <c r="AC82" s="73">
        <f>+VLOOKUP($E82,Hybrid!$1:$1048576,AC$2,FALSE)</f>
        <v>927.17709160000004</v>
      </c>
      <c r="AD82" s="73">
        <f>+VLOOKUP($E82,Hybrid!$1:$1048576,AD$2,FALSE)</f>
        <v>936.41824199999996</v>
      </c>
      <c r="AE82" s="73">
        <f>+VLOOKUP($E82,Hybrid!$1:$1048576,AE$2,FALSE)</f>
        <v>945.52993240000001</v>
      </c>
      <c r="AF82" s="73">
        <f>+VLOOKUP($E82,Hybrid!$1:$1048576,AF$2,FALSE)</f>
        <v>954.51902640000003</v>
      </c>
      <c r="AG82" s="73">
        <f>+VLOOKUP($E82,Hybrid!$1:$1048576,AG$2,FALSE)</f>
        <v>963.39195159999997</v>
      </c>
      <c r="AH82" s="73">
        <f>+VLOOKUP($E82,Hybrid!$1:$1048576,AH$2,FALSE)</f>
        <v>972.15470949999997</v>
      </c>
      <c r="AI82" s="73">
        <f>+VLOOKUP($E82,Hybrid!$1:$1048576,AI$2,FALSE)</f>
        <v>980.81285990000003</v>
      </c>
      <c r="AJ82" s="73">
        <f>+VLOOKUP($E82,Hybrid!$1:$1048576,AJ$2,FALSE)</f>
        <v>989.37149009999996</v>
      </c>
      <c r="AK82" s="73">
        <f>+VLOOKUP($E82,Hybrid!$1:$1048576,AK$2,FALSE)</f>
        <v>997.83517610000001</v>
      </c>
      <c r="AL82" s="73">
        <f>+VLOOKUP($E82,Hybrid!$1:$1048576,AL$2,FALSE)</f>
        <v>1006.207943</v>
      </c>
      <c r="AM82" s="73">
        <f>+VLOOKUP($E82,Hybrid!$1:$1048576,AM$2,FALSE)</f>
        <v>1014.493229</v>
      </c>
      <c r="AN82" s="73">
        <f>+VLOOKUP($E82,Hybrid!$1:$1048576,AN$2,FALSE)</f>
        <v>1022.693853</v>
      </c>
      <c r="AO82" s="73">
        <f>+VLOOKUP($E82,Hybrid!$1:$1048576,AO$2,FALSE)</f>
        <v>1030.811993</v>
      </c>
      <c r="AP82" s="73"/>
      <c r="AQ82" s="73"/>
    </row>
    <row r="83" spans="1:43" ht="15" customHeight="1" x14ac:dyDescent="0.25">
      <c r="A83" s="316"/>
      <c r="B83" s="315"/>
      <c r="C83" s="171"/>
      <c r="D83" s="124" t="s">
        <v>542</v>
      </c>
      <c r="E83" s="46" t="s">
        <v>431</v>
      </c>
      <c r="F83" s="73">
        <f>+VLOOKUP($E83,Hybrid!$1:$1048576,F$2,FALSE)</f>
        <v>351.33496400000001</v>
      </c>
      <c r="G83" s="73">
        <f>+VLOOKUP($E83,Hybrid!$1:$1048576,G$2,FALSE)</f>
        <v>397.57666180000001</v>
      </c>
      <c r="H83" s="73">
        <f>+VLOOKUP($E83,Hybrid!$1:$1048576,H$2,FALSE)</f>
        <v>431.07234629999999</v>
      </c>
      <c r="I83" s="73">
        <f>+VLOOKUP($E83,Hybrid!$1:$1048576,I$2,FALSE)</f>
        <v>455.64815199999998</v>
      </c>
      <c r="J83" s="73">
        <f>+VLOOKUP($E83,Hybrid!$1:$1048576,J$2,FALSE)</f>
        <v>474.15910630000002</v>
      </c>
      <c r="K83" s="73">
        <f>+VLOOKUP($E83,Hybrid!$1:$1048576,K$2,FALSE)</f>
        <v>488.62358130000001</v>
      </c>
      <c r="L83" s="73">
        <f>+VLOOKUP($E83,Hybrid!$1:$1048576,L$2,FALSE)</f>
        <v>500.40662400000002</v>
      </c>
      <c r="M83" s="73">
        <f>+VLOOKUP($E83,Hybrid!$1:$1048576,M$2,FALSE)</f>
        <v>510.40170810000001</v>
      </c>
      <c r="N83" s="73">
        <f>+VLOOKUP($E83,Hybrid!$1:$1048576,N$2,FALSE)</f>
        <v>519.18056669999999</v>
      </c>
      <c r="O83" s="73">
        <f>+VLOOKUP($E83,Hybrid!$1:$1048576,O$2,FALSE)</f>
        <v>527.10412640000004</v>
      </c>
      <c r="P83" s="73">
        <f>+VLOOKUP($E83,Hybrid!$1:$1048576,P$2,FALSE)</f>
        <v>534.39920930000005</v>
      </c>
      <c r="Q83" s="73">
        <f>+VLOOKUP($E83,Hybrid!$1:$1048576,Q$2,FALSE)</f>
        <v>541.20910419999996</v>
      </c>
      <c r="R83" s="73">
        <f>+VLOOKUP($E83,Hybrid!$1:$1048576,R$2,FALSE)</f>
        <v>547.62575330000004</v>
      </c>
      <c r="S83" s="73">
        <f>+VLOOKUP($E83,Hybrid!$1:$1048576,S$2,FALSE)</f>
        <v>553.70967680000001</v>
      </c>
      <c r="T83" s="73">
        <f>+VLOOKUP($E83,Hybrid!$1:$1048576,T$2,FALSE)</f>
        <v>559.50208840000005</v>
      </c>
      <c r="U83" s="73">
        <f>+VLOOKUP($E83,Hybrid!$1:$1048576,U$2,FALSE)</f>
        <v>565.03211510000006</v>
      </c>
      <c r="V83" s="73">
        <f>+VLOOKUP($E83,Hybrid!$1:$1048576,V$2,FALSE)</f>
        <v>570.32112389999998</v>
      </c>
      <c r="W83" s="73">
        <f>+VLOOKUP($E83,Hybrid!$1:$1048576,W$2,FALSE)</f>
        <v>575.38533029999996</v>
      </c>
      <c r="X83" s="73">
        <f>+VLOOKUP($E83,Hybrid!$1:$1048576,X$2,FALSE)</f>
        <v>580.23740889999999</v>
      </c>
      <c r="Y83" s="73">
        <f>+VLOOKUP($E83,Hybrid!$1:$1048576,Y$2,FALSE)</f>
        <v>584.88752699999998</v>
      </c>
      <c r="Z83" s="73">
        <f>+VLOOKUP($E83,Hybrid!$1:$1048576,Z$2,FALSE)</f>
        <v>589.34403980000002</v>
      </c>
      <c r="AA83" s="73">
        <f>+VLOOKUP($E83,Hybrid!$1:$1048576,AA$2,FALSE)</f>
        <v>593.6139776</v>
      </c>
      <c r="AB83" s="73">
        <f>+VLOOKUP($E83,Hybrid!$1:$1048576,AB$2,FALSE)</f>
        <v>597.70339309999997</v>
      </c>
      <c r="AC83" s="73">
        <f>+VLOOKUP($E83,Hybrid!$1:$1048576,AC$2,FALSE)</f>
        <v>601.61760939999999</v>
      </c>
      <c r="AD83" s="73">
        <f>+VLOOKUP($E83,Hybrid!$1:$1048576,AD$2,FALSE)</f>
        <v>605.36139349999996</v>
      </c>
      <c r="AE83" s="73">
        <f>+VLOOKUP($E83,Hybrid!$1:$1048576,AE$2,FALSE)</f>
        <v>608.93907060000004</v>
      </c>
      <c r="AF83" s="73">
        <f>+VLOOKUP($E83,Hybrid!$1:$1048576,AF$2,FALSE)</f>
        <v>612.35459289999994</v>
      </c>
      <c r="AG83" s="73">
        <f>+VLOOKUP($E83,Hybrid!$1:$1048576,AG$2,FALSE)</f>
        <v>615.61157419999995</v>
      </c>
      <c r="AH83" s="73">
        <f>+VLOOKUP($E83,Hybrid!$1:$1048576,AH$2,FALSE)</f>
        <v>618.71329960000003</v>
      </c>
      <c r="AI83" s="73">
        <f>+VLOOKUP($E83,Hybrid!$1:$1048576,AI$2,FALSE)</f>
        <v>621.66271830000005</v>
      </c>
      <c r="AJ83" s="73">
        <f>+VLOOKUP($E83,Hybrid!$1:$1048576,AJ$2,FALSE)</f>
        <v>624.46242789999997</v>
      </c>
      <c r="AK83" s="73">
        <f>+VLOOKUP($E83,Hybrid!$1:$1048576,AK$2,FALSE)</f>
        <v>627.11465399999997</v>
      </c>
      <c r="AL83" s="73">
        <f>+VLOOKUP($E83,Hybrid!$1:$1048576,AL$2,FALSE)</f>
        <v>629.62122980000004</v>
      </c>
      <c r="AM83" s="73">
        <f>+VLOOKUP($E83,Hybrid!$1:$1048576,AM$2,FALSE)</f>
        <v>631.98357950000002</v>
      </c>
      <c r="AN83" s="73">
        <f>+VLOOKUP($E83,Hybrid!$1:$1048576,AN$2,FALSE)</f>
        <v>634.20270600000003</v>
      </c>
      <c r="AO83" s="73">
        <f>+VLOOKUP($E83,Hybrid!$1:$1048576,AO$2,FALSE)</f>
        <v>636.27918380000006</v>
      </c>
      <c r="AP83" s="73"/>
      <c r="AQ83" s="73"/>
    </row>
    <row r="84" spans="1:43" ht="15" customHeight="1" x14ac:dyDescent="0.25">
      <c r="A84" s="316"/>
      <c r="B84" s="315"/>
      <c r="C84" s="171"/>
      <c r="D84" s="124" t="s">
        <v>543</v>
      </c>
      <c r="E84" s="46" t="s">
        <v>432</v>
      </c>
      <c r="F84" s="73">
        <f>+VLOOKUP($E84,Hybrid!$1:$1048576,F$2,FALSE)</f>
        <v>194.7292726</v>
      </c>
      <c r="G84" s="73">
        <f>+VLOOKUP($E84,Hybrid!$1:$1048576,G$2,FALSE)</f>
        <v>219.16847580000001</v>
      </c>
      <c r="H84" s="73">
        <f>+VLOOKUP($E84,Hybrid!$1:$1048576,H$2,FALSE)</f>
        <v>235.6835853</v>
      </c>
      <c r="I84" s="73">
        <f>+VLOOKUP($E84,Hybrid!$1:$1048576,I$2,FALSE)</f>
        <v>246.70455079999999</v>
      </c>
      <c r="J84" s="73">
        <f>+VLOOKUP($E84,Hybrid!$1:$1048576,J$2,FALSE)</f>
        <v>254.02359989999999</v>
      </c>
      <c r="K84" s="73">
        <f>+VLOOKUP($E84,Hybrid!$1:$1048576,K$2,FALSE)</f>
        <v>258.88249669999999</v>
      </c>
      <c r="L84" s="73">
        <f>+VLOOKUP($E84,Hybrid!$1:$1048576,L$2,FALSE)</f>
        <v>262.1033602</v>
      </c>
      <c r="M84" s="73">
        <f>+VLOOKUP($E84,Hybrid!$1:$1048576,M$2,FALSE)</f>
        <v>264.21364740000001</v>
      </c>
      <c r="N84" s="73">
        <f>+VLOOKUP($E84,Hybrid!$1:$1048576,N$2,FALSE)</f>
        <v>265.54511989999997</v>
      </c>
      <c r="O84" s="73">
        <f>+VLOOKUP($E84,Hybrid!$1:$1048576,O$2,FALSE)</f>
        <v>266.30457689999997</v>
      </c>
      <c r="P84" s="73">
        <f>+VLOOKUP($E84,Hybrid!$1:$1048576,P$2,FALSE)</f>
        <v>266.62124929999999</v>
      </c>
      <c r="Q84" s="73">
        <f>+VLOOKUP($E84,Hybrid!$1:$1048576,Q$2,FALSE)</f>
        <v>266.57715610000002</v>
      </c>
      <c r="R84" s="73">
        <f>+VLOOKUP($E84,Hybrid!$1:$1048576,R$2,FALSE)</f>
        <v>266.22589820000002</v>
      </c>
      <c r="S84" s="73">
        <f>+VLOOKUP($E84,Hybrid!$1:$1048576,S$2,FALSE)</f>
        <v>265.60399560000002</v>
      </c>
      <c r="T84" s="73">
        <f>+VLOOKUP($E84,Hybrid!$1:$1048576,T$2,FALSE)</f>
        <v>264.73760390000001</v>
      </c>
      <c r="U84" s="73">
        <f>+VLOOKUP($E84,Hybrid!$1:$1048576,U$2,FALSE)</f>
        <v>263.64644179999999</v>
      </c>
      <c r="V84" s="73">
        <f>+VLOOKUP($E84,Hybrid!$1:$1048576,V$2,FALSE)</f>
        <v>262.34610190000001</v>
      </c>
      <c r="W84" s="73">
        <f>+VLOOKUP($E84,Hybrid!$1:$1048576,W$2,FALSE)</f>
        <v>260.84943399999997</v>
      </c>
      <c r="X84" s="73">
        <f>+VLOOKUP($E84,Hybrid!$1:$1048576,X$2,FALSE)</f>
        <v>259.16739999999999</v>
      </c>
      <c r="Y84" s="73">
        <f>+VLOOKUP($E84,Hybrid!$1:$1048576,Y$2,FALSE)</f>
        <v>257.3096271</v>
      </c>
      <c r="Z84" s="73">
        <f>+VLOOKUP($E84,Hybrid!$1:$1048576,Z$2,FALSE)</f>
        <v>255.28478509999999</v>
      </c>
      <c r="AA84" s="73">
        <f>+VLOOKUP($E84,Hybrid!$1:$1048576,AA$2,FALSE)</f>
        <v>253.1008515</v>
      </c>
      <c r="AB84" s="73">
        <f>+VLOOKUP($E84,Hybrid!$1:$1048576,AB$2,FALSE)</f>
        <v>250.76530170000001</v>
      </c>
      <c r="AC84" s="73">
        <f>+VLOOKUP($E84,Hybrid!$1:$1048576,AC$2,FALSE)</f>
        <v>248.28524379999999</v>
      </c>
      <c r="AD84" s="73">
        <f>+VLOOKUP($E84,Hybrid!$1:$1048576,AD$2,FALSE)</f>
        <v>245.6675114</v>
      </c>
      <c r="AE84" s="73">
        <f>+VLOOKUP($E84,Hybrid!$1:$1048576,AE$2,FALSE)</f>
        <v>242.91872570000001</v>
      </c>
      <c r="AF84" s="73">
        <f>+VLOOKUP($E84,Hybrid!$1:$1048576,AF$2,FALSE)</f>
        <v>240.0453321</v>
      </c>
      <c r="AG84" s="73">
        <f>+VLOOKUP($E84,Hybrid!$1:$1048576,AG$2,FALSE)</f>
        <v>237.0536214</v>
      </c>
      <c r="AH84" s="73">
        <f>+VLOOKUP($E84,Hybrid!$1:$1048576,AH$2,FALSE)</f>
        <v>233.94973820000001</v>
      </c>
      <c r="AI84" s="73">
        <f>+VLOOKUP($E84,Hybrid!$1:$1048576,AI$2,FALSE)</f>
        <v>230.73968339999999</v>
      </c>
      <c r="AJ84" s="73">
        <f>+VLOOKUP($E84,Hybrid!$1:$1048576,AJ$2,FALSE)</f>
        <v>227.4293132</v>
      </c>
      <c r="AK84" s="73">
        <f>+VLOOKUP($E84,Hybrid!$1:$1048576,AK$2,FALSE)</f>
        <v>224.02433819999999</v>
      </c>
      <c r="AL84" s="73">
        <f>+VLOOKUP($E84,Hybrid!$1:$1048576,AL$2,FALSE)</f>
        <v>220.53032260000001</v>
      </c>
      <c r="AM84" s="73">
        <f>+VLOOKUP($E84,Hybrid!$1:$1048576,AM$2,FALSE)</f>
        <v>216.9526874</v>
      </c>
      <c r="AN84" s="73">
        <f>+VLOOKUP($E84,Hybrid!$1:$1048576,AN$2,FALSE)</f>
        <v>213.29671450000001</v>
      </c>
      <c r="AO84" s="73">
        <f>+VLOOKUP($E84,Hybrid!$1:$1048576,AO$2,FALSE)</f>
        <v>209.56755469999999</v>
      </c>
      <c r="AP84" s="73"/>
      <c r="AQ84" s="73"/>
    </row>
    <row r="85" spans="1:43" ht="15" customHeight="1" x14ac:dyDescent="0.25">
      <c r="A85" s="316"/>
      <c r="B85" s="315"/>
      <c r="C85" s="171"/>
      <c r="D85" s="124" t="s">
        <v>544</v>
      </c>
      <c r="E85" s="46" t="s">
        <v>433</v>
      </c>
      <c r="F85" s="73">
        <f>+VLOOKUP($E85,Hybrid!$1:$1048576,F$2,FALSE)</f>
        <v>119.7902723</v>
      </c>
      <c r="G85" s="73">
        <f>+VLOOKUP($E85,Hybrid!$1:$1048576,G$2,FALSE)</f>
        <v>134.1675396</v>
      </c>
      <c r="H85" s="73">
        <f>+VLOOKUP($E85,Hybrid!$1:$1048576,H$2,FALSE)</f>
        <v>143.21188309999999</v>
      </c>
      <c r="I85" s="73">
        <f>+VLOOKUP($E85,Hybrid!$1:$1048576,I$2,FALSE)</f>
        <v>148.599919</v>
      </c>
      <c r="J85" s="73">
        <f>+VLOOKUP($E85,Hybrid!$1:$1048576,J$2,FALSE)</f>
        <v>151.55669750000001</v>
      </c>
      <c r="K85" s="73">
        <f>+VLOOKUP($E85,Hybrid!$1:$1048576,K$2,FALSE)</f>
        <v>152.91812100000001</v>
      </c>
      <c r="L85" s="73">
        <f>+VLOOKUP($E85,Hybrid!$1:$1048576,L$2,FALSE)</f>
        <v>153.2289107</v>
      </c>
      <c r="M85" s="73">
        <f>+VLOOKUP($E85,Hybrid!$1:$1048576,M$2,FALSE)</f>
        <v>152.83366319999999</v>
      </c>
      <c r="N85" s="73">
        <f>+VLOOKUP($E85,Hybrid!$1:$1048576,N$2,FALSE)</f>
        <v>151.94687450000001</v>
      </c>
      <c r="O85" s="73">
        <f>+VLOOKUP($E85,Hybrid!$1:$1048576,O$2,FALSE)</f>
        <v>150.7016697</v>
      </c>
      <c r="P85" s="73">
        <f>+VLOOKUP($E85,Hybrid!$1:$1048576,P$2,FALSE)</f>
        <v>149.1816594</v>
      </c>
      <c r="Q85" s="73">
        <f>+VLOOKUP($E85,Hybrid!$1:$1048576,Q$2,FALSE)</f>
        <v>147.4408675</v>
      </c>
      <c r="R85" s="73">
        <f>+VLOOKUP($E85,Hybrid!$1:$1048576,R$2,FALSE)</f>
        <v>145.51579079999999</v>
      </c>
      <c r="S85" s="73">
        <f>+VLOOKUP($E85,Hybrid!$1:$1048576,S$2,FALSE)</f>
        <v>143.43251309999999</v>
      </c>
      <c r="T85" s="73">
        <f>+VLOOKUP($E85,Hybrid!$1:$1048576,T$2,FALSE)</f>
        <v>141.21082860000001</v>
      </c>
      <c r="U85" s="73">
        <f>+VLOOKUP($E85,Hybrid!$1:$1048576,U$2,FALSE)</f>
        <v>138.86661000000001</v>
      </c>
      <c r="V85" s="73">
        <f>+VLOOKUP($E85,Hybrid!$1:$1048576,V$2,FALSE)</f>
        <v>136.41318050000001</v>
      </c>
      <c r="W85" s="73">
        <f>+VLOOKUP($E85,Hybrid!$1:$1048576,W$2,FALSE)</f>
        <v>133.86212739999999</v>
      </c>
      <c r="X85" s="73">
        <f>+VLOOKUP($E85,Hybrid!$1:$1048576,X$2,FALSE)</f>
        <v>131.2238026</v>
      </c>
      <c r="Y85" s="73">
        <f>+VLOOKUP($E85,Hybrid!$1:$1048576,Y$2,FALSE)</f>
        <v>128.5076483</v>
      </c>
      <c r="Z85" s="73">
        <f>+VLOOKUP($E85,Hybrid!$1:$1048576,Z$2,FALSE)</f>
        <v>125.72241750000001</v>
      </c>
      <c r="AA85" s="73">
        <f>+VLOOKUP($E85,Hybrid!$1:$1048576,AA$2,FALSE)</f>
        <v>122.87632859999999</v>
      </c>
      <c r="AB85" s="73">
        <f>+VLOOKUP($E85,Hybrid!$1:$1048576,AB$2,FALSE)</f>
        <v>119.9771744</v>
      </c>
      <c r="AC85" s="73">
        <f>+VLOOKUP($E85,Hybrid!$1:$1048576,AC$2,FALSE)</f>
        <v>117.032397</v>
      </c>
      <c r="AD85" s="73">
        <f>+VLOOKUP($E85,Hybrid!$1:$1048576,AD$2,FALSE)</f>
        <v>114.0491384</v>
      </c>
      <c r="AE85" s="73">
        <f>+VLOOKUP($E85,Hybrid!$1:$1048576,AE$2,FALSE)</f>
        <v>111.0342708</v>
      </c>
      <c r="AF85" s="73">
        <f>+VLOOKUP($E85,Hybrid!$1:$1048576,AF$2,FALSE)</f>
        <v>107.994415</v>
      </c>
      <c r="AG85" s="73">
        <f>+VLOOKUP($E85,Hybrid!$1:$1048576,AG$2,FALSE)</f>
        <v>104.9359484</v>
      </c>
      <c r="AH85" s="73">
        <f>+VLOOKUP($E85,Hybrid!$1:$1048576,AH$2,FALSE)</f>
        <v>101.8650075</v>
      </c>
      <c r="AI85" s="73">
        <f>+VLOOKUP($E85,Hybrid!$1:$1048576,AI$2,FALSE)</f>
        <v>98.787487870000007</v>
      </c>
      <c r="AJ85" s="73">
        <f>+VLOOKUP($E85,Hybrid!$1:$1048576,AJ$2,FALSE)</f>
        <v>95.709042499999995</v>
      </c>
      <c r="AK85" s="73">
        <f>+VLOOKUP($E85,Hybrid!$1:$1048576,AK$2,FALSE)</f>
        <v>92.635080930000001</v>
      </c>
      <c r="AL85" s="73">
        <f>+VLOOKUP($E85,Hybrid!$1:$1048576,AL$2,FALSE)</f>
        <v>89.570769299999995</v>
      </c>
      <c r="AM85" s="73">
        <f>+VLOOKUP($E85,Hybrid!$1:$1048576,AM$2,FALSE)</f>
        <v>86.521031890000003</v>
      </c>
      <c r="AN85" s="73">
        <f>+VLOOKUP($E85,Hybrid!$1:$1048576,AN$2,FALSE)</f>
        <v>83.490554119999999</v>
      </c>
      <c r="AO85" s="73">
        <f>+VLOOKUP($E85,Hybrid!$1:$1048576,AO$2,FALSE)</f>
        <v>80.483786749999993</v>
      </c>
      <c r="AP85" s="73"/>
      <c r="AQ85" s="73"/>
    </row>
    <row r="86" spans="1:43" ht="15" customHeight="1" x14ac:dyDescent="0.25">
      <c r="A86" s="316"/>
      <c r="B86" s="315"/>
      <c r="C86" s="171"/>
      <c r="D86" s="124" t="s">
        <v>545</v>
      </c>
      <c r="E86" s="46" t="s">
        <v>434</v>
      </c>
      <c r="F86" s="73">
        <f>+VLOOKUP($E86,Hybrid!$1:$1048576,F$2,FALSE)</f>
        <v>57.932893</v>
      </c>
      <c r="G86" s="73">
        <f>+VLOOKUP($E86,Hybrid!$1:$1048576,G$2,FALSE)</f>
        <v>63.771507409999998</v>
      </c>
      <c r="H86" s="73">
        <f>+VLOOKUP($E86,Hybrid!$1:$1048576,H$2,FALSE)</f>
        <v>66.307034189999996</v>
      </c>
      <c r="I86" s="73">
        <f>+VLOOKUP($E86,Hybrid!$1:$1048576,I$2,FALSE)</f>
        <v>66.694489480000001</v>
      </c>
      <c r="J86" s="73">
        <f>+VLOOKUP($E86,Hybrid!$1:$1048576,J$2,FALSE)</f>
        <v>65.753401089999997</v>
      </c>
      <c r="K86" s="73">
        <f>+VLOOKUP($E86,Hybrid!$1:$1048576,K$2,FALSE)</f>
        <v>64.018948850000001</v>
      </c>
      <c r="L86" s="73">
        <f>+VLOOKUP($E86,Hybrid!$1:$1048576,L$2,FALSE)</f>
        <v>61.82402055</v>
      </c>
      <c r="M86" s="73">
        <f>+VLOOKUP($E86,Hybrid!$1:$1048576,M$2,FALSE)</f>
        <v>59.370208980000001</v>
      </c>
      <c r="N86" s="73">
        <f>+VLOOKUP($E86,Hybrid!$1:$1048576,N$2,FALSE)</f>
        <v>56.778536289999998</v>
      </c>
      <c r="O86" s="73">
        <f>+VLOOKUP($E86,Hybrid!$1:$1048576,O$2,FALSE)</f>
        <v>54.122335409999998</v>
      </c>
      <c r="P86" s="73">
        <f>+VLOOKUP($E86,Hybrid!$1:$1048576,P$2,FALSE)</f>
        <v>51.447307709999997</v>
      </c>
      <c r="Q86" s="73">
        <f>+VLOOKUP($E86,Hybrid!$1:$1048576,Q$2,FALSE)</f>
        <v>48.783242450000003</v>
      </c>
      <c r="R86" s="73">
        <f>+VLOOKUP($E86,Hybrid!$1:$1048576,R$2,FALSE)</f>
        <v>46.150647849999999</v>
      </c>
      <c r="S86" s="73">
        <f>+VLOOKUP($E86,Hybrid!$1:$1048576,S$2,FALSE)</f>
        <v>43.564421629999998</v>
      </c>
      <c r="T86" s="73">
        <f>+VLOOKUP($E86,Hybrid!$1:$1048576,T$2,FALSE)</f>
        <v>41.035861779999998</v>
      </c>
      <c r="U86" s="73">
        <f>+VLOOKUP($E86,Hybrid!$1:$1048576,U$2,FALSE)</f>
        <v>38.573779870000003</v>
      </c>
      <c r="V86" s="73">
        <f>+VLOOKUP($E86,Hybrid!$1:$1048576,V$2,FALSE)</f>
        <v>36.185138690000002</v>
      </c>
      <c r="W86" s="73">
        <f>+VLOOKUP($E86,Hybrid!$1:$1048576,W$2,FALSE)</f>
        <v>33.875441850000001</v>
      </c>
      <c r="X86" s="73">
        <f>+VLOOKUP($E86,Hybrid!$1:$1048576,X$2,FALSE)</f>
        <v>31.64899093</v>
      </c>
      <c r="Y86" s="73">
        <f>+VLOOKUP($E86,Hybrid!$1:$1048576,Y$2,FALSE)</f>
        <v>29.509069069999999</v>
      </c>
      <c r="Z86" s="73">
        <f>+VLOOKUP($E86,Hybrid!$1:$1048576,Z$2,FALSE)</f>
        <v>27.4580801</v>
      </c>
      <c r="AA86" s="73">
        <f>+VLOOKUP($E86,Hybrid!$1:$1048576,AA$2,FALSE)</f>
        <v>25.497658340000001</v>
      </c>
      <c r="AB86" s="73">
        <f>+VLOOKUP($E86,Hybrid!$1:$1048576,AB$2,FALSE)</f>
        <v>23.62875738</v>
      </c>
      <c r="AC86" s="73">
        <f>+VLOOKUP($E86,Hybrid!$1:$1048576,AC$2,FALSE)</f>
        <v>21.85172386</v>
      </c>
      <c r="AD86" s="73">
        <f>+VLOOKUP($E86,Hybrid!$1:$1048576,AD$2,FALSE)</f>
        <v>20.16636008</v>
      </c>
      <c r="AE86" s="73">
        <f>+VLOOKUP($E86,Hybrid!$1:$1048576,AE$2,FALSE)</f>
        <v>18.571978900000001</v>
      </c>
      <c r="AF86" s="73">
        <f>+VLOOKUP($E86,Hybrid!$1:$1048576,AF$2,FALSE)</f>
        <v>17.067453319999998</v>
      </c>
      <c r="AG86" s="73">
        <f>+VLOOKUP($E86,Hybrid!$1:$1048576,AG$2,FALSE)</f>
        <v>15.65126236</v>
      </c>
      <c r="AH86" s="73">
        <f>+VLOOKUP($E86,Hybrid!$1:$1048576,AH$2,FALSE)</f>
        <v>14.321534590000001</v>
      </c>
      <c r="AI86" s="73">
        <f>+VLOOKUP($E86,Hybrid!$1:$1048576,AI$2,FALSE)</f>
        <v>13.07608991</v>
      </c>
      <c r="AJ86" s="73">
        <f>+VLOOKUP($E86,Hybrid!$1:$1048576,AJ$2,FALSE)</f>
        <v>11.912479940000001</v>
      </c>
      <c r="AK86" s="73">
        <f>+VLOOKUP($E86,Hybrid!$1:$1048576,AK$2,FALSE)</f>
        <v>10.82802699</v>
      </c>
      <c r="AL86" s="73">
        <f>+VLOOKUP($E86,Hybrid!$1:$1048576,AL$2,FALSE)</f>
        <v>9.8198616390000009</v>
      </c>
      <c r="AM86" s="73">
        <f>+VLOOKUP($E86,Hybrid!$1:$1048576,AM$2,FALSE)</f>
        <v>8.8849586869999992</v>
      </c>
      <c r="AN86" s="73">
        <f>+VLOOKUP($E86,Hybrid!$1:$1048576,AN$2,FALSE)</f>
        <v>8.0201712119999993</v>
      </c>
      <c r="AO86" s="73">
        <f>+VLOOKUP($E86,Hybrid!$1:$1048576,AO$2,FALSE)</f>
        <v>7.2222626459999999</v>
      </c>
      <c r="AP86" s="73"/>
      <c r="AQ86" s="73"/>
    </row>
    <row r="87" spans="1:43" ht="15" customHeight="1" x14ac:dyDescent="0.25">
      <c r="A87" s="316"/>
      <c r="B87" s="315"/>
      <c r="C87" s="171"/>
      <c r="D87" s="124" t="s">
        <v>546</v>
      </c>
      <c r="E87" s="46" t="s">
        <v>435</v>
      </c>
      <c r="F87" s="73">
        <f>+VLOOKUP($E87,Hybrid!$1:$1048576,F$2,FALSE)</f>
        <v>108.7643346</v>
      </c>
      <c r="G87" s="73">
        <f>+VLOOKUP($E87,Hybrid!$1:$1048576,G$2,FALSE)</f>
        <v>117.9248407</v>
      </c>
      <c r="H87" s="73">
        <f>+VLOOKUP($E87,Hybrid!$1:$1048576,H$2,FALSE)</f>
        <v>119.84184980000001</v>
      </c>
      <c r="I87" s="73">
        <f>+VLOOKUP($E87,Hybrid!$1:$1048576,I$2,FALSE)</f>
        <v>117.313436</v>
      </c>
      <c r="J87" s="73">
        <f>+VLOOKUP($E87,Hybrid!$1:$1048576,J$2,FALSE)</f>
        <v>112.2727798</v>
      </c>
      <c r="K87" s="73">
        <f>+VLOOKUP($E87,Hybrid!$1:$1048576,K$2,FALSE)</f>
        <v>105.9366924</v>
      </c>
      <c r="L87" s="73">
        <f>+VLOOKUP($E87,Hybrid!$1:$1048576,L$2,FALSE)</f>
        <v>99.029629439999994</v>
      </c>
      <c r="M87" s="73">
        <f>+VLOOKUP($E87,Hybrid!$1:$1048576,M$2,FALSE)</f>
        <v>91.968223469999998</v>
      </c>
      <c r="N87" s="73">
        <f>+VLOOKUP($E87,Hybrid!$1:$1048576,N$2,FALSE)</f>
        <v>84.987189270000002</v>
      </c>
      <c r="O87" s="73">
        <f>+VLOOKUP($E87,Hybrid!$1:$1048576,O$2,FALSE)</f>
        <v>78.217351899999997</v>
      </c>
      <c r="P87" s="73">
        <f>+VLOOKUP($E87,Hybrid!$1:$1048576,P$2,FALSE)</f>
        <v>71.731185400000001</v>
      </c>
      <c r="Q87" s="73">
        <f>+VLOOKUP($E87,Hybrid!$1:$1048576,Q$2,FALSE)</f>
        <v>65.568314740000005</v>
      </c>
      <c r="R87" s="73">
        <f>+VLOOKUP($E87,Hybrid!$1:$1048576,R$2,FALSE)</f>
        <v>59.74940891</v>
      </c>
      <c r="S87" s="73">
        <f>+VLOOKUP($E87,Hybrid!$1:$1048576,S$2,FALSE)</f>
        <v>54.283658080000002</v>
      </c>
      <c r="T87" s="73">
        <f>+VLOOKUP($E87,Hybrid!$1:$1048576,T$2,FALSE)</f>
        <v>49.17283733</v>
      </c>
      <c r="U87" s="73">
        <f>+VLOOKUP($E87,Hybrid!$1:$1048576,U$2,FALSE)</f>
        <v>44.413605799999999</v>
      </c>
      <c r="V87" s="73">
        <f>+VLOOKUP($E87,Hybrid!$1:$1048576,V$2,FALSE)</f>
        <v>39.998906210000001</v>
      </c>
      <c r="W87" s="73">
        <f>+VLOOKUP($E87,Hybrid!$1:$1048576,W$2,FALSE)</f>
        <v>35.91890059</v>
      </c>
      <c r="X87" s="73">
        <f>+VLOOKUP($E87,Hybrid!$1:$1048576,X$2,FALSE)</f>
        <v>32.161652500000002</v>
      </c>
      <c r="Y87" s="73">
        <f>+VLOOKUP($E87,Hybrid!$1:$1048576,Y$2,FALSE)</f>
        <v>28.713657130000001</v>
      </c>
      <c r="Z87" s="73">
        <f>+VLOOKUP($E87,Hybrid!$1:$1048576,Z$2,FALSE)</f>
        <v>25.560269380000001</v>
      </c>
      <c r="AA87" s="73">
        <f>+VLOOKUP($E87,Hybrid!$1:$1048576,AA$2,FALSE)</f>
        <v>22.68605595</v>
      </c>
      <c r="AB87" s="73">
        <f>+VLOOKUP($E87,Hybrid!$1:$1048576,AB$2,FALSE)</f>
        <v>20.075088130000001</v>
      </c>
      <c r="AC87" s="73">
        <f>+VLOOKUP($E87,Hybrid!$1:$1048576,AC$2,FALSE)</f>
        <v>17.711186730000001</v>
      </c>
      <c r="AD87" s="73">
        <f>+VLOOKUP($E87,Hybrid!$1:$1048576,AD$2,FALSE)</f>
        <v>15.578127950000001</v>
      </c>
      <c r="AE87" s="73">
        <f>+VLOOKUP($E87,Hybrid!$1:$1048576,AE$2,FALSE)</f>
        <v>13.65981689</v>
      </c>
      <c r="AF87" s="73">
        <f>+VLOOKUP($E87,Hybrid!$1:$1048576,AF$2,FALSE)</f>
        <v>11.9404339</v>
      </c>
      <c r="AG87" s="73">
        <f>+VLOOKUP($E87,Hybrid!$1:$1048576,AG$2,FALSE)</f>
        <v>10.404557369999999</v>
      </c>
      <c r="AH87" s="73">
        <f>+VLOOKUP($E87,Hybrid!$1:$1048576,AH$2,FALSE)</f>
        <v>9.0372658829999999</v>
      </c>
      <c r="AI87" s="73">
        <f>+VLOOKUP($E87,Hybrid!$1:$1048576,AI$2,FALSE)</f>
        <v>7.8242217280000004</v>
      </c>
      <c r="AJ87" s="73">
        <f>+VLOOKUP($E87,Hybrid!$1:$1048576,AJ$2,FALSE)</f>
        <v>6.7517373369999998</v>
      </c>
      <c r="AK87" s="73">
        <f>+VLOOKUP($E87,Hybrid!$1:$1048576,AK$2,FALSE)</f>
        <v>5.8068261330000004</v>
      </c>
      <c r="AL87" s="73">
        <f>+VLOOKUP($E87,Hybrid!$1:$1048576,AL$2,FALSE)</f>
        <v>4.9772389869999998</v>
      </c>
      <c r="AM87" s="73">
        <f>+VLOOKUP($E87,Hybrid!$1:$1048576,AM$2,FALSE)</f>
        <v>4.2514875679999999</v>
      </c>
      <c r="AN87" s="73">
        <f>+VLOOKUP($E87,Hybrid!$1:$1048576,AN$2,FALSE)</f>
        <v>3.6188558409999998</v>
      </c>
      <c r="AO87" s="73">
        <f>+VLOOKUP($E87,Hybrid!$1:$1048576,AO$2,FALSE)</f>
        <v>3.0694010230000002</v>
      </c>
      <c r="AP87" s="73"/>
      <c r="AQ87" s="73"/>
    </row>
    <row r="88" spans="1:43" s="111" customFormat="1" ht="15" customHeight="1" x14ac:dyDescent="0.25">
      <c r="A88" s="316"/>
      <c r="B88" s="315"/>
      <c r="C88" s="122" t="s">
        <v>823</v>
      </c>
      <c r="D88" s="123"/>
      <c r="E88" s="91" t="s">
        <v>436</v>
      </c>
      <c r="F88" s="111">
        <f>+VLOOKUP($E88,Hybrid!$1:$1048576,F$2,FALSE)</f>
        <v>17.268999999999998</v>
      </c>
      <c r="G88" s="111">
        <f>+VLOOKUP($E88,Hybrid!$1:$1048576,G$2,FALSE)</f>
        <v>19.474316269999999</v>
      </c>
      <c r="H88" s="111">
        <f>+VLOOKUP($E88,Hybrid!$1:$1048576,H$2,FALSE)</f>
        <v>21.01320363</v>
      </c>
      <c r="I88" s="111">
        <f>+VLOOKUP($E88,Hybrid!$1:$1048576,I$2,FALSE)</f>
        <v>22.098554849999999</v>
      </c>
      <c r="J88" s="111">
        <f>+VLOOKUP($E88,Hybrid!$1:$1048576,J$2,FALSE)</f>
        <v>22.886707730000001</v>
      </c>
      <c r="K88" s="111">
        <f>+VLOOKUP($E88,Hybrid!$1:$1048576,K$2,FALSE)</f>
        <v>23.485189049999999</v>
      </c>
      <c r="L88" s="111">
        <f>+VLOOKUP($E88,Hybrid!$1:$1048576,L$2,FALSE)</f>
        <v>23.964515939999998</v>
      </c>
      <c r="M88" s="111">
        <f>+VLOOKUP($E88,Hybrid!$1:$1048576,M$2,FALSE)</f>
        <v>24.36951509</v>
      </c>
      <c r="N88" s="111">
        <f>+VLOOKUP($E88,Hybrid!$1:$1048576,N$2,FALSE)</f>
        <v>24.72820342</v>
      </c>
      <c r="O88" s="111">
        <f>+VLOOKUP($E88,Hybrid!$1:$1048576,O$2,FALSE)</f>
        <v>25.058023500000001</v>
      </c>
      <c r="P88" s="111">
        <f>+VLOOKUP($E88,Hybrid!$1:$1048576,P$2,FALSE)</f>
        <v>25.369929899999999</v>
      </c>
      <c r="Q88" s="111">
        <f>+VLOOKUP($E88,Hybrid!$1:$1048576,Q$2,FALSE)</f>
        <v>25.670947420000001</v>
      </c>
      <c r="R88" s="111">
        <f>+VLOOKUP($E88,Hybrid!$1:$1048576,R$2,FALSE)</f>
        <v>25.96572561</v>
      </c>
      <c r="S88" s="111">
        <f>+VLOOKUP($E88,Hybrid!$1:$1048576,S$2,FALSE)</f>
        <v>26.257466600000001</v>
      </c>
      <c r="T88" s="111">
        <f>+VLOOKUP($E88,Hybrid!$1:$1048576,T$2,FALSE)</f>
        <v>26.548478500000002</v>
      </c>
      <c r="U88" s="111">
        <f>+VLOOKUP($E88,Hybrid!$1:$1048576,U$2,FALSE)</f>
        <v>26.84050603</v>
      </c>
      <c r="V88" s="111">
        <f>+VLOOKUP($E88,Hybrid!$1:$1048576,V$2,FALSE)</f>
        <v>27.134935380000002</v>
      </c>
      <c r="W88" s="111">
        <f>+VLOOKUP($E88,Hybrid!$1:$1048576,W$2,FALSE)</f>
        <v>27.432925959999999</v>
      </c>
      <c r="X88" s="111">
        <f>+VLOOKUP($E88,Hybrid!$1:$1048576,X$2,FALSE)</f>
        <v>27.735499220000001</v>
      </c>
      <c r="Y88" s="111">
        <f>+VLOOKUP($E88,Hybrid!$1:$1048576,Y$2,FALSE)</f>
        <v>28.043600659999999</v>
      </c>
      <c r="Z88" s="111">
        <f>+VLOOKUP($E88,Hybrid!$1:$1048576,Z$2,FALSE)</f>
        <v>28.358144589999998</v>
      </c>
      <c r="AA88" s="111">
        <f>+VLOOKUP($E88,Hybrid!$1:$1048576,AA$2,FALSE)</f>
        <v>28.680047739999999</v>
      </c>
      <c r="AB88" s="111">
        <f>+VLOOKUP($E88,Hybrid!$1:$1048576,AB$2,FALSE)</f>
        <v>29.010255140000002</v>
      </c>
      <c r="AC88" s="111">
        <f>+VLOOKUP($E88,Hybrid!$1:$1048576,AC$2,FALSE)</f>
        <v>29.34976035</v>
      </c>
      <c r="AD88" s="111">
        <f>+VLOOKUP($E88,Hybrid!$1:$1048576,AD$2,FALSE)</f>
        <v>29.69962147</v>
      </c>
      <c r="AE88" s="111">
        <f>+VLOOKUP($E88,Hybrid!$1:$1048576,AE$2,FALSE)</f>
        <v>30.06097398</v>
      </c>
      <c r="AF88" s="111">
        <f>+VLOOKUP($E88,Hybrid!$1:$1048576,AF$2,FALSE)</f>
        <v>30.43504128</v>
      </c>
      <c r="AG88" s="111">
        <f>+VLOOKUP($E88,Hybrid!$1:$1048576,AG$2,FALSE)</f>
        <v>30.82314362</v>
      </c>
      <c r="AH88" s="111">
        <f>+VLOOKUP($E88,Hybrid!$1:$1048576,AH$2,FALSE)</f>
        <v>31.226706069999999</v>
      </c>
      <c r="AI88" s="111">
        <f>+VLOOKUP($E88,Hybrid!$1:$1048576,AI$2,FALSE)</f>
        <v>31.647266129999998</v>
      </c>
      <c r="AJ88" s="111">
        <f>+VLOOKUP($E88,Hybrid!$1:$1048576,AJ$2,FALSE)</f>
        <v>32.086481310000003</v>
      </c>
      <c r="AK88" s="111">
        <f>+VLOOKUP($E88,Hybrid!$1:$1048576,AK$2,FALSE)</f>
        <v>32.546137109999997</v>
      </c>
      <c r="AL88" s="111">
        <f>+VLOOKUP($E88,Hybrid!$1:$1048576,AL$2,FALSE)</f>
        <v>33.028155650000002</v>
      </c>
      <c r="AM88" s="111">
        <f>+VLOOKUP($E88,Hybrid!$1:$1048576,AM$2,FALSE)</f>
        <v>33.534605169999999</v>
      </c>
      <c r="AN88" s="111">
        <f>+VLOOKUP($E88,Hybrid!$1:$1048576,AN$2,FALSE)</f>
        <v>34.067710599999998</v>
      </c>
      <c r="AO88" s="111">
        <f>+VLOOKUP($E88,Hybrid!$1:$1048576,AO$2,FALSE)</f>
        <v>34.629865250000002</v>
      </c>
    </row>
    <row r="89" spans="1:43" ht="15" customHeight="1" x14ac:dyDescent="0.25">
      <c r="A89" s="316"/>
      <c r="B89" s="315"/>
      <c r="C89" s="171"/>
      <c r="D89" s="124" t="s">
        <v>540</v>
      </c>
      <c r="E89" s="46" t="s">
        <v>437</v>
      </c>
      <c r="F89" s="73">
        <f>+VLOOKUP($E89,Hybrid!$1:$1048576,F$2,FALSE)</f>
        <v>4.8854001</v>
      </c>
      <c r="G89" s="73">
        <f>+VLOOKUP($E89,Hybrid!$1:$1048576,G$2,FALSE)</f>
        <v>5.5417375089999998</v>
      </c>
      <c r="H89" s="73">
        <f>+VLOOKUP($E89,Hybrid!$1:$1048576,H$2,FALSE)</f>
        <v>6.0318007280000003</v>
      </c>
      <c r="I89" s="73">
        <f>+VLOOKUP($E89,Hybrid!$1:$1048576,I$2,FALSE)</f>
        <v>6.4067081200000002</v>
      </c>
      <c r="J89" s="73">
        <f>+VLOOKUP($E89,Hybrid!$1:$1048576,J$2,FALSE)</f>
        <v>6.704687946</v>
      </c>
      <c r="K89" s="73">
        <f>+VLOOKUP($E89,Hybrid!$1:$1048576,K$2,FALSE)</f>
        <v>6.95273553</v>
      </c>
      <c r="L89" s="73">
        <f>+VLOOKUP($E89,Hybrid!$1:$1048576,L$2,FALSE)</f>
        <v>7.1690294769999996</v>
      </c>
      <c r="M89" s="73">
        <f>+VLOOKUP($E89,Hybrid!$1:$1048576,M$2,FALSE)</f>
        <v>7.365414951</v>
      </c>
      <c r="N89" s="73">
        <f>+VLOOKUP($E89,Hybrid!$1:$1048576,N$2,FALSE)</f>
        <v>7.5494651829999997</v>
      </c>
      <c r="O89" s="73">
        <f>+VLOOKUP($E89,Hybrid!$1:$1048576,O$2,FALSE)</f>
        <v>7.7259937680000004</v>
      </c>
      <c r="P89" s="73">
        <f>+VLOOKUP($E89,Hybrid!$1:$1048576,P$2,FALSE)</f>
        <v>7.8980818519999998</v>
      </c>
      <c r="Q89" s="73">
        <f>+VLOOKUP($E89,Hybrid!$1:$1048576,Q$2,FALSE)</f>
        <v>8.0677414909999996</v>
      </c>
      <c r="R89" s="73">
        <f>+VLOOKUP($E89,Hybrid!$1:$1048576,R$2,FALSE)</f>
        <v>8.2363301260000004</v>
      </c>
      <c r="S89" s="73">
        <f>+VLOOKUP($E89,Hybrid!$1:$1048576,S$2,FALSE)</f>
        <v>8.404804231</v>
      </c>
      <c r="T89" s="73">
        <f>+VLOOKUP($E89,Hybrid!$1:$1048576,T$2,FALSE)</f>
        <v>8.5738742800000001</v>
      </c>
      <c r="U89" s="73">
        <f>+VLOOKUP($E89,Hybrid!$1:$1048576,U$2,FALSE)</f>
        <v>8.744098868</v>
      </c>
      <c r="V89" s="73">
        <f>+VLOOKUP($E89,Hybrid!$1:$1048576,V$2,FALSE)</f>
        <v>8.9159439500000008</v>
      </c>
      <c r="W89" s="73">
        <f>+VLOOKUP($E89,Hybrid!$1:$1048576,W$2,FALSE)</f>
        <v>9.0898212899999997</v>
      </c>
      <c r="X89" s="73">
        <f>+VLOOKUP($E89,Hybrid!$1:$1048576,X$2,FALSE)</f>
        <v>9.2661145440000006</v>
      </c>
      <c r="Y89" s="73">
        <f>+VLOOKUP($E89,Hybrid!$1:$1048576,Y$2,FALSE)</f>
        <v>9.4451975600000004</v>
      </c>
      <c r="Z89" s="73">
        <f>+VLOOKUP($E89,Hybrid!$1:$1048576,Z$2,FALSE)</f>
        <v>9.6274477199999993</v>
      </c>
      <c r="AA89" s="73">
        <f>+VLOOKUP($E89,Hybrid!$1:$1048576,AA$2,FALSE)</f>
        <v>9.8132561319999994</v>
      </c>
      <c r="AB89" s="73">
        <f>+VLOOKUP($E89,Hybrid!$1:$1048576,AB$2,FALSE)</f>
        <v>10.0030357</v>
      </c>
      <c r="AC89" s="73">
        <f>+VLOOKUP($E89,Hybrid!$1:$1048576,AC$2,FALSE)</f>
        <v>10.19722771</v>
      </c>
      <c r="AD89" s="73">
        <f>+VLOOKUP($E89,Hybrid!$1:$1048576,AD$2,FALSE)</f>
        <v>10.3963073</v>
      </c>
      <c r="AE89" s="73">
        <f>+VLOOKUP($E89,Hybrid!$1:$1048576,AE$2,FALSE)</f>
        <v>10.60078822</v>
      </c>
      <c r="AF89" s="73">
        <f>+VLOOKUP($E89,Hybrid!$1:$1048576,AF$2,FALSE)</f>
        <v>10.811226899999999</v>
      </c>
      <c r="AG89" s="73">
        <f>+VLOOKUP($E89,Hybrid!$1:$1048576,AG$2,FALSE)</f>
        <v>11.02822636</v>
      </c>
      <c r="AH89" s="73">
        <f>+VLOOKUP($E89,Hybrid!$1:$1048576,AH$2,FALSE)</f>
        <v>11.25243985</v>
      </c>
      <c r="AI89" s="73">
        <f>+VLOOKUP($E89,Hybrid!$1:$1048576,AI$2,FALSE)</f>
        <v>11.484574609999999</v>
      </c>
      <c r="AJ89" s="73">
        <f>+VLOOKUP($E89,Hybrid!$1:$1048576,AJ$2,FALSE)</f>
        <v>11.72539581</v>
      </c>
      <c r="AK89" s="73">
        <f>+VLOOKUP($E89,Hybrid!$1:$1048576,AK$2,FALSE)</f>
        <v>11.97573077</v>
      </c>
      <c r="AL89" s="73">
        <f>+VLOOKUP($E89,Hybrid!$1:$1048576,AL$2,FALSE)</f>
        <v>12.236473670000001</v>
      </c>
      <c r="AM89" s="73">
        <f>+VLOOKUP($E89,Hybrid!$1:$1048576,AM$2,FALSE)</f>
        <v>12.50859075</v>
      </c>
      <c r="AN89" s="73">
        <f>+VLOOKUP($E89,Hybrid!$1:$1048576,AN$2,FALSE)</f>
        <v>12.79312612</v>
      </c>
      <c r="AO89" s="73">
        <f>+VLOOKUP($E89,Hybrid!$1:$1048576,AO$2,FALSE)</f>
        <v>13.091208290000001</v>
      </c>
      <c r="AP89" s="73"/>
      <c r="AQ89" s="73"/>
    </row>
    <row r="90" spans="1:43" ht="15" customHeight="1" x14ac:dyDescent="0.25">
      <c r="A90" s="316"/>
      <c r="B90" s="315"/>
      <c r="C90" s="171"/>
      <c r="D90" s="124" t="s">
        <v>541</v>
      </c>
      <c r="E90" s="46" t="s">
        <v>438</v>
      </c>
      <c r="F90" s="73">
        <f>+VLOOKUP($E90,Hybrid!$1:$1048576,F$2,FALSE)</f>
        <v>4.6902603999999997</v>
      </c>
      <c r="G90" s="73">
        <f>+VLOOKUP($E90,Hybrid!$1:$1048576,G$2,FALSE)</f>
        <v>5.3141672460000002</v>
      </c>
      <c r="H90" s="73">
        <f>+VLOOKUP($E90,Hybrid!$1:$1048576,H$2,FALSE)</f>
        <v>5.7739232359999999</v>
      </c>
      <c r="I90" s="73">
        <f>+VLOOKUP($E90,Hybrid!$1:$1048576,I$2,FALSE)</f>
        <v>6.1202040450000004</v>
      </c>
      <c r="J90" s="73">
        <f>+VLOOKUP($E90,Hybrid!$1:$1048576,J$2,FALSE)</f>
        <v>6.390769959</v>
      </c>
      <c r="K90" s="73">
        <f>+VLOOKUP($E90,Hybrid!$1:$1048576,K$2,FALSE)</f>
        <v>6.612117188</v>
      </c>
      <c r="L90" s="73">
        <f>+VLOOKUP($E90,Hybrid!$1:$1048576,L$2,FALSE)</f>
        <v>6.8019618810000004</v>
      </c>
      <c r="M90" s="73">
        <f>+VLOOKUP($E90,Hybrid!$1:$1048576,M$2,FALSE)</f>
        <v>6.9717637840000002</v>
      </c>
      <c r="N90" s="73">
        <f>+VLOOKUP($E90,Hybrid!$1:$1048576,N$2,FALSE)</f>
        <v>7.1287959460000003</v>
      </c>
      <c r="O90" s="73">
        <f>+VLOOKUP($E90,Hybrid!$1:$1048576,O$2,FALSE)</f>
        <v>7.2776468520000002</v>
      </c>
      <c r="P90" s="73">
        <f>+VLOOKUP($E90,Hybrid!$1:$1048576,P$2,FALSE)</f>
        <v>7.4212308120000001</v>
      </c>
      <c r="Q90" s="73">
        <f>+VLOOKUP($E90,Hybrid!$1:$1048576,Q$2,FALSE)</f>
        <v>7.5614345289999996</v>
      </c>
      <c r="R90" s="73">
        <f>+VLOOKUP($E90,Hybrid!$1:$1048576,R$2,FALSE)</f>
        <v>7.6995176040000004</v>
      </c>
      <c r="S90" s="73">
        <f>+VLOOKUP($E90,Hybrid!$1:$1048576,S$2,FALSE)</f>
        <v>7.8363557679999998</v>
      </c>
      <c r="T90" s="73">
        <f>+VLOOKUP($E90,Hybrid!$1:$1048576,T$2,FALSE)</f>
        <v>7.9725884459999996</v>
      </c>
      <c r="U90" s="73">
        <f>+VLOOKUP($E90,Hybrid!$1:$1048576,U$2,FALSE)</f>
        <v>8.1087080149999995</v>
      </c>
      <c r="V90" s="73">
        <f>+VLOOKUP($E90,Hybrid!$1:$1048576,V$2,FALSE)</f>
        <v>8.2451158000000007</v>
      </c>
      <c r="W90" s="73">
        <f>+VLOOKUP($E90,Hybrid!$1:$1048576,W$2,FALSE)</f>
        <v>8.3821583799999999</v>
      </c>
      <c r="X90" s="73">
        <f>+VLOOKUP($E90,Hybrid!$1:$1048576,X$2,FALSE)</f>
        <v>8.5201521739999997</v>
      </c>
      <c r="Y90" s="73">
        <f>+VLOOKUP($E90,Hybrid!$1:$1048576,Y$2,FALSE)</f>
        <v>8.6594005809999999</v>
      </c>
      <c r="Z90" s="73">
        <f>+VLOOKUP($E90,Hybrid!$1:$1048576,Z$2,FALSE)</f>
        <v>8.8002063249999996</v>
      </c>
      <c r="AA90" s="73">
        <f>+VLOOKUP($E90,Hybrid!$1:$1048576,AA$2,FALSE)</f>
        <v>8.9428807050000003</v>
      </c>
      <c r="AB90" s="73">
        <f>+VLOOKUP($E90,Hybrid!$1:$1048576,AB$2,FALSE)</f>
        <v>9.0877507069999997</v>
      </c>
      <c r="AC90" s="73">
        <f>+VLOOKUP($E90,Hybrid!$1:$1048576,AC$2,FALSE)</f>
        <v>9.2351645930000004</v>
      </c>
      <c r="AD90" s="73">
        <f>+VLOOKUP($E90,Hybrid!$1:$1048576,AD$2,FALSE)</f>
        <v>9.3854963310000006</v>
      </c>
      <c r="AE90" s="73">
        <f>+VLOOKUP($E90,Hybrid!$1:$1048576,AE$2,FALSE)</f>
        <v>9.5391491730000002</v>
      </c>
      <c r="AF90" s="73">
        <f>+VLOOKUP($E90,Hybrid!$1:$1048576,AF$2,FALSE)</f>
        <v>9.6965585920000006</v>
      </c>
      <c r="AG90" s="73">
        <f>+VLOOKUP($E90,Hybrid!$1:$1048576,AG$2,FALSE)</f>
        <v>9.8581948090000004</v>
      </c>
      <c r="AH90" s="73">
        <f>+VLOOKUP($E90,Hybrid!$1:$1048576,AH$2,FALSE)</f>
        <v>10.02456507</v>
      </c>
      <c r="AI90" s="73">
        <f>+VLOOKUP($E90,Hybrid!$1:$1048576,AI$2,FALSE)</f>
        <v>10.19621585</v>
      </c>
      <c r="AJ90" s="73">
        <f>+VLOOKUP($E90,Hybrid!$1:$1048576,AJ$2,FALSE)</f>
        <v>10.373735099999999</v>
      </c>
      <c r="AK90" s="73">
        <f>+VLOOKUP($E90,Hybrid!$1:$1048576,AK$2,FALSE)</f>
        <v>10.55775465</v>
      </c>
      <c r="AL90" s="73">
        <f>+VLOOKUP($E90,Hybrid!$1:$1048576,AL$2,FALSE)</f>
        <v>10.74895285</v>
      </c>
      <c r="AM90" s="73">
        <f>+VLOOKUP($E90,Hybrid!$1:$1048576,AM$2,FALSE)</f>
        <v>10.948057520000001</v>
      </c>
      <c r="AN90" s="73">
        <f>+VLOOKUP($E90,Hybrid!$1:$1048576,AN$2,FALSE)</f>
        <v>11.15584928</v>
      </c>
      <c r="AO90" s="73">
        <f>+VLOOKUP($E90,Hybrid!$1:$1048576,AO$2,FALSE)</f>
        <v>11.37316521</v>
      </c>
      <c r="AP90" s="73"/>
      <c r="AQ90" s="73"/>
    </row>
    <row r="91" spans="1:43" ht="15" customHeight="1" x14ac:dyDescent="0.25">
      <c r="A91" s="316"/>
      <c r="B91" s="315"/>
      <c r="C91" s="171"/>
      <c r="D91" s="124" t="s">
        <v>542</v>
      </c>
      <c r="E91" s="46" t="s">
        <v>439</v>
      </c>
      <c r="F91" s="73">
        <f>+VLOOKUP($E91,Hybrid!$1:$1048576,F$2,FALSE)</f>
        <v>3.246572</v>
      </c>
      <c r="G91" s="73">
        <f>+VLOOKUP($E91,Hybrid!$1:$1048576,G$2,FALSE)</f>
        <v>3.6741607209999998</v>
      </c>
      <c r="H91" s="73">
        <f>+VLOOKUP($E91,Hybrid!$1:$1048576,H$2,FALSE)</f>
        <v>3.985040852</v>
      </c>
      <c r="I91" s="73">
        <f>+VLOOKUP($E91,Hybrid!$1:$1048576,I$2,FALSE)</f>
        <v>4.215406786</v>
      </c>
      <c r="J91" s="73">
        <f>+VLOOKUP($E91,Hybrid!$1:$1048576,J$2,FALSE)</f>
        <v>4.3921338710000004</v>
      </c>
      <c r="K91" s="73">
        <f>+VLOOKUP($E91,Hybrid!$1:$1048576,K$2,FALSE)</f>
        <v>4.5339664730000004</v>
      </c>
      <c r="L91" s="73">
        <f>+VLOOKUP($E91,Hybrid!$1:$1048576,L$2,FALSE)</f>
        <v>4.6533530870000002</v>
      </c>
      <c r="M91" s="73">
        <f>+VLOOKUP($E91,Hybrid!$1:$1048576,M$2,FALSE)</f>
        <v>4.7582905110000002</v>
      </c>
      <c r="N91" s="73">
        <f>+VLOOKUP($E91,Hybrid!$1:$1048576,N$2,FALSE)</f>
        <v>4.8538192130000004</v>
      </c>
      <c r="O91" s="73">
        <f>+VLOOKUP($E91,Hybrid!$1:$1048576,O$2,FALSE)</f>
        <v>4.9430977260000004</v>
      </c>
      <c r="P91" s="73">
        <f>+VLOOKUP($E91,Hybrid!$1:$1048576,P$2,FALSE)</f>
        <v>5.0281186770000001</v>
      </c>
      <c r="Q91" s="73">
        <f>+VLOOKUP($E91,Hybrid!$1:$1048576,Q$2,FALSE)</f>
        <v>5.1101629969999998</v>
      </c>
      <c r="R91" s="73">
        <f>+VLOOKUP($E91,Hybrid!$1:$1048576,R$2,FALSE)</f>
        <v>5.1900789439999997</v>
      </c>
      <c r="S91" s="73">
        <f>+VLOOKUP($E91,Hybrid!$1:$1048576,S$2,FALSE)</f>
        <v>5.268450348</v>
      </c>
      <c r="T91" s="73">
        <f>+VLOOKUP($E91,Hybrid!$1:$1048576,T$2,FALSE)</f>
        <v>5.3456978929999996</v>
      </c>
      <c r="U91" s="73">
        <f>+VLOOKUP($E91,Hybrid!$1:$1048576,U$2,FALSE)</f>
        <v>5.4221402220000003</v>
      </c>
      <c r="V91" s="73">
        <f>+VLOOKUP($E91,Hybrid!$1:$1048576,V$2,FALSE)</f>
        <v>5.4980320989999996</v>
      </c>
      <c r="W91" s="73">
        <f>+VLOOKUP($E91,Hybrid!$1:$1048576,W$2,FALSE)</f>
        <v>5.5735891390000001</v>
      </c>
      <c r="X91" s="73">
        <f>+VLOOKUP($E91,Hybrid!$1:$1048576,X$2,FALSE)</f>
        <v>5.6490045139999996</v>
      </c>
      <c r="Y91" s="73">
        <f>+VLOOKUP($E91,Hybrid!$1:$1048576,Y$2,FALSE)</f>
        <v>5.7244605389999998</v>
      </c>
      <c r="Z91" s="73">
        <f>+VLOOKUP($E91,Hybrid!$1:$1048576,Z$2,FALSE)</f>
        <v>5.8001369179999998</v>
      </c>
      <c r="AA91" s="73">
        <f>+VLOOKUP($E91,Hybrid!$1:$1048576,AA$2,FALSE)</f>
        <v>5.8762168060000004</v>
      </c>
      <c r="AB91" s="73">
        <f>+VLOOKUP($E91,Hybrid!$1:$1048576,AB$2,FALSE)</f>
        <v>5.9528913379999997</v>
      </c>
      <c r="AC91" s="73">
        <f>+VLOOKUP($E91,Hybrid!$1:$1048576,AC$2,FALSE)</f>
        <v>6.0303630559999997</v>
      </c>
      <c r="AD91" s="73">
        <f>+VLOOKUP($E91,Hybrid!$1:$1048576,AD$2,FALSE)</f>
        <v>6.1088484730000001</v>
      </c>
      <c r="AE91" s="73">
        <f>+VLOOKUP($E91,Hybrid!$1:$1048576,AE$2,FALSE)</f>
        <v>6.1885799949999996</v>
      </c>
      <c r="AF91" s="73">
        <f>+VLOOKUP($E91,Hybrid!$1:$1048576,AF$2,FALSE)</f>
        <v>6.2698073489999997</v>
      </c>
      <c r="AG91" s="73">
        <f>+VLOOKUP($E91,Hybrid!$1:$1048576,AG$2,FALSE)</f>
        <v>6.3527986749999998</v>
      </c>
      <c r="AH91" s="73">
        <f>+VLOOKUP($E91,Hybrid!$1:$1048576,AH$2,FALSE)</f>
        <v>6.4378413950000004</v>
      </c>
      <c r="AI91" s="73">
        <f>+VLOOKUP($E91,Hybrid!$1:$1048576,AI$2,FALSE)</f>
        <v>6.5252429709999999</v>
      </c>
      <c r="AJ91" s="73">
        <f>+VLOOKUP($E91,Hybrid!$1:$1048576,AJ$2,FALSE)</f>
        <v>6.6153316350000004</v>
      </c>
      <c r="AK91" s="73">
        <f>+VLOOKUP($E91,Hybrid!$1:$1048576,AK$2,FALSE)</f>
        <v>6.7084571510000002</v>
      </c>
      <c r="AL91" s="73">
        <f>+VLOOKUP($E91,Hybrid!$1:$1048576,AL$2,FALSE)</f>
        <v>6.8049916709999998</v>
      </c>
      <c r="AM91" s="73">
        <f>+VLOOKUP($E91,Hybrid!$1:$1048576,AM$2,FALSE)</f>
        <v>6.9053307029999997</v>
      </c>
      <c r="AN91" s="73">
        <f>+VLOOKUP($E91,Hybrid!$1:$1048576,AN$2,FALSE)</f>
        <v>7.0098942400000004</v>
      </c>
      <c r="AO91" s="73">
        <f>+VLOOKUP($E91,Hybrid!$1:$1048576,AO$2,FALSE)</f>
        <v>7.1191280270000004</v>
      </c>
      <c r="AP91" s="73"/>
      <c r="AQ91" s="73"/>
    </row>
    <row r="92" spans="1:43" ht="15" customHeight="1" x14ac:dyDescent="0.25">
      <c r="A92" s="316"/>
      <c r="B92" s="315"/>
      <c r="C92" s="171"/>
      <c r="D92" s="124" t="s">
        <v>543</v>
      </c>
      <c r="E92" s="46" t="s">
        <v>440</v>
      </c>
      <c r="F92" s="73">
        <f>+VLOOKUP($E92,Hybrid!$1:$1048576,F$2,FALSE)</f>
        <v>1.7994298</v>
      </c>
      <c r="G92" s="73">
        <f>+VLOOKUP($E92,Hybrid!$1:$1048576,G$2,FALSE)</f>
        <v>2.0253384040000002</v>
      </c>
      <c r="H92" s="73">
        <f>+VLOOKUP($E92,Hybrid!$1:$1048576,H$2,FALSE)</f>
        <v>2.1782907890000001</v>
      </c>
      <c r="I92" s="73">
        <f>+VLOOKUP($E92,Hybrid!$1:$1048576,I$2,FALSE)</f>
        <v>2.2809357260000001</v>
      </c>
      <c r="J92" s="73">
        <f>+VLOOKUP($E92,Hybrid!$1:$1048576,J$2,FALSE)</f>
        <v>2.349933112</v>
      </c>
      <c r="K92" s="73">
        <f>+VLOOKUP($E92,Hybrid!$1:$1048576,K$2,FALSE)</f>
        <v>2.3967535899999999</v>
      </c>
      <c r="L92" s="73">
        <f>+VLOOKUP($E92,Hybrid!$1:$1048576,L$2,FALSE)</f>
        <v>2.4289281410000001</v>
      </c>
      <c r="M92" s="73">
        <f>+VLOOKUP($E92,Hybrid!$1:$1048576,M$2,FALSE)</f>
        <v>2.451246169</v>
      </c>
      <c r="N92" s="73">
        <f>+VLOOKUP($E92,Hybrid!$1:$1048576,N$2,FALSE)</f>
        <v>2.4666971549999999</v>
      </c>
      <c r="O92" s="73">
        <f>+VLOOKUP($E92,Hybrid!$1:$1048576,O$2,FALSE)</f>
        <v>2.4771350679999999</v>
      </c>
      <c r="P92" s="73">
        <f>+VLOOKUP($E92,Hybrid!$1:$1048576,P$2,FALSE)</f>
        <v>2.4837166389999998</v>
      </c>
      <c r="Q92" s="73">
        <f>+VLOOKUP($E92,Hybrid!$1:$1048576,Q$2,FALSE)</f>
        <v>2.4871775180000002</v>
      </c>
      <c r="R92" s="73">
        <f>+VLOOKUP($E92,Hybrid!$1:$1048576,R$2,FALSE)</f>
        <v>2.4880007370000001</v>
      </c>
      <c r="S92" s="73">
        <f>+VLOOKUP($E92,Hybrid!$1:$1048576,S$2,FALSE)</f>
        <v>2.4865171739999998</v>
      </c>
      <c r="T92" s="73">
        <f>+VLOOKUP($E92,Hybrid!$1:$1048576,T$2,FALSE)</f>
        <v>2.4829648199999999</v>
      </c>
      <c r="U92" s="73">
        <f>+VLOOKUP($E92,Hybrid!$1:$1048576,U$2,FALSE)</f>
        <v>2.4775235430000002</v>
      </c>
      <c r="V92" s="73">
        <f>+VLOOKUP($E92,Hybrid!$1:$1048576,V$2,FALSE)</f>
        <v>2.470335876</v>
      </c>
      <c r="W92" s="73">
        <f>+VLOOKUP($E92,Hybrid!$1:$1048576,W$2,FALSE)</f>
        <v>2.461519784</v>
      </c>
      <c r="X92" s="73">
        <f>+VLOOKUP($E92,Hybrid!$1:$1048576,X$2,FALSE)</f>
        <v>2.4511767899999999</v>
      </c>
      <c r="Y92" s="73">
        <f>+VLOOKUP($E92,Hybrid!$1:$1048576,Y$2,FALSE)</f>
        <v>2.4393973569999998</v>
      </c>
      <c r="Z92" s="73">
        <f>+VLOOKUP($E92,Hybrid!$1:$1048576,Z$2,FALSE)</f>
        <v>2.4262645389999999</v>
      </c>
      <c r="AA92" s="73">
        <f>+VLOOKUP($E92,Hybrid!$1:$1048576,AA$2,FALSE)</f>
        <v>2.4118565479999998</v>
      </c>
      <c r="AB92" s="73">
        <f>+VLOOKUP($E92,Hybrid!$1:$1048576,AB$2,FALSE)</f>
        <v>2.3962485290000002</v>
      </c>
      <c r="AC92" s="73">
        <f>+VLOOKUP($E92,Hybrid!$1:$1048576,AC$2,FALSE)</f>
        <v>2.3795137770000001</v>
      </c>
      <c r="AD92" s="73">
        <f>+VLOOKUP($E92,Hybrid!$1:$1048576,AD$2,FALSE)</f>
        <v>2.3617245229999999</v>
      </c>
      <c r="AE92" s="73">
        <f>+VLOOKUP($E92,Hybrid!$1:$1048576,AE$2,FALSE)</f>
        <v>2.3429523790000002</v>
      </c>
      <c r="AF92" s="73">
        <f>+VLOOKUP($E92,Hybrid!$1:$1048576,AF$2,FALSE)</f>
        <v>2.3232685449999999</v>
      </c>
      <c r="AG92" s="73">
        <f>+VLOOKUP($E92,Hybrid!$1:$1048576,AG$2,FALSE)</f>
        <v>2.3027438409999998</v>
      </c>
      <c r="AH92" s="73">
        <f>+VLOOKUP($E92,Hybrid!$1:$1048576,AH$2,FALSE)</f>
        <v>2.281448621</v>
      </c>
      <c r="AI92" s="73">
        <f>+VLOOKUP($E92,Hybrid!$1:$1048576,AI$2,FALSE)</f>
        <v>2.2594526250000002</v>
      </c>
      <c r="AJ92" s="73">
        <f>+VLOOKUP($E92,Hybrid!$1:$1048576,AJ$2,FALSE)</f>
        <v>2.2368247979999998</v>
      </c>
      <c r="AK92" s="73">
        <f>+VLOOKUP($E92,Hybrid!$1:$1048576,AK$2,FALSE)</f>
        <v>2.2136331149999999</v>
      </c>
      <c r="AL92" s="73">
        <f>+VLOOKUP($E92,Hybrid!$1:$1048576,AL$2,FALSE)</f>
        <v>2.1899444039999998</v>
      </c>
      <c r="AM92" s="73">
        <f>+VLOOKUP($E92,Hybrid!$1:$1048576,AM$2,FALSE)</f>
        <v>2.1658242140000001</v>
      </c>
      <c r="AN92" s="73">
        <f>+VLOOKUP($E92,Hybrid!$1:$1048576,AN$2,FALSE)</f>
        <v>2.1413366960000002</v>
      </c>
      <c r="AO92" s="73">
        <f>+VLOOKUP($E92,Hybrid!$1:$1048576,AO$2,FALSE)</f>
        <v>2.1165445169999999</v>
      </c>
      <c r="AP92" s="73"/>
      <c r="AQ92" s="73"/>
    </row>
    <row r="93" spans="1:43" ht="15" customHeight="1" x14ac:dyDescent="0.25">
      <c r="A93" s="316"/>
      <c r="B93" s="315"/>
      <c r="C93" s="171"/>
      <c r="D93" s="124" t="s">
        <v>544</v>
      </c>
      <c r="E93" s="46" t="s">
        <v>441</v>
      </c>
      <c r="F93" s="73">
        <f>+VLOOKUP($E93,Hybrid!$1:$1048576,F$2,FALSE)</f>
        <v>1.1069429</v>
      </c>
      <c r="G93" s="73">
        <f>+VLOOKUP($E93,Hybrid!$1:$1048576,G$2,FALSE)</f>
        <v>1.239853415</v>
      </c>
      <c r="H93" s="73">
        <f>+VLOOKUP($E93,Hybrid!$1:$1048576,H$2,FALSE)</f>
        <v>1.323680945</v>
      </c>
      <c r="I93" s="73">
        <f>+VLOOKUP($E93,Hybrid!$1:$1048576,I$2,FALSE)</f>
        <v>1.3740546629999999</v>
      </c>
      <c r="J93" s="73">
        <f>+VLOOKUP($E93,Hybrid!$1:$1048576,J$2,FALSE)</f>
        <v>1.4023552800000001</v>
      </c>
      <c r="K93" s="73">
        <f>+VLOOKUP($E93,Hybrid!$1:$1048576,K$2,FALSE)</f>
        <v>1.416291113</v>
      </c>
      <c r="L93" s="73">
        <f>+VLOOKUP($E93,Hybrid!$1:$1048576,L$2,FALSE)</f>
        <v>1.4208362919999999</v>
      </c>
      <c r="M93" s="73">
        <f>+VLOOKUP($E93,Hybrid!$1:$1048576,M$2,FALSE)</f>
        <v>1.4191046329999999</v>
      </c>
      <c r="N93" s="73">
        <f>+VLOOKUP($E93,Hybrid!$1:$1048576,N$2,FALSE)</f>
        <v>1.4130160089999999</v>
      </c>
      <c r="O93" s="73">
        <f>+VLOOKUP($E93,Hybrid!$1:$1048576,O$2,FALSE)</f>
        <v>1.4037535969999999</v>
      </c>
      <c r="P93" s="73">
        <f>+VLOOKUP($E93,Hybrid!$1:$1048576,P$2,FALSE)</f>
        <v>1.392057707</v>
      </c>
      <c r="Q93" s="73">
        <f>+VLOOKUP($E93,Hybrid!$1:$1048576,Q$2,FALSE)</f>
        <v>1.378406325</v>
      </c>
      <c r="R93" s="73">
        <f>+VLOOKUP($E93,Hybrid!$1:$1048576,R$2,FALSE)</f>
        <v>1.36312258</v>
      </c>
      <c r="S93" s="73">
        <f>+VLOOKUP($E93,Hybrid!$1:$1048576,S$2,FALSE)</f>
        <v>1.346437366</v>
      </c>
      <c r="T93" s="73">
        <f>+VLOOKUP($E93,Hybrid!$1:$1048576,T$2,FALSE)</f>
        <v>1.3285254550000001</v>
      </c>
      <c r="U93" s="73">
        <f>+VLOOKUP($E93,Hybrid!$1:$1048576,U$2,FALSE)</f>
        <v>1.3095263420000001</v>
      </c>
      <c r="V93" s="73">
        <f>+VLOOKUP($E93,Hybrid!$1:$1048576,V$2,FALSE)</f>
        <v>1.2895565259999999</v>
      </c>
      <c r="W93" s="73">
        <f>+VLOOKUP($E93,Hybrid!$1:$1048576,W$2,FALSE)</f>
        <v>1.268716996</v>
      </c>
      <c r="X93" s="73">
        <f>+VLOOKUP($E93,Hybrid!$1:$1048576,X$2,FALSE)</f>
        <v>1.247097986</v>
      </c>
      <c r="Y93" s="73">
        <f>+VLOOKUP($E93,Hybrid!$1:$1048576,Y$2,FALSE)</f>
        <v>1.2247820869999999</v>
      </c>
      <c r="Z93" s="73">
        <f>+VLOOKUP($E93,Hybrid!$1:$1048576,Z$2,FALSE)</f>
        <v>1.2018463530000001</v>
      </c>
      <c r="AA93" s="73">
        <f>+VLOOKUP($E93,Hybrid!$1:$1048576,AA$2,FALSE)</f>
        <v>1.1783637259999999</v>
      </c>
      <c r="AB93" s="73">
        <f>+VLOOKUP($E93,Hybrid!$1:$1048576,AB$2,FALSE)</f>
        <v>1.1544039960000001</v>
      </c>
      <c r="AC93" s="73">
        <f>+VLOOKUP($E93,Hybrid!$1:$1048576,AC$2,FALSE)</f>
        <v>1.130034411</v>
      </c>
      <c r="AD93" s="73">
        <f>+VLOOKUP($E93,Hybrid!$1:$1048576,AD$2,FALSE)</f>
        <v>1.105320036</v>
      </c>
      <c r="AE93" s="73">
        <f>+VLOOKUP($E93,Hybrid!$1:$1048576,AE$2,FALSE)</f>
        <v>1.0803239069999999</v>
      </c>
      <c r="AF93" s="73">
        <f>+VLOOKUP($E93,Hybrid!$1:$1048576,AF$2,FALSE)</f>
        <v>1.05510707</v>
      </c>
      <c r="AG93" s="73">
        <f>+VLOOKUP($E93,Hybrid!$1:$1048576,AG$2,FALSE)</f>
        <v>1.029728516</v>
      </c>
      <c r="AH93" s="73">
        <f>+VLOOKUP($E93,Hybrid!$1:$1048576,AH$2,FALSE)</f>
        <v>1.00424508</v>
      </c>
      <c r="AI93" s="73">
        <f>+VLOOKUP($E93,Hybrid!$1:$1048576,AI$2,FALSE)</f>
        <v>0.97871131050000004</v>
      </c>
      <c r="AJ93" s="73">
        <f>+VLOOKUP($E93,Hybrid!$1:$1048576,AJ$2,FALSE)</f>
        <v>0.95317934530000004</v>
      </c>
      <c r="AK93" s="73">
        <f>+VLOOKUP($E93,Hybrid!$1:$1048576,AK$2,FALSE)</f>
        <v>0.92769879769999997</v>
      </c>
      <c r="AL93" s="73">
        <f>+VLOOKUP($E93,Hybrid!$1:$1048576,AL$2,FALSE)</f>
        <v>0.90231666529999999</v>
      </c>
      <c r="AM93" s="73">
        <f>+VLOOKUP($E93,Hybrid!$1:$1048576,AM$2,FALSE)</f>
        <v>0.8770772644</v>
      </c>
      <c r="AN93" s="73">
        <f>+VLOOKUP($E93,Hybrid!$1:$1048576,AN$2,FALSE)</f>
        <v>0.85202218900000004</v>
      </c>
      <c r="AO93" s="73">
        <f>+VLOOKUP($E93,Hybrid!$1:$1048576,AO$2,FALSE)</f>
        <v>0.8271902927</v>
      </c>
      <c r="AP93" s="73"/>
      <c r="AQ93" s="73"/>
    </row>
    <row r="94" spans="1:43" ht="15" customHeight="1" x14ac:dyDescent="0.25">
      <c r="A94" s="316"/>
      <c r="B94" s="315"/>
      <c r="C94" s="171"/>
      <c r="D94" s="124" t="s">
        <v>545</v>
      </c>
      <c r="E94" s="46" t="s">
        <v>442</v>
      </c>
      <c r="F94" s="73">
        <f>+VLOOKUP($E94,Hybrid!$1:$1048576,F$2,FALSE)</f>
        <v>0.53533900000000001</v>
      </c>
      <c r="G94" s="73">
        <f>+VLOOKUP($E94,Hybrid!$1:$1048576,G$2,FALSE)</f>
        <v>0.5893110828</v>
      </c>
      <c r="H94" s="73">
        <f>+VLOOKUP($E94,Hybrid!$1:$1048576,H$2,FALSE)</f>
        <v>0.61282441980000002</v>
      </c>
      <c r="I94" s="73">
        <f>+VLOOKUP($E94,Hybrid!$1:$1048576,I$2,FALSE)</f>
        <v>0.61658713320000003</v>
      </c>
      <c r="J94" s="73">
        <f>+VLOOKUP($E94,Hybrid!$1:$1048576,J$2,FALSE)</f>
        <v>0.6081774875</v>
      </c>
      <c r="K94" s="73">
        <f>+VLOOKUP($E94,Hybrid!$1:$1048576,K$2,FALSE)</f>
        <v>0.59252181169999996</v>
      </c>
      <c r="L94" s="73">
        <f>+VLOOKUP($E94,Hybrid!$1:$1048576,L$2,FALSE)</f>
        <v>0.57266692090000004</v>
      </c>
      <c r="M94" s="73">
        <f>+VLOOKUP($E94,Hybrid!$1:$1048576,M$2,FALSE)</f>
        <v>0.55044725279999995</v>
      </c>
      <c r="N94" s="73">
        <f>+VLOOKUP($E94,Hybrid!$1:$1048576,N$2,FALSE)</f>
        <v>0.52695879830000003</v>
      </c>
      <c r="O94" s="73">
        <f>+VLOOKUP($E94,Hybrid!$1:$1048576,O$2,FALSE)</f>
        <v>0.50286382620000003</v>
      </c>
      <c r="P94" s="73">
        <f>+VLOOKUP($E94,Hybrid!$1:$1048576,P$2,FALSE)</f>
        <v>0.47857500949999998</v>
      </c>
      <c r="Q94" s="73">
        <f>+VLOOKUP($E94,Hybrid!$1:$1048576,Q$2,FALSE)</f>
        <v>0.45436196159999998</v>
      </c>
      <c r="R94" s="73">
        <f>+VLOOKUP($E94,Hybrid!$1:$1048576,R$2,FALSE)</f>
        <v>0.430410986</v>
      </c>
      <c r="S94" s="73">
        <f>+VLOOKUP($E94,Hybrid!$1:$1048576,S$2,FALSE)</f>
        <v>0.40685793790000002</v>
      </c>
      <c r="T94" s="73">
        <f>+VLOOKUP($E94,Hybrid!$1:$1048576,T$2,FALSE)</f>
        <v>0.38380618840000003</v>
      </c>
      <c r="U94" s="73">
        <f>+VLOOKUP($E94,Hybrid!$1:$1048576,U$2,FALSE)</f>
        <v>0.36133660169999998</v>
      </c>
      <c r="V94" s="73">
        <f>+VLOOKUP($E94,Hybrid!$1:$1048576,V$2,FALSE)</f>
        <v>0.3395133011</v>
      </c>
      <c r="W94" s="73">
        <f>+VLOOKUP($E94,Hybrid!$1:$1048576,W$2,FALSE)</f>
        <v>0.31838722959999999</v>
      </c>
      <c r="X94" s="73">
        <f>+VLOOKUP($E94,Hybrid!$1:$1048576,X$2,FALSE)</f>
        <v>0.29799851620000001</v>
      </c>
      <c r="Y94" s="73">
        <f>+VLOOKUP($E94,Hybrid!$1:$1048576,Y$2,FALSE)</f>
        <v>0.27837815589999998</v>
      </c>
      <c r="Z94" s="73">
        <f>+VLOOKUP($E94,Hybrid!$1:$1048576,Z$2,FALSE)</f>
        <v>0.25954926810000001</v>
      </c>
      <c r="AA94" s="73">
        <f>+VLOOKUP($E94,Hybrid!$1:$1048576,AA$2,FALSE)</f>
        <v>0.24152807370000001</v>
      </c>
      <c r="AB94" s="73">
        <f>+VLOOKUP($E94,Hybrid!$1:$1048576,AB$2,FALSE)</f>
        <v>0.22432467549999999</v>
      </c>
      <c r="AC94" s="73">
        <f>+VLOOKUP($E94,Hybrid!$1:$1048576,AC$2,FALSE)</f>
        <v>0.20794369679999999</v>
      </c>
      <c r="AD94" s="73">
        <f>+VLOOKUP($E94,Hybrid!$1:$1048576,AD$2,FALSE)</f>
        <v>0.19238482160000001</v>
      </c>
      <c r="AE94" s="73">
        <f>+VLOOKUP($E94,Hybrid!$1:$1048576,AE$2,FALSE)</f>
        <v>0.17764326599999999</v>
      </c>
      <c r="AF94" s="73">
        <f>+VLOOKUP($E94,Hybrid!$1:$1048576,AF$2,FALSE)</f>
        <v>0.163710206</v>
      </c>
      <c r="AG94" s="73">
        <f>+VLOOKUP($E94,Hybrid!$1:$1048576,AG$2,FALSE)</f>
        <v>0.15057317680000001</v>
      </c>
      <c r="AH94" s="73">
        <f>+VLOOKUP($E94,Hybrid!$1:$1048576,AH$2,FALSE)</f>
        <v>0.1382164562</v>
      </c>
      <c r="AI94" s="73">
        <f>+VLOOKUP($E94,Hybrid!$1:$1048576,AI$2,FALSE)</f>
        <v>0.1266214363</v>
      </c>
      <c r="AJ94" s="73">
        <f>+VLOOKUP($E94,Hybrid!$1:$1048576,AJ$2,FALSE)</f>
        <v>0.1157669871</v>
      </c>
      <c r="AK94" s="73">
        <f>+VLOOKUP($E94,Hybrid!$1:$1048576,AK$2,FALSE)</f>
        <v>0.1056298111</v>
      </c>
      <c r="AL94" s="73">
        <f>+VLOOKUP($E94,Hybrid!$1:$1048576,AL$2,FALSE)</f>
        <v>9.6184787899999999E-2</v>
      </c>
      <c r="AM94" s="73">
        <f>+VLOOKUP($E94,Hybrid!$1:$1048576,AM$2,FALSE)</f>
        <v>8.7405305000000003E-2</v>
      </c>
      <c r="AN94" s="73">
        <f>+VLOOKUP($E94,Hybrid!$1:$1048576,AN$2,FALSE)</f>
        <v>7.9263574899999995E-2</v>
      </c>
      <c r="AO94" s="73">
        <f>+VLOOKUP($E94,Hybrid!$1:$1048576,AO$2,FALSE)</f>
        <v>7.1730932400000003E-2</v>
      </c>
      <c r="AP94" s="73"/>
      <c r="AQ94" s="73"/>
    </row>
    <row r="95" spans="1:43" ht="15" customHeight="1" x14ac:dyDescent="0.25">
      <c r="A95" s="316"/>
      <c r="B95" s="315"/>
      <c r="C95" s="171"/>
      <c r="D95" s="124" t="s">
        <v>546</v>
      </c>
      <c r="E95" s="46" t="s">
        <v>443</v>
      </c>
      <c r="F95" s="73">
        <f>+VLOOKUP($E95,Hybrid!$1:$1048576,F$2,FALSE)</f>
        <v>1.0050558000000001</v>
      </c>
      <c r="G95" s="73">
        <f>+VLOOKUP($E95,Hybrid!$1:$1048576,G$2,FALSE)</f>
        <v>1.0897478890000001</v>
      </c>
      <c r="H95" s="73">
        <f>+VLOOKUP($E95,Hybrid!$1:$1048576,H$2,FALSE)</f>
        <v>1.10764266</v>
      </c>
      <c r="I95" s="73">
        <f>+VLOOKUP($E95,Hybrid!$1:$1048576,I$2,FALSE)</f>
        <v>1.084658374</v>
      </c>
      <c r="J95" s="73">
        <f>+VLOOKUP($E95,Hybrid!$1:$1048576,J$2,FALSE)</f>
        <v>1.0386500750000001</v>
      </c>
      <c r="K95" s="73">
        <f>+VLOOKUP($E95,Hybrid!$1:$1048576,K$2,FALSE)</f>
        <v>0.98080334359999999</v>
      </c>
      <c r="L95" s="73">
        <f>+VLOOKUP($E95,Hybrid!$1:$1048576,L$2,FALSE)</f>
        <v>0.91774014049999997</v>
      </c>
      <c r="M95" s="73">
        <f>+VLOOKUP($E95,Hybrid!$1:$1048576,M$2,FALSE)</f>
        <v>0.85324779309999998</v>
      </c>
      <c r="N95" s="73">
        <f>+VLOOKUP($E95,Hybrid!$1:$1048576,N$2,FALSE)</f>
        <v>0.78945111030000004</v>
      </c>
      <c r="O95" s="73">
        <f>+VLOOKUP($E95,Hybrid!$1:$1048576,O$2,FALSE)</f>
        <v>0.72753266760000002</v>
      </c>
      <c r="P95" s="73">
        <f>+VLOOKUP($E95,Hybrid!$1:$1048576,P$2,FALSE)</f>
        <v>0.66814920509999998</v>
      </c>
      <c r="Q95" s="73">
        <f>+VLOOKUP($E95,Hybrid!$1:$1048576,Q$2,FALSE)</f>
        <v>0.61166259769999998</v>
      </c>
      <c r="R95" s="73">
        <f>+VLOOKUP($E95,Hybrid!$1:$1048576,R$2,FALSE)</f>
        <v>0.55826463120000003</v>
      </c>
      <c r="S95" s="73">
        <f>+VLOOKUP($E95,Hybrid!$1:$1048576,S$2,FALSE)</f>
        <v>0.50804377440000004</v>
      </c>
      <c r="T95" s="73">
        <f>+VLOOKUP($E95,Hybrid!$1:$1048576,T$2,FALSE)</f>
        <v>0.4610214165</v>
      </c>
      <c r="U95" s="73">
        <f>+VLOOKUP($E95,Hybrid!$1:$1048576,U$2,FALSE)</f>
        <v>0.41717243970000001</v>
      </c>
      <c r="V95" s="73">
        <f>+VLOOKUP($E95,Hybrid!$1:$1048576,V$2,FALSE)</f>
        <v>0.37643782679999999</v>
      </c>
      <c r="W95" s="73">
        <f>+VLOOKUP($E95,Hybrid!$1:$1048576,W$2,FALSE)</f>
        <v>0.33873313820000001</v>
      </c>
      <c r="X95" s="73">
        <f>+VLOOKUP($E95,Hybrid!$1:$1048576,X$2,FALSE)</f>
        <v>0.3039546984</v>
      </c>
      <c r="Y95" s="73">
        <f>+VLOOKUP($E95,Hybrid!$1:$1048576,Y$2,FALSE)</f>
        <v>0.27198438349999998</v>
      </c>
      <c r="Z95" s="73">
        <f>+VLOOKUP($E95,Hybrid!$1:$1048576,Z$2,FALSE)</f>
        <v>0.2426934627</v>
      </c>
      <c r="AA95" s="73">
        <f>+VLOOKUP($E95,Hybrid!$1:$1048576,AA$2,FALSE)</f>
        <v>0.2159457451</v>
      </c>
      <c r="AB95" s="73">
        <f>+VLOOKUP($E95,Hybrid!$1:$1048576,AB$2,FALSE)</f>
        <v>0.19160019289999999</v>
      </c>
      <c r="AC95" s="73">
        <f>+VLOOKUP($E95,Hybrid!$1:$1048576,AC$2,FALSE)</f>
        <v>0.1695131081</v>
      </c>
      <c r="AD95" s="73">
        <f>+VLOOKUP($E95,Hybrid!$1:$1048576,AD$2,FALSE)</f>
        <v>0.14953997860000001</v>
      </c>
      <c r="AE95" s="73">
        <f>+VLOOKUP($E95,Hybrid!$1:$1048576,AE$2,FALSE)</f>
        <v>0.1315370431</v>
      </c>
      <c r="AF95" s="73">
        <f>+VLOOKUP($E95,Hybrid!$1:$1048576,AF$2,FALSE)</f>
        <v>0.1153626219</v>
      </c>
      <c r="AG95" s="73">
        <f>+VLOOKUP($E95,Hybrid!$1:$1048576,AG$2,FALSE)</f>
        <v>0.10087824519999999</v>
      </c>
      <c r="AH95" s="73">
        <f>+VLOOKUP($E95,Hybrid!$1:$1048576,AH$2,FALSE)</f>
        <v>8.7949602000000002E-2</v>
      </c>
      <c r="AI95" s="73">
        <f>+VLOOKUP($E95,Hybrid!$1:$1048576,AI$2,FALSE)</f>
        <v>7.6447326699999998E-2</v>
      </c>
      <c r="AJ95" s="73">
        <f>+VLOOKUP($E95,Hybrid!$1:$1048576,AJ$2,FALSE)</f>
        <v>6.6247633700000003E-2</v>
      </c>
      <c r="AK95" s="73">
        <f>+VLOOKUP($E95,Hybrid!$1:$1048576,AK$2,FALSE)</f>
        <v>5.7232814399999998E-2</v>
      </c>
      <c r="AL95" s="73">
        <f>+VLOOKUP($E95,Hybrid!$1:$1048576,AL$2,FALSE)</f>
        <v>4.9291601499999997E-2</v>
      </c>
      <c r="AM95" s="73">
        <f>+VLOOKUP($E95,Hybrid!$1:$1048576,AM$2,FALSE)</f>
        <v>4.2319416200000001E-2</v>
      </c>
      <c r="AN95" s="73">
        <f>+VLOOKUP($E95,Hybrid!$1:$1048576,AN$2,FALSE)</f>
        <v>3.6218503700000002E-2</v>
      </c>
      <c r="AO95" s="73">
        <f>+VLOOKUP($E95,Hybrid!$1:$1048576,AO$2,FALSE)</f>
        <v>3.0897972499999999E-2</v>
      </c>
      <c r="AP95" s="73"/>
      <c r="AQ95" s="73"/>
    </row>
    <row r="96" spans="1:43" s="111" customFormat="1" ht="15" customHeight="1" x14ac:dyDescent="0.25">
      <c r="A96" s="316"/>
      <c r="B96" s="315"/>
      <c r="C96" s="122" t="s">
        <v>824</v>
      </c>
      <c r="D96" s="122"/>
      <c r="E96" s="91" t="s">
        <v>444</v>
      </c>
      <c r="F96" s="111">
        <f>+VLOOKUP($E96,Hybrid!$1:$1048576,F$2,FALSE)</f>
        <v>0.157</v>
      </c>
      <c r="G96" s="111">
        <f>+VLOOKUP($E96,Hybrid!$1:$1048576,G$2,FALSE)</f>
        <v>0.17703847780000001</v>
      </c>
      <c r="H96" s="111">
        <f>+VLOOKUP($E96,Hybrid!$1:$1048576,H$2,FALSE)</f>
        <v>0.1909769674</v>
      </c>
      <c r="I96" s="111">
        <f>+VLOOKUP($E96,Hybrid!$1:$1048576,I$2,FALSE)</f>
        <v>0.2007193394</v>
      </c>
      <c r="J96" s="111">
        <f>+VLOOKUP($E96,Hybrid!$1:$1048576,J$2,FALSE)</f>
        <v>0.2076688347</v>
      </c>
      <c r="K96" s="111">
        <f>+VLOOKUP($E96,Hybrid!$1:$1048576,K$2,FALSE)</f>
        <v>0.21280023040000001</v>
      </c>
      <c r="L96" s="111">
        <f>+VLOOKUP($E96,Hybrid!$1:$1048576,L$2,FALSE)</f>
        <v>0.21676151269999999</v>
      </c>
      <c r="M96" s="111">
        <f>+VLOOKUP($E96,Hybrid!$1:$1048576,M$2,FALSE)</f>
        <v>0.219970422</v>
      </c>
      <c r="N96" s="111">
        <f>+VLOOKUP($E96,Hybrid!$1:$1048576,N$2,FALSE)</f>
        <v>0.222690991</v>
      </c>
      <c r="O96" s="111">
        <f>+VLOOKUP($E96,Hybrid!$1:$1048576,O$2,FALSE)</f>
        <v>0.2250884169</v>
      </c>
      <c r="P96" s="111">
        <f>+VLOOKUP($E96,Hybrid!$1:$1048576,P$2,FALSE)</f>
        <v>0.22726599240000001</v>
      </c>
      <c r="Q96" s="111">
        <f>+VLOOKUP($E96,Hybrid!$1:$1048576,Q$2,FALSE)</f>
        <v>0.22928890430000001</v>
      </c>
      <c r="R96" s="111">
        <f>+VLOOKUP($E96,Hybrid!$1:$1048576,R$2,FALSE)</f>
        <v>0.2311990897</v>
      </c>
      <c r="S96" s="111">
        <f>+VLOOKUP($E96,Hybrid!$1:$1048576,S$2,FALSE)</f>
        <v>0.23302428880000001</v>
      </c>
      <c r="T96" s="111">
        <f>+VLOOKUP($E96,Hybrid!$1:$1048576,T$2,FALSE)</f>
        <v>0.2347834848</v>
      </c>
      <c r="U96" s="111">
        <f>+VLOOKUP($E96,Hybrid!$1:$1048576,U$2,FALSE)</f>
        <v>0.23649012629999999</v>
      </c>
      <c r="V96" s="111">
        <f>+VLOOKUP($E96,Hybrid!$1:$1048576,V$2,FALSE)</f>
        <v>0.23815405689999999</v>
      </c>
      <c r="W96" s="111">
        <f>+VLOOKUP($E96,Hybrid!$1:$1048576,W$2,FALSE)</f>
        <v>0.23978268759999999</v>
      </c>
      <c r="X96" s="111">
        <f>+VLOOKUP($E96,Hybrid!$1:$1048576,X$2,FALSE)</f>
        <v>0.2413817308</v>
      </c>
      <c r="Y96" s="111">
        <f>+VLOOKUP($E96,Hybrid!$1:$1048576,Y$2,FALSE)</f>
        <v>0.2429556809</v>
      </c>
      <c r="Z96" s="111">
        <f>+VLOOKUP($E96,Hybrid!$1:$1048576,Z$2,FALSE)</f>
        <v>0.2445081452</v>
      </c>
      <c r="AA96" s="111">
        <f>+VLOOKUP($E96,Hybrid!$1:$1048576,AA$2,FALSE)</f>
        <v>0.2460420804</v>
      </c>
      <c r="AB96" s="111">
        <f>+VLOOKUP($E96,Hybrid!$1:$1048576,AB$2,FALSE)</f>
        <v>0.24755996590000001</v>
      </c>
      <c r="AC96" s="111">
        <f>+VLOOKUP($E96,Hybrid!$1:$1048576,AC$2,FALSE)</f>
        <v>0.24906393099999999</v>
      </c>
      <c r="AD96" s="111">
        <f>+VLOOKUP($E96,Hybrid!$1:$1048576,AD$2,FALSE)</f>
        <v>0.25055584800000003</v>
      </c>
      <c r="AE96" s="111">
        <f>+VLOOKUP($E96,Hybrid!$1:$1048576,AE$2,FALSE)</f>
        <v>0.25203739730000002</v>
      </c>
      <c r="AF96" s="111">
        <f>+VLOOKUP($E96,Hybrid!$1:$1048576,AF$2,FALSE)</f>
        <v>0.25351011159999998</v>
      </c>
      <c r="AG96" s="111">
        <f>+VLOOKUP($E96,Hybrid!$1:$1048576,AG$2,FALSE)</f>
        <v>0.25497540439999999</v>
      </c>
      <c r="AH96" s="111">
        <f>+VLOOKUP($E96,Hybrid!$1:$1048576,AH$2,FALSE)</f>
        <v>0.25643458559999999</v>
      </c>
      <c r="AI96" s="111">
        <f>+VLOOKUP($E96,Hybrid!$1:$1048576,AI$2,FALSE)</f>
        <v>0.25788886909999997</v>
      </c>
      <c r="AJ96" s="111">
        <f>+VLOOKUP($E96,Hybrid!$1:$1048576,AJ$2,FALSE)</f>
        <v>0.25933937530000001</v>
      </c>
      <c r="AK96" s="111">
        <f>+VLOOKUP($E96,Hybrid!$1:$1048576,AK$2,FALSE)</f>
        <v>0.26078712970000001</v>
      </c>
      <c r="AL96" s="111">
        <f>+VLOOKUP($E96,Hybrid!$1:$1048576,AL$2,FALSE)</f>
        <v>0.26223306029999999</v>
      </c>
      <c r="AM96" s="111">
        <f>+VLOOKUP($E96,Hybrid!$1:$1048576,AM$2,FALSE)</f>
        <v>0.26367799510000001</v>
      </c>
      <c r="AN96" s="111">
        <f>+VLOOKUP($E96,Hybrid!$1:$1048576,AN$2,FALSE)</f>
        <v>0.26512265969999999</v>
      </c>
      <c r="AO96" s="111">
        <f>+VLOOKUP($E96,Hybrid!$1:$1048576,AO$2,FALSE)</f>
        <v>0.26656767599999998</v>
      </c>
    </row>
    <row r="97" spans="1:43" ht="15" customHeight="1" x14ac:dyDescent="0.25">
      <c r="A97" s="316"/>
      <c r="B97" s="315"/>
      <c r="C97" s="171"/>
      <c r="D97" s="124" t="s">
        <v>540</v>
      </c>
      <c r="E97" s="46" t="s">
        <v>445</v>
      </c>
      <c r="F97" s="73">
        <f>+VLOOKUP($E97,Hybrid!$1:$1048576,F$2,FALSE)</f>
        <v>4.4415299999999998E-2</v>
      </c>
      <c r="G97" s="73">
        <f>+VLOOKUP($E97,Hybrid!$1:$1048576,G$2,FALSE)</f>
        <v>5.0379111499999997E-2</v>
      </c>
      <c r="H97" s="73">
        <f>+VLOOKUP($E97,Hybrid!$1:$1048576,H$2,FALSE)</f>
        <v>5.48189106E-2</v>
      </c>
      <c r="I97" s="73">
        <f>+VLOOKUP($E97,Hybrid!$1:$1048576,I$2,FALSE)</f>
        <v>5.8189587799999998E-2</v>
      </c>
      <c r="J97" s="73">
        <f>+VLOOKUP($E97,Hybrid!$1:$1048576,J$2,FALSE)</f>
        <v>6.0832658800000002E-2</v>
      </c>
      <c r="K97" s="73">
        <f>+VLOOKUP($E97,Hybrid!$1:$1048576,K$2,FALSE)</f>
        <v>6.2992061799999999E-2</v>
      </c>
      <c r="L97" s="73">
        <f>+VLOOKUP($E97,Hybrid!$1:$1048576,L$2,FALSE)</f>
        <v>6.4834579899999994E-2</v>
      </c>
      <c r="M97" s="73">
        <f>+VLOOKUP($E97,Hybrid!$1:$1048576,M$2,FALSE)</f>
        <v>6.6470542399999999E-2</v>
      </c>
      <c r="N97" s="73">
        <f>+VLOOKUP($E97,Hybrid!$1:$1048576,N$2,FALSE)</f>
        <v>6.7971274700000001E-2</v>
      </c>
      <c r="O97" s="73">
        <f>+VLOOKUP($E97,Hybrid!$1:$1048576,O$2,FALSE)</f>
        <v>6.9382252199999994E-2</v>
      </c>
      <c r="P97" s="73">
        <f>+VLOOKUP($E97,Hybrid!$1:$1048576,P$2,FALSE)</f>
        <v>7.0732332100000003E-2</v>
      </c>
      <c r="Q97" s="73">
        <f>+VLOOKUP($E97,Hybrid!$1:$1048576,Q$2,FALSE)</f>
        <v>7.20399226E-2</v>
      </c>
      <c r="R97" s="73">
        <f>+VLOOKUP($E97,Hybrid!$1:$1048576,R$2,FALSE)</f>
        <v>7.3316956399999994E-2</v>
      </c>
      <c r="S97" s="73">
        <f>+VLOOKUP($E97,Hybrid!$1:$1048576,S$2,FALSE)</f>
        <v>7.4571379699999996E-2</v>
      </c>
      <c r="T97" s="73">
        <f>+VLOOKUP($E97,Hybrid!$1:$1048576,T$2,FALSE)</f>
        <v>7.5808682700000005E-2</v>
      </c>
      <c r="U97" s="73">
        <f>+VLOOKUP($E97,Hybrid!$1:$1048576,U$2,FALSE)</f>
        <v>7.7032819700000005E-2</v>
      </c>
      <c r="V97" s="73">
        <f>+VLOOKUP($E97,Hybrid!$1:$1048576,V$2,FALSE)</f>
        <v>7.8246765800000007E-2</v>
      </c>
      <c r="W97" s="73">
        <f>+VLOOKUP($E97,Hybrid!$1:$1048576,W$2,FALSE)</f>
        <v>7.9452853700000006E-2</v>
      </c>
      <c r="X97" s="73">
        <f>+VLOOKUP($E97,Hybrid!$1:$1048576,X$2,FALSE)</f>
        <v>8.0652981900000004E-2</v>
      </c>
      <c r="Y97" s="73">
        <f>+VLOOKUP($E97,Hybrid!$1:$1048576,Y$2,FALSE)</f>
        <v>8.1848748200000002E-2</v>
      </c>
      <c r="Z97" s="73">
        <f>+VLOOKUP($E97,Hybrid!$1:$1048576,Z$2,FALSE)</f>
        <v>8.3041539299999995E-2</v>
      </c>
      <c r="AA97" s="73">
        <f>+VLOOKUP($E97,Hybrid!$1:$1048576,AA$2,FALSE)</f>
        <v>8.4232592800000006E-2</v>
      </c>
      <c r="AB97" s="73">
        <f>+VLOOKUP($E97,Hybrid!$1:$1048576,AB$2,FALSE)</f>
        <v>8.5423042300000002E-2</v>
      </c>
      <c r="AC97" s="73">
        <f>+VLOOKUP($E97,Hybrid!$1:$1048576,AC$2,FALSE)</f>
        <v>8.6613948499999996E-2</v>
      </c>
      <c r="AD97" s="73">
        <f>+VLOOKUP($E97,Hybrid!$1:$1048576,AD$2,FALSE)</f>
        <v>8.78063226E-2</v>
      </c>
      <c r="AE97" s="73">
        <f>+VLOOKUP($E97,Hybrid!$1:$1048576,AE$2,FALSE)</f>
        <v>8.9001140500000006E-2</v>
      </c>
      <c r="AF97" s="73">
        <f>+VLOOKUP($E97,Hybrid!$1:$1048576,AF$2,FALSE)</f>
        <v>9.0199352400000002E-2</v>
      </c>
      <c r="AG97" s="73">
        <f>+VLOOKUP($E97,Hybrid!$1:$1048576,AG$2,FALSE)</f>
        <v>9.1401887200000004E-2</v>
      </c>
      <c r="AH97" s="73">
        <f>+VLOOKUP($E97,Hybrid!$1:$1048576,AH$2,FALSE)</f>
        <v>9.2609653700000003E-2</v>
      </c>
      <c r="AI97" s="73">
        <f>+VLOOKUP($E97,Hybrid!$1:$1048576,AI$2,FALSE)</f>
        <v>9.3823539299999995E-2</v>
      </c>
      <c r="AJ97" s="73">
        <f>+VLOOKUP($E97,Hybrid!$1:$1048576,AJ$2,FALSE)</f>
        <v>9.5044407299999994E-2</v>
      </c>
      <c r="AK97" s="73">
        <f>+VLOOKUP($E97,Hybrid!$1:$1048576,AK$2,FALSE)</f>
        <v>9.6273093700000006E-2</v>
      </c>
      <c r="AL97" s="73">
        <f>+VLOOKUP($E97,Hybrid!$1:$1048576,AL$2,FALSE)</f>
        <v>9.7510402800000007E-2</v>
      </c>
      <c r="AM97" s="73">
        <f>+VLOOKUP($E97,Hybrid!$1:$1048576,AM$2,FALSE)</f>
        <v>9.8757104600000006E-2</v>
      </c>
      <c r="AN97" s="73">
        <f>+VLOOKUP($E97,Hybrid!$1:$1048576,AN$2,FALSE)</f>
        <v>0.1000139306</v>
      </c>
      <c r="AO97" s="73">
        <f>+VLOOKUP($E97,Hybrid!$1:$1048576,AO$2,FALSE)</f>
        <v>0.1012815723</v>
      </c>
      <c r="AP97" s="73"/>
      <c r="AQ97" s="73"/>
    </row>
    <row r="98" spans="1:43" ht="15" customHeight="1" x14ac:dyDescent="0.25">
      <c r="A98" s="316"/>
      <c r="B98" s="315"/>
      <c r="C98" s="171"/>
      <c r="D98" s="124" t="s">
        <v>541</v>
      </c>
      <c r="E98" s="46" t="s">
        <v>446</v>
      </c>
      <c r="F98" s="73">
        <f>+VLOOKUP($E98,Hybrid!$1:$1048576,F$2,FALSE)</f>
        <v>4.2641199999999997E-2</v>
      </c>
      <c r="G98" s="73">
        <f>+VLOOKUP($E98,Hybrid!$1:$1048576,G$2,FALSE)</f>
        <v>4.8309953900000001E-2</v>
      </c>
      <c r="H98" s="73">
        <f>+VLOOKUP($E98,Hybrid!$1:$1048576,H$2,FALSE)</f>
        <v>5.24733015E-2</v>
      </c>
      <c r="I98" s="73">
        <f>+VLOOKUP($E98,Hybrid!$1:$1048576,I$2,FALSE)</f>
        <v>5.5581685999999998E-2</v>
      </c>
      <c r="J98" s="73">
        <f>+VLOOKUP($E98,Hybrid!$1:$1048576,J$2,FALSE)</f>
        <v>5.7972236400000002E-2</v>
      </c>
      <c r="K98" s="73">
        <f>+VLOOKUP($E98,Hybrid!$1:$1048576,K$2,FALSE)</f>
        <v>5.9884492900000003E-2</v>
      </c>
      <c r="L98" s="73">
        <f>+VLOOKUP($E98,Hybrid!$1:$1048576,L$2,FALSE)</f>
        <v>6.14813216E-2</v>
      </c>
      <c r="M98" s="73">
        <f>+VLOOKUP($E98,Hybrid!$1:$1048576,M$2,FALSE)</f>
        <v>6.2869872100000002E-2</v>
      </c>
      <c r="N98" s="73">
        <f>+VLOOKUP($E98,Hybrid!$1:$1048576,N$2,FALSE)</f>
        <v>6.4119042500000001E-2</v>
      </c>
      <c r="O98" s="73">
        <f>+VLOOKUP($E98,Hybrid!$1:$1048576,O$2,FALSE)</f>
        <v>6.5272523799999996E-2</v>
      </c>
      <c r="P98" s="73">
        <f>+VLOOKUP($E98,Hybrid!$1:$1048576,P$2,FALSE)</f>
        <v>6.6357886800000002E-2</v>
      </c>
      <c r="Q98" s="73">
        <f>+VLOOKUP($E98,Hybrid!$1:$1048576,Q$2,FALSE)</f>
        <v>6.7392611800000002E-2</v>
      </c>
      <c r="R98" s="73">
        <f>+VLOOKUP($E98,Hybrid!$1:$1048576,R$2,FALSE)</f>
        <v>6.8387950399999994E-2</v>
      </c>
      <c r="S98" s="73">
        <f>+VLOOKUP($E98,Hybrid!$1:$1048576,S$2,FALSE)</f>
        <v>6.9351329200000006E-2</v>
      </c>
      <c r="T98" s="73">
        <f>+VLOOKUP($E98,Hybrid!$1:$1048576,T$2,FALSE)</f>
        <v>7.0287820400000006E-2</v>
      </c>
      <c r="U98" s="73">
        <f>+VLOOKUP($E98,Hybrid!$1:$1048576,U$2,FALSE)</f>
        <v>7.12010213E-2</v>
      </c>
      <c r="V98" s="73">
        <f>+VLOOKUP($E98,Hybrid!$1:$1048576,V$2,FALSE)</f>
        <v>7.2093584200000005E-2</v>
      </c>
      <c r="W98" s="73">
        <f>+VLOOKUP($E98,Hybrid!$1:$1048576,W$2,FALSE)</f>
        <v>7.2967536299999997E-2</v>
      </c>
      <c r="X98" s="73">
        <f>+VLOOKUP($E98,Hybrid!$1:$1048576,X$2,FALSE)</f>
        <v>7.3824477599999994E-2</v>
      </c>
      <c r="Y98" s="73">
        <f>+VLOOKUP($E98,Hybrid!$1:$1048576,Y$2,FALSE)</f>
        <v>7.4665706999999998E-2</v>
      </c>
      <c r="Z98" s="73">
        <f>+VLOOKUP($E98,Hybrid!$1:$1048576,Z$2,FALSE)</f>
        <v>7.5492307999999994E-2</v>
      </c>
      <c r="AA98" s="73">
        <f>+VLOOKUP($E98,Hybrid!$1:$1048576,AA$2,FALSE)</f>
        <v>7.6305207599999994E-2</v>
      </c>
      <c r="AB98" s="73">
        <f>+VLOOKUP($E98,Hybrid!$1:$1048576,AB$2,FALSE)</f>
        <v>7.7105218700000006E-2</v>
      </c>
      <c r="AC98" s="73">
        <f>+VLOOKUP($E98,Hybrid!$1:$1048576,AC$2,FALSE)</f>
        <v>7.7893070300000006E-2</v>
      </c>
      <c r="AD98" s="73">
        <f>+VLOOKUP($E98,Hybrid!$1:$1048576,AD$2,FALSE)</f>
        <v>7.8669428499999999E-2</v>
      </c>
      <c r="AE98" s="73">
        <f>+VLOOKUP($E98,Hybrid!$1:$1048576,AE$2,FALSE)</f>
        <v>7.94349107E-2</v>
      </c>
      <c r="AF98" s="73">
        <f>+VLOOKUP($E98,Hybrid!$1:$1048576,AF$2,FALSE)</f>
        <v>8.0190093399999995E-2</v>
      </c>
      <c r="AG98" s="73">
        <f>+VLOOKUP($E98,Hybrid!$1:$1048576,AG$2,FALSE)</f>
        <v>8.0935516700000001E-2</v>
      </c>
      <c r="AH98" s="73">
        <f>+VLOOKUP($E98,Hybrid!$1:$1048576,AH$2,FALSE)</f>
        <v>8.1671684699999997E-2</v>
      </c>
      <c r="AI98" s="73">
        <f>+VLOOKUP($E98,Hybrid!$1:$1048576,AI$2,FALSE)</f>
        <v>8.2399064499999994E-2</v>
      </c>
      <c r="AJ98" s="73">
        <f>+VLOOKUP($E98,Hybrid!$1:$1048576,AJ$2,FALSE)</f>
        <v>8.3118083600000003E-2</v>
      </c>
      <c r="AK98" s="73">
        <f>+VLOOKUP($E98,Hybrid!$1:$1048576,AK$2,FALSE)</f>
        <v>8.3829126300000001E-2</v>
      </c>
      <c r="AL98" s="73">
        <f>+VLOOKUP($E98,Hybrid!$1:$1048576,AL$2,FALSE)</f>
        <v>8.4532530800000005E-2</v>
      </c>
      <c r="AM98" s="73">
        <f>+VLOOKUP($E98,Hybrid!$1:$1048576,AM$2,FALSE)</f>
        <v>8.5228585900000001E-2</v>
      </c>
      <c r="AN98" s="73">
        <f>+VLOOKUP($E98,Hybrid!$1:$1048576,AN$2,FALSE)</f>
        <v>8.5917528399999998E-2</v>
      </c>
      <c r="AO98" s="73">
        <f>+VLOOKUP($E98,Hybrid!$1:$1048576,AO$2,FALSE)</f>
        <v>8.6599541399999994E-2</v>
      </c>
      <c r="AP98" s="73"/>
      <c r="AQ98" s="73"/>
    </row>
    <row r="99" spans="1:43" ht="15" customHeight="1" x14ac:dyDescent="0.25">
      <c r="A99" s="316"/>
      <c r="B99" s="315"/>
      <c r="C99" s="171"/>
      <c r="D99" s="124" t="s">
        <v>542</v>
      </c>
      <c r="E99" s="46" t="s">
        <v>447</v>
      </c>
      <c r="F99" s="73">
        <f>+VLOOKUP($E99,Hybrid!$1:$1048576,F$2,FALSE)</f>
        <v>2.9516000000000001E-2</v>
      </c>
      <c r="G99" s="73">
        <f>+VLOOKUP($E99,Hybrid!$1:$1048576,G$2,FALSE)</f>
        <v>3.3400811099999997E-2</v>
      </c>
      <c r="H99" s="73">
        <f>+VLOOKUP($E99,Hybrid!$1:$1048576,H$2,FALSE)</f>
        <v>3.6214816900000002E-2</v>
      </c>
      <c r="I99" s="73">
        <f>+VLOOKUP($E99,Hybrid!$1:$1048576,I$2,FALSE)</f>
        <v>3.82794547E-2</v>
      </c>
      <c r="J99" s="73">
        <f>+VLOOKUP($E99,Hybrid!$1:$1048576,J$2,FALSE)</f>
        <v>3.9834578400000001E-2</v>
      </c>
      <c r="K99" s="73">
        <f>+VLOOKUP($E99,Hybrid!$1:$1048576,K$2,FALSE)</f>
        <v>4.10497534E-2</v>
      </c>
      <c r="L99" s="73">
        <f>+VLOOKUP($E99,Hybrid!$1:$1048576,L$2,FALSE)</f>
        <v>4.20396585E-2</v>
      </c>
      <c r="M99" s="73">
        <f>+VLOOKUP($E99,Hybrid!$1:$1048576,M$2,FALSE)</f>
        <v>4.2879355500000001E-2</v>
      </c>
      <c r="N99" s="73">
        <f>+VLOOKUP($E99,Hybrid!$1:$1048576,N$2,FALSE)</f>
        <v>4.36168761E-2</v>
      </c>
      <c r="O99" s="73">
        <f>+VLOOKUP($E99,Hybrid!$1:$1048576,O$2,FALSE)</f>
        <v>4.4282542299999998E-2</v>
      </c>
      <c r="P99" s="73">
        <f>+VLOOKUP($E99,Hybrid!$1:$1048576,P$2,FALSE)</f>
        <v>4.4895409400000003E-2</v>
      </c>
      <c r="Q99" s="73">
        <f>+VLOOKUP($E99,Hybrid!$1:$1048576,Q$2,FALSE)</f>
        <v>4.54675155E-2</v>
      </c>
      <c r="R99" s="73">
        <f>+VLOOKUP($E99,Hybrid!$1:$1048576,R$2,FALSE)</f>
        <v>4.6006584599999997E-2</v>
      </c>
      <c r="S99" s="73">
        <f>+VLOOKUP($E99,Hybrid!$1:$1048576,S$2,FALSE)</f>
        <v>4.6517701000000002E-2</v>
      </c>
      <c r="T99" s="73">
        <f>+VLOOKUP($E99,Hybrid!$1:$1048576,T$2,FALSE)</f>
        <v>4.7004327300000003E-2</v>
      </c>
      <c r="U99" s="73">
        <f>+VLOOKUP($E99,Hybrid!$1:$1048576,U$2,FALSE)</f>
        <v>4.7468910400000001E-2</v>
      </c>
      <c r="V99" s="73">
        <f>+VLOOKUP($E99,Hybrid!$1:$1048576,V$2,FALSE)</f>
        <v>4.7913245200000003E-2</v>
      </c>
      <c r="W99" s="73">
        <f>+VLOOKUP($E99,Hybrid!$1:$1048576,W$2,FALSE)</f>
        <v>4.8338694299999999E-2</v>
      </c>
      <c r="X99" s="73">
        <f>+VLOOKUP($E99,Hybrid!$1:$1048576,X$2,FALSE)</f>
        <v>4.8746322199999997E-2</v>
      </c>
      <c r="Y99" s="73">
        <f>+VLOOKUP($E99,Hybrid!$1:$1048576,Y$2,FALSE)</f>
        <v>4.9136983299999999E-2</v>
      </c>
      <c r="Z99" s="73">
        <f>+VLOOKUP($E99,Hybrid!$1:$1048576,Z$2,FALSE)</f>
        <v>4.9511379299999998E-2</v>
      </c>
      <c r="AA99" s="73">
        <f>+VLOOKUP($E99,Hybrid!$1:$1048576,AA$2,FALSE)</f>
        <v>4.9870101100000001E-2</v>
      </c>
      <c r="AB99" s="73">
        <f>+VLOOKUP($E99,Hybrid!$1:$1048576,AB$2,FALSE)</f>
        <v>5.02136569E-2</v>
      </c>
      <c r="AC99" s="73">
        <f>+VLOOKUP($E99,Hybrid!$1:$1048576,AC$2,FALSE)</f>
        <v>5.0542494100000002E-2</v>
      </c>
      <c r="AD99" s="73">
        <f>+VLOOKUP($E99,Hybrid!$1:$1048576,AD$2,FALSE)</f>
        <v>5.0857013200000002E-2</v>
      </c>
      <c r="AE99" s="73">
        <f>+VLOOKUP($E99,Hybrid!$1:$1048576,AE$2,FALSE)</f>
        <v>5.1157577400000001E-2</v>
      </c>
      <c r="AF99" s="73">
        <f>+VLOOKUP($E99,Hybrid!$1:$1048576,AF$2,FALSE)</f>
        <v>5.1444518799999998E-2</v>
      </c>
      <c r="AG99" s="73">
        <f>+VLOOKUP($E99,Hybrid!$1:$1048576,AG$2,FALSE)</f>
        <v>5.1718141099999997E-2</v>
      </c>
      <c r="AH99" s="73">
        <f>+VLOOKUP($E99,Hybrid!$1:$1048576,AH$2,FALSE)</f>
        <v>5.19787201E-2</v>
      </c>
      <c r="AI99" s="73">
        <f>+VLOOKUP($E99,Hybrid!$1:$1048576,AI$2,FALSE)</f>
        <v>5.2226503700000003E-2</v>
      </c>
      <c r="AJ99" s="73">
        <f>+VLOOKUP($E99,Hybrid!$1:$1048576,AJ$2,FALSE)</f>
        <v>5.2461710100000003E-2</v>
      </c>
      <c r="AK99" s="73">
        <f>+VLOOKUP($E99,Hybrid!$1:$1048576,AK$2,FALSE)</f>
        <v>5.2684526199999998E-2</v>
      </c>
      <c r="AL99" s="73">
        <f>+VLOOKUP($E99,Hybrid!$1:$1048576,AL$2,FALSE)</f>
        <v>5.28951062E-2</v>
      </c>
      <c r="AM99" s="73">
        <f>+VLOOKUP($E99,Hybrid!$1:$1048576,AM$2,FALSE)</f>
        <v>5.30935695E-2</v>
      </c>
      <c r="AN99" s="73">
        <f>+VLOOKUP($E99,Hybrid!$1:$1048576,AN$2,FALSE)</f>
        <v>5.3280000500000001E-2</v>
      </c>
      <c r="AO99" s="73">
        <f>+VLOOKUP($E99,Hybrid!$1:$1048576,AO$2,FALSE)</f>
        <v>5.3454447500000002E-2</v>
      </c>
      <c r="AP99" s="73"/>
      <c r="AQ99" s="73"/>
    </row>
    <row r="100" spans="1:43" ht="15" customHeight="1" x14ac:dyDescent="0.25">
      <c r="A100" s="316"/>
      <c r="B100" s="315"/>
      <c r="C100" s="171"/>
      <c r="D100" s="124" t="s">
        <v>543</v>
      </c>
      <c r="E100" s="46" t="s">
        <v>448</v>
      </c>
      <c r="F100" s="73">
        <f>+VLOOKUP($E100,Hybrid!$1:$1048576,F$2,FALSE)</f>
        <v>1.63594E-2</v>
      </c>
      <c r="G100" s="73">
        <f>+VLOOKUP($E100,Hybrid!$1:$1048576,G$2,FALSE)</f>
        <v>1.8412561800000001E-2</v>
      </c>
      <c r="H100" s="73">
        <f>+VLOOKUP($E100,Hybrid!$1:$1048576,H$2,FALSE)</f>
        <v>1.98000126E-2</v>
      </c>
      <c r="I100" s="73">
        <f>+VLOOKUP($E100,Hybrid!$1:$1048576,I$2,FALSE)</f>
        <v>2.07258949E-2</v>
      </c>
      <c r="J100" s="73">
        <f>+VLOOKUP($E100,Hybrid!$1:$1048576,J$2,FALSE)</f>
        <v>2.1340775499999999E-2</v>
      </c>
      <c r="K100" s="73">
        <f>+VLOOKUP($E100,Hybrid!$1:$1048576,K$2,FALSE)</f>
        <v>2.1748976199999999E-2</v>
      </c>
      <c r="L100" s="73">
        <f>+VLOOKUP($E100,Hybrid!$1:$1048576,L$2,FALSE)</f>
        <v>2.2019564200000001E-2</v>
      </c>
      <c r="M100" s="73">
        <f>+VLOOKUP($E100,Hybrid!$1:$1048576,M$2,FALSE)</f>
        <v>2.21968515E-2</v>
      </c>
      <c r="N100" s="73">
        <f>+VLOOKUP($E100,Hybrid!$1:$1048576,N$2,FALSE)</f>
        <v>2.23087098E-2</v>
      </c>
      <c r="O100" s="73">
        <f>+VLOOKUP($E100,Hybrid!$1:$1048576,O$2,FALSE)</f>
        <v>2.23725125E-2</v>
      </c>
      <c r="P100" s="73">
        <f>+VLOOKUP($E100,Hybrid!$1:$1048576,P$2,FALSE)</f>
        <v>2.23991165E-2</v>
      </c>
      <c r="Q100" s="73">
        <f>+VLOOKUP($E100,Hybrid!$1:$1048576,Q$2,FALSE)</f>
        <v>2.2395412199999999E-2</v>
      </c>
      <c r="R100" s="73">
        <f>+VLOOKUP($E100,Hybrid!$1:$1048576,R$2,FALSE)</f>
        <v>2.2365902699999999E-2</v>
      </c>
      <c r="S100" s="73">
        <f>+VLOOKUP($E100,Hybrid!$1:$1048576,S$2,FALSE)</f>
        <v>2.2313656000000001E-2</v>
      </c>
      <c r="T100" s="73">
        <f>+VLOOKUP($E100,Hybrid!$1:$1048576,T$2,FALSE)</f>
        <v>2.2240869600000001E-2</v>
      </c>
      <c r="U100" s="73">
        <f>+VLOOKUP($E100,Hybrid!$1:$1048576,U$2,FALSE)</f>
        <v>2.2149200000000001E-2</v>
      </c>
      <c r="V100" s="73">
        <f>+VLOOKUP($E100,Hybrid!$1:$1048576,V$2,FALSE)</f>
        <v>2.20399571E-2</v>
      </c>
      <c r="W100" s="73">
        <f>+VLOOKUP($E100,Hybrid!$1:$1048576,W$2,FALSE)</f>
        <v>2.1914220599999999E-2</v>
      </c>
      <c r="X100" s="73">
        <f>+VLOOKUP($E100,Hybrid!$1:$1048576,X$2,FALSE)</f>
        <v>2.1772911200000002E-2</v>
      </c>
      <c r="Y100" s="73">
        <f>+VLOOKUP($E100,Hybrid!$1:$1048576,Y$2,FALSE)</f>
        <v>2.1616837900000001E-2</v>
      </c>
      <c r="Z100" s="73">
        <f>+VLOOKUP($E100,Hybrid!$1:$1048576,Z$2,FALSE)</f>
        <v>2.14467289E-2</v>
      </c>
      <c r="AA100" s="73">
        <f>+VLOOKUP($E100,Hybrid!$1:$1048576,AA$2,FALSE)</f>
        <v>2.1263254400000001E-2</v>
      </c>
      <c r="AB100" s="73">
        <f>+VLOOKUP($E100,Hybrid!$1:$1048576,AB$2,FALSE)</f>
        <v>2.1067042599999999E-2</v>
      </c>
      <c r="AC100" s="73">
        <f>+VLOOKUP($E100,Hybrid!$1:$1048576,AC$2,FALSE)</f>
        <v>2.0858690400000001E-2</v>
      </c>
      <c r="AD100" s="73">
        <f>+VLOOKUP($E100,Hybrid!$1:$1048576,AD$2,FALSE)</f>
        <v>2.0638772100000001E-2</v>
      </c>
      <c r="AE100" s="73">
        <f>+VLOOKUP($E100,Hybrid!$1:$1048576,AE$2,FALSE)</f>
        <v>2.04078439E-2</v>
      </c>
      <c r="AF100" s="73">
        <f>+VLOOKUP($E100,Hybrid!$1:$1048576,AF$2,FALSE)</f>
        <v>2.0166447300000001E-2</v>
      </c>
      <c r="AG100" s="73">
        <f>+VLOOKUP($E100,Hybrid!$1:$1048576,AG$2,FALSE)</f>
        <v>1.9915110699999999E-2</v>
      </c>
      <c r="AH100" s="73">
        <f>+VLOOKUP($E100,Hybrid!$1:$1048576,AH$2,FALSE)</f>
        <v>1.9654350399999999E-2</v>
      </c>
      <c r="AI100" s="73">
        <f>+VLOOKUP($E100,Hybrid!$1:$1048576,AI$2,FALSE)</f>
        <v>1.9384670499999999E-2</v>
      </c>
      <c r="AJ100" s="73">
        <f>+VLOOKUP($E100,Hybrid!$1:$1048576,AJ$2,FALSE)</f>
        <v>1.9106563E-2</v>
      </c>
      <c r="AK100" s="73">
        <f>+VLOOKUP($E100,Hybrid!$1:$1048576,AK$2,FALSE)</f>
        <v>1.8820507600000001E-2</v>
      </c>
      <c r="AL100" s="73">
        <f>+VLOOKUP($E100,Hybrid!$1:$1048576,AL$2,FALSE)</f>
        <v>1.8526971900000001E-2</v>
      </c>
      <c r="AM100" s="73">
        <f>+VLOOKUP($E100,Hybrid!$1:$1048576,AM$2,FALSE)</f>
        <v>1.8226411200000001E-2</v>
      </c>
      <c r="AN100" s="73">
        <f>+VLOOKUP($E100,Hybrid!$1:$1048576,AN$2,FALSE)</f>
        <v>1.7919269299999999E-2</v>
      </c>
      <c r="AO100" s="73">
        <f>+VLOOKUP($E100,Hybrid!$1:$1048576,AO$2,FALSE)</f>
        <v>1.7605978800000002E-2</v>
      </c>
      <c r="AP100" s="73"/>
      <c r="AQ100" s="73"/>
    </row>
    <row r="101" spans="1:43" ht="15" customHeight="1" x14ac:dyDescent="0.25">
      <c r="A101" s="316"/>
      <c r="B101" s="315"/>
      <c r="C101" s="171"/>
      <c r="D101" s="124" t="s">
        <v>544</v>
      </c>
      <c r="E101" s="46" t="s">
        <v>449</v>
      </c>
      <c r="F101" s="73">
        <f>+VLOOKUP($E101,Hybrid!$1:$1048576,F$2,FALSE)</f>
        <v>1.00637E-2</v>
      </c>
      <c r="G101" s="73">
        <f>+VLOOKUP($E101,Hybrid!$1:$1048576,G$2,FALSE)</f>
        <v>1.1271548500000001E-2</v>
      </c>
      <c r="H101" s="73">
        <f>+VLOOKUP($E101,Hybrid!$1:$1048576,H$2,FALSE)</f>
        <v>1.2031372800000001E-2</v>
      </c>
      <c r="I101" s="73">
        <f>+VLOOKUP($E101,Hybrid!$1:$1048576,I$2,FALSE)</f>
        <v>1.24840271E-2</v>
      </c>
      <c r="J101" s="73">
        <f>+VLOOKUP($E101,Hybrid!$1:$1048576,J$2,FALSE)</f>
        <v>1.2732429E-2</v>
      </c>
      <c r="K101" s="73">
        <f>+VLOOKUP($E101,Hybrid!$1:$1048576,K$2,FALSE)</f>
        <v>1.28468035E-2</v>
      </c>
      <c r="L101" s="73">
        <f>+VLOOKUP($E101,Hybrid!$1:$1048576,L$2,FALSE)</f>
        <v>1.28729133E-2</v>
      </c>
      <c r="M101" s="73">
        <f>+VLOOKUP($E101,Hybrid!$1:$1048576,M$2,FALSE)</f>
        <v>1.2839708199999999E-2</v>
      </c>
      <c r="N101" s="73">
        <f>+VLOOKUP($E101,Hybrid!$1:$1048576,N$2,FALSE)</f>
        <v>1.2765208199999999E-2</v>
      </c>
      <c r="O101" s="73">
        <f>+VLOOKUP($E101,Hybrid!$1:$1048576,O$2,FALSE)</f>
        <v>1.26605973E-2</v>
      </c>
      <c r="P101" s="73">
        <f>+VLOOKUP($E101,Hybrid!$1:$1048576,P$2,FALSE)</f>
        <v>1.2532899700000001E-2</v>
      </c>
      <c r="Q101" s="73">
        <f>+VLOOKUP($E101,Hybrid!$1:$1048576,Q$2,FALSE)</f>
        <v>1.2386654E-2</v>
      </c>
      <c r="R101" s="73">
        <f>+VLOOKUP($E101,Hybrid!$1:$1048576,R$2,FALSE)</f>
        <v>1.2224926400000001E-2</v>
      </c>
      <c r="S101" s="73">
        <f>+VLOOKUP($E101,Hybrid!$1:$1048576,S$2,FALSE)</f>
        <v>1.2049908200000001E-2</v>
      </c>
      <c r="T101" s="73">
        <f>+VLOOKUP($E101,Hybrid!$1:$1048576,T$2,FALSE)</f>
        <v>1.18632623E-2</v>
      </c>
      <c r="U101" s="73">
        <f>+VLOOKUP($E101,Hybrid!$1:$1048576,U$2,FALSE)</f>
        <v>1.1666322099999999E-2</v>
      </c>
      <c r="V101" s="73">
        <f>+VLOOKUP($E101,Hybrid!$1:$1048576,V$2,FALSE)</f>
        <v>1.14602071E-2</v>
      </c>
      <c r="W101" s="73">
        <f>+VLOOKUP($E101,Hybrid!$1:$1048576,W$2,FALSE)</f>
        <v>1.1245890499999999E-2</v>
      </c>
      <c r="X101" s="73">
        <f>+VLOOKUP($E101,Hybrid!$1:$1048576,X$2,FALSE)</f>
        <v>1.1024242300000001E-2</v>
      </c>
      <c r="Y101" s="73">
        <f>+VLOOKUP($E101,Hybrid!$1:$1048576,Y$2,FALSE)</f>
        <v>1.0796055400000001E-2</v>
      </c>
      <c r="Z101" s="73">
        <f>+VLOOKUP($E101,Hybrid!$1:$1048576,Z$2,FALSE)</f>
        <v>1.0562065400000001E-2</v>
      </c>
      <c r="AA101" s="73">
        <f>+VLOOKUP($E101,Hybrid!$1:$1048576,AA$2,FALSE)</f>
        <v>1.03229627E-2</v>
      </c>
      <c r="AB101" s="73">
        <f>+VLOOKUP($E101,Hybrid!$1:$1048576,AB$2,FALSE)</f>
        <v>1.00794018E-2</v>
      </c>
      <c r="AC101" s="73">
        <f>+VLOOKUP($E101,Hybrid!$1:$1048576,AC$2,FALSE)</f>
        <v>9.8320081600000008E-3</v>
      </c>
      <c r="AD101" s="73">
        <f>+VLOOKUP($E101,Hybrid!$1:$1048576,AD$2,FALSE)</f>
        <v>9.5813816199999992E-3</v>
      </c>
      <c r="AE101" s="73">
        <f>+VLOOKUP($E101,Hybrid!$1:$1048576,AE$2,FALSE)</f>
        <v>9.3280996000000005E-3</v>
      </c>
      <c r="AF101" s="73">
        <f>+VLOOKUP($E101,Hybrid!$1:$1048576,AF$2,FALSE)</f>
        <v>9.0727182900000002E-3</v>
      </c>
      <c r="AG101" s="73">
        <f>+VLOOKUP($E101,Hybrid!$1:$1048576,AG$2,FALSE)</f>
        <v>8.8157734600000006E-3</v>
      </c>
      <c r="AH101" s="73">
        <f>+VLOOKUP($E101,Hybrid!$1:$1048576,AH$2,FALSE)</f>
        <v>8.55778066E-3</v>
      </c>
      <c r="AI101" s="73">
        <f>+VLOOKUP($E101,Hybrid!$1:$1048576,AI$2,FALSE)</f>
        <v>8.2992351799999996E-3</v>
      </c>
      <c r="AJ101" s="73">
        <f>+VLOOKUP($E101,Hybrid!$1:$1048576,AJ$2,FALSE)</f>
        <v>8.0406119199999994E-3</v>
      </c>
      <c r="AK101" s="73">
        <f>+VLOOKUP($E101,Hybrid!$1:$1048576,AK$2,FALSE)</f>
        <v>7.7823653499999998E-3</v>
      </c>
      <c r="AL101" s="73">
        <f>+VLOOKUP($E101,Hybrid!$1:$1048576,AL$2,FALSE)</f>
        <v>7.5249294800000003E-3</v>
      </c>
      <c r="AM101" s="73">
        <f>+VLOOKUP($E101,Hybrid!$1:$1048576,AM$2,FALSE)</f>
        <v>7.2687180000000004E-3</v>
      </c>
      <c r="AN101" s="73">
        <f>+VLOOKUP($E101,Hybrid!$1:$1048576,AN$2,FALSE)</f>
        <v>7.0141245499999996E-3</v>
      </c>
      <c r="AO101" s="73">
        <f>+VLOOKUP($E101,Hybrid!$1:$1048576,AO$2,FALSE)</f>
        <v>6.7615230300000001E-3</v>
      </c>
      <c r="AP101" s="73"/>
      <c r="AQ101" s="73"/>
    </row>
    <row r="102" spans="1:43" ht="15" customHeight="1" x14ac:dyDescent="0.25">
      <c r="A102" s="316"/>
      <c r="B102" s="315"/>
      <c r="C102" s="171"/>
      <c r="D102" s="124" t="s">
        <v>545</v>
      </c>
      <c r="E102" s="46" t="s">
        <v>450</v>
      </c>
      <c r="F102" s="73">
        <f>+VLOOKUP($E102,Hybrid!$1:$1048576,F$2,FALSE)</f>
        <v>4.8669999999999998E-3</v>
      </c>
      <c r="G102" s="73">
        <f>+VLOOKUP($E102,Hybrid!$1:$1048576,G$2,FALSE)</f>
        <v>5.3575078100000003E-3</v>
      </c>
      <c r="H102" s="73">
        <f>+VLOOKUP($E102,Hybrid!$1:$1048576,H$2,FALSE)</f>
        <v>5.5705199400000001E-3</v>
      </c>
      <c r="I102" s="73">
        <f>+VLOOKUP($E102,Hybrid!$1:$1048576,I$2,FALSE)</f>
        <v>5.6030704399999999E-3</v>
      </c>
      <c r="J102" s="73">
        <f>+VLOOKUP($E102,Hybrid!$1:$1048576,J$2,FALSE)</f>
        <v>5.5240086700000003E-3</v>
      </c>
      <c r="K102" s="73">
        <f>+VLOOKUP($E102,Hybrid!$1:$1048576,K$2,FALSE)</f>
        <v>5.3782956100000001E-3</v>
      </c>
      <c r="L102" s="73">
        <f>+VLOOKUP($E102,Hybrid!$1:$1048576,L$2,FALSE)</f>
        <v>5.1938975E-3</v>
      </c>
      <c r="M102" s="73">
        <f>+VLOOKUP($E102,Hybrid!$1:$1048576,M$2,FALSE)</f>
        <v>4.9877503500000003E-3</v>
      </c>
      <c r="N102" s="73">
        <f>+VLOOKUP($E102,Hybrid!$1:$1048576,N$2,FALSE)</f>
        <v>4.7700213399999997E-3</v>
      </c>
      <c r="O102" s="73">
        <f>+VLOOKUP($E102,Hybrid!$1:$1048576,O$2,FALSE)</f>
        <v>4.5468712599999999E-3</v>
      </c>
      <c r="P102" s="73">
        <f>+VLOOKUP($E102,Hybrid!$1:$1048576,P$2,FALSE)</f>
        <v>4.3221395299999996E-3</v>
      </c>
      <c r="Q102" s="73">
        <f>+VLOOKUP($E102,Hybrid!$1:$1048576,Q$2,FALSE)</f>
        <v>4.0983287499999996E-3</v>
      </c>
      <c r="R102" s="73">
        <f>+VLOOKUP($E102,Hybrid!$1:$1048576,R$2,FALSE)</f>
        <v>3.8771618600000001E-3</v>
      </c>
      <c r="S102" s="73">
        <f>+VLOOKUP($E102,Hybrid!$1:$1048576,S$2,FALSE)</f>
        <v>3.6598904199999999E-3</v>
      </c>
      <c r="T102" s="73">
        <f>+VLOOKUP($E102,Hybrid!$1:$1048576,T$2,FALSE)</f>
        <v>3.4474635899999998E-3</v>
      </c>
      <c r="U102" s="73">
        <f>+VLOOKUP($E102,Hybrid!$1:$1048576,U$2,FALSE)</f>
        <v>3.24062164E-3</v>
      </c>
      <c r="V102" s="73">
        <f>+VLOOKUP($E102,Hybrid!$1:$1048576,V$2,FALSE)</f>
        <v>3.0399495200000002E-3</v>
      </c>
      <c r="W102" s="73">
        <f>+VLOOKUP($E102,Hybrid!$1:$1048576,W$2,FALSE)</f>
        <v>2.84590959E-3</v>
      </c>
      <c r="X102" s="73">
        <f>+VLOOKUP($E102,Hybrid!$1:$1048576,X$2,FALSE)</f>
        <v>2.65886323E-3</v>
      </c>
      <c r="Y102" s="73">
        <f>+VLOOKUP($E102,Hybrid!$1:$1048576,Y$2,FALSE)</f>
        <v>2.47908626E-3</v>
      </c>
      <c r="Z102" s="73">
        <f>+VLOOKUP($E102,Hybrid!$1:$1048576,Z$2,FALSE)</f>
        <v>2.3067806400000001E-3</v>
      </c>
      <c r="AA102" s="73">
        <f>+VLOOKUP($E102,Hybrid!$1:$1048576,AA$2,FALSE)</f>
        <v>2.1420836499999999E-3</v>
      </c>
      <c r="AB102" s="73">
        <f>+VLOOKUP($E102,Hybrid!$1:$1048576,AB$2,FALSE)</f>
        <v>1.9850754199999998E-3</v>
      </c>
      <c r="AC102" s="73">
        <f>+VLOOKUP($E102,Hybrid!$1:$1048576,AC$2,FALSE)</f>
        <v>1.8357850700000001E-3</v>
      </c>
      <c r="AD102" s="73">
        <f>+VLOOKUP($E102,Hybrid!$1:$1048576,AD$2,FALSE)</f>
        <v>1.6941959800000001E-3</v>
      </c>
      <c r="AE102" s="73">
        <f>+VLOOKUP($E102,Hybrid!$1:$1048576,AE$2,FALSE)</f>
        <v>1.56025043E-3</v>
      </c>
      <c r="AF102" s="73">
        <f>+VLOOKUP($E102,Hybrid!$1:$1048576,AF$2,FALSE)</f>
        <v>1.43385374E-3</v>
      </c>
      <c r="AG102" s="73">
        <f>+VLOOKUP($E102,Hybrid!$1:$1048576,AG$2,FALSE)</f>
        <v>1.3148781299999999E-3</v>
      </c>
      <c r="AH102" s="73">
        <f>+VLOOKUP($E102,Hybrid!$1:$1048576,AH$2,FALSE)</f>
        <v>1.2031663699999999E-3</v>
      </c>
      <c r="AI102" s="73">
        <f>+VLOOKUP($E102,Hybrid!$1:$1048576,AI$2,FALSE)</f>
        <v>1.0985353300000001E-3</v>
      </c>
      <c r="AJ102" s="73">
        <f>+VLOOKUP($E102,Hybrid!$1:$1048576,AJ$2,FALSE)</f>
        <v>1.0007792999999999E-3</v>
      </c>
      <c r="AK102" s="73">
        <f>+VLOOKUP($E102,Hybrid!$1:$1048576,AK$2,FALSE)</f>
        <v>9.0967332399999996E-4</v>
      </c>
      <c r="AL102" s="73">
        <f>+VLOOKUP($E102,Hybrid!$1:$1048576,AL$2,FALSE)</f>
        <v>8.2497634999999995E-4</v>
      </c>
      <c r="AM102" s="73">
        <f>+VLOOKUP($E102,Hybrid!$1:$1048576,AM$2,FALSE)</f>
        <v>7.4643422200000001E-4</v>
      </c>
      <c r="AN102" s="73">
        <f>+VLOOKUP($E102,Hybrid!$1:$1048576,AN$2,FALSE)</f>
        <v>6.7378256599999996E-4</v>
      </c>
      <c r="AO102" s="73">
        <f>+VLOOKUP($E102,Hybrid!$1:$1048576,AO$2,FALSE)</f>
        <v>6.0674947300000002E-4</v>
      </c>
      <c r="AP102" s="73"/>
      <c r="AQ102" s="73"/>
    </row>
    <row r="103" spans="1:43" ht="15" customHeight="1" x14ac:dyDescent="0.25">
      <c r="A103" s="316"/>
      <c r="B103" s="315"/>
      <c r="C103" s="171"/>
      <c r="D103" s="124" t="s">
        <v>546</v>
      </c>
      <c r="E103" s="46" t="s">
        <v>451</v>
      </c>
      <c r="F103" s="73">
        <f>+VLOOKUP($E103,Hybrid!$1:$1048576,F$2,FALSE)</f>
        <v>9.1374000000000004E-3</v>
      </c>
      <c r="G103" s="73">
        <f>+VLOOKUP($E103,Hybrid!$1:$1048576,G$2,FALSE)</f>
        <v>9.9069832299999994E-3</v>
      </c>
      <c r="H103" s="73">
        <f>+VLOOKUP($E103,Hybrid!$1:$1048576,H$2,FALSE)</f>
        <v>1.00680331E-2</v>
      </c>
      <c r="I103" s="73">
        <f>+VLOOKUP($E103,Hybrid!$1:$1048576,I$2,FALSE)</f>
        <v>9.8556185199999997E-3</v>
      </c>
      <c r="J103" s="73">
        <f>+VLOOKUP($E103,Hybrid!$1:$1048576,J$2,FALSE)</f>
        <v>9.4321479799999997E-3</v>
      </c>
      <c r="K103" s="73">
        <f>+VLOOKUP($E103,Hybrid!$1:$1048576,K$2,FALSE)</f>
        <v>8.8998469600000008E-3</v>
      </c>
      <c r="L103" s="73">
        <f>+VLOOKUP($E103,Hybrid!$1:$1048576,L$2,FALSE)</f>
        <v>8.3195777299999996E-3</v>
      </c>
      <c r="M103" s="73">
        <f>+VLOOKUP($E103,Hybrid!$1:$1048576,M$2,FALSE)</f>
        <v>7.7263419899999998E-3</v>
      </c>
      <c r="N103" s="73">
        <f>+VLOOKUP($E103,Hybrid!$1:$1048576,N$2,FALSE)</f>
        <v>7.1398583600000001E-3</v>
      </c>
      <c r="O103" s="73">
        <f>+VLOOKUP($E103,Hybrid!$1:$1048576,O$2,FALSE)</f>
        <v>6.5711175799999999E-3</v>
      </c>
      <c r="P103" s="73">
        <f>+VLOOKUP($E103,Hybrid!$1:$1048576,P$2,FALSE)</f>
        <v>6.0262082799999997E-3</v>
      </c>
      <c r="Q103" s="73">
        <f>+VLOOKUP($E103,Hybrid!$1:$1048576,Q$2,FALSE)</f>
        <v>5.5084593799999996E-3</v>
      </c>
      <c r="R103" s="73">
        <f>+VLOOKUP($E103,Hybrid!$1:$1048576,R$2,FALSE)</f>
        <v>5.0196073100000002E-3</v>
      </c>
      <c r="S103" s="73">
        <f>+VLOOKUP($E103,Hybrid!$1:$1048576,S$2,FALSE)</f>
        <v>4.5604241399999999E-3</v>
      </c>
      <c r="T103" s="73">
        <f>+VLOOKUP($E103,Hybrid!$1:$1048576,T$2,FALSE)</f>
        <v>4.1310590000000003E-3</v>
      </c>
      <c r="U103" s="73">
        <f>+VLOOKUP($E103,Hybrid!$1:$1048576,U$2,FALSE)</f>
        <v>3.7312312300000002E-3</v>
      </c>
      <c r="V103" s="73">
        <f>+VLOOKUP($E103,Hybrid!$1:$1048576,V$2,FALSE)</f>
        <v>3.3603479199999999E-3</v>
      </c>
      <c r="W103" s="73">
        <f>+VLOOKUP($E103,Hybrid!$1:$1048576,W$2,FALSE)</f>
        <v>3.0175825899999998E-3</v>
      </c>
      <c r="X103" s="73">
        <f>+VLOOKUP($E103,Hybrid!$1:$1048576,X$2,FALSE)</f>
        <v>2.7019324400000002E-3</v>
      </c>
      <c r="Y103" s="73">
        <f>+VLOOKUP($E103,Hybrid!$1:$1048576,Y$2,FALSE)</f>
        <v>2.4122629099999999E-3</v>
      </c>
      <c r="Z103" s="73">
        <f>+VLOOKUP($E103,Hybrid!$1:$1048576,Z$2,FALSE)</f>
        <v>2.1473436699999998E-3</v>
      </c>
      <c r="AA103" s="73">
        <f>+VLOOKUP($E103,Hybrid!$1:$1048576,AA$2,FALSE)</f>
        <v>1.90587814E-3</v>
      </c>
      <c r="AB103" s="73">
        <f>+VLOOKUP($E103,Hybrid!$1:$1048576,AB$2,FALSE)</f>
        <v>1.68652813E-3</v>
      </c>
      <c r="AC103" s="73">
        <f>+VLOOKUP($E103,Hybrid!$1:$1048576,AC$2,FALSE)</f>
        <v>1.4879344200000001E-3</v>
      </c>
      <c r="AD103" s="73">
        <f>+VLOOKUP($E103,Hybrid!$1:$1048576,AD$2,FALSE)</f>
        <v>1.3087340300000001E-3</v>
      </c>
      <c r="AE103" s="73">
        <f>+VLOOKUP($E103,Hybrid!$1:$1048576,AE$2,FALSE)</f>
        <v>1.14757481E-3</v>
      </c>
      <c r="AF103" s="73">
        <f>+VLOOKUP($E103,Hybrid!$1:$1048576,AF$2,FALSE)</f>
        <v>1.00312774E-3</v>
      </c>
      <c r="AG103" s="73">
        <f>+VLOOKUP($E103,Hybrid!$1:$1048576,AG$2,FALSE)</f>
        <v>8.7409721999999999E-4</v>
      </c>
      <c r="AH103" s="73">
        <f>+VLOOKUP($E103,Hybrid!$1:$1048576,AH$2,FALSE)</f>
        <v>7.5922970099999995E-4</v>
      </c>
      <c r="AI103" s="73">
        <f>+VLOOKUP($E103,Hybrid!$1:$1048576,AI$2,FALSE)</f>
        <v>6.5732065499999996E-4</v>
      </c>
      <c r="AJ103" s="73">
        <f>+VLOOKUP($E103,Hybrid!$1:$1048576,AJ$2,FALSE)</f>
        <v>5.6722017399999996E-4</v>
      </c>
      <c r="AK103" s="73">
        <f>+VLOOKUP($E103,Hybrid!$1:$1048576,AK$2,FALSE)</f>
        <v>4.8783724299999998E-4</v>
      </c>
      <c r="AL103" s="73">
        <f>+VLOOKUP($E103,Hybrid!$1:$1048576,AL$2,FALSE)</f>
        <v>4.1814280099999998E-4</v>
      </c>
      <c r="AM103" s="73">
        <f>+VLOOKUP($E103,Hybrid!$1:$1048576,AM$2,FALSE)</f>
        <v>3.57171702E-4</v>
      </c>
      <c r="AN103" s="73">
        <f>+VLOOKUP($E103,Hybrid!$1:$1048576,AN$2,FALSE)</f>
        <v>3.0402368099999999E-4</v>
      </c>
      <c r="AO103" s="73">
        <f>+VLOOKUP($E103,Hybrid!$1:$1048576,AO$2,FALSE)</f>
        <v>2.5786343499999999E-4</v>
      </c>
      <c r="AP103" s="73"/>
      <c r="AQ103" s="73"/>
    </row>
    <row r="104" spans="1:43" s="111" customFormat="1" ht="15" customHeight="1" x14ac:dyDescent="0.25">
      <c r="A104" s="316"/>
      <c r="B104" s="314" t="s">
        <v>559</v>
      </c>
      <c r="C104" s="126" t="s">
        <v>549</v>
      </c>
      <c r="D104" s="126"/>
      <c r="E104" s="92" t="s">
        <v>452</v>
      </c>
      <c r="F104" s="111">
        <f>+VLOOKUP($E104,Hybrid!$1:$1048576,F$2,FALSE)</f>
        <v>2457.4699179999998</v>
      </c>
      <c r="G104" s="111">
        <f>+VLOOKUP($E104,Hybrid!$1:$1048576,G$2,FALSE)</f>
        <v>2463.613593</v>
      </c>
      <c r="H104" s="111">
        <f>+VLOOKUP($E104,Hybrid!$1:$1048576,H$2,FALSE)</f>
        <v>2469.7726269999998</v>
      </c>
      <c r="I104" s="111">
        <f>+VLOOKUP($E104,Hybrid!$1:$1048576,I$2,FALSE)</f>
        <v>2475.9470590000001</v>
      </c>
      <c r="J104" s="111">
        <f>+VLOOKUP($E104,Hybrid!$1:$1048576,J$2,FALSE)</f>
        <v>2482.1369260000001</v>
      </c>
      <c r="K104" s="111">
        <f>+VLOOKUP($E104,Hybrid!$1:$1048576,K$2,FALSE)</f>
        <v>2488.3422690000002</v>
      </c>
      <c r="L104" s="111">
        <f>+VLOOKUP($E104,Hybrid!$1:$1048576,L$2,FALSE)</f>
        <v>2494.5631239999998</v>
      </c>
      <c r="M104" s="111">
        <f>+VLOOKUP($E104,Hybrid!$1:$1048576,M$2,FALSE)</f>
        <v>2500.799532</v>
      </c>
      <c r="N104" s="111">
        <f>+VLOOKUP($E104,Hybrid!$1:$1048576,N$2,FALSE)</f>
        <v>2507.0515310000001</v>
      </c>
      <c r="O104" s="111">
        <f>+VLOOKUP($E104,Hybrid!$1:$1048576,O$2,FALSE)</f>
        <v>2513.31916</v>
      </c>
      <c r="P104" s="111">
        <f>+VLOOKUP($E104,Hybrid!$1:$1048576,P$2,FALSE)</f>
        <v>2519.6024579999998</v>
      </c>
      <c r="Q104" s="111">
        <f>+VLOOKUP($E104,Hybrid!$1:$1048576,Q$2,FALSE)</f>
        <v>2525.901464</v>
      </c>
      <c r="R104" s="111">
        <f>+VLOOKUP($E104,Hybrid!$1:$1048576,R$2,FALSE)</f>
        <v>2532.2162170000001</v>
      </c>
      <c r="S104" s="111">
        <f>+VLOOKUP($E104,Hybrid!$1:$1048576,S$2,FALSE)</f>
        <v>2538.546758</v>
      </c>
      <c r="T104" s="111">
        <f>+VLOOKUP($E104,Hybrid!$1:$1048576,T$2,FALSE)</f>
        <v>2544.8931250000001</v>
      </c>
      <c r="U104" s="111">
        <f>+VLOOKUP($E104,Hybrid!$1:$1048576,U$2,FALSE)</f>
        <v>2551.2553579999999</v>
      </c>
      <c r="V104" s="111">
        <f>+VLOOKUP($E104,Hybrid!$1:$1048576,V$2,FALSE)</f>
        <v>2557.6334959999999</v>
      </c>
      <c r="W104" s="111">
        <f>+VLOOKUP($E104,Hybrid!$1:$1048576,W$2,FALSE)</f>
        <v>2564.0275799999999</v>
      </c>
      <c r="X104" s="111">
        <f>+VLOOKUP($E104,Hybrid!$1:$1048576,X$2,FALSE)</f>
        <v>2570.437649</v>
      </c>
      <c r="Y104" s="111">
        <f>+VLOOKUP($E104,Hybrid!$1:$1048576,Y$2,FALSE)</f>
        <v>2576.8637429999999</v>
      </c>
      <c r="Z104" s="111">
        <f>+VLOOKUP($E104,Hybrid!$1:$1048576,Z$2,FALSE)</f>
        <v>2583.3059020000001</v>
      </c>
      <c r="AA104" s="111">
        <f>+VLOOKUP($E104,Hybrid!$1:$1048576,AA$2,FALSE)</f>
        <v>2589.7641669999998</v>
      </c>
      <c r="AB104" s="111">
        <f>+VLOOKUP($E104,Hybrid!$1:$1048576,AB$2,FALSE)</f>
        <v>2596.2385770000001</v>
      </c>
      <c r="AC104" s="111">
        <f>+VLOOKUP($E104,Hybrid!$1:$1048576,AC$2,FALSE)</f>
        <v>2602.7291740000001</v>
      </c>
      <c r="AD104" s="111">
        <f>+VLOOKUP($E104,Hybrid!$1:$1048576,AD$2,FALSE)</f>
        <v>2609.2359970000002</v>
      </c>
      <c r="AE104" s="111">
        <f>+VLOOKUP($E104,Hybrid!$1:$1048576,AE$2,FALSE)</f>
        <v>2615.7590869999999</v>
      </c>
      <c r="AF104" s="111">
        <f>+VLOOKUP($E104,Hybrid!$1:$1048576,AF$2,FALSE)</f>
        <v>2622.2984839999999</v>
      </c>
      <c r="AG104" s="111">
        <f>+VLOOKUP($E104,Hybrid!$1:$1048576,AG$2,FALSE)</f>
        <v>2628.8542309999998</v>
      </c>
      <c r="AH104" s="111">
        <f>+VLOOKUP($E104,Hybrid!$1:$1048576,AH$2,FALSE)</f>
        <v>2635.4263660000001</v>
      </c>
      <c r="AI104" s="111">
        <f>+VLOOKUP($E104,Hybrid!$1:$1048576,AI$2,FALSE)</f>
        <v>2642.014932</v>
      </c>
      <c r="AJ104" s="111">
        <f>+VLOOKUP($E104,Hybrid!$1:$1048576,AJ$2,FALSE)</f>
        <v>2648.6199700000002</v>
      </c>
      <c r="AK104" s="111">
        <f>+VLOOKUP($E104,Hybrid!$1:$1048576,AK$2,FALSE)</f>
        <v>2655.2415190000002</v>
      </c>
      <c r="AL104" s="111">
        <f>+VLOOKUP($E104,Hybrid!$1:$1048576,AL$2,FALSE)</f>
        <v>2661.8796229999998</v>
      </c>
      <c r="AM104" s="111">
        <f>+VLOOKUP($E104,Hybrid!$1:$1048576,AM$2,FALSE)</f>
        <v>2668.534322</v>
      </c>
      <c r="AN104" s="111">
        <f>+VLOOKUP($E104,Hybrid!$1:$1048576,AN$2,FALSE)</f>
        <v>2675.2056579999999</v>
      </c>
      <c r="AO104" s="111">
        <f>+VLOOKUP($E104,Hybrid!$1:$1048576,AO$2,FALSE)</f>
        <v>2681.8936720000002</v>
      </c>
    </row>
    <row r="105" spans="1:43" ht="15" customHeight="1" x14ac:dyDescent="0.25">
      <c r="A105" s="316"/>
      <c r="B105" s="314"/>
      <c r="C105" s="127"/>
      <c r="D105" s="127" t="s">
        <v>540</v>
      </c>
      <c r="E105" s="47" t="s">
        <v>453</v>
      </c>
      <c r="F105" s="73">
        <f>+VLOOKUP($E105,Hybrid!$1:$1048576,F$2,FALSE)</f>
        <v>3.476542051</v>
      </c>
      <c r="G105" s="73">
        <f>+VLOOKUP($E105,Hybrid!$1:$1048576,G$2,FALSE)</f>
        <v>5.5991122850000004</v>
      </c>
      <c r="H105" s="73">
        <f>+VLOOKUP($E105,Hybrid!$1:$1048576,H$2,FALSE)</f>
        <v>7.7010989729999997</v>
      </c>
      <c r="I105" s="73">
        <f>+VLOOKUP($E105,Hybrid!$1:$1048576,I$2,FALSE)</f>
        <v>9.7827382830000005</v>
      </c>
      <c r="J105" s="73">
        <f>+VLOOKUP($E105,Hybrid!$1:$1048576,J$2,FALSE)</f>
        <v>11.844296630000001</v>
      </c>
      <c r="K105" s="73">
        <f>+VLOOKUP($E105,Hybrid!$1:$1048576,K$2,FALSE)</f>
        <v>13.88576879</v>
      </c>
      <c r="L105" s="73">
        <f>+VLOOKUP($E105,Hybrid!$1:$1048576,L$2,FALSE)</f>
        <v>15.907078820000001</v>
      </c>
      <c r="M105" s="73">
        <f>+VLOOKUP($E105,Hybrid!$1:$1048576,M$2,FALSE)</f>
        <v>17.908692800000001</v>
      </c>
      <c r="N105" s="73">
        <f>+VLOOKUP($E105,Hybrid!$1:$1048576,N$2,FALSE)</f>
        <v>19.891430660000001</v>
      </c>
      <c r="O105" s="73">
        <f>+VLOOKUP($E105,Hybrid!$1:$1048576,O$2,FALSE)</f>
        <v>21.8558187</v>
      </c>
      <c r="P105" s="73">
        <f>+VLOOKUP($E105,Hybrid!$1:$1048576,P$2,FALSE)</f>
        <v>23.80203586</v>
      </c>
      <c r="Q105" s="73">
        <f>+VLOOKUP($E105,Hybrid!$1:$1048576,Q$2,FALSE)</f>
        <v>25.730014489999999</v>
      </c>
      <c r="R105" s="73">
        <f>+VLOOKUP($E105,Hybrid!$1:$1048576,R$2,FALSE)</f>
        <v>27.63954713</v>
      </c>
      <c r="S105" s="73">
        <f>+VLOOKUP($E105,Hybrid!$1:$1048576,S$2,FALSE)</f>
        <v>29.530363739999999</v>
      </c>
      <c r="T105" s="73">
        <f>+VLOOKUP($E105,Hybrid!$1:$1048576,T$2,FALSE)</f>
        <v>31.40218136</v>
      </c>
      <c r="U105" s="73">
        <f>+VLOOKUP($E105,Hybrid!$1:$1048576,U$2,FALSE)</f>
        <v>33.254736979999997</v>
      </c>
      <c r="V105" s="73">
        <f>+VLOOKUP($E105,Hybrid!$1:$1048576,V$2,FALSE)</f>
        <v>35.087920879999999</v>
      </c>
      <c r="W105" s="73">
        <f>+VLOOKUP($E105,Hybrid!$1:$1048576,W$2,FALSE)</f>
        <v>36.902126979999998</v>
      </c>
      <c r="X105" s="73">
        <f>+VLOOKUP($E105,Hybrid!$1:$1048576,X$2,FALSE)</f>
        <v>38.698126350000003</v>
      </c>
      <c r="Y105" s="73">
        <f>+VLOOKUP($E105,Hybrid!$1:$1048576,Y$2,FALSE)</f>
        <v>40.47661849</v>
      </c>
      <c r="Z105" s="73">
        <f>+VLOOKUP($E105,Hybrid!$1:$1048576,Z$2,FALSE)</f>
        <v>42.23814359</v>
      </c>
      <c r="AA105" s="73">
        <f>+VLOOKUP($E105,Hybrid!$1:$1048576,AA$2,FALSE)</f>
        <v>43.983107779999997</v>
      </c>
      <c r="AB105" s="73">
        <f>+VLOOKUP($E105,Hybrid!$1:$1048576,AB$2,FALSE)</f>
        <v>45.711828650000001</v>
      </c>
      <c r="AC105" s="73">
        <f>+VLOOKUP($E105,Hybrid!$1:$1048576,AC$2,FALSE)</f>
        <v>47.424571929999999</v>
      </c>
      <c r="AD105" s="73">
        <f>+VLOOKUP($E105,Hybrid!$1:$1048576,AD$2,FALSE)</f>
        <v>49.121574750000001</v>
      </c>
      <c r="AE105" s="73">
        <f>+VLOOKUP($E105,Hybrid!$1:$1048576,AE$2,FALSE)</f>
        <v>50.803058020000002</v>
      </c>
      <c r="AF105" s="73">
        <f>+VLOOKUP($E105,Hybrid!$1:$1048576,AF$2,FALSE)</f>
        <v>52.469232040000001</v>
      </c>
      <c r="AG105" s="73">
        <f>+VLOOKUP($E105,Hybrid!$1:$1048576,AG$2,FALSE)</f>
        <v>54.120298419999997</v>
      </c>
      <c r="AH105" s="73">
        <f>+VLOOKUP($E105,Hybrid!$1:$1048576,AH$2,FALSE)</f>
        <v>55.756450430000001</v>
      </c>
      <c r="AI105" s="73">
        <f>+VLOOKUP($E105,Hybrid!$1:$1048576,AI$2,FALSE)</f>
        <v>57.377872850000003</v>
      </c>
      <c r="AJ105" s="73">
        <f>+VLOOKUP($E105,Hybrid!$1:$1048576,AJ$2,FALSE)</f>
        <v>58.98474186</v>
      </c>
      <c r="AK105" s="73">
        <f>+VLOOKUP($E105,Hybrid!$1:$1048576,AK$2,FALSE)</f>
        <v>60.577225300000002</v>
      </c>
      <c r="AL105" s="73">
        <f>+VLOOKUP($E105,Hybrid!$1:$1048576,AL$2,FALSE)</f>
        <v>62.155483089999997</v>
      </c>
      <c r="AM105" s="73">
        <f>+VLOOKUP($E105,Hybrid!$1:$1048576,AM$2,FALSE)</f>
        <v>63.719667899999997</v>
      </c>
      <c r="AN105" s="73">
        <f>+VLOOKUP($E105,Hybrid!$1:$1048576,AN$2,FALSE)</f>
        <v>65.269925990000004</v>
      </c>
      <c r="AO105" s="73">
        <f>+VLOOKUP($E105,Hybrid!$1:$1048576,AO$2,FALSE)</f>
        <v>66.80639798</v>
      </c>
      <c r="AP105" s="73"/>
      <c r="AQ105" s="73"/>
    </row>
    <row r="106" spans="1:43" ht="15" customHeight="1" x14ac:dyDescent="0.25">
      <c r="A106" s="316"/>
      <c r="B106" s="314"/>
      <c r="C106" s="127"/>
      <c r="D106" s="127" t="s">
        <v>541</v>
      </c>
      <c r="E106" s="47" t="s">
        <v>454</v>
      </c>
      <c r="F106" s="73">
        <f>+VLOOKUP($E106,Hybrid!$1:$1048576,F$2,FALSE)</f>
        <v>68.80476281</v>
      </c>
      <c r="G106" s="73">
        <f>+VLOOKUP($E106,Hybrid!$1:$1048576,G$2,FALSE)</f>
        <v>76.774266659999995</v>
      </c>
      <c r="H106" s="73">
        <f>+VLOOKUP($E106,Hybrid!$1:$1048576,H$2,FALSE)</f>
        <v>84.695532490000005</v>
      </c>
      <c r="I106" s="73">
        <f>+VLOOKUP($E106,Hybrid!$1:$1048576,I$2,FALSE)</f>
        <v>92.573301439999994</v>
      </c>
      <c r="J106" s="73">
        <f>+VLOOKUP($E106,Hybrid!$1:$1048576,J$2,FALSE)</f>
        <v>100.41090509999999</v>
      </c>
      <c r="K106" s="73">
        <f>+VLOOKUP($E106,Hybrid!$1:$1048576,K$2,FALSE)</f>
        <v>108.21146330000001</v>
      </c>
      <c r="L106" s="73">
        <f>+VLOOKUP($E106,Hybrid!$1:$1048576,L$2,FALSE)</f>
        <v>115.978041</v>
      </c>
      <c r="M106" s="73">
        <f>+VLOOKUP($E106,Hybrid!$1:$1048576,M$2,FALSE)</f>
        <v>123.711482</v>
      </c>
      <c r="N106" s="73">
        <f>+VLOOKUP($E106,Hybrid!$1:$1048576,N$2,FALSE)</f>
        <v>131.40979899999999</v>
      </c>
      <c r="O106" s="73">
        <f>+VLOOKUP($E106,Hybrid!$1:$1048576,O$2,FALSE)</f>
        <v>139.07021180000001</v>
      </c>
      <c r="P106" s="73">
        <f>+VLOOKUP($E106,Hybrid!$1:$1048576,P$2,FALSE)</f>
        <v>146.69061629999999</v>
      </c>
      <c r="Q106" s="73">
        <f>+VLOOKUP($E106,Hybrid!$1:$1048576,Q$2,FALSE)</f>
        <v>154.27034810000001</v>
      </c>
      <c r="R106" s="73">
        <f>+VLOOKUP($E106,Hybrid!$1:$1048576,R$2,FALSE)</f>
        <v>161.81041200000001</v>
      </c>
      <c r="S106" s="73">
        <f>+VLOOKUP($E106,Hybrid!$1:$1048576,S$2,FALSE)</f>
        <v>169.3133837</v>
      </c>
      <c r="T106" s="73">
        <f>+VLOOKUP($E106,Hybrid!$1:$1048576,T$2,FALSE)</f>
        <v>176.7831362</v>
      </c>
      <c r="U106" s="73">
        <f>+VLOOKUP($E106,Hybrid!$1:$1048576,U$2,FALSE)</f>
        <v>184.22448549999999</v>
      </c>
      <c r="V106" s="73">
        <f>+VLOOKUP($E106,Hybrid!$1:$1048576,V$2,FALSE)</f>
        <v>191.6423815</v>
      </c>
      <c r="W106" s="73">
        <f>+VLOOKUP($E106,Hybrid!$1:$1048576,W$2,FALSE)</f>
        <v>199.0398658</v>
      </c>
      <c r="X106" s="73">
        <f>+VLOOKUP($E106,Hybrid!$1:$1048576,X$2,FALSE)</f>
        <v>206.4170641</v>
      </c>
      <c r="Y106" s="73">
        <f>+VLOOKUP($E106,Hybrid!$1:$1048576,Y$2,FALSE)</f>
        <v>213.77217139999999</v>
      </c>
      <c r="Z106" s="73">
        <f>+VLOOKUP($E106,Hybrid!$1:$1048576,Z$2,FALSE)</f>
        <v>221.10242210000001</v>
      </c>
      <c r="AA106" s="73">
        <f>+VLOOKUP($E106,Hybrid!$1:$1048576,AA$2,FALSE)</f>
        <v>228.40478490000001</v>
      </c>
      <c r="AB106" s="73">
        <f>+VLOOKUP($E106,Hybrid!$1:$1048576,AB$2,FALSE)</f>
        <v>235.6763771</v>
      </c>
      <c r="AC106" s="73">
        <f>+VLOOKUP($E106,Hybrid!$1:$1048576,AC$2,FALSE)</f>
        <v>242.9146686</v>
      </c>
      <c r="AD106" s="73">
        <f>+VLOOKUP($E106,Hybrid!$1:$1048576,AD$2,FALSE)</f>
        <v>250.11755109999999</v>
      </c>
      <c r="AE106" s="73">
        <f>+VLOOKUP($E106,Hybrid!$1:$1048576,AE$2,FALSE)</f>
        <v>257.28333149999997</v>
      </c>
      <c r="AF106" s="73">
        <f>+VLOOKUP($E106,Hybrid!$1:$1048576,AF$2,FALSE)</f>
        <v>264.41068860000001</v>
      </c>
      <c r="AG106" s="73">
        <f>+VLOOKUP($E106,Hybrid!$1:$1048576,AG$2,FALSE)</f>
        <v>271.49861659999999</v>
      </c>
      <c r="AH106" s="73">
        <f>+VLOOKUP($E106,Hybrid!$1:$1048576,AH$2,FALSE)</f>
        <v>278.5463694</v>
      </c>
      <c r="AI106" s="73">
        <f>+VLOOKUP($E106,Hybrid!$1:$1048576,AI$2,FALSE)</f>
        <v>285.55341060000001</v>
      </c>
      <c r="AJ106" s="73">
        <f>+VLOOKUP($E106,Hybrid!$1:$1048576,AJ$2,FALSE)</f>
        <v>292.51937099999998</v>
      </c>
      <c r="AK106" s="73">
        <f>+VLOOKUP($E106,Hybrid!$1:$1048576,AK$2,FALSE)</f>
        <v>299.44401499999998</v>
      </c>
      <c r="AL106" s="73">
        <f>+VLOOKUP($E106,Hybrid!$1:$1048576,AL$2,FALSE)</f>
        <v>306.32721379999998</v>
      </c>
      <c r="AM106" s="73">
        <f>+VLOOKUP($E106,Hybrid!$1:$1048576,AM$2,FALSE)</f>
        <v>313.16892410000003</v>
      </c>
      <c r="AN106" s="73">
        <f>+VLOOKUP($E106,Hybrid!$1:$1048576,AN$2,FALSE)</f>
        <v>319.96917189999999</v>
      </c>
      <c r="AO106" s="73">
        <f>+VLOOKUP($E106,Hybrid!$1:$1048576,AO$2,FALSE)</f>
        <v>326.72803959999999</v>
      </c>
      <c r="AP106" s="73"/>
      <c r="AQ106" s="73"/>
    </row>
    <row r="107" spans="1:43" ht="15" customHeight="1" x14ac:dyDescent="0.25">
      <c r="A107" s="316"/>
      <c r="B107" s="314"/>
      <c r="C107" s="127"/>
      <c r="D107" s="127" t="s">
        <v>542</v>
      </c>
      <c r="E107" s="47" t="s">
        <v>455</v>
      </c>
      <c r="F107" s="73">
        <f>+VLOOKUP($E107,Hybrid!$1:$1048576,F$2,FALSE)</f>
        <v>408.28039699999999</v>
      </c>
      <c r="G107" s="73">
        <f>+VLOOKUP($E107,Hybrid!$1:$1048576,G$2,FALSE)</f>
        <v>424.07498500000003</v>
      </c>
      <c r="H107" s="73">
        <f>+VLOOKUP($E107,Hybrid!$1:$1048576,H$2,FALSE)</f>
        <v>439.74758329999997</v>
      </c>
      <c r="I107" s="73">
        <f>+VLOOKUP($E107,Hybrid!$1:$1048576,I$2,FALSE)</f>
        <v>455.29549209999999</v>
      </c>
      <c r="J107" s="73">
        <f>+VLOOKUP($E107,Hybrid!$1:$1048576,J$2,FALSE)</f>
        <v>470.7172668</v>
      </c>
      <c r="K107" s="73">
        <f>+VLOOKUP($E107,Hybrid!$1:$1048576,K$2,FALSE)</f>
        <v>486.01122820000001</v>
      </c>
      <c r="L107" s="73">
        <f>+VLOOKUP($E107,Hybrid!$1:$1048576,L$2,FALSE)</f>
        <v>501.17559139999997</v>
      </c>
      <c r="M107" s="73">
        <f>+VLOOKUP($E107,Hybrid!$1:$1048576,M$2,FALSE)</f>
        <v>516.21132750000004</v>
      </c>
      <c r="N107" s="73">
        <f>+VLOOKUP($E107,Hybrid!$1:$1048576,N$2,FALSE)</f>
        <v>531.12268700000004</v>
      </c>
      <c r="O107" s="73">
        <f>+VLOOKUP($E107,Hybrid!$1:$1048576,O$2,FALSE)</f>
        <v>545.91460459999996</v>
      </c>
      <c r="P107" s="73">
        <f>+VLOOKUP($E107,Hybrid!$1:$1048576,P$2,FALSE)</f>
        <v>560.59113139999999</v>
      </c>
      <c r="Q107" s="73">
        <f>+VLOOKUP($E107,Hybrid!$1:$1048576,Q$2,FALSE)</f>
        <v>575.15469880000001</v>
      </c>
      <c r="R107" s="73">
        <f>+VLOOKUP($E107,Hybrid!$1:$1048576,R$2,FALSE)</f>
        <v>589.60593510000001</v>
      </c>
      <c r="S107" s="73">
        <f>+VLOOKUP($E107,Hybrid!$1:$1048576,S$2,FALSE)</f>
        <v>603.94380850000005</v>
      </c>
      <c r="T107" s="73">
        <f>+VLOOKUP($E107,Hybrid!$1:$1048576,T$2,FALSE)</f>
        <v>618.16594840000005</v>
      </c>
      <c r="U107" s="73">
        <f>+VLOOKUP($E107,Hybrid!$1:$1048576,U$2,FALSE)</f>
        <v>632.26905490000001</v>
      </c>
      <c r="V107" s="73">
        <f>+VLOOKUP($E107,Hybrid!$1:$1048576,V$2,FALSE)</f>
        <v>646.24983699999996</v>
      </c>
      <c r="W107" s="73">
        <f>+VLOOKUP($E107,Hybrid!$1:$1048576,W$2,FALSE)</f>
        <v>660.10727789999999</v>
      </c>
      <c r="X107" s="73">
        <f>+VLOOKUP($E107,Hybrid!$1:$1048576,X$2,FALSE)</f>
        <v>673.84350810000001</v>
      </c>
      <c r="Y107" s="73">
        <f>+VLOOKUP($E107,Hybrid!$1:$1048576,Y$2,FALSE)</f>
        <v>687.46254429999999</v>
      </c>
      <c r="Z107" s="73">
        <f>+VLOOKUP($E107,Hybrid!$1:$1048576,Z$2,FALSE)</f>
        <v>700.96926359999998</v>
      </c>
      <c r="AA107" s="73">
        <f>+VLOOKUP($E107,Hybrid!$1:$1048576,AA$2,FALSE)</f>
        <v>714.36871559999997</v>
      </c>
      <c r="AB107" s="73">
        <f>+VLOOKUP($E107,Hybrid!$1:$1048576,AB$2,FALSE)</f>
        <v>727.66572540000004</v>
      </c>
      <c r="AC107" s="73">
        <f>+VLOOKUP($E107,Hybrid!$1:$1048576,AC$2,FALSE)</f>
        <v>740.86469980000004</v>
      </c>
      <c r="AD107" s="73">
        <f>+VLOOKUP($E107,Hybrid!$1:$1048576,AD$2,FALSE)</f>
        <v>753.96956339999997</v>
      </c>
      <c r="AE107" s="73">
        <f>+VLOOKUP($E107,Hybrid!$1:$1048576,AE$2,FALSE)</f>
        <v>766.98376840000003</v>
      </c>
      <c r="AF107" s="73">
        <f>+VLOOKUP($E107,Hybrid!$1:$1048576,AF$2,FALSE)</f>
        <v>779.91034030000003</v>
      </c>
      <c r="AG107" s="73">
        <f>+VLOOKUP($E107,Hybrid!$1:$1048576,AG$2,FALSE)</f>
        <v>792.75193660000002</v>
      </c>
      <c r="AH107" s="73">
        <f>+VLOOKUP($E107,Hybrid!$1:$1048576,AH$2,FALSE)</f>
        <v>805.51090739999995</v>
      </c>
      <c r="AI107" s="73">
        <f>+VLOOKUP($E107,Hybrid!$1:$1048576,AI$2,FALSE)</f>
        <v>818.18934939999997</v>
      </c>
      <c r="AJ107" s="73">
        <f>+VLOOKUP($E107,Hybrid!$1:$1048576,AJ$2,FALSE)</f>
        <v>830.78915229999996</v>
      </c>
      <c r="AK107" s="73">
        <f>+VLOOKUP($E107,Hybrid!$1:$1048576,AK$2,FALSE)</f>
        <v>843.31203719999996</v>
      </c>
      <c r="AL107" s="73">
        <f>+VLOOKUP($E107,Hybrid!$1:$1048576,AL$2,FALSE)</f>
        <v>855.75958709999998</v>
      </c>
      <c r="AM107" s="73">
        <f>+VLOOKUP($E107,Hybrid!$1:$1048576,AM$2,FALSE)</f>
        <v>868.13327179999999</v>
      </c>
      <c r="AN107" s="73">
        <f>+VLOOKUP($E107,Hybrid!$1:$1048576,AN$2,FALSE)</f>
        <v>880.43446630000005</v>
      </c>
      <c r="AO107" s="73">
        <f>+VLOOKUP($E107,Hybrid!$1:$1048576,AO$2,FALSE)</f>
        <v>892.66446659999997</v>
      </c>
      <c r="AP107" s="73"/>
      <c r="AQ107" s="73"/>
    </row>
    <row r="108" spans="1:43" ht="15" customHeight="1" x14ac:dyDescent="0.25">
      <c r="A108" s="316"/>
      <c r="B108" s="314"/>
      <c r="C108" s="127"/>
      <c r="D108" s="127" t="s">
        <v>543</v>
      </c>
      <c r="E108" s="47" t="s">
        <v>456</v>
      </c>
      <c r="F108" s="73">
        <f>+VLOOKUP($E108,Hybrid!$1:$1048576,F$2,FALSE)</f>
        <v>954.38155940000001</v>
      </c>
      <c r="G108" s="73">
        <f>+VLOOKUP($E108,Hybrid!$1:$1048576,G$2,FALSE)</f>
        <v>947.51893399999994</v>
      </c>
      <c r="H108" s="73">
        <f>+VLOOKUP($E108,Hybrid!$1:$1048576,H$2,FALSE)</f>
        <v>940.69733710000003</v>
      </c>
      <c r="I108" s="73">
        <f>+VLOOKUP($E108,Hybrid!$1:$1048576,I$2,FALSE)</f>
        <v>933.91695400000003</v>
      </c>
      <c r="J108" s="73">
        <f>+VLOOKUP($E108,Hybrid!$1:$1048576,J$2,FALSE)</f>
        <v>927.17797680000001</v>
      </c>
      <c r="K108" s="73">
        <f>+VLOOKUP($E108,Hybrid!$1:$1048576,K$2,FALSE)</f>
        <v>920.48142849999999</v>
      </c>
      <c r="L108" s="73">
        <f>+VLOOKUP($E108,Hybrid!$1:$1048576,L$2,FALSE)</f>
        <v>913.82859499999995</v>
      </c>
      <c r="M108" s="73">
        <f>+VLOOKUP($E108,Hybrid!$1:$1048576,M$2,FALSE)</f>
        <v>907.21924000000001</v>
      </c>
      <c r="N108" s="73">
        <f>+VLOOKUP($E108,Hybrid!$1:$1048576,N$2,FALSE)</f>
        <v>900.6518777</v>
      </c>
      <c r="O108" s="73">
        <f>+VLOOKUP($E108,Hybrid!$1:$1048576,O$2,FALSE)</f>
        <v>894.12545239999997</v>
      </c>
      <c r="P108" s="73">
        <f>+VLOOKUP($E108,Hybrid!$1:$1048576,P$2,FALSE)</f>
        <v>887.63965089999999</v>
      </c>
      <c r="Q108" s="73">
        <f>+VLOOKUP($E108,Hybrid!$1:$1048576,Q$2,FALSE)</f>
        <v>881.19480429999999</v>
      </c>
      <c r="R108" s="73">
        <f>+VLOOKUP($E108,Hybrid!$1:$1048576,R$2,FALSE)</f>
        <v>874.79171540000004</v>
      </c>
      <c r="S108" s="73">
        <f>+VLOOKUP($E108,Hybrid!$1:$1048576,S$2,FALSE)</f>
        <v>868.43150879999996</v>
      </c>
      <c r="T108" s="73">
        <f>+VLOOKUP($E108,Hybrid!$1:$1048576,T$2,FALSE)</f>
        <v>862.11551029999998</v>
      </c>
      <c r="U108" s="73">
        <f>+VLOOKUP($E108,Hybrid!$1:$1048576,U$2,FALSE)</f>
        <v>855.84514200000001</v>
      </c>
      <c r="V108" s="73">
        <f>+VLOOKUP($E108,Hybrid!$1:$1048576,V$2,FALSE)</f>
        <v>849.62153020000005</v>
      </c>
      <c r="W108" s="73">
        <f>+VLOOKUP($E108,Hybrid!$1:$1048576,W$2,FALSE)</f>
        <v>843.44448</v>
      </c>
      <c r="X108" s="73">
        <f>+VLOOKUP($E108,Hybrid!$1:$1048576,X$2,FALSE)</f>
        <v>837.31260759999998</v>
      </c>
      <c r="Y108" s="73">
        <f>+VLOOKUP($E108,Hybrid!$1:$1048576,Y$2,FALSE)</f>
        <v>831.22440719999997</v>
      </c>
      <c r="Z108" s="73">
        <f>+VLOOKUP($E108,Hybrid!$1:$1048576,Z$2,FALSE)</f>
        <v>825.17854239999997</v>
      </c>
      <c r="AA108" s="73">
        <f>+VLOOKUP($E108,Hybrid!$1:$1048576,AA$2,FALSE)</f>
        <v>819.1738742</v>
      </c>
      <c r="AB108" s="73">
        <f>+VLOOKUP($E108,Hybrid!$1:$1048576,AB$2,FALSE)</f>
        <v>813.20942190000005</v>
      </c>
      <c r="AC108" s="73">
        <f>+VLOOKUP($E108,Hybrid!$1:$1048576,AC$2,FALSE)</f>
        <v>807.28432439999995</v>
      </c>
      <c r="AD108" s="73">
        <f>+VLOOKUP($E108,Hybrid!$1:$1048576,AD$2,FALSE)</f>
        <v>801.39781479999999</v>
      </c>
      <c r="AE108" s="73">
        <f>+VLOOKUP($E108,Hybrid!$1:$1048576,AE$2,FALSE)</f>
        <v>795.54920609999999</v>
      </c>
      <c r="AF108" s="73">
        <f>+VLOOKUP($E108,Hybrid!$1:$1048576,AF$2,FALSE)</f>
        <v>789.73788449999995</v>
      </c>
      <c r="AG108" s="73">
        <f>+VLOOKUP($E108,Hybrid!$1:$1048576,AG$2,FALSE)</f>
        <v>783.96330330000001</v>
      </c>
      <c r="AH108" s="73">
        <f>+VLOOKUP($E108,Hybrid!$1:$1048576,AH$2,FALSE)</f>
        <v>778.22497920000001</v>
      </c>
      <c r="AI108" s="73">
        <f>+VLOOKUP($E108,Hybrid!$1:$1048576,AI$2,FALSE)</f>
        <v>772.52248669999994</v>
      </c>
      <c r="AJ108" s="73">
        <f>+VLOOKUP($E108,Hybrid!$1:$1048576,AJ$2,FALSE)</f>
        <v>766.85545290000005</v>
      </c>
      <c r="AK108" s="73">
        <f>+VLOOKUP($E108,Hybrid!$1:$1048576,AK$2,FALSE)</f>
        <v>761.22355149999999</v>
      </c>
      <c r="AL108" s="73">
        <f>+VLOOKUP($E108,Hybrid!$1:$1048576,AL$2,FALSE)</f>
        <v>755.62649739999995</v>
      </c>
      <c r="AM108" s="73">
        <f>+VLOOKUP($E108,Hybrid!$1:$1048576,AM$2,FALSE)</f>
        <v>750.06404090000001</v>
      </c>
      <c r="AN108" s="73">
        <f>+VLOOKUP($E108,Hybrid!$1:$1048576,AN$2,FALSE)</f>
        <v>744.53596289999996</v>
      </c>
      <c r="AO108" s="73">
        <f>+VLOOKUP($E108,Hybrid!$1:$1048576,AO$2,FALSE)</f>
        <v>739.04207029999998</v>
      </c>
      <c r="AP108" s="73"/>
      <c r="AQ108" s="73"/>
    </row>
    <row r="109" spans="1:43" ht="15" customHeight="1" x14ac:dyDescent="0.25">
      <c r="A109" s="316"/>
      <c r="B109" s="314"/>
      <c r="C109" s="127"/>
      <c r="D109" s="127" t="s">
        <v>544</v>
      </c>
      <c r="E109" s="47" t="s">
        <v>457</v>
      </c>
      <c r="F109" s="73">
        <f>+VLOOKUP($E109,Hybrid!$1:$1048576,F$2,FALSE)</f>
        <v>878.79999729999997</v>
      </c>
      <c r="G109" s="73">
        <f>+VLOOKUP($E109,Hybrid!$1:$1048576,G$2,FALSE)</f>
        <v>867.96668339999997</v>
      </c>
      <c r="H109" s="73">
        <f>+VLOOKUP($E109,Hybrid!$1:$1048576,H$2,FALSE)</f>
        <v>857.2679263</v>
      </c>
      <c r="I109" s="73">
        <f>+VLOOKUP($E109,Hybrid!$1:$1048576,I$2,FALSE)</f>
        <v>846.70180649999998</v>
      </c>
      <c r="J109" s="73">
        <f>+VLOOKUP($E109,Hybrid!$1:$1048576,J$2,FALSE)</f>
        <v>836.26651449999997</v>
      </c>
      <c r="K109" s="73">
        <f>+VLOOKUP($E109,Hybrid!$1:$1048576,K$2,FALSE)</f>
        <v>825.96011910000004</v>
      </c>
      <c r="L109" s="73">
        <f>+VLOOKUP($E109,Hybrid!$1:$1048576,L$2,FALSE)</f>
        <v>815.78064810000001</v>
      </c>
      <c r="M109" s="73">
        <f>+VLOOKUP($E109,Hybrid!$1:$1048576,M$2,FALSE)</f>
        <v>805.72656859999995</v>
      </c>
      <c r="N109" s="73">
        <f>+VLOOKUP($E109,Hybrid!$1:$1048576,N$2,FALSE)</f>
        <v>795.79679020000003</v>
      </c>
      <c r="O109" s="73">
        <f>+VLOOKUP($E109,Hybrid!$1:$1048576,O$2,FALSE)</f>
        <v>785.99018530000001</v>
      </c>
      <c r="P109" s="73">
        <f>+VLOOKUP($E109,Hybrid!$1:$1048576,P$2,FALSE)</f>
        <v>776.30542609999998</v>
      </c>
      <c r="Q109" s="73">
        <f>+VLOOKUP($E109,Hybrid!$1:$1048576,Q$2,FALSE)</f>
        <v>766.74095650000004</v>
      </c>
      <c r="R109" s="73">
        <f>+VLOOKUP($E109,Hybrid!$1:$1048576,R$2,FALSE)</f>
        <v>757.29501049999999</v>
      </c>
      <c r="S109" s="73">
        <f>+VLOOKUP($E109,Hybrid!$1:$1048576,S$2,FALSE)</f>
        <v>747.96564130000002</v>
      </c>
      <c r="T109" s="73">
        <f>+VLOOKUP($E109,Hybrid!$1:$1048576,T$2,FALSE)</f>
        <v>738.75074529999995</v>
      </c>
      <c r="U109" s="73">
        <f>+VLOOKUP($E109,Hybrid!$1:$1048576,U$2,FALSE)</f>
        <v>729.6480798</v>
      </c>
      <c r="V109" s="73">
        <f>+VLOOKUP($E109,Hybrid!$1:$1048576,V$2,FALSE)</f>
        <v>720.65539249999995</v>
      </c>
      <c r="W109" s="73">
        <f>+VLOOKUP($E109,Hybrid!$1:$1048576,W$2,FALSE)</f>
        <v>711.77088049999998</v>
      </c>
      <c r="X109" s="73">
        <f>+VLOOKUP($E109,Hybrid!$1:$1048576,X$2,FALSE)</f>
        <v>702.99332049999998</v>
      </c>
      <c r="Y109" s="73">
        <f>+VLOOKUP($E109,Hybrid!$1:$1048576,Y$2,FALSE)</f>
        <v>694.32172379999997</v>
      </c>
      <c r="Z109" s="73">
        <f>+VLOOKUP($E109,Hybrid!$1:$1048576,Z$2,FALSE)</f>
        <v>685.75518629999999</v>
      </c>
      <c r="AA109" s="73">
        <f>+VLOOKUP($E109,Hybrid!$1:$1048576,AA$2,FALSE)</f>
        <v>677.29282720000003</v>
      </c>
      <c r="AB109" s="73">
        <f>+VLOOKUP($E109,Hybrid!$1:$1048576,AB$2,FALSE)</f>
        <v>668.93376469999998</v>
      </c>
      <c r="AC109" s="73">
        <f>+VLOOKUP($E109,Hybrid!$1:$1048576,AC$2,FALSE)</f>
        <v>660.67710790000001</v>
      </c>
      <c r="AD109" s="73">
        <f>+VLOOKUP($E109,Hybrid!$1:$1048576,AD$2,FALSE)</f>
        <v>652.52195340000003</v>
      </c>
      <c r="AE109" s="73">
        <f>+VLOOKUP($E109,Hybrid!$1:$1048576,AE$2,FALSE)</f>
        <v>644.46738440000001</v>
      </c>
      <c r="AF109" s="73">
        <f>+VLOOKUP($E109,Hybrid!$1:$1048576,AF$2,FALSE)</f>
        <v>636.51247020000005</v>
      </c>
      <c r="AG109" s="73">
        <f>+VLOOKUP($E109,Hybrid!$1:$1048576,AG$2,FALSE)</f>
        <v>628.65626669999995</v>
      </c>
      <c r="AH109" s="73">
        <f>+VLOOKUP($E109,Hybrid!$1:$1048576,AH$2,FALSE)</f>
        <v>620.89781700000003</v>
      </c>
      <c r="AI109" s="73">
        <f>+VLOOKUP($E109,Hybrid!$1:$1048576,AI$2,FALSE)</f>
        <v>613.23615270000005</v>
      </c>
      <c r="AJ109" s="73">
        <f>+VLOOKUP($E109,Hybrid!$1:$1048576,AJ$2,FALSE)</f>
        <v>605.67029490000004</v>
      </c>
      <c r="AK109" s="73">
        <f>+VLOOKUP($E109,Hybrid!$1:$1048576,AK$2,FALSE)</f>
        <v>598.19925590000003</v>
      </c>
      <c r="AL109" s="73">
        <f>+VLOOKUP($E109,Hybrid!$1:$1048576,AL$2,FALSE)</f>
        <v>590.82204079999997</v>
      </c>
      <c r="AM109" s="73">
        <f>+VLOOKUP($E109,Hybrid!$1:$1048576,AM$2,FALSE)</f>
        <v>583.53764899999999</v>
      </c>
      <c r="AN109" s="73">
        <f>+VLOOKUP($E109,Hybrid!$1:$1048576,AN$2,FALSE)</f>
        <v>576.34507589999998</v>
      </c>
      <c r="AO109" s="73">
        <f>+VLOOKUP($E109,Hybrid!$1:$1048576,AO$2,FALSE)</f>
        <v>569.24331419999999</v>
      </c>
      <c r="AP109" s="73"/>
      <c r="AQ109" s="73"/>
    </row>
    <row r="110" spans="1:43" ht="15" customHeight="1" x14ac:dyDescent="0.25">
      <c r="A110" s="316"/>
      <c r="B110" s="314"/>
      <c r="C110" s="127"/>
      <c r="D110" s="127" t="s">
        <v>545</v>
      </c>
      <c r="E110" s="47" t="s">
        <v>458</v>
      </c>
      <c r="F110" s="73">
        <f>+VLOOKUP($E110,Hybrid!$1:$1048576,F$2,FALSE)</f>
        <v>139.85209269999999</v>
      </c>
      <c r="G110" s="73">
        <f>+VLOOKUP($E110,Hybrid!$1:$1048576,G$2,FALSE)</f>
        <v>137.9553411</v>
      </c>
      <c r="H110" s="73">
        <f>+VLOOKUP($E110,Hybrid!$1:$1048576,H$2,FALSE)</f>
        <v>136.0829918</v>
      </c>
      <c r="I110" s="73">
        <f>+VLOOKUP($E110,Hybrid!$1:$1048576,I$2,FALSE)</f>
        <v>134.23479950000001</v>
      </c>
      <c r="J110" s="73">
        <f>+VLOOKUP($E110,Hybrid!$1:$1048576,J$2,FALSE)</f>
        <v>132.4105155</v>
      </c>
      <c r="K110" s="73">
        <f>+VLOOKUP($E110,Hybrid!$1:$1048576,K$2,FALSE)</f>
        <v>130.60988939999999</v>
      </c>
      <c r="L110" s="73">
        <f>+VLOOKUP($E110,Hybrid!$1:$1048576,L$2,FALSE)</f>
        <v>128.83267029999999</v>
      </c>
      <c r="M110" s="73">
        <f>+VLOOKUP($E110,Hybrid!$1:$1048576,M$2,FALSE)</f>
        <v>127.07860340000001</v>
      </c>
      <c r="N110" s="73">
        <f>+VLOOKUP($E110,Hybrid!$1:$1048576,N$2,FALSE)</f>
        <v>125.34743</v>
      </c>
      <c r="O110" s="73">
        <f>+VLOOKUP($E110,Hybrid!$1:$1048576,O$2,FALSE)</f>
        <v>123.63889229999999</v>
      </c>
      <c r="P110" s="73">
        <f>+VLOOKUP($E110,Hybrid!$1:$1048576,P$2,FALSE)</f>
        <v>121.9527358</v>
      </c>
      <c r="Q110" s="73">
        <f>+VLOOKUP($E110,Hybrid!$1:$1048576,Q$2,FALSE)</f>
        <v>120.2887096</v>
      </c>
      <c r="R110" s="73">
        <f>+VLOOKUP($E110,Hybrid!$1:$1048576,R$2,FALSE)</f>
        <v>118.6465664</v>
      </c>
      <c r="S110" s="73">
        <f>+VLOOKUP($E110,Hybrid!$1:$1048576,S$2,FALSE)</f>
        <v>117.0260626</v>
      </c>
      <c r="T110" s="73">
        <f>+VLOOKUP($E110,Hybrid!$1:$1048576,T$2,FALSE)</f>
        <v>115.4269571</v>
      </c>
      <c r="U110" s="73">
        <f>+VLOOKUP($E110,Hybrid!$1:$1048576,U$2,FALSE)</f>
        <v>113.8490123</v>
      </c>
      <c r="V110" s="73">
        <f>+VLOOKUP($E110,Hybrid!$1:$1048576,V$2,FALSE)</f>
        <v>112.2919923</v>
      </c>
      <c r="W110" s="73">
        <f>+VLOOKUP($E110,Hybrid!$1:$1048576,W$2,FALSE)</f>
        <v>110.75565810000001</v>
      </c>
      <c r="X110" s="73">
        <f>+VLOOKUP($E110,Hybrid!$1:$1048576,X$2,FALSE)</f>
        <v>109.23976519999999</v>
      </c>
      <c r="Y110" s="73">
        <f>+VLOOKUP($E110,Hybrid!$1:$1048576,Y$2,FALSE)</f>
        <v>107.74406690000001</v>
      </c>
      <c r="Z110" s="73">
        <f>+VLOOKUP($E110,Hybrid!$1:$1048576,Z$2,FALSE)</f>
        <v>106.2683167</v>
      </c>
      <c r="AA110" s="73">
        <f>+VLOOKUP($E110,Hybrid!$1:$1048576,AA$2,FALSE)</f>
        <v>104.8122697</v>
      </c>
      <c r="AB110" s="73">
        <f>+VLOOKUP($E110,Hybrid!$1:$1048576,AB$2,FALSE)</f>
        <v>103.375683</v>
      </c>
      <c r="AC110" s="73">
        <f>+VLOOKUP($E110,Hybrid!$1:$1048576,AC$2,FALSE)</f>
        <v>101.958316</v>
      </c>
      <c r="AD110" s="73">
        <f>+VLOOKUP($E110,Hybrid!$1:$1048576,AD$2,FALSE)</f>
        <v>100.5599309</v>
      </c>
      <c r="AE110" s="73">
        <f>+VLOOKUP($E110,Hybrid!$1:$1048576,AE$2,FALSE)</f>
        <v>99.180292399999999</v>
      </c>
      <c r="AF110" s="73">
        <f>+VLOOKUP($E110,Hybrid!$1:$1048576,AF$2,FALSE)</f>
        <v>97.819167820000004</v>
      </c>
      <c r="AG110" s="73">
        <f>+VLOOKUP($E110,Hybrid!$1:$1048576,AG$2,FALSE)</f>
        <v>96.476326990000004</v>
      </c>
      <c r="AH110" s="73">
        <f>+VLOOKUP($E110,Hybrid!$1:$1048576,AH$2,FALSE)</f>
        <v>95.151542190000001</v>
      </c>
      <c r="AI110" s="73">
        <f>+VLOOKUP($E110,Hybrid!$1:$1048576,AI$2,FALSE)</f>
        <v>93.844588099999996</v>
      </c>
      <c r="AJ110" s="73">
        <f>+VLOOKUP($E110,Hybrid!$1:$1048576,AJ$2,FALSE)</f>
        <v>92.555241769999995</v>
      </c>
      <c r="AK110" s="73">
        <f>+VLOOKUP($E110,Hybrid!$1:$1048576,AK$2,FALSE)</f>
        <v>91.28328252</v>
      </c>
      <c r="AL110" s="73">
        <f>+VLOOKUP($E110,Hybrid!$1:$1048576,AL$2,FALSE)</f>
        <v>90.028491939999995</v>
      </c>
      <c r="AM110" s="73">
        <f>+VLOOKUP($E110,Hybrid!$1:$1048576,AM$2,FALSE)</f>
        <v>88.790653840000004</v>
      </c>
      <c r="AN110" s="73">
        <f>+VLOOKUP($E110,Hybrid!$1:$1048576,AN$2,FALSE)</f>
        <v>87.569554240000002</v>
      </c>
      <c r="AO110" s="73">
        <f>+VLOOKUP($E110,Hybrid!$1:$1048576,AO$2,FALSE)</f>
        <v>86.364981290000003</v>
      </c>
      <c r="AP110" s="73"/>
      <c r="AQ110" s="73"/>
    </row>
    <row r="111" spans="1:43" ht="15" customHeight="1" x14ac:dyDescent="0.25">
      <c r="A111" s="316"/>
      <c r="B111" s="314"/>
      <c r="C111" s="173"/>
      <c r="D111" s="128" t="s">
        <v>546</v>
      </c>
      <c r="E111" s="52" t="s">
        <v>459</v>
      </c>
      <c r="F111" s="245">
        <f>+VLOOKUP($E111,Hybrid!$1:$1048576,F$2,FALSE)</f>
        <v>3.874567114</v>
      </c>
      <c r="G111" s="245">
        <f>+VLOOKUP($E111,Hybrid!$1:$1048576,G$2,FALSE)</f>
        <v>3.7242706779999999</v>
      </c>
      <c r="H111" s="245">
        <f>+VLOOKUP($E111,Hybrid!$1:$1048576,H$2,FALSE)</f>
        <v>3.5801571349999999</v>
      </c>
      <c r="I111" s="245">
        <f>+VLOOKUP($E111,Hybrid!$1:$1048576,I$2,FALSE)</f>
        <v>3.4419667719999998</v>
      </c>
      <c r="J111" s="245">
        <f>+VLOOKUP($E111,Hybrid!$1:$1048576,J$2,FALSE)</f>
        <v>3.3094508610000002</v>
      </c>
      <c r="K111" s="245">
        <f>+VLOOKUP($E111,Hybrid!$1:$1048576,K$2,FALSE)</f>
        <v>3.1823711970000002</v>
      </c>
      <c r="L111" s="245">
        <f>+VLOOKUP($E111,Hybrid!$1:$1048576,L$2,FALSE)</f>
        <v>3.0604996469999999</v>
      </c>
      <c r="M111" s="245">
        <f>+VLOOKUP($E111,Hybrid!$1:$1048576,M$2,FALSE)</f>
        <v>2.9436177290000001</v>
      </c>
      <c r="N111" s="245">
        <f>+VLOOKUP($E111,Hybrid!$1:$1048576,N$2,FALSE)</f>
        <v>2.8315161980000001</v>
      </c>
      <c r="O111" s="245">
        <f>+VLOOKUP($E111,Hybrid!$1:$1048576,O$2,FALSE)</f>
        <v>2.7239946530000001</v>
      </c>
      <c r="P111" s="245">
        <f>+VLOOKUP($E111,Hybrid!$1:$1048576,P$2,FALSE)</f>
        <v>2.6208611679999998</v>
      </c>
      <c r="Q111" s="245">
        <f>+VLOOKUP($E111,Hybrid!$1:$1048576,Q$2,FALSE)</f>
        <v>2.5219319269999998</v>
      </c>
      <c r="R111" s="245">
        <f>+VLOOKUP($E111,Hybrid!$1:$1048576,R$2,FALSE)</f>
        <v>2.427030883</v>
      </c>
      <c r="S111" s="245">
        <f>+VLOOKUP($E111,Hybrid!$1:$1048576,S$2,FALSE)</f>
        <v>2.3359894290000001</v>
      </c>
      <c r="T111" s="245">
        <f>+VLOOKUP($E111,Hybrid!$1:$1048576,T$2,FALSE)</f>
        <v>2.248646082</v>
      </c>
      <c r="U111" s="245">
        <f>+VLOOKUP($E111,Hybrid!$1:$1048576,U$2,FALSE)</f>
        <v>2.1648461810000001</v>
      </c>
      <c r="V111" s="245">
        <f>+VLOOKUP($E111,Hybrid!$1:$1048576,V$2,FALSE)</f>
        <v>2.0844416020000001</v>
      </c>
      <c r="W111" s="245">
        <f>+VLOOKUP($E111,Hybrid!$1:$1048576,W$2,FALSE)</f>
        <v>2.0072904739999999</v>
      </c>
      <c r="X111" s="245">
        <f>+VLOOKUP($E111,Hybrid!$1:$1048576,X$2,FALSE)</f>
        <v>1.9332569209999999</v>
      </c>
      <c r="Y111" s="245">
        <f>+VLOOKUP($E111,Hybrid!$1:$1048576,Y$2,FALSE)</f>
        <v>1.8622107999999999</v>
      </c>
      <c r="Z111" s="245">
        <f>+VLOOKUP($E111,Hybrid!$1:$1048576,Z$2,FALSE)</f>
        <v>1.7940274650000001</v>
      </c>
      <c r="AA111" s="245">
        <f>+VLOOKUP($E111,Hybrid!$1:$1048576,AA$2,FALSE)</f>
        <v>1.728587528</v>
      </c>
      <c r="AB111" s="245">
        <f>+VLOOKUP($E111,Hybrid!$1:$1048576,AB$2,FALSE)</f>
        <v>1.6657766389999999</v>
      </c>
      <c r="AC111" s="245">
        <f>+VLOOKUP($E111,Hybrid!$1:$1048576,AC$2,FALSE)</f>
        <v>1.6054852719999999</v>
      </c>
      <c r="AD111" s="245">
        <f>+VLOOKUP($E111,Hybrid!$1:$1048576,AD$2,FALSE)</f>
        <v>1.5476085230000001</v>
      </c>
      <c r="AE111" s="245">
        <f>+VLOOKUP($E111,Hybrid!$1:$1048576,AE$2,FALSE)</f>
        <v>1.492045909</v>
      </c>
      <c r="AF111" s="245">
        <f>+VLOOKUP($E111,Hybrid!$1:$1048576,AF$2,FALSE)</f>
        <v>1.438701185</v>
      </c>
      <c r="AG111" s="245">
        <f>+VLOOKUP($E111,Hybrid!$1:$1048576,AG$2,FALSE)</f>
        <v>1.3874821660000001</v>
      </c>
      <c r="AH111" s="245">
        <f>+VLOOKUP($E111,Hybrid!$1:$1048576,AH$2,FALSE)</f>
        <v>1.3383005480000001</v>
      </c>
      <c r="AI111" s="245">
        <f>+VLOOKUP($E111,Hybrid!$1:$1048576,AI$2,FALSE)</f>
        <v>1.2910717519999999</v>
      </c>
      <c r="AJ111" s="245">
        <f>+VLOOKUP($E111,Hybrid!$1:$1048576,AJ$2,FALSE)</f>
        <v>1.245714762</v>
      </c>
      <c r="AK111" s="245">
        <f>+VLOOKUP($E111,Hybrid!$1:$1048576,AK$2,FALSE)</f>
        <v>1.202151974</v>
      </c>
      <c r="AL111" s="245">
        <f>+VLOOKUP($E111,Hybrid!$1:$1048576,AL$2,FALSE)</f>
        <v>1.160309051</v>
      </c>
      <c r="AM111" s="245">
        <f>+VLOOKUP($E111,Hybrid!$1:$1048576,AM$2,FALSE)</f>
        <v>1.1201147899999999</v>
      </c>
      <c r="AN111" s="245">
        <f>+VLOOKUP($E111,Hybrid!$1:$1048576,AN$2,FALSE)</f>
        <v>1.081500981</v>
      </c>
      <c r="AO111" s="245">
        <f>+VLOOKUP($E111,Hybrid!$1:$1048576,AO$2,FALSE)</f>
        <v>1.0444022879999999</v>
      </c>
      <c r="AP111" s="73"/>
      <c r="AQ111" s="73"/>
    </row>
    <row r="112" spans="1:43" s="111" customFormat="1" ht="15" customHeight="1" x14ac:dyDescent="0.25">
      <c r="A112" s="316"/>
      <c r="B112" s="314"/>
      <c r="C112" s="126" t="s">
        <v>547</v>
      </c>
      <c r="D112" s="126"/>
      <c r="E112" s="92" t="s">
        <v>460</v>
      </c>
      <c r="F112" s="111">
        <f>+VLOOKUP($E112,Hybrid!$1:$1048576,F$2,FALSE)</f>
        <v>2457.4699179999998</v>
      </c>
      <c r="G112" s="111">
        <f>+VLOOKUP($E112,Hybrid!$1:$1048576,G$2,FALSE)</f>
        <v>2463.613593</v>
      </c>
      <c r="H112" s="111">
        <f>+VLOOKUP($E112,Hybrid!$1:$1048576,H$2,FALSE)</f>
        <v>2469.7726269999998</v>
      </c>
      <c r="I112" s="111">
        <f>+VLOOKUP($E112,Hybrid!$1:$1048576,I$2,FALSE)</f>
        <v>2475.9470590000001</v>
      </c>
      <c r="J112" s="111">
        <f>+VLOOKUP($E112,Hybrid!$1:$1048576,J$2,FALSE)</f>
        <v>2482.1369260000001</v>
      </c>
      <c r="K112" s="111">
        <f>+VLOOKUP($E112,Hybrid!$1:$1048576,K$2,FALSE)</f>
        <v>2488.3422690000002</v>
      </c>
      <c r="L112" s="111">
        <f>+VLOOKUP($E112,Hybrid!$1:$1048576,L$2,FALSE)</f>
        <v>2494.5631239999998</v>
      </c>
      <c r="M112" s="111">
        <f>+VLOOKUP($E112,Hybrid!$1:$1048576,M$2,FALSE)</f>
        <v>2500.799532</v>
      </c>
      <c r="N112" s="111">
        <f>+VLOOKUP($E112,Hybrid!$1:$1048576,N$2,FALSE)</f>
        <v>2507.0515310000001</v>
      </c>
      <c r="O112" s="111">
        <f>+VLOOKUP($E112,Hybrid!$1:$1048576,O$2,FALSE)</f>
        <v>2513.31916</v>
      </c>
      <c r="P112" s="111">
        <f>+VLOOKUP($E112,Hybrid!$1:$1048576,P$2,FALSE)</f>
        <v>2519.6024579999998</v>
      </c>
      <c r="Q112" s="111">
        <f>+VLOOKUP($E112,Hybrid!$1:$1048576,Q$2,FALSE)</f>
        <v>2525.901464</v>
      </c>
      <c r="R112" s="111">
        <f>+VLOOKUP($E112,Hybrid!$1:$1048576,R$2,FALSE)</f>
        <v>2532.2162170000001</v>
      </c>
      <c r="S112" s="111">
        <f>+VLOOKUP($E112,Hybrid!$1:$1048576,S$2,FALSE)</f>
        <v>2538.546758</v>
      </c>
      <c r="T112" s="111">
        <f>+VLOOKUP($E112,Hybrid!$1:$1048576,T$2,FALSE)</f>
        <v>2544.8931250000001</v>
      </c>
      <c r="U112" s="111">
        <f>+VLOOKUP($E112,Hybrid!$1:$1048576,U$2,FALSE)</f>
        <v>2551.2553579999999</v>
      </c>
      <c r="V112" s="111">
        <f>+VLOOKUP($E112,Hybrid!$1:$1048576,V$2,FALSE)</f>
        <v>2557.6334959999999</v>
      </c>
      <c r="W112" s="111">
        <f>+VLOOKUP($E112,Hybrid!$1:$1048576,W$2,FALSE)</f>
        <v>2564.0275799999999</v>
      </c>
      <c r="X112" s="111">
        <f>+VLOOKUP($E112,Hybrid!$1:$1048576,X$2,FALSE)</f>
        <v>2570.437649</v>
      </c>
      <c r="Y112" s="111">
        <f>+VLOOKUP($E112,Hybrid!$1:$1048576,Y$2,FALSE)</f>
        <v>2576.8637429999999</v>
      </c>
      <c r="Z112" s="111">
        <f>+VLOOKUP($E112,Hybrid!$1:$1048576,Z$2,FALSE)</f>
        <v>2583.3059020000001</v>
      </c>
      <c r="AA112" s="111">
        <f>+VLOOKUP($E112,Hybrid!$1:$1048576,AA$2,FALSE)</f>
        <v>2589.7641669999998</v>
      </c>
      <c r="AB112" s="111">
        <f>+VLOOKUP($E112,Hybrid!$1:$1048576,AB$2,FALSE)</f>
        <v>2596.2385770000001</v>
      </c>
      <c r="AC112" s="111">
        <f>+VLOOKUP($E112,Hybrid!$1:$1048576,AC$2,FALSE)</f>
        <v>2602.7291740000001</v>
      </c>
      <c r="AD112" s="111">
        <f>+VLOOKUP($E112,Hybrid!$1:$1048576,AD$2,FALSE)</f>
        <v>2609.2359970000002</v>
      </c>
      <c r="AE112" s="111">
        <f>+VLOOKUP($E112,Hybrid!$1:$1048576,AE$2,FALSE)</f>
        <v>2615.7590869999999</v>
      </c>
      <c r="AF112" s="111">
        <f>+VLOOKUP($E112,Hybrid!$1:$1048576,AF$2,FALSE)</f>
        <v>2622.2984839999999</v>
      </c>
      <c r="AG112" s="111">
        <f>+VLOOKUP($E112,Hybrid!$1:$1048576,AG$2,FALSE)</f>
        <v>2628.8542309999998</v>
      </c>
      <c r="AH112" s="111">
        <f>+VLOOKUP($E112,Hybrid!$1:$1048576,AH$2,FALSE)</f>
        <v>2635.4263660000001</v>
      </c>
      <c r="AI112" s="111">
        <f>+VLOOKUP($E112,Hybrid!$1:$1048576,AI$2,FALSE)</f>
        <v>2642.014932</v>
      </c>
      <c r="AJ112" s="111">
        <f>+VLOOKUP($E112,Hybrid!$1:$1048576,AJ$2,FALSE)</f>
        <v>2648.6199700000002</v>
      </c>
      <c r="AK112" s="111">
        <f>+VLOOKUP($E112,Hybrid!$1:$1048576,AK$2,FALSE)</f>
        <v>2655.2415190000002</v>
      </c>
      <c r="AL112" s="111">
        <f>+VLOOKUP($E112,Hybrid!$1:$1048576,AL$2,FALSE)</f>
        <v>2661.8796229999998</v>
      </c>
      <c r="AM112" s="111">
        <f>+VLOOKUP($E112,Hybrid!$1:$1048576,AM$2,FALSE)</f>
        <v>2668.534322</v>
      </c>
      <c r="AN112" s="111">
        <f>+VLOOKUP($E112,Hybrid!$1:$1048576,AN$2,FALSE)</f>
        <v>2675.2056579999999</v>
      </c>
      <c r="AO112" s="111">
        <f>+VLOOKUP($E112,Hybrid!$1:$1048576,AO$2,FALSE)</f>
        <v>2681.8936720000002</v>
      </c>
    </row>
    <row r="113" spans="1:41" ht="15" customHeight="1" x14ac:dyDescent="0.25">
      <c r="A113" s="316"/>
      <c r="B113" s="314"/>
      <c r="C113" s="127"/>
      <c r="D113" s="127" t="s">
        <v>540</v>
      </c>
      <c r="E113" s="47" t="s">
        <v>461</v>
      </c>
      <c r="F113" s="73">
        <f>+VLOOKUP($E113,Hybrid!$1:$1048576,F$2,FALSE)</f>
        <v>3.476542051</v>
      </c>
      <c r="G113" s="73">
        <f>+VLOOKUP($E113,Hybrid!$1:$1048576,G$2,FALSE)</f>
        <v>5.5995510140000002</v>
      </c>
      <c r="H113" s="73">
        <f>+VLOOKUP($E113,Hybrid!$1:$1048576,H$2,FALSE)</f>
        <v>7.7036304580000001</v>
      </c>
      <c r="I113" s="73">
        <f>+VLOOKUP($E113,Hybrid!$1:$1048576,I$2,FALSE)</f>
        <v>9.7889277490000008</v>
      </c>
      <c r="J113" s="73">
        <f>+VLOOKUP($E113,Hybrid!$1:$1048576,J$2,FALSE)</f>
        <v>11.855592209999999</v>
      </c>
      <c r="K113" s="73">
        <f>+VLOOKUP($E113,Hybrid!$1:$1048576,K$2,FALSE)</f>
        <v>13.903781560000001</v>
      </c>
      <c r="L113" s="73">
        <f>+VLOOKUP($E113,Hybrid!$1:$1048576,L$2,FALSE)</f>
        <v>15.93366241</v>
      </c>
      <c r="M113" s="73">
        <f>+VLOOKUP($E113,Hybrid!$1:$1048576,M$2,FALSE)</f>
        <v>17.945406779999999</v>
      </c>
      <c r="N113" s="73">
        <f>+VLOOKUP($E113,Hybrid!$1:$1048576,N$2,FALSE)</f>
        <v>19.9391876</v>
      </c>
      <c r="O113" s="73">
        <f>+VLOOKUP($E113,Hybrid!$1:$1048576,O$2,FALSE)</f>
        <v>21.915175250000001</v>
      </c>
      <c r="P113" s="73">
        <f>+VLOOKUP($E113,Hybrid!$1:$1048576,P$2,FALSE)</f>
        <v>23.873535950000001</v>
      </c>
      <c r="Q113" s="73">
        <f>+VLOOKUP($E113,Hybrid!$1:$1048576,Q$2,FALSE)</f>
        <v>25.814431509999999</v>
      </c>
      <c r="R113" s="73">
        <f>+VLOOKUP($E113,Hybrid!$1:$1048576,R$2,FALSE)</f>
        <v>27.738020110000001</v>
      </c>
      <c r="S113" s="73">
        <f>+VLOOKUP($E113,Hybrid!$1:$1048576,S$2,FALSE)</f>
        <v>29.644457370000001</v>
      </c>
      <c r="T113" s="73">
        <f>+VLOOKUP($E113,Hybrid!$1:$1048576,T$2,FALSE)</f>
        <v>31.533898010000001</v>
      </c>
      <c r="U113" s="73">
        <f>+VLOOKUP($E113,Hybrid!$1:$1048576,U$2,FALSE)</f>
        <v>33.406496990000001</v>
      </c>
      <c r="V113" s="73">
        <f>+VLOOKUP($E113,Hybrid!$1:$1048576,V$2,FALSE)</f>
        <v>35.26240859</v>
      </c>
      <c r="W113" s="73">
        <f>+VLOOKUP($E113,Hybrid!$1:$1048576,W$2,FALSE)</f>
        <v>37.101786199999999</v>
      </c>
      <c r="X113" s="73">
        <f>+VLOOKUP($E113,Hybrid!$1:$1048576,X$2,FALSE)</f>
        <v>38.924782499999999</v>
      </c>
      <c r="Y113" s="73">
        <f>+VLOOKUP($E113,Hybrid!$1:$1048576,Y$2,FALSE)</f>
        <v>40.731549020000003</v>
      </c>
      <c r="Z113" s="73">
        <f>+VLOOKUP($E113,Hybrid!$1:$1048576,Z$2,FALSE)</f>
        <v>42.522235340000002</v>
      </c>
      <c r="AA113" s="73">
        <f>+VLOOKUP($E113,Hybrid!$1:$1048576,AA$2,FALSE)</f>
        <v>44.296988949999999</v>
      </c>
      <c r="AB113" s="73">
        <f>+VLOOKUP($E113,Hybrid!$1:$1048576,AB$2,FALSE)</f>
        <v>46.055955099999998</v>
      </c>
      <c r="AC113" s="73">
        <f>+VLOOKUP($E113,Hybrid!$1:$1048576,AC$2,FALSE)</f>
        <v>47.799276929999998</v>
      </c>
      <c r="AD113" s="73">
        <f>+VLOOKUP($E113,Hybrid!$1:$1048576,AD$2,FALSE)</f>
        <v>49.52709548</v>
      </c>
      <c r="AE113" s="73">
        <f>+VLOOKUP($E113,Hybrid!$1:$1048576,AE$2,FALSE)</f>
        <v>51.239549889999999</v>
      </c>
      <c r="AF113" s="73">
        <f>+VLOOKUP($E113,Hybrid!$1:$1048576,AF$2,FALSE)</f>
        <v>52.93677752</v>
      </c>
      <c r="AG113" s="73">
        <f>+VLOOKUP($E113,Hybrid!$1:$1048576,AG$2,FALSE)</f>
        <v>54.61891404</v>
      </c>
      <c r="AH113" s="73">
        <f>+VLOOKUP($E113,Hybrid!$1:$1048576,AH$2,FALSE)</f>
        <v>56.286093610000002</v>
      </c>
      <c r="AI113" s="73">
        <f>+VLOOKUP($E113,Hybrid!$1:$1048576,AI$2,FALSE)</f>
        <v>57.938448979999997</v>
      </c>
      <c r="AJ113" s="73">
        <f>+VLOOKUP($E113,Hybrid!$1:$1048576,AJ$2,FALSE)</f>
        <v>59.57611146</v>
      </c>
      <c r="AK113" s="73">
        <f>+VLOOKUP($E113,Hybrid!$1:$1048576,AK$2,FALSE)</f>
        <v>61.199210839999999</v>
      </c>
      <c r="AL113" s="73">
        <f>+VLOOKUP($E113,Hybrid!$1:$1048576,AL$2,FALSE)</f>
        <v>62.807875680000002</v>
      </c>
      <c r="AM113" s="73">
        <f>+VLOOKUP($E113,Hybrid!$1:$1048576,AM$2,FALSE)</f>
        <v>64.402233449999997</v>
      </c>
      <c r="AN113" s="73">
        <f>+VLOOKUP($E113,Hybrid!$1:$1048576,AN$2,FALSE)</f>
        <v>65.982410700000003</v>
      </c>
      <c r="AO113" s="73">
        <f>+VLOOKUP($E113,Hybrid!$1:$1048576,AO$2,FALSE)</f>
        <v>67.548533039999995</v>
      </c>
    </row>
    <row r="114" spans="1:41" ht="15" customHeight="1" x14ac:dyDescent="0.25">
      <c r="A114" s="316"/>
      <c r="B114" s="314"/>
      <c r="C114" s="127"/>
      <c r="D114" s="127" t="s">
        <v>541</v>
      </c>
      <c r="E114" s="47" t="s">
        <v>462</v>
      </c>
      <c r="F114" s="73">
        <f>+VLOOKUP($E114,Hybrid!$1:$1048576,F$2,FALSE)</f>
        <v>68.80476281</v>
      </c>
      <c r="G114" s="73">
        <f>+VLOOKUP($E114,Hybrid!$1:$1048576,G$2,FALSE)</f>
        <v>76.772546509999998</v>
      </c>
      <c r="H114" s="73">
        <f>+VLOOKUP($E114,Hybrid!$1:$1048576,H$2,FALSE)</f>
        <v>84.684486320000005</v>
      </c>
      <c r="I114" s="73">
        <f>+VLOOKUP($E114,Hybrid!$1:$1048576,I$2,FALSE)</f>
        <v>92.541697170000006</v>
      </c>
      <c r="J114" s="73">
        <f>+VLOOKUP($E114,Hybrid!$1:$1048576,J$2,FALSE)</f>
        <v>100.3450521</v>
      </c>
      <c r="K114" s="73">
        <f>+VLOOKUP($E114,Hybrid!$1:$1048576,K$2,FALSE)</f>
        <v>108.09510280000001</v>
      </c>
      <c r="L114" s="73">
        <f>+VLOOKUP($E114,Hybrid!$1:$1048576,L$2,FALSE)</f>
        <v>115.7921578</v>
      </c>
      <c r="M114" s="73">
        <f>+VLOOKUP($E114,Hybrid!$1:$1048576,M$2,FALSE)</f>
        <v>123.4364073</v>
      </c>
      <c r="N114" s="73">
        <f>+VLOOKUP($E114,Hybrid!$1:$1048576,N$2,FALSE)</f>
        <v>131.02802560000001</v>
      </c>
      <c r="O114" s="73">
        <f>+VLOOKUP($E114,Hybrid!$1:$1048576,O$2,FALSE)</f>
        <v>138.5672289</v>
      </c>
      <c r="P114" s="73">
        <f>+VLOOKUP($E114,Hybrid!$1:$1048576,P$2,FALSE)</f>
        <v>146.0542963</v>
      </c>
      <c r="Q114" s="73">
        <f>+VLOOKUP($E114,Hybrid!$1:$1048576,Q$2,FALSE)</f>
        <v>153.48956680000001</v>
      </c>
      <c r="R114" s="73">
        <f>+VLOOKUP($E114,Hybrid!$1:$1048576,R$2,FALSE)</f>
        <v>160.87342670000001</v>
      </c>
      <c r="S114" s="73">
        <f>+VLOOKUP($E114,Hybrid!$1:$1048576,S$2,FALSE)</f>
        <v>168.20629550000001</v>
      </c>
      <c r="T114" s="73">
        <f>+VLOOKUP($E114,Hybrid!$1:$1048576,T$2,FALSE)</f>
        <v>175.48861400000001</v>
      </c>
      <c r="U114" s="73">
        <f>+VLOOKUP($E114,Hybrid!$1:$1048576,U$2,FALSE)</f>
        <v>182.72083570000001</v>
      </c>
      <c r="V114" s="73">
        <f>+VLOOKUP($E114,Hybrid!$1:$1048576,V$2,FALSE)</f>
        <v>189.90342269999999</v>
      </c>
      <c r="W114" s="73">
        <f>+VLOOKUP($E114,Hybrid!$1:$1048576,W$2,FALSE)</f>
        <v>197.0368454</v>
      </c>
      <c r="X114" s="73">
        <f>+VLOOKUP($E114,Hybrid!$1:$1048576,X$2,FALSE)</f>
        <v>204.1215871</v>
      </c>
      <c r="Y114" s="73">
        <f>+VLOOKUP($E114,Hybrid!$1:$1048576,Y$2,FALSE)</f>
        <v>211.1581401</v>
      </c>
      <c r="Z114" s="73">
        <f>+VLOOKUP($E114,Hybrid!$1:$1048576,Z$2,FALSE)</f>
        <v>218.14699970000001</v>
      </c>
      <c r="AA114" s="73">
        <f>+VLOOKUP($E114,Hybrid!$1:$1048576,AA$2,FALSE)</f>
        <v>225.08866190000001</v>
      </c>
      <c r="AB114" s="73">
        <f>+VLOOKUP($E114,Hybrid!$1:$1048576,AB$2,FALSE)</f>
        <v>231.9836214</v>
      </c>
      <c r="AC114" s="73">
        <f>+VLOOKUP($E114,Hybrid!$1:$1048576,AC$2,FALSE)</f>
        <v>238.83237120000001</v>
      </c>
      <c r="AD114" s="73">
        <f>+VLOOKUP($E114,Hybrid!$1:$1048576,AD$2,FALSE)</f>
        <v>245.63540169999999</v>
      </c>
      <c r="AE114" s="73">
        <f>+VLOOKUP($E114,Hybrid!$1:$1048576,AE$2,FALSE)</f>
        <v>252.39320029999999</v>
      </c>
      <c r="AF114" s="73">
        <f>+VLOOKUP($E114,Hybrid!$1:$1048576,AF$2,FALSE)</f>
        <v>259.10625149999998</v>
      </c>
      <c r="AG114" s="73">
        <f>+VLOOKUP($E114,Hybrid!$1:$1048576,AG$2,FALSE)</f>
        <v>265.775036</v>
      </c>
      <c r="AH114" s="73">
        <f>+VLOOKUP($E114,Hybrid!$1:$1048576,AH$2,FALSE)</f>
        <v>272.40003080000002</v>
      </c>
      <c r="AI114" s="73">
        <f>+VLOOKUP($E114,Hybrid!$1:$1048576,AI$2,FALSE)</f>
        <v>278.98170900000002</v>
      </c>
      <c r="AJ114" s="73">
        <f>+VLOOKUP($E114,Hybrid!$1:$1048576,AJ$2,FALSE)</f>
        <v>285.5205388</v>
      </c>
      <c r="AK114" s="73">
        <f>+VLOOKUP($E114,Hybrid!$1:$1048576,AK$2,FALSE)</f>
        <v>292.01698290000002</v>
      </c>
      <c r="AL114" s="73">
        <f>+VLOOKUP($E114,Hybrid!$1:$1048576,AL$2,FALSE)</f>
        <v>298.47149880000001</v>
      </c>
      <c r="AM114" s="73">
        <f>+VLOOKUP($E114,Hybrid!$1:$1048576,AM$2,FALSE)</f>
        <v>304.8845397</v>
      </c>
      <c r="AN114" s="73">
        <f>+VLOOKUP($E114,Hybrid!$1:$1048576,AN$2,FALSE)</f>
        <v>311.25655410000002</v>
      </c>
      <c r="AO114" s="73">
        <f>+VLOOKUP($E114,Hybrid!$1:$1048576,AO$2,FALSE)</f>
        <v>317.58798589999998</v>
      </c>
    </row>
    <row r="115" spans="1:41" ht="15" customHeight="1" x14ac:dyDescent="0.25">
      <c r="A115" s="316"/>
      <c r="B115" s="314"/>
      <c r="C115" s="127"/>
      <c r="D115" s="127" t="s">
        <v>542</v>
      </c>
      <c r="E115" s="47" t="s">
        <v>463</v>
      </c>
      <c r="F115" s="73">
        <f>+VLOOKUP($E115,Hybrid!$1:$1048576,F$2,FALSE)</f>
        <v>408.28039699999999</v>
      </c>
      <c r="G115" s="73">
        <f>+VLOOKUP($E115,Hybrid!$1:$1048576,G$2,FALSE)</f>
        <v>424.0771919</v>
      </c>
      <c r="H115" s="73">
        <f>+VLOOKUP($E115,Hybrid!$1:$1048576,H$2,FALSE)</f>
        <v>439.76150250000001</v>
      </c>
      <c r="I115" s="73">
        <f>+VLOOKUP($E115,Hybrid!$1:$1048576,I$2,FALSE)</f>
        <v>455.33442889999998</v>
      </c>
      <c r="J115" s="73">
        <f>+VLOOKUP($E115,Hybrid!$1:$1048576,J$2,FALSE)</f>
        <v>470.79706290000001</v>
      </c>
      <c r="K115" s="73">
        <f>+VLOOKUP($E115,Hybrid!$1:$1048576,K$2,FALSE)</f>
        <v>486.15058540000001</v>
      </c>
      <c r="L115" s="73">
        <f>+VLOOKUP($E115,Hybrid!$1:$1048576,L$2,FALSE)</f>
        <v>501.39630249999999</v>
      </c>
      <c r="M115" s="73">
        <f>+VLOOKUP($E115,Hybrid!$1:$1048576,M$2,FALSE)</f>
        <v>516.53563210000004</v>
      </c>
      <c r="N115" s="73">
        <f>+VLOOKUP($E115,Hybrid!$1:$1048576,N$2,FALSE)</f>
        <v>531.57006420000005</v>
      </c>
      <c r="O115" s="73">
        <f>+VLOOKUP($E115,Hybrid!$1:$1048576,O$2,FALSE)</f>
        <v>546.5011174</v>
      </c>
      <c r="P115" s="73">
        <f>+VLOOKUP($E115,Hybrid!$1:$1048576,P$2,FALSE)</f>
        <v>561.33030229999997</v>
      </c>
      <c r="Q115" s="73">
        <f>+VLOOKUP($E115,Hybrid!$1:$1048576,Q$2,FALSE)</f>
        <v>576.05909640000004</v>
      </c>
      <c r="R115" s="73">
        <f>+VLOOKUP($E115,Hybrid!$1:$1048576,R$2,FALSE)</f>
        <v>590.68893000000003</v>
      </c>
      <c r="S115" s="73">
        <f>+VLOOKUP($E115,Hybrid!$1:$1048576,S$2,FALSE)</f>
        <v>605.22118149999994</v>
      </c>
      <c r="T115" s="73">
        <f>+VLOOKUP($E115,Hybrid!$1:$1048576,T$2,FALSE)</f>
        <v>619.65717710000001</v>
      </c>
      <c r="U115" s="73">
        <f>+VLOOKUP($E115,Hybrid!$1:$1048576,U$2,FALSE)</f>
        <v>633.99819590000004</v>
      </c>
      <c r="V115" s="73">
        <f>+VLOOKUP($E115,Hybrid!$1:$1048576,V$2,FALSE)</f>
        <v>648.24547680000001</v>
      </c>
      <c r="W115" s="73">
        <f>+VLOOKUP($E115,Hybrid!$1:$1048576,W$2,FALSE)</f>
        <v>662.40022380000005</v>
      </c>
      <c r="X115" s="73">
        <f>+VLOOKUP($E115,Hybrid!$1:$1048576,X$2,FALSE)</f>
        <v>676.46360470000002</v>
      </c>
      <c r="Y115" s="73">
        <f>+VLOOKUP($E115,Hybrid!$1:$1048576,Y$2,FALSE)</f>
        <v>690.43676049999999</v>
      </c>
      <c r="Z115" s="73">
        <f>+VLOOKUP($E115,Hybrid!$1:$1048576,Z$2,FALSE)</f>
        <v>704.32081589999996</v>
      </c>
      <c r="AA115" s="73">
        <f>+VLOOKUP($E115,Hybrid!$1:$1048576,AA$2,FALSE)</f>
        <v>718.11688260000005</v>
      </c>
      <c r="AB115" s="73">
        <f>+VLOOKUP($E115,Hybrid!$1:$1048576,AB$2,FALSE)</f>
        <v>731.82606129999999</v>
      </c>
      <c r="AC115" s="73">
        <f>+VLOOKUP($E115,Hybrid!$1:$1048576,AC$2,FALSE)</f>
        <v>745.4494426</v>
      </c>
      <c r="AD115" s="73">
        <f>+VLOOKUP($E115,Hybrid!$1:$1048576,AD$2,FALSE)</f>
        <v>758.98810730000002</v>
      </c>
      <c r="AE115" s="73">
        <f>+VLOOKUP($E115,Hybrid!$1:$1048576,AE$2,FALSE)</f>
        <v>772.44312639999998</v>
      </c>
      <c r="AF115" s="73">
        <f>+VLOOKUP($E115,Hybrid!$1:$1048576,AF$2,FALSE)</f>
        <v>785.815561</v>
      </c>
      <c r="AG115" s="73">
        <f>+VLOOKUP($E115,Hybrid!$1:$1048576,AG$2,FALSE)</f>
        <v>799.10646199999996</v>
      </c>
      <c r="AH115" s="73">
        <f>+VLOOKUP($E115,Hybrid!$1:$1048576,AH$2,FALSE)</f>
        <v>812.31687030000001</v>
      </c>
      <c r="AI115" s="73">
        <f>+VLOOKUP($E115,Hybrid!$1:$1048576,AI$2,FALSE)</f>
        <v>825.44781650000004</v>
      </c>
      <c r="AJ115" s="73">
        <f>+VLOOKUP($E115,Hybrid!$1:$1048576,AJ$2,FALSE)</f>
        <v>838.50032099999999</v>
      </c>
      <c r="AK115" s="73">
        <f>+VLOOKUP($E115,Hybrid!$1:$1048576,AK$2,FALSE)</f>
        <v>851.47539549999999</v>
      </c>
      <c r="AL115" s="73">
        <f>+VLOOKUP($E115,Hybrid!$1:$1048576,AL$2,FALSE)</f>
        <v>864.37404149999998</v>
      </c>
      <c r="AM115" s="73">
        <f>+VLOOKUP($E115,Hybrid!$1:$1048576,AM$2,FALSE)</f>
        <v>877.19725010000002</v>
      </c>
      <c r="AN115" s="73">
        <f>+VLOOKUP($E115,Hybrid!$1:$1048576,AN$2,FALSE)</f>
        <v>889.94600209999999</v>
      </c>
      <c r="AO115" s="73">
        <f>+VLOOKUP($E115,Hybrid!$1:$1048576,AO$2,FALSE)</f>
        <v>902.62126769999998</v>
      </c>
    </row>
    <row r="116" spans="1:41" ht="15" customHeight="1" x14ac:dyDescent="0.25">
      <c r="A116" s="316"/>
      <c r="B116" s="314"/>
      <c r="C116" s="127"/>
      <c r="D116" s="127" t="s">
        <v>543</v>
      </c>
      <c r="E116" s="47" t="s">
        <v>464</v>
      </c>
      <c r="F116" s="73">
        <f>+VLOOKUP($E116,Hybrid!$1:$1048576,F$2,FALSE)</f>
        <v>954.38155940000001</v>
      </c>
      <c r="G116" s="73">
        <f>+VLOOKUP($E116,Hybrid!$1:$1048576,G$2,FALSE)</f>
        <v>947.51768939999999</v>
      </c>
      <c r="H116" s="73">
        <f>+VLOOKUP($E116,Hybrid!$1:$1048576,H$2,FALSE)</f>
        <v>940.69002</v>
      </c>
      <c r="I116" s="73">
        <f>+VLOOKUP($E116,Hybrid!$1:$1048576,I$2,FALSE)</f>
        <v>933.89841869999998</v>
      </c>
      <c r="J116" s="73">
        <f>+VLOOKUP($E116,Hybrid!$1:$1048576,J$2,FALSE)</f>
        <v>927.14297429999999</v>
      </c>
      <c r="K116" s="73">
        <f>+VLOOKUP($E116,Hybrid!$1:$1048576,K$2,FALSE)</f>
        <v>920.42396410000003</v>
      </c>
      <c r="L116" s="73">
        <f>+VLOOKUP($E116,Hybrid!$1:$1048576,L$2,FALSE)</f>
        <v>913.74173489999998</v>
      </c>
      <c r="M116" s="73">
        <f>+VLOOKUP($E116,Hybrid!$1:$1048576,M$2,FALSE)</f>
        <v>907.09659669999996</v>
      </c>
      <c r="N116" s="73">
        <f>+VLOOKUP($E116,Hybrid!$1:$1048576,N$2,FALSE)</f>
        <v>900.48876670000004</v>
      </c>
      <c r="O116" s="73">
        <f>+VLOOKUP($E116,Hybrid!$1:$1048576,O$2,FALSE)</f>
        <v>893.91836279999995</v>
      </c>
      <c r="P116" s="73">
        <f>+VLOOKUP($E116,Hybrid!$1:$1048576,P$2,FALSE)</f>
        <v>887.38542459999996</v>
      </c>
      <c r="Q116" s="73">
        <f>+VLOOKUP($E116,Hybrid!$1:$1048576,Q$2,FALSE)</f>
        <v>880.88994439999999</v>
      </c>
      <c r="R116" s="73">
        <f>+VLOOKUP($E116,Hybrid!$1:$1048576,R$2,FALSE)</f>
        <v>874.43189410000002</v>
      </c>
      <c r="S116" s="73">
        <f>+VLOOKUP($E116,Hybrid!$1:$1048576,S$2,FALSE)</f>
        <v>868.01124470000002</v>
      </c>
      <c r="T116" s="73">
        <f>+VLOOKUP($E116,Hybrid!$1:$1048576,T$2,FALSE)</f>
        <v>861.62797569999998</v>
      </c>
      <c r="U116" s="73">
        <f>+VLOOKUP($E116,Hybrid!$1:$1048576,U$2,FALSE)</f>
        <v>855.28207850000001</v>
      </c>
      <c r="V116" s="73">
        <f>+VLOOKUP($E116,Hybrid!$1:$1048576,V$2,FALSE)</f>
        <v>848.97355319999997</v>
      </c>
      <c r="W116" s="73">
        <f>+VLOOKUP($E116,Hybrid!$1:$1048576,W$2,FALSE)</f>
        <v>842.70240520000004</v>
      </c>
      <c r="X116" s="73">
        <f>+VLOOKUP($E116,Hybrid!$1:$1048576,X$2,FALSE)</f>
        <v>836.46864100000005</v>
      </c>
      <c r="Y116" s="73">
        <f>+VLOOKUP($E116,Hybrid!$1:$1048576,Y$2,FALSE)</f>
        <v>830.27226359999997</v>
      </c>
      <c r="Z116" s="73">
        <f>+VLOOKUP($E116,Hybrid!$1:$1048576,Z$2,FALSE)</f>
        <v>824.11326819999999</v>
      </c>
      <c r="AA116" s="73">
        <f>+VLOOKUP($E116,Hybrid!$1:$1048576,AA$2,FALSE)</f>
        <v>817.99164189999999</v>
      </c>
      <c r="AB116" s="73">
        <f>+VLOOKUP($E116,Hybrid!$1:$1048576,AB$2,FALSE)</f>
        <v>811.90736370000002</v>
      </c>
      <c r="AC116" s="73">
        <f>+VLOOKUP($E116,Hybrid!$1:$1048576,AC$2,FALSE)</f>
        <v>805.8604047</v>
      </c>
      <c r="AD116" s="73">
        <f>+VLOOKUP($E116,Hybrid!$1:$1048576,AD$2,FALSE)</f>
        <v>799.85072809999997</v>
      </c>
      <c r="AE116" s="73">
        <f>+VLOOKUP($E116,Hybrid!$1:$1048576,AE$2,FALSE)</f>
        <v>793.87829050000005</v>
      </c>
      <c r="AF116" s="73">
        <f>+VLOOKUP($E116,Hybrid!$1:$1048576,AF$2,FALSE)</f>
        <v>787.94304190000003</v>
      </c>
      <c r="AG116" s="73">
        <f>+VLOOKUP($E116,Hybrid!$1:$1048576,AG$2,FALSE)</f>
        <v>782.04492660000005</v>
      </c>
      <c r="AH116" s="73">
        <f>+VLOOKUP($E116,Hybrid!$1:$1048576,AH$2,FALSE)</f>
        <v>776.18388370000002</v>
      </c>
      <c r="AI116" s="73">
        <f>+VLOOKUP($E116,Hybrid!$1:$1048576,AI$2,FALSE)</f>
        <v>770.35984770000005</v>
      </c>
      <c r="AJ116" s="73">
        <f>+VLOOKUP($E116,Hybrid!$1:$1048576,AJ$2,FALSE)</f>
        <v>764.57274889999997</v>
      </c>
      <c r="AK116" s="73">
        <f>+VLOOKUP($E116,Hybrid!$1:$1048576,AK$2,FALSE)</f>
        <v>758.82251399999996</v>
      </c>
      <c r="AL116" s="73">
        <f>+VLOOKUP($E116,Hybrid!$1:$1048576,AL$2,FALSE)</f>
        <v>753.10906660000001</v>
      </c>
      <c r="AM116" s="73">
        <f>+VLOOKUP($E116,Hybrid!$1:$1048576,AM$2,FALSE)</f>
        <v>747.43232669999998</v>
      </c>
      <c r="AN116" s="73">
        <f>+VLOOKUP($E116,Hybrid!$1:$1048576,AN$2,FALSE)</f>
        <v>741.79221129999996</v>
      </c>
      <c r="AO116" s="73">
        <f>+VLOOKUP($E116,Hybrid!$1:$1048576,AO$2,FALSE)</f>
        <v>736.18863480000005</v>
      </c>
    </row>
    <row r="117" spans="1:41" ht="15" customHeight="1" x14ac:dyDescent="0.25">
      <c r="A117" s="316"/>
      <c r="B117" s="314"/>
      <c r="C117" s="127"/>
      <c r="D117" s="127" t="s">
        <v>544</v>
      </c>
      <c r="E117" s="47" t="s">
        <v>465</v>
      </c>
      <c r="F117" s="73">
        <f>+VLOOKUP($E117,Hybrid!$1:$1048576,F$2,FALSE)</f>
        <v>878.79999729999997</v>
      </c>
      <c r="G117" s="73">
        <f>+VLOOKUP($E117,Hybrid!$1:$1048576,G$2,FALSE)</f>
        <v>867.96700399999997</v>
      </c>
      <c r="H117" s="73">
        <f>+VLOOKUP($E117,Hybrid!$1:$1048576,H$2,FALSE)</f>
        <v>857.26984870000001</v>
      </c>
      <c r="I117" s="73">
        <f>+VLOOKUP($E117,Hybrid!$1:$1048576,I$2,FALSE)</f>
        <v>846.70684649999998</v>
      </c>
      <c r="J117" s="73">
        <f>+VLOOKUP($E117,Hybrid!$1:$1048576,J$2,FALSE)</f>
        <v>836.27633149999997</v>
      </c>
      <c r="K117" s="73">
        <f>+VLOOKUP($E117,Hybrid!$1:$1048576,K$2,FALSE)</f>
        <v>825.97666589999994</v>
      </c>
      <c r="L117" s="73">
        <f>+VLOOKUP($E117,Hybrid!$1:$1048576,L$2,FALSE)</f>
        <v>815.80624269999998</v>
      </c>
      <c r="M117" s="73">
        <f>+VLOOKUP($E117,Hybrid!$1:$1048576,M$2,FALSE)</f>
        <v>805.76348440000004</v>
      </c>
      <c r="N117" s="73">
        <f>+VLOOKUP($E117,Hybrid!$1:$1048576,N$2,FALSE)</f>
        <v>795.84683889999997</v>
      </c>
      <c r="O117" s="73">
        <f>+VLOOKUP($E117,Hybrid!$1:$1048576,O$2,FALSE)</f>
        <v>786.05477559999997</v>
      </c>
      <c r="P117" s="73">
        <f>+VLOOKUP($E117,Hybrid!$1:$1048576,P$2,FALSE)</f>
        <v>776.38578150000001</v>
      </c>
      <c r="Q117" s="73">
        <f>+VLOOKUP($E117,Hybrid!$1:$1048576,Q$2,FALSE)</f>
        <v>766.83835950000002</v>
      </c>
      <c r="R117" s="73">
        <f>+VLOOKUP($E117,Hybrid!$1:$1048576,R$2,FALSE)</f>
        <v>757.41102720000004</v>
      </c>
      <c r="S117" s="73">
        <f>+VLOOKUP($E117,Hybrid!$1:$1048576,S$2,FALSE)</f>
        <v>748.10231620000002</v>
      </c>
      <c r="T117" s="73">
        <f>+VLOOKUP($E117,Hybrid!$1:$1048576,T$2,FALSE)</f>
        <v>738.91077310000003</v>
      </c>
      <c r="U117" s="73">
        <f>+VLOOKUP($E117,Hybrid!$1:$1048576,U$2,FALSE)</f>
        <v>729.83495949999997</v>
      </c>
      <c r="V117" s="73">
        <f>+VLOOKUP($E117,Hybrid!$1:$1048576,V$2,FALSE)</f>
        <v>720.87345200000004</v>
      </c>
      <c r="W117" s="73">
        <f>+VLOOKUP($E117,Hybrid!$1:$1048576,W$2,FALSE)</f>
        <v>712.02484279999999</v>
      </c>
      <c r="X117" s="73">
        <f>+VLOOKUP($E117,Hybrid!$1:$1048576,X$2,FALSE)</f>
        <v>703.2877393</v>
      </c>
      <c r="Y117" s="73">
        <f>+VLOOKUP($E117,Hybrid!$1:$1048576,Y$2,FALSE)</f>
        <v>694.66076459999999</v>
      </c>
      <c r="Z117" s="73">
        <f>+VLOOKUP($E117,Hybrid!$1:$1048576,Z$2,FALSE)</f>
        <v>686.14255760000003</v>
      </c>
      <c r="AA117" s="73">
        <f>+VLOOKUP($E117,Hybrid!$1:$1048576,AA$2,FALSE)</f>
        <v>677.73177350000003</v>
      </c>
      <c r="AB117" s="73">
        <f>+VLOOKUP($E117,Hybrid!$1:$1048576,AB$2,FALSE)</f>
        <v>669.42708300000004</v>
      </c>
      <c r="AC117" s="73">
        <f>+VLOOKUP($E117,Hybrid!$1:$1048576,AC$2,FALSE)</f>
        <v>661.22717290000003</v>
      </c>
      <c r="AD117" s="73">
        <f>+VLOOKUP($E117,Hybrid!$1:$1048576,AD$2,FALSE)</f>
        <v>653.13074559999995</v>
      </c>
      <c r="AE117" s="73">
        <f>+VLOOKUP($E117,Hybrid!$1:$1048576,AE$2,FALSE)</f>
        <v>645.13651900000002</v>
      </c>
      <c r="AF117" s="73">
        <f>+VLOOKUP($E117,Hybrid!$1:$1048576,AF$2,FALSE)</f>
        <v>637.24322640000003</v>
      </c>
      <c r="AG117" s="73">
        <f>+VLOOKUP($E117,Hybrid!$1:$1048576,AG$2,FALSE)</f>
        <v>629.44961650000005</v>
      </c>
      <c r="AH117" s="73">
        <f>+VLOOKUP($E117,Hybrid!$1:$1048576,AH$2,FALSE)</f>
        <v>621.75445279999997</v>
      </c>
      <c r="AI117" s="73">
        <f>+VLOOKUP($E117,Hybrid!$1:$1048576,AI$2,FALSE)</f>
        <v>614.15651409999998</v>
      </c>
      <c r="AJ117" s="73">
        <f>+VLOOKUP($E117,Hybrid!$1:$1048576,AJ$2,FALSE)</f>
        <v>606.65459369999996</v>
      </c>
      <c r="AK117" s="73">
        <f>+VLOOKUP($E117,Hybrid!$1:$1048576,AK$2,FALSE)</f>
        <v>599.24749970000005</v>
      </c>
      <c r="AL117" s="73">
        <f>+VLOOKUP($E117,Hybrid!$1:$1048576,AL$2,FALSE)</f>
        <v>591.93405440000004</v>
      </c>
      <c r="AM117" s="73">
        <f>+VLOOKUP($E117,Hybrid!$1:$1048576,AM$2,FALSE)</f>
        <v>584.71309480000002</v>
      </c>
      <c r="AN117" s="73">
        <f>+VLOOKUP($E117,Hybrid!$1:$1048576,AN$2,FALSE)</f>
        <v>577.58347170000002</v>
      </c>
      <c r="AO117" s="73">
        <f>+VLOOKUP($E117,Hybrid!$1:$1048576,AO$2,FALSE)</f>
        <v>570.54405020000002</v>
      </c>
    </row>
    <row r="118" spans="1:41" ht="15" customHeight="1" x14ac:dyDescent="0.25">
      <c r="A118" s="316"/>
      <c r="B118" s="314"/>
      <c r="C118" s="127"/>
      <c r="D118" s="127" t="s">
        <v>545</v>
      </c>
      <c r="E118" s="47" t="s">
        <v>466</v>
      </c>
      <c r="F118" s="73">
        <f>+VLOOKUP($E118,Hybrid!$1:$1048576,F$2,FALSE)</f>
        <v>139.85209269999999</v>
      </c>
      <c r="G118" s="73">
        <f>+VLOOKUP($E118,Hybrid!$1:$1048576,G$2,FALSE)</f>
        <v>137.9553396</v>
      </c>
      <c r="H118" s="73">
        <f>+VLOOKUP($E118,Hybrid!$1:$1048576,H$2,FALSE)</f>
        <v>136.08298189999999</v>
      </c>
      <c r="I118" s="73">
        <f>+VLOOKUP($E118,Hybrid!$1:$1048576,I$2,FALSE)</f>
        <v>134.2347728</v>
      </c>
      <c r="J118" s="73">
        <f>+VLOOKUP($E118,Hybrid!$1:$1048576,J$2,FALSE)</f>
        <v>132.4104624</v>
      </c>
      <c r="K118" s="73">
        <f>+VLOOKUP($E118,Hybrid!$1:$1048576,K$2,FALSE)</f>
        <v>130.6097977</v>
      </c>
      <c r="L118" s="73">
        <f>+VLOOKUP($E118,Hybrid!$1:$1048576,L$2,FALSE)</f>
        <v>128.83252429999999</v>
      </c>
      <c r="M118" s="73">
        <f>+VLOOKUP($E118,Hybrid!$1:$1048576,M$2,FALSE)</f>
        <v>127.07838700000001</v>
      </c>
      <c r="N118" s="73">
        <f>+VLOOKUP($E118,Hybrid!$1:$1048576,N$2,FALSE)</f>
        <v>125.34713170000001</v>
      </c>
      <c r="O118" s="73">
        <f>+VLOOKUP($E118,Hybrid!$1:$1048576,O$2,FALSE)</f>
        <v>123.6385052</v>
      </c>
      <c r="P118" s="73">
        <f>+VLOOKUP($E118,Hybrid!$1:$1048576,P$2,FALSE)</f>
        <v>121.9522559</v>
      </c>
      <c r="Q118" s="73">
        <f>+VLOOKUP($E118,Hybrid!$1:$1048576,Q$2,FALSE)</f>
        <v>120.28813340000001</v>
      </c>
      <c r="R118" s="73">
        <f>+VLOOKUP($E118,Hybrid!$1:$1048576,R$2,FALSE)</f>
        <v>118.64588860000001</v>
      </c>
      <c r="S118" s="73">
        <f>+VLOOKUP($E118,Hybrid!$1:$1048576,S$2,FALSE)</f>
        <v>117.0252735</v>
      </c>
      <c r="T118" s="73">
        <f>+VLOOKUP($E118,Hybrid!$1:$1048576,T$2,FALSE)</f>
        <v>115.426041</v>
      </c>
      <c r="U118" s="73">
        <f>+VLOOKUP($E118,Hybrid!$1:$1048576,U$2,FALSE)</f>
        <v>113.84794530000001</v>
      </c>
      <c r="V118" s="73">
        <f>+VLOOKUP($E118,Hybrid!$1:$1048576,V$2,FALSE)</f>
        <v>112.2907416</v>
      </c>
      <c r="W118" s="73">
        <f>+VLOOKUP($E118,Hybrid!$1:$1048576,W$2,FALSE)</f>
        <v>110.7541866</v>
      </c>
      <c r="X118" s="73">
        <f>+VLOOKUP($E118,Hybrid!$1:$1048576,X$2,FALSE)</f>
        <v>109.238038</v>
      </c>
      <c r="Y118" s="73">
        <f>+VLOOKUP($E118,Hybrid!$1:$1048576,Y$2,FALSE)</f>
        <v>107.7420552</v>
      </c>
      <c r="Z118" s="73">
        <f>+VLOOKUP($E118,Hybrid!$1:$1048576,Z$2,FALSE)</f>
        <v>106.26599899999999</v>
      </c>
      <c r="AA118" s="73">
        <f>+VLOOKUP($E118,Hybrid!$1:$1048576,AA$2,FALSE)</f>
        <v>104.80963180000001</v>
      </c>
      <c r="AB118" s="73">
        <f>+VLOOKUP($E118,Hybrid!$1:$1048576,AB$2,FALSE)</f>
        <v>103.3727176</v>
      </c>
      <c r="AC118" s="73">
        <f>+VLOOKUP($E118,Hybrid!$1:$1048576,AC$2,FALSE)</f>
        <v>101.95502190000001</v>
      </c>
      <c r="AD118" s="73">
        <f>+VLOOKUP($E118,Hybrid!$1:$1048576,AD$2,FALSE)</f>
        <v>100.55631200000001</v>
      </c>
      <c r="AE118" s="73">
        <f>+VLOOKUP($E118,Hybrid!$1:$1048576,AE$2,FALSE)</f>
        <v>99.176356949999999</v>
      </c>
      <c r="AF118" s="73">
        <f>+VLOOKUP($E118,Hybrid!$1:$1048576,AF$2,FALSE)</f>
        <v>97.814927499999996</v>
      </c>
      <c r="AG118" s="73">
        <f>+VLOOKUP($E118,Hybrid!$1:$1048576,AG$2,FALSE)</f>
        <v>96.471796229999995</v>
      </c>
      <c r="AH118" s="73">
        <f>+VLOOKUP($E118,Hybrid!$1:$1048576,AH$2,FALSE)</f>
        <v>95.146737509999994</v>
      </c>
      <c r="AI118" s="73">
        <f>+VLOOKUP($E118,Hybrid!$1:$1048576,AI$2,FALSE)</f>
        <v>93.839527610000005</v>
      </c>
      <c r="AJ118" s="73">
        <f>+VLOOKUP($E118,Hybrid!$1:$1048576,AJ$2,FALSE)</f>
        <v>92.54994465</v>
      </c>
      <c r="AK118" s="73">
        <f>+VLOOKUP($E118,Hybrid!$1:$1048576,AK$2,FALSE)</f>
        <v>91.277768699999996</v>
      </c>
      <c r="AL118" s="73">
        <f>+VLOOKUP($E118,Hybrid!$1:$1048576,AL$2,FALSE)</f>
        <v>90.022781739999999</v>
      </c>
      <c r="AM118" s="73">
        <f>+VLOOKUP($E118,Hybrid!$1:$1048576,AM$2,FALSE)</f>
        <v>88.784767689999995</v>
      </c>
      <c r="AN118" s="73">
        <f>+VLOOKUP($E118,Hybrid!$1:$1048576,AN$2,FALSE)</f>
        <v>87.56351248</v>
      </c>
      <c r="AO118" s="73">
        <f>+VLOOKUP($E118,Hybrid!$1:$1048576,AO$2,FALSE)</f>
        <v>86.35880401</v>
      </c>
    </row>
    <row r="119" spans="1:41" ht="15" customHeight="1" x14ac:dyDescent="0.25">
      <c r="A119" s="316"/>
      <c r="B119" s="314"/>
      <c r="C119" s="127"/>
      <c r="D119" s="129" t="s">
        <v>546</v>
      </c>
      <c r="E119" s="47" t="s">
        <v>467</v>
      </c>
      <c r="F119" s="73">
        <f>+VLOOKUP($E119,Hybrid!$1:$1048576,F$2,FALSE)</f>
        <v>3.874567114</v>
      </c>
      <c r="G119" s="73">
        <f>+VLOOKUP($E119,Hybrid!$1:$1048576,G$2,FALSE)</f>
        <v>3.7242706779999999</v>
      </c>
      <c r="H119" s="73">
        <f>+VLOOKUP($E119,Hybrid!$1:$1048576,H$2,FALSE)</f>
        <v>3.5801571349999999</v>
      </c>
      <c r="I119" s="73">
        <f>+VLOOKUP($E119,Hybrid!$1:$1048576,I$2,FALSE)</f>
        <v>3.4419667710000001</v>
      </c>
      <c r="J119" s="73">
        <f>+VLOOKUP($E119,Hybrid!$1:$1048576,J$2,FALSE)</f>
        <v>3.3094508579999999</v>
      </c>
      <c r="K119" s="73">
        <f>+VLOOKUP($E119,Hybrid!$1:$1048576,K$2,FALSE)</f>
        <v>3.1823711889999999</v>
      </c>
      <c r="L119" s="73">
        <f>+VLOOKUP($E119,Hybrid!$1:$1048576,L$2,FALSE)</f>
        <v>3.060499632</v>
      </c>
      <c r="M119" s="73">
        <f>+VLOOKUP($E119,Hybrid!$1:$1048576,M$2,FALSE)</f>
        <v>2.9436177020000001</v>
      </c>
      <c r="N119" s="73">
        <f>+VLOOKUP($E119,Hybrid!$1:$1048576,N$2,FALSE)</f>
        <v>2.8315161519999998</v>
      </c>
      <c r="O119" s="73">
        <f>+VLOOKUP($E119,Hybrid!$1:$1048576,O$2,FALSE)</f>
        <v>2.723994582</v>
      </c>
      <c r="P119" s="73">
        <f>+VLOOKUP($E119,Hybrid!$1:$1048576,P$2,FALSE)</f>
        <v>2.6208610640000001</v>
      </c>
      <c r="Q119" s="73">
        <f>+VLOOKUP($E119,Hybrid!$1:$1048576,Q$2,FALSE)</f>
        <v>2.5219317819999998</v>
      </c>
      <c r="R119" s="73">
        <f>+VLOOKUP($E119,Hybrid!$1:$1048576,R$2,FALSE)</f>
        <v>2.427030689</v>
      </c>
      <c r="S119" s="73">
        <f>+VLOOKUP($E119,Hybrid!$1:$1048576,S$2,FALSE)</f>
        <v>2.3359891780000002</v>
      </c>
      <c r="T119" s="73">
        <f>+VLOOKUP($E119,Hybrid!$1:$1048576,T$2,FALSE)</f>
        <v>2.2486457660000001</v>
      </c>
      <c r="U119" s="73">
        <f>+VLOOKUP($E119,Hybrid!$1:$1048576,U$2,FALSE)</f>
        <v>2.1648457909999999</v>
      </c>
      <c r="V119" s="73">
        <f>+VLOOKUP($E119,Hybrid!$1:$1048576,V$2,FALSE)</f>
        <v>2.0844411250000001</v>
      </c>
      <c r="W119" s="73">
        <f>+VLOOKUP($E119,Hybrid!$1:$1048576,W$2,FALSE)</f>
        <v>2.0072898960000001</v>
      </c>
      <c r="X119" s="73">
        <f>+VLOOKUP($E119,Hybrid!$1:$1048576,X$2,FALSE)</f>
        <v>1.933256224</v>
      </c>
      <c r="Y119" s="73">
        <f>+VLOOKUP($E119,Hybrid!$1:$1048576,Y$2,FALSE)</f>
        <v>1.8622099649999999</v>
      </c>
      <c r="Z119" s="73">
        <f>+VLOOKUP($E119,Hybrid!$1:$1048576,Z$2,FALSE)</f>
        <v>1.794026468</v>
      </c>
      <c r="AA119" s="73">
        <f>+VLOOKUP($E119,Hybrid!$1:$1048576,AA$2,FALSE)</f>
        <v>1.728586347</v>
      </c>
      <c r="AB119" s="73">
        <f>+VLOOKUP($E119,Hybrid!$1:$1048576,AB$2,FALSE)</f>
        <v>1.665775249</v>
      </c>
      <c r="AC119" s="73">
        <f>+VLOOKUP($E119,Hybrid!$1:$1048576,AC$2,FALSE)</f>
        <v>1.6054836509999999</v>
      </c>
      <c r="AD119" s="73">
        <f>+VLOOKUP($E119,Hybrid!$1:$1048576,AD$2,FALSE)</f>
        <v>1.5476066470000001</v>
      </c>
      <c r="AE119" s="73">
        <f>+VLOOKUP($E119,Hybrid!$1:$1048576,AE$2,FALSE)</f>
        <v>1.4920437559999999</v>
      </c>
      <c r="AF119" s="73">
        <f>+VLOOKUP($E119,Hybrid!$1:$1048576,AF$2,FALSE)</f>
        <v>1.4386987369999999</v>
      </c>
      <c r="AG119" s="73">
        <f>+VLOOKUP($E119,Hybrid!$1:$1048576,AG$2,FALSE)</f>
        <v>1.387479404</v>
      </c>
      <c r="AH119" s="73">
        <f>+VLOOKUP($E119,Hybrid!$1:$1048576,AH$2,FALSE)</f>
        <v>1.3382974569999999</v>
      </c>
      <c r="AI119" s="73">
        <f>+VLOOKUP($E119,Hybrid!$1:$1048576,AI$2,FALSE)</f>
        <v>1.291068318</v>
      </c>
      <c r="AJ119" s="73">
        <f>+VLOOKUP($E119,Hybrid!$1:$1048576,AJ$2,FALSE)</f>
        <v>1.2457109749999999</v>
      </c>
      <c r="AK119" s="73">
        <f>+VLOOKUP($E119,Hybrid!$1:$1048576,AK$2,FALSE)</f>
        <v>1.2021478240000001</v>
      </c>
      <c r="AL119" s="73">
        <f>+VLOOKUP($E119,Hybrid!$1:$1048576,AL$2,FALSE)</f>
        <v>1.1603045329999999</v>
      </c>
      <c r="AM119" s="73">
        <f>+VLOOKUP($E119,Hybrid!$1:$1048576,AM$2,FALSE)</f>
        <v>1.120109899</v>
      </c>
      <c r="AN119" s="73">
        <f>+VLOOKUP($E119,Hybrid!$1:$1048576,AN$2,FALSE)</f>
        <v>1.0814957160000001</v>
      </c>
      <c r="AO119" s="73">
        <f>+VLOOKUP($E119,Hybrid!$1:$1048576,AO$2,FALSE)</f>
        <v>1.0443966490000001</v>
      </c>
    </row>
    <row r="120" spans="1:41" ht="15" customHeight="1" x14ac:dyDescent="0.25">
      <c r="A120" s="316"/>
      <c r="B120" s="321" t="s">
        <v>560</v>
      </c>
      <c r="C120" s="174" t="s">
        <v>552</v>
      </c>
      <c r="D120" s="130"/>
      <c r="E120" s="48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</row>
    <row r="121" spans="1:41" ht="15" customHeight="1" x14ac:dyDescent="0.25">
      <c r="A121" s="316"/>
      <c r="B121" s="321"/>
      <c r="C121" s="130" t="s">
        <v>553</v>
      </c>
      <c r="D121" s="130"/>
      <c r="E121" s="48" t="s">
        <v>468</v>
      </c>
      <c r="F121" s="73">
        <f>+VLOOKUP($E121,Transports!$1:$1048576,F$2,FALSE)</f>
        <v>291099.78360000002</v>
      </c>
      <c r="G121" s="73">
        <f>+VLOOKUP($E121,Transports!$1:$1048576,G$2,FALSE)</f>
        <v>295820.9878</v>
      </c>
      <c r="H121" s="73">
        <f>+VLOOKUP($E121,Transports!$1:$1048576,H$2,FALSE)</f>
        <v>300398.3077</v>
      </c>
      <c r="I121" s="73">
        <f>+VLOOKUP($E121,Transports!$1:$1048576,I$2,FALSE)</f>
        <v>304939.29479999997</v>
      </c>
      <c r="J121" s="73">
        <f>+VLOOKUP($E121,Transports!$1:$1048576,J$2,FALSE)</f>
        <v>309486.94099999999</v>
      </c>
      <c r="K121" s="73">
        <f>+VLOOKUP($E121,Transports!$1:$1048576,K$2,FALSE)</f>
        <v>314040.24489999999</v>
      </c>
      <c r="L121" s="73">
        <f>+VLOOKUP($E121,Transports!$1:$1048576,L$2,FALSE)</f>
        <v>318658.45140000002</v>
      </c>
      <c r="M121" s="73">
        <f>+VLOOKUP($E121,Transports!$1:$1048576,M$2,FALSE)</f>
        <v>323442.26579999999</v>
      </c>
      <c r="N121" s="73">
        <f>+VLOOKUP($E121,Transports!$1:$1048576,N$2,FALSE)</f>
        <v>328421.13270000002</v>
      </c>
      <c r="O121" s="73">
        <f>+VLOOKUP($E121,Transports!$1:$1048576,O$2,FALSE)</f>
        <v>333574.54950000002</v>
      </c>
      <c r="P121" s="73">
        <f>+VLOOKUP($E121,Transports!$1:$1048576,P$2,FALSE)</f>
        <v>338859.978</v>
      </c>
      <c r="Q121" s="73">
        <f>+VLOOKUP($E121,Transports!$1:$1048576,Q$2,FALSE)</f>
        <v>344226.6899</v>
      </c>
      <c r="R121" s="73">
        <f>+VLOOKUP($E121,Transports!$1:$1048576,R$2,FALSE)</f>
        <v>349622.81410000002</v>
      </c>
      <c r="S121" s="73">
        <f>+VLOOKUP($E121,Transports!$1:$1048576,S$2,FALSE)</f>
        <v>354999.01899999997</v>
      </c>
      <c r="T121" s="73">
        <f>+VLOOKUP($E121,Transports!$1:$1048576,T$2,FALSE)</f>
        <v>360310.57549999998</v>
      </c>
      <c r="U121" s="73">
        <f>+VLOOKUP($E121,Transports!$1:$1048576,U$2,FALSE)</f>
        <v>365518.71629999997</v>
      </c>
      <c r="V121" s="73">
        <f>+VLOOKUP($E121,Transports!$1:$1048576,V$2,FALSE)</f>
        <v>370661.37839999999</v>
      </c>
      <c r="W121" s="73">
        <f>+VLOOKUP($E121,Transports!$1:$1048576,W$2,FALSE)</f>
        <v>375836.59259999997</v>
      </c>
      <c r="X121" s="73">
        <f>+VLOOKUP($E121,Transports!$1:$1048576,X$2,FALSE)</f>
        <v>381104.41200000001</v>
      </c>
      <c r="Y121" s="73">
        <f>+VLOOKUP($E121,Transports!$1:$1048576,Y$2,FALSE)</f>
        <v>386493.00099999999</v>
      </c>
      <c r="Z121" s="73">
        <f>+VLOOKUP($E121,Transports!$1:$1048576,Z$2,FALSE)</f>
        <v>392014.58510000003</v>
      </c>
      <c r="AA121" s="73">
        <f>+VLOOKUP($E121,Transports!$1:$1048576,AA$2,FALSE)</f>
        <v>397673.37530000001</v>
      </c>
      <c r="AB121" s="73">
        <f>+VLOOKUP($E121,Transports!$1:$1048576,AB$2,FALSE)</f>
        <v>403469.62199999997</v>
      </c>
      <c r="AC121" s="73">
        <f>+VLOOKUP($E121,Transports!$1:$1048576,AC$2,FALSE)</f>
        <v>409401.63660000003</v>
      </c>
      <c r="AD121" s="73">
        <f>+VLOOKUP($E121,Transports!$1:$1048576,AD$2,FALSE)</f>
        <v>415466.73379999999</v>
      </c>
      <c r="AE121" s="73">
        <f>+VLOOKUP($E121,Transports!$1:$1048576,AE$2,FALSE)</f>
        <v>421661.63250000001</v>
      </c>
      <c r="AF121" s="73">
        <f>+VLOOKUP($E121,Transports!$1:$1048576,AF$2,FALSE)</f>
        <v>427982.61619999999</v>
      </c>
      <c r="AG121" s="73">
        <f>+VLOOKUP($E121,Transports!$1:$1048576,AG$2,FALSE)</f>
        <v>434425.6116</v>
      </c>
      <c r="AH121" s="73">
        <f>+VLOOKUP($E121,Transports!$1:$1048576,AH$2,FALSE)</f>
        <v>440986.2562</v>
      </c>
      <c r="AI121" s="73">
        <f>+VLOOKUP($E121,Transports!$1:$1048576,AI$2,FALSE)</f>
        <v>447659.98239999998</v>
      </c>
      <c r="AJ121" s="73">
        <f>+VLOOKUP($E121,Transports!$1:$1048576,AJ$2,FALSE)</f>
        <v>454442.11249999999</v>
      </c>
      <c r="AK121" s="73">
        <f>+VLOOKUP($E121,Transports!$1:$1048576,AK$2,FALSE)</f>
        <v>461327.96309999999</v>
      </c>
      <c r="AL121" s="73">
        <f>+VLOOKUP($E121,Transports!$1:$1048576,AL$2,FALSE)</f>
        <v>468312.94559999998</v>
      </c>
      <c r="AM121" s="73">
        <f>+VLOOKUP($E121,Transports!$1:$1048576,AM$2,FALSE)</f>
        <v>475392.6568</v>
      </c>
      <c r="AN121" s="73">
        <f>+VLOOKUP($E121,Transports!$1:$1048576,AN$2,FALSE)</f>
        <v>482562.95480000001</v>
      </c>
      <c r="AO121" s="73">
        <f>+VLOOKUP($E121,Transports!$1:$1048576,AO$2,FALSE)</f>
        <v>489820.02059999999</v>
      </c>
    </row>
    <row r="122" spans="1:41" ht="15" customHeight="1" x14ac:dyDescent="0.25">
      <c r="A122" s="316"/>
      <c r="B122" s="321"/>
      <c r="C122" s="130" t="s">
        <v>485</v>
      </c>
      <c r="D122" s="130"/>
      <c r="E122" s="48" t="s">
        <v>469</v>
      </c>
      <c r="F122" s="73">
        <f>+VLOOKUP($E122,Transports!$1:$1048576,F$2,FALSE)</f>
        <v>724102.94209999999</v>
      </c>
      <c r="G122" s="73">
        <f>+VLOOKUP($E122,Transports!$1:$1048576,G$2,FALSE)</f>
        <v>715355.48509999993</v>
      </c>
      <c r="H122" s="73">
        <f>+VLOOKUP($E122,Transports!$1:$1048576,H$2,FALSE)</f>
        <v>710971.41559999995</v>
      </c>
      <c r="I122" s="73">
        <f>+VLOOKUP($E122,Transports!$1:$1048576,I$2,FALSE)</f>
        <v>709498.47699999996</v>
      </c>
      <c r="J122" s="73">
        <f>+VLOOKUP($E122,Transports!$1:$1048576,J$2,FALSE)</f>
        <v>709947.49209999992</v>
      </c>
      <c r="K122" s="73">
        <f>+VLOOKUP($E122,Transports!$1:$1048576,K$2,FALSE)</f>
        <v>711651.17420000001</v>
      </c>
      <c r="L122" s="73">
        <f>+VLOOKUP($E122,Transports!$1:$1048576,L$2,FALSE)</f>
        <v>714212.50600000005</v>
      </c>
      <c r="M122" s="73">
        <f>+VLOOKUP($E122,Transports!$1:$1048576,M$2,FALSE)</f>
        <v>717410.59720000008</v>
      </c>
      <c r="N122" s="73">
        <f>+VLOOKUP($E122,Transports!$1:$1048576,N$2,FALSE)</f>
        <v>721079.02309999999</v>
      </c>
      <c r="O122" s="73">
        <f>+VLOOKUP($E122,Transports!$1:$1048576,O$2,FALSE)</f>
        <v>725085.74430000002</v>
      </c>
      <c r="P122" s="73">
        <f>+VLOOKUP($E122,Transports!$1:$1048576,P$2,FALSE)</f>
        <v>729322.26419999998</v>
      </c>
      <c r="Q122" s="73">
        <f>+VLOOKUP($E122,Transports!$1:$1048576,Q$2,FALSE)</f>
        <v>733696.15500000003</v>
      </c>
      <c r="R122" s="73">
        <f>+VLOOKUP($E122,Transports!$1:$1048576,R$2,FALSE)</f>
        <v>738125.90430000005</v>
      </c>
      <c r="S122" s="73">
        <f>+VLOOKUP($E122,Transports!$1:$1048576,S$2,FALSE)</f>
        <v>742537.43129999994</v>
      </c>
      <c r="T122" s="73">
        <f>+VLOOKUP($E122,Transports!$1:$1048576,T$2,FALSE)</f>
        <v>746861.77770000009</v>
      </c>
      <c r="U122" s="73">
        <f>+VLOOKUP($E122,Transports!$1:$1048576,U$2,FALSE)</f>
        <v>751033.62899999996</v>
      </c>
      <c r="V122" s="73">
        <f>+VLOOKUP($E122,Transports!$1:$1048576,V$2,FALSE)</f>
        <v>755045.86499999999</v>
      </c>
      <c r="W122" s="73">
        <f>+VLOOKUP($E122,Transports!$1:$1048576,W$2,FALSE)</f>
        <v>758941.1361</v>
      </c>
      <c r="X122" s="73">
        <f>+VLOOKUP($E122,Transports!$1:$1048576,X$2,FALSE)</f>
        <v>762741.97089999996</v>
      </c>
      <c r="Y122" s="73">
        <f>+VLOOKUP($E122,Transports!$1:$1048576,Y$2,FALSE)</f>
        <v>766458.72139999992</v>
      </c>
      <c r="Z122" s="73">
        <f>+VLOOKUP($E122,Transports!$1:$1048576,Z$2,FALSE)</f>
        <v>770096.054</v>
      </c>
      <c r="AA122" s="73">
        <f>+VLOOKUP($E122,Transports!$1:$1048576,AA$2,FALSE)</f>
        <v>773656.44149999996</v>
      </c>
      <c r="AB122" s="73">
        <f>+VLOOKUP($E122,Transports!$1:$1048576,AB$2,FALSE)</f>
        <v>777141.92430000007</v>
      </c>
      <c r="AC122" s="73">
        <f>+VLOOKUP($E122,Transports!$1:$1048576,AC$2,FALSE)</f>
        <v>780554.97270000004</v>
      </c>
      <c r="AD122" s="73">
        <f>+VLOOKUP($E122,Transports!$1:$1048576,AD$2,FALSE)</f>
        <v>783898.90880000009</v>
      </c>
      <c r="AE122" s="73">
        <f>+VLOOKUP($E122,Transports!$1:$1048576,AE$2,FALSE)</f>
        <v>787178.12680000009</v>
      </c>
      <c r="AF122" s="73">
        <f>+VLOOKUP($E122,Transports!$1:$1048576,AF$2,FALSE)</f>
        <v>790398.22849999997</v>
      </c>
      <c r="AG122" s="73">
        <f>+VLOOKUP($E122,Transports!$1:$1048576,AG$2,FALSE)</f>
        <v>793566.12740000011</v>
      </c>
      <c r="AH122" s="73">
        <f>+VLOOKUP($E122,Transports!$1:$1048576,AH$2,FALSE)</f>
        <v>796690.14370000002</v>
      </c>
      <c r="AI122" s="73">
        <f>+VLOOKUP($E122,Transports!$1:$1048576,AI$2,FALSE)</f>
        <v>799780.09400000004</v>
      </c>
      <c r="AJ122" s="73">
        <f>+VLOOKUP($E122,Transports!$1:$1048576,AJ$2,FALSE)</f>
        <v>802847.36979999999</v>
      </c>
      <c r="AK122" s="73">
        <f>+VLOOKUP($E122,Transports!$1:$1048576,AK$2,FALSE)</f>
        <v>805904.995</v>
      </c>
      <c r="AL122" s="73">
        <f>+VLOOKUP($E122,Transports!$1:$1048576,AL$2,FALSE)</f>
        <v>808967.65130000003</v>
      </c>
      <c r="AM122" s="73">
        <f>+VLOOKUP($E122,Transports!$1:$1048576,AM$2,FALSE)</f>
        <v>812051.65810000012</v>
      </c>
      <c r="AN122" s="73">
        <f>+VLOOKUP($E122,Transports!$1:$1048576,AN$2,FALSE)</f>
        <v>815174.89819999994</v>
      </c>
      <c r="AO122" s="73">
        <f>+VLOOKUP($E122,Transports!$1:$1048576,AO$2,FALSE)</f>
        <v>818356.68</v>
      </c>
    </row>
    <row r="123" spans="1:41" ht="15" customHeight="1" x14ac:dyDescent="0.25">
      <c r="A123" s="316"/>
      <c r="B123" s="321"/>
      <c r="C123" s="130" t="s">
        <v>555</v>
      </c>
      <c r="D123" s="130"/>
      <c r="E123" s="48" t="s">
        <v>470</v>
      </c>
      <c r="F123" s="73">
        <f>+VLOOKUP($E123,Transports!$1:$1048576,F$2,FALSE)</f>
        <v>624600.3419</v>
      </c>
      <c r="G123" s="73">
        <f>+VLOOKUP($E123,Transports!$1:$1048576,G$2,FALSE)</f>
        <v>618861.96189999999</v>
      </c>
      <c r="H123" s="73">
        <f>+VLOOKUP($E123,Transports!$1:$1048576,H$2,FALSE)</f>
        <v>616086.93689999997</v>
      </c>
      <c r="I123" s="73">
        <f>+VLOOKUP($E123,Transports!$1:$1048576,I$2,FALSE)</f>
        <v>615320.54669999995</v>
      </c>
      <c r="J123" s="73">
        <f>+VLOOKUP($E123,Transports!$1:$1048576,J$2,FALSE)</f>
        <v>615893.36690000002</v>
      </c>
      <c r="K123" s="73">
        <f>+VLOOKUP($E123,Transports!$1:$1048576,K$2,FALSE)</f>
        <v>617345.72360000003</v>
      </c>
      <c r="L123" s="73">
        <f>+VLOOKUP($E123,Transports!$1:$1048576,L$2,FALSE)</f>
        <v>619400.72259999998</v>
      </c>
      <c r="M123" s="73">
        <f>+VLOOKUP($E123,Transports!$1:$1048576,M$2,FALSE)</f>
        <v>621904.13670000003</v>
      </c>
      <c r="N123" s="73">
        <f>+VLOOKUP($E123,Transports!$1:$1048576,N$2,FALSE)</f>
        <v>624740.22400000005</v>
      </c>
      <c r="O123" s="73">
        <f>+VLOOKUP($E123,Transports!$1:$1048576,O$2,FALSE)</f>
        <v>627815.98160000006</v>
      </c>
      <c r="P123" s="73">
        <f>+VLOOKUP($E123,Transports!$1:$1048576,P$2,FALSE)</f>
        <v>631054.33169999998</v>
      </c>
      <c r="Q123" s="73">
        <f>+VLOOKUP($E123,Transports!$1:$1048576,Q$2,FALSE)</f>
        <v>634389.26899999997</v>
      </c>
      <c r="R123" s="73">
        <f>+VLOOKUP($E123,Transports!$1:$1048576,R$2,FALSE)</f>
        <v>637762.4621</v>
      </c>
      <c r="S123" s="73">
        <f>+VLOOKUP($E123,Transports!$1:$1048576,S$2,FALSE)</f>
        <v>641120.92130000005</v>
      </c>
      <c r="T123" s="73">
        <f>+VLOOKUP($E123,Transports!$1:$1048576,T$2,FALSE)</f>
        <v>644415.42070000002</v>
      </c>
      <c r="U123" s="73">
        <f>+VLOOKUP($E123,Transports!$1:$1048576,U$2,FALSE)</f>
        <v>647599.45519999997</v>
      </c>
      <c r="V123" s="73">
        <f>+VLOOKUP($E123,Transports!$1:$1048576,V$2,FALSE)</f>
        <v>650667.15260000003</v>
      </c>
      <c r="W123" s="73">
        <f>+VLOOKUP($E123,Transports!$1:$1048576,W$2,FALSE)</f>
        <v>653648.66249999998</v>
      </c>
      <c r="X123" s="73">
        <f>+VLOOKUP($E123,Transports!$1:$1048576,X$2,FALSE)</f>
        <v>656561.12890000001</v>
      </c>
      <c r="Y123" s="73">
        <f>+VLOOKUP($E123,Transports!$1:$1048576,Y$2,FALSE)</f>
        <v>659412.598</v>
      </c>
      <c r="Z123" s="73">
        <f>+VLOOKUP($E123,Transports!$1:$1048576,Z$2,FALSE)</f>
        <v>662206.8088</v>
      </c>
      <c r="AA123" s="73">
        <f>+VLOOKUP($E123,Transports!$1:$1048576,AA$2,FALSE)</f>
        <v>664945.7463</v>
      </c>
      <c r="AB123" s="73">
        <f>+VLOOKUP($E123,Transports!$1:$1048576,AB$2,FALSE)</f>
        <v>667630.94429999997</v>
      </c>
      <c r="AC123" s="73">
        <f>+VLOOKUP($E123,Transports!$1:$1048576,AC$2,FALSE)</f>
        <v>670264.13899999997</v>
      </c>
      <c r="AD123" s="73">
        <f>+VLOOKUP($E123,Transports!$1:$1048576,AD$2,FALSE)</f>
        <v>672847.59730000002</v>
      </c>
      <c r="AE123" s="73">
        <f>+VLOOKUP($E123,Transports!$1:$1048576,AE$2,FALSE)</f>
        <v>675384.29240000003</v>
      </c>
      <c r="AF123" s="73">
        <f>+VLOOKUP($E123,Transports!$1:$1048576,AF$2,FALSE)</f>
        <v>677878.0111</v>
      </c>
      <c r="AG123" s="73">
        <f>+VLOOKUP($E123,Transports!$1:$1048576,AG$2,FALSE)</f>
        <v>680333.43480000005</v>
      </c>
      <c r="AH123" s="73">
        <f>+VLOOKUP($E123,Transports!$1:$1048576,AH$2,FALSE)</f>
        <v>682756.21230000001</v>
      </c>
      <c r="AI123" s="73">
        <f>+VLOOKUP($E123,Transports!$1:$1048576,AI$2,FALSE)</f>
        <v>685153.02679999999</v>
      </c>
      <c r="AJ123" s="73">
        <f>+VLOOKUP($E123,Transports!$1:$1048576,AJ$2,FALSE)</f>
        <v>687531.65610000002</v>
      </c>
      <c r="AK123" s="73">
        <f>+VLOOKUP($E123,Transports!$1:$1048576,AK$2,FALSE)</f>
        <v>689901.01630000002</v>
      </c>
      <c r="AL123" s="73">
        <f>+VLOOKUP($E123,Transports!$1:$1048576,AL$2,FALSE)</f>
        <v>692271.18229999999</v>
      </c>
      <c r="AM123" s="73">
        <f>+VLOOKUP($E123,Transports!$1:$1048576,AM$2,FALSE)</f>
        <v>694653.37569999998</v>
      </c>
      <c r="AN123" s="73">
        <f>+VLOOKUP($E123,Transports!$1:$1048576,AN$2,FALSE)</f>
        <v>697059.91249999998</v>
      </c>
      <c r="AO123" s="73">
        <f>+VLOOKUP($E123,Transports!$1:$1048576,AO$2,FALSE)</f>
        <v>699504.10530000005</v>
      </c>
    </row>
    <row r="124" spans="1:41" ht="15" customHeight="1" x14ac:dyDescent="0.25">
      <c r="A124" s="316"/>
      <c r="B124" s="321"/>
      <c r="C124" s="130"/>
      <c r="D124" s="130" t="s">
        <v>554</v>
      </c>
      <c r="E124" s="48" t="s">
        <v>471</v>
      </c>
      <c r="F124" s="73">
        <f>+VLOOKUP($E124,Transports!$1:$1048576,F$2,FALSE)</f>
        <v>554271.6422</v>
      </c>
      <c r="G124" s="73">
        <f>+VLOOKUP($E124,Transports!$1:$1048576,G$2,FALSE)</f>
        <v>547921.7966</v>
      </c>
      <c r="H124" s="73">
        <f>+VLOOKUP($E124,Transports!$1:$1048576,H$2,FALSE)</f>
        <v>544690.45169999998</v>
      </c>
      <c r="I124" s="73">
        <f>+VLOOKUP($E124,Transports!$1:$1048576,I$2,FALSE)</f>
        <v>543539.71470000001</v>
      </c>
      <c r="J124" s="73">
        <f>+VLOOKUP($E124,Transports!$1:$1048576,J$2,FALSE)</f>
        <v>543761.34439999994</v>
      </c>
      <c r="K124" s="73">
        <f>+VLOOKUP($E124,Transports!$1:$1048576,K$2,FALSE)</f>
        <v>544877.08310000005</v>
      </c>
      <c r="L124" s="73">
        <f>+VLOOKUP($E124,Transports!$1:$1048576,L$2,FALSE)</f>
        <v>546602.28870000003</v>
      </c>
      <c r="M124" s="73">
        <f>+VLOOKUP($E124,Transports!$1:$1048576,M$2,FALSE)</f>
        <v>548778.59900000005</v>
      </c>
      <c r="N124" s="73">
        <f>+VLOOKUP($E124,Transports!$1:$1048576,N$2,FALSE)</f>
        <v>551286.77989999996</v>
      </c>
      <c r="O124" s="73">
        <f>+VLOOKUP($E124,Transports!$1:$1048576,O$2,FALSE)</f>
        <v>554032.30870000005</v>
      </c>
      <c r="P124" s="73">
        <f>+VLOOKUP($E124,Transports!$1:$1048576,P$2,FALSE)</f>
        <v>556937.57389999996</v>
      </c>
      <c r="Q124" s="73">
        <f>+VLOOKUP($E124,Transports!$1:$1048576,Q$2,FALSE)</f>
        <v>559936.54229999997</v>
      </c>
      <c r="R124" s="73">
        <f>+VLOOKUP($E124,Transports!$1:$1048576,R$2,FALSE)</f>
        <v>562971.08909999998</v>
      </c>
      <c r="S124" s="73">
        <f>+VLOOKUP($E124,Transports!$1:$1048576,S$2,FALSE)</f>
        <v>565988.51489999995</v>
      </c>
      <c r="T124" s="73">
        <f>+VLOOKUP($E124,Transports!$1:$1048576,T$2,FALSE)</f>
        <v>568939.89820000005</v>
      </c>
      <c r="U124" s="73">
        <f>+VLOOKUP($E124,Transports!$1:$1048576,U$2,FALSE)</f>
        <v>571779.03599999996</v>
      </c>
      <c r="V124" s="73">
        <f>+VLOOKUP($E124,Transports!$1:$1048576,V$2,FALSE)</f>
        <v>574501.20299999998</v>
      </c>
      <c r="W124" s="73">
        <f>+VLOOKUP($E124,Transports!$1:$1048576,W$2,FALSE)</f>
        <v>577137.04790000001</v>
      </c>
      <c r="X124" s="73">
        <f>+VLOOKUP($E124,Transports!$1:$1048576,X$2,FALSE)</f>
        <v>579702.89159999997</v>
      </c>
      <c r="Y124" s="73">
        <f>+VLOOKUP($E124,Transports!$1:$1048576,Y$2,FALSE)</f>
        <v>582206.35889999999</v>
      </c>
      <c r="Z124" s="73">
        <f>+VLOOKUP($E124,Transports!$1:$1048576,Z$2,FALSE)</f>
        <v>584650.97450000001</v>
      </c>
      <c r="AA124" s="73">
        <f>+VLOOKUP($E124,Transports!$1:$1048576,AA$2,FALSE)</f>
        <v>587038.66399999999</v>
      </c>
      <c r="AB124" s="73">
        <f>+VLOOKUP($E124,Transports!$1:$1048576,AB$2,FALSE)</f>
        <v>589371.02410000004</v>
      </c>
      <c r="AC124" s="73">
        <f>+VLOOKUP($E124,Transports!$1:$1048576,AC$2,FALSE)</f>
        <v>591649.946</v>
      </c>
      <c r="AD124" s="73">
        <f>+VLOOKUP($E124,Transports!$1:$1048576,AD$2,FALSE)</f>
        <v>593877.92000000004</v>
      </c>
      <c r="AE124" s="73">
        <f>+VLOOKUP($E124,Transports!$1:$1048576,AE$2,FALSE)</f>
        <v>596058.19220000005</v>
      </c>
      <c r="AF124" s="73">
        <f>+VLOOKUP($E124,Transports!$1:$1048576,AF$2,FALSE)</f>
        <v>598194.85829999996</v>
      </c>
      <c r="AG124" s="73">
        <f>+VLOOKUP($E124,Transports!$1:$1048576,AG$2,FALSE)</f>
        <v>600292.93370000005</v>
      </c>
      <c r="AH124" s="73">
        <f>+VLOOKUP($E124,Transports!$1:$1048576,AH$2,FALSE)</f>
        <v>602358.41509999998</v>
      </c>
      <c r="AI124" s="73">
        <f>+VLOOKUP($E124,Transports!$1:$1048576,AI$2,FALSE)</f>
        <v>604398.3382</v>
      </c>
      <c r="AJ124" s="73">
        <f>+VLOOKUP($E124,Transports!$1:$1048576,AJ$2,FALSE)</f>
        <v>606420.8273</v>
      </c>
      <c r="AK124" s="73">
        <f>+VLOOKUP($E124,Transports!$1:$1048576,AK$2,FALSE)</f>
        <v>608435.13029999996</v>
      </c>
      <c r="AL124" s="73">
        <f>+VLOOKUP($E124,Transports!$1:$1048576,AL$2,FALSE)</f>
        <v>610451.63080000004</v>
      </c>
      <c r="AM124" s="73">
        <f>+VLOOKUP($E124,Transports!$1:$1048576,AM$2,FALSE)</f>
        <v>612481.82940000005</v>
      </c>
      <c r="AN124" s="73">
        <f>+VLOOKUP($E124,Transports!$1:$1048576,AN$2,FALSE)</f>
        <v>614538.28729999997</v>
      </c>
      <c r="AO124" s="73">
        <f>+VLOOKUP($E124,Transports!$1:$1048576,AO$2,FALSE)</f>
        <v>616634.52540000004</v>
      </c>
    </row>
    <row r="125" spans="1:41" ht="15" customHeight="1" x14ac:dyDescent="0.25">
      <c r="A125" s="316"/>
      <c r="B125" s="321"/>
      <c r="C125" s="130"/>
      <c r="D125" s="130" t="s">
        <v>166</v>
      </c>
      <c r="E125" s="48" t="s">
        <v>472</v>
      </c>
      <c r="F125" s="73">
        <f>+VLOOKUP($E125,Transports!$1:$1048576,F$2,FALSE)</f>
        <v>70328.699649999995</v>
      </c>
      <c r="G125" s="73">
        <f>+VLOOKUP($E125,Transports!$1:$1048576,G$2,FALSE)</f>
        <v>70321.713780000005</v>
      </c>
      <c r="H125" s="73">
        <f>+VLOOKUP($E125,Transports!$1:$1048576,H$2,FALSE)</f>
        <v>70422.251279999997</v>
      </c>
      <c r="I125" s="73">
        <f>+VLOOKUP($E125,Transports!$1:$1048576,I$2,FALSE)</f>
        <v>70597.879260000002</v>
      </c>
      <c r="J125" s="73">
        <f>+VLOOKUP($E125,Transports!$1:$1048576,J$2,FALSE)</f>
        <v>70825.341199999995</v>
      </c>
      <c r="K125" s="73">
        <f>+VLOOKUP($E125,Transports!$1:$1048576,K$2,FALSE)</f>
        <v>71088.353579999995</v>
      </c>
      <c r="L125" s="73">
        <f>+VLOOKUP($E125,Transports!$1:$1048576,L$2,FALSE)</f>
        <v>71376.449590000004</v>
      </c>
      <c r="M125" s="73">
        <f>+VLOOKUP($E125,Transports!$1:$1048576,M$2,FALSE)</f>
        <v>71684.112040000007</v>
      </c>
      <c r="N125" s="73">
        <f>+VLOOKUP($E125,Transports!$1:$1048576,N$2,FALSE)</f>
        <v>72007.760439999998</v>
      </c>
      <c r="O125" s="73">
        <f>+VLOOKUP($E125,Transports!$1:$1048576,O$2,FALSE)</f>
        <v>72343.932499999995</v>
      </c>
      <c r="P125" s="73">
        <f>+VLOOKUP($E125,Transports!$1:$1048576,P$2,FALSE)</f>
        <v>72689.392810000005</v>
      </c>
      <c r="Q125" s="73">
        <f>+VLOOKUP($E125,Transports!$1:$1048576,Q$2,FALSE)</f>
        <v>73041.122340000002</v>
      </c>
      <c r="R125" s="73">
        <f>+VLOOKUP($E125,Transports!$1:$1048576,R$2,FALSE)</f>
        <v>73396.292589999997</v>
      </c>
      <c r="S125" s="73">
        <f>+VLOOKUP($E125,Transports!$1:$1048576,S$2,FALSE)</f>
        <v>73752.238639999996</v>
      </c>
      <c r="T125" s="73">
        <f>+VLOOKUP($E125,Transports!$1:$1048576,T$2,FALSE)</f>
        <v>74106.43045</v>
      </c>
      <c r="U125" s="73">
        <f>+VLOOKUP($E125,Transports!$1:$1048576,U$2,FALSE)</f>
        <v>74456.445430000007</v>
      </c>
      <c r="V125" s="73">
        <f>+VLOOKUP($E125,Transports!$1:$1048576,V$2,FALSE)</f>
        <v>74801.305129999993</v>
      </c>
      <c r="W125" s="73">
        <f>+VLOOKUP($E125,Transports!$1:$1048576,W$2,FALSE)</f>
        <v>75142.139009999999</v>
      </c>
      <c r="X125" s="73">
        <f>+VLOOKUP($E125,Transports!$1:$1048576,X$2,FALSE)</f>
        <v>75480.232430000004</v>
      </c>
      <c r="Y125" s="73">
        <f>+VLOOKUP($E125,Transports!$1:$1048576,Y$2,FALSE)</f>
        <v>75816.213440000007</v>
      </c>
      <c r="Z125" s="73">
        <f>+VLOOKUP($E125,Transports!$1:$1048576,Z$2,FALSE)</f>
        <v>76150.391459999999</v>
      </c>
      <c r="AA125" s="73">
        <f>+VLOOKUP($E125,Transports!$1:$1048576,AA$2,FALSE)</f>
        <v>76482.908320000002</v>
      </c>
      <c r="AB125" s="73">
        <f>+VLOOKUP($E125,Transports!$1:$1048576,AB$2,FALSE)</f>
        <v>76813.818719999996</v>
      </c>
      <c r="AC125" s="73">
        <f>+VLOOKUP($E125,Transports!$1:$1048576,AC$2,FALSE)</f>
        <v>77143.137499999997</v>
      </c>
      <c r="AD125" s="73">
        <f>+VLOOKUP($E125,Transports!$1:$1048576,AD$2,FALSE)</f>
        <v>77470.867970000007</v>
      </c>
      <c r="AE125" s="73">
        <f>+VLOOKUP($E125,Transports!$1:$1048576,AE$2,FALSE)</f>
        <v>77797.01917</v>
      </c>
      <c r="AF125" s="73">
        <f>+VLOOKUP($E125,Transports!$1:$1048576,AF$2,FALSE)</f>
        <v>78121.616959999999</v>
      </c>
      <c r="AG125" s="73">
        <f>+VLOOKUP($E125,Transports!$1:$1048576,AG$2,FALSE)</f>
        <v>78444.71226</v>
      </c>
      <c r="AH125" s="73">
        <f>+VLOOKUP($E125,Transports!$1:$1048576,AH$2,FALSE)</f>
        <v>78766.388210000005</v>
      </c>
      <c r="AI125" s="73">
        <f>+VLOOKUP($E125,Transports!$1:$1048576,AI$2,FALSE)</f>
        <v>79086.767009999996</v>
      </c>
      <c r="AJ125" s="73">
        <f>+VLOOKUP($E125,Transports!$1:$1048576,AJ$2,FALSE)</f>
        <v>79406.016260000004</v>
      </c>
      <c r="AK125" s="73">
        <f>+VLOOKUP($E125,Transports!$1:$1048576,AK$2,FALSE)</f>
        <v>79724.35454</v>
      </c>
      <c r="AL125" s="73">
        <f>+VLOOKUP($E125,Transports!$1:$1048576,AL$2,FALSE)</f>
        <v>80042.055619999999</v>
      </c>
      <c r="AM125" s="73">
        <f>+VLOOKUP($E125,Transports!$1:$1048576,AM$2,FALSE)</f>
        <v>80359.450830000002</v>
      </c>
      <c r="AN125" s="73">
        <f>+VLOOKUP($E125,Transports!$1:$1048576,AN$2,FALSE)</f>
        <v>80676.929210000002</v>
      </c>
      <c r="AO125" s="73">
        <f>+VLOOKUP($E125,Transports!$1:$1048576,AO$2,FALSE)</f>
        <v>80994.935169999997</v>
      </c>
    </row>
    <row r="126" spans="1:41" ht="15" customHeight="1" x14ac:dyDescent="0.25">
      <c r="A126" s="316"/>
      <c r="B126" s="321"/>
      <c r="C126" s="130" t="s">
        <v>556</v>
      </c>
      <c r="D126" s="130"/>
      <c r="E126" s="48" t="s">
        <v>473</v>
      </c>
      <c r="F126" s="73">
        <f>+VLOOKUP($E126,Transports!$1:$1048576,F$2,FALSE)</f>
        <v>275159.80609999999</v>
      </c>
      <c r="G126" s="73">
        <f>+VLOOKUP($E126,Transports!$1:$1048576,G$2,FALSE)</f>
        <v>270792.35190000001</v>
      </c>
      <c r="H126" s="73">
        <f>+VLOOKUP($E126,Transports!$1:$1048576,H$2,FALSE)</f>
        <v>268629.34490000003</v>
      </c>
      <c r="I126" s="73">
        <f>+VLOOKUP($E126,Transports!$1:$1048576,I$2,FALSE)</f>
        <v>267925.60129999998</v>
      </c>
      <c r="J126" s="73">
        <f>+VLOOKUP($E126,Transports!$1:$1048576,J$2,FALSE)</f>
        <v>268182.20030000003</v>
      </c>
      <c r="K126" s="73">
        <f>+VLOOKUP($E126,Transports!$1:$1048576,K$2,FALSE)</f>
        <v>269066.09120000002</v>
      </c>
      <c r="L126" s="73">
        <f>+VLOOKUP($E126,Transports!$1:$1048576,L$2,FALSE)</f>
        <v>270380.44839999999</v>
      </c>
      <c r="M126" s="73">
        <f>+VLOOKUP($E126,Transports!$1:$1048576,M$2,FALSE)</f>
        <v>272015.85159999999</v>
      </c>
      <c r="N126" s="73">
        <f>+VLOOKUP($E126,Transports!$1:$1048576,N$2,FALSE)</f>
        <v>273889.6005</v>
      </c>
      <c r="O126" s="73">
        <f>+VLOOKUP($E126,Transports!$1:$1048576,O$2,FALSE)</f>
        <v>275936.37920000002</v>
      </c>
      <c r="P126" s="73">
        <f>+VLOOKUP($E126,Transports!$1:$1048576,P$2,FALSE)</f>
        <v>278102.65539999999</v>
      </c>
      <c r="Q126" s="73">
        <f>+VLOOKUP($E126,Transports!$1:$1048576,Q$2,FALSE)</f>
        <v>280342.81929999997</v>
      </c>
      <c r="R126" s="73">
        <f>+VLOOKUP($E126,Transports!$1:$1048576,R$2,FALSE)</f>
        <v>282616.53149999998</v>
      </c>
      <c r="S126" s="73">
        <f>+VLOOKUP($E126,Transports!$1:$1048576,S$2,FALSE)</f>
        <v>284886.9436</v>
      </c>
      <c r="T126" s="73">
        <f>+VLOOKUP($E126,Transports!$1:$1048576,T$2,FALSE)</f>
        <v>287119.53370000003</v>
      </c>
      <c r="U126" s="73">
        <f>+VLOOKUP($E126,Transports!$1:$1048576,U$2,FALSE)</f>
        <v>289281.37699999998</v>
      </c>
      <c r="V126" s="73">
        <f>+VLOOKUP($E126,Transports!$1:$1048576,V$2,FALSE)</f>
        <v>291368.74900000001</v>
      </c>
      <c r="W126" s="73">
        <f>+VLOOKUP($E126,Transports!$1:$1048576,W$2,FALSE)</f>
        <v>293402.5932</v>
      </c>
      <c r="X126" s="73">
        <f>+VLOOKUP($E126,Transports!$1:$1048576,X$2,FALSE)</f>
        <v>295393.37459999998</v>
      </c>
      <c r="Y126" s="73">
        <f>+VLOOKUP($E126,Transports!$1:$1048576,Y$2,FALSE)</f>
        <v>297345.67910000001</v>
      </c>
      <c r="Z126" s="73">
        <f>+VLOOKUP($E126,Transports!$1:$1048576,Z$2,FALSE)</f>
        <v>299261.41629999998</v>
      </c>
      <c r="AA126" s="73">
        <f>+VLOOKUP($E126,Transports!$1:$1048576,AA$2,FALSE)</f>
        <v>301141.51659999997</v>
      </c>
      <c r="AB126" s="73">
        <f>+VLOOKUP($E126,Transports!$1:$1048576,AB$2,FALSE)</f>
        <v>302986.77299999999</v>
      </c>
      <c r="AC126" s="73">
        <f>+VLOOKUP($E126,Transports!$1:$1048576,AC$2,FALSE)</f>
        <v>304798.2451</v>
      </c>
      <c r="AD126" s="73">
        <f>+VLOOKUP($E126,Transports!$1:$1048576,AD$2,FALSE)</f>
        <v>306577.45500000002</v>
      </c>
      <c r="AE126" s="73">
        <f>+VLOOKUP($E126,Transports!$1:$1048576,AE$2,FALSE)</f>
        <v>308326.4915</v>
      </c>
      <c r="AF126" s="73">
        <f>+VLOOKUP($E126,Transports!$1:$1048576,AF$2,FALSE)</f>
        <v>310048.07659999997</v>
      </c>
      <c r="AG126" s="73">
        <f>+VLOOKUP($E126,Transports!$1:$1048576,AG$2,FALSE)</f>
        <v>311745.6214</v>
      </c>
      <c r="AH126" s="73">
        <f>+VLOOKUP($E126,Transports!$1:$1048576,AH$2,FALSE)</f>
        <v>313423.27899999998</v>
      </c>
      <c r="AI126" s="73">
        <f>+VLOOKUP($E126,Transports!$1:$1048576,AI$2,FALSE)</f>
        <v>315085.9952</v>
      </c>
      <c r="AJ126" s="73">
        <f>+VLOOKUP($E126,Transports!$1:$1048576,AJ$2,FALSE)</f>
        <v>316739.5551</v>
      </c>
      <c r="AK126" s="73">
        <f>+VLOOKUP($E126,Transports!$1:$1048576,AK$2,FALSE)</f>
        <v>318390.61820000003</v>
      </c>
      <c r="AL126" s="73">
        <f>+VLOOKUP($E126,Transports!$1:$1048576,AL$2,FALSE)</f>
        <v>320046.73719999997</v>
      </c>
      <c r="AM126" s="73">
        <f>+VLOOKUP($E126,Transports!$1:$1048576,AM$2,FALSE)</f>
        <v>321716.35340000002</v>
      </c>
      <c r="AN126" s="73">
        <f>+VLOOKUP($E126,Transports!$1:$1048576,AN$2,FALSE)</f>
        <v>323408.76360000001</v>
      </c>
      <c r="AO126" s="73">
        <f>+VLOOKUP($E126,Transports!$1:$1048576,AO$2,FALSE)</f>
        <v>325134.0552</v>
      </c>
    </row>
    <row r="127" spans="1:41" ht="15" customHeight="1" x14ac:dyDescent="0.25">
      <c r="A127" s="316"/>
      <c r="B127" s="321"/>
      <c r="C127" s="130"/>
      <c r="D127" s="130" t="s">
        <v>167</v>
      </c>
      <c r="E127" s="48" t="s">
        <v>474</v>
      </c>
      <c r="F127" s="73">
        <f>+VLOOKUP($E127,Transports!$1:$1048576,F$2,FALSE)</f>
        <v>169831.29990000001</v>
      </c>
      <c r="G127" s="73">
        <f>+VLOOKUP($E127,Transports!$1:$1048576,G$2,FALSE)</f>
        <v>167433.68849999999</v>
      </c>
      <c r="H127" s="73">
        <f>+VLOOKUP($E127,Transports!$1:$1048576,H$2,FALSE)</f>
        <v>166280.9639</v>
      </c>
      <c r="I127" s="73">
        <f>+VLOOKUP($E127,Transports!$1:$1048576,I$2,FALSE)</f>
        <v>165958.7623</v>
      </c>
      <c r="J127" s="73">
        <f>+VLOOKUP($E127,Transports!$1:$1048576,J$2,FALSE)</f>
        <v>166186.1477</v>
      </c>
      <c r="K127" s="73">
        <f>+VLOOKUP($E127,Transports!$1:$1048576,K$2,FALSE)</f>
        <v>166774.09109999999</v>
      </c>
      <c r="L127" s="73">
        <f>+VLOOKUP($E127,Transports!$1:$1048576,L$2,FALSE)</f>
        <v>167610.21729999999</v>
      </c>
      <c r="M127" s="73">
        <f>+VLOOKUP($E127,Transports!$1:$1048576,M$2,FALSE)</f>
        <v>168631.9982</v>
      </c>
      <c r="N127" s="73">
        <f>+VLOOKUP($E127,Transports!$1:$1048576,N$2,FALSE)</f>
        <v>169792.2432</v>
      </c>
      <c r="O127" s="73">
        <f>+VLOOKUP($E127,Transports!$1:$1048576,O$2,FALSE)</f>
        <v>171053.4356</v>
      </c>
      <c r="P127" s="73">
        <f>+VLOOKUP($E127,Transports!$1:$1048576,P$2,FALSE)</f>
        <v>172384.69029999999</v>
      </c>
      <c r="Q127" s="73">
        <f>+VLOOKUP($E127,Transports!$1:$1048576,Q$2,FALSE)</f>
        <v>173759.6127</v>
      </c>
      <c r="R127" s="73">
        <f>+VLOOKUP($E127,Transports!$1:$1048576,R$2,FALSE)</f>
        <v>175154.81520000001</v>
      </c>
      <c r="S127" s="73">
        <f>+VLOOKUP($E127,Transports!$1:$1048576,S$2,FALSE)</f>
        <v>176548.91639999999</v>
      </c>
      <c r="T127" s="73">
        <f>+VLOOKUP($E127,Transports!$1:$1048576,T$2,FALSE)</f>
        <v>177921.87950000001</v>
      </c>
      <c r="U127" s="73">
        <f>+VLOOKUP($E127,Transports!$1:$1048576,U$2,FALSE)</f>
        <v>179254.59299999999</v>
      </c>
      <c r="V127" s="73">
        <f>+VLOOKUP($E127,Transports!$1:$1048576,V$2,FALSE)</f>
        <v>180544.66200000001</v>
      </c>
      <c r="W127" s="73">
        <f>+VLOOKUP($E127,Transports!$1:$1048576,W$2,FALSE)</f>
        <v>181804.0882</v>
      </c>
      <c r="X127" s="73">
        <f>+VLOOKUP($E127,Transports!$1:$1048576,X$2,FALSE)</f>
        <v>183039.07930000001</v>
      </c>
      <c r="Y127" s="73">
        <f>+VLOOKUP($E127,Transports!$1:$1048576,Y$2,FALSE)</f>
        <v>184252.36249999999</v>
      </c>
      <c r="Z127" s="73">
        <f>+VLOOKUP($E127,Transports!$1:$1048576,Z$2,FALSE)</f>
        <v>185445.07949999999</v>
      </c>
      <c r="AA127" s="73">
        <f>+VLOOKUP($E127,Transports!$1:$1048576,AA$2,FALSE)</f>
        <v>186617.7775</v>
      </c>
      <c r="AB127" s="73">
        <f>+VLOOKUP($E127,Transports!$1:$1048576,AB$2,FALSE)</f>
        <v>187770.9002</v>
      </c>
      <c r="AC127" s="73">
        <f>+VLOOKUP($E127,Transports!$1:$1048576,AC$2,FALSE)</f>
        <v>188905.02669999999</v>
      </c>
      <c r="AD127" s="73">
        <f>+VLOOKUP($E127,Transports!$1:$1048576,AD$2,FALSE)</f>
        <v>190020.98879999999</v>
      </c>
      <c r="AE127" s="73">
        <f>+VLOOKUP($E127,Transports!$1:$1048576,AE$2,FALSE)</f>
        <v>191119.93460000001</v>
      </c>
      <c r="AF127" s="73">
        <f>+VLOOKUP($E127,Transports!$1:$1048576,AF$2,FALSE)</f>
        <v>192203.3702</v>
      </c>
      <c r="AG127" s="73">
        <f>+VLOOKUP($E127,Transports!$1:$1048576,AG$2,FALSE)</f>
        <v>193273.1937</v>
      </c>
      <c r="AH127" s="73">
        <f>+VLOOKUP($E127,Transports!$1:$1048576,AH$2,FALSE)</f>
        <v>194331.7286</v>
      </c>
      <c r="AI127" s="73">
        <f>+VLOOKUP($E127,Transports!$1:$1048576,AI$2,FALSE)</f>
        <v>195381.75580000001</v>
      </c>
      <c r="AJ127" s="73">
        <f>+VLOOKUP($E127,Transports!$1:$1048576,AJ$2,FALSE)</f>
        <v>196426.54250000001</v>
      </c>
      <c r="AK127" s="73">
        <f>+VLOOKUP($E127,Transports!$1:$1048576,AK$2,FALSE)</f>
        <v>197469.86470000001</v>
      </c>
      <c r="AL127" s="73">
        <f>+VLOOKUP($E127,Transports!$1:$1048576,AL$2,FALSE)</f>
        <v>198516.02050000001</v>
      </c>
      <c r="AM127" s="73">
        <f>+VLOOKUP($E127,Transports!$1:$1048576,AM$2,FALSE)</f>
        <v>199569.82870000001</v>
      </c>
      <c r="AN127" s="73">
        <f>+VLOOKUP($E127,Transports!$1:$1048576,AN$2,FALSE)</f>
        <v>200636.6109</v>
      </c>
      <c r="AO127" s="73">
        <f>+VLOOKUP($E127,Transports!$1:$1048576,AO$2,FALSE)</f>
        <v>201722.15460000001</v>
      </c>
    </row>
    <row r="128" spans="1:41" ht="15" customHeight="1" x14ac:dyDescent="0.25">
      <c r="A128" s="316"/>
      <c r="B128" s="321"/>
      <c r="C128" s="131"/>
      <c r="D128" s="131" t="s">
        <v>557</v>
      </c>
      <c r="E128" s="96" t="s">
        <v>475</v>
      </c>
      <c r="F128" s="245">
        <f>+VLOOKUP($E128,Transports!$1:$1048576,F$2,FALSE)</f>
        <v>105328.5062</v>
      </c>
      <c r="G128" s="245">
        <f>+VLOOKUP($E128,Transports!$1:$1048576,G$2,FALSE)</f>
        <v>106469.6841</v>
      </c>
      <c r="H128" s="245">
        <f>+VLOOKUP($E128,Transports!$1:$1048576,H$2,FALSE)</f>
        <v>107456.71950000001</v>
      </c>
      <c r="I128" s="245">
        <f>+VLOOKUP($E128,Transports!$1:$1048576,I$2,FALSE)</f>
        <v>108342.2931</v>
      </c>
      <c r="J128" s="245">
        <f>+VLOOKUP($E128,Transports!$1:$1048576,J$2,FALSE)</f>
        <v>109165.3447</v>
      </c>
      <c r="K128" s="245">
        <f>+VLOOKUP($E128,Transports!$1:$1048576,K$2,FALSE)</f>
        <v>109953.23</v>
      </c>
      <c r="L128" s="245">
        <f>+VLOOKUP($E128,Transports!$1:$1048576,L$2,FALSE)</f>
        <v>110720.406</v>
      </c>
      <c r="M128" s="245">
        <f>+VLOOKUP($E128,Transports!$1:$1048576,M$2,FALSE)</f>
        <v>111476.07030000001</v>
      </c>
      <c r="N128" s="245">
        <f>+VLOOKUP($E128,Transports!$1:$1048576,N$2,FALSE)</f>
        <v>112229.3395</v>
      </c>
      <c r="O128" s="245">
        <f>+VLOOKUP($E128,Transports!$1:$1048576,O$2,FALSE)</f>
        <v>112985.4523</v>
      </c>
      <c r="P128" s="245">
        <f>+VLOOKUP($E128,Transports!$1:$1048576,P$2,FALSE)</f>
        <v>113747.46859999999</v>
      </c>
      <c r="Q128" s="245">
        <f>+VLOOKUP($E128,Transports!$1:$1048576,Q$2,FALSE)</f>
        <v>114517.1305</v>
      </c>
      <c r="R128" s="245">
        <f>+VLOOKUP($E128,Transports!$1:$1048576,R$2,FALSE)</f>
        <v>115295.3995</v>
      </c>
      <c r="S128" s="245">
        <f>+VLOOKUP($E128,Transports!$1:$1048576,S$2,FALSE)</f>
        <v>116082.798</v>
      </c>
      <c r="T128" s="245">
        <f>+VLOOKUP($E128,Transports!$1:$1048576,T$2,FALSE)</f>
        <v>116879.60769999999</v>
      </c>
      <c r="U128" s="245">
        <f>+VLOOKUP($E128,Transports!$1:$1048576,U$2,FALSE)</f>
        <v>117685.973</v>
      </c>
      <c r="V128" s="245">
        <f>+VLOOKUP($E128,Transports!$1:$1048576,V$2,FALSE)</f>
        <v>118499.287</v>
      </c>
      <c r="W128" s="245">
        <f>+VLOOKUP($E128,Transports!$1:$1048576,W$2,FALSE)</f>
        <v>119317.6311</v>
      </c>
      <c r="X128" s="245">
        <f>+VLOOKUP($E128,Transports!$1:$1048576,X$2,FALSE)</f>
        <v>120142.30469999999</v>
      </c>
      <c r="Y128" s="245">
        <f>+VLOOKUP($E128,Transports!$1:$1048576,Y$2,FALSE)</f>
        <v>120973.9725</v>
      </c>
      <c r="Z128" s="245">
        <f>+VLOOKUP($E128,Transports!$1:$1048576,Z$2,FALSE)</f>
        <v>121813.011</v>
      </c>
      <c r="AA128" s="245">
        <f>+VLOOKUP($E128,Transports!$1:$1048576,AA$2,FALSE)</f>
        <v>122659.5482</v>
      </c>
      <c r="AB128" s="245">
        <f>+VLOOKUP($E128,Transports!$1:$1048576,AB$2,FALSE)</f>
        <v>123513.4868</v>
      </c>
      <c r="AC128" s="245">
        <f>+VLOOKUP($E128,Transports!$1:$1048576,AC$2,FALSE)</f>
        <v>124374.5373</v>
      </c>
      <c r="AD128" s="245">
        <f>+VLOOKUP($E128,Transports!$1:$1048576,AD$2,FALSE)</f>
        <v>125242.2507</v>
      </c>
      <c r="AE128" s="245">
        <f>+VLOOKUP($E128,Transports!$1:$1048576,AE$2,FALSE)</f>
        <v>126116.0436</v>
      </c>
      <c r="AF128" s="245">
        <f>+VLOOKUP($E128,Transports!$1:$1048576,AF$2,FALSE)</f>
        <v>126995.2167</v>
      </c>
      <c r="AG128" s="245">
        <f>+VLOOKUP($E128,Transports!$1:$1048576,AG$2,FALSE)</f>
        <v>127878.9681</v>
      </c>
      <c r="AH128" s="245">
        <f>+VLOOKUP($E128,Transports!$1:$1048576,AH$2,FALSE)</f>
        <v>128766.4071</v>
      </c>
      <c r="AI128" s="245">
        <f>+VLOOKUP($E128,Transports!$1:$1048576,AI$2,FALSE)</f>
        <v>129656.56660000001</v>
      </c>
      <c r="AJ128" s="245">
        <f>+VLOOKUP($E128,Transports!$1:$1048576,AJ$2,FALSE)</f>
        <v>130548.4167</v>
      </c>
      <c r="AK128" s="245">
        <f>+VLOOKUP($E128,Transports!$1:$1048576,AK$2,FALSE)</f>
        <v>131440.87839999999</v>
      </c>
      <c r="AL128" s="245">
        <f>+VLOOKUP($E128,Transports!$1:$1048576,AL$2,FALSE)</f>
        <v>132332.83660000001</v>
      </c>
      <c r="AM128" s="245">
        <f>+VLOOKUP($E128,Transports!$1:$1048576,AM$2,FALSE)</f>
        <v>133223.1532</v>
      </c>
      <c r="AN128" s="245">
        <f>+VLOOKUP($E128,Transports!$1:$1048576,AN$2,FALSE)</f>
        <v>134110.67970000001</v>
      </c>
      <c r="AO128" s="245">
        <f>+VLOOKUP($E128,Transports!$1:$1048576,AO$2,FALSE)</f>
        <v>134994.26980000001</v>
      </c>
    </row>
    <row r="129" spans="1:49" ht="15" customHeight="1" x14ac:dyDescent="0.25">
      <c r="A129" s="316"/>
      <c r="B129" s="321"/>
      <c r="C129" s="174" t="s">
        <v>476</v>
      </c>
      <c r="D129" s="130"/>
      <c r="E129" s="48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</row>
    <row r="130" spans="1:49" ht="15" customHeight="1" x14ac:dyDescent="0.25">
      <c r="A130" s="316"/>
      <c r="B130" s="321"/>
      <c r="C130" s="130" t="s">
        <v>553</v>
      </c>
      <c r="D130" s="130"/>
      <c r="E130" s="48" t="s">
        <v>477</v>
      </c>
      <c r="F130" s="73">
        <f>+VLOOKUP($E130,Transports!$1:$1048576,F$2,FALSE)</f>
        <v>291099.78360000002</v>
      </c>
      <c r="G130" s="73">
        <f>+VLOOKUP($E130,Transports!$1:$1048576,G$2,FALSE)</f>
        <v>295997.44150000002</v>
      </c>
      <c r="H130" s="73">
        <f>+VLOOKUP($E130,Transports!$1:$1048576,H$2,FALSE)</f>
        <v>300860.60800000001</v>
      </c>
      <c r="I130" s="73">
        <f>+VLOOKUP($E130,Transports!$1:$1048576,I$2,FALSE)</f>
        <v>305754.87800000003</v>
      </c>
      <c r="J130" s="73">
        <f>+VLOOKUP($E130,Transports!$1:$1048576,J$2,FALSE)</f>
        <v>310735.6605</v>
      </c>
      <c r="K130" s="73">
        <f>+VLOOKUP($E130,Transports!$1:$1048576,K$2,FALSE)</f>
        <v>315838.9644</v>
      </c>
      <c r="L130" s="73">
        <f>+VLOOKUP($E130,Transports!$1:$1048576,L$2,FALSE)</f>
        <v>321084.30790000001</v>
      </c>
      <c r="M130" s="73">
        <f>+VLOOKUP($E130,Transports!$1:$1048576,M$2,FALSE)</f>
        <v>326479.86459999997</v>
      </c>
      <c r="N130" s="73">
        <f>+VLOOKUP($E130,Transports!$1:$1048576,N$2,FALSE)</f>
        <v>332026.96090000001</v>
      </c>
      <c r="O130" s="73">
        <f>+VLOOKUP($E130,Transports!$1:$1048576,O$2,FALSE)</f>
        <v>337723.35519999999</v>
      </c>
      <c r="P130" s="73">
        <f>+VLOOKUP($E130,Transports!$1:$1048576,P$2,FALSE)</f>
        <v>343565.3982</v>
      </c>
      <c r="Q130" s="73">
        <f>+VLOOKUP($E130,Transports!$1:$1048576,Q$2,FALSE)</f>
        <v>349549.32539999997</v>
      </c>
      <c r="R130" s="73">
        <f>+VLOOKUP($E130,Transports!$1:$1048576,R$2,FALSE)</f>
        <v>355671.92719999998</v>
      </c>
      <c r="S130" s="73">
        <f>+VLOOKUP($E130,Transports!$1:$1048576,S$2,FALSE)</f>
        <v>361930.81599999999</v>
      </c>
      <c r="T130" s="73">
        <f>+VLOOKUP($E130,Transports!$1:$1048576,T$2,FALSE)</f>
        <v>368324.43609999999</v>
      </c>
      <c r="U130" s="73">
        <f>+VLOOKUP($E130,Transports!$1:$1048576,U$2,FALSE)</f>
        <v>374851.94339999999</v>
      </c>
      <c r="V130" s="73">
        <f>+VLOOKUP($E130,Transports!$1:$1048576,V$2,FALSE)</f>
        <v>381513.0306</v>
      </c>
      <c r="W130" s="73">
        <f>+VLOOKUP($E130,Transports!$1:$1048576,W$2,FALSE)</f>
        <v>388307.75079999998</v>
      </c>
      <c r="X130" s="73">
        <f>+VLOOKUP($E130,Transports!$1:$1048576,X$2,FALSE)</f>
        <v>395236.36489999999</v>
      </c>
      <c r="Y130" s="73">
        <f>+VLOOKUP($E130,Transports!$1:$1048576,Y$2,FALSE)</f>
        <v>402299.2279</v>
      </c>
      <c r="Z130" s="73">
        <f>+VLOOKUP($E130,Transports!$1:$1048576,Z$2,FALSE)</f>
        <v>409496.71620000002</v>
      </c>
      <c r="AA130" s="73">
        <f>+VLOOKUP($E130,Transports!$1:$1048576,AA$2,FALSE)</f>
        <v>416829.1923</v>
      </c>
      <c r="AB130" s="73">
        <f>+VLOOKUP($E130,Transports!$1:$1048576,AB$2,FALSE)</f>
        <v>424297.00069999998</v>
      </c>
      <c r="AC130" s="73">
        <f>+VLOOKUP($E130,Transports!$1:$1048576,AC$2,FALSE)</f>
        <v>431900.48469999997</v>
      </c>
      <c r="AD130" s="73">
        <f>+VLOOKUP($E130,Transports!$1:$1048576,AD$2,FALSE)</f>
        <v>439640.01760000002</v>
      </c>
      <c r="AE130" s="73">
        <f>+VLOOKUP($E130,Transports!$1:$1048576,AE$2,FALSE)</f>
        <v>447516.04100000003</v>
      </c>
      <c r="AF130" s="73">
        <f>+VLOOKUP($E130,Transports!$1:$1048576,AF$2,FALSE)</f>
        <v>455529.103</v>
      </c>
      <c r="AG130" s="73">
        <f>+VLOOKUP($E130,Transports!$1:$1048576,AG$2,FALSE)</f>
        <v>463679.89429999999</v>
      </c>
      <c r="AH130" s="73">
        <f>+VLOOKUP($E130,Transports!$1:$1048576,AH$2,FALSE)</f>
        <v>471969.27830000001</v>
      </c>
      <c r="AI130" s="73">
        <f>+VLOOKUP($E130,Transports!$1:$1048576,AI$2,FALSE)</f>
        <v>480398.31359999999</v>
      </c>
      <c r="AJ130" s="73">
        <f>+VLOOKUP($E130,Transports!$1:$1048576,AJ$2,FALSE)</f>
        <v>488968.27010000002</v>
      </c>
      <c r="AK130" s="73">
        <f>+VLOOKUP($E130,Transports!$1:$1048576,AK$2,FALSE)</f>
        <v>497680.63689999998</v>
      </c>
      <c r="AL130" s="73">
        <f>+VLOOKUP($E130,Transports!$1:$1048576,AL$2,FALSE)</f>
        <v>506537.12449999998</v>
      </c>
      <c r="AM130" s="73">
        <f>+VLOOKUP($E130,Transports!$1:$1048576,AM$2,FALSE)</f>
        <v>515539.66230000003</v>
      </c>
      <c r="AN130" s="73">
        <f>+VLOOKUP($E130,Transports!$1:$1048576,AN$2,FALSE)</f>
        <v>524690.39119999995</v>
      </c>
      <c r="AO130" s="73">
        <f>+VLOOKUP($E130,Transports!$1:$1048576,AO$2,FALSE)</f>
        <v>533991.65390000003</v>
      </c>
    </row>
    <row r="131" spans="1:49" ht="15" customHeight="1" x14ac:dyDescent="0.25">
      <c r="A131" s="316"/>
      <c r="B131" s="321"/>
      <c r="C131" s="130" t="s">
        <v>485</v>
      </c>
      <c r="D131" s="130"/>
      <c r="E131" s="48" t="s">
        <v>478</v>
      </c>
      <c r="F131" s="73">
        <f>+VLOOKUP($E131,Transports!$1:$1048576,F$2,FALSE)</f>
        <v>724102.94209999999</v>
      </c>
      <c r="G131" s="73">
        <f>+VLOOKUP($E131,Transports!$1:$1048576,G$2,FALSE)</f>
        <v>715470.96420000005</v>
      </c>
      <c r="H131" s="73">
        <f>+VLOOKUP($E131,Transports!$1:$1048576,H$2,FALSE)</f>
        <v>711264.17420000001</v>
      </c>
      <c r="I131" s="73">
        <f>+VLOOKUP($E131,Transports!$1:$1048576,I$2,FALSE)</f>
        <v>710013.51729999995</v>
      </c>
      <c r="J131" s="73">
        <f>+VLOOKUP($E131,Transports!$1:$1048576,J$2,FALSE)</f>
        <v>710740.20549999992</v>
      </c>
      <c r="K131" s="73">
        <f>+VLOOKUP($E131,Transports!$1:$1048576,K$2,FALSE)</f>
        <v>712802.83059999999</v>
      </c>
      <c r="L131" s="73">
        <f>+VLOOKUP($E131,Transports!$1:$1048576,L$2,FALSE)</f>
        <v>715783.55300000007</v>
      </c>
      <c r="M131" s="73">
        <f>+VLOOKUP($E131,Transports!$1:$1048576,M$2,FALSE)</f>
        <v>719409.00319999992</v>
      </c>
      <c r="N131" s="73">
        <f>+VLOOKUP($E131,Transports!$1:$1048576,N$2,FALSE)</f>
        <v>723497.84840000002</v>
      </c>
      <c r="O131" s="73">
        <f>+VLOOKUP($E131,Transports!$1:$1048576,O$2,FALSE)</f>
        <v>727927.14669999992</v>
      </c>
      <c r="P131" s="73">
        <f>+VLOOKUP($E131,Transports!$1:$1048576,P$2,FALSE)</f>
        <v>732611.2169</v>
      </c>
      <c r="Q131" s="73">
        <f>+VLOOKUP($E131,Transports!$1:$1048576,Q$2,FALSE)</f>
        <v>737488.53029999998</v>
      </c>
      <c r="R131" s="73">
        <f>+VLOOKUP($E131,Transports!$1:$1048576,R$2,FALSE)</f>
        <v>742513.60239999997</v>
      </c>
      <c r="S131" s="73">
        <f>+VLOOKUP($E131,Transports!$1:$1048576,S$2,FALSE)</f>
        <v>747651.94299999997</v>
      </c>
      <c r="T131" s="73">
        <f>+VLOOKUP($E131,Transports!$1:$1048576,T$2,FALSE)</f>
        <v>752876.85309999995</v>
      </c>
      <c r="U131" s="73">
        <f>+VLOOKUP($E131,Transports!$1:$1048576,U$2,FALSE)</f>
        <v>758167.33740000008</v>
      </c>
      <c r="V131" s="73">
        <f>+VLOOKUP($E131,Transports!$1:$1048576,V$2,FALSE)</f>
        <v>763506.69459999993</v>
      </c>
      <c r="W131" s="73">
        <f>+VLOOKUP($E131,Transports!$1:$1048576,W$2,FALSE)</f>
        <v>768881.53280000004</v>
      </c>
      <c r="X131" s="73">
        <f>+VLOOKUP($E131,Transports!$1:$1048576,X$2,FALSE)</f>
        <v>774281.05739999993</v>
      </c>
      <c r="Y131" s="73">
        <f>+VLOOKUP($E131,Transports!$1:$1048576,Y$2,FALSE)</f>
        <v>779696.54409999994</v>
      </c>
      <c r="Z131" s="73">
        <f>+VLOOKUP($E131,Transports!$1:$1048576,Z$2,FALSE)</f>
        <v>785120.94160000002</v>
      </c>
      <c r="AA131" s="73">
        <f>+VLOOKUP($E131,Transports!$1:$1048576,AA$2,FALSE)</f>
        <v>790548.56869999995</v>
      </c>
      <c r="AB131" s="73">
        <f>+VLOOKUP($E131,Transports!$1:$1048576,AB$2,FALSE)</f>
        <v>795974.88120000006</v>
      </c>
      <c r="AC131" s="73">
        <f>+VLOOKUP($E131,Transports!$1:$1048576,AC$2,FALSE)</f>
        <v>801396.29200000002</v>
      </c>
      <c r="AD131" s="73">
        <f>+VLOOKUP($E131,Transports!$1:$1048576,AD$2,FALSE)</f>
        <v>806810.02989999996</v>
      </c>
      <c r="AE131" s="73">
        <f>+VLOOKUP($E131,Transports!$1:$1048576,AE$2,FALSE)</f>
        <v>812214.02650000004</v>
      </c>
      <c r="AF131" s="73">
        <f>+VLOOKUP($E131,Transports!$1:$1048576,AF$2,FALSE)</f>
        <v>817606.82510000002</v>
      </c>
      <c r="AG131" s="73">
        <f>+VLOOKUP($E131,Transports!$1:$1048576,AG$2,FALSE)</f>
        <v>822987.50319999992</v>
      </c>
      <c r="AH131" s="73">
        <f>+VLOOKUP($E131,Transports!$1:$1048576,AH$2,FALSE)</f>
        <v>828355.60679999995</v>
      </c>
      <c r="AI131" s="73">
        <f>+VLOOKUP($E131,Transports!$1:$1048576,AI$2,FALSE)</f>
        <v>833711.09100000001</v>
      </c>
      <c r="AJ131" s="73">
        <f>+VLOOKUP($E131,Transports!$1:$1048576,AJ$2,FALSE)</f>
        <v>839054.26630000002</v>
      </c>
      <c r="AK131" s="73">
        <f>+VLOOKUP($E131,Transports!$1:$1048576,AK$2,FALSE)</f>
        <v>844385.74970000004</v>
      </c>
      <c r="AL131" s="73">
        <f>+VLOOKUP($E131,Transports!$1:$1048576,AL$2,FALSE)</f>
        <v>849706.41840000008</v>
      </c>
      <c r="AM131" s="73">
        <f>+VLOOKUP($E131,Transports!$1:$1048576,AM$2,FALSE)</f>
        <v>855017.3674000001</v>
      </c>
      <c r="AN131" s="73">
        <f>+VLOOKUP($E131,Transports!$1:$1048576,AN$2,FALSE)</f>
        <v>860319.86919999996</v>
      </c>
      <c r="AO131" s="73">
        <f>+VLOOKUP($E131,Transports!$1:$1048576,AO$2,FALSE)</f>
        <v>865615.33759999997</v>
      </c>
    </row>
    <row r="132" spans="1:49" ht="15" customHeight="1" x14ac:dyDescent="0.25">
      <c r="A132" s="316"/>
      <c r="B132" s="321"/>
      <c r="C132" s="130" t="s">
        <v>555</v>
      </c>
      <c r="D132" s="130"/>
      <c r="E132" s="48" t="s">
        <v>479</v>
      </c>
      <c r="F132" s="73">
        <f>+VLOOKUP($E132,Transports!$1:$1048576,F$2,FALSE)</f>
        <v>624600.3419</v>
      </c>
      <c r="G132" s="73">
        <f>+VLOOKUP($E132,Transports!$1:$1048576,G$2,FALSE)</f>
        <v>618939.61120000004</v>
      </c>
      <c r="H132" s="73">
        <f>+VLOOKUP($E132,Transports!$1:$1048576,H$2,FALSE)</f>
        <v>616289.43500000006</v>
      </c>
      <c r="I132" s="73">
        <f>+VLOOKUP($E132,Transports!$1:$1048576,I$2,FALSE)</f>
        <v>615681.22320000001</v>
      </c>
      <c r="J132" s="73">
        <f>+VLOOKUP($E132,Transports!$1:$1048576,J$2,FALSE)</f>
        <v>616451.95389999996</v>
      </c>
      <c r="K132" s="73">
        <f>+VLOOKUP($E132,Transports!$1:$1048576,K$2,FALSE)</f>
        <v>618159.90930000006</v>
      </c>
      <c r="L132" s="73">
        <f>+VLOOKUP($E132,Transports!$1:$1048576,L$2,FALSE)</f>
        <v>620514.29520000005</v>
      </c>
      <c r="M132" s="73">
        <f>+VLOOKUP($E132,Transports!$1:$1048576,M$2,FALSE)</f>
        <v>623323.46100000001</v>
      </c>
      <c r="N132" s="73">
        <f>+VLOOKUP($E132,Transports!$1:$1048576,N$2,FALSE)</f>
        <v>626459.5368</v>
      </c>
      <c r="O132" s="73">
        <f>+VLOOKUP($E132,Transports!$1:$1048576,O$2,FALSE)</f>
        <v>629835.38020000001</v>
      </c>
      <c r="P132" s="73">
        <f>+VLOOKUP($E132,Transports!$1:$1048576,P$2,FALSE)</f>
        <v>633389.97979999997</v>
      </c>
      <c r="Q132" s="73">
        <f>+VLOOKUP($E132,Transports!$1:$1048576,Q$2,FALSE)</f>
        <v>637079.35979999998</v>
      </c>
      <c r="R132" s="73">
        <f>+VLOOKUP($E132,Transports!$1:$1048576,R$2,FALSE)</f>
        <v>640870.9351</v>
      </c>
      <c r="S132" s="73">
        <f>+VLOOKUP($E132,Transports!$1:$1048576,S$2,FALSE)</f>
        <v>644739.98120000004</v>
      </c>
      <c r="T132" s="73">
        <f>+VLOOKUP($E132,Transports!$1:$1048576,T$2,FALSE)</f>
        <v>648667.38100000005</v>
      </c>
      <c r="U132" s="73">
        <f>+VLOOKUP($E132,Transports!$1:$1048576,U$2,FALSE)</f>
        <v>652638.14320000005</v>
      </c>
      <c r="V132" s="73">
        <f>+VLOOKUP($E132,Transports!$1:$1048576,V$2,FALSE)</f>
        <v>656640.39099999995</v>
      </c>
      <c r="W132" s="73">
        <f>+VLOOKUP($E132,Transports!$1:$1048576,W$2,FALSE)</f>
        <v>660664.64899999998</v>
      </c>
      <c r="X132" s="73">
        <f>+VLOOKUP($E132,Transports!$1:$1048576,X$2,FALSE)</f>
        <v>664703.32200000004</v>
      </c>
      <c r="Y132" s="73">
        <f>+VLOOKUP($E132,Transports!$1:$1048576,Y$2,FALSE)</f>
        <v>668750.30799999996</v>
      </c>
      <c r="Z132" s="73">
        <f>+VLOOKUP($E132,Transports!$1:$1048576,Z$2,FALSE)</f>
        <v>672800.70490000001</v>
      </c>
      <c r="AA132" s="73">
        <f>+VLOOKUP($E132,Transports!$1:$1048576,AA$2,FALSE)</f>
        <v>676850.58810000005</v>
      </c>
      <c r="AB132" s="73">
        <f>+VLOOKUP($E132,Transports!$1:$1048576,AB$2,FALSE)</f>
        <v>680896.83929999999</v>
      </c>
      <c r="AC132" s="73">
        <f>+VLOOKUP($E132,Transports!$1:$1048576,AC$2,FALSE)</f>
        <v>684937.01569999999</v>
      </c>
      <c r="AD132" s="73">
        <f>+VLOOKUP($E132,Transports!$1:$1048576,AD$2,FALSE)</f>
        <v>688969.24739999999</v>
      </c>
      <c r="AE132" s="73">
        <f>+VLOOKUP($E132,Transports!$1:$1048576,AE$2,FALSE)</f>
        <v>692992.15709999995</v>
      </c>
      <c r="AF132" s="73">
        <f>+VLOOKUP($E132,Transports!$1:$1048576,AF$2,FALSE)</f>
        <v>697004.7942</v>
      </c>
      <c r="AG132" s="73">
        <f>+VLOOKUP($E132,Transports!$1:$1048576,AG$2,FALSE)</f>
        <v>701006.58039999998</v>
      </c>
      <c r="AH132" s="73">
        <f>+VLOOKUP($E132,Transports!$1:$1048576,AH$2,FALSE)</f>
        <v>704997.26289999997</v>
      </c>
      <c r="AI132" s="73">
        <f>+VLOOKUP($E132,Transports!$1:$1048576,AI$2,FALSE)</f>
        <v>708976.87219999998</v>
      </c>
      <c r="AJ132" s="73">
        <f>+VLOOKUP($E132,Transports!$1:$1048576,AJ$2,FALSE)</f>
        <v>712945.68489999999</v>
      </c>
      <c r="AK132" s="73">
        <f>+VLOOKUP($E132,Transports!$1:$1048576,AK$2,FALSE)</f>
        <v>716904.18790000002</v>
      </c>
      <c r="AL132" s="73">
        <f>+VLOOKUP($E132,Transports!$1:$1048576,AL$2,FALSE)</f>
        <v>720853.0466</v>
      </c>
      <c r="AM132" s="73">
        <f>+VLOOKUP($E132,Transports!$1:$1048576,AM$2,FALSE)</f>
        <v>724793.07429999998</v>
      </c>
      <c r="AN132" s="73">
        <f>+VLOOKUP($E132,Transports!$1:$1048576,AN$2,FALSE)</f>
        <v>728725.20369999995</v>
      </c>
      <c r="AO132" s="73">
        <f>+VLOOKUP($E132,Transports!$1:$1048576,AO$2,FALSE)</f>
        <v>732650.46189999999</v>
      </c>
    </row>
    <row r="133" spans="1:49" ht="15" customHeight="1" x14ac:dyDescent="0.25">
      <c r="A133" s="316"/>
      <c r="B133" s="321"/>
      <c r="C133" s="130"/>
      <c r="D133" s="130" t="s">
        <v>165</v>
      </c>
      <c r="E133" s="48" t="s">
        <v>480</v>
      </c>
      <c r="F133" s="73">
        <f>+VLOOKUP($E133,Transports!$1:$1048576,F$2,FALSE)</f>
        <v>554271.6422</v>
      </c>
      <c r="G133" s="73">
        <f>+VLOOKUP($E133,Transports!$1:$1048576,G$2,FALSE)</f>
        <v>548004.88430000003</v>
      </c>
      <c r="H133" s="73">
        <f>+VLOOKUP($E133,Transports!$1:$1048576,H$2,FALSE)</f>
        <v>544901.18830000004</v>
      </c>
      <c r="I133" s="73">
        <f>+VLOOKUP($E133,Transports!$1:$1048576,I$2,FALSE)</f>
        <v>543910.57479999994</v>
      </c>
      <c r="J133" s="73">
        <f>+VLOOKUP($E133,Transports!$1:$1048576,J$2,FALSE)</f>
        <v>544332.11219999997</v>
      </c>
      <c r="K133" s="73">
        <f>+VLOOKUP($E133,Transports!$1:$1048576,K$2,FALSE)</f>
        <v>545705.99380000005</v>
      </c>
      <c r="L133" s="73">
        <f>+VLOOKUP($E133,Transports!$1:$1048576,L$2,FALSE)</f>
        <v>547732.54890000005</v>
      </c>
      <c r="M133" s="73">
        <f>+VLOOKUP($E133,Transports!$1:$1048576,M$2,FALSE)</f>
        <v>550215.72129999998</v>
      </c>
      <c r="N133" s="73">
        <f>+VLOOKUP($E133,Transports!$1:$1048576,N$2,FALSE)</f>
        <v>553025.51289999997</v>
      </c>
      <c r="O133" s="73">
        <f>+VLOOKUP($E133,Transports!$1:$1048576,O$2,FALSE)</f>
        <v>556073.84849999996</v>
      </c>
      <c r="P133" s="73">
        <f>+VLOOKUP($E133,Transports!$1:$1048576,P$2,FALSE)</f>
        <v>559299.40390000003</v>
      </c>
      <c r="Q133" s="73">
        <f>+VLOOKUP($E133,Transports!$1:$1048576,Q$2,FALSE)</f>
        <v>562658.18850000005</v>
      </c>
      <c r="R133" s="73">
        <f>+VLOOKUP($E133,Transports!$1:$1048576,R$2,FALSE)</f>
        <v>566117.71869999997</v>
      </c>
      <c r="S133" s="73">
        <f>+VLOOKUP($E133,Transports!$1:$1048576,S$2,FALSE)</f>
        <v>569653.39020000002</v>
      </c>
      <c r="T133" s="73">
        <f>+VLOOKUP($E133,Transports!$1:$1048576,T$2,FALSE)</f>
        <v>573246.17810000002</v>
      </c>
      <c r="U133" s="73">
        <f>+VLOOKUP($E133,Transports!$1:$1048576,U$2,FALSE)</f>
        <v>576881.14040000003</v>
      </c>
      <c r="V133" s="73">
        <f>+VLOOKUP($E133,Transports!$1:$1048576,V$2,FALSE)</f>
        <v>580546.40819999995</v>
      </c>
      <c r="W133" s="73">
        <f>+VLOOKUP($E133,Transports!$1:$1048576,W$2,FALSE)</f>
        <v>584232.48140000005</v>
      </c>
      <c r="X133" s="73">
        <f>+VLOOKUP($E133,Transports!$1:$1048576,X$2,FALSE)</f>
        <v>587931.71959999995</v>
      </c>
      <c r="Y133" s="73">
        <f>+VLOOKUP($E133,Transports!$1:$1048576,Y$2,FALSE)</f>
        <v>591637.96519999998</v>
      </c>
      <c r="Z133" s="73">
        <f>+VLOOKUP($E133,Transports!$1:$1048576,Z$2,FALSE)</f>
        <v>595346.25890000002</v>
      </c>
      <c r="AA133" s="73">
        <f>+VLOOKUP($E133,Transports!$1:$1048576,AA$2,FALSE)</f>
        <v>599052.62199999997</v>
      </c>
      <c r="AB133" s="73">
        <f>+VLOOKUP($E133,Transports!$1:$1048576,AB$2,FALSE)</f>
        <v>602753.88890000002</v>
      </c>
      <c r="AC133" s="73">
        <f>+VLOOKUP($E133,Transports!$1:$1048576,AC$2,FALSE)</f>
        <v>606447.57700000005</v>
      </c>
      <c r="AD133" s="73">
        <f>+VLOOKUP($E133,Transports!$1:$1048576,AD$2,FALSE)</f>
        <v>610131.78419999999</v>
      </c>
      <c r="AE133" s="73">
        <f>+VLOOKUP($E133,Transports!$1:$1048576,AE$2,FALSE)</f>
        <v>613805.10640000005</v>
      </c>
      <c r="AF133" s="73">
        <f>+VLOOKUP($E133,Transports!$1:$1048576,AF$2,FALSE)</f>
        <v>617466.57149999996</v>
      </c>
      <c r="AG133" s="73">
        <f>+VLOOKUP($E133,Transports!$1:$1048576,AG$2,FALSE)</f>
        <v>621115.58239999996</v>
      </c>
      <c r="AH133" s="73">
        <f>+VLOOKUP($E133,Transports!$1:$1048576,AH$2,FALSE)</f>
        <v>624751.86930000002</v>
      </c>
      <c r="AI133" s="73">
        <f>+VLOOKUP($E133,Transports!$1:$1048576,AI$2,FALSE)</f>
        <v>628375.44669999997</v>
      </c>
      <c r="AJ133" s="73">
        <f>+VLOOKUP($E133,Transports!$1:$1048576,AJ$2,FALSE)</f>
        <v>631986.57440000004</v>
      </c>
      <c r="AK133" s="73">
        <f>+VLOOKUP($E133,Transports!$1:$1048576,AK$2,FALSE)</f>
        <v>635585.72259999998</v>
      </c>
      <c r="AL133" s="73">
        <f>+VLOOKUP($E133,Transports!$1:$1048576,AL$2,FALSE)</f>
        <v>639173.53870000003</v>
      </c>
      <c r="AM133" s="73">
        <f>+VLOOKUP($E133,Transports!$1:$1048576,AM$2,FALSE)</f>
        <v>642750.81740000006</v>
      </c>
      <c r="AN133" s="73">
        <f>+VLOOKUP($E133,Transports!$1:$1048576,AN$2,FALSE)</f>
        <v>646318.47199999995</v>
      </c>
      <c r="AO133" s="73">
        <f>+VLOOKUP($E133,Transports!$1:$1048576,AO$2,FALSE)</f>
        <v>649877.50930000003</v>
      </c>
    </row>
    <row r="134" spans="1:49" ht="15" customHeight="1" x14ac:dyDescent="0.25">
      <c r="A134" s="316"/>
      <c r="B134" s="321"/>
      <c r="C134" s="130"/>
      <c r="D134" s="130" t="s">
        <v>166</v>
      </c>
      <c r="E134" s="48" t="s">
        <v>481</v>
      </c>
      <c r="F134" s="73">
        <f>+VLOOKUP($E134,Transports!$1:$1048576,F$2,FALSE)</f>
        <v>70328.699649999995</v>
      </c>
      <c r="G134" s="73">
        <f>+VLOOKUP($E134,Transports!$1:$1048576,G$2,FALSE)</f>
        <v>70323.208249999996</v>
      </c>
      <c r="H134" s="73">
        <f>+VLOOKUP($E134,Transports!$1:$1048576,H$2,FALSE)</f>
        <v>70428.442630000005</v>
      </c>
      <c r="I134" s="73">
        <f>+VLOOKUP($E134,Transports!$1:$1048576,I$2,FALSE)</f>
        <v>70610.468630000003</v>
      </c>
      <c r="J134" s="73">
        <f>+VLOOKUP($E134,Transports!$1:$1048576,J$2,FALSE)</f>
        <v>70845.981490000006</v>
      </c>
      <c r="K134" s="73">
        <f>+VLOOKUP($E134,Transports!$1:$1048576,K$2,FALSE)</f>
        <v>71119.360780000003</v>
      </c>
      <c r="L134" s="73">
        <f>+VLOOKUP($E134,Transports!$1:$1048576,L$2,FALSE)</f>
        <v>71420.207190000001</v>
      </c>
      <c r="M134" s="73">
        <f>+VLOOKUP($E134,Transports!$1:$1048576,M$2,FALSE)</f>
        <v>71741.510139999999</v>
      </c>
      <c r="N134" s="73">
        <f>+VLOOKUP($E134,Transports!$1:$1048576,N$2,FALSE)</f>
        <v>72078.410480000006</v>
      </c>
      <c r="O134" s="73">
        <f>+VLOOKUP($E134,Transports!$1:$1048576,O$2,FALSE)</f>
        <v>72427.420570000002</v>
      </c>
      <c r="P134" s="73">
        <f>+VLOOKUP($E134,Transports!$1:$1048576,P$2,FALSE)</f>
        <v>72785.952990000005</v>
      </c>
      <c r="Q134" s="73">
        <f>+VLOOKUP($E134,Transports!$1:$1048576,Q$2,FALSE)</f>
        <v>73152.039210000003</v>
      </c>
      <c r="R134" s="73">
        <f>+VLOOKUP($E134,Transports!$1:$1048576,R$2,FALSE)</f>
        <v>73524.157879999999</v>
      </c>
      <c r="S134" s="73">
        <f>+VLOOKUP($E134,Transports!$1:$1048576,S$2,FALSE)</f>
        <v>73901.124209999994</v>
      </c>
      <c r="T134" s="73">
        <f>+VLOOKUP($E134,Transports!$1:$1048576,T$2,FALSE)</f>
        <v>74282.012549999999</v>
      </c>
      <c r="U134" s="73">
        <f>+VLOOKUP($E134,Transports!$1:$1048576,U$2,FALSE)</f>
        <v>74666.098540000006</v>
      </c>
      <c r="V134" s="73">
        <f>+VLOOKUP($E134,Transports!$1:$1048576,V$2,FALSE)</f>
        <v>75052.813810000007</v>
      </c>
      <c r="W134" s="73">
        <f>+VLOOKUP($E134,Transports!$1:$1048576,W$2,FALSE)</f>
        <v>75441.709959999993</v>
      </c>
      <c r="X134" s="73">
        <f>+VLOOKUP($E134,Transports!$1:$1048576,X$2,FALSE)</f>
        <v>75832.430250000005</v>
      </c>
      <c r="Y134" s="73">
        <f>+VLOOKUP($E134,Transports!$1:$1048576,Y$2,FALSE)</f>
        <v>76224.687680000003</v>
      </c>
      <c r="Z134" s="73">
        <f>+VLOOKUP($E134,Transports!$1:$1048576,Z$2,FALSE)</f>
        <v>76618.248619999998</v>
      </c>
      <c r="AA134" s="73">
        <f>+VLOOKUP($E134,Transports!$1:$1048576,AA$2,FALSE)</f>
        <v>77012.920989999999</v>
      </c>
      <c r="AB134" s="73">
        <f>+VLOOKUP($E134,Transports!$1:$1048576,AB$2,FALSE)</f>
        <v>77408.546000000002</v>
      </c>
      <c r="AC134" s="73">
        <f>+VLOOKUP($E134,Transports!$1:$1048576,AC$2,FALSE)</f>
        <v>77804.992589999994</v>
      </c>
      <c r="AD134" s="73">
        <f>+VLOOKUP($E134,Transports!$1:$1048576,AD$2,FALSE)</f>
        <v>78202.153720000002</v>
      </c>
      <c r="AE134" s="73">
        <f>+VLOOKUP($E134,Transports!$1:$1048576,AE$2,FALSE)</f>
        <v>78599.943920000005</v>
      </c>
      <c r="AF134" s="73">
        <f>+VLOOKUP($E134,Transports!$1:$1048576,AF$2,FALSE)</f>
        <v>78998.297560000006</v>
      </c>
      <c r="AG134" s="73">
        <f>+VLOOKUP($E134,Transports!$1:$1048576,AG$2,FALSE)</f>
        <v>79397.16747</v>
      </c>
      <c r="AH134" s="73">
        <f>+VLOOKUP($E134,Transports!$1:$1048576,AH$2,FALSE)</f>
        <v>79796.523700000005</v>
      </c>
      <c r="AI134" s="73">
        <f>+VLOOKUP($E134,Transports!$1:$1048576,AI$2,FALSE)</f>
        <v>80196.352270000003</v>
      </c>
      <c r="AJ134" s="73">
        <f>+VLOOKUP($E134,Transports!$1:$1048576,AJ$2,FALSE)</f>
        <v>80596.653820000007</v>
      </c>
      <c r="AK134" s="73">
        <f>+VLOOKUP($E134,Transports!$1:$1048576,AK$2,FALSE)</f>
        <v>80997.442150000003</v>
      </c>
      <c r="AL134" s="73">
        <f>+VLOOKUP($E134,Transports!$1:$1048576,AL$2,FALSE)</f>
        <v>81398.742719999995</v>
      </c>
      <c r="AM134" s="73">
        <f>+VLOOKUP($E134,Transports!$1:$1048576,AM$2,FALSE)</f>
        <v>81800.591079999998</v>
      </c>
      <c r="AN134" s="73">
        <f>+VLOOKUP($E134,Transports!$1:$1048576,AN$2,FALSE)</f>
        <v>82203.031289999999</v>
      </c>
      <c r="AO134" s="73">
        <f>+VLOOKUP($E134,Transports!$1:$1048576,AO$2,FALSE)</f>
        <v>82606.114419999998</v>
      </c>
    </row>
    <row r="135" spans="1:49" ht="15" customHeight="1" x14ac:dyDescent="0.25">
      <c r="A135" s="316"/>
      <c r="B135" s="321"/>
      <c r="C135" s="130" t="s">
        <v>556</v>
      </c>
      <c r="D135" s="130"/>
      <c r="E135" s="48" t="s">
        <v>482</v>
      </c>
      <c r="F135" s="73">
        <f>+VLOOKUP($E135,Transports!$1:$1048576,F$2,FALSE)</f>
        <v>275159.80609999999</v>
      </c>
      <c r="G135" s="73">
        <f>+VLOOKUP($E135,Transports!$1:$1048576,G$2,FALSE)</f>
        <v>270850.2463</v>
      </c>
      <c r="H135" s="73">
        <f>+VLOOKUP($E135,Transports!$1:$1048576,H$2,FALSE)</f>
        <v>268774.07169999997</v>
      </c>
      <c r="I135" s="73">
        <f>+VLOOKUP($E135,Transports!$1:$1048576,I$2,FALSE)</f>
        <v>268178.57520000002</v>
      </c>
      <c r="J135" s="73">
        <f>+VLOOKUP($E135,Transports!$1:$1048576,J$2,FALSE)</f>
        <v>268570.46889999998</v>
      </c>
      <c r="K135" s="73">
        <f>+VLOOKUP($E135,Transports!$1:$1048576,K$2,FALSE)</f>
        <v>269629.71960000001</v>
      </c>
      <c r="L135" s="73">
        <f>+VLOOKUP($E135,Transports!$1:$1048576,L$2,FALSE)</f>
        <v>271149.10080000001</v>
      </c>
      <c r="M135" s="73">
        <f>+VLOOKUP($E135,Transports!$1:$1048576,M$2,FALSE)</f>
        <v>272993.52980000002</v>
      </c>
      <c r="N135" s="73">
        <f>+VLOOKUP($E135,Transports!$1:$1048576,N$2,FALSE)</f>
        <v>275073.60190000001</v>
      </c>
      <c r="O135" s="73">
        <f>+VLOOKUP($E135,Transports!$1:$1048576,O$2,FALSE)</f>
        <v>277328.78029999998</v>
      </c>
      <c r="P135" s="73">
        <f>+VLOOKUP($E135,Transports!$1:$1048576,P$2,FALSE)</f>
        <v>279716.90110000002</v>
      </c>
      <c r="Q135" s="73">
        <f>+VLOOKUP($E135,Transports!$1:$1048576,Q$2,FALSE)</f>
        <v>282207.6827</v>
      </c>
      <c r="R135" s="73">
        <f>+VLOOKUP($E135,Transports!$1:$1048576,R$2,FALSE)</f>
        <v>284778.71970000002</v>
      </c>
      <c r="S135" s="73">
        <f>+VLOOKUP($E135,Transports!$1:$1048576,S$2,FALSE)</f>
        <v>287412.99119999999</v>
      </c>
      <c r="T135" s="73">
        <f>+VLOOKUP($E135,Transports!$1:$1048576,T$2,FALSE)</f>
        <v>290097.28389999998</v>
      </c>
      <c r="U135" s="73">
        <f>+VLOOKUP($E135,Transports!$1:$1048576,U$2,FALSE)</f>
        <v>292821.16639999999</v>
      </c>
      <c r="V135" s="73">
        <f>+VLOOKUP($E135,Transports!$1:$1048576,V$2,FALSE)</f>
        <v>295576.2991</v>
      </c>
      <c r="W135" s="73">
        <f>+VLOOKUP($E135,Transports!$1:$1048576,W$2,FALSE)</f>
        <v>298355.95409999997</v>
      </c>
      <c r="X135" s="73">
        <f>+VLOOKUP($E135,Transports!$1:$1048576,X$2,FALSE)</f>
        <v>301154.66859999998</v>
      </c>
      <c r="Y135" s="73">
        <f>+VLOOKUP($E135,Transports!$1:$1048576,Y$2,FALSE)</f>
        <v>303967.99050000001</v>
      </c>
      <c r="Z135" s="73">
        <f>+VLOOKUP($E135,Transports!$1:$1048576,Z$2,FALSE)</f>
        <v>306792.28629999998</v>
      </c>
      <c r="AA135" s="73">
        <f>+VLOOKUP($E135,Transports!$1:$1048576,AA$2,FALSE)</f>
        <v>309624.59539999999</v>
      </c>
      <c r="AB135" s="73">
        <f>+VLOOKUP($E135,Transports!$1:$1048576,AB$2,FALSE)</f>
        <v>312462.51929999999</v>
      </c>
      <c r="AC135" s="73">
        <f>+VLOOKUP($E135,Transports!$1:$1048576,AC$2,FALSE)</f>
        <v>315304.13540000003</v>
      </c>
      <c r="AD135" s="73">
        <f>+VLOOKUP($E135,Transports!$1:$1048576,AD$2,FALSE)</f>
        <v>318147.92969999998</v>
      </c>
      <c r="AE135" s="73">
        <f>+VLOOKUP($E135,Transports!$1:$1048576,AE$2,FALSE)</f>
        <v>320992.74369999999</v>
      </c>
      <c r="AF135" s="73">
        <f>+VLOOKUP($E135,Transports!$1:$1048576,AF$2,FALSE)</f>
        <v>323837.73109999998</v>
      </c>
      <c r="AG135" s="73">
        <f>+VLOOKUP($E135,Transports!$1:$1048576,AG$2,FALSE)</f>
        <v>326682.32089999999</v>
      </c>
      <c r="AH135" s="73">
        <f>+VLOOKUP($E135,Transports!$1:$1048576,AH$2,FALSE)</f>
        <v>329526.1862</v>
      </c>
      <c r="AI135" s="73">
        <f>+VLOOKUP($E135,Transports!$1:$1048576,AI$2,FALSE)</f>
        <v>332369.2156</v>
      </c>
      <c r="AJ135" s="73">
        <f>+VLOOKUP($E135,Transports!$1:$1048576,AJ$2,FALSE)</f>
        <v>335211.48749999999</v>
      </c>
      <c r="AK135" s="73">
        <f>+VLOOKUP($E135,Transports!$1:$1048576,AK$2,FALSE)</f>
        <v>338053.24550000002</v>
      </c>
      <c r="AL135" s="73">
        <f>+VLOOKUP($E135,Transports!$1:$1048576,AL$2,FALSE)</f>
        <v>340894.87589999998</v>
      </c>
      <c r="AM135" s="73">
        <f>+VLOOKUP($E135,Transports!$1:$1048576,AM$2,FALSE)</f>
        <v>343736.886</v>
      </c>
      <c r="AN135" s="73">
        <f>+VLOOKUP($E135,Transports!$1:$1048576,AN$2,FALSE)</f>
        <v>346579.88439999998</v>
      </c>
      <c r="AO135" s="73">
        <f>+VLOOKUP($E135,Transports!$1:$1048576,AO$2,FALSE)</f>
        <v>349424.56170000002</v>
      </c>
    </row>
    <row r="136" spans="1:49" ht="15" customHeight="1" x14ac:dyDescent="0.25">
      <c r="A136" s="316"/>
      <c r="B136" s="321"/>
      <c r="C136" s="130"/>
      <c r="D136" s="130" t="s">
        <v>167</v>
      </c>
      <c r="E136" s="48" t="s">
        <v>483</v>
      </c>
      <c r="F136" s="73">
        <f>+VLOOKUP($E136,Transports!$1:$1048576,F$2,FALSE)</f>
        <v>169831.29990000001</v>
      </c>
      <c r="G136" s="73">
        <f>+VLOOKUP($E136,Transports!$1:$1048576,G$2,FALSE)</f>
        <v>167466.07990000001</v>
      </c>
      <c r="H136" s="73">
        <f>+VLOOKUP($E136,Transports!$1:$1048576,H$2,FALSE)</f>
        <v>166362.9859</v>
      </c>
      <c r="I136" s="73">
        <f>+VLOOKUP($E136,Transports!$1:$1048576,I$2,FALSE)</f>
        <v>166102.9425</v>
      </c>
      <c r="J136" s="73">
        <f>+VLOOKUP($E136,Transports!$1:$1048576,J$2,FALSE)</f>
        <v>166408.09330000001</v>
      </c>
      <c r="K136" s="73">
        <f>+VLOOKUP($E136,Transports!$1:$1048576,K$2,FALSE)</f>
        <v>167096.83679999999</v>
      </c>
      <c r="L136" s="73">
        <f>+VLOOKUP($E136,Transports!$1:$1048576,L$2,FALSE)</f>
        <v>168051.00409999999</v>
      </c>
      <c r="M136" s="73">
        <f>+VLOOKUP($E136,Transports!$1:$1048576,M$2,FALSE)</f>
        <v>169193.2819</v>
      </c>
      <c r="N136" s="73">
        <f>+VLOOKUP($E136,Transports!$1:$1048576,N$2,FALSE)</f>
        <v>170472.33549999999</v>
      </c>
      <c r="O136" s="73">
        <f>+VLOOKUP($E136,Transports!$1:$1048576,O$2,FALSE)</f>
        <v>171853.29819999999</v>
      </c>
      <c r="P136" s="73">
        <f>+VLOOKUP($E136,Transports!$1:$1048576,P$2,FALSE)</f>
        <v>173311.81299999999</v>
      </c>
      <c r="Q136" s="73">
        <f>+VLOOKUP($E136,Transports!$1:$1048576,Q$2,FALSE)</f>
        <v>174830.34179999999</v>
      </c>
      <c r="R136" s="73">
        <f>+VLOOKUP($E136,Transports!$1:$1048576,R$2,FALSE)</f>
        <v>176395.88370000001</v>
      </c>
      <c r="S136" s="73">
        <f>+VLOOKUP($E136,Transports!$1:$1048576,S$2,FALSE)</f>
        <v>177998.5528</v>
      </c>
      <c r="T136" s="73">
        <f>+VLOOKUP($E136,Transports!$1:$1048576,T$2,FALSE)</f>
        <v>179630.67499999999</v>
      </c>
      <c r="U136" s="73">
        <f>+VLOOKUP($E136,Transports!$1:$1048576,U$2,FALSE)</f>
        <v>181286.19699999999</v>
      </c>
      <c r="V136" s="73">
        <f>+VLOOKUP($E136,Transports!$1:$1048576,V$2,FALSE)</f>
        <v>182960.28640000001</v>
      </c>
      <c r="W136" s="73">
        <f>+VLOOKUP($E136,Transports!$1:$1048576,W$2,FALSE)</f>
        <v>184649.0514</v>
      </c>
      <c r="X136" s="73">
        <f>+VLOOKUP($E136,Transports!$1:$1048576,X$2,FALSE)</f>
        <v>186349.33780000001</v>
      </c>
      <c r="Y136" s="73">
        <f>+VLOOKUP($E136,Transports!$1:$1048576,Y$2,FALSE)</f>
        <v>188058.57889999999</v>
      </c>
      <c r="Z136" s="73">
        <f>+VLOOKUP($E136,Transports!$1:$1048576,Z$2,FALSE)</f>
        <v>189774.6827</v>
      </c>
      <c r="AA136" s="73">
        <f>+VLOOKUP($E136,Transports!$1:$1048576,AA$2,FALSE)</f>
        <v>191495.9467</v>
      </c>
      <c r="AB136" s="73">
        <f>+VLOOKUP($E136,Transports!$1:$1048576,AB$2,FALSE)</f>
        <v>193220.99230000001</v>
      </c>
      <c r="AC136" s="73">
        <f>+VLOOKUP($E136,Transports!$1:$1048576,AC$2,FALSE)</f>
        <v>194948.715</v>
      </c>
      <c r="AD136" s="73">
        <f>+VLOOKUP($E136,Transports!$1:$1048576,AD$2,FALSE)</f>
        <v>196678.2457</v>
      </c>
      <c r="AE136" s="73">
        <f>+VLOOKUP($E136,Transports!$1:$1048576,AE$2,FALSE)</f>
        <v>198408.92009999999</v>
      </c>
      <c r="AF136" s="73">
        <f>+VLOOKUP($E136,Transports!$1:$1048576,AF$2,FALSE)</f>
        <v>200140.2536</v>
      </c>
      <c r="AG136" s="73">
        <f>+VLOOKUP($E136,Transports!$1:$1048576,AG$2,FALSE)</f>
        <v>201871.92079999999</v>
      </c>
      <c r="AH136" s="73">
        <f>+VLOOKUP($E136,Transports!$1:$1048576,AH$2,FALSE)</f>
        <v>203603.73749999999</v>
      </c>
      <c r="AI136" s="73">
        <f>+VLOOKUP($E136,Transports!$1:$1048576,AI$2,FALSE)</f>
        <v>205335.64430000001</v>
      </c>
      <c r="AJ136" s="73">
        <f>+VLOOKUP($E136,Transports!$1:$1048576,AJ$2,FALSE)</f>
        <v>207067.69190000001</v>
      </c>
      <c r="AK136" s="73">
        <f>+VLOOKUP($E136,Transports!$1:$1048576,AK$2,FALSE)</f>
        <v>208800.02710000001</v>
      </c>
      <c r="AL136" s="73">
        <f>+VLOOKUP($E136,Transports!$1:$1048576,AL$2,FALSE)</f>
        <v>210532.87969999999</v>
      </c>
      <c r="AM136" s="73">
        <f>+VLOOKUP($E136,Transports!$1:$1048576,AM$2,FALSE)</f>
        <v>212266.55</v>
      </c>
      <c r="AN136" s="73">
        <f>+VLOOKUP($E136,Transports!$1:$1048576,AN$2,FALSE)</f>
        <v>214001.39720000001</v>
      </c>
      <c r="AO136" s="73">
        <f>+VLOOKUP($E136,Transports!$1:$1048576,AO$2,FALSE)</f>
        <v>215737.82829999999</v>
      </c>
    </row>
    <row r="137" spans="1:49" ht="15" customHeight="1" x14ac:dyDescent="0.25">
      <c r="A137" s="317"/>
      <c r="B137" s="322"/>
      <c r="C137" s="131"/>
      <c r="D137" s="131" t="s">
        <v>557</v>
      </c>
      <c r="E137" s="49" t="s">
        <v>484</v>
      </c>
      <c r="F137" s="245">
        <f>+VLOOKUP($E137,Transports!$1:$1048576,F$2,FALSE)</f>
        <v>105328.5062</v>
      </c>
      <c r="G137" s="245">
        <f>+VLOOKUP($E137,Transports!$1:$1048576,G$2,FALSE)</f>
        <v>106459.9066</v>
      </c>
      <c r="H137" s="245">
        <f>+VLOOKUP($E137,Transports!$1:$1048576,H$2,FALSE)</f>
        <v>107439.18580000001</v>
      </c>
      <c r="I137" s="245">
        <f>+VLOOKUP($E137,Transports!$1:$1048576,I$2,FALSE)</f>
        <v>108316.2608</v>
      </c>
      <c r="J137" s="245">
        <f>+VLOOKUP($E137,Transports!$1:$1048576,J$2,FALSE)</f>
        <v>109128.7254</v>
      </c>
      <c r="K137" s="245">
        <f>+VLOOKUP($E137,Transports!$1:$1048576,K$2,FALSE)</f>
        <v>109902.8466</v>
      </c>
      <c r="L137" s="245">
        <f>+VLOOKUP($E137,Transports!$1:$1048576,L$2,FALSE)</f>
        <v>110656.1265</v>
      </c>
      <c r="M137" s="245">
        <f>+VLOOKUP($E137,Transports!$1:$1048576,M$2,FALSE)</f>
        <v>111399.75569999999</v>
      </c>
      <c r="N137" s="245">
        <f>+VLOOKUP($E137,Transports!$1:$1048576,N$2,FALSE)</f>
        <v>112140.5931</v>
      </c>
      <c r="O137" s="245">
        <f>+VLOOKUP($E137,Transports!$1:$1048576,O$2,FALSE)</f>
        <v>112882.6581</v>
      </c>
      <c r="P137" s="245">
        <f>+VLOOKUP($E137,Transports!$1:$1048576,P$2,FALSE)</f>
        <v>113628.20299999999</v>
      </c>
      <c r="Q137" s="245">
        <f>+VLOOKUP($E137,Transports!$1:$1048576,Q$2,FALSE)</f>
        <v>114378.4454</v>
      </c>
      <c r="R137" s="245">
        <f>+VLOOKUP($E137,Transports!$1:$1048576,R$2,FALSE)</f>
        <v>115134.0402</v>
      </c>
      <c r="S137" s="245">
        <f>+VLOOKUP($E137,Transports!$1:$1048576,S$2,FALSE)</f>
        <v>115895.36350000001</v>
      </c>
      <c r="T137" s="245">
        <f>+VLOOKUP($E137,Transports!$1:$1048576,T$2,FALSE)</f>
        <v>116662.6682</v>
      </c>
      <c r="U137" s="245">
        <f>+VLOOKUP($E137,Transports!$1:$1048576,U$2,FALSE)</f>
        <v>117436.1584</v>
      </c>
      <c r="V137" s="245">
        <f>+VLOOKUP($E137,Transports!$1:$1048576,V$2,FALSE)</f>
        <v>118216.0166</v>
      </c>
      <c r="W137" s="245">
        <f>+VLOOKUP($E137,Transports!$1:$1048576,W$2,FALSE)</f>
        <v>119002.40730000001</v>
      </c>
      <c r="X137" s="245">
        <f>+VLOOKUP($E137,Transports!$1:$1048576,X$2,FALSE)</f>
        <v>119795.4715</v>
      </c>
      <c r="Y137" s="245">
        <f>+VLOOKUP($E137,Transports!$1:$1048576,Y$2,FALSE)</f>
        <v>120595.31879999999</v>
      </c>
      <c r="Z137" s="245">
        <f>+VLOOKUP($E137,Transports!$1:$1048576,Z$2,FALSE)</f>
        <v>121402.0232</v>
      </c>
      <c r="AA137" s="245">
        <f>+VLOOKUP($E137,Transports!$1:$1048576,AA$2,FALSE)</f>
        <v>122215.62209999999</v>
      </c>
      <c r="AB137" s="245">
        <f>+VLOOKUP($E137,Transports!$1:$1048576,AB$2,FALSE)</f>
        <v>123036.1188</v>
      </c>
      <c r="AC137" s="245">
        <f>+VLOOKUP($E137,Transports!$1:$1048576,AC$2,FALSE)</f>
        <v>123863.4883</v>
      </c>
      <c r="AD137" s="245">
        <f>+VLOOKUP($E137,Transports!$1:$1048576,AD$2,FALSE)</f>
        <v>124697.68369999999</v>
      </c>
      <c r="AE137" s="245">
        <f>+VLOOKUP($E137,Transports!$1:$1048576,AE$2,FALSE)</f>
        <v>125538.6441</v>
      </c>
      <c r="AF137" s="245">
        <f>+VLOOKUP($E137,Transports!$1:$1048576,AF$2,FALSE)</f>
        <v>126386.3012</v>
      </c>
      <c r="AG137" s="245">
        <f>+VLOOKUP($E137,Transports!$1:$1048576,AG$2,FALSE)</f>
        <v>127240.5858</v>
      </c>
      <c r="AH137" s="245">
        <f>+VLOOKUP($E137,Transports!$1:$1048576,AH$2,FALSE)</f>
        <v>128101.4329</v>
      </c>
      <c r="AI137" s="245">
        <f>+VLOOKUP($E137,Transports!$1:$1048576,AI$2,FALSE)</f>
        <v>128968.7853</v>
      </c>
      <c r="AJ137" s="245">
        <f>+VLOOKUP($E137,Transports!$1:$1048576,AJ$2,FALSE)</f>
        <v>129842.5966</v>
      </c>
      <c r="AK137" s="245">
        <f>+VLOOKUP($E137,Transports!$1:$1048576,AK$2,FALSE)</f>
        <v>130722.83229999999</v>
      </c>
      <c r="AL137" s="245">
        <f>+VLOOKUP($E137,Transports!$1:$1048576,AL$2,FALSE)</f>
        <v>131609.47029999999</v>
      </c>
      <c r="AM137" s="245">
        <f>+VLOOKUP($E137,Transports!$1:$1048576,AM$2,FALSE)</f>
        <v>132502.50159999999</v>
      </c>
      <c r="AN137" s="245">
        <f>+VLOOKUP($E137,Transports!$1:$1048576,AN$2,FALSE)</f>
        <v>133401.929</v>
      </c>
      <c r="AO137" s="245">
        <f>+VLOOKUP($E137,Transports!$1:$1048576,AO$2,FALSE)</f>
        <v>134307.76620000001</v>
      </c>
    </row>
    <row r="138" spans="1:49" ht="15" customHeight="1" x14ac:dyDescent="0.25">
      <c r="A138" s="323" t="s">
        <v>598</v>
      </c>
      <c r="B138" s="319" t="s">
        <v>566</v>
      </c>
      <c r="C138" s="175" t="s">
        <v>571</v>
      </c>
      <c r="D138" s="132"/>
      <c r="E138" s="85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</row>
    <row r="139" spans="1:49" s="73" customFormat="1" ht="15" customHeight="1" x14ac:dyDescent="0.25">
      <c r="A139" s="324"/>
      <c r="B139" s="320"/>
      <c r="C139" s="175"/>
      <c r="D139" s="132" t="s">
        <v>1107</v>
      </c>
      <c r="E139" s="85" t="s">
        <v>2022</v>
      </c>
      <c r="F139" s="73" t="e">
        <f>+VLOOKUP($E139,Energy_Mix!$1:$1048576,F$2,FALSE)</f>
        <v>#N/A</v>
      </c>
      <c r="G139" s="73" t="e">
        <f>+VLOOKUP($E139,Energy_Mix!$1:$1048576,G$2,FALSE)</f>
        <v>#N/A</v>
      </c>
      <c r="H139" s="73" t="e">
        <f>+VLOOKUP($E139,Energy_Mix!$1:$1048576,H$2,FALSE)</f>
        <v>#N/A</v>
      </c>
      <c r="I139" s="73" t="e">
        <f>+VLOOKUP($E139,Energy_Mix!$1:$1048576,I$2,FALSE)</f>
        <v>#N/A</v>
      </c>
      <c r="J139" s="73" t="e">
        <f>+VLOOKUP($E139,Energy_Mix!$1:$1048576,J$2,FALSE)</f>
        <v>#N/A</v>
      </c>
      <c r="K139" s="73" t="e">
        <f>+VLOOKUP($E139,Energy_Mix!$1:$1048576,K$2,FALSE)</f>
        <v>#N/A</v>
      </c>
      <c r="L139" s="73" t="e">
        <f>+VLOOKUP($E139,Energy_Mix!$1:$1048576,L$2,FALSE)</f>
        <v>#N/A</v>
      </c>
      <c r="M139" s="73" t="e">
        <f>+VLOOKUP($E139,Energy_Mix!$1:$1048576,M$2,FALSE)</f>
        <v>#N/A</v>
      </c>
      <c r="N139" s="73" t="e">
        <f>+VLOOKUP($E139,Energy_Mix!$1:$1048576,N$2,FALSE)</f>
        <v>#N/A</v>
      </c>
      <c r="O139" s="73" t="e">
        <f>+VLOOKUP($E139,Energy_Mix!$1:$1048576,O$2,FALSE)</f>
        <v>#N/A</v>
      </c>
      <c r="P139" s="73" t="e">
        <f>+VLOOKUP($E139,Energy_Mix!$1:$1048576,P$2,FALSE)</f>
        <v>#N/A</v>
      </c>
      <c r="Q139" s="73" t="e">
        <f>+VLOOKUP($E139,Energy_Mix!$1:$1048576,Q$2,FALSE)</f>
        <v>#N/A</v>
      </c>
      <c r="R139" s="73" t="e">
        <f>+VLOOKUP($E139,Energy_Mix!$1:$1048576,R$2,FALSE)</f>
        <v>#N/A</v>
      </c>
      <c r="S139" s="73" t="e">
        <f>+VLOOKUP($E139,Energy_Mix!$1:$1048576,S$2,FALSE)</f>
        <v>#N/A</v>
      </c>
      <c r="T139" s="73" t="e">
        <f>+VLOOKUP($E139,Energy_Mix!$1:$1048576,T$2,FALSE)</f>
        <v>#N/A</v>
      </c>
      <c r="U139" s="73" t="e">
        <f>+VLOOKUP($E139,Energy_Mix!$1:$1048576,U$2,FALSE)</f>
        <v>#N/A</v>
      </c>
      <c r="V139" s="73" t="e">
        <f>+VLOOKUP($E139,Energy_Mix!$1:$1048576,V$2,FALSE)</f>
        <v>#N/A</v>
      </c>
      <c r="W139" s="73" t="e">
        <f>+VLOOKUP($E139,Energy_Mix!$1:$1048576,W$2,FALSE)</f>
        <v>#N/A</v>
      </c>
      <c r="X139" s="73" t="e">
        <f>+VLOOKUP($E139,Energy_Mix!$1:$1048576,X$2,FALSE)</f>
        <v>#N/A</v>
      </c>
      <c r="Y139" s="73" t="e">
        <f>+VLOOKUP($E139,Energy_Mix!$1:$1048576,Y$2,FALSE)</f>
        <v>#N/A</v>
      </c>
      <c r="Z139" s="73" t="e">
        <f>+VLOOKUP($E139,Energy_Mix!$1:$1048576,Z$2,FALSE)</f>
        <v>#N/A</v>
      </c>
      <c r="AA139" s="73" t="e">
        <f>+VLOOKUP($E139,Energy_Mix!$1:$1048576,AA$2,FALSE)</f>
        <v>#N/A</v>
      </c>
      <c r="AB139" s="73" t="e">
        <f>+VLOOKUP($E139,Energy_Mix!$1:$1048576,AB$2,FALSE)</f>
        <v>#N/A</v>
      </c>
      <c r="AC139" s="73" t="e">
        <f>+VLOOKUP($E139,Energy_Mix!$1:$1048576,AC$2,FALSE)</f>
        <v>#N/A</v>
      </c>
      <c r="AD139" s="73" t="e">
        <f>+VLOOKUP($E139,Energy_Mix!$1:$1048576,AD$2,FALSE)</f>
        <v>#N/A</v>
      </c>
      <c r="AE139" s="73" t="e">
        <f>+VLOOKUP($E139,Energy_Mix!$1:$1048576,AE$2,FALSE)</f>
        <v>#N/A</v>
      </c>
      <c r="AF139" s="73" t="e">
        <f>+VLOOKUP($E139,Energy_Mix!$1:$1048576,AF$2,FALSE)</f>
        <v>#N/A</v>
      </c>
      <c r="AG139" s="73" t="e">
        <f>+VLOOKUP($E139,Energy_Mix!$1:$1048576,AG$2,FALSE)</f>
        <v>#N/A</v>
      </c>
      <c r="AH139" s="73" t="e">
        <f>+VLOOKUP($E139,Energy_Mix!$1:$1048576,AH$2,FALSE)</f>
        <v>#N/A</v>
      </c>
      <c r="AI139" s="73" t="e">
        <f>+VLOOKUP($E139,Energy_Mix!$1:$1048576,AI$2,FALSE)</f>
        <v>#N/A</v>
      </c>
      <c r="AJ139" s="73" t="e">
        <f>+VLOOKUP($E139,Energy_Mix!$1:$1048576,AJ$2,FALSE)</f>
        <v>#N/A</v>
      </c>
      <c r="AK139" s="73" t="e">
        <f>+VLOOKUP($E139,Energy_Mix!$1:$1048576,AK$2,FALSE)</f>
        <v>#N/A</v>
      </c>
      <c r="AL139" s="73" t="e">
        <f>+VLOOKUP($E139,Energy_Mix!$1:$1048576,AL$2,FALSE)</f>
        <v>#N/A</v>
      </c>
      <c r="AM139" s="73" t="e">
        <f>+VLOOKUP($E139,Energy_Mix!$1:$1048576,AM$2,FALSE)</f>
        <v>#N/A</v>
      </c>
      <c r="AN139" s="73" t="e">
        <f>+VLOOKUP($E139,Energy_Mix!$1:$1048576,AN$2,FALSE)</f>
        <v>#N/A</v>
      </c>
      <c r="AO139" s="73" t="e">
        <f>+VLOOKUP($E139,Energy_Mix!$1:$1048576,AO$2,FALSE)</f>
        <v>#N/A</v>
      </c>
    </row>
    <row r="140" spans="1:49" s="73" customFormat="1" ht="15" customHeight="1" x14ac:dyDescent="0.25">
      <c r="A140" s="324"/>
      <c r="B140" s="320"/>
      <c r="C140" s="175"/>
      <c r="D140" s="132" t="s">
        <v>1107</v>
      </c>
      <c r="E140" s="85" t="s">
        <v>2023</v>
      </c>
      <c r="F140" s="73" t="e">
        <f>+VLOOKUP($E140,Energy_Mix!$1:$1048576,F$2,FALSE)</f>
        <v>#N/A</v>
      </c>
      <c r="G140" s="73" t="e">
        <f>+VLOOKUP($E140,Energy_Mix!$1:$1048576,G$2,FALSE)</f>
        <v>#N/A</v>
      </c>
      <c r="H140" s="73" t="e">
        <f>+VLOOKUP($E140,Energy_Mix!$1:$1048576,H$2,FALSE)</f>
        <v>#N/A</v>
      </c>
      <c r="I140" s="73" t="e">
        <f>+VLOOKUP($E140,Energy_Mix!$1:$1048576,I$2,FALSE)</f>
        <v>#N/A</v>
      </c>
      <c r="J140" s="73" t="e">
        <f>+VLOOKUP($E140,Energy_Mix!$1:$1048576,J$2,FALSE)</f>
        <v>#N/A</v>
      </c>
      <c r="K140" s="73" t="e">
        <f>+VLOOKUP($E140,Energy_Mix!$1:$1048576,K$2,FALSE)</f>
        <v>#N/A</v>
      </c>
      <c r="L140" s="73" t="e">
        <f>+VLOOKUP($E140,Energy_Mix!$1:$1048576,L$2,FALSE)</f>
        <v>#N/A</v>
      </c>
      <c r="M140" s="73" t="e">
        <f>+VLOOKUP($E140,Energy_Mix!$1:$1048576,M$2,FALSE)</f>
        <v>#N/A</v>
      </c>
      <c r="N140" s="73" t="e">
        <f>+VLOOKUP($E140,Energy_Mix!$1:$1048576,N$2,FALSE)</f>
        <v>#N/A</v>
      </c>
      <c r="O140" s="73" t="e">
        <f>+VLOOKUP($E140,Energy_Mix!$1:$1048576,O$2,FALSE)</f>
        <v>#N/A</v>
      </c>
      <c r="P140" s="73" t="e">
        <f>+VLOOKUP($E140,Energy_Mix!$1:$1048576,P$2,FALSE)</f>
        <v>#N/A</v>
      </c>
      <c r="Q140" s="73" t="e">
        <f>+VLOOKUP($E140,Energy_Mix!$1:$1048576,Q$2,FALSE)</f>
        <v>#N/A</v>
      </c>
      <c r="R140" s="73" t="e">
        <f>+VLOOKUP($E140,Energy_Mix!$1:$1048576,R$2,FALSE)</f>
        <v>#N/A</v>
      </c>
      <c r="S140" s="73" t="e">
        <f>+VLOOKUP($E140,Energy_Mix!$1:$1048576,S$2,FALSE)</f>
        <v>#N/A</v>
      </c>
      <c r="T140" s="73" t="e">
        <f>+VLOOKUP($E140,Energy_Mix!$1:$1048576,T$2,FALSE)</f>
        <v>#N/A</v>
      </c>
      <c r="U140" s="73" t="e">
        <f>+VLOOKUP($E140,Energy_Mix!$1:$1048576,U$2,FALSE)</f>
        <v>#N/A</v>
      </c>
      <c r="V140" s="73" t="e">
        <f>+VLOOKUP($E140,Energy_Mix!$1:$1048576,V$2,FALSE)</f>
        <v>#N/A</v>
      </c>
      <c r="W140" s="73" t="e">
        <f>+VLOOKUP($E140,Energy_Mix!$1:$1048576,W$2,FALSE)</f>
        <v>#N/A</v>
      </c>
      <c r="X140" s="73" t="e">
        <f>+VLOOKUP($E140,Energy_Mix!$1:$1048576,X$2,FALSE)</f>
        <v>#N/A</v>
      </c>
      <c r="Y140" s="73" t="e">
        <f>+VLOOKUP($E140,Energy_Mix!$1:$1048576,Y$2,FALSE)</f>
        <v>#N/A</v>
      </c>
      <c r="Z140" s="73" t="e">
        <f>+VLOOKUP($E140,Energy_Mix!$1:$1048576,Z$2,FALSE)</f>
        <v>#N/A</v>
      </c>
      <c r="AA140" s="73" t="e">
        <f>+VLOOKUP($E140,Energy_Mix!$1:$1048576,AA$2,FALSE)</f>
        <v>#N/A</v>
      </c>
      <c r="AB140" s="73" t="e">
        <f>+VLOOKUP($E140,Energy_Mix!$1:$1048576,AB$2,FALSE)</f>
        <v>#N/A</v>
      </c>
      <c r="AC140" s="73" t="e">
        <f>+VLOOKUP($E140,Energy_Mix!$1:$1048576,AC$2,FALSE)</f>
        <v>#N/A</v>
      </c>
      <c r="AD140" s="73" t="e">
        <f>+VLOOKUP($E140,Energy_Mix!$1:$1048576,AD$2,FALSE)</f>
        <v>#N/A</v>
      </c>
      <c r="AE140" s="73" t="e">
        <f>+VLOOKUP($E140,Energy_Mix!$1:$1048576,AE$2,FALSE)</f>
        <v>#N/A</v>
      </c>
      <c r="AF140" s="73" t="e">
        <f>+VLOOKUP($E140,Energy_Mix!$1:$1048576,AF$2,FALSE)</f>
        <v>#N/A</v>
      </c>
      <c r="AG140" s="73" t="e">
        <f>+VLOOKUP($E140,Energy_Mix!$1:$1048576,AG$2,FALSE)</f>
        <v>#N/A</v>
      </c>
      <c r="AH140" s="73" t="e">
        <f>+VLOOKUP($E140,Energy_Mix!$1:$1048576,AH$2,FALSE)</f>
        <v>#N/A</v>
      </c>
      <c r="AI140" s="73" t="e">
        <f>+VLOOKUP($E140,Energy_Mix!$1:$1048576,AI$2,FALSE)</f>
        <v>#N/A</v>
      </c>
      <c r="AJ140" s="73" t="e">
        <f>+VLOOKUP($E140,Energy_Mix!$1:$1048576,AJ$2,FALSE)</f>
        <v>#N/A</v>
      </c>
      <c r="AK140" s="73" t="e">
        <f>+VLOOKUP($E140,Energy_Mix!$1:$1048576,AK$2,FALSE)</f>
        <v>#N/A</v>
      </c>
      <c r="AL140" s="73" t="e">
        <f>+VLOOKUP($E140,Energy_Mix!$1:$1048576,AL$2,FALSE)</f>
        <v>#N/A</v>
      </c>
      <c r="AM140" s="73" t="e">
        <f>+VLOOKUP($E140,Energy_Mix!$1:$1048576,AM$2,FALSE)</f>
        <v>#N/A</v>
      </c>
      <c r="AN140" s="73" t="e">
        <f>+VLOOKUP($E140,Energy_Mix!$1:$1048576,AN$2,FALSE)</f>
        <v>#N/A</v>
      </c>
      <c r="AO140" s="73" t="e">
        <f>+VLOOKUP($E140,Energy_Mix!$1:$1048576,AO$2,FALSE)</f>
        <v>#N/A</v>
      </c>
    </row>
    <row r="141" spans="1:49" s="73" customFormat="1" ht="15" customHeight="1" x14ac:dyDescent="0.25">
      <c r="A141" s="324"/>
      <c r="B141" s="320"/>
      <c r="C141" s="175" t="s">
        <v>572</v>
      </c>
      <c r="D141" s="132"/>
      <c r="E141" s="85"/>
    </row>
    <row r="142" spans="1:49" s="73" customFormat="1" ht="15" customHeight="1" x14ac:dyDescent="0.25">
      <c r="A142" s="324"/>
      <c r="B142" s="320"/>
      <c r="C142" s="175"/>
      <c r="D142" s="132" t="s">
        <v>2024</v>
      </c>
      <c r="E142" s="85" t="s">
        <v>2025</v>
      </c>
      <c r="F142" s="73" t="e">
        <f>+VLOOKUP($E142,Energy_Mix!$1:$1048576,F$2,FALSE)</f>
        <v>#N/A</v>
      </c>
      <c r="G142" s="73" t="e">
        <f>+VLOOKUP($E142,Energy_Mix!$1:$1048576,G$2,FALSE)</f>
        <v>#N/A</v>
      </c>
      <c r="H142" s="73" t="e">
        <f>+VLOOKUP($E142,Energy_Mix!$1:$1048576,H$2,FALSE)</f>
        <v>#N/A</v>
      </c>
      <c r="I142" s="73" t="e">
        <f>+VLOOKUP($E142,Energy_Mix!$1:$1048576,I$2,FALSE)</f>
        <v>#N/A</v>
      </c>
      <c r="J142" s="73" t="e">
        <f>+VLOOKUP($E142,Energy_Mix!$1:$1048576,J$2,FALSE)</f>
        <v>#N/A</v>
      </c>
      <c r="K142" s="73" t="e">
        <f>+VLOOKUP($E142,Energy_Mix!$1:$1048576,K$2,FALSE)</f>
        <v>#N/A</v>
      </c>
      <c r="L142" s="73" t="e">
        <f>+VLOOKUP($E142,Energy_Mix!$1:$1048576,L$2,FALSE)</f>
        <v>#N/A</v>
      </c>
      <c r="M142" s="73" t="e">
        <f>+VLOOKUP($E142,Energy_Mix!$1:$1048576,M$2,FALSE)</f>
        <v>#N/A</v>
      </c>
      <c r="N142" s="73" t="e">
        <f>+VLOOKUP($E142,Energy_Mix!$1:$1048576,N$2,FALSE)</f>
        <v>#N/A</v>
      </c>
      <c r="O142" s="73" t="e">
        <f>+VLOOKUP($E142,Energy_Mix!$1:$1048576,O$2,FALSE)</f>
        <v>#N/A</v>
      </c>
      <c r="P142" s="73" t="e">
        <f>+VLOOKUP($E142,Energy_Mix!$1:$1048576,P$2,FALSE)</f>
        <v>#N/A</v>
      </c>
      <c r="Q142" s="73" t="e">
        <f>+VLOOKUP($E142,Energy_Mix!$1:$1048576,Q$2,FALSE)</f>
        <v>#N/A</v>
      </c>
      <c r="R142" s="73" t="e">
        <f>+VLOOKUP($E142,Energy_Mix!$1:$1048576,R$2,FALSE)</f>
        <v>#N/A</v>
      </c>
      <c r="S142" s="73" t="e">
        <f>+VLOOKUP($E142,Energy_Mix!$1:$1048576,S$2,FALSE)</f>
        <v>#N/A</v>
      </c>
      <c r="T142" s="73" t="e">
        <f>+VLOOKUP($E142,Energy_Mix!$1:$1048576,T$2,FALSE)</f>
        <v>#N/A</v>
      </c>
      <c r="U142" s="73" t="e">
        <f>+VLOOKUP($E142,Energy_Mix!$1:$1048576,U$2,FALSE)</f>
        <v>#N/A</v>
      </c>
      <c r="V142" s="73" t="e">
        <f>+VLOOKUP($E142,Energy_Mix!$1:$1048576,V$2,FALSE)</f>
        <v>#N/A</v>
      </c>
      <c r="W142" s="73" t="e">
        <f>+VLOOKUP($E142,Energy_Mix!$1:$1048576,W$2,FALSE)</f>
        <v>#N/A</v>
      </c>
      <c r="X142" s="73" t="e">
        <f>+VLOOKUP($E142,Energy_Mix!$1:$1048576,X$2,FALSE)</f>
        <v>#N/A</v>
      </c>
      <c r="Y142" s="73" t="e">
        <f>+VLOOKUP($E142,Energy_Mix!$1:$1048576,Y$2,FALSE)</f>
        <v>#N/A</v>
      </c>
      <c r="Z142" s="73" t="e">
        <f>+VLOOKUP($E142,Energy_Mix!$1:$1048576,Z$2,FALSE)</f>
        <v>#N/A</v>
      </c>
      <c r="AA142" s="73" t="e">
        <f>+VLOOKUP($E142,Energy_Mix!$1:$1048576,AA$2,FALSE)</f>
        <v>#N/A</v>
      </c>
      <c r="AB142" s="73" t="e">
        <f>+VLOOKUP($E142,Energy_Mix!$1:$1048576,AB$2,FALSE)</f>
        <v>#N/A</v>
      </c>
      <c r="AC142" s="73" t="e">
        <f>+VLOOKUP($E142,Energy_Mix!$1:$1048576,AC$2,FALSE)</f>
        <v>#N/A</v>
      </c>
      <c r="AD142" s="73" t="e">
        <f>+VLOOKUP($E142,Energy_Mix!$1:$1048576,AD$2,FALSE)</f>
        <v>#N/A</v>
      </c>
      <c r="AE142" s="73" t="e">
        <f>+VLOOKUP($E142,Energy_Mix!$1:$1048576,AE$2,FALSE)</f>
        <v>#N/A</v>
      </c>
      <c r="AF142" s="73" t="e">
        <f>+VLOOKUP($E142,Energy_Mix!$1:$1048576,AF$2,FALSE)</f>
        <v>#N/A</v>
      </c>
      <c r="AG142" s="73" t="e">
        <f>+VLOOKUP($E142,Energy_Mix!$1:$1048576,AG$2,FALSE)</f>
        <v>#N/A</v>
      </c>
      <c r="AH142" s="73" t="e">
        <f>+VLOOKUP($E142,Energy_Mix!$1:$1048576,AH$2,FALSE)</f>
        <v>#N/A</v>
      </c>
      <c r="AI142" s="73" t="e">
        <f>+VLOOKUP($E142,Energy_Mix!$1:$1048576,AI$2,FALSE)</f>
        <v>#N/A</v>
      </c>
      <c r="AJ142" s="73" t="e">
        <f>+VLOOKUP($E142,Energy_Mix!$1:$1048576,AJ$2,FALSE)</f>
        <v>#N/A</v>
      </c>
      <c r="AK142" s="73" t="e">
        <f>+VLOOKUP($E142,Energy_Mix!$1:$1048576,AK$2,FALSE)</f>
        <v>#N/A</v>
      </c>
      <c r="AL142" s="73" t="e">
        <f>+VLOOKUP($E142,Energy_Mix!$1:$1048576,AL$2,FALSE)</f>
        <v>#N/A</v>
      </c>
      <c r="AM142" s="73" t="e">
        <f>+VLOOKUP($E142,Energy_Mix!$1:$1048576,AM$2,FALSE)</f>
        <v>#N/A</v>
      </c>
      <c r="AN142" s="73" t="e">
        <f>+VLOOKUP($E142,Energy_Mix!$1:$1048576,AN$2,FALSE)</f>
        <v>#N/A</v>
      </c>
      <c r="AO142" s="73" t="e">
        <f>+VLOOKUP($E142,Energy_Mix!$1:$1048576,AO$2,FALSE)</f>
        <v>#N/A</v>
      </c>
    </row>
    <row r="143" spans="1:49" s="73" customFormat="1" ht="15" customHeight="1" x14ac:dyDescent="0.25">
      <c r="A143" s="324"/>
      <c r="B143" s="320"/>
      <c r="C143" s="175"/>
      <c r="D143" s="132" t="s">
        <v>2024</v>
      </c>
      <c r="E143" s="85" t="s">
        <v>2026</v>
      </c>
      <c r="F143" s="73" t="e">
        <f>+VLOOKUP($E143,Energy_Mix!$1:$1048576,F$2,FALSE)</f>
        <v>#N/A</v>
      </c>
      <c r="G143" s="73" t="e">
        <f>+VLOOKUP($E143,Energy_Mix!$1:$1048576,G$2,FALSE)</f>
        <v>#N/A</v>
      </c>
      <c r="H143" s="73" t="e">
        <f>+VLOOKUP($E143,Energy_Mix!$1:$1048576,H$2,FALSE)</f>
        <v>#N/A</v>
      </c>
      <c r="I143" s="73" t="e">
        <f>+VLOOKUP($E143,Energy_Mix!$1:$1048576,I$2,FALSE)</f>
        <v>#N/A</v>
      </c>
      <c r="J143" s="73" t="e">
        <f>+VLOOKUP($E143,Energy_Mix!$1:$1048576,J$2,FALSE)</f>
        <v>#N/A</v>
      </c>
      <c r="K143" s="73" t="e">
        <f>+VLOOKUP($E143,Energy_Mix!$1:$1048576,K$2,FALSE)</f>
        <v>#N/A</v>
      </c>
      <c r="L143" s="73" t="e">
        <f>+VLOOKUP($E143,Energy_Mix!$1:$1048576,L$2,FALSE)</f>
        <v>#N/A</v>
      </c>
      <c r="M143" s="73" t="e">
        <f>+VLOOKUP($E143,Energy_Mix!$1:$1048576,M$2,FALSE)</f>
        <v>#N/A</v>
      </c>
      <c r="N143" s="73" t="e">
        <f>+VLOOKUP($E143,Energy_Mix!$1:$1048576,N$2,FALSE)</f>
        <v>#N/A</v>
      </c>
      <c r="O143" s="73" t="e">
        <f>+VLOOKUP($E143,Energy_Mix!$1:$1048576,O$2,FALSE)</f>
        <v>#N/A</v>
      </c>
      <c r="P143" s="73" t="e">
        <f>+VLOOKUP($E143,Energy_Mix!$1:$1048576,P$2,FALSE)</f>
        <v>#N/A</v>
      </c>
      <c r="Q143" s="73" t="e">
        <f>+VLOOKUP($E143,Energy_Mix!$1:$1048576,Q$2,FALSE)</f>
        <v>#N/A</v>
      </c>
      <c r="R143" s="73" t="e">
        <f>+VLOOKUP($E143,Energy_Mix!$1:$1048576,R$2,FALSE)</f>
        <v>#N/A</v>
      </c>
      <c r="S143" s="73" t="e">
        <f>+VLOOKUP($E143,Energy_Mix!$1:$1048576,S$2,FALSE)</f>
        <v>#N/A</v>
      </c>
      <c r="T143" s="73" t="e">
        <f>+VLOOKUP($E143,Energy_Mix!$1:$1048576,T$2,FALSE)</f>
        <v>#N/A</v>
      </c>
      <c r="U143" s="73" t="e">
        <f>+VLOOKUP($E143,Energy_Mix!$1:$1048576,U$2,FALSE)</f>
        <v>#N/A</v>
      </c>
      <c r="V143" s="73" t="e">
        <f>+VLOOKUP($E143,Energy_Mix!$1:$1048576,V$2,FALSE)</f>
        <v>#N/A</v>
      </c>
      <c r="W143" s="73" t="e">
        <f>+VLOOKUP($E143,Energy_Mix!$1:$1048576,W$2,FALSE)</f>
        <v>#N/A</v>
      </c>
      <c r="X143" s="73" t="e">
        <f>+VLOOKUP($E143,Energy_Mix!$1:$1048576,X$2,FALSE)</f>
        <v>#N/A</v>
      </c>
      <c r="Y143" s="73" t="e">
        <f>+VLOOKUP($E143,Energy_Mix!$1:$1048576,Y$2,FALSE)</f>
        <v>#N/A</v>
      </c>
      <c r="Z143" s="73" t="e">
        <f>+VLOOKUP($E143,Energy_Mix!$1:$1048576,Z$2,FALSE)</f>
        <v>#N/A</v>
      </c>
      <c r="AA143" s="73" t="e">
        <f>+VLOOKUP($E143,Energy_Mix!$1:$1048576,AA$2,FALSE)</f>
        <v>#N/A</v>
      </c>
      <c r="AB143" s="73" t="e">
        <f>+VLOOKUP($E143,Energy_Mix!$1:$1048576,AB$2,FALSE)</f>
        <v>#N/A</v>
      </c>
      <c r="AC143" s="73" t="e">
        <f>+VLOOKUP($E143,Energy_Mix!$1:$1048576,AC$2,FALSE)</f>
        <v>#N/A</v>
      </c>
      <c r="AD143" s="73" t="e">
        <f>+VLOOKUP($E143,Energy_Mix!$1:$1048576,AD$2,FALSE)</f>
        <v>#N/A</v>
      </c>
      <c r="AE143" s="73" t="e">
        <f>+VLOOKUP($E143,Energy_Mix!$1:$1048576,AE$2,FALSE)</f>
        <v>#N/A</v>
      </c>
      <c r="AF143" s="73" t="e">
        <f>+VLOOKUP($E143,Energy_Mix!$1:$1048576,AF$2,FALSE)</f>
        <v>#N/A</v>
      </c>
      <c r="AG143" s="73" t="e">
        <f>+VLOOKUP($E143,Energy_Mix!$1:$1048576,AG$2,FALSE)</f>
        <v>#N/A</v>
      </c>
      <c r="AH143" s="73" t="e">
        <f>+VLOOKUP($E143,Energy_Mix!$1:$1048576,AH$2,FALSE)</f>
        <v>#N/A</v>
      </c>
      <c r="AI143" s="73" t="e">
        <f>+VLOOKUP($E143,Energy_Mix!$1:$1048576,AI$2,FALSE)</f>
        <v>#N/A</v>
      </c>
      <c r="AJ143" s="73" t="e">
        <f>+VLOOKUP($E143,Energy_Mix!$1:$1048576,AJ$2,FALSE)</f>
        <v>#N/A</v>
      </c>
      <c r="AK143" s="73" t="e">
        <f>+VLOOKUP($E143,Energy_Mix!$1:$1048576,AK$2,FALSE)</f>
        <v>#N/A</v>
      </c>
      <c r="AL143" s="73" t="e">
        <f>+VLOOKUP($E143,Energy_Mix!$1:$1048576,AL$2,FALSE)</f>
        <v>#N/A</v>
      </c>
      <c r="AM143" s="73" t="e">
        <f>+VLOOKUP($E143,Energy_Mix!$1:$1048576,AM$2,FALSE)</f>
        <v>#N/A</v>
      </c>
      <c r="AN143" s="73" t="e">
        <f>+VLOOKUP($E143,Energy_Mix!$1:$1048576,AN$2,FALSE)</f>
        <v>#N/A</v>
      </c>
      <c r="AO143" s="73" t="e">
        <f>+VLOOKUP($E143,Energy_Mix!$1:$1048576,AO$2,FALSE)</f>
        <v>#N/A</v>
      </c>
    </row>
    <row r="144" spans="1:49" s="73" customFormat="1" ht="15" customHeight="1" x14ac:dyDescent="0.25">
      <c r="A144" s="324"/>
      <c r="B144" s="320"/>
      <c r="C144" s="175" t="s">
        <v>561</v>
      </c>
      <c r="D144" s="132"/>
      <c r="E144" s="85"/>
    </row>
    <row r="145" spans="1:49" ht="15" customHeight="1" x14ac:dyDescent="0.25">
      <c r="A145" s="324"/>
      <c r="B145" s="320"/>
      <c r="C145" s="132"/>
      <c r="D145" s="132" t="s">
        <v>2027</v>
      </c>
      <c r="E145" s="85" t="s">
        <v>488</v>
      </c>
      <c r="F145" s="73">
        <f>+VLOOKUP($E145,Energy_Mix!$1:$1048576,F$2,FALSE)</f>
        <v>0.83809636089999995</v>
      </c>
      <c r="G145" s="73">
        <f>+VLOOKUP($E145,Energy_Mix!$1:$1048576,G$2,FALSE)</f>
        <v>0.83809636089999995</v>
      </c>
      <c r="H145" s="73">
        <f>+VLOOKUP($E145,Energy_Mix!$1:$1048576,H$2,FALSE)</f>
        <v>0.83809636089999995</v>
      </c>
      <c r="I145" s="73">
        <f>+VLOOKUP($E145,Energy_Mix!$1:$1048576,I$2,FALSE)</f>
        <v>0.83809636089999995</v>
      </c>
      <c r="J145" s="73">
        <f>+VLOOKUP($E145,Energy_Mix!$1:$1048576,J$2,FALSE)</f>
        <v>0.83809636089999995</v>
      </c>
      <c r="K145" s="73">
        <f>+VLOOKUP($E145,Energy_Mix!$1:$1048576,K$2,FALSE)</f>
        <v>0.83809636089999995</v>
      </c>
      <c r="L145" s="73">
        <f>+VLOOKUP($E145,Energy_Mix!$1:$1048576,L$2,FALSE)</f>
        <v>0.83809636089999995</v>
      </c>
      <c r="M145" s="73">
        <f>+VLOOKUP($E145,Energy_Mix!$1:$1048576,M$2,FALSE)</f>
        <v>0.83809636089999995</v>
      </c>
      <c r="N145" s="73">
        <f>+VLOOKUP($E145,Energy_Mix!$1:$1048576,N$2,FALSE)</f>
        <v>0.83809636089999995</v>
      </c>
      <c r="O145" s="73">
        <f>+VLOOKUP($E145,Energy_Mix!$1:$1048576,O$2,FALSE)</f>
        <v>0.83809636089999995</v>
      </c>
      <c r="P145" s="73">
        <f>+VLOOKUP($E145,Energy_Mix!$1:$1048576,P$2,FALSE)</f>
        <v>0.83809636089999995</v>
      </c>
      <c r="Q145" s="73">
        <f>+VLOOKUP($E145,Energy_Mix!$1:$1048576,Q$2,FALSE)</f>
        <v>0.83809636089999995</v>
      </c>
      <c r="R145" s="73">
        <f>+VLOOKUP($E145,Energy_Mix!$1:$1048576,R$2,FALSE)</f>
        <v>0.83809636089999995</v>
      </c>
      <c r="S145" s="73">
        <f>+VLOOKUP($E145,Energy_Mix!$1:$1048576,S$2,FALSE)</f>
        <v>0.83809636089999995</v>
      </c>
      <c r="T145" s="73">
        <f>+VLOOKUP($E145,Energy_Mix!$1:$1048576,T$2,FALSE)</f>
        <v>0.83809636089999995</v>
      </c>
      <c r="U145" s="73">
        <f>+VLOOKUP($E145,Energy_Mix!$1:$1048576,U$2,FALSE)</f>
        <v>0.83809636089999995</v>
      </c>
      <c r="V145" s="73">
        <f>+VLOOKUP($E145,Energy_Mix!$1:$1048576,V$2,FALSE)</f>
        <v>0.83809636089999995</v>
      </c>
      <c r="W145" s="73">
        <f>+VLOOKUP($E145,Energy_Mix!$1:$1048576,W$2,FALSE)</f>
        <v>0.83809636089999995</v>
      </c>
      <c r="X145" s="73">
        <f>+VLOOKUP($E145,Energy_Mix!$1:$1048576,X$2,FALSE)</f>
        <v>0.83809636089999995</v>
      </c>
      <c r="Y145" s="73">
        <f>+VLOOKUP($E145,Energy_Mix!$1:$1048576,Y$2,FALSE)</f>
        <v>0.83809636089999995</v>
      </c>
      <c r="Z145" s="73">
        <f>+VLOOKUP($E145,Energy_Mix!$1:$1048576,Z$2,FALSE)</f>
        <v>0.83809636089999995</v>
      </c>
      <c r="AA145" s="73">
        <f>+VLOOKUP($E145,Energy_Mix!$1:$1048576,AA$2,FALSE)</f>
        <v>0.83809636089999995</v>
      </c>
      <c r="AB145" s="73">
        <f>+VLOOKUP($E145,Energy_Mix!$1:$1048576,AB$2,FALSE)</f>
        <v>0.83809636089999995</v>
      </c>
      <c r="AC145" s="73">
        <f>+VLOOKUP($E145,Energy_Mix!$1:$1048576,AC$2,FALSE)</f>
        <v>0.83809636089999995</v>
      </c>
      <c r="AD145" s="73">
        <f>+VLOOKUP($E145,Energy_Mix!$1:$1048576,AD$2,FALSE)</f>
        <v>0.83809636089999995</v>
      </c>
      <c r="AE145" s="73">
        <f>+VLOOKUP($E145,Energy_Mix!$1:$1048576,AE$2,FALSE)</f>
        <v>0.83809636089999995</v>
      </c>
      <c r="AF145" s="73">
        <f>+VLOOKUP($E145,Energy_Mix!$1:$1048576,AF$2,FALSE)</f>
        <v>0.83809636089999995</v>
      </c>
      <c r="AG145" s="73">
        <f>+VLOOKUP($E145,Energy_Mix!$1:$1048576,AG$2,FALSE)</f>
        <v>0.83809636089999995</v>
      </c>
      <c r="AH145" s="73">
        <f>+VLOOKUP($E145,Energy_Mix!$1:$1048576,AH$2,FALSE)</f>
        <v>0.83809636089999995</v>
      </c>
      <c r="AI145" s="73">
        <f>+VLOOKUP($E145,Energy_Mix!$1:$1048576,AI$2,FALSE)</f>
        <v>0.83809636089999995</v>
      </c>
      <c r="AJ145" s="73">
        <f>+VLOOKUP($E145,Energy_Mix!$1:$1048576,AJ$2,FALSE)</f>
        <v>0.83809636089999995</v>
      </c>
      <c r="AK145" s="73">
        <f>+VLOOKUP($E145,Energy_Mix!$1:$1048576,AK$2,FALSE)</f>
        <v>0.83809636089999995</v>
      </c>
      <c r="AL145" s="73">
        <f>+VLOOKUP($E145,Energy_Mix!$1:$1048576,AL$2,FALSE)</f>
        <v>0.83809636089999995</v>
      </c>
      <c r="AM145" s="73">
        <f>+VLOOKUP($E145,Energy_Mix!$1:$1048576,AM$2,FALSE)</f>
        <v>0.83809636089999995</v>
      </c>
      <c r="AN145" s="73">
        <f>+VLOOKUP($E145,Energy_Mix!$1:$1048576,AN$2,FALSE)</f>
        <v>0.83809636089999995</v>
      </c>
      <c r="AO145" s="73">
        <f>+VLOOKUP($E145,Energy_Mix!$1:$1048576,AO$2,FALSE)</f>
        <v>0.83809636089999995</v>
      </c>
      <c r="AP145" s="73"/>
      <c r="AQ145" s="73"/>
      <c r="AR145" s="73"/>
      <c r="AS145" s="73"/>
      <c r="AT145" s="73"/>
      <c r="AU145" s="73"/>
      <c r="AV145" s="73"/>
      <c r="AW145" s="73"/>
    </row>
    <row r="146" spans="1:49" ht="15" customHeight="1" x14ac:dyDescent="0.25">
      <c r="A146" s="324"/>
      <c r="B146" s="320"/>
      <c r="C146" s="132"/>
      <c r="D146" s="132" t="s">
        <v>567</v>
      </c>
      <c r="E146" s="85" t="s">
        <v>489</v>
      </c>
      <c r="F146" s="73">
        <f>+VLOOKUP($E146,Energy_Mix!$1:$1048576,F$2,FALSE)</f>
        <v>0.1619036391</v>
      </c>
      <c r="G146" s="73">
        <f>+VLOOKUP($E146,Energy_Mix!$1:$1048576,G$2,FALSE)</f>
        <v>0.1619036391</v>
      </c>
      <c r="H146" s="73">
        <f>+VLOOKUP($E146,Energy_Mix!$1:$1048576,H$2,FALSE)</f>
        <v>0.1619036391</v>
      </c>
      <c r="I146" s="73">
        <f>+VLOOKUP($E146,Energy_Mix!$1:$1048576,I$2,FALSE)</f>
        <v>0.1619036391</v>
      </c>
      <c r="J146" s="73">
        <f>+VLOOKUP($E146,Energy_Mix!$1:$1048576,J$2,FALSE)</f>
        <v>0.1619036391</v>
      </c>
      <c r="K146" s="73">
        <f>+VLOOKUP($E146,Energy_Mix!$1:$1048576,K$2,FALSE)</f>
        <v>0.1619036391</v>
      </c>
      <c r="L146" s="73">
        <f>+VLOOKUP($E146,Energy_Mix!$1:$1048576,L$2,FALSE)</f>
        <v>0.1619036391</v>
      </c>
      <c r="M146" s="73">
        <f>+VLOOKUP($E146,Energy_Mix!$1:$1048576,M$2,FALSE)</f>
        <v>0.1619036391</v>
      </c>
      <c r="N146" s="73">
        <f>+VLOOKUP($E146,Energy_Mix!$1:$1048576,N$2,FALSE)</f>
        <v>0.1619036391</v>
      </c>
      <c r="O146" s="73">
        <f>+VLOOKUP($E146,Energy_Mix!$1:$1048576,O$2,FALSE)</f>
        <v>0.1619036391</v>
      </c>
      <c r="P146" s="73">
        <f>+VLOOKUP($E146,Energy_Mix!$1:$1048576,P$2,FALSE)</f>
        <v>0.1619036391</v>
      </c>
      <c r="Q146" s="73">
        <f>+VLOOKUP($E146,Energy_Mix!$1:$1048576,Q$2,FALSE)</f>
        <v>0.1619036391</v>
      </c>
      <c r="R146" s="73">
        <f>+VLOOKUP($E146,Energy_Mix!$1:$1048576,R$2,FALSE)</f>
        <v>0.1619036391</v>
      </c>
      <c r="S146" s="73">
        <f>+VLOOKUP($E146,Energy_Mix!$1:$1048576,S$2,FALSE)</f>
        <v>0.1619036391</v>
      </c>
      <c r="T146" s="73">
        <f>+VLOOKUP($E146,Energy_Mix!$1:$1048576,T$2,FALSE)</f>
        <v>0.1619036391</v>
      </c>
      <c r="U146" s="73">
        <f>+VLOOKUP($E146,Energy_Mix!$1:$1048576,U$2,FALSE)</f>
        <v>0.1619036391</v>
      </c>
      <c r="V146" s="73">
        <f>+VLOOKUP($E146,Energy_Mix!$1:$1048576,V$2,FALSE)</f>
        <v>0.1619036391</v>
      </c>
      <c r="W146" s="73">
        <f>+VLOOKUP($E146,Energy_Mix!$1:$1048576,W$2,FALSE)</f>
        <v>0.1619036391</v>
      </c>
      <c r="X146" s="73">
        <f>+VLOOKUP($E146,Energy_Mix!$1:$1048576,X$2,FALSE)</f>
        <v>0.1619036391</v>
      </c>
      <c r="Y146" s="73">
        <f>+VLOOKUP($E146,Energy_Mix!$1:$1048576,Y$2,FALSE)</f>
        <v>0.1619036391</v>
      </c>
      <c r="Z146" s="73">
        <f>+VLOOKUP($E146,Energy_Mix!$1:$1048576,Z$2,FALSE)</f>
        <v>0.1619036391</v>
      </c>
      <c r="AA146" s="73">
        <f>+VLOOKUP($E146,Energy_Mix!$1:$1048576,AA$2,FALSE)</f>
        <v>0.1619036391</v>
      </c>
      <c r="AB146" s="73">
        <f>+VLOOKUP($E146,Energy_Mix!$1:$1048576,AB$2,FALSE)</f>
        <v>0.1619036391</v>
      </c>
      <c r="AC146" s="73">
        <f>+VLOOKUP($E146,Energy_Mix!$1:$1048576,AC$2,FALSE)</f>
        <v>0.1619036391</v>
      </c>
      <c r="AD146" s="73">
        <f>+VLOOKUP($E146,Energy_Mix!$1:$1048576,AD$2,FALSE)</f>
        <v>0.1619036391</v>
      </c>
      <c r="AE146" s="73">
        <f>+VLOOKUP($E146,Energy_Mix!$1:$1048576,AE$2,FALSE)</f>
        <v>0.1619036391</v>
      </c>
      <c r="AF146" s="73">
        <f>+VLOOKUP($E146,Energy_Mix!$1:$1048576,AF$2,FALSE)</f>
        <v>0.1619036391</v>
      </c>
      <c r="AG146" s="73">
        <f>+VLOOKUP($E146,Energy_Mix!$1:$1048576,AG$2,FALSE)</f>
        <v>0.1619036391</v>
      </c>
      <c r="AH146" s="73">
        <f>+VLOOKUP($E146,Energy_Mix!$1:$1048576,AH$2,FALSE)</f>
        <v>0.1619036391</v>
      </c>
      <c r="AI146" s="73">
        <f>+VLOOKUP($E146,Energy_Mix!$1:$1048576,AI$2,FALSE)</f>
        <v>0.1619036391</v>
      </c>
      <c r="AJ146" s="73">
        <f>+VLOOKUP($E146,Energy_Mix!$1:$1048576,AJ$2,FALSE)</f>
        <v>0.1619036391</v>
      </c>
      <c r="AK146" s="73">
        <f>+VLOOKUP($E146,Energy_Mix!$1:$1048576,AK$2,FALSE)</f>
        <v>0.1619036391</v>
      </c>
      <c r="AL146" s="73">
        <f>+VLOOKUP($E146,Energy_Mix!$1:$1048576,AL$2,FALSE)</f>
        <v>0.1619036391</v>
      </c>
      <c r="AM146" s="73">
        <f>+VLOOKUP($E146,Energy_Mix!$1:$1048576,AM$2,FALSE)</f>
        <v>0.1619036391</v>
      </c>
      <c r="AN146" s="73">
        <f>+VLOOKUP($E146,Energy_Mix!$1:$1048576,AN$2,FALSE)</f>
        <v>0.1619036391</v>
      </c>
      <c r="AO146" s="73">
        <f>+VLOOKUP($E146,Energy_Mix!$1:$1048576,AO$2,FALSE)</f>
        <v>0.1619036391</v>
      </c>
      <c r="AP146" s="73"/>
      <c r="AQ146" s="73"/>
      <c r="AR146" s="73"/>
      <c r="AS146" s="73"/>
      <c r="AT146" s="73"/>
      <c r="AU146" s="73"/>
      <c r="AV146" s="73"/>
      <c r="AW146" s="73"/>
    </row>
    <row r="147" spans="1:49" s="73" customFormat="1" ht="15" customHeight="1" x14ac:dyDescent="0.25">
      <c r="A147" s="324"/>
      <c r="B147" s="320"/>
      <c r="C147" s="175" t="s">
        <v>562</v>
      </c>
      <c r="D147" s="132"/>
      <c r="E147" s="85"/>
    </row>
    <row r="148" spans="1:49" s="73" customFormat="1" ht="15" customHeight="1" x14ac:dyDescent="0.25">
      <c r="A148" s="324"/>
      <c r="B148" s="320"/>
      <c r="C148" s="175"/>
      <c r="D148" s="132" t="s">
        <v>2027</v>
      </c>
      <c r="E148" s="85" t="s">
        <v>2028</v>
      </c>
      <c r="F148" s="73" t="e">
        <f>+VLOOKUP($E148,Energy_Mix!$1:$1048576,F$2,FALSE)</f>
        <v>#N/A</v>
      </c>
      <c r="G148" s="73" t="e">
        <f>+VLOOKUP($E148,Energy_Mix!$1:$1048576,G$2,FALSE)</f>
        <v>#N/A</v>
      </c>
      <c r="H148" s="73" t="e">
        <f>+VLOOKUP($E148,Energy_Mix!$1:$1048576,H$2,FALSE)</f>
        <v>#N/A</v>
      </c>
      <c r="I148" s="73" t="e">
        <f>+VLOOKUP($E148,Energy_Mix!$1:$1048576,I$2,FALSE)</f>
        <v>#N/A</v>
      </c>
      <c r="J148" s="73" t="e">
        <f>+VLOOKUP($E148,Energy_Mix!$1:$1048576,J$2,FALSE)</f>
        <v>#N/A</v>
      </c>
      <c r="K148" s="73" t="e">
        <f>+VLOOKUP($E148,Energy_Mix!$1:$1048576,K$2,FALSE)</f>
        <v>#N/A</v>
      </c>
      <c r="L148" s="73" t="e">
        <f>+VLOOKUP($E148,Energy_Mix!$1:$1048576,L$2,FALSE)</f>
        <v>#N/A</v>
      </c>
      <c r="M148" s="73" t="e">
        <f>+VLOOKUP($E148,Energy_Mix!$1:$1048576,M$2,FALSE)</f>
        <v>#N/A</v>
      </c>
      <c r="N148" s="73" t="e">
        <f>+VLOOKUP($E148,Energy_Mix!$1:$1048576,N$2,FALSE)</f>
        <v>#N/A</v>
      </c>
      <c r="O148" s="73" t="e">
        <f>+VLOOKUP($E148,Energy_Mix!$1:$1048576,O$2,FALSE)</f>
        <v>#N/A</v>
      </c>
      <c r="P148" s="73" t="e">
        <f>+VLOOKUP($E148,Energy_Mix!$1:$1048576,P$2,FALSE)</f>
        <v>#N/A</v>
      </c>
      <c r="Q148" s="73" t="e">
        <f>+VLOOKUP($E148,Energy_Mix!$1:$1048576,Q$2,FALSE)</f>
        <v>#N/A</v>
      </c>
      <c r="R148" s="73" t="e">
        <f>+VLOOKUP($E148,Energy_Mix!$1:$1048576,R$2,FALSE)</f>
        <v>#N/A</v>
      </c>
      <c r="S148" s="73" t="e">
        <f>+VLOOKUP($E148,Energy_Mix!$1:$1048576,S$2,FALSE)</f>
        <v>#N/A</v>
      </c>
      <c r="T148" s="73" t="e">
        <f>+VLOOKUP($E148,Energy_Mix!$1:$1048576,T$2,FALSE)</f>
        <v>#N/A</v>
      </c>
      <c r="U148" s="73" t="e">
        <f>+VLOOKUP($E148,Energy_Mix!$1:$1048576,U$2,FALSE)</f>
        <v>#N/A</v>
      </c>
      <c r="V148" s="73" t="e">
        <f>+VLOOKUP($E148,Energy_Mix!$1:$1048576,V$2,FALSE)</f>
        <v>#N/A</v>
      </c>
      <c r="W148" s="73" t="e">
        <f>+VLOOKUP($E148,Energy_Mix!$1:$1048576,W$2,FALSE)</f>
        <v>#N/A</v>
      </c>
      <c r="X148" s="73" t="e">
        <f>+VLOOKUP($E148,Energy_Mix!$1:$1048576,X$2,FALSE)</f>
        <v>#N/A</v>
      </c>
      <c r="Y148" s="73" t="e">
        <f>+VLOOKUP($E148,Energy_Mix!$1:$1048576,Y$2,FALSE)</f>
        <v>#N/A</v>
      </c>
      <c r="Z148" s="73" t="e">
        <f>+VLOOKUP($E148,Energy_Mix!$1:$1048576,Z$2,FALSE)</f>
        <v>#N/A</v>
      </c>
      <c r="AA148" s="73" t="e">
        <f>+VLOOKUP($E148,Energy_Mix!$1:$1048576,AA$2,FALSE)</f>
        <v>#N/A</v>
      </c>
      <c r="AB148" s="73" t="e">
        <f>+VLOOKUP($E148,Energy_Mix!$1:$1048576,AB$2,FALSE)</f>
        <v>#N/A</v>
      </c>
      <c r="AC148" s="73" t="e">
        <f>+VLOOKUP($E148,Energy_Mix!$1:$1048576,AC$2,FALSE)</f>
        <v>#N/A</v>
      </c>
      <c r="AD148" s="73" t="e">
        <f>+VLOOKUP($E148,Energy_Mix!$1:$1048576,AD$2,FALSE)</f>
        <v>#N/A</v>
      </c>
      <c r="AE148" s="73" t="e">
        <f>+VLOOKUP($E148,Energy_Mix!$1:$1048576,AE$2,FALSE)</f>
        <v>#N/A</v>
      </c>
      <c r="AF148" s="73" t="e">
        <f>+VLOOKUP($E148,Energy_Mix!$1:$1048576,AF$2,FALSE)</f>
        <v>#N/A</v>
      </c>
      <c r="AG148" s="73" t="e">
        <f>+VLOOKUP($E148,Energy_Mix!$1:$1048576,AG$2,FALSE)</f>
        <v>#N/A</v>
      </c>
      <c r="AH148" s="73" t="e">
        <f>+VLOOKUP($E148,Energy_Mix!$1:$1048576,AH$2,FALSE)</f>
        <v>#N/A</v>
      </c>
      <c r="AI148" s="73" t="e">
        <f>+VLOOKUP($E148,Energy_Mix!$1:$1048576,AI$2,FALSE)</f>
        <v>#N/A</v>
      </c>
      <c r="AJ148" s="73" t="e">
        <f>+VLOOKUP($E148,Energy_Mix!$1:$1048576,AJ$2,FALSE)</f>
        <v>#N/A</v>
      </c>
      <c r="AK148" s="73" t="e">
        <f>+VLOOKUP($E148,Energy_Mix!$1:$1048576,AK$2,FALSE)</f>
        <v>#N/A</v>
      </c>
      <c r="AL148" s="73" t="e">
        <f>+VLOOKUP($E148,Energy_Mix!$1:$1048576,AL$2,FALSE)</f>
        <v>#N/A</v>
      </c>
      <c r="AM148" s="73" t="e">
        <f>+VLOOKUP($E148,Energy_Mix!$1:$1048576,AM$2,FALSE)</f>
        <v>#N/A</v>
      </c>
      <c r="AN148" s="73" t="e">
        <f>+VLOOKUP($E148,Energy_Mix!$1:$1048576,AN$2,FALSE)</f>
        <v>#N/A</v>
      </c>
      <c r="AO148" s="73" t="e">
        <f>+VLOOKUP($E148,Energy_Mix!$1:$1048576,AO$2,FALSE)</f>
        <v>#N/A</v>
      </c>
    </row>
    <row r="149" spans="1:49" ht="15" customHeight="1" x14ac:dyDescent="0.25">
      <c r="A149" s="324"/>
      <c r="B149" s="320"/>
      <c r="C149" s="175" t="s">
        <v>563</v>
      </c>
      <c r="D149" s="132"/>
      <c r="E149" s="50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</row>
    <row r="150" spans="1:49" s="73" customFormat="1" ht="15" customHeight="1" x14ac:dyDescent="0.25">
      <c r="A150" s="324"/>
      <c r="B150" s="320"/>
      <c r="C150" s="175"/>
      <c r="D150" s="132" t="s">
        <v>568</v>
      </c>
      <c r="E150" s="85" t="s">
        <v>2021</v>
      </c>
      <c r="F150" s="73" t="e">
        <f>+VLOOKUP($E150,Energy_Mix!$1:$1048576,F$2,FALSE)</f>
        <v>#N/A</v>
      </c>
      <c r="G150" s="73" t="e">
        <f>+VLOOKUP($E150,Energy_Mix!$1:$1048576,G$2,FALSE)</f>
        <v>#N/A</v>
      </c>
      <c r="H150" s="73" t="e">
        <f>+VLOOKUP($E150,Energy_Mix!$1:$1048576,H$2,FALSE)</f>
        <v>#N/A</v>
      </c>
      <c r="I150" s="73" t="e">
        <f>+VLOOKUP($E150,Energy_Mix!$1:$1048576,I$2,FALSE)</f>
        <v>#N/A</v>
      </c>
      <c r="J150" s="73" t="e">
        <f>+VLOOKUP($E150,Energy_Mix!$1:$1048576,J$2,FALSE)</f>
        <v>#N/A</v>
      </c>
      <c r="K150" s="73" t="e">
        <f>+VLOOKUP($E150,Energy_Mix!$1:$1048576,K$2,FALSE)</f>
        <v>#N/A</v>
      </c>
      <c r="L150" s="73" t="e">
        <f>+VLOOKUP($E150,Energy_Mix!$1:$1048576,L$2,FALSE)</f>
        <v>#N/A</v>
      </c>
      <c r="M150" s="73" t="e">
        <f>+VLOOKUP($E150,Energy_Mix!$1:$1048576,M$2,FALSE)</f>
        <v>#N/A</v>
      </c>
      <c r="N150" s="73" t="e">
        <f>+VLOOKUP($E150,Energy_Mix!$1:$1048576,N$2,FALSE)</f>
        <v>#N/A</v>
      </c>
      <c r="O150" s="73" t="e">
        <f>+VLOOKUP($E150,Energy_Mix!$1:$1048576,O$2,FALSE)</f>
        <v>#N/A</v>
      </c>
      <c r="P150" s="73" t="e">
        <f>+VLOOKUP($E150,Energy_Mix!$1:$1048576,P$2,FALSE)</f>
        <v>#N/A</v>
      </c>
      <c r="Q150" s="73" t="e">
        <f>+VLOOKUP($E150,Energy_Mix!$1:$1048576,Q$2,FALSE)</f>
        <v>#N/A</v>
      </c>
      <c r="R150" s="73" t="e">
        <f>+VLOOKUP($E150,Energy_Mix!$1:$1048576,R$2,FALSE)</f>
        <v>#N/A</v>
      </c>
      <c r="S150" s="73" t="e">
        <f>+VLOOKUP($E150,Energy_Mix!$1:$1048576,S$2,FALSE)</f>
        <v>#N/A</v>
      </c>
      <c r="T150" s="73" t="e">
        <f>+VLOOKUP($E150,Energy_Mix!$1:$1048576,T$2,FALSE)</f>
        <v>#N/A</v>
      </c>
      <c r="U150" s="73" t="e">
        <f>+VLOOKUP($E150,Energy_Mix!$1:$1048576,U$2,FALSE)</f>
        <v>#N/A</v>
      </c>
      <c r="V150" s="73" t="e">
        <f>+VLOOKUP($E150,Energy_Mix!$1:$1048576,V$2,FALSE)</f>
        <v>#N/A</v>
      </c>
      <c r="W150" s="73" t="e">
        <f>+VLOOKUP($E150,Energy_Mix!$1:$1048576,W$2,FALSE)</f>
        <v>#N/A</v>
      </c>
      <c r="X150" s="73" t="e">
        <f>+VLOOKUP($E150,Energy_Mix!$1:$1048576,X$2,FALSE)</f>
        <v>#N/A</v>
      </c>
      <c r="Y150" s="73" t="e">
        <f>+VLOOKUP($E150,Energy_Mix!$1:$1048576,Y$2,FALSE)</f>
        <v>#N/A</v>
      </c>
      <c r="Z150" s="73" t="e">
        <f>+VLOOKUP($E150,Energy_Mix!$1:$1048576,Z$2,FALSE)</f>
        <v>#N/A</v>
      </c>
      <c r="AA150" s="73" t="e">
        <f>+VLOOKUP($E150,Energy_Mix!$1:$1048576,AA$2,FALSE)</f>
        <v>#N/A</v>
      </c>
      <c r="AB150" s="73" t="e">
        <f>+VLOOKUP($E150,Energy_Mix!$1:$1048576,AB$2,FALSE)</f>
        <v>#N/A</v>
      </c>
      <c r="AC150" s="73" t="e">
        <f>+VLOOKUP($E150,Energy_Mix!$1:$1048576,AC$2,FALSE)</f>
        <v>#N/A</v>
      </c>
      <c r="AD150" s="73" t="e">
        <f>+VLOOKUP($E150,Energy_Mix!$1:$1048576,AD$2,FALSE)</f>
        <v>#N/A</v>
      </c>
      <c r="AE150" s="73" t="e">
        <f>+VLOOKUP($E150,Energy_Mix!$1:$1048576,AE$2,FALSE)</f>
        <v>#N/A</v>
      </c>
      <c r="AF150" s="73" t="e">
        <f>+VLOOKUP($E150,Energy_Mix!$1:$1048576,AF$2,FALSE)</f>
        <v>#N/A</v>
      </c>
      <c r="AG150" s="73" t="e">
        <f>+VLOOKUP($E150,Energy_Mix!$1:$1048576,AG$2,FALSE)</f>
        <v>#N/A</v>
      </c>
      <c r="AH150" s="73" t="e">
        <f>+VLOOKUP($E150,Energy_Mix!$1:$1048576,AH$2,FALSE)</f>
        <v>#N/A</v>
      </c>
      <c r="AI150" s="73" t="e">
        <f>+VLOOKUP($E150,Energy_Mix!$1:$1048576,AI$2,FALSE)</f>
        <v>#N/A</v>
      </c>
      <c r="AJ150" s="73" t="e">
        <f>+VLOOKUP($E150,Energy_Mix!$1:$1048576,AJ$2,FALSE)</f>
        <v>#N/A</v>
      </c>
      <c r="AK150" s="73" t="e">
        <f>+VLOOKUP($E150,Energy_Mix!$1:$1048576,AK$2,FALSE)</f>
        <v>#N/A</v>
      </c>
      <c r="AL150" s="73" t="e">
        <f>+VLOOKUP($E150,Energy_Mix!$1:$1048576,AL$2,FALSE)</f>
        <v>#N/A</v>
      </c>
      <c r="AM150" s="73" t="e">
        <f>+VLOOKUP($E150,Energy_Mix!$1:$1048576,AM$2,FALSE)</f>
        <v>#N/A</v>
      </c>
      <c r="AN150" s="73" t="e">
        <f>+VLOOKUP($E150,Energy_Mix!$1:$1048576,AN$2,FALSE)</f>
        <v>#N/A</v>
      </c>
      <c r="AO150" s="73" t="e">
        <f>+VLOOKUP($E150,Energy_Mix!$1:$1048576,AO$2,FALSE)</f>
        <v>#N/A</v>
      </c>
    </row>
    <row r="151" spans="1:49" s="73" customFormat="1" ht="15" customHeight="1" x14ac:dyDescent="0.25">
      <c r="A151" s="324"/>
      <c r="B151" s="320"/>
      <c r="C151" s="175"/>
      <c r="D151" s="132" t="s">
        <v>568</v>
      </c>
      <c r="E151" s="85" t="s">
        <v>2020</v>
      </c>
      <c r="F151" s="73" t="e">
        <f>+VLOOKUP($E151,Energy_Mix!$1:$1048576,F$2,FALSE)</f>
        <v>#N/A</v>
      </c>
      <c r="G151" s="73" t="e">
        <f>+VLOOKUP($E151,Energy_Mix!$1:$1048576,G$2,FALSE)</f>
        <v>#N/A</v>
      </c>
      <c r="H151" s="73" t="e">
        <f>+VLOOKUP($E151,Energy_Mix!$1:$1048576,H$2,FALSE)</f>
        <v>#N/A</v>
      </c>
      <c r="I151" s="73" t="e">
        <f>+VLOOKUP($E151,Energy_Mix!$1:$1048576,I$2,FALSE)</f>
        <v>#N/A</v>
      </c>
      <c r="J151" s="73" t="e">
        <f>+VLOOKUP($E151,Energy_Mix!$1:$1048576,J$2,FALSE)</f>
        <v>#N/A</v>
      </c>
      <c r="K151" s="73" t="e">
        <f>+VLOOKUP($E151,Energy_Mix!$1:$1048576,K$2,FALSE)</f>
        <v>#N/A</v>
      </c>
      <c r="L151" s="73" t="e">
        <f>+VLOOKUP($E151,Energy_Mix!$1:$1048576,L$2,FALSE)</f>
        <v>#N/A</v>
      </c>
      <c r="M151" s="73" t="e">
        <f>+VLOOKUP($E151,Energy_Mix!$1:$1048576,M$2,FALSE)</f>
        <v>#N/A</v>
      </c>
      <c r="N151" s="73" t="e">
        <f>+VLOOKUP($E151,Energy_Mix!$1:$1048576,N$2,FALSE)</f>
        <v>#N/A</v>
      </c>
      <c r="O151" s="73" t="e">
        <f>+VLOOKUP($E151,Energy_Mix!$1:$1048576,O$2,FALSE)</f>
        <v>#N/A</v>
      </c>
      <c r="P151" s="73" t="e">
        <f>+VLOOKUP($E151,Energy_Mix!$1:$1048576,P$2,FALSE)</f>
        <v>#N/A</v>
      </c>
      <c r="Q151" s="73" t="e">
        <f>+VLOOKUP($E151,Energy_Mix!$1:$1048576,Q$2,FALSE)</f>
        <v>#N/A</v>
      </c>
      <c r="R151" s="73" t="e">
        <f>+VLOOKUP($E151,Energy_Mix!$1:$1048576,R$2,FALSE)</f>
        <v>#N/A</v>
      </c>
      <c r="S151" s="73" t="e">
        <f>+VLOOKUP($E151,Energy_Mix!$1:$1048576,S$2,FALSE)</f>
        <v>#N/A</v>
      </c>
      <c r="T151" s="73" t="e">
        <f>+VLOOKUP($E151,Energy_Mix!$1:$1048576,T$2,FALSE)</f>
        <v>#N/A</v>
      </c>
      <c r="U151" s="73" t="e">
        <f>+VLOOKUP($E151,Energy_Mix!$1:$1048576,U$2,FALSE)</f>
        <v>#N/A</v>
      </c>
      <c r="V151" s="73" t="e">
        <f>+VLOOKUP($E151,Energy_Mix!$1:$1048576,V$2,FALSE)</f>
        <v>#N/A</v>
      </c>
      <c r="W151" s="73" t="e">
        <f>+VLOOKUP($E151,Energy_Mix!$1:$1048576,W$2,FALSE)</f>
        <v>#N/A</v>
      </c>
      <c r="X151" s="73" t="e">
        <f>+VLOOKUP($E151,Energy_Mix!$1:$1048576,X$2,FALSE)</f>
        <v>#N/A</v>
      </c>
      <c r="Y151" s="73" t="e">
        <f>+VLOOKUP($E151,Energy_Mix!$1:$1048576,Y$2,FALSE)</f>
        <v>#N/A</v>
      </c>
      <c r="Z151" s="73" t="e">
        <f>+VLOOKUP($E151,Energy_Mix!$1:$1048576,Z$2,FALSE)</f>
        <v>#N/A</v>
      </c>
      <c r="AA151" s="73" t="e">
        <f>+VLOOKUP($E151,Energy_Mix!$1:$1048576,AA$2,FALSE)</f>
        <v>#N/A</v>
      </c>
      <c r="AB151" s="73" t="e">
        <f>+VLOOKUP($E151,Energy_Mix!$1:$1048576,AB$2,FALSE)</f>
        <v>#N/A</v>
      </c>
      <c r="AC151" s="73" t="e">
        <f>+VLOOKUP($E151,Energy_Mix!$1:$1048576,AC$2,FALSE)</f>
        <v>#N/A</v>
      </c>
      <c r="AD151" s="73" t="e">
        <f>+VLOOKUP($E151,Energy_Mix!$1:$1048576,AD$2,FALSE)</f>
        <v>#N/A</v>
      </c>
      <c r="AE151" s="73" t="e">
        <f>+VLOOKUP($E151,Energy_Mix!$1:$1048576,AE$2,FALSE)</f>
        <v>#N/A</v>
      </c>
      <c r="AF151" s="73" t="e">
        <f>+VLOOKUP($E151,Energy_Mix!$1:$1048576,AF$2,FALSE)</f>
        <v>#N/A</v>
      </c>
      <c r="AG151" s="73" t="e">
        <f>+VLOOKUP($E151,Energy_Mix!$1:$1048576,AG$2,FALSE)</f>
        <v>#N/A</v>
      </c>
      <c r="AH151" s="73" t="e">
        <f>+VLOOKUP($E151,Energy_Mix!$1:$1048576,AH$2,FALSE)</f>
        <v>#N/A</v>
      </c>
      <c r="AI151" s="73" t="e">
        <f>+VLOOKUP($E151,Energy_Mix!$1:$1048576,AI$2,FALSE)</f>
        <v>#N/A</v>
      </c>
      <c r="AJ151" s="73" t="e">
        <f>+VLOOKUP($E151,Energy_Mix!$1:$1048576,AJ$2,FALSE)</f>
        <v>#N/A</v>
      </c>
      <c r="AK151" s="73" t="e">
        <f>+VLOOKUP($E151,Energy_Mix!$1:$1048576,AK$2,FALSE)</f>
        <v>#N/A</v>
      </c>
      <c r="AL151" s="73" t="e">
        <f>+VLOOKUP($E151,Energy_Mix!$1:$1048576,AL$2,FALSE)</f>
        <v>#N/A</v>
      </c>
      <c r="AM151" s="73" t="e">
        <f>+VLOOKUP($E151,Energy_Mix!$1:$1048576,AM$2,FALSE)</f>
        <v>#N/A</v>
      </c>
      <c r="AN151" s="73" t="e">
        <f>+VLOOKUP($E151,Energy_Mix!$1:$1048576,AN$2,FALSE)</f>
        <v>#N/A</v>
      </c>
      <c r="AO151" s="73" t="e">
        <f>+VLOOKUP($E151,Energy_Mix!$1:$1048576,AO$2,FALSE)</f>
        <v>#N/A</v>
      </c>
    </row>
    <row r="152" spans="1:49" ht="15" customHeight="1" x14ac:dyDescent="0.25">
      <c r="A152" s="324"/>
      <c r="B152" s="320"/>
      <c r="C152" s="132"/>
      <c r="D152" s="132" t="s">
        <v>568</v>
      </c>
      <c r="E152" s="85" t="s">
        <v>492</v>
      </c>
      <c r="F152" s="73">
        <f>+VLOOKUP($E152,Energy_Mix!$1:$1048576,F$2,FALSE)</f>
        <v>0.14751432270000001</v>
      </c>
      <c r="G152" s="73">
        <f>+VLOOKUP($E152,Energy_Mix!$1:$1048576,G$2,FALSE)</f>
        <v>0.14751432270000001</v>
      </c>
      <c r="H152" s="73">
        <f>+VLOOKUP($E152,Energy_Mix!$1:$1048576,H$2,FALSE)</f>
        <v>0.14751432270000001</v>
      </c>
      <c r="I152" s="73">
        <f>+VLOOKUP($E152,Energy_Mix!$1:$1048576,I$2,FALSE)</f>
        <v>0.14751432270000001</v>
      </c>
      <c r="J152" s="73">
        <f>+VLOOKUP($E152,Energy_Mix!$1:$1048576,J$2,FALSE)</f>
        <v>0.14751432270000001</v>
      </c>
      <c r="K152" s="73">
        <f>+VLOOKUP($E152,Energy_Mix!$1:$1048576,K$2,FALSE)</f>
        <v>0.14751432270000001</v>
      </c>
      <c r="L152" s="73">
        <f>+VLOOKUP($E152,Energy_Mix!$1:$1048576,L$2,FALSE)</f>
        <v>0.14751432270000001</v>
      </c>
      <c r="M152" s="73">
        <f>+VLOOKUP($E152,Energy_Mix!$1:$1048576,M$2,FALSE)</f>
        <v>0.14751432270000001</v>
      </c>
      <c r="N152" s="73">
        <f>+VLOOKUP($E152,Energy_Mix!$1:$1048576,N$2,FALSE)</f>
        <v>0.14751432270000001</v>
      </c>
      <c r="O152" s="73">
        <f>+VLOOKUP($E152,Energy_Mix!$1:$1048576,O$2,FALSE)</f>
        <v>0.14751432270000001</v>
      </c>
      <c r="P152" s="73">
        <f>+VLOOKUP($E152,Energy_Mix!$1:$1048576,P$2,FALSE)</f>
        <v>0.14751432270000001</v>
      </c>
      <c r="Q152" s="73">
        <f>+VLOOKUP($E152,Energy_Mix!$1:$1048576,Q$2,FALSE)</f>
        <v>0.14751432270000001</v>
      </c>
      <c r="R152" s="73">
        <f>+VLOOKUP($E152,Energy_Mix!$1:$1048576,R$2,FALSE)</f>
        <v>0.14751432270000001</v>
      </c>
      <c r="S152" s="73">
        <f>+VLOOKUP($E152,Energy_Mix!$1:$1048576,S$2,FALSE)</f>
        <v>0.14751432270000001</v>
      </c>
      <c r="T152" s="73">
        <f>+VLOOKUP($E152,Energy_Mix!$1:$1048576,T$2,FALSE)</f>
        <v>0.14751432270000001</v>
      </c>
      <c r="U152" s="73">
        <f>+VLOOKUP($E152,Energy_Mix!$1:$1048576,U$2,FALSE)</f>
        <v>0.14751432270000001</v>
      </c>
      <c r="V152" s="73">
        <f>+VLOOKUP($E152,Energy_Mix!$1:$1048576,V$2,FALSE)</f>
        <v>0.14751432270000001</v>
      </c>
      <c r="W152" s="73">
        <f>+VLOOKUP($E152,Energy_Mix!$1:$1048576,W$2,FALSE)</f>
        <v>0.14751432270000001</v>
      </c>
      <c r="X152" s="73">
        <f>+VLOOKUP($E152,Energy_Mix!$1:$1048576,X$2,FALSE)</f>
        <v>0.14751432270000001</v>
      </c>
      <c r="Y152" s="73">
        <f>+VLOOKUP($E152,Energy_Mix!$1:$1048576,Y$2,FALSE)</f>
        <v>0.14751432270000001</v>
      </c>
      <c r="Z152" s="73">
        <f>+VLOOKUP($E152,Energy_Mix!$1:$1048576,Z$2,FALSE)</f>
        <v>0.14751432270000001</v>
      </c>
      <c r="AA152" s="73">
        <f>+VLOOKUP($E152,Energy_Mix!$1:$1048576,AA$2,FALSE)</f>
        <v>0.14751432270000001</v>
      </c>
      <c r="AB152" s="73">
        <f>+VLOOKUP($E152,Energy_Mix!$1:$1048576,AB$2,FALSE)</f>
        <v>0.14751432270000001</v>
      </c>
      <c r="AC152" s="73">
        <f>+VLOOKUP($E152,Energy_Mix!$1:$1048576,AC$2,FALSE)</f>
        <v>0.14751432270000001</v>
      </c>
      <c r="AD152" s="73">
        <f>+VLOOKUP($E152,Energy_Mix!$1:$1048576,AD$2,FALSE)</f>
        <v>0.14751432270000001</v>
      </c>
      <c r="AE152" s="73">
        <f>+VLOOKUP($E152,Energy_Mix!$1:$1048576,AE$2,FALSE)</f>
        <v>0.14751432270000001</v>
      </c>
      <c r="AF152" s="73">
        <f>+VLOOKUP($E152,Energy_Mix!$1:$1048576,AF$2,FALSE)</f>
        <v>0.14751432270000001</v>
      </c>
      <c r="AG152" s="73">
        <f>+VLOOKUP($E152,Energy_Mix!$1:$1048576,AG$2,FALSE)</f>
        <v>0.14751432270000001</v>
      </c>
      <c r="AH152" s="73">
        <f>+VLOOKUP($E152,Energy_Mix!$1:$1048576,AH$2,FALSE)</f>
        <v>0.14751432270000001</v>
      </c>
      <c r="AI152" s="73">
        <f>+VLOOKUP($E152,Energy_Mix!$1:$1048576,AI$2,FALSE)</f>
        <v>0.14751432270000001</v>
      </c>
      <c r="AJ152" s="73">
        <f>+VLOOKUP($E152,Energy_Mix!$1:$1048576,AJ$2,FALSE)</f>
        <v>0.14751432270000001</v>
      </c>
      <c r="AK152" s="73">
        <f>+VLOOKUP($E152,Energy_Mix!$1:$1048576,AK$2,FALSE)</f>
        <v>0.14751432270000001</v>
      </c>
      <c r="AL152" s="73">
        <f>+VLOOKUP($E152,Energy_Mix!$1:$1048576,AL$2,FALSE)</f>
        <v>0.14751432270000001</v>
      </c>
      <c r="AM152" s="73">
        <f>+VLOOKUP($E152,Energy_Mix!$1:$1048576,AM$2,FALSE)</f>
        <v>0.14751432270000001</v>
      </c>
      <c r="AN152" s="73">
        <f>+VLOOKUP($E152,Energy_Mix!$1:$1048576,AN$2,FALSE)</f>
        <v>0.14751432270000001</v>
      </c>
      <c r="AO152" s="73">
        <f>+VLOOKUP($E152,Energy_Mix!$1:$1048576,AO$2,FALSE)</f>
        <v>0.14751432270000001</v>
      </c>
      <c r="AP152" s="73"/>
      <c r="AQ152" s="73"/>
      <c r="AR152" s="73"/>
      <c r="AS152" s="73"/>
      <c r="AT152" s="73"/>
      <c r="AU152" s="73"/>
      <c r="AV152" s="73"/>
      <c r="AW152" s="73"/>
    </row>
    <row r="153" spans="1:49" ht="15" customHeight="1" x14ac:dyDescent="0.25">
      <c r="A153" s="324"/>
      <c r="B153" s="320"/>
      <c r="C153" s="132"/>
      <c r="D153" s="132" t="s">
        <v>569</v>
      </c>
      <c r="E153" s="85" t="s">
        <v>493</v>
      </c>
      <c r="F153" s="73">
        <f>+VLOOKUP($E153,Energy_Mix!$1:$1048576,F$2,FALSE)</f>
        <v>0.20708638560000001</v>
      </c>
      <c r="G153" s="73">
        <f>+VLOOKUP($E153,Energy_Mix!$1:$1048576,G$2,FALSE)</f>
        <v>0.20708638560000001</v>
      </c>
      <c r="H153" s="73">
        <f>+VLOOKUP($E153,Energy_Mix!$1:$1048576,H$2,FALSE)</f>
        <v>0.20708638560000001</v>
      </c>
      <c r="I153" s="73">
        <f>+VLOOKUP($E153,Energy_Mix!$1:$1048576,I$2,FALSE)</f>
        <v>0.20708638560000001</v>
      </c>
      <c r="J153" s="73">
        <f>+VLOOKUP($E153,Energy_Mix!$1:$1048576,J$2,FALSE)</f>
        <v>0.20708638560000001</v>
      </c>
      <c r="K153" s="73">
        <f>+VLOOKUP($E153,Energy_Mix!$1:$1048576,K$2,FALSE)</f>
        <v>0.20708638560000001</v>
      </c>
      <c r="L153" s="73">
        <f>+VLOOKUP($E153,Energy_Mix!$1:$1048576,L$2,FALSE)</f>
        <v>0.20708638560000001</v>
      </c>
      <c r="M153" s="73">
        <f>+VLOOKUP($E153,Energy_Mix!$1:$1048576,M$2,FALSE)</f>
        <v>0.20708638560000001</v>
      </c>
      <c r="N153" s="73">
        <f>+VLOOKUP($E153,Energy_Mix!$1:$1048576,N$2,FALSE)</f>
        <v>0.20708638560000001</v>
      </c>
      <c r="O153" s="73">
        <f>+VLOOKUP($E153,Energy_Mix!$1:$1048576,O$2,FALSE)</f>
        <v>0.20708638560000001</v>
      </c>
      <c r="P153" s="73">
        <f>+VLOOKUP($E153,Energy_Mix!$1:$1048576,P$2,FALSE)</f>
        <v>0.20708638560000001</v>
      </c>
      <c r="Q153" s="73">
        <f>+VLOOKUP($E153,Energy_Mix!$1:$1048576,Q$2,FALSE)</f>
        <v>0.20708638560000001</v>
      </c>
      <c r="R153" s="73">
        <f>+VLOOKUP($E153,Energy_Mix!$1:$1048576,R$2,FALSE)</f>
        <v>0.20708638560000001</v>
      </c>
      <c r="S153" s="73">
        <f>+VLOOKUP($E153,Energy_Mix!$1:$1048576,S$2,FALSE)</f>
        <v>0.20708638560000001</v>
      </c>
      <c r="T153" s="73">
        <f>+VLOOKUP($E153,Energy_Mix!$1:$1048576,T$2,FALSE)</f>
        <v>0.20708638560000001</v>
      </c>
      <c r="U153" s="73">
        <f>+VLOOKUP($E153,Energy_Mix!$1:$1048576,U$2,FALSE)</f>
        <v>0.20708638560000001</v>
      </c>
      <c r="V153" s="73">
        <f>+VLOOKUP($E153,Energy_Mix!$1:$1048576,V$2,FALSE)</f>
        <v>0.20708638560000001</v>
      </c>
      <c r="W153" s="73">
        <f>+VLOOKUP($E153,Energy_Mix!$1:$1048576,W$2,FALSE)</f>
        <v>0.20708638560000001</v>
      </c>
      <c r="X153" s="73">
        <f>+VLOOKUP($E153,Energy_Mix!$1:$1048576,X$2,FALSE)</f>
        <v>0.20708638560000001</v>
      </c>
      <c r="Y153" s="73">
        <f>+VLOOKUP($E153,Energy_Mix!$1:$1048576,Y$2,FALSE)</f>
        <v>0.20708638560000001</v>
      </c>
      <c r="Z153" s="73">
        <f>+VLOOKUP($E153,Energy_Mix!$1:$1048576,Z$2,FALSE)</f>
        <v>0.20708638560000001</v>
      </c>
      <c r="AA153" s="73">
        <f>+VLOOKUP($E153,Energy_Mix!$1:$1048576,AA$2,FALSE)</f>
        <v>0.20708638560000001</v>
      </c>
      <c r="AB153" s="73">
        <f>+VLOOKUP($E153,Energy_Mix!$1:$1048576,AB$2,FALSE)</f>
        <v>0.20708638560000001</v>
      </c>
      <c r="AC153" s="73">
        <f>+VLOOKUP($E153,Energy_Mix!$1:$1048576,AC$2,FALSE)</f>
        <v>0.20708638560000001</v>
      </c>
      <c r="AD153" s="73">
        <f>+VLOOKUP($E153,Energy_Mix!$1:$1048576,AD$2,FALSE)</f>
        <v>0.20708638560000001</v>
      </c>
      <c r="AE153" s="73">
        <f>+VLOOKUP($E153,Energy_Mix!$1:$1048576,AE$2,FALSE)</f>
        <v>0.20708638560000001</v>
      </c>
      <c r="AF153" s="73">
        <f>+VLOOKUP($E153,Energy_Mix!$1:$1048576,AF$2,FALSE)</f>
        <v>0.20708638560000001</v>
      </c>
      <c r="AG153" s="73">
        <f>+VLOOKUP($E153,Energy_Mix!$1:$1048576,AG$2,FALSE)</f>
        <v>0.20708638560000001</v>
      </c>
      <c r="AH153" s="73">
        <f>+VLOOKUP($E153,Energy_Mix!$1:$1048576,AH$2,FALSE)</f>
        <v>0.20708638560000001</v>
      </c>
      <c r="AI153" s="73">
        <f>+VLOOKUP($E153,Energy_Mix!$1:$1048576,AI$2,FALSE)</f>
        <v>0.20708638560000001</v>
      </c>
      <c r="AJ153" s="73">
        <f>+VLOOKUP($E153,Energy_Mix!$1:$1048576,AJ$2,FALSE)</f>
        <v>0.20708638560000001</v>
      </c>
      <c r="AK153" s="73">
        <f>+VLOOKUP($E153,Energy_Mix!$1:$1048576,AK$2,FALSE)</f>
        <v>0.20708638560000001</v>
      </c>
      <c r="AL153" s="73">
        <f>+VLOOKUP($E153,Energy_Mix!$1:$1048576,AL$2,FALSE)</f>
        <v>0.20708638560000001</v>
      </c>
      <c r="AM153" s="73">
        <f>+VLOOKUP($E153,Energy_Mix!$1:$1048576,AM$2,FALSE)</f>
        <v>0.20708638560000001</v>
      </c>
      <c r="AN153" s="73">
        <f>+VLOOKUP($E153,Energy_Mix!$1:$1048576,AN$2,FALSE)</f>
        <v>0.20708638560000001</v>
      </c>
      <c r="AO153" s="73">
        <f>+VLOOKUP($E153,Energy_Mix!$1:$1048576,AO$2,FALSE)</f>
        <v>0.20708638560000001</v>
      </c>
      <c r="AP153" s="73"/>
      <c r="AQ153" s="73"/>
      <c r="AR153" s="73"/>
      <c r="AS153" s="73"/>
      <c r="AT153" s="73"/>
      <c r="AU153" s="73"/>
      <c r="AV153" s="73"/>
      <c r="AW153" s="73"/>
    </row>
    <row r="154" spans="1:49" ht="15" customHeight="1" x14ac:dyDescent="0.25">
      <c r="A154" s="324"/>
      <c r="B154" s="320"/>
      <c r="C154" s="175" t="s">
        <v>564</v>
      </c>
      <c r="D154" s="132"/>
      <c r="E154" s="50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</row>
    <row r="155" spans="1:49" s="73" customFormat="1" ht="15" customHeight="1" x14ac:dyDescent="0.25">
      <c r="A155" s="324"/>
      <c r="B155" s="320"/>
      <c r="C155" s="132"/>
      <c r="D155" s="132" t="s">
        <v>172</v>
      </c>
      <c r="E155" s="85" t="s">
        <v>503</v>
      </c>
      <c r="F155" s="73">
        <f>+VLOOKUP($E155,Energy_Mix!$1:$1048576,F$2,FALSE)</f>
        <v>0.72577004280000001</v>
      </c>
      <c r="G155" s="73">
        <f>+VLOOKUP($E155,Energy_Mix!$1:$1048576,G$2,FALSE)</f>
        <v>0.72577008499999995</v>
      </c>
      <c r="H155" s="73">
        <f>+VLOOKUP($E155,Energy_Mix!$1:$1048576,H$2,FALSE)</f>
        <v>0.72577008499999995</v>
      </c>
      <c r="I155" s="73">
        <f>+VLOOKUP($E155,Energy_Mix!$1:$1048576,I$2,FALSE)</f>
        <v>0.72577008499999995</v>
      </c>
      <c r="J155" s="73">
        <f>+VLOOKUP($E155,Energy_Mix!$1:$1048576,J$2,FALSE)</f>
        <v>0.72577008499999995</v>
      </c>
      <c r="K155" s="73">
        <f>+VLOOKUP($E155,Energy_Mix!$1:$1048576,K$2,FALSE)</f>
        <v>0.72577008499999995</v>
      </c>
      <c r="L155" s="73">
        <f>+VLOOKUP($E155,Energy_Mix!$1:$1048576,L$2,FALSE)</f>
        <v>0.72577008499999995</v>
      </c>
      <c r="M155" s="73">
        <f>+VLOOKUP($E155,Energy_Mix!$1:$1048576,M$2,FALSE)</f>
        <v>0.72577008499999995</v>
      </c>
      <c r="N155" s="73">
        <f>+VLOOKUP($E155,Energy_Mix!$1:$1048576,N$2,FALSE)</f>
        <v>0.72577008499999995</v>
      </c>
      <c r="O155" s="73">
        <f>+VLOOKUP($E155,Energy_Mix!$1:$1048576,O$2,FALSE)</f>
        <v>0.72577008499999995</v>
      </c>
      <c r="P155" s="73">
        <f>+VLOOKUP($E155,Energy_Mix!$1:$1048576,P$2,FALSE)</f>
        <v>0.72577008499999995</v>
      </c>
      <c r="Q155" s="73">
        <f>+VLOOKUP($E155,Energy_Mix!$1:$1048576,Q$2,FALSE)</f>
        <v>0.72577008499999995</v>
      </c>
      <c r="R155" s="73">
        <f>+VLOOKUP($E155,Energy_Mix!$1:$1048576,R$2,FALSE)</f>
        <v>0.72577008499999995</v>
      </c>
      <c r="S155" s="73">
        <f>+VLOOKUP($E155,Energy_Mix!$1:$1048576,S$2,FALSE)</f>
        <v>0.72577008499999995</v>
      </c>
      <c r="T155" s="73">
        <f>+VLOOKUP($E155,Energy_Mix!$1:$1048576,T$2,FALSE)</f>
        <v>0.72577008499999995</v>
      </c>
      <c r="U155" s="73">
        <f>+VLOOKUP($E155,Energy_Mix!$1:$1048576,U$2,FALSE)</f>
        <v>0.72577008499999995</v>
      </c>
      <c r="V155" s="73">
        <f>+VLOOKUP($E155,Energy_Mix!$1:$1048576,V$2,FALSE)</f>
        <v>0.72577008499999995</v>
      </c>
      <c r="W155" s="73">
        <f>+VLOOKUP($E155,Energy_Mix!$1:$1048576,W$2,FALSE)</f>
        <v>0.72577008499999995</v>
      </c>
      <c r="X155" s="73">
        <f>+VLOOKUP($E155,Energy_Mix!$1:$1048576,X$2,FALSE)</f>
        <v>0.72577008499999995</v>
      </c>
      <c r="Y155" s="73">
        <f>+VLOOKUP($E155,Energy_Mix!$1:$1048576,Y$2,FALSE)</f>
        <v>0.72577008499999995</v>
      </c>
      <c r="Z155" s="73">
        <f>+VLOOKUP($E155,Energy_Mix!$1:$1048576,Z$2,FALSE)</f>
        <v>0.72577008499999995</v>
      </c>
      <c r="AA155" s="73">
        <f>+VLOOKUP($E155,Energy_Mix!$1:$1048576,AA$2,FALSE)</f>
        <v>0.72577008499999995</v>
      </c>
      <c r="AB155" s="73">
        <f>+VLOOKUP($E155,Energy_Mix!$1:$1048576,AB$2,FALSE)</f>
        <v>0.72577008499999995</v>
      </c>
      <c r="AC155" s="73">
        <f>+VLOOKUP($E155,Energy_Mix!$1:$1048576,AC$2,FALSE)</f>
        <v>0.72577008499999995</v>
      </c>
      <c r="AD155" s="73">
        <f>+VLOOKUP($E155,Energy_Mix!$1:$1048576,AD$2,FALSE)</f>
        <v>0.72577008499999995</v>
      </c>
      <c r="AE155" s="73">
        <f>+VLOOKUP($E155,Energy_Mix!$1:$1048576,AE$2,FALSE)</f>
        <v>0.72577008499999995</v>
      </c>
      <c r="AF155" s="73">
        <f>+VLOOKUP($E155,Energy_Mix!$1:$1048576,AF$2,FALSE)</f>
        <v>0.72577008499999995</v>
      </c>
      <c r="AG155" s="73">
        <f>+VLOOKUP($E155,Energy_Mix!$1:$1048576,AG$2,FALSE)</f>
        <v>0.72577008499999995</v>
      </c>
      <c r="AH155" s="73">
        <f>+VLOOKUP($E155,Energy_Mix!$1:$1048576,AH$2,FALSE)</f>
        <v>0.72577008499999995</v>
      </c>
      <c r="AI155" s="73">
        <f>+VLOOKUP($E155,Energy_Mix!$1:$1048576,AI$2,FALSE)</f>
        <v>0.72577008499999995</v>
      </c>
      <c r="AJ155" s="73">
        <f>+VLOOKUP($E155,Energy_Mix!$1:$1048576,AJ$2,FALSE)</f>
        <v>0.72577008499999995</v>
      </c>
      <c r="AK155" s="73">
        <f>+VLOOKUP($E155,Energy_Mix!$1:$1048576,AK$2,FALSE)</f>
        <v>0.72577008499999995</v>
      </c>
      <c r="AL155" s="73">
        <f>+VLOOKUP($E155,Energy_Mix!$1:$1048576,AL$2,FALSE)</f>
        <v>0.72577008499999995</v>
      </c>
      <c r="AM155" s="73">
        <f>+VLOOKUP($E155,Energy_Mix!$1:$1048576,AM$2,FALSE)</f>
        <v>0.72577008499999995</v>
      </c>
      <c r="AN155" s="73">
        <f>+VLOOKUP($E155,Energy_Mix!$1:$1048576,AN$2,FALSE)</f>
        <v>0.72577008499999995</v>
      </c>
      <c r="AO155" s="73">
        <f>+VLOOKUP($E155,Energy_Mix!$1:$1048576,AO$2,FALSE)</f>
        <v>0.72577008499999995</v>
      </c>
    </row>
    <row r="156" spans="1:49" s="73" customFormat="1" ht="15" customHeight="1" x14ac:dyDescent="0.25">
      <c r="A156" s="324"/>
      <c r="B156" s="320"/>
      <c r="C156" s="132"/>
      <c r="D156" s="132" t="s">
        <v>173</v>
      </c>
      <c r="E156" s="85" t="s">
        <v>504</v>
      </c>
      <c r="F156" s="73">
        <f>+VLOOKUP($E156,Energy_Mix!$1:$1048576,F$2,FALSE)</f>
        <v>1.44644951E-2</v>
      </c>
      <c r="G156" s="73">
        <f>+VLOOKUP($E156,Energy_Mix!$1:$1048576,G$2,FALSE)</f>
        <v>1.4464495900000001E-2</v>
      </c>
      <c r="H156" s="73">
        <f>+VLOOKUP($E156,Energy_Mix!$1:$1048576,H$2,FALSE)</f>
        <v>1.4464495900000001E-2</v>
      </c>
      <c r="I156" s="73">
        <f>+VLOOKUP($E156,Energy_Mix!$1:$1048576,I$2,FALSE)</f>
        <v>1.4464495900000001E-2</v>
      </c>
      <c r="J156" s="73">
        <f>+VLOOKUP($E156,Energy_Mix!$1:$1048576,J$2,FALSE)</f>
        <v>1.4464495900000001E-2</v>
      </c>
      <c r="K156" s="73">
        <f>+VLOOKUP($E156,Energy_Mix!$1:$1048576,K$2,FALSE)</f>
        <v>1.4464495900000001E-2</v>
      </c>
      <c r="L156" s="73">
        <f>+VLOOKUP($E156,Energy_Mix!$1:$1048576,L$2,FALSE)</f>
        <v>1.4464495900000001E-2</v>
      </c>
      <c r="M156" s="73">
        <f>+VLOOKUP($E156,Energy_Mix!$1:$1048576,M$2,FALSE)</f>
        <v>1.4464495900000001E-2</v>
      </c>
      <c r="N156" s="73">
        <f>+VLOOKUP($E156,Energy_Mix!$1:$1048576,N$2,FALSE)</f>
        <v>1.4464495900000001E-2</v>
      </c>
      <c r="O156" s="73">
        <f>+VLOOKUP($E156,Energy_Mix!$1:$1048576,O$2,FALSE)</f>
        <v>1.4464495900000001E-2</v>
      </c>
      <c r="P156" s="73">
        <f>+VLOOKUP($E156,Energy_Mix!$1:$1048576,P$2,FALSE)</f>
        <v>1.4464495900000001E-2</v>
      </c>
      <c r="Q156" s="73">
        <f>+VLOOKUP($E156,Energy_Mix!$1:$1048576,Q$2,FALSE)</f>
        <v>1.4464495900000001E-2</v>
      </c>
      <c r="R156" s="73">
        <f>+VLOOKUP($E156,Energy_Mix!$1:$1048576,R$2,FALSE)</f>
        <v>1.4464495900000001E-2</v>
      </c>
      <c r="S156" s="73">
        <f>+VLOOKUP($E156,Energy_Mix!$1:$1048576,S$2,FALSE)</f>
        <v>1.4464495900000001E-2</v>
      </c>
      <c r="T156" s="73">
        <f>+VLOOKUP($E156,Energy_Mix!$1:$1048576,T$2,FALSE)</f>
        <v>1.4464495900000001E-2</v>
      </c>
      <c r="U156" s="73">
        <f>+VLOOKUP($E156,Energy_Mix!$1:$1048576,U$2,FALSE)</f>
        <v>1.4464495900000001E-2</v>
      </c>
      <c r="V156" s="73">
        <f>+VLOOKUP($E156,Energy_Mix!$1:$1048576,V$2,FALSE)</f>
        <v>1.4464495900000001E-2</v>
      </c>
      <c r="W156" s="73">
        <f>+VLOOKUP($E156,Energy_Mix!$1:$1048576,W$2,FALSE)</f>
        <v>1.4464495900000001E-2</v>
      </c>
      <c r="X156" s="73">
        <f>+VLOOKUP($E156,Energy_Mix!$1:$1048576,X$2,FALSE)</f>
        <v>1.4464495900000001E-2</v>
      </c>
      <c r="Y156" s="73">
        <f>+VLOOKUP($E156,Energy_Mix!$1:$1048576,Y$2,FALSE)</f>
        <v>1.4464495900000001E-2</v>
      </c>
      <c r="Z156" s="73">
        <f>+VLOOKUP($E156,Energy_Mix!$1:$1048576,Z$2,FALSE)</f>
        <v>1.4464495900000001E-2</v>
      </c>
      <c r="AA156" s="73">
        <f>+VLOOKUP($E156,Energy_Mix!$1:$1048576,AA$2,FALSE)</f>
        <v>1.4464495900000001E-2</v>
      </c>
      <c r="AB156" s="73">
        <f>+VLOOKUP($E156,Energy_Mix!$1:$1048576,AB$2,FALSE)</f>
        <v>1.4464495900000001E-2</v>
      </c>
      <c r="AC156" s="73">
        <f>+VLOOKUP($E156,Energy_Mix!$1:$1048576,AC$2,FALSE)</f>
        <v>1.4464495900000001E-2</v>
      </c>
      <c r="AD156" s="73">
        <f>+VLOOKUP($E156,Energy_Mix!$1:$1048576,AD$2,FALSE)</f>
        <v>1.4464495900000001E-2</v>
      </c>
      <c r="AE156" s="73">
        <f>+VLOOKUP($E156,Energy_Mix!$1:$1048576,AE$2,FALSE)</f>
        <v>1.4464495900000001E-2</v>
      </c>
      <c r="AF156" s="73">
        <f>+VLOOKUP($E156,Energy_Mix!$1:$1048576,AF$2,FALSE)</f>
        <v>1.4464495900000001E-2</v>
      </c>
      <c r="AG156" s="73">
        <f>+VLOOKUP($E156,Energy_Mix!$1:$1048576,AG$2,FALSE)</f>
        <v>1.4464495900000001E-2</v>
      </c>
      <c r="AH156" s="73">
        <f>+VLOOKUP($E156,Energy_Mix!$1:$1048576,AH$2,FALSE)</f>
        <v>1.4464495900000001E-2</v>
      </c>
      <c r="AI156" s="73">
        <f>+VLOOKUP($E156,Energy_Mix!$1:$1048576,AI$2,FALSE)</f>
        <v>1.4464495900000001E-2</v>
      </c>
      <c r="AJ156" s="73">
        <f>+VLOOKUP($E156,Energy_Mix!$1:$1048576,AJ$2,FALSE)</f>
        <v>1.4464495900000001E-2</v>
      </c>
      <c r="AK156" s="73">
        <f>+VLOOKUP($E156,Energy_Mix!$1:$1048576,AK$2,FALSE)</f>
        <v>1.4464495900000001E-2</v>
      </c>
      <c r="AL156" s="73">
        <f>+VLOOKUP($E156,Energy_Mix!$1:$1048576,AL$2,FALSE)</f>
        <v>1.4464495900000001E-2</v>
      </c>
      <c r="AM156" s="73">
        <f>+VLOOKUP($E156,Energy_Mix!$1:$1048576,AM$2,FALSE)</f>
        <v>1.4464495900000001E-2</v>
      </c>
      <c r="AN156" s="73">
        <f>+VLOOKUP($E156,Energy_Mix!$1:$1048576,AN$2,FALSE)</f>
        <v>1.4464495900000001E-2</v>
      </c>
      <c r="AO156" s="73">
        <f>+VLOOKUP($E156,Energy_Mix!$1:$1048576,AO$2,FALSE)</f>
        <v>1.4464495900000001E-2</v>
      </c>
    </row>
    <row r="157" spans="1:49" s="73" customFormat="1" ht="15" customHeight="1" x14ac:dyDescent="0.25">
      <c r="A157" s="324"/>
      <c r="B157" s="320"/>
      <c r="C157" s="132"/>
      <c r="D157" s="132" t="s">
        <v>174</v>
      </c>
      <c r="E157" s="85" t="s">
        <v>505</v>
      </c>
      <c r="F157" s="73">
        <f>+VLOOKUP($E157,Energy_Mix!$1:$1048576,F$2,FALSE)</f>
        <v>2.10193412E-2</v>
      </c>
      <c r="G157" s="73">
        <f>+VLOOKUP($E157,Energy_Mix!$1:$1048576,G$2,FALSE)</f>
        <v>2.1019342399999998E-2</v>
      </c>
      <c r="H157" s="73">
        <f>+VLOOKUP($E157,Energy_Mix!$1:$1048576,H$2,FALSE)</f>
        <v>2.1019342399999998E-2</v>
      </c>
      <c r="I157" s="73">
        <f>+VLOOKUP($E157,Energy_Mix!$1:$1048576,I$2,FALSE)</f>
        <v>2.1019342399999998E-2</v>
      </c>
      <c r="J157" s="73">
        <f>+VLOOKUP($E157,Energy_Mix!$1:$1048576,J$2,FALSE)</f>
        <v>2.1019342399999998E-2</v>
      </c>
      <c r="K157" s="73">
        <f>+VLOOKUP($E157,Energy_Mix!$1:$1048576,K$2,FALSE)</f>
        <v>2.1019342399999998E-2</v>
      </c>
      <c r="L157" s="73">
        <f>+VLOOKUP($E157,Energy_Mix!$1:$1048576,L$2,FALSE)</f>
        <v>2.1019342399999998E-2</v>
      </c>
      <c r="M157" s="73">
        <f>+VLOOKUP($E157,Energy_Mix!$1:$1048576,M$2,FALSE)</f>
        <v>2.1019342399999998E-2</v>
      </c>
      <c r="N157" s="73">
        <f>+VLOOKUP($E157,Energy_Mix!$1:$1048576,N$2,FALSE)</f>
        <v>2.1019342399999998E-2</v>
      </c>
      <c r="O157" s="73">
        <f>+VLOOKUP($E157,Energy_Mix!$1:$1048576,O$2,FALSE)</f>
        <v>2.1019342399999998E-2</v>
      </c>
      <c r="P157" s="73">
        <f>+VLOOKUP($E157,Energy_Mix!$1:$1048576,P$2,FALSE)</f>
        <v>2.1019342399999998E-2</v>
      </c>
      <c r="Q157" s="73">
        <f>+VLOOKUP($E157,Energy_Mix!$1:$1048576,Q$2,FALSE)</f>
        <v>2.1019342399999998E-2</v>
      </c>
      <c r="R157" s="73">
        <f>+VLOOKUP($E157,Energy_Mix!$1:$1048576,R$2,FALSE)</f>
        <v>2.1019342399999998E-2</v>
      </c>
      <c r="S157" s="73">
        <f>+VLOOKUP($E157,Energy_Mix!$1:$1048576,S$2,FALSE)</f>
        <v>2.1019342399999998E-2</v>
      </c>
      <c r="T157" s="73">
        <f>+VLOOKUP($E157,Energy_Mix!$1:$1048576,T$2,FALSE)</f>
        <v>2.1019342399999998E-2</v>
      </c>
      <c r="U157" s="73">
        <f>+VLOOKUP($E157,Energy_Mix!$1:$1048576,U$2,FALSE)</f>
        <v>2.1019342399999998E-2</v>
      </c>
      <c r="V157" s="73">
        <f>+VLOOKUP($E157,Energy_Mix!$1:$1048576,V$2,FALSE)</f>
        <v>2.1019342399999998E-2</v>
      </c>
      <c r="W157" s="73">
        <f>+VLOOKUP($E157,Energy_Mix!$1:$1048576,W$2,FALSE)</f>
        <v>2.1019342399999998E-2</v>
      </c>
      <c r="X157" s="73">
        <f>+VLOOKUP($E157,Energy_Mix!$1:$1048576,X$2,FALSE)</f>
        <v>2.1019342399999998E-2</v>
      </c>
      <c r="Y157" s="73">
        <f>+VLOOKUP($E157,Energy_Mix!$1:$1048576,Y$2,FALSE)</f>
        <v>2.1019342399999998E-2</v>
      </c>
      <c r="Z157" s="73">
        <f>+VLOOKUP($E157,Energy_Mix!$1:$1048576,Z$2,FALSE)</f>
        <v>2.1019342399999998E-2</v>
      </c>
      <c r="AA157" s="73">
        <f>+VLOOKUP($E157,Energy_Mix!$1:$1048576,AA$2,FALSE)</f>
        <v>2.1019342399999998E-2</v>
      </c>
      <c r="AB157" s="73">
        <f>+VLOOKUP($E157,Energy_Mix!$1:$1048576,AB$2,FALSE)</f>
        <v>2.1019342399999998E-2</v>
      </c>
      <c r="AC157" s="73">
        <f>+VLOOKUP($E157,Energy_Mix!$1:$1048576,AC$2,FALSE)</f>
        <v>2.1019342399999998E-2</v>
      </c>
      <c r="AD157" s="73">
        <f>+VLOOKUP($E157,Energy_Mix!$1:$1048576,AD$2,FALSE)</f>
        <v>2.1019342399999998E-2</v>
      </c>
      <c r="AE157" s="73">
        <f>+VLOOKUP($E157,Energy_Mix!$1:$1048576,AE$2,FALSE)</f>
        <v>2.1019342399999998E-2</v>
      </c>
      <c r="AF157" s="73">
        <f>+VLOOKUP($E157,Energy_Mix!$1:$1048576,AF$2,FALSE)</f>
        <v>2.1019342399999998E-2</v>
      </c>
      <c r="AG157" s="73">
        <f>+VLOOKUP($E157,Energy_Mix!$1:$1048576,AG$2,FALSE)</f>
        <v>2.1019342399999998E-2</v>
      </c>
      <c r="AH157" s="73">
        <f>+VLOOKUP($E157,Energy_Mix!$1:$1048576,AH$2,FALSE)</f>
        <v>2.1019342399999998E-2</v>
      </c>
      <c r="AI157" s="73">
        <f>+VLOOKUP($E157,Energy_Mix!$1:$1048576,AI$2,FALSE)</f>
        <v>2.1019342399999998E-2</v>
      </c>
      <c r="AJ157" s="73">
        <f>+VLOOKUP($E157,Energy_Mix!$1:$1048576,AJ$2,FALSE)</f>
        <v>2.1019342399999998E-2</v>
      </c>
      <c r="AK157" s="73">
        <f>+VLOOKUP($E157,Energy_Mix!$1:$1048576,AK$2,FALSE)</f>
        <v>2.1019342399999998E-2</v>
      </c>
      <c r="AL157" s="73">
        <f>+VLOOKUP($E157,Energy_Mix!$1:$1048576,AL$2,FALSE)</f>
        <v>2.1019342399999998E-2</v>
      </c>
      <c r="AM157" s="73">
        <f>+VLOOKUP($E157,Energy_Mix!$1:$1048576,AM$2,FALSE)</f>
        <v>2.1019342399999998E-2</v>
      </c>
      <c r="AN157" s="73">
        <f>+VLOOKUP($E157,Energy_Mix!$1:$1048576,AN$2,FALSE)</f>
        <v>2.1019342399999998E-2</v>
      </c>
      <c r="AO157" s="73">
        <f>+VLOOKUP($E157,Energy_Mix!$1:$1048576,AO$2,FALSE)</f>
        <v>2.1019342399999998E-2</v>
      </c>
    </row>
    <row r="158" spans="1:49" s="73" customFormat="1" ht="15" customHeight="1" x14ac:dyDescent="0.25">
      <c r="A158" s="324"/>
      <c r="B158" s="320"/>
      <c r="C158" s="132"/>
      <c r="D158" s="132" t="s">
        <v>175</v>
      </c>
      <c r="E158" s="85" t="s">
        <v>506</v>
      </c>
      <c r="F158" s="73">
        <f>+VLOOKUP($E158,Energy_Mix!$1:$1048576,F$2,FALSE)</f>
        <v>1.9096190499999999E-2</v>
      </c>
      <c r="G158" s="73">
        <f>+VLOOKUP($E158,Energy_Mix!$1:$1048576,G$2,FALSE)</f>
        <v>1.90961916E-2</v>
      </c>
      <c r="H158" s="73">
        <f>+VLOOKUP($E158,Energy_Mix!$1:$1048576,H$2,FALSE)</f>
        <v>1.90961916E-2</v>
      </c>
      <c r="I158" s="73">
        <f>+VLOOKUP($E158,Energy_Mix!$1:$1048576,I$2,FALSE)</f>
        <v>1.90961916E-2</v>
      </c>
      <c r="J158" s="73">
        <f>+VLOOKUP($E158,Energy_Mix!$1:$1048576,J$2,FALSE)</f>
        <v>1.90961916E-2</v>
      </c>
      <c r="K158" s="73">
        <f>+VLOOKUP($E158,Energy_Mix!$1:$1048576,K$2,FALSE)</f>
        <v>1.90961916E-2</v>
      </c>
      <c r="L158" s="73">
        <f>+VLOOKUP($E158,Energy_Mix!$1:$1048576,L$2,FALSE)</f>
        <v>1.90961916E-2</v>
      </c>
      <c r="M158" s="73">
        <f>+VLOOKUP($E158,Energy_Mix!$1:$1048576,M$2,FALSE)</f>
        <v>1.90961916E-2</v>
      </c>
      <c r="N158" s="73">
        <f>+VLOOKUP($E158,Energy_Mix!$1:$1048576,N$2,FALSE)</f>
        <v>1.90961916E-2</v>
      </c>
      <c r="O158" s="73">
        <f>+VLOOKUP($E158,Energy_Mix!$1:$1048576,O$2,FALSE)</f>
        <v>1.90961916E-2</v>
      </c>
      <c r="P158" s="73">
        <f>+VLOOKUP($E158,Energy_Mix!$1:$1048576,P$2,FALSE)</f>
        <v>1.90961916E-2</v>
      </c>
      <c r="Q158" s="73">
        <f>+VLOOKUP($E158,Energy_Mix!$1:$1048576,Q$2,FALSE)</f>
        <v>1.90961916E-2</v>
      </c>
      <c r="R158" s="73">
        <f>+VLOOKUP($E158,Energy_Mix!$1:$1048576,R$2,FALSE)</f>
        <v>1.90961916E-2</v>
      </c>
      <c r="S158" s="73">
        <f>+VLOOKUP($E158,Energy_Mix!$1:$1048576,S$2,FALSE)</f>
        <v>1.90961916E-2</v>
      </c>
      <c r="T158" s="73">
        <f>+VLOOKUP($E158,Energy_Mix!$1:$1048576,T$2,FALSE)</f>
        <v>1.90961916E-2</v>
      </c>
      <c r="U158" s="73">
        <f>+VLOOKUP($E158,Energy_Mix!$1:$1048576,U$2,FALSE)</f>
        <v>1.90961916E-2</v>
      </c>
      <c r="V158" s="73">
        <f>+VLOOKUP($E158,Energy_Mix!$1:$1048576,V$2,FALSE)</f>
        <v>1.90961916E-2</v>
      </c>
      <c r="W158" s="73">
        <f>+VLOOKUP($E158,Energy_Mix!$1:$1048576,W$2,FALSE)</f>
        <v>1.90961916E-2</v>
      </c>
      <c r="X158" s="73">
        <f>+VLOOKUP($E158,Energy_Mix!$1:$1048576,X$2,FALSE)</f>
        <v>1.90961916E-2</v>
      </c>
      <c r="Y158" s="73">
        <f>+VLOOKUP($E158,Energy_Mix!$1:$1048576,Y$2,FALSE)</f>
        <v>1.90961916E-2</v>
      </c>
      <c r="Z158" s="73">
        <f>+VLOOKUP($E158,Energy_Mix!$1:$1048576,Z$2,FALSE)</f>
        <v>1.90961916E-2</v>
      </c>
      <c r="AA158" s="73">
        <f>+VLOOKUP($E158,Energy_Mix!$1:$1048576,AA$2,FALSE)</f>
        <v>1.90961916E-2</v>
      </c>
      <c r="AB158" s="73">
        <f>+VLOOKUP($E158,Energy_Mix!$1:$1048576,AB$2,FALSE)</f>
        <v>1.90961916E-2</v>
      </c>
      <c r="AC158" s="73">
        <f>+VLOOKUP($E158,Energy_Mix!$1:$1048576,AC$2,FALSE)</f>
        <v>1.90961916E-2</v>
      </c>
      <c r="AD158" s="73">
        <f>+VLOOKUP($E158,Energy_Mix!$1:$1048576,AD$2,FALSE)</f>
        <v>1.90961916E-2</v>
      </c>
      <c r="AE158" s="73">
        <f>+VLOOKUP($E158,Energy_Mix!$1:$1048576,AE$2,FALSE)</f>
        <v>1.90961916E-2</v>
      </c>
      <c r="AF158" s="73">
        <f>+VLOOKUP($E158,Energy_Mix!$1:$1048576,AF$2,FALSE)</f>
        <v>1.90961916E-2</v>
      </c>
      <c r="AG158" s="73">
        <f>+VLOOKUP($E158,Energy_Mix!$1:$1048576,AG$2,FALSE)</f>
        <v>1.90961916E-2</v>
      </c>
      <c r="AH158" s="73">
        <f>+VLOOKUP($E158,Energy_Mix!$1:$1048576,AH$2,FALSE)</f>
        <v>1.90961916E-2</v>
      </c>
      <c r="AI158" s="73">
        <f>+VLOOKUP($E158,Energy_Mix!$1:$1048576,AI$2,FALSE)</f>
        <v>1.90961916E-2</v>
      </c>
      <c r="AJ158" s="73">
        <f>+VLOOKUP($E158,Energy_Mix!$1:$1048576,AJ$2,FALSE)</f>
        <v>1.90961916E-2</v>
      </c>
      <c r="AK158" s="73">
        <f>+VLOOKUP($E158,Energy_Mix!$1:$1048576,AK$2,FALSE)</f>
        <v>1.90961916E-2</v>
      </c>
      <c r="AL158" s="73">
        <f>+VLOOKUP($E158,Energy_Mix!$1:$1048576,AL$2,FALSE)</f>
        <v>1.90961916E-2</v>
      </c>
      <c r="AM158" s="73">
        <f>+VLOOKUP($E158,Energy_Mix!$1:$1048576,AM$2,FALSE)</f>
        <v>1.90961916E-2</v>
      </c>
      <c r="AN158" s="73">
        <f>+VLOOKUP($E158,Energy_Mix!$1:$1048576,AN$2,FALSE)</f>
        <v>1.90961916E-2</v>
      </c>
      <c r="AO158" s="73">
        <f>+VLOOKUP($E158,Energy_Mix!$1:$1048576,AO$2,FALSE)</f>
        <v>1.90961916E-2</v>
      </c>
    </row>
    <row r="159" spans="1:49" s="73" customFormat="1" ht="15" customHeight="1" x14ac:dyDescent="0.25">
      <c r="A159" s="324"/>
      <c r="B159" s="320"/>
      <c r="C159" s="132"/>
      <c r="D159" s="132" t="s">
        <v>176</v>
      </c>
      <c r="E159" s="85" t="s">
        <v>507</v>
      </c>
      <c r="F159" s="73">
        <f>+VLOOKUP($E159,Energy_Mix!$1:$1048576,F$2,FALSE)</f>
        <v>3.7580969800000003E-2</v>
      </c>
      <c r="G159" s="73">
        <f>+VLOOKUP($E159,Energy_Mix!$1:$1048576,G$2,FALSE)</f>
        <v>3.7580913899999999E-2</v>
      </c>
      <c r="H159" s="73">
        <f>+VLOOKUP($E159,Energy_Mix!$1:$1048576,H$2,FALSE)</f>
        <v>3.7580913899999999E-2</v>
      </c>
      <c r="I159" s="73">
        <f>+VLOOKUP($E159,Energy_Mix!$1:$1048576,I$2,FALSE)</f>
        <v>3.7580913899999999E-2</v>
      </c>
      <c r="J159" s="73">
        <f>+VLOOKUP($E159,Energy_Mix!$1:$1048576,J$2,FALSE)</f>
        <v>3.7580913899999999E-2</v>
      </c>
      <c r="K159" s="73">
        <f>+VLOOKUP($E159,Energy_Mix!$1:$1048576,K$2,FALSE)</f>
        <v>3.7580913899999999E-2</v>
      </c>
      <c r="L159" s="73">
        <f>+VLOOKUP($E159,Energy_Mix!$1:$1048576,L$2,FALSE)</f>
        <v>3.7580913899999999E-2</v>
      </c>
      <c r="M159" s="73">
        <f>+VLOOKUP($E159,Energy_Mix!$1:$1048576,M$2,FALSE)</f>
        <v>3.7580913899999999E-2</v>
      </c>
      <c r="N159" s="73">
        <f>+VLOOKUP($E159,Energy_Mix!$1:$1048576,N$2,FALSE)</f>
        <v>3.7580913899999999E-2</v>
      </c>
      <c r="O159" s="73">
        <f>+VLOOKUP($E159,Energy_Mix!$1:$1048576,O$2,FALSE)</f>
        <v>3.7580913899999999E-2</v>
      </c>
      <c r="P159" s="73">
        <f>+VLOOKUP($E159,Energy_Mix!$1:$1048576,P$2,FALSE)</f>
        <v>3.7580913899999999E-2</v>
      </c>
      <c r="Q159" s="73">
        <f>+VLOOKUP($E159,Energy_Mix!$1:$1048576,Q$2,FALSE)</f>
        <v>3.7580913899999999E-2</v>
      </c>
      <c r="R159" s="73">
        <f>+VLOOKUP($E159,Energy_Mix!$1:$1048576,R$2,FALSE)</f>
        <v>3.7580913899999999E-2</v>
      </c>
      <c r="S159" s="73">
        <f>+VLOOKUP($E159,Energy_Mix!$1:$1048576,S$2,FALSE)</f>
        <v>3.7580913899999999E-2</v>
      </c>
      <c r="T159" s="73">
        <f>+VLOOKUP($E159,Energy_Mix!$1:$1048576,T$2,FALSE)</f>
        <v>3.7580913899999999E-2</v>
      </c>
      <c r="U159" s="73">
        <f>+VLOOKUP($E159,Energy_Mix!$1:$1048576,U$2,FALSE)</f>
        <v>3.7580913899999999E-2</v>
      </c>
      <c r="V159" s="73">
        <f>+VLOOKUP($E159,Energy_Mix!$1:$1048576,V$2,FALSE)</f>
        <v>3.7580913899999999E-2</v>
      </c>
      <c r="W159" s="73">
        <f>+VLOOKUP($E159,Energy_Mix!$1:$1048576,W$2,FALSE)</f>
        <v>3.7580913899999999E-2</v>
      </c>
      <c r="X159" s="73">
        <f>+VLOOKUP($E159,Energy_Mix!$1:$1048576,X$2,FALSE)</f>
        <v>3.7580913899999999E-2</v>
      </c>
      <c r="Y159" s="73">
        <f>+VLOOKUP($E159,Energy_Mix!$1:$1048576,Y$2,FALSE)</f>
        <v>3.7580913899999999E-2</v>
      </c>
      <c r="Z159" s="73">
        <f>+VLOOKUP($E159,Energy_Mix!$1:$1048576,Z$2,FALSE)</f>
        <v>3.7580913899999999E-2</v>
      </c>
      <c r="AA159" s="73">
        <f>+VLOOKUP($E159,Energy_Mix!$1:$1048576,AA$2,FALSE)</f>
        <v>3.7580913899999999E-2</v>
      </c>
      <c r="AB159" s="73">
        <f>+VLOOKUP($E159,Energy_Mix!$1:$1048576,AB$2,FALSE)</f>
        <v>3.7580913899999999E-2</v>
      </c>
      <c r="AC159" s="73">
        <f>+VLOOKUP($E159,Energy_Mix!$1:$1048576,AC$2,FALSE)</f>
        <v>3.7580913899999999E-2</v>
      </c>
      <c r="AD159" s="73">
        <f>+VLOOKUP($E159,Energy_Mix!$1:$1048576,AD$2,FALSE)</f>
        <v>3.7580913899999999E-2</v>
      </c>
      <c r="AE159" s="73">
        <f>+VLOOKUP($E159,Energy_Mix!$1:$1048576,AE$2,FALSE)</f>
        <v>3.7580913899999999E-2</v>
      </c>
      <c r="AF159" s="73">
        <f>+VLOOKUP($E159,Energy_Mix!$1:$1048576,AF$2,FALSE)</f>
        <v>3.7580913899999999E-2</v>
      </c>
      <c r="AG159" s="73">
        <f>+VLOOKUP($E159,Energy_Mix!$1:$1048576,AG$2,FALSE)</f>
        <v>3.7580913899999999E-2</v>
      </c>
      <c r="AH159" s="73">
        <f>+VLOOKUP($E159,Energy_Mix!$1:$1048576,AH$2,FALSE)</f>
        <v>3.7580913899999999E-2</v>
      </c>
      <c r="AI159" s="73">
        <f>+VLOOKUP($E159,Energy_Mix!$1:$1048576,AI$2,FALSE)</f>
        <v>3.7580913899999999E-2</v>
      </c>
      <c r="AJ159" s="73">
        <f>+VLOOKUP($E159,Energy_Mix!$1:$1048576,AJ$2,FALSE)</f>
        <v>3.7580913899999999E-2</v>
      </c>
      <c r="AK159" s="73">
        <f>+VLOOKUP($E159,Energy_Mix!$1:$1048576,AK$2,FALSE)</f>
        <v>3.7580913899999999E-2</v>
      </c>
      <c r="AL159" s="73">
        <f>+VLOOKUP($E159,Energy_Mix!$1:$1048576,AL$2,FALSE)</f>
        <v>3.7580913899999999E-2</v>
      </c>
      <c r="AM159" s="73">
        <f>+VLOOKUP($E159,Energy_Mix!$1:$1048576,AM$2,FALSE)</f>
        <v>3.7580913899999999E-2</v>
      </c>
      <c r="AN159" s="73">
        <f>+VLOOKUP($E159,Energy_Mix!$1:$1048576,AN$2,FALSE)</f>
        <v>3.7580913899999999E-2</v>
      </c>
      <c r="AO159" s="73">
        <f>+VLOOKUP($E159,Energy_Mix!$1:$1048576,AO$2,FALSE)</f>
        <v>3.7580913899999999E-2</v>
      </c>
    </row>
    <row r="160" spans="1:49" ht="15" customHeight="1" x14ac:dyDescent="0.25">
      <c r="A160" s="324"/>
      <c r="B160" s="320"/>
      <c r="C160" s="132"/>
      <c r="D160" s="132" t="s">
        <v>177</v>
      </c>
      <c r="E160" s="85" t="s">
        <v>508</v>
      </c>
      <c r="F160" s="73">
        <f>+VLOOKUP($E160,Energy_Mix!$1:$1048576,F$2,FALSE)</f>
        <v>1.36621179E-2</v>
      </c>
      <c r="G160" s="73">
        <f>+VLOOKUP($E160,Energy_Mix!$1:$1048576,G$2,FALSE)</f>
        <v>1.36621187E-2</v>
      </c>
      <c r="H160" s="73">
        <f>+VLOOKUP($E160,Energy_Mix!$1:$1048576,H$2,FALSE)</f>
        <v>1.36621187E-2</v>
      </c>
      <c r="I160" s="73">
        <f>+VLOOKUP($E160,Energy_Mix!$1:$1048576,I$2,FALSE)</f>
        <v>1.36621187E-2</v>
      </c>
      <c r="J160" s="73">
        <f>+VLOOKUP($E160,Energy_Mix!$1:$1048576,J$2,FALSE)</f>
        <v>1.36621187E-2</v>
      </c>
      <c r="K160" s="73">
        <f>+VLOOKUP($E160,Energy_Mix!$1:$1048576,K$2,FALSE)</f>
        <v>1.36621187E-2</v>
      </c>
      <c r="L160" s="73">
        <f>+VLOOKUP($E160,Energy_Mix!$1:$1048576,L$2,FALSE)</f>
        <v>1.36621187E-2</v>
      </c>
      <c r="M160" s="73">
        <f>+VLOOKUP($E160,Energy_Mix!$1:$1048576,M$2,FALSE)</f>
        <v>1.36621187E-2</v>
      </c>
      <c r="N160" s="73">
        <f>+VLOOKUP($E160,Energy_Mix!$1:$1048576,N$2,FALSE)</f>
        <v>1.36621187E-2</v>
      </c>
      <c r="O160" s="73">
        <f>+VLOOKUP($E160,Energy_Mix!$1:$1048576,O$2,FALSE)</f>
        <v>1.36621187E-2</v>
      </c>
      <c r="P160" s="73">
        <f>+VLOOKUP($E160,Energy_Mix!$1:$1048576,P$2,FALSE)</f>
        <v>1.36621187E-2</v>
      </c>
      <c r="Q160" s="73">
        <f>+VLOOKUP($E160,Energy_Mix!$1:$1048576,Q$2,FALSE)</f>
        <v>1.36621187E-2</v>
      </c>
      <c r="R160" s="73">
        <f>+VLOOKUP($E160,Energy_Mix!$1:$1048576,R$2,FALSE)</f>
        <v>1.36621187E-2</v>
      </c>
      <c r="S160" s="73">
        <f>+VLOOKUP($E160,Energy_Mix!$1:$1048576,S$2,FALSE)</f>
        <v>1.36621187E-2</v>
      </c>
      <c r="T160" s="73">
        <f>+VLOOKUP($E160,Energy_Mix!$1:$1048576,T$2,FALSE)</f>
        <v>1.36621187E-2</v>
      </c>
      <c r="U160" s="73">
        <f>+VLOOKUP($E160,Energy_Mix!$1:$1048576,U$2,FALSE)</f>
        <v>1.36621187E-2</v>
      </c>
      <c r="V160" s="73">
        <f>+VLOOKUP($E160,Energy_Mix!$1:$1048576,V$2,FALSE)</f>
        <v>1.36621187E-2</v>
      </c>
      <c r="W160" s="73">
        <f>+VLOOKUP($E160,Energy_Mix!$1:$1048576,W$2,FALSE)</f>
        <v>1.36621187E-2</v>
      </c>
      <c r="X160" s="73">
        <f>+VLOOKUP($E160,Energy_Mix!$1:$1048576,X$2,FALSE)</f>
        <v>1.36621187E-2</v>
      </c>
      <c r="Y160" s="73">
        <f>+VLOOKUP($E160,Energy_Mix!$1:$1048576,Y$2,FALSE)</f>
        <v>1.36621187E-2</v>
      </c>
      <c r="Z160" s="73">
        <f>+VLOOKUP($E160,Energy_Mix!$1:$1048576,Z$2,FALSE)</f>
        <v>1.36621187E-2</v>
      </c>
      <c r="AA160" s="73">
        <f>+VLOOKUP($E160,Energy_Mix!$1:$1048576,AA$2,FALSE)</f>
        <v>1.36621187E-2</v>
      </c>
      <c r="AB160" s="73">
        <f>+VLOOKUP($E160,Energy_Mix!$1:$1048576,AB$2,FALSE)</f>
        <v>1.36621187E-2</v>
      </c>
      <c r="AC160" s="73">
        <f>+VLOOKUP($E160,Energy_Mix!$1:$1048576,AC$2,FALSE)</f>
        <v>1.36621187E-2</v>
      </c>
      <c r="AD160" s="73">
        <f>+VLOOKUP($E160,Energy_Mix!$1:$1048576,AD$2,FALSE)</f>
        <v>1.36621187E-2</v>
      </c>
      <c r="AE160" s="73">
        <f>+VLOOKUP($E160,Energy_Mix!$1:$1048576,AE$2,FALSE)</f>
        <v>1.36621187E-2</v>
      </c>
      <c r="AF160" s="73">
        <f>+VLOOKUP($E160,Energy_Mix!$1:$1048576,AF$2,FALSE)</f>
        <v>1.36621187E-2</v>
      </c>
      <c r="AG160" s="73">
        <f>+VLOOKUP($E160,Energy_Mix!$1:$1048576,AG$2,FALSE)</f>
        <v>1.36621187E-2</v>
      </c>
      <c r="AH160" s="73">
        <f>+VLOOKUP($E160,Energy_Mix!$1:$1048576,AH$2,FALSE)</f>
        <v>1.36621187E-2</v>
      </c>
      <c r="AI160" s="73">
        <f>+VLOOKUP($E160,Energy_Mix!$1:$1048576,AI$2,FALSE)</f>
        <v>1.36621187E-2</v>
      </c>
      <c r="AJ160" s="73">
        <f>+VLOOKUP($E160,Energy_Mix!$1:$1048576,AJ$2,FALSE)</f>
        <v>1.36621187E-2</v>
      </c>
      <c r="AK160" s="73">
        <f>+VLOOKUP($E160,Energy_Mix!$1:$1048576,AK$2,FALSE)</f>
        <v>1.36621187E-2</v>
      </c>
      <c r="AL160" s="73">
        <f>+VLOOKUP($E160,Energy_Mix!$1:$1048576,AL$2,FALSE)</f>
        <v>1.36621187E-2</v>
      </c>
      <c r="AM160" s="73">
        <f>+VLOOKUP($E160,Energy_Mix!$1:$1048576,AM$2,FALSE)</f>
        <v>1.36621187E-2</v>
      </c>
      <c r="AN160" s="73">
        <f>+VLOOKUP($E160,Energy_Mix!$1:$1048576,AN$2,FALSE)</f>
        <v>1.36621187E-2</v>
      </c>
      <c r="AO160" s="73">
        <f>+VLOOKUP($E160,Energy_Mix!$1:$1048576,AO$2,FALSE)</f>
        <v>1.36621187E-2</v>
      </c>
      <c r="AP160" s="73"/>
      <c r="AQ160" s="73"/>
      <c r="AR160" s="73"/>
      <c r="AS160" s="73"/>
      <c r="AT160" s="73"/>
      <c r="AU160" s="73"/>
      <c r="AV160" s="73"/>
      <c r="AW160" s="73"/>
    </row>
    <row r="161" spans="1:49" ht="15" customHeight="1" x14ac:dyDescent="0.25">
      <c r="A161" s="324"/>
      <c r="B161" s="320"/>
      <c r="C161" s="132"/>
      <c r="D161" s="132" t="s">
        <v>570</v>
      </c>
      <c r="E161" s="85" t="s">
        <v>509</v>
      </c>
      <c r="F161" s="73">
        <f>+VLOOKUP($E161,Energy_Mix!$1:$1048576,F$2,FALSE)</f>
        <v>0.1051730505</v>
      </c>
      <c r="G161" s="73">
        <f>+VLOOKUP($E161,Energy_Mix!$1:$1048576,G$2,FALSE)</f>
        <v>0.1051730566</v>
      </c>
      <c r="H161" s="73">
        <f>+VLOOKUP($E161,Energy_Mix!$1:$1048576,H$2,FALSE)</f>
        <v>0.1051730566</v>
      </c>
      <c r="I161" s="73">
        <f>+VLOOKUP($E161,Energy_Mix!$1:$1048576,I$2,FALSE)</f>
        <v>0.1051730566</v>
      </c>
      <c r="J161" s="73">
        <f>+VLOOKUP($E161,Energy_Mix!$1:$1048576,J$2,FALSE)</f>
        <v>0.1051730566</v>
      </c>
      <c r="K161" s="73">
        <f>+VLOOKUP($E161,Energy_Mix!$1:$1048576,K$2,FALSE)</f>
        <v>0.1051730566</v>
      </c>
      <c r="L161" s="73">
        <f>+VLOOKUP($E161,Energy_Mix!$1:$1048576,L$2,FALSE)</f>
        <v>0.1051730566</v>
      </c>
      <c r="M161" s="73">
        <f>+VLOOKUP($E161,Energy_Mix!$1:$1048576,M$2,FALSE)</f>
        <v>0.1051730566</v>
      </c>
      <c r="N161" s="73">
        <f>+VLOOKUP($E161,Energy_Mix!$1:$1048576,N$2,FALSE)</f>
        <v>0.1051730566</v>
      </c>
      <c r="O161" s="73">
        <f>+VLOOKUP($E161,Energy_Mix!$1:$1048576,O$2,FALSE)</f>
        <v>0.1051730566</v>
      </c>
      <c r="P161" s="73">
        <f>+VLOOKUP($E161,Energy_Mix!$1:$1048576,P$2,FALSE)</f>
        <v>0.1051730566</v>
      </c>
      <c r="Q161" s="73">
        <f>+VLOOKUP($E161,Energy_Mix!$1:$1048576,Q$2,FALSE)</f>
        <v>0.1051730566</v>
      </c>
      <c r="R161" s="73">
        <f>+VLOOKUP($E161,Energy_Mix!$1:$1048576,R$2,FALSE)</f>
        <v>0.1051730566</v>
      </c>
      <c r="S161" s="73">
        <f>+VLOOKUP($E161,Energy_Mix!$1:$1048576,S$2,FALSE)</f>
        <v>0.1051730566</v>
      </c>
      <c r="T161" s="73">
        <f>+VLOOKUP($E161,Energy_Mix!$1:$1048576,T$2,FALSE)</f>
        <v>0.1051730566</v>
      </c>
      <c r="U161" s="73">
        <f>+VLOOKUP($E161,Energy_Mix!$1:$1048576,U$2,FALSE)</f>
        <v>0.1051730566</v>
      </c>
      <c r="V161" s="73">
        <f>+VLOOKUP($E161,Energy_Mix!$1:$1048576,V$2,FALSE)</f>
        <v>0.1051730566</v>
      </c>
      <c r="W161" s="73">
        <f>+VLOOKUP($E161,Energy_Mix!$1:$1048576,W$2,FALSE)</f>
        <v>0.1051730566</v>
      </c>
      <c r="X161" s="73">
        <f>+VLOOKUP($E161,Energy_Mix!$1:$1048576,X$2,FALSE)</f>
        <v>0.1051730566</v>
      </c>
      <c r="Y161" s="73">
        <f>+VLOOKUP($E161,Energy_Mix!$1:$1048576,Y$2,FALSE)</f>
        <v>0.1051730566</v>
      </c>
      <c r="Z161" s="73">
        <f>+VLOOKUP($E161,Energy_Mix!$1:$1048576,Z$2,FALSE)</f>
        <v>0.1051730566</v>
      </c>
      <c r="AA161" s="73">
        <f>+VLOOKUP($E161,Energy_Mix!$1:$1048576,AA$2,FALSE)</f>
        <v>0.1051730566</v>
      </c>
      <c r="AB161" s="73">
        <f>+VLOOKUP($E161,Energy_Mix!$1:$1048576,AB$2,FALSE)</f>
        <v>0.1051730566</v>
      </c>
      <c r="AC161" s="73">
        <f>+VLOOKUP($E161,Energy_Mix!$1:$1048576,AC$2,FALSE)</f>
        <v>0.1051730566</v>
      </c>
      <c r="AD161" s="73">
        <f>+VLOOKUP($E161,Energy_Mix!$1:$1048576,AD$2,FALSE)</f>
        <v>0.1051730566</v>
      </c>
      <c r="AE161" s="73">
        <f>+VLOOKUP($E161,Energy_Mix!$1:$1048576,AE$2,FALSE)</f>
        <v>0.1051730566</v>
      </c>
      <c r="AF161" s="73">
        <f>+VLOOKUP($E161,Energy_Mix!$1:$1048576,AF$2,FALSE)</f>
        <v>0.1051730566</v>
      </c>
      <c r="AG161" s="73">
        <f>+VLOOKUP($E161,Energy_Mix!$1:$1048576,AG$2,FALSE)</f>
        <v>0.1051730566</v>
      </c>
      <c r="AH161" s="73">
        <f>+VLOOKUP($E161,Energy_Mix!$1:$1048576,AH$2,FALSE)</f>
        <v>0.1051730566</v>
      </c>
      <c r="AI161" s="73">
        <f>+VLOOKUP($E161,Energy_Mix!$1:$1048576,AI$2,FALSE)</f>
        <v>0.1051730566</v>
      </c>
      <c r="AJ161" s="73">
        <f>+VLOOKUP($E161,Energy_Mix!$1:$1048576,AJ$2,FALSE)</f>
        <v>0.1051730566</v>
      </c>
      <c r="AK161" s="73">
        <f>+VLOOKUP($E161,Energy_Mix!$1:$1048576,AK$2,FALSE)</f>
        <v>0.1051730566</v>
      </c>
      <c r="AL161" s="73">
        <f>+VLOOKUP($E161,Energy_Mix!$1:$1048576,AL$2,FALSE)</f>
        <v>0.1051730566</v>
      </c>
      <c r="AM161" s="73">
        <f>+VLOOKUP($E161,Energy_Mix!$1:$1048576,AM$2,FALSE)</f>
        <v>0.1051730566</v>
      </c>
      <c r="AN161" s="73">
        <f>+VLOOKUP($E161,Energy_Mix!$1:$1048576,AN$2,FALSE)</f>
        <v>0.1051730566</v>
      </c>
      <c r="AO161" s="73">
        <f>+VLOOKUP($E161,Energy_Mix!$1:$1048576,AO$2,FALSE)</f>
        <v>0.1051730566</v>
      </c>
      <c r="AP161" s="73"/>
      <c r="AQ161" s="73"/>
      <c r="AR161" s="73"/>
      <c r="AS161" s="73"/>
      <c r="AT161" s="73"/>
      <c r="AU161" s="73"/>
      <c r="AV161" s="73"/>
      <c r="AW161" s="73"/>
    </row>
    <row r="162" spans="1:49" ht="15" customHeight="1" x14ac:dyDescent="0.25">
      <c r="A162" s="324"/>
      <c r="B162" s="320"/>
      <c r="C162" s="132"/>
      <c r="D162" s="132" t="s">
        <v>501</v>
      </c>
      <c r="E162" s="85" t="s">
        <v>510</v>
      </c>
      <c r="F162" s="73">
        <f>+VLOOKUP($E162,Energy_Mix!$1:$1048576,F$2,FALSE)</f>
        <v>6.1515785400000002E-2</v>
      </c>
      <c r="G162" s="73">
        <f>+VLOOKUP($E162,Energy_Mix!$1:$1048576,G$2,FALSE)</f>
        <v>6.1515789000000001E-2</v>
      </c>
      <c r="H162" s="73">
        <f>+VLOOKUP($E162,Energy_Mix!$1:$1048576,H$2,FALSE)</f>
        <v>6.1515789000000001E-2</v>
      </c>
      <c r="I162" s="73">
        <f>+VLOOKUP($E162,Energy_Mix!$1:$1048576,I$2,FALSE)</f>
        <v>6.1515789000000001E-2</v>
      </c>
      <c r="J162" s="73">
        <f>+VLOOKUP($E162,Energy_Mix!$1:$1048576,J$2,FALSE)</f>
        <v>6.1515789000000001E-2</v>
      </c>
      <c r="K162" s="73">
        <f>+VLOOKUP($E162,Energy_Mix!$1:$1048576,K$2,FALSE)</f>
        <v>6.1515789000000001E-2</v>
      </c>
      <c r="L162" s="73">
        <f>+VLOOKUP($E162,Energy_Mix!$1:$1048576,L$2,FALSE)</f>
        <v>6.1515789000000001E-2</v>
      </c>
      <c r="M162" s="73">
        <f>+VLOOKUP($E162,Energy_Mix!$1:$1048576,M$2,FALSE)</f>
        <v>6.1515789000000001E-2</v>
      </c>
      <c r="N162" s="73">
        <f>+VLOOKUP($E162,Energy_Mix!$1:$1048576,N$2,FALSE)</f>
        <v>6.1515789000000001E-2</v>
      </c>
      <c r="O162" s="73">
        <f>+VLOOKUP($E162,Energy_Mix!$1:$1048576,O$2,FALSE)</f>
        <v>6.1515789000000001E-2</v>
      </c>
      <c r="P162" s="73">
        <f>+VLOOKUP($E162,Energy_Mix!$1:$1048576,P$2,FALSE)</f>
        <v>6.1515789000000001E-2</v>
      </c>
      <c r="Q162" s="73">
        <f>+VLOOKUP($E162,Energy_Mix!$1:$1048576,Q$2,FALSE)</f>
        <v>6.1515789000000001E-2</v>
      </c>
      <c r="R162" s="73">
        <f>+VLOOKUP($E162,Energy_Mix!$1:$1048576,R$2,FALSE)</f>
        <v>6.1515789000000001E-2</v>
      </c>
      <c r="S162" s="73">
        <f>+VLOOKUP($E162,Energy_Mix!$1:$1048576,S$2,FALSE)</f>
        <v>6.1515789000000001E-2</v>
      </c>
      <c r="T162" s="73">
        <f>+VLOOKUP($E162,Energy_Mix!$1:$1048576,T$2,FALSE)</f>
        <v>6.1515789000000001E-2</v>
      </c>
      <c r="U162" s="73">
        <f>+VLOOKUP($E162,Energy_Mix!$1:$1048576,U$2,FALSE)</f>
        <v>6.1515789000000001E-2</v>
      </c>
      <c r="V162" s="73">
        <f>+VLOOKUP($E162,Energy_Mix!$1:$1048576,V$2,FALSE)</f>
        <v>6.1515789000000001E-2</v>
      </c>
      <c r="W162" s="73">
        <f>+VLOOKUP($E162,Energy_Mix!$1:$1048576,W$2,FALSE)</f>
        <v>6.1515789000000001E-2</v>
      </c>
      <c r="X162" s="73">
        <f>+VLOOKUP($E162,Energy_Mix!$1:$1048576,X$2,FALSE)</f>
        <v>6.1515789000000001E-2</v>
      </c>
      <c r="Y162" s="73">
        <f>+VLOOKUP($E162,Energy_Mix!$1:$1048576,Y$2,FALSE)</f>
        <v>6.1515789000000001E-2</v>
      </c>
      <c r="Z162" s="73">
        <f>+VLOOKUP($E162,Energy_Mix!$1:$1048576,Z$2,FALSE)</f>
        <v>6.1515789000000001E-2</v>
      </c>
      <c r="AA162" s="73">
        <f>+VLOOKUP($E162,Energy_Mix!$1:$1048576,AA$2,FALSE)</f>
        <v>6.1515789000000001E-2</v>
      </c>
      <c r="AB162" s="73">
        <f>+VLOOKUP($E162,Energy_Mix!$1:$1048576,AB$2,FALSE)</f>
        <v>6.1515789000000001E-2</v>
      </c>
      <c r="AC162" s="73">
        <f>+VLOOKUP($E162,Energy_Mix!$1:$1048576,AC$2,FALSE)</f>
        <v>6.1515789000000001E-2</v>
      </c>
      <c r="AD162" s="73">
        <f>+VLOOKUP($E162,Energy_Mix!$1:$1048576,AD$2,FALSE)</f>
        <v>6.1515789000000001E-2</v>
      </c>
      <c r="AE162" s="73">
        <f>+VLOOKUP($E162,Energy_Mix!$1:$1048576,AE$2,FALSE)</f>
        <v>6.1515789000000001E-2</v>
      </c>
      <c r="AF162" s="73">
        <f>+VLOOKUP($E162,Energy_Mix!$1:$1048576,AF$2,FALSE)</f>
        <v>6.1515789000000001E-2</v>
      </c>
      <c r="AG162" s="73">
        <f>+VLOOKUP($E162,Energy_Mix!$1:$1048576,AG$2,FALSE)</f>
        <v>6.1515789000000001E-2</v>
      </c>
      <c r="AH162" s="73">
        <f>+VLOOKUP($E162,Energy_Mix!$1:$1048576,AH$2,FALSE)</f>
        <v>6.1515789000000001E-2</v>
      </c>
      <c r="AI162" s="73">
        <f>+VLOOKUP($E162,Energy_Mix!$1:$1048576,AI$2,FALSE)</f>
        <v>6.1515789000000001E-2</v>
      </c>
      <c r="AJ162" s="73">
        <f>+VLOOKUP($E162,Energy_Mix!$1:$1048576,AJ$2,FALSE)</f>
        <v>6.1515789000000001E-2</v>
      </c>
      <c r="AK162" s="73">
        <f>+VLOOKUP($E162,Energy_Mix!$1:$1048576,AK$2,FALSE)</f>
        <v>6.1515789000000001E-2</v>
      </c>
      <c r="AL162" s="73">
        <f>+VLOOKUP($E162,Energy_Mix!$1:$1048576,AL$2,FALSE)</f>
        <v>6.1515789000000001E-2</v>
      </c>
      <c r="AM162" s="73">
        <f>+VLOOKUP($E162,Energy_Mix!$1:$1048576,AM$2,FALSE)</f>
        <v>6.1515789000000001E-2</v>
      </c>
      <c r="AN162" s="73">
        <f>+VLOOKUP($E162,Energy_Mix!$1:$1048576,AN$2,FALSE)</f>
        <v>6.1515789000000001E-2</v>
      </c>
      <c r="AO162" s="73">
        <f>+VLOOKUP($E162,Energy_Mix!$1:$1048576,AO$2,FALSE)</f>
        <v>6.1515789000000001E-2</v>
      </c>
      <c r="AP162" s="73"/>
      <c r="AQ162" s="73"/>
      <c r="AR162" s="73"/>
      <c r="AS162" s="73"/>
      <c r="AT162" s="73"/>
      <c r="AU162" s="73"/>
      <c r="AV162" s="73"/>
      <c r="AW162" s="73"/>
    </row>
    <row r="163" spans="1:49" ht="15" customHeight="1" x14ac:dyDescent="0.25">
      <c r="A163" s="324"/>
      <c r="B163" s="320"/>
      <c r="C163" s="132"/>
      <c r="D163" s="132" t="s">
        <v>502</v>
      </c>
      <c r="E163" s="363" t="s">
        <v>511</v>
      </c>
      <c r="F163" s="75">
        <f>+VLOOKUP($E163,Energy_Mix!$1:$1048576,F$2,FALSE)</f>
        <v>1.71800688E-3</v>
      </c>
      <c r="G163" s="75">
        <f>+VLOOKUP($E163,Energy_Mix!$1:$1048576,G$2,FALSE)</f>
        <v>1.71800698E-3</v>
      </c>
      <c r="H163" s="75">
        <f>+VLOOKUP($E163,Energy_Mix!$1:$1048576,H$2,FALSE)</f>
        <v>1.71800698E-3</v>
      </c>
      <c r="I163" s="75">
        <f>+VLOOKUP($E163,Energy_Mix!$1:$1048576,I$2,FALSE)</f>
        <v>1.71800698E-3</v>
      </c>
      <c r="J163" s="75">
        <f>+VLOOKUP($E163,Energy_Mix!$1:$1048576,J$2,FALSE)</f>
        <v>1.71800698E-3</v>
      </c>
      <c r="K163" s="75">
        <f>+VLOOKUP($E163,Energy_Mix!$1:$1048576,K$2,FALSE)</f>
        <v>1.71800698E-3</v>
      </c>
      <c r="L163" s="75">
        <f>+VLOOKUP($E163,Energy_Mix!$1:$1048576,L$2,FALSE)</f>
        <v>1.71800698E-3</v>
      </c>
      <c r="M163" s="75">
        <f>+VLOOKUP($E163,Energy_Mix!$1:$1048576,M$2,FALSE)</f>
        <v>1.71800698E-3</v>
      </c>
      <c r="N163" s="75">
        <f>+VLOOKUP($E163,Energy_Mix!$1:$1048576,N$2,FALSE)</f>
        <v>1.71800698E-3</v>
      </c>
      <c r="O163" s="75">
        <f>+VLOOKUP($E163,Energy_Mix!$1:$1048576,O$2,FALSE)</f>
        <v>1.71800698E-3</v>
      </c>
      <c r="P163" s="75">
        <f>+VLOOKUP($E163,Energy_Mix!$1:$1048576,P$2,FALSE)</f>
        <v>1.71800698E-3</v>
      </c>
      <c r="Q163" s="75">
        <f>+VLOOKUP($E163,Energy_Mix!$1:$1048576,Q$2,FALSE)</f>
        <v>1.71800698E-3</v>
      </c>
      <c r="R163" s="75">
        <f>+VLOOKUP($E163,Energy_Mix!$1:$1048576,R$2,FALSE)</f>
        <v>1.71800698E-3</v>
      </c>
      <c r="S163" s="75">
        <f>+VLOOKUP($E163,Energy_Mix!$1:$1048576,S$2,FALSE)</f>
        <v>1.71800698E-3</v>
      </c>
      <c r="T163" s="75">
        <f>+VLOOKUP($E163,Energy_Mix!$1:$1048576,T$2,FALSE)</f>
        <v>1.71800698E-3</v>
      </c>
      <c r="U163" s="75">
        <f>+VLOOKUP($E163,Energy_Mix!$1:$1048576,U$2,FALSE)</f>
        <v>1.71800698E-3</v>
      </c>
      <c r="V163" s="75">
        <f>+VLOOKUP($E163,Energy_Mix!$1:$1048576,V$2,FALSE)</f>
        <v>1.71800698E-3</v>
      </c>
      <c r="W163" s="75">
        <f>+VLOOKUP($E163,Energy_Mix!$1:$1048576,W$2,FALSE)</f>
        <v>1.71800698E-3</v>
      </c>
      <c r="X163" s="75">
        <f>+VLOOKUP($E163,Energy_Mix!$1:$1048576,X$2,FALSE)</f>
        <v>1.71800698E-3</v>
      </c>
      <c r="Y163" s="75">
        <f>+VLOOKUP($E163,Energy_Mix!$1:$1048576,Y$2,FALSE)</f>
        <v>1.71800698E-3</v>
      </c>
      <c r="Z163" s="75">
        <f>+VLOOKUP($E163,Energy_Mix!$1:$1048576,Z$2,FALSE)</f>
        <v>1.71800698E-3</v>
      </c>
      <c r="AA163" s="75">
        <f>+VLOOKUP($E163,Energy_Mix!$1:$1048576,AA$2,FALSE)</f>
        <v>1.71800698E-3</v>
      </c>
      <c r="AB163" s="75">
        <f>+VLOOKUP($E163,Energy_Mix!$1:$1048576,AB$2,FALSE)</f>
        <v>1.71800698E-3</v>
      </c>
      <c r="AC163" s="75">
        <f>+VLOOKUP($E163,Energy_Mix!$1:$1048576,AC$2,FALSE)</f>
        <v>1.71800698E-3</v>
      </c>
      <c r="AD163" s="75">
        <f>+VLOOKUP($E163,Energy_Mix!$1:$1048576,AD$2,FALSE)</f>
        <v>1.71800698E-3</v>
      </c>
      <c r="AE163" s="75">
        <f>+VLOOKUP($E163,Energy_Mix!$1:$1048576,AE$2,FALSE)</f>
        <v>1.71800698E-3</v>
      </c>
      <c r="AF163" s="75">
        <f>+VLOOKUP($E163,Energy_Mix!$1:$1048576,AF$2,FALSE)</f>
        <v>1.71800698E-3</v>
      </c>
      <c r="AG163" s="75">
        <f>+VLOOKUP($E163,Energy_Mix!$1:$1048576,AG$2,FALSE)</f>
        <v>1.71800698E-3</v>
      </c>
      <c r="AH163" s="75">
        <f>+VLOOKUP($E163,Energy_Mix!$1:$1048576,AH$2,FALSE)</f>
        <v>1.71800698E-3</v>
      </c>
      <c r="AI163" s="75">
        <f>+VLOOKUP($E163,Energy_Mix!$1:$1048576,AI$2,FALSE)</f>
        <v>1.71800698E-3</v>
      </c>
      <c r="AJ163" s="75">
        <f>+VLOOKUP($E163,Energy_Mix!$1:$1048576,AJ$2,FALSE)</f>
        <v>1.71800698E-3</v>
      </c>
      <c r="AK163" s="75">
        <f>+VLOOKUP($E163,Energy_Mix!$1:$1048576,AK$2,FALSE)</f>
        <v>1.71800698E-3</v>
      </c>
      <c r="AL163" s="75">
        <f>+VLOOKUP($E163,Energy_Mix!$1:$1048576,AL$2,FALSE)</f>
        <v>1.71800698E-3</v>
      </c>
      <c r="AM163" s="75">
        <f>+VLOOKUP($E163,Energy_Mix!$1:$1048576,AM$2,FALSE)</f>
        <v>1.71800698E-3</v>
      </c>
      <c r="AN163" s="75">
        <f>+VLOOKUP($E163,Energy_Mix!$1:$1048576,AN$2,FALSE)</f>
        <v>1.71800698E-3</v>
      </c>
      <c r="AO163" s="75">
        <f>+VLOOKUP($E163,Energy_Mix!$1:$1048576,AO$2,FALSE)</f>
        <v>1.71800698E-3</v>
      </c>
      <c r="AP163" s="73"/>
      <c r="AQ163" s="73"/>
      <c r="AR163" s="73"/>
      <c r="AS163" s="73"/>
      <c r="AT163" s="73"/>
      <c r="AU163" s="73"/>
      <c r="AV163" s="73"/>
      <c r="AW163" s="73"/>
    </row>
    <row r="164" spans="1:49" s="73" customFormat="1" ht="15" customHeight="1" x14ac:dyDescent="0.25">
      <c r="A164" s="324"/>
      <c r="B164" s="320"/>
      <c r="C164" s="175" t="s">
        <v>565</v>
      </c>
      <c r="D164" s="132"/>
      <c r="E164" s="85"/>
    </row>
    <row r="165" spans="1:49" s="73" customFormat="1" ht="15" customHeight="1" x14ac:dyDescent="0.25">
      <c r="A165" s="324"/>
      <c r="B165" s="320"/>
      <c r="C165" s="132"/>
      <c r="D165" s="132" t="s">
        <v>501</v>
      </c>
      <c r="E165" s="85" t="s">
        <v>2029</v>
      </c>
      <c r="F165" s="73" t="e">
        <f>+VLOOKUP($E165,Energy_Mix!$1:$1048576,F$2,FALSE)</f>
        <v>#N/A</v>
      </c>
      <c r="G165" s="73" t="e">
        <f>+VLOOKUP($E165,Energy_Mix!$1:$1048576,G$2,FALSE)</f>
        <v>#N/A</v>
      </c>
      <c r="H165" s="73" t="e">
        <f>+VLOOKUP($E165,Energy_Mix!$1:$1048576,H$2,FALSE)</f>
        <v>#N/A</v>
      </c>
      <c r="I165" s="73" t="e">
        <f>+VLOOKUP($E165,Energy_Mix!$1:$1048576,I$2,FALSE)</f>
        <v>#N/A</v>
      </c>
      <c r="J165" s="73" t="e">
        <f>+VLOOKUP($E165,Energy_Mix!$1:$1048576,J$2,FALSE)</f>
        <v>#N/A</v>
      </c>
      <c r="K165" s="73" t="e">
        <f>+VLOOKUP($E165,Energy_Mix!$1:$1048576,K$2,FALSE)</f>
        <v>#N/A</v>
      </c>
      <c r="L165" s="73" t="e">
        <f>+VLOOKUP($E165,Energy_Mix!$1:$1048576,L$2,FALSE)</f>
        <v>#N/A</v>
      </c>
      <c r="M165" s="73" t="e">
        <f>+VLOOKUP($E165,Energy_Mix!$1:$1048576,M$2,FALSE)</f>
        <v>#N/A</v>
      </c>
      <c r="N165" s="73" t="e">
        <f>+VLOOKUP($E165,Energy_Mix!$1:$1048576,N$2,FALSE)</f>
        <v>#N/A</v>
      </c>
      <c r="O165" s="73" t="e">
        <f>+VLOOKUP($E165,Energy_Mix!$1:$1048576,O$2,FALSE)</f>
        <v>#N/A</v>
      </c>
      <c r="P165" s="73" t="e">
        <f>+VLOOKUP($E165,Energy_Mix!$1:$1048576,P$2,FALSE)</f>
        <v>#N/A</v>
      </c>
      <c r="Q165" s="73" t="e">
        <f>+VLOOKUP($E165,Energy_Mix!$1:$1048576,Q$2,FALSE)</f>
        <v>#N/A</v>
      </c>
      <c r="R165" s="73" t="e">
        <f>+VLOOKUP($E165,Energy_Mix!$1:$1048576,R$2,FALSE)</f>
        <v>#N/A</v>
      </c>
      <c r="S165" s="73" t="e">
        <f>+VLOOKUP($E165,Energy_Mix!$1:$1048576,S$2,FALSE)</f>
        <v>#N/A</v>
      </c>
      <c r="T165" s="73" t="e">
        <f>+VLOOKUP($E165,Energy_Mix!$1:$1048576,T$2,FALSE)</f>
        <v>#N/A</v>
      </c>
      <c r="U165" s="73" t="e">
        <f>+VLOOKUP($E165,Energy_Mix!$1:$1048576,U$2,FALSE)</f>
        <v>#N/A</v>
      </c>
      <c r="V165" s="73" t="e">
        <f>+VLOOKUP($E165,Energy_Mix!$1:$1048576,V$2,FALSE)</f>
        <v>#N/A</v>
      </c>
      <c r="W165" s="73" t="e">
        <f>+VLOOKUP($E165,Energy_Mix!$1:$1048576,W$2,FALSE)</f>
        <v>#N/A</v>
      </c>
      <c r="X165" s="73" t="e">
        <f>+VLOOKUP($E165,Energy_Mix!$1:$1048576,X$2,FALSE)</f>
        <v>#N/A</v>
      </c>
      <c r="Y165" s="73" t="e">
        <f>+VLOOKUP($E165,Energy_Mix!$1:$1048576,Y$2,FALSE)</f>
        <v>#N/A</v>
      </c>
      <c r="Z165" s="73" t="e">
        <f>+VLOOKUP($E165,Energy_Mix!$1:$1048576,Z$2,FALSE)</f>
        <v>#N/A</v>
      </c>
      <c r="AA165" s="73" t="e">
        <f>+VLOOKUP($E165,Energy_Mix!$1:$1048576,AA$2,FALSE)</f>
        <v>#N/A</v>
      </c>
      <c r="AB165" s="73" t="e">
        <f>+VLOOKUP($E165,Energy_Mix!$1:$1048576,AB$2,FALSE)</f>
        <v>#N/A</v>
      </c>
      <c r="AC165" s="73" t="e">
        <f>+VLOOKUP($E165,Energy_Mix!$1:$1048576,AC$2,FALSE)</f>
        <v>#N/A</v>
      </c>
      <c r="AD165" s="73" t="e">
        <f>+VLOOKUP($E165,Energy_Mix!$1:$1048576,AD$2,FALSE)</f>
        <v>#N/A</v>
      </c>
      <c r="AE165" s="73" t="e">
        <f>+VLOOKUP($E165,Energy_Mix!$1:$1048576,AE$2,FALSE)</f>
        <v>#N/A</v>
      </c>
      <c r="AF165" s="73" t="e">
        <f>+VLOOKUP($E165,Energy_Mix!$1:$1048576,AF$2,FALSE)</f>
        <v>#N/A</v>
      </c>
      <c r="AG165" s="73" t="e">
        <f>+VLOOKUP($E165,Energy_Mix!$1:$1048576,AG$2,FALSE)</f>
        <v>#N/A</v>
      </c>
      <c r="AH165" s="73" t="e">
        <f>+VLOOKUP($E165,Energy_Mix!$1:$1048576,AH$2,FALSE)</f>
        <v>#N/A</v>
      </c>
      <c r="AI165" s="73" t="e">
        <f>+VLOOKUP($E165,Energy_Mix!$1:$1048576,AI$2,FALSE)</f>
        <v>#N/A</v>
      </c>
      <c r="AJ165" s="73" t="e">
        <f>+VLOOKUP($E165,Energy_Mix!$1:$1048576,AJ$2,FALSE)</f>
        <v>#N/A</v>
      </c>
      <c r="AK165" s="73" t="e">
        <f>+VLOOKUP($E165,Energy_Mix!$1:$1048576,AK$2,FALSE)</f>
        <v>#N/A</v>
      </c>
      <c r="AL165" s="73" t="e">
        <f>+VLOOKUP($E165,Energy_Mix!$1:$1048576,AL$2,FALSE)</f>
        <v>#N/A</v>
      </c>
      <c r="AM165" s="73" t="e">
        <f>+VLOOKUP($E165,Energy_Mix!$1:$1048576,AM$2,FALSE)</f>
        <v>#N/A</v>
      </c>
      <c r="AN165" s="73" t="e">
        <f>+VLOOKUP($E165,Energy_Mix!$1:$1048576,AN$2,FALSE)</f>
        <v>#N/A</v>
      </c>
      <c r="AO165" s="73" t="e">
        <f>+VLOOKUP($E165,Energy_Mix!$1:$1048576,AO$2,FALSE)</f>
        <v>#N/A</v>
      </c>
    </row>
    <row r="166" spans="1:49" s="73" customFormat="1" ht="15" customHeight="1" x14ac:dyDescent="0.25">
      <c r="A166" s="324"/>
      <c r="B166" s="320"/>
      <c r="C166" s="175" t="s">
        <v>573</v>
      </c>
      <c r="D166" s="132"/>
      <c r="E166" s="85"/>
    </row>
    <row r="167" spans="1:49" s="73" customFormat="1" ht="15" customHeight="1" x14ac:dyDescent="0.25">
      <c r="A167" s="324"/>
      <c r="B167" s="320"/>
      <c r="C167" s="175"/>
      <c r="D167" s="132"/>
      <c r="E167" s="85" t="s">
        <v>2030</v>
      </c>
      <c r="F167" s="73" t="e">
        <f>+VLOOKUP($E167,Energy_Mix!$1:$1048576,F$2,FALSE)</f>
        <v>#N/A</v>
      </c>
      <c r="G167" s="73" t="e">
        <f>+VLOOKUP($E167,Energy_Mix!$1:$1048576,G$2,FALSE)</f>
        <v>#N/A</v>
      </c>
      <c r="H167" s="73" t="e">
        <f>+VLOOKUP($E167,Energy_Mix!$1:$1048576,H$2,FALSE)</f>
        <v>#N/A</v>
      </c>
      <c r="I167" s="73" t="e">
        <f>+VLOOKUP($E167,Energy_Mix!$1:$1048576,I$2,FALSE)</f>
        <v>#N/A</v>
      </c>
      <c r="J167" s="73" t="e">
        <f>+VLOOKUP($E167,Energy_Mix!$1:$1048576,J$2,FALSE)</f>
        <v>#N/A</v>
      </c>
      <c r="K167" s="73" t="e">
        <f>+VLOOKUP($E167,Energy_Mix!$1:$1048576,K$2,FALSE)</f>
        <v>#N/A</v>
      </c>
      <c r="L167" s="73" t="e">
        <f>+VLOOKUP($E167,Energy_Mix!$1:$1048576,L$2,FALSE)</f>
        <v>#N/A</v>
      </c>
      <c r="M167" s="73" t="e">
        <f>+VLOOKUP($E167,Energy_Mix!$1:$1048576,M$2,FALSE)</f>
        <v>#N/A</v>
      </c>
      <c r="N167" s="73" t="e">
        <f>+VLOOKUP($E167,Energy_Mix!$1:$1048576,N$2,FALSE)</f>
        <v>#N/A</v>
      </c>
      <c r="O167" s="73" t="e">
        <f>+VLOOKUP($E167,Energy_Mix!$1:$1048576,O$2,FALSE)</f>
        <v>#N/A</v>
      </c>
      <c r="P167" s="73" t="e">
        <f>+VLOOKUP($E167,Energy_Mix!$1:$1048576,P$2,FALSE)</f>
        <v>#N/A</v>
      </c>
      <c r="Q167" s="73" t="e">
        <f>+VLOOKUP($E167,Energy_Mix!$1:$1048576,Q$2,FALSE)</f>
        <v>#N/A</v>
      </c>
      <c r="R167" s="73" t="e">
        <f>+VLOOKUP($E167,Energy_Mix!$1:$1048576,R$2,FALSE)</f>
        <v>#N/A</v>
      </c>
      <c r="S167" s="73" t="e">
        <f>+VLOOKUP($E167,Energy_Mix!$1:$1048576,S$2,FALSE)</f>
        <v>#N/A</v>
      </c>
      <c r="T167" s="73" t="e">
        <f>+VLOOKUP($E167,Energy_Mix!$1:$1048576,T$2,FALSE)</f>
        <v>#N/A</v>
      </c>
      <c r="U167" s="73" t="e">
        <f>+VLOOKUP($E167,Energy_Mix!$1:$1048576,U$2,FALSE)</f>
        <v>#N/A</v>
      </c>
      <c r="V167" s="73" t="e">
        <f>+VLOOKUP($E167,Energy_Mix!$1:$1048576,V$2,FALSE)</f>
        <v>#N/A</v>
      </c>
      <c r="W167" s="73" t="e">
        <f>+VLOOKUP($E167,Energy_Mix!$1:$1048576,W$2,FALSE)</f>
        <v>#N/A</v>
      </c>
      <c r="X167" s="73" t="e">
        <f>+VLOOKUP($E167,Energy_Mix!$1:$1048576,X$2,FALSE)</f>
        <v>#N/A</v>
      </c>
      <c r="Y167" s="73" t="e">
        <f>+VLOOKUP($E167,Energy_Mix!$1:$1048576,Y$2,FALSE)</f>
        <v>#N/A</v>
      </c>
      <c r="Z167" s="73" t="e">
        <f>+VLOOKUP($E167,Energy_Mix!$1:$1048576,Z$2,FALSE)</f>
        <v>#N/A</v>
      </c>
      <c r="AA167" s="73" t="e">
        <f>+VLOOKUP($E167,Energy_Mix!$1:$1048576,AA$2,FALSE)</f>
        <v>#N/A</v>
      </c>
      <c r="AB167" s="73" t="e">
        <f>+VLOOKUP($E167,Energy_Mix!$1:$1048576,AB$2,FALSE)</f>
        <v>#N/A</v>
      </c>
      <c r="AC167" s="73" t="e">
        <f>+VLOOKUP($E167,Energy_Mix!$1:$1048576,AC$2,FALSE)</f>
        <v>#N/A</v>
      </c>
      <c r="AD167" s="73" t="e">
        <f>+VLOOKUP($E167,Energy_Mix!$1:$1048576,AD$2,FALSE)</f>
        <v>#N/A</v>
      </c>
      <c r="AE167" s="73" t="e">
        <f>+VLOOKUP($E167,Energy_Mix!$1:$1048576,AE$2,FALSE)</f>
        <v>#N/A</v>
      </c>
      <c r="AF167" s="73" t="e">
        <f>+VLOOKUP($E167,Energy_Mix!$1:$1048576,AF$2,FALSE)</f>
        <v>#N/A</v>
      </c>
      <c r="AG167" s="73" t="e">
        <f>+VLOOKUP($E167,Energy_Mix!$1:$1048576,AG$2,FALSE)</f>
        <v>#N/A</v>
      </c>
      <c r="AH167" s="73" t="e">
        <f>+VLOOKUP($E167,Energy_Mix!$1:$1048576,AH$2,FALSE)</f>
        <v>#N/A</v>
      </c>
      <c r="AI167" s="73" t="e">
        <f>+VLOOKUP($E167,Energy_Mix!$1:$1048576,AI$2,FALSE)</f>
        <v>#N/A</v>
      </c>
      <c r="AJ167" s="73" t="e">
        <f>+VLOOKUP($E167,Energy_Mix!$1:$1048576,AJ$2,FALSE)</f>
        <v>#N/A</v>
      </c>
      <c r="AK167" s="73" t="e">
        <f>+VLOOKUP($E167,Energy_Mix!$1:$1048576,AK$2,FALSE)</f>
        <v>#N/A</v>
      </c>
      <c r="AL167" s="73" t="e">
        <f>+VLOOKUP($E167,Energy_Mix!$1:$1048576,AL$2,FALSE)</f>
        <v>#N/A</v>
      </c>
      <c r="AM167" s="73" t="e">
        <f>+VLOOKUP($E167,Energy_Mix!$1:$1048576,AM$2,FALSE)</f>
        <v>#N/A</v>
      </c>
      <c r="AN167" s="73" t="e">
        <f>+VLOOKUP($E167,Energy_Mix!$1:$1048576,AN$2,FALSE)</f>
        <v>#N/A</v>
      </c>
      <c r="AO167" s="73" t="e">
        <f>+VLOOKUP($E167,Energy_Mix!$1:$1048576,AO$2,FALSE)</f>
        <v>#N/A</v>
      </c>
    </row>
    <row r="168" spans="1:49" s="73" customFormat="1" ht="15" customHeight="1" x14ac:dyDescent="0.25">
      <c r="A168" s="324"/>
      <c r="B168" s="320"/>
      <c r="C168" s="175"/>
      <c r="D168" s="132"/>
      <c r="E168" s="85" t="s">
        <v>2031</v>
      </c>
      <c r="F168" s="73" t="e">
        <f>+VLOOKUP($E168,Energy_Mix!$1:$1048576,F$2,FALSE)</f>
        <v>#N/A</v>
      </c>
      <c r="G168" s="73" t="e">
        <f>+VLOOKUP($E168,Energy_Mix!$1:$1048576,G$2,FALSE)</f>
        <v>#N/A</v>
      </c>
      <c r="H168" s="73" t="e">
        <f>+VLOOKUP($E168,Energy_Mix!$1:$1048576,H$2,FALSE)</f>
        <v>#N/A</v>
      </c>
      <c r="I168" s="73" t="e">
        <f>+VLOOKUP($E168,Energy_Mix!$1:$1048576,I$2,FALSE)</f>
        <v>#N/A</v>
      </c>
      <c r="J168" s="73" t="e">
        <f>+VLOOKUP($E168,Energy_Mix!$1:$1048576,J$2,FALSE)</f>
        <v>#N/A</v>
      </c>
      <c r="K168" s="73" t="e">
        <f>+VLOOKUP($E168,Energy_Mix!$1:$1048576,K$2,FALSE)</f>
        <v>#N/A</v>
      </c>
      <c r="L168" s="73" t="e">
        <f>+VLOOKUP($E168,Energy_Mix!$1:$1048576,L$2,FALSE)</f>
        <v>#N/A</v>
      </c>
      <c r="M168" s="73" t="e">
        <f>+VLOOKUP($E168,Energy_Mix!$1:$1048576,M$2,FALSE)</f>
        <v>#N/A</v>
      </c>
      <c r="N168" s="73" t="e">
        <f>+VLOOKUP($E168,Energy_Mix!$1:$1048576,N$2,FALSE)</f>
        <v>#N/A</v>
      </c>
      <c r="O168" s="73" t="e">
        <f>+VLOOKUP($E168,Energy_Mix!$1:$1048576,O$2,FALSE)</f>
        <v>#N/A</v>
      </c>
      <c r="P168" s="73" t="e">
        <f>+VLOOKUP($E168,Energy_Mix!$1:$1048576,P$2,FALSE)</f>
        <v>#N/A</v>
      </c>
      <c r="Q168" s="73" t="e">
        <f>+VLOOKUP($E168,Energy_Mix!$1:$1048576,Q$2,FALSE)</f>
        <v>#N/A</v>
      </c>
      <c r="R168" s="73" t="e">
        <f>+VLOOKUP($E168,Energy_Mix!$1:$1048576,R$2,FALSE)</f>
        <v>#N/A</v>
      </c>
      <c r="S168" s="73" t="e">
        <f>+VLOOKUP($E168,Energy_Mix!$1:$1048576,S$2,FALSE)</f>
        <v>#N/A</v>
      </c>
      <c r="T168" s="73" t="e">
        <f>+VLOOKUP($E168,Energy_Mix!$1:$1048576,T$2,FALSE)</f>
        <v>#N/A</v>
      </c>
      <c r="U168" s="73" t="e">
        <f>+VLOOKUP($E168,Energy_Mix!$1:$1048576,U$2,FALSE)</f>
        <v>#N/A</v>
      </c>
      <c r="V168" s="73" t="e">
        <f>+VLOOKUP($E168,Energy_Mix!$1:$1048576,V$2,FALSE)</f>
        <v>#N/A</v>
      </c>
      <c r="W168" s="73" t="e">
        <f>+VLOOKUP($E168,Energy_Mix!$1:$1048576,W$2,FALSE)</f>
        <v>#N/A</v>
      </c>
      <c r="X168" s="73" t="e">
        <f>+VLOOKUP($E168,Energy_Mix!$1:$1048576,X$2,FALSE)</f>
        <v>#N/A</v>
      </c>
      <c r="Y168" s="73" t="e">
        <f>+VLOOKUP($E168,Energy_Mix!$1:$1048576,Y$2,FALSE)</f>
        <v>#N/A</v>
      </c>
      <c r="Z168" s="73" t="e">
        <f>+VLOOKUP($E168,Energy_Mix!$1:$1048576,Z$2,FALSE)</f>
        <v>#N/A</v>
      </c>
      <c r="AA168" s="73" t="e">
        <f>+VLOOKUP($E168,Energy_Mix!$1:$1048576,AA$2,FALSE)</f>
        <v>#N/A</v>
      </c>
      <c r="AB168" s="73" t="e">
        <f>+VLOOKUP($E168,Energy_Mix!$1:$1048576,AB$2,FALSE)</f>
        <v>#N/A</v>
      </c>
      <c r="AC168" s="73" t="e">
        <f>+VLOOKUP($E168,Energy_Mix!$1:$1048576,AC$2,FALSE)</f>
        <v>#N/A</v>
      </c>
      <c r="AD168" s="73" t="e">
        <f>+VLOOKUP($E168,Energy_Mix!$1:$1048576,AD$2,FALSE)</f>
        <v>#N/A</v>
      </c>
      <c r="AE168" s="73" t="e">
        <f>+VLOOKUP($E168,Energy_Mix!$1:$1048576,AE$2,FALSE)</f>
        <v>#N/A</v>
      </c>
      <c r="AF168" s="73" t="e">
        <f>+VLOOKUP($E168,Energy_Mix!$1:$1048576,AF$2,FALSE)</f>
        <v>#N/A</v>
      </c>
      <c r="AG168" s="73" t="e">
        <f>+VLOOKUP($E168,Energy_Mix!$1:$1048576,AG$2,FALSE)</f>
        <v>#N/A</v>
      </c>
      <c r="AH168" s="73" t="e">
        <f>+VLOOKUP($E168,Energy_Mix!$1:$1048576,AH$2,FALSE)</f>
        <v>#N/A</v>
      </c>
      <c r="AI168" s="73" t="e">
        <f>+VLOOKUP($E168,Energy_Mix!$1:$1048576,AI$2,FALSE)</f>
        <v>#N/A</v>
      </c>
      <c r="AJ168" s="73" t="e">
        <f>+VLOOKUP($E168,Energy_Mix!$1:$1048576,AJ$2,FALSE)</f>
        <v>#N/A</v>
      </c>
      <c r="AK168" s="73" t="e">
        <f>+VLOOKUP($E168,Energy_Mix!$1:$1048576,AK$2,FALSE)</f>
        <v>#N/A</v>
      </c>
      <c r="AL168" s="73" t="e">
        <f>+VLOOKUP($E168,Energy_Mix!$1:$1048576,AL$2,FALSE)</f>
        <v>#N/A</v>
      </c>
      <c r="AM168" s="73" t="e">
        <f>+VLOOKUP($E168,Energy_Mix!$1:$1048576,AM$2,FALSE)</f>
        <v>#N/A</v>
      </c>
      <c r="AN168" s="73" t="e">
        <f>+VLOOKUP($E168,Energy_Mix!$1:$1048576,AN$2,FALSE)</f>
        <v>#N/A</v>
      </c>
      <c r="AO168" s="73" t="e">
        <f>+VLOOKUP($E168,Energy_Mix!$1:$1048576,AO$2,FALSE)</f>
        <v>#N/A</v>
      </c>
    </row>
    <row r="169" spans="1:49" s="73" customFormat="1" ht="15" customHeight="1" x14ac:dyDescent="0.25">
      <c r="A169" s="324"/>
      <c r="B169" s="320"/>
      <c r="C169" s="175" t="s">
        <v>574</v>
      </c>
      <c r="D169" s="132"/>
      <c r="E169" s="85"/>
    </row>
    <row r="170" spans="1:49" s="73" customFormat="1" ht="15" customHeight="1" x14ac:dyDescent="0.25">
      <c r="A170" s="324"/>
      <c r="B170" s="320"/>
      <c r="C170" s="132"/>
      <c r="D170" s="132"/>
      <c r="E170" s="85" t="s">
        <v>2032</v>
      </c>
      <c r="F170" s="73" t="e">
        <f>+VLOOKUP($E170,Energy_Mix!$1:$1048576,F$2,FALSE)</f>
        <v>#N/A</v>
      </c>
      <c r="G170" s="73" t="e">
        <f>+VLOOKUP($E170,Energy_Mix!$1:$1048576,G$2,FALSE)</f>
        <v>#N/A</v>
      </c>
      <c r="H170" s="73" t="e">
        <f>+VLOOKUP($E170,Energy_Mix!$1:$1048576,H$2,FALSE)</f>
        <v>#N/A</v>
      </c>
      <c r="I170" s="73" t="e">
        <f>+VLOOKUP($E170,Energy_Mix!$1:$1048576,I$2,FALSE)</f>
        <v>#N/A</v>
      </c>
      <c r="J170" s="73" t="e">
        <f>+VLOOKUP($E170,Energy_Mix!$1:$1048576,J$2,FALSE)</f>
        <v>#N/A</v>
      </c>
      <c r="K170" s="73" t="e">
        <f>+VLOOKUP($E170,Energy_Mix!$1:$1048576,K$2,FALSE)</f>
        <v>#N/A</v>
      </c>
      <c r="L170" s="73" t="e">
        <f>+VLOOKUP($E170,Energy_Mix!$1:$1048576,L$2,FALSE)</f>
        <v>#N/A</v>
      </c>
      <c r="M170" s="73" t="e">
        <f>+VLOOKUP($E170,Energy_Mix!$1:$1048576,M$2,FALSE)</f>
        <v>#N/A</v>
      </c>
      <c r="N170" s="73" t="e">
        <f>+VLOOKUP($E170,Energy_Mix!$1:$1048576,N$2,FALSE)</f>
        <v>#N/A</v>
      </c>
      <c r="O170" s="73" t="e">
        <f>+VLOOKUP($E170,Energy_Mix!$1:$1048576,O$2,FALSE)</f>
        <v>#N/A</v>
      </c>
      <c r="P170" s="73" t="e">
        <f>+VLOOKUP($E170,Energy_Mix!$1:$1048576,P$2,FALSE)</f>
        <v>#N/A</v>
      </c>
      <c r="Q170" s="73" t="e">
        <f>+VLOOKUP($E170,Energy_Mix!$1:$1048576,Q$2,FALSE)</f>
        <v>#N/A</v>
      </c>
      <c r="R170" s="73" t="e">
        <f>+VLOOKUP($E170,Energy_Mix!$1:$1048576,R$2,FALSE)</f>
        <v>#N/A</v>
      </c>
      <c r="S170" s="73" t="e">
        <f>+VLOOKUP($E170,Energy_Mix!$1:$1048576,S$2,FALSE)</f>
        <v>#N/A</v>
      </c>
      <c r="T170" s="73" t="e">
        <f>+VLOOKUP($E170,Energy_Mix!$1:$1048576,T$2,FALSE)</f>
        <v>#N/A</v>
      </c>
      <c r="U170" s="73" t="e">
        <f>+VLOOKUP($E170,Energy_Mix!$1:$1048576,U$2,FALSE)</f>
        <v>#N/A</v>
      </c>
      <c r="V170" s="73" t="e">
        <f>+VLOOKUP($E170,Energy_Mix!$1:$1048576,V$2,FALSE)</f>
        <v>#N/A</v>
      </c>
      <c r="W170" s="73" t="e">
        <f>+VLOOKUP($E170,Energy_Mix!$1:$1048576,W$2,FALSE)</f>
        <v>#N/A</v>
      </c>
      <c r="X170" s="73" t="e">
        <f>+VLOOKUP($E170,Energy_Mix!$1:$1048576,X$2,FALSE)</f>
        <v>#N/A</v>
      </c>
      <c r="Y170" s="73" t="e">
        <f>+VLOOKUP($E170,Energy_Mix!$1:$1048576,Y$2,FALSE)</f>
        <v>#N/A</v>
      </c>
      <c r="Z170" s="73" t="e">
        <f>+VLOOKUP($E170,Energy_Mix!$1:$1048576,Z$2,FALSE)</f>
        <v>#N/A</v>
      </c>
      <c r="AA170" s="73" t="e">
        <f>+VLOOKUP($E170,Energy_Mix!$1:$1048576,AA$2,FALSE)</f>
        <v>#N/A</v>
      </c>
      <c r="AB170" s="73" t="e">
        <f>+VLOOKUP($E170,Energy_Mix!$1:$1048576,AB$2,FALSE)</f>
        <v>#N/A</v>
      </c>
      <c r="AC170" s="73" t="e">
        <f>+VLOOKUP($E170,Energy_Mix!$1:$1048576,AC$2,FALSE)</f>
        <v>#N/A</v>
      </c>
      <c r="AD170" s="73" t="e">
        <f>+VLOOKUP($E170,Energy_Mix!$1:$1048576,AD$2,FALSE)</f>
        <v>#N/A</v>
      </c>
      <c r="AE170" s="73" t="e">
        <f>+VLOOKUP($E170,Energy_Mix!$1:$1048576,AE$2,FALSE)</f>
        <v>#N/A</v>
      </c>
      <c r="AF170" s="73" t="e">
        <f>+VLOOKUP($E170,Energy_Mix!$1:$1048576,AF$2,FALSE)</f>
        <v>#N/A</v>
      </c>
      <c r="AG170" s="73" t="e">
        <f>+VLOOKUP($E170,Energy_Mix!$1:$1048576,AG$2,FALSE)</f>
        <v>#N/A</v>
      </c>
      <c r="AH170" s="73" t="e">
        <f>+VLOOKUP($E170,Energy_Mix!$1:$1048576,AH$2,FALSE)</f>
        <v>#N/A</v>
      </c>
      <c r="AI170" s="73" t="e">
        <f>+VLOOKUP($E170,Energy_Mix!$1:$1048576,AI$2,FALSE)</f>
        <v>#N/A</v>
      </c>
      <c r="AJ170" s="73" t="e">
        <f>+VLOOKUP($E170,Energy_Mix!$1:$1048576,AJ$2,FALSE)</f>
        <v>#N/A</v>
      </c>
      <c r="AK170" s="73" t="e">
        <f>+VLOOKUP($E170,Energy_Mix!$1:$1048576,AK$2,FALSE)</f>
        <v>#N/A</v>
      </c>
      <c r="AL170" s="73" t="e">
        <f>+VLOOKUP($E170,Energy_Mix!$1:$1048576,AL$2,FALSE)</f>
        <v>#N/A</v>
      </c>
      <c r="AM170" s="73" t="e">
        <f>+VLOOKUP($E170,Energy_Mix!$1:$1048576,AM$2,FALSE)</f>
        <v>#N/A</v>
      </c>
      <c r="AN170" s="73" t="e">
        <f>+VLOOKUP($E170,Energy_Mix!$1:$1048576,AN$2,FALSE)</f>
        <v>#N/A</v>
      </c>
      <c r="AO170" s="73" t="e">
        <f>+VLOOKUP($E170,Energy_Mix!$1:$1048576,AO$2,FALSE)</f>
        <v>#N/A</v>
      </c>
    </row>
    <row r="171" spans="1:49" s="73" customFormat="1" ht="15" customHeight="1" x14ac:dyDescent="0.25">
      <c r="A171" s="324"/>
      <c r="B171" s="320"/>
      <c r="C171" s="133"/>
      <c r="D171" s="133"/>
      <c r="E171" s="97" t="s">
        <v>2033</v>
      </c>
      <c r="F171" s="245" t="e">
        <f>+VLOOKUP($E171,Energy_Mix!$1:$1048576,F$2,FALSE)</f>
        <v>#N/A</v>
      </c>
      <c r="G171" s="245" t="e">
        <f>+VLOOKUP($E171,Energy_Mix!$1:$1048576,G$2,FALSE)</f>
        <v>#N/A</v>
      </c>
      <c r="H171" s="245" t="e">
        <f>+VLOOKUP($E171,Energy_Mix!$1:$1048576,H$2,FALSE)</f>
        <v>#N/A</v>
      </c>
      <c r="I171" s="245" t="e">
        <f>+VLOOKUP($E171,Energy_Mix!$1:$1048576,I$2,FALSE)</f>
        <v>#N/A</v>
      </c>
      <c r="J171" s="245" t="e">
        <f>+VLOOKUP($E171,Energy_Mix!$1:$1048576,J$2,FALSE)</f>
        <v>#N/A</v>
      </c>
      <c r="K171" s="245" t="e">
        <f>+VLOOKUP($E171,Energy_Mix!$1:$1048576,K$2,FALSE)</f>
        <v>#N/A</v>
      </c>
      <c r="L171" s="245" t="e">
        <f>+VLOOKUP($E171,Energy_Mix!$1:$1048576,L$2,FALSE)</f>
        <v>#N/A</v>
      </c>
      <c r="M171" s="245" t="e">
        <f>+VLOOKUP($E171,Energy_Mix!$1:$1048576,M$2,FALSE)</f>
        <v>#N/A</v>
      </c>
      <c r="N171" s="245" t="e">
        <f>+VLOOKUP($E171,Energy_Mix!$1:$1048576,N$2,FALSE)</f>
        <v>#N/A</v>
      </c>
      <c r="O171" s="245" t="e">
        <f>+VLOOKUP($E171,Energy_Mix!$1:$1048576,O$2,FALSE)</f>
        <v>#N/A</v>
      </c>
      <c r="P171" s="245" t="e">
        <f>+VLOOKUP($E171,Energy_Mix!$1:$1048576,P$2,FALSE)</f>
        <v>#N/A</v>
      </c>
      <c r="Q171" s="245" t="e">
        <f>+VLOOKUP($E171,Energy_Mix!$1:$1048576,Q$2,FALSE)</f>
        <v>#N/A</v>
      </c>
      <c r="R171" s="245" t="e">
        <f>+VLOOKUP($E171,Energy_Mix!$1:$1048576,R$2,FALSE)</f>
        <v>#N/A</v>
      </c>
      <c r="S171" s="245" t="e">
        <f>+VLOOKUP($E171,Energy_Mix!$1:$1048576,S$2,FALSE)</f>
        <v>#N/A</v>
      </c>
      <c r="T171" s="245" t="e">
        <f>+VLOOKUP($E171,Energy_Mix!$1:$1048576,T$2,FALSE)</f>
        <v>#N/A</v>
      </c>
      <c r="U171" s="245" t="e">
        <f>+VLOOKUP($E171,Energy_Mix!$1:$1048576,U$2,FALSE)</f>
        <v>#N/A</v>
      </c>
      <c r="V171" s="245" t="e">
        <f>+VLOOKUP($E171,Energy_Mix!$1:$1048576,V$2,FALSE)</f>
        <v>#N/A</v>
      </c>
      <c r="W171" s="245" t="e">
        <f>+VLOOKUP($E171,Energy_Mix!$1:$1048576,W$2,FALSE)</f>
        <v>#N/A</v>
      </c>
      <c r="X171" s="245" t="e">
        <f>+VLOOKUP($E171,Energy_Mix!$1:$1048576,X$2,FALSE)</f>
        <v>#N/A</v>
      </c>
      <c r="Y171" s="245" t="e">
        <f>+VLOOKUP($E171,Energy_Mix!$1:$1048576,Y$2,FALSE)</f>
        <v>#N/A</v>
      </c>
      <c r="Z171" s="245" t="e">
        <f>+VLOOKUP($E171,Energy_Mix!$1:$1048576,Z$2,FALSE)</f>
        <v>#N/A</v>
      </c>
      <c r="AA171" s="245" t="e">
        <f>+VLOOKUP($E171,Energy_Mix!$1:$1048576,AA$2,FALSE)</f>
        <v>#N/A</v>
      </c>
      <c r="AB171" s="245" t="e">
        <f>+VLOOKUP($E171,Energy_Mix!$1:$1048576,AB$2,FALSE)</f>
        <v>#N/A</v>
      </c>
      <c r="AC171" s="245" t="e">
        <f>+VLOOKUP($E171,Energy_Mix!$1:$1048576,AC$2,FALSE)</f>
        <v>#N/A</v>
      </c>
      <c r="AD171" s="245" t="e">
        <f>+VLOOKUP($E171,Energy_Mix!$1:$1048576,AD$2,FALSE)</f>
        <v>#N/A</v>
      </c>
      <c r="AE171" s="245" t="e">
        <f>+VLOOKUP($E171,Energy_Mix!$1:$1048576,AE$2,FALSE)</f>
        <v>#N/A</v>
      </c>
      <c r="AF171" s="245" t="e">
        <f>+VLOOKUP($E171,Energy_Mix!$1:$1048576,AF$2,FALSE)</f>
        <v>#N/A</v>
      </c>
      <c r="AG171" s="245" t="e">
        <f>+VLOOKUP($E171,Energy_Mix!$1:$1048576,AG$2,FALSE)</f>
        <v>#N/A</v>
      </c>
      <c r="AH171" s="245" t="e">
        <f>+VLOOKUP($E171,Energy_Mix!$1:$1048576,AH$2,FALSE)</f>
        <v>#N/A</v>
      </c>
      <c r="AI171" s="245" t="e">
        <f>+VLOOKUP($E171,Energy_Mix!$1:$1048576,AI$2,FALSE)</f>
        <v>#N/A</v>
      </c>
      <c r="AJ171" s="245" t="e">
        <f>+VLOOKUP($E171,Energy_Mix!$1:$1048576,AJ$2,FALSE)</f>
        <v>#N/A</v>
      </c>
      <c r="AK171" s="245" t="e">
        <f>+VLOOKUP($E171,Energy_Mix!$1:$1048576,AK$2,FALSE)</f>
        <v>#N/A</v>
      </c>
      <c r="AL171" s="245" t="e">
        <f>+VLOOKUP($E171,Energy_Mix!$1:$1048576,AL$2,FALSE)</f>
        <v>#N/A</v>
      </c>
      <c r="AM171" s="245" t="e">
        <f>+VLOOKUP($E171,Energy_Mix!$1:$1048576,AM$2,FALSE)</f>
        <v>#N/A</v>
      </c>
      <c r="AN171" s="245" t="e">
        <f>+VLOOKUP($E171,Energy_Mix!$1:$1048576,AN$2,FALSE)</f>
        <v>#N/A</v>
      </c>
      <c r="AO171" s="245" t="e">
        <f>+VLOOKUP($E171,Energy_Mix!$1:$1048576,AO$2,FALSE)</f>
        <v>#N/A</v>
      </c>
    </row>
    <row r="172" spans="1:49" s="73" customFormat="1" ht="15" customHeight="1" x14ac:dyDescent="0.25">
      <c r="A172" s="324"/>
      <c r="B172" s="320"/>
      <c r="C172" s="175" t="s">
        <v>599</v>
      </c>
      <c r="D172" s="132"/>
      <c r="E172" s="85"/>
    </row>
    <row r="173" spans="1:49" s="73" customFormat="1" ht="15" customHeight="1" x14ac:dyDescent="0.25">
      <c r="A173" s="324"/>
      <c r="B173" s="320"/>
      <c r="C173" s="175"/>
      <c r="D173" s="132" t="s">
        <v>1107</v>
      </c>
      <c r="E173" s="85" t="s">
        <v>2034</v>
      </c>
      <c r="F173" s="73" t="e">
        <f>+VLOOKUP($E173,Energy_Mix!$1:$1048576,F$2,FALSE)</f>
        <v>#N/A</v>
      </c>
      <c r="G173" s="73" t="e">
        <f>+VLOOKUP($E173,Energy_Mix!$1:$1048576,G$2,FALSE)</f>
        <v>#N/A</v>
      </c>
      <c r="H173" s="73" t="e">
        <f>+VLOOKUP($E173,Energy_Mix!$1:$1048576,H$2,FALSE)</f>
        <v>#N/A</v>
      </c>
      <c r="I173" s="73" t="e">
        <f>+VLOOKUP($E173,Energy_Mix!$1:$1048576,I$2,FALSE)</f>
        <v>#N/A</v>
      </c>
      <c r="J173" s="73" t="e">
        <f>+VLOOKUP($E173,Energy_Mix!$1:$1048576,J$2,FALSE)</f>
        <v>#N/A</v>
      </c>
      <c r="K173" s="73" t="e">
        <f>+VLOOKUP($E173,Energy_Mix!$1:$1048576,K$2,FALSE)</f>
        <v>#N/A</v>
      </c>
      <c r="L173" s="73" t="e">
        <f>+VLOOKUP($E173,Energy_Mix!$1:$1048576,L$2,FALSE)</f>
        <v>#N/A</v>
      </c>
      <c r="M173" s="73" t="e">
        <f>+VLOOKUP($E173,Energy_Mix!$1:$1048576,M$2,FALSE)</f>
        <v>#N/A</v>
      </c>
      <c r="N173" s="73" t="e">
        <f>+VLOOKUP($E173,Energy_Mix!$1:$1048576,N$2,FALSE)</f>
        <v>#N/A</v>
      </c>
      <c r="O173" s="73" t="e">
        <f>+VLOOKUP($E173,Energy_Mix!$1:$1048576,O$2,FALSE)</f>
        <v>#N/A</v>
      </c>
      <c r="P173" s="73" t="e">
        <f>+VLOOKUP($E173,Energy_Mix!$1:$1048576,P$2,FALSE)</f>
        <v>#N/A</v>
      </c>
      <c r="Q173" s="73" t="e">
        <f>+VLOOKUP($E173,Energy_Mix!$1:$1048576,Q$2,FALSE)</f>
        <v>#N/A</v>
      </c>
      <c r="R173" s="73" t="e">
        <f>+VLOOKUP($E173,Energy_Mix!$1:$1048576,R$2,FALSE)</f>
        <v>#N/A</v>
      </c>
      <c r="S173" s="73" t="e">
        <f>+VLOOKUP($E173,Energy_Mix!$1:$1048576,S$2,FALSE)</f>
        <v>#N/A</v>
      </c>
      <c r="T173" s="73" t="e">
        <f>+VLOOKUP($E173,Energy_Mix!$1:$1048576,T$2,FALSE)</f>
        <v>#N/A</v>
      </c>
      <c r="U173" s="73" t="e">
        <f>+VLOOKUP($E173,Energy_Mix!$1:$1048576,U$2,FALSE)</f>
        <v>#N/A</v>
      </c>
      <c r="V173" s="73" t="e">
        <f>+VLOOKUP($E173,Energy_Mix!$1:$1048576,V$2,FALSE)</f>
        <v>#N/A</v>
      </c>
      <c r="W173" s="73" t="e">
        <f>+VLOOKUP($E173,Energy_Mix!$1:$1048576,W$2,FALSE)</f>
        <v>#N/A</v>
      </c>
      <c r="X173" s="73" t="e">
        <f>+VLOOKUP($E173,Energy_Mix!$1:$1048576,X$2,FALSE)</f>
        <v>#N/A</v>
      </c>
      <c r="Y173" s="73" t="e">
        <f>+VLOOKUP($E173,Energy_Mix!$1:$1048576,Y$2,FALSE)</f>
        <v>#N/A</v>
      </c>
      <c r="Z173" s="73" t="e">
        <f>+VLOOKUP($E173,Energy_Mix!$1:$1048576,Z$2,FALSE)</f>
        <v>#N/A</v>
      </c>
      <c r="AA173" s="73" t="e">
        <f>+VLOOKUP($E173,Energy_Mix!$1:$1048576,AA$2,FALSE)</f>
        <v>#N/A</v>
      </c>
      <c r="AB173" s="73" t="e">
        <f>+VLOOKUP($E173,Energy_Mix!$1:$1048576,AB$2,FALSE)</f>
        <v>#N/A</v>
      </c>
      <c r="AC173" s="73" t="e">
        <f>+VLOOKUP($E173,Energy_Mix!$1:$1048576,AC$2,FALSE)</f>
        <v>#N/A</v>
      </c>
      <c r="AD173" s="73" t="e">
        <f>+VLOOKUP($E173,Energy_Mix!$1:$1048576,AD$2,FALSE)</f>
        <v>#N/A</v>
      </c>
      <c r="AE173" s="73" t="e">
        <f>+VLOOKUP($E173,Energy_Mix!$1:$1048576,AE$2,FALSE)</f>
        <v>#N/A</v>
      </c>
      <c r="AF173" s="73" t="e">
        <f>+VLOOKUP($E173,Energy_Mix!$1:$1048576,AF$2,FALSE)</f>
        <v>#N/A</v>
      </c>
      <c r="AG173" s="73" t="e">
        <f>+VLOOKUP($E173,Energy_Mix!$1:$1048576,AG$2,FALSE)</f>
        <v>#N/A</v>
      </c>
      <c r="AH173" s="73" t="e">
        <f>+VLOOKUP($E173,Energy_Mix!$1:$1048576,AH$2,FALSE)</f>
        <v>#N/A</v>
      </c>
      <c r="AI173" s="73" t="e">
        <f>+VLOOKUP($E173,Energy_Mix!$1:$1048576,AI$2,FALSE)</f>
        <v>#N/A</v>
      </c>
      <c r="AJ173" s="73" t="e">
        <f>+VLOOKUP($E173,Energy_Mix!$1:$1048576,AJ$2,FALSE)</f>
        <v>#N/A</v>
      </c>
      <c r="AK173" s="73" t="e">
        <f>+VLOOKUP($E173,Energy_Mix!$1:$1048576,AK$2,FALSE)</f>
        <v>#N/A</v>
      </c>
      <c r="AL173" s="73" t="e">
        <f>+VLOOKUP($E173,Energy_Mix!$1:$1048576,AL$2,FALSE)</f>
        <v>#N/A</v>
      </c>
      <c r="AM173" s="73" t="e">
        <f>+VLOOKUP($E173,Energy_Mix!$1:$1048576,AM$2,FALSE)</f>
        <v>#N/A</v>
      </c>
      <c r="AN173" s="73" t="e">
        <f>+VLOOKUP($E173,Energy_Mix!$1:$1048576,AN$2,FALSE)</f>
        <v>#N/A</v>
      </c>
      <c r="AO173" s="73" t="e">
        <f>+VLOOKUP($E173,Energy_Mix!$1:$1048576,AO$2,FALSE)</f>
        <v>#N/A</v>
      </c>
    </row>
    <row r="174" spans="1:49" s="73" customFormat="1" ht="15" customHeight="1" x14ac:dyDescent="0.25">
      <c r="A174" s="324"/>
      <c r="B174" s="320"/>
      <c r="C174" s="175"/>
      <c r="D174" s="132" t="s">
        <v>1107</v>
      </c>
      <c r="E174" s="85" t="s">
        <v>2035</v>
      </c>
      <c r="F174" s="73" t="e">
        <f>+VLOOKUP($E174,Energy_Mix!$1:$1048576,F$2,FALSE)</f>
        <v>#N/A</v>
      </c>
      <c r="G174" s="73" t="e">
        <f>+VLOOKUP($E174,Energy_Mix!$1:$1048576,G$2,FALSE)</f>
        <v>#N/A</v>
      </c>
      <c r="H174" s="73" t="e">
        <f>+VLOOKUP($E174,Energy_Mix!$1:$1048576,H$2,FALSE)</f>
        <v>#N/A</v>
      </c>
      <c r="I174" s="73" t="e">
        <f>+VLOOKUP($E174,Energy_Mix!$1:$1048576,I$2,FALSE)</f>
        <v>#N/A</v>
      </c>
      <c r="J174" s="73" t="e">
        <f>+VLOOKUP($E174,Energy_Mix!$1:$1048576,J$2,FALSE)</f>
        <v>#N/A</v>
      </c>
      <c r="K174" s="73" t="e">
        <f>+VLOOKUP($E174,Energy_Mix!$1:$1048576,K$2,FALSE)</f>
        <v>#N/A</v>
      </c>
      <c r="L174" s="73" t="e">
        <f>+VLOOKUP($E174,Energy_Mix!$1:$1048576,L$2,FALSE)</f>
        <v>#N/A</v>
      </c>
      <c r="M174" s="73" t="e">
        <f>+VLOOKUP($E174,Energy_Mix!$1:$1048576,M$2,FALSE)</f>
        <v>#N/A</v>
      </c>
      <c r="N174" s="73" t="e">
        <f>+VLOOKUP($E174,Energy_Mix!$1:$1048576,N$2,FALSE)</f>
        <v>#N/A</v>
      </c>
      <c r="O174" s="73" t="e">
        <f>+VLOOKUP($E174,Energy_Mix!$1:$1048576,O$2,FALSE)</f>
        <v>#N/A</v>
      </c>
      <c r="P174" s="73" t="e">
        <f>+VLOOKUP($E174,Energy_Mix!$1:$1048576,P$2,FALSE)</f>
        <v>#N/A</v>
      </c>
      <c r="Q174" s="73" t="e">
        <f>+VLOOKUP($E174,Energy_Mix!$1:$1048576,Q$2,FALSE)</f>
        <v>#N/A</v>
      </c>
      <c r="R174" s="73" t="e">
        <f>+VLOOKUP($E174,Energy_Mix!$1:$1048576,R$2,FALSE)</f>
        <v>#N/A</v>
      </c>
      <c r="S174" s="73" t="e">
        <f>+VLOOKUP($E174,Energy_Mix!$1:$1048576,S$2,FALSE)</f>
        <v>#N/A</v>
      </c>
      <c r="T174" s="73" t="e">
        <f>+VLOOKUP($E174,Energy_Mix!$1:$1048576,T$2,FALSE)</f>
        <v>#N/A</v>
      </c>
      <c r="U174" s="73" t="e">
        <f>+VLOOKUP($E174,Energy_Mix!$1:$1048576,U$2,FALSE)</f>
        <v>#N/A</v>
      </c>
      <c r="V174" s="73" t="e">
        <f>+VLOOKUP($E174,Energy_Mix!$1:$1048576,V$2,FALSE)</f>
        <v>#N/A</v>
      </c>
      <c r="W174" s="73" t="e">
        <f>+VLOOKUP($E174,Energy_Mix!$1:$1048576,W$2,FALSE)</f>
        <v>#N/A</v>
      </c>
      <c r="X174" s="73" t="e">
        <f>+VLOOKUP($E174,Energy_Mix!$1:$1048576,X$2,FALSE)</f>
        <v>#N/A</v>
      </c>
      <c r="Y174" s="73" t="e">
        <f>+VLOOKUP($E174,Energy_Mix!$1:$1048576,Y$2,FALSE)</f>
        <v>#N/A</v>
      </c>
      <c r="Z174" s="73" t="e">
        <f>+VLOOKUP($E174,Energy_Mix!$1:$1048576,Z$2,FALSE)</f>
        <v>#N/A</v>
      </c>
      <c r="AA174" s="73" t="e">
        <f>+VLOOKUP($E174,Energy_Mix!$1:$1048576,AA$2,FALSE)</f>
        <v>#N/A</v>
      </c>
      <c r="AB174" s="73" t="e">
        <f>+VLOOKUP($E174,Energy_Mix!$1:$1048576,AB$2,FALSE)</f>
        <v>#N/A</v>
      </c>
      <c r="AC174" s="73" t="e">
        <f>+VLOOKUP($E174,Energy_Mix!$1:$1048576,AC$2,FALSE)</f>
        <v>#N/A</v>
      </c>
      <c r="AD174" s="73" t="e">
        <f>+VLOOKUP($E174,Energy_Mix!$1:$1048576,AD$2,FALSE)</f>
        <v>#N/A</v>
      </c>
      <c r="AE174" s="73" t="e">
        <f>+VLOOKUP($E174,Energy_Mix!$1:$1048576,AE$2,FALSE)</f>
        <v>#N/A</v>
      </c>
      <c r="AF174" s="73" t="e">
        <f>+VLOOKUP($E174,Energy_Mix!$1:$1048576,AF$2,FALSE)</f>
        <v>#N/A</v>
      </c>
      <c r="AG174" s="73" t="e">
        <f>+VLOOKUP($E174,Energy_Mix!$1:$1048576,AG$2,FALSE)</f>
        <v>#N/A</v>
      </c>
      <c r="AH174" s="73" t="e">
        <f>+VLOOKUP($E174,Energy_Mix!$1:$1048576,AH$2,FALSE)</f>
        <v>#N/A</v>
      </c>
      <c r="AI174" s="73" t="e">
        <f>+VLOOKUP($E174,Energy_Mix!$1:$1048576,AI$2,FALSE)</f>
        <v>#N/A</v>
      </c>
      <c r="AJ174" s="73" t="e">
        <f>+VLOOKUP($E174,Energy_Mix!$1:$1048576,AJ$2,FALSE)</f>
        <v>#N/A</v>
      </c>
      <c r="AK174" s="73" t="e">
        <f>+VLOOKUP($E174,Energy_Mix!$1:$1048576,AK$2,FALSE)</f>
        <v>#N/A</v>
      </c>
      <c r="AL174" s="73" t="e">
        <f>+VLOOKUP($E174,Energy_Mix!$1:$1048576,AL$2,FALSE)</f>
        <v>#N/A</v>
      </c>
      <c r="AM174" s="73" t="e">
        <f>+VLOOKUP($E174,Energy_Mix!$1:$1048576,AM$2,FALSE)</f>
        <v>#N/A</v>
      </c>
      <c r="AN174" s="73" t="e">
        <f>+VLOOKUP($E174,Energy_Mix!$1:$1048576,AN$2,FALSE)</f>
        <v>#N/A</v>
      </c>
      <c r="AO174" s="73" t="e">
        <f>+VLOOKUP($E174,Energy_Mix!$1:$1048576,AO$2,FALSE)</f>
        <v>#N/A</v>
      </c>
    </row>
    <row r="175" spans="1:49" s="73" customFormat="1" ht="15" customHeight="1" x14ac:dyDescent="0.25">
      <c r="A175" s="324"/>
      <c r="B175" s="320"/>
      <c r="C175" s="175" t="s">
        <v>600</v>
      </c>
      <c r="D175" s="132"/>
      <c r="E175" s="85"/>
    </row>
    <row r="176" spans="1:49" s="73" customFormat="1" ht="15" customHeight="1" x14ac:dyDescent="0.25">
      <c r="A176" s="324"/>
      <c r="B176" s="320"/>
      <c r="C176" s="175"/>
      <c r="D176" s="132" t="s">
        <v>2024</v>
      </c>
      <c r="E176" s="85" t="s">
        <v>2036</v>
      </c>
      <c r="F176" s="73" t="e">
        <f>+VLOOKUP($E176,Energy_Mix!$1:$1048576,F$2,FALSE)</f>
        <v>#N/A</v>
      </c>
      <c r="G176" s="73" t="e">
        <f>+VLOOKUP($E176,Energy_Mix!$1:$1048576,G$2,FALSE)</f>
        <v>#N/A</v>
      </c>
      <c r="H176" s="73" t="e">
        <f>+VLOOKUP($E176,Energy_Mix!$1:$1048576,H$2,FALSE)</f>
        <v>#N/A</v>
      </c>
      <c r="I176" s="73" t="e">
        <f>+VLOOKUP($E176,Energy_Mix!$1:$1048576,I$2,FALSE)</f>
        <v>#N/A</v>
      </c>
      <c r="J176" s="73" t="e">
        <f>+VLOOKUP($E176,Energy_Mix!$1:$1048576,J$2,FALSE)</f>
        <v>#N/A</v>
      </c>
      <c r="K176" s="73" t="e">
        <f>+VLOOKUP($E176,Energy_Mix!$1:$1048576,K$2,FALSE)</f>
        <v>#N/A</v>
      </c>
      <c r="L176" s="73" t="e">
        <f>+VLOOKUP($E176,Energy_Mix!$1:$1048576,L$2,FALSE)</f>
        <v>#N/A</v>
      </c>
      <c r="M176" s="73" t="e">
        <f>+VLOOKUP($E176,Energy_Mix!$1:$1048576,M$2,FALSE)</f>
        <v>#N/A</v>
      </c>
      <c r="N176" s="73" t="e">
        <f>+VLOOKUP($E176,Energy_Mix!$1:$1048576,N$2,FALSE)</f>
        <v>#N/A</v>
      </c>
      <c r="O176" s="73" t="e">
        <f>+VLOOKUP($E176,Energy_Mix!$1:$1048576,O$2,FALSE)</f>
        <v>#N/A</v>
      </c>
      <c r="P176" s="73" t="e">
        <f>+VLOOKUP($E176,Energy_Mix!$1:$1048576,P$2,FALSE)</f>
        <v>#N/A</v>
      </c>
      <c r="Q176" s="73" t="e">
        <f>+VLOOKUP($E176,Energy_Mix!$1:$1048576,Q$2,FALSE)</f>
        <v>#N/A</v>
      </c>
      <c r="R176" s="73" t="e">
        <f>+VLOOKUP($E176,Energy_Mix!$1:$1048576,R$2,FALSE)</f>
        <v>#N/A</v>
      </c>
      <c r="S176" s="73" t="e">
        <f>+VLOOKUP($E176,Energy_Mix!$1:$1048576,S$2,FALSE)</f>
        <v>#N/A</v>
      </c>
      <c r="T176" s="73" t="e">
        <f>+VLOOKUP($E176,Energy_Mix!$1:$1048576,T$2,FALSE)</f>
        <v>#N/A</v>
      </c>
      <c r="U176" s="73" t="e">
        <f>+VLOOKUP($E176,Energy_Mix!$1:$1048576,U$2,FALSE)</f>
        <v>#N/A</v>
      </c>
      <c r="V176" s="73" t="e">
        <f>+VLOOKUP($E176,Energy_Mix!$1:$1048576,V$2,FALSE)</f>
        <v>#N/A</v>
      </c>
      <c r="W176" s="73" t="e">
        <f>+VLOOKUP($E176,Energy_Mix!$1:$1048576,W$2,FALSE)</f>
        <v>#N/A</v>
      </c>
      <c r="X176" s="73" t="e">
        <f>+VLOOKUP($E176,Energy_Mix!$1:$1048576,X$2,FALSE)</f>
        <v>#N/A</v>
      </c>
      <c r="Y176" s="73" t="e">
        <f>+VLOOKUP($E176,Energy_Mix!$1:$1048576,Y$2,FALSE)</f>
        <v>#N/A</v>
      </c>
      <c r="Z176" s="73" t="e">
        <f>+VLOOKUP($E176,Energy_Mix!$1:$1048576,Z$2,FALSE)</f>
        <v>#N/A</v>
      </c>
      <c r="AA176" s="73" t="e">
        <f>+VLOOKUP($E176,Energy_Mix!$1:$1048576,AA$2,FALSE)</f>
        <v>#N/A</v>
      </c>
      <c r="AB176" s="73" t="e">
        <f>+VLOOKUP($E176,Energy_Mix!$1:$1048576,AB$2,FALSE)</f>
        <v>#N/A</v>
      </c>
      <c r="AC176" s="73" t="e">
        <f>+VLOOKUP($E176,Energy_Mix!$1:$1048576,AC$2,FALSE)</f>
        <v>#N/A</v>
      </c>
      <c r="AD176" s="73" t="e">
        <f>+VLOOKUP($E176,Energy_Mix!$1:$1048576,AD$2,FALSE)</f>
        <v>#N/A</v>
      </c>
      <c r="AE176" s="73" t="e">
        <f>+VLOOKUP($E176,Energy_Mix!$1:$1048576,AE$2,FALSE)</f>
        <v>#N/A</v>
      </c>
      <c r="AF176" s="73" t="e">
        <f>+VLOOKUP($E176,Energy_Mix!$1:$1048576,AF$2,FALSE)</f>
        <v>#N/A</v>
      </c>
      <c r="AG176" s="73" t="e">
        <f>+VLOOKUP($E176,Energy_Mix!$1:$1048576,AG$2,FALSE)</f>
        <v>#N/A</v>
      </c>
      <c r="AH176" s="73" t="e">
        <f>+VLOOKUP($E176,Energy_Mix!$1:$1048576,AH$2,FALSE)</f>
        <v>#N/A</v>
      </c>
      <c r="AI176" s="73" t="e">
        <f>+VLOOKUP($E176,Energy_Mix!$1:$1048576,AI$2,FALSE)</f>
        <v>#N/A</v>
      </c>
      <c r="AJ176" s="73" t="e">
        <f>+VLOOKUP($E176,Energy_Mix!$1:$1048576,AJ$2,FALSE)</f>
        <v>#N/A</v>
      </c>
      <c r="AK176" s="73" t="e">
        <f>+VLOOKUP($E176,Energy_Mix!$1:$1048576,AK$2,FALSE)</f>
        <v>#N/A</v>
      </c>
      <c r="AL176" s="73" t="e">
        <f>+VLOOKUP($E176,Energy_Mix!$1:$1048576,AL$2,FALSE)</f>
        <v>#N/A</v>
      </c>
      <c r="AM176" s="73" t="e">
        <f>+VLOOKUP($E176,Energy_Mix!$1:$1048576,AM$2,FALSE)</f>
        <v>#N/A</v>
      </c>
      <c r="AN176" s="73" t="e">
        <f>+VLOOKUP($E176,Energy_Mix!$1:$1048576,AN$2,FALSE)</f>
        <v>#N/A</v>
      </c>
      <c r="AO176" s="73" t="e">
        <f>+VLOOKUP($E176,Energy_Mix!$1:$1048576,AO$2,FALSE)</f>
        <v>#N/A</v>
      </c>
    </row>
    <row r="177" spans="1:41" s="73" customFormat="1" ht="15" customHeight="1" x14ac:dyDescent="0.25">
      <c r="A177" s="324"/>
      <c r="B177" s="320"/>
      <c r="C177" s="175"/>
      <c r="D177" s="132" t="s">
        <v>2024</v>
      </c>
      <c r="E177" s="85" t="s">
        <v>2037</v>
      </c>
      <c r="F177" s="73" t="e">
        <f>+VLOOKUP($E177,Energy_Mix!$1:$1048576,F$2,FALSE)</f>
        <v>#N/A</v>
      </c>
      <c r="G177" s="73" t="e">
        <f>+VLOOKUP($E177,Energy_Mix!$1:$1048576,G$2,FALSE)</f>
        <v>#N/A</v>
      </c>
      <c r="H177" s="73" t="e">
        <f>+VLOOKUP($E177,Energy_Mix!$1:$1048576,H$2,FALSE)</f>
        <v>#N/A</v>
      </c>
      <c r="I177" s="73" t="e">
        <f>+VLOOKUP($E177,Energy_Mix!$1:$1048576,I$2,FALSE)</f>
        <v>#N/A</v>
      </c>
      <c r="J177" s="73" t="e">
        <f>+VLOOKUP($E177,Energy_Mix!$1:$1048576,J$2,FALSE)</f>
        <v>#N/A</v>
      </c>
      <c r="K177" s="73" t="e">
        <f>+VLOOKUP($E177,Energy_Mix!$1:$1048576,K$2,FALSE)</f>
        <v>#N/A</v>
      </c>
      <c r="L177" s="73" t="e">
        <f>+VLOOKUP($E177,Energy_Mix!$1:$1048576,L$2,FALSE)</f>
        <v>#N/A</v>
      </c>
      <c r="M177" s="73" t="e">
        <f>+VLOOKUP($E177,Energy_Mix!$1:$1048576,M$2,FALSE)</f>
        <v>#N/A</v>
      </c>
      <c r="N177" s="73" t="e">
        <f>+VLOOKUP($E177,Energy_Mix!$1:$1048576,N$2,FALSE)</f>
        <v>#N/A</v>
      </c>
      <c r="O177" s="73" t="e">
        <f>+VLOOKUP($E177,Energy_Mix!$1:$1048576,O$2,FALSE)</f>
        <v>#N/A</v>
      </c>
      <c r="P177" s="73" t="e">
        <f>+VLOOKUP($E177,Energy_Mix!$1:$1048576,P$2,FALSE)</f>
        <v>#N/A</v>
      </c>
      <c r="Q177" s="73" t="e">
        <f>+VLOOKUP($E177,Energy_Mix!$1:$1048576,Q$2,FALSE)</f>
        <v>#N/A</v>
      </c>
      <c r="R177" s="73" t="e">
        <f>+VLOOKUP($E177,Energy_Mix!$1:$1048576,R$2,FALSE)</f>
        <v>#N/A</v>
      </c>
      <c r="S177" s="73" t="e">
        <f>+VLOOKUP($E177,Energy_Mix!$1:$1048576,S$2,FALSE)</f>
        <v>#N/A</v>
      </c>
      <c r="T177" s="73" t="e">
        <f>+VLOOKUP($E177,Energy_Mix!$1:$1048576,T$2,FALSE)</f>
        <v>#N/A</v>
      </c>
      <c r="U177" s="73" t="e">
        <f>+VLOOKUP($E177,Energy_Mix!$1:$1048576,U$2,FALSE)</f>
        <v>#N/A</v>
      </c>
      <c r="V177" s="73" t="e">
        <f>+VLOOKUP($E177,Energy_Mix!$1:$1048576,V$2,FALSE)</f>
        <v>#N/A</v>
      </c>
      <c r="W177" s="73" t="e">
        <f>+VLOOKUP($E177,Energy_Mix!$1:$1048576,W$2,FALSE)</f>
        <v>#N/A</v>
      </c>
      <c r="X177" s="73" t="e">
        <f>+VLOOKUP($E177,Energy_Mix!$1:$1048576,X$2,FALSE)</f>
        <v>#N/A</v>
      </c>
      <c r="Y177" s="73" t="e">
        <f>+VLOOKUP($E177,Energy_Mix!$1:$1048576,Y$2,FALSE)</f>
        <v>#N/A</v>
      </c>
      <c r="Z177" s="73" t="e">
        <f>+VLOOKUP($E177,Energy_Mix!$1:$1048576,Z$2,FALSE)</f>
        <v>#N/A</v>
      </c>
      <c r="AA177" s="73" t="e">
        <f>+VLOOKUP($E177,Energy_Mix!$1:$1048576,AA$2,FALSE)</f>
        <v>#N/A</v>
      </c>
      <c r="AB177" s="73" t="e">
        <f>+VLOOKUP($E177,Energy_Mix!$1:$1048576,AB$2,FALSE)</f>
        <v>#N/A</v>
      </c>
      <c r="AC177" s="73" t="e">
        <f>+VLOOKUP($E177,Energy_Mix!$1:$1048576,AC$2,FALSE)</f>
        <v>#N/A</v>
      </c>
      <c r="AD177" s="73" t="e">
        <f>+VLOOKUP($E177,Energy_Mix!$1:$1048576,AD$2,FALSE)</f>
        <v>#N/A</v>
      </c>
      <c r="AE177" s="73" t="e">
        <f>+VLOOKUP($E177,Energy_Mix!$1:$1048576,AE$2,FALSE)</f>
        <v>#N/A</v>
      </c>
      <c r="AF177" s="73" t="e">
        <f>+VLOOKUP($E177,Energy_Mix!$1:$1048576,AF$2,FALSE)</f>
        <v>#N/A</v>
      </c>
      <c r="AG177" s="73" t="e">
        <f>+VLOOKUP($E177,Energy_Mix!$1:$1048576,AG$2,FALSE)</f>
        <v>#N/A</v>
      </c>
      <c r="AH177" s="73" t="e">
        <f>+VLOOKUP($E177,Energy_Mix!$1:$1048576,AH$2,FALSE)</f>
        <v>#N/A</v>
      </c>
      <c r="AI177" s="73" t="e">
        <f>+VLOOKUP($E177,Energy_Mix!$1:$1048576,AI$2,FALSE)</f>
        <v>#N/A</v>
      </c>
      <c r="AJ177" s="73" t="e">
        <f>+VLOOKUP($E177,Energy_Mix!$1:$1048576,AJ$2,FALSE)</f>
        <v>#N/A</v>
      </c>
      <c r="AK177" s="73" t="e">
        <f>+VLOOKUP($E177,Energy_Mix!$1:$1048576,AK$2,FALSE)</f>
        <v>#N/A</v>
      </c>
      <c r="AL177" s="73" t="e">
        <f>+VLOOKUP($E177,Energy_Mix!$1:$1048576,AL$2,FALSE)</f>
        <v>#N/A</v>
      </c>
      <c r="AM177" s="73" t="e">
        <f>+VLOOKUP($E177,Energy_Mix!$1:$1048576,AM$2,FALSE)</f>
        <v>#N/A</v>
      </c>
      <c r="AN177" s="73" t="e">
        <f>+VLOOKUP($E177,Energy_Mix!$1:$1048576,AN$2,FALSE)</f>
        <v>#N/A</v>
      </c>
      <c r="AO177" s="73" t="e">
        <f>+VLOOKUP($E177,Energy_Mix!$1:$1048576,AO$2,FALSE)</f>
        <v>#N/A</v>
      </c>
    </row>
    <row r="178" spans="1:41" s="73" customFormat="1" ht="15" customHeight="1" x14ac:dyDescent="0.25">
      <c r="A178" s="324"/>
      <c r="B178" s="320"/>
      <c r="C178" s="175" t="s">
        <v>512</v>
      </c>
      <c r="D178" s="132"/>
      <c r="E178" s="85"/>
    </row>
    <row r="179" spans="1:41" s="73" customFormat="1" ht="15" customHeight="1" x14ac:dyDescent="0.25">
      <c r="A179" s="324"/>
      <c r="B179" s="320"/>
      <c r="C179" s="132"/>
      <c r="D179" s="132" t="s">
        <v>2027</v>
      </c>
      <c r="E179" s="85" t="s">
        <v>517</v>
      </c>
      <c r="F179" s="73">
        <f>+VLOOKUP($E179,Energy_Mix!$1:$1048576,F$2,FALSE)</f>
        <v>0.83809636089999995</v>
      </c>
      <c r="G179" s="73">
        <f>+VLOOKUP($E179,Energy_Mix!$1:$1048576,G$2,FALSE)</f>
        <v>0.83809636089999995</v>
      </c>
      <c r="H179" s="73">
        <f>+VLOOKUP($E179,Energy_Mix!$1:$1048576,H$2,FALSE)</f>
        <v>0.83809636089999995</v>
      </c>
      <c r="I179" s="73">
        <f>+VLOOKUP($E179,Energy_Mix!$1:$1048576,I$2,FALSE)</f>
        <v>0.83809636089999995</v>
      </c>
      <c r="J179" s="73">
        <f>+VLOOKUP($E179,Energy_Mix!$1:$1048576,J$2,FALSE)</f>
        <v>0.83809636089999995</v>
      </c>
      <c r="K179" s="73">
        <f>+VLOOKUP($E179,Energy_Mix!$1:$1048576,K$2,FALSE)</f>
        <v>0.83809636089999995</v>
      </c>
      <c r="L179" s="73">
        <f>+VLOOKUP($E179,Energy_Mix!$1:$1048576,L$2,FALSE)</f>
        <v>0.83809636089999995</v>
      </c>
      <c r="M179" s="73">
        <f>+VLOOKUP($E179,Energy_Mix!$1:$1048576,M$2,FALSE)</f>
        <v>0.83809636089999995</v>
      </c>
      <c r="N179" s="73">
        <f>+VLOOKUP($E179,Energy_Mix!$1:$1048576,N$2,FALSE)</f>
        <v>0.83809636089999995</v>
      </c>
      <c r="O179" s="73">
        <f>+VLOOKUP($E179,Energy_Mix!$1:$1048576,O$2,FALSE)</f>
        <v>0.83809636089999995</v>
      </c>
      <c r="P179" s="73">
        <f>+VLOOKUP($E179,Energy_Mix!$1:$1048576,P$2,FALSE)</f>
        <v>0.83809636089999995</v>
      </c>
      <c r="Q179" s="73">
        <f>+VLOOKUP($E179,Energy_Mix!$1:$1048576,Q$2,FALSE)</f>
        <v>0.83809636089999995</v>
      </c>
      <c r="R179" s="73">
        <f>+VLOOKUP($E179,Energy_Mix!$1:$1048576,R$2,FALSE)</f>
        <v>0.83809636089999995</v>
      </c>
      <c r="S179" s="73">
        <f>+VLOOKUP($E179,Energy_Mix!$1:$1048576,S$2,FALSE)</f>
        <v>0.83809636089999995</v>
      </c>
      <c r="T179" s="73">
        <f>+VLOOKUP($E179,Energy_Mix!$1:$1048576,T$2,FALSE)</f>
        <v>0.83809636089999995</v>
      </c>
      <c r="U179" s="73">
        <f>+VLOOKUP($E179,Energy_Mix!$1:$1048576,U$2,FALSE)</f>
        <v>0.83809636089999995</v>
      </c>
      <c r="V179" s="73">
        <f>+VLOOKUP($E179,Energy_Mix!$1:$1048576,V$2,FALSE)</f>
        <v>0.83809636089999995</v>
      </c>
      <c r="W179" s="73">
        <f>+VLOOKUP($E179,Energy_Mix!$1:$1048576,W$2,FALSE)</f>
        <v>0.83809636089999995</v>
      </c>
      <c r="X179" s="73">
        <f>+VLOOKUP($E179,Energy_Mix!$1:$1048576,X$2,FALSE)</f>
        <v>0.83809636089999995</v>
      </c>
      <c r="Y179" s="73">
        <f>+VLOOKUP($E179,Energy_Mix!$1:$1048576,Y$2,FALSE)</f>
        <v>0.83809636089999995</v>
      </c>
      <c r="Z179" s="73">
        <f>+VLOOKUP($E179,Energy_Mix!$1:$1048576,Z$2,FALSE)</f>
        <v>0.83809636089999995</v>
      </c>
      <c r="AA179" s="73">
        <f>+VLOOKUP($E179,Energy_Mix!$1:$1048576,AA$2,FALSE)</f>
        <v>0.83809636089999995</v>
      </c>
      <c r="AB179" s="73">
        <f>+VLOOKUP($E179,Energy_Mix!$1:$1048576,AB$2,FALSE)</f>
        <v>0.83809636089999995</v>
      </c>
      <c r="AC179" s="73">
        <f>+VLOOKUP($E179,Energy_Mix!$1:$1048576,AC$2,FALSE)</f>
        <v>0.83809636089999995</v>
      </c>
      <c r="AD179" s="73">
        <f>+VLOOKUP($E179,Energy_Mix!$1:$1048576,AD$2,FALSE)</f>
        <v>0.83809636089999995</v>
      </c>
      <c r="AE179" s="73">
        <f>+VLOOKUP($E179,Energy_Mix!$1:$1048576,AE$2,FALSE)</f>
        <v>0.83809636089999995</v>
      </c>
      <c r="AF179" s="73">
        <f>+VLOOKUP($E179,Energy_Mix!$1:$1048576,AF$2,FALSE)</f>
        <v>0.83809636089999995</v>
      </c>
      <c r="AG179" s="73">
        <f>+VLOOKUP($E179,Energy_Mix!$1:$1048576,AG$2,FALSE)</f>
        <v>0.83809636089999995</v>
      </c>
      <c r="AH179" s="73">
        <f>+VLOOKUP($E179,Energy_Mix!$1:$1048576,AH$2,FALSE)</f>
        <v>0.83809636089999995</v>
      </c>
      <c r="AI179" s="73">
        <f>+VLOOKUP($E179,Energy_Mix!$1:$1048576,AI$2,FALSE)</f>
        <v>0.83809636089999995</v>
      </c>
      <c r="AJ179" s="73">
        <f>+VLOOKUP($E179,Energy_Mix!$1:$1048576,AJ$2,FALSE)</f>
        <v>0.83809636089999995</v>
      </c>
      <c r="AK179" s="73">
        <f>+VLOOKUP($E179,Energy_Mix!$1:$1048576,AK$2,FALSE)</f>
        <v>0.83809636089999995</v>
      </c>
      <c r="AL179" s="73">
        <f>+VLOOKUP($E179,Energy_Mix!$1:$1048576,AL$2,FALSE)</f>
        <v>0.83809636089999995</v>
      </c>
      <c r="AM179" s="73">
        <f>+VLOOKUP($E179,Energy_Mix!$1:$1048576,AM$2,FALSE)</f>
        <v>0.83809636089999995</v>
      </c>
      <c r="AN179" s="73">
        <f>+VLOOKUP($E179,Energy_Mix!$1:$1048576,AN$2,FALSE)</f>
        <v>0.83809636089999995</v>
      </c>
      <c r="AO179" s="73">
        <f>+VLOOKUP($E179,Energy_Mix!$1:$1048576,AO$2,FALSE)</f>
        <v>0.83809636089999995</v>
      </c>
    </row>
    <row r="180" spans="1:41" s="73" customFormat="1" ht="15" customHeight="1" x14ac:dyDescent="0.25">
      <c r="A180" s="324"/>
      <c r="B180" s="320"/>
      <c r="C180" s="132"/>
      <c r="D180" s="132" t="s">
        <v>567</v>
      </c>
      <c r="E180" s="85" t="s">
        <v>518</v>
      </c>
      <c r="F180" s="73">
        <f>+VLOOKUP($E180,Energy_Mix!$1:$1048576,F$2,FALSE)</f>
        <v>0.1619036391</v>
      </c>
      <c r="G180" s="73">
        <f>+VLOOKUP($E180,Energy_Mix!$1:$1048576,G$2,FALSE)</f>
        <v>0.1619036391</v>
      </c>
      <c r="H180" s="73">
        <f>+VLOOKUP($E180,Energy_Mix!$1:$1048576,H$2,FALSE)</f>
        <v>0.1619036391</v>
      </c>
      <c r="I180" s="73">
        <f>+VLOOKUP($E180,Energy_Mix!$1:$1048576,I$2,FALSE)</f>
        <v>0.1619036391</v>
      </c>
      <c r="J180" s="73">
        <f>+VLOOKUP($E180,Energy_Mix!$1:$1048576,J$2,FALSE)</f>
        <v>0.1619036391</v>
      </c>
      <c r="K180" s="73">
        <f>+VLOOKUP($E180,Energy_Mix!$1:$1048576,K$2,FALSE)</f>
        <v>0.1619036391</v>
      </c>
      <c r="L180" s="73">
        <f>+VLOOKUP($E180,Energy_Mix!$1:$1048576,L$2,FALSE)</f>
        <v>0.1619036391</v>
      </c>
      <c r="M180" s="73">
        <f>+VLOOKUP($E180,Energy_Mix!$1:$1048576,M$2,FALSE)</f>
        <v>0.1619036391</v>
      </c>
      <c r="N180" s="73">
        <f>+VLOOKUP($E180,Energy_Mix!$1:$1048576,N$2,FALSE)</f>
        <v>0.1619036391</v>
      </c>
      <c r="O180" s="73">
        <f>+VLOOKUP($E180,Energy_Mix!$1:$1048576,O$2,FALSE)</f>
        <v>0.1619036391</v>
      </c>
      <c r="P180" s="73">
        <f>+VLOOKUP($E180,Energy_Mix!$1:$1048576,P$2,FALSE)</f>
        <v>0.1619036391</v>
      </c>
      <c r="Q180" s="73">
        <f>+VLOOKUP($E180,Energy_Mix!$1:$1048576,Q$2,FALSE)</f>
        <v>0.1619036391</v>
      </c>
      <c r="R180" s="73">
        <f>+VLOOKUP($E180,Energy_Mix!$1:$1048576,R$2,FALSE)</f>
        <v>0.1619036391</v>
      </c>
      <c r="S180" s="73">
        <f>+VLOOKUP($E180,Energy_Mix!$1:$1048576,S$2,FALSE)</f>
        <v>0.1619036391</v>
      </c>
      <c r="T180" s="73">
        <f>+VLOOKUP($E180,Energy_Mix!$1:$1048576,T$2,FALSE)</f>
        <v>0.1619036391</v>
      </c>
      <c r="U180" s="73">
        <f>+VLOOKUP($E180,Energy_Mix!$1:$1048576,U$2,FALSE)</f>
        <v>0.1619036391</v>
      </c>
      <c r="V180" s="73">
        <f>+VLOOKUP($E180,Energy_Mix!$1:$1048576,V$2,FALSE)</f>
        <v>0.1619036391</v>
      </c>
      <c r="W180" s="73">
        <f>+VLOOKUP($E180,Energy_Mix!$1:$1048576,W$2,FALSE)</f>
        <v>0.1619036391</v>
      </c>
      <c r="X180" s="73">
        <f>+VLOOKUP($E180,Energy_Mix!$1:$1048576,X$2,FALSE)</f>
        <v>0.1619036391</v>
      </c>
      <c r="Y180" s="73">
        <f>+VLOOKUP($E180,Energy_Mix!$1:$1048576,Y$2,FALSE)</f>
        <v>0.1619036391</v>
      </c>
      <c r="Z180" s="73">
        <f>+VLOOKUP($E180,Energy_Mix!$1:$1048576,Z$2,FALSE)</f>
        <v>0.1619036391</v>
      </c>
      <c r="AA180" s="73">
        <f>+VLOOKUP($E180,Energy_Mix!$1:$1048576,AA$2,FALSE)</f>
        <v>0.1619036391</v>
      </c>
      <c r="AB180" s="73">
        <f>+VLOOKUP($E180,Energy_Mix!$1:$1048576,AB$2,FALSE)</f>
        <v>0.1619036391</v>
      </c>
      <c r="AC180" s="73">
        <f>+VLOOKUP($E180,Energy_Mix!$1:$1048576,AC$2,FALSE)</f>
        <v>0.1619036391</v>
      </c>
      <c r="AD180" s="73">
        <f>+VLOOKUP($E180,Energy_Mix!$1:$1048576,AD$2,FALSE)</f>
        <v>0.1619036391</v>
      </c>
      <c r="AE180" s="73">
        <f>+VLOOKUP($E180,Energy_Mix!$1:$1048576,AE$2,FALSE)</f>
        <v>0.1619036391</v>
      </c>
      <c r="AF180" s="73">
        <f>+VLOOKUP($E180,Energy_Mix!$1:$1048576,AF$2,FALSE)</f>
        <v>0.1619036391</v>
      </c>
      <c r="AG180" s="73">
        <f>+VLOOKUP($E180,Energy_Mix!$1:$1048576,AG$2,FALSE)</f>
        <v>0.1619036391</v>
      </c>
      <c r="AH180" s="73">
        <f>+VLOOKUP($E180,Energy_Mix!$1:$1048576,AH$2,FALSE)</f>
        <v>0.1619036391</v>
      </c>
      <c r="AI180" s="73">
        <f>+VLOOKUP($E180,Energy_Mix!$1:$1048576,AI$2,FALSE)</f>
        <v>0.1619036391</v>
      </c>
      <c r="AJ180" s="73">
        <f>+VLOOKUP($E180,Energy_Mix!$1:$1048576,AJ$2,FALSE)</f>
        <v>0.1619036391</v>
      </c>
      <c r="AK180" s="73">
        <f>+VLOOKUP($E180,Energy_Mix!$1:$1048576,AK$2,FALSE)</f>
        <v>0.1619036391</v>
      </c>
      <c r="AL180" s="73">
        <f>+VLOOKUP($E180,Energy_Mix!$1:$1048576,AL$2,FALSE)</f>
        <v>0.1619036391</v>
      </c>
      <c r="AM180" s="73">
        <f>+VLOOKUP($E180,Energy_Mix!$1:$1048576,AM$2,FALSE)</f>
        <v>0.1619036391</v>
      </c>
      <c r="AN180" s="73">
        <f>+VLOOKUP($E180,Energy_Mix!$1:$1048576,AN$2,FALSE)</f>
        <v>0.1619036391</v>
      </c>
      <c r="AO180" s="73">
        <f>+VLOOKUP($E180,Energy_Mix!$1:$1048576,AO$2,FALSE)</f>
        <v>0.1619036391</v>
      </c>
    </row>
    <row r="181" spans="1:41" s="73" customFormat="1" ht="15" customHeight="1" x14ac:dyDescent="0.25">
      <c r="A181" s="324"/>
      <c r="B181" s="320"/>
      <c r="C181" s="175" t="s">
        <v>513</v>
      </c>
      <c r="D181" s="132"/>
      <c r="E181" s="85"/>
    </row>
    <row r="182" spans="1:41" s="73" customFormat="1" ht="15" customHeight="1" x14ac:dyDescent="0.25">
      <c r="A182" s="324"/>
      <c r="B182" s="320"/>
      <c r="C182" s="175"/>
      <c r="D182" s="132" t="s">
        <v>2027</v>
      </c>
      <c r="E182" s="85" t="s">
        <v>2038</v>
      </c>
      <c r="F182" s="73" t="e">
        <f>+VLOOKUP($E182,Energy_Mix!$1:$1048576,F$2,FALSE)</f>
        <v>#N/A</v>
      </c>
      <c r="G182" s="73" t="e">
        <f>+VLOOKUP($E182,Energy_Mix!$1:$1048576,G$2,FALSE)</f>
        <v>#N/A</v>
      </c>
      <c r="H182" s="73" t="e">
        <f>+VLOOKUP($E182,Energy_Mix!$1:$1048576,H$2,FALSE)</f>
        <v>#N/A</v>
      </c>
      <c r="I182" s="73" t="e">
        <f>+VLOOKUP($E182,Energy_Mix!$1:$1048576,I$2,FALSE)</f>
        <v>#N/A</v>
      </c>
      <c r="J182" s="73" t="e">
        <f>+VLOOKUP($E182,Energy_Mix!$1:$1048576,J$2,FALSE)</f>
        <v>#N/A</v>
      </c>
      <c r="K182" s="73" t="e">
        <f>+VLOOKUP($E182,Energy_Mix!$1:$1048576,K$2,FALSE)</f>
        <v>#N/A</v>
      </c>
      <c r="L182" s="73" t="e">
        <f>+VLOOKUP($E182,Energy_Mix!$1:$1048576,L$2,FALSE)</f>
        <v>#N/A</v>
      </c>
      <c r="M182" s="73" t="e">
        <f>+VLOOKUP($E182,Energy_Mix!$1:$1048576,M$2,FALSE)</f>
        <v>#N/A</v>
      </c>
      <c r="N182" s="73" t="e">
        <f>+VLOOKUP($E182,Energy_Mix!$1:$1048576,N$2,FALSE)</f>
        <v>#N/A</v>
      </c>
      <c r="O182" s="73" t="e">
        <f>+VLOOKUP($E182,Energy_Mix!$1:$1048576,O$2,FALSE)</f>
        <v>#N/A</v>
      </c>
      <c r="P182" s="73" t="e">
        <f>+VLOOKUP($E182,Energy_Mix!$1:$1048576,P$2,FALSE)</f>
        <v>#N/A</v>
      </c>
      <c r="Q182" s="73" t="e">
        <f>+VLOOKUP($E182,Energy_Mix!$1:$1048576,Q$2,FALSE)</f>
        <v>#N/A</v>
      </c>
      <c r="R182" s="73" t="e">
        <f>+VLOOKUP($E182,Energy_Mix!$1:$1048576,R$2,FALSE)</f>
        <v>#N/A</v>
      </c>
      <c r="S182" s="73" t="e">
        <f>+VLOOKUP($E182,Energy_Mix!$1:$1048576,S$2,FALSE)</f>
        <v>#N/A</v>
      </c>
      <c r="T182" s="73" t="e">
        <f>+VLOOKUP($E182,Energy_Mix!$1:$1048576,T$2,FALSE)</f>
        <v>#N/A</v>
      </c>
      <c r="U182" s="73" t="e">
        <f>+VLOOKUP($E182,Energy_Mix!$1:$1048576,U$2,FALSE)</f>
        <v>#N/A</v>
      </c>
      <c r="V182" s="73" t="e">
        <f>+VLOOKUP($E182,Energy_Mix!$1:$1048576,V$2,FALSE)</f>
        <v>#N/A</v>
      </c>
      <c r="W182" s="73" t="e">
        <f>+VLOOKUP($E182,Energy_Mix!$1:$1048576,W$2,FALSE)</f>
        <v>#N/A</v>
      </c>
      <c r="X182" s="73" t="e">
        <f>+VLOOKUP($E182,Energy_Mix!$1:$1048576,X$2,FALSE)</f>
        <v>#N/A</v>
      </c>
      <c r="Y182" s="73" t="e">
        <f>+VLOOKUP($E182,Energy_Mix!$1:$1048576,Y$2,FALSE)</f>
        <v>#N/A</v>
      </c>
      <c r="Z182" s="73" t="e">
        <f>+VLOOKUP($E182,Energy_Mix!$1:$1048576,Z$2,FALSE)</f>
        <v>#N/A</v>
      </c>
      <c r="AA182" s="73" t="e">
        <f>+VLOOKUP($E182,Energy_Mix!$1:$1048576,AA$2,FALSE)</f>
        <v>#N/A</v>
      </c>
      <c r="AB182" s="73" t="e">
        <f>+VLOOKUP($E182,Energy_Mix!$1:$1048576,AB$2,FALSE)</f>
        <v>#N/A</v>
      </c>
      <c r="AC182" s="73" t="e">
        <f>+VLOOKUP($E182,Energy_Mix!$1:$1048576,AC$2,FALSE)</f>
        <v>#N/A</v>
      </c>
      <c r="AD182" s="73" t="e">
        <f>+VLOOKUP($E182,Energy_Mix!$1:$1048576,AD$2,FALSE)</f>
        <v>#N/A</v>
      </c>
      <c r="AE182" s="73" t="e">
        <f>+VLOOKUP($E182,Energy_Mix!$1:$1048576,AE$2,FALSE)</f>
        <v>#N/A</v>
      </c>
      <c r="AF182" s="73" t="e">
        <f>+VLOOKUP($E182,Energy_Mix!$1:$1048576,AF$2,FALSE)</f>
        <v>#N/A</v>
      </c>
      <c r="AG182" s="73" t="e">
        <f>+VLOOKUP($E182,Energy_Mix!$1:$1048576,AG$2,FALSE)</f>
        <v>#N/A</v>
      </c>
      <c r="AH182" s="73" t="e">
        <f>+VLOOKUP($E182,Energy_Mix!$1:$1048576,AH$2,FALSE)</f>
        <v>#N/A</v>
      </c>
      <c r="AI182" s="73" t="e">
        <f>+VLOOKUP($E182,Energy_Mix!$1:$1048576,AI$2,FALSE)</f>
        <v>#N/A</v>
      </c>
      <c r="AJ182" s="73" t="e">
        <f>+VLOOKUP($E182,Energy_Mix!$1:$1048576,AJ$2,FALSE)</f>
        <v>#N/A</v>
      </c>
      <c r="AK182" s="73" t="e">
        <f>+VLOOKUP($E182,Energy_Mix!$1:$1048576,AK$2,FALSE)</f>
        <v>#N/A</v>
      </c>
      <c r="AL182" s="73" t="e">
        <f>+VLOOKUP($E182,Energy_Mix!$1:$1048576,AL$2,FALSE)</f>
        <v>#N/A</v>
      </c>
      <c r="AM182" s="73" t="e">
        <f>+VLOOKUP($E182,Energy_Mix!$1:$1048576,AM$2,FALSE)</f>
        <v>#N/A</v>
      </c>
      <c r="AN182" s="73" t="e">
        <f>+VLOOKUP($E182,Energy_Mix!$1:$1048576,AN$2,FALSE)</f>
        <v>#N/A</v>
      </c>
      <c r="AO182" s="73" t="e">
        <f>+VLOOKUP($E182,Energy_Mix!$1:$1048576,AO$2,FALSE)</f>
        <v>#N/A</v>
      </c>
    </row>
    <row r="183" spans="1:41" s="73" customFormat="1" ht="15" customHeight="1" x14ac:dyDescent="0.25">
      <c r="A183" s="324"/>
      <c r="B183" s="320"/>
      <c r="C183" s="175" t="s">
        <v>514</v>
      </c>
      <c r="D183" s="132"/>
      <c r="E183" s="85"/>
    </row>
    <row r="184" spans="1:41" s="73" customFormat="1" ht="15" customHeight="1" x14ac:dyDescent="0.25">
      <c r="A184" s="324"/>
      <c r="B184" s="320"/>
      <c r="C184" s="175"/>
      <c r="D184" s="132" t="s">
        <v>568</v>
      </c>
      <c r="E184" s="85" t="s">
        <v>2018</v>
      </c>
      <c r="F184" s="73" t="e">
        <f>+VLOOKUP($E184,Energy_Mix!$1:$1048576,F$2,FALSE)</f>
        <v>#N/A</v>
      </c>
      <c r="G184" s="73" t="e">
        <f>+VLOOKUP($E184,Energy_Mix!$1:$1048576,G$2,FALSE)</f>
        <v>#N/A</v>
      </c>
      <c r="H184" s="73" t="e">
        <f>+VLOOKUP($E184,Energy_Mix!$1:$1048576,H$2,FALSE)</f>
        <v>#N/A</v>
      </c>
      <c r="I184" s="73" t="e">
        <f>+VLOOKUP($E184,Energy_Mix!$1:$1048576,I$2,FALSE)</f>
        <v>#N/A</v>
      </c>
      <c r="J184" s="73" t="e">
        <f>+VLOOKUP($E184,Energy_Mix!$1:$1048576,J$2,FALSE)</f>
        <v>#N/A</v>
      </c>
      <c r="K184" s="73" t="e">
        <f>+VLOOKUP($E184,Energy_Mix!$1:$1048576,K$2,FALSE)</f>
        <v>#N/A</v>
      </c>
      <c r="L184" s="73" t="e">
        <f>+VLOOKUP($E184,Energy_Mix!$1:$1048576,L$2,FALSE)</f>
        <v>#N/A</v>
      </c>
      <c r="M184" s="73" t="e">
        <f>+VLOOKUP($E184,Energy_Mix!$1:$1048576,M$2,FALSE)</f>
        <v>#N/A</v>
      </c>
      <c r="N184" s="73" t="e">
        <f>+VLOOKUP($E184,Energy_Mix!$1:$1048576,N$2,FALSE)</f>
        <v>#N/A</v>
      </c>
      <c r="O184" s="73" t="e">
        <f>+VLOOKUP($E184,Energy_Mix!$1:$1048576,O$2,FALSE)</f>
        <v>#N/A</v>
      </c>
      <c r="P184" s="73" t="e">
        <f>+VLOOKUP($E184,Energy_Mix!$1:$1048576,P$2,FALSE)</f>
        <v>#N/A</v>
      </c>
      <c r="Q184" s="73" t="e">
        <f>+VLOOKUP($E184,Energy_Mix!$1:$1048576,Q$2,FALSE)</f>
        <v>#N/A</v>
      </c>
      <c r="R184" s="73" t="e">
        <f>+VLOOKUP($E184,Energy_Mix!$1:$1048576,R$2,FALSE)</f>
        <v>#N/A</v>
      </c>
      <c r="S184" s="73" t="e">
        <f>+VLOOKUP($E184,Energy_Mix!$1:$1048576,S$2,FALSE)</f>
        <v>#N/A</v>
      </c>
      <c r="T184" s="73" t="e">
        <f>+VLOOKUP($E184,Energy_Mix!$1:$1048576,T$2,FALSE)</f>
        <v>#N/A</v>
      </c>
      <c r="U184" s="73" t="e">
        <f>+VLOOKUP($E184,Energy_Mix!$1:$1048576,U$2,FALSE)</f>
        <v>#N/A</v>
      </c>
      <c r="V184" s="73" t="e">
        <f>+VLOOKUP($E184,Energy_Mix!$1:$1048576,V$2,FALSE)</f>
        <v>#N/A</v>
      </c>
      <c r="W184" s="73" t="e">
        <f>+VLOOKUP($E184,Energy_Mix!$1:$1048576,W$2,FALSE)</f>
        <v>#N/A</v>
      </c>
      <c r="X184" s="73" t="e">
        <f>+VLOOKUP($E184,Energy_Mix!$1:$1048576,X$2,FALSE)</f>
        <v>#N/A</v>
      </c>
      <c r="Y184" s="73" t="e">
        <f>+VLOOKUP($E184,Energy_Mix!$1:$1048576,Y$2,FALSE)</f>
        <v>#N/A</v>
      </c>
      <c r="Z184" s="73" t="e">
        <f>+VLOOKUP($E184,Energy_Mix!$1:$1048576,Z$2,FALSE)</f>
        <v>#N/A</v>
      </c>
      <c r="AA184" s="73" t="e">
        <f>+VLOOKUP($E184,Energy_Mix!$1:$1048576,AA$2,FALSE)</f>
        <v>#N/A</v>
      </c>
      <c r="AB184" s="73" t="e">
        <f>+VLOOKUP($E184,Energy_Mix!$1:$1048576,AB$2,FALSE)</f>
        <v>#N/A</v>
      </c>
      <c r="AC184" s="73" t="e">
        <f>+VLOOKUP($E184,Energy_Mix!$1:$1048576,AC$2,FALSE)</f>
        <v>#N/A</v>
      </c>
      <c r="AD184" s="73" t="e">
        <f>+VLOOKUP($E184,Energy_Mix!$1:$1048576,AD$2,FALSE)</f>
        <v>#N/A</v>
      </c>
      <c r="AE184" s="73" t="e">
        <f>+VLOOKUP($E184,Energy_Mix!$1:$1048576,AE$2,FALSE)</f>
        <v>#N/A</v>
      </c>
      <c r="AF184" s="73" t="e">
        <f>+VLOOKUP($E184,Energy_Mix!$1:$1048576,AF$2,FALSE)</f>
        <v>#N/A</v>
      </c>
      <c r="AG184" s="73" t="e">
        <f>+VLOOKUP($E184,Energy_Mix!$1:$1048576,AG$2,FALSE)</f>
        <v>#N/A</v>
      </c>
      <c r="AH184" s="73" t="e">
        <f>+VLOOKUP($E184,Energy_Mix!$1:$1048576,AH$2,FALSE)</f>
        <v>#N/A</v>
      </c>
      <c r="AI184" s="73" t="e">
        <f>+VLOOKUP($E184,Energy_Mix!$1:$1048576,AI$2,FALSE)</f>
        <v>#N/A</v>
      </c>
      <c r="AJ184" s="73" t="e">
        <f>+VLOOKUP($E184,Energy_Mix!$1:$1048576,AJ$2,FALSE)</f>
        <v>#N/A</v>
      </c>
      <c r="AK184" s="73" t="e">
        <f>+VLOOKUP($E184,Energy_Mix!$1:$1048576,AK$2,FALSE)</f>
        <v>#N/A</v>
      </c>
      <c r="AL184" s="73" t="e">
        <f>+VLOOKUP($E184,Energy_Mix!$1:$1048576,AL$2,FALSE)</f>
        <v>#N/A</v>
      </c>
      <c r="AM184" s="73" t="e">
        <f>+VLOOKUP($E184,Energy_Mix!$1:$1048576,AM$2,FALSE)</f>
        <v>#N/A</v>
      </c>
      <c r="AN184" s="73" t="e">
        <f>+VLOOKUP($E184,Energy_Mix!$1:$1048576,AN$2,FALSE)</f>
        <v>#N/A</v>
      </c>
      <c r="AO184" s="73" t="e">
        <f>+VLOOKUP($E184,Energy_Mix!$1:$1048576,AO$2,FALSE)</f>
        <v>#N/A</v>
      </c>
    </row>
    <row r="185" spans="1:41" s="73" customFormat="1" ht="15" customHeight="1" x14ac:dyDescent="0.25">
      <c r="A185" s="324"/>
      <c r="B185" s="320"/>
      <c r="C185" s="175"/>
      <c r="D185" s="132" t="s">
        <v>568</v>
      </c>
      <c r="E185" s="85" t="s">
        <v>2019</v>
      </c>
      <c r="F185" s="73" t="e">
        <f>+VLOOKUP($E185,Energy_Mix!$1:$1048576,F$2,FALSE)</f>
        <v>#N/A</v>
      </c>
      <c r="G185" s="73" t="e">
        <f>+VLOOKUP($E185,Energy_Mix!$1:$1048576,G$2,FALSE)</f>
        <v>#N/A</v>
      </c>
      <c r="H185" s="73" t="e">
        <f>+VLOOKUP($E185,Energy_Mix!$1:$1048576,H$2,FALSE)</f>
        <v>#N/A</v>
      </c>
      <c r="I185" s="73" t="e">
        <f>+VLOOKUP($E185,Energy_Mix!$1:$1048576,I$2,FALSE)</f>
        <v>#N/A</v>
      </c>
      <c r="J185" s="73" t="e">
        <f>+VLOOKUP($E185,Energy_Mix!$1:$1048576,J$2,FALSE)</f>
        <v>#N/A</v>
      </c>
      <c r="K185" s="73" t="e">
        <f>+VLOOKUP($E185,Energy_Mix!$1:$1048576,K$2,FALSE)</f>
        <v>#N/A</v>
      </c>
      <c r="L185" s="73" t="e">
        <f>+VLOOKUP($E185,Energy_Mix!$1:$1048576,L$2,FALSE)</f>
        <v>#N/A</v>
      </c>
      <c r="M185" s="73" t="e">
        <f>+VLOOKUP($E185,Energy_Mix!$1:$1048576,M$2,FALSE)</f>
        <v>#N/A</v>
      </c>
      <c r="N185" s="73" t="e">
        <f>+VLOOKUP($E185,Energy_Mix!$1:$1048576,N$2,FALSE)</f>
        <v>#N/A</v>
      </c>
      <c r="O185" s="73" t="e">
        <f>+VLOOKUP($E185,Energy_Mix!$1:$1048576,O$2,FALSE)</f>
        <v>#N/A</v>
      </c>
      <c r="P185" s="73" t="e">
        <f>+VLOOKUP($E185,Energy_Mix!$1:$1048576,P$2,FALSE)</f>
        <v>#N/A</v>
      </c>
      <c r="Q185" s="73" t="e">
        <f>+VLOOKUP($E185,Energy_Mix!$1:$1048576,Q$2,FALSE)</f>
        <v>#N/A</v>
      </c>
      <c r="R185" s="73" t="e">
        <f>+VLOOKUP($E185,Energy_Mix!$1:$1048576,R$2,FALSE)</f>
        <v>#N/A</v>
      </c>
      <c r="S185" s="73" t="e">
        <f>+VLOOKUP($E185,Energy_Mix!$1:$1048576,S$2,FALSE)</f>
        <v>#N/A</v>
      </c>
      <c r="T185" s="73" t="e">
        <f>+VLOOKUP($E185,Energy_Mix!$1:$1048576,T$2,FALSE)</f>
        <v>#N/A</v>
      </c>
      <c r="U185" s="73" t="e">
        <f>+VLOOKUP($E185,Energy_Mix!$1:$1048576,U$2,FALSE)</f>
        <v>#N/A</v>
      </c>
      <c r="V185" s="73" t="e">
        <f>+VLOOKUP($E185,Energy_Mix!$1:$1048576,V$2,FALSE)</f>
        <v>#N/A</v>
      </c>
      <c r="W185" s="73" t="e">
        <f>+VLOOKUP($E185,Energy_Mix!$1:$1048576,W$2,FALSE)</f>
        <v>#N/A</v>
      </c>
      <c r="X185" s="73" t="e">
        <f>+VLOOKUP($E185,Energy_Mix!$1:$1048576,X$2,FALSE)</f>
        <v>#N/A</v>
      </c>
      <c r="Y185" s="73" t="e">
        <f>+VLOOKUP($E185,Energy_Mix!$1:$1048576,Y$2,FALSE)</f>
        <v>#N/A</v>
      </c>
      <c r="Z185" s="73" t="e">
        <f>+VLOOKUP($E185,Energy_Mix!$1:$1048576,Z$2,FALSE)</f>
        <v>#N/A</v>
      </c>
      <c r="AA185" s="73" t="e">
        <f>+VLOOKUP($E185,Energy_Mix!$1:$1048576,AA$2,FALSE)</f>
        <v>#N/A</v>
      </c>
      <c r="AB185" s="73" t="e">
        <f>+VLOOKUP($E185,Energy_Mix!$1:$1048576,AB$2,FALSE)</f>
        <v>#N/A</v>
      </c>
      <c r="AC185" s="73" t="e">
        <f>+VLOOKUP($E185,Energy_Mix!$1:$1048576,AC$2,FALSE)</f>
        <v>#N/A</v>
      </c>
      <c r="AD185" s="73" t="e">
        <f>+VLOOKUP($E185,Energy_Mix!$1:$1048576,AD$2,FALSE)</f>
        <v>#N/A</v>
      </c>
      <c r="AE185" s="73" t="e">
        <f>+VLOOKUP($E185,Energy_Mix!$1:$1048576,AE$2,FALSE)</f>
        <v>#N/A</v>
      </c>
      <c r="AF185" s="73" t="e">
        <f>+VLOOKUP($E185,Energy_Mix!$1:$1048576,AF$2,FALSE)</f>
        <v>#N/A</v>
      </c>
      <c r="AG185" s="73" t="e">
        <f>+VLOOKUP($E185,Energy_Mix!$1:$1048576,AG$2,FALSE)</f>
        <v>#N/A</v>
      </c>
      <c r="AH185" s="73" t="e">
        <f>+VLOOKUP($E185,Energy_Mix!$1:$1048576,AH$2,FALSE)</f>
        <v>#N/A</v>
      </c>
      <c r="AI185" s="73" t="e">
        <f>+VLOOKUP($E185,Energy_Mix!$1:$1048576,AI$2,FALSE)</f>
        <v>#N/A</v>
      </c>
      <c r="AJ185" s="73" t="e">
        <f>+VLOOKUP($E185,Energy_Mix!$1:$1048576,AJ$2,FALSE)</f>
        <v>#N/A</v>
      </c>
      <c r="AK185" s="73" t="e">
        <f>+VLOOKUP($E185,Energy_Mix!$1:$1048576,AK$2,FALSE)</f>
        <v>#N/A</v>
      </c>
      <c r="AL185" s="73" t="e">
        <f>+VLOOKUP($E185,Energy_Mix!$1:$1048576,AL$2,FALSE)</f>
        <v>#N/A</v>
      </c>
      <c r="AM185" s="73" t="e">
        <f>+VLOOKUP($E185,Energy_Mix!$1:$1048576,AM$2,FALSE)</f>
        <v>#N/A</v>
      </c>
      <c r="AN185" s="73" t="e">
        <f>+VLOOKUP($E185,Energy_Mix!$1:$1048576,AN$2,FALSE)</f>
        <v>#N/A</v>
      </c>
      <c r="AO185" s="73" t="e">
        <f>+VLOOKUP($E185,Energy_Mix!$1:$1048576,AO$2,FALSE)</f>
        <v>#N/A</v>
      </c>
    </row>
    <row r="186" spans="1:41" s="73" customFormat="1" ht="15" customHeight="1" x14ac:dyDescent="0.25">
      <c r="A186" s="324"/>
      <c r="B186" s="320"/>
      <c r="C186" s="132"/>
      <c r="D186" s="132" t="s">
        <v>568</v>
      </c>
      <c r="E186" s="85" t="s">
        <v>519</v>
      </c>
      <c r="F186" s="73">
        <f>+VLOOKUP($E186,Energy_Mix!$1:$1048576,F$2,FALSE)</f>
        <v>0.14751432270000001</v>
      </c>
      <c r="G186" s="73">
        <f>+VLOOKUP($E186,Energy_Mix!$1:$1048576,G$2,FALSE)</f>
        <v>0.14751432270000001</v>
      </c>
      <c r="H186" s="73">
        <f>+VLOOKUP($E186,Energy_Mix!$1:$1048576,H$2,FALSE)</f>
        <v>0.14751432270000001</v>
      </c>
      <c r="I186" s="73">
        <f>+VLOOKUP($E186,Energy_Mix!$1:$1048576,I$2,FALSE)</f>
        <v>0.14751432270000001</v>
      </c>
      <c r="J186" s="73">
        <f>+VLOOKUP($E186,Energy_Mix!$1:$1048576,J$2,FALSE)</f>
        <v>0.14751432270000001</v>
      </c>
      <c r="K186" s="73">
        <f>+VLOOKUP($E186,Energy_Mix!$1:$1048576,K$2,FALSE)</f>
        <v>0.14751432270000001</v>
      </c>
      <c r="L186" s="73">
        <f>+VLOOKUP($E186,Energy_Mix!$1:$1048576,L$2,FALSE)</f>
        <v>0.14751432270000001</v>
      </c>
      <c r="M186" s="73">
        <f>+VLOOKUP($E186,Energy_Mix!$1:$1048576,M$2,FALSE)</f>
        <v>0.14751432270000001</v>
      </c>
      <c r="N186" s="73">
        <f>+VLOOKUP($E186,Energy_Mix!$1:$1048576,N$2,FALSE)</f>
        <v>0.14751432270000001</v>
      </c>
      <c r="O186" s="73">
        <f>+VLOOKUP($E186,Energy_Mix!$1:$1048576,O$2,FALSE)</f>
        <v>0.14751432270000001</v>
      </c>
      <c r="P186" s="73">
        <f>+VLOOKUP($E186,Energy_Mix!$1:$1048576,P$2,FALSE)</f>
        <v>0.14751432270000001</v>
      </c>
      <c r="Q186" s="73">
        <f>+VLOOKUP($E186,Energy_Mix!$1:$1048576,Q$2,FALSE)</f>
        <v>0.14751432270000001</v>
      </c>
      <c r="R186" s="73">
        <f>+VLOOKUP($E186,Energy_Mix!$1:$1048576,R$2,FALSE)</f>
        <v>0.14751432270000001</v>
      </c>
      <c r="S186" s="73">
        <f>+VLOOKUP($E186,Energy_Mix!$1:$1048576,S$2,FALSE)</f>
        <v>0.14751432270000001</v>
      </c>
      <c r="T186" s="73">
        <f>+VLOOKUP($E186,Energy_Mix!$1:$1048576,T$2,FALSE)</f>
        <v>0.14751432270000001</v>
      </c>
      <c r="U186" s="73">
        <f>+VLOOKUP($E186,Energy_Mix!$1:$1048576,U$2,FALSE)</f>
        <v>0.14751432270000001</v>
      </c>
      <c r="V186" s="73">
        <f>+VLOOKUP($E186,Energy_Mix!$1:$1048576,V$2,FALSE)</f>
        <v>0.14751432270000001</v>
      </c>
      <c r="W186" s="73">
        <f>+VLOOKUP($E186,Energy_Mix!$1:$1048576,W$2,FALSE)</f>
        <v>0.14751432270000001</v>
      </c>
      <c r="X186" s="73">
        <f>+VLOOKUP($E186,Energy_Mix!$1:$1048576,X$2,FALSE)</f>
        <v>0.14751432270000001</v>
      </c>
      <c r="Y186" s="73">
        <f>+VLOOKUP($E186,Energy_Mix!$1:$1048576,Y$2,FALSE)</f>
        <v>0.14751432270000001</v>
      </c>
      <c r="Z186" s="73">
        <f>+VLOOKUP($E186,Energy_Mix!$1:$1048576,Z$2,FALSE)</f>
        <v>0.14751432270000001</v>
      </c>
      <c r="AA186" s="73">
        <f>+VLOOKUP($E186,Energy_Mix!$1:$1048576,AA$2,FALSE)</f>
        <v>0.14751432270000001</v>
      </c>
      <c r="AB186" s="73">
        <f>+VLOOKUP($E186,Energy_Mix!$1:$1048576,AB$2,FALSE)</f>
        <v>0.14751432270000001</v>
      </c>
      <c r="AC186" s="73">
        <f>+VLOOKUP($E186,Energy_Mix!$1:$1048576,AC$2,FALSE)</f>
        <v>0.14751432270000001</v>
      </c>
      <c r="AD186" s="73">
        <f>+VLOOKUP($E186,Energy_Mix!$1:$1048576,AD$2,FALSE)</f>
        <v>0.14751432270000001</v>
      </c>
      <c r="AE186" s="73">
        <f>+VLOOKUP($E186,Energy_Mix!$1:$1048576,AE$2,FALSE)</f>
        <v>0.14751432270000001</v>
      </c>
      <c r="AF186" s="73">
        <f>+VLOOKUP($E186,Energy_Mix!$1:$1048576,AF$2,FALSE)</f>
        <v>0.14751432270000001</v>
      </c>
      <c r="AG186" s="73">
        <f>+VLOOKUP($E186,Energy_Mix!$1:$1048576,AG$2,FALSE)</f>
        <v>0.14751432270000001</v>
      </c>
      <c r="AH186" s="73">
        <f>+VLOOKUP($E186,Energy_Mix!$1:$1048576,AH$2,FALSE)</f>
        <v>0.14751432270000001</v>
      </c>
      <c r="AI186" s="73">
        <f>+VLOOKUP($E186,Energy_Mix!$1:$1048576,AI$2,FALSE)</f>
        <v>0.14751432270000001</v>
      </c>
      <c r="AJ186" s="73">
        <f>+VLOOKUP($E186,Energy_Mix!$1:$1048576,AJ$2,FALSE)</f>
        <v>0.14751432270000001</v>
      </c>
      <c r="AK186" s="73">
        <f>+VLOOKUP($E186,Energy_Mix!$1:$1048576,AK$2,FALSE)</f>
        <v>0.14751432270000001</v>
      </c>
      <c r="AL186" s="73">
        <f>+VLOOKUP($E186,Energy_Mix!$1:$1048576,AL$2,FALSE)</f>
        <v>0.14751432270000001</v>
      </c>
      <c r="AM186" s="73">
        <f>+VLOOKUP($E186,Energy_Mix!$1:$1048576,AM$2,FALSE)</f>
        <v>0.14751432270000001</v>
      </c>
      <c r="AN186" s="73">
        <f>+VLOOKUP($E186,Energy_Mix!$1:$1048576,AN$2,FALSE)</f>
        <v>0.14751432270000001</v>
      </c>
      <c r="AO186" s="73">
        <f>+VLOOKUP($E186,Energy_Mix!$1:$1048576,AO$2,FALSE)</f>
        <v>0.14751432270000001</v>
      </c>
    </row>
    <row r="187" spans="1:41" s="73" customFormat="1" ht="15" customHeight="1" x14ac:dyDescent="0.25">
      <c r="A187" s="324"/>
      <c r="B187" s="320"/>
      <c r="C187" s="132"/>
      <c r="D187" s="132" t="s">
        <v>569</v>
      </c>
      <c r="E187" s="85" t="s">
        <v>520</v>
      </c>
      <c r="F187" s="73">
        <f>+VLOOKUP($E187,Energy_Mix!$1:$1048576,F$2,FALSE)</f>
        <v>0.20708638560000001</v>
      </c>
      <c r="G187" s="73">
        <f>+VLOOKUP($E187,Energy_Mix!$1:$1048576,G$2,FALSE)</f>
        <v>0.20708638560000001</v>
      </c>
      <c r="H187" s="73">
        <f>+VLOOKUP($E187,Energy_Mix!$1:$1048576,H$2,FALSE)</f>
        <v>0.20708638560000001</v>
      </c>
      <c r="I187" s="73">
        <f>+VLOOKUP($E187,Energy_Mix!$1:$1048576,I$2,FALSE)</f>
        <v>0.20708638560000001</v>
      </c>
      <c r="J187" s="73">
        <f>+VLOOKUP($E187,Energy_Mix!$1:$1048576,J$2,FALSE)</f>
        <v>0.20708638560000001</v>
      </c>
      <c r="K187" s="73">
        <f>+VLOOKUP($E187,Energy_Mix!$1:$1048576,K$2,FALSE)</f>
        <v>0.20708638560000001</v>
      </c>
      <c r="L187" s="73">
        <f>+VLOOKUP($E187,Energy_Mix!$1:$1048576,L$2,FALSE)</f>
        <v>0.20708638560000001</v>
      </c>
      <c r="M187" s="73">
        <f>+VLOOKUP($E187,Energy_Mix!$1:$1048576,M$2,FALSE)</f>
        <v>0.20708638560000001</v>
      </c>
      <c r="N187" s="73">
        <f>+VLOOKUP($E187,Energy_Mix!$1:$1048576,N$2,FALSE)</f>
        <v>0.20708638560000001</v>
      </c>
      <c r="O187" s="73">
        <f>+VLOOKUP($E187,Energy_Mix!$1:$1048576,O$2,FALSE)</f>
        <v>0.20708638560000001</v>
      </c>
      <c r="P187" s="73">
        <f>+VLOOKUP($E187,Energy_Mix!$1:$1048576,P$2,FALSE)</f>
        <v>0.20708638560000001</v>
      </c>
      <c r="Q187" s="73">
        <f>+VLOOKUP($E187,Energy_Mix!$1:$1048576,Q$2,FALSE)</f>
        <v>0.20708638560000001</v>
      </c>
      <c r="R187" s="73">
        <f>+VLOOKUP($E187,Energy_Mix!$1:$1048576,R$2,FALSE)</f>
        <v>0.20708638560000001</v>
      </c>
      <c r="S187" s="73">
        <f>+VLOOKUP($E187,Energy_Mix!$1:$1048576,S$2,FALSE)</f>
        <v>0.20708638560000001</v>
      </c>
      <c r="T187" s="73">
        <f>+VLOOKUP($E187,Energy_Mix!$1:$1048576,T$2,FALSE)</f>
        <v>0.20708638560000001</v>
      </c>
      <c r="U187" s="73">
        <f>+VLOOKUP($E187,Energy_Mix!$1:$1048576,U$2,FALSE)</f>
        <v>0.20708638560000001</v>
      </c>
      <c r="V187" s="73">
        <f>+VLOOKUP($E187,Energy_Mix!$1:$1048576,V$2,FALSE)</f>
        <v>0.20708638560000001</v>
      </c>
      <c r="W187" s="73">
        <f>+VLOOKUP($E187,Energy_Mix!$1:$1048576,W$2,FALSE)</f>
        <v>0.20708638560000001</v>
      </c>
      <c r="X187" s="73">
        <f>+VLOOKUP($E187,Energy_Mix!$1:$1048576,X$2,FALSE)</f>
        <v>0.20708638560000001</v>
      </c>
      <c r="Y187" s="73">
        <f>+VLOOKUP($E187,Energy_Mix!$1:$1048576,Y$2,FALSE)</f>
        <v>0.20708638560000001</v>
      </c>
      <c r="Z187" s="73">
        <f>+VLOOKUP($E187,Energy_Mix!$1:$1048576,Z$2,FALSE)</f>
        <v>0.20708638560000001</v>
      </c>
      <c r="AA187" s="73">
        <f>+VLOOKUP($E187,Energy_Mix!$1:$1048576,AA$2,FALSE)</f>
        <v>0.20708638560000001</v>
      </c>
      <c r="AB187" s="73">
        <f>+VLOOKUP($E187,Energy_Mix!$1:$1048576,AB$2,FALSE)</f>
        <v>0.20708638560000001</v>
      </c>
      <c r="AC187" s="73">
        <f>+VLOOKUP($E187,Energy_Mix!$1:$1048576,AC$2,FALSE)</f>
        <v>0.20708638560000001</v>
      </c>
      <c r="AD187" s="73">
        <f>+VLOOKUP($E187,Energy_Mix!$1:$1048576,AD$2,FALSE)</f>
        <v>0.20708638560000001</v>
      </c>
      <c r="AE187" s="73">
        <f>+VLOOKUP($E187,Energy_Mix!$1:$1048576,AE$2,FALSE)</f>
        <v>0.20708638560000001</v>
      </c>
      <c r="AF187" s="73">
        <f>+VLOOKUP($E187,Energy_Mix!$1:$1048576,AF$2,FALSE)</f>
        <v>0.20708638560000001</v>
      </c>
      <c r="AG187" s="73">
        <f>+VLOOKUP($E187,Energy_Mix!$1:$1048576,AG$2,FALSE)</f>
        <v>0.20708638560000001</v>
      </c>
      <c r="AH187" s="73">
        <f>+VLOOKUP($E187,Energy_Mix!$1:$1048576,AH$2,FALSE)</f>
        <v>0.20708638560000001</v>
      </c>
      <c r="AI187" s="73">
        <f>+VLOOKUP($E187,Energy_Mix!$1:$1048576,AI$2,FALSE)</f>
        <v>0.20708638560000001</v>
      </c>
      <c r="AJ187" s="73">
        <f>+VLOOKUP($E187,Energy_Mix!$1:$1048576,AJ$2,FALSE)</f>
        <v>0.20708638560000001</v>
      </c>
      <c r="AK187" s="73">
        <f>+VLOOKUP($E187,Energy_Mix!$1:$1048576,AK$2,FALSE)</f>
        <v>0.20708638560000001</v>
      </c>
      <c r="AL187" s="73">
        <f>+VLOOKUP($E187,Energy_Mix!$1:$1048576,AL$2,FALSE)</f>
        <v>0.20708638560000001</v>
      </c>
      <c r="AM187" s="73">
        <f>+VLOOKUP($E187,Energy_Mix!$1:$1048576,AM$2,FALSE)</f>
        <v>0.20708638560000001</v>
      </c>
      <c r="AN187" s="73">
        <f>+VLOOKUP($E187,Energy_Mix!$1:$1048576,AN$2,FALSE)</f>
        <v>0.20708638560000001</v>
      </c>
      <c r="AO187" s="73">
        <f>+VLOOKUP($E187,Energy_Mix!$1:$1048576,AO$2,FALSE)</f>
        <v>0.20708638560000001</v>
      </c>
    </row>
    <row r="188" spans="1:41" s="73" customFormat="1" ht="15" customHeight="1" x14ac:dyDescent="0.25">
      <c r="A188" s="324"/>
      <c r="B188" s="320"/>
      <c r="C188" s="175" t="s">
        <v>515</v>
      </c>
      <c r="D188" s="132"/>
      <c r="E188" s="85"/>
    </row>
    <row r="189" spans="1:41" s="73" customFormat="1" ht="15" customHeight="1" x14ac:dyDescent="0.25">
      <c r="A189" s="324"/>
      <c r="B189" s="320"/>
      <c r="C189" s="132"/>
      <c r="D189" s="132" t="s">
        <v>172</v>
      </c>
      <c r="E189" s="85" t="s">
        <v>521</v>
      </c>
      <c r="F189" s="73">
        <f>+VLOOKUP($E189,Energy_Mix!$1:$1048576,F$2,FALSE)</f>
        <v>0.72577004280000001</v>
      </c>
      <c r="G189" s="73">
        <f>+VLOOKUP($E189,Energy_Mix!$1:$1048576,G$2,FALSE)</f>
        <v>0.72577008499999995</v>
      </c>
      <c r="H189" s="73">
        <f>+VLOOKUP($E189,Energy_Mix!$1:$1048576,H$2,FALSE)</f>
        <v>0.72577008499999995</v>
      </c>
      <c r="I189" s="73">
        <f>+VLOOKUP($E189,Energy_Mix!$1:$1048576,I$2,FALSE)</f>
        <v>0.72577008499999995</v>
      </c>
      <c r="J189" s="73">
        <f>+VLOOKUP($E189,Energy_Mix!$1:$1048576,J$2,FALSE)</f>
        <v>0.72577008499999995</v>
      </c>
      <c r="K189" s="73">
        <f>+VLOOKUP($E189,Energy_Mix!$1:$1048576,K$2,FALSE)</f>
        <v>0.72577008499999995</v>
      </c>
      <c r="L189" s="73">
        <f>+VLOOKUP($E189,Energy_Mix!$1:$1048576,L$2,FALSE)</f>
        <v>0.72577008499999995</v>
      </c>
      <c r="M189" s="73">
        <f>+VLOOKUP($E189,Energy_Mix!$1:$1048576,M$2,FALSE)</f>
        <v>0.72577008499999995</v>
      </c>
      <c r="N189" s="73">
        <f>+VLOOKUP($E189,Energy_Mix!$1:$1048576,N$2,FALSE)</f>
        <v>0.72577008499999995</v>
      </c>
      <c r="O189" s="73">
        <f>+VLOOKUP($E189,Energy_Mix!$1:$1048576,O$2,FALSE)</f>
        <v>0.72577008499999995</v>
      </c>
      <c r="P189" s="73">
        <f>+VLOOKUP($E189,Energy_Mix!$1:$1048576,P$2,FALSE)</f>
        <v>0.72577008499999995</v>
      </c>
      <c r="Q189" s="73">
        <f>+VLOOKUP($E189,Energy_Mix!$1:$1048576,Q$2,FALSE)</f>
        <v>0.72577008499999995</v>
      </c>
      <c r="R189" s="73">
        <f>+VLOOKUP($E189,Energy_Mix!$1:$1048576,R$2,FALSE)</f>
        <v>0.72577008499999995</v>
      </c>
      <c r="S189" s="73">
        <f>+VLOOKUP($E189,Energy_Mix!$1:$1048576,S$2,FALSE)</f>
        <v>0.72577008499999995</v>
      </c>
      <c r="T189" s="73">
        <f>+VLOOKUP($E189,Energy_Mix!$1:$1048576,T$2,FALSE)</f>
        <v>0.72577008499999995</v>
      </c>
      <c r="U189" s="73">
        <f>+VLOOKUP($E189,Energy_Mix!$1:$1048576,U$2,FALSE)</f>
        <v>0.72577008499999995</v>
      </c>
      <c r="V189" s="73">
        <f>+VLOOKUP($E189,Energy_Mix!$1:$1048576,V$2,FALSE)</f>
        <v>0.72577008499999995</v>
      </c>
      <c r="W189" s="73">
        <f>+VLOOKUP($E189,Energy_Mix!$1:$1048576,W$2,FALSE)</f>
        <v>0.72577008499999995</v>
      </c>
      <c r="X189" s="73">
        <f>+VLOOKUP($E189,Energy_Mix!$1:$1048576,X$2,FALSE)</f>
        <v>0.72577008499999995</v>
      </c>
      <c r="Y189" s="73">
        <f>+VLOOKUP($E189,Energy_Mix!$1:$1048576,Y$2,FALSE)</f>
        <v>0.72577008499999995</v>
      </c>
      <c r="Z189" s="73">
        <f>+VLOOKUP($E189,Energy_Mix!$1:$1048576,Z$2,FALSE)</f>
        <v>0.72577008499999995</v>
      </c>
      <c r="AA189" s="73">
        <f>+VLOOKUP($E189,Energy_Mix!$1:$1048576,AA$2,FALSE)</f>
        <v>0.72577008499999995</v>
      </c>
      <c r="AB189" s="73">
        <f>+VLOOKUP($E189,Energy_Mix!$1:$1048576,AB$2,FALSE)</f>
        <v>0.72577008499999995</v>
      </c>
      <c r="AC189" s="73">
        <f>+VLOOKUP($E189,Energy_Mix!$1:$1048576,AC$2,FALSE)</f>
        <v>0.72577008499999995</v>
      </c>
      <c r="AD189" s="73">
        <f>+VLOOKUP($E189,Energy_Mix!$1:$1048576,AD$2,FALSE)</f>
        <v>0.72577008499999995</v>
      </c>
      <c r="AE189" s="73">
        <f>+VLOOKUP($E189,Energy_Mix!$1:$1048576,AE$2,FALSE)</f>
        <v>0.72577008499999995</v>
      </c>
      <c r="AF189" s="73">
        <f>+VLOOKUP($E189,Energy_Mix!$1:$1048576,AF$2,FALSE)</f>
        <v>0.72577008499999995</v>
      </c>
      <c r="AG189" s="73">
        <f>+VLOOKUP($E189,Energy_Mix!$1:$1048576,AG$2,FALSE)</f>
        <v>0.72577008499999995</v>
      </c>
      <c r="AH189" s="73">
        <f>+VLOOKUP($E189,Energy_Mix!$1:$1048576,AH$2,FALSE)</f>
        <v>0.72577008499999995</v>
      </c>
      <c r="AI189" s="73">
        <f>+VLOOKUP($E189,Energy_Mix!$1:$1048576,AI$2,FALSE)</f>
        <v>0.72577008499999995</v>
      </c>
      <c r="AJ189" s="73">
        <f>+VLOOKUP($E189,Energy_Mix!$1:$1048576,AJ$2,FALSE)</f>
        <v>0.72577008499999995</v>
      </c>
      <c r="AK189" s="73">
        <f>+VLOOKUP($E189,Energy_Mix!$1:$1048576,AK$2,FALSE)</f>
        <v>0.72577008499999995</v>
      </c>
      <c r="AL189" s="73">
        <f>+VLOOKUP($E189,Energy_Mix!$1:$1048576,AL$2,FALSE)</f>
        <v>0.72577008499999995</v>
      </c>
      <c r="AM189" s="73">
        <f>+VLOOKUP($E189,Energy_Mix!$1:$1048576,AM$2,FALSE)</f>
        <v>0.72577008499999995</v>
      </c>
      <c r="AN189" s="73">
        <f>+VLOOKUP($E189,Energy_Mix!$1:$1048576,AN$2,FALSE)</f>
        <v>0.72577008499999995</v>
      </c>
      <c r="AO189" s="73">
        <f>+VLOOKUP($E189,Energy_Mix!$1:$1048576,AO$2,FALSE)</f>
        <v>0.72577008499999995</v>
      </c>
    </row>
    <row r="190" spans="1:41" s="73" customFormat="1" ht="15" customHeight="1" x14ac:dyDescent="0.25">
      <c r="A190" s="324"/>
      <c r="B190" s="320"/>
      <c r="C190" s="132"/>
      <c r="D190" s="132" t="s">
        <v>173</v>
      </c>
      <c r="E190" s="85" t="s">
        <v>522</v>
      </c>
      <c r="F190" s="73">
        <f>+VLOOKUP($E190,Energy_Mix!$1:$1048576,F$2,FALSE)</f>
        <v>1.44644951E-2</v>
      </c>
      <c r="G190" s="73">
        <f>+VLOOKUP($E190,Energy_Mix!$1:$1048576,G$2,FALSE)</f>
        <v>1.4464495900000001E-2</v>
      </c>
      <c r="H190" s="73">
        <f>+VLOOKUP($E190,Energy_Mix!$1:$1048576,H$2,FALSE)</f>
        <v>1.4464495900000001E-2</v>
      </c>
      <c r="I190" s="73">
        <f>+VLOOKUP($E190,Energy_Mix!$1:$1048576,I$2,FALSE)</f>
        <v>1.4464495900000001E-2</v>
      </c>
      <c r="J190" s="73">
        <f>+VLOOKUP($E190,Energy_Mix!$1:$1048576,J$2,FALSE)</f>
        <v>1.4464495900000001E-2</v>
      </c>
      <c r="K190" s="73">
        <f>+VLOOKUP($E190,Energy_Mix!$1:$1048576,K$2,FALSE)</f>
        <v>1.4464495900000001E-2</v>
      </c>
      <c r="L190" s="73">
        <f>+VLOOKUP($E190,Energy_Mix!$1:$1048576,L$2,FALSE)</f>
        <v>1.4464495900000001E-2</v>
      </c>
      <c r="M190" s="73">
        <f>+VLOOKUP($E190,Energy_Mix!$1:$1048576,M$2,FALSE)</f>
        <v>1.4464495900000001E-2</v>
      </c>
      <c r="N190" s="73">
        <f>+VLOOKUP($E190,Energy_Mix!$1:$1048576,N$2,FALSE)</f>
        <v>1.4464495900000001E-2</v>
      </c>
      <c r="O190" s="73">
        <f>+VLOOKUP($E190,Energy_Mix!$1:$1048576,O$2,FALSE)</f>
        <v>1.4464495900000001E-2</v>
      </c>
      <c r="P190" s="73">
        <f>+VLOOKUP($E190,Energy_Mix!$1:$1048576,P$2,FALSE)</f>
        <v>1.4464495900000001E-2</v>
      </c>
      <c r="Q190" s="73">
        <f>+VLOOKUP($E190,Energy_Mix!$1:$1048576,Q$2,FALSE)</f>
        <v>1.4464495900000001E-2</v>
      </c>
      <c r="R190" s="73">
        <f>+VLOOKUP($E190,Energy_Mix!$1:$1048576,R$2,FALSE)</f>
        <v>1.4464495900000001E-2</v>
      </c>
      <c r="S190" s="73">
        <f>+VLOOKUP($E190,Energy_Mix!$1:$1048576,S$2,FALSE)</f>
        <v>1.4464495900000001E-2</v>
      </c>
      <c r="T190" s="73">
        <f>+VLOOKUP($E190,Energy_Mix!$1:$1048576,T$2,FALSE)</f>
        <v>1.4464495900000001E-2</v>
      </c>
      <c r="U190" s="73">
        <f>+VLOOKUP($E190,Energy_Mix!$1:$1048576,U$2,FALSE)</f>
        <v>1.4464495900000001E-2</v>
      </c>
      <c r="V190" s="73">
        <f>+VLOOKUP($E190,Energy_Mix!$1:$1048576,V$2,FALSE)</f>
        <v>1.4464495900000001E-2</v>
      </c>
      <c r="W190" s="73">
        <f>+VLOOKUP($E190,Energy_Mix!$1:$1048576,W$2,FALSE)</f>
        <v>1.4464495900000001E-2</v>
      </c>
      <c r="X190" s="73">
        <f>+VLOOKUP($E190,Energy_Mix!$1:$1048576,X$2,FALSE)</f>
        <v>1.4464495900000001E-2</v>
      </c>
      <c r="Y190" s="73">
        <f>+VLOOKUP($E190,Energy_Mix!$1:$1048576,Y$2,FALSE)</f>
        <v>1.4464495900000001E-2</v>
      </c>
      <c r="Z190" s="73">
        <f>+VLOOKUP($E190,Energy_Mix!$1:$1048576,Z$2,FALSE)</f>
        <v>1.4464495900000001E-2</v>
      </c>
      <c r="AA190" s="73">
        <f>+VLOOKUP($E190,Energy_Mix!$1:$1048576,AA$2,FALSE)</f>
        <v>1.4464495900000001E-2</v>
      </c>
      <c r="AB190" s="73">
        <f>+VLOOKUP($E190,Energy_Mix!$1:$1048576,AB$2,FALSE)</f>
        <v>1.4464495900000001E-2</v>
      </c>
      <c r="AC190" s="73">
        <f>+VLOOKUP($E190,Energy_Mix!$1:$1048576,AC$2,FALSE)</f>
        <v>1.4464495900000001E-2</v>
      </c>
      <c r="AD190" s="73">
        <f>+VLOOKUP($E190,Energy_Mix!$1:$1048576,AD$2,FALSE)</f>
        <v>1.4464495900000001E-2</v>
      </c>
      <c r="AE190" s="73">
        <f>+VLOOKUP($E190,Energy_Mix!$1:$1048576,AE$2,FALSE)</f>
        <v>1.4464495900000001E-2</v>
      </c>
      <c r="AF190" s="73">
        <f>+VLOOKUP($E190,Energy_Mix!$1:$1048576,AF$2,FALSE)</f>
        <v>1.4464495900000001E-2</v>
      </c>
      <c r="AG190" s="73">
        <f>+VLOOKUP($E190,Energy_Mix!$1:$1048576,AG$2,FALSE)</f>
        <v>1.4464495900000001E-2</v>
      </c>
      <c r="AH190" s="73">
        <f>+VLOOKUP($E190,Energy_Mix!$1:$1048576,AH$2,FALSE)</f>
        <v>1.4464495900000001E-2</v>
      </c>
      <c r="AI190" s="73">
        <f>+VLOOKUP($E190,Energy_Mix!$1:$1048576,AI$2,FALSE)</f>
        <v>1.4464495900000001E-2</v>
      </c>
      <c r="AJ190" s="73">
        <f>+VLOOKUP($E190,Energy_Mix!$1:$1048576,AJ$2,FALSE)</f>
        <v>1.4464495900000001E-2</v>
      </c>
      <c r="AK190" s="73">
        <f>+VLOOKUP($E190,Energy_Mix!$1:$1048576,AK$2,FALSE)</f>
        <v>1.4464495900000001E-2</v>
      </c>
      <c r="AL190" s="73">
        <f>+VLOOKUP($E190,Energy_Mix!$1:$1048576,AL$2,FALSE)</f>
        <v>1.4464495900000001E-2</v>
      </c>
      <c r="AM190" s="73">
        <f>+VLOOKUP($E190,Energy_Mix!$1:$1048576,AM$2,FALSE)</f>
        <v>1.4464495900000001E-2</v>
      </c>
      <c r="AN190" s="73">
        <f>+VLOOKUP($E190,Energy_Mix!$1:$1048576,AN$2,FALSE)</f>
        <v>1.4464495900000001E-2</v>
      </c>
      <c r="AO190" s="73">
        <f>+VLOOKUP($E190,Energy_Mix!$1:$1048576,AO$2,FALSE)</f>
        <v>1.4464495900000001E-2</v>
      </c>
    </row>
    <row r="191" spans="1:41" s="73" customFormat="1" ht="15" customHeight="1" x14ac:dyDescent="0.25">
      <c r="A191" s="324"/>
      <c r="B191" s="320"/>
      <c r="C191" s="132"/>
      <c r="D191" s="132" t="s">
        <v>174</v>
      </c>
      <c r="E191" s="85" t="s">
        <v>523</v>
      </c>
      <c r="F191" s="73">
        <f>+VLOOKUP($E191,Energy_Mix!$1:$1048576,F$2,FALSE)</f>
        <v>2.10193412E-2</v>
      </c>
      <c r="G191" s="73">
        <f>+VLOOKUP($E191,Energy_Mix!$1:$1048576,G$2,FALSE)</f>
        <v>2.1019342399999998E-2</v>
      </c>
      <c r="H191" s="73">
        <f>+VLOOKUP($E191,Energy_Mix!$1:$1048576,H$2,FALSE)</f>
        <v>2.1019342399999998E-2</v>
      </c>
      <c r="I191" s="73">
        <f>+VLOOKUP($E191,Energy_Mix!$1:$1048576,I$2,FALSE)</f>
        <v>2.1019342399999998E-2</v>
      </c>
      <c r="J191" s="73">
        <f>+VLOOKUP($E191,Energy_Mix!$1:$1048576,J$2,FALSE)</f>
        <v>2.1019342399999998E-2</v>
      </c>
      <c r="K191" s="73">
        <f>+VLOOKUP($E191,Energy_Mix!$1:$1048576,K$2,FALSE)</f>
        <v>2.1019342399999998E-2</v>
      </c>
      <c r="L191" s="73">
        <f>+VLOOKUP($E191,Energy_Mix!$1:$1048576,L$2,FALSE)</f>
        <v>2.1019342399999998E-2</v>
      </c>
      <c r="M191" s="73">
        <f>+VLOOKUP($E191,Energy_Mix!$1:$1048576,M$2,FALSE)</f>
        <v>2.1019342399999998E-2</v>
      </c>
      <c r="N191" s="73">
        <f>+VLOOKUP($E191,Energy_Mix!$1:$1048576,N$2,FALSE)</f>
        <v>2.1019342399999998E-2</v>
      </c>
      <c r="O191" s="73">
        <f>+VLOOKUP($E191,Energy_Mix!$1:$1048576,O$2,FALSE)</f>
        <v>2.1019342399999998E-2</v>
      </c>
      <c r="P191" s="73">
        <f>+VLOOKUP($E191,Energy_Mix!$1:$1048576,P$2,FALSE)</f>
        <v>2.1019342399999998E-2</v>
      </c>
      <c r="Q191" s="73">
        <f>+VLOOKUP($E191,Energy_Mix!$1:$1048576,Q$2,FALSE)</f>
        <v>2.1019342399999998E-2</v>
      </c>
      <c r="R191" s="73">
        <f>+VLOOKUP($E191,Energy_Mix!$1:$1048576,R$2,FALSE)</f>
        <v>2.1019342399999998E-2</v>
      </c>
      <c r="S191" s="73">
        <f>+VLOOKUP($E191,Energy_Mix!$1:$1048576,S$2,FALSE)</f>
        <v>2.1019342399999998E-2</v>
      </c>
      <c r="T191" s="73">
        <f>+VLOOKUP($E191,Energy_Mix!$1:$1048576,T$2,FALSE)</f>
        <v>2.1019342399999998E-2</v>
      </c>
      <c r="U191" s="73">
        <f>+VLOOKUP($E191,Energy_Mix!$1:$1048576,U$2,FALSE)</f>
        <v>2.1019342399999998E-2</v>
      </c>
      <c r="V191" s="73">
        <f>+VLOOKUP($E191,Energy_Mix!$1:$1048576,V$2,FALSE)</f>
        <v>2.1019342399999998E-2</v>
      </c>
      <c r="W191" s="73">
        <f>+VLOOKUP($E191,Energy_Mix!$1:$1048576,W$2,FALSE)</f>
        <v>2.1019342399999998E-2</v>
      </c>
      <c r="X191" s="73">
        <f>+VLOOKUP($E191,Energy_Mix!$1:$1048576,X$2,FALSE)</f>
        <v>2.1019342399999998E-2</v>
      </c>
      <c r="Y191" s="73">
        <f>+VLOOKUP($E191,Energy_Mix!$1:$1048576,Y$2,FALSE)</f>
        <v>2.1019342399999998E-2</v>
      </c>
      <c r="Z191" s="73">
        <f>+VLOOKUP($E191,Energy_Mix!$1:$1048576,Z$2,FALSE)</f>
        <v>2.1019342399999998E-2</v>
      </c>
      <c r="AA191" s="73">
        <f>+VLOOKUP($E191,Energy_Mix!$1:$1048576,AA$2,FALSE)</f>
        <v>2.1019342399999998E-2</v>
      </c>
      <c r="AB191" s="73">
        <f>+VLOOKUP($E191,Energy_Mix!$1:$1048576,AB$2,FALSE)</f>
        <v>2.1019342399999998E-2</v>
      </c>
      <c r="AC191" s="73">
        <f>+VLOOKUP($E191,Energy_Mix!$1:$1048576,AC$2,FALSE)</f>
        <v>2.1019342399999998E-2</v>
      </c>
      <c r="AD191" s="73">
        <f>+VLOOKUP($E191,Energy_Mix!$1:$1048576,AD$2,FALSE)</f>
        <v>2.1019342399999998E-2</v>
      </c>
      <c r="AE191" s="73">
        <f>+VLOOKUP($E191,Energy_Mix!$1:$1048576,AE$2,FALSE)</f>
        <v>2.1019342399999998E-2</v>
      </c>
      <c r="AF191" s="73">
        <f>+VLOOKUP($E191,Energy_Mix!$1:$1048576,AF$2,FALSE)</f>
        <v>2.1019342399999998E-2</v>
      </c>
      <c r="AG191" s="73">
        <f>+VLOOKUP($E191,Energy_Mix!$1:$1048576,AG$2,FALSE)</f>
        <v>2.1019342399999998E-2</v>
      </c>
      <c r="AH191" s="73">
        <f>+VLOOKUP($E191,Energy_Mix!$1:$1048576,AH$2,FALSE)</f>
        <v>2.1019342399999998E-2</v>
      </c>
      <c r="AI191" s="73">
        <f>+VLOOKUP($E191,Energy_Mix!$1:$1048576,AI$2,FALSE)</f>
        <v>2.1019342399999998E-2</v>
      </c>
      <c r="AJ191" s="73">
        <f>+VLOOKUP($E191,Energy_Mix!$1:$1048576,AJ$2,FALSE)</f>
        <v>2.1019342399999998E-2</v>
      </c>
      <c r="AK191" s="73">
        <f>+VLOOKUP($E191,Energy_Mix!$1:$1048576,AK$2,FALSE)</f>
        <v>2.1019342399999998E-2</v>
      </c>
      <c r="AL191" s="73">
        <f>+VLOOKUP($E191,Energy_Mix!$1:$1048576,AL$2,FALSE)</f>
        <v>2.1019342399999998E-2</v>
      </c>
      <c r="AM191" s="73">
        <f>+VLOOKUP($E191,Energy_Mix!$1:$1048576,AM$2,FALSE)</f>
        <v>2.1019342399999998E-2</v>
      </c>
      <c r="AN191" s="73">
        <f>+VLOOKUP($E191,Energy_Mix!$1:$1048576,AN$2,FALSE)</f>
        <v>2.1019342399999998E-2</v>
      </c>
      <c r="AO191" s="73">
        <f>+VLOOKUP($E191,Energy_Mix!$1:$1048576,AO$2,FALSE)</f>
        <v>2.1019342399999998E-2</v>
      </c>
    </row>
    <row r="192" spans="1:41" s="73" customFormat="1" ht="15" customHeight="1" x14ac:dyDescent="0.25">
      <c r="A192" s="324"/>
      <c r="B192" s="320"/>
      <c r="C192" s="132"/>
      <c r="D192" s="132" t="s">
        <v>175</v>
      </c>
      <c r="E192" s="85" t="s">
        <v>524</v>
      </c>
      <c r="F192" s="73">
        <f>+VLOOKUP($E192,Energy_Mix!$1:$1048576,F$2,FALSE)</f>
        <v>1.9096190499999999E-2</v>
      </c>
      <c r="G192" s="73">
        <f>+VLOOKUP($E192,Energy_Mix!$1:$1048576,G$2,FALSE)</f>
        <v>1.90961916E-2</v>
      </c>
      <c r="H192" s="73">
        <f>+VLOOKUP($E192,Energy_Mix!$1:$1048576,H$2,FALSE)</f>
        <v>1.90961916E-2</v>
      </c>
      <c r="I192" s="73">
        <f>+VLOOKUP($E192,Energy_Mix!$1:$1048576,I$2,FALSE)</f>
        <v>1.90961916E-2</v>
      </c>
      <c r="J192" s="73">
        <f>+VLOOKUP($E192,Energy_Mix!$1:$1048576,J$2,FALSE)</f>
        <v>1.90961916E-2</v>
      </c>
      <c r="K192" s="73">
        <f>+VLOOKUP($E192,Energy_Mix!$1:$1048576,K$2,FALSE)</f>
        <v>1.90961916E-2</v>
      </c>
      <c r="L192" s="73">
        <f>+VLOOKUP($E192,Energy_Mix!$1:$1048576,L$2,FALSE)</f>
        <v>1.90961916E-2</v>
      </c>
      <c r="M192" s="73">
        <f>+VLOOKUP($E192,Energy_Mix!$1:$1048576,M$2,FALSE)</f>
        <v>1.90961916E-2</v>
      </c>
      <c r="N192" s="73">
        <f>+VLOOKUP($E192,Energy_Mix!$1:$1048576,N$2,FALSE)</f>
        <v>1.90961916E-2</v>
      </c>
      <c r="O192" s="73">
        <f>+VLOOKUP($E192,Energy_Mix!$1:$1048576,O$2,FALSE)</f>
        <v>1.90961916E-2</v>
      </c>
      <c r="P192" s="73">
        <f>+VLOOKUP($E192,Energy_Mix!$1:$1048576,P$2,FALSE)</f>
        <v>1.90961916E-2</v>
      </c>
      <c r="Q192" s="73">
        <f>+VLOOKUP($E192,Energy_Mix!$1:$1048576,Q$2,FALSE)</f>
        <v>1.90961916E-2</v>
      </c>
      <c r="R192" s="73">
        <f>+VLOOKUP($E192,Energy_Mix!$1:$1048576,R$2,FALSE)</f>
        <v>1.90961916E-2</v>
      </c>
      <c r="S192" s="73">
        <f>+VLOOKUP($E192,Energy_Mix!$1:$1048576,S$2,FALSE)</f>
        <v>1.90961916E-2</v>
      </c>
      <c r="T192" s="73">
        <f>+VLOOKUP($E192,Energy_Mix!$1:$1048576,T$2,FALSE)</f>
        <v>1.90961916E-2</v>
      </c>
      <c r="U192" s="73">
        <f>+VLOOKUP($E192,Energy_Mix!$1:$1048576,U$2,FALSE)</f>
        <v>1.90961916E-2</v>
      </c>
      <c r="V192" s="73">
        <f>+VLOOKUP($E192,Energy_Mix!$1:$1048576,V$2,FALSE)</f>
        <v>1.90961916E-2</v>
      </c>
      <c r="W192" s="73">
        <f>+VLOOKUP($E192,Energy_Mix!$1:$1048576,W$2,FALSE)</f>
        <v>1.90961916E-2</v>
      </c>
      <c r="X192" s="73">
        <f>+VLOOKUP($E192,Energy_Mix!$1:$1048576,X$2,FALSE)</f>
        <v>1.90961916E-2</v>
      </c>
      <c r="Y192" s="73">
        <f>+VLOOKUP($E192,Energy_Mix!$1:$1048576,Y$2,FALSE)</f>
        <v>1.90961916E-2</v>
      </c>
      <c r="Z192" s="73">
        <f>+VLOOKUP($E192,Energy_Mix!$1:$1048576,Z$2,FALSE)</f>
        <v>1.90961916E-2</v>
      </c>
      <c r="AA192" s="73">
        <f>+VLOOKUP($E192,Energy_Mix!$1:$1048576,AA$2,FALSE)</f>
        <v>1.90961916E-2</v>
      </c>
      <c r="AB192" s="73">
        <f>+VLOOKUP($E192,Energy_Mix!$1:$1048576,AB$2,FALSE)</f>
        <v>1.90961916E-2</v>
      </c>
      <c r="AC192" s="73">
        <f>+VLOOKUP($E192,Energy_Mix!$1:$1048576,AC$2,FALSE)</f>
        <v>1.90961916E-2</v>
      </c>
      <c r="AD192" s="73">
        <f>+VLOOKUP($E192,Energy_Mix!$1:$1048576,AD$2,FALSE)</f>
        <v>1.90961916E-2</v>
      </c>
      <c r="AE192" s="73">
        <f>+VLOOKUP($E192,Energy_Mix!$1:$1048576,AE$2,FALSE)</f>
        <v>1.90961916E-2</v>
      </c>
      <c r="AF192" s="73">
        <f>+VLOOKUP($E192,Energy_Mix!$1:$1048576,AF$2,FALSE)</f>
        <v>1.90961916E-2</v>
      </c>
      <c r="AG192" s="73">
        <f>+VLOOKUP($E192,Energy_Mix!$1:$1048576,AG$2,FALSE)</f>
        <v>1.90961916E-2</v>
      </c>
      <c r="AH192" s="73">
        <f>+VLOOKUP($E192,Energy_Mix!$1:$1048576,AH$2,FALSE)</f>
        <v>1.90961916E-2</v>
      </c>
      <c r="AI192" s="73">
        <f>+VLOOKUP($E192,Energy_Mix!$1:$1048576,AI$2,FALSE)</f>
        <v>1.90961916E-2</v>
      </c>
      <c r="AJ192" s="73">
        <f>+VLOOKUP($E192,Energy_Mix!$1:$1048576,AJ$2,FALSE)</f>
        <v>1.90961916E-2</v>
      </c>
      <c r="AK192" s="73">
        <f>+VLOOKUP($E192,Energy_Mix!$1:$1048576,AK$2,FALSE)</f>
        <v>1.90961916E-2</v>
      </c>
      <c r="AL192" s="73">
        <f>+VLOOKUP($E192,Energy_Mix!$1:$1048576,AL$2,FALSE)</f>
        <v>1.90961916E-2</v>
      </c>
      <c r="AM192" s="73">
        <f>+VLOOKUP($E192,Energy_Mix!$1:$1048576,AM$2,FALSE)</f>
        <v>1.90961916E-2</v>
      </c>
      <c r="AN192" s="73">
        <f>+VLOOKUP($E192,Energy_Mix!$1:$1048576,AN$2,FALSE)</f>
        <v>1.90961916E-2</v>
      </c>
      <c r="AO192" s="73">
        <f>+VLOOKUP($E192,Energy_Mix!$1:$1048576,AO$2,FALSE)</f>
        <v>1.90961916E-2</v>
      </c>
    </row>
    <row r="193" spans="1:43" s="73" customFormat="1" ht="15" customHeight="1" x14ac:dyDescent="0.25">
      <c r="A193" s="324"/>
      <c r="B193" s="320"/>
      <c r="C193" s="132"/>
      <c r="D193" s="132" t="s">
        <v>176</v>
      </c>
      <c r="E193" s="85" t="s">
        <v>525</v>
      </c>
      <c r="F193" s="73">
        <f>+VLOOKUP($E193,Energy_Mix!$1:$1048576,F$2,FALSE)</f>
        <v>3.7580969800000003E-2</v>
      </c>
      <c r="G193" s="73">
        <f>+VLOOKUP($E193,Energy_Mix!$1:$1048576,G$2,FALSE)</f>
        <v>3.7580913899999999E-2</v>
      </c>
      <c r="H193" s="73">
        <f>+VLOOKUP($E193,Energy_Mix!$1:$1048576,H$2,FALSE)</f>
        <v>3.7580913899999999E-2</v>
      </c>
      <c r="I193" s="73">
        <f>+VLOOKUP($E193,Energy_Mix!$1:$1048576,I$2,FALSE)</f>
        <v>3.7580913899999999E-2</v>
      </c>
      <c r="J193" s="73">
        <f>+VLOOKUP($E193,Energy_Mix!$1:$1048576,J$2,FALSE)</f>
        <v>3.7580913899999999E-2</v>
      </c>
      <c r="K193" s="73">
        <f>+VLOOKUP($E193,Energy_Mix!$1:$1048576,K$2,FALSE)</f>
        <v>3.7580913899999999E-2</v>
      </c>
      <c r="L193" s="73">
        <f>+VLOOKUP($E193,Energy_Mix!$1:$1048576,L$2,FALSE)</f>
        <v>3.7580913899999999E-2</v>
      </c>
      <c r="M193" s="73">
        <f>+VLOOKUP($E193,Energy_Mix!$1:$1048576,M$2,FALSE)</f>
        <v>3.7580913899999999E-2</v>
      </c>
      <c r="N193" s="73">
        <f>+VLOOKUP($E193,Energy_Mix!$1:$1048576,N$2,FALSE)</f>
        <v>3.7580913899999999E-2</v>
      </c>
      <c r="O193" s="73">
        <f>+VLOOKUP($E193,Energy_Mix!$1:$1048576,O$2,FALSE)</f>
        <v>3.7580913899999999E-2</v>
      </c>
      <c r="P193" s="73">
        <f>+VLOOKUP($E193,Energy_Mix!$1:$1048576,P$2,FALSE)</f>
        <v>3.7580913899999999E-2</v>
      </c>
      <c r="Q193" s="73">
        <f>+VLOOKUP($E193,Energy_Mix!$1:$1048576,Q$2,FALSE)</f>
        <v>3.7580913899999999E-2</v>
      </c>
      <c r="R193" s="73">
        <f>+VLOOKUP($E193,Energy_Mix!$1:$1048576,R$2,FALSE)</f>
        <v>3.7580913899999999E-2</v>
      </c>
      <c r="S193" s="73">
        <f>+VLOOKUP($E193,Energy_Mix!$1:$1048576,S$2,FALSE)</f>
        <v>3.7580913899999999E-2</v>
      </c>
      <c r="T193" s="73">
        <f>+VLOOKUP($E193,Energy_Mix!$1:$1048576,T$2,FALSE)</f>
        <v>3.7580913899999999E-2</v>
      </c>
      <c r="U193" s="73">
        <f>+VLOOKUP($E193,Energy_Mix!$1:$1048576,U$2,FALSE)</f>
        <v>3.7580913899999999E-2</v>
      </c>
      <c r="V193" s="73">
        <f>+VLOOKUP($E193,Energy_Mix!$1:$1048576,V$2,FALSE)</f>
        <v>3.7580913899999999E-2</v>
      </c>
      <c r="W193" s="73">
        <f>+VLOOKUP($E193,Energy_Mix!$1:$1048576,W$2,FALSE)</f>
        <v>3.7580913899999999E-2</v>
      </c>
      <c r="X193" s="73">
        <f>+VLOOKUP($E193,Energy_Mix!$1:$1048576,X$2,FALSE)</f>
        <v>3.7580913899999999E-2</v>
      </c>
      <c r="Y193" s="73">
        <f>+VLOOKUP($E193,Energy_Mix!$1:$1048576,Y$2,FALSE)</f>
        <v>3.7580913899999999E-2</v>
      </c>
      <c r="Z193" s="73">
        <f>+VLOOKUP($E193,Energy_Mix!$1:$1048576,Z$2,FALSE)</f>
        <v>3.7580913899999999E-2</v>
      </c>
      <c r="AA193" s="73">
        <f>+VLOOKUP($E193,Energy_Mix!$1:$1048576,AA$2,FALSE)</f>
        <v>3.7580913899999999E-2</v>
      </c>
      <c r="AB193" s="73">
        <f>+VLOOKUP($E193,Energy_Mix!$1:$1048576,AB$2,FALSE)</f>
        <v>3.7580913899999999E-2</v>
      </c>
      <c r="AC193" s="73">
        <f>+VLOOKUP($E193,Energy_Mix!$1:$1048576,AC$2,FALSE)</f>
        <v>3.7580913899999999E-2</v>
      </c>
      <c r="AD193" s="73">
        <f>+VLOOKUP($E193,Energy_Mix!$1:$1048576,AD$2,FALSE)</f>
        <v>3.7580913899999999E-2</v>
      </c>
      <c r="AE193" s="73">
        <f>+VLOOKUP($E193,Energy_Mix!$1:$1048576,AE$2,FALSE)</f>
        <v>3.7580913899999999E-2</v>
      </c>
      <c r="AF193" s="73">
        <f>+VLOOKUP($E193,Energy_Mix!$1:$1048576,AF$2,FALSE)</f>
        <v>3.7580913899999999E-2</v>
      </c>
      <c r="AG193" s="73">
        <f>+VLOOKUP($E193,Energy_Mix!$1:$1048576,AG$2,FALSE)</f>
        <v>3.7580913899999999E-2</v>
      </c>
      <c r="AH193" s="73">
        <f>+VLOOKUP($E193,Energy_Mix!$1:$1048576,AH$2,FALSE)</f>
        <v>3.7580913899999999E-2</v>
      </c>
      <c r="AI193" s="73">
        <f>+VLOOKUP($E193,Energy_Mix!$1:$1048576,AI$2,FALSE)</f>
        <v>3.7580913899999999E-2</v>
      </c>
      <c r="AJ193" s="73">
        <f>+VLOOKUP($E193,Energy_Mix!$1:$1048576,AJ$2,FALSE)</f>
        <v>3.7580913899999999E-2</v>
      </c>
      <c r="AK193" s="73">
        <f>+VLOOKUP($E193,Energy_Mix!$1:$1048576,AK$2,FALSE)</f>
        <v>3.7580913899999999E-2</v>
      </c>
      <c r="AL193" s="73">
        <f>+VLOOKUP($E193,Energy_Mix!$1:$1048576,AL$2,FALSE)</f>
        <v>3.7580913899999999E-2</v>
      </c>
      <c r="AM193" s="73">
        <f>+VLOOKUP($E193,Energy_Mix!$1:$1048576,AM$2,FALSE)</f>
        <v>3.7580913899999999E-2</v>
      </c>
      <c r="AN193" s="73">
        <f>+VLOOKUP($E193,Energy_Mix!$1:$1048576,AN$2,FALSE)</f>
        <v>3.7580913899999999E-2</v>
      </c>
      <c r="AO193" s="73">
        <f>+VLOOKUP($E193,Energy_Mix!$1:$1048576,AO$2,FALSE)</f>
        <v>3.7580913899999999E-2</v>
      </c>
    </row>
    <row r="194" spans="1:43" s="73" customFormat="1" ht="15" customHeight="1" x14ac:dyDescent="0.25">
      <c r="A194" s="324"/>
      <c r="B194" s="320"/>
      <c r="C194" s="132"/>
      <c r="D194" s="132" t="s">
        <v>177</v>
      </c>
      <c r="E194" s="85" t="s">
        <v>526</v>
      </c>
      <c r="F194" s="73">
        <f>+VLOOKUP($E194,Energy_Mix!$1:$1048576,F$2,FALSE)</f>
        <v>1.36621179E-2</v>
      </c>
      <c r="G194" s="73">
        <f>+VLOOKUP($E194,Energy_Mix!$1:$1048576,G$2,FALSE)</f>
        <v>1.36621187E-2</v>
      </c>
      <c r="H194" s="73">
        <f>+VLOOKUP($E194,Energy_Mix!$1:$1048576,H$2,FALSE)</f>
        <v>1.36621187E-2</v>
      </c>
      <c r="I194" s="73">
        <f>+VLOOKUP($E194,Energy_Mix!$1:$1048576,I$2,FALSE)</f>
        <v>1.36621187E-2</v>
      </c>
      <c r="J194" s="73">
        <f>+VLOOKUP($E194,Energy_Mix!$1:$1048576,J$2,FALSE)</f>
        <v>1.36621187E-2</v>
      </c>
      <c r="K194" s="73">
        <f>+VLOOKUP($E194,Energy_Mix!$1:$1048576,K$2,FALSE)</f>
        <v>1.36621187E-2</v>
      </c>
      <c r="L194" s="73">
        <f>+VLOOKUP($E194,Energy_Mix!$1:$1048576,L$2,FALSE)</f>
        <v>1.36621187E-2</v>
      </c>
      <c r="M194" s="73">
        <f>+VLOOKUP($E194,Energy_Mix!$1:$1048576,M$2,FALSE)</f>
        <v>1.36621187E-2</v>
      </c>
      <c r="N194" s="73">
        <f>+VLOOKUP($E194,Energy_Mix!$1:$1048576,N$2,FALSE)</f>
        <v>1.36621187E-2</v>
      </c>
      <c r="O194" s="73">
        <f>+VLOOKUP($E194,Energy_Mix!$1:$1048576,O$2,FALSE)</f>
        <v>1.36621187E-2</v>
      </c>
      <c r="P194" s="73">
        <f>+VLOOKUP($E194,Energy_Mix!$1:$1048576,P$2,FALSE)</f>
        <v>1.36621187E-2</v>
      </c>
      <c r="Q194" s="73">
        <f>+VLOOKUP($E194,Energy_Mix!$1:$1048576,Q$2,FALSE)</f>
        <v>1.36621187E-2</v>
      </c>
      <c r="R194" s="73">
        <f>+VLOOKUP($E194,Energy_Mix!$1:$1048576,R$2,FALSE)</f>
        <v>1.36621187E-2</v>
      </c>
      <c r="S194" s="73">
        <f>+VLOOKUP($E194,Energy_Mix!$1:$1048576,S$2,FALSE)</f>
        <v>1.36621187E-2</v>
      </c>
      <c r="T194" s="73">
        <f>+VLOOKUP($E194,Energy_Mix!$1:$1048576,T$2,FALSE)</f>
        <v>1.36621187E-2</v>
      </c>
      <c r="U194" s="73">
        <f>+VLOOKUP($E194,Energy_Mix!$1:$1048576,U$2,FALSE)</f>
        <v>1.36621187E-2</v>
      </c>
      <c r="V194" s="73">
        <f>+VLOOKUP($E194,Energy_Mix!$1:$1048576,V$2,FALSE)</f>
        <v>1.36621187E-2</v>
      </c>
      <c r="W194" s="73">
        <f>+VLOOKUP($E194,Energy_Mix!$1:$1048576,W$2,FALSE)</f>
        <v>1.36621187E-2</v>
      </c>
      <c r="X194" s="73">
        <f>+VLOOKUP($E194,Energy_Mix!$1:$1048576,X$2,FALSE)</f>
        <v>1.36621187E-2</v>
      </c>
      <c r="Y194" s="73">
        <f>+VLOOKUP($E194,Energy_Mix!$1:$1048576,Y$2,FALSE)</f>
        <v>1.36621187E-2</v>
      </c>
      <c r="Z194" s="73">
        <f>+VLOOKUP($E194,Energy_Mix!$1:$1048576,Z$2,FALSE)</f>
        <v>1.36621187E-2</v>
      </c>
      <c r="AA194" s="73">
        <f>+VLOOKUP($E194,Energy_Mix!$1:$1048576,AA$2,FALSE)</f>
        <v>1.36621187E-2</v>
      </c>
      <c r="AB194" s="73">
        <f>+VLOOKUP($E194,Energy_Mix!$1:$1048576,AB$2,FALSE)</f>
        <v>1.36621187E-2</v>
      </c>
      <c r="AC194" s="73">
        <f>+VLOOKUP($E194,Energy_Mix!$1:$1048576,AC$2,FALSE)</f>
        <v>1.36621187E-2</v>
      </c>
      <c r="AD194" s="73">
        <f>+VLOOKUP($E194,Energy_Mix!$1:$1048576,AD$2,FALSE)</f>
        <v>1.36621187E-2</v>
      </c>
      <c r="AE194" s="73">
        <f>+VLOOKUP($E194,Energy_Mix!$1:$1048576,AE$2,FALSE)</f>
        <v>1.36621187E-2</v>
      </c>
      <c r="AF194" s="73">
        <f>+VLOOKUP($E194,Energy_Mix!$1:$1048576,AF$2,FALSE)</f>
        <v>1.36621187E-2</v>
      </c>
      <c r="AG194" s="73">
        <f>+VLOOKUP($E194,Energy_Mix!$1:$1048576,AG$2,FALSE)</f>
        <v>1.36621187E-2</v>
      </c>
      <c r="AH194" s="73">
        <f>+VLOOKUP($E194,Energy_Mix!$1:$1048576,AH$2,FALSE)</f>
        <v>1.36621187E-2</v>
      </c>
      <c r="AI194" s="73">
        <f>+VLOOKUP($E194,Energy_Mix!$1:$1048576,AI$2,FALSE)</f>
        <v>1.36621187E-2</v>
      </c>
      <c r="AJ194" s="73">
        <f>+VLOOKUP($E194,Energy_Mix!$1:$1048576,AJ$2,FALSE)</f>
        <v>1.36621187E-2</v>
      </c>
      <c r="AK194" s="73">
        <f>+VLOOKUP($E194,Energy_Mix!$1:$1048576,AK$2,FALSE)</f>
        <v>1.36621187E-2</v>
      </c>
      <c r="AL194" s="73">
        <f>+VLOOKUP($E194,Energy_Mix!$1:$1048576,AL$2,FALSE)</f>
        <v>1.36621187E-2</v>
      </c>
      <c r="AM194" s="73">
        <f>+VLOOKUP($E194,Energy_Mix!$1:$1048576,AM$2,FALSE)</f>
        <v>1.36621187E-2</v>
      </c>
      <c r="AN194" s="73">
        <f>+VLOOKUP($E194,Energy_Mix!$1:$1048576,AN$2,FALSE)</f>
        <v>1.36621187E-2</v>
      </c>
      <c r="AO194" s="73">
        <f>+VLOOKUP($E194,Energy_Mix!$1:$1048576,AO$2,FALSE)</f>
        <v>1.36621187E-2</v>
      </c>
    </row>
    <row r="195" spans="1:43" s="73" customFormat="1" ht="15" customHeight="1" x14ac:dyDescent="0.25">
      <c r="A195" s="324"/>
      <c r="B195" s="320"/>
      <c r="C195" s="132"/>
      <c r="D195" s="132" t="s">
        <v>570</v>
      </c>
      <c r="E195" s="85" t="s">
        <v>527</v>
      </c>
      <c r="F195" s="73">
        <f>+VLOOKUP($E195,Energy_Mix!$1:$1048576,F$2,FALSE)</f>
        <v>0.1051730505</v>
      </c>
      <c r="G195" s="73">
        <f>+VLOOKUP($E195,Energy_Mix!$1:$1048576,G$2,FALSE)</f>
        <v>0.1051730566</v>
      </c>
      <c r="H195" s="73">
        <f>+VLOOKUP($E195,Energy_Mix!$1:$1048576,H$2,FALSE)</f>
        <v>0.1051730566</v>
      </c>
      <c r="I195" s="73">
        <f>+VLOOKUP($E195,Energy_Mix!$1:$1048576,I$2,FALSE)</f>
        <v>0.1051730566</v>
      </c>
      <c r="J195" s="73">
        <f>+VLOOKUP($E195,Energy_Mix!$1:$1048576,J$2,FALSE)</f>
        <v>0.1051730566</v>
      </c>
      <c r="K195" s="73">
        <f>+VLOOKUP($E195,Energy_Mix!$1:$1048576,K$2,FALSE)</f>
        <v>0.1051730566</v>
      </c>
      <c r="L195" s="73">
        <f>+VLOOKUP($E195,Energy_Mix!$1:$1048576,L$2,FALSE)</f>
        <v>0.1051730566</v>
      </c>
      <c r="M195" s="73">
        <f>+VLOOKUP($E195,Energy_Mix!$1:$1048576,M$2,FALSE)</f>
        <v>0.1051730566</v>
      </c>
      <c r="N195" s="73">
        <f>+VLOOKUP($E195,Energy_Mix!$1:$1048576,N$2,FALSE)</f>
        <v>0.1051730566</v>
      </c>
      <c r="O195" s="73">
        <f>+VLOOKUP($E195,Energy_Mix!$1:$1048576,O$2,FALSE)</f>
        <v>0.1051730566</v>
      </c>
      <c r="P195" s="73">
        <f>+VLOOKUP($E195,Energy_Mix!$1:$1048576,P$2,FALSE)</f>
        <v>0.1051730566</v>
      </c>
      <c r="Q195" s="73">
        <f>+VLOOKUP($E195,Energy_Mix!$1:$1048576,Q$2,FALSE)</f>
        <v>0.1051730566</v>
      </c>
      <c r="R195" s="73">
        <f>+VLOOKUP($E195,Energy_Mix!$1:$1048576,R$2,FALSE)</f>
        <v>0.1051730566</v>
      </c>
      <c r="S195" s="73">
        <f>+VLOOKUP($E195,Energy_Mix!$1:$1048576,S$2,FALSE)</f>
        <v>0.1051730566</v>
      </c>
      <c r="T195" s="73">
        <f>+VLOOKUP($E195,Energy_Mix!$1:$1048576,T$2,FALSE)</f>
        <v>0.1051730566</v>
      </c>
      <c r="U195" s="73">
        <f>+VLOOKUP($E195,Energy_Mix!$1:$1048576,U$2,FALSE)</f>
        <v>0.1051730566</v>
      </c>
      <c r="V195" s="73">
        <f>+VLOOKUP($E195,Energy_Mix!$1:$1048576,V$2,FALSE)</f>
        <v>0.1051730566</v>
      </c>
      <c r="W195" s="73">
        <f>+VLOOKUP($E195,Energy_Mix!$1:$1048576,W$2,FALSE)</f>
        <v>0.1051730566</v>
      </c>
      <c r="X195" s="73">
        <f>+VLOOKUP($E195,Energy_Mix!$1:$1048576,X$2,FALSE)</f>
        <v>0.1051730566</v>
      </c>
      <c r="Y195" s="73">
        <f>+VLOOKUP($E195,Energy_Mix!$1:$1048576,Y$2,FALSE)</f>
        <v>0.1051730566</v>
      </c>
      <c r="Z195" s="73">
        <f>+VLOOKUP($E195,Energy_Mix!$1:$1048576,Z$2,FALSE)</f>
        <v>0.1051730566</v>
      </c>
      <c r="AA195" s="73">
        <f>+VLOOKUP($E195,Energy_Mix!$1:$1048576,AA$2,FALSE)</f>
        <v>0.1051730566</v>
      </c>
      <c r="AB195" s="73">
        <f>+VLOOKUP($E195,Energy_Mix!$1:$1048576,AB$2,FALSE)</f>
        <v>0.1051730566</v>
      </c>
      <c r="AC195" s="73">
        <f>+VLOOKUP($E195,Energy_Mix!$1:$1048576,AC$2,FALSE)</f>
        <v>0.1051730566</v>
      </c>
      <c r="AD195" s="73">
        <f>+VLOOKUP($E195,Energy_Mix!$1:$1048576,AD$2,FALSE)</f>
        <v>0.1051730566</v>
      </c>
      <c r="AE195" s="73">
        <f>+VLOOKUP($E195,Energy_Mix!$1:$1048576,AE$2,FALSE)</f>
        <v>0.1051730566</v>
      </c>
      <c r="AF195" s="73">
        <f>+VLOOKUP($E195,Energy_Mix!$1:$1048576,AF$2,FALSE)</f>
        <v>0.1051730566</v>
      </c>
      <c r="AG195" s="73">
        <f>+VLOOKUP($E195,Energy_Mix!$1:$1048576,AG$2,FALSE)</f>
        <v>0.1051730566</v>
      </c>
      <c r="AH195" s="73">
        <f>+VLOOKUP($E195,Energy_Mix!$1:$1048576,AH$2,FALSE)</f>
        <v>0.1051730566</v>
      </c>
      <c r="AI195" s="73">
        <f>+VLOOKUP($E195,Energy_Mix!$1:$1048576,AI$2,FALSE)</f>
        <v>0.1051730566</v>
      </c>
      <c r="AJ195" s="73">
        <f>+VLOOKUP($E195,Energy_Mix!$1:$1048576,AJ$2,FALSE)</f>
        <v>0.1051730566</v>
      </c>
      <c r="AK195" s="73">
        <f>+VLOOKUP($E195,Energy_Mix!$1:$1048576,AK$2,FALSE)</f>
        <v>0.1051730566</v>
      </c>
      <c r="AL195" s="73">
        <f>+VLOOKUP($E195,Energy_Mix!$1:$1048576,AL$2,FALSE)</f>
        <v>0.1051730566</v>
      </c>
      <c r="AM195" s="73">
        <f>+VLOOKUP($E195,Energy_Mix!$1:$1048576,AM$2,FALSE)</f>
        <v>0.1051730566</v>
      </c>
      <c r="AN195" s="73">
        <f>+VLOOKUP($E195,Energy_Mix!$1:$1048576,AN$2,FALSE)</f>
        <v>0.1051730566</v>
      </c>
      <c r="AO195" s="73">
        <f>+VLOOKUP($E195,Energy_Mix!$1:$1048576,AO$2,FALSE)</f>
        <v>0.1051730566</v>
      </c>
    </row>
    <row r="196" spans="1:43" s="73" customFormat="1" ht="15" customHeight="1" x14ac:dyDescent="0.25">
      <c r="A196" s="324"/>
      <c r="B196" s="320"/>
      <c r="C196" s="132"/>
      <c r="D196" s="132" t="s">
        <v>501</v>
      </c>
      <c r="E196" s="85" t="s">
        <v>528</v>
      </c>
      <c r="F196" s="73">
        <f>+VLOOKUP($E196,Energy_Mix!$1:$1048576,F$2,FALSE)</f>
        <v>6.1515785400000002E-2</v>
      </c>
      <c r="G196" s="73">
        <f>+VLOOKUP($E196,Energy_Mix!$1:$1048576,G$2,FALSE)</f>
        <v>6.1515789000000001E-2</v>
      </c>
      <c r="H196" s="73">
        <f>+VLOOKUP($E196,Energy_Mix!$1:$1048576,H$2,FALSE)</f>
        <v>6.1515789000000001E-2</v>
      </c>
      <c r="I196" s="73">
        <f>+VLOOKUP($E196,Energy_Mix!$1:$1048576,I$2,FALSE)</f>
        <v>6.1515789000000001E-2</v>
      </c>
      <c r="J196" s="73">
        <f>+VLOOKUP($E196,Energy_Mix!$1:$1048576,J$2,FALSE)</f>
        <v>6.1515789000000001E-2</v>
      </c>
      <c r="K196" s="73">
        <f>+VLOOKUP($E196,Energy_Mix!$1:$1048576,K$2,FALSE)</f>
        <v>6.1515789000000001E-2</v>
      </c>
      <c r="L196" s="73">
        <f>+VLOOKUP($E196,Energy_Mix!$1:$1048576,L$2,FALSE)</f>
        <v>6.1515789000000001E-2</v>
      </c>
      <c r="M196" s="73">
        <f>+VLOOKUP($E196,Energy_Mix!$1:$1048576,M$2,FALSE)</f>
        <v>6.1515789000000001E-2</v>
      </c>
      <c r="N196" s="73">
        <f>+VLOOKUP($E196,Energy_Mix!$1:$1048576,N$2,FALSE)</f>
        <v>6.1515789000000001E-2</v>
      </c>
      <c r="O196" s="73">
        <f>+VLOOKUP($E196,Energy_Mix!$1:$1048576,O$2,FALSE)</f>
        <v>6.1515789000000001E-2</v>
      </c>
      <c r="P196" s="73">
        <f>+VLOOKUP($E196,Energy_Mix!$1:$1048576,P$2,FALSE)</f>
        <v>6.1515789000000001E-2</v>
      </c>
      <c r="Q196" s="73">
        <f>+VLOOKUP($E196,Energy_Mix!$1:$1048576,Q$2,FALSE)</f>
        <v>6.1515789000000001E-2</v>
      </c>
      <c r="R196" s="73">
        <f>+VLOOKUP($E196,Energy_Mix!$1:$1048576,R$2,FALSE)</f>
        <v>6.1515789000000001E-2</v>
      </c>
      <c r="S196" s="73">
        <f>+VLOOKUP($E196,Energy_Mix!$1:$1048576,S$2,FALSE)</f>
        <v>6.1515789000000001E-2</v>
      </c>
      <c r="T196" s="73">
        <f>+VLOOKUP($E196,Energy_Mix!$1:$1048576,T$2,FALSE)</f>
        <v>6.1515789000000001E-2</v>
      </c>
      <c r="U196" s="73">
        <f>+VLOOKUP($E196,Energy_Mix!$1:$1048576,U$2,FALSE)</f>
        <v>6.1515789000000001E-2</v>
      </c>
      <c r="V196" s="73">
        <f>+VLOOKUP($E196,Energy_Mix!$1:$1048576,V$2,FALSE)</f>
        <v>6.1515789000000001E-2</v>
      </c>
      <c r="W196" s="73">
        <f>+VLOOKUP($E196,Energy_Mix!$1:$1048576,W$2,FALSE)</f>
        <v>6.1515789000000001E-2</v>
      </c>
      <c r="X196" s="73">
        <f>+VLOOKUP($E196,Energy_Mix!$1:$1048576,X$2,FALSE)</f>
        <v>6.1515789000000001E-2</v>
      </c>
      <c r="Y196" s="73">
        <f>+VLOOKUP($E196,Energy_Mix!$1:$1048576,Y$2,FALSE)</f>
        <v>6.1515789000000001E-2</v>
      </c>
      <c r="Z196" s="73">
        <f>+VLOOKUP($E196,Energy_Mix!$1:$1048576,Z$2,FALSE)</f>
        <v>6.1515789000000001E-2</v>
      </c>
      <c r="AA196" s="73">
        <f>+VLOOKUP($E196,Energy_Mix!$1:$1048576,AA$2,FALSE)</f>
        <v>6.1515789000000001E-2</v>
      </c>
      <c r="AB196" s="73">
        <f>+VLOOKUP($E196,Energy_Mix!$1:$1048576,AB$2,FALSE)</f>
        <v>6.1515789000000001E-2</v>
      </c>
      <c r="AC196" s="73">
        <f>+VLOOKUP($E196,Energy_Mix!$1:$1048576,AC$2,FALSE)</f>
        <v>6.1515789000000001E-2</v>
      </c>
      <c r="AD196" s="73">
        <f>+VLOOKUP($E196,Energy_Mix!$1:$1048576,AD$2,FALSE)</f>
        <v>6.1515789000000001E-2</v>
      </c>
      <c r="AE196" s="73">
        <f>+VLOOKUP($E196,Energy_Mix!$1:$1048576,AE$2,FALSE)</f>
        <v>6.1515789000000001E-2</v>
      </c>
      <c r="AF196" s="73">
        <f>+VLOOKUP($E196,Energy_Mix!$1:$1048576,AF$2,FALSE)</f>
        <v>6.1515789000000001E-2</v>
      </c>
      <c r="AG196" s="73">
        <f>+VLOOKUP($E196,Energy_Mix!$1:$1048576,AG$2,FALSE)</f>
        <v>6.1515789000000001E-2</v>
      </c>
      <c r="AH196" s="73">
        <f>+VLOOKUP($E196,Energy_Mix!$1:$1048576,AH$2,FALSE)</f>
        <v>6.1515789000000001E-2</v>
      </c>
      <c r="AI196" s="73">
        <f>+VLOOKUP($E196,Energy_Mix!$1:$1048576,AI$2,FALSE)</f>
        <v>6.1515789000000001E-2</v>
      </c>
      <c r="AJ196" s="73">
        <f>+VLOOKUP($E196,Energy_Mix!$1:$1048576,AJ$2,FALSE)</f>
        <v>6.1515789000000001E-2</v>
      </c>
      <c r="AK196" s="73">
        <f>+VLOOKUP($E196,Energy_Mix!$1:$1048576,AK$2,FALSE)</f>
        <v>6.1515789000000001E-2</v>
      </c>
      <c r="AL196" s="73">
        <f>+VLOOKUP($E196,Energy_Mix!$1:$1048576,AL$2,FALSE)</f>
        <v>6.1515789000000001E-2</v>
      </c>
      <c r="AM196" s="73">
        <f>+VLOOKUP($E196,Energy_Mix!$1:$1048576,AM$2,FALSE)</f>
        <v>6.1515789000000001E-2</v>
      </c>
      <c r="AN196" s="73">
        <f>+VLOOKUP($E196,Energy_Mix!$1:$1048576,AN$2,FALSE)</f>
        <v>6.1515789000000001E-2</v>
      </c>
      <c r="AO196" s="73">
        <f>+VLOOKUP($E196,Energy_Mix!$1:$1048576,AO$2,FALSE)</f>
        <v>6.1515789000000001E-2</v>
      </c>
    </row>
    <row r="197" spans="1:43" s="73" customFormat="1" ht="15" customHeight="1" x14ac:dyDescent="0.25">
      <c r="A197" s="324"/>
      <c r="B197" s="320"/>
      <c r="C197" s="132"/>
      <c r="D197" s="132" t="s">
        <v>502</v>
      </c>
      <c r="E197" s="363" t="s">
        <v>529</v>
      </c>
      <c r="F197" s="73">
        <f>+VLOOKUP($E197,Energy_Mix!$1:$1048576,F$2,FALSE)</f>
        <v>1.71800688E-3</v>
      </c>
      <c r="G197" s="73">
        <f>+VLOOKUP($E197,Energy_Mix!$1:$1048576,G$2,FALSE)</f>
        <v>1.71800698E-3</v>
      </c>
      <c r="H197" s="73">
        <f>+VLOOKUP($E197,Energy_Mix!$1:$1048576,H$2,FALSE)</f>
        <v>1.71800698E-3</v>
      </c>
      <c r="I197" s="73">
        <f>+VLOOKUP($E197,Energy_Mix!$1:$1048576,I$2,FALSE)</f>
        <v>1.71800698E-3</v>
      </c>
      <c r="J197" s="73">
        <f>+VLOOKUP($E197,Energy_Mix!$1:$1048576,J$2,FALSE)</f>
        <v>1.71800698E-3</v>
      </c>
      <c r="K197" s="73">
        <f>+VLOOKUP($E197,Energy_Mix!$1:$1048576,K$2,FALSE)</f>
        <v>1.71800698E-3</v>
      </c>
      <c r="L197" s="73">
        <f>+VLOOKUP($E197,Energy_Mix!$1:$1048576,L$2,FALSE)</f>
        <v>1.71800698E-3</v>
      </c>
      <c r="M197" s="73">
        <f>+VLOOKUP($E197,Energy_Mix!$1:$1048576,M$2,FALSE)</f>
        <v>1.71800698E-3</v>
      </c>
      <c r="N197" s="73">
        <f>+VLOOKUP($E197,Energy_Mix!$1:$1048576,N$2,FALSE)</f>
        <v>1.71800698E-3</v>
      </c>
      <c r="O197" s="73">
        <f>+VLOOKUP($E197,Energy_Mix!$1:$1048576,O$2,FALSE)</f>
        <v>1.71800698E-3</v>
      </c>
      <c r="P197" s="73">
        <f>+VLOOKUP($E197,Energy_Mix!$1:$1048576,P$2,FALSE)</f>
        <v>1.71800698E-3</v>
      </c>
      <c r="Q197" s="73">
        <f>+VLOOKUP($E197,Energy_Mix!$1:$1048576,Q$2,FALSE)</f>
        <v>1.71800698E-3</v>
      </c>
      <c r="R197" s="73">
        <f>+VLOOKUP($E197,Energy_Mix!$1:$1048576,R$2,FALSE)</f>
        <v>1.71800698E-3</v>
      </c>
      <c r="S197" s="73">
        <f>+VLOOKUP($E197,Energy_Mix!$1:$1048576,S$2,FALSE)</f>
        <v>1.71800698E-3</v>
      </c>
      <c r="T197" s="73">
        <f>+VLOOKUP($E197,Energy_Mix!$1:$1048576,T$2,FALSE)</f>
        <v>1.71800698E-3</v>
      </c>
      <c r="U197" s="73">
        <f>+VLOOKUP($E197,Energy_Mix!$1:$1048576,U$2,FALSE)</f>
        <v>1.71800698E-3</v>
      </c>
      <c r="V197" s="73">
        <f>+VLOOKUP($E197,Energy_Mix!$1:$1048576,V$2,FALSE)</f>
        <v>1.71800698E-3</v>
      </c>
      <c r="W197" s="73">
        <f>+VLOOKUP($E197,Energy_Mix!$1:$1048576,W$2,FALSE)</f>
        <v>1.71800698E-3</v>
      </c>
      <c r="X197" s="73">
        <f>+VLOOKUP($E197,Energy_Mix!$1:$1048576,X$2,FALSE)</f>
        <v>1.71800698E-3</v>
      </c>
      <c r="Y197" s="73">
        <f>+VLOOKUP($E197,Energy_Mix!$1:$1048576,Y$2,FALSE)</f>
        <v>1.71800698E-3</v>
      </c>
      <c r="Z197" s="73">
        <f>+VLOOKUP($E197,Energy_Mix!$1:$1048576,Z$2,FALSE)</f>
        <v>1.71800698E-3</v>
      </c>
      <c r="AA197" s="73">
        <f>+VLOOKUP($E197,Energy_Mix!$1:$1048576,AA$2,FALSE)</f>
        <v>1.71800698E-3</v>
      </c>
      <c r="AB197" s="73">
        <f>+VLOOKUP($E197,Energy_Mix!$1:$1048576,AB$2,FALSE)</f>
        <v>1.71800698E-3</v>
      </c>
      <c r="AC197" s="73">
        <f>+VLOOKUP($E197,Energy_Mix!$1:$1048576,AC$2,FALSE)</f>
        <v>1.71800698E-3</v>
      </c>
      <c r="AD197" s="73">
        <f>+VLOOKUP($E197,Energy_Mix!$1:$1048576,AD$2,FALSE)</f>
        <v>1.71800698E-3</v>
      </c>
      <c r="AE197" s="73">
        <f>+VLOOKUP($E197,Energy_Mix!$1:$1048576,AE$2,FALSE)</f>
        <v>1.71800698E-3</v>
      </c>
      <c r="AF197" s="73">
        <f>+VLOOKUP($E197,Energy_Mix!$1:$1048576,AF$2,FALSE)</f>
        <v>1.71800698E-3</v>
      </c>
      <c r="AG197" s="73">
        <f>+VLOOKUP($E197,Energy_Mix!$1:$1048576,AG$2,FALSE)</f>
        <v>1.71800698E-3</v>
      </c>
      <c r="AH197" s="73">
        <f>+VLOOKUP($E197,Energy_Mix!$1:$1048576,AH$2,FALSE)</f>
        <v>1.71800698E-3</v>
      </c>
      <c r="AI197" s="73">
        <f>+VLOOKUP($E197,Energy_Mix!$1:$1048576,AI$2,FALSE)</f>
        <v>1.71800698E-3</v>
      </c>
      <c r="AJ197" s="73">
        <f>+VLOOKUP($E197,Energy_Mix!$1:$1048576,AJ$2,FALSE)</f>
        <v>1.71800698E-3</v>
      </c>
      <c r="AK197" s="73">
        <f>+VLOOKUP($E197,Energy_Mix!$1:$1048576,AK$2,FALSE)</f>
        <v>1.71800698E-3</v>
      </c>
      <c r="AL197" s="73">
        <f>+VLOOKUP($E197,Energy_Mix!$1:$1048576,AL$2,FALSE)</f>
        <v>1.71800698E-3</v>
      </c>
      <c r="AM197" s="73">
        <f>+VLOOKUP($E197,Energy_Mix!$1:$1048576,AM$2,FALSE)</f>
        <v>1.71800698E-3</v>
      </c>
      <c r="AN197" s="73">
        <f>+VLOOKUP($E197,Energy_Mix!$1:$1048576,AN$2,FALSE)</f>
        <v>1.71800698E-3</v>
      </c>
      <c r="AO197" s="73">
        <f>+VLOOKUP($E197,Energy_Mix!$1:$1048576,AO$2,FALSE)</f>
        <v>1.71800698E-3</v>
      </c>
    </row>
    <row r="198" spans="1:43" s="73" customFormat="1" ht="15" customHeight="1" x14ac:dyDescent="0.25">
      <c r="A198" s="324"/>
      <c r="B198" s="320"/>
      <c r="C198" s="175" t="s">
        <v>516</v>
      </c>
      <c r="D198" s="132"/>
      <c r="E198" s="85"/>
    </row>
    <row r="199" spans="1:43" s="73" customFormat="1" ht="15" customHeight="1" x14ac:dyDescent="0.25">
      <c r="A199" s="324"/>
      <c r="B199" s="320"/>
      <c r="C199" s="132"/>
      <c r="D199" s="132" t="s">
        <v>501</v>
      </c>
      <c r="E199" s="85" t="s">
        <v>2039</v>
      </c>
      <c r="F199" s="73" t="e">
        <f>+VLOOKUP($E199,Energy_Mix!$1:$1048576,F$2,FALSE)</f>
        <v>#N/A</v>
      </c>
      <c r="G199" s="73" t="e">
        <f>+VLOOKUP($E199,Energy_Mix!$1:$1048576,G$2,FALSE)</f>
        <v>#N/A</v>
      </c>
      <c r="H199" s="73" t="e">
        <f>+VLOOKUP($E199,Energy_Mix!$1:$1048576,H$2,FALSE)</f>
        <v>#N/A</v>
      </c>
      <c r="I199" s="73" t="e">
        <f>+VLOOKUP($E199,Energy_Mix!$1:$1048576,I$2,FALSE)</f>
        <v>#N/A</v>
      </c>
      <c r="J199" s="73" t="e">
        <f>+VLOOKUP($E199,Energy_Mix!$1:$1048576,J$2,FALSE)</f>
        <v>#N/A</v>
      </c>
      <c r="K199" s="73" t="e">
        <f>+VLOOKUP($E199,Energy_Mix!$1:$1048576,K$2,FALSE)</f>
        <v>#N/A</v>
      </c>
      <c r="L199" s="73" t="e">
        <f>+VLOOKUP($E199,Energy_Mix!$1:$1048576,L$2,FALSE)</f>
        <v>#N/A</v>
      </c>
      <c r="M199" s="73" t="e">
        <f>+VLOOKUP($E199,Energy_Mix!$1:$1048576,M$2,FALSE)</f>
        <v>#N/A</v>
      </c>
      <c r="N199" s="73" t="e">
        <f>+VLOOKUP($E199,Energy_Mix!$1:$1048576,N$2,FALSE)</f>
        <v>#N/A</v>
      </c>
      <c r="O199" s="73" t="e">
        <f>+VLOOKUP($E199,Energy_Mix!$1:$1048576,O$2,FALSE)</f>
        <v>#N/A</v>
      </c>
      <c r="P199" s="73" t="e">
        <f>+VLOOKUP($E199,Energy_Mix!$1:$1048576,P$2,FALSE)</f>
        <v>#N/A</v>
      </c>
      <c r="Q199" s="73" t="e">
        <f>+VLOOKUP($E199,Energy_Mix!$1:$1048576,Q$2,FALSE)</f>
        <v>#N/A</v>
      </c>
      <c r="R199" s="73" t="e">
        <f>+VLOOKUP($E199,Energy_Mix!$1:$1048576,R$2,FALSE)</f>
        <v>#N/A</v>
      </c>
      <c r="S199" s="73" t="e">
        <f>+VLOOKUP($E199,Energy_Mix!$1:$1048576,S$2,FALSE)</f>
        <v>#N/A</v>
      </c>
      <c r="T199" s="73" t="e">
        <f>+VLOOKUP($E199,Energy_Mix!$1:$1048576,T$2,FALSE)</f>
        <v>#N/A</v>
      </c>
      <c r="U199" s="73" t="e">
        <f>+VLOOKUP($E199,Energy_Mix!$1:$1048576,U$2,FALSE)</f>
        <v>#N/A</v>
      </c>
      <c r="V199" s="73" t="e">
        <f>+VLOOKUP($E199,Energy_Mix!$1:$1048576,V$2,FALSE)</f>
        <v>#N/A</v>
      </c>
      <c r="W199" s="73" t="e">
        <f>+VLOOKUP($E199,Energy_Mix!$1:$1048576,W$2,FALSE)</f>
        <v>#N/A</v>
      </c>
      <c r="X199" s="73" t="e">
        <f>+VLOOKUP($E199,Energy_Mix!$1:$1048576,X$2,FALSE)</f>
        <v>#N/A</v>
      </c>
      <c r="Y199" s="73" t="e">
        <f>+VLOOKUP($E199,Energy_Mix!$1:$1048576,Y$2,FALSE)</f>
        <v>#N/A</v>
      </c>
      <c r="Z199" s="73" t="e">
        <f>+VLOOKUP($E199,Energy_Mix!$1:$1048576,Z$2,FALSE)</f>
        <v>#N/A</v>
      </c>
      <c r="AA199" s="73" t="e">
        <f>+VLOOKUP($E199,Energy_Mix!$1:$1048576,AA$2,FALSE)</f>
        <v>#N/A</v>
      </c>
      <c r="AB199" s="73" t="e">
        <f>+VLOOKUP($E199,Energy_Mix!$1:$1048576,AB$2,FALSE)</f>
        <v>#N/A</v>
      </c>
      <c r="AC199" s="73" t="e">
        <f>+VLOOKUP($E199,Energy_Mix!$1:$1048576,AC$2,FALSE)</f>
        <v>#N/A</v>
      </c>
      <c r="AD199" s="73" t="e">
        <f>+VLOOKUP($E199,Energy_Mix!$1:$1048576,AD$2,FALSE)</f>
        <v>#N/A</v>
      </c>
      <c r="AE199" s="73" t="e">
        <f>+VLOOKUP($E199,Energy_Mix!$1:$1048576,AE$2,FALSE)</f>
        <v>#N/A</v>
      </c>
      <c r="AF199" s="73" t="e">
        <f>+VLOOKUP($E199,Energy_Mix!$1:$1048576,AF$2,FALSE)</f>
        <v>#N/A</v>
      </c>
      <c r="AG199" s="73" t="e">
        <f>+VLOOKUP($E199,Energy_Mix!$1:$1048576,AG$2,FALSE)</f>
        <v>#N/A</v>
      </c>
      <c r="AH199" s="73" t="e">
        <f>+VLOOKUP($E199,Energy_Mix!$1:$1048576,AH$2,FALSE)</f>
        <v>#N/A</v>
      </c>
      <c r="AI199" s="73" t="e">
        <f>+VLOOKUP($E199,Energy_Mix!$1:$1048576,AI$2,FALSE)</f>
        <v>#N/A</v>
      </c>
      <c r="AJ199" s="73" t="e">
        <f>+VLOOKUP($E199,Energy_Mix!$1:$1048576,AJ$2,FALSE)</f>
        <v>#N/A</v>
      </c>
      <c r="AK199" s="73" t="e">
        <f>+VLOOKUP($E199,Energy_Mix!$1:$1048576,AK$2,FALSE)</f>
        <v>#N/A</v>
      </c>
      <c r="AL199" s="73" t="e">
        <f>+VLOOKUP($E199,Energy_Mix!$1:$1048576,AL$2,FALSE)</f>
        <v>#N/A</v>
      </c>
      <c r="AM199" s="73" t="e">
        <f>+VLOOKUP($E199,Energy_Mix!$1:$1048576,AM$2,FALSE)</f>
        <v>#N/A</v>
      </c>
      <c r="AN199" s="73" t="e">
        <f>+VLOOKUP($E199,Energy_Mix!$1:$1048576,AN$2,FALSE)</f>
        <v>#N/A</v>
      </c>
      <c r="AO199" s="73" t="e">
        <f>+VLOOKUP($E199,Energy_Mix!$1:$1048576,AO$2,FALSE)</f>
        <v>#N/A</v>
      </c>
    </row>
    <row r="200" spans="1:43" s="73" customFormat="1" ht="15" customHeight="1" x14ac:dyDescent="0.25">
      <c r="A200" s="324"/>
      <c r="B200" s="320"/>
      <c r="C200" s="175" t="s">
        <v>601</v>
      </c>
      <c r="D200" s="132"/>
      <c r="E200" s="85"/>
    </row>
    <row r="201" spans="1:43" s="73" customFormat="1" ht="15" customHeight="1" x14ac:dyDescent="0.25">
      <c r="A201" s="324"/>
      <c r="B201" s="320"/>
      <c r="C201" s="175"/>
      <c r="D201" s="132"/>
      <c r="E201" s="85" t="s">
        <v>2040</v>
      </c>
      <c r="F201" s="73" t="e">
        <f>+VLOOKUP($E201,Energy_Mix!$1:$1048576,F$2,FALSE)</f>
        <v>#N/A</v>
      </c>
      <c r="G201" s="73" t="e">
        <f>+VLOOKUP($E201,Energy_Mix!$1:$1048576,G$2,FALSE)</f>
        <v>#N/A</v>
      </c>
      <c r="H201" s="73" t="e">
        <f>+VLOOKUP($E201,Energy_Mix!$1:$1048576,H$2,FALSE)</f>
        <v>#N/A</v>
      </c>
      <c r="I201" s="73" t="e">
        <f>+VLOOKUP($E201,Energy_Mix!$1:$1048576,I$2,FALSE)</f>
        <v>#N/A</v>
      </c>
      <c r="J201" s="73" t="e">
        <f>+VLOOKUP($E201,Energy_Mix!$1:$1048576,J$2,FALSE)</f>
        <v>#N/A</v>
      </c>
      <c r="K201" s="73" t="e">
        <f>+VLOOKUP($E201,Energy_Mix!$1:$1048576,K$2,FALSE)</f>
        <v>#N/A</v>
      </c>
      <c r="L201" s="73" t="e">
        <f>+VLOOKUP($E201,Energy_Mix!$1:$1048576,L$2,FALSE)</f>
        <v>#N/A</v>
      </c>
      <c r="M201" s="73" t="e">
        <f>+VLOOKUP($E201,Energy_Mix!$1:$1048576,M$2,FALSE)</f>
        <v>#N/A</v>
      </c>
      <c r="N201" s="73" t="e">
        <f>+VLOOKUP($E201,Energy_Mix!$1:$1048576,N$2,FALSE)</f>
        <v>#N/A</v>
      </c>
      <c r="O201" s="73" t="e">
        <f>+VLOOKUP($E201,Energy_Mix!$1:$1048576,O$2,FALSE)</f>
        <v>#N/A</v>
      </c>
      <c r="P201" s="73" t="e">
        <f>+VLOOKUP($E201,Energy_Mix!$1:$1048576,P$2,FALSE)</f>
        <v>#N/A</v>
      </c>
      <c r="Q201" s="73" t="e">
        <f>+VLOOKUP($E201,Energy_Mix!$1:$1048576,Q$2,FALSE)</f>
        <v>#N/A</v>
      </c>
      <c r="R201" s="73" t="e">
        <f>+VLOOKUP($E201,Energy_Mix!$1:$1048576,R$2,FALSE)</f>
        <v>#N/A</v>
      </c>
      <c r="S201" s="73" t="e">
        <f>+VLOOKUP($E201,Energy_Mix!$1:$1048576,S$2,FALSE)</f>
        <v>#N/A</v>
      </c>
      <c r="T201" s="73" t="e">
        <f>+VLOOKUP($E201,Energy_Mix!$1:$1048576,T$2,FALSE)</f>
        <v>#N/A</v>
      </c>
      <c r="U201" s="73" t="e">
        <f>+VLOOKUP($E201,Energy_Mix!$1:$1048576,U$2,FALSE)</f>
        <v>#N/A</v>
      </c>
      <c r="V201" s="73" t="e">
        <f>+VLOOKUP($E201,Energy_Mix!$1:$1048576,V$2,FALSE)</f>
        <v>#N/A</v>
      </c>
      <c r="W201" s="73" t="e">
        <f>+VLOOKUP($E201,Energy_Mix!$1:$1048576,W$2,FALSE)</f>
        <v>#N/A</v>
      </c>
      <c r="X201" s="73" t="e">
        <f>+VLOOKUP($E201,Energy_Mix!$1:$1048576,X$2,FALSE)</f>
        <v>#N/A</v>
      </c>
      <c r="Y201" s="73" t="e">
        <f>+VLOOKUP($E201,Energy_Mix!$1:$1048576,Y$2,FALSE)</f>
        <v>#N/A</v>
      </c>
      <c r="Z201" s="73" t="e">
        <f>+VLOOKUP($E201,Energy_Mix!$1:$1048576,Z$2,FALSE)</f>
        <v>#N/A</v>
      </c>
      <c r="AA201" s="73" t="e">
        <f>+VLOOKUP($E201,Energy_Mix!$1:$1048576,AA$2,FALSE)</f>
        <v>#N/A</v>
      </c>
      <c r="AB201" s="73" t="e">
        <f>+VLOOKUP($E201,Energy_Mix!$1:$1048576,AB$2,FALSE)</f>
        <v>#N/A</v>
      </c>
      <c r="AC201" s="73" t="e">
        <f>+VLOOKUP($E201,Energy_Mix!$1:$1048576,AC$2,FALSE)</f>
        <v>#N/A</v>
      </c>
      <c r="AD201" s="73" t="e">
        <f>+VLOOKUP($E201,Energy_Mix!$1:$1048576,AD$2,FALSE)</f>
        <v>#N/A</v>
      </c>
      <c r="AE201" s="73" t="e">
        <f>+VLOOKUP($E201,Energy_Mix!$1:$1048576,AE$2,FALSE)</f>
        <v>#N/A</v>
      </c>
      <c r="AF201" s="73" t="e">
        <f>+VLOOKUP($E201,Energy_Mix!$1:$1048576,AF$2,FALSE)</f>
        <v>#N/A</v>
      </c>
      <c r="AG201" s="73" t="e">
        <f>+VLOOKUP($E201,Energy_Mix!$1:$1048576,AG$2,FALSE)</f>
        <v>#N/A</v>
      </c>
      <c r="AH201" s="73" t="e">
        <f>+VLOOKUP($E201,Energy_Mix!$1:$1048576,AH$2,FALSE)</f>
        <v>#N/A</v>
      </c>
      <c r="AI201" s="73" t="e">
        <f>+VLOOKUP($E201,Energy_Mix!$1:$1048576,AI$2,FALSE)</f>
        <v>#N/A</v>
      </c>
      <c r="AJ201" s="73" t="e">
        <f>+VLOOKUP($E201,Energy_Mix!$1:$1048576,AJ$2,FALSE)</f>
        <v>#N/A</v>
      </c>
      <c r="AK201" s="73" t="e">
        <f>+VLOOKUP($E201,Energy_Mix!$1:$1048576,AK$2,FALSE)</f>
        <v>#N/A</v>
      </c>
      <c r="AL201" s="73" t="e">
        <f>+VLOOKUP($E201,Energy_Mix!$1:$1048576,AL$2,FALSE)</f>
        <v>#N/A</v>
      </c>
      <c r="AM201" s="73" t="e">
        <f>+VLOOKUP($E201,Energy_Mix!$1:$1048576,AM$2,FALSE)</f>
        <v>#N/A</v>
      </c>
      <c r="AN201" s="73" t="e">
        <f>+VLOOKUP($E201,Energy_Mix!$1:$1048576,AN$2,FALSE)</f>
        <v>#N/A</v>
      </c>
      <c r="AO201" s="73" t="e">
        <f>+VLOOKUP($E201,Energy_Mix!$1:$1048576,AO$2,FALSE)</f>
        <v>#N/A</v>
      </c>
    </row>
    <row r="202" spans="1:43" s="73" customFormat="1" ht="15" customHeight="1" x14ac:dyDescent="0.25">
      <c r="A202" s="324"/>
      <c r="B202" s="320"/>
      <c r="C202" s="175"/>
      <c r="D202" s="132"/>
      <c r="E202" s="85" t="s">
        <v>2041</v>
      </c>
      <c r="F202" s="73" t="e">
        <f>+VLOOKUP($E202,Energy_Mix!$1:$1048576,F$2,FALSE)</f>
        <v>#N/A</v>
      </c>
      <c r="G202" s="73" t="e">
        <f>+VLOOKUP($E202,Energy_Mix!$1:$1048576,G$2,FALSE)</f>
        <v>#N/A</v>
      </c>
      <c r="H202" s="73" t="e">
        <f>+VLOOKUP($E202,Energy_Mix!$1:$1048576,H$2,FALSE)</f>
        <v>#N/A</v>
      </c>
      <c r="I202" s="73" t="e">
        <f>+VLOOKUP($E202,Energy_Mix!$1:$1048576,I$2,FALSE)</f>
        <v>#N/A</v>
      </c>
      <c r="J202" s="73" t="e">
        <f>+VLOOKUP($E202,Energy_Mix!$1:$1048576,J$2,FALSE)</f>
        <v>#N/A</v>
      </c>
      <c r="K202" s="73" t="e">
        <f>+VLOOKUP($E202,Energy_Mix!$1:$1048576,K$2,FALSE)</f>
        <v>#N/A</v>
      </c>
      <c r="L202" s="73" t="e">
        <f>+VLOOKUP($E202,Energy_Mix!$1:$1048576,L$2,FALSE)</f>
        <v>#N/A</v>
      </c>
      <c r="M202" s="73" t="e">
        <f>+VLOOKUP($E202,Energy_Mix!$1:$1048576,M$2,FALSE)</f>
        <v>#N/A</v>
      </c>
      <c r="N202" s="73" t="e">
        <f>+VLOOKUP($E202,Energy_Mix!$1:$1048576,N$2,FALSE)</f>
        <v>#N/A</v>
      </c>
      <c r="O202" s="73" t="e">
        <f>+VLOOKUP($E202,Energy_Mix!$1:$1048576,O$2,FALSE)</f>
        <v>#N/A</v>
      </c>
      <c r="P202" s="73" t="e">
        <f>+VLOOKUP($E202,Energy_Mix!$1:$1048576,P$2,FALSE)</f>
        <v>#N/A</v>
      </c>
      <c r="Q202" s="73" t="e">
        <f>+VLOOKUP($E202,Energy_Mix!$1:$1048576,Q$2,FALSE)</f>
        <v>#N/A</v>
      </c>
      <c r="R202" s="73" t="e">
        <f>+VLOOKUP($E202,Energy_Mix!$1:$1048576,R$2,FALSE)</f>
        <v>#N/A</v>
      </c>
      <c r="S202" s="73" t="e">
        <f>+VLOOKUP($E202,Energy_Mix!$1:$1048576,S$2,FALSE)</f>
        <v>#N/A</v>
      </c>
      <c r="T202" s="73" t="e">
        <f>+VLOOKUP($E202,Energy_Mix!$1:$1048576,T$2,FALSE)</f>
        <v>#N/A</v>
      </c>
      <c r="U202" s="73" t="e">
        <f>+VLOOKUP($E202,Energy_Mix!$1:$1048576,U$2,FALSE)</f>
        <v>#N/A</v>
      </c>
      <c r="V202" s="73" t="e">
        <f>+VLOOKUP($E202,Energy_Mix!$1:$1048576,V$2,FALSE)</f>
        <v>#N/A</v>
      </c>
      <c r="W202" s="73" t="e">
        <f>+VLOOKUP($E202,Energy_Mix!$1:$1048576,W$2,FALSE)</f>
        <v>#N/A</v>
      </c>
      <c r="X202" s="73" t="e">
        <f>+VLOOKUP($E202,Energy_Mix!$1:$1048576,X$2,FALSE)</f>
        <v>#N/A</v>
      </c>
      <c r="Y202" s="73" t="e">
        <f>+VLOOKUP($E202,Energy_Mix!$1:$1048576,Y$2,FALSE)</f>
        <v>#N/A</v>
      </c>
      <c r="Z202" s="73" t="e">
        <f>+VLOOKUP($E202,Energy_Mix!$1:$1048576,Z$2,FALSE)</f>
        <v>#N/A</v>
      </c>
      <c r="AA202" s="73" t="e">
        <f>+VLOOKUP($E202,Energy_Mix!$1:$1048576,AA$2,FALSE)</f>
        <v>#N/A</v>
      </c>
      <c r="AB202" s="73" t="e">
        <f>+VLOOKUP($E202,Energy_Mix!$1:$1048576,AB$2,FALSE)</f>
        <v>#N/A</v>
      </c>
      <c r="AC202" s="73" t="e">
        <f>+VLOOKUP($E202,Energy_Mix!$1:$1048576,AC$2,FALSE)</f>
        <v>#N/A</v>
      </c>
      <c r="AD202" s="73" t="e">
        <f>+VLOOKUP($E202,Energy_Mix!$1:$1048576,AD$2,FALSE)</f>
        <v>#N/A</v>
      </c>
      <c r="AE202" s="73" t="e">
        <f>+VLOOKUP($E202,Energy_Mix!$1:$1048576,AE$2,FALSE)</f>
        <v>#N/A</v>
      </c>
      <c r="AF202" s="73" t="e">
        <f>+VLOOKUP($E202,Energy_Mix!$1:$1048576,AF$2,FALSE)</f>
        <v>#N/A</v>
      </c>
      <c r="AG202" s="73" t="e">
        <f>+VLOOKUP($E202,Energy_Mix!$1:$1048576,AG$2,FALSE)</f>
        <v>#N/A</v>
      </c>
      <c r="AH202" s="73" t="e">
        <f>+VLOOKUP($E202,Energy_Mix!$1:$1048576,AH$2,FALSE)</f>
        <v>#N/A</v>
      </c>
      <c r="AI202" s="73" t="e">
        <f>+VLOOKUP($E202,Energy_Mix!$1:$1048576,AI$2,FALSE)</f>
        <v>#N/A</v>
      </c>
      <c r="AJ202" s="73" t="e">
        <f>+VLOOKUP($E202,Energy_Mix!$1:$1048576,AJ$2,FALSE)</f>
        <v>#N/A</v>
      </c>
      <c r="AK202" s="73" t="e">
        <f>+VLOOKUP($E202,Energy_Mix!$1:$1048576,AK$2,FALSE)</f>
        <v>#N/A</v>
      </c>
      <c r="AL202" s="73" t="e">
        <f>+VLOOKUP($E202,Energy_Mix!$1:$1048576,AL$2,FALSE)</f>
        <v>#N/A</v>
      </c>
      <c r="AM202" s="73" t="e">
        <f>+VLOOKUP($E202,Energy_Mix!$1:$1048576,AM$2,FALSE)</f>
        <v>#N/A</v>
      </c>
      <c r="AN202" s="73" t="e">
        <f>+VLOOKUP($E202,Energy_Mix!$1:$1048576,AN$2,FALSE)</f>
        <v>#N/A</v>
      </c>
      <c r="AO202" s="73" t="e">
        <f>+VLOOKUP($E202,Energy_Mix!$1:$1048576,AO$2,FALSE)</f>
        <v>#N/A</v>
      </c>
    </row>
    <row r="203" spans="1:43" s="73" customFormat="1" ht="15" customHeight="1" x14ac:dyDescent="0.25">
      <c r="A203" s="324"/>
      <c r="B203" s="320"/>
      <c r="C203" s="175" t="s">
        <v>602</v>
      </c>
      <c r="D203" s="132"/>
      <c r="E203" s="85"/>
    </row>
    <row r="204" spans="1:43" s="73" customFormat="1" ht="15" customHeight="1" x14ac:dyDescent="0.25">
      <c r="A204" s="324"/>
      <c r="B204" s="320"/>
      <c r="C204" s="132"/>
      <c r="D204" s="132"/>
      <c r="E204" s="85" t="s">
        <v>2042</v>
      </c>
      <c r="F204" s="73" t="e">
        <f>+VLOOKUP($E204,Energy_Mix!$1:$1048576,F$2,FALSE)</f>
        <v>#N/A</v>
      </c>
      <c r="G204" s="73" t="e">
        <f>+VLOOKUP($E204,Energy_Mix!$1:$1048576,G$2,FALSE)</f>
        <v>#N/A</v>
      </c>
      <c r="H204" s="73" t="e">
        <f>+VLOOKUP($E204,Energy_Mix!$1:$1048576,H$2,FALSE)</f>
        <v>#N/A</v>
      </c>
      <c r="I204" s="73" t="e">
        <f>+VLOOKUP($E204,Energy_Mix!$1:$1048576,I$2,FALSE)</f>
        <v>#N/A</v>
      </c>
      <c r="J204" s="73" t="e">
        <f>+VLOOKUP($E204,Energy_Mix!$1:$1048576,J$2,FALSE)</f>
        <v>#N/A</v>
      </c>
      <c r="K204" s="73" t="e">
        <f>+VLOOKUP($E204,Energy_Mix!$1:$1048576,K$2,FALSE)</f>
        <v>#N/A</v>
      </c>
      <c r="L204" s="73" t="e">
        <f>+VLOOKUP($E204,Energy_Mix!$1:$1048576,L$2,FALSE)</f>
        <v>#N/A</v>
      </c>
      <c r="M204" s="73" t="e">
        <f>+VLOOKUP($E204,Energy_Mix!$1:$1048576,M$2,FALSE)</f>
        <v>#N/A</v>
      </c>
      <c r="N204" s="73" t="e">
        <f>+VLOOKUP($E204,Energy_Mix!$1:$1048576,N$2,FALSE)</f>
        <v>#N/A</v>
      </c>
      <c r="O204" s="73" t="e">
        <f>+VLOOKUP($E204,Energy_Mix!$1:$1048576,O$2,FALSE)</f>
        <v>#N/A</v>
      </c>
      <c r="P204" s="73" t="e">
        <f>+VLOOKUP($E204,Energy_Mix!$1:$1048576,P$2,FALSE)</f>
        <v>#N/A</v>
      </c>
      <c r="Q204" s="73" t="e">
        <f>+VLOOKUP($E204,Energy_Mix!$1:$1048576,Q$2,FALSE)</f>
        <v>#N/A</v>
      </c>
      <c r="R204" s="73" t="e">
        <f>+VLOOKUP($E204,Energy_Mix!$1:$1048576,R$2,FALSE)</f>
        <v>#N/A</v>
      </c>
      <c r="S204" s="73" t="e">
        <f>+VLOOKUP($E204,Energy_Mix!$1:$1048576,S$2,FALSE)</f>
        <v>#N/A</v>
      </c>
      <c r="T204" s="73" t="e">
        <f>+VLOOKUP($E204,Energy_Mix!$1:$1048576,T$2,FALSE)</f>
        <v>#N/A</v>
      </c>
      <c r="U204" s="73" t="e">
        <f>+VLOOKUP($E204,Energy_Mix!$1:$1048576,U$2,FALSE)</f>
        <v>#N/A</v>
      </c>
      <c r="V204" s="73" t="e">
        <f>+VLOOKUP($E204,Energy_Mix!$1:$1048576,V$2,FALSE)</f>
        <v>#N/A</v>
      </c>
      <c r="W204" s="73" t="e">
        <f>+VLOOKUP($E204,Energy_Mix!$1:$1048576,W$2,FALSE)</f>
        <v>#N/A</v>
      </c>
      <c r="X204" s="73" t="e">
        <f>+VLOOKUP($E204,Energy_Mix!$1:$1048576,X$2,FALSE)</f>
        <v>#N/A</v>
      </c>
      <c r="Y204" s="73" t="e">
        <f>+VLOOKUP($E204,Energy_Mix!$1:$1048576,Y$2,FALSE)</f>
        <v>#N/A</v>
      </c>
      <c r="Z204" s="73" t="e">
        <f>+VLOOKUP($E204,Energy_Mix!$1:$1048576,Z$2,FALSE)</f>
        <v>#N/A</v>
      </c>
      <c r="AA204" s="73" t="e">
        <f>+VLOOKUP($E204,Energy_Mix!$1:$1048576,AA$2,FALSE)</f>
        <v>#N/A</v>
      </c>
      <c r="AB204" s="73" t="e">
        <f>+VLOOKUP($E204,Energy_Mix!$1:$1048576,AB$2,FALSE)</f>
        <v>#N/A</v>
      </c>
      <c r="AC204" s="73" t="e">
        <f>+VLOOKUP($E204,Energy_Mix!$1:$1048576,AC$2,FALSE)</f>
        <v>#N/A</v>
      </c>
      <c r="AD204" s="73" t="e">
        <f>+VLOOKUP($E204,Energy_Mix!$1:$1048576,AD$2,FALSE)</f>
        <v>#N/A</v>
      </c>
      <c r="AE204" s="73" t="e">
        <f>+VLOOKUP($E204,Energy_Mix!$1:$1048576,AE$2,FALSE)</f>
        <v>#N/A</v>
      </c>
      <c r="AF204" s="73" t="e">
        <f>+VLOOKUP($E204,Energy_Mix!$1:$1048576,AF$2,FALSE)</f>
        <v>#N/A</v>
      </c>
      <c r="AG204" s="73" t="e">
        <f>+VLOOKUP($E204,Energy_Mix!$1:$1048576,AG$2,FALSE)</f>
        <v>#N/A</v>
      </c>
      <c r="AH204" s="73" t="e">
        <f>+VLOOKUP($E204,Energy_Mix!$1:$1048576,AH$2,FALSE)</f>
        <v>#N/A</v>
      </c>
      <c r="AI204" s="73" t="e">
        <f>+VLOOKUP($E204,Energy_Mix!$1:$1048576,AI$2,FALSE)</f>
        <v>#N/A</v>
      </c>
      <c r="AJ204" s="73" t="e">
        <f>+VLOOKUP($E204,Energy_Mix!$1:$1048576,AJ$2,FALSE)</f>
        <v>#N/A</v>
      </c>
      <c r="AK204" s="73" t="e">
        <f>+VLOOKUP($E204,Energy_Mix!$1:$1048576,AK$2,FALSE)</f>
        <v>#N/A</v>
      </c>
      <c r="AL204" s="73" t="e">
        <f>+VLOOKUP($E204,Energy_Mix!$1:$1048576,AL$2,FALSE)</f>
        <v>#N/A</v>
      </c>
      <c r="AM204" s="73" t="e">
        <f>+VLOOKUP($E204,Energy_Mix!$1:$1048576,AM$2,FALSE)</f>
        <v>#N/A</v>
      </c>
      <c r="AN204" s="73" t="e">
        <f>+VLOOKUP($E204,Energy_Mix!$1:$1048576,AN$2,FALSE)</f>
        <v>#N/A</v>
      </c>
      <c r="AO204" s="73" t="e">
        <f>+VLOOKUP($E204,Energy_Mix!$1:$1048576,AO$2,FALSE)</f>
        <v>#N/A</v>
      </c>
    </row>
    <row r="205" spans="1:43" s="73" customFormat="1" ht="15" customHeight="1" x14ac:dyDescent="0.25">
      <c r="A205" s="324"/>
      <c r="B205" s="320"/>
      <c r="C205" s="133"/>
      <c r="D205" s="133"/>
      <c r="E205" s="97" t="s">
        <v>2043</v>
      </c>
      <c r="F205" s="245" t="e">
        <f>+VLOOKUP($E205,Energy_Mix!$1:$1048576,F$2,FALSE)</f>
        <v>#N/A</v>
      </c>
      <c r="G205" s="245" t="e">
        <f>+VLOOKUP($E205,Energy_Mix!$1:$1048576,G$2,FALSE)</f>
        <v>#N/A</v>
      </c>
      <c r="H205" s="245" t="e">
        <f>+VLOOKUP($E205,Energy_Mix!$1:$1048576,H$2,FALSE)</f>
        <v>#N/A</v>
      </c>
      <c r="I205" s="245" t="e">
        <f>+VLOOKUP($E205,Energy_Mix!$1:$1048576,I$2,FALSE)</f>
        <v>#N/A</v>
      </c>
      <c r="J205" s="245" t="e">
        <f>+VLOOKUP($E205,Energy_Mix!$1:$1048576,J$2,FALSE)</f>
        <v>#N/A</v>
      </c>
      <c r="K205" s="245" t="e">
        <f>+VLOOKUP($E205,Energy_Mix!$1:$1048576,K$2,FALSE)</f>
        <v>#N/A</v>
      </c>
      <c r="L205" s="245" t="e">
        <f>+VLOOKUP($E205,Energy_Mix!$1:$1048576,L$2,FALSE)</f>
        <v>#N/A</v>
      </c>
      <c r="M205" s="245" t="e">
        <f>+VLOOKUP($E205,Energy_Mix!$1:$1048576,M$2,FALSE)</f>
        <v>#N/A</v>
      </c>
      <c r="N205" s="245" t="e">
        <f>+VLOOKUP($E205,Energy_Mix!$1:$1048576,N$2,FALSE)</f>
        <v>#N/A</v>
      </c>
      <c r="O205" s="245" t="e">
        <f>+VLOOKUP($E205,Energy_Mix!$1:$1048576,O$2,FALSE)</f>
        <v>#N/A</v>
      </c>
      <c r="P205" s="245" t="e">
        <f>+VLOOKUP($E205,Energy_Mix!$1:$1048576,P$2,FALSE)</f>
        <v>#N/A</v>
      </c>
      <c r="Q205" s="245" t="e">
        <f>+VLOOKUP($E205,Energy_Mix!$1:$1048576,Q$2,FALSE)</f>
        <v>#N/A</v>
      </c>
      <c r="R205" s="245" t="e">
        <f>+VLOOKUP($E205,Energy_Mix!$1:$1048576,R$2,FALSE)</f>
        <v>#N/A</v>
      </c>
      <c r="S205" s="245" t="e">
        <f>+VLOOKUP($E205,Energy_Mix!$1:$1048576,S$2,FALSE)</f>
        <v>#N/A</v>
      </c>
      <c r="T205" s="245" t="e">
        <f>+VLOOKUP($E205,Energy_Mix!$1:$1048576,T$2,FALSE)</f>
        <v>#N/A</v>
      </c>
      <c r="U205" s="245" t="e">
        <f>+VLOOKUP($E205,Energy_Mix!$1:$1048576,U$2,FALSE)</f>
        <v>#N/A</v>
      </c>
      <c r="V205" s="245" t="e">
        <f>+VLOOKUP($E205,Energy_Mix!$1:$1048576,V$2,FALSE)</f>
        <v>#N/A</v>
      </c>
      <c r="W205" s="245" t="e">
        <f>+VLOOKUP($E205,Energy_Mix!$1:$1048576,W$2,FALSE)</f>
        <v>#N/A</v>
      </c>
      <c r="X205" s="245" t="e">
        <f>+VLOOKUP($E205,Energy_Mix!$1:$1048576,X$2,FALSE)</f>
        <v>#N/A</v>
      </c>
      <c r="Y205" s="245" t="e">
        <f>+VLOOKUP($E205,Energy_Mix!$1:$1048576,Y$2,FALSE)</f>
        <v>#N/A</v>
      </c>
      <c r="Z205" s="245" t="e">
        <f>+VLOOKUP($E205,Energy_Mix!$1:$1048576,Z$2,FALSE)</f>
        <v>#N/A</v>
      </c>
      <c r="AA205" s="245" t="e">
        <f>+VLOOKUP($E205,Energy_Mix!$1:$1048576,AA$2,FALSE)</f>
        <v>#N/A</v>
      </c>
      <c r="AB205" s="245" t="e">
        <f>+VLOOKUP($E205,Energy_Mix!$1:$1048576,AB$2,FALSE)</f>
        <v>#N/A</v>
      </c>
      <c r="AC205" s="245" t="e">
        <f>+VLOOKUP($E205,Energy_Mix!$1:$1048576,AC$2,FALSE)</f>
        <v>#N/A</v>
      </c>
      <c r="AD205" s="245" t="e">
        <f>+VLOOKUP($E205,Energy_Mix!$1:$1048576,AD$2,FALSE)</f>
        <v>#N/A</v>
      </c>
      <c r="AE205" s="245" t="e">
        <f>+VLOOKUP($E205,Energy_Mix!$1:$1048576,AE$2,FALSE)</f>
        <v>#N/A</v>
      </c>
      <c r="AF205" s="245" t="e">
        <f>+VLOOKUP($E205,Energy_Mix!$1:$1048576,AF$2,FALSE)</f>
        <v>#N/A</v>
      </c>
      <c r="AG205" s="245" t="e">
        <f>+VLOOKUP($E205,Energy_Mix!$1:$1048576,AG$2,FALSE)</f>
        <v>#N/A</v>
      </c>
      <c r="AH205" s="245" t="e">
        <f>+VLOOKUP($E205,Energy_Mix!$1:$1048576,AH$2,FALSE)</f>
        <v>#N/A</v>
      </c>
      <c r="AI205" s="245" t="e">
        <f>+VLOOKUP($E205,Energy_Mix!$1:$1048576,AI$2,FALSE)</f>
        <v>#N/A</v>
      </c>
      <c r="AJ205" s="245" t="e">
        <f>+VLOOKUP($E205,Energy_Mix!$1:$1048576,AJ$2,FALSE)</f>
        <v>#N/A</v>
      </c>
      <c r="AK205" s="245" t="e">
        <f>+VLOOKUP($E205,Energy_Mix!$1:$1048576,AK$2,FALSE)</f>
        <v>#N/A</v>
      </c>
      <c r="AL205" s="245" t="e">
        <f>+VLOOKUP($E205,Energy_Mix!$1:$1048576,AL$2,FALSE)</f>
        <v>#N/A</v>
      </c>
      <c r="AM205" s="245" t="e">
        <f>+VLOOKUP($E205,Energy_Mix!$1:$1048576,AM$2,FALSE)</f>
        <v>#N/A</v>
      </c>
      <c r="AN205" s="245" t="e">
        <f>+VLOOKUP($E205,Energy_Mix!$1:$1048576,AN$2,FALSE)</f>
        <v>#N/A</v>
      </c>
      <c r="AO205" s="245" t="e">
        <f>+VLOOKUP($E205,Energy_Mix!$1:$1048576,AO$2,FALSE)</f>
        <v>#N/A</v>
      </c>
    </row>
    <row r="206" spans="1:43" s="111" customFormat="1" ht="15" customHeight="1" x14ac:dyDescent="0.25">
      <c r="A206" s="324"/>
      <c r="B206" s="325" t="s">
        <v>597</v>
      </c>
      <c r="C206" s="134" t="s">
        <v>772</v>
      </c>
      <c r="D206" s="134"/>
      <c r="E206" s="87" t="s">
        <v>1033</v>
      </c>
      <c r="F206" s="73">
        <f>+VLOOKUP($E206,Primary!$1:$1048576,F$2,FALSE)</f>
        <v>148.576201</v>
      </c>
      <c r="G206" s="73">
        <f>+VLOOKUP($E206,Primary!$1:$1048576,G$2,FALSE)</f>
        <v>149.51833020000001</v>
      </c>
      <c r="H206" s="73">
        <f>+VLOOKUP($E206,Primary!$1:$1048576,H$2,FALSE)</f>
        <v>150.2033945</v>
      </c>
      <c r="I206" s="73">
        <f>+VLOOKUP($E206,Primary!$1:$1048576,I$2,FALSE)</f>
        <v>150.8468025</v>
      </c>
      <c r="J206" s="73">
        <f>+VLOOKUP($E206,Primary!$1:$1048576,J$2,FALSE)</f>
        <v>151.51551910000001</v>
      </c>
      <c r="K206" s="73">
        <f>+VLOOKUP($E206,Primary!$1:$1048576,K$2,FALSE)</f>
        <v>152.2122483</v>
      </c>
      <c r="L206" s="73">
        <f>+VLOOKUP($E206,Primary!$1:$1048576,L$2,FALSE)</f>
        <v>152.93670710000001</v>
      </c>
      <c r="M206" s="73">
        <f>+VLOOKUP($E206,Primary!$1:$1048576,M$2,FALSE)</f>
        <v>153.69788890000001</v>
      </c>
      <c r="N206" s="73">
        <f>+VLOOKUP($E206,Primary!$1:$1048576,N$2,FALSE)</f>
        <v>154.49581259999999</v>
      </c>
      <c r="O206" s="73">
        <f>+VLOOKUP($E206,Primary!$1:$1048576,O$2,FALSE)</f>
        <v>155.3236919</v>
      </c>
      <c r="P206" s="73">
        <f>+VLOOKUP($E206,Primary!$1:$1048576,P$2,FALSE)</f>
        <v>156.17039320000001</v>
      </c>
      <c r="Q206" s="73">
        <f>+VLOOKUP($E206,Primary!$1:$1048576,Q$2,FALSE)</f>
        <v>157.0222287</v>
      </c>
      <c r="R206" s="73">
        <f>+VLOOKUP($E206,Primary!$1:$1048576,R$2,FALSE)</f>
        <v>157.86422279999999</v>
      </c>
      <c r="S206" s="73">
        <f>+VLOOKUP($E206,Primary!$1:$1048576,S$2,FALSE)</f>
        <v>158.6810413</v>
      </c>
      <c r="T206" s="73">
        <f>+VLOOKUP($E206,Primary!$1:$1048576,T$2,FALSE)</f>
        <v>159.4577013</v>
      </c>
      <c r="U206" s="73">
        <f>+VLOOKUP($E206,Primary!$1:$1048576,U$2,FALSE)</f>
        <v>160.18011730000001</v>
      </c>
      <c r="V206" s="73">
        <f>+VLOOKUP($E206,Primary!$1:$1048576,V$2,FALSE)</f>
        <v>160.84817100000001</v>
      </c>
      <c r="W206" s="73">
        <f>+VLOOKUP($E206,Primary!$1:$1048576,W$2,FALSE)</f>
        <v>161.47583929999999</v>
      </c>
      <c r="X206" s="73">
        <f>+VLOOKUP($E206,Primary!$1:$1048576,X$2,FALSE)</f>
        <v>162.07634730000001</v>
      </c>
      <c r="Y206" s="73">
        <f>+VLOOKUP($E206,Primary!$1:$1048576,Y$2,FALSE)</f>
        <v>162.65995659999999</v>
      </c>
      <c r="Z206" s="73">
        <f>+VLOOKUP($E206,Primary!$1:$1048576,Z$2,FALSE)</f>
        <v>163.23416560000001</v>
      </c>
      <c r="AA206" s="73">
        <f>+VLOOKUP($E206,Primary!$1:$1048576,AA$2,FALSE)</f>
        <v>163.80435679999999</v>
      </c>
      <c r="AB206" s="73">
        <f>+VLOOKUP($E206,Primary!$1:$1048576,AB$2,FALSE)</f>
        <v>164.37440760000001</v>
      </c>
      <c r="AC206" s="73">
        <f>+VLOOKUP($E206,Primary!$1:$1048576,AC$2,FALSE)</f>
        <v>164.94716589999999</v>
      </c>
      <c r="AD206" s="73">
        <f>+VLOOKUP($E206,Primary!$1:$1048576,AD$2,FALSE)</f>
        <v>165.5247961</v>
      </c>
      <c r="AE206" s="73">
        <f>+VLOOKUP($E206,Primary!$1:$1048576,AE$2,FALSE)</f>
        <v>166.1090226</v>
      </c>
      <c r="AF206" s="73">
        <f>+VLOOKUP($E206,Primary!$1:$1048576,AF$2,FALSE)</f>
        <v>166.70129929999999</v>
      </c>
      <c r="AG206" s="73">
        <f>+VLOOKUP($E206,Primary!$1:$1048576,AG$2,FALSE)</f>
        <v>167.30292679999999</v>
      </c>
      <c r="AH206" s="73">
        <f>+VLOOKUP($E206,Primary!$1:$1048576,AH$2,FALSE)</f>
        <v>167.9151334</v>
      </c>
      <c r="AI206" s="73">
        <f>+VLOOKUP($E206,Primary!$1:$1048576,AI$2,FALSE)</f>
        <v>168.53913019999999</v>
      </c>
      <c r="AJ206" s="73">
        <f>+VLOOKUP($E206,Primary!$1:$1048576,AJ$2,FALSE)</f>
        <v>169.17614829999999</v>
      </c>
      <c r="AK206" s="73">
        <f>+VLOOKUP($E206,Primary!$1:$1048576,AK$2,FALSE)</f>
        <v>169.82746220000001</v>
      </c>
      <c r="AL206" s="73">
        <f>+VLOOKUP($E206,Primary!$1:$1048576,AL$2,FALSE)</f>
        <v>170.49440200000001</v>
      </c>
      <c r="AM206" s="73">
        <f>+VLOOKUP($E206,Primary!$1:$1048576,AM$2,FALSE)</f>
        <v>171.17835779999999</v>
      </c>
      <c r="AN206" s="73">
        <f>+VLOOKUP($E206,Primary!$1:$1048576,AN$2,FALSE)</f>
        <v>171.8807764</v>
      </c>
      <c r="AO206" s="73">
        <f>+VLOOKUP($E206,Primary!$1:$1048576,AO$2,FALSE)</f>
        <v>172.60315180000001</v>
      </c>
      <c r="AP206" s="73"/>
      <c r="AQ206" s="73"/>
    </row>
    <row r="207" spans="1:43" s="111" customFormat="1" ht="15" customHeight="1" x14ac:dyDescent="0.25">
      <c r="A207" s="324"/>
      <c r="B207" s="325"/>
      <c r="C207" s="134" t="s">
        <v>571</v>
      </c>
      <c r="D207" s="134"/>
      <c r="E207" s="87" t="s">
        <v>588</v>
      </c>
      <c r="F207" s="73">
        <f>+VLOOKUP($E207,Primary!$1:$1048576,F$2,FALSE)</f>
        <v>2.391149</v>
      </c>
      <c r="G207" s="73">
        <f>+VLOOKUP($E207,Primary!$1:$1048576,G$2,FALSE)</f>
        <v>2.4113402939999999</v>
      </c>
      <c r="H207" s="73">
        <f>+VLOOKUP($E207,Primary!$1:$1048576,H$2,FALSE)</f>
        <v>2.4286401739999999</v>
      </c>
      <c r="I207" s="73">
        <f>+VLOOKUP($E207,Primary!$1:$1048576,I$2,FALSE)</f>
        <v>2.4450674380000001</v>
      </c>
      <c r="J207" s="73">
        <f>+VLOOKUP($E207,Primary!$1:$1048576,J$2,FALSE)</f>
        <v>2.4608148160000001</v>
      </c>
      <c r="K207" s="73">
        <f>+VLOOKUP($E207,Primary!$1:$1048576,K$2,FALSE)</f>
        <v>2.4751913060000001</v>
      </c>
      <c r="L207" s="73">
        <f>+VLOOKUP($E207,Primary!$1:$1048576,L$2,FALSE)</f>
        <v>2.488319808</v>
      </c>
      <c r="M207" s="73">
        <f>+VLOOKUP($E207,Primary!$1:$1048576,M$2,FALSE)</f>
        <v>2.5011328000000002</v>
      </c>
      <c r="N207" s="73">
        <f>+VLOOKUP($E207,Primary!$1:$1048576,N$2,FALSE)</f>
        <v>2.5140191330000001</v>
      </c>
      <c r="O207" s="73">
        <f>+VLOOKUP($E207,Primary!$1:$1048576,O$2,FALSE)</f>
        <v>2.5269144560000001</v>
      </c>
      <c r="P207" s="73">
        <f>+VLOOKUP($E207,Primary!$1:$1048576,P$2,FALSE)</f>
        <v>2.53943853</v>
      </c>
      <c r="Q207" s="73">
        <f>+VLOOKUP($E207,Primary!$1:$1048576,Q$2,FALSE)</f>
        <v>2.5510018200000002</v>
      </c>
      <c r="R207" s="73">
        <f>+VLOOKUP($E207,Primary!$1:$1048576,R$2,FALSE)</f>
        <v>2.5608869329999999</v>
      </c>
      <c r="S207" s="73">
        <f>+VLOOKUP($E207,Primary!$1:$1048576,S$2,FALSE)</f>
        <v>2.5683162469999998</v>
      </c>
      <c r="T207" s="73">
        <f>+VLOOKUP($E207,Primary!$1:$1048576,T$2,FALSE)</f>
        <v>2.5725126199999999</v>
      </c>
      <c r="U207" s="73">
        <f>+VLOOKUP($E207,Primary!$1:$1048576,U$2,FALSE)</f>
        <v>2.572755243</v>
      </c>
      <c r="V207" s="73">
        <f>+VLOOKUP($E207,Primary!$1:$1048576,V$2,FALSE)</f>
        <v>2.569252477</v>
      </c>
      <c r="W207" s="73">
        <f>+VLOOKUP($E207,Primary!$1:$1048576,W$2,FALSE)</f>
        <v>2.5630356679999999</v>
      </c>
      <c r="X207" s="73">
        <f>+VLOOKUP($E207,Primary!$1:$1048576,X$2,FALSE)</f>
        <v>2.5549306129999998</v>
      </c>
      <c r="Y207" s="73">
        <f>+VLOOKUP($E207,Primary!$1:$1048576,Y$2,FALSE)</f>
        <v>2.5455444310000002</v>
      </c>
      <c r="Z207" s="73">
        <f>+VLOOKUP($E207,Primary!$1:$1048576,Z$2,FALSE)</f>
        <v>2.5353158929999999</v>
      </c>
      <c r="AA207" s="73">
        <f>+VLOOKUP($E207,Primary!$1:$1048576,AA$2,FALSE)</f>
        <v>2.5245598760000001</v>
      </c>
      <c r="AB207" s="73">
        <f>+VLOOKUP($E207,Primary!$1:$1048576,AB$2,FALSE)</f>
        <v>2.5135002740000001</v>
      </c>
      <c r="AC207" s="73">
        <f>+VLOOKUP($E207,Primary!$1:$1048576,AC$2,FALSE)</f>
        <v>2.5022938510000001</v>
      </c>
      <c r="AD207" s="73">
        <f>+VLOOKUP($E207,Primary!$1:$1048576,AD$2,FALSE)</f>
        <v>2.4910476479999999</v>
      </c>
      <c r="AE207" s="73">
        <f>+VLOOKUP($E207,Primary!$1:$1048576,AE$2,FALSE)</f>
        <v>2.4798317910000001</v>
      </c>
      <c r="AF207" s="73">
        <f>+VLOOKUP($E207,Primary!$1:$1048576,AF$2,FALSE)</f>
        <v>2.4686890030000002</v>
      </c>
      <c r="AG207" s="73">
        <f>+VLOOKUP($E207,Primary!$1:$1048576,AG$2,FALSE)</f>
        <v>2.4576417039999998</v>
      </c>
      <c r="AH207" s="73">
        <f>+VLOOKUP($E207,Primary!$1:$1048576,AH$2,FALSE)</f>
        <v>2.4466973699999999</v>
      </c>
      <c r="AI207" s="73">
        <f>+VLOOKUP($E207,Primary!$1:$1048576,AI$2,FALSE)</f>
        <v>2.4358526600000001</v>
      </c>
      <c r="AJ207" s="73">
        <f>+VLOOKUP($E207,Primary!$1:$1048576,AJ$2,FALSE)</f>
        <v>2.4250966549999999</v>
      </c>
      <c r="AK207" s="73">
        <f>+VLOOKUP($E207,Primary!$1:$1048576,AK$2,FALSE)</f>
        <v>2.4144135090000001</v>
      </c>
      <c r="AL207" s="73">
        <f>+VLOOKUP($E207,Primary!$1:$1048576,AL$2,FALSE)</f>
        <v>2.4037846950000001</v>
      </c>
      <c r="AM207" s="73">
        <f>+VLOOKUP($E207,Primary!$1:$1048576,AM$2,FALSE)</f>
        <v>2.3931909789999999</v>
      </c>
      <c r="AN207" s="73">
        <f>+VLOOKUP($E207,Primary!$1:$1048576,AN$2,FALSE)</f>
        <v>2.3826142240000001</v>
      </c>
      <c r="AO207" s="73">
        <f>+VLOOKUP($E207,Primary!$1:$1048576,AO$2,FALSE)</f>
        <v>2.372039059</v>
      </c>
      <c r="AP207" s="73"/>
      <c r="AQ207" s="73"/>
    </row>
    <row r="208" spans="1:43" s="365" customFormat="1" ht="15" customHeight="1" x14ac:dyDescent="0.25">
      <c r="A208" s="324"/>
      <c r="B208" s="325"/>
      <c r="C208" s="364"/>
      <c r="D208" s="364" t="s">
        <v>1107</v>
      </c>
      <c r="E208" s="84" t="s">
        <v>2046</v>
      </c>
      <c r="F208" s="73" t="e">
        <f>+VLOOKUP($E208,Primary!$1:$1048576,F$2,FALSE)</f>
        <v>#N/A</v>
      </c>
      <c r="G208" s="73" t="e">
        <f>+VLOOKUP($E208,Primary!$1:$1048576,G$2,FALSE)</f>
        <v>#N/A</v>
      </c>
      <c r="H208" s="73" t="e">
        <f>+VLOOKUP($E208,Primary!$1:$1048576,H$2,FALSE)</f>
        <v>#N/A</v>
      </c>
      <c r="I208" s="73" t="e">
        <f>+VLOOKUP($E208,Primary!$1:$1048576,I$2,FALSE)</f>
        <v>#N/A</v>
      </c>
      <c r="J208" s="73" t="e">
        <f>+VLOOKUP($E208,Primary!$1:$1048576,J$2,FALSE)</f>
        <v>#N/A</v>
      </c>
      <c r="K208" s="73" t="e">
        <f>+VLOOKUP($E208,Primary!$1:$1048576,K$2,FALSE)</f>
        <v>#N/A</v>
      </c>
      <c r="L208" s="73" t="e">
        <f>+VLOOKUP($E208,Primary!$1:$1048576,L$2,FALSE)</f>
        <v>#N/A</v>
      </c>
      <c r="M208" s="73" t="e">
        <f>+VLOOKUP($E208,Primary!$1:$1048576,M$2,FALSE)</f>
        <v>#N/A</v>
      </c>
      <c r="N208" s="73" t="e">
        <f>+VLOOKUP($E208,Primary!$1:$1048576,N$2,FALSE)</f>
        <v>#N/A</v>
      </c>
      <c r="O208" s="73" t="e">
        <f>+VLOOKUP($E208,Primary!$1:$1048576,O$2,FALSE)</f>
        <v>#N/A</v>
      </c>
      <c r="P208" s="73" t="e">
        <f>+VLOOKUP($E208,Primary!$1:$1048576,P$2,FALSE)</f>
        <v>#N/A</v>
      </c>
      <c r="Q208" s="73" t="e">
        <f>+VLOOKUP($E208,Primary!$1:$1048576,Q$2,FALSE)</f>
        <v>#N/A</v>
      </c>
      <c r="R208" s="73" t="e">
        <f>+VLOOKUP($E208,Primary!$1:$1048576,R$2,FALSE)</f>
        <v>#N/A</v>
      </c>
      <c r="S208" s="73" t="e">
        <f>+VLOOKUP($E208,Primary!$1:$1048576,S$2,FALSE)</f>
        <v>#N/A</v>
      </c>
      <c r="T208" s="73" t="e">
        <f>+VLOOKUP($E208,Primary!$1:$1048576,T$2,FALSE)</f>
        <v>#N/A</v>
      </c>
      <c r="U208" s="73" t="e">
        <f>+VLOOKUP($E208,Primary!$1:$1048576,U$2,FALSE)</f>
        <v>#N/A</v>
      </c>
      <c r="V208" s="73" t="e">
        <f>+VLOOKUP($E208,Primary!$1:$1048576,V$2,FALSE)</f>
        <v>#N/A</v>
      </c>
      <c r="W208" s="73" t="e">
        <f>+VLOOKUP($E208,Primary!$1:$1048576,W$2,FALSE)</f>
        <v>#N/A</v>
      </c>
      <c r="X208" s="73" t="e">
        <f>+VLOOKUP($E208,Primary!$1:$1048576,X$2,FALSE)</f>
        <v>#N/A</v>
      </c>
      <c r="Y208" s="73" t="e">
        <f>+VLOOKUP($E208,Primary!$1:$1048576,Y$2,FALSE)</f>
        <v>#N/A</v>
      </c>
      <c r="Z208" s="73" t="e">
        <f>+VLOOKUP($E208,Primary!$1:$1048576,Z$2,FALSE)</f>
        <v>#N/A</v>
      </c>
      <c r="AA208" s="73" t="e">
        <f>+VLOOKUP($E208,Primary!$1:$1048576,AA$2,FALSE)</f>
        <v>#N/A</v>
      </c>
      <c r="AB208" s="73" t="e">
        <f>+VLOOKUP($E208,Primary!$1:$1048576,AB$2,FALSE)</f>
        <v>#N/A</v>
      </c>
      <c r="AC208" s="73" t="e">
        <f>+VLOOKUP($E208,Primary!$1:$1048576,AC$2,FALSE)</f>
        <v>#N/A</v>
      </c>
      <c r="AD208" s="73" t="e">
        <f>+VLOOKUP($E208,Primary!$1:$1048576,AD$2,FALSE)</f>
        <v>#N/A</v>
      </c>
      <c r="AE208" s="73" t="e">
        <f>+VLOOKUP($E208,Primary!$1:$1048576,AE$2,FALSE)</f>
        <v>#N/A</v>
      </c>
      <c r="AF208" s="73" t="e">
        <f>+VLOOKUP($E208,Primary!$1:$1048576,AF$2,FALSE)</f>
        <v>#N/A</v>
      </c>
      <c r="AG208" s="73" t="e">
        <f>+VLOOKUP($E208,Primary!$1:$1048576,AG$2,FALSE)</f>
        <v>#N/A</v>
      </c>
      <c r="AH208" s="73" t="e">
        <f>+VLOOKUP($E208,Primary!$1:$1048576,AH$2,FALSE)</f>
        <v>#N/A</v>
      </c>
      <c r="AI208" s="73" t="e">
        <f>+VLOOKUP($E208,Primary!$1:$1048576,AI$2,FALSE)</f>
        <v>#N/A</v>
      </c>
      <c r="AJ208" s="73" t="e">
        <f>+VLOOKUP($E208,Primary!$1:$1048576,AJ$2,FALSE)</f>
        <v>#N/A</v>
      </c>
      <c r="AK208" s="73" t="e">
        <f>+VLOOKUP($E208,Primary!$1:$1048576,AK$2,FALSE)</f>
        <v>#N/A</v>
      </c>
      <c r="AL208" s="73" t="e">
        <f>+VLOOKUP($E208,Primary!$1:$1048576,AL$2,FALSE)</f>
        <v>#N/A</v>
      </c>
      <c r="AM208" s="73" t="e">
        <f>+VLOOKUP($E208,Primary!$1:$1048576,AM$2,FALSE)</f>
        <v>#N/A</v>
      </c>
      <c r="AN208" s="73" t="e">
        <f>+VLOOKUP($E208,Primary!$1:$1048576,AN$2,FALSE)</f>
        <v>#N/A</v>
      </c>
      <c r="AO208" s="73" t="e">
        <f>+VLOOKUP($E208,Primary!$1:$1048576,AO$2,FALSE)</f>
        <v>#N/A</v>
      </c>
      <c r="AP208" s="73"/>
      <c r="AQ208" s="73"/>
    </row>
    <row r="209" spans="1:43" s="365" customFormat="1" ht="15" customHeight="1" x14ac:dyDescent="0.25">
      <c r="A209" s="324"/>
      <c r="B209" s="325"/>
      <c r="C209" s="364"/>
      <c r="D209" s="364" t="s">
        <v>1107</v>
      </c>
      <c r="E209" s="84" t="s">
        <v>2047</v>
      </c>
      <c r="F209" s="73" t="e">
        <f>+VLOOKUP($E209,Primary!$1:$1048576,F$2,FALSE)</f>
        <v>#N/A</v>
      </c>
      <c r="G209" s="73" t="e">
        <f>+VLOOKUP($E209,Primary!$1:$1048576,G$2,FALSE)</f>
        <v>#N/A</v>
      </c>
      <c r="H209" s="73" t="e">
        <f>+VLOOKUP($E209,Primary!$1:$1048576,H$2,FALSE)</f>
        <v>#N/A</v>
      </c>
      <c r="I209" s="73" t="e">
        <f>+VLOOKUP($E209,Primary!$1:$1048576,I$2,FALSE)</f>
        <v>#N/A</v>
      </c>
      <c r="J209" s="73" t="e">
        <f>+VLOOKUP($E209,Primary!$1:$1048576,J$2,FALSE)</f>
        <v>#N/A</v>
      </c>
      <c r="K209" s="73" t="e">
        <f>+VLOOKUP($E209,Primary!$1:$1048576,K$2,FALSE)</f>
        <v>#N/A</v>
      </c>
      <c r="L209" s="73" t="e">
        <f>+VLOOKUP($E209,Primary!$1:$1048576,L$2,FALSE)</f>
        <v>#N/A</v>
      </c>
      <c r="M209" s="73" t="e">
        <f>+VLOOKUP($E209,Primary!$1:$1048576,M$2,FALSE)</f>
        <v>#N/A</v>
      </c>
      <c r="N209" s="73" t="e">
        <f>+VLOOKUP($E209,Primary!$1:$1048576,N$2,FALSE)</f>
        <v>#N/A</v>
      </c>
      <c r="O209" s="73" t="e">
        <f>+VLOOKUP($E209,Primary!$1:$1048576,O$2,FALSE)</f>
        <v>#N/A</v>
      </c>
      <c r="P209" s="73" t="e">
        <f>+VLOOKUP($E209,Primary!$1:$1048576,P$2,FALSE)</f>
        <v>#N/A</v>
      </c>
      <c r="Q209" s="73" t="e">
        <f>+VLOOKUP($E209,Primary!$1:$1048576,Q$2,FALSE)</f>
        <v>#N/A</v>
      </c>
      <c r="R209" s="73" t="e">
        <f>+VLOOKUP($E209,Primary!$1:$1048576,R$2,FALSE)</f>
        <v>#N/A</v>
      </c>
      <c r="S209" s="73" t="e">
        <f>+VLOOKUP($E209,Primary!$1:$1048576,S$2,FALSE)</f>
        <v>#N/A</v>
      </c>
      <c r="T209" s="73" t="e">
        <f>+VLOOKUP($E209,Primary!$1:$1048576,T$2,FALSE)</f>
        <v>#N/A</v>
      </c>
      <c r="U209" s="73" t="e">
        <f>+VLOOKUP($E209,Primary!$1:$1048576,U$2,FALSE)</f>
        <v>#N/A</v>
      </c>
      <c r="V209" s="73" t="e">
        <f>+VLOOKUP($E209,Primary!$1:$1048576,V$2,FALSE)</f>
        <v>#N/A</v>
      </c>
      <c r="W209" s="73" t="e">
        <f>+VLOOKUP($E209,Primary!$1:$1048576,W$2,FALSE)</f>
        <v>#N/A</v>
      </c>
      <c r="X209" s="73" t="e">
        <f>+VLOOKUP($E209,Primary!$1:$1048576,X$2,FALSE)</f>
        <v>#N/A</v>
      </c>
      <c r="Y209" s="73" t="e">
        <f>+VLOOKUP($E209,Primary!$1:$1048576,Y$2,FALSE)</f>
        <v>#N/A</v>
      </c>
      <c r="Z209" s="73" t="e">
        <f>+VLOOKUP($E209,Primary!$1:$1048576,Z$2,FALSE)</f>
        <v>#N/A</v>
      </c>
      <c r="AA209" s="73" t="e">
        <f>+VLOOKUP($E209,Primary!$1:$1048576,AA$2,FALSE)</f>
        <v>#N/A</v>
      </c>
      <c r="AB209" s="73" t="e">
        <f>+VLOOKUP($E209,Primary!$1:$1048576,AB$2,FALSE)</f>
        <v>#N/A</v>
      </c>
      <c r="AC209" s="73" t="e">
        <f>+VLOOKUP($E209,Primary!$1:$1048576,AC$2,FALSE)</f>
        <v>#N/A</v>
      </c>
      <c r="AD209" s="73" t="e">
        <f>+VLOOKUP($E209,Primary!$1:$1048576,AD$2,FALSE)</f>
        <v>#N/A</v>
      </c>
      <c r="AE209" s="73" t="e">
        <f>+VLOOKUP($E209,Primary!$1:$1048576,AE$2,FALSE)</f>
        <v>#N/A</v>
      </c>
      <c r="AF209" s="73" t="e">
        <f>+VLOOKUP($E209,Primary!$1:$1048576,AF$2,FALSE)</f>
        <v>#N/A</v>
      </c>
      <c r="AG209" s="73" t="e">
        <f>+VLOOKUP($E209,Primary!$1:$1048576,AG$2,FALSE)</f>
        <v>#N/A</v>
      </c>
      <c r="AH209" s="73" t="e">
        <f>+VLOOKUP($E209,Primary!$1:$1048576,AH$2,FALSE)</f>
        <v>#N/A</v>
      </c>
      <c r="AI209" s="73" t="e">
        <f>+VLOOKUP($E209,Primary!$1:$1048576,AI$2,FALSE)</f>
        <v>#N/A</v>
      </c>
      <c r="AJ209" s="73" t="e">
        <f>+VLOOKUP($E209,Primary!$1:$1048576,AJ$2,FALSE)</f>
        <v>#N/A</v>
      </c>
      <c r="AK209" s="73" t="e">
        <f>+VLOOKUP($E209,Primary!$1:$1048576,AK$2,FALSE)</f>
        <v>#N/A</v>
      </c>
      <c r="AL209" s="73" t="e">
        <f>+VLOOKUP($E209,Primary!$1:$1048576,AL$2,FALSE)</f>
        <v>#N/A</v>
      </c>
      <c r="AM209" s="73" t="e">
        <f>+VLOOKUP($E209,Primary!$1:$1048576,AM$2,FALSE)</f>
        <v>#N/A</v>
      </c>
      <c r="AN209" s="73" t="e">
        <f>+VLOOKUP($E209,Primary!$1:$1048576,AN$2,FALSE)</f>
        <v>#N/A</v>
      </c>
      <c r="AO209" s="73" t="e">
        <f>+VLOOKUP($E209,Primary!$1:$1048576,AO$2,FALSE)</f>
        <v>#N/A</v>
      </c>
      <c r="AP209" s="73"/>
      <c r="AQ209" s="73"/>
    </row>
    <row r="210" spans="1:43" s="111" customFormat="1" ht="15" customHeight="1" x14ac:dyDescent="0.25">
      <c r="A210" s="324"/>
      <c r="B210" s="325"/>
      <c r="C210" s="134" t="s">
        <v>572</v>
      </c>
      <c r="D210" s="134"/>
      <c r="E210" s="87" t="s">
        <v>589</v>
      </c>
      <c r="F210" s="73">
        <f>+VLOOKUP($E210,Primary!$1:$1048576,F$2,FALSE)</f>
        <v>1.0959989999999999</v>
      </c>
      <c r="G210" s="73">
        <f>+VLOOKUP($E210,Primary!$1:$1048576,G$2,FALSE)</f>
        <v>1.102439639</v>
      </c>
      <c r="H210" s="73">
        <f>+VLOOKUP($E210,Primary!$1:$1048576,H$2,FALSE)</f>
        <v>1.106716134</v>
      </c>
      <c r="I210" s="73">
        <f>+VLOOKUP($E210,Primary!$1:$1048576,I$2,FALSE)</f>
        <v>1.111038857</v>
      </c>
      <c r="J210" s="73">
        <f>+VLOOKUP($E210,Primary!$1:$1048576,J$2,FALSE)</f>
        <v>1.1160484749999999</v>
      </c>
      <c r="K210" s="73">
        <f>+VLOOKUP($E210,Primary!$1:$1048576,K$2,FALSE)</f>
        <v>1.1216751009999999</v>
      </c>
      <c r="L210" s="73">
        <f>+VLOOKUP($E210,Primary!$1:$1048576,L$2,FALSE)</f>
        <v>1.127770951</v>
      </c>
      <c r="M210" s="73">
        <f>+VLOOKUP($E210,Primary!$1:$1048576,M$2,FALSE)</f>
        <v>1.1342990820000001</v>
      </c>
      <c r="N210" s="73">
        <f>+VLOOKUP($E210,Primary!$1:$1048576,N$2,FALSE)</f>
        <v>1.1412008380000001</v>
      </c>
      <c r="O210" s="73">
        <f>+VLOOKUP($E210,Primary!$1:$1048576,O$2,FALSE)</f>
        <v>1.148381232</v>
      </c>
      <c r="P210" s="73">
        <f>+VLOOKUP($E210,Primary!$1:$1048576,P$2,FALSE)</f>
        <v>1.1557181430000001</v>
      </c>
      <c r="Q210" s="73">
        <f>+VLOOKUP($E210,Primary!$1:$1048576,Q$2,FALSE)</f>
        <v>1.1630714449999999</v>
      </c>
      <c r="R210" s="73">
        <f>+VLOOKUP($E210,Primary!$1:$1048576,R$2,FALSE)</f>
        <v>1.170289951</v>
      </c>
      <c r="S210" s="73">
        <f>+VLOOKUP($E210,Primary!$1:$1048576,S$2,FALSE)</f>
        <v>1.1772170500000001</v>
      </c>
      <c r="T210" s="73">
        <f>+VLOOKUP($E210,Primary!$1:$1048576,T$2,FALSE)</f>
        <v>1.1836956709999999</v>
      </c>
      <c r="U210" s="73">
        <f>+VLOOKUP($E210,Primary!$1:$1048576,U$2,FALSE)</f>
        <v>1.1895727620000001</v>
      </c>
      <c r="V210" s="73">
        <f>+VLOOKUP($E210,Primary!$1:$1048576,V$2,FALSE)</f>
        <v>1.1948205039999999</v>
      </c>
      <c r="W210" s="73">
        <f>+VLOOKUP($E210,Primary!$1:$1048576,W$2,FALSE)</f>
        <v>1.1995524070000001</v>
      </c>
      <c r="X210" s="73">
        <f>+VLOOKUP($E210,Primary!$1:$1048576,X$2,FALSE)</f>
        <v>1.20388495</v>
      </c>
      <c r="Y210" s="73">
        <f>+VLOOKUP($E210,Primary!$1:$1048576,Y$2,FALSE)</f>
        <v>1.207906414</v>
      </c>
      <c r="Z210" s="73">
        <f>+VLOOKUP($E210,Primary!$1:$1048576,Z$2,FALSE)</f>
        <v>1.21167705</v>
      </c>
      <c r="AA210" s="73">
        <f>+VLOOKUP($E210,Primary!$1:$1048576,AA$2,FALSE)</f>
        <v>1.21523504</v>
      </c>
      <c r="AB210" s="73">
        <f>+VLOOKUP($E210,Primary!$1:$1048576,AB$2,FALSE)</f>
        <v>1.218602274</v>
      </c>
      <c r="AC210" s="73">
        <f>+VLOOKUP($E210,Primary!$1:$1048576,AC$2,FALSE)</f>
        <v>1.22178882</v>
      </c>
      <c r="AD210" s="73">
        <f>+VLOOKUP($E210,Primary!$1:$1048576,AD$2,FALSE)</f>
        <v>1.2247961919999999</v>
      </c>
      <c r="AE210" s="73">
        <f>+VLOOKUP($E210,Primary!$1:$1048576,AE$2,FALSE)</f>
        <v>1.227619689</v>
      </c>
      <c r="AF210" s="73">
        <f>+VLOOKUP($E210,Primary!$1:$1048576,AF$2,FALSE)</f>
        <v>1.230250083</v>
      </c>
      <c r="AG210" s="73">
        <f>+VLOOKUP($E210,Primary!$1:$1048576,AG$2,FALSE)</f>
        <v>1.2326748809999999</v>
      </c>
      <c r="AH210" s="73">
        <f>+VLOOKUP($E210,Primary!$1:$1048576,AH$2,FALSE)</f>
        <v>1.2348793039999999</v>
      </c>
      <c r="AI210" s="73">
        <f>+VLOOKUP($E210,Primary!$1:$1048576,AI$2,FALSE)</f>
        <v>1.2368471059999999</v>
      </c>
      <c r="AJ210" s="73">
        <f>+VLOOKUP($E210,Primary!$1:$1048576,AJ$2,FALSE)</f>
        <v>1.2385613090000001</v>
      </c>
      <c r="AK210" s="73">
        <f>+VLOOKUP($E210,Primary!$1:$1048576,AK$2,FALSE)</f>
        <v>1.240004903</v>
      </c>
      <c r="AL210" s="73">
        <f>+VLOOKUP($E210,Primary!$1:$1048576,AL$2,FALSE)</f>
        <v>1.2411615519999999</v>
      </c>
      <c r="AM210" s="73">
        <f>+VLOOKUP($E210,Primary!$1:$1048576,AM$2,FALSE)</f>
        <v>1.242016306</v>
      </c>
      <c r="AN210" s="73">
        <f>+VLOOKUP($E210,Primary!$1:$1048576,AN$2,FALSE)</f>
        <v>1.2425563509999999</v>
      </c>
      <c r="AO210" s="73">
        <f>+VLOOKUP($E210,Primary!$1:$1048576,AO$2,FALSE)</f>
        <v>1.242771761</v>
      </c>
      <c r="AP210" s="73"/>
      <c r="AQ210" s="73"/>
    </row>
    <row r="211" spans="1:43" s="365" customFormat="1" ht="15" customHeight="1" x14ac:dyDescent="0.25">
      <c r="A211" s="324"/>
      <c r="B211" s="325"/>
      <c r="C211" s="364"/>
      <c r="D211" s="364" t="s">
        <v>2024</v>
      </c>
      <c r="E211" s="84" t="s">
        <v>2044</v>
      </c>
      <c r="F211" s="73" t="e">
        <f>+VLOOKUP($E211,Primary!$1:$1048576,F$2,FALSE)</f>
        <v>#N/A</v>
      </c>
      <c r="G211" s="73" t="e">
        <f>+VLOOKUP($E211,Primary!$1:$1048576,G$2,FALSE)</f>
        <v>#N/A</v>
      </c>
      <c r="H211" s="73" t="e">
        <f>+VLOOKUP($E211,Primary!$1:$1048576,H$2,FALSE)</f>
        <v>#N/A</v>
      </c>
      <c r="I211" s="73" t="e">
        <f>+VLOOKUP($E211,Primary!$1:$1048576,I$2,FALSE)</f>
        <v>#N/A</v>
      </c>
      <c r="J211" s="73" t="e">
        <f>+VLOOKUP($E211,Primary!$1:$1048576,J$2,FALSE)</f>
        <v>#N/A</v>
      </c>
      <c r="K211" s="73" t="e">
        <f>+VLOOKUP($E211,Primary!$1:$1048576,K$2,FALSE)</f>
        <v>#N/A</v>
      </c>
      <c r="L211" s="73" t="e">
        <f>+VLOOKUP($E211,Primary!$1:$1048576,L$2,FALSE)</f>
        <v>#N/A</v>
      </c>
      <c r="M211" s="73" t="e">
        <f>+VLOOKUP($E211,Primary!$1:$1048576,M$2,FALSE)</f>
        <v>#N/A</v>
      </c>
      <c r="N211" s="73" t="e">
        <f>+VLOOKUP($E211,Primary!$1:$1048576,N$2,FALSE)</f>
        <v>#N/A</v>
      </c>
      <c r="O211" s="73" t="e">
        <f>+VLOOKUP($E211,Primary!$1:$1048576,O$2,FALSE)</f>
        <v>#N/A</v>
      </c>
      <c r="P211" s="73" t="e">
        <f>+VLOOKUP($E211,Primary!$1:$1048576,P$2,FALSE)</f>
        <v>#N/A</v>
      </c>
      <c r="Q211" s="73" t="e">
        <f>+VLOOKUP($E211,Primary!$1:$1048576,Q$2,FALSE)</f>
        <v>#N/A</v>
      </c>
      <c r="R211" s="73" t="e">
        <f>+VLOOKUP($E211,Primary!$1:$1048576,R$2,FALSE)</f>
        <v>#N/A</v>
      </c>
      <c r="S211" s="73" t="e">
        <f>+VLOOKUP($E211,Primary!$1:$1048576,S$2,FALSE)</f>
        <v>#N/A</v>
      </c>
      <c r="T211" s="73" t="e">
        <f>+VLOOKUP($E211,Primary!$1:$1048576,T$2,FALSE)</f>
        <v>#N/A</v>
      </c>
      <c r="U211" s="73" t="e">
        <f>+VLOOKUP($E211,Primary!$1:$1048576,U$2,FALSE)</f>
        <v>#N/A</v>
      </c>
      <c r="V211" s="73" t="e">
        <f>+VLOOKUP($E211,Primary!$1:$1048576,V$2,FALSE)</f>
        <v>#N/A</v>
      </c>
      <c r="W211" s="73" t="e">
        <f>+VLOOKUP($E211,Primary!$1:$1048576,W$2,FALSE)</f>
        <v>#N/A</v>
      </c>
      <c r="X211" s="73" t="e">
        <f>+VLOOKUP($E211,Primary!$1:$1048576,X$2,FALSE)</f>
        <v>#N/A</v>
      </c>
      <c r="Y211" s="73" t="e">
        <f>+VLOOKUP($E211,Primary!$1:$1048576,Y$2,FALSE)</f>
        <v>#N/A</v>
      </c>
      <c r="Z211" s="73" t="e">
        <f>+VLOOKUP($E211,Primary!$1:$1048576,Z$2,FALSE)</f>
        <v>#N/A</v>
      </c>
      <c r="AA211" s="73" t="e">
        <f>+VLOOKUP($E211,Primary!$1:$1048576,AA$2,FALSE)</f>
        <v>#N/A</v>
      </c>
      <c r="AB211" s="73" t="e">
        <f>+VLOOKUP($E211,Primary!$1:$1048576,AB$2,FALSE)</f>
        <v>#N/A</v>
      </c>
      <c r="AC211" s="73" t="e">
        <f>+VLOOKUP($E211,Primary!$1:$1048576,AC$2,FALSE)</f>
        <v>#N/A</v>
      </c>
      <c r="AD211" s="73" t="e">
        <f>+VLOOKUP($E211,Primary!$1:$1048576,AD$2,FALSE)</f>
        <v>#N/A</v>
      </c>
      <c r="AE211" s="73" t="e">
        <f>+VLOOKUP($E211,Primary!$1:$1048576,AE$2,FALSE)</f>
        <v>#N/A</v>
      </c>
      <c r="AF211" s="73" t="e">
        <f>+VLOOKUP($E211,Primary!$1:$1048576,AF$2,FALSE)</f>
        <v>#N/A</v>
      </c>
      <c r="AG211" s="73" t="e">
        <f>+VLOOKUP($E211,Primary!$1:$1048576,AG$2,FALSE)</f>
        <v>#N/A</v>
      </c>
      <c r="AH211" s="73" t="e">
        <f>+VLOOKUP($E211,Primary!$1:$1048576,AH$2,FALSE)</f>
        <v>#N/A</v>
      </c>
      <c r="AI211" s="73" t="e">
        <f>+VLOOKUP($E211,Primary!$1:$1048576,AI$2,FALSE)</f>
        <v>#N/A</v>
      </c>
      <c r="AJ211" s="73" t="e">
        <f>+VLOOKUP($E211,Primary!$1:$1048576,AJ$2,FALSE)</f>
        <v>#N/A</v>
      </c>
      <c r="AK211" s="73" t="e">
        <f>+VLOOKUP($E211,Primary!$1:$1048576,AK$2,FALSE)</f>
        <v>#N/A</v>
      </c>
      <c r="AL211" s="73" t="e">
        <f>+VLOOKUP($E211,Primary!$1:$1048576,AL$2,FALSE)</f>
        <v>#N/A</v>
      </c>
      <c r="AM211" s="73" t="e">
        <f>+VLOOKUP($E211,Primary!$1:$1048576,AM$2,FALSE)</f>
        <v>#N/A</v>
      </c>
      <c r="AN211" s="73" t="e">
        <f>+VLOOKUP($E211,Primary!$1:$1048576,AN$2,FALSE)</f>
        <v>#N/A</v>
      </c>
      <c r="AO211" s="73" t="e">
        <f>+VLOOKUP($E211,Primary!$1:$1048576,AO$2,FALSE)</f>
        <v>#N/A</v>
      </c>
      <c r="AP211" s="73"/>
      <c r="AQ211" s="73"/>
    </row>
    <row r="212" spans="1:43" s="365" customFormat="1" ht="15" customHeight="1" x14ac:dyDescent="0.25">
      <c r="A212" s="324"/>
      <c r="B212" s="325"/>
      <c r="C212" s="364"/>
      <c r="D212" s="364" t="s">
        <v>2024</v>
      </c>
      <c r="E212" s="84" t="s">
        <v>2045</v>
      </c>
      <c r="F212" s="73" t="e">
        <f>+VLOOKUP($E212,Primary!$1:$1048576,F$2,FALSE)</f>
        <v>#N/A</v>
      </c>
      <c r="G212" s="73" t="e">
        <f>+VLOOKUP($E212,Primary!$1:$1048576,G$2,FALSE)</f>
        <v>#N/A</v>
      </c>
      <c r="H212" s="73" t="e">
        <f>+VLOOKUP($E212,Primary!$1:$1048576,H$2,FALSE)</f>
        <v>#N/A</v>
      </c>
      <c r="I212" s="73" t="e">
        <f>+VLOOKUP($E212,Primary!$1:$1048576,I$2,FALSE)</f>
        <v>#N/A</v>
      </c>
      <c r="J212" s="73" t="e">
        <f>+VLOOKUP($E212,Primary!$1:$1048576,J$2,FALSE)</f>
        <v>#N/A</v>
      </c>
      <c r="K212" s="73" t="e">
        <f>+VLOOKUP($E212,Primary!$1:$1048576,K$2,FALSE)</f>
        <v>#N/A</v>
      </c>
      <c r="L212" s="73" t="e">
        <f>+VLOOKUP($E212,Primary!$1:$1048576,L$2,FALSE)</f>
        <v>#N/A</v>
      </c>
      <c r="M212" s="73" t="e">
        <f>+VLOOKUP($E212,Primary!$1:$1048576,M$2,FALSE)</f>
        <v>#N/A</v>
      </c>
      <c r="N212" s="73" t="e">
        <f>+VLOOKUP($E212,Primary!$1:$1048576,N$2,FALSE)</f>
        <v>#N/A</v>
      </c>
      <c r="O212" s="73" t="e">
        <f>+VLOOKUP($E212,Primary!$1:$1048576,O$2,FALSE)</f>
        <v>#N/A</v>
      </c>
      <c r="P212" s="73" t="e">
        <f>+VLOOKUP($E212,Primary!$1:$1048576,P$2,FALSE)</f>
        <v>#N/A</v>
      </c>
      <c r="Q212" s="73" t="e">
        <f>+VLOOKUP($E212,Primary!$1:$1048576,Q$2,FALSE)</f>
        <v>#N/A</v>
      </c>
      <c r="R212" s="73" t="e">
        <f>+VLOOKUP($E212,Primary!$1:$1048576,R$2,FALSE)</f>
        <v>#N/A</v>
      </c>
      <c r="S212" s="73" t="e">
        <f>+VLOOKUP($E212,Primary!$1:$1048576,S$2,FALSE)</f>
        <v>#N/A</v>
      </c>
      <c r="T212" s="73" t="e">
        <f>+VLOOKUP($E212,Primary!$1:$1048576,T$2,FALSE)</f>
        <v>#N/A</v>
      </c>
      <c r="U212" s="73" t="e">
        <f>+VLOOKUP($E212,Primary!$1:$1048576,U$2,FALSE)</f>
        <v>#N/A</v>
      </c>
      <c r="V212" s="73" t="e">
        <f>+VLOOKUP($E212,Primary!$1:$1048576,V$2,FALSE)</f>
        <v>#N/A</v>
      </c>
      <c r="W212" s="73" t="e">
        <f>+VLOOKUP($E212,Primary!$1:$1048576,W$2,FALSE)</f>
        <v>#N/A</v>
      </c>
      <c r="X212" s="73" t="e">
        <f>+VLOOKUP($E212,Primary!$1:$1048576,X$2,FALSE)</f>
        <v>#N/A</v>
      </c>
      <c r="Y212" s="73" t="e">
        <f>+VLOOKUP($E212,Primary!$1:$1048576,Y$2,FALSE)</f>
        <v>#N/A</v>
      </c>
      <c r="Z212" s="73" t="e">
        <f>+VLOOKUP($E212,Primary!$1:$1048576,Z$2,FALSE)</f>
        <v>#N/A</v>
      </c>
      <c r="AA212" s="73" t="e">
        <f>+VLOOKUP($E212,Primary!$1:$1048576,AA$2,FALSE)</f>
        <v>#N/A</v>
      </c>
      <c r="AB212" s="73" t="e">
        <f>+VLOOKUP($E212,Primary!$1:$1048576,AB$2,FALSE)</f>
        <v>#N/A</v>
      </c>
      <c r="AC212" s="73" t="e">
        <f>+VLOOKUP($E212,Primary!$1:$1048576,AC$2,FALSE)</f>
        <v>#N/A</v>
      </c>
      <c r="AD212" s="73" t="e">
        <f>+VLOOKUP($E212,Primary!$1:$1048576,AD$2,FALSE)</f>
        <v>#N/A</v>
      </c>
      <c r="AE212" s="73" t="e">
        <f>+VLOOKUP($E212,Primary!$1:$1048576,AE$2,FALSE)</f>
        <v>#N/A</v>
      </c>
      <c r="AF212" s="73" t="e">
        <f>+VLOOKUP($E212,Primary!$1:$1048576,AF$2,FALSE)</f>
        <v>#N/A</v>
      </c>
      <c r="AG212" s="73" t="e">
        <f>+VLOOKUP($E212,Primary!$1:$1048576,AG$2,FALSE)</f>
        <v>#N/A</v>
      </c>
      <c r="AH212" s="73" t="e">
        <f>+VLOOKUP($E212,Primary!$1:$1048576,AH$2,FALSE)</f>
        <v>#N/A</v>
      </c>
      <c r="AI212" s="73" t="e">
        <f>+VLOOKUP($E212,Primary!$1:$1048576,AI$2,FALSE)</f>
        <v>#N/A</v>
      </c>
      <c r="AJ212" s="73" t="e">
        <f>+VLOOKUP($E212,Primary!$1:$1048576,AJ$2,FALSE)</f>
        <v>#N/A</v>
      </c>
      <c r="AK212" s="73" t="e">
        <f>+VLOOKUP($E212,Primary!$1:$1048576,AK$2,FALSE)</f>
        <v>#N/A</v>
      </c>
      <c r="AL212" s="73" t="e">
        <f>+VLOOKUP($E212,Primary!$1:$1048576,AL$2,FALSE)</f>
        <v>#N/A</v>
      </c>
      <c r="AM212" s="73" t="e">
        <f>+VLOOKUP($E212,Primary!$1:$1048576,AM$2,FALSE)</f>
        <v>#N/A</v>
      </c>
      <c r="AN212" s="73" t="e">
        <f>+VLOOKUP($E212,Primary!$1:$1048576,AN$2,FALSE)</f>
        <v>#N/A</v>
      </c>
      <c r="AO212" s="73" t="e">
        <f>+VLOOKUP($E212,Primary!$1:$1048576,AO$2,FALSE)</f>
        <v>#N/A</v>
      </c>
      <c r="AP212" s="73"/>
      <c r="AQ212" s="73"/>
    </row>
    <row r="213" spans="1:43" s="111" customFormat="1" ht="15" customHeight="1" x14ac:dyDescent="0.25">
      <c r="A213" s="324"/>
      <c r="B213" s="325"/>
      <c r="C213" s="134" t="s">
        <v>561</v>
      </c>
      <c r="D213" s="112"/>
      <c r="E213" s="87" t="s">
        <v>590</v>
      </c>
      <c r="F213" s="73">
        <f>+VLOOKUP($E213,Primary!$1:$1048576,F$2,FALSE)</f>
        <v>42.352188980000001</v>
      </c>
      <c r="G213" s="73">
        <f>+VLOOKUP($E213,Primary!$1:$1048576,G$2,FALSE)</f>
        <v>42.550338549999999</v>
      </c>
      <c r="H213" s="73">
        <f>+VLOOKUP($E213,Primary!$1:$1048576,H$2,FALSE)</f>
        <v>42.68630228</v>
      </c>
      <c r="I213" s="73">
        <f>+VLOOKUP($E213,Primary!$1:$1048576,I$2,FALSE)</f>
        <v>42.843229950000001</v>
      </c>
      <c r="J213" s="73">
        <f>+VLOOKUP($E213,Primary!$1:$1048576,J$2,FALSE)</f>
        <v>43.038563770000003</v>
      </c>
      <c r="K213" s="73">
        <f>+VLOOKUP($E213,Primary!$1:$1048576,K$2,FALSE)</f>
        <v>43.264920930000002</v>
      </c>
      <c r="L213" s="73">
        <f>+VLOOKUP($E213,Primary!$1:$1048576,L$2,FALSE)</f>
        <v>43.513952080000003</v>
      </c>
      <c r="M213" s="73">
        <f>+VLOOKUP($E213,Primary!$1:$1048576,M$2,FALSE)</f>
        <v>43.78233985</v>
      </c>
      <c r="N213" s="73">
        <f>+VLOOKUP($E213,Primary!$1:$1048576,N$2,FALSE)</f>
        <v>44.066370890000002</v>
      </c>
      <c r="O213" s="73">
        <f>+VLOOKUP($E213,Primary!$1:$1048576,O$2,FALSE)</f>
        <v>44.361627120000001</v>
      </c>
      <c r="P213" s="73">
        <f>+VLOOKUP($E213,Primary!$1:$1048576,P$2,FALSE)</f>
        <v>44.663092769999999</v>
      </c>
      <c r="Q213" s="73">
        <f>+VLOOKUP($E213,Primary!$1:$1048576,Q$2,FALSE)</f>
        <v>44.965278179999999</v>
      </c>
      <c r="R213" s="73">
        <f>+VLOOKUP($E213,Primary!$1:$1048576,R$2,FALSE)</f>
        <v>45.262340440000003</v>
      </c>
      <c r="S213" s="73">
        <f>+VLOOKUP($E213,Primary!$1:$1048576,S$2,FALSE)</f>
        <v>45.548213250000003</v>
      </c>
      <c r="T213" s="73">
        <f>+VLOOKUP($E213,Primary!$1:$1048576,T$2,FALSE)</f>
        <v>45.816747450000001</v>
      </c>
      <c r="U213" s="73">
        <f>+VLOOKUP($E213,Primary!$1:$1048576,U$2,FALSE)</f>
        <v>46.061854830000001</v>
      </c>
      <c r="V213" s="73">
        <f>+VLOOKUP($E213,Primary!$1:$1048576,V$2,FALSE)</f>
        <v>46.282313430000002</v>
      </c>
      <c r="W213" s="73">
        <f>+VLOOKUP($E213,Primary!$1:$1048576,W$2,FALSE)</f>
        <v>46.482149659999997</v>
      </c>
      <c r="X213" s="73">
        <f>+VLOOKUP($E213,Primary!$1:$1048576,X$2,FALSE)</f>
        <v>46.66522758</v>
      </c>
      <c r="Y213" s="73">
        <f>+VLOOKUP($E213,Primary!$1:$1048576,Y$2,FALSE)</f>
        <v>46.834475269999999</v>
      </c>
      <c r="Z213" s="73">
        <f>+VLOOKUP($E213,Primary!$1:$1048576,Z$2,FALSE)</f>
        <v>46.991903649999998</v>
      </c>
      <c r="AA213" s="73">
        <f>+VLOOKUP($E213,Primary!$1:$1048576,AA$2,FALSE)</f>
        <v>47.138777109999999</v>
      </c>
      <c r="AB213" s="73">
        <f>+VLOOKUP($E213,Primary!$1:$1048576,AB$2,FALSE)</f>
        <v>47.275783519999997</v>
      </c>
      <c r="AC213" s="73">
        <f>+VLOOKUP($E213,Primary!$1:$1048576,AC$2,FALSE)</f>
        <v>47.403171999999998</v>
      </c>
      <c r="AD213" s="73">
        <f>+VLOOKUP($E213,Primary!$1:$1048576,AD$2,FALSE)</f>
        <v>47.52085804</v>
      </c>
      <c r="AE213" s="73">
        <f>+VLOOKUP($E213,Primary!$1:$1048576,AE$2,FALSE)</f>
        <v>47.628503100000003</v>
      </c>
      <c r="AF213" s="73">
        <f>+VLOOKUP($E213,Primary!$1:$1048576,AF$2,FALSE)</f>
        <v>47.725575450000001</v>
      </c>
      <c r="AG213" s="73">
        <f>+VLOOKUP($E213,Primary!$1:$1048576,AG$2,FALSE)</f>
        <v>47.811398420000003</v>
      </c>
      <c r="AH213" s="73">
        <f>+VLOOKUP($E213,Primary!$1:$1048576,AH$2,FALSE)</f>
        <v>47.885190510000001</v>
      </c>
      <c r="AI213" s="73">
        <f>+VLOOKUP($E213,Primary!$1:$1048576,AI$2,FALSE)</f>
        <v>47.946100899999998</v>
      </c>
      <c r="AJ213" s="73">
        <f>+VLOOKUP($E213,Primary!$1:$1048576,AJ$2,FALSE)</f>
        <v>47.993242969999997</v>
      </c>
      <c r="AK213" s="73">
        <f>+VLOOKUP($E213,Primary!$1:$1048576,AK$2,FALSE)</f>
        <v>48.025727379999999</v>
      </c>
      <c r="AL213" s="73">
        <f>+VLOOKUP($E213,Primary!$1:$1048576,AL$2,FALSE)</f>
        <v>48.042696079999999</v>
      </c>
      <c r="AM213" s="73">
        <f>+VLOOKUP($E213,Primary!$1:$1048576,AM$2,FALSE)</f>
        <v>48.043357440000001</v>
      </c>
      <c r="AN213" s="73">
        <f>+VLOOKUP($E213,Primary!$1:$1048576,AN$2,FALSE)</f>
        <v>48.027022899999999</v>
      </c>
      <c r="AO213" s="73">
        <f>+VLOOKUP($E213,Primary!$1:$1048576,AO$2,FALSE)</f>
        <v>47.993144409999999</v>
      </c>
      <c r="AP213" s="73"/>
      <c r="AQ213" s="73"/>
    </row>
    <row r="214" spans="1:43" s="73" customFormat="1" ht="15" customHeight="1" x14ac:dyDescent="0.25">
      <c r="A214" s="324"/>
      <c r="B214" s="325"/>
      <c r="C214" s="134"/>
      <c r="D214" s="86" t="s">
        <v>2027</v>
      </c>
      <c r="E214" s="84" t="s">
        <v>575</v>
      </c>
      <c r="F214" s="73">
        <f>+VLOOKUP($E214,Primary!$1:$1048576,F$2,FALSE)</f>
        <v>36.569328980000002</v>
      </c>
      <c r="G214" s="73">
        <f>+VLOOKUP($E214,Primary!$1:$1048576,G$2,FALSE)</f>
        <v>36.740422770000002</v>
      </c>
      <c r="H214" s="73">
        <f>+VLOOKUP($E214,Primary!$1:$1048576,H$2,FALSE)</f>
        <v>36.857821719999997</v>
      </c>
      <c r="I214" s="73">
        <f>+VLOOKUP($E214,Primary!$1:$1048576,I$2,FALSE)</f>
        <v>36.993322149999997</v>
      </c>
      <c r="J214" s="73">
        <f>+VLOOKUP($E214,Primary!$1:$1048576,J$2,FALSE)</f>
        <v>37.161984670000002</v>
      </c>
      <c r="K214" s="73">
        <f>+VLOOKUP($E214,Primary!$1:$1048576,K$2,FALSE)</f>
        <v>37.357434519999998</v>
      </c>
      <c r="L214" s="73">
        <f>+VLOOKUP($E214,Primary!$1:$1048576,L$2,FALSE)</f>
        <v>37.572462420000001</v>
      </c>
      <c r="M214" s="73">
        <f>+VLOOKUP($E214,Primary!$1:$1048576,M$2,FALSE)</f>
        <v>37.804203940000001</v>
      </c>
      <c r="N214" s="73">
        <f>+VLOOKUP($E214,Primary!$1:$1048576,N$2,FALSE)</f>
        <v>38.049452770000002</v>
      </c>
      <c r="O214" s="73">
        <f>+VLOOKUP($E214,Primary!$1:$1048576,O$2,FALSE)</f>
        <v>38.30439406</v>
      </c>
      <c r="P214" s="73">
        <f>+VLOOKUP($E214,Primary!$1:$1048576,P$2,FALSE)</f>
        <v>38.564696939999997</v>
      </c>
      <c r="Q214" s="73">
        <f>+VLOOKUP($E214,Primary!$1:$1048576,Q$2,FALSE)</f>
        <v>38.825621300000002</v>
      </c>
      <c r="R214" s="73">
        <f>+VLOOKUP($E214,Primary!$1:$1048576,R$2,FALSE)</f>
        <v>39.082122030000001</v>
      </c>
      <c r="S214" s="73">
        <f>+VLOOKUP($E214,Primary!$1:$1048576,S$2,FALSE)</f>
        <v>39.328961139999997</v>
      </c>
      <c r="T214" s="73">
        <f>+VLOOKUP($E214,Primary!$1:$1048576,T$2,FALSE)</f>
        <v>39.560829099999999</v>
      </c>
      <c r="U214" s="73">
        <f>+VLOOKUP($E214,Primary!$1:$1048576,U$2,FALSE)</f>
        <v>39.772468979999999</v>
      </c>
      <c r="V214" s="73">
        <f>+VLOOKUP($E214,Primary!$1:$1048576,V$2,FALSE)</f>
        <v>39.962825690000003</v>
      </c>
      <c r="W214" s="73">
        <f>+VLOOKUP($E214,Primary!$1:$1048576,W$2,FALSE)</f>
        <v>40.135375850000003</v>
      </c>
      <c r="X214" s="73">
        <f>+VLOOKUP($E214,Primary!$1:$1048576,X$2,FALSE)</f>
        <v>40.293455909999999</v>
      </c>
      <c r="Y214" s="73">
        <f>+VLOOKUP($E214,Primary!$1:$1048576,Y$2,FALSE)</f>
        <v>40.439594149999998</v>
      </c>
      <c r="Z214" s="73">
        <f>+VLOOKUP($E214,Primary!$1:$1048576,Z$2,FALSE)</f>
        <v>40.575526920000001</v>
      </c>
      <c r="AA214" s="73">
        <f>+VLOOKUP($E214,Primary!$1:$1048576,AA$2,FALSE)</f>
        <v>40.702345950000002</v>
      </c>
      <c r="AB214" s="73">
        <f>+VLOOKUP($E214,Primary!$1:$1048576,AB$2,FALSE)</f>
        <v>40.820645220000003</v>
      </c>
      <c r="AC214" s="73">
        <f>+VLOOKUP($E214,Primary!$1:$1048576,AC$2,FALSE)</f>
        <v>40.930639790000001</v>
      </c>
      <c r="AD214" s="73">
        <f>+VLOOKUP($E214,Primary!$1:$1048576,AD$2,FALSE)</f>
        <v>41.03225673</v>
      </c>
      <c r="AE214" s="73">
        <f>+VLOOKUP($E214,Primary!$1:$1048576,AE$2,FALSE)</f>
        <v>41.125203689999999</v>
      </c>
      <c r="AF214" s="73">
        <f>+VLOOKUP($E214,Primary!$1:$1048576,AF$2,FALSE)</f>
        <v>41.209021569999997</v>
      </c>
      <c r="AG214" s="73">
        <f>+VLOOKUP($E214,Primary!$1:$1048576,AG$2,FALSE)</f>
        <v>41.283126090000003</v>
      </c>
      <c r="AH214" s="73">
        <f>+VLOOKUP($E214,Primary!$1:$1048576,AH$2,FALSE)</f>
        <v>41.346842449999997</v>
      </c>
      <c r="AI214" s="73">
        <f>+VLOOKUP($E214,Primary!$1:$1048576,AI$2,FALSE)</f>
        <v>41.399436000000001</v>
      </c>
      <c r="AJ214" s="73">
        <f>+VLOOKUP($E214,Primary!$1:$1048576,AJ$2,FALSE)</f>
        <v>41.440141189999999</v>
      </c>
      <c r="AK214" s="73">
        <f>+VLOOKUP($E214,Primary!$1:$1048576,AK$2,FALSE)</f>
        <v>41.468190110000002</v>
      </c>
      <c r="AL214" s="73">
        <f>+VLOOKUP($E214,Primary!$1:$1048576,AL$2,FALSE)</f>
        <v>41.482841860000001</v>
      </c>
      <c r="AM214" s="73">
        <f>+VLOOKUP($E214,Primary!$1:$1048576,AM$2,FALSE)</f>
        <v>41.483412919999999</v>
      </c>
      <c r="AN214" s="73">
        <f>+VLOOKUP($E214,Primary!$1:$1048576,AN$2,FALSE)</f>
        <v>41.469308730000002</v>
      </c>
      <c r="AO214" s="73">
        <f>+VLOOKUP($E214,Primary!$1:$1048576,AO$2,FALSE)</f>
        <v>41.440056079999998</v>
      </c>
    </row>
    <row r="215" spans="1:43" s="73" customFormat="1" ht="15" customHeight="1" x14ac:dyDescent="0.25">
      <c r="A215" s="324"/>
      <c r="B215" s="325"/>
      <c r="C215" s="134"/>
      <c r="D215" s="86" t="s">
        <v>567</v>
      </c>
      <c r="E215" s="84" t="s">
        <v>576</v>
      </c>
      <c r="F215" s="73">
        <f>+VLOOKUP($E215,Primary!$1:$1048576,F$2,FALSE)</f>
        <v>5.7828600000000003</v>
      </c>
      <c r="G215" s="73">
        <f>+VLOOKUP($E215,Primary!$1:$1048576,G$2,FALSE)</f>
        <v>5.8099157740000003</v>
      </c>
      <c r="H215" s="73">
        <f>+VLOOKUP($E215,Primary!$1:$1048576,H$2,FALSE)</f>
        <v>5.8284805569999998</v>
      </c>
      <c r="I215" s="73">
        <f>+VLOOKUP($E215,Primary!$1:$1048576,I$2,FALSE)</f>
        <v>5.8499078029999998</v>
      </c>
      <c r="J215" s="73">
        <f>+VLOOKUP($E215,Primary!$1:$1048576,J$2,FALSE)</f>
        <v>5.8765791079999996</v>
      </c>
      <c r="K215" s="73">
        <f>+VLOOKUP($E215,Primary!$1:$1048576,K$2,FALSE)</f>
        <v>5.9074864060000003</v>
      </c>
      <c r="L215" s="73">
        <f>+VLOOKUP($E215,Primary!$1:$1048576,L$2,FALSE)</f>
        <v>5.9414896620000004</v>
      </c>
      <c r="M215" s="73">
        <f>+VLOOKUP($E215,Primary!$1:$1048576,M$2,FALSE)</f>
        <v>5.9781359109999999</v>
      </c>
      <c r="N215" s="73">
        <f>+VLOOKUP($E215,Primary!$1:$1048576,N$2,FALSE)</f>
        <v>6.0169181280000004</v>
      </c>
      <c r="O215" s="73">
        <f>+VLOOKUP($E215,Primary!$1:$1048576,O$2,FALSE)</f>
        <v>6.0572330550000002</v>
      </c>
      <c r="P215" s="73">
        <f>+VLOOKUP($E215,Primary!$1:$1048576,P$2,FALSE)</f>
        <v>6.0983958310000004</v>
      </c>
      <c r="Q215" s="73">
        <f>+VLOOKUP($E215,Primary!$1:$1048576,Q$2,FALSE)</f>
        <v>6.1396568839999999</v>
      </c>
      <c r="R215" s="73">
        <f>+VLOOKUP($E215,Primary!$1:$1048576,R$2,FALSE)</f>
        <v>6.1802184110000002</v>
      </c>
      <c r="S215" s="73">
        <f>+VLOOKUP($E215,Primary!$1:$1048576,S$2,FALSE)</f>
        <v>6.2192521059999999</v>
      </c>
      <c r="T215" s="73">
        <f>+VLOOKUP($E215,Primary!$1:$1048576,T$2,FALSE)</f>
        <v>6.25591835</v>
      </c>
      <c r="U215" s="73">
        <f>+VLOOKUP($E215,Primary!$1:$1048576,U$2,FALSE)</f>
        <v>6.2893858439999999</v>
      </c>
      <c r="V215" s="73">
        <f>+VLOOKUP($E215,Primary!$1:$1048576,V$2,FALSE)</f>
        <v>6.3194877419999997</v>
      </c>
      <c r="W215" s="73">
        <f>+VLOOKUP($E215,Primary!$1:$1048576,W$2,FALSE)</f>
        <v>6.3467738149999997</v>
      </c>
      <c r="X215" s="73">
        <f>+VLOOKUP($E215,Primary!$1:$1048576,X$2,FALSE)</f>
        <v>6.3717716720000004</v>
      </c>
      <c r="Y215" s="73">
        <f>+VLOOKUP($E215,Primary!$1:$1048576,Y$2,FALSE)</f>
        <v>6.39488112</v>
      </c>
      <c r="Z215" s="73">
        <f>+VLOOKUP($E215,Primary!$1:$1048576,Z$2,FALSE)</f>
        <v>6.4163767329999999</v>
      </c>
      <c r="AA215" s="73">
        <f>+VLOOKUP($E215,Primary!$1:$1048576,AA$2,FALSE)</f>
        <v>6.4364311540000001</v>
      </c>
      <c r="AB215" s="73">
        <f>+VLOOKUP($E215,Primary!$1:$1048576,AB$2,FALSE)</f>
        <v>6.4551383089999996</v>
      </c>
      <c r="AC215" s="73">
        <f>+VLOOKUP($E215,Primary!$1:$1048576,AC$2,FALSE)</f>
        <v>6.4725322079999996</v>
      </c>
      <c r="AD215" s="73">
        <f>+VLOOKUP($E215,Primary!$1:$1048576,AD$2,FALSE)</f>
        <v>6.4886013169999996</v>
      </c>
      <c r="AE215" s="73">
        <f>+VLOOKUP($E215,Primary!$1:$1048576,AE$2,FALSE)</f>
        <v>6.5032994070000001</v>
      </c>
      <c r="AF215" s="73">
        <f>+VLOOKUP($E215,Primary!$1:$1048576,AF$2,FALSE)</f>
        <v>6.5165538769999998</v>
      </c>
      <c r="AG215" s="73">
        <f>+VLOOKUP($E215,Primary!$1:$1048576,AG$2,FALSE)</f>
        <v>6.5282723320000002</v>
      </c>
      <c r="AH215" s="73">
        <f>+VLOOKUP($E215,Primary!$1:$1048576,AH$2,FALSE)</f>
        <v>6.538348064</v>
      </c>
      <c r="AI215" s="73">
        <f>+VLOOKUP($E215,Primary!$1:$1048576,AI$2,FALSE)</f>
        <v>6.5466649019999998</v>
      </c>
      <c r="AJ215" s="73">
        <f>+VLOOKUP($E215,Primary!$1:$1048576,AJ$2,FALSE)</f>
        <v>6.5531017819999997</v>
      </c>
      <c r="AK215" s="73">
        <f>+VLOOKUP($E215,Primary!$1:$1048576,AK$2,FALSE)</f>
        <v>6.5575372749999996</v>
      </c>
      <c r="AL215" s="73">
        <f>+VLOOKUP($E215,Primary!$1:$1048576,AL$2,FALSE)</f>
        <v>6.5598542169999998</v>
      </c>
      <c r="AM215" s="73">
        <f>+VLOOKUP($E215,Primary!$1:$1048576,AM$2,FALSE)</f>
        <v>6.5599445200000002</v>
      </c>
      <c r="AN215" s="73">
        <f>+VLOOKUP($E215,Primary!$1:$1048576,AN$2,FALSE)</f>
        <v>6.5577141670000003</v>
      </c>
      <c r="AO215" s="73">
        <f>+VLOOKUP($E215,Primary!$1:$1048576,AO$2,FALSE)</f>
        <v>6.553088324</v>
      </c>
    </row>
    <row r="216" spans="1:43" s="111" customFormat="1" ht="15" customHeight="1" x14ac:dyDescent="0.25">
      <c r="A216" s="324"/>
      <c r="B216" s="325"/>
      <c r="C216" s="134" t="s">
        <v>562</v>
      </c>
      <c r="D216" s="112"/>
      <c r="E216" s="87" t="s">
        <v>591</v>
      </c>
      <c r="F216" s="73">
        <f>+VLOOKUP($E216,Primary!$1:$1048576,F$2,FALSE)</f>
        <v>7.9355360250000002</v>
      </c>
      <c r="G216" s="73">
        <f>+VLOOKUP($E216,Primary!$1:$1048576,G$2,FALSE)</f>
        <v>7.9839831429999997</v>
      </c>
      <c r="H216" s="73">
        <f>+VLOOKUP($E216,Primary!$1:$1048576,H$2,FALSE)</f>
        <v>8.0145868960000008</v>
      </c>
      <c r="I216" s="73">
        <f>+VLOOKUP($E216,Primary!$1:$1048576,I$2,FALSE)</f>
        <v>8.0387744330000004</v>
      </c>
      <c r="J216" s="73">
        <f>+VLOOKUP($E216,Primary!$1:$1048576,J$2,FALSE)</f>
        <v>8.0606897889999995</v>
      </c>
      <c r="K216" s="73">
        <f>+VLOOKUP($E216,Primary!$1:$1048576,K$2,FALSE)</f>
        <v>8.0809697239999991</v>
      </c>
      <c r="L216" s="73">
        <f>+VLOOKUP($E216,Primary!$1:$1048576,L$2,FALSE)</f>
        <v>8.1006529559999993</v>
      </c>
      <c r="M216" s="73">
        <f>+VLOOKUP($E216,Primary!$1:$1048576,M$2,FALSE)</f>
        <v>8.1215149209999993</v>
      </c>
      <c r="N216" s="73">
        <f>+VLOOKUP($E216,Primary!$1:$1048576,N$2,FALSE)</f>
        <v>8.144054122</v>
      </c>
      <c r="O216" s="73">
        <f>+VLOOKUP($E216,Primary!$1:$1048576,O$2,FALSE)</f>
        <v>8.1679440509999992</v>
      </c>
      <c r="P216" s="73">
        <f>+VLOOKUP($E216,Primary!$1:$1048576,P$2,FALSE)</f>
        <v>8.1923757459999997</v>
      </c>
      <c r="Q216" s="73">
        <f>+VLOOKUP($E216,Primary!$1:$1048576,Q$2,FALSE)</f>
        <v>8.2162685240000002</v>
      </c>
      <c r="R216" s="73">
        <f>+VLOOKUP($E216,Primary!$1:$1048576,R$2,FALSE)</f>
        <v>8.2383993180000008</v>
      </c>
      <c r="S216" s="73">
        <f>+VLOOKUP($E216,Primary!$1:$1048576,S$2,FALSE)</f>
        <v>8.2574886670000005</v>
      </c>
      <c r="T216" s="73">
        <f>+VLOOKUP($E216,Primary!$1:$1048576,T$2,FALSE)</f>
        <v>8.2722653570000002</v>
      </c>
      <c r="U216" s="73">
        <f>+VLOOKUP($E216,Primary!$1:$1048576,U$2,FALSE)</f>
        <v>8.2815209789999997</v>
      </c>
      <c r="V216" s="73">
        <f>+VLOOKUP($E216,Primary!$1:$1048576,V$2,FALSE)</f>
        <v>8.2856109609999997</v>
      </c>
      <c r="W216" s="73">
        <f>+VLOOKUP($E216,Primary!$1:$1048576,W$2,FALSE)</f>
        <v>8.2862246979999998</v>
      </c>
      <c r="X216" s="73">
        <f>+VLOOKUP($E216,Primary!$1:$1048576,X$2,FALSE)</f>
        <v>8.2845759589999997</v>
      </c>
      <c r="Y216" s="73">
        <f>+VLOOKUP($E216,Primary!$1:$1048576,Y$2,FALSE)</f>
        <v>8.2814961</v>
      </c>
      <c r="Z216" s="73">
        <f>+VLOOKUP($E216,Primary!$1:$1048576,Z$2,FALSE)</f>
        <v>8.2775610680000007</v>
      </c>
      <c r="AA216" s="73">
        <f>+VLOOKUP($E216,Primary!$1:$1048576,AA$2,FALSE)</f>
        <v>8.2731805779999998</v>
      </c>
      <c r="AB216" s="73">
        <f>+VLOOKUP($E216,Primary!$1:$1048576,AB$2,FALSE)</f>
        <v>8.2686547029999993</v>
      </c>
      <c r="AC216" s="73">
        <f>+VLOOKUP($E216,Primary!$1:$1048576,AC$2,FALSE)</f>
        <v>8.2642092890000001</v>
      </c>
      <c r="AD216" s="73">
        <f>+VLOOKUP($E216,Primary!$1:$1048576,AD$2,FALSE)</f>
        <v>8.2600185130000003</v>
      </c>
      <c r="AE216" s="73">
        <f>+VLOOKUP($E216,Primary!$1:$1048576,AE$2,FALSE)</f>
        <v>8.2562196960000005</v>
      </c>
      <c r="AF216" s="73">
        <f>+VLOOKUP($E216,Primary!$1:$1048576,AF$2,FALSE)</f>
        <v>8.2529233939999997</v>
      </c>
      <c r="AG216" s="73">
        <f>+VLOOKUP($E216,Primary!$1:$1048576,AG$2,FALSE)</f>
        <v>8.2502205180000008</v>
      </c>
      <c r="AH216" s="73">
        <f>+VLOOKUP($E216,Primary!$1:$1048576,AH$2,FALSE)</f>
        <v>8.2481875079999991</v>
      </c>
      <c r="AI216" s="73">
        <f>+VLOOKUP($E216,Primary!$1:$1048576,AI$2,FALSE)</f>
        <v>8.2468901859999999</v>
      </c>
      <c r="AJ216" s="73">
        <f>+VLOOKUP($E216,Primary!$1:$1048576,AJ$2,FALSE)</f>
        <v>8.2463866849999992</v>
      </c>
      <c r="AK216" s="73">
        <f>+VLOOKUP($E216,Primary!$1:$1048576,AK$2,FALSE)</f>
        <v>8.2467296720000007</v>
      </c>
      <c r="AL216" s="73">
        <f>+VLOOKUP($E216,Primary!$1:$1048576,AL$2,FALSE)</f>
        <v>8.2479680420000001</v>
      </c>
      <c r="AM216" s="73">
        <f>+VLOOKUP($E216,Primary!$1:$1048576,AM$2,FALSE)</f>
        <v>8.2501481830000003</v>
      </c>
      <c r="AN216" s="73">
        <f>+VLOOKUP($E216,Primary!$1:$1048576,AN$2,FALSE)</f>
        <v>8.253314906</v>
      </c>
      <c r="AO216" s="73">
        <f>+VLOOKUP($E216,Primary!$1:$1048576,AO$2,FALSE)</f>
        <v>8.2575120880000004</v>
      </c>
      <c r="AP216" s="73"/>
      <c r="AQ216" s="73"/>
    </row>
    <row r="217" spans="1:43" s="365" customFormat="1" ht="15" customHeight="1" x14ac:dyDescent="0.25">
      <c r="A217" s="324"/>
      <c r="B217" s="325"/>
      <c r="C217" s="364"/>
      <c r="D217" s="86" t="s">
        <v>2027</v>
      </c>
      <c r="E217" s="84" t="s">
        <v>2048</v>
      </c>
      <c r="F217" s="73" t="e">
        <f>+VLOOKUP($E217,Primary!$1:$1048576,F$2,FALSE)</f>
        <v>#N/A</v>
      </c>
      <c r="G217" s="73" t="e">
        <f>+VLOOKUP($E217,Primary!$1:$1048576,G$2,FALSE)</f>
        <v>#N/A</v>
      </c>
      <c r="H217" s="73" t="e">
        <f>+VLOOKUP($E217,Primary!$1:$1048576,H$2,FALSE)</f>
        <v>#N/A</v>
      </c>
      <c r="I217" s="73" t="e">
        <f>+VLOOKUP($E217,Primary!$1:$1048576,I$2,FALSE)</f>
        <v>#N/A</v>
      </c>
      <c r="J217" s="73" t="e">
        <f>+VLOOKUP($E217,Primary!$1:$1048576,J$2,FALSE)</f>
        <v>#N/A</v>
      </c>
      <c r="K217" s="73" t="e">
        <f>+VLOOKUP($E217,Primary!$1:$1048576,K$2,FALSE)</f>
        <v>#N/A</v>
      </c>
      <c r="L217" s="73" t="e">
        <f>+VLOOKUP($E217,Primary!$1:$1048576,L$2,FALSE)</f>
        <v>#N/A</v>
      </c>
      <c r="M217" s="73" t="e">
        <f>+VLOOKUP($E217,Primary!$1:$1048576,M$2,FALSE)</f>
        <v>#N/A</v>
      </c>
      <c r="N217" s="73" t="e">
        <f>+VLOOKUP($E217,Primary!$1:$1048576,N$2,FALSE)</f>
        <v>#N/A</v>
      </c>
      <c r="O217" s="73" t="e">
        <f>+VLOOKUP($E217,Primary!$1:$1048576,O$2,FALSE)</f>
        <v>#N/A</v>
      </c>
      <c r="P217" s="73" t="e">
        <f>+VLOOKUP($E217,Primary!$1:$1048576,P$2,FALSE)</f>
        <v>#N/A</v>
      </c>
      <c r="Q217" s="73" t="e">
        <f>+VLOOKUP($E217,Primary!$1:$1048576,Q$2,FALSE)</f>
        <v>#N/A</v>
      </c>
      <c r="R217" s="73" t="e">
        <f>+VLOOKUP($E217,Primary!$1:$1048576,R$2,FALSE)</f>
        <v>#N/A</v>
      </c>
      <c r="S217" s="73" t="e">
        <f>+VLOOKUP($E217,Primary!$1:$1048576,S$2,FALSE)</f>
        <v>#N/A</v>
      </c>
      <c r="T217" s="73" t="e">
        <f>+VLOOKUP($E217,Primary!$1:$1048576,T$2,FALSE)</f>
        <v>#N/A</v>
      </c>
      <c r="U217" s="73" t="e">
        <f>+VLOOKUP($E217,Primary!$1:$1048576,U$2,FALSE)</f>
        <v>#N/A</v>
      </c>
      <c r="V217" s="73" t="e">
        <f>+VLOOKUP($E217,Primary!$1:$1048576,V$2,FALSE)</f>
        <v>#N/A</v>
      </c>
      <c r="W217" s="73" t="e">
        <f>+VLOOKUP($E217,Primary!$1:$1048576,W$2,FALSE)</f>
        <v>#N/A</v>
      </c>
      <c r="X217" s="73" t="e">
        <f>+VLOOKUP($E217,Primary!$1:$1048576,X$2,FALSE)</f>
        <v>#N/A</v>
      </c>
      <c r="Y217" s="73" t="e">
        <f>+VLOOKUP($E217,Primary!$1:$1048576,Y$2,FALSE)</f>
        <v>#N/A</v>
      </c>
      <c r="Z217" s="73" t="e">
        <f>+VLOOKUP($E217,Primary!$1:$1048576,Z$2,FALSE)</f>
        <v>#N/A</v>
      </c>
      <c r="AA217" s="73" t="e">
        <f>+VLOOKUP($E217,Primary!$1:$1048576,AA$2,FALSE)</f>
        <v>#N/A</v>
      </c>
      <c r="AB217" s="73" t="e">
        <f>+VLOOKUP($E217,Primary!$1:$1048576,AB$2,FALSE)</f>
        <v>#N/A</v>
      </c>
      <c r="AC217" s="73" t="e">
        <f>+VLOOKUP($E217,Primary!$1:$1048576,AC$2,FALSE)</f>
        <v>#N/A</v>
      </c>
      <c r="AD217" s="73" t="e">
        <f>+VLOOKUP($E217,Primary!$1:$1048576,AD$2,FALSE)</f>
        <v>#N/A</v>
      </c>
      <c r="AE217" s="73" t="e">
        <f>+VLOOKUP($E217,Primary!$1:$1048576,AE$2,FALSE)</f>
        <v>#N/A</v>
      </c>
      <c r="AF217" s="73" t="e">
        <f>+VLOOKUP($E217,Primary!$1:$1048576,AF$2,FALSE)</f>
        <v>#N/A</v>
      </c>
      <c r="AG217" s="73" t="e">
        <f>+VLOOKUP($E217,Primary!$1:$1048576,AG$2,FALSE)</f>
        <v>#N/A</v>
      </c>
      <c r="AH217" s="73" t="e">
        <f>+VLOOKUP($E217,Primary!$1:$1048576,AH$2,FALSE)</f>
        <v>#N/A</v>
      </c>
      <c r="AI217" s="73" t="e">
        <f>+VLOOKUP($E217,Primary!$1:$1048576,AI$2,FALSE)</f>
        <v>#N/A</v>
      </c>
      <c r="AJ217" s="73" t="e">
        <f>+VLOOKUP($E217,Primary!$1:$1048576,AJ$2,FALSE)</f>
        <v>#N/A</v>
      </c>
      <c r="AK217" s="73" t="e">
        <f>+VLOOKUP($E217,Primary!$1:$1048576,AK$2,FALSE)</f>
        <v>#N/A</v>
      </c>
      <c r="AL217" s="73" t="e">
        <f>+VLOOKUP($E217,Primary!$1:$1048576,AL$2,FALSE)</f>
        <v>#N/A</v>
      </c>
      <c r="AM217" s="73" t="e">
        <f>+VLOOKUP($E217,Primary!$1:$1048576,AM$2,FALSE)</f>
        <v>#N/A</v>
      </c>
      <c r="AN217" s="73" t="e">
        <f>+VLOOKUP($E217,Primary!$1:$1048576,AN$2,FALSE)</f>
        <v>#N/A</v>
      </c>
      <c r="AO217" s="73" t="e">
        <f>+VLOOKUP($E217,Primary!$1:$1048576,AO$2,FALSE)</f>
        <v>#N/A</v>
      </c>
      <c r="AP217" s="73"/>
      <c r="AQ217" s="73"/>
    </row>
    <row r="218" spans="1:43" s="111" customFormat="1" ht="15" customHeight="1" x14ac:dyDescent="0.25">
      <c r="A218" s="324"/>
      <c r="B218" s="325"/>
      <c r="C218" s="134" t="s">
        <v>563</v>
      </c>
      <c r="D218" s="112"/>
      <c r="E218" s="87" t="s">
        <v>592</v>
      </c>
      <c r="F218" s="73">
        <f>+VLOOKUP($E218,Primary!$1:$1048576,F$2,FALSE)</f>
        <v>6.597728</v>
      </c>
      <c r="G218" s="73">
        <f>+VLOOKUP($E218,Primary!$1:$1048576,G$2,FALSE)</f>
        <v>6.6023132579999997</v>
      </c>
      <c r="H218" s="73">
        <f>+VLOOKUP($E218,Primary!$1:$1048576,H$2,FALSE)</f>
        <v>6.5798666490000004</v>
      </c>
      <c r="I218" s="73">
        <f>+VLOOKUP($E218,Primary!$1:$1048576,I$2,FALSE)</f>
        <v>6.5467763809999999</v>
      </c>
      <c r="J218" s="73">
        <f>+VLOOKUP($E218,Primary!$1:$1048576,J$2,FALSE)</f>
        <v>6.5080885789999998</v>
      </c>
      <c r="K218" s="73">
        <f>+VLOOKUP($E218,Primary!$1:$1048576,K$2,FALSE)</f>
        <v>6.4644390879999998</v>
      </c>
      <c r="L218" s="73">
        <f>+VLOOKUP($E218,Primary!$1:$1048576,L$2,FALSE)</f>
        <v>6.4213775010000003</v>
      </c>
      <c r="M218" s="73">
        <f>+VLOOKUP($E218,Primary!$1:$1048576,M$2,FALSE)</f>
        <v>6.3850269920000002</v>
      </c>
      <c r="N218" s="73">
        <f>+VLOOKUP($E218,Primary!$1:$1048576,N$2,FALSE)</f>
        <v>6.354881539</v>
      </c>
      <c r="O218" s="73">
        <f>+VLOOKUP($E218,Primary!$1:$1048576,O$2,FALSE)</f>
        <v>6.3284719149999997</v>
      </c>
      <c r="P218" s="73">
        <f>+VLOOKUP($E218,Primary!$1:$1048576,P$2,FALSE)</f>
        <v>6.3031777739999999</v>
      </c>
      <c r="Q218" s="73">
        <f>+VLOOKUP($E218,Primary!$1:$1048576,Q$2,FALSE)</f>
        <v>6.2768809020000003</v>
      </c>
      <c r="R218" s="73">
        <f>+VLOOKUP($E218,Primary!$1:$1048576,R$2,FALSE)</f>
        <v>6.248162582</v>
      </c>
      <c r="S218" s="73">
        <f>+VLOOKUP($E218,Primary!$1:$1048576,S$2,FALSE)</f>
        <v>6.2163283170000003</v>
      </c>
      <c r="T218" s="73">
        <f>+VLOOKUP($E218,Primary!$1:$1048576,T$2,FALSE)</f>
        <v>6.1813630069999999</v>
      </c>
      <c r="U218" s="73">
        <f>+VLOOKUP($E218,Primary!$1:$1048576,U$2,FALSE)</f>
        <v>6.1438464479999997</v>
      </c>
      <c r="V218" s="73">
        <f>+VLOOKUP($E218,Primary!$1:$1048576,V$2,FALSE)</f>
        <v>6.1075439429999996</v>
      </c>
      <c r="W218" s="73">
        <f>+VLOOKUP($E218,Primary!$1:$1048576,W$2,FALSE)</f>
        <v>6.076631989</v>
      </c>
      <c r="X218" s="73">
        <f>+VLOOKUP($E218,Primary!$1:$1048576,X$2,FALSE)</f>
        <v>6.0520068179999997</v>
      </c>
      <c r="Y218" s="73">
        <f>+VLOOKUP($E218,Primary!$1:$1048576,Y$2,FALSE)</f>
        <v>6.0333399270000001</v>
      </c>
      <c r="Z218" s="73">
        <f>+VLOOKUP($E218,Primary!$1:$1048576,Z$2,FALSE)</f>
        <v>6.0199343069999998</v>
      </c>
      <c r="AA218" s="73">
        <f>+VLOOKUP($E218,Primary!$1:$1048576,AA$2,FALSE)</f>
        <v>6.0110661480000003</v>
      </c>
      <c r="AB218" s="73">
        <f>+VLOOKUP($E218,Primary!$1:$1048576,AB$2,FALSE)</f>
        <v>6.006104219</v>
      </c>
      <c r="AC218" s="73">
        <f>+VLOOKUP($E218,Primary!$1:$1048576,AC$2,FALSE)</f>
        <v>6.0045364360000004</v>
      </c>
      <c r="AD218" s="73">
        <f>+VLOOKUP($E218,Primary!$1:$1048576,AD$2,FALSE)</f>
        <v>6.0059610409999999</v>
      </c>
      <c r="AE218" s="73">
        <f>+VLOOKUP($E218,Primary!$1:$1048576,AE$2,FALSE)</f>
        <v>6.0100672489999996</v>
      </c>
      <c r="AF218" s="73">
        <f>+VLOOKUP($E218,Primary!$1:$1048576,AF$2,FALSE)</f>
        <v>6.0166154069999997</v>
      </c>
      <c r="AG218" s="73">
        <f>+VLOOKUP($E218,Primary!$1:$1048576,AG$2,FALSE)</f>
        <v>6.0254201419999998</v>
      </c>
      <c r="AH218" s="73">
        <f>+VLOOKUP($E218,Primary!$1:$1048576,AH$2,FALSE)</f>
        <v>6.0363371399999997</v>
      </c>
      <c r="AI218" s="73">
        <f>+VLOOKUP($E218,Primary!$1:$1048576,AI$2,FALSE)</f>
        <v>6.0492531170000001</v>
      </c>
      <c r="AJ218" s="73">
        <f>+VLOOKUP($E218,Primary!$1:$1048576,AJ$2,FALSE)</f>
        <v>6.0640783779999996</v>
      </c>
      <c r="AK218" s="73">
        <f>+VLOOKUP($E218,Primary!$1:$1048576,AK$2,FALSE)</f>
        <v>6.0807411800000004</v>
      </c>
      <c r="AL218" s="73">
        <f>+VLOOKUP($E218,Primary!$1:$1048576,AL$2,FALSE)</f>
        <v>6.0991834630000001</v>
      </c>
      <c r="AM218" s="73">
        <f>+VLOOKUP($E218,Primary!$1:$1048576,AM$2,FALSE)</f>
        <v>6.1193574890000004</v>
      </c>
      <c r="AN218" s="73">
        <f>+VLOOKUP($E218,Primary!$1:$1048576,AN$2,FALSE)</f>
        <v>6.1412231500000001</v>
      </c>
      <c r="AO218" s="73">
        <f>+VLOOKUP($E218,Primary!$1:$1048576,AO$2,FALSE)</f>
        <v>6.1647457140000004</v>
      </c>
      <c r="AP218" s="73"/>
      <c r="AQ218" s="73"/>
    </row>
    <row r="219" spans="1:43" s="365" customFormat="1" ht="15" customHeight="1" x14ac:dyDescent="0.25">
      <c r="A219" s="324"/>
      <c r="B219" s="325"/>
      <c r="C219" s="364"/>
      <c r="D219" s="86" t="s">
        <v>568</v>
      </c>
      <c r="E219" s="84" t="s">
        <v>2049</v>
      </c>
      <c r="F219" s="73" t="e">
        <f>+VLOOKUP($E219,Primary!$1:$1048576,F$2,FALSE)</f>
        <v>#N/A</v>
      </c>
      <c r="G219" s="73" t="e">
        <f>+VLOOKUP($E219,Primary!$1:$1048576,G$2,FALSE)</f>
        <v>#N/A</v>
      </c>
      <c r="H219" s="73" t="e">
        <f>+VLOOKUP($E219,Primary!$1:$1048576,H$2,FALSE)</f>
        <v>#N/A</v>
      </c>
      <c r="I219" s="73" t="e">
        <f>+VLOOKUP($E219,Primary!$1:$1048576,I$2,FALSE)</f>
        <v>#N/A</v>
      </c>
      <c r="J219" s="73" t="e">
        <f>+VLOOKUP($E219,Primary!$1:$1048576,J$2,FALSE)</f>
        <v>#N/A</v>
      </c>
      <c r="K219" s="73" t="e">
        <f>+VLOOKUP($E219,Primary!$1:$1048576,K$2,FALSE)</f>
        <v>#N/A</v>
      </c>
      <c r="L219" s="73" t="e">
        <f>+VLOOKUP($E219,Primary!$1:$1048576,L$2,FALSE)</f>
        <v>#N/A</v>
      </c>
      <c r="M219" s="73" t="e">
        <f>+VLOOKUP($E219,Primary!$1:$1048576,M$2,FALSE)</f>
        <v>#N/A</v>
      </c>
      <c r="N219" s="73" t="e">
        <f>+VLOOKUP($E219,Primary!$1:$1048576,N$2,FALSE)</f>
        <v>#N/A</v>
      </c>
      <c r="O219" s="73" t="e">
        <f>+VLOOKUP($E219,Primary!$1:$1048576,O$2,FALSE)</f>
        <v>#N/A</v>
      </c>
      <c r="P219" s="73" t="e">
        <f>+VLOOKUP($E219,Primary!$1:$1048576,P$2,FALSE)</f>
        <v>#N/A</v>
      </c>
      <c r="Q219" s="73" t="e">
        <f>+VLOOKUP($E219,Primary!$1:$1048576,Q$2,FALSE)</f>
        <v>#N/A</v>
      </c>
      <c r="R219" s="73" t="e">
        <f>+VLOOKUP($E219,Primary!$1:$1048576,R$2,FALSE)</f>
        <v>#N/A</v>
      </c>
      <c r="S219" s="73" t="e">
        <f>+VLOOKUP($E219,Primary!$1:$1048576,S$2,FALSE)</f>
        <v>#N/A</v>
      </c>
      <c r="T219" s="73" t="e">
        <f>+VLOOKUP($E219,Primary!$1:$1048576,T$2,FALSE)</f>
        <v>#N/A</v>
      </c>
      <c r="U219" s="73" t="e">
        <f>+VLOOKUP($E219,Primary!$1:$1048576,U$2,FALSE)</f>
        <v>#N/A</v>
      </c>
      <c r="V219" s="73" t="e">
        <f>+VLOOKUP($E219,Primary!$1:$1048576,V$2,FALSE)</f>
        <v>#N/A</v>
      </c>
      <c r="W219" s="73" t="e">
        <f>+VLOOKUP($E219,Primary!$1:$1048576,W$2,FALSE)</f>
        <v>#N/A</v>
      </c>
      <c r="X219" s="73" t="e">
        <f>+VLOOKUP($E219,Primary!$1:$1048576,X$2,FALSE)</f>
        <v>#N/A</v>
      </c>
      <c r="Y219" s="73" t="e">
        <f>+VLOOKUP($E219,Primary!$1:$1048576,Y$2,FALSE)</f>
        <v>#N/A</v>
      </c>
      <c r="Z219" s="73" t="e">
        <f>+VLOOKUP($E219,Primary!$1:$1048576,Z$2,FALSE)</f>
        <v>#N/A</v>
      </c>
      <c r="AA219" s="73" t="e">
        <f>+VLOOKUP($E219,Primary!$1:$1048576,AA$2,FALSE)</f>
        <v>#N/A</v>
      </c>
      <c r="AB219" s="73" t="e">
        <f>+VLOOKUP($E219,Primary!$1:$1048576,AB$2,FALSE)</f>
        <v>#N/A</v>
      </c>
      <c r="AC219" s="73" t="e">
        <f>+VLOOKUP($E219,Primary!$1:$1048576,AC$2,FALSE)</f>
        <v>#N/A</v>
      </c>
      <c r="AD219" s="73" t="e">
        <f>+VLOOKUP($E219,Primary!$1:$1048576,AD$2,FALSE)</f>
        <v>#N/A</v>
      </c>
      <c r="AE219" s="73" t="e">
        <f>+VLOOKUP($E219,Primary!$1:$1048576,AE$2,FALSE)</f>
        <v>#N/A</v>
      </c>
      <c r="AF219" s="73" t="e">
        <f>+VLOOKUP($E219,Primary!$1:$1048576,AF$2,FALSE)</f>
        <v>#N/A</v>
      </c>
      <c r="AG219" s="73" t="e">
        <f>+VLOOKUP($E219,Primary!$1:$1048576,AG$2,FALSE)</f>
        <v>#N/A</v>
      </c>
      <c r="AH219" s="73" t="e">
        <f>+VLOOKUP($E219,Primary!$1:$1048576,AH$2,FALSE)</f>
        <v>#N/A</v>
      </c>
      <c r="AI219" s="73" t="e">
        <f>+VLOOKUP($E219,Primary!$1:$1048576,AI$2,FALSE)</f>
        <v>#N/A</v>
      </c>
      <c r="AJ219" s="73" t="e">
        <f>+VLOOKUP($E219,Primary!$1:$1048576,AJ$2,FALSE)</f>
        <v>#N/A</v>
      </c>
      <c r="AK219" s="73" t="e">
        <f>+VLOOKUP($E219,Primary!$1:$1048576,AK$2,FALSE)</f>
        <v>#N/A</v>
      </c>
      <c r="AL219" s="73" t="e">
        <f>+VLOOKUP($E219,Primary!$1:$1048576,AL$2,FALSE)</f>
        <v>#N/A</v>
      </c>
      <c r="AM219" s="73" t="e">
        <f>+VLOOKUP($E219,Primary!$1:$1048576,AM$2,FALSE)</f>
        <v>#N/A</v>
      </c>
      <c r="AN219" s="73" t="e">
        <f>+VLOOKUP($E219,Primary!$1:$1048576,AN$2,FALSE)</f>
        <v>#N/A</v>
      </c>
      <c r="AO219" s="73" t="e">
        <f>+VLOOKUP($E219,Primary!$1:$1048576,AO$2,FALSE)</f>
        <v>#N/A</v>
      </c>
      <c r="AP219" s="73"/>
      <c r="AQ219" s="73"/>
    </row>
    <row r="220" spans="1:43" s="365" customFormat="1" ht="15" customHeight="1" x14ac:dyDescent="0.25">
      <c r="A220" s="324"/>
      <c r="B220" s="325"/>
      <c r="C220" s="364"/>
      <c r="D220" s="86" t="s">
        <v>568</v>
      </c>
      <c r="E220" s="84" t="s">
        <v>2050</v>
      </c>
      <c r="F220" s="73" t="e">
        <f>+VLOOKUP($E220,Primary!$1:$1048576,F$2,FALSE)</f>
        <v>#N/A</v>
      </c>
      <c r="G220" s="73" t="e">
        <f>+VLOOKUP($E220,Primary!$1:$1048576,G$2,FALSE)</f>
        <v>#N/A</v>
      </c>
      <c r="H220" s="73" t="e">
        <f>+VLOOKUP($E220,Primary!$1:$1048576,H$2,FALSE)</f>
        <v>#N/A</v>
      </c>
      <c r="I220" s="73" t="e">
        <f>+VLOOKUP($E220,Primary!$1:$1048576,I$2,FALSE)</f>
        <v>#N/A</v>
      </c>
      <c r="J220" s="73" t="e">
        <f>+VLOOKUP($E220,Primary!$1:$1048576,J$2,FALSE)</f>
        <v>#N/A</v>
      </c>
      <c r="K220" s="73" t="e">
        <f>+VLOOKUP($E220,Primary!$1:$1048576,K$2,FALSE)</f>
        <v>#N/A</v>
      </c>
      <c r="L220" s="73" t="e">
        <f>+VLOOKUP($E220,Primary!$1:$1048576,L$2,FALSE)</f>
        <v>#N/A</v>
      </c>
      <c r="M220" s="73" t="e">
        <f>+VLOOKUP($E220,Primary!$1:$1048576,M$2,FALSE)</f>
        <v>#N/A</v>
      </c>
      <c r="N220" s="73" t="e">
        <f>+VLOOKUP($E220,Primary!$1:$1048576,N$2,FALSE)</f>
        <v>#N/A</v>
      </c>
      <c r="O220" s="73" t="e">
        <f>+VLOOKUP($E220,Primary!$1:$1048576,O$2,FALSE)</f>
        <v>#N/A</v>
      </c>
      <c r="P220" s="73" t="e">
        <f>+VLOOKUP($E220,Primary!$1:$1048576,P$2,FALSE)</f>
        <v>#N/A</v>
      </c>
      <c r="Q220" s="73" t="e">
        <f>+VLOOKUP($E220,Primary!$1:$1048576,Q$2,FALSE)</f>
        <v>#N/A</v>
      </c>
      <c r="R220" s="73" t="e">
        <f>+VLOOKUP($E220,Primary!$1:$1048576,R$2,FALSE)</f>
        <v>#N/A</v>
      </c>
      <c r="S220" s="73" t="e">
        <f>+VLOOKUP($E220,Primary!$1:$1048576,S$2,FALSE)</f>
        <v>#N/A</v>
      </c>
      <c r="T220" s="73" t="e">
        <f>+VLOOKUP($E220,Primary!$1:$1048576,T$2,FALSE)</f>
        <v>#N/A</v>
      </c>
      <c r="U220" s="73" t="e">
        <f>+VLOOKUP($E220,Primary!$1:$1048576,U$2,FALSE)</f>
        <v>#N/A</v>
      </c>
      <c r="V220" s="73" t="e">
        <f>+VLOOKUP($E220,Primary!$1:$1048576,V$2,FALSE)</f>
        <v>#N/A</v>
      </c>
      <c r="W220" s="73" t="e">
        <f>+VLOOKUP($E220,Primary!$1:$1048576,W$2,FALSE)</f>
        <v>#N/A</v>
      </c>
      <c r="X220" s="73" t="e">
        <f>+VLOOKUP($E220,Primary!$1:$1048576,X$2,FALSE)</f>
        <v>#N/A</v>
      </c>
      <c r="Y220" s="73" t="e">
        <f>+VLOOKUP($E220,Primary!$1:$1048576,Y$2,FALSE)</f>
        <v>#N/A</v>
      </c>
      <c r="Z220" s="73" t="e">
        <f>+VLOOKUP($E220,Primary!$1:$1048576,Z$2,FALSE)</f>
        <v>#N/A</v>
      </c>
      <c r="AA220" s="73" t="e">
        <f>+VLOOKUP($E220,Primary!$1:$1048576,AA$2,FALSE)</f>
        <v>#N/A</v>
      </c>
      <c r="AB220" s="73" t="e">
        <f>+VLOOKUP($E220,Primary!$1:$1048576,AB$2,FALSE)</f>
        <v>#N/A</v>
      </c>
      <c r="AC220" s="73" t="e">
        <f>+VLOOKUP($E220,Primary!$1:$1048576,AC$2,FALSE)</f>
        <v>#N/A</v>
      </c>
      <c r="AD220" s="73" t="e">
        <f>+VLOOKUP($E220,Primary!$1:$1048576,AD$2,FALSE)</f>
        <v>#N/A</v>
      </c>
      <c r="AE220" s="73" t="e">
        <f>+VLOOKUP($E220,Primary!$1:$1048576,AE$2,FALSE)</f>
        <v>#N/A</v>
      </c>
      <c r="AF220" s="73" t="e">
        <f>+VLOOKUP($E220,Primary!$1:$1048576,AF$2,FALSE)</f>
        <v>#N/A</v>
      </c>
      <c r="AG220" s="73" t="e">
        <f>+VLOOKUP($E220,Primary!$1:$1048576,AG$2,FALSE)</f>
        <v>#N/A</v>
      </c>
      <c r="AH220" s="73" t="e">
        <f>+VLOOKUP($E220,Primary!$1:$1048576,AH$2,FALSE)</f>
        <v>#N/A</v>
      </c>
      <c r="AI220" s="73" t="e">
        <f>+VLOOKUP($E220,Primary!$1:$1048576,AI$2,FALSE)</f>
        <v>#N/A</v>
      </c>
      <c r="AJ220" s="73" t="e">
        <f>+VLOOKUP($E220,Primary!$1:$1048576,AJ$2,FALSE)</f>
        <v>#N/A</v>
      </c>
      <c r="AK220" s="73" t="e">
        <f>+VLOOKUP($E220,Primary!$1:$1048576,AK$2,FALSE)</f>
        <v>#N/A</v>
      </c>
      <c r="AL220" s="73" t="e">
        <f>+VLOOKUP($E220,Primary!$1:$1048576,AL$2,FALSE)</f>
        <v>#N/A</v>
      </c>
      <c r="AM220" s="73" t="e">
        <f>+VLOOKUP($E220,Primary!$1:$1048576,AM$2,FALSE)</f>
        <v>#N/A</v>
      </c>
      <c r="AN220" s="73" t="e">
        <f>+VLOOKUP($E220,Primary!$1:$1048576,AN$2,FALSE)</f>
        <v>#N/A</v>
      </c>
      <c r="AO220" s="73" t="e">
        <f>+VLOOKUP($E220,Primary!$1:$1048576,AO$2,FALSE)</f>
        <v>#N/A</v>
      </c>
      <c r="AP220" s="73"/>
      <c r="AQ220" s="73"/>
    </row>
    <row r="221" spans="1:43" s="73" customFormat="1" ht="15" customHeight="1" x14ac:dyDescent="0.25">
      <c r="A221" s="324"/>
      <c r="B221" s="325"/>
      <c r="C221" s="134"/>
      <c r="D221" s="86" t="s">
        <v>568</v>
      </c>
      <c r="E221" s="84" t="s">
        <v>577</v>
      </c>
      <c r="F221" s="73">
        <f>+VLOOKUP($E221,Primary!$1:$1048576,F$2,FALSE)</f>
        <v>0.52361599999999997</v>
      </c>
      <c r="G221" s="73">
        <f>+VLOOKUP($E221,Primary!$1:$1048576,G$2,FALSE)</f>
        <v>0.52397990019999996</v>
      </c>
      <c r="H221" s="73">
        <f>+VLOOKUP($E221,Primary!$1:$1048576,H$2,FALSE)</f>
        <v>0.52219846820000004</v>
      </c>
      <c r="I221" s="73">
        <f>+VLOOKUP($E221,Primary!$1:$1048576,I$2,FALSE)</f>
        <v>0.51957232269999998</v>
      </c>
      <c r="J221" s="73">
        <f>+VLOOKUP($E221,Primary!$1:$1048576,J$2,FALSE)</f>
        <v>0.51650193960000002</v>
      </c>
      <c r="K221" s="73">
        <f>+VLOOKUP($E221,Primary!$1:$1048576,K$2,FALSE)</f>
        <v>0.51303778170000003</v>
      </c>
      <c r="L221" s="73">
        <f>+VLOOKUP($E221,Primary!$1:$1048576,L$2,FALSE)</f>
        <v>0.50962028169999996</v>
      </c>
      <c r="M221" s="73">
        <f>+VLOOKUP($E221,Primary!$1:$1048576,M$2,FALSE)</f>
        <v>0.50673539339999996</v>
      </c>
      <c r="N221" s="73">
        <f>+VLOOKUP($E221,Primary!$1:$1048576,N$2,FALSE)</f>
        <v>0.50434295740000001</v>
      </c>
      <c r="O221" s="73">
        <f>+VLOOKUP($E221,Primary!$1:$1048576,O$2,FALSE)</f>
        <v>0.50224700840000003</v>
      </c>
      <c r="P221" s="73">
        <f>+VLOOKUP($E221,Primary!$1:$1048576,P$2,FALSE)</f>
        <v>0.50023958749999997</v>
      </c>
      <c r="Q221" s="73">
        <f>+VLOOKUP($E221,Primary!$1:$1048576,Q$2,FALSE)</f>
        <v>0.49815258690000003</v>
      </c>
      <c r="R221" s="73">
        <f>+VLOOKUP($E221,Primary!$1:$1048576,R$2,FALSE)</f>
        <v>0.49587341260000001</v>
      </c>
      <c r="S221" s="73">
        <f>+VLOOKUP($E221,Primary!$1:$1048576,S$2,FALSE)</f>
        <v>0.4933469473</v>
      </c>
      <c r="T221" s="73">
        <f>+VLOOKUP($E221,Primary!$1:$1048576,T$2,FALSE)</f>
        <v>0.49057199270000001</v>
      </c>
      <c r="U221" s="73">
        <f>+VLOOKUP($E221,Primary!$1:$1048576,U$2,FALSE)</f>
        <v>0.48759456309999999</v>
      </c>
      <c r="V221" s="73">
        <f>+VLOOKUP($E221,Primary!$1:$1048576,V$2,FALSE)</f>
        <v>0.48471348460000002</v>
      </c>
      <c r="W221" s="73">
        <f>+VLOOKUP($E221,Primary!$1:$1048576,W$2,FALSE)</f>
        <v>0.48226021679999997</v>
      </c>
      <c r="X221" s="73">
        <f>+VLOOKUP($E221,Primary!$1:$1048576,X$2,FALSE)</f>
        <v>0.48030588740000002</v>
      </c>
      <c r="Y221" s="73">
        <f>+VLOOKUP($E221,Primary!$1:$1048576,Y$2,FALSE)</f>
        <v>0.47882442549999998</v>
      </c>
      <c r="Z221" s="73">
        <f>+VLOOKUP($E221,Primary!$1:$1048576,Z$2,FALSE)</f>
        <v>0.47776051419999999</v>
      </c>
      <c r="AA221" s="73">
        <f>+VLOOKUP($E221,Primary!$1:$1048576,AA$2,FALSE)</f>
        <v>0.47705670979999998</v>
      </c>
      <c r="AB221" s="73">
        <f>+VLOOKUP($E221,Primary!$1:$1048576,AB$2,FALSE)</f>
        <v>0.47666291589999998</v>
      </c>
      <c r="AC221" s="73">
        <f>+VLOOKUP($E221,Primary!$1:$1048576,AC$2,FALSE)</f>
        <v>0.47653849180000002</v>
      </c>
      <c r="AD221" s="73">
        <f>+VLOOKUP($E221,Primary!$1:$1048576,AD$2,FALSE)</f>
        <v>0.4766515529</v>
      </c>
      <c r="AE221" s="73">
        <f>+VLOOKUP($E221,Primary!$1:$1048576,AE$2,FALSE)</f>
        <v>0.47697743419999999</v>
      </c>
      <c r="AF221" s="73">
        <f>+VLOOKUP($E221,Primary!$1:$1048576,AF$2,FALSE)</f>
        <v>0.47749711610000001</v>
      </c>
      <c r="AG221" s="73">
        <f>+VLOOKUP($E221,Primary!$1:$1048576,AG$2,FALSE)</f>
        <v>0.47819588699999999</v>
      </c>
      <c r="AH221" s="73">
        <f>+VLOOKUP($E221,Primary!$1:$1048576,AH$2,FALSE)</f>
        <v>0.47906229360000002</v>
      </c>
      <c r="AI221" s="73">
        <f>+VLOOKUP($E221,Primary!$1:$1048576,AI$2,FALSE)</f>
        <v>0.48008734530000002</v>
      </c>
      <c r="AJ221" s="73">
        <f>+VLOOKUP($E221,Primary!$1:$1048576,AJ$2,FALSE)</f>
        <v>0.48126392359999998</v>
      </c>
      <c r="AK221" s="73">
        <f>+VLOOKUP($E221,Primary!$1:$1048576,AK$2,FALSE)</f>
        <v>0.48258633490000002</v>
      </c>
      <c r="AL221" s="73">
        <f>+VLOOKUP($E221,Primary!$1:$1048576,AL$2,FALSE)</f>
        <v>0.48404997109999998</v>
      </c>
      <c r="AM221" s="73">
        <f>+VLOOKUP($E221,Primary!$1:$1048576,AM$2,FALSE)</f>
        <v>0.48565104399999998</v>
      </c>
      <c r="AN221" s="73">
        <f>+VLOOKUP($E221,Primary!$1:$1048576,AN$2,FALSE)</f>
        <v>0.48738637010000002</v>
      </c>
      <c r="AO221" s="73">
        <f>+VLOOKUP($E221,Primary!$1:$1048576,AO$2,FALSE)</f>
        <v>0.48925319319999999</v>
      </c>
    </row>
    <row r="222" spans="1:43" s="73" customFormat="1" ht="15" customHeight="1" x14ac:dyDescent="0.25">
      <c r="A222" s="324"/>
      <c r="B222" s="325"/>
      <c r="C222" s="134"/>
      <c r="D222" s="86" t="s">
        <v>569</v>
      </c>
      <c r="E222" s="84" t="s">
        <v>578</v>
      </c>
      <c r="F222" s="73">
        <f>+VLOOKUP($E222,Primary!$1:$1048576,F$2,FALSE)</f>
        <v>0.72579400000000005</v>
      </c>
      <c r="G222" s="73">
        <f>+VLOOKUP($E222,Primary!$1:$1048576,G$2,FALSE)</f>
        <v>0.72629840889999997</v>
      </c>
      <c r="H222" s="73">
        <f>+VLOOKUP($E222,Primary!$1:$1048576,H$2,FALSE)</f>
        <v>0.72382913250000003</v>
      </c>
      <c r="I222" s="73">
        <f>+VLOOKUP($E222,Primary!$1:$1048576,I$2,FALSE)</f>
        <v>0.72018898279999999</v>
      </c>
      <c r="J222" s="73">
        <f>+VLOOKUP($E222,Primary!$1:$1048576,J$2,FALSE)</f>
        <v>0.71593306690000003</v>
      </c>
      <c r="K222" s="73">
        <f>+VLOOKUP($E222,Primary!$1:$1048576,K$2,FALSE)</f>
        <v>0.71113133230000003</v>
      </c>
      <c r="L222" s="73">
        <f>+VLOOKUP($E222,Primary!$1:$1048576,L$2,FALSE)</f>
        <v>0.70639427119999998</v>
      </c>
      <c r="M222" s="73">
        <f>+VLOOKUP($E222,Primary!$1:$1048576,M$2,FALSE)</f>
        <v>0.70239547319999995</v>
      </c>
      <c r="N222" s="73">
        <f>+VLOOKUP($E222,Primary!$1:$1048576,N$2,FALSE)</f>
        <v>0.69907927270000003</v>
      </c>
      <c r="O222" s="73">
        <f>+VLOOKUP($E222,Primary!$1:$1048576,O$2,FALSE)</f>
        <v>0.69617403820000001</v>
      </c>
      <c r="P222" s="73">
        <f>+VLOOKUP($E222,Primary!$1:$1048576,P$2,FALSE)</f>
        <v>0.69339151440000002</v>
      </c>
      <c r="Q222" s="73">
        <f>+VLOOKUP($E222,Primary!$1:$1048576,Q$2,FALSE)</f>
        <v>0.69049868339999998</v>
      </c>
      <c r="R222" s="73">
        <f>+VLOOKUP($E222,Primary!$1:$1048576,R$2,FALSE)</f>
        <v>0.68733947699999998</v>
      </c>
      <c r="S222" s="73">
        <f>+VLOOKUP($E222,Primary!$1:$1048576,S$2,FALSE)</f>
        <v>0.68383749589999998</v>
      </c>
      <c r="T222" s="73">
        <f>+VLOOKUP($E222,Primary!$1:$1048576,T$2,FALSE)</f>
        <v>0.67999107910000001</v>
      </c>
      <c r="U222" s="73">
        <f>+VLOOKUP($E222,Primary!$1:$1048576,U$2,FALSE)</f>
        <v>0.6758640078</v>
      </c>
      <c r="V222" s="73">
        <f>+VLOOKUP($E222,Primary!$1:$1048576,V$2,FALSE)</f>
        <v>0.67187049060000004</v>
      </c>
      <c r="W222" s="73">
        <f>+VLOOKUP($E222,Primary!$1:$1048576,W$2,FALSE)</f>
        <v>0.66846996989999996</v>
      </c>
      <c r="X222" s="73">
        <f>+VLOOKUP($E222,Primary!$1:$1048576,X$2,FALSE)</f>
        <v>0.66576103720000002</v>
      </c>
      <c r="Y222" s="73">
        <f>+VLOOKUP($E222,Primary!$1:$1048576,Y$2,FALSE)</f>
        <v>0.6637075549</v>
      </c>
      <c r="Z222" s="73">
        <f>+VLOOKUP($E222,Primary!$1:$1048576,Z$2,FALSE)</f>
        <v>0.6622328475</v>
      </c>
      <c r="AA222" s="73">
        <f>+VLOOKUP($E222,Primary!$1:$1048576,AA$2,FALSE)</f>
        <v>0.66125729089999996</v>
      </c>
      <c r="AB222" s="73">
        <f>+VLOOKUP($E222,Primary!$1:$1048576,AB$2,FALSE)</f>
        <v>0.66071144569999996</v>
      </c>
      <c r="AC222" s="73">
        <f>+VLOOKUP($E222,Primary!$1:$1048576,AC$2,FALSE)</f>
        <v>0.66053897910000003</v>
      </c>
      <c r="AD222" s="73">
        <f>+VLOOKUP($E222,Primary!$1:$1048576,AD$2,FALSE)</f>
        <v>0.66069569530000005</v>
      </c>
      <c r="AE222" s="73">
        <f>+VLOOKUP($E222,Primary!$1:$1048576,AE$2,FALSE)</f>
        <v>0.66114740549999995</v>
      </c>
      <c r="AF222" s="73">
        <f>+VLOOKUP($E222,Primary!$1:$1048576,AF$2,FALSE)</f>
        <v>0.66186774640000001</v>
      </c>
      <c r="AG222" s="73">
        <f>+VLOOKUP($E222,Primary!$1:$1048576,AG$2,FALSE)</f>
        <v>0.66283632579999996</v>
      </c>
      <c r="AH222" s="73">
        <f>+VLOOKUP($E222,Primary!$1:$1048576,AH$2,FALSE)</f>
        <v>0.66403726829999998</v>
      </c>
      <c r="AI222" s="73">
        <f>+VLOOKUP($E222,Primary!$1:$1048576,AI$2,FALSE)</f>
        <v>0.66545811180000003</v>
      </c>
      <c r="AJ222" s="73">
        <f>+VLOOKUP($E222,Primary!$1:$1048576,AJ$2,FALSE)</f>
        <v>0.66708898920000004</v>
      </c>
      <c r="AK222" s="73">
        <f>+VLOOKUP($E222,Primary!$1:$1048576,AK$2,FALSE)</f>
        <v>0.66892200830000004</v>
      </c>
      <c r="AL222" s="73">
        <f>+VLOOKUP($E222,Primary!$1:$1048576,AL$2,FALSE)</f>
        <v>0.67095078210000003</v>
      </c>
      <c r="AM222" s="73">
        <f>+VLOOKUP($E222,Primary!$1:$1048576,AM$2,FALSE)</f>
        <v>0.67317005939999996</v>
      </c>
      <c r="AN222" s="73">
        <f>+VLOOKUP($E222,Primary!$1:$1048576,AN$2,FALSE)</f>
        <v>0.6755754276</v>
      </c>
      <c r="AO222" s="73">
        <f>+VLOOKUP($E222,Primary!$1:$1048576,AO$2,FALSE)</f>
        <v>0.6781630662</v>
      </c>
    </row>
    <row r="223" spans="1:43" s="111" customFormat="1" ht="15" customHeight="1" x14ac:dyDescent="0.25">
      <c r="A223" s="324"/>
      <c r="B223" s="325"/>
      <c r="C223" s="134" t="s">
        <v>564</v>
      </c>
      <c r="D223" s="112"/>
      <c r="E223" s="87" t="s">
        <v>593</v>
      </c>
      <c r="F223" s="73">
        <f>+VLOOKUP($E223,Primary!$1:$1048576,F$2,FALSE)</f>
        <v>57.462232999999998</v>
      </c>
      <c r="G223" s="73">
        <f>+VLOOKUP($E223,Primary!$1:$1048576,G$2,FALSE)</f>
        <v>57.898495699999998</v>
      </c>
      <c r="H223" s="73">
        <f>+VLOOKUP($E223,Primary!$1:$1048576,H$2,FALSE)</f>
        <v>58.243047019999999</v>
      </c>
      <c r="I223" s="73">
        <f>+VLOOKUP($E223,Primary!$1:$1048576,I$2,FALSE)</f>
        <v>58.562862760000002</v>
      </c>
      <c r="J223" s="73">
        <f>+VLOOKUP($E223,Primary!$1:$1048576,J$2,FALSE)</f>
        <v>58.886380389999999</v>
      </c>
      <c r="K223" s="73">
        <f>+VLOOKUP($E223,Primary!$1:$1048576,K$2,FALSE)</f>
        <v>59.22279391</v>
      </c>
      <c r="L223" s="73">
        <f>+VLOOKUP($E223,Primary!$1:$1048576,L$2,FALSE)</f>
        <v>59.569532440000003</v>
      </c>
      <c r="M223" s="73">
        <f>+VLOOKUP($E223,Primary!$1:$1048576,M$2,FALSE)</f>
        <v>59.922402239999997</v>
      </c>
      <c r="N223" s="73">
        <f>+VLOOKUP($E223,Primary!$1:$1048576,N$2,FALSE)</f>
        <v>60.282005140000003</v>
      </c>
      <c r="O223" s="73">
        <f>+VLOOKUP($E223,Primary!$1:$1048576,O$2,FALSE)</f>
        <v>60.649574110000003</v>
      </c>
      <c r="P223" s="73">
        <f>+VLOOKUP($E223,Primary!$1:$1048576,P$2,FALSE)</f>
        <v>61.025720649999997</v>
      </c>
      <c r="Q223" s="73">
        <f>+VLOOKUP($E223,Primary!$1:$1048576,Q$2,FALSE)</f>
        <v>61.410175160000001</v>
      </c>
      <c r="R223" s="73">
        <f>+VLOOKUP($E223,Primary!$1:$1048576,R$2,FALSE)</f>
        <v>61.801853360000003</v>
      </c>
      <c r="S223" s="73">
        <f>+VLOOKUP($E223,Primary!$1:$1048576,S$2,FALSE)</f>
        <v>62.199005409999998</v>
      </c>
      <c r="T223" s="73">
        <f>+VLOOKUP($E223,Primary!$1:$1048576,T$2,FALSE)</f>
        <v>62.599366860000003</v>
      </c>
      <c r="U223" s="73">
        <f>+VLOOKUP($E223,Primary!$1:$1048576,U$2,FALSE)</f>
        <v>63.000296030000001</v>
      </c>
      <c r="V223" s="73">
        <f>+VLOOKUP($E223,Primary!$1:$1048576,V$2,FALSE)</f>
        <v>63.39725524</v>
      </c>
      <c r="W223" s="73">
        <f>+VLOOKUP($E223,Primary!$1:$1048576,W$2,FALSE)</f>
        <v>63.787277520000004</v>
      </c>
      <c r="X223" s="73">
        <f>+VLOOKUP($E223,Primary!$1:$1048576,X$2,FALSE)</f>
        <v>64.171804609999995</v>
      </c>
      <c r="Y223" s="73">
        <f>+VLOOKUP($E223,Primary!$1:$1048576,Y$2,FALSE)</f>
        <v>64.553488130000005</v>
      </c>
      <c r="Z223" s="73">
        <f>+VLOOKUP($E223,Primary!$1:$1048576,Z$2,FALSE)</f>
        <v>64.935102610000001</v>
      </c>
      <c r="AA223" s="73">
        <f>+VLOOKUP($E223,Primary!$1:$1048576,AA$2,FALSE)</f>
        <v>65.319218090000007</v>
      </c>
      <c r="AB223" s="73">
        <f>+VLOOKUP($E223,Primary!$1:$1048576,AB$2,FALSE)</f>
        <v>65.708153069999994</v>
      </c>
      <c r="AC223" s="73">
        <f>+VLOOKUP($E223,Primary!$1:$1048576,AC$2,FALSE)</f>
        <v>66.104022270000002</v>
      </c>
      <c r="AD223" s="73">
        <f>+VLOOKUP($E223,Primary!$1:$1048576,AD$2,FALSE)</f>
        <v>66.508806309999997</v>
      </c>
      <c r="AE223" s="73">
        <f>+VLOOKUP($E223,Primary!$1:$1048576,AE$2,FALSE)</f>
        <v>66.924416269999995</v>
      </c>
      <c r="AF223" s="73">
        <f>+VLOOKUP($E223,Primary!$1:$1048576,AF$2,FALSE)</f>
        <v>67.352744349999995</v>
      </c>
      <c r="AG223" s="73">
        <f>+VLOOKUP($E223,Primary!$1:$1048576,AG$2,FALSE)</f>
        <v>67.795699470000002</v>
      </c>
      <c r="AH223" s="73">
        <f>+VLOOKUP($E223,Primary!$1:$1048576,AH$2,FALSE)</f>
        <v>68.255228590000002</v>
      </c>
      <c r="AI223" s="73">
        <f>+VLOOKUP($E223,Primary!$1:$1048576,AI$2,FALSE)</f>
        <v>68.733325300000004</v>
      </c>
      <c r="AJ223" s="73">
        <f>+VLOOKUP($E223,Primary!$1:$1048576,AJ$2,FALSE)</f>
        <v>69.232026869999999</v>
      </c>
      <c r="AK223" s="73">
        <f>+VLOOKUP($E223,Primary!$1:$1048576,AK$2,FALSE)</f>
        <v>69.753400799999994</v>
      </c>
      <c r="AL223" s="73">
        <f>+VLOOKUP($E223,Primary!$1:$1048576,AL$2,FALSE)</f>
        <v>70.299521659999996</v>
      </c>
      <c r="AM223" s="73">
        <f>+VLOOKUP($E223,Primary!$1:$1048576,AM$2,FALSE)</f>
        <v>70.872439249999999</v>
      </c>
      <c r="AN223" s="73">
        <f>+VLOOKUP($E223,Primary!$1:$1048576,AN$2,FALSE)</f>
        <v>71.474138870000004</v>
      </c>
      <c r="AO223" s="73">
        <f>+VLOOKUP($E223,Primary!$1:$1048576,AO$2,FALSE)</f>
        <v>72.106495219999999</v>
      </c>
      <c r="AP223" s="73"/>
      <c r="AQ223" s="73"/>
    </row>
    <row r="224" spans="1:43" s="73" customFormat="1" ht="15" customHeight="1" x14ac:dyDescent="0.25">
      <c r="A224" s="324"/>
      <c r="B224" s="325"/>
      <c r="C224" s="134"/>
      <c r="D224" s="86" t="s">
        <v>172</v>
      </c>
      <c r="E224" s="84" t="s">
        <v>579</v>
      </c>
      <c r="F224" s="73" t="e">
        <f>+VLOOKUP($E224,Primary!$1:$1048576,F$2,FALSE)</f>
        <v>#N/A</v>
      </c>
      <c r="G224" s="73" t="e">
        <f>+VLOOKUP($E224,Primary!$1:$1048576,G$2,FALSE)</f>
        <v>#N/A</v>
      </c>
      <c r="H224" s="73" t="e">
        <f>+VLOOKUP($E224,Primary!$1:$1048576,H$2,FALSE)</f>
        <v>#N/A</v>
      </c>
      <c r="I224" s="73" t="e">
        <f>+VLOOKUP($E224,Primary!$1:$1048576,I$2,FALSE)</f>
        <v>#N/A</v>
      </c>
      <c r="J224" s="73" t="e">
        <f>+VLOOKUP($E224,Primary!$1:$1048576,J$2,FALSE)</f>
        <v>#N/A</v>
      </c>
      <c r="K224" s="73" t="e">
        <f>+VLOOKUP($E224,Primary!$1:$1048576,K$2,FALSE)</f>
        <v>#N/A</v>
      </c>
      <c r="L224" s="73" t="e">
        <f>+VLOOKUP($E224,Primary!$1:$1048576,L$2,FALSE)</f>
        <v>#N/A</v>
      </c>
      <c r="M224" s="73" t="e">
        <f>+VLOOKUP($E224,Primary!$1:$1048576,M$2,FALSE)</f>
        <v>#N/A</v>
      </c>
      <c r="N224" s="73" t="e">
        <f>+VLOOKUP($E224,Primary!$1:$1048576,N$2,FALSE)</f>
        <v>#N/A</v>
      </c>
      <c r="O224" s="73" t="e">
        <f>+VLOOKUP($E224,Primary!$1:$1048576,O$2,FALSE)</f>
        <v>#N/A</v>
      </c>
      <c r="P224" s="73" t="e">
        <f>+VLOOKUP($E224,Primary!$1:$1048576,P$2,FALSE)</f>
        <v>#N/A</v>
      </c>
      <c r="Q224" s="73" t="e">
        <f>+VLOOKUP($E224,Primary!$1:$1048576,Q$2,FALSE)</f>
        <v>#N/A</v>
      </c>
      <c r="R224" s="73" t="e">
        <f>+VLOOKUP($E224,Primary!$1:$1048576,R$2,FALSE)</f>
        <v>#N/A</v>
      </c>
      <c r="S224" s="73" t="e">
        <f>+VLOOKUP($E224,Primary!$1:$1048576,S$2,FALSE)</f>
        <v>#N/A</v>
      </c>
      <c r="T224" s="73" t="e">
        <f>+VLOOKUP($E224,Primary!$1:$1048576,T$2,FALSE)</f>
        <v>#N/A</v>
      </c>
      <c r="U224" s="73" t="e">
        <f>+VLOOKUP($E224,Primary!$1:$1048576,U$2,FALSE)</f>
        <v>#N/A</v>
      </c>
      <c r="V224" s="73" t="e">
        <f>+VLOOKUP($E224,Primary!$1:$1048576,V$2,FALSE)</f>
        <v>#N/A</v>
      </c>
      <c r="W224" s="73" t="e">
        <f>+VLOOKUP($E224,Primary!$1:$1048576,W$2,FALSE)</f>
        <v>#N/A</v>
      </c>
      <c r="X224" s="73" t="e">
        <f>+VLOOKUP($E224,Primary!$1:$1048576,X$2,FALSE)</f>
        <v>#N/A</v>
      </c>
      <c r="Y224" s="73" t="e">
        <f>+VLOOKUP($E224,Primary!$1:$1048576,Y$2,FALSE)</f>
        <v>#N/A</v>
      </c>
      <c r="Z224" s="73" t="e">
        <f>+VLOOKUP($E224,Primary!$1:$1048576,Z$2,FALSE)</f>
        <v>#N/A</v>
      </c>
      <c r="AA224" s="73" t="e">
        <f>+VLOOKUP($E224,Primary!$1:$1048576,AA$2,FALSE)</f>
        <v>#N/A</v>
      </c>
      <c r="AB224" s="73" t="e">
        <f>+VLOOKUP($E224,Primary!$1:$1048576,AB$2,FALSE)</f>
        <v>#N/A</v>
      </c>
      <c r="AC224" s="73" t="e">
        <f>+VLOOKUP($E224,Primary!$1:$1048576,AC$2,FALSE)</f>
        <v>#N/A</v>
      </c>
      <c r="AD224" s="73" t="e">
        <f>+VLOOKUP($E224,Primary!$1:$1048576,AD$2,FALSE)</f>
        <v>#N/A</v>
      </c>
      <c r="AE224" s="73" t="e">
        <f>+VLOOKUP($E224,Primary!$1:$1048576,AE$2,FALSE)</f>
        <v>#N/A</v>
      </c>
      <c r="AF224" s="73" t="e">
        <f>+VLOOKUP($E224,Primary!$1:$1048576,AF$2,FALSE)</f>
        <v>#N/A</v>
      </c>
      <c r="AG224" s="73" t="e">
        <f>+VLOOKUP($E224,Primary!$1:$1048576,AG$2,FALSE)</f>
        <v>#N/A</v>
      </c>
      <c r="AH224" s="73" t="e">
        <f>+VLOOKUP($E224,Primary!$1:$1048576,AH$2,FALSE)</f>
        <v>#N/A</v>
      </c>
      <c r="AI224" s="73" t="e">
        <f>+VLOOKUP($E224,Primary!$1:$1048576,AI$2,FALSE)</f>
        <v>#N/A</v>
      </c>
      <c r="AJ224" s="73" t="e">
        <f>+VLOOKUP($E224,Primary!$1:$1048576,AJ$2,FALSE)</f>
        <v>#N/A</v>
      </c>
      <c r="AK224" s="73" t="e">
        <f>+VLOOKUP($E224,Primary!$1:$1048576,AK$2,FALSE)</f>
        <v>#N/A</v>
      </c>
      <c r="AL224" s="73" t="e">
        <f>+VLOOKUP($E224,Primary!$1:$1048576,AL$2,FALSE)</f>
        <v>#N/A</v>
      </c>
      <c r="AM224" s="73" t="e">
        <f>+VLOOKUP($E224,Primary!$1:$1048576,AM$2,FALSE)</f>
        <v>#N/A</v>
      </c>
      <c r="AN224" s="73" t="e">
        <f>+VLOOKUP($E224,Primary!$1:$1048576,AN$2,FALSE)</f>
        <v>#N/A</v>
      </c>
      <c r="AO224" s="73" t="e">
        <f>+VLOOKUP($E224,Primary!$1:$1048576,AO$2,FALSE)</f>
        <v>#N/A</v>
      </c>
    </row>
    <row r="225" spans="1:43" s="73" customFormat="1" ht="15" customHeight="1" x14ac:dyDescent="0.25">
      <c r="A225" s="324"/>
      <c r="B225" s="325"/>
      <c r="C225" s="134"/>
      <c r="D225" s="86" t="s">
        <v>173</v>
      </c>
      <c r="E225" s="84" t="s">
        <v>580</v>
      </c>
      <c r="F225" s="73" t="e">
        <f>+VLOOKUP($E225,Primary!$1:$1048576,F$2,FALSE)</f>
        <v>#N/A</v>
      </c>
      <c r="G225" s="73" t="e">
        <f>+VLOOKUP($E225,Primary!$1:$1048576,G$2,FALSE)</f>
        <v>#N/A</v>
      </c>
      <c r="H225" s="73" t="e">
        <f>+VLOOKUP($E225,Primary!$1:$1048576,H$2,FALSE)</f>
        <v>#N/A</v>
      </c>
      <c r="I225" s="73" t="e">
        <f>+VLOOKUP($E225,Primary!$1:$1048576,I$2,FALSE)</f>
        <v>#N/A</v>
      </c>
      <c r="J225" s="73" t="e">
        <f>+VLOOKUP($E225,Primary!$1:$1048576,J$2,FALSE)</f>
        <v>#N/A</v>
      </c>
      <c r="K225" s="73" t="e">
        <f>+VLOOKUP($E225,Primary!$1:$1048576,K$2,FALSE)</f>
        <v>#N/A</v>
      </c>
      <c r="L225" s="73" t="e">
        <f>+VLOOKUP($E225,Primary!$1:$1048576,L$2,FALSE)</f>
        <v>#N/A</v>
      </c>
      <c r="M225" s="73" t="e">
        <f>+VLOOKUP($E225,Primary!$1:$1048576,M$2,FALSE)</f>
        <v>#N/A</v>
      </c>
      <c r="N225" s="73" t="e">
        <f>+VLOOKUP($E225,Primary!$1:$1048576,N$2,FALSE)</f>
        <v>#N/A</v>
      </c>
      <c r="O225" s="73" t="e">
        <f>+VLOOKUP($E225,Primary!$1:$1048576,O$2,FALSE)</f>
        <v>#N/A</v>
      </c>
      <c r="P225" s="73" t="e">
        <f>+VLOOKUP($E225,Primary!$1:$1048576,P$2,FALSE)</f>
        <v>#N/A</v>
      </c>
      <c r="Q225" s="73" t="e">
        <f>+VLOOKUP($E225,Primary!$1:$1048576,Q$2,FALSE)</f>
        <v>#N/A</v>
      </c>
      <c r="R225" s="73" t="e">
        <f>+VLOOKUP($E225,Primary!$1:$1048576,R$2,FALSE)</f>
        <v>#N/A</v>
      </c>
      <c r="S225" s="73" t="e">
        <f>+VLOOKUP($E225,Primary!$1:$1048576,S$2,FALSE)</f>
        <v>#N/A</v>
      </c>
      <c r="T225" s="73" t="e">
        <f>+VLOOKUP($E225,Primary!$1:$1048576,T$2,FALSE)</f>
        <v>#N/A</v>
      </c>
      <c r="U225" s="73" t="e">
        <f>+VLOOKUP($E225,Primary!$1:$1048576,U$2,FALSE)</f>
        <v>#N/A</v>
      </c>
      <c r="V225" s="73" t="e">
        <f>+VLOOKUP($E225,Primary!$1:$1048576,V$2,FALSE)</f>
        <v>#N/A</v>
      </c>
      <c r="W225" s="73" t="e">
        <f>+VLOOKUP($E225,Primary!$1:$1048576,W$2,FALSE)</f>
        <v>#N/A</v>
      </c>
      <c r="X225" s="73" t="e">
        <f>+VLOOKUP($E225,Primary!$1:$1048576,X$2,FALSE)</f>
        <v>#N/A</v>
      </c>
      <c r="Y225" s="73" t="e">
        <f>+VLOOKUP($E225,Primary!$1:$1048576,Y$2,FALSE)</f>
        <v>#N/A</v>
      </c>
      <c r="Z225" s="73" t="e">
        <f>+VLOOKUP($E225,Primary!$1:$1048576,Z$2,FALSE)</f>
        <v>#N/A</v>
      </c>
      <c r="AA225" s="73" t="e">
        <f>+VLOOKUP($E225,Primary!$1:$1048576,AA$2,FALSE)</f>
        <v>#N/A</v>
      </c>
      <c r="AB225" s="73" t="e">
        <f>+VLOOKUP($E225,Primary!$1:$1048576,AB$2,FALSE)</f>
        <v>#N/A</v>
      </c>
      <c r="AC225" s="73" t="e">
        <f>+VLOOKUP($E225,Primary!$1:$1048576,AC$2,FALSE)</f>
        <v>#N/A</v>
      </c>
      <c r="AD225" s="73" t="e">
        <f>+VLOOKUP($E225,Primary!$1:$1048576,AD$2,FALSE)</f>
        <v>#N/A</v>
      </c>
      <c r="AE225" s="73" t="e">
        <f>+VLOOKUP($E225,Primary!$1:$1048576,AE$2,FALSE)</f>
        <v>#N/A</v>
      </c>
      <c r="AF225" s="73" t="e">
        <f>+VLOOKUP($E225,Primary!$1:$1048576,AF$2,FALSE)</f>
        <v>#N/A</v>
      </c>
      <c r="AG225" s="73" t="e">
        <f>+VLOOKUP($E225,Primary!$1:$1048576,AG$2,FALSE)</f>
        <v>#N/A</v>
      </c>
      <c r="AH225" s="73" t="e">
        <f>+VLOOKUP($E225,Primary!$1:$1048576,AH$2,FALSE)</f>
        <v>#N/A</v>
      </c>
      <c r="AI225" s="73" t="e">
        <f>+VLOOKUP($E225,Primary!$1:$1048576,AI$2,FALSE)</f>
        <v>#N/A</v>
      </c>
      <c r="AJ225" s="73" t="e">
        <f>+VLOOKUP($E225,Primary!$1:$1048576,AJ$2,FALSE)</f>
        <v>#N/A</v>
      </c>
      <c r="AK225" s="73" t="e">
        <f>+VLOOKUP($E225,Primary!$1:$1048576,AK$2,FALSE)</f>
        <v>#N/A</v>
      </c>
      <c r="AL225" s="73" t="e">
        <f>+VLOOKUP($E225,Primary!$1:$1048576,AL$2,FALSE)</f>
        <v>#N/A</v>
      </c>
      <c r="AM225" s="73" t="e">
        <f>+VLOOKUP($E225,Primary!$1:$1048576,AM$2,FALSE)</f>
        <v>#N/A</v>
      </c>
      <c r="AN225" s="73" t="e">
        <f>+VLOOKUP($E225,Primary!$1:$1048576,AN$2,FALSE)</f>
        <v>#N/A</v>
      </c>
      <c r="AO225" s="73" t="e">
        <f>+VLOOKUP($E225,Primary!$1:$1048576,AO$2,FALSE)</f>
        <v>#N/A</v>
      </c>
    </row>
    <row r="226" spans="1:43" s="73" customFormat="1" ht="15" customHeight="1" x14ac:dyDescent="0.25">
      <c r="A226" s="324"/>
      <c r="B226" s="325"/>
      <c r="C226" s="134"/>
      <c r="D226" s="86" t="s">
        <v>174</v>
      </c>
      <c r="E226" s="84" t="s">
        <v>581</v>
      </c>
      <c r="F226" s="73" t="e">
        <f>+VLOOKUP($E226,Primary!$1:$1048576,F$2,FALSE)</f>
        <v>#N/A</v>
      </c>
      <c r="G226" s="73" t="e">
        <f>+VLOOKUP($E226,Primary!$1:$1048576,G$2,FALSE)</f>
        <v>#N/A</v>
      </c>
      <c r="H226" s="73" t="e">
        <f>+VLOOKUP($E226,Primary!$1:$1048576,H$2,FALSE)</f>
        <v>#N/A</v>
      </c>
      <c r="I226" s="73" t="e">
        <f>+VLOOKUP($E226,Primary!$1:$1048576,I$2,FALSE)</f>
        <v>#N/A</v>
      </c>
      <c r="J226" s="73" t="e">
        <f>+VLOOKUP($E226,Primary!$1:$1048576,J$2,FALSE)</f>
        <v>#N/A</v>
      </c>
      <c r="K226" s="73" t="e">
        <f>+VLOOKUP($E226,Primary!$1:$1048576,K$2,FALSE)</f>
        <v>#N/A</v>
      </c>
      <c r="L226" s="73" t="e">
        <f>+VLOOKUP($E226,Primary!$1:$1048576,L$2,FALSE)</f>
        <v>#N/A</v>
      </c>
      <c r="M226" s="73" t="e">
        <f>+VLOOKUP($E226,Primary!$1:$1048576,M$2,FALSE)</f>
        <v>#N/A</v>
      </c>
      <c r="N226" s="73" t="e">
        <f>+VLOOKUP($E226,Primary!$1:$1048576,N$2,FALSE)</f>
        <v>#N/A</v>
      </c>
      <c r="O226" s="73" t="e">
        <f>+VLOOKUP($E226,Primary!$1:$1048576,O$2,FALSE)</f>
        <v>#N/A</v>
      </c>
      <c r="P226" s="73" t="e">
        <f>+VLOOKUP($E226,Primary!$1:$1048576,P$2,FALSE)</f>
        <v>#N/A</v>
      </c>
      <c r="Q226" s="73" t="e">
        <f>+VLOOKUP($E226,Primary!$1:$1048576,Q$2,FALSE)</f>
        <v>#N/A</v>
      </c>
      <c r="R226" s="73" t="e">
        <f>+VLOOKUP($E226,Primary!$1:$1048576,R$2,FALSE)</f>
        <v>#N/A</v>
      </c>
      <c r="S226" s="73" t="e">
        <f>+VLOOKUP($E226,Primary!$1:$1048576,S$2,FALSE)</f>
        <v>#N/A</v>
      </c>
      <c r="T226" s="73" t="e">
        <f>+VLOOKUP($E226,Primary!$1:$1048576,T$2,FALSE)</f>
        <v>#N/A</v>
      </c>
      <c r="U226" s="73" t="e">
        <f>+VLOOKUP($E226,Primary!$1:$1048576,U$2,FALSE)</f>
        <v>#N/A</v>
      </c>
      <c r="V226" s="73" t="e">
        <f>+VLOOKUP($E226,Primary!$1:$1048576,V$2,FALSE)</f>
        <v>#N/A</v>
      </c>
      <c r="W226" s="73" t="e">
        <f>+VLOOKUP($E226,Primary!$1:$1048576,W$2,FALSE)</f>
        <v>#N/A</v>
      </c>
      <c r="X226" s="73" t="e">
        <f>+VLOOKUP($E226,Primary!$1:$1048576,X$2,FALSE)</f>
        <v>#N/A</v>
      </c>
      <c r="Y226" s="73" t="e">
        <f>+VLOOKUP($E226,Primary!$1:$1048576,Y$2,FALSE)</f>
        <v>#N/A</v>
      </c>
      <c r="Z226" s="73" t="e">
        <f>+VLOOKUP($E226,Primary!$1:$1048576,Z$2,FALSE)</f>
        <v>#N/A</v>
      </c>
      <c r="AA226" s="73" t="e">
        <f>+VLOOKUP($E226,Primary!$1:$1048576,AA$2,FALSE)</f>
        <v>#N/A</v>
      </c>
      <c r="AB226" s="73" t="e">
        <f>+VLOOKUP($E226,Primary!$1:$1048576,AB$2,FALSE)</f>
        <v>#N/A</v>
      </c>
      <c r="AC226" s="73" t="e">
        <f>+VLOOKUP($E226,Primary!$1:$1048576,AC$2,FALSE)</f>
        <v>#N/A</v>
      </c>
      <c r="AD226" s="73" t="e">
        <f>+VLOOKUP($E226,Primary!$1:$1048576,AD$2,FALSE)</f>
        <v>#N/A</v>
      </c>
      <c r="AE226" s="73" t="e">
        <f>+VLOOKUP($E226,Primary!$1:$1048576,AE$2,FALSE)</f>
        <v>#N/A</v>
      </c>
      <c r="AF226" s="73" t="e">
        <f>+VLOOKUP($E226,Primary!$1:$1048576,AF$2,FALSE)</f>
        <v>#N/A</v>
      </c>
      <c r="AG226" s="73" t="e">
        <f>+VLOOKUP($E226,Primary!$1:$1048576,AG$2,FALSE)</f>
        <v>#N/A</v>
      </c>
      <c r="AH226" s="73" t="e">
        <f>+VLOOKUP($E226,Primary!$1:$1048576,AH$2,FALSE)</f>
        <v>#N/A</v>
      </c>
      <c r="AI226" s="73" t="e">
        <f>+VLOOKUP($E226,Primary!$1:$1048576,AI$2,FALSE)</f>
        <v>#N/A</v>
      </c>
      <c r="AJ226" s="73" t="e">
        <f>+VLOOKUP($E226,Primary!$1:$1048576,AJ$2,FALSE)</f>
        <v>#N/A</v>
      </c>
      <c r="AK226" s="73" t="e">
        <f>+VLOOKUP($E226,Primary!$1:$1048576,AK$2,FALSE)</f>
        <v>#N/A</v>
      </c>
      <c r="AL226" s="73" t="e">
        <f>+VLOOKUP($E226,Primary!$1:$1048576,AL$2,FALSE)</f>
        <v>#N/A</v>
      </c>
      <c r="AM226" s="73" t="e">
        <f>+VLOOKUP($E226,Primary!$1:$1048576,AM$2,FALSE)</f>
        <v>#N/A</v>
      </c>
      <c r="AN226" s="73" t="e">
        <f>+VLOOKUP($E226,Primary!$1:$1048576,AN$2,FALSE)</f>
        <v>#N/A</v>
      </c>
      <c r="AO226" s="73" t="e">
        <f>+VLOOKUP($E226,Primary!$1:$1048576,AO$2,FALSE)</f>
        <v>#N/A</v>
      </c>
    </row>
    <row r="227" spans="1:43" s="73" customFormat="1" ht="15" customHeight="1" x14ac:dyDescent="0.25">
      <c r="A227" s="324"/>
      <c r="B227" s="325"/>
      <c r="C227" s="134"/>
      <c r="D227" s="86" t="s">
        <v>175</v>
      </c>
      <c r="E227" s="84" t="s">
        <v>582</v>
      </c>
      <c r="F227" s="73" t="e">
        <f>+VLOOKUP($E227,Primary!$1:$1048576,F$2,FALSE)</f>
        <v>#N/A</v>
      </c>
      <c r="G227" s="73" t="e">
        <f>+VLOOKUP($E227,Primary!$1:$1048576,G$2,FALSE)</f>
        <v>#N/A</v>
      </c>
      <c r="H227" s="73" t="e">
        <f>+VLOOKUP($E227,Primary!$1:$1048576,H$2,FALSE)</f>
        <v>#N/A</v>
      </c>
      <c r="I227" s="73" t="e">
        <f>+VLOOKUP($E227,Primary!$1:$1048576,I$2,FALSE)</f>
        <v>#N/A</v>
      </c>
      <c r="J227" s="73" t="e">
        <f>+VLOOKUP($E227,Primary!$1:$1048576,J$2,FALSE)</f>
        <v>#N/A</v>
      </c>
      <c r="K227" s="73" t="e">
        <f>+VLOOKUP($E227,Primary!$1:$1048576,K$2,FALSE)</f>
        <v>#N/A</v>
      </c>
      <c r="L227" s="73" t="e">
        <f>+VLOOKUP($E227,Primary!$1:$1048576,L$2,FALSE)</f>
        <v>#N/A</v>
      </c>
      <c r="M227" s="73" t="e">
        <f>+VLOOKUP($E227,Primary!$1:$1048576,M$2,FALSE)</f>
        <v>#N/A</v>
      </c>
      <c r="N227" s="73" t="e">
        <f>+VLOOKUP($E227,Primary!$1:$1048576,N$2,FALSE)</f>
        <v>#N/A</v>
      </c>
      <c r="O227" s="73" t="e">
        <f>+VLOOKUP($E227,Primary!$1:$1048576,O$2,FALSE)</f>
        <v>#N/A</v>
      </c>
      <c r="P227" s="73" t="e">
        <f>+VLOOKUP($E227,Primary!$1:$1048576,P$2,FALSE)</f>
        <v>#N/A</v>
      </c>
      <c r="Q227" s="73" t="e">
        <f>+VLOOKUP($E227,Primary!$1:$1048576,Q$2,FALSE)</f>
        <v>#N/A</v>
      </c>
      <c r="R227" s="73" t="e">
        <f>+VLOOKUP($E227,Primary!$1:$1048576,R$2,FALSE)</f>
        <v>#N/A</v>
      </c>
      <c r="S227" s="73" t="e">
        <f>+VLOOKUP($E227,Primary!$1:$1048576,S$2,FALSE)</f>
        <v>#N/A</v>
      </c>
      <c r="T227" s="73" t="e">
        <f>+VLOOKUP($E227,Primary!$1:$1048576,T$2,FALSE)</f>
        <v>#N/A</v>
      </c>
      <c r="U227" s="73" t="e">
        <f>+VLOOKUP($E227,Primary!$1:$1048576,U$2,FALSE)</f>
        <v>#N/A</v>
      </c>
      <c r="V227" s="73" t="e">
        <f>+VLOOKUP($E227,Primary!$1:$1048576,V$2,FALSE)</f>
        <v>#N/A</v>
      </c>
      <c r="W227" s="73" t="e">
        <f>+VLOOKUP($E227,Primary!$1:$1048576,W$2,FALSE)</f>
        <v>#N/A</v>
      </c>
      <c r="X227" s="73" t="e">
        <f>+VLOOKUP($E227,Primary!$1:$1048576,X$2,FALSE)</f>
        <v>#N/A</v>
      </c>
      <c r="Y227" s="73" t="e">
        <f>+VLOOKUP($E227,Primary!$1:$1048576,Y$2,FALSE)</f>
        <v>#N/A</v>
      </c>
      <c r="Z227" s="73" t="e">
        <f>+VLOOKUP($E227,Primary!$1:$1048576,Z$2,FALSE)</f>
        <v>#N/A</v>
      </c>
      <c r="AA227" s="73" t="e">
        <f>+VLOOKUP($E227,Primary!$1:$1048576,AA$2,FALSE)</f>
        <v>#N/A</v>
      </c>
      <c r="AB227" s="73" t="e">
        <f>+VLOOKUP($E227,Primary!$1:$1048576,AB$2,FALSE)</f>
        <v>#N/A</v>
      </c>
      <c r="AC227" s="73" t="e">
        <f>+VLOOKUP($E227,Primary!$1:$1048576,AC$2,FALSE)</f>
        <v>#N/A</v>
      </c>
      <c r="AD227" s="73" t="e">
        <f>+VLOOKUP($E227,Primary!$1:$1048576,AD$2,FALSE)</f>
        <v>#N/A</v>
      </c>
      <c r="AE227" s="73" t="e">
        <f>+VLOOKUP($E227,Primary!$1:$1048576,AE$2,FALSE)</f>
        <v>#N/A</v>
      </c>
      <c r="AF227" s="73" t="e">
        <f>+VLOOKUP($E227,Primary!$1:$1048576,AF$2,FALSE)</f>
        <v>#N/A</v>
      </c>
      <c r="AG227" s="73" t="e">
        <f>+VLOOKUP($E227,Primary!$1:$1048576,AG$2,FALSE)</f>
        <v>#N/A</v>
      </c>
      <c r="AH227" s="73" t="e">
        <f>+VLOOKUP($E227,Primary!$1:$1048576,AH$2,FALSE)</f>
        <v>#N/A</v>
      </c>
      <c r="AI227" s="73" t="e">
        <f>+VLOOKUP($E227,Primary!$1:$1048576,AI$2,FALSE)</f>
        <v>#N/A</v>
      </c>
      <c r="AJ227" s="73" t="e">
        <f>+VLOOKUP($E227,Primary!$1:$1048576,AJ$2,FALSE)</f>
        <v>#N/A</v>
      </c>
      <c r="AK227" s="73" t="e">
        <f>+VLOOKUP($E227,Primary!$1:$1048576,AK$2,FALSE)</f>
        <v>#N/A</v>
      </c>
      <c r="AL227" s="73" t="e">
        <f>+VLOOKUP($E227,Primary!$1:$1048576,AL$2,FALSE)</f>
        <v>#N/A</v>
      </c>
      <c r="AM227" s="73" t="e">
        <f>+VLOOKUP($E227,Primary!$1:$1048576,AM$2,FALSE)</f>
        <v>#N/A</v>
      </c>
      <c r="AN227" s="73" t="e">
        <f>+VLOOKUP($E227,Primary!$1:$1048576,AN$2,FALSE)</f>
        <v>#N/A</v>
      </c>
      <c r="AO227" s="73" t="e">
        <f>+VLOOKUP($E227,Primary!$1:$1048576,AO$2,FALSE)</f>
        <v>#N/A</v>
      </c>
    </row>
    <row r="228" spans="1:43" s="73" customFormat="1" ht="15" customHeight="1" x14ac:dyDescent="0.25">
      <c r="A228" s="324"/>
      <c r="B228" s="325"/>
      <c r="C228" s="134"/>
      <c r="D228" s="86" t="s">
        <v>176</v>
      </c>
      <c r="E228" s="84" t="s">
        <v>583</v>
      </c>
      <c r="F228" s="73" t="e">
        <f>+VLOOKUP($E228,Primary!$1:$1048576,F$2,FALSE)</f>
        <v>#N/A</v>
      </c>
      <c r="G228" s="73" t="e">
        <f>+VLOOKUP($E228,Primary!$1:$1048576,G$2,FALSE)</f>
        <v>#N/A</v>
      </c>
      <c r="H228" s="73" t="e">
        <f>+VLOOKUP($E228,Primary!$1:$1048576,H$2,FALSE)</f>
        <v>#N/A</v>
      </c>
      <c r="I228" s="73" t="e">
        <f>+VLOOKUP($E228,Primary!$1:$1048576,I$2,FALSE)</f>
        <v>#N/A</v>
      </c>
      <c r="J228" s="73" t="e">
        <f>+VLOOKUP($E228,Primary!$1:$1048576,J$2,FALSE)</f>
        <v>#N/A</v>
      </c>
      <c r="K228" s="73" t="e">
        <f>+VLOOKUP($E228,Primary!$1:$1048576,K$2,FALSE)</f>
        <v>#N/A</v>
      </c>
      <c r="L228" s="73" t="e">
        <f>+VLOOKUP($E228,Primary!$1:$1048576,L$2,FALSE)</f>
        <v>#N/A</v>
      </c>
      <c r="M228" s="73" t="e">
        <f>+VLOOKUP($E228,Primary!$1:$1048576,M$2,FALSE)</f>
        <v>#N/A</v>
      </c>
      <c r="N228" s="73" t="e">
        <f>+VLOOKUP($E228,Primary!$1:$1048576,N$2,FALSE)</f>
        <v>#N/A</v>
      </c>
      <c r="O228" s="73" t="e">
        <f>+VLOOKUP($E228,Primary!$1:$1048576,O$2,FALSE)</f>
        <v>#N/A</v>
      </c>
      <c r="P228" s="73" t="e">
        <f>+VLOOKUP($E228,Primary!$1:$1048576,P$2,FALSE)</f>
        <v>#N/A</v>
      </c>
      <c r="Q228" s="73" t="e">
        <f>+VLOOKUP($E228,Primary!$1:$1048576,Q$2,FALSE)</f>
        <v>#N/A</v>
      </c>
      <c r="R228" s="73" t="e">
        <f>+VLOOKUP($E228,Primary!$1:$1048576,R$2,FALSE)</f>
        <v>#N/A</v>
      </c>
      <c r="S228" s="73" t="e">
        <f>+VLOOKUP($E228,Primary!$1:$1048576,S$2,FALSE)</f>
        <v>#N/A</v>
      </c>
      <c r="T228" s="73" t="e">
        <f>+VLOOKUP($E228,Primary!$1:$1048576,T$2,FALSE)</f>
        <v>#N/A</v>
      </c>
      <c r="U228" s="73" t="e">
        <f>+VLOOKUP($E228,Primary!$1:$1048576,U$2,FALSE)</f>
        <v>#N/A</v>
      </c>
      <c r="V228" s="73" t="e">
        <f>+VLOOKUP($E228,Primary!$1:$1048576,V$2,FALSE)</f>
        <v>#N/A</v>
      </c>
      <c r="W228" s="73" t="e">
        <f>+VLOOKUP($E228,Primary!$1:$1048576,W$2,FALSE)</f>
        <v>#N/A</v>
      </c>
      <c r="X228" s="73" t="e">
        <f>+VLOOKUP($E228,Primary!$1:$1048576,X$2,FALSE)</f>
        <v>#N/A</v>
      </c>
      <c r="Y228" s="73" t="e">
        <f>+VLOOKUP($E228,Primary!$1:$1048576,Y$2,FALSE)</f>
        <v>#N/A</v>
      </c>
      <c r="Z228" s="73" t="e">
        <f>+VLOOKUP($E228,Primary!$1:$1048576,Z$2,FALSE)</f>
        <v>#N/A</v>
      </c>
      <c r="AA228" s="73" t="e">
        <f>+VLOOKUP($E228,Primary!$1:$1048576,AA$2,FALSE)</f>
        <v>#N/A</v>
      </c>
      <c r="AB228" s="73" t="e">
        <f>+VLOOKUP($E228,Primary!$1:$1048576,AB$2,FALSE)</f>
        <v>#N/A</v>
      </c>
      <c r="AC228" s="73" t="e">
        <f>+VLOOKUP($E228,Primary!$1:$1048576,AC$2,FALSE)</f>
        <v>#N/A</v>
      </c>
      <c r="AD228" s="73" t="e">
        <f>+VLOOKUP($E228,Primary!$1:$1048576,AD$2,FALSE)</f>
        <v>#N/A</v>
      </c>
      <c r="AE228" s="73" t="e">
        <f>+VLOOKUP($E228,Primary!$1:$1048576,AE$2,FALSE)</f>
        <v>#N/A</v>
      </c>
      <c r="AF228" s="73" t="e">
        <f>+VLOOKUP($E228,Primary!$1:$1048576,AF$2,FALSE)</f>
        <v>#N/A</v>
      </c>
      <c r="AG228" s="73" t="e">
        <f>+VLOOKUP($E228,Primary!$1:$1048576,AG$2,FALSE)</f>
        <v>#N/A</v>
      </c>
      <c r="AH228" s="73" t="e">
        <f>+VLOOKUP($E228,Primary!$1:$1048576,AH$2,FALSE)</f>
        <v>#N/A</v>
      </c>
      <c r="AI228" s="73" t="e">
        <f>+VLOOKUP($E228,Primary!$1:$1048576,AI$2,FALSE)</f>
        <v>#N/A</v>
      </c>
      <c r="AJ228" s="73" t="e">
        <f>+VLOOKUP($E228,Primary!$1:$1048576,AJ$2,FALSE)</f>
        <v>#N/A</v>
      </c>
      <c r="AK228" s="73" t="e">
        <f>+VLOOKUP($E228,Primary!$1:$1048576,AK$2,FALSE)</f>
        <v>#N/A</v>
      </c>
      <c r="AL228" s="73" t="e">
        <f>+VLOOKUP($E228,Primary!$1:$1048576,AL$2,FALSE)</f>
        <v>#N/A</v>
      </c>
      <c r="AM228" s="73" t="e">
        <f>+VLOOKUP($E228,Primary!$1:$1048576,AM$2,FALSE)</f>
        <v>#N/A</v>
      </c>
      <c r="AN228" s="73" t="e">
        <f>+VLOOKUP($E228,Primary!$1:$1048576,AN$2,FALSE)</f>
        <v>#N/A</v>
      </c>
      <c r="AO228" s="73" t="e">
        <f>+VLOOKUP($E228,Primary!$1:$1048576,AO$2,FALSE)</f>
        <v>#N/A</v>
      </c>
    </row>
    <row r="229" spans="1:43" s="73" customFormat="1" ht="15" customHeight="1" x14ac:dyDescent="0.25">
      <c r="A229" s="324"/>
      <c r="B229" s="325"/>
      <c r="C229" s="134"/>
      <c r="D229" s="86" t="s">
        <v>177</v>
      </c>
      <c r="E229" s="84" t="s">
        <v>584</v>
      </c>
      <c r="F229" s="73" t="e">
        <f>+VLOOKUP($E229,Primary!$1:$1048576,F$2,FALSE)</f>
        <v>#N/A</v>
      </c>
      <c r="G229" s="73" t="e">
        <f>+VLOOKUP($E229,Primary!$1:$1048576,G$2,FALSE)</f>
        <v>#N/A</v>
      </c>
      <c r="H229" s="73" t="e">
        <f>+VLOOKUP($E229,Primary!$1:$1048576,H$2,FALSE)</f>
        <v>#N/A</v>
      </c>
      <c r="I229" s="73" t="e">
        <f>+VLOOKUP($E229,Primary!$1:$1048576,I$2,FALSE)</f>
        <v>#N/A</v>
      </c>
      <c r="J229" s="73" t="e">
        <f>+VLOOKUP($E229,Primary!$1:$1048576,J$2,FALSE)</f>
        <v>#N/A</v>
      </c>
      <c r="K229" s="73" t="e">
        <f>+VLOOKUP($E229,Primary!$1:$1048576,K$2,FALSE)</f>
        <v>#N/A</v>
      </c>
      <c r="L229" s="73" t="e">
        <f>+VLOOKUP($E229,Primary!$1:$1048576,L$2,FALSE)</f>
        <v>#N/A</v>
      </c>
      <c r="M229" s="73" t="e">
        <f>+VLOOKUP($E229,Primary!$1:$1048576,M$2,FALSE)</f>
        <v>#N/A</v>
      </c>
      <c r="N229" s="73" t="e">
        <f>+VLOOKUP($E229,Primary!$1:$1048576,N$2,FALSE)</f>
        <v>#N/A</v>
      </c>
      <c r="O229" s="73" t="e">
        <f>+VLOOKUP($E229,Primary!$1:$1048576,O$2,FALSE)</f>
        <v>#N/A</v>
      </c>
      <c r="P229" s="73" t="e">
        <f>+VLOOKUP($E229,Primary!$1:$1048576,P$2,FALSE)</f>
        <v>#N/A</v>
      </c>
      <c r="Q229" s="73" t="e">
        <f>+VLOOKUP($E229,Primary!$1:$1048576,Q$2,FALSE)</f>
        <v>#N/A</v>
      </c>
      <c r="R229" s="73" t="e">
        <f>+VLOOKUP($E229,Primary!$1:$1048576,R$2,FALSE)</f>
        <v>#N/A</v>
      </c>
      <c r="S229" s="73" t="e">
        <f>+VLOOKUP($E229,Primary!$1:$1048576,S$2,FALSE)</f>
        <v>#N/A</v>
      </c>
      <c r="T229" s="73" t="e">
        <f>+VLOOKUP($E229,Primary!$1:$1048576,T$2,FALSE)</f>
        <v>#N/A</v>
      </c>
      <c r="U229" s="73" t="e">
        <f>+VLOOKUP($E229,Primary!$1:$1048576,U$2,FALSE)</f>
        <v>#N/A</v>
      </c>
      <c r="V229" s="73" t="e">
        <f>+VLOOKUP($E229,Primary!$1:$1048576,V$2,FALSE)</f>
        <v>#N/A</v>
      </c>
      <c r="W229" s="73" t="e">
        <f>+VLOOKUP($E229,Primary!$1:$1048576,W$2,FALSE)</f>
        <v>#N/A</v>
      </c>
      <c r="X229" s="73" t="e">
        <f>+VLOOKUP($E229,Primary!$1:$1048576,X$2,FALSE)</f>
        <v>#N/A</v>
      </c>
      <c r="Y229" s="73" t="e">
        <f>+VLOOKUP($E229,Primary!$1:$1048576,Y$2,FALSE)</f>
        <v>#N/A</v>
      </c>
      <c r="Z229" s="73" t="e">
        <f>+VLOOKUP($E229,Primary!$1:$1048576,Z$2,FALSE)</f>
        <v>#N/A</v>
      </c>
      <c r="AA229" s="73" t="e">
        <f>+VLOOKUP($E229,Primary!$1:$1048576,AA$2,FALSE)</f>
        <v>#N/A</v>
      </c>
      <c r="AB229" s="73" t="e">
        <f>+VLOOKUP($E229,Primary!$1:$1048576,AB$2,FALSE)</f>
        <v>#N/A</v>
      </c>
      <c r="AC229" s="73" t="e">
        <f>+VLOOKUP($E229,Primary!$1:$1048576,AC$2,FALSE)</f>
        <v>#N/A</v>
      </c>
      <c r="AD229" s="73" t="e">
        <f>+VLOOKUP($E229,Primary!$1:$1048576,AD$2,FALSE)</f>
        <v>#N/A</v>
      </c>
      <c r="AE229" s="73" t="e">
        <f>+VLOOKUP($E229,Primary!$1:$1048576,AE$2,FALSE)</f>
        <v>#N/A</v>
      </c>
      <c r="AF229" s="73" t="e">
        <f>+VLOOKUP($E229,Primary!$1:$1048576,AF$2,FALSE)</f>
        <v>#N/A</v>
      </c>
      <c r="AG229" s="73" t="e">
        <f>+VLOOKUP($E229,Primary!$1:$1048576,AG$2,FALSE)</f>
        <v>#N/A</v>
      </c>
      <c r="AH229" s="73" t="e">
        <f>+VLOOKUP($E229,Primary!$1:$1048576,AH$2,FALSE)</f>
        <v>#N/A</v>
      </c>
      <c r="AI229" s="73" t="e">
        <f>+VLOOKUP($E229,Primary!$1:$1048576,AI$2,FALSE)</f>
        <v>#N/A</v>
      </c>
      <c r="AJ229" s="73" t="e">
        <f>+VLOOKUP($E229,Primary!$1:$1048576,AJ$2,FALSE)</f>
        <v>#N/A</v>
      </c>
      <c r="AK229" s="73" t="e">
        <f>+VLOOKUP($E229,Primary!$1:$1048576,AK$2,FALSE)</f>
        <v>#N/A</v>
      </c>
      <c r="AL229" s="73" t="e">
        <f>+VLOOKUP($E229,Primary!$1:$1048576,AL$2,FALSE)</f>
        <v>#N/A</v>
      </c>
      <c r="AM229" s="73" t="e">
        <f>+VLOOKUP($E229,Primary!$1:$1048576,AM$2,FALSE)</f>
        <v>#N/A</v>
      </c>
      <c r="AN229" s="73" t="e">
        <f>+VLOOKUP($E229,Primary!$1:$1048576,AN$2,FALSE)</f>
        <v>#N/A</v>
      </c>
      <c r="AO229" s="73" t="e">
        <f>+VLOOKUP($E229,Primary!$1:$1048576,AO$2,FALSE)</f>
        <v>#N/A</v>
      </c>
    </row>
    <row r="230" spans="1:43" s="73" customFormat="1" ht="15" customHeight="1" x14ac:dyDescent="0.25">
      <c r="A230" s="324"/>
      <c r="B230" s="325"/>
      <c r="C230" s="134"/>
      <c r="D230" s="86" t="s">
        <v>570</v>
      </c>
      <c r="E230" s="84" t="s">
        <v>585</v>
      </c>
      <c r="F230" s="73" t="e">
        <f>+VLOOKUP($E230,Primary!$1:$1048576,F$2,FALSE)</f>
        <v>#N/A</v>
      </c>
      <c r="G230" s="73" t="e">
        <f>+VLOOKUP($E230,Primary!$1:$1048576,G$2,FALSE)</f>
        <v>#N/A</v>
      </c>
      <c r="H230" s="73" t="e">
        <f>+VLOOKUP($E230,Primary!$1:$1048576,H$2,FALSE)</f>
        <v>#N/A</v>
      </c>
      <c r="I230" s="73" t="e">
        <f>+VLOOKUP($E230,Primary!$1:$1048576,I$2,FALSE)</f>
        <v>#N/A</v>
      </c>
      <c r="J230" s="73" t="e">
        <f>+VLOOKUP($E230,Primary!$1:$1048576,J$2,FALSE)</f>
        <v>#N/A</v>
      </c>
      <c r="K230" s="73" t="e">
        <f>+VLOOKUP($E230,Primary!$1:$1048576,K$2,FALSE)</f>
        <v>#N/A</v>
      </c>
      <c r="L230" s="73" t="e">
        <f>+VLOOKUP($E230,Primary!$1:$1048576,L$2,FALSE)</f>
        <v>#N/A</v>
      </c>
      <c r="M230" s="73" t="e">
        <f>+VLOOKUP($E230,Primary!$1:$1048576,M$2,FALSE)</f>
        <v>#N/A</v>
      </c>
      <c r="N230" s="73" t="e">
        <f>+VLOOKUP($E230,Primary!$1:$1048576,N$2,FALSE)</f>
        <v>#N/A</v>
      </c>
      <c r="O230" s="73" t="e">
        <f>+VLOOKUP($E230,Primary!$1:$1048576,O$2,FALSE)</f>
        <v>#N/A</v>
      </c>
      <c r="P230" s="73" t="e">
        <f>+VLOOKUP($E230,Primary!$1:$1048576,P$2,FALSE)</f>
        <v>#N/A</v>
      </c>
      <c r="Q230" s="73" t="e">
        <f>+VLOOKUP($E230,Primary!$1:$1048576,Q$2,FALSE)</f>
        <v>#N/A</v>
      </c>
      <c r="R230" s="73" t="e">
        <f>+VLOOKUP($E230,Primary!$1:$1048576,R$2,FALSE)</f>
        <v>#N/A</v>
      </c>
      <c r="S230" s="73" t="e">
        <f>+VLOOKUP($E230,Primary!$1:$1048576,S$2,FALSE)</f>
        <v>#N/A</v>
      </c>
      <c r="T230" s="73" t="e">
        <f>+VLOOKUP($E230,Primary!$1:$1048576,T$2,FALSE)</f>
        <v>#N/A</v>
      </c>
      <c r="U230" s="73" t="e">
        <f>+VLOOKUP($E230,Primary!$1:$1048576,U$2,FALSE)</f>
        <v>#N/A</v>
      </c>
      <c r="V230" s="73" t="e">
        <f>+VLOOKUP($E230,Primary!$1:$1048576,V$2,FALSE)</f>
        <v>#N/A</v>
      </c>
      <c r="W230" s="73" t="e">
        <f>+VLOOKUP($E230,Primary!$1:$1048576,W$2,FALSE)</f>
        <v>#N/A</v>
      </c>
      <c r="X230" s="73" t="e">
        <f>+VLOOKUP($E230,Primary!$1:$1048576,X$2,FALSE)</f>
        <v>#N/A</v>
      </c>
      <c r="Y230" s="73" t="e">
        <f>+VLOOKUP($E230,Primary!$1:$1048576,Y$2,FALSE)</f>
        <v>#N/A</v>
      </c>
      <c r="Z230" s="73" t="e">
        <f>+VLOOKUP($E230,Primary!$1:$1048576,Z$2,FALSE)</f>
        <v>#N/A</v>
      </c>
      <c r="AA230" s="73" t="e">
        <f>+VLOOKUP($E230,Primary!$1:$1048576,AA$2,FALSE)</f>
        <v>#N/A</v>
      </c>
      <c r="AB230" s="73" t="e">
        <f>+VLOOKUP($E230,Primary!$1:$1048576,AB$2,FALSE)</f>
        <v>#N/A</v>
      </c>
      <c r="AC230" s="73" t="e">
        <f>+VLOOKUP($E230,Primary!$1:$1048576,AC$2,FALSE)</f>
        <v>#N/A</v>
      </c>
      <c r="AD230" s="73" t="e">
        <f>+VLOOKUP($E230,Primary!$1:$1048576,AD$2,FALSE)</f>
        <v>#N/A</v>
      </c>
      <c r="AE230" s="73" t="e">
        <f>+VLOOKUP($E230,Primary!$1:$1048576,AE$2,FALSE)</f>
        <v>#N/A</v>
      </c>
      <c r="AF230" s="73" t="e">
        <f>+VLOOKUP($E230,Primary!$1:$1048576,AF$2,FALSE)</f>
        <v>#N/A</v>
      </c>
      <c r="AG230" s="73" t="e">
        <f>+VLOOKUP($E230,Primary!$1:$1048576,AG$2,FALSE)</f>
        <v>#N/A</v>
      </c>
      <c r="AH230" s="73" t="e">
        <f>+VLOOKUP($E230,Primary!$1:$1048576,AH$2,FALSE)</f>
        <v>#N/A</v>
      </c>
      <c r="AI230" s="73" t="e">
        <f>+VLOOKUP($E230,Primary!$1:$1048576,AI$2,FALSE)</f>
        <v>#N/A</v>
      </c>
      <c r="AJ230" s="73" t="e">
        <f>+VLOOKUP($E230,Primary!$1:$1048576,AJ$2,FALSE)</f>
        <v>#N/A</v>
      </c>
      <c r="AK230" s="73" t="e">
        <f>+VLOOKUP($E230,Primary!$1:$1048576,AK$2,FALSE)</f>
        <v>#N/A</v>
      </c>
      <c r="AL230" s="73" t="e">
        <f>+VLOOKUP($E230,Primary!$1:$1048576,AL$2,FALSE)</f>
        <v>#N/A</v>
      </c>
      <c r="AM230" s="73" t="e">
        <f>+VLOOKUP($E230,Primary!$1:$1048576,AM$2,FALSE)</f>
        <v>#N/A</v>
      </c>
      <c r="AN230" s="73" t="e">
        <f>+VLOOKUP($E230,Primary!$1:$1048576,AN$2,FALSE)</f>
        <v>#N/A</v>
      </c>
      <c r="AO230" s="73" t="e">
        <f>+VLOOKUP($E230,Primary!$1:$1048576,AO$2,FALSE)</f>
        <v>#N/A</v>
      </c>
    </row>
    <row r="231" spans="1:43" s="73" customFormat="1" ht="15" customHeight="1" x14ac:dyDescent="0.25">
      <c r="A231" s="324"/>
      <c r="B231" s="325"/>
      <c r="C231" s="134"/>
      <c r="D231" s="86" t="s">
        <v>501</v>
      </c>
      <c r="E231" s="84" t="s">
        <v>586</v>
      </c>
      <c r="F231" s="73" t="e">
        <f>+VLOOKUP($E231,Primary!$1:$1048576,F$2,FALSE)</f>
        <v>#N/A</v>
      </c>
      <c r="G231" s="73" t="e">
        <f>+VLOOKUP($E231,Primary!$1:$1048576,G$2,FALSE)</f>
        <v>#N/A</v>
      </c>
      <c r="H231" s="73" t="e">
        <f>+VLOOKUP($E231,Primary!$1:$1048576,H$2,FALSE)</f>
        <v>#N/A</v>
      </c>
      <c r="I231" s="73" t="e">
        <f>+VLOOKUP($E231,Primary!$1:$1048576,I$2,FALSE)</f>
        <v>#N/A</v>
      </c>
      <c r="J231" s="73" t="e">
        <f>+VLOOKUP($E231,Primary!$1:$1048576,J$2,FALSE)</f>
        <v>#N/A</v>
      </c>
      <c r="K231" s="73" t="e">
        <f>+VLOOKUP($E231,Primary!$1:$1048576,K$2,FALSE)</f>
        <v>#N/A</v>
      </c>
      <c r="L231" s="73" t="e">
        <f>+VLOOKUP($E231,Primary!$1:$1048576,L$2,FALSE)</f>
        <v>#N/A</v>
      </c>
      <c r="M231" s="73" t="e">
        <f>+VLOOKUP($E231,Primary!$1:$1048576,M$2,FALSE)</f>
        <v>#N/A</v>
      </c>
      <c r="N231" s="73" t="e">
        <f>+VLOOKUP($E231,Primary!$1:$1048576,N$2,FALSE)</f>
        <v>#N/A</v>
      </c>
      <c r="O231" s="73" t="e">
        <f>+VLOOKUP($E231,Primary!$1:$1048576,O$2,FALSE)</f>
        <v>#N/A</v>
      </c>
      <c r="P231" s="73" t="e">
        <f>+VLOOKUP($E231,Primary!$1:$1048576,P$2,FALSE)</f>
        <v>#N/A</v>
      </c>
      <c r="Q231" s="73" t="e">
        <f>+VLOOKUP($E231,Primary!$1:$1048576,Q$2,FALSE)</f>
        <v>#N/A</v>
      </c>
      <c r="R231" s="73" t="e">
        <f>+VLOOKUP($E231,Primary!$1:$1048576,R$2,FALSE)</f>
        <v>#N/A</v>
      </c>
      <c r="S231" s="73" t="e">
        <f>+VLOOKUP($E231,Primary!$1:$1048576,S$2,FALSE)</f>
        <v>#N/A</v>
      </c>
      <c r="T231" s="73" t="e">
        <f>+VLOOKUP($E231,Primary!$1:$1048576,T$2,FALSE)</f>
        <v>#N/A</v>
      </c>
      <c r="U231" s="73" t="e">
        <f>+VLOOKUP($E231,Primary!$1:$1048576,U$2,FALSE)</f>
        <v>#N/A</v>
      </c>
      <c r="V231" s="73" t="e">
        <f>+VLOOKUP($E231,Primary!$1:$1048576,V$2,FALSE)</f>
        <v>#N/A</v>
      </c>
      <c r="W231" s="73" t="e">
        <f>+VLOOKUP($E231,Primary!$1:$1048576,W$2,FALSE)</f>
        <v>#N/A</v>
      </c>
      <c r="X231" s="73" t="e">
        <f>+VLOOKUP($E231,Primary!$1:$1048576,X$2,FALSE)</f>
        <v>#N/A</v>
      </c>
      <c r="Y231" s="73" t="e">
        <f>+VLOOKUP($E231,Primary!$1:$1048576,Y$2,FALSE)</f>
        <v>#N/A</v>
      </c>
      <c r="Z231" s="73" t="e">
        <f>+VLOOKUP($E231,Primary!$1:$1048576,Z$2,FALSE)</f>
        <v>#N/A</v>
      </c>
      <c r="AA231" s="73" t="e">
        <f>+VLOOKUP($E231,Primary!$1:$1048576,AA$2,FALSE)</f>
        <v>#N/A</v>
      </c>
      <c r="AB231" s="73" t="e">
        <f>+VLOOKUP($E231,Primary!$1:$1048576,AB$2,FALSE)</f>
        <v>#N/A</v>
      </c>
      <c r="AC231" s="73" t="e">
        <f>+VLOOKUP($E231,Primary!$1:$1048576,AC$2,FALSE)</f>
        <v>#N/A</v>
      </c>
      <c r="AD231" s="73" t="e">
        <f>+VLOOKUP($E231,Primary!$1:$1048576,AD$2,FALSE)</f>
        <v>#N/A</v>
      </c>
      <c r="AE231" s="73" t="e">
        <f>+VLOOKUP($E231,Primary!$1:$1048576,AE$2,FALSE)</f>
        <v>#N/A</v>
      </c>
      <c r="AF231" s="73" t="e">
        <f>+VLOOKUP($E231,Primary!$1:$1048576,AF$2,FALSE)</f>
        <v>#N/A</v>
      </c>
      <c r="AG231" s="73" t="e">
        <f>+VLOOKUP($E231,Primary!$1:$1048576,AG$2,FALSE)</f>
        <v>#N/A</v>
      </c>
      <c r="AH231" s="73" t="e">
        <f>+VLOOKUP($E231,Primary!$1:$1048576,AH$2,FALSE)</f>
        <v>#N/A</v>
      </c>
      <c r="AI231" s="73" t="e">
        <f>+VLOOKUP($E231,Primary!$1:$1048576,AI$2,FALSE)</f>
        <v>#N/A</v>
      </c>
      <c r="AJ231" s="73" t="e">
        <f>+VLOOKUP($E231,Primary!$1:$1048576,AJ$2,FALSE)</f>
        <v>#N/A</v>
      </c>
      <c r="AK231" s="73" t="e">
        <f>+VLOOKUP($E231,Primary!$1:$1048576,AK$2,FALSE)</f>
        <v>#N/A</v>
      </c>
      <c r="AL231" s="73" t="e">
        <f>+VLOOKUP($E231,Primary!$1:$1048576,AL$2,FALSE)</f>
        <v>#N/A</v>
      </c>
      <c r="AM231" s="73" t="e">
        <f>+VLOOKUP($E231,Primary!$1:$1048576,AM$2,FALSE)</f>
        <v>#N/A</v>
      </c>
      <c r="AN231" s="73" t="e">
        <f>+VLOOKUP($E231,Primary!$1:$1048576,AN$2,FALSE)</f>
        <v>#N/A</v>
      </c>
      <c r="AO231" s="73" t="e">
        <f>+VLOOKUP($E231,Primary!$1:$1048576,AO$2,FALSE)</f>
        <v>#N/A</v>
      </c>
    </row>
    <row r="232" spans="1:43" s="73" customFormat="1" ht="15" customHeight="1" x14ac:dyDescent="0.25">
      <c r="A232" s="324"/>
      <c r="B232" s="325"/>
      <c r="C232" s="134"/>
      <c r="D232" s="86" t="s">
        <v>502</v>
      </c>
      <c r="E232" s="84" t="s">
        <v>587</v>
      </c>
      <c r="F232" s="73" t="e">
        <f>+VLOOKUP($E232,Primary!$1:$1048576,F$2,FALSE)</f>
        <v>#N/A</v>
      </c>
      <c r="G232" s="73" t="e">
        <f>+VLOOKUP($E232,Primary!$1:$1048576,G$2,FALSE)</f>
        <v>#N/A</v>
      </c>
      <c r="H232" s="73" t="e">
        <f>+VLOOKUP($E232,Primary!$1:$1048576,H$2,FALSE)</f>
        <v>#N/A</v>
      </c>
      <c r="I232" s="73" t="e">
        <f>+VLOOKUP($E232,Primary!$1:$1048576,I$2,FALSE)</f>
        <v>#N/A</v>
      </c>
      <c r="J232" s="73" t="e">
        <f>+VLOOKUP($E232,Primary!$1:$1048576,J$2,FALSE)</f>
        <v>#N/A</v>
      </c>
      <c r="K232" s="73" t="e">
        <f>+VLOOKUP($E232,Primary!$1:$1048576,K$2,FALSE)</f>
        <v>#N/A</v>
      </c>
      <c r="L232" s="73" t="e">
        <f>+VLOOKUP($E232,Primary!$1:$1048576,L$2,FALSE)</f>
        <v>#N/A</v>
      </c>
      <c r="M232" s="73" t="e">
        <f>+VLOOKUP($E232,Primary!$1:$1048576,M$2,FALSE)</f>
        <v>#N/A</v>
      </c>
      <c r="N232" s="73" t="e">
        <f>+VLOOKUP($E232,Primary!$1:$1048576,N$2,FALSE)</f>
        <v>#N/A</v>
      </c>
      <c r="O232" s="73" t="e">
        <f>+VLOOKUP($E232,Primary!$1:$1048576,O$2,FALSE)</f>
        <v>#N/A</v>
      </c>
      <c r="P232" s="73" t="e">
        <f>+VLOOKUP($E232,Primary!$1:$1048576,P$2,FALSE)</f>
        <v>#N/A</v>
      </c>
      <c r="Q232" s="73" t="e">
        <f>+VLOOKUP($E232,Primary!$1:$1048576,Q$2,FALSE)</f>
        <v>#N/A</v>
      </c>
      <c r="R232" s="73" t="e">
        <f>+VLOOKUP($E232,Primary!$1:$1048576,R$2,FALSE)</f>
        <v>#N/A</v>
      </c>
      <c r="S232" s="73" t="e">
        <f>+VLOOKUP($E232,Primary!$1:$1048576,S$2,FALSE)</f>
        <v>#N/A</v>
      </c>
      <c r="T232" s="73" t="e">
        <f>+VLOOKUP($E232,Primary!$1:$1048576,T$2,FALSE)</f>
        <v>#N/A</v>
      </c>
      <c r="U232" s="73" t="e">
        <f>+VLOOKUP($E232,Primary!$1:$1048576,U$2,FALSE)</f>
        <v>#N/A</v>
      </c>
      <c r="V232" s="73" t="e">
        <f>+VLOOKUP($E232,Primary!$1:$1048576,V$2,FALSE)</f>
        <v>#N/A</v>
      </c>
      <c r="W232" s="73" t="e">
        <f>+VLOOKUP($E232,Primary!$1:$1048576,W$2,FALSE)</f>
        <v>#N/A</v>
      </c>
      <c r="X232" s="73" t="e">
        <f>+VLOOKUP($E232,Primary!$1:$1048576,X$2,FALSE)</f>
        <v>#N/A</v>
      </c>
      <c r="Y232" s="73" t="e">
        <f>+VLOOKUP($E232,Primary!$1:$1048576,Y$2,FALSE)</f>
        <v>#N/A</v>
      </c>
      <c r="Z232" s="73" t="e">
        <f>+VLOOKUP($E232,Primary!$1:$1048576,Z$2,FALSE)</f>
        <v>#N/A</v>
      </c>
      <c r="AA232" s="73" t="e">
        <f>+VLOOKUP($E232,Primary!$1:$1048576,AA$2,FALSE)</f>
        <v>#N/A</v>
      </c>
      <c r="AB232" s="73" t="e">
        <f>+VLOOKUP($E232,Primary!$1:$1048576,AB$2,FALSE)</f>
        <v>#N/A</v>
      </c>
      <c r="AC232" s="73" t="e">
        <f>+VLOOKUP($E232,Primary!$1:$1048576,AC$2,FALSE)</f>
        <v>#N/A</v>
      </c>
      <c r="AD232" s="73" t="e">
        <f>+VLOOKUP($E232,Primary!$1:$1048576,AD$2,FALSE)</f>
        <v>#N/A</v>
      </c>
      <c r="AE232" s="73" t="e">
        <f>+VLOOKUP($E232,Primary!$1:$1048576,AE$2,FALSE)</f>
        <v>#N/A</v>
      </c>
      <c r="AF232" s="73" t="e">
        <f>+VLOOKUP($E232,Primary!$1:$1048576,AF$2,FALSE)</f>
        <v>#N/A</v>
      </c>
      <c r="AG232" s="73" t="e">
        <f>+VLOOKUP($E232,Primary!$1:$1048576,AG$2,FALSE)</f>
        <v>#N/A</v>
      </c>
      <c r="AH232" s="73" t="e">
        <f>+VLOOKUP($E232,Primary!$1:$1048576,AH$2,FALSE)</f>
        <v>#N/A</v>
      </c>
      <c r="AI232" s="73" t="e">
        <f>+VLOOKUP($E232,Primary!$1:$1048576,AI$2,FALSE)</f>
        <v>#N/A</v>
      </c>
      <c r="AJ232" s="73" t="e">
        <f>+VLOOKUP($E232,Primary!$1:$1048576,AJ$2,FALSE)</f>
        <v>#N/A</v>
      </c>
      <c r="AK232" s="73" t="e">
        <f>+VLOOKUP($E232,Primary!$1:$1048576,AK$2,FALSE)</f>
        <v>#N/A</v>
      </c>
      <c r="AL232" s="73" t="e">
        <f>+VLOOKUP($E232,Primary!$1:$1048576,AL$2,FALSE)</f>
        <v>#N/A</v>
      </c>
      <c r="AM232" s="73" t="e">
        <f>+VLOOKUP($E232,Primary!$1:$1048576,AM$2,FALSE)</f>
        <v>#N/A</v>
      </c>
      <c r="AN232" s="73" t="e">
        <f>+VLOOKUP($E232,Primary!$1:$1048576,AN$2,FALSE)</f>
        <v>#N/A</v>
      </c>
      <c r="AO232" s="73" t="e">
        <f>+VLOOKUP($E232,Primary!$1:$1048576,AO$2,FALSE)</f>
        <v>#N/A</v>
      </c>
    </row>
    <row r="233" spans="1:43" s="111" customFormat="1" ht="15" customHeight="1" x14ac:dyDescent="0.25">
      <c r="A233" s="324"/>
      <c r="B233" s="325"/>
      <c r="C233" s="134" t="s">
        <v>565</v>
      </c>
      <c r="D233" s="112"/>
      <c r="E233" s="87" t="s">
        <v>594</v>
      </c>
      <c r="F233" s="73">
        <f>+VLOOKUP($E233,Primary!$1:$1048576,F$2,FALSE)</f>
        <v>5.7094259999999997</v>
      </c>
      <c r="G233" s="73">
        <f>+VLOOKUP($E233,Primary!$1:$1048576,G$2,FALSE)</f>
        <v>5.7722436630000002</v>
      </c>
      <c r="H233" s="73">
        <f>+VLOOKUP($E233,Primary!$1:$1048576,H$2,FALSE)</f>
        <v>5.8322895360000002</v>
      </c>
      <c r="I233" s="73">
        <f>+VLOOKUP($E233,Primary!$1:$1048576,I$2,FALSE)</f>
        <v>5.8903485360000003</v>
      </c>
      <c r="J233" s="73">
        <f>+VLOOKUP($E233,Primary!$1:$1048576,J$2,FALSE)</f>
        <v>5.9468911120000003</v>
      </c>
      <c r="K233" s="73">
        <f>+VLOOKUP($E233,Primary!$1:$1048576,K$2,FALSE)</f>
        <v>6.0018206989999996</v>
      </c>
      <c r="L233" s="73">
        <f>+VLOOKUP($E233,Primary!$1:$1048576,L$2,FALSE)</f>
        <v>6.0548594639999997</v>
      </c>
      <c r="M233" s="73">
        <f>+VLOOKUP($E233,Primary!$1:$1048576,M$2,FALSE)</f>
        <v>6.1064926220000002</v>
      </c>
      <c r="N233" s="73">
        <f>+VLOOKUP($E233,Primary!$1:$1048576,N$2,FALSE)</f>
        <v>6.1577301540000002</v>
      </c>
      <c r="O233" s="73">
        <f>+VLOOKUP($E233,Primary!$1:$1048576,O$2,FALSE)</f>
        <v>6.2091284269999996</v>
      </c>
      <c r="P233" s="73">
        <f>+VLOOKUP($E233,Primary!$1:$1048576,P$2,FALSE)</f>
        <v>6.2606826590000004</v>
      </c>
      <c r="Q233" s="73">
        <f>+VLOOKUP($E233,Primary!$1:$1048576,Q$2,FALSE)</f>
        <v>6.3119623540000003</v>
      </c>
      <c r="R233" s="73">
        <f>+VLOOKUP($E233,Primary!$1:$1048576,R$2,FALSE)</f>
        <v>6.3622753379999999</v>
      </c>
      <c r="S233" s="73">
        <f>+VLOOKUP($E233,Primary!$1:$1048576,S$2,FALSE)</f>
        <v>6.4107988090000001</v>
      </c>
      <c r="T233" s="73">
        <f>+VLOOKUP($E233,Primary!$1:$1048576,T$2,FALSE)</f>
        <v>6.4566709150000001</v>
      </c>
      <c r="U233" s="73">
        <f>+VLOOKUP($E233,Primary!$1:$1048576,U$2,FALSE)</f>
        <v>6.4990524140000003</v>
      </c>
      <c r="V233" s="73">
        <f>+VLOOKUP($E233,Primary!$1:$1048576,V$2,FALSE)</f>
        <v>6.5373896870000001</v>
      </c>
      <c r="W233" s="73">
        <f>+VLOOKUP($E233,Primary!$1:$1048576,W$2,FALSE)</f>
        <v>6.5720548299999999</v>
      </c>
      <c r="X233" s="73">
        <f>+VLOOKUP($E233,Primary!$1:$1048576,X$2,FALSE)</f>
        <v>6.6041257489999996</v>
      </c>
      <c r="Y233" s="73">
        <f>+VLOOKUP($E233,Primary!$1:$1048576,Y$2,FALSE)</f>
        <v>6.6345759580000001</v>
      </c>
      <c r="Z233" s="73">
        <f>+VLOOKUP($E233,Primary!$1:$1048576,Z$2,FALSE)</f>
        <v>6.6640937070000001</v>
      </c>
      <c r="AA233" s="73">
        <f>+VLOOKUP($E233,Primary!$1:$1048576,AA$2,FALSE)</f>
        <v>6.6931079899999997</v>
      </c>
      <c r="AB233" s="73">
        <f>+VLOOKUP($E233,Primary!$1:$1048576,AB$2,FALSE)</f>
        <v>6.7218637350000003</v>
      </c>
      <c r="AC233" s="73">
        <f>+VLOOKUP($E233,Primary!$1:$1048576,AC$2,FALSE)</f>
        <v>6.7504914459999998</v>
      </c>
      <c r="AD233" s="73">
        <f>+VLOOKUP($E233,Primary!$1:$1048576,AD$2,FALSE)</f>
        <v>6.7790575649999996</v>
      </c>
      <c r="AE233" s="73">
        <f>+VLOOKUP($E233,Primary!$1:$1048576,AE$2,FALSE)</f>
        <v>6.807596481</v>
      </c>
      <c r="AF233" s="73">
        <f>+VLOOKUP($E233,Primary!$1:$1048576,AF$2,FALSE)</f>
        <v>6.836129036</v>
      </c>
      <c r="AG233" s="73">
        <f>+VLOOKUP($E233,Primary!$1:$1048576,AG$2,FALSE)</f>
        <v>6.8646722640000002</v>
      </c>
      <c r="AH233" s="73">
        <f>+VLOOKUP($E233,Primary!$1:$1048576,AH$2,FALSE)</f>
        <v>6.8932439390000004</v>
      </c>
      <c r="AI233" s="73">
        <f>+VLOOKUP($E233,Primary!$1:$1048576,AI$2,FALSE)</f>
        <v>6.9218643049999997</v>
      </c>
      <c r="AJ233" s="73">
        <f>+VLOOKUP($E233,Primary!$1:$1048576,AJ$2,FALSE)</f>
        <v>6.9505563800000001</v>
      </c>
      <c r="AK233" s="73">
        <f>+VLOOKUP($E233,Primary!$1:$1048576,AK$2,FALSE)</f>
        <v>6.9793456730000001</v>
      </c>
      <c r="AL233" s="73">
        <f>+VLOOKUP($E233,Primary!$1:$1048576,AL$2,FALSE)</f>
        <v>7.0082596969999997</v>
      </c>
      <c r="AM233" s="73">
        <f>+VLOOKUP($E233,Primary!$1:$1048576,AM$2,FALSE)</f>
        <v>7.0373274910000001</v>
      </c>
      <c r="AN233" s="73">
        <f>+VLOOKUP($E233,Primary!$1:$1048576,AN$2,FALSE)</f>
        <v>7.0665792190000003</v>
      </c>
      <c r="AO233" s="73">
        <f>+VLOOKUP($E233,Primary!$1:$1048576,AO$2,FALSE)</f>
        <v>7.0960458620000004</v>
      </c>
      <c r="AP233" s="73"/>
      <c r="AQ233" s="73"/>
    </row>
    <row r="234" spans="1:43" s="365" customFormat="1" ht="15" customHeight="1" x14ac:dyDescent="0.25">
      <c r="A234" s="324"/>
      <c r="B234" s="325"/>
      <c r="C234" s="364"/>
      <c r="D234" s="86" t="s">
        <v>2051</v>
      </c>
      <c r="E234" s="84" t="s">
        <v>2052</v>
      </c>
      <c r="F234" s="73" t="e">
        <f>+VLOOKUP($E234,Primary!$1:$1048576,F$2,FALSE)</f>
        <v>#N/A</v>
      </c>
      <c r="G234" s="73" t="e">
        <f>+VLOOKUP($E234,Primary!$1:$1048576,G$2,FALSE)</f>
        <v>#N/A</v>
      </c>
      <c r="H234" s="73" t="e">
        <f>+VLOOKUP($E234,Primary!$1:$1048576,H$2,FALSE)</f>
        <v>#N/A</v>
      </c>
      <c r="I234" s="73" t="e">
        <f>+VLOOKUP($E234,Primary!$1:$1048576,I$2,FALSE)</f>
        <v>#N/A</v>
      </c>
      <c r="J234" s="73" t="e">
        <f>+VLOOKUP($E234,Primary!$1:$1048576,J$2,FALSE)</f>
        <v>#N/A</v>
      </c>
      <c r="K234" s="73" t="e">
        <f>+VLOOKUP($E234,Primary!$1:$1048576,K$2,FALSE)</f>
        <v>#N/A</v>
      </c>
      <c r="L234" s="73" t="e">
        <f>+VLOOKUP($E234,Primary!$1:$1048576,L$2,FALSE)</f>
        <v>#N/A</v>
      </c>
      <c r="M234" s="73" t="e">
        <f>+VLOOKUP($E234,Primary!$1:$1048576,M$2,FALSE)</f>
        <v>#N/A</v>
      </c>
      <c r="N234" s="73" t="e">
        <f>+VLOOKUP($E234,Primary!$1:$1048576,N$2,FALSE)</f>
        <v>#N/A</v>
      </c>
      <c r="O234" s="73" t="e">
        <f>+VLOOKUP($E234,Primary!$1:$1048576,O$2,FALSE)</f>
        <v>#N/A</v>
      </c>
      <c r="P234" s="73" t="e">
        <f>+VLOOKUP($E234,Primary!$1:$1048576,P$2,FALSE)</f>
        <v>#N/A</v>
      </c>
      <c r="Q234" s="73" t="e">
        <f>+VLOOKUP($E234,Primary!$1:$1048576,Q$2,FALSE)</f>
        <v>#N/A</v>
      </c>
      <c r="R234" s="73" t="e">
        <f>+VLOOKUP($E234,Primary!$1:$1048576,R$2,FALSE)</f>
        <v>#N/A</v>
      </c>
      <c r="S234" s="73" t="e">
        <f>+VLOOKUP($E234,Primary!$1:$1048576,S$2,FALSE)</f>
        <v>#N/A</v>
      </c>
      <c r="T234" s="73" t="e">
        <f>+VLOOKUP($E234,Primary!$1:$1048576,T$2,FALSE)</f>
        <v>#N/A</v>
      </c>
      <c r="U234" s="73" t="e">
        <f>+VLOOKUP($E234,Primary!$1:$1048576,U$2,FALSE)</f>
        <v>#N/A</v>
      </c>
      <c r="V234" s="73" t="e">
        <f>+VLOOKUP($E234,Primary!$1:$1048576,V$2,FALSE)</f>
        <v>#N/A</v>
      </c>
      <c r="W234" s="73" t="e">
        <f>+VLOOKUP($E234,Primary!$1:$1048576,W$2,FALSE)</f>
        <v>#N/A</v>
      </c>
      <c r="X234" s="73" t="e">
        <f>+VLOOKUP($E234,Primary!$1:$1048576,X$2,FALSE)</f>
        <v>#N/A</v>
      </c>
      <c r="Y234" s="73" t="e">
        <f>+VLOOKUP($E234,Primary!$1:$1048576,Y$2,FALSE)</f>
        <v>#N/A</v>
      </c>
      <c r="Z234" s="73" t="e">
        <f>+VLOOKUP($E234,Primary!$1:$1048576,Z$2,FALSE)</f>
        <v>#N/A</v>
      </c>
      <c r="AA234" s="73" t="e">
        <f>+VLOOKUP($E234,Primary!$1:$1048576,AA$2,FALSE)</f>
        <v>#N/A</v>
      </c>
      <c r="AB234" s="73" t="e">
        <f>+VLOOKUP($E234,Primary!$1:$1048576,AB$2,FALSE)</f>
        <v>#N/A</v>
      </c>
      <c r="AC234" s="73" t="e">
        <f>+VLOOKUP($E234,Primary!$1:$1048576,AC$2,FALSE)</f>
        <v>#N/A</v>
      </c>
      <c r="AD234" s="73" t="e">
        <f>+VLOOKUP($E234,Primary!$1:$1048576,AD$2,FALSE)</f>
        <v>#N/A</v>
      </c>
      <c r="AE234" s="73" t="e">
        <f>+VLOOKUP($E234,Primary!$1:$1048576,AE$2,FALSE)</f>
        <v>#N/A</v>
      </c>
      <c r="AF234" s="73" t="e">
        <f>+VLOOKUP($E234,Primary!$1:$1048576,AF$2,FALSE)</f>
        <v>#N/A</v>
      </c>
      <c r="AG234" s="73" t="e">
        <f>+VLOOKUP($E234,Primary!$1:$1048576,AG$2,FALSE)</f>
        <v>#N/A</v>
      </c>
      <c r="AH234" s="73" t="e">
        <f>+VLOOKUP($E234,Primary!$1:$1048576,AH$2,FALSE)</f>
        <v>#N/A</v>
      </c>
      <c r="AI234" s="73" t="e">
        <f>+VLOOKUP($E234,Primary!$1:$1048576,AI$2,FALSE)</f>
        <v>#N/A</v>
      </c>
      <c r="AJ234" s="73" t="e">
        <f>+VLOOKUP($E234,Primary!$1:$1048576,AJ$2,FALSE)</f>
        <v>#N/A</v>
      </c>
      <c r="AK234" s="73" t="e">
        <f>+VLOOKUP($E234,Primary!$1:$1048576,AK$2,FALSE)</f>
        <v>#N/A</v>
      </c>
      <c r="AL234" s="73" t="e">
        <f>+VLOOKUP($E234,Primary!$1:$1048576,AL$2,FALSE)</f>
        <v>#N/A</v>
      </c>
      <c r="AM234" s="73" t="e">
        <f>+VLOOKUP($E234,Primary!$1:$1048576,AM$2,FALSE)</f>
        <v>#N/A</v>
      </c>
      <c r="AN234" s="73" t="e">
        <f>+VLOOKUP($E234,Primary!$1:$1048576,AN$2,FALSE)</f>
        <v>#N/A</v>
      </c>
      <c r="AO234" s="73" t="e">
        <f>+VLOOKUP($E234,Primary!$1:$1048576,AO$2,FALSE)</f>
        <v>#N/A</v>
      </c>
      <c r="AP234" s="73"/>
      <c r="AQ234" s="73"/>
    </row>
    <row r="235" spans="1:43" s="111" customFormat="1" ht="15" customHeight="1" x14ac:dyDescent="0.25">
      <c r="A235" s="324"/>
      <c r="B235" s="325"/>
      <c r="C235" s="134" t="s">
        <v>573</v>
      </c>
      <c r="D235" s="112"/>
      <c r="E235" s="87" t="s">
        <v>595</v>
      </c>
      <c r="F235" s="73">
        <f>+VLOOKUP($E235,Primary!$1:$1048576,F$2,FALSE)</f>
        <v>11.178419</v>
      </c>
      <c r="G235" s="73">
        <f>+VLOOKUP($E235,Primary!$1:$1048576,G$2,FALSE)</f>
        <v>11.20789166</v>
      </c>
      <c r="H235" s="73">
        <f>+VLOOKUP($E235,Primary!$1:$1048576,H$2,FALSE)</f>
        <v>11.19704415</v>
      </c>
      <c r="I235" s="73">
        <f>+VLOOKUP($E235,Primary!$1:$1048576,I$2,FALSE)</f>
        <v>11.17113112</v>
      </c>
      <c r="J235" s="73">
        <f>+VLOOKUP($E235,Primary!$1:$1048576,J$2,FALSE)</f>
        <v>11.13892981</v>
      </c>
      <c r="K235" s="73">
        <f>+VLOOKUP($E235,Primary!$1:$1048576,K$2,FALSE)</f>
        <v>11.10200375</v>
      </c>
      <c r="L235" s="73">
        <f>+VLOOKUP($E235,Primary!$1:$1048576,L$2,FALSE)</f>
        <v>11.064522289999999</v>
      </c>
      <c r="M235" s="73">
        <f>+VLOOKUP($E235,Primary!$1:$1048576,M$2,FALSE)</f>
        <v>11.031690940000001</v>
      </c>
      <c r="N235" s="73">
        <f>+VLOOKUP($E235,Primary!$1:$1048576,N$2,FALSE)</f>
        <v>11.00416165</v>
      </c>
      <c r="O235" s="73">
        <f>+VLOOKUP($E235,Primary!$1:$1048576,O$2,FALSE)</f>
        <v>10.98062571</v>
      </c>
      <c r="P235" s="73">
        <f>+VLOOKUP($E235,Primary!$1:$1048576,P$2,FALSE)</f>
        <v>10.959044240000001</v>
      </c>
      <c r="Q235" s="73">
        <f>+VLOOKUP($E235,Primary!$1:$1048576,Q$2,FALSE)</f>
        <v>10.937236130000001</v>
      </c>
      <c r="R235" s="73">
        <f>+VLOOKUP($E235,Primary!$1:$1048576,R$2,FALSE)</f>
        <v>10.913170279999999</v>
      </c>
      <c r="S235" s="73">
        <f>+VLOOKUP($E235,Primary!$1:$1048576,S$2,FALSE)</f>
        <v>10.88512253</v>
      </c>
      <c r="T235" s="73">
        <f>+VLOOKUP($E235,Primary!$1:$1048576,T$2,FALSE)</f>
        <v>10.85176499</v>
      </c>
      <c r="U235" s="73">
        <f>+VLOOKUP($E235,Primary!$1:$1048576,U$2,FALSE)</f>
        <v>10.81221266</v>
      </c>
      <c r="V235" s="73">
        <f>+VLOOKUP($E235,Primary!$1:$1048576,V$2,FALSE)</f>
        <v>10.768600810000001</v>
      </c>
      <c r="W235" s="73">
        <f>+VLOOKUP($E235,Primary!$1:$1048576,W$2,FALSE)</f>
        <v>10.72464533</v>
      </c>
      <c r="X235" s="73">
        <f>+VLOOKUP($E235,Primary!$1:$1048576,X$2,FALSE)</f>
        <v>10.68226392</v>
      </c>
      <c r="Y235" s="73">
        <f>+VLOOKUP($E235,Primary!$1:$1048576,Y$2,FALSE)</f>
        <v>10.642407990000001</v>
      </c>
      <c r="Z235" s="73">
        <f>+VLOOKUP($E235,Primary!$1:$1048576,Z$2,FALSE)</f>
        <v>10.605517880000001</v>
      </c>
      <c r="AA235" s="73">
        <f>+VLOOKUP($E235,Primary!$1:$1048576,AA$2,FALSE)</f>
        <v>10.5717701</v>
      </c>
      <c r="AB235" s="73">
        <f>+VLOOKUP($E235,Primary!$1:$1048576,AB$2,FALSE)</f>
        <v>10.54120941</v>
      </c>
      <c r="AC235" s="73">
        <f>+VLOOKUP($E235,Primary!$1:$1048576,AC$2,FALSE)</f>
        <v>10.513818799999999</v>
      </c>
      <c r="AD235" s="73">
        <f>+VLOOKUP($E235,Primary!$1:$1048576,AD$2,FALSE)</f>
        <v>10.48955613</v>
      </c>
      <c r="AE235" s="73">
        <f>+VLOOKUP($E235,Primary!$1:$1048576,AE$2,FALSE)</f>
        <v>10.468373339999999</v>
      </c>
      <c r="AF235" s="73">
        <f>+VLOOKUP($E235,Primary!$1:$1048576,AF$2,FALSE)</f>
        <v>10.45022629</v>
      </c>
      <c r="AG235" s="73">
        <f>+VLOOKUP($E235,Primary!$1:$1048576,AG$2,FALSE)</f>
        <v>10.435079549999999</v>
      </c>
      <c r="AH235" s="73">
        <f>+VLOOKUP($E235,Primary!$1:$1048576,AH$2,FALSE)</f>
        <v>10.422908380000001</v>
      </c>
      <c r="AI235" s="73">
        <f>+VLOOKUP($E235,Primary!$1:$1048576,AI$2,FALSE)</f>
        <v>10.41369924</v>
      </c>
      <c r="AJ235" s="73">
        <f>+VLOOKUP($E235,Primary!$1:$1048576,AJ$2,FALSE)</f>
        <v>10.40744922</v>
      </c>
      <c r="AK235" s="73">
        <f>+VLOOKUP($E235,Primary!$1:$1048576,AK$2,FALSE)</f>
        <v>10.40416493</v>
      </c>
      <c r="AL235" s="73">
        <f>+VLOOKUP($E235,Primary!$1:$1048576,AL$2,FALSE)</f>
        <v>10.403860849999999</v>
      </c>
      <c r="AM235" s="73">
        <f>+VLOOKUP($E235,Primary!$1:$1048576,AM$2,FALSE)</f>
        <v>10.40655748</v>
      </c>
      <c r="AN235" s="73">
        <f>+VLOOKUP($E235,Primary!$1:$1048576,AN$2,FALSE)</f>
        <v>10.41227898</v>
      </c>
      <c r="AO235" s="73">
        <f>+VLOOKUP($E235,Primary!$1:$1048576,AO$2,FALSE)</f>
        <v>10.42105078</v>
      </c>
      <c r="AP235" s="73"/>
      <c r="AQ235" s="73"/>
    </row>
    <row r="236" spans="1:43" s="365" customFormat="1" ht="15" customHeight="1" x14ac:dyDescent="0.25">
      <c r="A236" s="324"/>
      <c r="B236" s="325"/>
      <c r="C236" s="364"/>
      <c r="D236" s="86"/>
      <c r="E236" s="84" t="s">
        <v>2053</v>
      </c>
      <c r="F236" s="73" t="e">
        <f>+VLOOKUP($E236,Primary!$1:$1048576,F$2,FALSE)</f>
        <v>#N/A</v>
      </c>
      <c r="G236" s="73" t="e">
        <f>+VLOOKUP($E236,Primary!$1:$1048576,G$2,FALSE)</f>
        <v>#N/A</v>
      </c>
      <c r="H236" s="73" t="e">
        <f>+VLOOKUP($E236,Primary!$1:$1048576,H$2,FALSE)</f>
        <v>#N/A</v>
      </c>
      <c r="I236" s="73" t="e">
        <f>+VLOOKUP($E236,Primary!$1:$1048576,I$2,FALSE)</f>
        <v>#N/A</v>
      </c>
      <c r="J236" s="73" t="e">
        <f>+VLOOKUP($E236,Primary!$1:$1048576,J$2,FALSE)</f>
        <v>#N/A</v>
      </c>
      <c r="K236" s="73" t="e">
        <f>+VLOOKUP($E236,Primary!$1:$1048576,K$2,FALSE)</f>
        <v>#N/A</v>
      </c>
      <c r="L236" s="73" t="e">
        <f>+VLOOKUP($E236,Primary!$1:$1048576,L$2,FALSE)</f>
        <v>#N/A</v>
      </c>
      <c r="M236" s="73" t="e">
        <f>+VLOOKUP($E236,Primary!$1:$1048576,M$2,FALSE)</f>
        <v>#N/A</v>
      </c>
      <c r="N236" s="73" t="e">
        <f>+VLOOKUP($E236,Primary!$1:$1048576,N$2,FALSE)</f>
        <v>#N/A</v>
      </c>
      <c r="O236" s="73" t="e">
        <f>+VLOOKUP($E236,Primary!$1:$1048576,O$2,FALSE)</f>
        <v>#N/A</v>
      </c>
      <c r="P236" s="73" t="e">
        <f>+VLOOKUP($E236,Primary!$1:$1048576,P$2,FALSE)</f>
        <v>#N/A</v>
      </c>
      <c r="Q236" s="73" t="e">
        <f>+VLOOKUP($E236,Primary!$1:$1048576,Q$2,FALSE)</f>
        <v>#N/A</v>
      </c>
      <c r="R236" s="73" t="e">
        <f>+VLOOKUP($E236,Primary!$1:$1048576,R$2,FALSE)</f>
        <v>#N/A</v>
      </c>
      <c r="S236" s="73" t="e">
        <f>+VLOOKUP($E236,Primary!$1:$1048576,S$2,FALSE)</f>
        <v>#N/A</v>
      </c>
      <c r="T236" s="73" t="e">
        <f>+VLOOKUP($E236,Primary!$1:$1048576,T$2,FALSE)</f>
        <v>#N/A</v>
      </c>
      <c r="U236" s="73" t="e">
        <f>+VLOOKUP($E236,Primary!$1:$1048576,U$2,FALSE)</f>
        <v>#N/A</v>
      </c>
      <c r="V236" s="73" t="e">
        <f>+VLOOKUP($E236,Primary!$1:$1048576,V$2,FALSE)</f>
        <v>#N/A</v>
      </c>
      <c r="W236" s="73" t="e">
        <f>+VLOOKUP($E236,Primary!$1:$1048576,W$2,FALSE)</f>
        <v>#N/A</v>
      </c>
      <c r="X236" s="73" t="e">
        <f>+VLOOKUP($E236,Primary!$1:$1048576,X$2,FALSE)</f>
        <v>#N/A</v>
      </c>
      <c r="Y236" s="73" t="e">
        <f>+VLOOKUP($E236,Primary!$1:$1048576,Y$2,FALSE)</f>
        <v>#N/A</v>
      </c>
      <c r="Z236" s="73" t="e">
        <f>+VLOOKUP($E236,Primary!$1:$1048576,Z$2,FALSE)</f>
        <v>#N/A</v>
      </c>
      <c r="AA236" s="73" t="e">
        <f>+VLOOKUP($E236,Primary!$1:$1048576,AA$2,FALSE)</f>
        <v>#N/A</v>
      </c>
      <c r="AB236" s="73" t="e">
        <f>+VLOOKUP($E236,Primary!$1:$1048576,AB$2,FALSE)</f>
        <v>#N/A</v>
      </c>
      <c r="AC236" s="73" t="e">
        <f>+VLOOKUP($E236,Primary!$1:$1048576,AC$2,FALSE)</f>
        <v>#N/A</v>
      </c>
      <c r="AD236" s="73" t="e">
        <f>+VLOOKUP($E236,Primary!$1:$1048576,AD$2,FALSE)</f>
        <v>#N/A</v>
      </c>
      <c r="AE236" s="73" t="e">
        <f>+VLOOKUP($E236,Primary!$1:$1048576,AE$2,FALSE)</f>
        <v>#N/A</v>
      </c>
      <c r="AF236" s="73" t="e">
        <f>+VLOOKUP($E236,Primary!$1:$1048576,AF$2,FALSE)</f>
        <v>#N/A</v>
      </c>
      <c r="AG236" s="73" t="e">
        <f>+VLOOKUP($E236,Primary!$1:$1048576,AG$2,FALSE)</f>
        <v>#N/A</v>
      </c>
      <c r="AH236" s="73" t="e">
        <f>+VLOOKUP($E236,Primary!$1:$1048576,AH$2,FALSE)</f>
        <v>#N/A</v>
      </c>
      <c r="AI236" s="73" t="e">
        <f>+VLOOKUP($E236,Primary!$1:$1048576,AI$2,FALSE)</f>
        <v>#N/A</v>
      </c>
      <c r="AJ236" s="73" t="e">
        <f>+VLOOKUP($E236,Primary!$1:$1048576,AJ$2,FALSE)</f>
        <v>#N/A</v>
      </c>
      <c r="AK236" s="73" t="e">
        <f>+VLOOKUP($E236,Primary!$1:$1048576,AK$2,FALSE)</f>
        <v>#N/A</v>
      </c>
      <c r="AL236" s="73" t="e">
        <f>+VLOOKUP($E236,Primary!$1:$1048576,AL$2,FALSE)</f>
        <v>#N/A</v>
      </c>
      <c r="AM236" s="73" t="e">
        <f>+VLOOKUP($E236,Primary!$1:$1048576,AM$2,FALSE)</f>
        <v>#N/A</v>
      </c>
      <c r="AN236" s="73" t="e">
        <f>+VLOOKUP($E236,Primary!$1:$1048576,AN$2,FALSE)</f>
        <v>#N/A</v>
      </c>
      <c r="AO236" s="73" t="e">
        <f>+VLOOKUP($E236,Primary!$1:$1048576,AO$2,FALSE)</f>
        <v>#N/A</v>
      </c>
      <c r="AP236" s="73"/>
      <c r="AQ236" s="73"/>
    </row>
    <row r="237" spans="1:43" s="365" customFormat="1" ht="15" customHeight="1" x14ac:dyDescent="0.25">
      <c r="A237" s="324"/>
      <c r="B237" s="325"/>
      <c r="C237" s="364"/>
      <c r="D237" s="86"/>
      <c r="E237" s="84" t="s">
        <v>2054</v>
      </c>
      <c r="F237" s="73" t="e">
        <f>+VLOOKUP($E237,Primary!$1:$1048576,F$2,FALSE)</f>
        <v>#N/A</v>
      </c>
      <c r="G237" s="73" t="e">
        <f>+VLOOKUP($E237,Primary!$1:$1048576,G$2,FALSE)</f>
        <v>#N/A</v>
      </c>
      <c r="H237" s="73" t="e">
        <f>+VLOOKUP($E237,Primary!$1:$1048576,H$2,FALSE)</f>
        <v>#N/A</v>
      </c>
      <c r="I237" s="73" t="e">
        <f>+VLOOKUP($E237,Primary!$1:$1048576,I$2,FALSE)</f>
        <v>#N/A</v>
      </c>
      <c r="J237" s="73" t="e">
        <f>+VLOOKUP($E237,Primary!$1:$1048576,J$2,FALSE)</f>
        <v>#N/A</v>
      </c>
      <c r="K237" s="73" t="e">
        <f>+VLOOKUP($E237,Primary!$1:$1048576,K$2,FALSE)</f>
        <v>#N/A</v>
      </c>
      <c r="L237" s="73" t="e">
        <f>+VLOOKUP($E237,Primary!$1:$1048576,L$2,FALSE)</f>
        <v>#N/A</v>
      </c>
      <c r="M237" s="73" t="e">
        <f>+VLOOKUP($E237,Primary!$1:$1048576,M$2,FALSE)</f>
        <v>#N/A</v>
      </c>
      <c r="N237" s="73" t="e">
        <f>+VLOOKUP($E237,Primary!$1:$1048576,N$2,FALSE)</f>
        <v>#N/A</v>
      </c>
      <c r="O237" s="73" t="e">
        <f>+VLOOKUP($E237,Primary!$1:$1048576,O$2,FALSE)</f>
        <v>#N/A</v>
      </c>
      <c r="P237" s="73" t="e">
        <f>+VLOOKUP($E237,Primary!$1:$1048576,P$2,FALSE)</f>
        <v>#N/A</v>
      </c>
      <c r="Q237" s="73" t="e">
        <f>+VLOOKUP($E237,Primary!$1:$1048576,Q$2,FALSE)</f>
        <v>#N/A</v>
      </c>
      <c r="R237" s="73" t="e">
        <f>+VLOOKUP($E237,Primary!$1:$1048576,R$2,FALSE)</f>
        <v>#N/A</v>
      </c>
      <c r="S237" s="73" t="e">
        <f>+VLOOKUP($E237,Primary!$1:$1048576,S$2,FALSE)</f>
        <v>#N/A</v>
      </c>
      <c r="T237" s="73" t="e">
        <f>+VLOOKUP($E237,Primary!$1:$1048576,T$2,FALSE)</f>
        <v>#N/A</v>
      </c>
      <c r="U237" s="73" t="e">
        <f>+VLOOKUP($E237,Primary!$1:$1048576,U$2,FALSE)</f>
        <v>#N/A</v>
      </c>
      <c r="V237" s="73" t="e">
        <f>+VLOOKUP($E237,Primary!$1:$1048576,V$2,FALSE)</f>
        <v>#N/A</v>
      </c>
      <c r="W237" s="73" t="e">
        <f>+VLOOKUP($E237,Primary!$1:$1048576,W$2,FALSE)</f>
        <v>#N/A</v>
      </c>
      <c r="X237" s="73" t="e">
        <f>+VLOOKUP($E237,Primary!$1:$1048576,X$2,FALSE)</f>
        <v>#N/A</v>
      </c>
      <c r="Y237" s="73" t="e">
        <f>+VLOOKUP($E237,Primary!$1:$1048576,Y$2,FALSE)</f>
        <v>#N/A</v>
      </c>
      <c r="Z237" s="73" t="e">
        <f>+VLOOKUP($E237,Primary!$1:$1048576,Z$2,FALSE)</f>
        <v>#N/A</v>
      </c>
      <c r="AA237" s="73" t="e">
        <f>+VLOOKUP($E237,Primary!$1:$1048576,AA$2,FALSE)</f>
        <v>#N/A</v>
      </c>
      <c r="AB237" s="73" t="e">
        <f>+VLOOKUP($E237,Primary!$1:$1048576,AB$2,FALSE)</f>
        <v>#N/A</v>
      </c>
      <c r="AC237" s="73" t="e">
        <f>+VLOOKUP($E237,Primary!$1:$1048576,AC$2,FALSE)</f>
        <v>#N/A</v>
      </c>
      <c r="AD237" s="73" t="e">
        <f>+VLOOKUP($E237,Primary!$1:$1048576,AD$2,FALSE)</f>
        <v>#N/A</v>
      </c>
      <c r="AE237" s="73" t="e">
        <f>+VLOOKUP($E237,Primary!$1:$1048576,AE$2,FALSE)</f>
        <v>#N/A</v>
      </c>
      <c r="AF237" s="73" t="e">
        <f>+VLOOKUP($E237,Primary!$1:$1048576,AF$2,FALSE)</f>
        <v>#N/A</v>
      </c>
      <c r="AG237" s="73" t="e">
        <f>+VLOOKUP($E237,Primary!$1:$1048576,AG$2,FALSE)</f>
        <v>#N/A</v>
      </c>
      <c r="AH237" s="73" t="e">
        <f>+VLOOKUP($E237,Primary!$1:$1048576,AH$2,FALSE)</f>
        <v>#N/A</v>
      </c>
      <c r="AI237" s="73" t="e">
        <f>+VLOOKUP($E237,Primary!$1:$1048576,AI$2,FALSE)</f>
        <v>#N/A</v>
      </c>
      <c r="AJ237" s="73" t="e">
        <f>+VLOOKUP($E237,Primary!$1:$1048576,AJ$2,FALSE)</f>
        <v>#N/A</v>
      </c>
      <c r="AK237" s="73" t="e">
        <f>+VLOOKUP($E237,Primary!$1:$1048576,AK$2,FALSE)</f>
        <v>#N/A</v>
      </c>
      <c r="AL237" s="73" t="e">
        <f>+VLOOKUP($E237,Primary!$1:$1048576,AL$2,FALSE)</f>
        <v>#N/A</v>
      </c>
      <c r="AM237" s="73" t="e">
        <f>+VLOOKUP($E237,Primary!$1:$1048576,AM$2,FALSE)</f>
        <v>#N/A</v>
      </c>
      <c r="AN237" s="73" t="e">
        <f>+VLOOKUP($E237,Primary!$1:$1048576,AN$2,FALSE)</f>
        <v>#N/A</v>
      </c>
      <c r="AO237" s="73" t="e">
        <f>+VLOOKUP($E237,Primary!$1:$1048576,AO$2,FALSE)</f>
        <v>#N/A</v>
      </c>
      <c r="AP237" s="73"/>
      <c r="AQ237" s="73"/>
    </row>
    <row r="238" spans="1:43" s="111" customFormat="1" ht="15" customHeight="1" x14ac:dyDescent="0.25">
      <c r="A238" s="324"/>
      <c r="B238" s="325"/>
      <c r="C238" s="134" t="s">
        <v>574</v>
      </c>
      <c r="D238" s="112"/>
      <c r="E238" s="87" t="s">
        <v>596</v>
      </c>
      <c r="F238" s="73">
        <f>+VLOOKUP($E238,Primary!$1:$1048576,F$2,FALSE)</f>
        <v>13.853522</v>
      </c>
      <c r="G238" s="73">
        <f>+VLOOKUP($E238,Primary!$1:$1048576,G$2,FALSE)</f>
        <v>13.9892843</v>
      </c>
      <c r="H238" s="73">
        <f>+VLOOKUP($E238,Primary!$1:$1048576,H$2,FALSE)</f>
        <v>14.114901700000001</v>
      </c>
      <c r="I238" s="73">
        <f>+VLOOKUP($E238,Primary!$1:$1048576,I$2,FALSE)</f>
        <v>14.237573060000001</v>
      </c>
      <c r="J238" s="73">
        <f>+VLOOKUP($E238,Primary!$1:$1048576,J$2,FALSE)</f>
        <v>14.359112379999999</v>
      </c>
      <c r="K238" s="73">
        <f>+VLOOKUP($E238,Primary!$1:$1048576,K$2,FALSE)</f>
        <v>14.47843379</v>
      </c>
      <c r="L238" s="73">
        <f>+VLOOKUP($E238,Primary!$1:$1048576,L$2,FALSE)</f>
        <v>14.59571964</v>
      </c>
      <c r="M238" s="73">
        <f>+VLOOKUP($E238,Primary!$1:$1048576,M$2,FALSE)</f>
        <v>14.71298941</v>
      </c>
      <c r="N238" s="73">
        <f>+VLOOKUP($E238,Primary!$1:$1048576,N$2,FALSE)</f>
        <v>14.831389100000001</v>
      </c>
      <c r="O238" s="73">
        <f>+VLOOKUP($E238,Primary!$1:$1048576,O$2,FALSE)</f>
        <v>14.951024889999999</v>
      </c>
      <c r="P238" s="73">
        <f>+VLOOKUP($E238,Primary!$1:$1048576,P$2,FALSE)</f>
        <v>15.07114267</v>
      </c>
      <c r="Q238" s="73">
        <f>+VLOOKUP($E238,Primary!$1:$1048576,Q$2,FALSE)</f>
        <v>15.190354190000001</v>
      </c>
      <c r="R238" s="73">
        <f>+VLOOKUP($E238,Primary!$1:$1048576,R$2,FALSE)</f>
        <v>15.306844570000001</v>
      </c>
      <c r="S238" s="73">
        <f>+VLOOKUP($E238,Primary!$1:$1048576,S$2,FALSE)</f>
        <v>15.41855103</v>
      </c>
      <c r="T238" s="73">
        <f>+VLOOKUP($E238,Primary!$1:$1048576,T$2,FALSE)</f>
        <v>15.52331446</v>
      </c>
      <c r="U238" s="73">
        <f>+VLOOKUP($E238,Primary!$1:$1048576,U$2,FALSE)</f>
        <v>15.619005980000001</v>
      </c>
      <c r="V238" s="73">
        <f>+VLOOKUP($E238,Primary!$1:$1048576,V$2,FALSE)</f>
        <v>15.70538397</v>
      </c>
      <c r="W238" s="73">
        <f>+VLOOKUP($E238,Primary!$1:$1048576,W$2,FALSE)</f>
        <v>15.784267140000001</v>
      </c>
      <c r="X238" s="73">
        <f>+VLOOKUP($E238,Primary!$1:$1048576,X$2,FALSE)</f>
        <v>15.85752709</v>
      </c>
      <c r="Y238" s="73">
        <f>+VLOOKUP($E238,Primary!$1:$1048576,Y$2,FALSE)</f>
        <v>15.92672237</v>
      </c>
      <c r="Z238" s="73">
        <f>+VLOOKUP($E238,Primary!$1:$1048576,Z$2,FALSE)</f>
        <v>15.99305946</v>
      </c>
      <c r="AA238" s="73">
        <f>+VLOOKUP($E238,Primary!$1:$1048576,AA$2,FALSE)</f>
        <v>16.057441919999999</v>
      </c>
      <c r="AB238" s="73">
        <f>+VLOOKUP($E238,Primary!$1:$1048576,AB$2,FALSE)</f>
        <v>16.120536359999999</v>
      </c>
      <c r="AC238" s="73">
        <f>+VLOOKUP($E238,Primary!$1:$1048576,AC$2,FALSE)</f>
        <v>16.182832940000001</v>
      </c>
      <c r="AD238" s="73">
        <f>+VLOOKUP($E238,Primary!$1:$1048576,AD$2,FALSE)</f>
        <v>16.244694620000001</v>
      </c>
      <c r="AE238" s="73">
        <f>+VLOOKUP($E238,Primary!$1:$1048576,AE$2,FALSE)</f>
        <v>16.30639498</v>
      </c>
      <c r="AF238" s="73">
        <f>+VLOOKUP($E238,Primary!$1:$1048576,AF$2,FALSE)</f>
        <v>16.368146289999999</v>
      </c>
      <c r="AG238" s="73">
        <f>+VLOOKUP($E238,Primary!$1:$1048576,AG$2,FALSE)</f>
        <v>16.430119869999999</v>
      </c>
      <c r="AH238" s="73">
        <f>+VLOOKUP($E238,Primary!$1:$1048576,AH$2,FALSE)</f>
        <v>16.49246063</v>
      </c>
      <c r="AI238" s="73">
        <f>+VLOOKUP($E238,Primary!$1:$1048576,AI$2,FALSE)</f>
        <v>16.555297339999999</v>
      </c>
      <c r="AJ238" s="73">
        <f>+VLOOKUP($E238,Primary!$1:$1048576,AJ$2,FALSE)</f>
        <v>16.618749860000001</v>
      </c>
      <c r="AK238" s="73">
        <f>+VLOOKUP($E238,Primary!$1:$1048576,AK$2,FALSE)</f>
        <v>16.68293418</v>
      </c>
      <c r="AL238" s="73">
        <f>+VLOOKUP($E238,Primary!$1:$1048576,AL$2,FALSE)</f>
        <v>16.747965990000001</v>
      </c>
      <c r="AM238" s="73">
        <f>+VLOOKUP($E238,Primary!$1:$1048576,AM$2,FALSE)</f>
        <v>16.813963229999999</v>
      </c>
      <c r="AN238" s="73">
        <f>+VLOOKUP($E238,Primary!$1:$1048576,AN$2,FALSE)</f>
        <v>16.881047800000001</v>
      </c>
      <c r="AO238" s="73">
        <f>+VLOOKUP($E238,Primary!$1:$1048576,AO$2,FALSE)</f>
        <v>16.949346859999999</v>
      </c>
      <c r="AP238" s="73"/>
      <c r="AQ238" s="73"/>
    </row>
    <row r="239" spans="1:43" s="365" customFormat="1" ht="15" customHeight="1" x14ac:dyDescent="0.25">
      <c r="A239" s="324"/>
      <c r="B239" s="325"/>
      <c r="C239" s="364"/>
      <c r="D239" s="86"/>
      <c r="E239" s="84" t="s">
        <v>2055</v>
      </c>
      <c r="F239" s="73" t="e">
        <f>+VLOOKUP($E239,Primary!$1:$1048576,F$2,FALSE)</f>
        <v>#N/A</v>
      </c>
      <c r="G239" s="73" t="e">
        <f>+VLOOKUP($E239,Primary!$1:$1048576,G$2,FALSE)</f>
        <v>#N/A</v>
      </c>
      <c r="H239" s="73" t="e">
        <f>+VLOOKUP($E239,Primary!$1:$1048576,H$2,FALSE)</f>
        <v>#N/A</v>
      </c>
      <c r="I239" s="73" t="e">
        <f>+VLOOKUP($E239,Primary!$1:$1048576,I$2,FALSE)</f>
        <v>#N/A</v>
      </c>
      <c r="J239" s="73" t="e">
        <f>+VLOOKUP($E239,Primary!$1:$1048576,J$2,FALSE)</f>
        <v>#N/A</v>
      </c>
      <c r="K239" s="73" t="e">
        <f>+VLOOKUP($E239,Primary!$1:$1048576,K$2,FALSE)</f>
        <v>#N/A</v>
      </c>
      <c r="L239" s="73" t="e">
        <f>+VLOOKUP($E239,Primary!$1:$1048576,L$2,FALSE)</f>
        <v>#N/A</v>
      </c>
      <c r="M239" s="73" t="e">
        <f>+VLOOKUP($E239,Primary!$1:$1048576,M$2,FALSE)</f>
        <v>#N/A</v>
      </c>
      <c r="N239" s="73" t="e">
        <f>+VLOOKUP($E239,Primary!$1:$1048576,N$2,FALSE)</f>
        <v>#N/A</v>
      </c>
      <c r="O239" s="73" t="e">
        <f>+VLOOKUP($E239,Primary!$1:$1048576,O$2,FALSE)</f>
        <v>#N/A</v>
      </c>
      <c r="P239" s="73" t="e">
        <f>+VLOOKUP($E239,Primary!$1:$1048576,P$2,FALSE)</f>
        <v>#N/A</v>
      </c>
      <c r="Q239" s="73" t="e">
        <f>+VLOOKUP($E239,Primary!$1:$1048576,Q$2,FALSE)</f>
        <v>#N/A</v>
      </c>
      <c r="R239" s="73" t="e">
        <f>+VLOOKUP($E239,Primary!$1:$1048576,R$2,FALSE)</f>
        <v>#N/A</v>
      </c>
      <c r="S239" s="73" t="e">
        <f>+VLOOKUP($E239,Primary!$1:$1048576,S$2,FALSE)</f>
        <v>#N/A</v>
      </c>
      <c r="T239" s="73" t="e">
        <f>+VLOOKUP($E239,Primary!$1:$1048576,T$2,FALSE)</f>
        <v>#N/A</v>
      </c>
      <c r="U239" s="73" t="e">
        <f>+VLOOKUP($E239,Primary!$1:$1048576,U$2,FALSE)</f>
        <v>#N/A</v>
      </c>
      <c r="V239" s="73" t="e">
        <f>+VLOOKUP($E239,Primary!$1:$1048576,V$2,FALSE)</f>
        <v>#N/A</v>
      </c>
      <c r="W239" s="73" t="e">
        <f>+VLOOKUP($E239,Primary!$1:$1048576,W$2,FALSE)</f>
        <v>#N/A</v>
      </c>
      <c r="X239" s="73" t="e">
        <f>+VLOOKUP($E239,Primary!$1:$1048576,X$2,FALSE)</f>
        <v>#N/A</v>
      </c>
      <c r="Y239" s="73" t="e">
        <f>+VLOOKUP($E239,Primary!$1:$1048576,Y$2,FALSE)</f>
        <v>#N/A</v>
      </c>
      <c r="Z239" s="73" t="e">
        <f>+VLOOKUP($E239,Primary!$1:$1048576,Z$2,FALSE)</f>
        <v>#N/A</v>
      </c>
      <c r="AA239" s="73" t="e">
        <f>+VLOOKUP($E239,Primary!$1:$1048576,AA$2,FALSE)</f>
        <v>#N/A</v>
      </c>
      <c r="AB239" s="73" t="e">
        <f>+VLOOKUP($E239,Primary!$1:$1048576,AB$2,FALSE)</f>
        <v>#N/A</v>
      </c>
      <c r="AC239" s="73" t="e">
        <f>+VLOOKUP($E239,Primary!$1:$1048576,AC$2,FALSE)</f>
        <v>#N/A</v>
      </c>
      <c r="AD239" s="73" t="e">
        <f>+VLOOKUP($E239,Primary!$1:$1048576,AD$2,FALSE)</f>
        <v>#N/A</v>
      </c>
      <c r="AE239" s="73" t="e">
        <f>+VLOOKUP($E239,Primary!$1:$1048576,AE$2,FALSE)</f>
        <v>#N/A</v>
      </c>
      <c r="AF239" s="73" t="e">
        <f>+VLOOKUP($E239,Primary!$1:$1048576,AF$2,FALSE)</f>
        <v>#N/A</v>
      </c>
      <c r="AG239" s="73" t="e">
        <f>+VLOOKUP($E239,Primary!$1:$1048576,AG$2,FALSE)</f>
        <v>#N/A</v>
      </c>
      <c r="AH239" s="73" t="e">
        <f>+VLOOKUP($E239,Primary!$1:$1048576,AH$2,FALSE)</f>
        <v>#N/A</v>
      </c>
      <c r="AI239" s="73" t="e">
        <f>+VLOOKUP($E239,Primary!$1:$1048576,AI$2,FALSE)</f>
        <v>#N/A</v>
      </c>
      <c r="AJ239" s="73" t="e">
        <f>+VLOOKUP($E239,Primary!$1:$1048576,AJ$2,FALSE)</f>
        <v>#N/A</v>
      </c>
      <c r="AK239" s="73" t="e">
        <f>+VLOOKUP($E239,Primary!$1:$1048576,AK$2,FALSE)</f>
        <v>#N/A</v>
      </c>
      <c r="AL239" s="73" t="e">
        <f>+VLOOKUP($E239,Primary!$1:$1048576,AL$2,FALSE)</f>
        <v>#N/A</v>
      </c>
      <c r="AM239" s="73" t="e">
        <f>+VLOOKUP($E239,Primary!$1:$1048576,AM$2,FALSE)</f>
        <v>#N/A</v>
      </c>
      <c r="AN239" s="73" t="e">
        <f>+VLOOKUP($E239,Primary!$1:$1048576,AN$2,FALSE)</f>
        <v>#N/A</v>
      </c>
      <c r="AO239" s="73" t="e">
        <f>+VLOOKUP($E239,Primary!$1:$1048576,AO$2,FALSE)</f>
        <v>#N/A</v>
      </c>
      <c r="AP239" s="73"/>
      <c r="AQ239" s="73"/>
    </row>
    <row r="240" spans="1:43" s="365" customFormat="1" ht="15" customHeight="1" x14ac:dyDescent="0.25">
      <c r="A240" s="324"/>
      <c r="B240" s="325"/>
      <c r="C240" s="366"/>
      <c r="D240" s="367"/>
      <c r="E240" s="368" t="s">
        <v>2056</v>
      </c>
      <c r="F240" s="245" t="e">
        <f>+VLOOKUP($E240,Primary!$1:$1048576,F$2,FALSE)</f>
        <v>#N/A</v>
      </c>
      <c r="G240" s="245" t="e">
        <f>+VLOOKUP($E240,Primary!$1:$1048576,G$2,FALSE)</f>
        <v>#N/A</v>
      </c>
      <c r="H240" s="245" t="e">
        <f>+VLOOKUP($E240,Primary!$1:$1048576,H$2,FALSE)</f>
        <v>#N/A</v>
      </c>
      <c r="I240" s="245" t="e">
        <f>+VLOOKUP($E240,Primary!$1:$1048576,I$2,FALSE)</f>
        <v>#N/A</v>
      </c>
      <c r="J240" s="245" t="e">
        <f>+VLOOKUP($E240,Primary!$1:$1048576,J$2,FALSE)</f>
        <v>#N/A</v>
      </c>
      <c r="K240" s="245" t="e">
        <f>+VLOOKUP($E240,Primary!$1:$1048576,K$2,FALSE)</f>
        <v>#N/A</v>
      </c>
      <c r="L240" s="245" t="e">
        <f>+VLOOKUP($E240,Primary!$1:$1048576,L$2,FALSE)</f>
        <v>#N/A</v>
      </c>
      <c r="M240" s="245" t="e">
        <f>+VLOOKUP($E240,Primary!$1:$1048576,M$2,FALSE)</f>
        <v>#N/A</v>
      </c>
      <c r="N240" s="245" t="e">
        <f>+VLOOKUP($E240,Primary!$1:$1048576,N$2,FALSE)</f>
        <v>#N/A</v>
      </c>
      <c r="O240" s="245" t="e">
        <f>+VLOOKUP($E240,Primary!$1:$1048576,O$2,FALSE)</f>
        <v>#N/A</v>
      </c>
      <c r="P240" s="245" t="e">
        <f>+VLOOKUP($E240,Primary!$1:$1048576,P$2,FALSE)</f>
        <v>#N/A</v>
      </c>
      <c r="Q240" s="245" t="e">
        <f>+VLOOKUP($E240,Primary!$1:$1048576,Q$2,FALSE)</f>
        <v>#N/A</v>
      </c>
      <c r="R240" s="245" t="e">
        <f>+VLOOKUP($E240,Primary!$1:$1048576,R$2,FALSE)</f>
        <v>#N/A</v>
      </c>
      <c r="S240" s="245" t="e">
        <f>+VLOOKUP($E240,Primary!$1:$1048576,S$2,FALSE)</f>
        <v>#N/A</v>
      </c>
      <c r="T240" s="245" t="e">
        <f>+VLOOKUP($E240,Primary!$1:$1048576,T$2,FALSE)</f>
        <v>#N/A</v>
      </c>
      <c r="U240" s="245" t="e">
        <f>+VLOOKUP($E240,Primary!$1:$1048576,U$2,FALSE)</f>
        <v>#N/A</v>
      </c>
      <c r="V240" s="245" t="e">
        <f>+VLOOKUP($E240,Primary!$1:$1048576,V$2,FALSE)</f>
        <v>#N/A</v>
      </c>
      <c r="W240" s="245" t="e">
        <f>+VLOOKUP($E240,Primary!$1:$1048576,W$2,FALSE)</f>
        <v>#N/A</v>
      </c>
      <c r="X240" s="245" t="e">
        <f>+VLOOKUP($E240,Primary!$1:$1048576,X$2,FALSE)</f>
        <v>#N/A</v>
      </c>
      <c r="Y240" s="245" t="e">
        <f>+VLOOKUP($E240,Primary!$1:$1048576,Y$2,FALSE)</f>
        <v>#N/A</v>
      </c>
      <c r="Z240" s="245" t="e">
        <f>+VLOOKUP($E240,Primary!$1:$1048576,Z$2,FALSE)</f>
        <v>#N/A</v>
      </c>
      <c r="AA240" s="245" t="e">
        <f>+VLOOKUP($E240,Primary!$1:$1048576,AA$2,FALSE)</f>
        <v>#N/A</v>
      </c>
      <c r="AB240" s="245" t="e">
        <f>+VLOOKUP($E240,Primary!$1:$1048576,AB$2,FALSE)</f>
        <v>#N/A</v>
      </c>
      <c r="AC240" s="245" t="e">
        <f>+VLOOKUP($E240,Primary!$1:$1048576,AC$2,FALSE)</f>
        <v>#N/A</v>
      </c>
      <c r="AD240" s="245" t="e">
        <f>+VLOOKUP($E240,Primary!$1:$1048576,AD$2,FALSE)</f>
        <v>#N/A</v>
      </c>
      <c r="AE240" s="245" t="e">
        <f>+VLOOKUP($E240,Primary!$1:$1048576,AE$2,FALSE)</f>
        <v>#N/A</v>
      </c>
      <c r="AF240" s="245" t="e">
        <f>+VLOOKUP($E240,Primary!$1:$1048576,AF$2,FALSE)</f>
        <v>#N/A</v>
      </c>
      <c r="AG240" s="245" t="e">
        <f>+VLOOKUP($E240,Primary!$1:$1048576,AG$2,FALSE)</f>
        <v>#N/A</v>
      </c>
      <c r="AH240" s="245" t="e">
        <f>+VLOOKUP($E240,Primary!$1:$1048576,AH$2,FALSE)</f>
        <v>#N/A</v>
      </c>
      <c r="AI240" s="245" t="e">
        <f>+VLOOKUP($E240,Primary!$1:$1048576,AI$2,FALSE)</f>
        <v>#N/A</v>
      </c>
      <c r="AJ240" s="245" t="e">
        <f>+VLOOKUP($E240,Primary!$1:$1048576,AJ$2,FALSE)</f>
        <v>#N/A</v>
      </c>
      <c r="AK240" s="245" t="e">
        <f>+VLOOKUP($E240,Primary!$1:$1048576,AK$2,FALSE)</f>
        <v>#N/A</v>
      </c>
      <c r="AL240" s="245" t="e">
        <f>+VLOOKUP($E240,Primary!$1:$1048576,AL$2,FALSE)</f>
        <v>#N/A</v>
      </c>
      <c r="AM240" s="245" t="e">
        <f>+VLOOKUP($E240,Primary!$1:$1048576,AM$2,FALSE)</f>
        <v>#N/A</v>
      </c>
      <c r="AN240" s="245" t="e">
        <f>+VLOOKUP($E240,Primary!$1:$1048576,AN$2,FALSE)</f>
        <v>#N/A</v>
      </c>
      <c r="AO240" s="245" t="e">
        <f>+VLOOKUP($E240,Primary!$1:$1048576,AO$2,FALSE)</f>
        <v>#N/A</v>
      </c>
      <c r="AP240" s="245"/>
      <c r="AQ240" s="245"/>
    </row>
    <row r="241" spans="1:43" s="111" customFormat="1" ht="15" customHeight="1" x14ac:dyDescent="0.25">
      <c r="A241" s="324"/>
      <c r="B241" s="325"/>
      <c r="C241" s="134" t="s">
        <v>817</v>
      </c>
      <c r="D241" s="134"/>
      <c r="E241" s="87" t="s">
        <v>1034</v>
      </c>
      <c r="F241" s="73">
        <f>+VLOOKUP($E241,Primary!$1:$1048576,F$2,FALSE)</f>
        <v>148.576201</v>
      </c>
      <c r="G241" s="73">
        <f>+VLOOKUP($E241,Primary!$1:$1048576,G$2,FALSE)</f>
        <v>149.57013330000001</v>
      </c>
      <c r="H241" s="73">
        <f>+VLOOKUP($E241,Primary!$1:$1048576,H$2,FALSE)</f>
        <v>150.34484019999999</v>
      </c>
      <c r="I241" s="73">
        <f>+VLOOKUP($E241,Primary!$1:$1048576,I$2,FALSE)</f>
        <v>151.1098854</v>
      </c>
      <c r="J241" s="73">
        <f>+VLOOKUP($E241,Primary!$1:$1048576,J$2,FALSE)</f>
        <v>151.93569099999999</v>
      </c>
      <c r="K241" s="73">
        <f>+VLOOKUP($E241,Primary!$1:$1048576,K$2,FALSE)</f>
        <v>152.83469719999999</v>
      </c>
      <c r="L241" s="73">
        <f>+VLOOKUP($E241,Primary!$1:$1048576,L$2,FALSE)</f>
        <v>153.7993012</v>
      </c>
      <c r="M241" s="73">
        <f>+VLOOKUP($E241,Primary!$1:$1048576,M$2,FALSE)</f>
        <v>154.81742510000001</v>
      </c>
      <c r="N241" s="73">
        <f>+VLOOKUP($E241,Primary!$1:$1048576,N$2,FALSE)</f>
        <v>155.87806119999999</v>
      </c>
      <c r="O241" s="73">
        <f>+VLOOKUP($E241,Primary!$1:$1048576,O$2,FALSE)</f>
        <v>156.97270080000001</v>
      </c>
      <c r="P241" s="73">
        <f>+VLOOKUP($E241,Primary!$1:$1048576,P$2,FALSE)</f>
        <v>158.09525450000001</v>
      </c>
      <c r="Q241" s="73">
        <f>+VLOOKUP($E241,Primary!$1:$1048576,Q$2,FALSE)</f>
        <v>159.24154580000001</v>
      </c>
      <c r="R241" s="73">
        <f>+VLOOKUP($E241,Primary!$1:$1048576,R$2,FALSE)</f>
        <v>160.4087835</v>
      </c>
      <c r="S241" s="73">
        <f>+VLOOKUP($E241,Primary!$1:$1048576,S$2,FALSE)</f>
        <v>161.5951245</v>
      </c>
      <c r="T241" s="73">
        <f>+VLOOKUP($E241,Primary!$1:$1048576,T$2,FALSE)</f>
        <v>162.7993462</v>
      </c>
      <c r="U241" s="73">
        <f>+VLOOKUP($E241,Primary!$1:$1048576,U$2,FALSE)</f>
        <v>164.02069560000001</v>
      </c>
      <c r="V241" s="73">
        <f>+VLOOKUP($E241,Primary!$1:$1048576,V$2,FALSE)</f>
        <v>165.25872709999999</v>
      </c>
      <c r="W241" s="73">
        <f>+VLOOKUP($E241,Primary!$1:$1048576,W$2,FALSE)</f>
        <v>166.51314970000001</v>
      </c>
      <c r="X241" s="73">
        <f>+VLOOKUP($E241,Primary!$1:$1048576,X$2,FALSE)</f>
        <v>167.78380910000001</v>
      </c>
      <c r="Y241" s="73">
        <f>+VLOOKUP($E241,Primary!$1:$1048576,Y$2,FALSE)</f>
        <v>169.07065349999999</v>
      </c>
      <c r="Z241" s="73">
        <f>+VLOOKUP($E241,Primary!$1:$1048576,Z$2,FALSE)</f>
        <v>170.37371010000001</v>
      </c>
      <c r="AA241" s="73">
        <f>+VLOOKUP($E241,Primary!$1:$1048576,AA$2,FALSE)</f>
        <v>171.69305320000001</v>
      </c>
      <c r="AB241" s="73">
        <f>+VLOOKUP($E241,Primary!$1:$1048576,AB$2,FALSE)</f>
        <v>173.028785</v>
      </c>
      <c r="AC241" s="73">
        <f>+VLOOKUP($E241,Primary!$1:$1048576,AC$2,FALSE)</f>
        <v>174.3810264</v>
      </c>
      <c r="AD241" s="73">
        <f>+VLOOKUP($E241,Primary!$1:$1048576,AD$2,FALSE)</f>
        <v>175.7499115</v>
      </c>
      <c r="AE241" s="73">
        <f>+VLOOKUP($E241,Primary!$1:$1048576,AE$2,FALSE)</f>
        <v>177.13558610000001</v>
      </c>
      <c r="AF241" s="73">
        <f>+VLOOKUP($E241,Primary!$1:$1048576,AF$2,FALSE)</f>
        <v>178.53820680000001</v>
      </c>
      <c r="AG241" s="73">
        <f>+VLOOKUP($E241,Primary!$1:$1048576,AG$2,FALSE)</f>
        <v>179.95794119999999</v>
      </c>
      <c r="AH241" s="73">
        <f>+VLOOKUP($E241,Primary!$1:$1048576,AH$2,FALSE)</f>
        <v>181.39496829999999</v>
      </c>
      <c r="AI241" s="73">
        <f>+VLOOKUP($E241,Primary!$1:$1048576,AI$2,FALSE)</f>
        <v>182.8494786</v>
      </c>
      <c r="AJ241" s="73">
        <f>+VLOOKUP($E241,Primary!$1:$1048576,AJ$2,FALSE)</f>
        <v>184.32167010000001</v>
      </c>
      <c r="AK241" s="73">
        <f>+VLOOKUP($E241,Primary!$1:$1048576,AK$2,FALSE)</f>
        <v>185.81175379999999</v>
      </c>
      <c r="AL241" s="73">
        <f>+VLOOKUP($E241,Primary!$1:$1048576,AL$2,FALSE)</f>
        <v>187.31995190000001</v>
      </c>
      <c r="AM241" s="73">
        <f>+VLOOKUP($E241,Primary!$1:$1048576,AM$2,FALSE)</f>
        <v>188.84649580000001</v>
      </c>
      <c r="AN241" s="73">
        <f>+VLOOKUP($E241,Primary!$1:$1048576,AN$2,FALSE)</f>
        <v>190.3916251</v>
      </c>
      <c r="AO241" s="73">
        <f>+VLOOKUP($E241,Primary!$1:$1048576,AO$2,FALSE)</f>
        <v>191.95558600000001</v>
      </c>
      <c r="AP241" s="73"/>
      <c r="AQ241" s="73"/>
    </row>
    <row r="242" spans="1:43" s="111" customFormat="1" ht="15" customHeight="1" x14ac:dyDescent="0.25">
      <c r="A242" s="324"/>
      <c r="B242" s="325"/>
      <c r="C242" s="134" t="s">
        <v>599</v>
      </c>
      <c r="D242" s="134"/>
      <c r="E242" s="87" t="s">
        <v>603</v>
      </c>
      <c r="F242" s="73">
        <f>+VLOOKUP($E242,Primary!$1:$1048576,F$2,FALSE)</f>
        <v>2.391149</v>
      </c>
      <c r="G242" s="73">
        <f>+VLOOKUP($E242,Primary!$1:$1048576,G$2,FALSE)</f>
        <v>2.4138098349999999</v>
      </c>
      <c r="H242" s="73">
        <f>+VLOOKUP($E242,Primary!$1:$1048576,H$2,FALSE)</f>
        <v>2.435528138</v>
      </c>
      <c r="I242" s="73">
        <f>+VLOOKUP($E242,Primary!$1:$1048576,I$2,FALSE)</f>
        <v>2.4581597610000001</v>
      </c>
      <c r="J242" s="73">
        <f>+VLOOKUP($E242,Primary!$1:$1048576,J$2,FALSE)</f>
        <v>2.4821765899999999</v>
      </c>
      <c r="K242" s="73">
        <f>+VLOOKUP($E242,Primary!$1:$1048576,K$2,FALSE)</f>
        <v>2.5075018949999999</v>
      </c>
      <c r="L242" s="73">
        <f>+VLOOKUP($E242,Primary!$1:$1048576,L$2,FALSE)</f>
        <v>2.5339147369999999</v>
      </c>
      <c r="M242" s="73">
        <f>+VLOOKUP($E242,Primary!$1:$1048576,M$2,FALSE)</f>
        <v>2.561197301</v>
      </c>
      <c r="N242" s="73">
        <f>+VLOOKUP($E242,Primary!$1:$1048576,N$2,FALSE)</f>
        <v>2.5891752879999999</v>
      </c>
      <c r="O242" s="73">
        <f>+VLOOKUP($E242,Primary!$1:$1048576,O$2,FALSE)</f>
        <v>2.6177206100000001</v>
      </c>
      <c r="P242" s="73">
        <f>+VLOOKUP($E242,Primary!$1:$1048576,P$2,FALSE)</f>
        <v>2.6467433090000001</v>
      </c>
      <c r="Q242" s="73">
        <f>+VLOOKUP($E242,Primary!$1:$1048576,Q$2,FALSE)</f>
        <v>2.6761821170000002</v>
      </c>
      <c r="R242" s="73">
        <f>+VLOOKUP($E242,Primary!$1:$1048576,R$2,FALSE)</f>
        <v>2.7059964619999999</v>
      </c>
      <c r="S242" s="73">
        <f>+VLOOKUP($E242,Primary!$1:$1048576,S$2,FALSE)</f>
        <v>2.7361602989999998</v>
      </c>
      <c r="T242" s="73">
        <f>+VLOOKUP($E242,Primary!$1:$1048576,T$2,FALSE)</f>
        <v>2.7666573919999999</v>
      </c>
      <c r="U242" s="73">
        <f>+VLOOKUP($E242,Primary!$1:$1048576,U$2,FALSE)</f>
        <v>2.7974787710000002</v>
      </c>
      <c r="V242" s="73">
        <f>+VLOOKUP($E242,Primary!$1:$1048576,V$2,FALSE)</f>
        <v>2.8286203919999999</v>
      </c>
      <c r="W242" s="73">
        <f>+VLOOKUP($E242,Primary!$1:$1048576,W$2,FALSE)</f>
        <v>2.860081863</v>
      </c>
      <c r="X242" s="73">
        <f>+VLOOKUP($E242,Primary!$1:$1048576,X$2,FALSE)</f>
        <v>2.89186487</v>
      </c>
      <c r="Y242" s="73">
        <f>+VLOOKUP($E242,Primary!$1:$1048576,Y$2,FALSE)</f>
        <v>2.9239721200000002</v>
      </c>
      <c r="Z242" s="73">
        <f>+VLOOKUP($E242,Primary!$1:$1048576,Z$2,FALSE)</f>
        <v>2.9564069389999998</v>
      </c>
      <c r="AA242" s="73">
        <f>+VLOOKUP($E242,Primary!$1:$1048576,AA$2,FALSE)</f>
        <v>2.9891730120000002</v>
      </c>
      <c r="AB242" s="73">
        <f>+VLOOKUP($E242,Primary!$1:$1048576,AB$2,FALSE)</f>
        <v>3.0222742299999998</v>
      </c>
      <c r="AC242" s="73">
        <f>+VLOOKUP($E242,Primary!$1:$1048576,AC$2,FALSE)</f>
        <v>3.0557145920000002</v>
      </c>
      <c r="AD242" s="73">
        <f>+VLOOKUP($E242,Primary!$1:$1048576,AD$2,FALSE)</f>
        <v>3.0894981700000002</v>
      </c>
      <c r="AE242" s="73">
        <f>+VLOOKUP($E242,Primary!$1:$1048576,AE$2,FALSE)</f>
        <v>3.1236290919999998</v>
      </c>
      <c r="AF242" s="73">
        <f>+VLOOKUP($E242,Primary!$1:$1048576,AF$2,FALSE)</f>
        <v>3.1581115519999998</v>
      </c>
      <c r="AG242" s="73">
        <f>+VLOOKUP($E242,Primary!$1:$1048576,AG$2,FALSE)</f>
        <v>3.1929498239999998</v>
      </c>
      <c r="AH242" s="73">
        <f>+VLOOKUP($E242,Primary!$1:$1048576,AH$2,FALSE)</f>
        <v>3.2281482690000001</v>
      </c>
      <c r="AI242" s="73">
        <f>+VLOOKUP($E242,Primary!$1:$1048576,AI$2,FALSE)</f>
        <v>3.2637113470000001</v>
      </c>
      <c r="AJ242" s="73">
        <f>+VLOOKUP($E242,Primary!$1:$1048576,AJ$2,FALSE)</f>
        <v>3.299643648</v>
      </c>
      <c r="AK242" s="73">
        <f>+VLOOKUP($E242,Primary!$1:$1048576,AK$2,FALSE)</f>
        <v>3.3359498379999999</v>
      </c>
      <c r="AL242" s="73">
        <f>+VLOOKUP($E242,Primary!$1:$1048576,AL$2,FALSE)</f>
        <v>3.372634659</v>
      </c>
      <c r="AM242" s="73">
        <f>+VLOOKUP($E242,Primary!$1:$1048576,AM$2,FALSE)</f>
        <v>3.409702915</v>
      </c>
      <c r="AN242" s="73">
        <f>+VLOOKUP($E242,Primary!$1:$1048576,AN$2,FALSE)</f>
        <v>3.44715946</v>
      </c>
      <c r="AO242" s="73">
        <f>+VLOOKUP($E242,Primary!$1:$1048576,AO$2,FALSE)</f>
        <v>3.4850091879999998</v>
      </c>
      <c r="AP242" s="73"/>
      <c r="AQ242" s="73"/>
    </row>
    <row r="243" spans="1:43" s="365" customFormat="1" ht="15" customHeight="1" x14ac:dyDescent="0.25">
      <c r="A243" s="324"/>
      <c r="B243" s="325"/>
      <c r="C243" s="364"/>
      <c r="D243" s="364" t="s">
        <v>1107</v>
      </c>
      <c r="E243" s="84" t="s">
        <v>2057</v>
      </c>
      <c r="F243" s="73" t="e">
        <f>+VLOOKUP($E243,Primary!$1:$1048576,F$2,FALSE)</f>
        <v>#N/A</v>
      </c>
      <c r="G243" s="73" t="e">
        <f>+VLOOKUP($E243,Primary!$1:$1048576,G$2,FALSE)</f>
        <v>#N/A</v>
      </c>
      <c r="H243" s="73" t="e">
        <f>+VLOOKUP($E243,Primary!$1:$1048576,H$2,FALSE)</f>
        <v>#N/A</v>
      </c>
      <c r="I243" s="73" t="e">
        <f>+VLOOKUP($E243,Primary!$1:$1048576,I$2,FALSE)</f>
        <v>#N/A</v>
      </c>
      <c r="J243" s="73" t="e">
        <f>+VLOOKUP($E243,Primary!$1:$1048576,J$2,FALSE)</f>
        <v>#N/A</v>
      </c>
      <c r="K243" s="73" t="e">
        <f>+VLOOKUP($E243,Primary!$1:$1048576,K$2,FALSE)</f>
        <v>#N/A</v>
      </c>
      <c r="L243" s="73" t="e">
        <f>+VLOOKUP($E243,Primary!$1:$1048576,L$2,FALSE)</f>
        <v>#N/A</v>
      </c>
      <c r="M243" s="73" t="e">
        <f>+VLOOKUP($E243,Primary!$1:$1048576,M$2,FALSE)</f>
        <v>#N/A</v>
      </c>
      <c r="N243" s="73" t="e">
        <f>+VLOOKUP($E243,Primary!$1:$1048576,N$2,FALSE)</f>
        <v>#N/A</v>
      </c>
      <c r="O243" s="73" t="e">
        <f>+VLOOKUP($E243,Primary!$1:$1048576,O$2,FALSE)</f>
        <v>#N/A</v>
      </c>
      <c r="P243" s="73" t="e">
        <f>+VLOOKUP($E243,Primary!$1:$1048576,P$2,FALSE)</f>
        <v>#N/A</v>
      </c>
      <c r="Q243" s="73" t="e">
        <f>+VLOOKUP($E243,Primary!$1:$1048576,Q$2,FALSE)</f>
        <v>#N/A</v>
      </c>
      <c r="R243" s="73" t="e">
        <f>+VLOOKUP($E243,Primary!$1:$1048576,R$2,FALSE)</f>
        <v>#N/A</v>
      </c>
      <c r="S243" s="73" t="e">
        <f>+VLOOKUP($E243,Primary!$1:$1048576,S$2,FALSE)</f>
        <v>#N/A</v>
      </c>
      <c r="T243" s="73" t="e">
        <f>+VLOOKUP($E243,Primary!$1:$1048576,T$2,FALSE)</f>
        <v>#N/A</v>
      </c>
      <c r="U243" s="73" t="e">
        <f>+VLOOKUP($E243,Primary!$1:$1048576,U$2,FALSE)</f>
        <v>#N/A</v>
      </c>
      <c r="V243" s="73" t="e">
        <f>+VLOOKUP($E243,Primary!$1:$1048576,V$2,FALSE)</f>
        <v>#N/A</v>
      </c>
      <c r="W243" s="73" t="e">
        <f>+VLOOKUP($E243,Primary!$1:$1048576,W$2,FALSE)</f>
        <v>#N/A</v>
      </c>
      <c r="X243" s="73" t="e">
        <f>+VLOOKUP($E243,Primary!$1:$1048576,X$2,FALSE)</f>
        <v>#N/A</v>
      </c>
      <c r="Y243" s="73" t="e">
        <f>+VLOOKUP($E243,Primary!$1:$1048576,Y$2,FALSE)</f>
        <v>#N/A</v>
      </c>
      <c r="Z243" s="73" t="e">
        <f>+VLOOKUP($E243,Primary!$1:$1048576,Z$2,FALSE)</f>
        <v>#N/A</v>
      </c>
      <c r="AA243" s="73" t="e">
        <f>+VLOOKUP($E243,Primary!$1:$1048576,AA$2,FALSE)</f>
        <v>#N/A</v>
      </c>
      <c r="AB243" s="73" t="e">
        <f>+VLOOKUP($E243,Primary!$1:$1048576,AB$2,FALSE)</f>
        <v>#N/A</v>
      </c>
      <c r="AC243" s="73" t="e">
        <f>+VLOOKUP($E243,Primary!$1:$1048576,AC$2,FALSE)</f>
        <v>#N/A</v>
      </c>
      <c r="AD243" s="73" t="e">
        <f>+VLOOKUP($E243,Primary!$1:$1048576,AD$2,FALSE)</f>
        <v>#N/A</v>
      </c>
      <c r="AE243" s="73" t="e">
        <f>+VLOOKUP($E243,Primary!$1:$1048576,AE$2,FALSE)</f>
        <v>#N/A</v>
      </c>
      <c r="AF243" s="73" t="e">
        <f>+VLOOKUP($E243,Primary!$1:$1048576,AF$2,FALSE)</f>
        <v>#N/A</v>
      </c>
      <c r="AG243" s="73" t="e">
        <f>+VLOOKUP($E243,Primary!$1:$1048576,AG$2,FALSE)</f>
        <v>#N/A</v>
      </c>
      <c r="AH243" s="73" t="e">
        <f>+VLOOKUP($E243,Primary!$1:$1048576,AH$2,FALSE)</f>
        <v>#N/A</v>
      </c>
      <c r="AI243" s="73" t="e">
        <f>+VLOOKUP($E243,Primary!$1:$1048576,AI$2,FALSE)</f>
        <v>#N/A</v>
      </c>
      <c r="AJ243" s="73" t="e">
        <f>+VLOOKUP($E243,Primary!$1:$1048576,AJ$2,FALSE)</f>
        <v>#N/A</v>
      </c>
      <c r="AK243" s="73" t="e">
        <f>+VLOOKUP($E243,Primary!$1:$1048576,AK$2,FALSE)</f>
        <v>#N/A</v>
      </c>
      <c r="AL243" s="73" t="e">
        <f>+VLOOKUP($E243,Primary!$1:$1048576,AL$2,FALSE)</f>
        <v>#N/A</v>
      </c>
      <c r="AM243" s="73" t="e">
        <f>+VLOOKUP($E243,Primary!$1:$1048576,AM$2,FALSE)</f>
        <v>#N/A</v>
      </c>
      <c r="AN243" s="73" t="e">
        <f>+VLOOKUP($E243,Primary!$1:$1048576,AN$2,FALSE)</f>
        <v>#N/A</v>
      </c>
      <c r="AO243" s="73" t="e">
        <f>+VLOOKUP($E243,Primary!$1:$1048576,AO$2,FALSE)</f>
        <v>#N/A</v>
      </c>
      <c r="AP243" s="73"/>
      <c r="AQ243" s="73"/>
    </row>
    <row r="244" spans="1:43" s="365" customFormat="1" ht="15" customHeight="1" x14ac:dyDescent="0.25">
      <c r="A244" s="324"/>
      <c r="B244" s="325"/>
      <c r="C244" s="364"/>
      <c r="D244" s="364" t="s">
        <v>1107</v>
      </c>
      <c r="E244" s="84" t="s">
        <v>2058</v>
      </c>
      <c r="F244" s="73" t="e">
        <f>+VLOOKUP($E244,Primary!$1:$1048576,F$2,FALSE)</f>
        <v>#N/A</v>
      </c>
      <c r="G244" s="73" t="e">
        <f>+VLOOKUP($E244,Primary!$1:$1048576,G$2,FALSE)</f>
        <v>#N/A</v>
      </c>
      <c r="H244" s="73" t="e">
        <f>+VLOOKUP($E244,Primary!$1:$1048576,H$2,FALSE)</f>
        <v>#N/A</v>
      </c>
      <c r="I244" s="73" t="e">
        <f>+VLOOKUP($E244,Primary!$1:$1048576,I$2,FALSE)</f>
        <v>#N/A</v>
      </c>
      <c r="J244" s="73" t="e">
        <f>+VLOOKUP($E244,Primary!$1:$1048576,J$2,FALSE)</f>
        <v>#N/A</v>
      </c>
      <c r="K244" s="73" t="e">
        <f>+VLOOKUP($E244,Primary!$1:$1048576,K$2,FALSE)</f>
        <v>#N/A</v>
      </c>
      <c r="L244" s="73" t="e">
        <f>+VLOOKUP($E244,Primary!$1:$1048576,L$2,FALSE)</f>
        <v>#N/A</v>
      </c>
      <c r="M244" s="73" t="e">
        <f>+VLOOKUP($E244,Primary!$1:$1048576,M$2,FALSE)</f>
        <v>#N/A</v>
      </c>
      <c r="N244" s="73" t="e">
        <f>+VLOOKUP($E244,Primary!$1:$1048576,N$2,FALSE)</f>
        <v>#N/A</v>
      </c>
      <c r="O244" s="73" t="e">
        <f>+VLOOKUP($E244,Primary!$1:$1048576,O$2,FALSE)</f>
        <v>#N/A</v>
      </c>
      <c r="P244" s="73" t="e">
        <f>+VLOOKUP($E244,Primary!$1:$1048576,P$2,FALSE)</f>
        <v>#N/A</v>
      </c>
      <c r="Q244" s="73" t="e">
        <f>+VLOOKUP($E244,Primary!$1:$1048576,Q$2,FALSE)</f>
        <v>#N/A</v>
      </c>
      <c r="R244" s="73" t="e">
        <f>+VLOOKUP($E244,Primary!$1:$1048576,R$2,FALSE)</f>
        <v>#N/A</v>
      </c>
      <c r="S244" s="73" t="e">
        <f>+VLOOKUP($E244,Primary!$1:$1048576,S$2,FALSE)</f>
        <v>#N/A</v>
      </c>
      <c r="T244" s="73" t="e">
        <f>+VLOOKUP($E244,Primary!$1:$1048576,T$2,FALSE)</f>
        <v>#N/A</v>
      </c>
      <c r="U244" s="73" t="e">
        <f>+VLOOKUP($E244,Primary!$1:$1048576,U$2,FALSE)</f>
        <v>#N/A</v>
      </c>
      <c r="V244" s="73" t="e">
        <f>+VLOOKUP($E244,Primary!$1:$1048576,V$2,FALSE)</f>
        <v>#N/A</v>
      </c>
      <c r="W244" s="73" t="e">
        <f>+VLOOKUP($E244,Primary!$1:$1048576,W$2,FALSE)</f>
        <v>#N/A</v>
      </c>
      <c r="X244" s="73" t="e">
        <f>+VLOOKUP($E244,Primary!$1:$1048576,X$2,FALSE)</f>
        <v>#N/A</v>
      </c>
      <c r="Y244" s="73" t="e">
        <f>+VLOOKUP($E244,Primary!$1:$1048576,Y$2,FALSE)</f>
        <v>#N/A</v>
      </c>
      <c r="Z244" s="73" t="e">
        <f>+VLOOKUP($E244,Primary!$1:$1048576,Z$2,FALSE)</f>
        <v>#N/A</v>
      </c>
      <c r="AA244" s="73" t="e">
        <f>+VLOOKUP($E244,Primary!$1:$1048576,AA$2,FALSE)</f>
        <v>#N/A</v>
      </c>
      <c r="AB244" s="73" t="e">
        <f>+VLOOKUP($E244,Primary!$1:$1048576,AB$2,FALSE)</f>
        <v>#N/A</v>
      </c>
      <c r="AC244" s="73" t="e">
        <f>+VLOOKUP($E244,Primary!$1:$1048576,AC$2,FALSE)</f>
        <v>#N/A</v>
      </c>
      <c r="AD244" s="73" t="e">
        <f>+VLOOKUP($E244,Primary!$1:$1048576,AD$2,FALSE)</f>
        <v>#N/A</v>
      </c>
      <c r="AE244" s="73" t="e">
        <f>+VLOOKUP($E244,Primary!$1:$1048576,AE$2,FALSE)</f>
        <v>#N/A</v>
      </c>
      <c r="AF244" s="73" t="e">
        <f>+VLOOKUP($E244,Primary!$1:$1048576,AF$2,FALSE)</f>
        <v>#N/A</v>
      </c>
      <c r="AG244" s="73" t="e">
        <f>+VLOOKUP($E244,Primary!$1:$1048576,AG$2,FALSE)</f>
        <v>#N/A</v>
      </c>
      <c r="AH244" s="73" t="e">
        <f>+VLOOKUP($E244,Primary!$1:$1048576,AH$2,FALSE)</f>
        <v>#N/A</v>
      </c>
      <c r="AI244" s="73" t="e">
        <f>+VLOOKUP($E244,Primary!$1:$1048576,AI$2,FALSE)</f>
        <v>#N/A</v>
      </c>
      <c r="AJ244" s="73" t="e">
        <f>+VLOOKUP($E244,Primary!$1:$1048576,AJ$2,FALSE)</f>
        <v>#N/A</v>
      </c>
      <c r="AK244" s="73" t="e">
        <f>+VLOOKUP($E244,Primary!$1:$1048576,AK$2,FALSE)</f>
        <v>#N/A</v>
      </c>
      <c r="AL244" s="73" t="e">
        <f>+VLOOKUP($E244,Primary!$1:$1048576,AL$2,FALSE)</f>
        <v>#N/A</v>
      </c>
      <c r="AM244" s="73" t="e">
        <f>+VLOOKUP($E244,Primary!$1:$1048576,AM$2,FALSE)</f>
        <v>#N/A</v>
      </c>
      <c r="AN244" s="73" t="e">
        <f>+VLOOKUP($E244,Primary!$1:$1048576,AN$2,FALSE)</f>
        <v>#N/A</v>
      </c>
      <c r="AO244" s="73" t="e">
        <f>+VLOOKUP($E244,Primary!$1:$1048576,AO$2,FALSE)</f>
        <v>#N/A</v>
      </c>
      <c r="AP244" s="73"/>
      <c r="AQ244" s="73"/>
    </row>
    <row r="245" spans="1:43" s="111" customFormat="1" ht="15" customHeight="1" x14ac:dyDescent="0.25">
      <c r="A245" s="324"/>
      <c r="B245" s="325"/>
      <c r="C245" s="134" t="s">
        <v>600</v>
      </c>
      <c r="D245" s="134"/>
      <c r="E245" s="87" t="s">
        <v>604</v>
      </c>
      <c r="F245" s="73">
        <f>+VLOOKUP($E245,Primary!$1:$1048576,F$2,FALSE)</f>
        <v>1.0959989999999999</v>
      </c>
      <c r="G245" s="73">
        <f>+VLOOKUP($E245,Primary!$1:$1048576,G$2,FALSE)</f>
        <v>1.1028001160000001</v>
      </c>
      <c r="H245" s="73">
        <f>+VLOOKUP($E245,Primary!$1:$1048576,H$2,FALSE)</f>
        <v>1.1077767569999999</v>
      </c>
      <c r="I245" s="73">
        <f>+VLOOKUP($E245,Primary!$1:$1048576,I$2,FALSE)</f>
        <v>1.113099195</v>
      </c>
      <c r="J245" s="73">
        <f>+VLOOKUP($E245,Primary!$1:$1048576,J$2,FALSE)</f>
        <v>1.119431509</v>
      </c>
      <c r="K245" s="73">
        <f>+VLOOKUP($E245,Primary!$1:$1048576,K$2,FALSE)</f>
        <v>1.126786308</v>
      </c>
      <c r="L245" s="73">
        <f>+VLOOKUP($E245,Primary!$1:$1048576,L$2,FALSE)</f>
        <v>1.13497811</v>
      </c>
      <c r="M245" s="73">
        <f>+VLOOKUP($E245,Primary!$1:$1048576,M$2,FALSE)</f>
        <v>1.1438038129999999</v>
      </c>
      <c r="N245" s="73">
        <f>+VLOOKUP($E245,Primary!$1:$1048576,N$2,FALSE)</f>
        <v>1.153098556</v>
      </c>
      <c r="O245" s="73">
        <f>+VLOOKUP($E245,Primary!$1:$1048576,O$2,FALSE)</f>
        <v>1.162743262</v>
      </c>
      <c r="P245" s="73">
        <f>+VLOOKUP($E245,Primary!$1:$1048576,P$2,FALSE)</f>
        <v>1.1726568479999999</v>
      </c>
      <c r="Q245" s="73">
        <f>+VLOOKUP($E245,Primary!$1:$1048576,Q$2,FALSE)</f>
        <v>1.1827858360000001</v>
      </c>
      <c r="R245" s="73">
        <f>+VLOOKUP($E245,Primary!$1:$1048576,R$2,FALSE)</f>
        <v>1.1930955379999999</v>
      </c>
      <c r="S245" s="73">
        <f>+VLOOKUP($E245,Primary!$1:$1048576,S$2,FALSE)</f>
        <v>1.2035635629999999</v>
      </c>
      <c r="T245" s="73">
        <f>+VLOOKUP($E245,Primary!$1:$1048576,T$2,FALSE)</f>
        <v>1.2141752240000001</v>
      </c>
      <c r="U245" s="73">
        <f>+VLOOKUP($E245,Primary!$1:$1048576,U$2,FALSE)</f>
        <v>1.2249211879999999</v>
      </c>
      <c r="V245" s="73">
        <f>+VLOOKUP($E245,Primary!$1:$1048576,V$2,FALSE)</f>
        <v>1.235795572</v>
      </c>
      <c r="W245" s="73">
        <f>+VLOOKUP($E245,Primary!$1:$1048576,W$2,FALSE)</f>
        <v>1.246794701</v>
      </c>
      <c r="X245" s="73">
        <f>+VLOOKUP($E245,Primary!$1:$1048576,X$2,FALSE)</f>
        <v>1.257916335</v>
      </c>
      <c r="Y245" s="73">
        <f>+VLOOKUP($E245,Primary!$1:$1048576,Y$2,FALSE)</f>
        <v>1.2691591769999999</v>
      </c>
      <c r="Z245" s="73">
        <f>+VLOOKUP($E245,Primary!$1:$1048576,Z$2,FALSE)</f>
        <v>1.2805225499999999</v>
      </c>
      <c r="AA245" s="73">
        <f>+VLOOKUP($E245,Primary!$1:$1048576,AA$2,FALSE)</f>
        <v>1.2920062029999999</v>
      </c>
      <c r="AB245" s="73">
        <f>+VLOOKUP($E245,Primary!$1:$1048576,AB$2,FALSE)</f>
        <v>1.303610175</v>
      </c>
      <c r="AC245" s="73">
        <f>+VLOOKUP($E245,Primary!$1:$1048576,AC$2,FALSE)</f>
        <v>1.315334724</v>
      </c>
      <c r="AD245" s="73">
        <f>+VLOOKUP($E245,Primary!$1:$1048576,AD$2,FALSE)</f>
        <v>1.3271802859999999</v>
      </c>
      <c r="AE245" s="73">
        <f>+VLOOKUP($E245,Primary!$1:$1048576,AE$2,FALSE)</f>
        <v>1.3391474480000001</v>
      </c>
      <c r="AF245" s="73">
        <f>+VLOOKUP($E245,Primary!$1:$1048576,AF$2,FALSE)</f>
        <v>1.351236946</v>
      </c>
      <c r="AG245" s="73">
        <f>+VLOOKUP($E245,Primary!$1:$1048576,AG$2,FALSE)</f>
        <v>1.3634496540000001</v>
      </c>
      <c r="AH245" s="73">
        <f>+VLOOKUP($E245,Primary!$1:$1048576,AH$2,FALSE)</f>
        <v>1.3757865840000001</v>
      </c>
      <c r="AI245" s="73">
        <f>+VLOOKUP($E245,Primary!$1:$1048576,AI$2,FALSE)</f>
        <v>1.388248884</v>
      </c>
      <c r="AJ245" s="73">
        <f>+VLOOKUP($E245,Primary!$1:$1048576,AJ$2,FALSE)</f>
        <v>1.4008378260000001</v>
      </c>
      <c r="AK245" s="73">
        <f>+VLOOKUP($E245,Primary!$1:$1048576,AK$2,FALSE)</f>
        <v>1.4135548040000001</v>
      </c>
      <c r="AL245" s="73">
        <f>+VLOOKUP($E245,Primary!$1:$1048576,AL$2,FALSE)</f>
        <v>1.4264013200000001</v>
      </c>
      <c r="AM245" s="73">
        <f>+VLOOKUP($E245,Primary!$1:$1048576,AM$2,FALSE)</f>
        <v>1.4393789749999999</v>
      </c>
      <c r="AN245" s="73">
        <f>+VLOOKUP($E245,Primary!$1:$1048576,AN$2,FALSE)</f>
        <v>1.4524894500000001</v>
      </c>
      <c r="AO245" s="73">
        <f>+VLOOKUP($E245,Primary!$1:$1048576,AO$2,FALSE)</f>
        <v>1.4657344919999999</v>
      </c>
      <c r="AP245" s="73"/>
      <c r="AQ245" s="73"/>
    </row>
    <row r="246" spans="1:43" s="365" customFormat="1" ht="15" customHeight="1" x14ac:dyDescent="0.25">
      <c r="A246" s="324"/>
      <c r="B246" s="325"/>
      <c r="C246" s="364"/>
      <c r="D246" s="364" t="s">
        <v>2024</v>
      </c>
      <c r="E246" s="84" t="s">
        <v>2059</v>
      </c>
      <c r="F246" s="73" t="e">
        <f>+VLOOKUP($E246,Primary!$1:$1048576,F$2,FALSE)</f>
        <v>#N/A</v>
      </c>
      <c r="G246" s="73" t="e">
        <f>+VLOOKUP($E246,Primary!$1:$1048576,G$2,FALSE)</f>
        <v>#N/A</v>
      </c>
      <c r="H246" s="73" t="e">
        <f>+VLOOKUP($E246,Primary!$1:$1048576,H$2,FALSE)</f>
        <v>#N/A</v>
      </c>
      <c r="I246" s="73" t="e">
        <f>+VLOOKUP($E246,Primary!$1:$1048576,I$2,FALSE)</f>
        <v>#N/A</v>
      </c>
      <c r="J246" s="73" t="e">
        <f>+VLOOKUP($E246,Primary!$1:$1048576,J$2,FALSE)</f>
        <v>#N/A</v>
      </c>
      <c r="K246" s="73" t="e">
        <f>+VLOOKUP($E246,Primary!$1:$1048576,K$2,FALSE)</f>
        <v>#N/A</v>
      </c>
      <c r="L246" s="73" t="e">
        <f>+VLOOKUP($E246,Primary!$1:$1048576,L$2,FALSE)</f>
        <v>#N/A</v>
      </c>
      <c r="M246" s="73" t="e">
        <f>+VLOOKUP($E246,Primary!$1:$1048576,M$2,FALSE)</f>
        <v>#N/A</v>
      </c>
      <c r="N246" s="73" t="e">
        <f>+VLOOKUP($E246,Primary!$1:$1048576,N$2,FALSE)</f>
        <v>#N/A</v>
      </c>
      <c r="O246" s="73" t="e">
        <f>+VLOOKUP($E246,Primary!$1:$1048576,O$2,FALSE)</f>
        <v>#N/A</v>
      </c>
      <c r="P246" s="73" t="e">
        <f>+VLOOKUP($E246,Primary!$1:$1048576,P$2,FALSE)</f>
        <v>#N/A</v>
      </c>
      <c r="Q246" s="73" t="e">
        <f>+VLOOKUP($E246,Primary!$1:$1048576,Q$2,FALSE)</f>
        <v>#N/A</v>
      </c>
      <c r="R246" s="73" t="e">
        <f>+VLOOKUP($E246,Primary!$1:$1048576,R$2,FALSE)</f>
        <v>#N/A</v>
      </c>
      <c r="S246" s="73" t="e">
        <f>+VLOOKUP($E246,Primary!$1:$1048576,S$2,FALSE)</f>
        <v>#N/A</v>
      </c>
      <c r="T246" s="73" t="e">
        <f>+VLOOKUP($E246,Primary!$1:$1048576,T$2,FALSE)</f>
        <v>#N/A</v>
      </c>
      <c r="U246" s="73" t="e">
        <f>+VLOOKUP($E246,Primary!$1:$1048576,U$2,FALSE)</f>
        <v>#N/A</v>
      </c>
      <c r="V246" s="73" t="e">
        <f>+VLOOKUP($E246,Primary!$1:$1048576,V$2,FALSE)</f>
        <v>#N/A</v>
      </c>
      <c r="W246" s="73" t="e">
        <f>+VLOOKUP($E246,Primary!$1:$1048576,W$2,FALSE)</f>
        <v>#N/A</v>
      </c>
      <c r="X246" s="73" t="e">
        <f>+VLOOKUP($E246,Primary!$1:$1048576,X$2,FALSE)</f>
        <v>#N/A</v>
      </c>
      <c r="Y246" s="73" t="e">
        <f>+VLOOKUP($E246,Primary!$1:$1048576,Y$2,FALSE)</f>
        <v>#N/A</v>
      </c>
      <c r="Z246" s="73" t="e">
        <f>+VLOOKUP($E246,Primary!$1:$1048576,Z$2,FALSE)</f>
        <v>#N/A</v>
      </c>
      <c r="AA246" s="73" t="e">
        <f>+VLOOKUP($E246,Primary!$1:$1048576,AA$2,FALSE)</f>
        <v>#N/A</v>
      </c>
      <c r="AB246" s="73" t="e">
        <f>+VLOOKUP($E246,Primary!$1:$1048576,AB$2,FALSE)</f>
        <v>#N/A</v>
      </c>
      <c r="AC246" s="73" t="e">
        <f>+VLOOKUP($E246,Primary!$1:$1048576,AC$2,FALSE)</f>
        <v>#N/A</v>
      </c>
      <c r="AD246" s="73" t="e">
        <f>+VLOOKUP($E246,Primary!$1:$1048576,AD$2,FALSE)</f>
        <v>#N/A</v>
      </c>
      <c r="AE246" s="73" t="e">
        <f>+VLOOKUP($E246,Primary!$1:$1048576,AE$2,FALSE)</f>
        <v>#N/A</v>
      </c>
      <c r="AF246" s="73" t="e">
        <f>+VLOOKUP($E246,Primary!$1:$1048576,AF$2,FALSE)</f>
        <v>#N/A</v>
      </c>
      <c r="AG246" s="73" t="e">
        <f>+VLOOKUP($E246,Primary!$1:$1048576,AG$2,FALSE)</f>
        <v>#N/A</v>
      </c>
      <c r="AH246" s="73" t="e">
        <f>+VLOOKUP($E246,Primary!$1:$1048576,AH$2,FALSE)</f>
        <v>#N/A</v>
      </c>
      <c r="AI246" s="73" t="e">
        <f>+VLOOKUP($E246,Primary!$1:$1048576,AI$2,FALSE)</f>
        <v>#N/A</v>
      </c>
      <c r="AJ246" s="73" t="e">
        <f>+VLOOKUP($E246,Primary!$1:$1048576,AJ$2,FALSE)</f>
        <v>#N/A</v>
      </c>
      <c r="AK246" s="73" t="e">
        <f>+VLOOKUP($E246,Primary!$1:$1048576,AK$2,FALSE)</f>
        <v>#N/A</v>
      </c>
      <c r="AL246" s="73" t="e">
        <f>+VLOOKUP($E246,Primary!$1:$1048576,AL$2,FALSE)</f>
        <v>#N/A</v>
      </c>
      <c r="AM246" s="73" t="e">
        <f>+VLOOKUP($E246,Primary!$1:$1048576,AM$2,FALSE)</f>
        <v>#N/A</v>
      </c>
      <c r="AN246" s="73" t="e">
        <f>+VLOOKUP($E246,Primary!$1:$1048576,AN$2,FALSE)</f>
        <v>#N/A</v>
      </c>
      <c r="AO246" s="73" t="e">
        <f>+VLOOKUP($E246,Primary!$1:$1048576,AO$2,FALSE)</f>
        <v>#N/A</v>
      </c>
      <c r="AP246" s="73"/>
      <c r="AQ246" s="73"/>
    </row>
    <row r="247" spans="1:43" s="365" customFormat="1" ht="15" customHeight="1" x14ac:dyDescent="0.25">
      <c r="A247" s="324"/>
      <c r="B247" s="325"/>
      <c r="C247" s="364"/>
      <c r="D247" s="364" t="s">
        <v>2024</v>
      </c>
      <c r="E247" s="84" t="s">
        <v>2060</v>
      </c>
      <c r="F247" s="73" t="e">
        <f>+VLOOKUP($E247,Primary!$1:$1048576,F$2,FALSE)</f>
        <v>#N/A</v>
      </c>
      <c r="G247" s="73" t="e">
        <f>+VLOOKUP($E247,Primary!$1:$1048576,G$2,FALSE)</f>
        <v>#N/A</v>
      </c>
      <c r="H247" s="73" t="e">
        <f>+VLOOKUP($E247,Primary!$1:$1048576,H$2,FALSE)</f>
        <v>#N/A</v>
      </c>
      <c r="I247" s="73" t="e">
        <f>+VLOOKUP($E247,Primary!$1:$1048576,I$2,FALSE)</f>
        <v>#N/A</v>
      </c>
      <c r="J247" s="73" t="e">
        <f>+VLOOKUP($E247,Primary!$1:$1048576,J$2,FALSE)</f>
        <v>#N/A</v>
      </c>
      <c r="K247" s="73" t="e">
        <f>+VLOOKUP($E247,Primary!$1:$1048576,K$2,FALSE)</f>
        <v>#N/A</v>
      </c>
      <c r="L247" s="73" t="e">
        <f>+VLOOKUP($E247,Primary!$1:$1048576,L$2,FALSE)</f>
        <v>#N/A</v>
      </c>
      <c r="M247" s="73" t="e">
        <f>+VLOOKUP($E247,Primary!$1:$1048576,M$2,FALSE)</f>
        <v>#N/A</v>
      </c>
      <c r="N247" s="73" t="e">
        <f>+VLOOKUP($E247,Primary!$1:$1048576,N$2,FALSE)</f>
        <v>#N/A</v>
      </c>
      <c r="O247" s="73" t="e">
        <f>+VLOOKUP($E247,Primary!$1:$1048576,O$2,FALSE)</f>
        <v>#N/A</v>
      </c>
      <c r="P247" s="73" t="e">
        <f>+VLOOKUP($E247,Primary!$1:$1048576,P$2,FALSE)</f>
        <v>#N/A</v>
      </c>
      <c r="Q247" s="73" t="e">
        <f>+VLOOKUP($E247,Primary!$1:$1048576,Q$2,FALSE)</f>
        <v>#N/A</v>
      </c>
      <c r="R247" s="73" t="e">
        <f>+VLOOKUP($E247,Primary!$1:$1048576,R$2,FALSE)</f>
        <v>#N/A</v>
      </c>
      <c r="S247" s="73" t="e">
        <f>+VLOOKUP($E247,Primary!$1:$1048576,S$2,FALSE)</f>
        <v>#N/A</v>
      </c>
      <c r="T247" s="73" t="e">
        <f>+VLOOKUP($E247,Primary!$1:$1048576,T$2,FALSE)</f>
        <v>#N/A</v>
      </c>
      <c r="U247" s="73" t="e">
        <f>+VLOOKUP($E247,Primary!$1:$1048576,U$2,FALSE)</f>
        <v>#N/A</v>
      </c>
      <c r="V247" s="73" t="e">
        <f>+VLOOKUP($E247,Primary!$1:$1048576,V$2,FALSE)</f>
        <v>#N/A</v>
      </c>
      <c r="W247" s="73" t="e">
        <f>+VLOOKUP($E247,Primary!$1:$1048576,W$2,FALSE)</f>
        <v>#N/A</v>
      </c>
      <c r="X247" s="73" t="e">
        <f>+VLOOKUP($E247,Primary!$1:$1048576,X$2,FALSE)</f>
        <v>#N/A</v>
      </c>
      <c r="Y247" s="73" t="e">
        <f>+VLOOKUP($E247,Primary!$1:$1048576,Y$2,FALSE)</f>
        <v>#N/A</v>
      </c>
      <c r="Z247" s="73" t="e">
        <f>+VLOOKUP($E247,Primary!$1:$1048576,Z$2,FALSE)</f>
        <v>#N/A</v>
      </c>
      <c r="AA247" s="73" t="e">
        <f>+VLOOKUP($E247,Primary!$1:$1048576,AA$2,FALSE)</f>
        <v>#N/A</v>
      </c>
      <c r="AB247" s="73" t="e">
        <f>+VLOOKUP($E247,Primary!$1:$1048576,AB$2,FALSE)</f>
        <v>#N/A</v>
      </c>
      <c r="AC247" s="73" t="e">
        <f>+VLOOKUP($E247,Primary!$1:$1048576,AC$2,FALSE)</f>
        <v>#N/A</v>
      </c>
      <c r="AD247" s="73" t="e">
        <f>+VLOOKUP($E247,Primary!$1:$1048576,AD$2,FALSE)</f>
        <v>#N/A</v>
      </c>
      <c r="AE247" s="73" t="e">
        <f>+VLOOKUP($E247,Primary!$1:$1048576,AE$2,FALSE)</f>
        <v>#N/A</v>
      </c>
      <c r="AF247" s="73" t="e">
        <f>+VLOOKUP($E247,Primary!$1:$1048576,AF$2,FALSE)</f>
        <v>#N/A</v>
      </c>
      <c r="AG247" s="73" t="e">
        <f>+VLOOKUP($E247,Primary!$1:$1048576,AG$2,FALSE)</f>
        <v>#N/A</v>
      </c>
      <c r="AH247" s="73" t="e">
        <f>+VLOOKUP($E247,Primary!$1:$1048576,AH$2,FALSE)</f>
        <v>#N/A</v>
      </c>
      <c r="AI247" s="73" t="e">
        <f>+VLOOKUP($E247,Primary!$1:$1048576,AI$2,FALSE)</f>
        <v>#N/A</v>
      </c>
      <c r="AJ247" s="73" t="e">
        <f>+VLOOKUP($E247,Primary!$1:$1048576,AJ$2,FALSE)</f>
        <v>#N/A</v>
      </c>
      <c r="AK247" s="73" t="e">
        <f>+VLOOKUP($E247,Primary!$1:$1048576,AK$2,FALSE)</f>
        <v>#N/A</v>
      </c>
      <c r="AL247" s="73" t="e">
        <f>+VLOOKUP($E247,Primary!$1:$1048576,AL$2,FALSE)</f>
        <v>#N/A</v>
      </c>
      <c r="AM247" s="73" t="e">
        <f>+VLOOKUP($E247,Primary!$1:$1048576,AM$2,FALSE)</f>
        <v>#N/A</v>
      </c>
      <c r="AN247" s="73" t="e">
        <f>+VLOOKUP($E247,Primary!$1:$1048576,AN$2,FALSE)</f>
        <v>#N/A</v>
      </c>
      <c r="AO247" s="73" t="e">
        <f>+VLOOKUP($E247,Primary!$1:$1048576,AO$2,FALSE)</f>
        <v>#N/A</v>
      </c>
      <c r="AP247" s="73"/>
      <c r="AQ247" s="73"/>
    </row>
    <row r="248" spans="1:43" s="111" customFormat="1" ht="15" customHeight="1" x14ac:dyDescent="0.25">
      <c r="A248" s="324"/>
      <c r="B248" s="325"/>
      <c r="C248" s="134" t="s">
        <v>512</v>
      </c>
      <c r="D248" s="112"/>
      <c r="E248" s="87" t="s">
        <v>605</v>
      </c>
      <c r="F248" s="73">
        <f>+VLOOKUP($E248,Primary!$1:$1048576,F$2,FALSE)</f>
        <v>42.352188980000001</v>
      </c>
      <c r="G248" s="73">
        <f>+VLOOKUP($E248,Primary!$1:$1048576,G$2,FALSE)</f>
        <v>42.563838590000003</v>
      </c>
      <c r="H248" s="73">
        <f>+VLOOKUP($E248,Primary!$1:$1048576,H$2,FALSE)</f>
        <v>42.725107459999997</v>
      </c>
      <c r="I248" s="73">
        <f>+VLOOKUP($E248,Primary!$1:$1048576,I$2,FALSE)</f>
        <v>42.918049369999999</v>
      </c>
      <c r="J248" s="73">
        <f>+VLOOKUP($E248,Primary!$1:$1048576,J$2,FALSE)</f>
        <v>43.161281989999999</v>
      </c>
      <c r="K248" s="73">
        <f>+VLOOKUP($E248,Primary!$1:$1048576,K$2,FALSE)</f>
        <v>43.450606270000002</v>
      </c>
      <c r="L248" s="73">
        <f>+VLOOKUP($E248,Primary!$1:$1048576,L$2,FALSE)</f>
        <v>43.77617515</v>
      </c>
      <c r="M248" s="73">
        <f>+VLOOKUP($E248,Primary!$1:$1048576,M$2,FALSE)</f>
        <v>44.128631660000003</v>
      </c>
      <c r="N248" s="73">
        <f>+VLOOKUP($E248,Primary!$1:$1048576,N$2,FALSE)</f>
        <v>44.500733289999999</v>
      </c>
      <c r="O248" s="73">
        <f>+VLOOKUP($E248,Primary!$1:$1048576,O$2,FALSE)</f>
        <v>44.887349469999997</v>
      </c>
      <c r="P248" s="73">
        <f>+VLOOKUP($E248,Primary!$1:$1048576,P$2,FALSE)</f>
        <v>45.285004139999998</v>
      </c>
      <c r="Q248" s="73">
        <f>+VLOOKUP($E248,Primary!$1:$1048576,Q$2,FALSE)</f>
        <v>45.691392559999997</v>
      </c>
      <c r="R248" s="73">
        <f>+VLOOKUP($E248,Primary!$1:$1048576,R$2,FALSE)</f>
        <v>46.104998129999998</v>
      </c>
      <c r="S248" s="73">
        <f>+VLOOKUP($E248,Primary!$1:$1048576,S$2,FALSE)</f>
        <v>46.524821809999999</v>
      </c>
      <c r="T248" s="73">
        <f>+VLOOKUP($E248,Primary!$1:$1048576,T$2,FALSE)</f>
        <v>46.950201370000002</v>
      </c>
      <c r="U248" s="73">
        <f>+VLOOKUP($E248,Primary!$1:$1048576,U$2,FALSE)</f>
        <v>47.380695060000001</v>
      </c>
      <c r="V248" s="73">
        <f>+VLOOKUP($E248,Primary!$1:$1048576,V$2,FALSE)</f>
        <v>47.816006229999999</v>
      </c>
      <c r="W248" s="73">
        <f>+VLOOKUP($E248,Primary!$1:$1048576,W$2,FALSE)</f>
        <v>48.255934099999997</v>
      </c>
      <c r="X248" s="73">
        <f>+VLOOKUP($E248,Primary!$1:$1048576,X$2,FALSE)</f>
        <v>48.70034287</v>
      </c>
      <c r="Y248" s="73">
        <f>+VLOOKUP($E248,Primary!$1:$1048576,Y$2,FALSE)</f>
        <v>49.14914134</v>
      </c>
      <c r="Z248" s="73">
        <f>+VLOOKUP($E248,Primary!$1:$1048576,Z$2,FALSE)</f>
        <v>49.602268989999999</v>
      </c>
      <c r="AA248" s="73">
        <f>+VLOOKUP($E248,Primary!$1:$1048576,AA$2,FALSE)</f>
        <v>50.059686829999997</v>
      </c>
      <c r="AB248" s="73">
        <f>+VLOOKUP($E248,Primary!$1:$1048576,AB$2,FALSE)</f>
        <v>50.521371530000003</v>
      </c>
      <c r="AC248" s="73">
        <f>+VLOOKUP($E248,Primary!$1:$1048576,AC$2,FALSE)</f>
        <v>50.987311800000001</v>
      </c>
      <c r="AD248" s="73">
        <f>+VLOOKUP($E248,Primary!$1:$1048576,AD$2,FALSE)</f>
        <v>51.457506299999999</v>
      </c>
      <c r="AE248" s="73">
        <f>+VLOOKUP($E248,Primary!$1:$1048576,AE$2,FALSE)</f>
        <v>51.931962400000003</v>
      </c>
      <c r="AF248" s="73">
        <f>+VLOOKUP($E248,Primary!$1:$1048576,AF$2,FALSE)</f>
        <v>52.410695519999997</v>
      </c>
      <c r="AG248" s="73">
        <f>+VLOOKUP($E248,Primary!$1:$1048576,AG$2,FALSE)</f>
        <v>52.893728779999996</v>
      </c>
      <c r="AH248" s="73">
        <f>+VLOOKUP($E248,Primary!$1:$1048576,AH$2,FALSE)</f>
        <v>53.38109266</v>
      </c>
      <c r="AI248" s="73">
        <f>+VLOOKUP($E248,Primary!$1:$1048576,AI$2,FALSE)</f>
        <v>53.872824639999997</v>
      </c>
      <c r="AJ248" s="73">
        <f>+VLOOKUP($E248,Primary!$1:$1048576,AJ$2,FALSE)</f>
        <v>54.36896883</v>
      </c>
      <c r="AK248" s="73">
        <f>+VLOOKUP($E248,Primary!$1:$1048576,AK$2,FALSE)</f>
        <v>54.869575400000002</v>
      </c>
      <c r="AL248" s="73">
        <f>+VLOOKUP($E248,Primary!$1:$1048576,AL$2,FALSE)</f>
        <v>55.374699999999997</v>
      </c>
      <c r="AM248" s="73">
        <f>+VLOOKUP($E248,Primary!$1:$1048576,AM$2,FALSE)</f>
        <v>55.884403040000002</v>
      </c>
      <c r="AN248" s="73">
        <f>+VLOOKUP($E248,Primary!$1:$1048576,AN$2,FALSE)</f>
        <v>56.398748959999999</v>
      </c>
      <c r="AO248" s="73">
        <f>+VLOOKUP($E248,Primary!$1:$1048576,AO$2,FALSE)</f>
        <v>56.917805469999998</v>
      </c>
      <c r="AP248" s="73"/>
      <c r="AQ248" s="73"/>
    </row>
    <row r="249" spans="1:43" s="73" customFormat="1" ht="15" customHeight="1" x14ac:dyDescent="0.25">
      <c r="A249" s="324"/>
      <c r="B249" s="325"/>
      <c r="C249" s="134"/>
      <c r="D249" s="86" t="s">
        <v>2027</v>
      </c>
      <c r="E249" s="84" t="s">
        <v>606</v>
      </c>
      <c r="F249" s="73">
        <f>+VLOOKUP($E249,Primary!$1:$1048576,F$2,FALSE)</f>
        <v>36.569328980000002</v>
      </c>
      <c r="G249" s="73">
        <f>+VLOOKUP($E249,Primary!$1:$1048576,G$2,FALSE)</f>
        <v>36.75207949</v>
      </c>
      <c r="H249" s="73">
        <f>+VLOOKUP($E249,Primary!$1:$1048576,H$2,FALSE)</f>
        <v>36.891328360000003</v>
      </c>
      <c r="I249" s="73">
        <f>+VLOOKUP($E249,Primary!$1:$1048576,I$2,FALSE)</f>
        <v>37.057925560000001</v>
      </c>
      <c r="J249" s="73">
        <f>+VLOOKUP($E249,Primary!$1:$1048576,J$2,FALSE)</f>
        <v>37.267946670000001</v>
      </c>
      <c r="K249" s="73">
        <f>+VLOOKUP($E249,Primary!$1:$1048576,K$2,FALSE)</f>
        <v>37.51776598</v>
      </c>
      <c r="L249" s="73">
        <f>+VLOOKUP($E249,Primary!$1:$1048576,L$2,FALSE)</f>
        <v>37.79888098</v>
      </c>
      <c r="M249" s="73">
        <f>+VLOOKUP($E249,Primary!$1:$1048576,M$2,FALSE)</f>
        <v>38.103212319999997</v>
      </c>
      <c r="N249" s="73">
        <f>+VLOOKUP($E249,Primary!$1:$1048576,N$2,FALSE)</f>
        <v>38.424506370000003</v>
      </c>
      <c r="O249" s="73">
        <f>+VLOOKUP($E249,Primary!$1:$1048576,O$2,FALSE)</f>
        <v>38.758333139999998</v>
      </c>
      <c r="P249" s="73">
        <f>+VLOOKUP($E249,Primary!$1:$1048576,P$2,FALSE)</f>
        <v>39.101691180000003</v>
      </c>
      <c r="Q249" s="73">
        <f>+VLOOKUP($E249,Primary!$1:$1048576,Q$2,FALSE)</f>
        <v>39.452590440000002</v>
      </c>
      <c r="R249" s="73">
        <f>+VLOOKUP($E249,Primary!$1:$1048576,R$2,FALSE)</f>
        <v>39.809721400000001</v>
      </c>
      <c r="S249" s="73">
        <f>+VLOOKUP($E249,Primary!$1:$1048576,S$2,FALSE)</f>
        <v>40.172221440000001</v>
      </c>
      <c r="T249" s="73">
        <f>+VLOOKUP($E249,Primary!$1:$1048576,T$2,FALSE)</f>
        <v>40.53951876</v>
      </c>
      <c r="U249" s="73">
        <f>+VLOOKUP($E249,Primary!$1:$1048576,U$2,FALSE)</f>
        <v>40.911231899999997</v>
      </c>
      <c r="V249" s="73">
        <f>+VLOOKUP($E249,Primary!$1:$1048576,V$2,FALSE)</f>
        <v>41.287104730000003</v>
      </c>
      <c r="W249" s="73">
        <f>+VLOOKUP($E249,Primary!$1:$1048576,W$2,FALSE)</f>
        <v>41.666963899999999</v>
      </c>
      <c r="X249" s="73">
        <f>+VLOOKUP($E249,Primary!$1:$1048576,X$2,FALSE)</f>
        <v>42.050692130000002</v>
      </c>
      <c r="Y249" s="73">
        <f>+VLOOKUP($E249,Primary!$1:$1048576,Y$2,FALSE)</f>
        <v>42.438210679999997</v>
      </c>
      <c r="Z249" s="73">
        <f>+VLOOKUP($E249,Primary!$1:$1048576,Z$2,FALSE)</f>
        <v>42.829467299999997</v>
      </c>
      <c r="AA249" s="73">
        <f>+VLOOKUP($E249,Primary!$1:$1048576,AA$2,FALSE)</f>
        <v>43.22442831</v>
      </c>
      <c r="AB249" s="73">
        <f>+VLOOKUP($E249,Primary!$1:$1048576,AB$2,FALSE)</f>
        <v>43.623073570000003</v>
      </c>
      <c r="AC249" s="73">
        <f>+VLOOKUP($E249,Primary!$1:$1048576,AC$2,FALSE)</f>
        <v>44.025393350000002</v>
      </c>
      <c r="AD249" s="73">
        <f>+VLOOKUP($E249,Primary!$1:$1048576,AD$2,FALSE)</f>
        <v>44.43138647</v>
      </c>
      <c r="AE249" s="73">
        <f>+VLOOKUP($E249,Primary!$1:$1048576,AE$2,FALSE)</f>
        <v>44.841059299999998</v>
      </c>
      <c r="AF249" s="73">
        <f>+VLOOKUP($E249,Primary!$1:$1048576,AF$2,FALSE)</f>
        <v>45.254425159999997</v>
      </c>
      <c r="AG249" s="73">
        <f>+VLOOKUP($E249,Primary!$1:$1048576,AG$2,FALSE)</f>
        <v>45.67150401</v>
      </c>
      <c r="AH249" s="73">
        <f>+VLOOKUP($E249,Primary!$1:$1048576,AH$2,FALSE)</f>
        <v>46.092322160000002</v>
      </c>
      <c r="AI249" s="73">
        <f>+VLOOKUP($E249,Primary!$1:$1048576,AI$2,FALSE)</f>
        <v>46.516911989999997</v>
      </c>
      <c r="AJ249" s="73">
        <f>+VLOOKUP($E249,Primary!$1:$1048576,AJ$2,FALSE)</f>
        <v>46.945311570000001</v>
      </c>
      <c r="AK249" s="73">
        <f>+VLOOKUP($E249,Primary!$1:$1048576,AK$2,FALSE)</f>
        <v>47.377564229999997</v>
      </c>
      <c r="AL249" s="73">
        <f>+VLOOKUP($E249,Primary!$1:$1048576,AL$2,FALSE)</f>
        <v>47.813718020000003</v>
      </c>
      <c r="AM249" s="73">
        <f>+VLOOKUP($E249,Primary!$1:$1048576,AM$2,FALSE)</f>
        <v>48.2538251</v>
      </c>
      <c r="AN249" s="73">
        <f>+VLOOKUP($E249,Primary!$1:$1048576,AN$2,FALSE)</f>
        <v>48.697941110000002</v>
      </c>
      <c r="AO249" s="73">
        <f>+VLOOKUP($E249,Primary!$1:$1048576,AO$2,FALSE)</f>
        <v>49.14612451</v>
      </c>
    </row>
    <row r="250" spans="1:43" s="73" customFormat="1" ht="15" customHeight="1" x14ac:dyDescent="0.25">
      <c r="A250" s="324"/>
      <c r="B250" s="325"/>
      <c r="C250" s="134"/>
      <c r="D250" s="86" t="s">
        <v>567</v>
      </c>
      <c r="E250" s="84" t="s">
        <v>607</v>
      </c>
      <c r="F250" s="73">
        <f>+VLOOKUP($E250,Primary!$1:$1048576,F$2,FALSE)</f>
        <v>5.7828600000000003</v>
      </c>
      <c r="G250" s="73">
        <f>+VLOOKUP($E250,Primary!$1:$1048576,G$2,FALSE)</f>
        <v>5.8117590989999997</v>
      </c>
      <c r="H250" s="73">
        <f>+VLOOKUP($E250,Primary!$1:$1048576,H$2,FALSE)</f>
        <v>5.8337791010000002</v>
      </c>
      <c r="I250" s="73">
        <f>+VLOOKUP($E250,Primary!$1:$1048576,I$2,FALSE)</f>
        <v>5.8601238090000001</v>
      </c>
      <c r="J250" s="73">
        <f>+VLOOKUP($E250,Primary!$1:$1048576,J$2,FALSE)</f>
        <v>5.8933353210000003</v>
      </c>
      <c r="K250" s="73">
        <f>+VLOOKUP($E250,Primary!$1:$1048576,K$2,FALSE)</f>
        <v>5.9328402860000002</v>
      </c>
      <c r="L250" s="73">
        <f>+VLOOKUP($E250,Primary!$1:$1048576,L$2,FALSE)</f>
        <v>5.9772941700000004</v>
      </c>
      <c r="M250" s="73">
        <f>+VLOOKUP($E250,Primary!$1:$1048576,M$2,FALSE)</f>
        <v>6.0254193479999998</v>
      </c>
      <c r="N250" s="73">
        <f>+VLOOKUP($E250,Primary!$1:$1048576,N$2,FALSE)</f>
        <v>6.0762269130000002</v>
      </c>
      <c r="O250" s="73">
        <f>+VLOOKUP($E250,Primary!$1:$1048576,O$2,FALSE)</f>
        <v>6.1290163270000004</v>
      </c>
      <c r="P250" s="73">
        <f>+VLOOKUP($E250,Primary!$1:$1048576,P$2,FALSE)</f>
        <v>6.1833129619999996</v>
      </c>
      <c r="Q250" s="73">
        <f>+VLOOKUP($E250,Primary!$1:$1048576,Q$2,FALSE)</f>
        <v>6.2388021199999999</v>
      </c>
      <c r="R250" s="73">
        <f>+VLOOKUP($E250,Primary!$1:$1048576,R$2,FALSE)</f>
        <v>6.2952767239999998</v>
      </c>
      <c r="S250" s="73">
        <f>+VLOOKUP($E250,Primary!$1:$1048576,S$2,FALSE)</f>
        <v>6.3526003619999996</v>
      </c>
      <c r="T250" s="73">
        <f>+VLOOKUP($E250,Primary!$1:$1048576,T$2,FALSE)</f>
        <v>6.4106826139999997</v>
      </c>
      <c r="U250" s="73">
        <f>+VLOOKUP($E250,Primary!$1:$1048576,U$2,FALSE)</f>
        <v>6.4694631569999999</v>
      </c>
      <c r="V250" s="73">
        <f>+VLOOKUP($E250,Primary!$1:$1048576,V$2,FALSE)</f>
        <v>6.5289014910000001</v>
      </c>
      <c r="W250" s="73">
        <f>+VLOOKUP($E250,Primary!$1:$1048576,W$2,FALSE)</f>
        <v>6.5889702000000003</v>
      </c>
      <c r="X250" s="73">
        <f>+VLOOKUP($E250,Primary!$1:$1048576,X$2,FALSE)</f>
        <v>6.6496507400000002</v>
      </c>
      <c r="Y250" s="73">
        <f>+VLOOKUP($E250,Primary!$1:$1048576,Y$2,FALSE)</f>
        <v>6.7109306589999997</v>
      </c>
      <c r="Z250" s="73">
        <f>+VLOOKUP($E250,Primary!$1:$1048576,Z$2,FALSE)</f>
        <v>6.772801694</v>
      </c>
      <c r="AA250" s="73">
        <f>+VLOOKUP($E250,Primary!$1:$1048576,AA$2,FALSE)</f>
        <v>6.8352585210000001</v>
      </c>
      <c r="AB250" s="73">
        <f>+VLOOKUP($E250,Primary!$1:$1048576,AB$2,FALSE)</f>
        <v>6.8982979540000002</v>
      </c>
      <c r="AC250" s="73">
        <f>+VLOOKUP($E250,Primary!$1:$1048576,AC$2,FALSE)</f>
        <v>6.9619184519999999</v>
      </c>
      <c r="AD250" s="73">
        <f>+VLOOKUP($E250,Primary!$1:$1048576,AD$2,FALSE)</f>
        <v>7.026119832</v>
      </c>
      <c r="AE250" s="73">
        <f>+VLOOKUP($E250,Primary!$1:$1048576,AE$2,FALSE)</f>
        <v>7.0909030990000002</v>
      </c>
      <c r="AF250" s="73">
        <f>+VLOOKUP($E250,Primary!$1:$1048576,AF$2,FALSE)</f>
        <v>7.1562703609999998</v>
      </c>
      <c r="AG250" s="73">
        <f>+VLOOKUP($E250,Primary!$1:$1048576,AG$2,FALSE)</f>
        <v>7.2222247729999998</v>
      </c>
      <c r="AH250" s="73">
        <f>+VLOOKUP($E250,Primary!$1:$1048576,AH$2,FALSE)</f>
        <v>7.2887704969999998</v>
      </c>
      <c r="AI250" s="73">
        <f>+VLOOKUP($E250,Primary!$1:$1048576,AI$2,FALSE)</f>
        <v>7.3559126519999998</v>
      </c>
      <c r="AJ250" s="73">
        <f>+VLOOKUP($E250,Primary!$1:$1048576,AJ$2,FALSE)</f>
        <v>7.4236572589999996</v>
      </c>
      <c r="AK250" s="73">
        <f>+VLOOKUP($E250,Primary!$1:$1048576,AK$2,FALSE)</f>
        <v>7.4920111690000004</v>
      </c>
      <c r="AL250" s="73">
        <f>+VLOOKUP($E250,Primary!$1:$1048576,AL$2,FALSE)</f>
        <v>7.5609819800000002</v>
      </c>
      <c r="AM250" s="73">
        <f>+VLOOKUP($E250,Primary!$1:$1048576,AM$2,FALSE)</f>
        <v>7.6305779410000003</v>
      </c>
      <c r="AN250" s="73">
        <f>+VLOOKUP($E250,Primary!$1:$1048576,AN$2,FALSE)</f>
        <v>7.7008078519999996</v>
      </c>
      <c r="AO250" s="73">
        <f>+VLOOKUP($E250,Primary!$1:$1048576,AO$2,FALSE)</f>
        <v>7.7716809570000001</v>
      </c>
    </row>
    <row r="251" spans="1:43" s="111" customFormat="1" ht="15" customHeight="1" x14ac:dyDescent="0.25">
      <c r="A251" s="324"/>
      <c r="B251" s="325"/>
      <c r="C251" s="134" t="s">
        <v>513</v>
      </c>
      <c r="D251" s="112"/>
      <c r="E251" s="87" t="s">
        <v>608</v>
      </c>
      <c r="F251" s="73">
        <f>+VLOOKUP($E251,Primary!$1:$1048576,F$2,FALSE)</f>
        <v>7.9355360250000002</v>
      </c>
      <c r="G251" s="73">
        <f>+VLOOKUP($E251,Primary!$1:$1048576,G$2,FALSE)</f>
        <v>7.9882333299999999</v>
      </c>
      <c r="H251" s="73">
        <f>+VLOOKUP($E251,Primary!$1:$1048576,H$2,FALSE)</f>
        <v>8.0259841749999996</v>
      </c>
      <c r="I251" s="73">
        <f>+VLOOKUP($E251,Primary!$1:$1048576,I$2,FALSE)</f>
        <v>8.0597632410000006</v>
      </c>
      <c r="J251" s="73">
        <f>+VLOOKUP($E251,Primary!$1:$1048576,J$2,FALSE)</f>
        <v>8.0940822430000008</v>
      </c>
      <c r="K251" s="73">
        <f>+VLOOKUP($E251,Primary!$1:$1048576,K$2,FALSE)</f>
        <v>8.1304840889999994</v>
      </c>
      <c r="L251" s="73">
        <f>+VLOOKUP($E251,Primary!$1:$1048576,L$2,FALSE)</f>
        <v>8.1692775429999998</v>
      </c>
      <c r="M251" s="73">
        <f>+VLOOKUP($E251,Primary!$1:$1048576,M$2,FALSE)</f>
        <v>8.2103169440000006</v>
      </c>
      <c r="N251" s="73">
        <f>+VLOOKUP($E251,Primary!$1:$1048576,N$2,FALSE)</f>
        <v>8.2533317870000005</v>
      </c>
      <c r="O251" s="73">
        <f>+VLOOKUP($E251,Primary!$1:$1048576,O$2,FALSE)</f>
        <v>8.2980553950000004</v>
      </c>
      <c r="P251" s="73">
        <f>+VLOOKUP($E251,Primary!$1:$1048576,P$2,FALSE)</f>
        <v>8.3442670830000001</v>
      </c>
      <c r="Q251" s="73">
        <f>+VLOOKUP($E251,Primary!$1:$1048576,Q$2,FALSE)</f>
        <v>8.3917989459999998</v>
      </c>
      <c r="R251" s="73">
        <f>+VLOOKUP($E251,Primary!$1:$1048576,R$2,FALSE)</f>
        <v>8.4405296599999993</v>
      </c>
      <c r="S251" s="73">
        <f>+VLOOKUP($E251,Primary!$1:$1048576,S$2,FALSE)</f>
        <v>8.4903729329999997</v>
      </c>
      <c r="T251" s="73">
        <f>+VLOOKUP($E251,Primary!$1:$1048576,T$2,FALSE)</f>
        <v>8.5412591609999993</v>
      </c>
      <c r="U251" s="73">
        <f>+VLOOKUP($E251,Primary!$1:$1048576,U$2,FALSE)</f>
        <v>8.5931470399999998</v>
      </c>
      <c r="V251" s="73">
        <f>+VLOOKUP($E251,Primary!$1:$1048576,V$2,FALSE)</f>
        <v>8.6460126390000003</v>
      </c>
      <c r="W251" s="73">
        <f>+VLOOKUP($E251,Primary!$1:$1048576,W$2,FALSE)</f>
        <v>8.6998426210000002</v>
      </c>
      <c r="X251" s="73">
        <f>+VLOOKUP($E251,Primary!$1:$1048576,X$2,FALSE)</f>
        <v>8.7546298670000002</v>
      </c>
      <c r="Y251" s="73">
        <f>+VLOOKUP($E251,Primary!$1:$1048576,Y$2,FALSE)</f>
        <v>8.8103706840000005</v>
      </c>
      <c r="Z251" s="73">
        <f>+VLOOKUP($E251,Primary!$1:$1048576,Z$2,FALSE)</f>
        <v>8.8670631699999998</v>
      </c>
      <c r="AA251" s="73">
        <f>+VLOOKUP($E251,Primary!$1:$1048576,AA$2,FALSE)</f>
        <v>8.9247062560000003</v>
      </c>
      <c r="AB251" s="73">
        <f>+VLOOKUP($E251,Primary!$1:$1048576,AB$2,FALSE)</f>
        <v>8.9832992110000003</v>
      </c>
      <c r="AC251" s="73">
        <f>+VLOOKUP($E251,Primary!$1:$1048576,AC$2,FALSE)</f>
        <v>9.0428414299999993</v>
      </c>
      <c r="AD251" s="73">
        <f>+VLOOKUP($E251,Primary!$1:$1048576,AD$2,FALSE)</f>
        <v>9.1033324199999992</v>
      </c>
      <c r="AE251" s="73">
        <f>+VLOOKUP($E251,Primary!$1:$1048576,AE$2,FALSE)</f>
        <v>9.1647718979999997</v>
      </c>
      <c r="AF251" s="73">
        <f>+VLOOKUP($E251,Primary!$1:$1048576,AF$2,FALSE)</f>
        <v>9.2271599309999992</v>
      </c>
      <c r="AG251" s="73">
        <f>+VLOOKUP($E251,Primary!$1:$1048576,AG$2,FALSE)</f>
        <v>9.2904970949999992</v>
      </c>
      <c r="AH251" s="73">
        <f>+VLOOKUP($E251,Primary!$1:$1048576,AH$2,FALSE)</f>
        <v>9.3547846180000001</v>
      </c>
      <c r="AI251" s="73">
        <f>+VLOOKUP($E251,Primary!$1:$1048576,AI$2,FALSE)</f>
        <v>9.4200244909999995</v>
      </c>
      <c r="AJ251" s="73">
        <f>+VLOOKUP($E251,Primary!$1:$1048576,AJ$2,FALSE)</f>
        <v>9.4862195479999993</v>
      </c>
      <c r="AK251" s="73">
        <f>+VLOOKUP($E251,Primary!$1:$1048576,AK$2,FALSE)</f>
        <v>9.5533735059999998</v>
      </c>
      <c r="AL251" s="73">
        <f>+VLOOKUP($E251,Primary!$1:$1048576,AL$2,FALSE)</f>
        <v>9.6214909710000001</v>
      </c>
      <c r="AM251" s="73">
        <f>+VLOOKUP($E251,Primary!$1:$1048576,AM$2,FALSE)</f>
        <v>9.6905774200000003</v>
      </c>
      <c r="AN251" s="73">
        <f>+VLOOKUP($E251,Primary!$1:$1048576,AN$2,FALSE)</f>
        <v>9.7606391630000005</v>
      </c>
      <c r="AO251" s="73">
        <f>+VLOOKUP($E251,Primary!$1:$1048576,AO$2,FALSE)</f>
        <v>9.8316832909999992</v>
      </c>
      <c r="AP251" s="73"/>
      <c r="AQ251" s="73"/>
    </row>
    <row r="252" spans="1:43" s="365" customFormat="1" ht="15" customHeight="1" x14ac:dyDescent="0.25">
      <c r="A252" s="324"/>
      <c r="B252" s="325"/>
      <c r="C252" s="364"/>
      <c r="D252" s="86" t="s">
        <v>2027</v>
      </c>
      <c r="E252" s="84" t="s">
        <v>2061</v>
      </c>
      <c r="F252" s="73" t="e">
        <f>+VLOOKUP($E252,Primary!$1:$1048576,F$2,FALSE)</f>
        <v>#N/A</v>
      </c>
      <c r="G252" s="73" t="e">
        <f>+VLOOKUP($E252,Primary!$1:$1048576,G$2,FALSE)</f>
        <v>#N/A</v>
      </c>
      <c r="H252" s="73" t="e">
        <f>+VLOOKUP($E252,Primary!$1:$1048576,H$2,FALSE)</f>
        <v>#N/A</v>
      </c>
      <c r="I252" s="73" t="e">
        <f>+VLOOKUP($E252,Primary!$1:$1048576,I$2,FALSE)</f>
        <v>#N/A</v>
      </c>
      <c r="J252" s="73" t="e">
        <f>+VLOOKUP($E252,Primary!$1:$1048576,J$2,FALSE)</f>
        <v>#N/A</v>
      </c>
      <c r="K252" s="73" t="e">
        <f>+VLOOKUP($E252,Primary!$1:$1048576,K$2,FALSE)</f>
        <v>#N/A</v>
      </c>
      <c r="L252" s="73" t="e">
        <f>+VLOOKUP($E252,Primary!$1:$1048576,L$2,FALSE)</f>
        <v>#N/A</v>
      </c>
      <c r="M252" s="73" t="e">
        <f>+VLOOKUP($E252,Primary!$1:$1048576,M$2,FALSE)</f>
        <v>#N/A</v>
      </c>
      <c r="N252" s="73" t="e">
        <f>+VLOOKUP($E252,Primary!$1:$1048576,N$2,FALSE)</f>
        <v>#N/A</v>
      </c>
      <c r="O252" s="73" t="e">
        <f>+VLOOKUP($E252,Primary!$1:$1048576,O$2,FALSE)</f>
        <v>#N/A</v>
      </c>
      <c r="P252" s="73" t="e">
        <f>+VLOOKUP($E252,Primary!$1:$1048576,P$2,FALSE)</f>
        <v>#N/A</v>
      </c>
      <c r="Q252" s="73" t="e">
        <f>+VLOOKUP($E252,Primary!$1:$1048576,Q$2,FALSE)</f>
        <v>#N/A</v>
      </c>
      <c r="R252" s="73" t="e">
        <f>+VLOOKUP($E252,Primary!$1:$1048576,R$2,FALSE)</f>
        <v>#N/A</v>
      </c>
      <c r="S252" s="73" t="e">
        <f>+VLOOKUP($E252,Primary!$1:$1048576,S$2,FALSE)</f>
        <v>#N/A</v>
      </c>
      <c r="T252" s="73" t="e">
        <f>+VLOOKUP($E252,Primary!$1:$1048576,T$2,FALSE)</f>
        <v>#N/A</v>
      </c>
      <c r="U252" s="73" t="e">
        <f>+VLOOKUP($E252,Primary!$1:$1048576,U$2,FALSE)</f>
        <v>#N/A</v>
      </c>
      <c r="V252" s="73" t="e">
        <f>+VLOOKUP($E252,Primary!$1:$1048576,V$2,FALSE)</f>
        <v>#N/A</v>
      </c>
      <c r="W252" s="73" t="e">
        <f>+VLOOKUP($E252,Primary!$1:$1048576,W$2,FALSE)</f>
        <v>#N/A</v>
      </c>
      <c r="X252" s="73" t="e">
        <f>+VLOOKUP($E252,Primary!$1:$1048576,X$2,FALSE)</f>
        <v>#N/A</v>
      </c>
      <c r="Y252" s="73" t="e">
        <f>+VLOOKUP($E252,Primary!$1:$1048576,Y$2,FALSE)</f>
        <v>#N/A</v>
      </c>
      <c r="Z252" s="73" t="e">
        <f>+VLOOKUP($E252,Primary!$1:$1048576,Z$2,FALSE)</f>
        <v>#N/A</v>
      </c>
      <c r="AA252" s="73" t="e">
        <f>+VLOOKUP($E252,Primary!$1:$1048576,AA$2,FALSE)</f>
        <v>#N/A</v>
      </c>
      <c r="AB252" s="73" t="e">
        <f>+VLOOKUP($E252,Primary!$1:$1048576,AB$2,FALSE)</f>
        <v>#N/A</v>
      </c>
      <c r="AC252" s="73" t="e">
        <f>+VLOOKUP($E252,Primary!$1:$1048576,AC$2,FALSE)</f>
        <v>#N/A</v>
      </c>
      <c r="AD252" s="73" t="e">
        <f>+VLOOKUP($E252,Primary!$1:$1048576,AD$2,FALSE)</f>
        <v>#N/A</v>
      </c>
      <c r="AE252" s="73" t="e">
        <f>+VLOOKUP($E252,Primary!$1:$1048576,AE$2,FALSE)</f>
        <v>#N/A</v>
      </c>
      <c r="AF252" s="73" t="e">
        <f>+VLOOKUP($E252,Primary!$1:$1048576,AF$2,FALSE)</f>
        <v>#N/A</v>
      </c>
      <c r="AG252" s="73" t="e">
        <f>+VLOOKUP($E252,Primary!$1:$1048576,AG$2,FALSE)</f>
        <v>#N/A</v>
      </c>
      <c r="AH252" s="73" t="e">
        <f>+VLOOKUP($E252,Primary!$1:$1048576,AH$2,FALSE)</f>
        <v>#N/A</v>
      </c>
      <c r="AI252" s="73" t="e">
        <f>+VLOOKUP($E252,Primary!$1:$1048576,AI$2,FALSE)</f>
        <v>#N/A</v>
      </c>
      <c r="AJ252" s="73" t="e">
        <f>+VLOOKUP($E252,Primary!$1:$1048576,AJ$2,FALSE)</f>
        <v>#N/A</v>
      </c>
      <c r="AK252" s="73" t="e">
        <f>+VLOOKUP($E252,Primary!$1:$1048576,AK$2,FALSE)</f>
        <v>#N/A</v>
      </c>
      <c r="AL252" s="73" t="e">
        <f>+VLOOKUP($E252,Primary!$1:$1048576,AL$2,FALSE)</f>
        <v>#N/A</v>
      </c>
      <c r="AM252" s="73" t="e">
        <f>+VLOOKUP($E252,Primary!$1:$1048576,AM$2,FALSE)</f>
        <v>#N/A</v>
      </c>
      <c r="AN252" s="73" t="e">
        <f>+VLOOKUP($E252,Primary!$1:$1048576,AN$2,FALSE)</f>
        <v>#N/A</v>
      </c>
      <c r="AO252" s="73" t="e">
        <f>+VLOOKUP($E252,Primary!$1:$1048576,AO$2,FALSE)</f>
        <v>#N/A</v>
      </c>
      <c r="AP252" s="73"/>
      <c r="AQ252" s="73"/>
    </row>
    <row r="253" spans="1:43" s="111" customFormat="1" ht="15" customHeight="1" x14ac:dyDescent="0.25">
      <c r="A253" s="324"/>
      <c r="B253" s="325"/>
      <c r="C253" s="134" t="s">
        <v>514</v>
      </c>
      <c r="D253" s="112"/>
      <c r="E253" s="87" t="s">
        <v>609</v>
      </c>
      <c r="F253" s="73">
        <f>+VLOOKUP($E253,Primary!$1:$1048576,F$2,FALSE)</f>
        <v>6.597728</v>
      </c>
      <c r="G253" s="73">
        <f>+VLOOKUP($E253,Primary!$1:$1048576,G$2,FALSE)</f>
        <v>6.6190900890000002</v>
      </c>
      <c r="H253" s="73">
        <f>+VLOOKUP($E253,Primary!$1:$1048576,H$2,FALSE)</f>
        <v>6.6176346600000002</v>
      </c>
      <c r="I253" s="73">
        <f>+VLOOKUP($E253,Primary!$1:$1048576,I$2,FALSE)</f>
        <v>6.6070867189999998</v>
      </c>
      <c r="J253" s="73">
        <f>+VLOOKUP($E253,Primary!$1:$1048576,J$2,FALSE)</f>
        <v>6.5935559760000002</v>
      </c>
      <c r="K253" s="73">
        <f>+VLOOKUP($E253,Primary!$1:$1048576,K$2,FALSE)</f>
        <v>6.579626362</v>
      </c>
      <c r="L253" s="73">
        <f>+VLOOKUP($E253,Primary!$1:$1048576,L$2,FALSE)</f>
        <v>6.5662570679999996</v>
      </c>
      <c r="M253" s="73">
        <f>+VLOOKUP($E253,Primary!$1:$1048576,M$2,FALSE)</f>
        <v>6.5536933399999997</v>
      </c>
      <c r="N253" s="73">
        <f>+VLOOKUP($E253,Primary!$1:$1048576,N$2,FALSE)</f>
        <v>6.5418995039999999</v>
      </c>
      <c r="O253" s="73">
        <f>+VLOOKUP($E253,Primary!$1:$1048576,O$2,FALSE)</f>
        <v>6.530756352</v>
      </c>
      <c r="P253" s="73">
        <f>+VLOOKUP($E253,Primary!$1:$1048576,P$2,FALSE)</f>
        <v>6.5201428579999998</v>
      </c>
      <c r="Q253" s="73">
        <f>+VLOOKUP($E253,Primary!$1:$1048576,Q$2,FALSE)</f>
        <v>6.5099630670000002</v>
      </c>
      <c r="R253" s="73">
        <f>+VLOOKUP($E253,Primary!$1:$1048576,R$2,FALSE)</f>
        <v>6.5001490659999996</v>
      </c>
      <c r="S253" s="73">
        <f>+VLOOKUP($E253,Primary!$1:$1048576,S$2,FALSE)</f>
        <v>6.4906442699999998</v>
      </c>
      <c r="T253" s="73">
        <f>+VLOOKUP($E253,Primary!$1:$1048576,T$2,FALSE)</f>
        <v>6.4813875310000002</v>
      </c>
      <c r="U253" s="73">
        <f>+VLOOKUP($E253,Primary!$1:$1048576,U$2,FALSE)</f>
        <v>6.4723484869999997</v>
      </c>
      <c r="V253" s="73">
        <f>+VLOOKUP($E253,Primary!$1:$1048576,V$2,FALSE)</f>
        <v>6.4635120500000003</v>
      </c>
      <c r="W253" s="73">
        <f>+VLOOKUP($E253,Primary!$1:$1048576,W$2,FALSE)</f>
        <v>6.454870294</v>
      </c>
      <c r="X253" s="73">
        <f>+VLOOKUP($E253,Primary!$1:$1048576,X$2,FALSE)</f>
        <v>6.4464192520000001</v>
      </c>
      <c r="Y253" s="73">
        <f>+VLOOKUP($E253,Primary!$1:$1048576,Y$2,FALSE)</f>
        <v>6.438157608</v>
      </c>
      <c r="Z253" s="73">
        <f>+VLOOKUP($E253,Primary!$1:$1048576,Z$2,FALSE)</f>
        <v>6.4300859969999999</v>
      </c>
      <c r="AA253" s="73">
        <f>+VLOOKUP($E253,Primary!$1:$1048576,AA$2,FALSE)</f>
        <v>6.4222067120000004</v>
      </c>
      <c r="AB253" s="73">
        <f>+VLOOKUP($E253,Primary!$1:$1048576,AB$2,FALSE)</f>
        <v>6.414523515</v>
      </c>
      <c r="AC253" s="73">
        <f>+VLOOKUP($E253,Primary!$1:$1048576,AC$2,FALSE)</f>
        <v>6.4070414070000004</v>
      </c>
      <c r="AD253" s="73">
        <f>+VLOOKUP($E253,Primary!$1:$1048576,AD$2,FALSE)</f>
        <v>6.3997663630000003</v>
      </c>
      <c r="AE253" s="73">
        <f>+VLOOKUP($E253,Primary!$1:$1048576,AE$2,FALSE)</f>
        <v>6.392705018</v>
      </c>
      <c r="AF253" s="73">
        <f>+VLOOKUP($E253,Primary!$1:$1048576,AF$2,FALSE)</f>
        <v>6.3858643610000003</v>
      </c>
      <c r="AG253" s="73">
        <f>+VLOOKUP($E253,Primary!$1:$1048576,AG$2,FALSE)</f>
        <v>6.3792514430000002</v>
      </c>
      <c r="AH253" s="73">
        <f>+VLOOKUP($E253,Primary!$1:$1048576,AH$2,FALSE)</f>
        <v>6.3728731219999997</v>
      </c>
      <c r="AI253" s="73">
        <f>+VLOOKUP($E253,Primary!$1:$1048576,AI$2,FALSE)</f>
        <v>6.3667358600000004</v>
      </c>
      <c r="AJ253" s="73">
        <f>+VLOOKUP($E253,Primary!$1:$1048576,AJ$2,FALSE)</f>
        <v>6.3608457620000003</v>
      </c>
      <c r="AK253" s="73">
        <f>+VLOOKUP($E253,Primary!$1:$1048576,AK$2,FALSE)</f>
        <v>6.3552081810000001</v>
      </c>
      <c r="AL253" s="73">
        <f>+VLOOKUP($E253,Primary!$1:$1048576,AL$2,FALSE)</f>
        <v>6.349827672</v>
      </c>
      <c r="AM253" s="73">
        <f>+VLOOKUP($E253,Primary!$1:$1048576,AM$2,FALSE)</f>
        <v>6.3447080089999996</v>
      </c>
      <c r="AN253" s="73">
        <f>+VLOOKUP($E253,Primary!$1:$1048576,AN$2,FALSE)</f>
        <v>6.3398522110000002</v>
      </c>
      <c r="AO253" s="73">
        <f>+VLOOKUP($E253,Primary!$1:$1048576,AO$2,FALSE)</f>
        <v>6.3352625759999999</v>
      </c>
      <c r="AP253" s="73"/>
      <c r="AQ253" s="73"/>
    </row>
    <row r="254" spans="1:43" s="365" customFormat="1" ht="15" customHeight="1" x14ac:dyDescent="0.25">
      <c r="A254" s="324"/>
      <c r="B254" s="325"/>
      <c r="C254" s="364"/>
      <c r="D254" s="86" t="s">
        <v>568</v>
      </c>
      <c r="E254" s="84" t="s">
        <v>2062</v>
      </c>
      <c r="F254" s="73" t="e">
        <f>+VLOOKUP($E254,Primary!$1:$1048576,F$2,FALSE)</f>
        <v>#N/A</v>
      </c>
      <c r="G254" s="73" t="e">
        <f>+VLOOKUP($E254,Primary!$1:$1048576,G$2,FALSE)</f>
        <v>#N/A</v>
      </c>
      <c r="H254" s="73" t="e">
        <f>+VLOOKUP($E254,Primary!$1:$1048576,H$2,FALSE)</f>
        <v>#N/A</v>
      </c>
      <c r="I254" s="73" t="e">
        <f>+VLOOKUP($E254,Primary!$1:$1048576,I$2,FALSE)</f>
        <v>#N/A</v>
      </c>
      <c r="J254" s="73" t="e">
        <f>+VLOOKUP($E254,Primary!$1:$1048576,J$2,FALSE)</f>
        <v>#N/A</v>
      </c>
      <c r="K254" s="73" t="e">
        <f>+VLOOKUP($E254,Primary!$1:$1048576,K$2,FALSE)</f>
        <v>#N/A</v>
      </c>
      <c r="L254" s="73" t="e">
        <f>+VLOOKUP($E254,Primary!$1:$1048576,L$2,FALSE)</f>
        <v>#N/A</v>
      </c>
      <c r="M254" s="73" t="e">
        <f>+VLOOKUP($E254,Primary!$1:$1048576,M$2,FALSE)</f>
        <v>#N/A</v>
      </c>
      <c r="N254" s="73" t="e">
        <f>+VLOOKUP($E254,Primary!$1:$1048576,N$2,FALSE)</f>
        <v>#N/A</v>
      </c>
      <c r="O254" s="73" t="e">
        <f>+VLOOKUP($E254,Primary!$1:$1048576,O$2,FALSE)</f>
        <v>#N/A</v>
      </c>
      <c r="P254" s="73" t="e">
        <f>+VLOOKUP($E254,Primary!$1:$1048576,P$2,FALSE)</f>
        <v>#N/A</v>
      </c>
      <c r="Q254" s="73" t="e">
        <f>+VLOOKUP($E254,Primary!$1:$1048576,Q$2,FALSE)</f>
        <v>#N/A</v>
      </c>
      <c r="R254" s="73" t="e">
        <f>+VLOOKUP($E254,Primary!$1:$1048576,R$2,FALSE)</f>
        <v>#N/A</v>
      </c>
      <c r="S254" s="73" t="e">
        <f>+VLOOKUP($E254,Primary!$1:$1048576,S$2,FALSE)</f>
        <v>#N/A</v>
      </c>
      <c r="T254" s="73" t="e">
        <f>+VLOOKUP($E254,Primary!$1:$1048576,T$2,FALSE)</f>
        <v>#N/A</v>
      </c>
      <c r="U254" s="73" t="e">
        <f>+VLOOKUP($E254,Primary!$1:$1048576,U$2,FALSE)</f>
        <v>#N/A</v>
      </c>
      <c r="V254" s="73" t="e">
        <f>+VLOOKUP($E254,Primary!$1:$1048576,V$2,FALSE)</f>
        <v>#N/A</v>
      </c>
      <c r="W254" s="73" t="e">
        <f>+VLOOKUP($E254,Primary!$1:$1048576,W$2,FALSE)</f>
        <v>#N/A</v>
      </c>
      <c r="X254" s="73" t="e">
        <f>+VLOOKUP($E254,Primary!$1:$1048576,X$2,FALSE)</f>
        <v>#N/A</v>
      </c>
      <c r="Y254" s="73" t="e">
        <f>+VLOOKUP($E254,Primary!$1:$1048576,Y$2,FALSE)</f>
        <v>#N/A</v>
      </c>
      <c r="Z254" s="73" t="e">
        <f>+VLOOKUP($E254,Primary!$1:$1048576,Z$2,FALSE)</f>
        <v>#N/A</v>
      </c>
      <c r="AA254" s="73" t="e">
        <f>+VLOOKUP($E254,Primary!$1:$1048576,AA$2,FALSE)</f>
        <v>#N/A</v>
      </c>
      <c r="AB254" s="73" t="e">
        <f>+VLOOKUP($E254,Primary!$1:$1048576,AB$2,FALSE)</f>
        <v>#N/A</v>
      </c>
      <c r="AC254" s="73" t="e">
        <f>+VLOOKUP($E254,Primary!$1:$1048576,AC$2,FALSE)</f>
        <v>#N/A</v>
      </c>
      <c r="AD254" s="73" t="e">
        <f>+VLOOKUP($E254,Primary!$1:$1048576,AD$2,FALSE)</f>
        <v>#N/A</v>
      </c>
      <c r="AE254" s="73" t="e">
        <f>+VLOOKUP($E254,Primary!$1:$1048576,AE$2,FALSE)</f>
        <v>#N/A</v>
      </c>
      <c r="AF254" s="73" t="e">
        <f>+VLOOKUP($E254,Primary!$1:$1048576,AF$2,FALSE)</f>
        <v>#N/A</v>
      </c>
      <c r="AG254" s="73" t="e">
        <f>+VLOOKUP($E254,Primary!$1:$1048576,AG$2,FALSE)</f>
        <v>#N/A</v>
      </c>
      <c r="AH254" s="73" t="e">
        <f>+VLOOKUP($E254,Primary!$1:$1048576,AH$2,FALSE)</f>
        <v>#N/A</v>
      </c>
      <c r="AI254" s="73" t="e">
        <f>+VLOOKUP($E254,Primary!$1:$1048576,AI$2,FALSE)</f>
        <v>#N/A</v>
      </c>
      <c r="AJ254" s="73" t="e">
        <f>+VLOOKUP($E254,Primary!$1:$1048576,AJ$2,FALSE)</f>
        <v>#N/A</v>
      </c>
      <c r="AK254" s="73" t="e">
        <f>+VLOOKUP($E254,Primary!$1:$1048576,AK$2,FALSE)</f>
        <v>#N/A</v>
      </c>
      <c r="AL254" s="73" t="e">
        <f>+VLOOKUP($E254,Primary!$1:$1048576,AL$2,FALSE)</f>
        <v>#N/A</v>
      </c>
      <c r="AM254" s="73" t="e">
        <f>+VLOOKUP($E254,Primary!$1:$1048576,AM$2,FALSE)</f>
        <v>#N/A</v>
      </c>
      <c r="AN254" s="73" t="e">
        <f>+VLOOKUP($E254,Primary!$1:$1048576,AN$2,FALSE)</f>
        <v>#N/A</v>
      </c>
      <c r="AO254" s="73" t="e">
        <f>+VLOOKUP($E254,Primary!$1:$1048576,AO$2,FALSE)</f>
        <v>#N/A</v>
      </c>
      <c r="AP254" s="73"/>
      <c r="AQ254" s="73"/>
    </row>
    <row r="255" spans="1:43" s="365" customFormat="1" ht="15" customHeight="1" x14ac:dyDescent="0.25">
      <c r="A255" s="324"/>
      <c r="B255" s="325"/>
      <c r="C255" s="364"/>
      <c r="D255" s="86" t="s">
        <v>568</v>
      </c>
      <c r="E255" s="84" t="s">
        <v>2063</v>
      </c>
      <c r="F255" s="73" t="e">
        <f>+VLOOKUP($E255,Primary!$1:$1048576,F$2,FALSE)</f>
        <v>#N/A</v>
      </c>
      <c r="G255" s="73" t="e">
        <f>+VLOOKUP($E255,Primary!$1:$1048576,G$2,FALSE)</f>
        <v>#N/A</v>
      </c>
      <c r="H255" s="73" t="e">
        <f>+VLOOKUP($E255,Primary!$1:$1048576,H$2,FALSE)</f>
        <v>#N/A</v>
      </c>
      <c r="I255" s="73" t="e">
        <f>+VLOOKUP($E255,Primary!$1:$1048576,I$2,FALSE)</f>
        <v>#N/A</v>
      </c>
      <c r="J255" s="73" t="e">
        <f>+VLOOKUP($E255,Primary!$1:$1048576,J$2,FALSE)</f>
        <v>#N/A</v>
      </c>
      <c r="K255" s="73" t="e">
        <f>+VLOOKUP($E255,Primary!$1:$1048576,K$2,FALSE)</f>
        <v>#N/A</v>
      </c>
      <c r="L255" s="73" t="e">
        <f>+VLOOKUP($E255,Primary!$1:$1048576,L$2,FALSE)</f>
        <v>#N/A</v>
      </c>
      <c r="M255" s="73" t="e">
        <f>+VLOOKUP($E255,Primary!$1:$1048576,M$2,FALSE)</f>
        <v>#N/A</v>
      </c>
      <c r="N255" s="73" t="e">
        <f>+VLOOKUP($E255,Primary!$1:$1048576,N$2,FALSE)</f>
        <v>#N/A</v>
      </c>
      <c r="O255" s="73" t="e">
        <f>+VLOOKUP($E255,Primary!$1:$1048576,O$2,FALSE)</f>
        <v>#N/A</v>
      </c>
      <c r="P255" s="73" t="e">
        <f>+VLOOKUP($E255,Primary!$1:$1048576,P$2,FALSE)</f>
        <v>#N/A</v>
      </c>
      <c r="Q255" s="73" t="e">
        <f>+VLOOKUP($E255,Primary!$1:$1048576,Q$2,FALSE)</f>
        <v>#N/A</v>
      </c>
      <c r="R255" s="73" t="e">
        <f>+VLOOKUP($E255,Primary!$1:$1048576,R$2,FALSE)</f>
        <v>#N/A</v>
      </c>
      <c r="S255" s="73" t="e">
        <f>+VLOOKUP($E255,Primary!$1:$1048576,S$2,FALSE)</f>
        <v>#N/A</v>
      </c>
      <c r="T255" s="73" t="e">
        <f>+VLOOKUP($E255,Primary!$1:$1048576,T$2,FALSE)</f>
        <v>#N/A</v>
      </c>
      <c r="U255" s="73" t="e">
        <f>+VLOOKUP($E255,Primary!$1:$1048576,U$2,FALSE)</f>
        <v>#N/A</v>
      </c>
      <c r="V255" s="73" t="e">
        <f>+VLOOKUP($E255,Primary!$1:$1048576,V$2,FALSE)</f>
        <v>#N/A</v>
      </c>
      <c r="W255" s="73" t="e">
        <f>+VLOOKUP($E255,Primary!$1:$1048576,W$2,FALSE)</f>
        <v>#N/A</v>
      </c>
      <c r="X255" s="73" t="e">
        <f>+VLOOKUP($E255,Primary!$1:$1048576,X$2,FALSE)</f>
        <v>#N/A</v>
      </c>
      <c r="Y255" s="73" t="e">
        <f>+VLOOKUP($E255,Primary!$1:$1048576,Y$2,FALSE)</f>
        <v>#N/A</v>
      </c>
      <c r="Z255" s="73" t="e">
        <f>+VLOOKUP($E255,Primary!$1:$1048576,Z$2,FALSE)</f>
        <v>#N/A</v>
      </c>
      <c r="AA255" s="73" t="e">
        <f>+VLOOKUP($E255,Primary!$1:$1048576,AA$2,FALSE)</f>
        <v>#N/A</v>
      </c>
      <c r="AB255" s="73" t="e">
        <f>+VLOOKUP($E255,Primary!$1:$1048576,AB$2,FALSE)</f>
        <v>#N/A</v>
      </c>
      <c r="AC255" s="73" t="e">
        <f>+VLOOKUP($E255,Primary!$1:$1048576,AC$2,FALSE)</f>
        <v>#N/A</v>
      </c>
      <c r="AD255" s="73" t="e">
        <f>+VLOOKUP($E255,Primary!$1:$1048576,AD$2,FALSE)</f>
        <v>#N/A</v>
      </c>
      <c r="AE255" s="73" t="e">
        <f>+VLOOKUP($E255,Primary!$1:$1048576,AE$2,FALSE)</f>
        <v>#N/A</v>
      </c>
      <c r="AF255" s="73" t="e">
        <f>+VLOOKUP($E255,Primary!$1:$1048576,AF$2,FALSE)</f>
        <v>#N/A</v>
      </c>
      <c r="AG255" s="73" t="e">
        <f>+VLOOKUP($E255,Primary!$1:$1048576,AG$2,FALSE)</f>
        <v>#N/A</v>
      </c>
      <c r="AH255" s="73" t="e">
        <f>+VLOOKUP($E255,Primary!$1:$1048576,AH$2,FALSE)</f>
        <v>#N/A</v>
      </c>
      <c r="AI255" s="73" t="e">
        <f>+VLOOKUP($E255,Primary!$1:$1048576,AI$2,FALSE)</f>
        <v>#N/A</v>
      </c>
      <c r="AJ255" s="73" t="e">
        <f>+VLOOKUP($E255,Primary!$1:$1048576,AJ$2,FALSE)</f>
        <v>#N/A</v>
      </c>
      <c r="AK255" s="73" t="e">
        <f>+VLOOKUP($E255,Primary!$1:$1048576,AK$2,FALSE)</f>
        <v>#N/A</v>
      </c>
      <c r="AL255" s="73" t="e">
        <f>+VLOOKUP($E255,Primary!$1:$1048576,AL$2,FALSE)</f>
        <v>#N/A</v>
      </c>
      <c r="AM255" s="73" t="e">
        <f>+VLOOKUP($E255,Primary!$1:$1048576,AM$2,FALSE)</f>
        <v>#N/A</v>
      </c>
      <c r="AN255" s="73" t="e">
        <f>+VLOOKUP($E255,Primary!$1:$1048576,AN$2,FALSE)</f>
        <v>#N/A</v>
      </c>
      <c r="AO255" s="73" t="e">
        <f>+VLOOKUP($E255,Primary!$1:$1048576,AO$2,FALSE)</f>
        <v>#N/A</v>
      </c>
      <c r="AP255" s="73"/>
      <c r="AQ255" s="73"/>
    </row>
    <row r="256" spans="1:43" s="73" customFormat="1" ht="15" customHeight="1" x14ac:dyDescent="0.25">
      <c r="A256" s="324"/>
      <c r="B256" s="325"/>
      <c r="C256" s="134"/>
      <c r="D256" s="86" t="s">
        <v>568</v>
      </c>
      <c r="E256" s="84" t="s">
        <v>610</v>
      </c>
      <c r="F256" s="73">
        <f>+VLOOKUP($E256,Primary!$1:$1048576,F$2,FALSE)</f>
        <v>0.52361599999999997</v>
      </c>
      <c r="G256" s="73">
        <f>+VLOOKUP($E256,Primary!$1:$1048576,G$2,FALSE)</f>
        <v>0.52531136109999998</v>
      </c>
      <c r="H256" s="73">
        <f>+VLOOKUP($E256,Primary!$1:$1048576,H$2,FALSE)</f>
        <v>0.5251958538</v>
      </c>
      <c r="I256" s="73">
        <f>+VLOOKUP($E256,Primary!$1:$1048576,I$2,FALSE)</f>
        <v>0.5243587368</v>
      </c>
      <c r="J256" s="73">
        <f>+VLOOKUP($E256,Primary!$1:$1048576,J$2,FALSE)</f>
        <v>0.52328489540000001</v>
      </c>
      <c r="K256" s="73">
        <f>+VLOOKUP($E256,Primary!$1:$1048576,K$2,FALSE)</f>
        <v>0.52217939830000004</v>
      </c>
      <c r="L256" s="73">
        <f>+VLOOKUP($E256,Primary!$1:$1048576,L$2,FALSE)</f>
        <v>0.52111837000000005</v>
      </c>
      <c r="M256" s="73">
        <f>+VLOOKUP($E256,Primary!$1:$1048576,M$2,FALSE)</f>
        <v>0.52012127379999995</v>
      </c>
      <c r="N256" s="73">
        <f>+VLOOKUP($E256,Primary!$1:$1048576,N$2,FALSE)</f>
        <v>0.51918527869999997</v>
      </c>
      <c r="O256" s="73">
        <f>+VLOOKUP($E256,Primary!$1:$1048576,O$2,FALSE)</f>
        <v>0.51830092390000004</v>
      </c>
      <c r="P256" s="73">
        <f>+VLOOKUP($E256,Primary!$1:$1048576,P$2,FALSE)</f>
        <v>0.51745860440000002</v>
      </c>
      <c r="Q256" s="73">
        <f>+VLOOKUP($E256,Primary!$1:$1048576,Q$2,FALSE)</f>
        <v>0.51665070479999997</v>
      </c>
      <c r="R256" s="73">
        <f>+VLOOKUP($E256,Primary!$1:$1048576,R$2,FALSE)</f>
        <v>0.51587183540000003</v>
      </c>
      <c r="S256" s="73">
        <f>+VLOOKUP($E256,Primary!$1:$1048576,S$2,FALSE)</f>
        <v>0.51511750560000003</v>
      </c>
      <c r="T256" s="73">
        <f>+VLOOKUP($E256,Primary!$1:$1048576,T$2,FALSE)</f>
        <v>0.51438286229999997</v>
      </c>
      <c r="U256" s="73">
        <f>+VLOOKUP($E256,Primary!$1:$1048576,U$2,FALSE)</f>
        <v>0.51366549589999999</v>
      </c>
      <c r="V256" s="73">
        <f>+VLOOKUP($E256,Primary!$1:$1048576,V$2,FALSE)</f>
        <v>0.51296420909999996</v>
      </c>
      <c r="W256" s="73">
        <f>+VLOOKUP($E256,Primary!$1:$1048576,W$2,FALSE)</f>
        <v>0.51227837279999999</v>
      </c>
      <c r="X256" s="73">
        <f>+VLOOKUP($E256,Primary!$1:$1048576,X$2,FALSE)</f>
        <v>0.51160767210000002</v>
      </c>
      <c r="Y256" s="73">
        <f>+VLOOKUP($E256,Primary!$1:$1048576,Y$2,FALSE)</f>
        <v>0.51095200259999995</v>
      </c>
      <c r="Z256" s="73">
        <f>+VLOOKUP($E256,Primary!$1:$1048576,Z$2,FALSE)</f>
        <v>0.51031141469999997</v>
      </c>
      <c r="AA256" s="73">
        <f>+VLOOKUP($E256,Primary!$1:$1048576,AA$2,FALSE)</f>
        <v>0.50968609040000001</v>
      </c>
      <c r="AB256" s="73">
        <f>+VLOOKUP($E256,Primary!$1:$1048576,AB$2,FALSE)</f>
        <v>0.50907632820000004</v>
      </c>
      <c r="AC256" s="73">
        <f>+VLOOKUP($E256,Primary!$1:$1048576,AC$2,FALSE)</f>
        <v>0.50848252510000003</v>
      </c>
      <c r="AD256" s="73">
        <f>+VLOOKUP($E256,Primary!$1:$1048576,AD$2,FALSE)</f>
        <v>0.50790515520000001</v>
      </c>
      <c r="AE256" s="73">
        <f>+VLOOKUP($E256,Primary!$1:$1048576,AE$2,FALSE)</f>
        <v>0.50734474510000005</v>
      </c>
      <c r="AF256" s="73">
        <f>+VLOOKUP($E256,Primary!$1:$1048576,AF$2,FALSE)</f>
        <v>0.50680184949999996</v>
      </c>
      <c r="AG256" s="73">
        <f>+VLOOKUP($E256,Primary!$1:$1048576,AG$2,FALSE)</f>
        <v>0.50627702799999996</v>
      </c>
      <c r="AH256" s="73">
        <f>+VLOOKUP($E256,Primary!$1:$1048576,AH$2,FALSE)</f>
        <v>0.50577082490000003</v>
      </c>
      <c r="AI256" s="73">
        <f>+VLOOKUP($E256,Primary!$1:$1048576,AI$2,FALSE)</f>
        <v>0.50528375280000004</v>
      </c>
      <c r="AJ256" s="73">
        <f>+VLOOKUP($E256,Primary!$1:$1048576,AJ$2,FALSE)</f>
        <v>0.50481629660000005</v>
      </c>
      <c r="AK256" s="73">
        <f>+VLOOKUP($E256,Primary!$1:$1048576,AK$2,FALSE)</f>
        <v>0.50436888079999997</v>
      </c>
      <c r="AL256" s="73">
        <f>+VLOOKUP($E256,Primary!$1:$1048576,AL$2,FALSE)</f>
        <v>0.50394186699999999</v>
      </c>
      <c r="AM256" s="73">
        <f>+VLOOKUP($E256,Primary!$1:$1048576,AM$2,FALSE)</f>
        <v>0.50353555480000001</v>
      </c>
      <c r="AN256" s="73">
        <f>+VLOOKUP($E256,Primary!$1:$1048576,AN$2,FALSE)</f>
        <v>0.50315018369999998</v>
      </c>
      <c r="AO256" s="73">
        <f>+VLOOKUP($E256,Primary!$1:$1048576,AO$2,FALSE)</f>
        <v>0.50278593620000001</v>
      </c>
    </row>
    <row r="257" spans="1:43" s="73" customFormat="1" ht="15" customHeight="1" x14ac:dyDescent="0.25">
      <c r="A257" s="324"/>
      <c r="B257" s="325"/>
      <c r="C257" s="134"/>
      <c r="D257" s="86" t="s">
        <v>569</v>
      </c>
      <c r="E257" s="84" t="s">
        <v>611</v>
      </c>
      <c r="F257" s="73">
        <f>+VLOOKUP($E257,Primary!$1:$1048576,F$2,FALSE)</f>
        <v>0.72579400000000005</v>
      </c>
      <c r="G257" s="73">
        <f>+VLOOKUP($E257,Primary!$1:$1048576,G$2,FALSE)</f>
        <v>0.72814397190000002</v>
      </c>
      <c r="H257" s="73">
        <f>+VLOOKUP($E257,Primary!$1:$1048576,H$2,FALSE)</f>
        <v>0.72798386510000002</v>
      </c>
      <c r="I257" s="73">
        <f>+VLOOKUP($E257,Primary!$1:$1048576,I$2,FALSE)</f>
        <v>0.72682352139999995</v>
      </c>
      <c r="J257" s="73">
        <f>+VLOOKUP($E257,Primary!$1:$1048576,J$2,FALSE)</f>
        <v>0.72533504959999995</v>
      </c>
      <c r="K257" s="73">
        <f>+VLOOKUP($E257,Primary!$1:$1048576,K$2,FALSE)</f>
        <v>0.72380269929999996</v>
      </c>
      <c r="L257" s="73">
        <f>+VLOOKUP($E257,Primary!$1:$1048576,L$2,FALSE)</f>
        <v>0.72233198799999998</v>
      </c>
      <c r="M257" s="73">
        <f>+VLOOKUP($E257,Primary!$1:$1048576,M$2,FALSE)</f>
        <v>0.7209498942</v>
      </c>
      <c r="N257" s="73">
        <f>+VLOOKUP($E257,Primary!$1:$1048576,N$2,FALSE)</f>
        <v>0.71965249379999996</v>
      </c>
      <c r="O257" s="73">
        <f>+VLOOKUP($E257,Primary!$1:$1048576,O$2,FALSE)</f>
        <v>0.71842667280000005</v>
      </c>
      <c r="P257" s="73">
        <f>+VLOOKUP($E257,Primary!$1:$1048576,P$2,FALSE)</f>
        <v>0.71725911789999997</v>
      </c>
      <c r="Q257" s="73">
        <f>+VLOOKUP($E257,Primary!$1:$1048576,Q$2,FALSE)</f>
        <v>0.71613927310000003</v>
      </c>
      <c r="R257" s="73">
        <f>+VLOOKUP($E257,Primary!$1:$1048576,R$2,FALSE)</f>
        <v>0.71505966759999995</v>
      </c>
      <c r="S257" s="73">
        <f>+VLOOKUP($E257,Primary!$1:$1048576,S$2,FALSE)</f>
        <v>0.71401407679999995</v>
      </c>
      <c r="T257" s="73">
        <f>+VLOOKUP($E257,Primary!$1:$1048576,T$2,FALSE)</f>
        <v>0.71299577390000002</v>
      </c>
      <c r="U257" s="73">
        <f>+VLOOKUP($E257,Primary!$1:$1048576,U$2,FALSE)</f>
        <v>0.71200141890000002</v>
      </c>
      <c r="V257" s="73">
        <f>+VLOOKUP($E257,Primary!$1:$1048576,V$2,FALSE)</f>
        <v>0.71102935199999995</v>
      </c>
      <c r="W257" s="73">
        <f>+VLOOKUP($E257,Primary!$1:$1048576,W$2,FALSE)</f>
        <v>0.71007870139999996</v>
      </c>
      <c r="X257" s="73">
        <f>+VLOOKUP($E257,Primary!$1:$1048576,X$2,FALSE)</f>
        <v>0.7091490305</v>
      </c>
      <c r="Y257" s="73">
        <f>+VLOOKUP($E257,Primary!$1:$1048576,Y$2,FALSE)</f>
        <v>0.70824019469999999</v>
      </c>
      <c r="Z257" s="73">
        <f>+VLOOKUP($E257,Primary!$1:$1048576,Z$2,FALSE)</f>
        <v>0.70735226370000004</v>
      </c>
      <c r="AA257" s="73">
        <f>+VLOOKUP($E257,Primary!$1:$1048576,AA$2,FALSE)</f>
        <v>0.70648548990000004</v>
      </c>
      <c r="AB257" s="73">
        <f>+VLOOKUP($E257,Primary!$1:$1048576,AB$2,FALSE)</f>
        <v>0.70564028700000003</v>
      </c>
      <c r="AC257" s="73">
        <f>+VLOOKUP($E257,Primary!$1:$1048576,AC$2,FALSE)</f>
        <v>0.70481720540000004</v>
      </c>
      <c r="AD257" s="73">
        <f>+VLOOKUP($E257,Primary!$1:$1048576,AD$2,FALSE)</f>
        <v>0.70401690210000001</v>
      </c>
      <c r="AE257" s="73">
        <f>+VLOOKUP($E257,Primary!$1:$1048576,AE$2,FALSE)</f>
        <v>0.70324010709999996</v>
      </c>
      <c r="AF257" s="73">
        <f>+VLOOKUP($E257,Primary!$1:$1048576,AF$2,FALSE)</f>
        <v>0.70248758929999999</v>
      </c>
      <c r="AG257" s="73">
        <f>+VLOOKUP($E257,Primary!$1:$1048576,AG$2,FALSE)</f>
        <v>0.70176012430000001</v>
      </c>
      <c r="AH257" s="73">
        <f>+VLOOKUP($E257,Primary!$1:$1048576,AH$2,FALSE)</f>
        <v>0.70105846660000004</v>
      </c>
      <c r="AI257" s="73">
        <f>+VLOOKUP($E257,Primary!$1:$1048576,AI$2,FALSE)</f>
        <v>0.70038332690000005</v>
      </c>
      <c r="AJ257" s="73">
        <f>+VLOOKUP($E257,Primary!$1:$1048576,AJ$2,FALSE)</f>
        <v>0.69973537699999999</v>
      </c>
      <c r="AK257" s="73">
        <f>+VLOOKUP($E257,Primary!$1:$1048576,AK$2,FALSE)</f>
        <v>0.69911520549999995</v>
      </c>
      <c r="AL257" s="73">
        <f>+VLOOKUP($E257,Primary!$1:$1048576,AL$2,FALSE)</f>
        <v>0.69852331369999998</v>
      </c>
      <c r="AM257" s="73">
        <f>+VLOOKUP($E257,Primary!$1:$1048576,AM$2,FALSE)</f>
        <v>0.69796011660000001</v>
      </c>
      <c r="AN257" s="73">
        <f>+VLOOKUP($E257,Primary!$1:$1048576,AN$2,FALSE)</f>
        <v>0.6974259465</v>
      </c>
      <c r="AO257" s="73">
        <f>+VLOOKUP($E257,Primary!$1:$1048576,AO$2,FALSE)</f>
        <v>0.6969210562</v>
      </c>
    </row>
    <row r="258" spans="1:43" s="111" customFormat="1" ht="15" customHeight="1" x14ac:dyDescent="0.25">
      <c r="A258" s="324"/>
      <c r="B258" s="325"/>
      <c r="C258" s="134" t="s">
        <v>515</v>
      </c>
      <c r="D258" s="112"/>
      <c r="E258" s="87" t="s">
        <v>612</v>
      </c>
      <c r="F258" s="73">
        <f>+VLOOKUP($E258,Primary!$1:$1048576,F$2,FALSE)</f>
        <v>57.462232999999998</v>
      </c>
      <c r="G258" s="73">
        <f>+VLOOKUP($E258,Primary!$1:$1048576,G$2,FALSE)</f>
        <v>57.889427140000002</v>
      </c>
      <c r="H258" s="73">
        <f>+VLOOKUP($E258,Primary!$1:$1048576,H$2,FALSE)</f>
        <v>58.226696850000003</v>
      </c>
      <c r="I258" s="73">
        <f>+VLOOKUP($E258,Primary!$1:$1048576,I$2,FALSE)</f>
        <v>58.54270752</v>
      </c>
      <c r="J258" s="73">
        <f>+VLOOKUP($E258,Primary!$1:$1048576,J$2,FALSE)</f>
        <v>58.865512459999998</v>
      </c>
      <c r="K258" s="73">
        <f>+VLOOKUP($E258,Primary!$1:$1048576,K$2,FALSE)</f>
        <v>59.204070780000002</v>
      </c>
      <c r="L258" s="73">
        <f>+VLOOKUP($E258,Primary!$1:$1048576,L$2,FALSE)</f>
        <v>59.55949056</v>
      </c>
      <c r="M258" s="73">
        <f>+VLOOKUP($E258,Primary!$1:$1048576,M$2,FALSE)</f>
        <v>59.930186579999997</v>
      </c>
      <c r="N258" s="73">
        <f>+VLOOKUP($E258,Primary!$1:$1048576,N$2,FALSE)</f>
        <v>60.314031919999998</v>
      </c>
      <c r="O258" s="73">
        <f>+VLOOKUP($E258,Primary!$1:$1048576,O$2,FALSE)</f>
        <v>60.709138539999998</v>
      </c>
      <c r="P258" s="73">
        <f>+VLOOKUP($E258,Primary!$1:$1048576,P$2,FALSE)</f>
        <v>61.114056570000002</v>
      </c>
      <c r="Q258" s="73">
        <f>+VLOOKUP($E258,Primary!$1:$1048576,Q$2,FALSE)</f>
        <v>61.527754049999999</v>
      </c>
      <c r="R258" s="73">
        <f>+VLOOKUP($E258,Primary!$1:$1048576,R$2,FALSE)</f>
        <v>61.949533090000003</v>
      </c>
      <c r="S258" s="73">
        <f>+VLOOKUP($E258,Primary!$1:$1048576,S$2,FALSE)</f>
        <v>62.378943270000001</v>
      </c>
      <c r="T258" s="73">
        <f>+VLOOKUP($E258,Primary!$1:$1048576,T$2,FALSE)</f>
        <v>62.815710520000003</v>
      </c>
      <c r="U258" s="73">
        <f>+VLOOKUP($E258,Primary!$1:$1048576,U$2,FALSE)</f>
        <v>63.259683150000001</v>
      </c>
      <c r="V258" s="73">
        <f>+VLOOKUP($E258,Primary!$1:$1048576,V$2,FALSE)</f>
        <v>63.71079314</v>
      </c>
      <c r="W258" s="73">
        <f>+VLOOKUP($E258,Primary!$1:$1048576,W$2,FALSE)</f>
        <v>64.168984170000002</v>
      </c>
      <c r="X258" s="73">
        <f>+VLOOKUP($E258,Primary!$1:$1048576,X$2,FALSE)</f>
        <v>64.634242330000006</v>
      </c>
      <c r="Y258" s="73">
        <f>+VLOOKUP($E258,Primary!$1:$1048576,Y$2,FALSE)</f>
        <v>65.10660532</v>
      </c>
      <c r="Z258" s="73">
        <f>+VLOOKUP($E258,Primary!$1:$1048576,Z$2,FALSE)</f>
        <v>65.586137620000002</v>
      </c>
      <c r="AA258" s="73">
        <f>+VLOOKUP($E258,Primary!$1:$1048576,AA$2,FALSE)</f>
        <v>66.07291687</v>
      </c>
      <c r="AB258" s="73">
        <f>+VLOOKUP($E258,Primary!$1:$1048576,AB$2,FALSE)</f>
        <v>66.567026690000006</v>
      </c>
      <c r="AC258" s="73">
        <f>+VLOOKUP($E258,Primary!$1:$1048576,AC$2,FALSE)</f>
        <v>67.068553359999996</v>
      </c>
      <c r="AD258" s="73">
        <f>+VLOOKUP($E258,Primary!$1:$1048576,AD$2,FALSE)</f>
        <v>67.577584540000004</v>
      </c>
      <c r="AE258" s="73">
        <f>+VLOOKUP($E258,Primary!$1:$1048576,AE$2,FALSE)</f>
        <v>68.094209120000002</v>
      </c>
      <c r="AF258" s="73">
        <f>+VLOOKUP($E258,Primary!$1:$1048576,AF$2,FALSE)</f>
        <v>68.618517560000001</v>
      </c>
      <c r="AG258" s="73">
        <f>+VLOOKUP($E258,Primary!$1:$1048576,AG$2,FALSE)</f>
        <v>69.150602500000005</v>
      </c>
      <c r="AH258" s="73">
        <f>+VLOOKUP($E258,Primary!$1:$1048576,AH$2,FALSE)</f>
        <v>69.690559230000005</v>
      </c>
      <c r="AI258" s="73">
        <f>+VLOOKUP($E258,Primary!$1:$1048576,AI$2,FALSE)</f>
        <v>70.238486129999998</v>
      </c>
      <c r="AJ258" s="73">
        <f>+VLOOKUP($E258,Primary!$1:$1048576,AJ$2,FALSE)</f>
        <v>70.794484850000003</v>
      </c>
      <c r="AK258" s="73">
        <f>+VLOOKUP($E258,Primary!$1:$1048576,AK$2,FALSE)</f>
        <v>71.358660389999997</v>
      </c>
      <c r="AL258" s="73">
        <f>+VLOOKUP($E258,Primary!$1:$1048576,AL$2,FALSE)</f>
        <v>71.931121009999998</v>
      </c>
      <c r="AM258" s="73">
        <f>+VLOOKUP($E258,Primary!$1:$1048576,AM$2,FALSE)</f>
        <v>72.511977959999996</v>
      </c>
      <c r="AN258" s="73">
        <f>+VLOOKUP($E258,Primary!$1:$1048576,AN$2,FALSE)</f>
        <v>73.101345230000007</v>
      </c>
      <c r="AO258" s="73">
        <f>+VLOOKUP($E258,Primary!$1:$1048576,AO$2,FALSE)</f>
        <v>73.699339179999996</v>
      </c>
      <c r="AP258" s="73"/>
      <c r="AQ258" s="73"/>
    </row>
    <row r="259" spans="1:43" s="73" customFormat="1" ht="15" customHeight="1" x14ac:dyDescent="0.25">
      <c r="A259" s="324"/>
      <c r="B259" s="325"/>
      <c r="C259" s="134"/>
      <c r="D259" s="86" t="s">
        <v>172</v>
      </c>
      <c r="E259" s="84" t="s">
        <v>613</v>
      </c>
      <c r="F259" s="73" t="e">
        <f>+VLOOKUP($E259,Primary!$1:$1048576,F$2,FALSE)</f>
        <v>#N/A</v>
      </c>
      <c r="G259" s="73" t="e">
        <f>+VLOOKUP($E259,Primary!$1:$1048576,G$2,FALSE)</f>
        <v>#N/A</v>
      </c>
      <c r="H259" s="73" t="e">
        <f>+VLOOKUP($E259,Primary!$1:$1048576,H$2,FALSE)</f>
        <v>#N/A</v>
      </c>
      <c r="I259" s="73" t="e">
        <f>+VLOOKUP($E259,Primary!$1:$1048576,I$2,FALSE)</f>
        <v>#N/A</v>
      </c>
      <c r="J259" s="73" t="e">
        <f>+VLOOKUP($E259,Primary!$1:$1048576,J$2,FALSE)</f>
        <v>#N/A</v>
      </c>
      <c r="K259" s="73" t="e">
        <f>+VLOOKUP($E259,Primary!$1:$1048576,K$2,FALSE)</f>
        <v>#N/A</v>
      </c>
      <c r="L259" s="73" t="e">
        <f>+VLOOKUP($E259,Primary!$1:$1048576,L$2,FALSE)</f>
        <v>#N/A</v>
      </c>
      <c r="M259" s="73" t="e">
        <f>+VLOOKUP($E259,Primary!$1:$1048576,M$2,FALSE)</f>
        <v>#N/A</v>
      </c>
      <c r="N259" s="73" t="e">
        <f>+VLOOKUP($E259,Primary!$1:$1048576,N$2,FALSE)</f>
        <v>#N/A</v>
      </c>
      <c r="O259" s="73" t="e">
        <f>+VLOOKUP($E259,Primary!$1:$1048576,O$2,FALSE)</f>
        <v>#N/A</v>
      </c>
      <c r="P259" s="73" t="e">
        <f>+VLOOKUP($E259,Primary!$1:$1048576,P$2,FALSE)</f>
        <v>#N/A</v>
      </c>
      <c r="Q259" s="73" t="e">
        <f>+VLOOKUP($E259,Primary!$1:$1048576,Q$2,FALSE)</f>
        <v>#N/A</v>
      </c>
      <c r="R259" s="73" t="e">
        <f>+VLOOKUP($E259,Primary!$1:$1048576,R$2,FALSE)</f>
        <v>#N/A</v>
      </c>
      <c r="S259" s="73" t="e">
        <f>+VLOOKUP($E259,Primary!$1:$1048576,S$2,FALSE)</f>
        <v>#N/A</v>
      </c>
      <c r="T259" s="73" t="e">
        <f>+VLOOKUP($E259,Primary!$1:$1048576,T$2,FALSE)</f>
        <v>#N/A</v>
      </c>
      <c r="U259" s="73" t="e">
        <f>+VLOOKUP($E259,Primary!$1:$1048576,U$2,FALSE)</f>
        <v>#N/A</v>
      </c>
      <c r="V259" s="73" t="e">
        <f>+VLOOKUP($E259,Primary!$1:$1048576,V$2,FALSE)</f>
        <v>#N/A</v>
      </c>
      <c r="W259" s="73" t="e">
        <f>+VLOOKUP($E259,Primary!$1:$1048576,W$2,FALSE)</f>
        <v>#N/A</v>
      </c>
      <c r="X259" s="73" t="e">
        <f>+VLOOKUP($E259,Primary!$1:$1048576,X$2,FALSE)</f>
        <v>#N/A</v>
      </c>
      <c r="Y259" s="73" t="e">
        <f>+VLOOKUP($E259,Primary!$1:$1048576,Y$2,FALSE)</f>
        <v>#N/A</v>
      </c>
      <c r="Z259" s="73" t="e">
        <f>+VLOOKUP($E259,Primary!$1:$1048576,Z$2,FALSE)</f>
        <v>#N/A</v>
      </c>
      <c r="AA259" s="73" t="e">
        <f>+VLOOKUP($E259,Primary!$1:$1048576,AA$2,FALSE)</f>
        <v>#N/A</v>
      </c>
      <c r="AB259" s="73" t="e">
        <f>+VLOOKUP($E259,Primary!$1:$1048576,AB$2,FALSE)</f>
        <v>#N/A</v>
      </c>
      <c r="AC259" s="73" t="e">
        <f>+VLOOKUP($E259,Primary!$1:$1048576,AC$2,FALSE)</f>
        <v>#N/A</v>
      </c>
      <c r="AD259" s="73" t="e">
        <f>+VLOOKUP($E259,Primary!$1:$1048576,AD$2,FALSE)</f>
        <v>#N/A</v>
      </c>
      <c r="AE259" s="73" t="e">
        <f>+VLOOKUP($E259,Primary!$1:$1048576,AE$2,FALSE)</f>
        <v>#N/A</v>
      </c>
      <c r="AF259" s="73" t="e">
        <f>+VLOOKUP($E259,Primary!$1:$1048576,AF$2,FALSE)</f>
        <v>#N/A</v>
      </c>
      <c r="AG259" s="73" t="e">
        <f>+VLOOKUP($E259,Primary!$1:$1048576,AG$2,FALSE)</f>
        <v>#N/A</v>
      </c>
      <c r="AH259" s="73" t="e">
        <f>+VLOOKUP($E259,Primary!$1:$1048576,AH$2,FALSE)</f>
        <v>#N/A</v>
      </c>
      <c r="AI259" s="73" t="e">
        <f>+VLOOKUP($E259,Primary!$1:$1048576,AI$2,FALSE)</f>
        <v>#N/A</v>
      </c>
      <c r="AJ259" s="73" t="e">
        <f>+VLOOKUP($E259,Primary!$1:$1048576,AJ$2,FALSE)</f>
        <v>#N/A</v>
      </c>
      <c r="AK259" s="73" t="e">
        <f>+VLOOKUP($E259,Primary!$1:$1048576,AK$2,FALSE)</f>
        <v>#N/A</v>
      </c>
      <c r="AL259" s="73" t="e">
        <f>+VLOOKUP($E259,Primary!$1:$1048576,AL$2,FALSE)</f>
        <v>#N/A</v>
      </c>
      <c r="AM259" s="73" t="e">
        <f>+VLOOKUP($E259,Primary!$1:$1048576,AM$2,FALSE)</f>
        <v>#N/A</v>
      </c>
      <c r="AN259" s="73" t="e">
        <f>+VLOOKUP($E259,Primary!$1:$1048576,AN$2,FALSE)</f>
        <v>#N/A</v>
      </c>
      <c r="AO259" s="73" t="e">
        <f>+VLOOKUP($E259,Primary!$1:$1048576,AO$2,FALSE)</f>
        <v>#N/A</v>
      </c>
    </row>
    <row r="260" spans="1:43" s="73" customFormat="1" ht="15" customHeight="1" x14ac:dyDescent="0.25">
      <c r="A260" s="324"/>
      <c r="B260" s="325"/>
      <c r="C260" s="134"/>
      <c r="D260" s="86" t="s">
        <v>173</v>
      </c>
      <c r="E260" s="84" t="s">
        <v>614</v>
      </c>
      <c r="F260" s="73" t="e">
        <f>+VLOOKUP($E260,Primary!$1:$1048576,F$2,FALSE)</f>
        <v>#N/A</v>
      </c>
      <c r="G260" s="73" t="e">
        <f>+VLOOKUP($E260,Primary!$1:$1048576,G$2,FALSE)</f>
        <v>#N/A</v>
      </c>
      <c r="H260" s="73" t="e">
        <f>+VLOOKUP($E260,Primary!$1:$1048576,H$2,FALSE)</f>
        <v>#N/A</v>
      </c>
      <c r="I260" s="73" t="e">
        <f>+VLOOKUP($E260,Primary!$1:$1048576,I$2,FALSE)</f>
        <v>#N/A</v>
      </c>
      <c r="J260" s="73" t="e">
        <f>+VLOOKUP($E260,Primary!$1:$1048576,J$2,FALSE)</f>
        <v>#N/A</v>
      </c>
      <c r="K260" s="73" t="e">
        <f>+VLOOKUP($E260,Primary!$1:$1048576,K$2,FALSE)</f>
        <v>#N/A</v>
      </c>
      <c r="L260" s="73" t="e">
        <f>+VLOOKUP($E260,Primary!$1:$1048576,L$2,FALSE)</f>
        <v>#N/A</v>
      </c>
      <c r="M260" s="73" t="e">
        <f>+VLOOKUP($E260,Primary!$1:$1048576,M$2,FALSE)</f>
        <v>#N/A</v>
      </c>
      <c r="N260" s="73" t="e">
        <f>+VLOOKUP($E260,Primary!$1:$1048576,N$2,FALSE)</f>
        <v>#N/A</v>
      </c>
      <c r="O260" s="73" t="e">
        <f>+VLOOKUP($E260,Primary!$1:$1048576,O$2,FALSE)</f>
        <v>#N/A</v>
      </c>
      <c r="P260" s="73" t="e">
        <f>+VLOOKUP($E260,Primary!$1:$1048576,P$2,FALSE)</f>
        <v>#N/A</v>
      </c>
      <c r="Q260" s="73" t="e">
        <f>+VLOOKUP($E260,Primary!$1:$1048576,Q$2,FALSE)</f>
        <v>#N/A</v>
      </c>
      <c r="R260" s="73" t="e">
        <f>+VLOOKUP($E260,Primary!$1:$1048576,R$2,FALSE)</f>
        <v>#N/A</v>
      </c>
      <c r="S260" s="73" t="e">
        <f>+VLOOKUP($E260,Primary!$1:$1048576,S$2,FALSE)</f>
        <v>#N/A</v>
      </c>
      <c r="T260" s="73" t="e">
        <f>+VLOOKUP($E260,Primary!$1:$1048576,T$2,FALSE)</f>
        <v>#N/A</v>
      </c>
      <c r="U260" s="73" t="e">
        <f>+VLOOKUP($E260,Primary!$1:$1048576,U$2,FALSE)</f>
        <v>#N/A</v>
      </c>
      <c r="V260" s="73" t="e">
        <f>+VLOOKUP($E260,Primary!$1:$1048576,V$2,FALSE)</f>
        <v>#N/A</v>
      </c>
      <c r="W260" s="73" t="e">
        <f>+VLOOKUP($E260,Primary!$1:$1048576,W$2,FALSE)</f>
        <v>#N/A</v>
      </c>
      <c r="X260" s="73" t="e">
        <f>+VLOOKUP($E260,Primary!$1:$1048576,X$2,FALSE)</f>
        <v>#N/A</v>
      </c>
      <c r="Y260" s="73" t="e">
        <f>+VLOOKUP($E260,Primary!$1:$1048576,Y$2,FALSE)</f>
        <v>#N/A</v>
      </c>
      <c r="Z260" s="73" t="e">
        <f>+VLOOKUP($E260,Primary!$1:$1048576,Z$2,FALSE)</f>
        <v>#N/A</v>
      </c>
      <c r="AA260" s="73" t="e">
        <f>+VLOOKUP($E260,Primary!$1:$1048576,AA$2,FALSE)</f>
        <v>#N/A</v>
      </c>
      <c r="AB260" s="73" t="e">
        <f>+VLOOKUP($E260,Primary!$1:$1048576,AB$2,FALSE)</f>
        <v>#N/A</v>
      </c>
      <c r="AC260" s="73" t="e">
        <f>+VLOOKUP($E260,Primary!$1:$1048576,AC$2,FALSE)</f>
        <v>#N/A</v>
      </c>
      <c r="AD260" s="73" t="e">
        <f>+VLOOKUP($E260,Primary!$1:$1048576,AD$2,FALSE)</f>
        <v>#N/A</v>
      </c>
      <c r="AE260" s="73" t="e">
        <f>+VLOOKUP($E260,Primary!$1:$1048576,AE$2,FALSE)</f>
        <v>#N/A</v>
      </c>
      <c r="AF260" s="73" t="e">
        <f>+VLOOKUP($E260,Primary!$1:$1048576,AF$2,FALSE)</f>
        <v>#N/A</v>
      </c>
      <c r="AG260" s="73" t="e">
        <f>+VLOOKUP($E260,Primary!$1:$1048576,AG$2,FALSE)</f>
        <v>#N/A</v>
      </c>
      <c r="AH260" s="73" t="e">
        <f>+VLOOKUP($E260,Primary!$1:$1048576,AH$2,FALSE)</f>
        <v>#N/A</v>
      </c>
      <c r="AI260" s="73" t="e">
        <f>+VLOOKUP($E260,Primary!$1:$1048576,AI$2,FALSE)</f>
        <v>#N/A</v>
      </c>
      <c r="AJ260" s="73" t="e">
        <f>+VLOOKUP($E260,Primary!$1:$1048576,AJ$2,FALSE)</f>
        <v>#N/A</v>
      </c>
      <c r="AK260" s="73" t="e">
        <f>+VLOOKUP($E260,Primary!$1:$1048576,AK$2,FALSE)</f>
        <v>#N/A</v>
      </c>
      <c r="AL260" s="73" t="e">
        <f>+VLOOKUP($E260,Primary!$1:$1048576,AL$2,FALSE)</f>
        <v>#N/A</v>
      </c>
      <c r="AM260" s="73" t="e">
        <f>+VLOOKUP($E260,Primary!$1:$1048576,AM$2,FALSE)</f>
        <v>#N/A</v>
      </c>
      <c r="AN260" s="73" t="e">
        <f>+VLOOKUP($E260,Primary!$1:$1048576,AN$2,FALSE)</f>
        <v>#N/A</v>
      </c>
      <c r="AO260" s="73" t="e">
        <f>+VLOOKUP($E260,Primary!$1:$1048576,AO$2,FALSE)</f>
        <v>#N/A</v>
      </c>
    </row>
    <row r="261" spans="1:43" s="73" customFormat="1" ht="15" customHeight="1" x14ac:dyDescent="0.25">
      <c r="A261" s="324"/>
      <c r="B261" s="325"/>
      <c r="C261" s="134"/>
      <c r="D261" s="86" t="s">
        <v>174</v>
      </c>
      <c r="E261" s="84" t="s">
        <v>615</v>
      </c>
      <c r="F261" s="73" t="e">
        <f>+VLOOKUP($E261,Primary!$1:$1048576,F$2,FALSE)</f>
        <v>#N/A</v>
      </c>
      <c r="G261" s="73" t="e">
        <f>+VLOOKUP($E261,Primary!$1:$1048576,G$2,FALSE)</f>
        <v>#N/A</v>
      </c>
      <c r="H261" s="73" t="e">
        <f>+VLOOKUP($E261,Primary!$1:$1048576,H$2,FALSE)</f>
        <v>#N/A</v>
      </c>
      <c r="I261" s="73" t="e">
        <f>+VLOOKUP($E261,Primary!$1:$1048576,I$2,FALSE)</f>
        <v>#N/A</v>
      </c>
      <c r="J261" s="73" t="e">
        <f>+VLOOKUP($E261,Primary!$1:$1048576,J$2,FALSE)</f>
        <v>#N/A</v>
      </c>
      <c r="K261" s="73" t="e">
        <f>+VLOOKUP($E261,Primary!$1:$1048576,K$2,FALSE)</f>
        <v>#N/A</v>
      </c>
      <c r="L261" s="73" t="e">
        <f>+VLOOKUP($E261,Primary!$1:$1048576,L$2,FALSE)</f>
        <v>#N/A</v>
      </c>
      <c r="M261" s="73" t="e">
        <f>+VLOOKUP($E261,Primary!$1:$1048576,M$2,FALSE)</f>
        <v>#N/A</v>
      </c>
      <c r="N261" s="73" t="e">
        <f>+VLOOKUP($E261,Primary!$1:$1048576,N$2,FALSE)</f>
        <v>#N/A</v>
      </c>
      <c r="O261" s="73" t="e">
        <f>+VLOOKUP($E261,Primary!$1:$1048576,O$2,FALSE)</f>
        <v>#N/A</v>
      </c>
      <c r="P261" s="73" t="e">
        <f>+VLOOKUP($E261,Primary!$1:$1048576,P$2,FALSE)</f>
        <v>#N/A</v>
      </c>
      <c r="Q261" s="73" t="e">
        <f>+VLOOKUP($E261,Primary!$1:$1048576,Q$2,FALSE)</f>
        <v>#N/A</v>
      </c>
      <c r="R261" s="73" t="e">
        <f>+VLOOKUP($E261,Primary!$1:$1048576,R$2,FALSE)</f>
        <v>#N/A</v>
      </c>
      <c r="S261" s="73" t="e">
        <f>+VLOOKUP($E261,Primary!$1:$1048576,S$2,FALSE)</f>
        <v>#N/A</v>
      </c>
      <c r="T261" s="73" t="e">
        <f>+VLOOKUP($E261,Primary!$1:$1048576,T$2,FALSE)</f>
        <v>#N/A</v>
      </c>
      <c r="U261" s="73" t="e">
        <f>+VLOOKUP($E261,Primary!$1:$1048576,U$2,FALSE)</f>
        <v>#N/A</v>
      </c>
      <c r="V261" s="73" t="e">
        <f>+VLOOKUP($E261,Primary!$1:$1048576,V$2,FALSE)</f>
        <v>#N/A</v>
      </c>
      <c r="W261" s="73" t="e">
        <f>+VLOOKUP($E261,Primary!$1:$1048576,W$2,FALSE)</f>
        <v>#N/A</v>
      </c>
      <c r="X261" s="73" t="e">
        <f>+VLOOKUP($E261,Primary!$1:$1048576,X$2,FALSE)</f>
        <v>#N/A</v>
      </c>
      <c r="Y261" s="73" t="e">
        <f>+VLOOKUP($E261,Primary!$1:$1048576,Y$2,FALSE)</f>
        <v>#N/A</v>
      </c>
      <c r="Z261" s="73" t="e">
        <f>+VLOOKUP($E261,Primary!$1:$1048576,Z$2,FALSE)</f>
        <v>#N/A</v>
      </c>
      <c r="AA261" s="73" t="e">
        <f>+VLOOKUP($E261,Primary!$1:$1048576,AA$2,FALSE)</f>
        <v>#N/A</v>
      </c>
      <c r="AB261" s="73" t="e">
        <f>+VLOOKUP($E261,Primary!$1:$1048576,AB$2,FALSE)</f>
        <v>#N/A</v>
      </c>
      <c r="AC261" s="73" t="e">
        <f>+VLOOKUP($E261,Primary!$1:$1048576,AC$2,FALSE)</f>
        <v>#N/A</v>
      </c>
      <c r="AD261" s="73" t="e">
        <f>+VLOOKUP($E261,Primary!$1:$1048576,AD$2,FALSE)</f>
        <v>#N/A</v>
      </c>
      <c r="AE261" s="73" t="e">
        <f>+VLOOKUP($E261,Primary!$1:$1048576,AE$2,FALSE)</f>
        <v>#N/A</v>
      </c>
      <c r="AF261" s="73" t="e">
        <f>+VLOOKUP($E261,Primary!$1:$1048576,AF$2,FALSE)</f>
        <v>#N/A</v>
      </c>
      <c r="AG261" s="73" t="e">
        <f>+VLOOKUP($E261,Primary!$1:$1048576,AG$2,FALSE)</f>
        <v>#N/A</v>
      </c>
      <c r="AH261" s="73" t="e">
        <f>+VLOOKUP($E261,Primary!$1:$1048576,AH$2,FALSE)</f>
        <v>#N/A</v>
      </c>
      <c r="AI261" s="73" t="e">
        <f>+VLOOKUP($E261,Primary!$1:$1048576,AI$2,FALSE)</f>
        <v>#N/A</v>
      </c>
      <c r="AJ261" s="73" t="e">
        <f>+VLOOKUP($E261,Primary!$1:$1048576,AJ$2,FALSE)</f>
        <v>#N/A</v>
      </c>
      <c r="AK261" s="73" t="e">
        <f>+VLOOKUP($E261,Primary!$1:$1048576,AK$2,FALSE)</f>
        <v>#N/A</v>
      </c>
      <c r="AL261" s="73" t="e">
        <f>+VLOOKUP($E261,Primary!$1:$1048576,AL$2,FALSE)</f>
        <v>#N/A</v>
      </c>
      <c r="AM261" s="73" t="e">
        <f>+VLOOKUP($E261,Primary!$1:$1048576,AM$2,FALSE)</f>
        <v>#N/A</v>
      </c>
      <c r="AN261" s="73" t="e">
        <f>+VLOOKUP($E261,Primary!$1:$1048576,AN$2,FALSE)</f>
        <v>#N/A</v>
      </c>
      <c r="AO261" s="73" t="e">
        <f>+VLOOKUP($E261,Primary!$1:$1048576,AO$2,FALSE)</f>
        <v>#N/A</v>
      </c>
    </row>
    <row r="262" spans="1:43" s="73" customFormat="1" ht="15" customHeight="1" x14ac:dyDescent="0.25">
      <c r="A262" s="324"/>
      <c r="B262" s="325"/>
      <c r="C262" s="134"/>
      <c r="D262" s="86" t="s">
        <v>175</v>
      </c>
      <c r="E262" s="84" t="s">
        <v>616</v>
      </c>
      <c r="F262" s="73" t="e">
        <f>+VLOOKUP($E262,Primary!$1:$1048576,F$2,FALSE)</f>
        <v>#N/A</v>
      </c>
      <c r="G262" s="73" t="e">
        <f>+VLOOKUP($E262,Primary!$1:$1048576,G$2,FALSE)</f>
        <v>#N/A</v>
      </c>
      <c r="H262" s="73" t="e">
        <f>+VLOOKUP($E262,Primary!$1:$1048576,H$2,FALSE)</f>
        <v>#N/A</v>
      </c>
      <c r="I262" s="73" t="e">
        <f>+VLOOKUP($E262,Primary!$1:$1048576,I$2,FALSE)</f>
        <v>#N/A</v>
      </c>
      <c r="J262" s="73" t="e">
        <f>+VLOOKUP($E262,Primary!$1:$1048576,J$2,FALSE)</f>
        <v>#N/A</v>
      </c>
      <c r="K262" s="73" t="e">
        <f>+VLOOKUP($E262,Primary!$1:$1048576,K$2,FALSE)</f>
        <v>#N/A</v>
      </c>
      <c r="L262" s="73" t="e">
        <f>+VLOOKUP($E262,Primary!$1:$1048576,L$2,FALSE)</f>
        <v>#N/A</v>
      </c>
      <c r="M262" s="73" t="e">
        <f>+VLOOKUP($E262,Primary!$1:$1048576,M$2,FALSE)</f>
        <v>#N/A</v>
      </c>
      <c r="N262" s="73" t="e">
        <f>+VLOOKUP($E262,Primary!$1:$1048576,N$2,FALSE)</f>
        <v>#N/A</v>
      </c>
      <c r="O262" s="73" t="e">
        <f>+VLOOKUP($E262,Primary!$1:$1048576,O$2,FALSE)</f>
        <v>#N/A</v>
      </c>
      <c r="P262" s="73" t="e">
        <f>+VLOOKUP($E262,Primary!$1:$1048576,P$2,FALSE)</f>
        <v>#N/A</v>
      </c>
      <c r="Q262" s="73" t="e">
        <f>+VLOOKUP($E262,Primary!$1:$1048576,Q$2,FALSE)</f>
        <v>#N/A</v>
      </c>
      <c r="R262" s="73" t="e">
        <f>+VLOOKUP($E262,Primary!$1:$1048576,R$2,FALSE)</f>
        <v>#N/A</v>
      </c>
      <c r="S262" s="73" t="e">
        <f>+VLOOKUP($E262,Primary!$1:$1048576,S$2,FALSE)</f>
        <v>#N/A</v>
      </c>
      <c r="T262" s="73" t="e">
        <f>+VLOOKUP($E262,Primary!$1:$1048576,T$2,FALSE)</f>
        <v>#N/A</v>
      </c>
      <c r="U262" s="73" t="e">
        <f>+VLOOKUP($E262,Primary!$1:$1048576,U$2,FALSE)</f>
        <v>#N/A</v>
      </c>
      <c r="V262" s="73" t="e">
        <f>+VLOOKUP($E262,Primary!$1:$1048576,V$2,FALSE)</f>
        <v>#N/A</v>
      </c>
      <c r="W262" s="73" t="e">
        <f>+VLOOKUP($E262,Primary!$1:$1048576,W$2,FALSE)</f>
        <v>#N/A</v>
      </c>
      <c r="X262" s="73" t="e">
        <f>+VLOOKUP($E262,Primary!$1:$1048576,X$2,FALSE)</f>
        <v>#N/A</v>
      </c>
      <c r="Y262" s="73" t="e">
        <f>+VLOOKUP($E262,Primary!$1:$1048576,Y$2,FALSE)</f>
        <v>#N/A</v>
      </c>
      <c r="Z262" s="73" t="e">
        <f>+VLOOKUP($E262,Primary!$1:$1048576,Z$2,FALSE)</f>
        <v>#N/A</v>
      </c>
      <c r="AA262" s="73" t="e">
        <f>+VLOOKUP($E262,Primary!$1:$1048576,AA$2,FALSE)</f>
        <v>#N/A</v>
      </c>
      <c r="AB262" s="73" t="e">
        <f>+VLOOKUP($E262,Primary!$1:$1048576,AB$2,FALSE)</f>
        <v>#N/A</v>
      </c>
      <c r="AC262" s="73" t="e">
        <f>+VLOOKUP($E262,Primary!$1:$1048576,AC$2,FALSE)</f>
        <v>#N/A</v>
      </c>
      <c r="AD262" s="73" t="e">
        <f>+VLOOKUP($E262,Primary!$1:$1048576,AD$2,FALSE)</f>
        <v>#N/A</v>
      </c>
      <c r="AE262" s="73" t="e">
        <f>+VLOOKUP($E262,Primary!$1:$1048576,AE$2,FALSE)</f>
        <v>#N/A</v>
      </c>
      <c r="AF262" s="73" t="e">
        <f>+VLOOKUP($E262,Primary!$1:$1048576,AF$2,FALSE)</f>
        <v>#N/A</v>
      </c>
      <c r="AG262" s="73" t="e">
        <f>+VLOOKUP($E262,Primary!$1:$1048576,AG$2,FALSE)</f>
        <v>#N/A</v>
      </c>
      <c r="AH262" s="73" t="e">
        <f>+VLOOKUP($E262,Primary!$1:$1048576,AH$2,FALSE)</f>
        <v>#N/A</v>
      </c>
      <c r="AI262" s="73" t="e">
        <f>+VLOOKUP($E262,Primary!$1:$1048576,AI$2,FALSE)</f>
        <v>#N/A</v>
      </c>
      <c r="AJ262" s="73" t="e">
        <f>+VLOOKUP($E262,Primary!$1:$1048576,AJ$2,FALSE)</f>
        <v>#N/A</v>
      </c>
      <c r="AK262" s="73" t="e">
        <f>+VLOOKUP($E262,Primary!$1:$1048576,AK$2,FALSE)</f>
        <v>#N/A</v>
      </c>
      <c r="AL262" s="73" t="e">
        <f>+VLOOKUP($E262,Primary!$1:$1048576,AL$2,FALSE)</f>
        <v>#N/A</v>
      </c>
      <c r="AM262" s="73" t="e">
        <f>+VLOOKUP($E262,Primary!$1:$1048576,AM$2,FALSE)</f>
        <v>#N/A</v>
      </c>
      <c r="AN262" s="73" t="e">
        <f>+VLOOKUP($E262,Primary!$1:$1048576,AN$2,FALSE)</f>
        <v>#N/A</v>
      </c>
      <c r="AO262" s="73" t="e">
        <f>+VLOOKUP($E262,Primary!$1:$1048576,AO$2,FALSE)</f>
        <v>#N/A</v>
      </c>
    </row>
    <row r="263" spans="1:43" s="73" customFormat="1" ht="15" customHeight="1" x14ac:dyDescent="0.25">
      <c r="A263" s="324"/>
      <c r="B263" s="325"/>
      <c r="C263" s="134"/>
      <c r="D263" s="86" t="s">
        <v>176</v>
      </c>
      <c r="E263" s="84" t="s">
        <v>617</v>
      </c>
      <c r="F263" s="73" t="e">
        <f>+VLOOKUP($E263,Primary!$1:$1048576,F$2,FALSE)</f>
        <v>#N/A</v>
      </c>
      <c r="G263" s="73" t="e">
        <f>+VLOOKUP($E263,Primary!$1:$1048576,G$2,FALSE)</f>
        <v>#N/A</v>
      </c>
      <c r="H263" s="73" t="e">
        <f>+VLOOKUP($E263,Primary!$1:$1048576,H$2,FALSE)</f>
        <v>#N/A</v>
      </c>
      <c r="I263" s="73" t="e">
        <f>+VLOOKUP($E263,Primary!$1:$1048576,I$2,FALSE)</f>
        <v>#N/A</v>
      </c>
      <c r="J263" s="73" t="e">
        <f>+VLOOKUP($E263,Primary!$1:$1048576,J$2,FALSE)</f>
        <v>#N/A</v>
      </c>
      <c r="K263" s="73" t="e">
        <f>+VLOOKUP($E263,Primary!$1:$1048576,K$2,FALSE)</f>
        <v>#N/A</v>
      </c>
      <c r="L263" s="73" t="e">
        <f>+VLOOKUP($E263,Primary!$1:$1048576,L$2,FALSE)</f>
        <v>#N/A</v>
      </c>
      <c r="M263" s="73" t="e">
        <f>+VLOOKUP($E263,Primary!$1:$1048576,M$2,FALSE)</f>
        <v>#N/A</v>
      </c>
      <c r="N263" s="73" t="e">
        <f>+VLOOKUP($E263,Primary!$1:$1048576,N$2,FALSE)</f>
        <v>#N/A</v>
      </c>
      <c r="O263" s="73" t="e">
        <f>+VLOOKUP($E263,Primary!$1:$1048576,O$2,FALSE)</f>
        <v>#N/A</v>
      </c>
      <c r="P263" s="73" t="e">
        <f>+VLOOKUP($E263,Primary!$1:$1048576,P$2,FALSE)</f>
        <v>#N/A</v>
      </c>
      <c r="Q263" s="73" t="e">
        <f>+VLOOKUP($E263,Primary!$1:$1048576,Q$2,FALSE)</f>
        <v>#N/A</v>
      </c>
      <c r="R263" s="73" t="e">
        <f>+VLOOKUP($E263,Primary!$1:$1048576,R$2,FALSE)</f>
        <v>#N/A</v>
      </c>
      <c r="S263" s="73" t="e">
        <f>+VLOOKUP($E263,Primary!$1:$1048576,S$2,FALSE)</f>
        <v>#N/A</v>
      </c>
      <c r="T263" s="73" t="e">
        <f>+VLOOKUP($E263,Primary!$1:$1048576,T$2,FALSE)</f>
        <v>#N/A</v>
      </c>
      <c r="U263" s="73" t="e">
        <f>+VLOOKUP($E263,Primary!$1:$1048576,U$2,FALSE)</f>
        <v>#N/A</v>
      </c>
      <c r="V263" s="73" t="e">
        <f>+VLOOKUP($E263,Primary!$1:$1048576,V$2,FALSE)</f>
        <v>#N/A</v>
      </c>
      <c r="W263" s="73" t="e">
        <f>+VLOOKUP($E263,Primary!$1:$1048576,W$2,FALSE)</f>
        <v>#N/A</v>
      </c>
      <c r="X263" s="73" t="e">
        <f>+VLOOKUP($E263,Primary!$1:$1048576,X$2,FALSE)</f>
        <v>#N/A</v>
      </c>
      <c r="Y263" s="73" t="e">
        <f>+VLOOKUP($E263,Primary!$1:$1048576,Y$2,FALSE)</f>
        <v>#N/A</v>
      </c>
      <c r="Z263" s="73" t="e">
        <f>+VLOOKUP($E263,Primary!$1:$1048576,Z$2,FALSE)</f>
        <v>#N/A</v>
      </c>
      <c r="AA263" s="73" t="e">
        <f>+VLOOKUP($E263,Primary!$1:$1048576,AA$2,FALSE)</f>
        <v>#N/A</v>
      </c>
      <c r="AB263" s="73" t="e">
        <f>+VLOOKUP($E263,Primary!$1:$1048576,AB$2,FALSE)</f>
        <v>#N/A</v>
      </c>
      <c r="AC263" s="73" t="e">
        <f>+VLOOKUP($E263,Primary!$1:$1048576,AC$2,FALSE)</f>
        <v>#N/A</v>
      </c>
      <c r="AD263" s="73" t="e">
        <f>+VLOOKUP($E263,Primary!$1:$1048576,AD$2,FALSE)</f>
        <v>#N/A</v>
      </c>
      <c r="AE263" s="73" t="e">
        <f>+VLOOKUP($E263,Primary!$1:$1048576,AE$2,FALSE)</f>
        <v>#N/A</v>
      </c>
      <c r="AF263" s="73" t="e">
        <f>+VLOOKUP($E263,Primary!$1:$1048576,AF$2,FALSE)</f>
        <v>#N/A</v>
      </c>
      <c r="AG263" s="73" t="e">
        <f>+VLOOKUP($E263,Primary!$1:$1048576,AG$2,FALSE)</f>
        <v>#N/A</v>
      </c>
      <c r="AH263" s="73" t="e">
        <f>+VLOOKUP($E263,Primary!$1:$1048576,AH$2,FALSE)</f>
        <v>#N/A</v>
      </c>
      <c r="AI263" s="73" t="e">
        <f>+VLOOKUP($E263,Primary!$1:$1048576,AI$2,FALSE)</f>
        <v>#N/A</v>
      </c>
      <c r="AJ263" s="73" t="e">
        <f>+VLOOKUP($E263,Primary!$1:$1048576,AJ$2,FALSE)</f>
        <v>#N/A</v>
      </c>
      <c r="AK263" s="73" t="e">
        <f>+VLOOKUP($E263,Primary!$1:$1048576,AK$2,FALSE)</f>
        <v>#N/A</v>
      </c>
      <c r="AL263" s="73" t="e">
        <f>+VLOOKUP($E263,Primary!$1:$1048576,AL$2,FALSE)</f>
        <v>#N/A</v>
      </c>
      <c r="AM263" s="73" t="e">
        <f>+VLOOKUP($E263,Primary!$1:$1048576,AM$2,FALSE)</f>
        <v>#N/A</v>
      </c>
      <c r="AN263" s="73" t="e">
        <f>+VLOOKUP($E263,Primary!$1:$1048576,AN$2,FALSE)</f>
        <v>#N/A</v>
      </c>
      <c r="AO263" s="73" t="e">
        <f>+VLOOKUP($E263,Primary!$1:$1048576,AO$2,FALSE)</f>
        <v>#N/A</v>
      </c>
    </row>
    <row r="264" spans="1:43" s="73" customFormat="1" ht="15" customHeight="1" x14ac:dyDescent="0.25">
      <c r="A264" s="324"/>
      <c r="B264" s="325"/>
      <c r="C264" s="134"/>
      <c r="D264" s="86" t="s">
        <v>177</v>
      </c>
      <c r="E264" s="84" t="s">
        <v>618</v>
      </c>
      <c r="F264" s="73" t="e">
        <f>+VLOOKUP($E264,Primary!$1:$1048576,F$2,FALSE)</f>
        <v>#N/A</v>
      </c>
      <c r="G264" s="73" t="e">
        <f>+VLOOKUP($E264,Primary!$1:$1048576,G$2,FALSE)</f>
        <v>#N/A</v>
      </c>
      <c r="H264" s="73" t="e">
        <f>+VLOOKUP($E264,Primary!$1:$1048576,H$2,FALSE)</f>
        <v>#N/A</v>
      </c>
      <c r="I264" s="73" t="e">
        <f>+VLOOKUP($E264,Primary!$1:$1048576,I$2,FALSE)</f>
        <v>#N/A</v>
      </c>
      <c r="J264" s="73" t="e">
        <f>+VLOOKUP($E264,Primary!$1:$1048576,J$2,FALSE)</f>
        <v>#N/A</v>
      </c>
      <c r="K264" s="73" t="e">
        <f>+VLOOKUP($E264,Primary!$1:$1048576,K$2,FALSE)</f>
        <v>#N/A</v>
      </c>
      <c r="L264" s="73" t="e">
        <f>+VLOOKUP($E264,Primary!$1:$1048576,L$2,FALSE)</f>
        <v>#N/A</v>
      </c>
      <c r="M264" s="73" t="e">
        <f>+VLOOKUP($E264,Primary!$1:$1048576,M$2,FALSE)</f>
        <v>#N/A</v>
      </c>
      <c r="N264" s="73" t="e">
        <f>+VLOOKUP($E264,Primary!$1:$1048576,N$2,FALSE)</f>
        <v>#N/A</v>
      </c>
      <c r="O264" s="73" t="e">
        <f>+VLOOKUP($E264,Primary!$1:$1048576,O$2,FALSE)</f>
        <v>#N/A</v>
      </c>
      <c r="P264" s="73" t="e">
        <f>+VLOOKUP($E264,Primary!$1:$1048576,P$2,FALSE)</f>
        <v>#N/A</v>
      </c>
      <c r="Q264" s="73" t="e">
        <f>+VLOOKUP($E264,Primary!$1:$1048576,Q$2,FALSE)</f>
        <v>#N/A</v>
      </c>
      <c r="R264" s="73" t="e">
        <f>+VLOOKUP($E264,Primary!$1:$1048576,R$2,FALSE)</f>
        <v>#N/A</v>
      </c>
      <c r="S264" s="73" t="e">
        <f>+VLOOKUP($E264,Primary!$1:$1048576,S$2,FALSE)</f>
        <v>#N/A</v>
      </c>
      <c r="T264" s="73" t="e">
        <f>+VLOOKUP($E264,Primary!$1:$1048576,T$2,FALSE)</f>
        <v>#N/A</v>
      </c>
      <c r="U264" s="73" t="e">
        <f>+VLOOKUP($E264,Primary!$1:$1048576,U$2,FALSE)</f>
        <v>#N/A</v>
      </c>
      <c r="V264" s="73" t="e">
        <f>+VLOOKUP($E264,Primary!$1:$1048576,V$2,FALSE)</f>
        <v>#N/A</v>
      </c>
      <c r="W264" s="73" t="e">
        <f>+VLOOKUP($E264,Primary!$1:$1048576,W$2,FALSE)</f>
        <v>#N/A</v>
      </c>
      <c r="X264" s="73" t="e">
        <f>+VLOOKUP($E264,Primary!$1:$1048576,X$2,FALSE)</f>
        <v>#N/A</v>
      </c>
      <c r="Y264" s="73" t="e">
        <f>+VLOOKUP($E264,Primary!$1:$1048576,Y$2,FALSE)</f>
        <v>#N/A</v>
      </c>
      <c r="Z264" s="73" t="e">
        <f>+VLOOKUP($E264,Primary!$1:$1048576,Z$2,FALSE)</f>
        <v>#N/A</v>
      </c>
      <c r="AA264" s="73" t="e">
        <f>+VLOOKUP($E264,Primary!$1:$1048576,AA$2,FALSE)</f>
        <v>#N/A</v>
      </c>
      <c r="AB264" s="73" t="e">
        <f>+VLOOKUP($E264,Primary!$1:$1048576,AB$2,FALSE)</f>
        <v>#N/A</v>
      </c>
      <c r="AC264" s="73" t="e">
        <f>+VLOOKUP($E264,Primary!$1:$1048576,AC$2,FALSE)</f>
        <v>#N/A</v>
      </c>
      <c r="AD264" s="73" t="e">
        <f>+VLOOKUP($E264,Primary!$1:$1048576,AD$2,FALSE)</f>
        <v>#N/A</v>
      </c>
      <c r="AE264" s="73" t="e">
        <f>+VLOOKUP($E264,Primary!$1:$1048576,AE$2,FALSE)</f>
        <v>#N/A</v>
      </c>
      <c r="AF264" s="73" t="e">
        <f>+VLOOKUP($E264,Primary!$1:$1048576,AF$2,FALSE)</f>
        <v>#N/A</v>
      </c>
      <c r="AG264" s="73" t="e">
        <f>+VLOOKUP($E264,Primary!$1:$1048576,AG$2,FALSE)</f>
        <v>#N/A</v>
      </c>
      <c r="AH264" s="73" t="e">
        <f>+VLOOKUP($E264,Primary!$1:$1048576,AH$2,FALSE)</f>
        <v>#N/A</v>
      </c>
      <c r="AI264" s="73" t="e">
        <f>+VLOOKUP($E264,Primary!$1:$1048576,AI$2,FALSE)</f>
        <v>#N/A</v>
      </c>
      <c r="AJ264" s="73" t="e">
        <f>+VLOOKUP($E264,Primary!$1:$1048576,AJ$2,FALSE)</f>
        <v>#N/A</v>
      </c>
      <c r="AK264" s="73" t="e">
        <f>+VLOOKUP($E264,Primary!$1:$1048576,AK$2,FALSE)</f>
        <v>#N/A</v>
      </c>
      <c r="AL264" s="73" t="e">
        <f>+VLOOKUP($E264,Primary!$1:$1048576,AL$2,FALSE)</f>
        <v>#N/A</v>
      </c>
      <c r="AM264" s="73" t="e">
        <f>+VLOOKUP($E264,Primary!$1:$1048576,AM$2,FALSE)</f>
        <v>#N/A</v>
      </c>
      <c r="AN264" s="73" t="e">
        <f>+VLOOKUP($E264,Primary!$1:$1048576,AN$2,FALSE)</f>
        <v>#N/A</v>
      </c>
      <c r="AO264" s="73" t="e">
        <f>+VLOOKUP($E264,Primary!$1:$1048576,AO$2,FALSE)</f>
        <v>#N/A</v>
      </c>
    </row>
    <row r="265" spans="1:43" s="73" customFormat="1" ht="15" customHeight="1" x14ac:dyDescent="0.25">
      <c r="A265" s="324"/>
      <c r="B265" s="325"/>
      <c r="C265" s="134"/>
      <c r="D265" s="86" t="s">
        <v>570</v>
      </c>
      <c r="E265" s="84" t="s">
        <v>619</v>
      </c>
      <c r="F265" s="73" t="e">
        <f>+VLOOKUP($E265,Primary!$1:$1048576,F$2,FALSE)</f>
        <v>#N/A</v>
      </c>
      <c r="G265" s="73" t="e">
        <f>+VLOOKUP($E265,Primary!$1:$1048576,G$2,FALSE)</f>
        <v>#N/A</v>
      </c>
      <c r="H265" s="73" t="e">
        <f>+VLOOKUP($E265,Primary!$1:$1048576,H$2,FALSE)</f>
        <v>#N/A</v>
      </c>
      <c r="I265" s="73" t="e">
        <f>+VLOOKUP($E265,Primary!$1:$1048576,I$2,FALSE)</f>
        <v>#N/A</v>
      </c>
      <c r="J265" s="73" t="e">
        <f>+VLOOKUP($E265,Primary!$1:$1048576,J$2,FALSE)</f>
        <v>#N/A</v>
      </c>
      <c r="K265" s="73" t="e">
        <f>+VLOOKUP($E265,Primary!$1:$1048576,K$2,FALSE)</f>
        <v>#N/A</v>
      </c>
      <c r="L265" s="73" t="e">
        <f>+VLOOKUP($E265,Primary!$1:$1048576,L$2,FALSE)</f>
        <v>#N/A</v>
      </c>
      <c r="M265" s="73" t="e">
        <f>+VLOOKUP($E265,Primary!$1:$1048576,M$2,FALSE)</f>
        <v>#N/A</v>
      </c>
      <c r="N265" s="73" t="e">
        <f>+VLOOKUP($E265,Primary!$1:$1048576,N$2,FALSE)</f>
        <v>#N/A</v>
      </c>
      <c r="O265" s="73" t="e">
        <f>+VLOOKUP($E265,Primary!$1:$1048576,O$2,FALSE)</f>
        <v>#N/A</v>
      </c>
      <c r="P265" s="73" t="e">
        <f>+VLOOKUP($E265,Primary!$1:$1048576,P$2,FALSE)</f>
        <v>#N/A</v>
      </c>
      <c r="Q265" s="73" t="e">
        <f>+VLOOKUP($E265,Primary!$1:$1048576,Q$2,FALSE)</f>
        <v>#N/A</v>
      </c>
      <c r="R265" s="73" t="e">
        <f>+VLOOKUP($E265,Primary!$1:$1048576,R$2,FALSE)</f>
        <v>#N/A</v>
      </c>
      <c r="S265" s="73" t="e">
        <f>+VLOOKUP($E265,Primary!$1:$1048576,S$2,FALSE)</f>
        <v>#N/A</v>
      </c>
      <c r="T265" s="73" t="e">
        <f>+VLOOKUP($E265,Primary!$1:$1048576,T$2,FALSE)</f>
        <v>#N/A</v>
      </c>
      <c r="U265" s="73" t="e">
        <f>+VLOOKUP($E265,Primary!$1:$1048576,U$2,FALSE)</f>
        <v>#N/A</v>
      </c>
      <c r="V265" s="73" t="e">
        <f>+VLOOKUP($E265,Primary!$1:$1048576,V$2,FALSE)</f>
        <v>#N/A</v>
      </c>
      <c r="W265" s="73" t="e">
        <f>+VLOOKUP($E265,Primary!$1:$1048576,W$2,FALSE)</f>
        <v>#N/A</v>
      </c>
      <c r="X265" s="73" t="e">
        <f>+VLOOKUP($E265,Primary!$1:$1048576,X$2,FALSE)</f>
        <v>#N/A</v>
      </c>
      <c r="Y265" s="73" t="e">
        <f>+VLOOKUP($E265,Primary!$1:$1048576,Y$2,FALSE)</f>
        <v>#N/A</v>
      </c>
      <c r="Z265" s="73" t="e">
        <f>+VLOOKUP($E265,Primary!$1:$1048576,Z$2,FALSE)</f>
        <v>#N/A</v>
      </c>
      <c r="AA265" s="73" t="e">
        <f>+VLOOKUP($E265,Primary!$1:$1048576,AA$2,FALSE)</f>
        <v>#N/A</v>
      </c>
      <c r="AB265" s="73" t="e">
        <f>+VLOOKUP($E265,Primary!$1:$1048576,AB$2,FALSE)</f>
        <v>#N/A</v>
      </c>
      <c r="AC265" s="73" t="e">
        <f>+VLOOKUP($E265,Primary!$1:$1048576,AC$2,FALSE)</f>
        <v>#N/A</v>
      </c>
      <c r="AD265" s="73" t="e">
        <f>+VLOOKUP($E265,Primary!$1:$1048576,AD$2,FALSE)</f>
        <v>#N/A</v>
      </c>
      <c r="AE265" s="73" t="e">
        <f>+VLOOKUP($E265,Primary!$1:$1048576,AE$2,FALSE)</f>
        <v>#N/A</v>
      </c>
      <c r="AF265" s="73" t="e">
        <f>+VLOOKUP($E265,Primary!$1:$1048576,AF$2,FALSE)</f>
        <v>#N/A</v>
      </c>
      <c r="AG265" s="73" t="e">
        <f>+VLOOKUP($E265,Primary!$1:$1048576,AG$2,FALSE)</f>
        <v>#N/A</v>
      </c>
      <c r="AH265" s="73" t="e">
        <f>+VLOOKUP($E265,Primary!$1:$1048576,AH$2,FALSE)</f>
        <v>#N/A</v>
      </c>
      <c r="AI265" s="73" t="e">
        <f>+VLOOKUP($E265,Primary!$1:$1048576,AI$2,FALSE)</f>
        <v>#N/A</v>
      </c>
      <c r="AJ265" s="73" t="e">
        <f>+VLOOKUP($E265,Primary!$1:$1048576,AJ$2,FALSE)</f>
        <v>#N/A</v>
      </c>
      <c r="AK265" s="73" t="e">
        <f>+VLOOKUP($E265,Primary!$1:$1048576,AK$2,FALSE)</f>
        <v>#N/A</v>
      </c>
      <c r="AL265" s="73" t="e">
        <f>+VLOOKUP($E265,Primary!$1:$1048576,AL$2,FALSE)</f>
        <v>#N/A</v>
      </c>
      <c r="AM265" s="73" t="e">
        <f>+VLOOKUP($E265,Primary!$1:$1048576,AM$2,FALSE)</f>
        <v>#N/A</v>
      </c>
      <c r="AN265" s="73" t="e">
        <f>+VLOOKUP($E265,Primary!$1:$1048576,AN$2,FALSE)</f>
        <v>#N/A</v>
      </c>
      <c r="AO265" s="73" t="e">
        <f>+VLOOKUP($E265,Primary!$1:$1048576,AO$2,FALSE)</f>
        <v>#N/A</v>
      </c>
    </row>
    <row r="266" spans="1:43" s="73" customFormat="1" ht="15" customHeight="1" x14ac:dyDescent="0.25">
      <c r="A266" s="324"/>
      <c r="B266" s="325"/>
      <c r="C266" s="134"/>
      <c r="D266" s="86" t="s">
        <v>501</v>
      </c>
      <c r="E266" s="84" t="s">
        <v>620</v>
      </c>
      <c r="F266" s="73" t="e">
        <f>+VLOOKUP($E266,Primary!$1:$1048576,F$2,FALSE)</f>
        <v>#N/A</v>
      </c>
      <c r="G266" s="73" t="e">
        <f>+VLOOKUP($E266,Primary!$1:$1048576,G$2,FALSE)</f>
        <v>#N/A</v>
      </c>
      <c r="H266" s="73" t="e">
        <f>+VLOOKUP($E266,Primary!$1:$1048576,H$2,FALSE)</f>
        <v>#N/A</v>
      </c>
      <c r="I266" s="73" t="e">
        <f>+VLOOKUP($E266,Primary!$1:$1048576,I$2,FALSE)</f>
        <v>#N/A</v>
      </c>
      <c r="J266" s="73" t="e">
        <f>+VLOOKUP($E266,Primary!$1:$1048576,J$2,FALSE)</f>
        <v>#N/A</v>
      </c>
      <c r="K266" s="73" t="e">
        <f>+VLOOKUP($E266,Primary!$1:$1048576,K$2,FALSE)</f>
        <v>#N/A</v>
      </c>
      <c r="L266" s="73" t="e">
        <f>+VLOOKUP($E266,Primary!$1:$1048576,L$2,FALSE)</f>
        <v>#N/A</v>
      </c>
      <c r="M266" s="73" t="e">
        <f>+VLOOKUP($E266,Primary!$1:$1048576,M$2,FALSE)</f>
        <v>#N/A</v>
      </c>
      <c r="N266" s="73" t="e">
        <f>+VLOOKUP($E266,Primary!$1:$1048576,N$2,FALSE)</f>
        <v>#N/A</v>
      </c>
      <c r="O266" s="73" t="e">
        <f>+VLOOKUP($E266,Primary!$1:$1048576,O$2,FALSE)</f>
        <v>#N/A</v>
      </c>
      <c r="P266" s="73" t="e">
        <f>+VLOOKUP($E266,Primary!$1:$1048576,P$2,FALSE)</f>
        <v>#N/A</v>
      </c>
      <c r="Q266" s="73" t="e">
        <f>+VLOOKUP($E266,Primary!$1:$1048576,Q$2,FALSE)</f>
        <v>#N/A</v>
      </c>
      <c r="R266" s="73" t="e">
        <f>+VLOOKUP($E266,Primary!$1:$1048576,R$2,FALSE)</f>
        <v>#N/A</v>
      </c>
      <c r="S266" s="73" t="e">
        <f>+VLOOKUP($E266,Primary!$1:$1048576,S$2,FALSE)</f>
        <v>#N/A</v>
      </c>
      <c r="T266" s="73" t="e">
        <f>+VLOOKUP($E266,Primary!$1:$1048576,T$2,FALSE)</f>
        <v>#N/A</v>
      </c>
      <c r="U266" s="73" t="e">
        <f>+VLOOKUP($E266,Primary!$1:$1048576,U$2,FALSE)</f>
        <v>#N/A</v>
      </c>
      <c r="V266" s="73" t="e">
        <f>+VLOOKUP($E266,Primary!$1:$1048576,V$2,FALSE)</f>
        <v>#N/A</v>
      </c>
      <c r="W266" s="73" t="e">
        <f>+VLOOKUP($E266,Primary!$1:$1048576,W$2,FALSE)</f>
        <v>#N/A</v>
      </c>
      <c r="X266" s="73" t="e">
        <f>+VLOOKUP($E266,Primary!$1:$1048576,X$2,FALSE)</f>
        <v>#N/A</v>
      </c>
      <c r="Y266" s="73" t="e">
        <f>+VLOOKUP($E266,Primary!$1:$1048576,Y$2,FALSE)</f>
        <v>#N/A</v>
      </c>
      <c r="Z266" s="73" t="e">
        <f>+VLOOKUP($E266,Primary!$1:$1048576,Z$2,FALSE)</f>
        <v>#N/A</v>
      </c>
      <c r="AA266" s="73" t="e">
        <f>+VLOOKUP($E266,Primary!$1:$1048576,AA$2,FALSE)</f>
        <v>#N/A</v>
      </c>
      <c r="AB266" s="73" t="e">
        <f>+VLOOKUP($E266,Primary!$1:$1048576,AB$2,FALSE)</f>
        <v>#N/A</v>
      </c>
      <c r="AC266" s="73" t="e">
        <f>+VLOOKUP($E266,Primary!$1:$1048576,AC$2,FALSE)</f>
        <v>#N/A</v>
      </c>
      <c r="AD266" s="73" t="e">
        <f>+VLOOKUP($E266,Primary!$1:$1048576,AD$2,FALSE)</f>
        <v>#N/A</v>
      </c>
      <c r="AE266" s="73" t="e">
        <f>+VLOOKUP($E266,Primary!$1:$1048576,AE$2,FALSE)</f>
        <v>#N/A</v>
      </c>
      <c r="AF266" s="73" t="e">
        <f>+VLOOKUP($E266,Primary!$1:$1048576,AF$2,FALSE)</f>
        <v>#N/A</v>
      </c>
      <c r="AG266" s="73" t="e">
        <f>+VLOOKUP($E266,Primary!$1:$1048576,AG$2,FALSE)</f>
        <v>#N/A</v>
      </c>
      <c r="AH266" s="73" t="e">
        <f>+VLOOKUP($E266,Primary!$1:$1048576,AH$2,FALSE)</f>
        <v>#N/A</v>
      </c>
      <c r="AI266" s="73" t="e">
        <f>+VLOOKUP($E266,Primary!$1:$1048576,AI$2,FALSE)</f>
        <v>#N/A</v>
      </c>
      <c r="AJ266" s="73" t="e">
        <f>+VLOOKUP($E266,Primary!$1:$1048576,AJ$2,FALSE)</f>
        <v>#N/A</v>
      </c>
      <c r="AK266" s="73" t="e">
        <f>+VLOOKUP($E266,Primary!$1:$1048576,AK$2,FALSE)</f>
        <v>#N/A</v>
      </c>
      <c r="AL266" s="73" t="e">
        <f>+VLOOKUP($E266,Primary!$1:$1048576,AL$2,FALSE)</f>
        <v>#N/A</v>
      </c>
      <c r="AM266" s="73" t="e">
        <f>+VLOOKUP($E266,Primary!$1:$1048576,AM$2,FALSE)</f>
        <v>#N/A</v>
      </c>
      <c r="AN266" s="73" t="e">
        <f>+VLOOKUP($E266,Primary!$1:$1048576,AN$2,FALSE)</f>
        <v>#N/A</v>
      </c>
      <c r="AO266" s="73" t="e">
        <f>+VLOOKUP($E266,Primary!$1:$1048576,AO$2,FALSE)</f>
        <v>#N/A</v>
      </c>
    </row>
    <row r="267" spans="1:43" s="73" customFormat="1" ht="15" customHeight="1" x14ac:dyDescent="0.25">
      <c r="A267" s="324"/>
      <c r="B267" s="325"/>
      <c r="C267" s="134"/>
      <c r="D267" s="86" t="s">
        <v>502</v>
      </c>
      <c r="E267" s="84" t="s">
        <v>621</v>
      </c>
      <c r="F267" s="73" t="e">
        <f>+VLOOKUP($E267,Primary!$1:$1048576,F$2,FALSE)</f>
        <v>#N/A</v>
      </c>
      <c r="G267" s="73" t="e">
        <f>+VLOOKUP($E267,Primary!$1:$1048576,G$2,FALSE)</f>
        <v>#N/A</v>
      </c>
      <c r="H267" s="73" t="e">
        <f>+VLOOKUP($E267,Primary!$1:$1048576,H$2,FALSE)</f>
        <v>#N/A</v>
      </c>
      <c r="I267" s="73" t="e">
        <f>+VLOOKUP($E267,Primary!$1:$1048576,I$2,FALSE)</f>
        <v>#N/A</v>
      </c>
      <c r="J267" s="73" t="e">
        <f>+VLOOKUP($E267,Primary!$1:$1048576,J$2,FALSE)</f>
        <v>#N/A</v>
      </c>
      <c r="K267" s="73" t="e">
        <f>+VLOOKUP($E267,Primary!$1:$1048576,K$2,FALSE)</f>
        <v>#N/A</v>
      </c>
      <c r="L267" s="73" t="e">
        <f>+VLOOKUP($E267,Primary!$1:$1048576,L$2,FALSE)</f>
        <v>#N/A</v>
      </c>
      <c r="M267" s="73" t="e">
        <f>+VLOOKUP($E267,Primary!$1:$1048576,M$2,FALSE)</f>
        <v>#N/A</v>
      </c>
      <c r="N267" s="73" t="e">
        <f>+VLOOKUP($E267,Primary!$1:$1048576,N$2,FALSE)</f>
        <v>#N/A</v>
      </c>
      <c r="O267" s="73" t="e">
        <f>+VLOOKUP($E267,Primary!$1:$1048576,O$2,FALSE)</f>
        <v>#N/A</v>
      </c>
      <c r="P267" s="73" t="e">
        <f>+VLOOKUP($E267,Primary!$1:$1048576,P$2,FALSE)</f>
        <v>#N/A</v>
      </c>
      <c r="Q267" s="73" t="e">
        <f>+VLOOKUP($E267,Primary!$1:$1048576,Q$2,FALSE)</f>
        <v>#N/A</v>
      </c>
      <c r="R267" s="73" t="e">
        <f>+VLOOKUP($E267,Primary!$1:$1048576,R$2,FALSE)</f>
        <v>#N/A</v>
      </c>
      <c r="S267" s="73" t="e">
        <f>+VLOOKUP($E267,Primary!$1:$1048576,S$2,FALSE)</f>
        <v>#N/A</v>
      </c>
      <c r="T267" s="73" t="e">
        <f>+VLOOKUP($E267,Primary!$1:$1048576,T$2,FALSE)</f>
        <v>#N/A</v>
      </c>
      <c r="U267" s="73" t="e">
        <f>+VLOOKUP($E267,Primary!$1:$1048576,U$2,FALSE)</f>
        <v>#N/A</v>
      </c>
      <c r="V267" s="73" t="e">
        <f>+VLOOKUP($E267,Primary!$1:$1048576,V$2,FALSE)</f>
        <v>#N/A</v>
      </c>
      <c r="W267" s="73" t="e">
        <f>+VLOOKUP($E267,Primary!$1:$1048576,W$2,FALSE)</f>
        <v>#N/A</v>
      </c>
      <c r="X267" s="73" t="e">
        <f>+VLOOKUP($E267,Primary!$1:$1048576,X$2,FALSE)</f>
        <v>#N/A</v>
      </c>
      <c r="Y267" s="73" t="e">
        <f>+VLOOKUP($E267,Primary!$1:$1048576,Y$2,FALSE)</f>
        <v>#N/A</v>
      </c>
      <c r="Z267" s="73" t="e">
        <f>+VLOOKUP($E267,Primary!$1:$1048576,Z$2,FALSE)</f>
        <v>#N/A</v>
      </c>
      <c r="AA267" s="73" t="e">
        <f>+VLOOKUP($E267,Primary!$1:$1048576,AA$2,FALSE)</f>
        <v>#N/A</v>
      </c>
      <c r="AB267" s="73" t="e">
        <f>+VLOOKUP($E267,Primary!$1:$1048576,AB$2,FALSE)</f>
        <v>#N/A</v>
      </c>
      <c r="AC267" s="73" t="e">
        <f>+VLOOKUP($E267,Primary!$1:$1048576,AC$2,FALSE)</f>
        <v>#N/A</v>
      </c>
      <c r="AD267" s="73" t="e">
        <f>+VLOOKUP($E267,Primary!$1:$1048576,AD$2,FALSE)</f>
        <v>#N/A</v>
      </c>
      <c r="AE267" s="73" t="e">
        <f>+VLOOKUP($E267,Primary!$1:$1048576,AE$2,FALSE)</f>
        <v>#N/A</v>
      </c>
      <c r="AF267" s="73" t="e">
        <f>+VLOOKUP($E267,Primary!$1:$1048576,AF$2,FALSE)</f>
        <v>#N/A</v>
      </c>
      <c r="AG267" s="73" t="e">
        <f>+VLOOKUP($E267,Primary!$1:$1048576,AG$2,FALSE)</f>
        <v>#N/A</v>
      </c>
      <c r="AH267" s="73" t="e">
        <f>+VLOOKUP($E267,Primary!$1:$1048576,AH$2,FALSE)</f>
        <v>#N/A</v>
      </c>
      <c r="AI267" s="73" t="e">
        <f>+VLOOKUP($E267,Primary!$1:$1048576,AI$2,FALSE)</f>
        <v>#N/A</v>
      </c>
      <c r="AJ267" s="73" t="e">
        <f>+VLOOKUP($E267,Primary!$1:$1048576,AJ$2,FALSE)</f>
        <v>#N/A</v>
      </c>
      <c r="AK267" s="73" t="e">
        <f>+VLOOKUP($E267,Primary!$1:$1048576,AK$2,FALSE)</f>
        <v>#N/A</v>
      </c>
      <c r="AL267" s="73" t="e">
        <f>+VLOOKUP($E267,Primary!$1:$1048576,AL$2,FALSE)</f>
        <v>#N/A</v>
      </c>
      <c r="AM267" s="73" t="e">
        <f>+VLOOKUP($E267,Primary!$1:$1048576,AM$2,FALSE)</f>
        <v>#N/A</v>
      </c>
      <c r="AN267" s="73" t="e">
        <f>+VLOOKUP($E267,Primary!$1:$1048576,AN$2,FALSE)</f>
        <v>#N/A</v>
      </c>
      <c r="AO267" s="73" t="e">
        <f>+VLOOKUP($E267,Primary!$1:$1048576,AO$2,FALSE)</f>
        <v>#N/A</v>
      </c>
    </row>
    <row r="268" spans="1:43" s="111" customFormat="1" ht="15" customHeight="1" x14ac:dyDescent="0.25">
      <c r="A268" s="324"/>
      <c r="B268" s="325"/>
      <c r="C268" s="134" t="s">
        <v>516</v>
      </c>
      <c r="D268" s="112"/>
      <c r="E268" s="87" t="s">
        <v>622</v>
      </c>
      <c r="F268" s="73">
        <f>+VLOOKUP($E268,Primary!$1:$1048576,F$2,FALSE)</f>
        <v>5.7094259999999997</v>
      </c>
      <c r="G268" s="73">
        <f>+VLOOKUP($E268,Primary!$1:$1048576,G$2,FALSE)</f>
        <v>5.7727300120000002</v>
      </c>
      <c r="H268" s="73">
        <f>+VLOOKUP($E268,Primary!$1:$1048576,H$2,FALSE)</f>
        <v>5.8353686040000001</v>
      </c>
      <c r="I268" s="73">
        <f>+VLOOKUP($E268,Primary!$1:$1048576,I$2,FALSE)</f>
        <v>5.8979758010000003</v>
      </c>
      <c r="J268" s="73">
        <f>+VLOOKUP($E268,Primary!$1:$1048576,J$2,FALSE)</f>
        <v>5.9608288600000003</v>
      </c>
      <c r="K268" s="73">
        <f>+VLOOKUP($E268,Primary!$1:$1048576,K$2,FALSE)</f>
        <v>6.0240115479999998</v>
      </c>
      <c r="L268" s="73">
        <f>+VLOOKUP($E268,Primary!$1:$1048576,L$2,FALSE)</f>
        <v>6.0875169600000003</v>
      </c>
      <c r="M268" s="73">
        <f>+VLOOKUP($E268,Primary!$1:$1048576,M$2,FALSE)</f>
        <v>6.1513029440000002</v>
      </c>
      <c r="N268" s="73">
        <f>+VLOOKUP($E268,Primary!$1:$1048576,N$2,FALSE)</f>
        <v>6.215320803</v>
      </c>
      <c r="O268" s="73">
        <f>+VLOOKUP($E268,Primary!$1:$1048576,O$2,FALSE)</f>
        <v>6.2795289030000001</v>
      </c>
      <c r="P268" s="73">
        <f>+VLOOKUP($E268,Primary!$1:$1048576,P$2,FALSE)</f>
        <v>6.3438975549999999</v>
      </c>
      <c r="Q268" s="73">
        <f>+VLOOKUP($E268,Primary!$1:$1048576,Q$2,FALSE)</f>
        <v>6.4084091670000003</v>
      </c>
      <c r="R268" s="73">
        <f>+VLOOKUP($E268,Primary!$1:$1048576,R$2,FALSE)</f>
        <v>6.4730562049999998</v>
      </c>
      <c r="S268" s="73">
        <f>+VLOOKUP($E268,Primary!$1:$1048576,S$2,FALSE)</f>
        <v>6.5378385339999996</v>
      </c>
      <c r="T268" s="73">
        <f>+VLOOKUP($E268,Primary!$1:$1048576,T$2,FALSE)</f>
        <v>6.6027609050000002</v>
      </c>
      <c r="U268" s="73">
        <f>+VLOOKUP($E268,Primary!$1:$1048576,U$2,FALSE)</f>
        <v>6.6678308990000001</v>
      </c>
      <c r="V268" s="73">
        <f>+VLOOKUP($E268,Primary!$1:$1048576,V$2,FALSE)</f>
        <v>6.7330574439999999</v>
      </c>
      <c r="W268" s="73">
        <f>+VLOOKUP($E268,Primary!$1:$1048576,W$2,FALSE)</f>
        <v>6.7984498530000002</v>
      </c>
      <c r="X268" s="73">
        <f>+VLOOKUP($E268,Primary!$1:$1048576,X$2,FALSE)</f>
        <v>6.8640171890000001</v>
      </c>
      <c r="Y268" s="73">
        <f>+VLOOKUP($E268,Primary!$1:$1048576,Y$2,FALSE)</f>
        <v>6.9297679099999998</v>
      </c>
      <c r="Z268" s="73">
        <f>+VLOOKUP($E268,Primary!$1:$1048576,Z$2,FALSE)</f>
        <v>6.9957097680000002</v>
      </c>
      <c r="AA268" s="73">
        <f>+VLOOKUP($E268,Primary!$1:$1048576,AA$2,FALSE)</f>
        <v>7.0618498519999999</v>
      </c>
      <c r="AB268" s="73">
        <f>+VLOOKUP($E268,Primary!$1:$1048576,AB$2,FALSE)</f>
        <v>7.1281946869999997</v>
      </c>
      <c r="AC268" s="73">
        <f>+VLOOKUP($E268,Primary!$1:$1048576,AC$2,FALSE)</f>
        <v>7.1947503709999996</v>
      </c>
      <c r="AD268" s="73">
        <f>+VLOOKUP($E268,Primary!$1:$1048576,AD$2,FALSE)</f>
        <v>7.2615227180000002</v>
      </c>
      <c r="AE268" s="73">
        <f>+VLOOKUP($E268,Primary!$1:$1048576,AE$2,FALSE)</f>
        <v>7.328517401</v>
      </c>
      <c r="AF268" s="73">
        <f>+VLOOKUP($E268,Primary!$1:$1048576,AF$2,FALSE)</f>
        <v>7.3957400780000002</v>
      </c>
      <c r="AG268" s="73">
        <f>+VLOOKUP($E268,Primary!$1:$1048576,AG$2,FALSE)</f>
        <v>7.4631965019999997</v>
      </c>
      <c r="AH268" s="73">
        <f>+VLOOKUP($E268,Primary!$1:$1048576,AH$2,FALSE)</f>
        <v>7.530892605</v>
      </c>
      <c r="AI268" s="73">
        <f>+VLOOKUP($E268,Primary!$1:$1048576,AI$2,FALSE)</f>
        <v>7.5988345590000002</v>
      </c>
      <c r="AJ268" s="73">
        <f>+VLOOKUP($E268,Primary!$1:$1048576,AJ$2,FALSE)</f>
        <v>7.6670259380000001</v>
      </c>
      <c r="AK268" s="73">
        <f>+VLOOKUP($E268,Primary!$1:$1048576,AK$2,FALSE)</f>
        <v>7.7354723249999999</v>
      </c>
      <c r="AL268" s="73">
        <f>+VLOOKUP($E268,Primary!$1:$1048576,AL$2,FALSE)</f>
        <v>7.8041804939999997</v>
      </c>
      <c r="AM268" s="73">
        <f>+VLOOKUP($E268,Primary!$1:$1048576,AM$2,FALSE)</f>
        <v>7.8731578860000004</v>
      </c>
      <c r="AN268" s="73">
        <f>+VLOOKUP($E268,Primary!$1:$1048576,AN$2,FALSE)</f>
        <v>7.9424123690000004</v>
      </c>
      <c r="AO268" s="73">
        <f>+VLOOKUP($E268,Primary!$1:$1048576,AO$2,FALSE)</f>
        <v>8.0119521200000001</v>
      </c>
      <c r="AP268" s="73"/>
      <c r="AQ268" s="73"/>
    </row>
    <row r="269" spans="1:43" s="365" customFormat="1" ht="15" customHeight="1" x14ac:dyDescent="0.25">
      <c r="A269" s="324"/>
      <c r="B269" s="325"/>
      <c r="C269" s="364"/>
      <c r="D269" s="86" t="s">
        <v>2051</v>
      </c>
      <c r="E269" s="84" t="s">
        <v>2064</v>
      </c>
      <c r="F269" s="73" t="e">
        <f>+VLOOKUP($E269,Primary!$1:$1048576,F$2,FALSE)</f>
        <v>#N/A</v>
      </c>
      <c r="G269" s="73" t="e">
        <f>+VLOOKUP($E269,Primary!$1:$1048576,G$2,FALSE)</f>
        <v>#N/A</v>
      </c>
      <c r="H269" s="73" t="e">
        <f>+VLOOKUP($E269,Primary!$1:$1048576,H$2,FALSE)</f>
        <v>#N/A</v>
      </c>
      <c r="I269" s="73" t="e">
        <f>+VLOOKUP($E269,Primary!$1:$1048576,I$2,FALSE)</f>
        <v>#N/A</v>
      </c>
      <c r="J269" s="73" t="e">
        <f>+VLOOKUP($E269,Primary!$1:$1048576,J$2,FALSE)</f>
        <v>#N/A</v>
      </c>
      <c r="K269" s="73" t="e">
        <f>+VLOOKUP($E269,Primary!$1:$1048576,K$2,FALSE)</f>
        <v>#N/A</v>
      </c>
      <c r="L269" s="73" t="e">
        <f>+VLOOKUP($E269,Primary!$1:$1048576,L$2,FALSE)</f>
        <v>#N/A</v>
      </c>
      <c r="M269" s="73" t="e">
        <f>+VLOOKUP($E269,Primary!$1:$1048576,M$2,FALSE)</f>
        <v>#N/A</v>
      </c>
      <c r="N269" s="73" t="e">
        <f>+VLOOKUP($E269,Primary!$1:$1048576,N$2,FALSE)</f>
        <v>#N/A</v>
      </c>
      <c r="O269" s="73" t="e">
        <f>+VLOOKUP($E269,Primary!$1:$1048576,O$2,FALSE)</f>
        <v>#N/A</v>
      </c>
      <c r="P269" s="73" t="e">
        <f>+VLOOKUP($E269,Primary!$1:$1048576,P$2,FALSE)</f>
        <v>#N/A</v>
      </c>
      <c r="Q269" s="73" t="e">
        <f>+VLOOKUP($E269,Primary!$1:$1048576,Q$2,FALSE)</f>
        <v>#N/A</v>
      </c>
      <c r="R269" s="73" t="e">
        <f>+VLOOKUP($E269,Primary!$1:$1048576,R$2,FALSE)</f>
        <v>#N/A</v>
      </c>
      <c r="S269" s="73" t="e">
        <f>+VLOOKUP($E269,Primary!$1:$1048576,S$2,FALSE)</f>
        <v>#N/A</v>
      </c>
      <c r="T269" s="73" t="e">
        <f>+VLOOKUP($E269,Primary!$1:$1048576,T$2,FALSE)</f>
        <v>#N/A</v>
      </c>
      <c r="U269" s="73" t="e">
        <f>+VLOOKUP($E269,Primary!$1:$1048576,U$2,FALSE)</f>
        <v>#N/A</v>
      </c>
      <c r="V269" s="73" t="e">
        <f>+VLOOKUP($E269,Primary!$1:$1048576,V$2,FALSE)</f>
        <v>#N/A</v>
      </c>
      <c r="W269" s="73" t="e">
        <f>+VLOOKUP($E269,Primary!$1:$1048576,W$2,FALSE)</f>
        <v>#N/A</v>
      </c>
      <c r="X269" s="73" t="e">
        <f>+VLOOKUP($E269,Primary!$1:$1048576,X$2,FALSE)</f>
        <v>#N/A</v>
      </c>
      <c r="Y269" s="73" t="e">
        <f>+VLOOKUP($E269,Primary!$1:$1048576,Y$2,FALSE)</f>
        <v>#N/A</v>
      </c>
      <c r="Z269" s="73" t="e">
        <f>+VLOOKUP($E269,Primary!$1:$1048576,Z$2,FALSE)</f>
        <v>#N/A</v>
      </c>
      <c r="AA269" s="73" t="e">
        <f>+VLOOKUP($E269,Primary!$1:$1048576,AA$2,FALSE)</f>
        <v>#N/A</v>
      </c>
      <c r="AB269" s="73" t="e">
        <f>+VLOOKUP($E269,Primary!$1:$1048576,AB$2,FALSE)</f>
        <v>#N/A</v>
      </c>
      <c r="AC269" s="73" t="e">
        <f>+VLOOKUP($E269,Primary!$1:$1048576,AC$2,FALSE)</f>
        <v>#N/A</v>
      </c>
      <c r="AD269" s="73" t="e">
        <f>+VLOOKUP($E269,Primary!$1:$1048576,AD$2,FALSE)</f>
        <v>#N/A</v>
      </c>
      <c r="AE269" s="73" t="e">
        <f>+VLOOKUP($E269,Primary!$1:$1048576,AE$2,FALSE)</f>
        <v>#N/A</v>
      </c>
      <c r="AF269" s="73" t="e">
        <f>+VLOOKUP($E269,Primary!$1:$1048576,AF$2,FALSE)</f>
        <v>#N/A</v>
      </c>
      <c r="AG269" s="73" t="e">
        <f>+VLOOKUP($E269,Primary!$1:$1048576,AG$2,FALSE)</f>
        <v>#N/A</v>
      </c>
      <c r="AH269" s="73" t="e">
        <f>+VLOOKUP($E269,Primary!$1:$1048576,AH$2,FALSE)</f>
        <v>#N/A</v>
      </c>
      <c r="AI269" s="73" t="e">
        <f>+VLOOKUP($E269,Primary!$1:$1048576,AI$2,FALSE)</f>
        <v>#N/A</v>
      </c>
      <c r="AJ269" s="73" t="e">
        <f>+VLOOKUP($E269,Primary!$1:$1048576,AJ$2,FALSE)</f>
        <v>#N/A</v>
      </c>
      <c r="AK269" s="73" t="e">
        <f>+VLOOKUP($E269,Primary!$1:$1048576,AK$2,FALSE)</f>
        <v>#N/A</v>
      </c>
      <c r="AL269" s="73" t="e">
        <f>+VLOOKUP($E269,Primary!$1:$1048576,AL$2,FALSE)</f>
        <v>#N/A</v>
      </c>
      <c r="AM269" s="73" t="e">
        <f>+VLOOKUP($E269,Primary!$1:$1048576,AM$2,FALSE)</f>
        <v>#N/A</v>
      </c>
      <c r="AN269" s="73" t="e">
        <f>+VLOOKUP($E269,Primary!$1:$1048576,AN$2,FALSE)</f>
        <v>#N/A</v>
      </c>
      <c r="AO269" s="73" t="e">
        <f>+VLOOKUP($E269,Primary!$1:$1048576,AO$2,FALSE)</f>
        <v>#N/A</v>
      </c>
      <c r="AP269" s="73"/>
      <c r="AQ269" s="73"/>
    </row>
    <row r="270" spans="1:43" s="111" customFormat="1" ht="15" customHeight="1" x14ac:dyDescent="0.25">
      <c r="A270" s="324"/>
      <c r="B270" s="325"/>
      <c r="C270" s="134" t="s">
        <v>601</v>
      </c>
      <c r="D270" s="112"/>
      <c r="E270" s="87" t="s">
        <v>623</v>
      </c>
      <c r="F270" s="73">
        <f>+VLOOKUP($E270,Primary!$1:$1048576,F$2,FALSE)</f>
        <v>11.178419</v>
      </c>
      <c r="G270" s="73">
        <f>+VLOOKUP($E270,Primary!$1:$1048576,G$2,FALSE)</f>
        <v>11.22514597</v>
      </c>
      <c r="H270" s="73">
        <f>+VLOOKUP($E270,Primary!$1:$1048576,H$2,FALSE)</f>
        <v>11.23897028</v>
      </c>
      <c r="I270" s="73">
        <f>+VLOOKUP($E270,Primary!$1:$1048576,I$2,FALSE)</f>
        <v>11.242511070000001</v>
      </c>
      <c r="J270" s="73">
        <f>+VLOOKUP($E270,Primary!$1:$1048576,J$2,FALSE)</f>
        <v>11.24515074</v>
      </c>
      <c r="K270" s="73">
        <f>+VLOOKUP($E270,Primary!$1:$1048576,K$2,FALSE)</f>
        <v>11.25017909</v>
      </c>
      <c r="L270" s="73">
        <f>+VLOOKUP($E270,Primary!$1:$1048576,L$2,FALSE)</f>
        <v>11.258341870000001</v>
      </c>
      <c r="M270" s="73">
        <f>+VLOOKUP($E270,Primary!$1:$1048576,M$2,FALSE)</f>
        <v>11.269454959999999</v>
      </c>
      <c r="N270" s="73">
        <f>+VLOOKUP($E270,Primary!$1:$1048576,N$2,FALSE)</f>
        <v>11.28308479</v>
      </c>
      <c r="O270" s="73">
        <f>+VLOOKUP($E270,Primary!$1:$1048576,O$2,FALSE)</f>
        <v>11.298805120000001</v>
      </c>
      <c r="P270" s="73">
        <f>+VLOOKUP($E270,Primary!$1:$1048576,P$2,FALSE)</f>
        <v>11.31627316</v>
      </c>
      <c r="Q270" s="73">
        <f>+VLOOKUP($E270,Primary!$1:$1048576,Q$2,FALSE)</f>
        <v>11.33523602</v>
      </c>
      <c r="R270" s="73">
        <f>+VLOOKUP($E270,Primary!$1:$1048576,R$2,FALSE)</f>
        <v>11.355515</v>
      </c>
      <c r="S270" s="73">
        <f>+VLOOKUP($E270,Primary!$1:$1048576,S$2,FALSE)</f>
        <v>11.37698666</v>
      </c>
      <c r="T270" s="73">
        <f>+VLOOKUP($E270,Primary!$1:$1048576,T$2,FALSE)</f>
        <v>11.399566849999999</v>
      </c>
      <c r="U270" s="73">
        <f>+VLOOKUP($E270,Primary!$1:$1048576,U$2,FALSE)</f>
        <v>11.42319872</v>
      </c>
      <c r="V270" s="73">
        <f>+VLOOKUP($E270,Primary!$1:$1048576,V$2,FALSE)</f>
        <v>11.447844249999999</v>
      </c>
      <c r="W270" s="73">
        <f>+VLOOKUP($E270,Primary!$1:$1048576,W$2,FALSE)</f>
        <v>11.47347695</v>
      </c>
      <c r="X270" s="73">
        <f>+VLOOKUP($E270,Primary!$1:$1048576,X$2,FALSE)</f>
        <v>11.50007815</v>
      </c>
      <c r="Y270" s="73">
        <f>+VLOOKUP($E270,Primary!$1:$1048576,Y$2,FALSE)</f>
        <v>11.5276224</v>
      </c>
      <c r="Z270" s="73">
        <f>+VLOOKUP($E270,Primary!$1:$1048576,Z$2,FALSE)</f>
        <v>11.556098560000001</v>
      </c>
      <c r="AA270" s="73">
        <f>+VLOOKUP($E270,Primary!$1:$1048576,AA$2,FALSE)</f>
        <v>11.58550318</v>
      </c>
      <c r="AB270" s="73">
        <f>+VLOOKUP($E270,Primary!$1:$1048576,AB$2,FALSE)</f>
        <v>11.61583705</v>
      </c>
      <c r="AC270" s="73">
        <f>+VLOOKUP($E270,Primary!$1:$1048576,AC$2,FALSE)</f>
        <v>11.6471032</v>
      </c>
      <c r="AD270" s="73">
        <f>+VLOOKUP($E270,Primary!$1:$1048576,AD$2,FALSE)</f>
        <v>11.679305879999999</v>
      </c>
      <c r="AE270" s="73">
        <f>+VLOOKUP($E270,Primary!$1:$1048576,AE$2,FALSE)</f>
        <v>11.71244997</v>
      </c>
      <c r="AF270" s="73">
        <f>+VLOOKUP($E270,Primary!$1:$1048576,AF$2,FALSE)</f>
        <v>11.74654074</v>
      </c>
      <c r="AG270" s="73">
        <f>+VLOOKUP($E270,Primary!$1:$1048576,AG$2,FALSE)</f>
        <v>11.78158369</v>
      </c>
      <c r="AH270" s="73">
        <f>+VLOOKUP($E270,Primary!$1:$1048576,AH$2,FALSE)</f>
        <v>11.81758452</v>
      </c>
      <c r="AI270" s="73">
        <f>+VLOOKUP($E270,Primary!$1:$1048576,AI$2,FALSE)</f>
        <v>11.85454912</v>
      </c>
      <c r="AJ270" s="73">
        <f>+VLOOKUP($E270,Primary!$1:$1048576,AJ$2,FALSE)</f>
        <v>11.892482790000001</v>
      </c>
      <c r="AK270" s="73">
        <f>+VLOOKUP($E270,Primary!$1:$1048576,AK$2,FALSE)</f>
        <v>11.93139141</v>
      </c>
      <c r="AL270" s="73">
        <f>+VLOOKUP($E270,Primary!$1:$1048576,AL$2,FALSE)</f>
        <v>11.971281319999999</v>
      </c>
      <c r="AM270" s="73">
        <f>+VLOOKUP($E270,Primary!$1:$1048576,AM$2,FALSE)</f>
        <v>12.01215914</v>
      </c>
      <c r="AN270" s="73">
        <f>+VLOOKUP($E270,Primary!$1:$1048576,AN$2,FALSE)</f>
        <v>12.054031739999999</v>
      </c>
      <c r="AO270" s="73">
        <f>+VLOOKUP($E270,Primary!$1:$1048576,AO$2,FALSE)</f>
        <v>12.09690614</v>
      </c>
      <c r="AP270" s="73"/>
      <c r="AQ270" s="73"/>
    </row>
    <row r="271" spans="1:43" s="365" customFormat="1" ht="15" customHeight="1" x14ac:dyDescent="0.25">
      <c r="A271" s="324"/>
      <c r="B271" s="325"/>
      <c r="C271" s="364"/>
      <c r="D271" s="86"/>
      <c r="E271" s="84" t="s">
        <v>2065</v>
      </c>
      <c r="F271" s="73" t="e">
        <f>+VLOOKUP($E271,Primary!$1:$1048576,F$2,FALSE)</f>
        <v>#N/A</v>
      </c>
      <c r="G271" s="73" t="e">
        <f>+VLOOKUP($E271,Primary!$1:$1048576,G$2,FALSE)</f>
        <v>#N/A</v>
      </c>
      <c r="H271" s="73" t="e">
        <f>+VLOOKUP($E271,Primary!$1:$1048576,H$2,FALSE)</f>
        <v>#N/A</v>
      </c>
      <c r="I271" s="73" t="e">
        <f>+VLOOKUP($E271,Primary!$1:$1048576,I$2,FALSE)</f>
        <v>#N/A</v>
      </c>
      <c r="J271" s="73" t="e">
        <f>+VLOOKUP($E271,Primary!$1:$1048576,J$2,FALSE)</f>
        <v>#N/A</v>
      </c>
      <c r="K271" s="73" t="e">
        <f>+VLOOKUP($E271,Primary!$1:$1048576,K$2,FALSE)</f>
        <v>#N/A</v>
      </c>
      <c r="L271" s="73" t="e">
        <f>+VLOOKUP($E271,Primary!$1:$1048576,L$2,FALSE)</f>
        <v>#N/A</v>
      </c>
      <c r="M271" s="73" t="e">
        <f>+VLOOKUP($E271,Primary!$1:$1048576,M$2,FALSE)</f>
        <v>#N/A</v>
      </c>
      <c r="N271" s="73" t="e">
        <f>+VLOOKUP($E271,Primary!$1:$1048576,N$2,FALSE)</f>
        <v>#N/A</v>
      </c>
      <c r="O271" s="73" t="e">
        <f>+VLOOKUP($E271,Primary!$1:$1048576,O$2,FALSE)</f>
        <v>#N/A</v>
      </c>
      <c r="P271" s="73" t="e">
        <f>+VLOOKUP($E271,Primary!$1:$1048576,P$2,FALSE)</f>
        <v>#N/A</v>
      </c>
      <c r="Q271" s="73" t="e">
        <f>+VLOOKUP($E271,Primary!$1:$1048576,Q$2,FALSE)</f>
        <v>#N/A</v>
      </c>
      <c r="R271" s="73" t="e">
        <f>+VLOOKUP($E271,Primary!$1:$1048576,R$2,FALSE)</f>
        <v>#N/A</v>
      </c>
      <c r="S271" s="73" t="e">
        <f>+VLOOKUP($E271,Primary!$1:$1048576,S$2,FALSE)</f>
        <v>#N/A</v>
      </c>
      <c r="T271" s="73" t="e">
        <f>+VLOOKUP($E271,Primary!$1:$1048576,T$2,FALSE)</f>
        <v>#N/A</v>
      </c>
      <c r="U271" s="73" t="e">
        <f>+VLOOKUP($E271,Primary!$1:$1048576,U$2,FALSE)</f>
        <v>#N/A</v>
      </c>
      <c r="V271" s="73" t="e">
        <f>+VLOOKUP($E271,Primary!$1:$1048576,V$2,FALSE)</f>
        <v>#N/A</v>
      </c>
      <c r="W271" s="73" t="e">
        <f>+VLOOKUP($E271,Primary!$1:$1048576,W$2,FALSE)</f>
        <v>#N/A</v>
      </c>
      <c r="X271" s="73" t="e">
        <f>+VLOOKUP($E271,Primary!$1:$1048576,X$2,FALSE)</f>
        <v>#N/A</v>
      </c>
      <c r="Y271" s="73" t="e">
        <f>+VLOOKUP($E271,Primary!$1:$1048576,Y$2,FALSE)</f>
        <v>#N/A</v>
      </c>
      <c r="Z271" s="73" t="e">
        <f>+VLOOKUP($E271,Primary!$1:$1048576,Z$2,FALSE)</f>
        <v>#N/A</v>
      </c>
      <c r="AA271" s="73" t="e">
        <f>+VLOOKUP($E271,Primary!$1:$1048576,AA$2,FALSE)</f>
        <v>#N/A</v>
      </c>
      <c r="AB271" s="73" t="e">
        <f>+VLOOKUP($E271,Primary!$1:$1048576,AB$2,FALSE)</f>
        <v>#N/A</v>
      </c>
      <c r="AC271" s="73" t="e">
        <f>+VLOOKUP($E271,Primary!$1:$1048576,AC$2,FALSE)</f>
        <v>#N/A</v>
      </c>
      <c r="AD271" s="73" t="e">
        <f>+VLOOKUP($E271,Primary!$1:$1048576,AD$2,FALSE)</f>
        <v>#N/A</v>
      </c>
      <c r="AE271" s="73" t="e">
        <f>+VLOOKUP($E271,Primary!$1:$1048576,AE$2,FALSE)</f>
        <v>#N/A</v>
      </c>
      <c r="AF271" s="73" t="e">
        <f>+VLOOKUP($E271,Primary!$1:$1048576,AF$2,FALSE)</f>
        <v>#N/A</v>
      </c>
      <c r="AG271" s="73" t="e">
        <f>+VLOOKUP($E271,Primary!$1:$1048576,AG$2,FALSE)</f>
        <v>#N/A</v>
      </c>
      <c r="AH271" s="73" t="e">
        <f>+VLOOKUP($E271,Primary!$1:$1048576,AH$2,FALSE)</f>
        <v>#N/A</v>
      </c>
      <c r="AI271" s="73" t="e">
        <f>+VLOOKUP($E271,Primary!$1:$1048576,AI$2,FALSE)</f>
        <v>#N/A</v>
      </c>
      <c r="AJ271" s="73" t="e">
        <f>+VLOOKUP($E271,Primary!$1:$1048576,AJ$2,FALSE)</f>
        <v>#N/A</v>
      </c>
      <c r="AK271" s="73" t="e">
        <f>+VLOOKUP($E271,Primary!$1:$1048576,AK$2,FALSE)</f>
        <v>#N/A</v>
      </c>
      <c r="AL271" s="73" t="e">
        <f>+VLOOKUP($E271,Primary!$1:$1048576,AL$2,FALSE)</f>
        <v>#N/A</v>
      </c>
      <c r="AM271" s="73" t="e">
        <f>+VLOOKUP($E271,Primary!$1:$1048576,AM$2,FALSE)</f>
        <v>#N/A</v>
      </c>
      <c r="AN271" s="73" t="e">
        <f>+VLOOKUP($E271,Primary!$1:$1048576,AN$2,FALSE)</f>
        <v>#N/A</v>
      </c>
      <c r="AO271" s="73" t="e">
        <f>+VLOOKUP($E271,Primary!$1:$1048576,AO$2,FALSE)</f>
        <v>#N/A</v>
      </c>
      <c r="AP271" s="73"/>
      <c r="AQ271" s="73"/>
    </row>
    <row r="272" spans="1:43" s="365" customFormat="1" ht="15" customHeight="1" x14ac:dyDescent="0.25">
      <c r="A272" s="324"/>
      <c r="B272" s="325"/>
      <c r="C272" s="364"/>
      <c r="D272" s="86"/>
      <c r="E272" s="84" t="s">
        <v>2066</v>
      </c>
      <c r="F272" s="73" t="e">
        <f>+VLOOKUP($E272,Primary!$1:$1048576,F$2,FALSE)</f>
        <v>#N/A</v>
      </c>
      <c r="G272" s="73" t="e">
        <f>+VLOOKUP($E272,Primary!$1:$1048576,G$2,FALSE)</f>
        <v>#N/A</v>
      </c>
      <c r="H272" s="73" t="e">
        <f>+VLOOKUP($E272,Primary!$1:$1048576,H$2,FALSE)</f>
        <v>#N/A</v>
      </c>
      <c r="I272" s="73" t="e">
        <f>+VLOOKUP($E272,Primary!$1:$1048576,I$2,FALSE)</f>
        <v>#N/A</v>
      </c>
      <c r="J272" s="73" t="e">
        <f>+VLOOKUP($E272,Primary!$1:$1048576,J$2,FALSE)</f>
        <v>#N/A</v>
      </c>
      <c r="K272" s="73" t="e">
        <f>+VLOOKUP($E272,Primary!$1:$1048576,K$2,FALSE)</f>
        <v>#N/A</v>
      </c>
      <c r="L272" s="73" t="e">
        <f>+VLOOKUP($E272,Primary!$1:$1048576,L$2,FALSE)</f>
        <v>#N/A</v>
      </c>
      <c r="M272" s="73" t="e">
        <f>+VLOOKUP($E272,Primary!$1:$1048576,M$2,FALSE)</f>
        <v>#N/A</v>
      </c>
      <c r="N272" s="73" t="e">
        <f>+VLOOKUP($E272,Primary!$1:$1048576,N$2,FALSE)</f>
        <v>#N/A</v>
      </c>
      <c r="O272" s="73" t="e">
        <f>+VLOOKUP($E272,Primary!$1:$1048576,O$2,FALSE)</f>
        <v>#N/A</v>
      </c>
      <c r="P272" s="73" t="e">
        <f>+VLOOKUP($E272,Primary!$1:$1048576,P$2,FALSE)</f>
        <v>#N/A</v>
      </c>
      <c r="Q272" s="73" t="e">
        <f>+VLOOKUP($E272,Primary!$1:$1048576,Q$2,FALSE)</f>
        <v>#N/A</v>
      </c>
      <c r="R272" s="73" t="e">
        <f>+VLOOKUP($E272,Primary!$1:$1048576,R$2,FALSE)</f>
        <v>#N/A</v>
      </c>
      <c r="S272" s="73" t="e">
        <f>+VLOOKUP($E272,Primary!$1:$1048576,S$2,FALSE)</f>
        <v>#N/A</v>
      </c>
      <c r="T272" s="73" t="e">
        <f>+VLOOKUP($E272,Primary!$1:$1048576,T$2,FALSE)</f>
        <v>#N/A</v>
      </c>
      <c r="U272" s="73" t="e">
        <f>+VLOOKUP($E272,Primary!$1:$1048576,U$2,FALSE)</f>
        <v>#N/A</v>
      </c>
      <c r="V272" s="73" t="e">
        <f>+VLOOKUP($E272,Primary!$1:$1048576,V$2,FALSE)</f>
        <v>#N/A</v>
      </c>
      <c r="W272" s="73" t="e">
        <f>+VLOOKUP($E272,Primary!$1:$1048576,W$2,FALSE)</f>
        <v>#N/A</v>
      </c>
      <c r="X272" s="73" t="e">
        <f>+VLOOKUP($E272,Primary!$1:$1048576,X$2,FALSE)</f>
        <v>#N/A</v>
      </c>
      <c r="Y272" s="73" t="e">
        <f>+VLOOKUP($E272,Primary!$1:$1048576,Y$2,FALSE)</f>
        <v>#N/A</v>
      </c>
      <c r="Z272" s="73" t="e">
        <f>+VLOOKUP($E272,Primary!$1:$1048576,Z$2,FALSE)</f>
        <v>#N/A</v>
      </c>
      <c r="AA272" s="73" t="e">
        <f>+VLOOKUP($E272,Primary!$1:$1048576,AA$2,FALSE)</f>
        <v>#N/A</v>
      </c>
      <c r="AB272" s="73" t="e">
        <f>+VLOOKUP($E272,Primary!$1:$1048576,AB$2,FALSE)</f>
        <v>#N/A</v>
      </c>
      <c r="AC272" s="73" t="e">
        <f>+VLOOKUP($E272,Primary!$1:$1048576,AC$2,FALSE)</f>
        <v>#N/A</v>
      </c>
      <c r="AD272" s="73" t="e">
        <f>+VLOOKUP($E272,Primary!$1:$1048576,AD$2,FALSE)</f>
        <v>#N/A</v>
      </c>
      <c r="AE272" s="73" t="e">
        <f>+VLOOKUP($E272,Primary!$1:$1048576,AE$2,FALSE)</f>
        <v>#N/A</v>
      </c>
      <c r="AF272" s="73" t="e">
        <f>+VLOOKUP($E272,Primary!$1:$1048576,AF$2,FALSE)</f>
        <v>#N/A</v>
      </c>
      <c r="AG272" s="73" t="e">
        <f>+VLOOKUP($E272,Primary!$1:$1048576,AG$2,FALSE)</f>
        <v>#N/A</v>
      </c>
      <c r="AH272" s="73" t="e">
        <f>+VLOOKUP($E272,Primary!$1:$1048576,AH$2,FALSE)</f>
        <v>#N/A</v>
      </c>
      <c r="AI272" s="73" t="e">
        <f>+VLOOKUP($E272,Primary!$1:$1048576,AI$2,FALSE)</f>
        <v>#N/A</v>
      </c>
      <c r="AJ272" s="73" t="e">
        <f>+VLOOKUP($E272,Primary!$1:$1048576,AJ$2,FALSE)</f>
        <v>#N/A</v>
      </c>
      <c r="AK272" s="73" t="e">
        <f>+VLOOKUP($E272,Primary!$1:$1048576,AK$2,FALSE)</f>
        <v>#N/A</v>
      </c>
      <c r="AL272" s="73" t="e">
        <f>+VLOOKUP($E272,Primary!$1:$1048576,AL$2,FALSE)</f>
        <v>#N/A</v>
      </c>
      <c r="AM272" s="73" t="e">
        <f>+VLOOKUP($E272,Primary!$1:$1048576,AM$2,FALSE)</f>
        <v>#N/A</v>
      </c>
      <c r="AN272" s="73" t="e">
        <f>+VLOOKUP($E272,Primary!$1:$1048576,AN$2,FALSE)</f>
        <v>#N/A</v>
      </c>
      <c r="AO272" s="73" t="e">
        <f>+VLOOKUP($E272,Primary!$1:$1048576,AO$2,FALSE)</f>
        <v>#N/A</v>
      </c>
      <c r="AP272" s="73"/>
      <c r="AQ272" s="73"/>
    </row>
    <row r="273" spans="1:43" s="111" customFormat="1" ht="15" customHeight="1" x14ac:dyDescent="0.25">
      <c r="A273" s="324"/>
      <c r="B273" s="325"/>
      <c r="C273" s="134" t="s">
        <v>602</v>
      </c>
      <c r="D273" s="112"/>
      <c r="E273" s="87" t="s">
        <v>624</v>
      </c>
      <c r="F273" s="73">
        <f>+VLOOKUP($E273,Primary!$1:$1048576,F$2,FALSE)</f>
        <v>13.853522</v>
      </c>
      <c r="G273" s="73">
        <f>+VLOOKUP($E273,Primary!$1:$1048576,G$2,FALSE)</f>
        <v>13.995058200000001</v>
      </c>
      <c r="H273" s="73">
        <f>+VLOOKUP($E273,Primary!$1:$1048576,H$2,FALSE)</f>
        <v>14.13177331</v>
      </c>
      <c r="I273" s="73">
        <f>+VLOOKUP($E273,Primary!$1:$1048576,I$2,FALSE)</f>
        <v>14.27053269</v>
      </c>
      <c r="J273" s="73">
        <f>+VLOOKUP($E273,Primary!$1:$1048576,J$2,FALSE)</f>
        <v>14.413670590000001</v>
      </c>
      <c r="K273" s="73">
        <f>+VLOOKUP($E273,Primary!$1:$1048576,K$2,FALSE)</f>
        <v>14.5614309</v>
      </c>
      <c r="L273" s="73">
        <f>+VLOOKUP($E273,Primary!$1:$1048576,L$2,FALSE)</f>
        <v>14.713349210000001</v>
      </c>
      <c r="M273" s="73">
        <f>+VLOOKUP($E273,Primary!$1:$1048576,M$2,FALSE)</f>
        <v>14.868837559999999</v>
      </c>
      <c r="N273" s="73">
        <f>+VLOOKUP($E273,Primary!$1:$1048576,N$2,FALSE)</f>
        <v>15.02738529</v>
      </c>
      <c r="O273" s="73">
        <f>+VLOOKUP($E273,Primary!$1:$1048576,O$2,FALSE)</f>
        <v>15.188603179999999</v>
      </c>
      <c r="P273" s="73">
        <f>+VLOOKUP($E273,Primary!$1:$1048576,P$2,FALSE)</f>
        <v>15.352213020000001</v>
      </c>
      <c r="Q273" s="73">
        <f>+VLOOKUP($E273,Primary!$1:$1048576,Q$2,FALSE)</f>
        <v>15.51802402</v>
      </c>
      <c r="R273" s="73">
        <f>+VLOOKUP($E273,Primary!$1:$1048576,R$2,FALSE)</f>
        <v>15.68591032</v>
      </c>
      <c r="S273" s="73">
        <f>+VLOOKUP($E273,Primary!$1:$1048576,S$2,FALSE)</f>
        <v>15.855793139999999</v>
      </c>
      <c r="T273" s="73">
        <f>+VLOOKUP($E273,Primary!$1:$1048576,T$2,FALSE)</f>
        <v>16.027627259999999</v>
      </c>
      <c r="U273" s="73">
        <f>+VLOOKUP($E273,Primary!$1:$1048576,U$2,FALSE)</f>
        <v>16.20139228</v>
      </c>
      <c r="V273" s="73">
        <f>+VLOOKUP($E273,Primary!$1:$1048576,V$2,FALSE)</f>
        <v>16.377085390000001</v>
      </c>
      <c r="W273" s="73">
        <f>+VLOOKUP($E273,Primary!$1:$1048576,W$2,FALSE)</f>
        <v>16.554715160000001</v>
      </c>
      <c r="X273" s="73">
        <f>+VLOOKUP($E273,Primary!$1:$1048576,X$2,FALSE)</f>
        <v>16.734298259999999</v>
      </c>
      <c r="Y273" s="73">
        <f>+VLOOKUP($E273,Primary!$1:$1048576,Y$2,FALSE)</f>
        <v>16.915856900000001</v>
      </c>
      <c r="Z273" s="73">
        <f>+VLOOKUP($E273,Primary!$1:$1048576,Z$2,FALSE)</f>
        <v>17.09941654</v>
      </c>
      <c r="AA273" s="73">
        <f>+VLOOKUP($E273,Primary!$1:$1048576,AA$2,FALSE)</f>
        <v>17.28500429</v>
      </c>
      <c r="AB273" s="73">
        <f>+VLOOKUP($E273,Primary!$1:$1048576,AB$2,FALSE)</f>
        <v>17.47264796</v>
      </c>
      <c r="AC273" s="73">
        <f>+VLOOKUP($E273,Primary!$1:$1048576,AC$2,FALSE)</f>
        <v>17.66237551</v>
      </c>
      <c r="AD273" s="73">
        <f>+VLOOKUP($E273,Primary!$1:$1048576,AD$2,FALSE)</f>
        <v>17.854214840000001</v>
      </c>
      <c r="AE273" s="73">
        <f>+VLOOKUP($E273,Primary!$1:$1048576,AE$2,FALSE)</f>
        <v>18.048193779999998</v>
      </c>
      <c r="AF273" s="73">
        <f>+VLOOKUP($E273,Primary!$1:$1048576,AF$2,FALSE)</f>
        <v>18.244340099999999</v>
      </c>
      <c r="AG273" s="73">
        <f>+VLOOKUP($E273,Primary!$1:$1048576,AG$2,FALSE)</f>
        <v>18.442681690000001</v>
      </c>
      <c r="AH273" s="73">
        <f>+VLOOKUP($E273,Primary!$1:$1048576,AH$2,FALSE)</f>
        <v>18.643246690000002</v>
      </c>
      <c r="AI273" s="73">
        <f>+VLOOKUP($E273,Primary!$1:$1048576,AI$2,FALSE)</f>
        <v>18.84606355</v>
      </c>
      <c r="AJ273" s="73">
        <f>+VLOOKUP($E273,Primary!$1:$1048576,AJ$2,FALSE)</f>
        <v>19.051160899999999</v>
      </c>
      <c r="AK273" s="73">
        <f>+VLOOKUP($E273,Primary!$1:$1048576,AK$2,FALSE)</f>
        <v>19.258567960000001</v>
      </c>
      <c r="AL273" s="73">
        <f>+VLOOKUP($E273,Primary!$1:$1048576,AL$2,FALSE)</f>
        <v>19.468314410000001</v>
      </c>
      <c r="AM273" s="73">
        <f>+VLOOKUP($E273,Primary!$1:$1048576,AM$2,FALSE)</f>
        <v>19.68043042</v>
      </c>
      <c r="AN273" s="73">
        <f>+VLOOKUP($E273,Primary!$1:$1048576,AN$2,FALSE)</f>
        <v>19.894946529999999</v>
      </c>
      <c r="AO273" s="73">
        <f>+VLOOKUP($E273,Primary!$1:$1048576,AO$2,FALSE)</f>
        <v>20.111893590000001</v>
      </c>
      <c r="AP273" s="73"/>
      <c r="AQ273" s="73"/>
    </row>
    <row r="274" spans="1:43" s="365" customFormat="1" ht="15" customHeight="1" x14ac:dyDescent="0.25">
      <c r="A274" s="324"/>
      <c r="B274" s="325"/>
      <c r="C274" s="364"/>
      <c r="D274" s="86"/>
      <c r="E274" s="84" t="s">
        <v>2067</v>
      </c>
      <c r="F274" s="73" t="e">
        <f>+VLOOKUP($E274,Primary!$1:$1048576,F$2,FALSE)</f>
        <v>#N/A</v>
      </c>
      <c r="G274" s="73" t="e">
        <f>+VLOOKUP($E274,Primary!$1:$1048576,G$2,FALSE)</f>
        <v>#N/A</v>
      </c>
      <c r="H274" s="73" t="e">
        <f>+VLOOKUP($E274,Primary!$1:$1048576,H$2,FALSE)</f>
        <v>#N/A</v>
      </c>
      <c r="I274" s="73" t="e">
        <f>+VLOOKUP($E274,Primary!$1:$1048576,I$2,FALSE)</f>
        <v>#N/A</v>
      </c>
      <c r="J274" s="73" t="e">
        <f>+VLOOKUP($E274,Primary!$1:$1048576,J$2,FALSE)</f>
        <v>#N/A</v>
      </c>
      <c r="K274" s="73" t="e">
        <f>+VLOOKUP($E274,Primary!$1:$1048576,K$2,FALSE)</f>
        <v>#N/A</v>
      </c>
      <c r="L274" s="73" t="e">
        <f>+VLOOKUP($E274,Primary!$1:$1048576,L$2,FALSE)</f>
        <v>#N/A</v>
      </c>
      <c r="M274" s="73" t="e">
        <f>+VLOOKUP($E274,Primary!$1:$1048576,M$2,FALSE)</f>
        <v>#N/A</v>
      </c>
      <c r="N274" s="73" t="e">
        <f>+VLOOKUP($E274,Primary!$1:$1048576,N$2,FALSE)</f>
        <v>#N/A</v>
      </c>
      <c r="O274" s="73" t="e">
        <f>+VLOOKUP($E274,Primary!$1:$1048576,O$2,FALSE)</f>
        <v>#N/A</v>
      </c>
      <c r="P274" s="73" t="e">
        <f>+VLOOKUP($E274,Primary!$1:$1048576,P$2,FALSE)</f>
        <v>#N/A</v>
      </c>
      <c r="Q274" s="73" t="e">
        <f>+VLOOKUP($E274,Primary!$1:$1048576,Q$2,FALSE)</f>
        <v>#N/A</v>
      </c>
      <c r="R274" s="73" t="e">
        <f>+VLOOKUP($E274,Primary!$1:$1048576,R$2,FALSE)</f>
        <v>#N/A</v>
      </c>
      <c r="S274" s="73" t="e">
        <f>+VLOOKUP($E274,Primary!$1:$1048576,S$2,FALSE)</f>
        <v>#N/A</v>
      </c>
      <c r="T274" s="73" t="e">
        <f>+VLOOKUP($E274,Primary!$1:$1048576,T$2,FALSE)</f>
        <v>#N/A</v>
      </c>
      <c r="U274" s="73" t="e">
        <f>+VLOOKUP($E274,Primary!$1:$1048576,U$2,FALSE)</f>
        <v>#N/A</v>
      </c>
      <c r="V274" s="73" t="e">
        <f>+VLOOKUP($E274,Primary!$1:$1048576,V$2,FALSE)</f>
        <v>#N/A</v>
      </c>
      <c r="W274" s="73" t="e">
        <f>+VLOOKUP($E274,Primary!$1:$1048576,W$2,FALSE)</f>
        <v>#N/A</v>
      </c>
      <c r="X274" s="73" t="e">
        <f>+VLOOKUP($E274,Primary!$1:$1048576,X$2,FALSE)</f>
        <v>#N/A</v>
      </c>
      <c r="Y274" s="73" t="e">
        <f>+VLOOKUP($E274,Primary!$1:$1048576,Y$2,FALSE)</f>
        <v>#N/A</v>
      </c>
      <c r="Z274" s="73" t="e">
        <f>+VLOOKUP($E274,Primary!$1:$1048576,Z$2,FALSE)</f>
        <v>#N/A</v>
      </c>
      <c r="AA274" s="73" t="e">
        <f>+VLOOKUP($E274,Primary!$1:$1048576,AA$2,FALSE)</f>
        <v>#N/A</v>
      </c>
      <c r="AB274" s="73" t="e">
        <f>+VLOOKUP($E274,Primary!$1:$1048576,AB$2,FALSE)</f>
        <v>#N/A</v>
      </c>
      <c r="AC274" s="73" t="e">
        <f>+VLOOKUP($E274,Primary!$1:$1048576,AC$2,FALSE)</f>
        <v>#N/A</v>
      </c>
      <c r="AD274" s="73" t="e">
        <f>+VLOOKUP($E274,Primary!$1:$1048576,AD$2,FALSE)</f>
        <v>#N/A</v>
      </c>
      <c r="AE274" s="73" t="e">
        <f>+VLOOKUP($E274,Primary!$1:$1048576,AE$2,FALSE)</f>
        <v>#N/A</v>
      </c>
      <c r="AF274" s="73" t="e">
        <f>+VLOOKUP($E274,Primary!$1:$1048576,AF$2,FALSE)</f>
        <v>#N/A</v>
      </c>
      <c r="AG274" s="73" t="e">
        <f>+VLOOKUP($E274,Primary!$1:$1048576,AG$2,FALSE)</f>
        <v>#N/A</v>
      </c>
      <c r="AH274" s="73" t="e">
        <f>+VLOOKUP($E274,Primary!$1:$1048576,AH$2,FALSE)</f>
        <v>#N/A</v>
      </c>
      <c r="AI274" s="73" t="e">
        <f>+VLOOKUP($E274,Primary!$1:$1048576,AI$2,FALSE)</f>
        <v>#N/A</v>
      </c>
      <c r="AJ274" s="73" t="e">
        <f>+VLOOKUP($E274,Primary!$1:$1048576,AJ$2,FALSE)</f>
        <v>#N/A</v>
      </c>
      <c r="AK274" s="73" t="e">
        <f>+VLOOKUP($E274,Primary!$1:$1048576,AK$2,FALSE)</f>
        <v>#N/A</v>
      </c>
      <c r="AL274" s="73" t="e">
        <f>+VLOOKUP($E274,Primary!$1:$1048576,AL$2,FALSE)</f>
        <v>#N/A</v>
      </c>
      <c r="AM274" s="73" t="e">
        <f>+VLOOKUP($E274,Primary!$1:$1048576,AM$2,FALSE)</f>
        <v>#N/A</v>
      </c>
      <c r="AN274" s="73" t="e">
        <f>+VLOOKUP($E274,Primary!$1:$1048576,AN$2,FALSE)</f>
        <v>#N/A</v>
      </c>
      <c r="AO274" s="73" t="e">
        <f>+VLOOKUP($E274,Primary!$1:$1048576,AO$2,FALSE)</f>
        <v>#N/A</v>
      </c>
      <c r="AP274" s="73"/>
      <c r="AQ274" s="73"/>
    </row>
    <row r="275" spans="1:43" s="365" customFormat="1" ht="15" customHeight="1" x14ac:dyDescent="0.25">
      <c r="A275" s="324"/>
      <c r="B275" s="325"/>
      <c r="C275" s="366"/>
      <c r="D275" s="367"/>
      <c r="E275" s="368" t="s">
        <v>2068</v>
      </c>
      <c r="F275" s="73" t="e">
        <f>+VLOOKUP($E275,Primary!$1:$1048576,F$2,FALSE)</f>
        <v>#N/A</v>
      </c>
      <c r="G275" s="245" t="e">
        <f>+VLOOKUP($E275,Primary!$1:$1048576,G$2,FALSE)</f>
        <v>#N/A</v>
      </c>
      <c r="H275" s="245" t="e">
        <f>+VLOOKUP($E275,Primary!$1:$1048576,H$2,FALSE)</f>
        <v>#N/A</v>
      </c>
      <c r="I275" s="245" t="e">
        <f>+VLOOKUP($E275,Primary!$1:$1048576,I$2,FALSE)</f>
        <v>#N/A</v>
      </c>
      <c r="J275" s="245" t="e">
        <f>+VLOOKUP($E275,Primary!$1:$1048576,J$2,FALSE)</f>
        <v>#N/A</v>
      </c>
      <c r="K275" s="245" t="e">
        <f>+VLOOKUP($E275,Primary!$1:$1048576,K$2,FALSE)</f>
        <v>#N/A</v>
      </c>
      <c r="L275" s="245" t="e">
        <f>+VLOOKUP($E275,Primary!$1:$1048576,L$2,FALSE)</f>
        <v>#N/A</v>
      </c>
      <c r="M275" s="245" t="e">
        <f>+VLOOKUP($E275,Primary!$1:$1048576,M$2,FALSE)</f>
        <v>#N/A</v>
      </c>
      <c r="N275" s="245" t="e">
        <f>+VLOOKUP($E275,Primary!$1:$1048576,N$2,FALSE)</f>
        <v>#N/A</v>
      </c>
      <c r="O275" s="245" t="e">
        <f>+VLOOKUP($E275,Primary!$1:$1048576,O$2,FALSE)</f>
        <v>#N/A</v>
      </c>
      <c r="P275" s="245" t="e">
        <f>+VLOOKUP($E275,Primary!$1:$1048576,P$2,FALSE)</f>
        <v>#N/A</v>
      </c>
      <c r="Q275" s="245" t="e">
        <f>+VLOOKUP($E275,Primary!$1:$1048576,Q$2,FALSE)</f>
        <v>#N/A</v>
      </c>
      <c r="R275" s="245" t="e">
        <f>+VLOOKUP($E275,Primary!$1:$1048576,R$2,FALSE)</f>
        <v>#N/A</v>
      </c>
      <c r="S275" s="245" t="e">
        <f>+VLOOKUP($E275,Primary!$1:$1048576,S$2,FALSE)</f>
        <v>#N/A</v>
      </c>
      <c r="T275" s="245" t="e">
        <f>+VLOOKUP($E275,Primary!$1:$1048576,T$2,FALSE)</f>
        <v>#N/A</v>
      </c>
      <c r="U275" s="245" t="e">
        <f>+VLOOKUP($E275,Primary!$1:$1048576,U$2,FALSE)</f>
        <v>#N/A</v>
      </c>
      <c r="V275" s="245" t="e">
        <f>+VLOOKUP($E275,Primary!$1:$1048576,V$2,FALSE)</f>
        <v>#N/A</v>
      </c>
      <c r="W275" s="245" t="e">
        <f>+VLOOKUP($E275,Primary!$1:$1048576,W$2,FALSE)</f>
        <v>#N/A</v>
      </c>
      <c r="X275" s="245" t="e">
        <f>+VLOOKUP($E275,Primary!$1:$1048576,X$2,FALSE)</f>
        <v>#N/A</v>
      </c>
      <c r="Y275" s="245" t="e">
        <f>+VLOOKUP($E275,Primary!$1:$1048576,Y$2,FALSE)</f>
        <v>#N/A</v>
      </c>
      <c r="Z275" s="245" t="e">
        <f>+VLOOKUP($E275,Primary!$1:$1048576,Z$2,FALSE)</f>
        <v>#N/A</v>
      </c>
      <c r="AA275" s="245" t="e">
        <f>+VLOOKUP($E275,Primary!$1:$1048576,AA$2,FALSE)</f>
        <v>#N/A</v>
      </c>
      <c r="AB275" s="245" t="e">
        <f>+VLOOKUP($E275,Primary!$1:$1048576,AB$2,FALSE)</f>
        <v>#N/A</v>
      </c>
      <c r="AC275" s="245" t="e">
        <f>+VLOOKUP($E275,Primary!$1:$1048576,AC$2,FALSE)</f>
        <v>#N/A</v>
      </c>
      <c r="AD275" s="245" t="e">
        <f>+VLOOKUP($E275,Primary!$1:$1048576,AD$2,FALSE)</f>
        <v>#N/A</v>
      </c>
      <c r="AE275" s="245" t="e">
        <f>+VLOOKUP($E275,Primary!$1:$1048576,AE$2,FALSE)</f>
        <v>#N/A</v>
      </c>
      <c r="AF275" s="245" t="e">
        <f>+VLOOKUP($E275,Primary!$1:$1048576,AF$2,FALSE)</f>
        <v>#N/A</v>
      </c>
      <c r="AG275" s="245" t="e">
        <f>+VLOOKUP($E275,Primary!$1:$1048576,AG$2,FALSE)</f>
        <v>#N/A</v>
      </c>
      <c r="AH275" s="245" t="e">
        <f>+VLOOKUP($E275,Primary!$1:$1048576,AH$2,FALSE)</f>
        <v>#N/A</v>
      </c>
      <c r="AI275" s="245" t="e">
        <f>+VLOOKUP($E275,Primary!$1:$1048576,AI$2,FALSE)</f>
        <v>#N/A</v>
      </c>
      <c r="AJ275" s="245" t="e">
        <f>+VLOOKUP($E275,Primary!$1:$1048576,AJ$2,FALSE)</f>
        <v>#N/A</v>
      </c>
      <c r="AK275" s="245" t="e">
        <f>+VLOOKUP($E275,Primary!$1:$1048576,AK$2,FALSE)</f>
        <v>#N/A</v>
      </c>
      <c r="AL275" s="245" t="e">
        <f>+VLOOKUP($E275,Primary!$1:$1048576,AL$2,FALSE)</f>
        <v>#N/A</v>
      </c>
      <c r="AM275" s="245" t="e">
        <f>+VLOOKUP($E275,Primary!$1:$1048576,AM$2,FALSE)</f>
        <v>#N/A</v>
      </c>
      <c r="AN275" s="245" t="e">
        <f>+VLOOKUP($E275,Primary!$1:$1048576,AN$2,FALSE)</f>
        <v>#N/A</v>
      </c>
      <c r="AO275" s="245" t="e">
        <f>+VLOOKUP($E275,Primary!$1:$1048576,AO$2,FALSE)</f>
        <v>#N/A</v>
      </c>
      <c r="AP275" s="73"/>
      <c r="AQ275" s="73"/>
    </row>
    <row r="276" spans="1:43" ht="15" customHeight="1" x14ac:dyDescent="0.25">
      <c r="A276" s="324"/>
      <c r="B276" s="326" t="s">
        <v>168</v>
      </c>
      <c r="C276" s="135" t="s">
        <v>169</v>
      </c>
      <c r="D276" s="135"/>
      <c r="E276" s="51"/>
      <c r="F276" s="208"/>
    </row>
    <row r="277" spans="1:43" ht="15" customHeight="1" x14ac:dyDescent="0.25">
      <c r="A277" s="324"/>
      <c r="B277" s="326"/>
      <c r="C277" s="135" t="s">
        <v>170</v>
      </c>
      <c r="D277" s="135"/>
      <c r="E277" s="51"/>
    </row>
    <row r="278" spans="1:43" ht="15" customHeight="1" x14ac:dyDescent="0.25">
      <c r="A278" s="324"/>
      <c r="B278" s="326"/>
      <c r="C278" s="135" t="s">
        <v>171</v>
      </c>
      <c r="D278" s="135"/>
      <c r="E278" s="51"/>
    </row>
    <row r="279" spans="1:43" ht="15" customHeight="1" x14ac:dyDescent="0.25">
      <c r="A279" s="324"/>
      <c r="B279" s="326"/>
      <c r="C279" s="135" t="s">
        <v>164</v>
      </c>
      <c r="D279" s="135"/>
      <c r="E279" s="51"/>
    </row>
    <row r="280" spans="1:43" s="111" customFormat="1" ht="15" customHeight="1" x14ac:dyDescent="0.25">
      <c r="A280" s="324"/>
      <c r="B280" s="314" t="s">
        <v>1068</v>
      </c>
      <c r="C280" s="126" t="s">
        <v>772</v>
      </c>
      <c r="D280" s="126"/>
      <c r="E280" s="92" t="s">
        <v>1032</v>
      </c>
    </row>
    <row r="281" spans="1:43" s="111" customFormat="1" ht="15" customHeight="1" x14ac:dyDescent="0.25">
      <c r="A281" s="324"/>
      <c r="B281" s="314"/>
      <c r="C281" s="126" t="s">
        <v>571</v>
      </c>
      <c r="D281" s="126"/>
      <c r="E281" s="92" t="s">
        <v>1035</v>
      </c>
    </row>
    <row r="282" spans="1:43" s="111" customFormat="1" ht="15" customHeight="1" x14ac:dyDescent="0.25">
      <c r="A282" s="324"/>
      <c r="B282" s="314"/>
      <c r="C282" s="126" t="s">
        <v>572</v>
      </c>
      <c r="D282" s="126"/>
      <c r="E282" s="92" t="s">
        <v>1036</v>
      </c>
    </row>
    <row r="283" spans="1:43" s="111" customFormat="1" ht="15" customHeight="1" x14ac:dyDescent="0.25">
      <c r="A283" s="324"/>
      <c r="B283" s="314"/>
      <c r="C283" s="126" t="s">
        <v>561</v>
      </c>
      <c r="D283" s="126"/>
      <c r="E283" s="92" t="s">
        <v>1037</v>
      </c>
    </row>
    <row r="284" spans="1:43" ht="15" customHeight="1" x14ac:dyDescent="0.25">
      <c r="A284" s="324"/>
      <c r="B284" s="314"/>
      <c r="C284" s="127"/>
      <c r="D284" s="127" t="s">
        <v>539</v>
      </c>
      <c r="E284" s="47" t="s">
        <v>1038</v>
      </c>
    </row>
    <row r="285" spans="1:43" ht="15" customHeight="1" x14ac:dyDescent="0.25">
      <c r="A285" s="324"/>
      <c r="B285" s="314"/>
      <c r="C285" s="127"/>
      <c r="D285" s="127" t="s">
        <v>567</v>
      </c>
      <c r="E285" s="47" t="s">
        <v>1039</v>
      </c>
    </row>
    <row r="286" spans="1:43" s="111" customFormat="1" ht="15" customHeight="1" x14ac:dyDescent="0.25">
      <c r="A286" s="324"/>
      <c r="B286" s="314"/>
      <c r="C286" s="126" t="s">
        <v>562</v>
      </c>
      <c r="D286" s="126"/>
      <c r="E286" s="92" t="s">
        <v>1040</v>
      </c>
    </row>
    <row r="287" spans="1:43" ht="15" customHeight="1" x14ac:dyDescent="0.25">
      <c r="A287" s="324"/>
      <c r="B287" s="314"/>
      <c r="C287" s="127"/>
      <c r="D287" s="127" t="s">
        <v>539</v>
      </c>
      <c r="E287" s="47" t="s">
        <v>1041</v>
      </c>
    </row>
    <row r="288" spans="1:43" ht="15" customHeight="1" x14ac:dyDescent="0.25">
      <c r="A288" s="324"/>
      <c r="B288" s="314"/>
      <c r="C288" s="127"/>
      <c r="D288" s="127" t="s">
        <v>567</v>
      </c>
      <c r="E288" s="47" t="s">
        <v>1042</v>
      </c>
    </row>
    <row r="289" spans="1:10" s="111" customFormat="1" ht="15" customHeight="1" x14ac:dyDescent="0.25">
      <c r="A289" s="324"/>
      <c r="B289" s="314"/>
      <c r="C289" s="126" t="s">
        <v>563</v>
      </c>
      <c r="D289" s="126"/>
      <c r="E289" s="92" t="s">
        <v>1043</v>
      </c>
    </row>
    <row r="290" spans="1:10" s="73" customFormat="1" ht="15" customHeight="1" x14ac:dyDescent="0.25">
      <c r="A290" s="324"/>
      <c r="B290" s="314"/>
      <c r="C290" s="126"/>
      <c r="D290" s="127" t="s">
        <v>568</v>
      </c>
      <c r="E290" s="79" t="s">
        <v>1045</v>
      </c>
    </row>
    <row r="291" spans="1:10" s="73" customFormat="1" ht="15" customHeight="1" x14ac:dyDescent="0.25">
      <c r="A291" s="324"/>
      <c r="B291" s="314"/>
      <c r="C291" s="126"/>
      <c r="D291" s="127" t="s">
        <v>569</v>
      </c>
      <c r="E291" s="79" t="s">
        <v>1046</v>
      </c>
    </row>
    <row r="292" spans="1:10" s="111" customFormat="1" ht="15" customHeight="1" x14ac:dyDescent="0.25">
      <c r="A292" s="324"/>
      <c r="B292" s="314"/>
      <c r="C292" s="126" t="s">
        <v>564</v>
      </c>
      <c r="D292" s="126"/>
      <c r="E292" s="92" t="s">
        <v>1044</v>
      </c>
    </row>
    <row r="293" spans="1:10" ht="15" customHeight="1" x14ac:dyDescent="0.25">
      <c r="A293" s="324"/>
      <c r="B293" s="314"/>
      <c r="C293" s="127"/>
      <c r="D293" s="127" t="s">
        <v>172</v>
      </c>
      <c r="E293" s="47" t="s">
        <v>1047</v>
      </c>
      <c r="J293" s="73"/>
    </row>
    <row r="294" spans="1:10" ht="15" customHeight="1" x14ac:dyDescent="0.25">
      <c r="A294" s="324"/>
      <c r="B294" s="314"/>
      <c r="C294" s="127"/>
      <c r="D294" s="127" t="s">
        <v>173</v>
      </c>
      <c r="E294" s="79" t="s">
        <v>1048</v>
      </c>
      <c r="J294" s="73"/>
    </row>
    <row r="295" spans="1:10" ht="15" customHeight="1" x14ac:dyDescent="0.25">
      <c r="A295" s="324"/>
      <c r="B295" s="314"/>
      <c r="C295" s="127"/>
      <c r="D295" s="127" t="s">
        <v>174</v>
      </c>
      <c r="E295" s="79" t="s">
        <v>1049</v>
      </c>
      <c r="J295" s="73"/>
    </row>
    <row r="296" spans="1:10" ht="15" customHeight="1" x14ac:dyDescent="0.25">
      <c r="A296" s="324"/>
      <c r="B296" s="314"/>
      <c r="C296" s="127"/>
      <c r="D296" s="127" t="s">
        <v>175</v>
      </c>
      <c r="E296" s="79" t="s">
        <v>1050</v>
      </c>
      <c r="J296" s="73"/>
    </row>
    <row r="297" spans="1:10" ht="15" customHeight="1" x14ac:dyDescent="0.25">
      <c r="A297" s="324"/>
      <c r="B297" s="314"/>
      <c r="C297" s="127"/>
      <c r="D297" s="127" t="s">
        <v>176</v>
      </c>
      <c r="E297" s="79" t="s">
        <v>1051</v>
      </c>
      <c r="J297" s="73"/>
    </row>
    <row r="298" spans="1:10" ht="15" customHeight="1" x14ac:dyDescent="0.25">
      <c r="A298" s="324"/>
      <c r="B298" s="314"/>
      <c r="C298" s="127"/>
      <c r="D298" s="127" t="s">
        <v>177</v>
      </c>
      <c r="E298" s="79" t="s">
        <v>1052</v>
      </c>
      <c r="J298" s="73"/>
    </row>
    <row r="299" spans="1:10" ht="15" customHeight="1" x14ac:dyDescent="0.25">
      <c r="A299" s="324"/>
      <c r="B299" s="314"/>
      <c r="C299" s="127"/>
      <c r="D299" s="127" t="s">
        <v>570</v>
      </c>
      <c r="E299" s="79" t="s">
        <v>1053</v>
      </c>
      <c r="J299" s="73"/>
    </row>
    <row r="300" spans="1:10" ht="15" customHeight="1" x14ac:dyDescent="0.25">
      <c r="A300" s="324"/>
      <c r="B300" s="314"/>
      <c r="C300" s="127"/>
      <c r="D300" s="127" t="s">
        <v>501</v>
      </c>
      <c r="E300" s="79" t="s">
        <v>1054</v>
      </c>
      <c r="J300" s="73"/>
    </row>
    <row r="301" spans="1:10" s="73" customFormat="1" ht="15" customHeight="1" x14ac:dyDescent="0.25">
      <c r="A301" s="324"/>
      <c r="B301" s="314"/>
      <c r="C301" s="127"/>
      <c r="D301" s="127" t="s">
        <v>502</v>
      </c>
      <c r="E301" s="79" t="s">
        <v>1055</v>
      </c>
    </row>
    <row r="302" spans="1:10" s="111" customFormat="1" ht="15" customHeight="1" x14ac:dyDescent="0.25">
      <c r="A302" s="324"/>
      <c r="B302" s="314"/>
      <c r="C302" s="126" t="s">
        <v>565</v>
      </c>
      <c r="D302" s="126"/>
      <c r="E302" s="92" t="s">
        <v>1065</v>
      </c>
    </row>
    <row r="303" spans="1:10" s="73" customFormat="1" ht="15" customHeight="1" x14ac:dyDescent="0.25">
      <c r="A303" s="324"/>
      <c r="B303" s="314"/>
      <c r="C303" s="127"/>
      <c r="D303" s="127" t="s">
        <v>172</v>
      </c>
      <c r="E303" s="79" t="s">
        <v>1056</v>
      </c>
    </row>
    <row r="304" spans="1:10" s="73" customFormat="1" ht="15" customHeight="1" x14ac:dyDescent="0.25">
      <c r="A304" s="324"/>
      <c r="B304" s="314"/>
      <c r="C304" s="127"/>
      <c r="D304" s="127" t="s">
        <v>173</v>
      </c>
      <c r="E304" s="79" t="s">
        <v>1057</v>
      </c>
    </row>
    <row r="305" spans="1:5" s="73" customFormat="1" ht="15" customHeight="1" x14ac:dyDescent="0.25">
      <c r="A305" s="324"/>
      <c r="B305" s="314"/>
      <c r="C305" s="127"/>
      <c r="D305" s="127" t="s">
        <v>174</v>
      </c>
      <c r="E305" s="79" t="s">
        <v>1058</v>
      </c>
    </row>
    <row r="306" spans="1:5" s="73" customFormat="1" ht="15" customHeight="1" x14ac:dyDescent="0.25">
      <c r="A306" s="324"/>
      <c r="B306" s="314"/>
      <c r="C306" s="127"/>
      <c r="D306" s="127" t="s">
        <v>175</v>
      </c>
      <c r="E306" s="79" t="s">
        <v>1059</v>
      </c>
    </row>
    <row r="307" spans="1:5" s="73" customFormat="1" ht="15" customHeight="1" x14ac:dyDescent="0.25">
      <c r="A307" s="324"/>
      <c r="B307" s="314"/>
      <c r="C307" s="127"/>
      <c r="D307" s="127" t="s">
        <v>176</v>
      </c>
      <c r="E307" s="79" t="s">
        <v>1060</v>
      </c>
    </row>
    <row r="308" spans="1:5" s="73" customFormat="1" ht="15" customHeight="1" x14ac:dyDescent="0.25">
      <c r="A308" s="324"/>
      <c r="B308" s="314"/>
      <c r="C308" s="127"/>
      <c r="D308" s="127" t="s">
        <v>177</v>
      </c>
      <c r="E308" s="79" t="s">
        <v>1061</v>
      </c>
    </row>
    <row r="309" spans="1:5" s="73" customFormat="1" ht="15" customHeight="1" x14ac:dyDescent="0.25">
      <c r="A309" s="324"/>
      <c r="B309" s="314"/>
      <c r="C309" s="127"/>
      <c r="D309" s="127" t="s">
        <v>570</v>
      </c>
      <c r="E309" s="79" t="s">
        <v>1062</v>
      </c>
    </row>
    <row r="310" spans="1:5" s="73" customFormat="1" ht="15" customHeight="1" x14ac:dyDescent="0.25">
      <c r="A310" s="324"/>
      <c r="B310" s="314"/>
      <c r="C310" s="127"/>
      <c r="D310" s="127" t="s">
        <v>501</v>
      </c>
      <c r="E310" s="79" t="s">
        <v>1063</v>
      </c>
    </row>
    <row r="311" spans="1:5" s="73" customFormat="1" ht="15" customHeight="1" x14ac:dyDescent="0.25">
      <c r="A311" s="324"/>
      <c r="B311" s="314"/>
      <c r="C311" s="127"/>
      <c r="D311" s="127" t="s">
        <v>502</v>
      </c>
      <c r="E311" s="79" t="s">
        <v>1064</v>
      </c>
    </row>
    <row r="312" spans="1:5" s="111" customFormat="1" ht="15" customHeight="1" x14ac:dyDescent="0.25">
      <c r="A312" s="324"/>
      <c r="B312" s="314"/>
      <c r="C312" s="126" t="s">
        <v>573</v>
      </c>
      <c r="D312" s="126"/>
      <c r="E312" s="92" t="s">
        <v>1066</v>
      </c>
    </row>
    <row r="313" spans="1:5" s="111" customFormat="1" ht="15" customHeight="1" x14ac:dyDescent="0.25">
      <c r="A313" s="324"/>
      <c r="B313" s="314"/>
      <c r="C313" s="151" t="s">
        <v>574</v>
      </c>
      <c r="D313" s="151"/>
      <c r="E313" s="152" t="s">
        <v>1067</v>
      </c>
    </row>
    <row r="314" spans="1:5" s="111" customFormat="1" ht="15" customHeight="1" x14ac:dyDescent="0.25">
      <c r="A314" s="324"/>
      <c r="B314" s="314"/>
      <c r="C314" s="126" t="s">
        <v>817</v>
      </c>
      <c r="D314" s="126"/>
      <c r="E314" s="92" t="s">
        <v>1069</v>
      </c>
    </row>
    <row r="315" spans="1:5" s="111" customFormat="1" ht="15" customHeight="1" x14ac:dyDescent="0.25">
      <c r="A315" s="324"/>
      <c r="B315" s="314"/>
      <c r="C315" s="126" t="s">
        <v>599</v>
      </c>
      <c r="D315" s="126"/>
      <c r="E315" s="92" t="s">
        <v>1070</v>
      </c>
    </row>
    <row r="316" spans="1:5" s="111" customFormat="1" ht="15" customHeight="1" x14ac:dyDescent="0.25">
      <c r="A316" s="324"/>
      <c r="B316" s="314"/>
      <c r="C316" s="126" t="s">
        <v>600</v>
      </c>
      <c r="D316" s="126"/>
      <c r="E316" s="92" t="s">
        <v>1071</v>
      </c>
    </row>
    <row r="317" spans="1:5" s="111" customFormat="1" ht="15" customHeight="1" x14ac:dyDescent="0.25">
      <c r="A317" s="324"/>
      <c r="B317" s="314"/>
      <c r="C317" s="126" t="s">
        <v>512</v>
      </c>
      <c r="D317" s="126"/>
      <c r="E317" s="92" t="s">
        <v>1072</v>
      </c>
    </row>
    <row r="318" spans="1:5" s="73" customFormat="1" ht="15" customHeight="1" x14ac:dyDescent="0.25">
      <c r="A318" s="324"/>
      <c r="B318" s="314"/>
      <c r="C318" s="127"/>
      <c r="D318" s="127" t="s">
        <v>539</v>
      </c>
      <c r="E318" s="79" t="s">
        <v>1073</v>
      </c>
    </row>
    <row r="319" spans="1:5" s="73" customFormat="1" ht="15" customHeight="1" x14ac:dyDescent="0.25">
      <c r="A319" s="324"/>
      <c r="B319" s="314"/>
      <c r="C319" s="127"/>
      <c r="D319" s="127" t="s">
        <v>567</v>
      </c>
      <c r="E319" s="79" t="s">
        <v>1074</v>
      </c>
    </row>
    <row r="320" spans="1:5" s="111" customFormat="1" ht="15" customHeight="1" x14ac:dyDescent="0.25">
      <c r="A320" s="324"/>
      <c r="B320" s="314"/>
      <c r="C320" s="126" t="s">
        <v>513</v>
      </c>
      <c r="D320" s="126"/>
      <c r="E320" s="92" t="s">
        <v>1075</v>
      </c>
    </row>
    <row r="321" spans="1:5" s="73" customFormat="1" ht="15" customHeight="1" x14ac:dyDescent="0.25">
      <c r="A321" s="324"/>
      <c r="B321" s="314"/>
      <c r="C321" s="127"/>
      <c r="D321" s="127" t="s">
        <v>539</v>
      </c>
      <c r="E321" s="79" t="s">
        <v>1076</v>
      </c>
    </row>
    <row r="322" spans="1:5" s="73" customFormat="1" ht="15" customHeight="1" x14ac:dyDescent="0.25">
      <c r="A322" s="324"/>
      <c r="B322" s="314"/>
      <c r="C322" s="127"/>
      <c r="D322" s="127" t="s">
        <v>567</v>
      </c>
      <c r="E322" s="79" t="s">
        <v>1077</v>
      </c>
    </row>
    <row r="323" spans="1:5" s="111" customFormat="1" ht="15" customHeight="1" x14ac:dyDescent="0.25">
      <c r="A323" s="324"/>
      <c r="B323" s="314"/>
      <c r="C323" s="126" t="s">
        <v>514</v>
      </c>
      <c r="D323" s="126"/>
      <c r="E323" s="92" t="s">
        <v>1078</v>
      </c>
    </row>
    <row r="324" spans="1:5" s="73" customFormat="1" ht="15" customHeight="1" x14ac:dyDescent="0.25">
      <c r="A324" s="324"/>
      <c r="B324" s="314"/>
      <c r="C324" s="126"/>
      <c r="D324" s="127" t="s">
        <v>568</v>
      </c>
      <c r="E324" s="79" t="s">
        <v>1079</v>
      </c>
    </row>
    <row r="325" spans="1:5" s="73" customFormat="1" ht="15" customHeight="1" x14ac:dyDescent="0.25">
      <c r="A325" s="324"/>
      <c r="B325" s="314"/>
      <c r="C325" s="126"/>
      <c r="D325" s="127" t="s">
        <v>569</v>
      </c>
      <c r="E325" s="79" t="s">
        <v>1080</v>
      </c>
    </row>
    <row r="326" spans="1:5" s="111" customFormat="1" ht="15" customHeight="1" x14ac:dyDescent="0.25">
      <c r="A326" s="324"/>
      <c r="B326" s="314"/>
      <c r="C326" s="126" t="s">
        <v>515</v>
      </c>
      <c r="D326" s="126"/>
      <c r="E326" s="92" t="s">
        <v>1081</v>
      </c>
    </row>
    <row r="327" spans="1:5" s="73" customFormat="1" ht="15" customHeight="1" x14ac:dyDescent="0.25">
      <c r="A327" s="324"/>
      <c r="B327" s="314"/>
      <c r="C327" s="127"/>
      <c r="D327" s="127" t="s">
        <v>172</v>
      </c>
      <c r="E327" s="79" t="s">
        <v>1082</v>
      </c>
    </row>
    <row r="328" spans="1:5" s="73" customFormat="1" ht="15" customHeight="1" x14ac:dyDescent="0.25">
      <c r="A328" s="324"/>
      <c r="B328" s="314"/>
      <c r="C328" s="127"/>
      <c r="D328" s="127" t="s">
        <v>173</v>
      </c>
      <c r="E328" s="79" t="s">
        <v>1083</v>
      </c>
    </row>
    <row r="329" spans="1:5" s="73" customFormat="1" ht="15" customHeight="1" x14ac:dyDescent="0.25">
      <c r="A329" s="324"/>
      <c r="B329" s="314"/>
      <c r="C329" s="127"/>
      <c r="D329" s="127" t="s">
        <v>174</v>
      </c>
      <c r="E329" s="79" t="s">
        <v>1084</v>
      </c>
    </row>
    <row r="330" spans="1:5" s="73" customFormat="1" ht="15" customHeight="1" x14ac:dyDescent="0.25">
      <c r="A330" s="324"/>
      <c r="B330" s="314"/>
      <c r="C330" s="127"/>
      <c r="D330" s="127" t="s">
        <v>175</v>
      </c>
      <c r="E330" s="79" t="s">
        <v>1085</v>
      </c>
    </row>
    <row r="331" spans="1:5" s="73" customFormat="1" ht="15" customHeight="1" x14ac:dyDescent="0.25">
      <c r="A331" s="324"/>
      <c r="B331" s="314"/>
      <c r="C331" s="127"/>
      <c r="D331" s="127" t="s">
        <v>176</v>
      </c>
      <c r="E331" s="79" t="s">
        <v>1086</v>
      </c>
    </row>
    <row r="332" spans="1:5" s="73" customFormat="1" ht="15" customHeight="1" x14ac:dyDescent="0.25">
      <c r="A332" s="324"/>
      <c r="B332" s="314"/>
      <c r="C332" s="127"/>
      <c r="D332" s="127" t="s">
        <v>177</v>
      </c>
      <c r="E332" s="79" t="s">
        <v>1087</v>
      </c>
    </row>
    <row r="333" spans="1:5" s="73" customFormat="1" ht="15" customHeight="1" x14ac:dyDescent="0.25">
      <c r="A333" s="324"/>
      <c r="B333" s="314"/>
      <c r="C333" s="127"/>
      <c r="D333" s="127" t="s">
        <v>570</v>
      </c>
      <c r="E333" s="79" t="s">
        <v>1088</v>
      </c>
    </row>
    <row r="334" spans="1:5" s="73" customFormat="1" ht="15" customHeight="1" x14ac:dyDescent="0.25">
      <c r="A334" s="324"/>
      <c r="B334" s="314"/>
      <c r="C334" s="127"/>
      <c r="D334" s="127" t="s">
        <v>501</v>
      </c>
      <c r="E334" s="79" t="s">
        <v>1089</v>
      </c>
    </row>
    <row r="335" spans="1:5" s="73" customFormat="1" ht="15" customHeight="1" x14ac:dyDescent="0.25">
      <c r="A335" s="324"/>
      <c r="B335" s="314"/>
      <c r="C335" s="127"/>
      <c r="D335" s="127" t="s">
        <v>502</v>
      </c>
      <c r="E335" s="79" t="s">
        <v>1090</v>
      </c>
    </row>
    <row r="336" spans="1:5" s="111" customFormat="1" ht="15" customHeight="1" x14ac:dyDescent="0.25">
      <c r="A336" s="324"/>
      <c r="B336" s="314"/>
      <c r="C336" s="126" t="s">
        <v>516</v>
      </c>
      <c r="D336" s="126"/>
      <c r="E336" s="92" t="s">
        <v>1091</v>
      </c>
    </row>
    <row r="337" spans="1:5" s="73" customFormat="1" ht="15" customHeight="1" x14ac:dyDescent="0.25">
      <c r="A337" s="324"/>
      <c r="B337" s="314"/>
      <c r="C337" s="127"/>
      <c r="D337" s="127" t="s">
        <v>172</v>
      </c>
      <c r="E337" s="79" t="s">
        <v>1092</v>
      </c>
    </row>
    <row r="338" spans="1:5" s="73" customFormat="1" ht="15" customHeight="1" x14ac:dyDescent="0.25">
      <c r="A338" s="324"/>
      <c r="B338" s="314"/>
      <c r="C338" s="127"/>
      <c r="D338" s="127" t="s">
        <v>173</v>
      </c>
      <c r="E338" s="79" t="s">
        <v>1093</v>
      </c>
    </row>
    <row r="339" spans="1:5" s="73" customFormat="1" ht="15" customHeight="1" x14ac:dyDescent="0.25">
      <c r="A339" s="324"/>
      <c r="B339" s="314"/>
      <c r="C339" s="127"/>
      <c r="D339" s="127" t="s">
        <v>174</v>
      </c>
      <c r="E339" s="79" t="s">
        <v>1094</v>
      </c>
    </row>
    <row r="340" spans="1:5" s="73" customFormat="1" ht="15" customHeight="1" x14ac:dyDescent="0.25">
      <c r="A340" s="324"/>
      <c r="B340" s="314"/>
      <c r="C340" s="127"/>
      <c r="D340" s="127" t="s">
        <v>175</v>
      </c>
      <c r="E340" s="79" t="s">
        <v>1095</v>
      </c>
    </row>
    <row r="341" spans="1:5" s="73" customFormat="1" ht="15" customHeight="1" x14ac:dyDescent="0.25">
      <c r="A341" s="324"/>
      <c r="B341" s="314"/>
      <c r="C341" s="127"/>
      <c r="D341" s="127" t="s">
        <v>176</v>
      </c>
      <c r="E341" s="79" t="s">
        <v>1096</v>
      </c>
    </row>
    <row r="342" spans="1:5" s="73" customFormat="1" ht="15" customHeight="1" x14ac:dyDescent="0.25">
      <c r="A342" s="324"/>
      <c r="B342" s="314"/>
      <c r="C342" s="127"/>
      <c r="D342" s="127" t="s">
        <v>177</v>
      </c>
      <c r="E342" s="79" t="s">
        <v>1097</v>
      </c>
    </row>
    <row r="343" spans="1:5" s="73" customFormat="1" ht="15" customHeight="1" x14ac:dyDescent="0.25">
      <c r="A343" s="324"/>
      <c r="B343" s="314"/>
      <c r="C343" s="127"/>
      <c r="D343" s="127" t="s">
        <v>570</v>
      </c>
      <c r="E343" s="79" t="s">
        <v>1098</v>
      </c>
    </row>
    <row r="344" spans="1:5" s="73" customFormat="1" ht="15" customHeight="1" x14ac:dyDescent="0.25">
      <c r="A344" s="324"/>
      <c r="B344" s="314"/>
      <c r="C344" s="127"/>
      <c r="D344" s="127" t="s">
        <v>501</v>
      </c>
      <c r="E344" s="79" t="s">
        <v>1099</v>
      </c>
    </row>
    <row r="345" spans="1:5" s="73" customFormat="1" ht="15" customHeight="1" x14ac:dyDescent="0.25">
      <c r="A345" s="324"/>
      <c r="B345" s="314"/>
      <c r="C345" s="127"/>
      <c r="D345" s="127" t="s">
        <v>502</v>
      </c>
      <c r="E345" s="79" t="s">
        <v>1100</v>
      </c>
    </row>
    <row r="346" spans="1:5" s="111" customFormat="1" ht="15" customHeight="1" x14ac:dyDescent="0.25">
      <c r="A346" s="324"/>
      <c r="B346" s="314"/>
      <c r="C346" s="126" t="s">
        <v>601</v>
      </c>
      <c r="D346" s="126"/>
      <c r="E346" s="92" t="s">
        <v>1101</v>
      </c>
    </row>
    <row r="347" spans="1:5" s="111" customFormat="1" ht="15" customHeight="1" x14ac:dyDescent="0.25">
      <c r="A347" s="324"/>
      <c r="B347" s="314"/>
      <c r="C347" s="126" t="s">
        <v>602</v>
      </c>
      <c r="D347" s="126"/>
      <c r="E347" s="92" t="s">
        <v>1102</v>
      </c>
    </row>
    <row r="348" spans="1:5" s="111" customFormat="1" ht="15" customHeight="1" x14ac:dyDescent="0.25">
      <c r="A348" s="324"/>
      <c r="B348" s="327" t="s">
        <v>1217</v>
      </c>
      <c r="C348" s="155" t="s">
        <v>1103</v>
      </c>
      <c r="D348" s="155"/>
      <c r="E348" s="93" t="s">
        <v>1114</v>
      </c>
    </row>
    <row r="349" spans="1:5" ht="15" customHeight="1" x14ac:dyDescent="0.25">
      <c r="A349" s="324"/>
      <c r="B349" s="327"/>
      <c r="C349" s="155"/>
      <c r="D349" s="153" t="s">
        <v>1107</v>
      </c>
      <c r="E349" s="80" t="s">
        <v>1115</v>
      </c>
    </row>
    <row r="350" spans="1:5" ht="15" customHeight="1" x14ac:dyDescent="0.25">
      <c r="A350" s="324"/>
      <c r="B350" s="327"/>
      <c r="C350" s="153"/>
      <c r="D350" s="153" t="s">
        <v>1108</v>
      </c>
      <c r="E350" s="80" t="s">
        <v>1116</v>
      </c>
    </row>
    <row r="351" spans="1:5" ht="15" customHeight="1" x14ac:dyDescent="0.25">
      <c r="A351" s="324"/>
      <c r="B351" s="327"/>
      <c r="C351" s="153"/>
      <c r="D351" s="153" t="s">
        <v>1109</v>
      </c>
      <c r="E351" s="80" t="s">
        <v>1117</v>
      </c>
    </row>
    <row r="352" spans="1:5" ht="15" customHeight="1" x14ac:dyDescent="0.25">
      <c r="A352" s="324"/>
      <c r="B352" s="327"/>
      <c r="C352" s="153"/>
      <c r="D352" s="153" t="s">
        <v>1110</v>
      </c>
      <c r="E352" s="80" t="s">
        <v>1118</v>
      </c>
    </row>
    <row r="353" spans="1:13" s="73" customFormat="1" ht="15" customHeight="1" x14ac:dyDescent="0.25">
      <c r="A353" s="324"/>
      <c r="B353" s="327"/>
      <c r="C353" s="153"/>
      <c r="D353" s="153" t="s">
        <v>1111</v>
      </c>
      <c r="E353" s="80" t="s">
        <v>1119</v>
      </c>
    </row>
    <row r="354" spans="1:13" s="73" customFormat="1" ht="15" customHeight="1" x14ac:dyDescent="0.25">
      <c r="A354" s="324"/>
      <c r="B354" s="327"/>
      <c r="C354" s="153"/>
      <c r="D354" s="153" t="s">
        <v>1112</v>
      </c>
      <c r="E354" s="80" t="s">
        <v>1120</v>
      </c>
    </row>
    <row r="355" spans="1:13" s="111" customFormat="1" ht="15" customHeight="1" x14ac:dyDescent="0.25">
      <c r="A355" s="324"/>
      <c r="B355" s="327"/>
      <c r="C355" s="155" t="s">
        <v>1104</v>
      </c>
      <c r="D355" s="155"/>
      <c r="E355" s="93" t="s">
        <v>1121</v>
      </c>
    </row>
    <row r="356" spans="1:13" ht="15" customHeight="1" x14ac:dyDescent="0.25">
      <c r="A356" s="324"/>
      <c r="B356" s="327"/>
      <c r="C356" s="153" t="s">
        <v>1126</v>
      </c>
      <c r="D356" s="153"/>
      <c r="E356" s="80" t="s">
        <v>1122</v>
      </c>
    </row>
    <row r="357" spans="1:13" ht="15" customHeight="1" x14ac:dyDescent="0.25">
      <c r="A357" s="324"/>
      <c r="B357" s="327"/>
      <c r="C357" s="153"/>
      <c r="D357" s="153" t="s">
        <v>1113</v>
      </c>
      <c r="E357" s="80" t="s">
        <v>1123</v>
      </c>
    </row>
    <row r="358" spans="1:13" ht="15" customHeight="1" x14ac:dyDescent="0.25">
      <c r="A358" s="324"/>
      <c r="B358" s="327"/>
      <c r="C358" s="153"/>
      <c r="D358" s="153" t="s">
        <v>1109</v>
      </c>
      <c r="E358" s="80" t="s">
        <v>1124</v>
      </c>
    </row>
    <row r="359" spans="1:13" ht="15" customHeight="1" x14ac:dyDescent="0.25">
      <c r="A359" s="324"/>
      <c r="B359" s="327"/>
      <c r="C359" s="153"/>
      <c r="D359" s="153" t="s">
        <v>1110</v>
      </c>
      <c r="E359" s="80" t="s">
        <v>1125</v>
      </c>
    </row>
    <row r="360" spans="1:13" ht="15" customHeight="1" x14ac:dyDescent="0.25">
      <c r="A360" s="324"/>
      <c r="B360" s="327"/>
      <c r="C360" s="153" t="s">
        <v>1127</v>
      </c>
      <c r="D360" s="153"/>
      <c r="E360" s="80" t="s">
        <v>1129</v>
      </c>
    </row>
    <row r="361" spans="1:13" ht="15" customHeight="1" x14ac:dyDescent="0.25">
      <c r="A361" s="324"/>
      <c r="B361" s="327"/>
      <c r="C361" s="153"/>
      <c r="D361" s="153" t="s">
        <v>1107</v>
      </c>
      <c r="E361" s="80" t="s">
        <v>1130</v>
      </c>
      <c r="M361" s="73"/>
    </row>
    <row r="362" spans="1:13" ht="15" customHeight="1" x14ac:dyDescent="0.25">
      <c r="A362" s="324"/>
      <c r="B362" s="327"/>
      <c r="C362" s="153"/>
      <c r="D362" s="153" t="s">
        <v>1113</v>
      </c>
      <c r="E362" s="80" t="s">
        <v>1131</v>
      </c>
      <c r="M362" s="73"/>
    </row>
    <row r="363" spans="1:13" ht="15" customHeight="1" x14ac:dyDescent="0.25">
      <c r="A363" s="324"/>
      <c r="B363" s="327"/>
      <c r="C363" s="153"/>
      <c r="D363" s="153" t="s">
        <v>1108</v>
      </c>
      <c r="E363" s="80" t="s">
        <v>1132</v>
      </c>
      <c r="M363" s="73"/>
    </row>
    <row r="364" spans="1:13" ht="15" customHeight="1" x14ac:dyDescent="0.25">
      <c r="A364" s="324"/>
      <c r="B364" s="327"/>
      <c r="C364" s="153"/>
      <c r="D364" s="153" t="s">
        <v>1109</v>
      </c>
      <c r="E364" s="80" t="s">
        <v>1133</v>
      </c>
      <c r="M364" s="73"/>
    </row>
    <row r="365" spans="1:13" s="73" customFormat="1" ht="15" customHeight="1" x14ac:dyDescent="0.25">
      <c r="A365" s="324"/>
      <c r="B365" s="327"/>
      <c r="C365" s="153"/>
      <c r="D365" s="153" t="s">
        <v>1110</v>
      </c>
      <c r="E365" s="80" t="s">
        <v>1134</v>
      </c>
    </row>
    <row r="366" spans="1:13" s="73" customFormat="1" ht="15" customHeight="1" x14ac:dyDescent="0.25">
      <c r="A366" s="324"/>
      <c r="B366" s="327"/>
      <c r="C366" s="153"/>
      <c r="D366" s="153" t="s">
        <v>1111</v>
      </c>
      <c r="E366" s="80" t="s">
        <v>1135</v>
      </c>
    </row>
    <row r="367" spans="1:13" s="73" customFormat="1" ht="15" customHeight="1" x14ac:dyDescent="0.25">
      <c r="A367" s="324"/>
      <c r="B367" s="327"/>
      <c r="C367" s="153"/>
      <c r="D367" s="153" t="s">
        <v>1112</v>
      </c>
      <c r="E367" s="80" t="s">
        <v>1136</v>
      </c>
    </row>
    <row r="368" spans="1:13" s="73" customFormat="1" ht="15" customHeight="1" x14ac:dyDescent="0.25">
      <c r="A368" s="324"/>
      <c r="B368" s="327"/>
      <c r="C368" s="153"/>
      <c r="D368" s="153" t="s">
        <v>1128</v>
      </c>
      <c r="E368" s="80" t="s">
        <v>1137</v>
      </c>
    </row>
    <row r="369" spans="1:13" s="111" customFormat="1" ht="15" customHeight="1" x14ac:dyDescent="0.25">
      <c r="A369" s="324"/>
      <c r="B369" s="327"/>
      <c r="C369" s="155" t="s">
        <v>1105</v>
      </c>
      <c r="D369" s="155"/>
      <c r="E369" s="93" t="s">
        <v>1146</v>
      </c>
      <c r="M369" s="73"/>
    </row>
    <row r="370" spans="1:13" s="73" customFormat="1" ht="15" customHeight="1" x14ac:dyDescent="0.25">
      <c r="A370" s="324"/>
      <c r="B370" s="327"/>
      <c r="C370" s="153"/>
      <c r="D370" s="153" t="s">
        <v>1107</v>
      </c>
      <c r="E370" s="80" t="s">
        <v>1138</v>
      </c>
    </row>
    <row r="371" spans="1:13" s="73" customFormat="1" ht="15" customHeight="1" x14ac:dyDescent="0.25">
      <c r="A371" s="324"/>
      <c r="B371" s="327"/>
      <c r="C371" s="153"/>
      <c r="D371" s="153" t="s">
        <v>1113</v>
      </c>
      <c r="E371" s="80" t="s">
        <v>1139</v>
      </c>
    </row>
    <row r="372" spans="1:13" s="73" customFormat="1" ht="15" customHeight="1" x14ac:dyDescent="0.25">
      <c r="A372" s="324"/>
      <c r="B372" s="327"/>
      <c r="C372" s="153"/>
      <c r="D372" s="153" t="s">
        <v>1108</v>
      </c>
      <c r="E372" s="80" t="s">
        <v>1140</v>
      </c>
    </row>
    <row r="373" spans="1:13" s="73" customFormat="1" ht="15" customHeight="1" x14ac:dyDescent="0.25">
      <c r="A373" s="324"/>
      <c r="B373" s="327"/>
      <c r="C373" s="153"/>
      <c r="D373" s="153" t="s">
        <v>1109</v>
      </c>
      <c r="E373" s="80" t="s">
        <v>1141</v>
      </c>
    </row>
    <row r="374" spans="1:13" s="73" customFormat="1" ht="15" customHeight="1" x14ac:dyDescent="0.25">
      <c r="A374" s="324"/>
      <c r="B374" s="327"/>
      <c r="C374" s="153"/>
      <c r="D374" s="153" t="s">
        <v>1110</v>
      </c>
      <c r="E374" s="80" t="s">
        <v>1142</v>
      </c>
    </row>
    <row r="375" spans="1:13" s="73" customFormat="1" ht="15" customHeight="1" x14ac:dyDescent="0.25">
      <c r="A375" s="324"/>
      <c r="B375" s="327"/>
      <c r="C375" s="153"/>
      <c r="D375" s="153" t="s">
        <v>1111</v>
      </c>
      <c r="E375" s="80" t="s">
        <v>1143</v>
      </c>
    </row>
    <row r="376" spans="1:13" s="73" customFormat="1" ht="15" customHeight="1" x14ac:dyDescent="0.25">
      <c r="A376" s="324"/>
      <c r="B376" s="327"/>
      <c r="C376" s="153"/>
      <c r="D376" s="153" t="s">
        <v>1112</v>
      </c>
      <c r="E376" s="80" t="s">
        <v>1144</v>
      </c>
    </row>
    <row r="377" spans="1:13" s="73" customFormat="1" ht="15" customHeight="1" x14ac:dyDescent="0.25">
      <c r="A377" s="324"/>
      <c r="B377" s="327"/>
      <c r="C377" s="153"/>
      <c r="D377" s="153" t="s">
        <v>1128</v>
      </c>
      <c r="E377" s="80" t="s">
        <v>1145</v>
      </c>
    </row>
    <row r="378" spans="1:13" s="111" customFormat="1" ht="15" customHeight="1" x14ac:dyDescent="0.25">
      <c r="A378" s="324"/>
      <c r="B378" s="327"/>
      <c r="C378" s="155" t="s">
        <v>1106</v>
      </c>
      <c r="D378" s="155"/>
      <c r="E378" s="93" t="s">
        <v>1147</v>
      </c>
    </row>
    <row r="379" spans="1:13" s="73" customFormat="1" ht="15" customHeight="1" x14ac:dyDescent="0.25">
      <c r="A379" s="324"/>
      <c r="B379" s="327"/>
      <c r="C379" s="153"/>
      <c r="D379" s="153" t="s">
        <v>1107</v>
      </c>
      <c r="E379" s="80" t="s">
        <v>1148</v>
      </c>
    </row>
    <row r="380" spans="1:13" s="73" customFormat="1" ht="15" customHeight="1" x14ac:dyDescent="0.25">
      <c r="A380" s="324"/>
      <c r="B380" s="327"/>
      <c r="C380" s="153"/>
      <c r="D380" s="153" t="s">
        <v>1113</v>
      </c>
      <c r="E380" s="80" t="s">
        <v>1149</v>
      </c>
    </row>
    <row r="381" spans="1:13" s="73" customFormat="1" ht="15" customHeight="1" x14ac:dyDescent="0.25">
      <c r="A381" s="324"/>
      <c r="B381" s="327"/>
      <c r="C381" s="153"/>
      <c r="D381" s="153" t="s">
        <v>1108</v>
      </c>
      <c r="E381" s="80" t="s">
        <v>1150</v>
      </c>
    </row>
    <row r="382" spans="1:13" s="73" customFormat="1" ht="15" customHeight="1" x14ac:dyDescent="0.25">
      <c r="A382" s="324"/>
      <c r="B382" s="327"/>
      <c r="C382" s="153"/>
      <c r="D382" s="153" t="s">
        <v>1109</v>
      </c>
      <c r="E382" s="80" t="s">
        <v>1151</v>
      </c>
    </row>
    <row r="383" spans="1:13" s="73" customFormat="1" ht="15" customHeight="1" x14ac:dyDescent="0.25">
      <c r="A383" s="324"/>
      <c r="B383" s="327"/>
      <c r="C383" s="153"/>
      <c r="D383" s="153" t="s">
        <v>1110</v>
      </c>
      <c r="E383" s="80" t="s">
        <v>1152</v>
      </c>
    </row>
    <row r="384" spans="1:13" s="73" customFormat="1" ht="15" customHeight="1" x14ac:dyDescent="0.25">
      <c r="A384" s="324"/>
      <c r="B384" s="327"/>
      <c r="C384" s="153"/>
      <c r="D384" s="153" t="s">
        <v>1111</v>
      </c>
      <c r="E384" s="80" t="s">
        <v>1153</v>
      </c>
    </row>
    <row r="385" spans="1:5" s="73" customFormat="1" ht="15" customHeight="1" x14ac:dyDescent="0.25">
      <c r="A385" s="324"/>
      <c r="B385" s="327"/>
      <c r="C385" s="153"/>
      <c r="D385" s="153" t="s">
        <v>1112</v>
      </c>
      <c r="E385" s="80" t="s">
        <v>1154</v>
      </c>
    </row>
    <row r="386" spans="1:5" s="73" customFormat="1" ht="15" customHeight="1" x14ac:dyDescent="0.25">
      <c r="A386" s="324"/>
      <c r="B386" s="327"/>
      <c r="C386" s="153"/>
      <c r="D386" s="153" t="s">
        <v>1128</v>
      </c>
      <c r="E386" s="80" t="s">
        <v>1155</v>
      </c>
    </row>
    <row r="387" spans="1:5" s="111" customFormat="1" ht="15" customHeight="1" x14ac:dyDescent="0.25">
      <c r="A387" s="324"/>
      <c r="B387" s="327"/>
      <c r="C387" s="155" t="s">
        <v>777</v>
      </c>
      <c r="D387" s="155"/>
      <c r="E387" s="93" t="s">
        <v>1156</v>
      </c>
    </row>
    <row r="388" spans="1:5" s="73" customFormat="1" ht="15" customHeight="1" x14ac:dyDescent="0.25">
      <c r="A388" s="324"/>
      <c r="B388" s="327"/>
      <c r="C388" s="153"/>
      <c r="D388" s="153" t="s">
        <v>1107</v>
      </c>
      <c r="E388" s="80" t="s">
        <v>1157</v>
      </c>
    </row>
    <row r="389" spans="1:5" s="73" customFormat="1" ht="15" customHeight="1" x14ac:dyDescent="0.25">
      <c r="A389" s="324"/>
      <c r="B389" s="327"/>
      <c r="C389" s="153"/>
      <c r="D389" s="153" t="s">
        <v>1113</v>
      </c>
      <c r="E389" s="80" t="s">
        <v>1158</v>
      </c>
    </row>
    <row r="390" spans="1:5" s="73" customFormat="1" ht="15" customHeight="1" x14ac:dyDescent="0.25">
      <c r="A390" s="324"/>
      <c r="B390" s="327"/>
      <c r="C390" s="153"/>
      <c r="D390" s="153" t="s">
        <v>1108</v>
      </c>
      <c r="E390" s="80" t="s">
        <v>1159</v>
      </c>
    </row>
    <row r="391" spans="1:5" s="73" customFormat="1" ht="15" customHeight="1" x14ac:dyDescent="0.25">
      <c r="A391" s="324"/>
      <c r="B391" s="327"/>
      <c r="C391" s="153"/>
      <c r="D391" s="153" t="s">
        <v>1109</v>
      </c>
      <c r="E391" s="80" t="s">
        <v>1160</v>
      </c>
    </row>
    <row r="392" spans="1:5" s="73" customFormat="1" ht="15" customHeight="1" x14ac:dyDescent="0.25">
      <c r="A392" s="324"/>
      <c r="B392" s="327"/>
      <c r="C392" s="153"/>
      <c r="D392" s="153" t="s">
        <v>1110</v>
      </c>
      <c r="E392" s="80" t="s">
        <v>1161</v>
      </c>
    </row>
    <row r="393" spans="1:5" s="73" customFormat="1" ht="15" customHeight="1" x14ac:dyDescent="0.25">
      <c r="A393" s="324"/>
      <c r="B393" s="327"/>
      <c r="C393" s="153"/>
      <c r="D393" s="153" t="s">
        <v>1111</v>
      </c>
      <c r="E393" s="80" t="s">
        <v>1162</v>
      </c>
    </row>
    <row r="394" spans="1:5" s="73" customFormat="1" ht="15" customHeight="1" x14ac:dyDescent="0.25">
      <c r="A394" s="324"/>
      <c r="B394" s="327"/>
      <c r="C394" s="153"/>
      <c r="D394" s="153" t="s">
        <v>1112</v>
      </c>
      <c r="E394" s="80" t="s">
        <v>1163</v>
      </c>
    </row>
    <row r="395" spans="1:5" s="73" customFormat="1" ht="15" customHeight="1" x14ac:dyDescent="0.25">
      <c r="A395" s="324"/>
      <c r="B395" s="327"/>
      <c r="C395" s="154"/>
      <c r="D395" s="154" t="s">
        <v>1128</v>
      </c>
      <c r="E395" s="98" t="s">
        <v>1164</v>
      </c>
    </row>
    <row r="396" spans="1:5" s="111" customFormat="1" ht="15" customHeight="1" x14ac:dyDescent="0.25">
      <c r="A396" s="324"/>
      <c r="B396" s="327"/>
      <c r="C396" s="155" t="s">
        <v>1165</v>
      </c>
      <c r="D396" s="155"/>
      <c r="E396" s="93" t="s">
        <v>1169</v>
      </c>
    </row>
    <row r="397" spans="1:5" s="73" customFormat="1" ht="15" customHeight="1" x14ac:dyDescent="0.25">
      <c r="A397" s="324"/>
      <c r="B397" s="327"/>
      <c r="C397" s="155"/>
      <c r="D397" s="153" t="s">
        <v>1107</v>
      </c>
      <c r="E397" s="80" t="s">
        <v>1170</v>
      </c>
    </row>
    <row r="398" spans="1:5" s="73" customFormat="1" ht="15" customHeight="1" x14ac:dyDescent="0.25">
      <c r="A398" s="324"/>
      <c r="B398" s="327"/>
      <c r="C398" s="153"/>
      <c r="D398" s="153" t="s">
        <v>1108</v>
      </c>
      <c r="E398" s="80" t="s">
        <v>1171</v>
      </c>
    </row>
    <row r="399" spans="1:5" s="73" customFormat="1" ht="15" customHeight="1" x14ac:dyDescent="0.25">
      <c r="A399" s="324"/>
      <c r="B399" s="327"/>
      <c r="C399" s="153"/>
      <c r="D399" s="153" t="s">
        <v>1109</v>
      </c>
      <c r="E399" s="80" t="s">
        <v>1172</v>
      </c>
    </row>
    <row r="400" spans="1:5" s="73" customFormat="1" ht="15" customHeight="1" x14ac:dyDescent="0.25">
      <c r="A400" s="324"/>
      <c r="B400" s="327"/>
      <c r="C400" s="153"/>
      <c r="D400" s="153" t="s">
        <v>1110</v>
      </c>
      <c r="E400" s="80" t="s">
        <v>1173</v>
      </c>
    </row>
    <row r="401" spans="1:5" s="73" customFormat="1" ht="15" customHeight="1" x14ac:dyDescent="0.25">
      <c r="A401" s="324"/>
      <c r="B401" s="327"/>
      <c r="C401" s="153"/>
      <c r="D401" s="153" t="s">
        <v>1111</v>
      </c>
      <c r="E401" s="80" t="s">
        <v>1174</v>
      </c>
    </row>
    <row r="402" spans="1:5" s="73" customFormat="1" ht="15" customHeight="1" x14ac:dyDescent="0.25">
      <c r="A402" s="324"/>
      <c r="B402" s="327"/>
      <c r="C402" s="153"/>
      <c r="D402" s="153" t="s">
        <v>1112</v>
      </c>
      <c r="E402" s="80" t="s">
        <v>1175</v>
      </c>
    </row>
    <row r="403" spans="1:5" s="111" customFormat="1" ht="15" customHeight="1" x14ac:dyDescent="0.25">
      <c r="A403" s="324"/>
      <c r="B403" s="327"/>
      <c r="C403" s="155" t="s">
        <v>1166</v>
      </c>
      <c r="D403" s="155"/>
      <c r="E403" s="93" t="s">
        <v>1176</v>
      </c>
    </row>
    <row r="404" spans="1:5" s="73" customFormat="1" ht="15" customHeight="1" x14ac:dyDescent="0.25">
      <c r="A404" s="324"/>
      <c r="B404" s="327"/>
      <c r="C404" s="153" t="s">
        <v>1126</v>
      </c>
      <c r="D404" s="153"/>
      <c r="E404" s="80" t="s">
        <v>1177</v>
      </c>
    </row>
    <row r="405" spans="1:5" s="73" customFormat="1" ht="15" customHeight="1" x14ac:dyDescent="0.25">
      <c r="A405" s="324"/>
      <c r="B405" s="327"/>
      <c r="C405" s="153"/>
      <c r="D405" s="153" t="s">
        <v>1113</v>
      </c>
      <c r="E405" s="80" t="s">
        <v>1178</v>
      </c>
    </row>
    <row r="406" spans="1:5" s="73" customFormat="1" ht="15" customHeight="1" x14ac:dyDescent="0.25">
      <c r="A406" s="324"/>
      <c r="B406" s="327"/>
      <c r="C406" s="153"/>
      <c r="D406" s="153" t="s">
        <v>1109</v>
      </c>
      <c r="E406" s="80" t="s">
        <v>1179</v>
      </c>
    </row>
    <row r="407" spans="1:5" s="73" customFormat="1" ht="15" customHeight="1" x14ac:dyDescent="0.25">
      <c r="A407" s="324"/>
      <c r="B407" s="327"/>
      <c r="C407" s="153"/>
      <c r="D407" s="153" t="s">
        <v>1110</v>
      </c>
      <c r="E407" s="80" t="s">
        <v>1180</v>
      </c>
    </row>
    <row r="408" spans="1:5" s="73" customFormat="1" ht="15" customHeight="1" x14ac:dyDescent="0.25">
      <c r="A408" s="324"/>
      <c r="B408" s="327"/>
      <c r="C408" s="153" t="s">
        <v>1127</v>
      </c>
      <c r="D408" s="153"/>
      <c r="E408" s="80" t="s">
        <v>1181</v>
      </c>
    </row>
    <row r="409" spans="1:5" s="73" customFormat="1" ht="15" customHeight="1" x14ac:dyDescent="0.25">
      <c r="A409" s="324"/>
      <c r="B409" s="327"/>
      <c r="C409" s="153"/>
      <c r="D409" s="153" t="s">
        <v>1107</v>
      </c>
      <c r="E409" s="80" t="s">
        <v>1182</v>
      </c>
    </row>
    <row r="410" spans="1:5" s="73" customFormat="1" ht="15" customHeight="1" x14ac:dyDescent="0.25">
      <c r="A410" s="324"/>
      <c r="B410" s="327"/>
      <c r="C410" s="153"/>
      <c r="D410" s="153" t="s">
        <v>1113</v>
      </c>
      <c r="E410" s="80" t="s">
        <v>1183</v>
      </c>
    </row>
    <row r="411" spans="1:5" s="73" customFormat="1" ht="15" customHeight="1" x14ac:dyDescent="0.25">
      <c r="A411" s="324"/>
      <c r="B411" s="327"/>
      <c r="C411" s="153"/>
      <c r="D411" s="153" t="s">
        <v>1108</v>
      </c>
      <c r="E411" s="80" t="s">
        <v>1184</v>
      </c>
    </row>
    <row r="412" spans="1:5" s="73" customFormat="1" ht="15" customHeight="1" x14ac:dyDescent="0.25">
      <c r="A412" s="324"/>
      <c r="B412" s="327"/>
      <c r="C412" s="153"/>
      <c r="D412" s="153" t="s">
        <v>1109</v>
      </c>
      <c r="E412" s="80" t="s">
        <v>1185</v>
      </c>
    </row>
    <row r="413" spans="1:5" s="73" customFormat="1" ht="15" customHeight="1" x14ac:dyDescent="0.25">
      <c r="A413" s="324"/>
      <c r="B413" s="327"/>
      <c r="C413" s="153"/>
      <c r="D413" s="153" t="s">
        <v>1110</v>
      </c>
      <c r="E413" s="80" t="s">
        <v>1186</v>
      </c>
    </row>
    <row r="414" spans="1:5" s="73" customFormat="1" ht="15" customHeight="1" x14ac:dyDescent="0.25">
      <c r="A414" s="324"/>
      <c r="B414" s="327"/>
      <c r="C414" s="153"/>
      <c r="D414" s="153" t="s">
        <v>1111</v>
      </c>
      <c r="E414" s="80" t="s">
        <v>1187</v>
      </c>
    </row>
    <row r="415" spans="1:5" s="73" customFormat="1" ht="15" customHeight="1" x14ac:dyDescent="0.25">
      <c r="A415" s="324"/>
      <c r="B415" s="327"/>
      <c r="C415" s="153"/>
      <c r="D415" s="153" t="s">
        <v>1112</v>
      </c>
      <c r="E415" s="80" t="s">
        <v>1188</v>
      </c>
    </row>
    <row r="416" spans="1:5" s="73" customFormat="1" ht="15" customHeight="1" x14ac:dyDescent="0.25">
      <c r="A416" s="324"/>
      <c r="B416" s="327"/>
      <c r="C416" s="153"/>
      <c r="D416" s="153" t="s">
        <v>1128</v>
      </c>
      <c r="E416" s="80" t="s">
        <v>1189</v>
      </c>
    </row>
    <row r="417" spans="1:13" s="111" customFormat="1" ht="15" customHeight="1" x14ac:dyDescent="0.25">
      <c r="A417" s="324"/>
      <c r="B417" s="327"/>
      <c r="C417" s="155" t="s">
        <v>1167</v>
      </c>
      <c r="D417" s="155"/>
      <c r="E417" s="93" t="s">
        <v>1190</v>
      </c>
      <c r="M417" s="73"/>
    </row>
    <row r="418" spans="1:13" s="73" customFormat="1" ht="15" customHeight="1" x14ac:dyDescent="0.25">
      <c r="A418" s="324"/>
      <c r="B418" s="327"/>
      <c r="C418" s="153"/>
      <c r="D418" s="153" t="s">
        <v>1107</v>
      </c>
      <c r="E418" s="80" t="s">
        <v>1191</v>
      </c>
    </row>
    <row r="419" spans="1:13" s="73" customFormat="1" ht="15" customHeight="1" x14ac:dyDescent="0.25">
      <c r="A419" s="324"/>
      <c r="B419" s="327"/>
      <c r="C419" s="153"/>
      <c r="D419" s="153" t="s">
        <v>1113</v>
      </c>
      <c r="E419" s="80" t="s">
        <v>1192</v>
      </c>
    </row>
    <row r="420" spans="1:13" s="73" customFormat="1" ht="15" customHeight="1" x14ac:dyDescent="0.25">
      <c r="A420" s="324"/>
      <c r="B420" s="327"/>
      <c r="C420" s="153"/>
      <c r="D420" s="153" t="s">
        <v>1108</v>
      </c>
      <c r="E420" s="80" t="s">
        <v>1193</v>
      </c>
    </row>
    <row r="421" spans="1:13" s="73" customFormat="1" ht="15" customHeight="1" x14ac:dyDescent="0.25">
      <c r="A421" s="324"/>
      <c r="B421" s="327"/>
      <c r="C421" s="153"/>
      <c r="D421" s="153" t="s">
        <v>1109</v>
      </c>
      <c r="E421" s="80" t="s">
        <v>1194</v>
      </c>
    </row>
    <row r="422" spans="1:13" s="73" customFormat="1" ht="15" customHeight="1" x14ac:dyDescent="0.25">
      <c r="A422" s="324"/>
      <c r="B422" s="327"/>
      <c r="C422" s="153"/>
      <c r="D422" s="153" t="s">
        <v>1110</v>
      </c>
      <c r="E422" s="80" t="s">
        <v>1195</v>
      </c>
    </row>
    <row r="423" spans="1:13" s="73" customFormat="1" ht="15" customHeight="1" x14ac:dyDescent="0.25">
      <c r="A423" s="324"/>
      <c r="B423" s="327"/>
      <c r="C423" s="153"/>
      <c r="D423" s="153" t="s">
        <v>1111</v>
      </c>
      <c r="E423" s="80" t="s">
        <v>1196</v>
      </c>
    </row>
    <row r="424" spans="1:13" s="73" customFormat="1" ht="15" customHeight="1" x14ac:dyDescent="0.25">
      <c r="A424" s="324"/>
      <c r="B424" s="327"/>
      <c r="C424" s="153"/>
      <c r="D424" s="153" t="s">
        <v>1112</v>
      </c>
      <c r="E424" s="80" t="s">
        <v>1197</v>
      </c>
    </row>
    <row r="425" spans="1:13" s="73" customFormat="1" ht="15" customHeight="1" x14ac:dyDescent="0.25">
      <c r="A425" s="324"/>
      <c r="B425" s="327"/>
      <c r="C425" s="153"/>
      <c r="D425" s="153" t="s">
        <v>1128</v>
      </c>
      <c r="E425" s="80" t="s">
        <v>1198</v>
      </c>
    </row>
    <row r="426" spans="1:13" s="111" customFormat="1" ht="15" customHeight="1" x14ac:dyDescent="0.25">
      <c r="A426" s="324"/>
      <c r="B426" s="327"/>
      <c r="C426" s="155" t="s">
        <v>1168</v>
      </c>
      <c r="D426" s="155"/>
      <c r="E426" s="93" t="s">
        <v>1199</v>
      </c>
    </row>
    <row r="427" spans="1:13" s="73" customFormat="1" ht="15" customHeight="1" x14ac:dyDescent="0.25">
      <c r="A427" s="324"/>
      <c r="B427" s="327"/>
      <c r="C427" s="153"/>
      <c r="D427" s="153" t="s">
        <v>1107</v>
      </c>
      <c r="E427" s="80" t="s">
        <v>1200</v>
      </c>
    </row>
    <row r="428" spans="1:13" s="73" customFormat="1" ht="15" customHeight="1" x14ac:dyDescent="0.25">
      <c r="A428" s="324"/>
      <c r="B428" s="327"/>
      <c r="C428" s="153"/>
      <c r="D428" s="153" t="s">
        <v>1113</v>
      </c>
      <c r="E428" s="80" t="s">
        <v>1201</v>
      </c>
    </row>
    <row r="429" spans="1:13" s="73" customFormat="1" ht="15" customHeight="1" x14ac:dyDescent="0.25">
      <c r="A429" s="324"/>
      <c r="B429" s="327"/>
      <c r="C429" s="153"/>
      <c r="D429" s="153" t="s">
        <v>1108</v>
      </c>
      <c r="E429" s="80" t="s">
        <v>1202</v>
      </c>
    </row>
    <row r="430" spans="1:13" s="73" customFormat="1" ht="15" customHeight="1" x14ac:dyDescent="0.25">
      <c r="A430" s="324"/>
      <c r="B430" s="327"/>
      <c r="C430" s="153"/>
      <c r="D430" s="153" t="s">
        <v>1109</v>
      </c>
      <c r="E430" s="80" t="s">
        <v>1203</v>
      </c>
    </row>
    <row r="431" spans="1:13" s="73" customFormat="1" ht="15" customHeight="1" x14ac:dyDescent="0.25">
      <c r="A431" s="324"/>
      <c r="B431" s="327"/>
      <c r="C431" s="153"/>
      <c r="D431" s="153" t="s">
        <v>1110</v>
      </c>
      <c r="E431" s="80" t="s">
        <v>1204</v>
      </c>
    </row>
    <row r="432" spans="1:13" s="73" customFormat="1" ht="15" customHeight="1" x14ac:dyDescent="0.25">
      <c r="A432" s="324"/>
      <c r="B432" s="327"/>
      <c r="C432" s="153"/>
      <c r="D432" s="153" t="s">
        <v>1111</v>
      </c>
      <c r="E432" s="80" t="s">
        <v>1205</v>
      </c>
    </row>
    <row r="433" spans="1:5" s="73" customFormat="1" ht="15" customHeight="1" x14ac:dyDescent="0.25">
      <c r="A433" s="324"/>
      <c r="B433" s="327"/>
      <c r="C433" s="153"/>
      <c r="D433" s="153" t="s">
        <v>1112</v>
      </c>
      <c r="E433" s="80" t="s">
        <v>1206</v>
      </c>
    </row>
    <row r="434" spans="1:5" s="73" customFormat="1" ht="15" customHeight="1" x14ac:dyDescent="0.25">
      <c r="A434" s="324"/>
      <c r="B434" s="327"/>
      <c r="C434" s="153"/>
      <c r="D434" s="153" t="s">
        <v>1128</v>
      </c>
      <c r="E434" s="80" t="s">
        <v>1207</v>
      </c>
    </row>
    <row r="435" spans="1:5" s="111" customFormat="1" ht="15" customHeight="1" x14ac:dyDescent="0.25">
      <c r="A435" s="324"/>
      <c r="B435" s="327"/>
      <c r="C435" s="155" t="s">
        <v>821</v>
      </c>
      <c r="D435" s="155"/>
      <c r="E435" s="93" t="s">
        <v>1208</v>
      </c>
    </row>
    <row r="436" spans="1:5" s="73" customFormat="1" ht="15" customHeight="1" x14ac:dyDescent="0.25">
      <c r="A436" s="324"/>
      <c r="B436" s="327"/>
      <c r="C436" s="153"/>
      <c r="D436" s="153" t="s">
        <v>1107</v>
      </c>
      <c r="E436" s="80" t="s">
        <v>1209</v>
      </c>
    </row>
    <row r="437" spans="1:5" s="73" customFormat="1" ht="15" customHeight="1" x14ac:dyDescent="0.25">
      <c r="A437" s="324"/>
      <c r="B437" s="327"/>
      <c r="C437" s="153"/>
      <c r="D437" s="153" t="s">
        <v>1113</v>
      </c>
      <c r="E437" s="80" t="s">
        <v>1210</v>
      </c>
    </row>
    <row r="438" spans="1:5" s="73" customFormat="1" ht="15" customHeight="1" x14ac:dyDescent="0.25">
      <c r="A438" s="324"/>
      <c r="B438" s="327"/>
      <c r="C438" s="153"/>
      <c r="D438" s="153" t="s">
        <v>1108</v>
      </c>
      <c r="E438" s="80" t="s">
        <v>1211</v>
      </c>
    </row>
    <row r="439" spans="1:5" s="73" customFormat="1" ht="15" customHeight="1" x14ac:dyDescent="0.25">
      <c r="A439" s="324"/>
      <c r="B439" s="327"/>
      <c r="C439" s="153"/>
      <c r="D439" s="153" t="s">
        <v>1109</v>
      </c>
      <c r="E439" s="80" t="s">
        <v>1212</v>
      </c>
    </row>
    <row r="440" spans="1:5" s="73" customFormat="1" ht="15" customHeight="1" x14ac:dyDescent="0.25">
      <c r="A440" s="324"/>
      <c r="B440" s="327"/>
      <c r="C440" s="153"/>
      <c r="D440" s="153" t="s">
        <v>1110</v>
      </c>
      <c r="E440" s="80" t="s">
        <v>1213</v>
      </c>
    </row>
    <row r="441" spans="1:5" s="73" customFormat="1" ht="15" customHeight="1" x14ac:dyDescent="0.25">
      <c r="A441" s="324"/>
      <c r="B441" s="327"/>
      <c r="C441" s="153"/>
      <c r="D441" s="153" t="s">
        <v>1111</v>
      </c>
      <c r="E441" s="80" t="s">
        <v>1214</v>
      </c>
    </row>
    <row r="442" spans="1:5" s="73" customFormat="1" ht="15" customHeight="1" x14ac:dyDescent="0.25">
      <c r="A442" s="324"/>
      <c r="B442" s="327"/>
      <c r="C442" s="153"/>
      <c r="D442" s="153" t="s">
        <v>1112</v>
      </c>
      <c r="E442" s="80" t="s">
        <v>1215</v>
      </c>
    </row>
    <row r="443" spans="1:5" s="73" customFormat="1" ht="15" customHeight="1" x14ac:dyDescent="0.25">
      <c r="A443" s="324"/>
      <c r="B443" s="327"/>
      <c r="C443" s="153"/>
      <c r="D443" s="153" t="s">
        <v>1128</v>
      </c>
      <c r="E443" s="80" t="s">
        <v>1216</v>
      </c>
    </row>
    <row r="444" spans="1:5" ht="15" customHeight="1" x14ac:dyDescent="0.25">
      <c r="A444" s="316" t="s">
        <v>1029</v>
      </c>
      <c r="B444" s="318" t="s">
        <v>1030</v>
      </c>
      <c r="C444" s="176" t="s">
        <v>1218</v>
      </c>
      <c r="D444" s="136"/>
      <c r="E444" s="53"/>
    </row>
    <row r="445" spans="1:5" s="73" customFormat="1" x14ac:dyDescent="0.25">
      <c r="A445" s="316"/>
      <c r="B445" s="318"/>
      <c r="C445" s="176" t="s">
        <v>1219</v>
      </c>
      <c r="D445" s="136"/>
      <c r="E445" s="53"/>
    </row>
    <row r="446" spans="1:5" s="73" customFormat="1" x14ac:dyDescent="0.25">
      <c r="A446" s="316"/>
      <c r="B446" s="318"/>
      <c r="C446" s="136"/>
      <c r="D446" s="136" t="s">
        <v>625</v>
      </c>
      <c r="E446" s="53" t="s">
        <v>1225</v>
      </c>
    </row>
    <row r="447" spans="1:5" s="73" customFormat="1" x14ac:dyDescent="0.25">
      <c r="A447" s="316"/>
      <c r="B447" s="318"/>
      <c r="C447" s="136"/>
      <c r="D447" s="136" t="s">
        <v>626</v>
      </c>
      <c r="E447" s="53" t="s">
        <v>1226</v>
      </c>
    </row>
    <row r="448" spans="1:5" s="73" customFormat="1" x14ac:dyDescent="0.25">
      <c r="A448" s="316"/>
      <c r="B448" s="318"/>
      <c r="C448" s="136"/>
      <c r="D448" s="136" t="s">
        <v>627</v>
      </c>
      <c r="E448" s="53" t="s">
        <v>1227</v>
      </c>
    </row>
    <row r="449" spans="1:5" s="73" customFormat="1" x14ac:dyDescent="0.25">
      <c r="A449" s="316"/>
      <c r="B449" s="318"/>
      <c r="C449" s="136"/>
      <c r="D449" s="136" t="s">
        <v>628</v>
      </c>
      <c r="E449" s="53" t="s">
        <v>1228</v>
      </c>
    </row>
    <row r="450" spans="1:5" s="73" customFormat="1" x14ac:dyDescent="0.25">
      <c r="A450" s="316"/>
      <c r="B450" s="318"/>
      <c r="C450" s="136"/>
      <c r="D450" s="136" t="s">
        <v>629</v>
      </c>
      <c r="E450" s="53" t="s">
        <v>1229</v>
      </c>
    </row>
    <row r="451" spans="1:5" s="73" customFormat="1" x14ac:dyDescent="0.25">
      <c r="A451" s="316"/>
      <c r="B451" s="318"/>
      <c r="C451" s="136"/>
      <c r="D451" s="136" t="s">
        <v>630</v>
      </c>
      <c r="E451" s="53" t="s">
        <v>1230</v>
      </c>
    </row>
    <row r="452" spans="1:5" s="73" customFormat="1" x14ac:dyDescent="0.25">
      <c r="A452" s="316"/>
      <c r="B452" s="318"/>
      <c r="C452" s="136"/>
      <c r="D452" s="136" t="s">
        <v>631</v>
      </c>
      <c r="E452" s="53" t="s">
        <v>1231</v>
      </c>
    </row>
    <row r="453" spans="1:5" s="73" customFormat="1" x14ac:dyDescent="0.25">
      <c r="A453" s="316"/>
      <c r="B453" s="318"/>
      <c r="C453" s="136"/>
      <c r="D453" s="136" t="s">
        <v>632</v>
      </c>
      <c r="E453" s="53" t="s">
        <v>1232</v>
      </c>
    </row>
    <row r="454" spans="1:5" s="73" customFormat="1" x14ac:dyDescent="0.25">
      <c r="A454" s="316"/>
      <c r="B454" s="318"/>
      <c r="C454" s="136"/>
      <c r="D454" s="136" t="s">
        <v>633</v>
      </c>
      <c r="E454" s="53" t="s">
        <v>1233</v>
      </c>
    </row>
    <row r="455" spans="1:5" s="73" customFormat="1" x14ac:dyDescent="0.25">
      <c r="A455" s="316"/>
      <c r="B455" s="318"/>
      <c r="C455" s="136"/>
      <c r="D455" s="136" t="s">
        <v>634</v>
      </c>
      <c r="E455" s="53" t="s">
        <v>1234</v>
      </c>
    </row>
    <row r="456" spans="1:5" s="73" customFormat="1" x14ac:dyDescent="0.25">
      <c r="A456" s="316"/>
      <c r="B456" s="318"/>
      <c r="C456" s="136"/>
      <c r="D456" s="136" t="s">
        <v>635</v>
      </c>
      <c r="E456" s="53" t="s">
        <v>1235</v>
      </c>
    </row>
    <row r="457" spans="1:5" s="73" customFormat="1" x14ac:dyDescent="0.25">
      <c r="A457" s="316"/>
      <c r="B457" s="318"/>
      <c r="C457" s="136"/>
      <c r="D457" s="136" t="s">
        <v>636</v>
      </c>
      <c r="E457" s="53" t="s">
        <v>1236</v>
      </c>
    </row>
    <row r="458" spans="1:5" s="73" customFormat="1" x14ac:dyDescent="0.25">
      <c r="A458" s="316"/>
      <c r="B458" s="318"/>
      <c r="C458" s="136"/>
      <c r="D458" s="136" t="s">
        <v>637</v>
      </c>
      <c r="E458" s="53" t="s">
        <v>1237</v>
      </c>
    </row>
    <row r="459" spans="1:5" s="73" customFormat="1" x14ac:dyDescent="0.25">
      <c r="A459" s="316"/>
      <c r="B459" s="318"/>
      <c r="C459" s="136"/>
      <c r="D459" s="136" t="s">
        <v>638</v>
      </c>
      <c r="E459" s="53" t="s">
        <v>1238</v>
      </c>
    </row>
    <row r="460" spans="1:5" s="73" customFormat="1" x14ac:dyDescent="0.25">
      <c r="A460" s="316"/>
      <c r="B460" s="318"/>
      <c r="C460" s="136"/>
      <c r="D460" s="136" t="s">
        <v>639</v>
      </c>
      <c r="E460" s="53" t="s">
        <v>1239</v>
      </c>
    </row>
    <row r="461" spans="1:5" s="73" customFormat="1" x14ac:dyDescent="0.25">
      <c r="A461" s="316"/>
      <c r="B461" s="318"/>
      <c r="C461" s="136"/>
      <c r="D461" s="136" t="s">
        <v>640</v>
      </c>
      <c r="E461" s="53" t="s">
        <v>1240</v>
      </c>
    </row>
    <row r="462" spans="1:5" s="73" customFormat="1" x14ac:dyDescent="0.25">
      <c r="A462" s="316"/>
      <c r="B462" s="318"/>
      <c r="C462" s="136"/>
      <c r="D462" s="136" t="s">
        <v>641</v>
      </c>
      <c r="E462" s="53" t="s">
        <v>1241</v>
      </c>
    </row>
    <row r="463" spans="1:5" s="73" customFormat="1" x14ac:dyDescent="0.25">
      <c r="A463" s="316"/>
      <c r="B463" s="318"/>
      <c r="C463" s="136"/>
      <c r="D463" s="136" t="s">
        <v>642</v>
      </c>
      <c r="E463" s="53" t="s">
        <v>1242</v>
      </c>
    </row>
    <row r="464" spans="1:5" s="73" customFormat="1" x14ac:dyDescent="0.25">
      <c r="A464" s="316"/>
      <c r="B464" s="318"/>
      <c r="C464" s="136"/>
      <c r="D464" s="136" t="s">
        <v>643</v>
      </c>
      <c r="E464" s="53" t="s">
        <v>1243</v>
      </c>
    </row>
    <row r="465" spans="1:5" s="73" customFormat="1" x14ac:dyDescent="0.25">
      <c r="A465" s="316"/>
      <c r="B465" s="318"/>
      <c r="C465" s="136"/>
      <c r="D465" s="136" t="s">
        <v>530</v>
      </c>
      <c r="E465" s="53" t="s">
        <v>1244</v>
      </c>
    </row>
    <row r="466" spans="1:5" s="73" customFormat="1" x14ac:dyDescent="0.25">
      <c r="A466" s="316"/>
      <c r="B466" s="318"/>
      <c r="C466" s="136"/>
      <c r="D466" s="136" t="s">
        <v>531</v>
      </c>
      <c r="E466" s="53" t="s">
        <v>1245</v>
      </c>
    </row>
    <row r="467" spans="1:5" s="73" customFormat="1" x14ac:dyDescent="0.25">
      <c r="A467" s="316"/>
      <c r="B467" s="318"/>
      <c r="C467" s="136"/>
      <c r="D467" s="136" t="s">
        <v>532</v>
      </c>
      <c r="E467" s="53" t="s">
        <v>1246</v>
      </c>
    </row>
    <row r="468" spans="1:5" s="73" customFormat="1" x14ac:dyDescent="0.25">
      <c r="A468" s="316"/>
      <c r="B468" s="318"/>
      <c r="C468" s="136"/>
      <c r="D468" s="136" t="s">
        <v>533</v>
      </c>
      <c r="E468" s="53" t="s">
        <v>1247</v>
      </c>
    </row>
    <row r="469" spans="1:5" s="73" customFormat="1" x14ac:dyDescent="0.25">
      <c r="A469" s="316"/>
      <c r="B469" s="318"/>
      <c r="C469" s="136"/>
      <c r="D469" s="136" t="s">
        <v>534</v>
      </c>
      <c r="E469" s="53" t="s">
        <v>1248</v>
      </c>
    </row>
    <row r="470" spans="1:5" s="73" customFormat="1" x14ac:dyDescent="0.25">
      <c r="A470" s="316"/>
      <c r="B470" s="318"/>
      <c r="C470" s="136"/>
      <c r="D470" s="136" t="s">
        <v>535</v>
      </c>
      <c r="E470" s="53" t="s">
        <v>1249</v>
      </c>
    </row>
    <row r="471" spans="1:5" s="73" customFormat="1" x14ac:dyDescent="0.25">
      <c r="A471" s="316"/>
      <c r="B471" s="318"/>
      <c r="C471" s="136"/>
      <c r="D471" s="136" t="s">
        <v>536</v>
      </c>
      <c r="E471" s="53" t="s">
        <v>1250</v>
      </c>
    </row>
    <row r="472" spans="1:5" s="73" customFormat="1" x14ac:dyDescent="0.25">
      <c r="A472" s="316"/>
      <c r="B472" s="318"/>
      <c r="C472" s="136"/>
      <c r="D472" s="136" t="s">
        <v>537</v>
      </c>
      <c r="E472" s="53" t="s">
        <v>1251</v>
      </c>
    </row>
    <row r="473" spans="1:5" s="73" customFormat="1" x14ac:dyDescent="0.25">
      <c r="A473" s="316"/>
      <c r="B473" s="318"/>
      <c r="C473" s="136"/>
      <c r="D473" s="136" t="s">
        <v>538</v>
      </c>
      <c r="E473" s="53" t="s">
        <v>1252</v>
      </c>
    </row>
    <row r="474" spans="1:5" s="73" customFormat="1" x14ac:dyDescent="0.25">
      <c r="A474" s="316"/>
      <c r="B474" s="318"/>
      <c r="C474" s="176" t="s">
        <v>1220</v>
      </c>
      <c r="D474" s="136"/>
      <c r="E474" s="53"/>
    </row>
    <row r="475" spans="1:5" s="73" customFormat="1" x14ac:dyDescent="0.25">
      <c r="A475" s="316"/>
      <c r="B475" s="318"/>
      <c r="C475" s="136"/>
      <c r="D475" s="136" t="s">
        <v>625</v>
      </c>
      <c r="E475" s="53" t="s">
        <v>1253</v>
      </c>
    </row>
    <row r="476" spans="1:5" s="73" customFormat="1" x14ac:dyDescent="0.25">
      <c r="A476" s="316"/>
      <c r="B476" s="318"/>
      <c r="C476" s="136"/>
      <c r="D476" s="136" t="s">
        <v>626</v>
      </c>
      <c r="E476" s="53" t="s">
        <v>1254</v>
      </c>
    </row>
    <row r="477" spans="1:5" s="73" customFormat="1" x14ac:dyDescent="0.25">
      <c r="A477" s="316"/>
      <c r="B477" s="318"/>
      <c r="C477" s="136"/>
      <c r="D477" s="136" t="s">
        <v>627</v>
      </c>
      <c r="E477" s="53" t="s">
        <v>1255</v>
      </c>
    </row>
    <row r="478" spans="1:5" s="73" customFormat="1" x14ac:dyDescent="0.25">
      <c r="A478" s="316"/>
      <c r="B478" s="318"/>
      <c r="C478" s="136"/>
      <c r="D478" s="136" t="s">
        <v>628</v>
      </c>
      <c r="E478" s="53" t="s">
        <v>1256</v>
      </c>
    </row>
    <row r="479" spans="1:5" s="73" customFormat="1" x14ac:dyDescent="0.25">
      <c r="A479" s="316"/>
      <c r="B479" s="318"/>
      <c r="C479" s="136"/>
      <c r="D479" s="136" t="s">
        <v>629</v>
      </c>
      <c r="E479" s="53" t="s">
        <v>1257</v>
      </c>
    </row>
    <row r="480" spans="1:5" s="73" customFormat="1" x14ac:dyDescent="0.25">
      <c r="A480" s="316"/>
      <c r="B480" s="318"/>
      <c r="C480" s="136"/>
      <c r="D480" s="136" t="s">
        <v>630</v>
      </c>
      <c r="E480" s="53" t="s">
        <v>1258</v>
      </c>
    </row>
    <row r="481" spans="1:5" s="73" customFormat="1" x14ac:dyDescent="0.25">
      <c r="A481" s="316"/>
      <c r="B481" s="318"/>
      <c r="C481" s="136"/>
      <c r="D481" s="136" t="s">
        <v>631</v>
      </c>
      <c r="E481" s="53" t="s">
        <v>1259</v>
      </c>
    </row>
    <row r="482" spans="1:5" s="73" customFormat="1" x14ac:dyDescent="0.25">
      <c r="A482" s="316"/>
      <c r="B482" s="318"/>
      <c r="C482" s="136"/>
      <c r="D482" s="136" t="s">
        <v>632</v>
      </c>
      <c r="E482" s="53" t="s">
        <v>1260</v>
      </c>
    </row>
    <row r="483" spans="1:5" s="73" customFormat="1" x14ac:dyDescent="0.25">
      <c r="A483" s="316"/>
      <c r="B483" s="318"/>
      <c r="C483" s="136"/>
      <c r="D483" s="136" t="s">
        <v>633</v>
      </c>
      <c r="E483" s="53" t="s">
        <v>1261</v>
      </c>
    </row>
    <row r="484" spans="1:5" s="73" customFormat="1" x14ac:dyDescent="0.25">
      <c r="A484" s="316"/>
      <c r="B484" s="318"/>
      <c r="C484" s="136"/>
      <c r="D484" s="136" t="s">
        <v>634</v>
      </c>
      <c r="E484" s="53" t="s">
        <v>1262</v>
      </c>
    </row>
    <row r="485" spans="1:5" s="73" customFormat="1" x14ac:dyDescent="0.25">
      <c r="A485" s="316"/>
      <c r="B485" s="318"/>
      <c r="C485" s="136"/>
      <c r="D485" s="136" t="s">
        <v>635</v>
      </c>
      <c r="E485" s="53" t="s">
        <v>1263</v>
      </c>
    </row>
    <row r="486" spans="1:5" s="73" customFormat="1" x14ac:dyDescent="0.25">
      <c r="A486" s="316"/>
      <c r="B486" s="318"/>
      <c r="C486" s="136"/>
      <c r="D486" s="136" t="s">
        <v>636</v>
      </c>
      <c r="E486" s="53" t="s">
        <v>1264</v>
      </c>
    </row>
    <row r="487" spans="1:5" s="73" customFormat="1" x14ac:dyDescent="0.25">
      <c r="A487" s="316"/>
      <c r="B487" s="318"/>
      <c r="C487" s="136"/>
      <c r="D487" s="136" t="s">
        <v>637</v>
      </c>
      <c r="E487" s="53" t="s">
        <v>1265</v>
      </c>
    </row>
    <row r="488" spans="1:5" s="73" customFormat="1" x14ac:dyDescent="0.25">
      <c r="A488" s="316"/>
      <c r="B488" s="318"/>
      <c r="C488" s="136"/>
      <c r="D488" s="136" t="s">
        <v>638</v>
      </c>
      <c r="E488" s="53" t="s">
        <v>1266</v>
      </c>
    </row>
    <row r="489" spans="1:5" s="73" customFormat="1" x14ac:dyDescent="0.25">
      <c r="A489" s="316"/>
      <c r="B489" s="318"/>
      <c r="C489" s="136"/>
      <c r="D489" s="136" t="s">
        <v>639</v>
      </c>
      <c r="E489" s="53" t="s">
        <v>1267</v>
      </c>
    </row>
    <row r="490" spans="1:5" s="73" customFormat="1" x14ac:dyDescent="0.25">
      <c r="A490" s="316"/>
      <c r="B490" s="318"/>
      <c r="C490" s="136"/>
      <c r="D490" s="136" t="s">
        <v>640</v>
      </c>
      <c r="E490" s="53" t="s">
        <v>1268</v>
      </c>
    </row>
    <row r="491" spans="1:5" s="73" customFormat="1" x14ac:dyDescent="0.25">
      <c r="A491" s="316"/>
      <c r="B491" s="318"/>
      <c r="C491" s="136"/>
      <c r="D491" s="136" t="s">
        <v>641</v>
      </c>
      <c r="E491" s="53" t="s">
        <v>1269</v>
      </c>
    </row>
    <row r="492" spans="1:5" s="73" customFormat="1" x14ac:dyDescent="0.25">
      <c r="A492" s="316"/>
      <c r="B492" s="318"/>
      <c r="C492" s="136"/>
      <c r="D492" s="136" t="s">
        <v>642</v>
      </c>
      <c r="E492" s="53" t="s">
        <v>1270</v>
      </c>
    </row>
    <row r="493" spans="1:5" s="73" customFormat="1" x14ac:dyDescent="0.25">
      <c r="A493" s="316"/>
      <c r="B493" s="318"/>
      <c r="C493" s="136"/>
      <c r="D493" s="136" t="s">
        <v>643</v>
      </c>
      <c r="E493" s="53" t="s">
        <v>1271</v>
      </c>
    </row>
    <row r="494" spans="1:5" s="73" customFormat="1" x14ac:dyDescent="0.25">
      <c r="A494" s="316"/>
      <c r="B494" s="318"/>
      <c r="C494" s="136"/>
      <c r="D494" s="136" t="s">
        <v>530</v>
      </c>
      <c r="E494" s="53" t="s">
        <v>1272</v>
      </c>
    </row>
    <row r="495" spans="1:5" s="73" customFormat="1" x14ac:dyDescent="0.25">
      <c r="A495" s="316"/>
      <c r="B495" s="318"/>
      <c r="C495" s="136"/>
      <c r="D495" s="136" t="s">
        <v>531</v>
      </c>
      <c r="E495" s="53" t="s">
        <v>1273</v>
      </c>
    </row>
    <row r="496" spans="1:5" s="73" customFormat="1" x14ac:dyDescent="0.25">
      <c r="A496" s="316"/>
      <c r="B496" s="318"/>
      <c r="C496" s="136"/>
      <c r="D496" s="136" t="s">
        <v>532</v>
      </c>
      <c r="E496" s="53" t="s">
        <v>1274</v>
      </c>
    </row>
    <row r="497" spans="1:5" s="73" customFormat="1" x14ac:dyDescent="0.25">
      <c r="A497" s="316"/>
      <c r="B497" s="318"/>
      <c r="C497" s="136"/>
      <c r="D497" s="136" t="s">
        <v>533</v>
      </c>
      <c r="E497" s="53" t="s">
        <v>1275</v>
      </c>
    </row>
    <row r="498" spans="1:5" s="73" customFormat="1" x14ac:dyDescent="0.25">
      <c r="A498" s="316"/>
      <c r="B498" s="318"/>
      <c r="C498" s="136"/>
      <c r="D498" s="136" t="s">
        <v>534</v>
      </c>
      <c r="E498" s="53" t="s">
        <v>1276</v>
      </c>
    </row>
    <row r="499" spans="1:5" s="73" customFormat="1" x14ac:dyDescent="0.25">
      <c r="A499" s="316"/>
      <c r="B499" s="318"/>
      <c r="C499" s="136"/>
      <c r="D499" s="136" t="s">
        <v>535</v>
      </c>
      <c r="E499" s="53" t="s">
        <v>1277</v>
      </c>
    </row>
    <row r="500" spans="1:5" s="73" customFormat="1" x14ac:dyDescent="0.25">
      <c r="A500" s="316"/>
      <c r="B500" s="318"/>
      <c r="C500" s="136"/>
      <c r="D500" s="136" t="s">
        <v>536</v>
      </c>
      <c r="E500" s="53" t="s">
        <v>1278</v>
      </c>
    </row>
    <row r="501" spans="1:5" s="73" customFormat="1" x14ac:dyDescent="0.25">
      <c r="A501" s="316"/>
      <c r="B501" s="318"/>
      <c r="C501" s="136"/>
      <c r="D501" s="136" t="s">
        <v>537</v>
      </c>
      <c r="E501" s="53" t="s">
        <v>1279</v>
      </c>
    </row>
    <row r="502" spans="1:5" s="73" customFormat="1" x14ac:dyDescent="0.25">
      <c r="A502" s="316"/>
      <c r="B502" s="318"/>
      <c r="C502" s="136"/>
      <c r="D502" s="136" t="s">
        <v>538</v>
      </c>
      <c r="E502" s="53" t="s">
        <v>1280</v>
      </c>
    </row>
    <row r="503" spans="1:5" s="73" customFormat="1" x14ac:dyDescent="0.25">
      <c r="A503" s="316"/>
      <c r="B503" s="318"/>
      <c r="C503" s="176" t="s">
        <v>1221</v>
      </c>
      <c r="D503" s="136"/>
      <c r="E503" s="53"/>
    </row>
    <row r="504" spans="1:5" s="73" customFormat="1" x14ac:dyDescent="0.25">
      <c r="A504" s="316"/>
      <c r="B504" s="318"/>
      <c r="C504" s="136"/>
      <c r="D504" s="136" t="s">
        <v>625</v>
      </c>
      <c r="E504" s="53" t="s">
        <v>1281</v>
      </c>
    </row>
    <row r="505" spans="1:5" s="73" customFormat="1" x14ac:dyDescent="0.25">
      <c r="A505" s="316"/>
      <c r="B505" s="318"/>
      <c r="C505" s="136"/>
      <c r="D505" s="136" t="s">
        <v>626</v>
      </c>
      <c r="E505" s="53" t="s">
        <v>1282</v>
      </c>
    </row>
    <row r="506" spans="1:5" s="73" customFormat="1" x14ac:dyDescent="0.25">
      <c r="A506" s="316"/>
      <c r="B506" s="318"/>
      <c r="C506" s="136"/>
      <c r="D506" s="136" t="s">
        <v>627</v>
      </c>
      <c r="E506" s="53" t="s">
        <v>1283</v>
      </c>
    </row>
    <row r="507" spans="1:5" s="73" customFormat="1" x14ac:dyDescent="0.25">
      <c r="A507" s="316"/>
      <c r="B507" s="318"/>
      <c r="C507" s="136"/>
      <c r="D507" s="136" t="s">
        <v>628</v>
      </c>
      <c r="E507" s="53" t="s">
        <v>1284</v>
      </c>
    </row>
    <row r="508" spans="1:5" s="73" customFormat="1" x14ac:dyDescent="0.25">
      <c r="A508" s="316"/>
      <c r="B508" s="318"/>
      <c r="C508" s="136"/>
      <c r="D508" s="136" t="s">
        <v>629</v>
      </c>
      <c r="E508" s="53" t="s">
        <v>1285</v>
      </c>
    </row>
    <row r="509" spans="1:5" s="73" customFormat="1" x14ac:dyDescent="0.25">
      <c r="A509" s="316"/>
      <c r="B509" s="318"/>
      <c r="C509" s="136"/>
      <c r="D509" s="136" t="s">
        <v>630</v>
      </c>
      <c r="E509" s="53" t="s">
        <v>1286</v>
      </c>
    </row>
    <row r="510" spans="1:5" s="73" customFormat="1" x14ac:dyDescent="0.25">
      <c r="A510" s="316"/>
      <c r="B510" s="318"/>
      <c r="C510" s="136"/>
      <c r="D510" s="136" t="s">
        <v>631</v>
      </c>
      <c r="E510" s="53" t="s">
        <v>1287</v>
      </c>
    </row>
    <row r="511" spans="1:5" s="73" customFormat="1" x14ac:dyDescent="0.25">
      <c r="A511" s="316"/>
      <c r="B511" s="318"/>
      <c r="C511" s="136"/>
      <c r="D511" s="136" t="s">
        <v>632</v>
      </c>
      <c r="E511" s="53" t="s">
        <v>1288</v>
      </c>
    </row>
    <row r="512" spans="1:5" s="73" customFormat="1" x14ac:dyDescent="0.25">
      <c r="A512" s="316"/>
      <c r="B512" s="318"/>
      <c r="C512" s="136"/>
      <c r="D512" s="136" t="s">
        <v>633</v>
      </c>
      <c r="E512" s="53" t="s">
        <v>1289</v>
      </c>
    </row>
    <row r="513" spans="1:5" s="73" customFormat="1" x14ac:dyDescent="0.25">
      <c r="A513" s="316"/>
      <c r="B513" s="318"/>
      <c r="C513" s="136"/>
      <c r="D513" s="136" t="s">
        <v>634</v>
      </c>
      <c r="E513" s="53" t="s">
        <v>1290</v>
      </c>
    </row>
    <row r="514" spans="1:5" s="73" customFormat="1" x14ac:dyDescent="0.25">
      <c r="A514" s="316"/>
      <c r="B514" s="318"/>
      <c r="C514" s="136"/>
      <c r="D514" s="136" t="s">
        <v>635</v>
      </c>
      <c r="E514" s="53" t="s">
        <v>1291</v>
      </c>
    </row>
    <row r="515" spans="1:5" s="73" customFormat="1" x14ac:dyDescent="0.25">
      <c r="A515" s="316"/>
      <c r="B515" s="318"/>
      <c r="C515" s="136"/>
      <c r="D515" s="136" t="s">
        <v>636</v>
      </c>
      <c r="E515" s="53" t="s">
        <v>1292</v>
      </c>
    </row>
    <row r="516" spans="1:5" s="73" customFormat="1" x14ac:dyDescent="0.25">
      <c r="A516" s="316"/>
      <c r="B516" s="318"/>
      <c r="C516" s="136"/>
      <c r="D516" s="136" t="s">
        <v>637</v>
      </c>
      <c r="E516" s="53" t="s">
        <v>1293</v>
      </c>
    </row>
    <row r="517" spans="1:5" s="73" customFormat="1" x14ac:dyDescent="0.25">
      <c r="A517" s="316"/>
      <c r="B517" s="318"/>
      <c r="C517" s="136"/>
      <c r="D517" s="136" t="s">
        <v>638</v>
      </c>
      <c r="E517" s="53" t="s">
        <v>1294</v>
      </c>
    </row>
    <row r="518" spans="1:5" s="73" customFormat="1" x14ac:dyDescent="0.25">
      <c r="A518" s="316"/>
      <c r="B518" s="318"/>
      <c r="C518" s="136"/>
      <c r="D518" s="136" t="s">
        <v>639</v>
      </c>
      <c r="E518" s="53" t="s">
        <v>1295</v>
      </c>
    </row>
    <row r="519" spans="1:5" s="73" customFormat="1" x14ac:dyDescent="0.25">
      <c r="A519" s="316"/>
      <c r="B519" s="318"/>
      <c r="C519" s="136"/>
      <c r="D519" s="136" t="s">
        <v>640</v>
      </c>
      <c r="E519" s="53" t="s">
        <v>1296</v>
      </c>
    </row>
    <row r="520" spans="1:5" s="73" customFormat="1" x14ac:dyDescent="0.25">
      <c r="A520" s="316"/>
      <c r="B520" s="318"/>
      <c r="C520" s="136"/>
      <c r="D520" s="136" t="s">
        <v>641</v>
      </c>
      <c r="E520" s="53" t="s">
        <v>1297</v>
      </c>
    </row>
    <row r="521" spans="1:5" s="73" customFormat="1" x14ac:dyDescent="0.25">
      <c r="A521" s="316"/>
      <c r="B521" s="318"/>
      <c r="C521" s="136"/>
      <c r="D521" s="136" t="s">
        <v>642</v>
      </c>
      <c r="E521" s="53" t="s">
        <v>1298</v>
      </c>
    </row>
    <row r="522" spans="1:5" s="73" customFormat="1" x14ac:dyDescent="0.25">
      <c r="A522" s="316"/>
      <c r="B522" s="318"/>
      <c r="C522" s="136"/>
      <c r="D522" s="136" t="s">
        <v>643</v>
      </c>
      <c r="E522" s="53" t="s">
        <v>1299</v>
      </c>
    </row>
    <row r="523" spans="1:5" s="73" customFormat="1" x14ac:dyDescent="0.25">
      <c r="A523" s="316"/>
      <c r="B523" s="318"/>
      <c r="C523" s="136"/>
      <c r="D523" s="136" t="s">
        <v>530</v>
      </c>
      <c r="E523" s="53" t="s">
        <v>1300</v>
      </c>
    </row>
    <row r="524" spans="1:5" s="73" customFormat="1" x14ac:dyDescent="0.25">
      <c r="A524" s="316"/>
      <c r="B524" s="318"/>
      <c r="C524" s="136"/>
      <c r="D524" s="136" t="s">
        <v>531</v>
      </c>
      <c r="E524" s="53" t="s">
        <v>1301</v>
      </c>
    </row>
    <row r="525" spans="1:5" s="73" customFormat="1" x14ac:dyDescent="0.25">
      <c r="A525" s="316"/>
      <c r="B525" s="318"/>
      <c r="C525" s="136"/>
      <c r="D525" s="136" t="s">
        <v>532</v>
      </c>
      <c r="E525" s="53" t="s">
        <v>1302</v>
      </c>
    </row>
    <row r="526" spans="1:5" s="73" customFormat="1" x14ac:dyDescent="0.25">
      <c r="A526" s="316"/>
      <c r="B526" s="318"/>
      <c r="C526" s="136"/>
      <c r="D526" s="136" t="s">
        <v>533</v>
      </c>
      <c r="E526" s="53" t="s">
        <v>1303</v>
      </c>
    </row>
    <row r="527" spans="1:5" s="73" customFormat="1" x14ac:dyDescent="0.25">
      <c r="A527" s="316"/>
      <c r="B527" s="318"/>
      <c r="C527" s="136"/>
      <c r="D527" s="136" t="s">
        <v>534</v>
      </c>
      <c r="E527" s="53" t="s">
        <v>1304</v>
      </c>
    </row>
    <row r="528" spans="1:5" s="73" customFormat="1" x14ac:dyDescent="0.25">
      <c r="A528" s="316"/>
      <c r="B528" s="318"/>
      <c r="C528" s="136"/>
      <c r="D528" s="136" t="s">
        <v>535</v>
      </c>
      <c r="E528" s="53" t="s">
        <v>1305</v>
      </c>
    </row>
    <row r="529" spans="1:5" s="73" customFormat="1" x14ac:dyDescent="0.25">
      <c r="A529" s="316"/>
      <c r="B529" s="318"/>
      <c r="C529" s="136"/>
      <c r="D529" s="136" t="s">
        <v>536</v>
      </c>
      <c r="E529" s="53" t="s">
        <v>1306</v>
      </c>
    </row>
    <row r="530" spans="1:5" s="73" customFormat="1" x14ac:dyDescent="0.25">
      <c r="A530" s="316"/>
      <c r="B530" s="318"/>
      <c r="C530" s="136"/>
      <c r="D530" s="136" t="s">
        <v>537</v>
      </c>
      <c r="E530" s="53" t="s">
        <v>1307</v>
      </c>
    </row>
    <row r="531" spans="1:5" s="73" customFormat="1" x14ac:dyDescent="0.25">
      <c r="A531" s="316"/>
      <c r="B531" s="318"/>
      <c r="C531" s="136"/>
      <c r="D531" s="136" t="s">
        <v>538</v>
      </c>
      <c r="E531" s="53" t="s">
        <v>1308</v>
      </c>
    </row>
    <row r="532" spans="1:5" s="73" customFormat="1" x14ac:dyDescent="0.25">
      <c r="A532" s="316"/>
      <c r="B532" s="318"/>
      <c r="C532" s="176" t="s">
        <v>1222</v>
      </c>
      <c r="D532" s="136"/>
      <c r="E532" s="53"/>
    </row>
    <row r="533" spans="1:5" s="73" customFormat="1" x14ac:dyDescent="0.25">
      <c r="A533" s="316"/>
      <c r="B533" s="318"/>
      <c r="C533" s="136"/>
      <c r="D533" s="136" t="s">
        <v>625</v>
      </c>
      <c r="E533" s="53" t="s">
        <v>1309</v>
      </c>
    </row>
    <row r="534" spans="1:5" s="73" customFormat="1" x14ac:dyDescent="0.25">
      <c r="A534" s="316"/>
      <c r="B534" s="318"/>
      <c r="C534" s="136"/>
      <c r="D534" s="136" t="s">
        <v>626</v>
      </c>
      <c r="E534" s="53" t="s">
        <v>1310</v>
      </c>
    </row>
    <row r="535" spans="1:5" s="73" customFormat="1" x14ac:dyDescent="0.25">
      <c r="A535" s="316"/>
      <c r="B535" s="318"/>
      <c r="C535" s="136"/>
      <c r="D535" s="136" t="s">
        <v>627</v>
      </c>
      <c r="E535" s="53" t="s">
        <v>1311</v>
      </c>
    </row>
    <row r="536" spans="1:5" s="73" customFormat="1" x14ac:dyDescent="0.25">
      <c r="A536" s="316"/>
      <c r="B536" s="318"/>
      <c r="C536" s="136"/>
      <c r="D536" s="136" t="s">
        <v>628</v>
      </c>
      <c r="E536" s="53" t="s">
        <v>1312</v>
      </c>
    </row>
    <row r="537" spans="1:5" s="73" customFormat="1" x14ac:dyDescent="0.25">
      <c r="A537" s="316"/>
      <c r="B537" s="318"/>
      <c r="C537" s="136"/>
      <c r="D537" s="136" t="s">
        <v>629</v>
      </c>
      <c r="E537" s="53" t="s">
        <v>1313</v>
      </c>
    </row>
    <row r="538" spans="1:5" s="73" customFormat="1" x14ac:dyDescent="0.25">
      <c r="A538" s="316"/>
      <c r="B538" s="318"/>
      <c r="C538" s="136"/>
      <c r="D538" s="136" t="s">
        <v>630</v>
      </c>
      <c r="E538" s="53" t="s">
        <v>1314</v>
      </c>
    </row>
    <row r="539" spans="1:5" s="73" customFormat="1" x14ac:dyDescent="0.25">
      <c r="A539" s="316"/>
      <c r="B539" s="318"/>
      <c r="C539" s="136"/>
      <c r="D539" s="136" t="s">
        <v>631</v>
      </c>
      <c r="E539" s="53" t="s">
        <v>1315</v>
      </c>
    </row>
    <row r="540" spans="1:5" s="73" customFormat="1" x14ac:dyDescent="0.25">
      <c r="A540" s="316"/>
      <c r="B540" s="318"/>
      <c r="C540" s="136"/>
      <c r="D540" s="136" t="s">
        <v>632</v>
      </c>
      <c r="E540" s="53" t="s">
        <v>1316</v>
      </c>
    </row>
    <row r="541" spans="1:5" s="73" customFormat="1" x14ac:dyDescent="0.25">
      <c r="A541" s="316"/>
      <c r="B541" s="318"/>
      <c r="C541" s="136"/>
      <c r="D541" s="136" t="s">
        <v>633</v>
      </c>
      <c r="E541" s="53" t="s">
        <v>1317</v>
      </c>
    </row>
    <row r="542" spans="1:5" s="73" customFormat="1" x14ac:dyDescent="0.25">
      <c r="A542" s="316"/>
      <c r="B542" s="318"/>
      <c r="C542" s="136"/>
      <c r="D542" s="136" t="s">
        <v>634</v>
      </c>
      <c r="E542" s="53" t="s">
        <v>1318</v>
      </c>
    </row>
    <row r="543" spans="1:5" s="73" customFormat="1" x14ac:dyDescent="0.25">
      <c r="A543" s="316"/>
      <c r="B543" s="318"/>
      <c r="C543" s="136"/>
      <c r="D543" s="136" t="s">
        <v>635</v>
      </c>
      <c r="E543" s="53" t="s">
        <v>1319</v>
      </c>
    </row>
    <row r="544" spans="1:5" s="73" customFormat="1" x14ac:dyDescent="0.25">
      <c r="A544" s="316"/>
      <c r="B544" s="318"/>
      <c r="C544" s="136"/>
      <c r="D544" s="136" t="s">
        <v>636</v>
      </c>
      <c r="E544" s="53" t="s">
        <v>1320</v>
      </c>
    </row>
    <row r="545" spans="1:5" s="73" customFormat="1" x14ac:dyDescent="0.25">
      <c r="A545" s="316"/>
      <c r="B545" s="318"/>
      <c r="C545" s="136"/>
      <c r="D545" s="136" t="s">
        <v>637</v>
      </c>
      <c r="E545" s="53" t="s">
        <v>1321</v>
      </c>
    </row>
    <row r="546" spans="1:5" s="73" customFormat="1" x14ac:dyDescent="0.25">
      <c r="A546" s="316"/>
      <c r="B546" s="318"/>
      <c r="C546" s="136"/>
      <c r="D546" s="136" t="s">
        <v>638</v>
      </c>
      <c r="E546" s="53" t="s">
        <v>1322</v>
      </c>
    </row>
    <row r="547" spans="1:5" s="73" customFormat="1" x14ac:dyDescent="0.25">
      <c r="A547" s="316"/>
      <c r="B547" s="318"/>
      <c r="C547" s="136"/>
      <c r="D547" s="136" t="s">
        <v>639</v>
      </c>
      <c r="E547" s="53" t="s">
        <v>1323</v>
      </c>
    </row>
    <row r="548" spans="1:5" s="73" customFormat="1" x14ac:dyDescent="0.25">
      <c r="A548" s="316"/>
      <c r="B548" s="318"/>
      <c r="C548" s="136"/>
      <c r="D548" s="136" t="s">
        <v>640</v>
      </c>
      <c r="E548" s="53" t="s">
        <v>1324</v>
      </c>
    </row>
    <row r="549" spans="1:5" s="73" customFormat="1" x14ac:dyDescent="0.25">
      <c r="A549" s="316"/>
      <c r="B549" s="318"/>
      <c r="C549" s="136"/>
      <c r="D549" s="136" t="s">
        <v>641</v>
      </c>
      <c r="E549" s="53" t="s">
        <v>1325</v>
      </c>
    </row>
    <row r="550" spans="1:5" s="73" customFormat="1" x14ac:dyDescent="0.25">
      <c r="A550" s="316"/>
      <c r="B550" s="318"/>
      <c r="C550" s="136"/>
      <c r="D550" s="136" t="s">
        <v>642</v>
      </c>
      <c r="E550" s="53" t="s">
        <v>1326</v>
      </c>
    </row>
    <row r="551" spans="1:5" s="73" customFormat="1" x14ac:dyDescent="0.25">
      <c r="A551" s="316"/>
      <c r="B551" s="318"/>
      <c r="C551" s="136"/>
      <c r="D551" s="136" t="s">
        <v>643</v>
      </c>
      <c r="E551" s="53" t="s">
        <v>1327</v>
      </c>
    </row>
    <row r="552" spans="1:5" s="73" customFormat="1" x14ac:dyDescent="0.25">
      <c r="A552" s="316"/>
      <c r="B552" s="318"/>
      <c r="C552" s="136"/>
      <c r="D552" s="136" t="s">
        <v>530</v>
      </c>
      <c r="E552" s="53" t="s">
        <v>1328</v>
      </c>
    </row>
    <row r="553" spans="1:5" s="73" customFormat="1" x14ac:dyDescent="0.25">
      <c r="A553" s="316"/>
      <c r="B553" s="318"/>
      <c r="C553" s="136"/>
      <c r="D553" s="136" t="s">
        <v>531</v>
      </c>
      <c r="E553" s="53" t="s">
        <v>1329</v>
      </c>
    </row>
    <row r="554" spans="1:5" s="73" customFormat="1" x14ac:dyDescent="0.25">
      <c r="A554" s="316"/>
      <c r="B554" s="318"/>
      <c r="C554" s="136"/>
      <c r="D554" s="136" t="s">
        <v>532</v>
      </c>
      <c r="E554" s="53" t="s">
        <v>1330</v>
      </c>
    </row>
    <row r="555" spans="1:5" s="73" customFormat="1" x14ac:dyDescent="0.25">
      <c r="A555" s="316"/>
      <c r="B555" s="318"/>
      <c r="C555" s="136"/>
      <c r="D555" s="136" t="s">
        <v>533</v>
      </c>
      <c r="E555" s="53" t="s">
        <v>1331</v>
      </c>
    </row>
    <row r="556" spans="1:5" s="73" customFormat="1" x14ac:dyDescent="0.25">
      <c r="A556" s="316"/>
      <c r="B556" s="318"/>
      <c r="C556" s="136"/>
      <c r="D556" s="136" t="s">
        <v>534</v>
      </c>
      <c r="E556" s="53" t="s">
        <v>1332</v>
      </c>
    </row>
    <row r="557" spans="1:5" s="73" customFormat="1" x14ac:dyDescent="0.25">
      <c r="A557" s="316"/>
      <c r="B557" s="318"/>
      <c r="C557" s="136"/>
      <c r="D557" s="136" t="s">
        <v>535</v>
      </c>
      <c r="E557" s="53" t="s">
        <v>1333</v>
      </c>
    </row>
    <row r="558" spans="1:5" s="73" customFormat="1" x14ac:dyDescent="0.25">
      <c r="A558" s="316"/>
      <c r="B558" s="318"/>
      <c r="C558" s="136"/>
      <c r="D558" s="136" t="s">
        <v>536</v>
      </c>
      <c r="E558" s="53" t="s">
        <v>1334</v>
      </c>
    </row>
    <row r="559" spans="1:5" s="73" customFormat="1" x14ac:dyDescent="0.25">
      <c r="A559" s="316"/>
      <c r="B559" s="318"/>
      <c r="C559" s="136"/>
      <c r="D559" s="136" t="s">
        <v>537</v>
      </c>
      <c r="E559" s="53" t="s">
        <v>1335</v>
      </c>
    </row>
    <row r="560" spans="1:5" s="73" customFormat="1" x14ac:dyDescent="0.25">
      <c r="A560" s="316"/>
      <c r="B560" s="318"/>
      <c r="C560" s="136"/>
      <c r="D560" s="136" t="s">
        <v>538</v>
      </c>
      <c r="E560" s="53" t="s">
        <v>1336</v>
      </c>
    </row>
    <row r="561" spans="1:5" s="73" customFormat="1" x14ac:dyDescent="0.25">
      <c r="A561" s="316"/>
      <c r="B561" s="318"/>
      <c r="C561" s="176" t="s">
        <v>1223</v>
      </c>
      <c r="D561" s="136"/>
      <c r="E561" s="53"/>
    </row>
    <row r="562" spans="1:5" s="73" customFormat="1" x14ac:dyDescent="0.25">
      <c r="A562" s="316"/>
      <c r="B562" s="318"/>
      <c r="C562" s="136"/>
      <c r="D562" s="136" t="s">
        <v>625</v>
      </c>
      <c r="E562" s="53" t="s">
        <v>1337</v>
      </c>
    </row>
    <row r="563" spans="1:5" s="73" customFormat="1" x14ac:dyDescent="0.25">
      <c r="A563" s="316"/>
      <c r="B563" s="318"/>
      <c r="C563" s="136"/>
      <c r="D563" s="136" t="s">
        <v>626</v>
      </c>
      <c r="E563" s="53" t="s">
        <v>1338</v>
      </c>
    </row>
    <row r="564" spans="1:5" s="73" customFormat="1" x14ac:dyDescent="0.25">
      <c r="A564" s="316"/>
      <c r="B564" s="318"/>
      <c r="C564" s="136"/>
      <c r="D564" s="136" t="s">
        <v>627</v>
      </c>
      <c r="E564" s="53" t="s">
        <v>1339</v>
      </c>
    </row>
    <row r="565" spans="1:5" s="73" customFormat="1" x14ac:dyDescent="0.25">
      <c r="A565" s="316"/>
      <c r="B565" s="318"/>
      <c r="C565" s="136"/>
      <c r="D565" s="136" t="s">
        <v>628</v>
      </c>
      <c r="E565" s="53" t="s">
        <v>1340</v>
      </c>
    </row>
    <row r="566" spans="1:5" s="73" customFormat="1" x14ac:dyDescent="0.25">
      <c r="A566" s="316"/>
      <c r="B566" s="318"/>
      <c r="C566" s="136"/>
      <c r="D566" s="136" t="s">
        <v>629</v>
      </c>
      <c r="E566" s="53" t="s">
        <v>1341</v>
      </c>
    </row>
    <row r="567" spans="1:5" s="73" customFormat="1" x14ac:dyDescent="0.25">
      <c r="A567" s="316"/>
      <c r="B567" s="318"/>
      <c r="C567" s="136"/>
      <c r="D567" s="136" t="s">
        <v>630</v>
      </c>
      <c r="E567" s="53" t="s">
        <v>1342</v>
      </c>
    </row>
    <row r="568" spans="1:5" s="73" customFormat="1" x14ac:dyDescent="0.25">
      <c r="A568" s="316"/>
      <c r="B568" s="318"/>
      <c r="C568" s="136"/>
      <c r="D568" s="136" t="s">
        <v>631</v>
      </c>
      <c r="E568" s="53" t="s">
        <v>1343</v>
      </c>
    </row>
    <row r="569" spans="1:5" s="73" customFormat="1" x14ac:dyDescent="0.25">
      <c r="A569" s="316"/>
      <c r="B569" s="318"/>
      <c r="C569" s="136"/>
      <c r="D569" s="136" t="s">
        <v>632</v>
      </c>
      <c r="E569" s="53" t="s">
        <v>1344</v>
      </c>
    </row>
    <row r="570" spans="1:5" s="73" customFormat="1" x14ac:dyDescent="0.25">
      <c r="A570" s="316"/>
      <c r="B570" s="318"/>
      <c r="C570" s="136"/>
      <c r="D570" s="136" t="s">
        <v>633</v>
      </c>
      <c r="E570" s="53" t="s">
        <v>1345</v>
      </c>
    </row>
    <row r="571" spans="1:5" s="73" customFormat="1" x14ac:dyDescent="0.25">
      <c r="A571" s="316"/>
      <c r="B571" s="318"/>
      <c r="C571" s="136"/>
      <c r="D571" s="136" t="s">
        <v>634</v>
      </c>
      <c r="E571" s="53" t="s">
        <v>1346</v>
      </c>
    </row>
    <row r="572" spans="1:5" s="73" customFormat="1" x14ac:dyDescent="0.25">
      <c r="A572" s="316"/>
      <c r="B572" s="318"/>
      <c r="C572" s="136"/>
      <c r="D572" s="136" t="s">
        <v>635</v>
      </c>
      <c r="E572" s="53" t="s">
        <v>1347</v>
      </c>
    </row>
    <row r="573" spans="1:5" s="73" customFormat="1" x14ac:dyDescent="0.25">
      <c r="A573" s="316"/>
      <c r="B573" s="318"/>
      <c r="C573" s="136"/>
      <c r="D573" s="136" t="s">
        <v>636</v>
      </c>
      <c r="E573" s="53" t="s">
        <v>1348</v>
      </c>
    </row>
    <row r="574" spans="1:5" s="73" customFormat="1" x14ac:dyDescent="0.25">
      <c r="A574" s="316"/>
      <c r="B574" s="318"/>
      <c r="C574" s="136"/>
      <c r="D574" s="136" t="s">
        <v>637</v>
      </c>
      <c r="E574" s="53" t="s">
        <v>1349</v>
      </c>
    </row>
    <row r="575" spans="1:5" s="73" customFormat="1" x14ac:dyDescent="0.25">
      <c r="A575" s="316"/>
      <c r="B575" s="318"/>
      <c r="C575" s="136"/>
      <c r="D575" s="136" t="s">
        <v>638</v>
      </c>
      <c r="E575" s="53" t="s">
        <v>1350</v>
      </c>
    </row>
    <row r="576" spans="1:5" s="73" customFormat="1" x14ac:dyDescent="0.25">
      <c r="A576" s="316"/>
      <c r="B576" s="318"/>
      <c r="C576" s="136"/>
      <c r="D576" s="136" t="s">
        <v>639</v>
      </c>
      <c r="E576" s="53" t="s">
        <v>1351</v>
      </c>
    </row>
    <row r="577" spans="1:5" s="73" customFormat="1" x14ac:dyDescent="0.25">
      <c r="A577" s="316"/>
      <c r="B577" s="318"/>
      <c r="C577" s="136"/>
      <c r="D577" s="136" t="s">
        <v>640</v>
      </c>
      <c r="E577" s="53" t="s">
        <v>1352</v>
      </c>
    </row>
    <row r="578" spans="1:5" s="73" customFormat="1" x14ac:dyDescent="0.25">
      <c r="A578" s="316"/>
      <c r="B578" s="318"/>
      <c r="C578" s="136"/>
      <c r="D578" s="136" t="s">
        <v>641</v>
      </c>
      <c r="E578" s="53" t="s">
        <v>1353</v>
      </c>
    </row>
    <row r="579" spans="1:5" s="73" customFormat="1" x14ac:dyDescent="0.25">
      <c r="A579" s="316"/>
      <c r="B579" s="318"/>
      <c r="C579" s="136"/>
      <c r="D579" s="136" t="s">
        <v>642</v>
      </c>
      <c r="E579" s="53" t="s">
        <v>1354</v>
      </c>
    </row>
    <row r="580" spans="1:5" s="73" customFormat="1" x14ac:dyDescent="0.25">
      <c r="A580" s="316"/>
      <c r="B580" s="318"/>
      <c r="C580" s="136"/>
      <c r="D580" s="136" t="s">
        <v>643</v>
      </c>
      <c r="E580" s="53" t="s">
        <v>1355</v>
      </c>
    </row>
    <row r="581" spans="1:5" s="73" customFormat="1" x14ac:dyDescent="0.25">
      <c r="A581" s="316"/>
      <c r="B581" s="318"/>
      <c r="C581" s="136"/>
      <c r="D581" s="136" t="s">
        <v>530</v>
      </c>
      <c r="E581" s="53" t="s">
        <v>1356</v>
      </c>
    </row>
    <row r="582" spans="1:5" s="73" customFormat="1" x14ac:dyDescent="0.25">
      <c r="A582" s="316"/>
      <c r="B582" s="318"/>
      <c r="C582" s="136"/>
      <c r="D582" s="136" t="s">
        <v>531</v>
      </c>
      <c r="E582" s="53" t="s">
        <v>1357</v>
      </c>
    </row>
    <row r="583" spans="1:5" s="73" customFormat="1" x14ac:dyDescent="0.25">
      <c r="A583" s="316"/>
      <c r="B583" s="318"/>
      <c r="C583" s="136"/>
      <c r="D583" s="136" t="s">
        <v>532</v>
      </c>
      <c r="E583" s="53" t="s">
        <v>1358</v>
      </c>
    </row>
    <row r="584" spans="1:5" s="73" customFormat="1" x14ac:dyDescent="0.25">
      <c r="A584" s="316"/>
      <c r="B584" s="318"/>
      <c r="C584" s="136"/>
      <c r="D584" s="136" t="s">
        <v>533</v>
      </c>
      <c r="E584" s="53" t="s">
        <v>1359</v>
      </c>
    </row>
    <row r="585" spans="1:5" s="73" customFormat="1" x14ac:dyDescent="0.25">
      <c r="A585" s="316"/>
      <c r="B585" s="318"/>
      <c r="C585" s="136"/>
      <c r="D585" s="136" t="s">
        <v>534</v>
      </c>
      <c r="E585" s="53" t="s">
        <v>1360</v>
      </c>
    </row>
    <row r="586" spans="1:5" s="73" customFormat="1" x14ac:dyDescent="0.25">
      <c r="A586" s="316"/>
      <c r="B586" s="318"/>
      <c r="C586" s="136"/>
      <c r="D586" s="136" t="s">
        <v>535</v>
      </c>
      <c r="E586" s="53" t="s">
        <v>1361</v>
      </c>
    </row>
    <row r="587" spans="1:5" s="73" customFormat="1" x14ac:dyDescent="0.25">
      <c r="A587" s="316"/>
      <c r="B587" s="318"/>
      <c r="C587" s="136"/>
      <c r="D587" s="136" t="s">
        <v>536</v>
      </c>
      <c r="E587" s="53" t="s">
        <v>1362</v>
      </c>
    </row>
    <row r="588" spans="1:5" s="73" customFormat="1" x14ac:dyDescent="0.25">
      <c r="A588" s="316"/>
      <c r="B588" s="318"/>
      <c r="C588" s="136"/>
      <c r="D588" s="136" t="s">
        <v>537</v>
      </c>
      <c r="E588" s="53" t="s">
        <v>1363</v>
      </c>
    </row>
    <row r="589" spans="1:5" s="73" customFormat="1" x14ac:dyDescent="0.25">
      <c r="A589" s="316"/>
      <c r="B589" s="318"/>
      <c r="C589" s="136"/>
      <c r="D589" s="136" t="s">
        <v>538</v>
      </c>
      <c r="E589" s="53" t="s">
        <v>1364</v>
      </c>
    </row>
    <row r="590" spans="1:5" s="73" customFormat="1" x14ac:dyDescent="0.25">
      <c r="A590" s="316"/>
      <c r="B590" s="318"/>
      <c r="C590" s="176" t="s">
        <v>1224</v>
      </c>
      <c r="D590" s="136"/>
      <c r="E590" s="53"/>
    </row>
    <row r="591" spans="1:5" s="73" customFormat="1" x14ac:dyDescent="0.25">
      <c r="A591" s="316"/>
      <c r="B591" s="318"/>
      <c r="C591" s="136"/>
      <c r="D591" s="136" t="s">
        <v>625</v>
      </c>
      <c r="E591" s="53" t="s">
        <v>1365</v>
      </c>
    </row>
    <row r="592" spans="1:5" s="73" customFormat="1" x14ac:dyDescent="0.25">
      <c r="A592" s="316"/>
      <c r="B592" s="318"/>
      <c r="C592" s="136"/>
      <c r="D592" s="136" t="s">
        <v>626</v>
      </c>
      <c r="E592" s="53" t="s">
        <v>1366</v>
      </c>
    </row>
    <row r="593" spans="1:5" s="73" customFormat="1" x14ac:dyDescent="0.25">
      <c r="A593" s="316"/>
      <c r="B593" s="318"/>
      <c r="C593" s="136"/>
      <c r="D593" s="136" t="s">
        <v>627</v>
      </c>
      <c r="E593" s="53" t="s">
        <v>1367</v>
      </c>
    </row>
    <row r="594" spans="1:5" s="73" customFormat="1" x14ac:dyDescent="0.25">
      <c r="A594" s="316"/>
      <c r="B594" s="318"/>
      <c r="C594" s="136"/>
      <c r="D594" s="136" t="s">
        <v>628</v>
      </c>
      <c r="E594" s="53" t="s">
        <v>1368</v>
      </c>
    </row>
    <row r="595" spans="1:5" s="73" customFormat="1" x14ac:dyDescent="0.25">
      <c r="A595" s="316"/>
      <c r="B595" s="318"/>
      <c r="C595" s="136"/>
      <c r="D595" s="136" t="s">
        <v>629</v>
      </c>
      <c r="E595" s="53" t="s">
        <v>1369</v>
      </c>
    </row>
    <row r="596" spans="1:5" s="73" customFormat="1" x14ac:dyDescent="0.25">
      <c r="A596" s="316"/>
      <c r="B596" s="318"/>
      <c r="C596" s="136"/>
      <c r="D596" s="136" t="s">
        <v>630</v>
      </c>
      <c r="E596" s="53" t="s">
        <v>1370</v>
      </c>
    </row>
    <row r="597" spans="1:5" s="73" customFormat="1" x14ac:dyDescent="0.25">
      <c r="A597" s="316"/>
      <c r="B597" s="318"/>
      <c r="C597" s="136"/>
      <c r="D597" s="136" t="s">
        <v>631</v>
      </c>
      <c r="E597" s="53" t="s">
        <v>1371</v>
      </c>
    </row>
    <row r="598" spans="1:5" s="73" customFormat="1" x14ac:dyDescent="0.25">
      <c r="A598" s="316"/>
      <c r="B598" s="318"/>
      <c r="C598" s="136"/>
      <c r="D598" s="136" t="s">
        <v>632</v>
      </c>
      <c r="E598" s="53" t="s">
        <v>1372</v>
      </c>
    </row>
    <row r="599" spans="1:5" s="73" customFormat="1" x14ac:dyDescent="0.25">
      <c r="A599" s="316"/>
      <c r="B599" s="318"/>
      <c r="C599" s="136"/>
      <c r="D599" s="136" t="s">
        <v>633</v>
      </c>
      <c r="E599" s="53" t="s">
        <v>1373</v>
      </c>
    </row>
    <row r="600" spans="1:5" s="73" customFormat="1" x14ac:dyDescent="0.25">
      <c r="A600" s="316"/>
      <c r="B600" s="318"/>
      <c r="C600" s="136"/>
      <c r="D600" s="136" t="s">
        <v>634</v>
      </c>
      <c r="E600" s="53" t="s">
        <v>1374</v>
      </c>
    </row>
    <row r="601" spans="1:5" s="73" customFormat="1" x14ac:dyDescent="0.25">
      <c r="A601" s="316"/>
      <c r="B601" s="318"/>
      <c r="C601" s="136"/>
      <c r="D601" s="136" t="s">
        <v>635</v>
      </c>
      <c r="E601" s="53" t="s">
        <v>1375</v>
      </c>
    </row>
    <row r="602" spans="1:5" s="73" customFormat="1" x14ac:dyDescent="0.25">
      <c r="A602" s="316"/>
      <c r="B602" s="318"/>
      <c r="C602" s="136"/>
      <c r="D602" s="136" t="s">
        <v>636</v>
      </c>
      <c r="E602" s="53" t="s">
        <v>1376</v>
      </c>
    </row>
    <row r="603" spans="1:5" s="73" customFormat="1" x14ac:dyDescent="0.25">
      <c r="A603" s="316"/>
      <c r="B603" s="318"/>
      <c r="C603" s="136"/>
      <c r="D603" s="136" t="s">
        <v>637</v>
      </c>
      <c r="E603" s="53" t="s">
        <v>1377</v>
      </c>
    </row>
    <row r="604" spans="1:5" s="73" customFormat="1" x14ac:dyDescent="0.25">
      <c r="A604" s="316"/>
      <c r="B604" s="318"/>
      <c r="C604" s="136"/>
      <c r="D604" s="136" t="s">
        <v>638</v>
      </c>
      <c r="E604" s="53" t="s">
        <v>1378</v>
      </c>
    </row>
    <row r="605" spans="1:5" s="73" customFormat="1" x14ac:dyDescent="0.25">
      <c r="A605" s="316"/>
      <c r="B605" s="318"/>
      <c r="C605" s="136"/>
      <c r="D605" s="136" t="s">
        <v>639</v>
      </c>
      <c r="E605" s="53" t="s">
        <v>1379</v>
      </c>
    </row>
    <row r="606" spans="1:5" s="73" customFormat="1" x14ac:dyDescent="0.25">
      <c r="A606" s="316"/>
      <c r="B606" s="318"/>
      <c r="C606" s="136"/>
      <c r="D606" s="136" t="s">
        <v>640</v>
      </c>
      <c r="E606" s="53" t="s">
        <v>1380</v>
      </c>
    </row>
    <row r="607" spans="1:5" s="73" customFormat="1" x14ac:dyDescent="0.25">
      <c r="A607" s="316"/>
      <c r="B607" s="318"/>
      <c r="C607" s="136"/>
      <c r="D607" s="136" t="s">
        <v>641</v>
      </c>
      <c r="E607" s="53" t="s">
        <v>1381</v>
      </c>
    </row>
    <row r="608" spans="1:5" s="73" customFormat="1" x14ac:dyDescent="0.25">
      <c r="A608" s="316"/>
      <c r="B608" s="318"/>
      <c r="C608" s="136"/>
      <c r="D608" s="136" t="s">
        <v>642</v>
      </c>
      <c r="E608" s="53" t="s">
        <v>1382</v>
      </c>
    </row>
    <row r="609" spans="1:5" s="73" customFormat="1" x14ac:dyDescent="0.25">
      <c r="A609" s="316"/>
      <c r="B609" s="318"/>
      <c r="C609" s="136"/>
      <c r="D609" s="136" t="s">
        <v>643</v>
      </c>
      <c r="E609" s="53" t="s">
        <v>1383</v>
      </c>
    </row>
    <row r="610" spans="1:5" s="73" customFormat="1" x14ac:dyDescent="0.25">
      <c r="A610" s="316"/>
      <c r="B610" s="318"/>
      <c r="C610" s="136"/>
      <c r="D610" s="136" t="s">
        <v>530</v>
      </c>
      <c r="E610" s="53" t="s">
        <v>1384</v>
      </c>
    </row>
    <row r="611" spans="1:5" s="73" customFormat="1" x14ac:dyDescent="0.25">
      <c r="A611" s="316"/>
      <c r="B611" s="318"/>
      <c r="C611" s="136"/>
      <c r="D611" s="136" t="s">
        <v>531</v>
      </c>
      <c r="E611" s="53" t="s">
        <v>1385</v>
      </c>
    </row>
    <row r="612" spans="1:5" s="73" customFormat="1" x14ac:dyDescent="0.25">
      <c r="A612" s="316"/>
      <c r="B612" s="318"/>
      <c r="C612" s="136"/>
      <c r="D612" s="136" t="s">
        <v>532</v>
      </c>
      <c r="E612" s="53" t="s">
        <v>1386</v>
      </c>
    </row>
    <row r="613" spans="1:5" s="73" customFormat="1" x14ac:dyDescent="0.25">
      <c r="A613" s="316"/>
      <c r="B613" s="318"/>
      <c r="C613" s="136"/>
      <c r="D613" s="136" t="s">
        <v>533</v>
      </c>
      <c r="E613" s="53" t="s">
        <v>1387</v>
      </c>
    </row>
    <row r="614" spans="1:5" s="73" customFormat="1" x14ac:dyDescent="0.25">
      <c r="A614" s="316"/>
      <c r="B614" s="318"/>
      <c r="C614" s="136"/>
      <c r="D614" s="136" t="s">
        <v>534</v>
      </c>
      <c r="E614" s="53" t="s">
        <v>1388</v>
      </c>
    </row>
    <row r="615" spans="1:5" s="73" customFormat="1" x14ac:dyDescent="0.25">
      <c r="A615" s="316"/>
      <c r="B615" s="318"/>
      <c r="C615" s="136"/>
      <c r="D615" s="136" t="s">
        <v>535</v>
      </c>
      <c r="E615" s="53" t="s">
        <v>1389</v>
      </c>
    </row>
    <row r="616" spans="1:5" s="73" customFormat="1" x14ac:dyDescent="0.25">
      <c r="A616" s="316"/>
      <c r="B616" s="318"/>
      <c r="C616" s="136"/>
      <c r="D616" s="136" t="s">
        <v>536</v>
      </c>
      <c r="E616" s="53" t="s">
        <v>1390</v>
      </c>
    </row>
    <row r="617" spans="1:5" s="73" customFormat="1" x14ac:dyDescent="0.25">
      <c r="A617" s="316"/>
      <c r="B617" s="318"/>
      <c r="C617" s="136"/>
      <c r="D617" s="136" t="s">
        <v>537</v>
      </c>
      <c r="E617" s="53" t="s">
        <v>1391</v>
      </c>
    </row>
    <row r="618" spans="1:5" s="73" customFormat="1" x14ac:dyDescent="0.25">
      <c r="A618" s="316"/>
      <c r="B618" s="318"/>
      <c r="C618" s="177"/>
      <c r="D618" s="177" t="s">
        <v>538</v>
      </c>
      <c r="E618" s="162" t="s">
        <v>1392</v>
      </c>
    </row>
    <row r="619" spans="1:5" s="73" customFormat="1" ht="15" customHeight="1" x14ac:dyDescent="0.25">
      <c r="A619" s="316"/>
      <c r="B619" s="318"/>
      <c r="C619" s="176" t="s">
        <v>1393</v>
      </c>
      <c r="D619" s="136"/>
      <c r="E619" s="53"/>
    </row>
    <row r="620" spans="1:5" s="73" customFormat="1" x14ac:dyDescent="0.25">
      <c r="A620" s="316"/>
      <c r="B620" s="318"/>
      <c r="C620" s="176" t="s">
        <v>1219</v>
      </c>
      <c r="D620" s="136"/>
      <c r="E620" s="53"/>
    </row>
    <row r="621" spans="1:5" s="73" customFormat="1" x14ac:dyDescent="0.25">
      <c r="A621" s="316"/>
      <c r="B621" s="318"/>
      <c r="C621" s="136"/>
      <c r="D621" s="136" t="s">
        <v>625</v>
      </c>
      <c r="E621" s="53" t="s">
        <v>1394</v>
      </c>
    </row>
    <row r="622" spans="1:5" s="73" customFormat="1" x14ac:dyDescent="0.25">
      <c r="A622" s="316"/>
      <c r="B622" s="318"/>
      <c r="C622" s="136"/>
      <c r="D622" s="136" t="s">
        <v>626</v>
      </c>
      <c r="E622" s="53" t="s">
        <v>1395</v>
      </c>
    </row>
    <row r="623" spans="1:5" s="73" customFormat="1" x14ac:dyDescent="0.25">
      <c r="A623" s="316"/>
      <c r="B623" s="318"/>
      <c r="C623" s="136"/>
      <c r="D623" s="136" t="s">
        <v>627</v>
      </c>
      <c r="E623" s="53" t="s">
        <v>1396</v>
      </c>
    </row>
    <row r="624" spans="1:5" s="73" customFormat="1" x14ac:dyDescent="0.25">
      <c r="A624" s="316"/>
      <c r="B624" s="318"/>
      <c r="C624" s="136"/>
      <c r="D624" s="136" t="s">
        <v>628</v>
      </c>
      <c r="E624" s="53" t="s">
        <v>1397</v>
      </c>
    </row>
    <row r="625" spans="1:5" s="73" customFormat="1" x14ac:dyDescent="0.25">
      <c r="A625" s="316"/>
      <c r="B625" s="318"/>
      <c r="C625" s="136"/>
      <c r="D625" s="136" t="s">
        <v>629</v>
      </c>
      <c r="E625" s="53" t="s">
        <v>1398</v>
      </c>
    </row>
    <row r="626" spans="1:5" s="73" customFormat="1" x14ac:dyDescent="0.25">
      <c r="A626" s="316"/>
      <c r="B626" s="318"/>
      <c r="C626" s="136"/>
      <c r="D626" s="136" t="s">
        <v>630</v>
      </c>
      <c r="E626" s="53" t="s">
        <v>1399</v>
      </c>
    </row>
    <row r="627" spans="1:5" s="73" customFormat="1" x14ac:dyDescent="0.25">
      <c r="A627" s="316"/>
      <c r="B627" s="318"/>
      <c r="C627" s="136"/>
      <c r="D627" s="136" t="s">
        <v>631</v>
      </c>
      <c r="E627" s="53" t="s">
        <v>1400</v>
      </c>
    </row>
    <row r="628" spans="1:5" s="73" customFormat="1" x14ac:dyDescent="0.25">
      <c r="A628" s="316"/>
      <c r="B628" s="318"/>
      <c r="C628" s="136"/>
      <c r="D628" s="136" t="s">
        <v>632</v>
      </c>
      <c r="E628" s="53" t="s">
        <v>1401</v>
      </c>
    </row>
    <row r="629" spans="1:5" s="73" customFormat="1" x14ac:dyDescent="0.25">
      <c r="A629" s="316"/>
      <c r="B629" s="318"/>
      <c r="C629" s="136"/>
      <c r="D629" s="136" t="s">
        <v>633</v>
      </c>
      <c r="E629" s="53" t="s">
        <v>1402</v>
      </c>
    </row>
    <row r="630" spans="1:5" s="73" customFormat="1" x14ac:dyDescent="0.25">
      <c r="A630" s="316"/>
      <c r="B630" s="318"/>
      <c r="C630" s="136"/>
      <c r="D630" s="136" t="s">
        <v>634</v>
      </c>
      <c r="E630" s="53" t="s">
        <v>1403</v>
      </c>
    </row>
    <row r="631" spans="1:5" s="73" customFormat="1" x14ac:dyDescent="0.25">
      <c r="A631" s="316"/>
      <c r="B631" s="318"/>
      <c r="C631" s="136"/>
      <c r="D631" s="136" t="s">
        <v>635</v>
      </c>
      <c r="E631" s="53" t="s">
        <v>1404</v>
      </c>
    </row>
    <row r="632" spans="1:5" s="73" customFormat="1" x14ac:dyDescent="0.25">
      <c r="A632" s="316"/>
      <c r="B632" s="318"/>
      <c r="C632" s="136"/>
      <c r="D632" s="136" t="s">
        <v>636</v>
      </c>
      <c r="E632" s="53" t="s">
        <v>1405</v>
      </c>
    </row>
    <row r="633" spans="1:5" s="73" customFormat="1" x14ac:dyDescent="0.25">
      <c r="A633" s="316"/>
      <c r="B633" s="318"/>
      <c r="C633" s="136"/>
      <c r="D633" s="136" t="s">
        <v>637</v>
      </c>
      <c r="E633" s="53" t="s">
        <v>1406</v>
      </c>
    </row>
    <row r="634" spans="1:5" s="73" customFormat="1" x14ac:dyDescent="0.25">
      <c r="A634" s="316"/>
      <c r="B634" s="318"/>
      <c r="C634" s="136"/>
      <c r="D634" s="136" t="s">
        <v>638</v>
      </c>
      <c r="E634" s="53" t="s">
        <v>1407</v>
      </c>
    </row>
    <row r="635" spans="1:5" s="73" customFormat="1" x14ac:dyDescent="0.25">
      <c r="A635" s="316"/>
      <c r="B635" s="318"/>
      <c r="C635" s="136"/>
      <c r="D635" s="136" t="s">
        <v>639</v>
      </c>
      <c r="E635" s="53" t="s">
        <v>1408</v>
      </c>
    </row>
    <row r="636" spans="1:5" s="73" customFormat="1" x14ac:dyDescent="0.25">
      <c r="A636" s="316"/>
      <c r="B636" s="318"/>
      <c r="C636" s="136"/>
      <c r="D636" s="136" t="s">
        <v>640</v>
      </c>
      <c r="E636" s="53" t="s">
        <v>1409</v>
      </c>
    </row>
    <row r="637" spans="1:5" s="73" customFormat="1" x14ac:dyDescent="0.25">
      <c r="A637" s="316"/>
      <c r="B637" s="318"/>
      <c r="C637" s="136"/>
      <c r="D637" s="136" t="s">
        <v>641</v>
      </c>
      <c r="E637" s="53" t="s">
        <v>1410</v>
      </c>
    </row>
    <row r="638" spans="1:5" s="73" customFormat="1" x14ac:dyDescent="0.25">
      <c r="A638" s="316"/>
      <c r="B638" s="318"/>
      <c r="C638" s="136"/>
      <c r="D638" s="136" t="s">
        <v>642</v>
      </c>
      <c r="E638" s="53" t="s">
        <v>1411</v>
      </c>
    </row>
    <row r="639" spans="1:5" s="73" customFormat="1" x14ac:dyDescent="0.25">
      <c r="A639" s="316"/>
      <c r="B639" s="318"/>
      <c r="C639" s="136"/>
      <c r="D639" s="136" t="s">
        <v>643</v>
      </c>
      <c r="E639" s="53" t="s">
        <v>1412</v>
      </c>
    </row>
    <row r="640" spans="1:5" s="73" customFormat="1" x14ac:dyDescent="0.25">
      <c r="A640" s="316"/>
      <c r="B640" s="318"/>
      <c r="C640" s="136"/>
      <c r="D640" s="136" t="s">
        <v>530</v>
      </c>
      <c r="E640" s="53" t="s">
        <v>1413</v>
      </c>
    </row>
    <row r="641" spans="1:5" s="73" customFormat="1" x14ac:dyDescent="0.25">
      <c r="A641" s="316"/>
      <c r="B641" s="318"/>
      <c r="C641" s="136"/>
      <c r="D641" s="136" t="s">
        <v>531</v>
      </c>
      <c r="E641" s="53" t="s">
        <v>1414</v>
      </c>
    </row>
    <row r="642" spans="1:5" s="73" customFormat="1" x14ac:dyDescent="0.25">
      <c r="A642" s="316"/>
      <c r="B642" s="318"/>
      <c r="C642" s="136"/>
      <c r="D642" s="136" t="s">
        <v>532</v>
      </c>
      <c r="E642" s="53" t="s">
        <v>1415</v>
      </c>
    </row>
    <row r="643" spans="1:5" s="73" customFormat="1" x14ac:dyDescent="0.25">
      <c r="A643" s="316"/>
      <c r="B643" s="318"/>
      <c r="C643" s="136"/>
      <c r="D643" s="136" t="s">
        <v>533</v>
      </c>
      <c r="E643" s="53" t="s">
        <v>1416</v>
      </c>
    </row>
    <row r="644" spans="1:5" s="73" customFormat="1" x14ac:dyDescent="0.25">
      <c r="A644" s="316"/>
      <c r="B644" s="318"/>
      <c r="C644" s="136"/>
      <c r="D644" s="136" t="s">
        <v>534</v>
      </c>
      <c r="E644" s="53" t="s">
        <v>1417</v>
      </c>
    </row>
    <row r="645" spans="1:5" s="73" customFormat="1" x14ac:dyDescent="0.25">
      <c r="A645" s="316"/>
      <c r="B645" s="318"/>
      <c r="C645" s="136"/>
      <c r="D645" s="136" t="s">
        <v>535</v>
      </c>
      <c r="E645" s="53" t="s">
        <v>1418</v>
      </c>
    </row>
    <row r="646" spans="1:5" s="73" customFormat="1" x14ac:dyDescent="0.25">
      <c r="A646" s="316"/>
      <c r="B646" s="318"/>
      <c r="C646" s="136"/>
      <c r="D646" s="136" t="s">
        <v>536</v>
      </c>
      <c r="E646" s="53" t="s">
        <v>1419</v>
      </c>
    </row>
    <row r="647" spans="1:5" s="73" customFormat="1" x14ac:dyDescent="0.25">
      <c r="A647" s="316"/>
      <c r="B647" s="318"/>
      <c r="C647" s="136"/>
      <c r="D647" s="136" t="s">
        <v>537</v>
      </c>
      <c r="E647" s="53" t="s">
        <v>1420</v>
      </c>
    </row>
    <row r="648" spans="1:5" s="73" customFormat="1" x14ac:dyDescent="0.25">
      <c r="A648" s="316"/>
      <c r="B648" s="318"/>
      <c r="C648" s="136"/>
      <c r="D648" s="136" t="s">
        <v>538</v>
      </c>
      <c r="E648" s="53" t="s">
        <v>1421</v>
      </c>
    </row>
    <row r="649" spans="1:5" s="73" customFormat="1" x14ac:dyDescent="0.25">
      <c r="A649" s="316"/>
      <c r="B649" s="318"/>
      <c r="C649" s="176" t="s">
        <v>1220</v>
      </c>
      <c r="D649" s="136"/>
      <c r="E649" s="53"/>
    </row>
    <row r="650" spans="1:5" s="73" customFormat="1" x14ac:dyDescent="0.25">
      <c r="A650" s="316"/>
      <c r="B650" s="318"/>
      <c r="C650" s="136"/>
      <c r="D650" s="136" t="s">
        <v>625</v>
      </c>
      <c r="E650" s="53" t="s">
        <v>1422</v>
      </c>
    </row>
    <row r="651" spans="1:5" s="73" customFormat="1" x14ac:dyDescent="0.25">
      <c r="A651" s="316"/>
      <c r="B651" s="318"/>
      <c r="C651" s="136"/>
      <c r="D651" s="136" t="s">
        <v>626</v>
      </c>
      <c r="E651" s="53" t="s">
        <v>1423</v>
      </c>
    </row>
    <row r="652" spans="1:5" s="73" customFormat="1" x14ac:dyDescent="0.25">
      <c r="A652" s="316"/>
      <c r="B652" s="318"/>
      <c r="C652" s="136"/>
      <c r="D652" s="136" t="s">
        <v>627</v>
      </c>
      <c r="E652" s="53" t="s">
        <v>1424</v>
      </c>
    </row>
    <row r="653" spans="1:5" s="73" customFormat="1" x14ac:dyDescent="0.25">
      <c r="A653" s="316"/>
      <c r="B653" s="318"/>
      <c r="C653" s="136"/>
      <c r="D653" s="136" t="s">
        <v>628</v>
      </c>
      <c r="E653" s="53" t="s">
        <v>1425</v>
      </c>
    </row>
    <row r="654" spans="1:5" s="73" customFormat="1" x14ac:dyDescent="0.25">
      <c r="A654" s="316"/>
      <c r="B654" s="318"/>
      <c r="C654" s="136"/>
      <c r="D654" s="136" t="s">
        <v>629</v>
      </c>
      <c r="E654" s="53" t="s">
        <v>1426</v>
      </c>
    </row>
    <row r="655" spans="1:5" s="73" customFormat="1" x14ac:dyDescent="0.25">
      <c r="A655" s="316"/>
      <c r="B655" s="318"/>
      <c r="C655" s="136"/>
      <c r="D655" s="136" t="s">
        <v>630</v>
      </c>
      <c r="E655" s="53" t="s">
        <v>1427</v>
      </c>
    </row>
    <row r="656" spans="1:5" s="73" customFormat="1" x14ac:dyDescent="0.25">
      <c r="A656" s="316"/>
      <c r="B656" s="318"/>
      <c r="C656" s="136"/>
      <c r="D656" s="136" t="s">
        <v>631</v>
      </c>
      <c r="E656" s="53" t="s">
        <v>1428</v>
      </c>
    </row>
    <row r="657" spans="1:5" s="73" customFormat="1" x14ac:dyDescent="0.25">
      <c r="A657" s="316"/>
      <c r="B657" s="318"/>
      <c r="C657" s="136"/>
      <c r="D657" s="136" t="s">
        <v>632</v>
      </c>
      <c r="E657" s="53" t="s">
        <v>1429</v>
      </c>
    </row>
    <row r="658" spans="1:5" s="73" customFormat="1" x14ac:dyDescent="0.25">
      <c r="A658" s="316"/>
      <c r="B658" s="318"/>
      <c r="C658" s="136"/>
      <c r="D658" s="136" t="s">
        <v>633</v>
      </c>
      <c r="E658" s="53" t="s">
        <v>1430</v>
      </c>
    </row>
    <row r="659" spans="1:5" s="73" customFormat="1" x14ac:dyDescent="0.25">
      <c r="A659" s="316"/>
      <c r="B659" s="318"/>
      <c r="C659" s="136"/>
      <c r="D659" s="136" t="s">
        <v>634</v>
      </c>
      <c r="E659" s="53" t="s">
        <v>1431</v>
      </c>
    </row>
    <row r="660" spans="1:5" s="73" customFormat="1" x14ac:dyDescent="0.25">
      <c r="A660" s="316"/>
      <c r="B660" s="318"/>
      <c r="C660" s="136"/>
      <c r="D660" s="136" t="s">
        <v>635</v>
      </c>
      <c r="E660" s="53" t="s">
        <v>1432</v>
      </c>
    </row>
    <row r="661" spans="1:5" s="73" customFormat="1" x14ac:dyDescent="0.25">
      <c r="A661" s="316"/>
      <c r="B661" s="318"/>
      <c r="C661" s="136"/>
      <c r="D661" s="136" t="s">
        <v>636</v>
      </c>
      <c r="E661" s="53" t="s">
        <v>1433</v>
      </c>
    </row>
    <row r="662" spans="1:5" s="73" customFormat="1" x14ac:dyDescent="0.25">
      <c r="A662" s="316"/>
      <c r="B662" s="318"/>
      <c r="C662" s="136"/>
      <c r="D662" s="136" t="s">
        <v>637</v>
      </c>
      <c r="E662" s="53" t="s">
        <v>1434</v>
      </c>
    </row>
    <row r="663" spans="1:5" s="73" customFormat="1" x14ac:dyDescent="0.25">
      <c r="A663" s="316"/>
      <c r="B663" s="318"/>
      <c r="C663" s="136"/>
      <c r="D663" s="136" t="s">
        <v>638</v>
      </c>
      <c r="E663" s="53" t="s">
        <v>1435</v>
      </c>
    </row>
    <row r="664" spans="1:5" s="73" customFormat="1" x14ac:dyDescent="0.25">
      <c r="A664" s="316"/>
      <c r="B664" s="318"/>
      <c r="C664" s="136"/>
      <c r="D664" s="136" t="s">
        <v>639</v>
      </c>
      <c r="E664" s="53" t="s">
        <v>1436</v>
      </c>
    </row>
    <row r="665" spans="1:5" s="73" customFormat="1" x14ac:dyDescent="0.25">
      <c r="A665" s="316"/>
      <c r="B665" s="318"/>
      <c r="C665" s="136"/>
      <c r="D665" s="136" t="s">
        <v>640</v>
      </c>
      <c r="E665" s="53" t="s">
        <v>1437</v>
      </c>
    </row>
    <row r="666" spans="1:5" s="73" customFormat="1" x14ac:dyDescent="0.25">
      <c r="A666" s="316"/>
      <c r="B666" s="318"/>
      <c r="C666" s="136"/>
      <c r="D666" s="136" t="s">
        <v>641</v>
      </c>
      <c r="E666" s="53" t="s">
        <v>1438</v>
      </c>
    </row>
    <row r="667" spans="1:5" s="73" customFormat="1" x14ac:dyDescent="0.25">
      <c r="A667" s="316"/>
      <c r="B667" s="318"/>
      <c r="C667" s="136"/>
      <c r="D667" s="136" t="s">
        <v>642</v>
      </c>
      <c r="E667" s="53" t="s">
        <v>1439</v>
      </c>
    </row>
    <row r="668" spans="1:5" s="73" customFormat="1" x14ac:dyDescent="0.25">
      <c r="A668" s="316"/>
      <c r="B668" s="318"/>
      <c r="C668" s="136"/>
      <c r="D668" s="136" t="s">
        <v>643</v>
      </c>
      <c r="E668" s="53" t="s">
        <v>1440</v>
      </c>
    </row>
    <row r="669" spans="1:5" s="73" customFormat="1" x14ac:dyDescent="0.25">
      <c r="A669" s="316"/>
      <c r="B669" s="318"/>
      <c r="C669" s="136"/>
      <c r="D669" s="136" t="s">
        <v>530</v>
      </c>
      <c r="E669" s="53" t="s">
        <v>1441</v>
      </c>
    </row>
    <row r="670" spans="1:5" s="73" customFormat="1" x14ac:dyDescent="0.25">
      <c r="A670" s="316"/>
      <c r="B670" s="318"/>
      <c r="C670" s="136"/>
      <c r="D670" s="136" t="s">
        <v>531</v>
      </c>
      <c r="E670" s="53" t="s">
        <v>1442</v>
      </c>
    </row>
    <row r="671" spans="1:5" s="73" customFormat="1" x14ac:dyDescent="0.25">
      <c r="A671" s="316"/>
      <c r="B671" s="318"/>
      <c r="C671" s="136"/>
      <c r="D671" s="136" t="s">
        <v>532</v>
      </c>
      <c r="E671" s="53" t="s">
        <v>1443</v>
      </c>
    </row>
    <row r="672" spans="1:5" s="73" customFormat="1" x14ac:dyDescent="0.25">
      <c r="A672" s="316"/>
      <c r="B672" s="318"/>
      <c r="C672" s="136"/>
      <c r="D672" s="136" t="s">
        <v>533</v>
      </c>
      <c r="E672" s="53" t="s">
        <v>1444</v>
      </c>
    </row>
    <row r="673" spans="1:5" s="73" customFormat="1" x14ac:dyDescent="0.25">
      <c r="A673" s="316"/>
      <c r="B673" s="318"/>
      <c r="C673" s="136"/>
      <c r="D673" s="136" t="s">
        <v>534</v>
      </c>
      <c r="E673" s="53" t="s">
        <v>1445</v>
      </c>
    </row>
    <row r="674" spans="1:5" s="73" customFormat="1" x14ac:dyDescent="0.25">
      <c r="A674" s="316"/>
      <c r="B674" s="318"/>
      <c r="C674" s="136"/>
      <c r="D674" s="136" t="s">
        <v>535</v>
      </c>
      <c r="E674" s="53" t="s">
        <v>1446</v>
      </c>
    </row>
    <row r="675" spans="1:5" s="73" customFormat="1" x14ac:dyDescent="0.25">
      <c r="A675" s="316"/>
      <c r="B675" s="318"/>
      <c r="C675" s="136"/>
      <c r="D675" s="136" t="s">
        <v>536</v>
      </c>
      <c r="E675" s="53" t="s">
        <v>1447</v>
      </c>
    </row>
    <row r="676" spans="1:5" s="73" customFormat="1" x14ac:dyDescent="0.25">
      <c r="A676" s="316"/>
      <c r="B676" s="318"/>
      <c r="C676" s="136"/>
      <c r="D676" s="136" t="s">
        <v>537</v>
      </c>
      <c r="E676" s="53" t="s">
        <v>1448</v>
      </c>
    </row>
    <row r="677" spans="1:5" s="73" customFormat="1" x14ac:dyDescent="0.25">
      <c r="A677" s="316"/>
      <c r="B677" s="318"/>
      <c r="C677" s="136"/>
      <c r="D677" s="136" t="s">
        <v>538</v>
      </c>
      <c r="E677" s="53" t="s">
        <v>1449</v>
      </c>
    </row>
    <row r="678" spans="1:5" s="73" customFormat="1" x14ac:dyDescent="0.25">
      <c r="A678" s="316"/>
      <c r="B678" s="318"/>
      <c r="C678" s="176" t="s">
        <v>1221</v>
      </c>
      <c r="D678" s="136"/>
      <c r="E678" s="53"/>
    </row>
    <row r="679" spans="1:5" s="73" customFormat="1" x14ac:dyDescent="0.25">
      <c r="A679" s="316"/>
      <c r="B679" s="318"/>
      <c r="C679" s="136"/>
      <c r="D679" s="136" t="s">
        <v>625</v>
      </c>
      <c r="E679" s="53" t="s">
        <v>1450</v>
      </c>
    </row>
    <row r="680" spans="1:5" s="73" customFormat="1" x14ac:dyDescent="0.25">
      <c r="A680" s="316"/>
      <c r="B680" s="318"/>
      <c r="C680" s="136"/>
      <c r="D680" s="136" t="s">
        <v>626</v>
      </c>
      <c r="E680" s="53" t="s">
        <v>1451</v>
      </c>
    </row>
    <row r="681" spans="1:5" s="73" customFormat="1" x14ac:dyDescent="0.25">
      <c r="A681" s="316"/>
      <c r="B681" s="318"/>
      <c r="C681" s="136"/>
      <c r="D681" s="136" t="s">
        <v>627</v>
      </c>
      <c r="E681" s="53" t="s">
        <v>1452</v>
      </c>
    </row>
    <row r="682" spans="1:5" s="73" customFormat="1" x14ac:dyDescent="0.25">
      <c r="A682" s="316"/>
      <c r="B682" s="318"/>
      <c r="C682" s="136"/>
      <c r="D682" s="136" t="s">
        <v>628</v>
      </c>
      <c r="E682" s="53" t="s">
        <v>1453</v>
      </c>
    </row>
    <row r="683" spans="1:5" s="73" customFormat="1" x14ac:dyDescent="0.25">
      <c r="A683" s="316"/>
      <c r="B683" s="318"/>
      <c r="C683" s="136"/>
      <c r="D683" s="136" t="s">
        <v>629</v>
      </c>
      <c r="E683" s="53" t="s">
        <v>1454</v>
      </c>
    </row>
    <row r="684" spans="1:5" s="73" customFormat="1" x14ac:dyDescent="0.25">
      <c r="A684" s="316"/>
      <c r="B684" s="318"/>
      <c r="C684" s="136"/>
      <c r="D684" s="136" t="s">
        <v>630</v>
      </c>
      <c r="E684" s="53" t="s">
        <v>1455</v>
      </c>
    </row>
    <row r="685" spans="1:5" s="73" customFormat="1" x14ac:dyDescent="0.25">
      <c r="A685" s="316"/>
      <c r="B685" s="318"/>
      <c r="C685" s="136"/>
      <c r="D685" s="136" t="s">
        <v>631</v>
      </c>
      <c r="E685" s="53" t="s">
        <v>1456</v>
      </c>
    </row>
    <row r="686" spans="1:5" s="73" customFormat="1" x14ac:dyDescent="0.25">
      <c r="A686" s="316"/>
      <c r="B686" s="318"/>
      <c r="C686" s="136"/>
      <c r="D686" s="136" t="s">
        <v>632</v>
      </c>
      <c r="E686" s="53" t="s">
        <v>1457</v>
      </c>
    </row>
    <row r="687" spans="1:5" s="73" customFormat="1" x14ac:dyDescent="0.25">
      <c r="A687" s="316"/>
      <c r="B687" s="318"/>
      <c r="C687" s="136"/>
      <c r="D687" s="136" t="s">
        <v>633</v>
      </c>
      <c r="E687" s="53" t="s">
        <v>1458</v>
      </c>
    </row>
    <row r="688" spans="1:5" s="73" customFormat="1" x14ac:dyDescent="0.25">
      <c r="A688" s="316"/>
      <c r="B688" s="318"/>
      <c r="C688" s="136"/>
      <c r="D688" s="136" t="s">
        <v>634</v>
      </c>
      <c r="E688" s="53" t="s">
        <v>1459</v>
      </c>
    </row>
    <row r="689" spans="1:5" s="73" customFormat="1" x14ac:dyDescent="0.25">
      <c r="A689" s="316"/>
      <c r="B689" s="318"/>
      <c r="C689" s="136"/>
      <c r="D689" s="136" t="s">
        <v>635</v>
      </c>
      <c r="E689" s="53" t="s">
        <v>1460</v>
      </c>
    </row>
    <row r="690" spans="1:5" s="73" customFormat="1" x14ac:dyDescent="0.25">
      <c r="A690" s="316"/>
      <c r="B690" s="318"/>
      <c r="C690" s="136"/>
      <c r="D690" s="136" t="s">
        <v>636</v>
      </c>
      <c r="E690" s="53" t="s">
        <v>1461</v>
      </c>
    </row>
    <row r="691" spans="1:5" s="73" customFormat="1" x14ac:dyDescent="0.25">
      <c r="A691" s="316"/>
      <c r="B691" s="318"/>
      <c r="C691" s="136"/>
      <c r="D691" s="136" t="s">
        <v>637</v>
      </c>
      <c r="E691" s="53" t="s">
        <v>1462</v>
      </c>
    </row>
    <row r="692" spans="1:5" s="73" customFormat="1" x14ac:dyDescent="0.25">
      <c r="A692" s="316"/>
      <c r="B692" s="318"/>
      <c r="C692" s="136"/>
      <c r="D692" s="136" t="s">
        <v>638</v>
      </c>
      <c r="E692" s="53" t="s">
        <v>1463</v>
      </c>
    </row>
    <row r="693" spans="1:5" s="73" customFormat="1" x14ac:dyDescent="0.25">
      <c r="A693" s="316"/>
      <c r="B693" s="318"/>
      <c r="C693" s="136"/>
      <c r="D693" s="136" t="s">
        <v>639</v>
      </c>
      <c r="E693" s="53" t="s">
        <v>1464</v>
      </c>
    </row>
    <row r="694" spans="1:5" s="73" customFormat="1" x14ac:dyDescent="0.25">
      <c r="A694" s="316"/>
      <c r="B694" s="318"/>
      <c r="C694" s="136"/>
      <c r="D694" s="136" t="s">
        <v>640</v>
      </c>
      <c r="E694" s="53" t="s">
        <v>1465</v>
      </c>
    </row>
    <row r="695" spans="1:5" s="73" customFormat="1" x14ac:dyDescent="0.25">
      <c r="A695" s="316"/>
      <c r="B695" s="318"/>
      <c r="C695" s="136"/>
      <c r="D695" s="136" t="s">
        <v>641</v>
      </c>
      <c r="E695" s="53" t="s">
        <v>1466</v>
      </c>
    </row>
    <row r="696" spans="1:5" s="73" customFormat="1" x14ac:dyDescent="0.25">
      <c r="A696" s="316"/>
      <c r="B696" s="318"/>
      <c r="C696" s="136"/>
      <c r="D696" s="136" t="s">
        <v>642</v>
      </c>
      <c r="E696" s="53" t="s">
        <v>1467</v>
      </c>
    </row>
    <row r="697" spans="1:5" s="73" customFormat="1" x14ac:dyDescent="0.25">
      <c r="A697" s="316"/>
      <c r="B697" s="318"/>
      <c r="C697" s="136"/>
      <c r="D697" s="136" t="s">
        <v>643</v>
      </c>
      <c r="E697" s="53" t="s">
        <v>1468</v>
      </c>
    </row>
    <row r="698" spans="1:5" s="73" customFormat="1" x14ac:dyDescent="0.25">
      <c r="A698" s="316"/>
      <c r="B698" s="318"/>
      <c r="C698" s="136"/>
      <c r="D698" s="136" t="s">
        <v>530</v>
      </c>
      <c r="E698" s="53" t="s">
        <v>1469</v>
      </c>
    </row>
    <row r="699" spans="1:5" s="73" customFormat="1" x14ac:dyDescent="0.25">
      <c r="A699" s="316"/>
      <c r="B699" s="318"/>
      <c r="C699" s="136"/>
      <c r="D699" s="136" t="s">
        <v>531</v>
      </c>
      <c r="E699" s="53" t="s">
        <v>1470</v>
      </c>
    </row>
    <row r="700" spans="1:5" s="73" customFormat="1" x14ac:dyDescent="0.25">
      <c r="A700" s="316"/>
      <c r="B700" s="318"/>
      <c r="C700" s="136"/>
      <c r="D700" s="136" t="s">
        <v>532</v>
      </c>
      <c r="E700" s="53" t="s">
        <v>1471</v>
      </c>
    </row>
    <row r="701" spans="1:5" s="73" customFormat="1" x14ac:dyDescent="0.25">
      <c r="A701" s="316"/>
      <c r="B701" s="318"/>
      <c r="C701" s="136"/>
      <c r="D701" s="136" t="s">
        <v>533</v>
      </c>
      <c r="E701" s="53" t="s">
        <v>1472</v>
      </c>
    </row>
    <row r="702" spans="1:5" s="73" customFormat="1" x14ac:dyDescent="0.25">
      <c r="A702" s="316"/>
      <c r="B702" s="318"/>
      <c r="C702" s="136"/>
      <c r="D702" s="136" t="s">
        <v>534</v>
      </c>
      <c r="E702" s="53" t="s">
        <v>1473</v>
      </c>
    </row>
    <row r="703" spans="1:5" s="73" customFormat="1" x14ac:dyDescent="0.25">
      <c r="A703" s="316"/>
      <c r="B703" s="318"/>
      <c r="C703" s="136"/>
      <c r="D703" s="136" t="s">
        <v>535</v>
      </c>
      <c r="E703" s="53" t="s">
        <v>1474</v>
      </c>
    </row>
    <row r="704" spans="1:5" s="73" customFormat="1" x14ac:dyDescent="0.25">
      <c r="A704" s="316"/>
      <c r="B704" s="318"/>
      <c r="C704" s="136"/>
      <c r="D704" s="136" t="s">
        <v>536</v>
      </c>
      <c r="E704" s="53" t="s">
        <v>1475</v>
      </c>
    </row>
    <row r="705" spans="1:5" s="73" customFormat="1" x14ac:dyDescent="0.25">
      <c r="A705" s="316"/>
      <c r="B705" s="318"/>
      <c r="C705" s="136"/>
      <c r="D705" s="136" t="s">
        <v>537</v>
      </c>
      <c r="E705" s="53" t="s">
        <v>1476</v>
      </c>
    </row>
    <row r="706" spans="1:5" s="73" customFormat="1" x14ac:dyDescent="0.25">
      <c r="A706" s="316"/>
      <c r="B706" s="318"/>
      <c r="C706" s="136"/>
      <c r="D706" s="136" t="s">
        <v>538</v>
      </c>
      <c r="E706" s="53" t="s">
        <v>1477</v>
      </c>
    </row>
    <row r="707" spans="1:5" s="73" customFormat="1" x14ac:dyDescent="0.25">
      <c r="A707" s="316"/>
      <c r="B707" s="318"/>
      <c r="C707" s="176" t="s">
        <v>1222</v>
      </c>
      <c r="D707" s="136"/>
      <c r="E707" s="53"/>
    </row>
    <row r="708" spans="1:5" s="73" customFormat="1" x14ac:dyDescent="0.25">
      <c r="A708" s="316"/>
      <c r="B708" s="318"/>
      <c r="C708" s="136"/>
      <c r="D708" s="136" t="s">
        <v>625</v>
      </c>
      <c r="E708" s="53" t="s">
        <v>1478</v>
      </c>
    </row>
    <row r="709" spans="1:5" s="73" customFormat="1" x14ac:dyDescent="0.25">
      <c r="A709" s="316"/>
      <c r="B709" s="318"/>
      <c r="C709" s="136"/>
      <c r="D709" s="136" t="s">
        <v>626</v>
      </c>
      <c r="E709" s="53" t="s">
        <v>1479</v>
      </c>
    </row>
    <row r="710" spans="1:5" s="73" customFormat="1" x14ac:dyDescent="0.25">
      <c r="A710" s="316"/>
      <c r="B710" s="318"/>
      <c r="C710" s="136"/>
      <c r="D710" s="136" t="s">
        <v>627</v>
      </c>
      <c r="E710" s="53" t="s">
        <v>1480</v>
      </c>
    </row>
    <row r="711" spans="1:5" s="73" customFormat="1" x14ac:dyDescent="0.25">
      <c r="A711" s="316"/>
      <c r="B711" s="318"/>
      <c r="C711" s="136"/>
      <c r="D711" s="136" t="s">
        <v>628</v>
      </c>
      <c r="E711" s="53" t="s">
        <v>1481</v>
      </c>
    </row>
    <row r="712" spans="1:5" s="73" customFormat="1" x14ac:dyDescent="0.25">
      <c r="A712" s="316"/>
      <c r="B712" s="318"/>
      <c r="C712" s="136"/>
      <c r="D712" s="136" t="s">
        <v>629</v>
      </c>
      <c r="E712" s="53" t="s">
        <v>1482</v>
      </c>
    </row>
    <row r="713" spans="1:5" s="73" customFormat="1" x14ac:dyDescent="0.25">
      <c r="A713" s="316"/>
      <c r="B713" s="318"/>
      <c r="C713" s="136"/>
      <c r="D713" s="136" t="s">
        <v>630</v>
      </c>
      <c r="E713" s="53" t="s">
        <v>1483</v>
      </c>
    </row>
    <row r="714" spans="1:5" s="73" customFormat="1" x14ac:dyDescent="0.25">
      <c r="A714" s="316"/>
      <c r="B714" s="318"/>
      <c r="C714" s="136"/>
      <c r="D714" s="136" t="s">
        <v>631</v>
      </c>
      <c r="E714" s="53" t="s">
        <v>1484</v>
      </c>
    </row>
    <row r="715" spans="1:5" s="73" customFormat="1" x14ac:dyDescent="0.25">
      <c r="A715" s="316"/>
      <c r="B715" s="318"/>
      <c r="C715" s="136"/>
      <c r="D715" s="136" t="s">
        <v>632</v>
      </c>
      <c r="E715" s="53" t="s">
        <v>1485</v>
      </c>
    </row>
    <row r="716" spans="1:5" s="73" customFormat="1" x14ac:dyDescent="0.25">
      <c r="A716" s="316"/>
      <c r="B716" s="318"/>
      <c r="C716" s="136"/>
      <c r="D716" s="136" t="s">
        <v>633</v>
      </c>
      <c r="E716" s="53" t="s">
        <v>1486</v>
      </c>
    </row>
    <row r="717" spans="1:5" s="73" customFormat="1" x14ac:dyDescent="0.25">
      <c r="A717" s="316"/>
      <c r="B717" s="318"/>
      <c r="C717" s="136"/>
      <c r="D717" s="136" t="s">
        <v>634</v>
      </c>
      <c r="E717" s="53" t="s">
        <v>1487</v>
      </c>
    </row>
    <row r="718" spans="1:5" s="73" customFormat="1" x14ac:dyDescent="0.25">
      <c r="A718" s="316"/>
      <c r="B718" s="318"/>
      <c r="C718" s="136"/>
      <c r="D718" s="136" t="s">
        <v>635</v>
      </c>
      <c r="E718" s="53" t="s">
        <v>1488</v>
      </c>
    </row>
    <row r="719" spans="1:5" s="73" customFormat="1" x14ac:dyDescent="0.25">
      <c r="A719" s="316"/>
      <c r="B719" s="318"/>
      <c r="C719" s="136"/>
      <c r="D719" s="136" t="s">
        <v>636</v>
      </c>
      <c r="E719" s="53" t="s">
        <v>1489</v>
      </c>
    </row>
    <row r="720" spans="1:5" s="73" customFormat="1" x14ac:dyDescent="0.25">
      <c r="A720" s="316"/>
      <c r="B720" s="318"/>
      <c r="C720" s="136"/>
      <c r="D720" s="136" t="s">
        <v>637</v>
      </c>
      <c r="E720" s="53" t="s">
        <v>1490</v>
      </c>
    </row>
    <row r="721" spans="1:5" s="73" customFormat="1" x14ac:dyDescent="0.25">
      <c r="A721" s="316"/>
      <c r="B721" s="318"/>
      <c r="C721" s="136"/>
      <c r="D721" s="136" t="s">
        <v>638</v>
      </c>
      <c r="E721" s="53" t="s">
        <v>1491</v>
      </c>
    </row>
    <row r="722" spans="1:5" s="73" customFormat="1" x14ac:dyDescent="0.25">
      <c r="A722" s="316"/>
      <c r="B722" s="318"/>
      <c r="C722" s="136"/>
      <c r="D722" s="136" t="s">
        <v>639</v>
      </c>
      <c r="E722" s="53" t="s">
        <v>1492</v>
      </c>
    </row>
    <row r="723" spans="1:5" s="73" customFormat="1" x14ac:dyDescent="0.25">
      <c r="A723" s="316"/>
      <c r="B723" s="318"/>
      <c r="C723" s="136"/>
      <c r="D723" s="136" t="s">
        <v>640</v>
      </c>
      <c r="E723" s="53" t="s">
        <v>1493</v>
      </c>
    </row>
    <row r="724" spans="1:5" s="73" customFormat="1" x14ac:dyDescent="0.25">
      <c r="A724" s="316"/>
      <c r="B724" s="318"/>
      <c r="C724" s="136"/>
      <c r="D724" s="136" t="s">
        <v>641</v>
      </c>
      <c r="E724" s="53" t="s">
        <v>1494</v>
      </c>
    </row>
    <row r="725" spans="1:5" s="73" customFormat="1" x14ac:dyDescent="0.25">
      <c r="A725" s="316"/>
      <c r="B725" s="318"/>
      <c r="C725" s="136"/>
      <c r="D725" s="136" t="s">
        <v>642</v>
      </c>
      <c r="E725" s="53" t="s">
        <v>1495</v>
      </c>
    </row>
    <row r="726" spans="1:5" s="73" customFormat="1" x14ac:dyDescent="0.25">
      <c r="A726" s="316"/>
      <c r="B726" s="318"/>
      <c r="C726" s="136"/>
      <c r="D726" s="136" t="s">
        <v>643</v>
      </c>
      <c r="E726" s="53" t="s">
        <v>1496</v>
      </c>
    </row>
    <row r="727" spans="1:5" s="73" customFormat="1" x14ac:dyDescent="0.25">
      <c r="A727" s="316"/>
      <c r="B727" s="318"/>
      <c r="C727" s="136"/>
      <c r="D727" s="136" t="s">
        <v>530</v>
      </c>
      <c r="E727" s="53" t="s">
        <v>1497</v>
      </c>
    </row>
    <row r="728" spans="1:5" s="73" customFormat="1" x14ac:dyDescent="0.25">
      <c r="A728" s="316"/>
      <c r="B728" s="318"/>
      <c r="C728" s="136"/>
      <c r="D728" s="136" t="s">
        <v>531</v>
      </c>
      <c r="E728" s="53" t="s">
        <v>1498</v>
      </c>
    </row>
    <row r="729" spans="1:5" s="73" customFormat="1" x14ac:dyDescent="0.25">
      <c r="A729" s="316"/>
      <c r="B729" s="318"/>
      <c r="C729" s="136"/>
      <c r="D729" s="136" t="s">
        <v>532</v>
      </c>
      <c r="E729" s="53" t="s">
        <v>1499</v>
      </c>
    </row>
    <row r="730" spans="1:5" s="73" customFormat="1" x14ac:dyDescent="0.25">
      <c r="A730" s="316"/>
      <c r="B730" s="318"/>
      <c r="C730" s="136"/>
      <c r="D730" s="136" t="s">
        <v>533</v>
      </c>
      <c r="E730" s="53" t="s">
        <v>1500</v>
      </c>
    </row>
    <row r="731" spans="1:5" s="73" customFormat="1" x14ac:dyDescent="0.25">
      <c r="A731" s="316"/>
      <c r="B731" s="318"/>
      <c r="C731" s="136"/>
      <c r="D731" s="136" t="s">
        <v>534</v>
      </c>
      <c r="E731" s="53" t="s">
        <v>1501</v>
      </c>
    </row>
    <row r="732" spans="1:5" s="73" customFormat="1" x14ac:dyDescent="0.25">
      <c r="A732" s="316"/>
      <c r="B732" s="318"/>
      <c r="C732" s="136"/>
      <c r="D732" s="136" t="s">
        <v>535</v>
      </c>
      <c r="E732" s="53" t="s">
        <v>1502</v>
      </c>
    </row>
    <row r="733" spans="1:5" s="73" customFormat="1" x14ac:dyDescent="0.25">
      <c r="A733" s="316"/>
      <c r="B733" s="318"/>
      <c r="C733" s="136"/>
      <c r="D733" s="136" t="s">
        <v>536</v>
      </c>
      <c r="E733" s="53" t="s">
        <v>1503</v>
      </c>
    </row>
    <row r="734" spans="1:5" s="73" customFormat="1" x14ac:dyDescent="0.25">
      <c r="A734" s="316"/>
      <c r="B734" s="318"/>
      <c r="C734" s="136"/>
      <c r="D734" s="136" t="s">
        <v>537</v>
      </c>
      <c r="E734" s="53" t="s">
        <v>1504</v>
      </c>
    </row>
    <row r="735" spans="1:5" s="73" customFormat="1" x14ac:dyDescent="0.25">
      <c r="A735" s="316"/>
      <c r="B735" s="318"/>
      <c r="C735" s="136"/>
      <c r="D735" s="136" t="s">
        <v>538</v>
      </c>
      <c r="E735" s="53" t="s">
        <v>1505</v>
      </c>
    </row>
    <row r="736" spans="1:5" s="73" customFormat="1" x14ac:dyDescent="0.25">
      <c r="A736" s="316"/>
      <c r="B736" s="318"/>
      <c r="C736" s="176" t="s">
        <v>1223</v>
      </c>
      <c r="D736" s="136"/>
      <c r="E736" s="53"/>
    </row>
    <row r="737" spans="1:5" s="73" customFormat="1" x14ac:dyDescent="0.25">
      <c r="A737" s="316"/>
      <c r="B737" s="318"/>
      <c r="C737" s="136"/>
      <c r="D737" s="136" t="s">
        <v>625</v>
      </c>
      <c r="E737" s="53" t="s">
        <v>1506</v>
      </c>
    </row>
    <row r="738" spans="1:5" s="73" customFormat="1" x14ac:dyDescent="0.25">
      <c r="A738" s="316"/>
      <c r="B738" s="318"/>
      <c r="C738" s="136"/>
      <c r="D738" s="136" t="s">
        <v>626</v>
      </c>
      <c r="E738" s="53" t="s">
        <v>1507</v>
      </c>
    </row>
    <row r="739" spans="1:5" s="73" customFormat="1" x14ac:dyDescent="0.25">
      <c r="A739" s="316"/>
      <c r="B739" s="318"/>
      <c r="C739" s="136"/>
      <c r="D739" s="136" t="s">
        <v>627</v>
      </c>
      <c r="E739" s="53" t="s">
        <v>1508</v>
      </c>
    </row>
    <row r="740" spans="1:5" s="73" customFormat="1" x14ac:dyDescent="0.25">
      <c r="A740" s="316"/>
      <c r="B740" s="318"/>
      <c r="C740" s="136"/>
      <c r="D740" s="136" t="s">
        <v>628</v>
      </c>
      <c r="E740" s="53" t="s">
        <v>1509</v>
      </c>
    </row>
    <row r="741" spans="1:5" s="73" customFormat="1" x14ac:dyDescent="0.25">
      <c r="A741" s="316"/>
      <c r="B741" s="318"/>
      <c r="C741" s="136"/>
      <c r="D741" s="136" t="s">
        <v>629</v>
      </c>
      <c r="E741" s="53" t="s">
        <v>1510</v>
      </c>
    </row>
    <row r="742" spans="1:5" s="73" customFormat="1" x14ac:dyDescent="0.25">
      <c r="A742" s="316"/>
      <c r="B742" s="318"/>
      <c r="C742" s="136"/>
      <c r="D742" s="136" t="s">
        <v>630</v>
      </c>
      <c r="E742" s="53" t="s">
        <v>1511</v>
      </c>
    </row>
    <row r="743" spans="1:5" s="73" customFormat="1" x14ac:dyDescent="0.25">
      <c r="A743" s="316"/>
      <c r="B743" s="318"/>
      <c r="C743" s="136"/>
      <c r="D743" s="136" t="s">
        <v>631</v>
      </c>
      <c r="E743" s="53" t="s">
        <v>1512</v>
      </c>
    </row>
    <row r="744" spans="1:5" s="73" customFormat="1" x14ac:dyDescent="0.25">
      <c r="A744" s="316"/>
      <c r="B744" s="318"/>
      <c r="C744" s="136"/>
      <c r="D744" s="136" t="s">
        <v>632</v>
      </c>
      <c r="E744" s="53" t="s">
        <v>1513</v>
      </c>
    </row>
    <row r="745" spans="1:5" s="73" customFormat="1" x14ac:dyDescent="0.25">
      <c r="A745" s="316"/>
      <c r="B745" s="318"/>
      <c r="C745" s="136"/>
      <c r="D745" s="136" t="s">
        <v>633</v>
      </c>
      <c r="E745" s="53" t="s">
        <v>1514</v>
      </c>
    </row>
    <row r="746" spans="1:5" s="73" customFormat="1" x14ac:dyDescent="0.25">
      <c r="A746" s="316"/>
      <c r="B746" s="318"/>
      <c r="C746" s="136"/>
      <c r="D746" s="136" t="s">
        <v>634</v>
      </c>
      <c r="E746" s="53" t="s">
        <v>1515</v>
      </c>
    </row>
    <row r="747" spans="1:5" s="73" customFormat="1" x14ac:dyDescent="0.25">
      <c r="A747" s="316"/>
      <c r="B747" s="318"/>
      <c r="C747" s="136"/>
      <c r="D747" s="136" t="s">
        <v>635</v>
      </c>
      <c r="E747" s="53" t="s">
        <v>1516</v>
      </c>
    </row>
    <row r="748" spans="1:5" s="73" customFormat="1" x14ac:dyDescent="0.25">
      <c r="A748" s="316"/>
      <c r="B748" s="318"/>
      <c r="C748" s="136"/>
      <c r="D748" s="136" t="s">
        <v>636</v>
      </c>
      <c r="E748" s="53" t="s">
        <v>1517</v>
      </c>
    </row>
    <row r="749" spans="1:5" s="73" customFormat="1" x14ac:dyDescent="0.25">
      <c r="A749" s="316"/>
      <c r="B749" s="318"/>
      <c r="C749" s="136"/>
      <c r="D749" s="136" t="s">
        <v>637</v>
      </c>
      <c r="E749" s="53" t="s">
        <v>1518</v>
      </c>
    </row>
    <row r="750" spans="1:5" s="73" customFormat="1" x14ac:dyDescent="0.25">
      <c r="A750" s="316"/>
      <c r="B750" s="318"/>
      <c r="C750" s="136"/>
      <c r="D750" s="136" t="s">
        <v>638</v>
      </c>
      <c r="E750" s="53" t="s">
        <v>1519</v>
      </c>
    </row>
    <row r="751" spans="1:5" s="73" customFormat="1" x14ac:dyDescent="0.25">
      <c r="A751" s="316"/>
      <c r="B751" s="318"/>
      <c r="C751" s="136"/>
      <c r="D751" s="136" t="s">
        <v>639</v>
      </c>
      <c r="E751" s="53" t="s">
        <v>1520</v>
      </c>
    </row>
    <row r="752" spans="1:5" s="73" customFormat="1" x14ac:dyDescent="0.25">
      <c r="A752" s="316"/>
      <c r="B752" s="318"/>
      <c r="C752" s="136"/>
      <c r="D752" s="136" t="s">
        <v>640</v>
      </c>
      <c r="E752" s="53" t="s">
        <v>1521</v>
      </c>
    </row>
    <row r="753" spans="1:5" s="73" customFormat="1" x14ac:dyDescent="0.25">
      <c r="A753" s="316"/>
      <c r="B753" s="318"/>
      <c r="C753" s="136"/>
      <c r="D753" s="136" t="s">
        <v>641</v>
      </c>
      <c r="E753" s="53" t="s">
        <v>1522</v>
      </c>
    </row>
    <row r="754" spans="1:5" s="73" customFormat="1" x14ac:dyDescent="0.25">
      <c r="A754" s="316"/>
      <c r="B754" s="318"/>
      <c r="C754" s="136"/>
      <c r="D754" s="136" t="s">
        <v>642</v>
      </c>
      <c r="E754" s="53" t="s">
        <v>1523</v>
      </c>
    </row>
    <row r="755" spans="1:5" s="73" customFormat="1" x14ac:dyDescent="0.25">
      <c r="A755" s="316"/>
      <c r="B755" s="318"/>
      <c r="C755" s="136"/>
      <c r="D755" s="136" t="s">
        <v>643</v>
      </c>
      <c r="E755" s="53" t="s">
        <v>1524</v>
      </c>
    </row>
    <row r="756" spans="1:5" s="73" customFormat="1" x14ac:dyDescent="0.25">
      <c r="A756" s="316"/>
      <c r="B756" s="318"/>
      <c r="C756" s="136"/>
      <c r="D756" s="136" t="s">
        <v>530</v>
      </c>
      <c r="E756" s="53" t="s">
        <v>1525</v>
      </c>
    </row>
    <row r="757" spans="1:5" s="73" customFormat="1" x14ac:dyDescent="0.25">
      <c r="A757" s="316"/>
      <c r="B757" s="318"/>
      <c r="C757" s="136"/>
      <c r="D757" s="136" t="s">
        <v>531</v>
      </c>
      <c r="E757" s="53" t="s">
        <v>1526</v>
      </c>
    </row>
    <row r="758" spans="1:5" s="73" customFormat="1" x14ac:dyDescent="0.25">
      <c r="A758" s="316"/>
      <c r="B758" s="318"/>
      <c r="C758" s="136"/>
      <c r="D758" s="136" t="s">
        <v>532</v>
      </c>
      <c r="E758" s="53" t="s">
        <v>1527</v>
      </c>
    </row>
    <row r="759" spans="1:5" s="73" customFormat="1" x14ac:dyDescent="0.25">
      <c r="A759" s="316"/>
      <c r="B759" s="318"/>
      <c r="C759" s="136"/>
      <c r="D759" s="136" t="s">
        <v>533</v>
      </c>
      <c r="E759" s="53" t="s">
        <v>1528</v>
      </c>
    </row>
    <row r="760" spans="1:5" s="73" customFormat="1" x14ac:dyDescent="0.25">
      <c r="A760" s="316"/>
      <c r="B760" s="318"/>
      <c r="C760" s="136"/>
      <c r="D760" s="136" t="s">
        <v>534</v>
      </c>
      <c r="E760" s="53" t="s">
        <v>1529</v>
      </c>
    </row>
    <row r="761" spans="1:5" s="73" customFormat="1" x14ac:dyDescent="0.25">
      <c r="A761" s="316"/>
      <c r="B761" s="318"/>
      <c r="C761" s="136"/>
      <c r="D761" s="136" t="s">
        <v>535</v>
      </c>
      <c r="E761" s="53" t="s">
        <v>1530</v>
      </c>
    </row>
    <row r="762" spans="1:5" s="73" customFormat="1" x14ac:dyDescent="0.25">
      <c r="A762" s="316"/>
      <c r="B762" s="318"/>
      <c r="C762" s="136"/>
      <c r="D762" s="136" t="s">
        <v>536</v>
      </c>
      <c r="E762" s="53" t="s">
        <v>1531</v>
      </c>
    </row>
    <row r="763" spans="1:5" s="73" customFormat="1" x14ac:dyDescent="0.25">
      <c r="A763" s="316"/>
      <c r="B763" s="318"/>
      <c r="C763" s="136"/>
      <c r="D763" s="136" t="s">
        <v>537</v>
      </c>
      <c r="E763" s="53" t="s">
        <v>1532</v>
      </c>
    </row>
    <row r="764" spans="1:5" s="73" customFormat="1" x14ac:dyDescent="0.25">
      <c r="A764" s="316"/>
      <c r="B764" s="318"/>
      <c r="C764" s="136"/>
      <c r="D764" s="136" t="s">
        <v>538</v>
      </c>
      <c r="E764" s="53" t="s">
        <v>1533</v>
      </c>
    </row>
    <row r="765" spans="1:5" s="73" customFormat="1" x14ac:dyDescent="0.25">
      <c r="A765" s="316"/>
      <c r="B765" s="318"/>
      <c r="C765" s="176" t="s">
        <v>1224</v>
      </c>
      <c r="D765" s="136"/>
      <c r="E765" s="53"/>
    </row>
    <row r="766" spans="1:5" s="73" customFormat="1" x14ac:dyDescent="0.25">
      <c r="A766" s="316"/>
      <c r="B766" s="318"/>
      <c r="C766" s="136"/>
      <c r="D766" s="136" t="s">
        <v>625</v>
      </c>
      <c r="E766" s="53" t="s">
        <v>1534</v>
      </c>
    </row>
    <row r="767" spans="1:5" s="73" customFormat="1" x14ac:dyDescent="0.25">
      <c r="A767" s="316"/>
      <c r="B767" s="318"/>
      <c r="C767" s="136"/>
      <c r="D767" s="136" t="s">
        <v>626</v>
      </c>
      <c r="E767" s="53" t="s">
        <v>1535</v>
      </c>
    </row>
    <row r="768" spans="1:5" s="73" customFormat="1" x14ac:dyDescent="0.25">
      <c r="A768" s="316"/>
      <c r="B768" s="318"/>
      <c r="C768" s="136"/>
      <c r="D768" s="136" t="s">
        <v>627</v>
      </c>
      <c r="E768" s="53" t="s">
        <v>1536</v>
      </c>
    </row>
    <row r="769" spans="1:5" s="73" customFormat="1" x14ac:dyDescent="0.25">
      <c r="A769" s="316"/>
      <c r="B769" s="318"/>
      <c r="C769" s="136"/>
      <c r="D769" s="136" t="s">
        <v>628</v>
      </c>
      <c r="E769" s="53" t="s">
        <v>1537</v>
      </c>
    </row>
    <row r="770" spans="1:5" s="73" customFormat="1" x14ac:dyDescent="0.25">
      <c r="A770" s="316"/>
      <c r="B770" s="318"/>
      <c r="C770" s="136"/>
      <c r="D770" s="136" t="s">
        <v>629</v>
      </c>
      <c r="E770" s="53" t="s">
        <v>1538</v>
      </c>
    </row>
    <row r="771" spans="1:5" s="73" customFormat="1" x14ac:dyDescent="0.25">
      <c r="A771" s="316"/>
      <c r="B771" s="318"/>
      <c r="C771" s="136"/>
      <c r="D771" s="136" t="s">
        <v>630</v>
      </c>
      <c r="E771" s="53" t="s">
        <v>1539</v>
      </c>
    </row>
    <row r="772" spans="1:5" s="73" customFormat="1" x14ac:dyDescent="0.25">
      <c r="A772" s="316"/>
      <c r="B772" s="318"/>
      <c r="C772" s="136"/>
      <c r="D772" s="136" t="s">
        <v>631</v>
      </c>
      <c r="E772" s="53" t="s">
        <v>1540</v>
      </c>
    </row>
    <row r="773" spans="1:5" s="73" customFormat="1" x14ac:dyDescent="0.25">
      <c r="A773" s="316"/>
      <c r="B773" s="318"/>
      <c r="C773" s="136"/>
      <c r="D773" s="136" t="s">
        <v>632</v>
      </c>
      <c r="E773" s="53" t="s">
        <v>1541</v>
      </c>
    </row>
    <row r="774" spans="1:5" s="73" customFormat="1" x14ac:dyDescent="0.25">
      <c r="A774" s="316"/>
      <c r="B774" s="318"/>
      <c r="C774" s="136"/>
      <c r="D774" s="136" t="s">
        <v>633</v>
      </c>
      <c r="E774" s="53" t="s">
        <v>1542</v>
      </c>
    </row>
    <row r="775" spans="1:5" s="73" customFormat="1" x14ac:dyDescent="0.25">
      <c r="A775" s="316"/>
      <c r="B775" s="318"/>
      <c r="C775" s="136"/>
      <c r="D775" s="136" t="s">
        <v>634</v>
      </c>
      <c r="E775" s="53" t="s">
        <v>1543</v>
      </c>
    </row>
    <row r="776" spans="1:5" s="73" customFormat="1" x14ac:dyDescent="0.25">
      <c r="A776" s="316"/>
      <c r="B776" s="318"/>
      <c r="C776" s="136"/>
      <c r="D776" s="136" t="s">
        <v>635</v>
      </c>
      <c r="E776" s="53" t="s">
        <v>1544</v>
      </c>
    </row>
    <row r="777" spans="1:5" s="73" customFormat="1" x14ac:dyDescent="0.25">
      <c r="A777" s="316"/>
      <c r="B777" s="318"/>
      <c r="C777" s="136"/>
      <c r="D777" s="136" t="s">
        <v>636</v>
      </c>
      <c r="E777" s="53" t="s">
        <v>1545</v>
      </c>
    </row>
    <row r="778" spans="1:5" s="73" customFormat="1" x14ac:dyDescent="0.25">
      <c r="A778" s="316"/>
      <c r="B778" s="318"/>
      <c r="C778" s="136"/>
      <c r="D778" s="136" t="s">
        <v>637</v>
      </c>
      <c r="E778" s="53" t="s">
        <v>1546</v>
      </c>
    </row>
    <row r="779" spans="1:5" s="73" customFormat="1" x14ac:dyDescent="0.25">
      <c r="A779" s="316"/>
      <c r="B779" s="318"/>
      <c r="C779" s="136"/>
      <c r="D779" s="136" t="s">
        <v>638</v>
      </c>
      <c r="E779" s="53" t="s">
        <v>1547</v>
      </c>
    </row>
    <row r="780" spans="1:5" s="73" customFormat="1" x14ac:dyDescent="0.25">
      <c r="A780" s="316"/>
      <c r="B780" s="318"/>
      <c r="C780" s="136"/>
      <c r="D780" s="136" t="s">
        <v>639</v>
      </c>
      <c r="E780" s="53" t="s">
        <v>1548</v>
      </c>
    </row>
    <row r="781" spans="1:5" s="73" customFormat="1" x14ac:dyDescent="0.25">
      <c r="A781" s="316"/>
      <c r="B781" s="318"/>
      <c r="C781" s="136"/>
      <c r="D781" s="136" t="s">
        <v>640</v>
      </c>
      <c r="E781" s="53" t="s">
        <v>1549</v>
      </c>
    </row>
    <row r="782" spans="1:5" s="73" customFormat="1" x14ac:dyDescent="0.25">
      <c r="A782" s="316"/>
      <c r="B782" s="318"/>
      <c r="C782" s="136"/>
      <c r="D782" s="136" t="s">
        <v>641</v>
      </c>
      <c r="E782" s="53" t="s">
        <v>1550</v>
      </c>
    </row>
    <row r="783" spans="1:5" s="73" customFormat="1" x14ac:dyDescent="0.25">
      <c r="A783" s="316"/>
      <c r="B783" s="318"/>
      <c r="C783" s="136"/>
      <c r="D783" s="136" t="s">
        <v>642</v>
      </c>
      <c r="E783" s="53" t="s">
        <v>1551</v>
      </c>
    </row>
    <row r="784" spans="1:5" s="73" customFormat="1" x14ac:dyDescent="0.25">
      <c r="A784" s="316"/>
      <c r="B784" s="318"/>
      <c r="C784" s="136"/>
      <c r="D784" s="136" t="s">
        <v>643</v>
      </c>
      <c r="E784" s="53" t="s">
        <v>1552</v>
      </c>
    </row>
    <row r="785" spans="1:14" s="73" customFormat="1" x14ac:dyDescent="0.25">
      <c r="A785" s="316"/>
      <c r="B785" s="318"/>
      <c r="C785" s="136"/>
      <c r="D785" s="136" t="s">
        <v>530</v>
      </c>
      <c r="E785" s="53" t="s">
        <v>1553</v>
      </c>
    </row>
    <row r="786" spans="1:14" s="73" customFormat="1" x14ac:dyDescent="0.25">
      <c r="A786" s="316"/>
      <c r="B786" s="318"/>
      <c r="C786" s="136"/>
      <c r="D786" s="136" t="s">
        <v>531</v>
      </c>
      <c r="E786" s="53" t="s">
        <v>1554</v>
      </c>
    </row>
    <row r="787" spans="1:14" s="73" customFormat="1" x14ac:dyDescent="0.25">
      <c r="A787" s="316"/>
      <c r="B787" s="318"/>
      <c r="C787" s="136"/>
      <c r="D787" s="136" t="s">
        <v>532</v>
      </c>
      <c r="E787" s="53" t="s">
        <v>1555</v>
      </c>
    </row>
    <row r="788" spans="1:14" s="73" customFormat="1" x14ac:dyDescent="0.25">
      <c r="A788" s="316"/>
      <c r="B788" s="318"/>
      <c r="C788" s="136"/>
      <c r="D788" s="136" t="s">
        <v>533</v>
      </c>
      <c r="E788" s="53" t="s">
        <v>1556</v>
      </c>
    </row>
    <row r="789" spans="1:14" s="73" customFormat="1" x14ac:dyDescent="0.25">
      <c r="A789" s="316"/>
      <c r="B789" s="318"/>
      <c r="C789" s="136"/>
      <c r="D789" s="136" t="s">
        <v>534</v>
      </c>
      <c r="E789" s="53" t="s">
        <v>1557</v>
      </c>
    </row>
    <row r="790" spans="1:14" s="73" customFormat="1" x14ac:dyDescent="0.25">
      <c r="A790" s="316"/>
      <c r="B790" s="318"/>
      <c r="C790" s="136"/>
      <c r="D790" s="136" t="s">
        <v>535</v>
      </c>
      <c r="E790" s="53" t="s">
        <v>1558</v>
      </c>
    </row>
    <row r="791" spans="1:14" s="73" customFormat="1" x14ac:dyDescent="0.25">
      <c r="A791" s="316"/>
      <c r="B791" s="318"/>
      <c r="C791" s="136"/>
      <c r="D791" s="136" t="s">
        <v>536</v>
      </c>
      <c r="E791" s="53" t="s">
        <v>1559</v>
      </c>
    </row>
    <row r="792" spans="1:14" s="73" customFormat="1" x14ac:dyDescent="0.25">
      <c r="A792" s="316"/>
      <c r="B792" s="318"/>
      <c r="C792" s="136"/>
      <c r="D792" s="136" t="s">
        <v>537</v>
      </c>
      <c r="E792" s="53" t="s">
        <v>1560</v>
      </c>
    </row>
    <row r="793" spans="1:14" s="73" customFormat="1" x14ac:dyDescent="0.25">
      <c r="A793" s="316"/>
      <c r="B793" s="318"/>
      <c r="C793" s="136"/>
      <c r="D793" s="136" t="s">
        <v>538</v>
      </c>
      <c r="E793" s="53" t="s">
        <v>1561</v>
      </c>
    </row>
    <row r="794" spans="1:14" s="111" customFormat="1" ht="15" customHeight="1" x14ac:dyDescent="0.25">
      <c r="A794" s="316"/>
      <c r="B794" s="202" t="s">
        <v>1028</v>
      </c>
      <c r="C794" s="178" t="s">
        <v>1715</v>
      </c>
      <c r="D794" s="178"/>
      <c r="E794" s="163"/>
    </row>
    <row r="795" spans="1:14" ht="15" customHeight="1" x14ac:dyDescent="0.25">
      <c r="A795" s="316"/>
      <c r="B795" s="202"/>
      <c r="C795" s="137"/>
      <c r="D795" s="137" t="s">
        <v>1107</v>
      </c>
      <c r="E795" s="54" t="s">
        <v>1721</v>
      </c>
      <c r="I795" t="s">
        <v>1729</v>
      </c>
      <c r="N795" s="73"/>
    </row>
    <row r="796" spans="1:14" ht="15" customHeight="1" x14ac:dyDescent="0.25">
      <c r="A796" s="316"/>
      <c r="B796" s="202"/>
      <c r="C796" s="137"/>
      <c r="D796" s="137" t="s">
        <v>1113</v>
      </c>
      <c r="E796" s="54" t="s">
        <v>1722</v>
      </c>
      <c r="N796" s="73"/>
    </row>
    <row r="797" spans="1:14" ht="15" customHeight="1" x14ac:dyDescent="0.25">
      <c r="A797" s="316"/>
      <c r="B797" s="202"/>
      <c r="C797" s="137"/>
      <c r="D797" s="137" t="s">
        <v>1108</v>
      </c>
      <c r="E797" s="54" t="s">
        <v>1723</v>
      </c>
      <c r="N797" s="73"/>
    </row>
    <row r="798" spans="1:14" s="73" customFormat="1" ht="15" customHeight="1" x14ac:dyDescent="0.25">
      <c r="A798" s="316"/>
      <c r="B798" s="202"/>
      <c r="C798" s="137"/>
      <c r="D798" s="137" t="s">
        <v>1109</v>
      </c>
      <c r="E798" s="54" t="s">
        <v>1724</v>
      </c>
    </row>
    <row r="799" spans="1:14" s="73" customFormat="1" ht="15" customHeight="1" x14ac:dyDescent="0.25">
      <c r="A799" s="316"/>
      <c r="B799" s="202"/>
      <c r="C799" s="137"/>
      <c r="D799" s="137" t="s">
        <v>1110</v>
      </c>
      <c r="E799" s="54" t="s">
        <v>1725</v>
      </c>
    </row>
    <row r="800" spans="1:14" s="73" customFormat="1" ht="15" customHeight="1" x14ac:dyDescent="0.25">
      <c r="A800" s="316"/>
      <c r="B800" s="202"/>
      <c r="C800" s="137"/>
      <c r="D800" s="137" t="s">
        <v>1111</v>
      </c>
      <c r="E800" s="54" t="s">
        <v>1726</v>
      </c>
    </row>
    <row r="801" spans="1:9" s="73" customFormat="1" ht="15" customHeight="1" x14ac:dyDescent="0.25">
      <c r="A801" s="316"/>
      <c r="B801" s="202"/>
      <c r="C801" s="137"/>
      <c r="D801" s="137" t="s">
        <v>1112</v>
      </c>
      <c r="E801" s="54" t="s">
        <v>1727</v>
      </c>
    </row>
    <row r="802" spans="1:9" ht="15" customHeight="1" x14ac:dyDescent="0.25">
      <c r="A802" s="316"/>
      <c r="B802" s="202"/>
      <c r="C802" s="137"/>
      <c r="D802" s="137" t="s">
        <v>1128</v>
      </c>
      <c r="E802" s="54" t="s">
        <v>1728</v>
      </c>
    </row>
    <row r="803" spans="1:9" s="73" customFormat="1" ht="15" customHeight="1" x14ac:dyDescent="0.25">
      <c r="A803" s="316"/>
      <c r="B803" s="202"/>
      <c r="C803" s="137"/>
      <c r="D803" s="137"/>
      <c r="E803" s="54"/>
    </row>
    <row r="804" spans="1:9" s="111" customFormat="1" ht="15" customHeight="1" x14ac:dyDescent="0.25">
      <c r="A804" s="316"/>
      <c r="B804" s="202"/>
      <c r="C804" s="178" t="s">
        <v>1716</v>
      </c>
      <c r="D804" s="178"/>
      <c r="E804" s="163" t="s">
        <v>1562</v>
      </c>
    </row>
    <row r="805" spans="1:9" s="73" customFormat="1" ht="15" customHeight="1" x14ac:dyDescent="0.25">
      <c r="A805" s="316"/>
      <c r="B805" s="202"/>
      <c r="C805" s="137"/>
      <c r="D805" s="137" t="s">
        <v>1107</v>
      </c>
      <c r="E805" s="54" t="s">
        <v>1563</v>
      </c>
      <c r="I805" s="73" t="s">
        <v>1885</v>
      </c>
    </row>
    <row r="806" spans="1:9" s="73" customFormat="1" ht="15" customHeight="1" x14ac:dyDescent="0.25">
      <c r="A806" s="316"/>
      <c r="B806" s="202"/>
      <c r="C806" s="137"/>
      <c r="D806" s="137" t="s">
        <v>1113</v>
      </c>
      <c r="E806" s="54" t="s">
        <v>1564</v>
      </c>
    </row>
    <row r="807" spans="1:9" s="73" customFormat="1" ht="15" customHeight="1" x14ac:dyDescent="0.25">
      <c r="A807" s="316"/>
      <c r="B807" s="202"/>
      <c r="C807" s="137"/>
      <c r="D807" s="137" t="s">
        <v>1108</v>
      </c>
      <c r="E807" s="54" t="s">
        <v>1565</v>
      </c>
    </row>
    <row r="808" spans="1:9" s="73" customFormat="1" ht="15" customHeight="1" x14ac:dyDescent="0.25">
      <c r="A808" s="316"/>
      <c r="B808" s="202"/>
      <c r="C808" s="137"/>
      <c r="D808" s="137" t="s">
        <v>1109</v>
      </c>
      <c r="E808" s="54" t="s">
        <v>1566</v>
      </c>
    </row>
    <row r="809" spans="1:9" s="73" customFormat="1" ht="15" customHeight="1" x14ac:dyDescent="0.25">
      <c r="A809" s="316"/>
      <c r="B809" s="202"/>
      <c r="C809" s="137"/>
      <c r="D809" s="137" t="s">
        <v>1110</v>
      </c>
      <c r="E809" s="54" t="s">
        <v>1567</v>
      </c>
    </row>
    <row r="810" spans="1:9" s="73" customFormat="1" ht="15" customHeight="1" x14ac:dyDescent="0.25">
      <c r="A810" s="316"/>
      <c r="B810" s="202"/>
      <c r="C810" s="137"/>
      <c r="D810" s="137" t="s">
        <v>1111</v>
      </c>
      <c r="E810" s="54" t="s">
        <v>1568</v>
      </c>
    </row>
    <row r="811" spans="1:9" s="73" customFormat="1" ht="15" customHeight="1" x14ac:dyDescent="0.25">
      <c r="A811" s="316"/>
      <c r="B811" s="202"/>
      <c r="C811" s="137"/>
      <c r="D811" s="137" t="s">
        <v>1112</v>
      </c>
      <c r="E811" s="54" t="s">
        <v>1569</v>
      </c>
    </row>
    <row r="812" spans="1:9" s="73" customFormat="1" ht="15" customHeight="1" x14ac:dyDescent="0.25">
      <c r="A812" s="316"/>
      <c r="B812" s="202"/>
      <c r="C812" s="137"/>
      <c r="D812" s="137" t="s">
        <v>1128</v>
      </c>
      <c r="E812" s="54" t="s">
        <v>1570</v>
      </c>
    </row>
    <row r="813" spans="1:9" ht="15" customHeight="1" x14ac:dyDescent="0.25">
      <c r="A813" s="316"/>
      <c r="B813" s="202"/>
      <c r="C813" s="137" t="s">
        <v>1571</v>
      </c>
      <c r="D813" s="137"/>
      <c r="E813" s="63" t="s">
        <v>1712</v>
      </c>
      <c r="I813" s="73" t="s">
        <v>1711</v>
      </c>
    </row>
    <row r="814" spans="1:9" ht="15" customHeight="1" x14ac:dyDescent="0.25">
      <c r="A814" s="316"/>
      <c r="B814" s="202"/>
      <c r="C814" s="137" t="s">
        <v>180</v>
      </c>
      <c r="D814" s="137"/>
      <c r="E814" s="63" t="s">
        <v>1713</v>
      </c>
      <c r="I814" s="73" t="s">
        <v>1711</v>
      </c>
    </row>
    <row r="815" spans="1:9" s="73" customFormat="1" ht="15" customHeight="1" x14ac:dyDescent="0.25">
      <c r="A815" s="316"/>
      <c r="B815" s="202"/>
      <c r="C815" s="137"/>
      <c r="D815" s="137"/>
      <c r="E815" s="54"/>
    </row>
    <row r="816" spans="1:9" s="111" customFormat="1" ht="15" customHeight="1" x14ac:dyDescent="0.25">
      <c r="A816" s="316"/>
      <c r="B816" s="202"/>
      <c r="C816" s="178" t="s">
        <v>1685</v>
      </c>
      <c r="D816" s="178" t="s">
        <v>1107</v>
      </c>
      <c r="E816" s="197" t="s">
        <v>1719</v>
      </c>
      <c r="I816" s="111" t="s">
        <v>1881</v>
      </c>
    </row>
    <row r="817" spans="1:9" s="111" customFormat="1" ht="15" customHeight="1" x14ac:dyDescent="0.25">
      <c r="A817" s="316"/>
      <c r="B817" s="202"/>
      <c r="C817" s="164" t="s">
        <v>1679</v>
      </c>
      <c r="D817" s="178" t="s">
        <v>1107</v>
      </c>
      <c r="E817" s="197" t="s">
        <v>1720</v>
      </c>
      <c r="I817" s="111" t="s">
        <v>1883</v>
      </c>
    </row>
    <row r="818" spans="1:9" s="73" customFormat="1" ht="15" customHeight="1" x14ac:dyDescent="0.25">
      <c r="A818" s="316"/>
      <c r="B818" s="202"/>
      <c r="C818" s="165" t="s">
        <v>759</v>
      </c>
      <c r="D818" s="137" t="s">
        <v>1107</v>
      </c>
      <c r="E818" s="63" t="s">
        <v>1710</v>
      </c>
      <c r="I818" s="73" t="s">
        <v>1882</v>
      </c>
    </row>
    <row r="819" spans="1:9" s="73" customFormat="1" ht="15" customHeight="1" x14ac:dyDescent="0.25">
      <c r="A819" s="316"/>
      <c r="B819" s="202"/>
      <c r="C819" s="165" t="s">
        <v>760</v>
      </c>
      <c r="D819" s="137" t="s">
        <v>1107</v>
      </c>
      <c r="E819" s="54" t="s">
        <v>1603</v>
      </c>
    </row>
    <row r="820" spans="1:9" s="111" customFormat="1" ht="15" customHeight="1" x14ac:dyDescent="0.25">
      <c r="A820" s="316"/>
      <c r="B820" s="202"/>
      <c r="C820" s="164" t="s">
        <v>1680</v>
      </c>
      <c r="D820" s="178" t="s">
        <v>1107</v>
      </c>
      <c r="E820" s="163" t="s">
        <v>1604</v>
      </c>
    </row>
    <row r="821" spans="1:9" s="73" customFormat="1" ht="15" customHeight="1" x14ac:dyDescent="0.25">
      <c r="A821" s="316"/>
      <c r="B821" s="202"/>
      <c r="C821" s="165" t="s">
        <v>761</v>
      </c>
      <c r="D821" s="137" t="s">
        <v>1107</v>
      </c>
      <c r="E821" s="54" t="s">
        <v>1605</v>
      </c>
    </row>
    <row r="822" spans="1:9" s="73" customFormat="1" ht="15" customHeight="1" x14ac:dyDescent="0.25">
      <c r="A822" s="316"/>
      <c r="B822" s="202"/>
      <c r="C822" s="165" t="s">
        <v>762</v>
      </c>
      <c r="D822" s="137" t="s">
        <v>1107</v>
      </c>
      <c r="E822" s="54" t="s">
        <v>1606</v>
      </c>
    </row>
    <row r="823" spans="1:9" s="73" customFormat="1" ht="15" customHeight="1" x14ac:dyDescent="0.25">
      <c r="A823" s="316"/>
      <c r="B823" s="202"/>
      <c r="C823" s="165" t="s">
        <v>763</v>
      </c>
      <c r="D823" s="137" t="s">
        <v>1107</v>
      </c>
      <c r="E823" s="54" t="s">
        <v>1607</v>
      </c>
    </row>
    <row r="824" spans="1:9" s="73" customFormat="1" ht="15" customHeight="1" x14ac:dyDescent="0.25">
      <c r="A824" s="316"/>
      <c r="B824" s="202"/>
      <c r="C824" s="165" t="s">
        <v>764</v>
      </c>
      <c r="D824" s="137" t="s">
        <v>1107</v>
      </c>
      <c r="E824" s="54" t="s">
        <v>1608</v>
      </c>
    </row>
    <row r="825" spans="1:9" s="73" customFormat="1" ht="15" customHeight="1" x14ac:dyDescent="0.25">
      <c r="A825" s="316"/>
      <c r="B825" s="202"/>
      <c r="C825" s="165" t="s">
        <v>765</v>
      </c>
      <c r="D825" s="137" t="s">
        <v>1107</v>
      </c>
      <c r="E825" s="54" t="s">
        <v>1609</v>
      </c>
    </row>
    <row r="826" spans="1:9" s="73" customFormat="1" ht="15" customHeight="1" x14ac:dyDescent="0.25">
      <c r="A826" s="316"/>
      <c r="B826" s="202"/>
      <c r="C826" s="165" t="s">
        <v>766</v>
      </c>
      <c r="D826" s="137" t="s">
        <v>1107</v>
      </c>
      <c r="E826" s="54" t="s">
        <v>1610</v>
      </c>
    </row>
    <row r="827" spans="1:9" s="73" customFormat="1" ht="15" customHeight="1" x14ac:dyDescent="0.25">
      <c r="A827" s="316"/>
      <c r="B827" s="202"/>
      <c r="C827" s="165" t="s">
        <v>767</v>
      </c>
      <c r="D827" s="137" t="s">
        <v>1107</v>
      </c>
      <c r="E827" s="54" t="s">
        <v>1611</v>
      </c>
    </row>
    <row r="828" spans="1:9" s="73" customFormat="1" ht="15" customHeight="1" x14ac:dyDescent="0.25">
      <c r="A828" s="316"/>
      <c r="B828" s="202"/>
      <c r="C828" s="165" t="s">
        <v>768</v>
      </c>
      <c r="D828" s="137" t="s">
        <v>1107</v>
      </c>
      <c r="E828" s="54" t="s">
        <v>1612</v>
      </c>
    </row>
    <row r="829" spans="1:9" s="73" customFormat="1" ht="15" customHeight="1" x14ac:dyDescent="0.25">
      <c r="A829" s="316"/>
      <c r="B829" s="202"/>
      <c r="C829" s="165" t="s">
        <v>769</v>
      </c>
      <c r="D829" s="137" t="s">
        <v>1107</v>
      </c>
      <c r="E829" s="54" t="s">
        <v>1613</v>
      </c>
    </row>
    <row r="830" spans="1:9" s="73" customFormat="1" ht="15" customHeight="1" x14ac:dyDescent="0.25">
      <c r="A830" s="316"/>
      <c r="B830" s="202"/>
      <c r="C830" s="165" t="s">
        <v>770</v>
      </c>
      <c r="D830" s="137" t="s">
        <v>1107</v>
      </c>
      <c r="E830" s="54" t="s">
        <v>1614</v>
      </c>
    </row>
    <row r="831" spans="1:9" s="73" customFormat="1" ht="15" customHeight="1" x14ac:dyDescent="0.25">
      <c r="A831" s="316"/>
      <c r="B831" s="202"/>
      <c r="C831" s="165" t="s">
        <v>771</v>
      </c>
      <c r="D831" s="137" t="s">
        <v>1107</v>
      </c>
      <c r="E831" s="54" t="s">
        <v>1615</v>
      </c>
    </row>
    <row r="832" spans="1:9" s="111" customFormat="1" ht="15" customHeight="1" x14ac:dyDescent="0.25">
      <c r="A832" s="316"/>
      <c r="B832" s="202"/>
      <c r="C832" s="164" t="s">
        <v>1681</v>
      </c>
      <c r="D832" s="178" t="s">
        <v>1107</v>
      </c>
      <c r="E832" s="163" t="s">
        <v>1616</v>
      </c>
    </row>
    <row r="833" spans="1:5" s="73" customFormat="1" ht="15" customHeight="1" x14ac:dyDescent="0.25">
      <c r="A833" s="316"/>
      <c r="B833" s="202"/>
      <c r="C833" s="165" t="s">
        <v>637</v>
      </c>
      <c r="D833" s="137" t="s">
        <v>1107</v>
      </c>
      <c r="E833" s="54" t="s">
        <v>1617</v>
      </c>
    </row>
    <row r="834" spans="1:5" s="73" customFormat="1" ht="15" customHeight="1" x14ac:dyDescent="0.25">
      <c r="A834" s="316"/>
      <c r="B834" s="202"/>
      <c r="C834" s="165" t="s">
        <v>638</v>
      </c>
      <c r="D834" s="137" t="s">
        <v>1107</v>
      </c>
      <c r="E834" s="54" t="s">
        <v>1618</v>
      </c>
    </row>
    <row r="835" spans="1:5" s="73" customFormat="1" ht="15" customHeight="1" x14ac:dyDescent="0.25">
      <c r="A835" s="316"/>
      <c r="B835" s="202"/>
      <c r="C835" s="165" t="s">
        <v>639</v>
      </c>
      <c r="D835" s="137" t="s">
        <v>1107</v>
      </c>
      <c r="E835" s="54" t="s">
        <v>1619</v>
      </c>
    </row>
    <row r="836" spans="1:5" s="73" customFormat="1" ht="15" customHeight="1" x14ac:dyDescent="0.25">
      <c r="A836" s="316"/>
      <c r="B836" s="202"/>
      <c r="C836" s="165" t="s">
        <v>640</v>
      </c>
      <c r="D836" s="137" t="s">
        <v>1107</v>
      </c>
      <c r="E836" s="54" t="s">
        <v>1620</v>
      </c>
    </row>
    <row r="837" spans="1:5" s="111" customFormat="1" ht="15" customHeight="1" x14ac:dyDescent="0.25">
      <c r="A837" s="316"/>
      <c r="B837" s="202"/>
      <c r="C837" s="164" t="s">
        <v>1682</v>
      </c>
      <c r="D837" s="178" t="s">
        <v>1107</v>
      </c>
      <c r="E837" s="163" t="s">
        <v>1621</v>
      </c>
    </row>
    <row r="838" spans="1:5" s="73" customFormat="1" ht="15" customHeight="1" x14ac:dyDescent="0.25">
      <c r="A838" s="316"/>
      <c r="B838" s="202"/>
      <c r="C838" s="165" t="s">
        <v>641</v>
      </c>
      <c r="D838" s="137" t="s">
        <v>1107</v>
      </c>
      <c r="E838" s="54" t="s">
        <v>1622</v>
      </c>
    </row>
    <row r="839" spans="1:5" s="73" customFormat="1" ht="15" customHeight="1" x14ac:dyDescent="0.25">
      <c r="A839" s="316"/>
      <c r="B839" s="202"/>
      <c r="C839" s="165" t="s">
        <v>642</v>
      </c>
      <c r="D839" s="137" t="s">
        <v>1107</v>
      </c>
      <c r="E839" s="54" t="s">
        <v>1623</v>
      </c>
    </row>
    <row r="840" spans="1:5" s="111" customFormat="1" ht="15" customHeight="1" x14ac:dyDescent="0.25">
      <c r="A840" s="316"/>
      <c r="B840" s="202"/>
      <c r="C840" s="164" t="s">
        <v>1683</v>
      </c>
      <c r="D840" s="178" t="s">
        <v>1107</v>
      </c>
      <c r="E840" s="163" t="s">
        <v>1624</v>
      </c>
    </row>
    <row r="841" spans="1:5" s="73" customFormat="1" ht="15" customHeight="1" x14ac:dyDescent="0.25">
      <c r="A841" s="316"/>
      <c r="B841" s="202"/>
      <c r="C841" s="165" t="s">
        <v>486</v>
      </c>
      <c r="D841" s="137" t="s">
        <v>1107</v>
      </c>
      <c r="E841" s="54" t="s">
        <v>1625</v>
      </c>
    </row>
    <row r="842" spans="1:5" s="73" customFormat="1" ht="15" customHeight="1" x14ac:dyDescent="0.25">
      <c r="A842" s="316"/>
      <c r="B842" s="202"/>
      <c r="C842" s="165" t="s">
        <v>487</v>
      </c>
      <c r="D842" s="137" t="s">
        <v>1107</v>
      </c>
      <c r="E842" s="54" t="s">
        <v>1626</v>
      </c>
    </row>
    <row r="843" spans="1:5" s="73" customFormat="1" ht="15" customHeight="1" x14ac:dyDescent="0.25">
      <c r="A843" s="316"/>
      <c r="B843" s="202"/>
      <c r="C843" s="165" t="s">
        <v>490</v>
      </c>
      <c r="D843" s="137" t="s">
        <v>1107</v>
      </c>
      <c r="E843" s="54" t="s">
        <v>1627</v>
      </c>
    </row>
    <row r="844" spans="1:5" s="73" customFormat="1" ht="15" customHeight="1" x14ac:dyDescent="0.25">
      <c r="A844" s="316"/>
      <c r="B844" s="202"/>
      <c r="C844" s="165" t="s">
        <v>491</v>
      </c>
      <c r="D844" s="137" t="s">
        <v>1107</v>
      </c>
      <c r="E844" s="54" t="s">
        <v>1628</v>
      </c>
    </row>
    <row r="845" spans="1:5" s="111" customFormat="1" ht="15" customHeight="1" x14ac:dyDescent="0.25">
      <c r="A845" s="316"/>
      <c r="B845" s="202"/>
      <c r="C845" s="164" t="s">
        <v>1684</v>
      </c>
      <c r="D845" s="178" t="s">
        <v>1107</v>
      </c>
      <c r="E845" s="163" t="s">
        <v>1629</v>
      </c>
    </row>
    <row r="846" spans="1:5" s="73" customFormat="1" ht="15" customHeight="1" x14ac:dyDescent="0.25">
      <c r="A846" s="316"/>
      <c r="B846" s="202"/>
      <c r="C846" s="165" t="s">
        <v>494</v>
      </c>
      <c r="D846" s="137" t="s">
        <v>1107</v>
      </c>
      <c r="E846" s="54" t="s">
        <v>1630</v>
      </c>
    </row>
    <row r="847" spans="1:5" s="73" customFormat="1" ht="15" customHeight="1" x14ac:dyDescent="0.25">
      <c r="A847" s="316"/>
      <c r="B847" s="202"/>
      <c r="C847" s="165" t="s">
        <v>495</v>
      </c>
      <c r="D847" s="137" t="s">
        <v>1107</v>
      </c>
      <c r="E847" s="54" t="s">
        <v>1631</v>
      </c>
    </row>
    <row r="848" spans="1:5" s="73" customFormat="1" ht="15" customHeight="1" x14ac:dyDescent="0.25">
      <c r="A848" s="316"/>
      <c r="B848" s="202"/>
      <c r="C848" s="165" t="s">
        <v>496</v>
      </c>
      <c r="D848" s="137" t="s">
        <v>1107</v>
      </c>
      <c r="E848" s="54" t="s">
        <v>1632</v>
      </c>
    </row>
    <row r="849" spans="1:5" s="73" customFormat="1" ht="15" customHeight="1" x14ac:dyDescent="0.25">
      <c r="A849" s="316"/>
      <c r="B849" s="202"/>
      <c r="C849" s="165" t="s">
        <v>497</v>
      </c>
      <c r="D849" s="137" t="s">
        <v>1107</v>
      </c>
      <c r="E849" s="54" t="s">
        <v>1633</v>
      </c>
    </row>
    <row r="850" spans="1:5" s="73" customFormat="1" ht="15" customHeight="1" x14ac:dyDescent="0.25">
      <c r="A850" s="316"/>
      <c r="B850" s="202"/>
      <c r="C850" s="165" t="s">
        <v>498</v>
      </c>
      <c r="D850" s="137" t="s">
        <v>1107</v>
      </c>
      <c r="E850" s="54" t="s">
        <v>1634</v>
      </c>
    </row>
    <row r="851" spans="1:5" s="73" customFormat="1" ht="15" customHeight="1" x14ac:dyDescent="0.25">
      <c r="A851" s="316"/>
      <c r="B851" s="202"/>
      <c r="C851" s="165" t="s">
        <v>499</v>
      </c>
      <c r="D851" s="137" t="s">
        <v>1107</v>
      </c>
      <c r="E851" s="54" t="s">
        <v>1635</v>
      </c>
    </row>
    <row r="852" spans="1:5" s="73" customFormat="1" ht="15" customHeight="1" x14ac:dyDescent="0.25">
      <c r="A852" s="316"/>
      <c r="B852" s="202"/>
      <c r="C852" s="165" t="s">
        <v>500</v>
      </c>
      <c r="D852" s="137" t="s">
        <v>1107</v>
      </c>
      <c r="E852" s="54" t="s">
        <v>1636</v>
      </c>
    </row>
    <row r="853" spans="1:5" s="73" customFormat="1" ht="15" customHeight="1" x14ac:dyDescent="0.25">
      <c r="A853" s="316"/>
      <c r="B853" s="202"/>
      <c r="C853" s="165" t="s">
        <v>501</v>
      </c>
      <c r="D853" s="137" t="s">
        <v>1107</v>
      </c>
      <c r="E853" s="54" t="s">
        <v>1637</v>
      </c>
    </row>
    <row r="854" spans="1:5" s="73" customFormat="1" ht="15" customHeight="1" x14ac:dyDescent="0.25">
      <c r="A854" s="316"/>
      <c r="B854" s="202"/>
      <c r="C854" s="199" t="s">
        <v>502</v>
      </c>
      <c r="D854" s="137" t="s">
        <v>1107</v>
      </c>
      <c r="E854" s="54" t="s">
        <v>1638</v>
      </c>
    </row>
    <row r="855" spans="1:5" s="73" customFormat="1" ht="15" customHeight="1" x14ac:dyDescent="0.25">
      <c r="A855" s="316"/>
      <c r="B855" s="202"/>
      <c r="C855" s="198"/>
      <c r="D855" s="137"/>
      <c r="E855" s="198"/>
    </row>
    <row r="856" spans="1:5" s="111" customFormat="1" ht="15" customHeight="1" x14ac:dyDescent="0.25">
      <c r="A856" s="316"/>
      <c r="B856" s="202"/>
      <c r="C856" s="178" t="s">
        <v>1685</v>
      </c>
      <c r="D856" s="178" t="s">
        <v>1639</v>
      </c>
      <c r="E856" s="197" t="s">
        <v>1717</v>
      </c>
    </row>
    <row r="857" spans="1:5" s="111" customFormat="1" ht="15" customHeight="1" x14ac:dyDescent="0.25">
      <c r="A857" s="316"/>
      <c r="B857" s="202"/>
      <c r="C857" s="164" t="s">
        <v>1679</v>
      </c>
      <c r="D857" s="178" t="s">
        <v>1639</v>
      </c>
      <c r="E857" s="197" t="s">
        <v>1718</v>
      </c>
    </row>
    <row r="858" spans="1:5" s="73" customFormat="1" ht="15" customHeight="1" x14ac:dyDescent="0.25">
      <c r="A858" s="316"/>
      <c r="B858" s="202"/>
      <c r="C858" s="165" t="s">
        <v>759</v>
      </c>
      <c r="D858" s="137" t="s">
        <v>1639</v>
      </c>
      <c r="E858" s="63" t="s">
        <v>1714</v>
      </c>
    </row>
    <row r="859" spans="1:5" s="73" customFormat="1" ht="15" customHeight="1" x14ac:dyDescent="0.25">
      <c r="A859" s="316"/>
      <c r="B859" s="202"/>
      <c r="C859" s="165" t="s">
        <v>760</v>
      </c>
      <c r="D859" s="137" t="s">
        <v>1639</v>
      </c>
      <c r="E859" s="54" t="s">
        <v>1640</v>
      </c>
    </row>
    <row r="860" spans="1:5" s="111" customFormat="1" ht="15" customHeight="1" x14ac:dyDescent="0.25">
      <c r="A860" s="316"/>
      <c r="B860" s="202"/>
      <c r="C860" s="164" t="s">
        <v>1680</v>
      </c>
      <c r="D860" s="178" t="s">
        <v>1639</v>
      </c>
      <c r="E860" s="163" t="s">
        <v>1641</v>
      </c>
    </row>
    <row r="861" spans="1:5" s="73" customFormat="1" ht="15" customHeight="1" x14ac:dyDescent="0.25">
      <c r="A861" s="316"/>
      <c r="B861" s="202"/>
      <c r="C861" s="165" t="s">
        <v>761</v>
      </c>
      <c r="D861" s="137" t="s">
        <v>1639</v>
      </c>
      <c r="E861" s="54" t="s">
        <v>1642</v>
      </c>
    </row>
    <row r="862" spans="1:5" s="73" customFormat="1" ht="15" customHeight="1" x14ac:dyDescent="0.25">
      <c r="A862" s="316"/>
      <c r="B862" s="202"/>
      <c r="C862" s="165" t="s">
        <v>762</v>
      </c>
      <c r="D862" s="137" t="s">
        <v>1639</v>
      </c>
      <c r="E862" s="54" t="s">
        <v>1643</v>
      </c>
    </row>
    <row r="863" spans="1:5" s="73" customFormat="1" ht="15" customHeight="1" x14ac:dyDescent="0.25">
      <c r="A863" s="316"/>
      <c r="B863" s="202"/>
      <c r="C863" s="165" t="s">
        <v>763</v>
      </c>
      <c r="D863" s="137" t="s">
        <v>1639</v>
      </c>
      <c r="E863" s="54" t="s">
        <v>1644</v>
      </c>
    </row>
    <row r="864" spans="1:5" s="73" customFormat="1" ht="15" customHeight="1" x14ac:dyDescent="0.25">
      <c r="A864" s="316"/>
      <c r="B864" s="202"/>
      <c r="C864" s="165" t="s">
        <v>764</v>
      </c>
      <c r="D864" s="137" t="s">
        <v>1639</v>
      </c>
      <c r="E864" s="54" t="s">
        <v>1645</v>
      </c>
    </row>
    <row r="865" spans="1:5" s="73" customFormat="1" ht="15" customHeight="1" x14ac:dyDescent="0.25">
      <c r="A865" s="316"/>
      <c r="B865" s="202"/>
      <c r="C865" s="165" t="s">
        <v>765</v>
      </c>
      <c r="D865" s="137" t="s">
        <v>1639</v>
      </c>
      <c r="E865" s="54" t="s">
        <v>1646</v>
      </c>
    </row>
    <row r="866" spans="1:5" s="73" customFormat="1" ht="15" customHeight="1" x14ac:dyDescent="0.25">
      <c r="A866" s="316"/>
      <c r="B866" s="202"/>
      <c r="C866" s="165" t="s">
        <v>766</v>
      </c>
      <c r="D866" s="137" t="s">
        <v>1639</v>
      </c>
      <c r="E866" s="54" t="s">
        <v>1647</v>
      </c>
    </row>
    <row r="867" spans="1:5" s="73" customFormat="1" ht="15" customHeight="1" x14ac:dyDescent="0.25">
      <c r="A867" s="316"/>
      <c r="B867" s="202"/>
      <c r="C867" s="165" t="s">
        <v>767</v>
      </c>
      <c r="D867" s="137" t="s">
        <v>1639</v>
      </c>
      <c r="E867" s="54" t="s">
        <v>1648</v>
      </c>
    </row>
    <row r="868" spans="1:5" s="73" customFormat="1" ht="15" customHeight="1" x14ac:dyDescent="0.25">
      <c r="A868" s="316"/>
      <c r="B868" s="202"/>
      <c r="C868" s="165" t="s">
        <v>768</v>
      </c>
      <c r="D868" s="137" t="s">
        <v>1639</v>
      </c>
      <c r="E868" s="54" t="s">
        <v>1649</v>
      </c>
    </row>
    <row r="869" spans="1:5" s="73" customFormat="1" ht="15" customHeight="1" x14ac:dyDescent="0.25">
      <c r="A869" s="316"/>
      <c r="B869" s="202"/>
      <c r="C869" s="165" t="s">
        <v>769</v>
      </c>
      <c r="D869" s="137" t="s">
        <v>1639</v>
      </c>
      <c r="E869" s="54" t="s">
        <v>1650</v>
      </c>
    </row>
    <row r="870" spans="1:5" s="73" customFormat="1" ht="15" customHeight="1" x14ac:dyDescent="0.25">
      <c r="A870" s="316"/>
      <c r="B870" s="202"/>
      <c r="C870" s="165" t="s">
        <v>770</v>
      </c>
      <c r="D870" s="137" t="s">
        <v>1639</v>
      </c>
      <c r="E870" s="54" t="s">
        <v>1651</v>
      </c>
    </row>
    <row r="871" spans="1:5" s="73" customFormat="1" ht="15" customHeight="1" x14ac:dyDescent="0.25">
      <c r="A871" s="316"/>
      <c r="B871" s="202"/>
      <c r="C871" s="165" t="s">
        <v>771</v>
      </c>
      <c r="D871" s="137" t="s">
        <v>1639</v>
      </c>
      <c r="E871" s="54" t="s">
        <v>1652</v>
      </c>
    </row>
    <row r="872" spans="1:5" s="111" customFormat="1" ht="15" customHeight="1" x14ac:dyDescent="0.25">
      <c r="A872" s="316"/>
      <c r="B872" s="202"/>
      <c r="C872" s="164" t="s">
        <v>1681</v>
      </c>
      <c r="D872" s="178" t="s">
        <v>1639</v>
      </c>
      <c r="E872" s="163" t="s">
        <v>1653</v>
      </c>
    </row>
    <row r="873" spans="1:5" s="73" customFormat="1" ht="15" customHeight="1" x14ac:dyDescent="0.25">
      <c r="A873" s="316"/>
      <c r="B873" s="202"/>
      <c r="C873" s="165" t="s">
        <v>637</v>
      </c>
      <c r="D873" s="137" t="s">
        <v>1639</v>
      </c>
      <c r="E873" s="54" t="s">
        <v>1654</v>
      </c>
    </row>
    <row r="874" spans="1:5" s="73" customFormat="1" ht="15" customHeight="1" x14ac:dyDescent="0.25">
      <c r="A874" s="316"/>
      <c r="B874" s="202"/>
      <c r="C874" s="165" t="s">
        <v>638</v>
      </c>
      <c r="D874" s="137" t="s">
        <v>1639</v>
      </c>
      <c r="E874" s="54" t="s">
        <v>1655</v>
      </c>
    </row>
    <row r="875" spans="1:5" s="73" customFormat="1" ht="15" customHeight="1" x14ac:dyDescent="0.25">
      <c r="A875" s="316"/>
      <c r="B875" s="202"/>
      <c r="C875" s="165" t="s">
        <v>639</v>
      </c>
      <c r="D875" s="137" t="s">
        <v>1639</v>
      </c>
      <c r="E875" s="54" t="s">
        <v>1656</v>
      </c>
    </row>
    <row r="876" spans="1:5" s="73" customFormat="1" ht="15" customHeight="1" x14ac:dyDescent="0.25">
      <c r="A876" s="316"/>
      <c r="B876" s="202"/>
      <c r="C876" s="165" t="s">
        <v>640</v>
      </c>
      <c r="D876" s="137" t="s">
        <v>1639</v>
      </c>
      <c r="E876" s="54" t="s">
        <v>1657</v>
      </c>
    </row>
    <row r="877" spans="1:5" s="111" customFormat="1" ht="15" customHeight="1" x14ac:dyDescent="0.25">
      <c r="A877" s="316"/>
      <c r="B877" s="202"/>
      <c r="C877" s="164" t="s">
        <v>1682</v>
      </c>
      <c r="D877" s="178" t="s">
        <v>1639</v>
      </c>
      <c r="E877" s="163" t="s">
        <v>1658</v>
      </c>
    </row>
    <row r="878" spans="1:5" s="73" customFormat="1" ht="15" customHeight="1" x14ac:dyDescent="0.25">
      <c r="A878" s="316"/>
      <c r="B878" s="202"/>
      <c r="C878" s="165" t="s">
        <v>641</v>
      </c>
      <c r="D878" s="137" t="s">
        <v>1639</v>
      </c>
      <c r="E878" s="54" t="s">
        <v>1659</v>
      </c>
    </row>
    <row r="879" spans="1:5" s="73" customFormat="1" ht="15" customHeight="1" x14ac:dyDescent="0.25">
      <c r="A879" s="316"/>
      <c r="B879" s="202"/>
      <c r="C879" s="165" t="s">
        <v>642</v>
      </c>
      <c r="D879" s="137" t="s">
        <v>1639</v>
      </c>
      <c r="E879" s="54" t="s">
        <v>1660</v>
      </c>
    </row>
    <row r="880" spans="1:5" s="111" customFormat="1" ht="15" customHeight="1" x14ac:dyDescent="0.25">
      <c r="A880" s="316"/>
      <c r="B880" s="202"/>
      <c r="C880" s="164" t="s">
        <v>1683</v>
      </c>
      <c r="D880" s="178" t="s">
        <v>1639</v>
      </c>
      <c r="E880" s="163" t="s">
        <v>1661</v>
      </c>
    </row>
    <row r="881" spans="1:5" s="73" customFormat="1" ht="15" customHeight="1" x14ac:dyDescent="0.25">
      <c r="A881" s="316"/>
      <c r="B881" s="202"/>
      <c r="C881" s="165" t="s">
        <v>486</v>
      </c>
      <c r="D881" s="137" t="s">
        <v>1639</v>
      </c>
      <c r="E881" s="54" t="s">
        <v>1662</v>
      </c>
    </row>
    <row r="882" spans="1:5" s="73" customFormat="1" ht="15" customHeight="1" x14ac:dyDescent="0.25">
      <c r="A882" s="316"/>
      <c r="B882" s="202"/>
      <c r="C882" s="165" t="s">
        <v>487</v>
      </c>
      <c r="D882" s="137" t="s">
        <v>1639</v>
      </c>
      <c r="E882" s="54" t="s">
        <v>1663</v>
      </c>
    </row>
    <row r="883" spans="1:5" s="73" customFormat="1" ht="15" customHeight="1" x14ac:dyDescent="0.25">
      <c r="A883" s="316"/>
      <c r="B883" s="202"/>
      <c r="C883" s="165" t="s">
        <v>490</v>
      </c>
      <c r="D883" s="137" t="s">
        <v>1639</v>
      </c>
      <c r="E883" s="54" t="s">
        <v>1664</v>
      </c>
    </row>
    <row r="884" spans="1:5" s="73" customFormat="1" ht="15" customHeight="1" x14ac:dyDescent="0.25">
      <c r="A884" s="316"/>
      <c r="B884" s="202"/>
      <c r="C884" s="165" t="s">
        <v>491</v>
      </c>
      <c r="D884" s="137" t="s">
        <v>1639</v>
      </c>
      <c r="E884" s="54" t="s">
        <v>1665</v>
      </c>
    </row>
    <row r="885" spans="1:5" s="111" customFormat="1" ht="15" customHeight="1" x14ac:dyDescent="0.25">
      <c r="A885" s="316"/>
      <c r="B885" s="202"/>
      <c r="C885" s="164" t="s">
        <v>1684</v>
      </c>
      <c r="D885" s="178" t="s">
        <v>1639</v>
      </c>
      <c r="E885" s="163" t="s">
        <v>1666</v>
      </c>
    </row>
    <row r="886" spans="1:5" s="73" customFormat="1" ht="15" customHeight="1" x14ac:dyDescent="0.25">
      <c r="A886" s="316"/>
      <c r="B886" s="202"/>
      <c r="C886" s="165" t="s">
        <v>494</v>
      </c>
      <c r="D886" s="137" t="s">
        <v>1639</v>
      </c>
      <c r="E886" s="54" t="s">
        <v>1667</v>
      </c>
    </row>
    <row r="887" spans="1:5" s="73" customFormat="1" ht="15" customHeight="1" x14ac:dyDescent="0.25">
      <c r="A887" s="316"/>
      <c r="B887" s="202"/>
      <c r="C887" s="165" t="s">
        <v>495</v>
      </c>
      <c r="D887" s="137" t="s">
        <v>1639</v>
      </c>
      <c r="E887" s="54" t="s">
        <v>1668</v>
      </c>
    </row>
    <row r="888" spans="1:5" s="73" customFormat="1" ht="15" customHeight="1" x14ac:dyDescent="0.25">
      <c r="A888" s="316"/>
      <c r="B888" s="202"/>
      <c r="C888" s="165" t="s">
        <v>496</v>
      </c>
      <c r="D888" s="137" t="s">
        <v>1639</v>
      </c>
      <c r="E888" s="54" t="s">
        <v>1669</v>
      </c>
    </row>
    <row r="889" spans="1:5" s="73" customFormat="1" ht="15" customHeight="1" x14ac:dyDescent="0.25">
      <c r="A889" s="316"/>
      <c r="B889" s="202"/>
      <c r="C889" s="165" t="s">
        <v>497</v>
      </c>
      <c r="D889" s="137" t="s">
        <v>1639</v>
      </c>
      <c r="E889" s="54" t="s">
        <v>1670</v>
      </c>
    </row>
    <row r="890" spans="1:5" s="73" customFormat="1" ht="15" customHeight="1" x14ac:dyDescent="0.25">
      <c r="A890" s="316"/>
      <c r="B890" s="202"/>
      <c r="C890" s="165" t="s">
        <v>498</v>
      </c>
      <c r="D890" s="137" t="s">
        <v>1639</v>
      </c>
      <c r="E890" s="54" t="s">
        <v>1671</v>
      </c>
    </row>
    <row r="891" spans="1:5" s="73" customFormat="1" ht="15" customHeight="1" x14ac:dyDescent="0.25">
      <c r="A891" s="316"/>
      <c r="B891" s="202"/>
      <c r="C891" s="165" t="s">
        <v>499</v>
      </c>
      <c r="D891" s="137" t="s">
        <v>1639</v>
      </c>
      <c r="E891" s="54" t="s">
        <v>1672</v>
      </c>
    </row>
    <row r="892" spans="1:5" s="73" customFormat="1" ht="15" customHeight="1" x14ac:dyDescent="0.25">
      <c r="A892" s="316"/>
      <c r="B892" s="202"/>
      <c r="C892" s="165" t="s">
        <v>500</v>
      </c>
      <c r="D892" s="137" t="s">
        <v>1639</v>
      </c>
      <c r="E892" s="54" t="s">
        <v>1673</v>
      </c>
    </row>
    <row r="893" spans="1:5" s="73" customFormat="1" ht="15" customHeight="1" x14ac:dyDescent="0.25">
      <c r="A893" s="316"/>
      <c r="B893" s="202"/>
      <c r="C893" s="165" t="s">
        <v>501</v>
      </c>
      <c r="D893" s="137" t="s">
        <v>1639</v>
      </c>
      <c r="E893" s="54" t="s">
        <v>1674</v>
      </c>
    </row>
    <row r="894" spans="1:5" s="73" customFormat="1" ht="15" customHeight="1" x14ac:dyDescent="0.25">
      <c r="A894" s="316"/>
      <c r="B894" s="202"/>
      <c r="C894" s="199" t="s">
        <v>502</v>
      </c>
      <c r="D894" s="137" t="s">
        <v>1639</v>
      </c>
      <c r="E894" s="54" t="s">
        <v>1675</v>
      </c>
    </row>
    <row r="895" spans="1:5" s="73" customFormat="1" ht="15" customHeight="1" x14ac:dyDescent="0.25">
      <c r="A895" s="316"/>
      <c r="B895" s="202"/>
      <c r="C895" s="199"/>
      <c r="D895" s="137"/>
      <c r="E895" s="54"/>
    </row>
    <row r="896" spans="1:5" s="111" customFormat="1" ht="15" customHeight="1" x14ac:dyDescent="0.25">
      <c r="A896" s="316"/>
      <c r="B896" s="202"/>
      <c r="C896" s="178" t="s">
        <v>1686</v>
      </c>
      <c r="D896" s="178"/>
      <c r="E896" s="197" t="s">
        <v>186</v>
      </c>
    </row>
    <row r="897" spans="1:9" s="73" customFormat="1" ht="15" customHeight="1" x14ac:dyDescent="0.25">
      <c r="A897" s="316"/>
      <c r="B897" s="202"/>
      <c r="C897" s="165" t="s">
        <v>759</v>
      </c>
      <c r="D897" s="137"/>
      <c r="E897" s="54"/>
    </row>
    <row r="898" spans="1:9" s="73" customFormat="1" ht="15" customHeight="1" x14ac:dyDescent="0.25">
      <c r="A898" s="316"/>
      <c r="B898" s="202"/>
      <c r="C898" s="165" t="s">
        <v>763</v>
      </c>
      <c r="D898" s="137"/>
      <c r="E898" s="54"/>
    </row>
    <row r="899" spans="1:9" s="73" customFormat="1" ht="15" customHeight="1" x14ac:dyDescent="0.25">
      <c r="A899" s="316"/>
      <c r="B899" s="202"/>
      <c r="C899" s="165"/>
      <c r="D899" s="137"/>
      <c r="E899" s="54"/>
    </row>
    <row r="900" spans="1:9" s="111" customFormat="1" ht="15" customHeight="1" x14ac:dyDescent="0.25">
      <c r="A900" s="316"/>
      <c r="B900" s="202"/>
      <c r="C900" s="178" t="s">
        <v>1678</v>
      </c>
      <c r="D900" s="178"/>
      <c r="E900" s="197" t="s">
        <v>1689</v>
      </c>
      <c r="I900" s="111" t="s">
        <v>1691</v>
      </c>
    </row>
    <row r="901" spans="1:9" s="111" customFormat="1" ht="15" customHeight="1" x14ac:dyDescent="0.25">
      <c r="A901" s="316"/>
      <c r="B901" s="202"/>
      <c r="C901" s="164" t="s">
        <v>1679</v>
      </c>
      <c r="D901" s="178"/>
      <c r="E901" s="197" t="s">
        <v>1696</v>
      </c>
      <c r="I901" s="111" t="s">
        <v>1884</v>
      </c>
    </row>
    <row r="902" spans="1:9" s="73" customFormat="1" ht="15" customHeight="1" x14ac:dyDescent="0.25">
      <c r="A902" s="316"/>
      <c r="B902" s="202"/>
      <c r="C902" s="165" t="s">
        <v>759</v>
      </c>
      <c r="D902" s="137"/>
      <c r="E902" s="63" t="s">
        <v>1690</v>
      </c>
      <c r="I902" s="73" t="s">
        <v>1692</v>
      </c>
    </row>
    <row r="903" spans="1:9" s="73" customFormat="1" ht="15" customHeight="1" x14ac:dyDescent="0.25">
      <c r="A903" s="316"/>
      <c r="B903" s="202"/>
      <c r="C903" s="165" t="s">
        <v>760</v>
      </c>
      <c r="D903" s="137"/>
      <c r="E903" s="54" t="s">
        <v>1572</v>
      </c>
    </row>
    <row r="904" spans="1:9" s="111" customFormat="1" ht="15" customHeight="1" x14ac:dyDescent="0.25">
      <c r="A904" s="316"/>
      <c r="B904" s="202"/>
      <c r="C904" s="164" t="s">
        <v>1680</v>
      </c>
      <c r="D904" s="178"/>
      <c r="E904" s="163" t="s">
        <v>1702</v>
      </c>
      <c r="I904" s="111" t="s">
        <v>1706</v>
      </c>
    </row>
    <row r="905" spans="1:9" s="73" customFormat="1" ht="15" customHeight="1" x14ac:dyDescent="0.25">
      <c r="A905" s="316"/>
      <c r="B905" s="202"/>
      <c r="C905" s="165" t="s">
        <v>761</v>
      </c>
      <c r="D905" s="137"/>
      <c r="E905" s="54" t="s">
        <v>1573</v>
      </c>
    </row>
    <row r="906" spans="1:9" s="73" customFormat="1" ht="15" customHeight="1" x14ac:dyDescent="0.25">
      <c r="A906" s="316"/>
      <c r="B906" s="202"/>
      <c r="C906" s="165" t="s">
        <v>762</v>
      </c>
      <c r="D906" s="137"/>
      <c r="E906" s="54" t="s">
        <v>1574</v>
      </c>
    </row>
    <row r="907" spans="1:9" s="73" customFormat="1" ht="15" customHeight="1" x14ac:dyDescent="0.25">
      <c r="A907" s="316"/>
      <c r="B907" s="202"/>
      <c r="C907" s="165" t="s">
        <v>763</v>
      </c>
      <c r="D907" s="137"/>
      <c r="E907" s="54" t="s">
        <v>1575</v>
      </c>
    </row>
    <row r="908" spans="1:9" s="73" customFormat="1" ht="15" customHeight="1" x14ac:dyDescent="0.25">
      <c r="A908" s="316"/>
      <c r="B908" s="202"/>
      <c r="C908" s="165" t="s">
        <v>764</v>
      </c>
      <c r="D908" s="137"/>
      <c r="E908" s="54" t="s">
        <v>1576</v>
      </c>
    </row>
    <row r="909" spans="1:9" s="73" customFormat="1" ht="15" customHeight="1" x14ac:dyDescent="0.25">
      <c r="A909" s="316"/>
      <c r="B909" s="202"/>
      <c r="C909" s="165" t="s">
        <v>765</v>
      </c>
      <c r="D909" s="137"/>
      <c r="E909" s="54" t="s">
        <v>1577</v>
      </c>
    </row>
    <row r="910" spans="1:9" s="73" customFormat="1" ht="15" customHeight="1" x14ac:dyDescent="0.25">
      <c r="A910" s="316"/>
      <c r="B910" s="202"/>
      <c r="C910" s="165" t="s">
        <v>766</v>
      </c>
      <c r="D910" s="137"/>
      <c r="E910" s="54" t="s">
        <v>1578</v>
      </c>
    </row>
    <row r="911" spans="1:9" s="73" customFormat="1" ht="15" customHeight="1" x14ac:dyDescent="0.25">
      <c r="A911" s="316"/>
      <c r="B911" s="202"/>
      <c r="C911" s="165" t="s">
        <v>767</v>
      </c>
      <c r="D911" s="137"/>
      <c r="E911" s="54" t="s">
        <v>1579</v>
      </c>
    </row>
    <row r="912" spans="1:9" s="73" customFormat="1" ht="15" customHeight="1" x14ac:dyDescent="0.25">
      <c r="A912" s="316"/>
      <c r="B912" s="202"/>
      <c r="C912" s="165" t="s">
        <v>768</v>
      </c>
      <c r="D912" s="137"/>
      <c r="E912" s="54" t="s">
        <v>1580</v>
      </c>
    </row>
    <row r="913" spans="1:9" s="73" customFormat="1" ht="15" customHeight="1" x14ac:dyDescent="0.25">
      <c r="A913" s="316"/>
      <c r="B913" s="202"/>
      <c r="C913" s="165" t="s">
        <v>769</v>
      </c>
      <c r="D913" s="137"/>
      <c r="E913" s="54" t="s">
        <v>1581</v>
      </c>
    </row>
    <row r="914" spans="1:9" s="73" customFormat="1" ht="15" customHeight="1" x14ac:dyDescent="0.25">
      <c r="A914" s="316"/>
      <c r="B914" s="202"/>
      <c r="C914" s="165" t="s">
        <v>770</v>
      </c>
      <c r="D914" s="137"/>
      <c r="E914" s="54" t="s">
        <v>1582</v>
      </c>
    </row>
    <row r="915" spans="1:9" s="73" customFormat="1" ht="15" customHeight="1" x14ac:dyDescent="0.25">
      <c r="A915" s="316"/>
      <c r="B915" s="202"/>
      <c r="C915" s="165" t="s">
        <v>771</v>
      </c>
      <c r="D915" s="137"/>
      <c r="E915" s="54" t="s">
        <v>1583</v>
      </c>
    </row>
    <row r="916" spans="1:9" s="111" customFormat="1" ht="15" customHeight="1" x14ac:dyDescent="0.25">
      <c r="A916" s="316"/>
      <c r="B916" s="202"/>
      <c r="C916" s="164" t="s">
        <v>1681</v>
      </c>
      <c r="D916" s="178"/>
      <c r="E916" s="163" t="s">
        <v>1698</v>
      </c>
      <c r="I916" s="111" t="s">
        <v>1701</v>
      </c>
    </row>
    <row r="917" spans="1:9" s="73" customFormat="1" ht="15" customHeight="1" x14ac:dyDescent="0.25">
      <c r="A917" s="316"/>
      <c r="B917" s="202"/>
      <c r="C917" s="165" t="s">
        <v>637</v>
      </c>
      <c r="D917" s="137"/>
      <c r="E917" s="54" t="s">
        <v>1584</v>
      </c>
    </row>
    <row r="918" spans="1:9" s="73" customFormat="1" ht="15" customHeight="1" x14ac:dyDescent="0.25">
      <c r="A918" s="316"/>
      <c r="B918" s="202"/>
      <c r="C918" s="165" t="s">
        <v>638</v>
      </c>
      <c r="D918" s="137"/>
      <c r="E918" s="54" t="s">
        <v>1585</v>
      </c>
    </row>
    <row r="919" spans="1:9" s="73" customFormat="1" ht="15" customHeight="1" x14ac:dyDescent="0.25">
      <c r="A919" s="316"/>
      <c r="B919" s="202"/>
      <c r="C919" s="165" t="s">
        <v>639</v>
      </c>
      <c r="D919" s="137"/>
      <c r="E919" s="54" t="s">
        <v>1586</v>
      </c>
    </row>
    <row r="920" spans="1:9" s="73" customFormat="1" ht="15" customHeight="1" x14ac:dyDescent="0.25">
      <c r="A920" s="316"/>
      <c r="B920" s="202"/>
      <c r="C920" s="165" t="s">
        <v>640</v>
      </c>
      <c r="D920" s="137"/>
      <c r="E920" s="54" t="s">
        <v>1587</v>
      </c>
    </row>
    <row r="921" spans="1:9" s="111" customFormat="1" ht="15" customHeight="1" x14ac:dyDescent="0.25">
      <c r="A921" s="316"/>
      <c r="B921" s="202"/>
      <c r="C921" s="164" t="s">
        <v>1682</v>
      </c>
      <c r="D921" s="178"/>
      <c r="E921" s="163" t="s">
        <v>1703</v>
      </c>
      <c r="I921" s="111" t="s">
        <v>1707</v>
      </c>
    </row>
    <row r="922" spans="1:9" s="73" customFormat="1" ht="15" customHeight="1" x14ac:dyDescent="0.25">
      <c r="A922" s="316"/>
      <c r="B922" s="202"/>
      <c r="C922" s="165" t="s">
        <v>641</v>
      </c>
      <c r="D922" s="137"/>
      <c r="E922" s="54" t="s">
        <v>1588</v>
      </c>
    </row>
    <row r="923" spans="1:9" s="73" customFormat="1" ht="15" customHeight="1" x14ac:dyDescent="0.25">
      <c r="A923" s="316"/>
      <c r="B923" s="202"/>
      <c r="C923" s="165" t="s">
        <v>642</v>
      </c>
      <c r="D923" s="137"/>
      <c r="E923" s="54" t="s">
        <v>1589</v>
      </c>
    </row>
    <row r="924" spans="1:9" s="111" customFormat="1" ht="15" customHeight="1" x14ac:dyDescent="0.25">
      <c r="A924" s="316"/>
      <c r="B924" s="202"/>
      <c r="C924" s="164" t="s">
        <v>1683</v>
      </c>
      <c r="D924" s="178"/>
      <c r="E924" s="163" t="s">
        <v>1704</v>
      </c>
      <c r="I924" s="111" t="s">
        <v>1708</v>
      </c>
    </row>
    <row r="925" spans="1:9" s="73" customFormat="1" ht="15" customHeight="1" x14ac:dyDescent="0.25">
      <c r="A925" s="316"/>
      <c r="B925" s="202"/>
      <c r="C925" s="165" t="s">
        <v>486</v>
      </c>
      <c r="D925" s="137"/>
      <c r="E925" s="54" t="s">
        <v>1590</v>
      </c>
    </row>
    <row r="926" spans="1:9" s="73" customFormat="1" ht="15" customHeight="1" x14ac:dyDescent="0.25">
      <c r="A926" s="316"/>
      <c r="B926" s="202"/>
      <c r="C926" s="165" t="s">
        <v>487</v>
      </c>
      <c r="D926" s="137"/>
      <c r="E926" s="54" t="s">
        <v>1591</v>
      </c>
    </row>
    <row r="927" spans="1:9" s="73" customFormat="1" ht="15" customHeight="1" x14ac:dyDescent="0.25">
      <c r="A927" s="316"/>
      <c r="B927" s="202"/>
      <c r="C927" s="165" t="s">
        <v>490</v>
      </c>
      <c r="D927" s="137"/>
      <c r="E927" s="54" t="s">
        <v>1592</v>
      </c>
    </row>
    <row r="928" spans="1:9" s="73" customFormat="1" ht="15" customHeight="1" x14ac:dyDescent="0.25">
      <c r="A928" s="316"/>
      <c r="B928" s="202"/>
      <c r="C928" s="165" t="s">
        <v>491</v>
      </c>
      <c r="D928" s="137"/>
      <c r="E928" s="54" t="s">
        <v>1593</v>
      </c>
    </row>
    <row r="929" spans="1:12" s="111" customFormat="1" ht="15" customHeight="1" x14ac:dyDescent="0.25">
      <c r="A929" s="316"/>
      <c r="B929" s="202"/>
      <c r="C929" s="164" t="s">
        <v>1684</v>
      </c>
      <c r="D929" s="178"/>
      <c r="E929" s="163" t="s">
        <v>1705</v>
      </c>
      <c r="I929" s="111" t="s">
        <v>1709</v>
      </c>
    </row>
    <row r="930" spans="1:12" s="73" customFormat="1" ht="15" customHeight="1" x14ac:dyDescent="0.25">
      <c r="A930" s="316"/>
      <c r="B930" s="202"/>
      <c r="C930" s="165" t="s">
        <v>494</v>
      </c>
      <c r="D930" s="137"/>
      <c r="E930" s="54" t="s">
        <v>1594</v>
      </c>
    </row>
    <row r="931" spans="1:12" s="73" customFormat="1" ht="15" customHeight="1" x14ac:dyDescent="0.25">
      <c r="A931" s="316"/>
      <c r="B931" s="202"/>
      <c r="C931" s="165" t="s">
        <v>495</v>
      </c>
      <c r="D931" s="137"/>
      <c r="E931" s="54" t="s">
        <v>1595</v>
      </c>
    </row>
    <row r="932" spans="1:12" s="73" customFormat="1" ht="15" customHeight="1" x14ac:dyDescent="0.25">
      <c r="A932" s="316"/>
      <c r="B932" s="202"/>
      <c r="C932" s="165" t="s">
        <v>496</v>
      </c>
      <c r="D932" s="137"/>
      <c r="E932" s="54" t="s">
        <v>1596</v>
      </c>
    </row>
    <row r="933" spans="1:12" s="73" customFormat="1" ht="15" customHeight="1" x14ac:dyDescent="0.25">
      <c r="A933" s="316"/>
      <c r="B933" s="202"/>
      <c r="C933" s="165" t="s">
        <v>497</v>
      </c>
      <c r="D933" s="137"/>
      <c r="E933" s="54" t="s">
        <v>1601</v>
      </c>
    </row>
    <row r="934" spans="1:12" s="73" customFormat="1" ht="15" customHeight="1" x14ac:dyDescent="0.25">
      <c r="A934" s="316"/>
      <c r="B934" s="202"/>
      <c r="C934" s="165" t="s">
        <v>498</v>
      </c>
      <c r="D934" s="137"/>
      <c r="E934" s="54" t="s">
        <v>1597</v>
      </c>
    </row>
    <row r="935" spans="1:12" s="73" customFormat="1" ht="15" customHeight="1" x14ac:dyDescent="0.25">
      <c r="A935" s="316"/>
      <c r="B935" s="202"/>
      <c r="C935" s="165" t="s">
        <v>499</v>
      </c>
      <c r="D935" s="137"/>
      <c r="E935" s="54" t="s">
        <v>1598</v>
      </c>
    </row>
    <row r="936" spans="1:12" s="73" customFormat="1" ht="15" customHeight="1" x14ac:dyDescent="0.25">
      <c r="A936" s="316"/>
      <c r="B936" s="202"/>
      <c r="C936" s="165" t="s">
        <v>500</v>
      </c>
      <c r="D936" s="137"/>
      <c r="E936" s="54" t="s">
        <v>1599</v>
      </c>
    </row>
    <row r="937" spans="1:12" s="73" customFormat="1" ht="15" customHeight="1" x14ac:dyDescent="0.25">
      <c r="A937" s="316"/>
      <c r="B937" s="202"/>
      <c r="C937" s="165" t="s">
        <v>501</v>
      </c>
      <c r="D937" s="137"/>
      <c r="E937" s="54" t="s">
        <v>1602</v>
      </c>
    </row>
    <row r="938" spans="1:12" s="73" customFormat="1" ht="15" customHeight="1" x14ac:dyDescent="0.25">
      <c r="A938" s="316"/>
      <c r="B938" s="202"/>
      <c r="C938" s="199" t="s">
        <v>502</v>
      </c>
      <c r="D938" s="137"/>
      <c r="E938" s="198" t="s">
        <v>1600</v>
      </c>
    </row>
    <row r="939" spans="1:12" s="73" customFormat="1" ht="15" customHeight="1" x14ac:dyDescent="0.25">
      <c r="A939" s="316"/>
      <c r="B939" s="202"/>
      <c r="C939" s="198"/>
      <c r="D939" s="137"/>
      <c r="E939" s="54"/>
    </row>
    <row r="940" spans="1:12" s="111" customFormat="1" ht="15" customHeight="1" x14ac:dyDescent="0.25">
      <c r="A940" s="316"/>
      <c r="B940" s="202"/>
      <c r="C940" s="178" t="s">
        <v>1687</v>
      </c>
      <c r="D940" s="178"/>
      <c r="E940" s="200" t="s">
        <v>1694</v>
      </c>
      <c r="I940" s="111" t="s">
        <v>1693</v>
      </c>
      <c r="L940" s="201"/>
    </row>
    <row r="941" spans="1:12" s="111" customFormat="1" ht="15" customHeight="1" x14ac:dyDescent="0.25">
      <c r="A941" s="316"/>
      <c r="B941" s="202"/>
      <c r="C941" s="178" t="s">
        <v>1688</v>
      </c>
      <c r="D941" s="178"/>
      <c r="E941" s="197" t="s">
        <v>1695</v>
      </c>
      <c r="I941" s="111" t="s">
        <v>182</v>
      </c>
    </row>
    <row r="942" spans="1:12" ht="15" customHeight="1" x14ac:dyDescent="0.25">
      <c r="A942" s="316"/>
      <c r="B942" s="202"/>
      <c r="C942" s="137" t="s">
        <v>1676</v>
      </c>
      <c r="D942" s="137"/>
      <c r="E942" s="63" t="s">
        <v>1697</v>
      </c>
      <c r="I942" s="73" t="s">
        <v>1700</v>
      </c>
    </row>
    <row r="943" spans="1:12" ht="15" customHeight="1" x14ac:dyDescent="0.25">
      <c r="A943" s="316"/>
      <c r="B943" s="202"/>
      <c r="C943" s="137" t="s">
        <v>1677</v>
      </c>
      <c r="D943" s="137"/>
      <c r="E943" s="54" t="s">
        <v>1699</v>
      </c>
      <c r="I943" s="73"/>
    </row>
    <row r="944" spans="1:12" ht="15" customHeight="1" x14ac:dyDescent="0.25">
      <c r="A944" s="317"/>
      <c r="B944" s="55" t="s">
        <v>1027</v>
      </c>
      <c r="C944" s="179"/>
      <c r="D944" s="138"/>
      <c r="E944" s="56"/>
    </row>
    <row r="945" spans="1:5" ht="15" customHeight="1" x14ac:dyDescent="0.25">
      <c r="A945" s="316" t="s">
        <v>1024</v>
      </c>
      <c r="B945" s="328" t="s">
        <v>1025</v>
      </c>
      <c r="C945" s="180" t="s">
        <v>187</v>
      </c>
      <c r="D945" s="139"/>
      <c r="E945" s="57" t="s">
        <v>188</v>
      </c>
    </row>
    <row r="946" spans="1:5" ht="15" customHeight="1" x14ac:dyDescent="0.25">
      <c r="A946" s="316"/>
      <c r="B946" s="328"/>
      <c r="C946" s="139"/>
      <c r="D946" s="139" t="s">
        <v>169</v>
      </c>
      <c r="E946" s="58" t="s">
        <v>189</v>
      </c>
    </row>
    <row r="947" spans="1:5" ht="15" customHeight="1" x14ac:dyDescent="0.25">
      <c r="A947" s="316"/>
      <c r="B947" s="328"/>
      <c r="C947" s="139"/>
      <c r="D947" s="139" t="s">
        <v>162</v>
      </c>
      <c r="E947" s="57" t="s">
        <v>190</v>
      </c>
    </row>
    <row r="948" spans="1:5" ht="15" customHeight="1" x14ac:dyDescent="0.25">
      <c r="A948" s="316"/>
      <c r="B948" s="328"/>
      <c r="C948" s="139"/>
      <c r="D948" s="139" t="s">
        <v>164</v>
      </c>
      <c r="E948" s="59" t="s">
        <v>191</v>
      </c>
    </row>
    <row r="949" spans="1:5" ht="15" customHeight="1" x14ac:dyDescent="0.25">
      <c r="A949" s="316"/>
      <c r="B949" s="328"/>
      <c r="C949" s="180" t="s">
        <v>192</v>
      </c>
      <c r="D949" s="139"/>
      <c r="E949" s="57" t="s">
        <v>193</v>
      </c>
    </row>
    <row r="950" spans="1:5" ht="15" customHeight="1" x14ac:dyDescent="0.25">
      <c r="A950" s="316"/>
      <c r="B950" s="328"/>
      <c r="C950" s="180" t="s">
        <v>194</v>
      </c>
      <c r="D950" s="139"/>
      <c r="E950" s="57" t="s">
        <v>195</v>
      </c>
    </row>
    <row r="951" spans="1:5" ht="15" customHeight="1" x14ac:dyDescent="0.25">
      <c r="A951" s="316"/>
      <c r="B951" s="328"/>
      <c r="C951" s="139" t="s">
        <v>179</v>
      </c>
      <c r="D951" s="139"/>
      <c r="E951" s="57" t="s">
        <v>196</v>
      </c>
    </row>
    <row r="952" spans="1:5" ht="15" customHeight="1" x14ac:dyDescent="0.25">
      <c r="A952" s="316"/>
      <c r="B952" s="328"/>
      <c r="C952" s="139"/>
      <c r="D952" s="139" t="s">
        <v>169</v>
      </c>
      <c r="E952" s="57" t="s">
        <v>197</v>
      </c>
    </row>
    <row r="953" spans="1:5" ht="15" customHeight="1" x14ac:dyDescent="0.25">
      <c r="A953" s="316"/>
      <c r="B953" s="328"/>
      <c r="C953" s="139"/>
      <c r="D953" s="139" t="s">
        <v>162</v>
      </c>
      <c r="E953" s="57" t="s">
        <v>163</v>
      </c>
    </row>
    <row r="954" spans="1:5" ht="15" customHeight="1" x14ac:dyDescent="0.25">
      <c r="A954" s="316"/>
      <c r="B954" s="328"/>
      <c r="C954" s="139"/>
      <c r="D954" s="139" t="s">
        <v>164</v>
      </c>
      <c r="E954" s="57" t="s">
        <v>163</v>
      </c>
    </row>
    <row r="955" spans="1:5" ht="15" customHeight="1" x14ac:dyDescent="0.25">
      <c r="A955" s="316"/>
      <c r="B955" s="328"/>
      <c r="C955" s="139" t="s">
        <v>180</v>
      </c>
      <c r="D955" s="139"/>
      <c r="E955" s="57" t="s">
        <v>198</v>
      </c>
    </row>
    <row r="956" spans="1:5" ht="15" customHeight="1" x14ac:dyDescent="0.25">
      <c r="A956" s="316"/>
      <c r="B956" s="328"/>
      <c r="C956" s="180" t="s">
        <v>199</v>
      </c>
      <c r="D956" s="139"/>
      <c r="E956" s="57" t="s">
        <v>200</v>
      </c>
    </row>
    <row r="957" spans="1:5" ht="15" customHeight="1" x14ac:dyDescent="0.25">
      <c r="A957" s="316"/>
      <c r="B957" s="328"/>
      <c r="C957" s="180" t="s">
        <v>201</v>
      </c>
      <c r="D957" s="139"/>
      <c r="E957" s="57" t="s">
        <v>202</v>
      </c>
    </row>
    <row r="958" spans="1:5" ht="15" customHeight="1" x14ac:dyDescent="0.25">
      <c r="A958" s="316"/>
      <c r="B958" s="328"/>
      <c r="C958" s="139"/>
      <c r="D958" s="139" t="s">
        <v>169</v>
      </c>
      <c r="E958" s="57" t="s">
        <v>203</v>
      </c>
    </row>
    <row r="959" spans="1:5" ht="15" customHeight="1" x14ac:dyDescent="0.25">
      <c r="A959" s="316"/>
      <c r="B959" s="328"/>
      <c r="C959" s="139"/>
      <c r="D959" s="139" t="s">
        <v>162</v>
      </c>
      <c r="E959" s="57" t="s">
        <v>204</v>
      </c>
    </row>
    <row r="960" spans="1:5" ht="15" customHeight="1" x14ac:dyDescent="0.25">
      <c r="A960" s="316"/>
      <c r="B960" s="328"/>
      <c r="C960" s="139"/>
      <c r="D960" s="139" t="s">
        <v>164</v>
      </c>
      <c r="E960" s="57" t="s">
        <v>205</v>
      </c>
    </row>
    <row r="961" spans="1:5" ht="15" customHeight="1" x14ac:dyDescent="0.25">
      <c r="A961" s="316"/>
      <c r="B961" s="328"/>
      <c r="C961" s="180" t="s">
        <v>206</v>
      </c>
      <c r="D961" s="139"/>
      <c r="E961" s="57" t="s">
        <v>207</v>
      </c>
    </row>
    <row r="962" spans="1:5" ht="15" customHeight="1" x14ac:dyDescent="0.25">
      <c r="A962" s="316"/>
      <c r="B962" s="328"/>
      <c r="C962" s="139" t="s">
        <v>183</v>
      </c>
      <c r="D962" s="139"/>
      <c r="E962" s="57" t="s">
        <v>208</v>
      </c>
    </row>
    <row r="963" spans="1:5" ht="15" customHeight="1" x14ac:dyDescent="0.25">
      <c r="A963" s="316"/>
      <c r="B963" s="328"/>
      <c r="C963" s="139"/>
      <c r="D963" s="139" t="s">
        <v>169</v>
      </c>
      <c r="E963" s="57" t="s">
        <v>209</v>
      </c>
    </row>
    <row r="964" spans="1:5" ht="15" customHeight="1" x14ac:dyDescent="0.25">
      <c r="A964" s="316"/>
      <c r="B964" s="328"/>
      <c r="C964" s="139"/>
      <c r="D964" s="139" t="s">
        <v>162</v>
      </c>
      <c r="E964" s="57" t="s">
        <v>210</v>
      </c>
    </row>
    <row r="965" spans="1:5" ht="15" customHeight="1" x14ac:dyDescent="0.25">
      <c r="A965" s="316"/>
      <c r="B965" s="328"/>
      <c r="C965" s="139"/>
      <c r="D965" s="139" t="s">
        <v>164</v>
      </c>
      <c r="E965" s="57" t="s">
        <v>211</v>
      </c>
    </row>
    <row r="966" spans="1:5" ht="15" customHeight="1" x14ac:dyDescent="0.25">
      <c r="A966" s="316"/>
      <c r="B966" s="328"/>
      <c r="C966" s="139" t="s">
        <v>184</v>
      </c>
      <c r="D966" s="139"/>
      <c r="E966" s="57" t="s">
        <v>212</v>
      </c>
    </row>
    <row r="967" spans="1:5" ht="15" customHeight="1" x14ac:dyDescent="0.25">
      <c r="A967" s="316"/>
      <c r="B967" s="328"/>
      <c r="C967" s="139"/>
      <c r="D967" s="139" t="s">
        <v>169</v>
      </c>
      <c r="E967" s="57" t="s">
        <v>213</v>
      </c>
    </row>
    <row r="968" spans="1:5" ht="15" customHeight="1" x14ac:dyDescent="0.25">
      <c r="A968" s="316"/>
      <c r="B968" s="328"/>
      <c r="C968" s="139"/>
      <c r="D968" s="139" t="s">
        <v>162</v>
      </c>
      <c r="E968" s="57" t="s">
        <v>214</v>
      </c>
    </row>
    <row r="969" spans="1:5" ht="15" customHeight="1" x14ac:dyDescent="0.25">
      <c r="A969" s="316"/>
      <c r="B969" s="328"/>
      <c r="C969" s="139"/>
      <c r="D969" s="139" t="s">
        <v>164</v>
      </c>
      <c r="E969" s="57" t="s">
        <v>215</v>
      </c>
    </row>
    <row r="970" spans="1:5" ht="15" customHeight="1" x14ac:dyDescent="0.25">
      <c r="A970" s="316"/>
      <c r="B970" s="328"/>
      <c r="C970" s="139" t="s">
        <v>185</v>
      </c>
      <c r="D970" s="139"/>
      <c r="E970" s="57" t="s">
        <v>216</v>
      </c>
    </row>
    <row r="971" spans="1:5" ht="15" customHeight="1" x14ac:dyDescent="0.25">
      <c r="A971" s="316"/>
      <c r="B971" s="328"/>
      <c r="C971" s="139"/>
      <c r="D971" s="139" t="s">
        <v>169</v>
      </c>
      <c r="E971" s="57" t="s">
        <v>217</v>
      </c>
    </row>
    <row r="972" spans="1:5" ht="15" customHeight="1" x14ac:dyDescent="0.25">
      <c r="A972" s="316"/>
      <c r="B972" s="328"/>
      <c r="C972" s="139"/>
      <c r="D972" s="139" t="s">
        <v>162</v>
      </c>
      <c r="E972" s="57" t="s">
        <v>218</v>
      </c>
    </row>
    <row r="973" spans="1:5" ht="15" customHeight="1" x14ac:dyDescent="0.25">
      <c r="A973" s="316"/>
      <c r="B973" s="328"/>
      <c r="C973" s="139"/>
      <c r="D973" s="139" t="s">
        <v>164</v>
      </c>
      <c r="E973" s="57" t="s">
        <v>219</v>
      </c>
    </row>
    <row r="974" spans="1:5" ht="15" customHeight="1" x14ac:dyDescent="0.25">
      <c r="A974" s="316"/>
      <c r="B974" s="328"/>
      <c r="C974" s="139" t="s">
        <v>181</v>
      </c>
      <c r="D974" s="139"/>
      <c r="E974" s="57" t="s">
        <v>220</v>
      </c>
    </row>
    <row r="975" spans="1:5" ht="15" customHeight="1" x14ac:dyDescent="0.25">
      <c r="A975" s="316"/>
      <c r="B975" s="328"/>
      <c r="C975" s="139"/>
      <c r="D975" s="139" t="s">
        <v>169</v>
      </c>
      <c r="E975" s="57" t="s">
        <v>221</v>
      </c>
    </row>
    <row r="976" spans="1:5" ht="15" customHeight="1" x14ac:dyDescent="0.25">
      <c r="A976" s="316"/>
      <c r="B976" s="328"/>
      <c r="C976" s="139"/>
      <c r="D976" s="139" t="s">
        <v>162</v>
      </c>
      <c r="E976" s="57" t="s">
        <v>222</v>
      </c>
    </row>
    <row r="977" spans="1:5" ht="15" customHeight="1" x14ac:dyDescent="0.25">
      <c r="A977" s="316"/>
      <c r="B977" s="328"/>
      <c r="C977" s="139"/>
      <c r="D977" s="139" t="s">
        <v>164</v>
      </c>
      <c r="E977" s="59" t="s">
        <v>223</v>
      </c>
    </row>
    <row r="978" spans="1:5" ht="15" customHeight="1" x14ac:dyDescent="0.25">
      <c r="A978" s="316"/>
      <c r="B978" s="329" t="s">
        <v>1026</v>
      </c>
      <c r="C978" s="181" t="s">
        <v>224</v>
      </c>
      <c r="D978" s="129"/>
      <c r="E978" s="47"/>
    </row>
    <row r="979" spans="1:5" ht="15" customHeight="1" x14ac:dyDescent="0.25">
      <c r="A979" s="316"/>
      <c r="B979" s="329"/>
      <c r="C979" s="181" t="s">
        <v>225</v>
      </c>
      <c r="D979" s="129"/>
      <c r="E979" s="47"/>
    </row>
    <row r="980" spans="1:5" ht="15" customHeight="1" x14ac:dyDescent="0.25">
      <c r="A980" s="316"/>
      <c r="B980" s="329"/>
      <c r="C980" s="181" t="s">
        <v>226</v>
      </c>
      <c r="D980" s="129"/>
      <c r="E980" s="47"/>
    </row>
    <row r="981" spans="1:5" ht="15" customHeight="1" x14ac:dyDescent="0.25">
      <c r="A981" s="317"/>
      <c r="B981" s="330"/>
      <c r="C981" s="182" t="s">
        <v>227</v>
      </c>
      <c r="D981" s="128"/>
      <c r="E981" s="52"/>
    </row>
    <row r="982" spans="1:5" ht="15" customHeight="1" x14ac:dyDescent="0.25">
      <c r="A982" s="333" t="s">
        <v>1008</v>
      </c>
      <c r="B982" s="331" t="s">
        <v>228</v>
      </c>
      <c r="C982" s="137" t="s">
        <v>229</v>
      </c>
      <c r="D982" s="137"/>
      <c r="E982" s="54" t="s">
        <v>230</v>
      </c>
    </row>
    <row r="983" spans="1:5" ht="15" customHeight="1" x14ac:dyDescent="0.25">
      <c r="A983" s="334"/>
      <c r="B983" s="331"/>
      <c r="C983" s="137" t="s">
        <v>231</v>
      </c>
      <c r="D983" s="137"/>
      <c r="E983" s="54" t="s">
        <v>232</v>
      </c>
    </row>
    <row r="984" spans="1:5" ht="15" customHeight="1" x14ac:dyDescent="0.25">
      <c r="A984" s="334"/>
      <c r="B984" s="331"/>
      <c r="C984" s="137" t="s">
        <v>2</v>
      </c>
      <c r="D984" s="137"/>
      <c r="E984" s="54" t="s">
        <v>233</v>
      </c>
    </row>
    <row r="985" spans="1:5" ht="15" customHeight="1" x14ac:dyDescent="0.25">
      <c r="A985" s="334"/>
      <c r="B985" s="331"/>
      <c r="C985" s="137" t="s">
        <v>234</v>
      </c>
      <c r="D985" s="137"/>
      <c r="E985" s="54" t="s">
        <v>235</v>
      </c>
    </row>
    <row r="986" spans="1:5" ht="15" customHeight="1" x14ac:dyDescent="0.25">
      <c r="A986" s="334"/>
      <c r="B986" s="331"/>
      <c r="C986" s="137" t="s">
        <v>236</v>
      </c>
      <c r="D986" s="137"/>
      <c r="E986" s="54" t="s">
        <v>237</v>
      </c>
    </row>
    <row r="987" spans="1:5" ht="15" customHeight="1" x14ac:dyDescent="0.25">
      <c r="A987" s="334"/>
      <c r="B987" s="331"/>
      <c r="C987" s="137" t="s">
        <v>3</v>
      </c>
      <c r="D987" s="137"/>
      <c r="E987" s="54" t="s">
        <v>238</v>
      </c>
    </row>
    <row r="988" spans="1:5" ht="15" customHeight="1" x14ac:dyDescent="0.25">
      <c r="A988" s="334"/>
      <c r="B988" s="331"/>
      <c r="C988" s="137" t="s">
        <v>239</v>
      </c>
      <c r="D988" s="137"/>
      <c r="E988" s="54" t="s">
        <v>240</v>
      </c>
    </row>
    <row r="989" spans="1:5" ht="15" customHeight="1" x14ac:dyDescent="0.25">
      <c r="A989" s="334"/>
      <c r="B989" s="331"/>
      <c r="C989" s="137" t="s">
        <v>241</v>
      </c>
      <c r="D989" s="137"/>
      <c r="E989" s="54" t="s">
        <v>242</v>
      </c>
    </row>
    <row r="990" spans="1:5" ht="15" customHeight="1" x14ac:dyDescent="0.25">
      <c r="A990" s="334"/>
      <c r="B990" s="331"/>
      <c r="C990" s="137" t="s">
        <v>2</v>
      </c>
      <c r="D990" s="137" t="s">
        <v>243</v>
      </c>
      <c r="E990" s="54" t="s">
        <v>244</v>
      </c>
    </row>
    <row r="991" spans="1:5" ht="15" customHeight="1" x14ac:dyDescent="0.25">
      <c r="A991" s="334"/>
      <c r="B991" s="331"/>
      <c r="C991" s="137" t="s">
        <v>3</v>
      </c>
      <c r="D991" s="137" t="s">
        <v>245</v>
      </c>
      <c r="E991" s="54" t="s">
        <v>246</v>
      </c>
    </row>
    <row r="992" spans="1:5" ht="15" customHeight="1" x14ac:dyDescent="0.25">
      <c r="A992" s="334"/>
      <c r="B992" s="331"/>
      <c r="C992" s="137" t="s">
        <v>247</v>
      </c>
      <c r="D992" s="137"/>
      <c r="E992" s="54" t="s">
        <v>248</v>
      </c>
    </row>
    <row r="993" spans="1:5" ht="15" customHeight="1" x14ac:dyDescent="0.25">
      <c r="A993" s="334"/>
      <c r="B993" s="331"/>
      <c r="C993" s="137" t="s">
        <v>249</v>
      </c>
      <c r="D993" s="137" t="s">
        <v>245</v>
      </c>
      <c r="E993" s="54" t="s">
        <v>250</v>
      </c>
    </row>
    <row r="994" spans="1:5" ht="15" customHeight="1" x14ac:dyDescent="0.25">
      <c r="A994" s="334"/>
      <c r="B994" s="331"/>
      <c r="C994" s="137" t="s">
        <v>251</v>
      </c>
      <c r="D994" s="137"/>
      <c r="E994" s="54" t="s">
        <v>252</v>
      </c>
    </row>
    <row r="995" spans="1:5" ht="15" customHeight="1" x14ac:dyDescent="0.25">
      <c r="A995" s="334"/>
      <c r="B995" s="331"/>
      <c r="C995" s="140" t="s">
        <v>2</v>
      </c>
      <c r="D995" s="140"/>
      <c r="E995" s="60" t="s">
        <v>253</v>
      </c>
    </row>
    <row r="996" spans="1:5" ht="15" customHeight="1" x14ac:dyDescent="0.25">
      <c r="A996" s="334"/>
      <c r="B996" s="331"/>
      <c r="C996" s="137" t="s">
        <v>234</v>
      </c>
      <c r="D996" s="137"/>
      <c r="E996" s="54" t="s">
        <v>254</v>
      </c>
    </row>
    <row r="997" spans="1:5" ht="15" customHeight="1" x14ac:dyDescent="0.25">
      <c r="A997" s="334"/>
      <c r="B997" s="331"/>
      <c r="C997" s="137" t="s">
        <v>236</v>
      </c>
      <c r="D997" s="137"/>
      <c r="E997" s="54" t="s">
        <v>255</v>
      </c>
    </row>
    <row r="998" spans="1:5" ht="15" customHeight="1" x14ac:dyDescent="0.25">
      <c r="A998" s="334"/>
      <c r="B998" s="331"/>
      <c r="C998" s="137" t="s">
        <v>3</v>
      </c>
      <c r="D998" s="137"/>
      <c r="E998" s="54" t="s">
        <v>256</v>
      </c>
    </row>
    <row r="999" spans="1:5" ht="15" customHeight="1" x14ac:dyDescent="0.25">
      <c r="A999" s="334"/>
      <c r="B999" s="331"/>
      <c r="C999" s="137" t="s">
        <v>247</v>
      </c>
      <c r="D999" s="137"/>
      <c r="E999" s="54" t="s">
        <v>257</v>
      </c>
    </row>
    <row r="1000" spans="1:5" ht="15" customHeight="1" x14ac:dyDescent="0.25">
      <c r="A1000" s="334"/>
      <c r="B1000" s="331"/>
      <c r="C1000" s="137" t="s">
        <v>4</v>
      </c>
      <c r="D1000" s="137"/>
      <c r="E1000" s="54" t="s">
        <v>258</v>
      </c>
    </row>
    <row r="1001" spans="1:5" ht="15" customHeight="1" x14ac:dyDescent="0.25">
      <c r="A1001" s="334"/>
      <c r="B1001" s="331"/>
      <c r="C1001" s="137" t="s">
        <v>5</v>
      </c>
      <c r="D1001" s="137"/>
      <c r="E1001" s="54" t="s">
        <v>259</v>
      </c>
    </row>
    <row r="1002" spans="1:5" ht="15" customHeight="1" x14ac:dyDescent="0.25">
      <c r="A1002" s="334"/>
      <c r="B1002" s="331"/>
      <c r="C1002" s="137" t="s">
        <v>2</v>
      </c>
      <c r="D1002" s="137" t="s">
        <v>243</v>
      </c>
      <c r="E1002" s="54" t="s">
        <v>260</v>
      </c>
    </row>
    <row r="1003" spans="1:5" ht="15" customHeight="1" x14ac:dyDescent="0.25">
      <c r="A1003" s="334"/>
      <c r="B1003" s="331"/>
      <c r="C1003" s="137" t="s">
        <v>3</v>
      </c>
      <c r="D1003" s="137" t="s">
        <v>245</v>
      </c>
      <c r="E1003" s="54" t="s">
        <v>261</v>
      </c>
    </row>
    <row r="1004" spans="1:5" ht="15" customHeight="1" x14ac:dyDescent="0.25">
      <c r="A1004" s="334"/>
      <c r="B1004" s="331"/>
      <c r="C1004" s="137" t="s">
        <v>249</v>
      </c>
      <c r="D1004" s="137" t="s">
        <v>245</v>
      </c>
      <c r="E1004" s="54" t="s">
        <v>262</v>
      </c>
    </row>
    <row r="1005" spans="1:5" ht="15" customHeight="1" x14ac:dyDescent="0.25">
      <c r="A1005" s="334"/>
      <c r="B1005" s="331"/>
      <c r="C1005" s="141" t="s">
        <v>251</v>
      </c>
      <c r="D1005" s="141"/>
      <c r="E1005" s="61" t="s">
        <v>263</v>
      </c>
    </row>
    <row r="1006" spans="1:5" ht="15" customHeight="1" x14ac:dyDescent="0.25">
      <c r="A1006" s="334"/>
      <c r="B1006" s="331"/>
      <c r="C1006" s="137" t="s">
        <v>264</v>
      </c>
      <c r="D1006" s="140"/>
      <c r="E1006" s="60" t="s">
        <v>265</v>
      </c>
    </row>
    <row r="1007" spans="1:5" ht="15" customHeight="1" x14ac:dyDescent="0.25">
      <c r="A1007" s="334"/>
      <c r="B1007" s="331"/>
      <c r="C1007" s="137" t="s">
        <v>266</v>
      </c>
      <c r="D1007" s="137"/>
      <c r="E1007" s="54" t="s">
        <v>267</v>
      </c>
    </row>
    <row r="1008" spans="1:5" ht="15" customHeight="1" x14ac:dyDescent="0.25">
      <c r="A1008" s="334"/>
      <c r="B1008" s="331"/>
      <c r="C1008" s="137" t="s">
        <v>268</v>
      </c>
      <c r="D1008" s="137"/>
      <c r="E1008" s="54" t="s">
        <v>269</v>
      </c>
    </row>
    <row r="1009" spans="1:5" ht="15" customHeight="1" x14ac:dyDescent="0.25">
      <c r="A1009" s="334"/>
      <c r="B1009" s="331"/>
      <c r="C1009" s="137" t="s">
        <v>270</v>
      </c>
      <c r="D1009" s="137"/>
      <c r="E1009" s="54" t="s">
        <v>271</v>
      </c>
    </row>
    <row r="1010" spans="1:5" ht="15" customHeight="1" x14ac:dyDescent="0.25">
      <c r="A1010" s="334"/>
      <c r="B1010" s="331"/>
      <c r="C1010" s="137" t="s">
        <v>272</v>
      </c>
      <c r="D1010" s="141"/>
      <c r="E1010" s="61" t="s">
        <v>273</v>
      </c>
    </row>
    <row r="1011" spans="1:5" ht="15" customHeight="1" x14ac:dyDescent="0.25">
      <c r="A1011" s="334"/>
      <c r="B1011" s="331"/>
      <c r="C1011" s="140" t="s">
        <v>274</v>
      </c>
      <c r="D1011" s="140"/>
      <c r="E1011" s="60" t="s">
        <v>275</v>
      </c>
    </row>
    <row r="1012" spans="1:5" ht="15" customHeight="1" x14ac:dyDescent="0.25">
      <c r="A1012" s="334"/>
      <c r="B1012" s="331"/>
      <c r="C1012" s="137" t="s">
        <v>276</v>
      </c>
      <c r="D1012" s="137"/>
      <c r="E1012" s="54" t="s">
        <v>277</v>
      </c>
    </row>
    <row r="1013" spans="1:5" ht="15" customHeight="1" x14ac:dyDescent="0.25">
      <c r="A1013" s="334"/>
      <c r="B1013" s="331"/>
      <c r="C1013" s="137" t="s">
        <v>7</v>
      </c>
      <c r="D1013" s="137"/>
      <c r="E1013" s="54" t="s">
        <v>278</v>
      </c>
    </row>
    <row r="1014" spans="1:5" ht="15" customHeight="1" x14ac:dyDescent="0.25">
      <c r="A1014" s="334"/>
      <c r="B1014" s="331"/>
      <c r="C1014" s="141" t="s">
        <v>8</v>
      </c>
      <c r="D1014" s="141"/>
      <c r="E1014" s="61" t="s">
        <v>279</v>
      </c>
    </row>
    <row r="1015" spans="1:5" ht="15" customHeight="1" x14ac:dyDescent="0.25">
      <c r="A1015" s="334"/>
      <c r="B1015" s="331"/>
      <c r="C1015" s="140" t="s">
        <v>280</v>
      </c>
      <c r="D1015" s="140"/>
      <c r="E1015" s="60" t="s">
        <v>281</v>
      </c>
    </row>
    <row r="1016" spans="1:5" ht="15" customHeight="1" x14ac:dyDescent="0.25">
      <c r="A1016" s="334"/>
      <c r="B1016" s="331"/>
      <c r="C1016" s="137" t="s">
        <v>282</v>
      </c>
      <c r="D1016" s="137"/>
      <c r="E1016" s="54" t="s">
        <v>283</v>
      </c>
    </row>
    <row r="1017" spans="1:5" ht="15" customHeight="1" x14ac:dyDescent="0.25">
      <c r="A1017" s="334"/>
      <c r="B1017" s="331"/>
      <c r="C1017" s="137" t="s">
        <v>284</v>
      </c>
      <c r="D1017" s="137"/>
      <c r="E1017" s="54" t="s">
        <v>285</v>
      </c>
    </row>
    <row r="1018" spans="1:5" ht="15" customHeight="1" x14ac:dyDescent="0.25">
      <c r="A1018" s="334"/>
      <c r="B1018" s="331"/>
      <c r="C1018" s="137" t="s">
        <v>286</v>
      </c>
      <c r="D1018" s="137"/>
      <c r="E1018" s="54" t="s">
        <v>287</v>
      </c>
    </row>
    <row r="1019" spans="1:5" ht="15" customHeight="1" x14ac:dyDescent="0.25">
      <c r="A1019" s="334"/>
      <c r="B1019" s="331"/>
      <c r="C1019" s="137" t="s">
        <v>288</v>
      </c>
      <c r="D1019" s="137"/>
      <c r="E1019" s="54" t="s">
        <v>289</v>
      </c>
    </row>
    <row r="1020" spans="1:5" ht="15" customHeight="1" x14ac:dyDescent="0.25">
      <c r="A1020" s="334"/>
      <c r="B1020" s="331"/>
      <c r="C1020" s="137" t="s">
        <v>290</v>
      </c>
      <c r="D1020" s="137"/>
      <c r="E1020" s="54" t="s">
        <v>291</v>
      </c>
    </row>
    <row r="1021" spans="1:5" ht="15" customHeight="1" x14ac:dyDescent="0.25">
      <c r="A1021" s="334"/>
      <c r="B1021" s="331"/>
      <c r="C1021" s="137" t="s">
        <v>292</v>
      </c>
      <c r="D1021" s="141"/>
      <c r="E1021" s="61" t="s">
        <v>293</v>
      </c>
    </row>
    <row r="1022" spans="1:5" ht="15" customHeight="1" x14ac:dyDescent="0.25">
      <c r="A1022" s="334"/>
      <c r="B1022" s="331"/>
      <c r="C1022" s="140" t="s">
        <v>294</v>
      </c>
      <c r="D1022" s="140"/>
      <c r="E1022" s="54" t="s">
        <v>295</v>
      </c>
    </row>
    <row r="1023" spans="1:5" ht="15" customHeight="1" x14ac:dyDescent="0.25">
      <c r="A1023" s="334"/>
      <c r="B1023" s="331"/>
      <c r="C1023" s="137" t="s">
        <v>296</v>
      </c>
      <c r="D1023" s="137"/>
      <c r="E1023" s="54" t="s">
        <v>297</v>
      </c>
    </row>
    <row r="1024" spans="1:5" ht="15" customHeight="1" x14ac:dyDescent="0.25">
      <c r="A1024" s="334"/>
      <c r="B1024" s="331"/>
      <c r="C1024" s="137" t="s">
        <v>298</v>
      </c>
      <c r="D1024" s="137"/>
      <c r="E1024" s="54" t="s">
        <v>299</v>
      </c>
    </row>
    <row r="1025" spans="1:5" ht="15" customHeight="1" x14ac:dyDescent="0.25">
      <c r="A1025" s="334"/>
      <c r="B1025" s="331"/>
      <c r="C1025" s="137" t="s">
        <v>300</v>
      </c>
      <c r="D1025" s="137"/>
      <c r="E1025" s="54" t="s">
        <v>301</v>
      </c>
    </row>
    <row r="1026" spans="1:5" ht="15" customHeight="1" x14ac:dyDescent="0.25">
      <c r="A1026" s="334"/>
      <c r="B1026" s="331"/>
      <c r="C1026" s="137" t="s">
        <v>302</v>
      </c>
      <c r="D1026" s="137"/>
      <c r="E1026" s="54" t="s">
        <v>303</v>
      </c>
    </row>
    <row r="1027" spans="1:5" ht="15" customHeight="1" x14ac:dyDescent="0.25">
      <c r="A1027" s="334"/>
      <c r="B1027" s="332" t="s">
        <v>304</v>
      </c>
      <c r="C1027" s="183" t="s">
        <v>229</v>
      </c>
      <c r="D1027" s="142"/>
      <c r="E1027" s="62" t="s">
        <v>305</v>
      </c>
    </row>
    <row r="1028" spans="1:5" ht="15" customHeight="1" x14ac:dyDescent="0.25">
      <c r="A1028" s="334"/>
      <c r="B1028" s="332"/>
      <c r="C1028" s="183" t="s">
        <v>306</v>
      </c>
      <c r="D1028" s="142"/>
      <c r="E1028" s="62" t="s">
        <v>307</v>
      </c>
    </row>
    <row r="1029" spans="1:5" ht="15" customHeight="1" x14ac:dyDescent="0.25">
      <c r="A1029" s="334"/>
      <c r="B1029" s="332"/>
      <c r="C1029" s="183" t="s">
        <v>236</v>
      </c>
      <c r="D1029" s="142"/>
      <c r="E1029" s="62" t="s">
        <v>308</v>
      </c>
    </row>
    <row r="1030" spans="1:5" ht="15" customHeight="1" x14ac:dyDescent="0.25">
      <c r="A1030" s="334"/>
      <c r="B1030" s="332"/>
      <c r="C1030" s="183" t="s">
        <v>309</v>
      </c>
      <c r="D1030" s="142"/>
      <c r="E1030" s="62" t="s">
        <v>310</v>
      </c>
    </row>
    <row r="1031" spans="1:5" ht="15" customHeight="1" x14ac:dyDescent="0.25">
      <c r="A1031" s="334"/>
      <c r="B1031" s="332"/>
      <c r="C1031" s="183" t="s">
        <v>311</v>
      </c>
      <c r="D1031" s="142"/>
      <c r="E1031" s="62" t="s">
        <v>312</v>
      </c>
    </row>
    <row r="1032" spans="1:5" ht="15" customHeight="1" x14ac:dyDescent="0.25">
      <c r="A1032" s="334"/>
      <c r="B1032" s="332"/>
      <c r="C1032" s="183" t="s">
        <v>302</v>
      </c>
      <c r="D1032" s="142"/>
      <c r="E1032" s="62" t="s">
        <v>313</v>
      </c>
    </row>
    <row r="1033" spans="1:5" ht="15" customHeight="1" x14ac:dyDescent="0.25">
      <c r="A1033" s="334"/>
      <c r="B1033" s="339" t="s">
        <v>314</v>
      </c>
      <c r="C1033" s="184"/>
      <c r="D1033" s="143"/>
      <c r="E1033" s="63" t="s">
        <v>315</v>
      </c>
    </row>
    <row r="1034" spans="1:5" ht="15" customHeight="1" x14ac:dyDescent="0.25">
      <c r="A1034" s="334"/>
      <c r="B1034" s="340"/>
      <c r="C1034" s="184"/>
      <c r="D1034" s="143"/>
      <c r="E1034" s="63" t="s">
        <v>316</v>
      </c>
    </row>
    <row r="1035" spans="1:5" ht="15" customHeight="1" x14ac:dyDescent="0.3">
      <c r="A1035" s="334"/>
      <c r="B1035" s="64" t="s">
        <v>317</v>
      </c>
      <c r="C1035" s="185" t="s">
        <v>318</v>
      </c>
      <c r="D1035" s="144"/>
      <c r="E1035" s="65" t="s">
        <v>319</v>
      </c>
    </row>
    <row r="1036" spans="1:5" ht="15" customHeight="1" x14ac:dyDescent="0.25">
      <c r="A1036" s="334"/>
      <c r="B1036" s="341" t="s">
        <v>178</v>
      </c>
      <c r="C1036" s="186" t="s">
        <v>320</v>
      </c>
      <c r="D1036" s="145"/>
      <c r="E1036" s="66" t="s">
        <v>321</v>
      </c>
    </row>
    <row r="1037" spans="1:5" ht="15" customHeight="1" x14ac:dyDescent="0.25">
      <c r="A1037" s="334"/>
      <c r="B1037" s="341"/>
      <c r="C1037" s="187" t="s">
        <v>322</v>
      </c>
      <c r="D1037" s="145"/>
      <c r="E1037" s="66" t="s">
        <v>323</v>
      </c>
    </row>
    <row r="1038" spans="1:5" ht="15" customHeight="1" x14ac:dyDescent="0.25">
      <c r="A1038" s="334"/>
      <c r="B1038" s="341"/>
      <c r="C1038" s="187" t="s">
        <v>324</v>
      </c>
      <c r="D1038" s="145"/>
      <c r="E1038" s="67" t="s">
        <v>325</v>
      </c>
    </row>
    <row r="1039" spans="1:5" ht="15" customHeight="1" x14ac:dyDescent="0.25">
      <c r="A1039" s="334"/>
      <c r="B1039" s="341"/>
      <c r="C1039" s="187" t="s">
        <v>326</v>
      </c>
      <c r="D1039" s="145"/>
      <c r="E1039" s="66" t="s">
        <v>327</v>
      </c>
    </row>
    <row r="1040" spans="1:5" ht="15" customHeight="1" x14ac:dyDescent="0.25">
      <c r="A1040" s="334"/>
      <c r="B1040" s="341"/>
      <c r="C1040" s="187" t="s">
        <v>328</v>
      </c>
      <c r="D1040" s="145"/>
      <c r="E1040" s="68" t="s">
        <v>329</v>
      </c>
    </row>
    <row r="1041" spans="1:5" ht="15" customHeight="1" x14ac:dyDescent="0.25">
      <c r="A1041" s="334"/>
      <c r="B1041" s="341"/>
      <c r="C1041" s="187" t="s">
        <v>330</v>
      </c>
      <c r="D1041" s="145"/>
      <c r="E1041" s="69" t="s">
        <v>331</v>
      </c>
    </row>
    <row r="1042" spans="1:5" ht="15" customHeight="1" x14ac:dyDescent="0.25">
      <c r="A1042" s="334"/>
      <c r="B1042" s="341"/>
      <c r="C1042" s="187" t="s">
        <v>332</v>
      </c>
      <c r="D1042" s="145"/>
      <c r="E1042" s="69" t="s">
        <v>333</v>
      </c>
    </row>
    <row r="1043" spans="1:5" ht="15" customHeight="1" x14ac:dyDescent="0.25">
      <c r="A1043" s="334"/>
      <c r="B1043" s="341"/>
      <c r="C1043" s="187" t="s">
        <v>334</v>
      </c>
      <c r="D1043" s="145"/>
      <c r="E1043" s="68" t="s">
        <v>335</v>
      </c>
    </row>
    <row r="1044" spans="1:5" ht="15" customHeight="1" x14ac:dyDescent="0.25">
      <c r="A1044" s="334"/>
      <c r="B1044" s="341"/>
      <c r="C1044" s="187" t="s">
        <v>336</v>
      </c>
      <c r="D1044" s="145"/>
      <c r="E1044" s="68" t="s">
        <v>337</v>
      </c>
    </row>
    <row r="1045" spans="1:5" ht="15" customHeight="1" x14ac:dyDescent="0.25">
      <c r="A1045" s="334"/>
      <c r="B1045" s="341"/>
      <c r="C1045" s="187" t="s">
        <v>338</v>
      </c>
      <c r="D1045" s="145"/>
      <c r="E1045" s="69" t="s">
        <v>339</v>
      </c>
    </row>
    <row r="1046" spans="1:5" ht="15" customHeight="1" x14ac:dyDescent="0.25">
      <c r="A1046" s="334"/>
      <c r="B1046" s="341"/>
      <c r="C1046" s="186" t="s">
        <v>340</v>
      </c>
      <c r="D1046" s="146" t="s">
        <v>341</v>
      </c>
      <c r="E1046" s="68" t="s">
        <v>342</v>
      </c>
    </row>
    <row r="1047" spans="1:5" ht="15" customHeight="1" x14ac:dyDescent="0.25">
      <c r="A1047" s="334"/>
      <c r="B1047" s="341"/>
      <c r="C1047" s="187" t="s">
        <v>343</v>
      </c>
      <c r="D1047" s="145"/>
      <c r="E1047" s="66" t="s">
        <v>344</v>
      </c>
    </row>
    <row r="1048" spans="1:5" ht="15" customHeight="1" x14ac:dyDescent="0.25">
      <c r="A1048" s="334"/>
      <c r="B1048" s="341"/>
      <c r="C1048" s="187" t="s">
        <v>345</v>
      </c>
      <c r="D1048" s="145"/>
      <c r="E1048" s="66" t="s">
        <v>346</v>
      </c>
    </row>
    <row r="1049" spans="1:5" ht="15" customHeight="1" x14ac:dyDescent="0.25">
      <c r="A1049" s="334"/>
      <c r="B1049" s="341"/>
      <c r="C1049" s="187" t="s">
        <v>347</v>
      </c>
      <c r="D1049" s="145"/>
      <c r="E1049" s="66" t="s">
        <v>348</v>
      </c>
    </row>
    <row r="1050" spans="1:5" ht="15" customHeight="1" x14ac:dyDescent="0.25">
      <c r="A1050" s="334"/>
      <c r="B1050" s="341"/>
      <c r="C1050" s="186" t="s">
        <v>349</v>
      </c>
      <c r="D1050" s="146" t="s">
        <v>341</v>
      </c>
      <c r="E1050" s="66" t="s">
        <v>350</v>
      </c>
    </row>
    <row r="1051" spans="1:5" s="111" customFormat="1" ht="15" customHeight="1" x14ac:dyDescent="0.25">
      <c r="A1051" s="334"/>
      <c r="B1051" s="342" t="s">
        <v>1010</v>
      </c>
      <c r="C1051" s="90" t="s">
        <v>772</v>
      </c>
      <c r="D1051" s="156"/>
      <c r="E1051" s="93" t="s">
        <v>773</v>
      </c>
    </row>
    <row r="1052" spans="1:5" s="111" customFormat="1" ht="15" customHeight="1" x14ac:dyDescent="0.25">
      <c r="A1052" s="334"/>
      <c r="B1052" s="343"/>
      <c r="C1052" s="90" t="s">
        <v>774</v>
      </c>
      <c r="D1052" s="156"/>
      <c r="E1052" s="93" t="s">
        <v>779</v>
      </c>
    </row>
    <row r="1053" spans="1:5" s="73" customFormat="1" ht="15" customHeight="1" x14ac:dyDescent="0.25">
      <c r="A1053" s="334"/>
      <c r="B1053" s="343"/>
      <c r="C1053" s="166" t="s">
        <v>759</v>
      </c>
      <c r="D1053" s="113"/>
      <c r="E1053" s="80" t="s">
        <v>785</v>
      </c>
    </row>
    <row r="1054" spans="1:5" s="73" customFormat="1" ht="15" customHeight="1" x14ac:dyDescent="0.25">
      <c r="A1054" s="334"/>
      <c r="B1054" s="343"/>
      <c r="C1054" s="166" t="s">
        <v>760</v>
      </c>
      <c r="D1054" s="113"/>
      <c r="E1054" s="80" t="s">
        <v>786</v>
      </c>
    </row>
    <row r="1055" spans="1:5" s="111" customFormat="1" ht="15" customHeight="1" x14ac:dyDescent="0.25">
      <c r="A1055" s="334"/>
      <c r="B1055" s="343"/>
      <c r="C1055" s="90" t="s">
        <v>775</v>
      </c>
      <c r="D1055" s="156"/>
      <c r="E1055" s="93" t="s">
        <v>780</v>
      </c>
    </row>
    <row r="1056" spans="1:5" s="73" customFormat="1" ht="15" customHeight="1" x14ac:dyDescent="0.25">
      <c r="A1056" s="334"/>
      <c r="B1056" s="343"/>
      <c r="C1056" s="166" t="s">
        <v>761</v>
      </c>
      <c r="D1056" s="113"/>
      <c r="E1056" s="80" t="s">
        <v>787</v>
      </c>
    </row>
    <row r="1057" spans="1:5" s="73" customFormat="1" ht="15" customHeight="1" x14ac:dyDescent="0.25">
      <c r="A1057" s="334"/>
      <c r="B1057" s="343"/>
      <c r="C1057" s="166" t="s">
        <v>762</v>
      </c>
      <c r="D1057" s="113"/>
      <c r="E1057" s="80" t="s">
        <v>788</v>
      </c>
    </row>
    <row r="1058" spans="1:5" s="73" customFormat="1" ht="15" customHeight="1" x14ac:dyDescent="0.25">
      <c r="A1058" s="334"/>
      <c r="B1058" s="343"/>
      <c r="C1058" s="166" t="s">
        <v>763</v>
      </c>
      <c r="D1058" s="113"/>
      <c r="E1058" s="80" t="s">
        <v>789</v>
      </c>
    </row>
    <row r="1059" spans="1:5" s="73" customFormat="1" ht="15" customHeight="1" x14ac:dyDescent="0.25">
      <c r="A1059" s="334"/>
      <c r="B1059" s="343"/>
      <c r="C1059" s="166" t="s">
        <v>764</v>
      </c>
      <c r="D1059" s="113"/>
      <c r="E1059" s="80" t="s">
        <v>790</v>
      </c>
    </row>
    <row r="1060" spans="1:5" s="73" customFormat="1" ht="15" customHeight="1" x14ac:dyDescent="0.25">
      <c r="A1060" s="334"/>
      <c r="B1060" s="343"/>
      <c r="C1060" s="166" t="s">
        <v>765</v>
      </c>
      <c r="D1060" s="113"/>
      <c r="E1060" s="80" t="s">
        <v>791</v>
      </c>
    </row>
    <row r="1061" spans="1:5" s="73" customFormat="1" ht="15" customHeight="1" x14ac:dyDescent="0.25">
      <c r="A1061" s="334"/>
      <c r="B1061" s="343"/>
      <c r="C1061" s="166" t="s">
        <v>766</v>
      </c>
      <c r="D1061" s="113"/>
      <c r="E1061" s="80" t="s">
        <v>792</v>
      </c>
    </row>
    <row r="1062" spans="1:5" s="73" customFormat="1" ht="15" customHeight="1" x14ac:dyDescent="0.25">
      <c r="A1062" s="334"/>
      <c r="B1062" s="343"/>
      <c r="C1062" s="166" t="s">
        <v>767</v>
      </c>
      <c r="D1062" s="113"/>
      <c r="E1062" s="80" t="s">
        <v>793</v>
      </c>
    </row>
    <row r="1063" spans="1:5" s="73" customFormat="1" ht="15" customHeight="1" x14ac:dyDescent="0.25">
      <c r="A1063" s="334"/>
      <c r="B1063" s="343"/>
      <c r="C1063" s="166" t="s">
        <v>768</v>
      </c>
      <c r="D1063" s="113"/>
      <c r="E1063" s="80" t="s">
        <v>794</v>
      </c>
    </row>
    <row r="1064" spans="1:5" s="73" customFormat="1" ht="15" customHeight="1" x14ac:dyDescent="0.25">
      <c r="A1064" s="334"/>
      <c r="B1064" s="343"/>
      <c r="C1064" s="166" t="s">
        <v>769</v>
      </c>
      <c r="D1064" s="113"/>
      <c r="E1064" s="80" t="s">
        <v>795</v>
      </c>
    </row>
    <row r="1065" spans="1:5" s="73" customFormat="1" ht="15" customHeight="1" x14ac:dyDescent="0.25">
      <c r="A1065" s="334"/>
      <c r="B1065" s="343"/>
      <c r="C1065" s="166" t="s">
        <v>770</v>
      </c>
      <c r="D1065" s="113"/>
      <c r="E1065" s="80" t="s">
        <v>796</v>
      </c>
    </row>
    <row r="1066" spans="1:5" s="73" customFormat="1" ht="15" customHeight="1" x14ac:dyDescent="0.25">
      <c r="A1066" s="334"/>
      <c r="B1066" s="343"/>
      <c r="C1066" s="166" t="s">
        <v>771</v>
      </c>
      <c r="D1066" s="113"/>
      <c r="E1066" s="80" t="s">
        <v>797</v>
      </c>
    </row>
    <row r="1067" spans="1:5" s="111" customFormat="1" ht="15" customHeight="1" x14ac:dyDescent="0.25">
      <c r="A1067" s="334"/>
      <c r="B1067" s="343"/>
      <c r="C1067" s="90" t="s">
        <v>776</v>
      </c>
      <c r="D1067" s="156"/>
      <c r="E1067" s="93" t="s">
        <v>781</v>
      </c>
    </row>
    <row r="1068" spans="1:5" s="73" customFormat="1" ht="15" customHeight="1" x14ac:dyDescent="0.25">
      <c r="A1068" s="334"/>
      <c r="B1068" s="343"/>
      <c r="C1068" s="166" t="s">
        <v>637</v>
      </c>
      <c r="D1068" s="113"/>
      <c r="E1068" s="80" t="s">
        <v>798</v>
      </c>
    </row>
    <row r="1069" spans="1:5" s="73" customFormat="1" ht="15" customHeight="1" x14ac:dyDescent="0.25">
      <c r="A1069" s="334"/>
      <c r="B1069" s="343"/>
      <c r="C1069" s="166" t="s">
        <v>638</v>
      </c>
      <c r="D1069" s="113"/>
      <c r="E1069" s="80" t="s">
        <v>799</v>
      </c>
    </row>
    <row r="1070" spans="1:5" s="73" customFormat="1" ht="15" customHeight="1" x14ac:dyDescent="0.25">
      <c r="A1070" s="334"/>
      <c r="B1070" s="343"/>
      <c r="C1070" s="166" t="s">
        <v>639</v>
      </c>
      <c r="D1070" s="113"/>
      <c r="E1070" s="80" t="s">
        <v>800</v>
      </c>
    </row>
    <row r="1071" spans="1:5" s="73" customFormat="1" ht="15" customHeight="1" x14ac:dyDescent="0.25">
      <c r="A1071" s="334"/>
      <c r="B1071" s="343"/>
      <c r="C1071" s="166" t="s">
        <v>640</v>
      </c>
      <c r="D1071" s="113"/>
      <c r="E1071" s="80" t="s">
        <v>801</v>
      </c>
    </row>
    <row r="1072" spans="1:5" s="111" customFormat="1" ht="15" customHeight="1" x14ac:dyDescent="0.25">
      <c r="A1072" s="334"/>
      <c r="B1072" s="343"/>
      <c r="C1072" s="90" t="s">
        <v>777</v>
      </c>
      <c r="D1072" s="156"/>
      <c r="E1072" s="93" t="s">
        <v>782</v>
      </c>
    </row>
    <row r="1073" spans="1:5" s="73" customFormat="1" ht="15" customHeight="1" x14ac:dyDescent="0.25">
      <c r="A1073" s="334"/>
      <c r="B1073" s="343"/>
      <c r="C1073" s="166" t="s">
        <v>641</v>
      </c>
      <c r="D1073" s="113"/>
      <c r="E1073" s="80" t="s">
        <v>802</v>
      </c>
    </row>
    <row r="1074" spans="1:5" s="73" customFormat="1" ht="15" customHeight="1" x14ac:dyDescent="0.25">
      <c r="A1074" s="334"/>
      <c r="B1074" s="343"/>
      <c r="C1074" s="166" t="s">
        <v>642</v>
      </c>
      <c r="D1074" s="113"/>
      <c r="E1074" s="80" t="s">
        <v>803</v>
      </c>
    </row>
    <row r="1075" spans="1:5" s="111" customFormat="1" ht="15" customHeight="1" x14ac:dyDescent="0.25">
      <c r="A1075" s="334"/>
      <c r="B1075" s="343"/>
      <c r="C1075" s="90" t="s">
        <v>778</v>
      </c>
      <c r="D1075" s="156"/>
      <c r="E1075" s="93" t="s">
        <v>783</v>
      </c>
    </row>
    <row r="1076" spans="1:5" s="73" customFormat="1" ht="15" customHeight="1" x14ac:dyDescent="0.25">
      <c r="A1076" s="334"/>
      <c r="B1076" s="343"/>
      <c r="C1076" s="166" t="s">
        <v>486</v>
      </c>
      <c r="D1076" s="113"/>
      <c r="E1076" s="80" t="s">
        <v>804</v>
      </c>
    </row>
    <row r="1077" spans="1:5" s="73" customFormat="1" ht="15" customHeight="1" x14ac:dyDescent="0.25">
      <c r="A1077" s="334"/>
      <c r="B1077" s="343"/>
      <c r="C1077" s="166" t="s">
        <v>487</v>
      </c>
      <c r="D1077" s="113"/>
      <c r="E1077" s="80" t="s">
        <v>805</v>
      </c>
    </row>
    <row r="1078" spans="1:5" s="73" customFormat="1" ht="15" customHeight="1" x14ac:dyDescent="0.25">
      <c r="A1078" s="334"/>
      <c r="B1078" s="343"/>
      <c r="C1078" s="166" t="s">
        <v>490</v>
      </c>
      <c r="D1078" s="113"/>
      <c r="E1078" s="80" t="s">
        <v>806</v>
      </c>
    </row>
    <row r="1079" spans="1:5" s="73" customFormat="1" ht="15" customHeight="1" x14ac:dyDescent="0.25">
      <c r="A1079" s="334"/>
      <c r="B1079" s="343"/>
      <c r="C1079" s="166" t="s">
        <v>491</v>
      </c>
      <c r="D1079" s="113"/>
      <c r="E1079" s="80" t="s">
        <v>807</v>
      </c>
    </row>
    <row r="1080" spans="1:5" s="111" customFormat="1" ht="15" customHeight="1" x14ac:dyDescent="0.25">
      <c r="A1080" s="334"/>
      <c r="B1080" s="343"/>
      <c r="C1080" s="90" t="s">
        <v>564</v>
      </c>
      <c r="D1080" s="156"/>
      <c r="E1080" s="93" t="s">
        <v>784</v>
      </c>
    </row>
    <row r="1081" spans="1:5" s="73" customFormat="1" ht="15" customHeight="1" x14ac:dyDescent="0.25">
      <c r="A1081" s="334"/>
      <c r="B1081" s="343"/>
      <c r="C1081" s="166" t="s">
        <v>494</v>
      </c>
      <c r="D1081" s="113"/>
      <c r="E1081" s="80" t="s">
        <v>808</v>
      </c>
    </row>
    <row r="1082" spans="1:5" s="73" customFormat="1" ht="15" customHeight="1" x14ac:dyDescent="0.25">
      <c r="A1082" s="334"/>
      <c r="B1082" s="343"/>
      <c r="C1082" s="166" t="s">
        <v>495</v>
      </c>
      <c r="D1082" s="113"/>
      <c r="E1082" s="80" t="s">
        <v>809</v>
      </c>
    </row>
    <row r="1083" spans="1:5" s="73" customFormat="1" ht="15" customHeight="1" x14ac:dyDescent="0.25">
      <c r="A1083" s="334"/>
      <c r="B1083" s="343"/>
      <c r="C1083" s="166" t="s">
        <v>496</v>
      </c>
      <c r="D1083" s="113"/>
      <c r="E1083" s="80" t="s">
        <v>810</v>
      </c>
    </row>
    <row r="1084" spans="1:5" s="73" customFormat="1" ht="15" customHeight="1" x14ac:dyDescent="0.25">
      <c r="A1084" s="334"/>
      <c r="B1084" s="343"/>
      <c r="C1084" s="166" t="s">
        <v>497</v>
      </c>
      <c r="D1084" s="113"/>
      <c r="E1084" s="80" t="s">
        <v>811</v>
      </c>
    </row>
    <row r="1085" spans="1:5" s="73" customFormat="1" ht="15" customHeight="1" x14ac:dyDescent="0.25">
      <c r="A1085" s="334"/>
      <c r="B1085" s="343"/>
      <c r="C1085" s="166" t="s">
        <v>498</v>
      </c>
      <c r="D1085" s="113"/>
      <c r="E1085" s="80" t="s">
        <v>812</v>
      </c>
    </row>
    <row r="1086" spans="1:5" s="73" customFormat="1" ht="15" customHeight="1" x14ac:dyDescent="0.25">
      <c r="A1086" s="334"/>
      <c r="B1086" s="343"/>
      <c r="C1086" s="166" t="s">
        <v>499</v>
      </c>
      <c r="D1086" s="113"/>
      <c r="E1086" s="80" t="s">
        <v>813</v>
      </c>
    </row>
    <row r="1087" spans="1:5" s="73" customFormat="1" ht="15" customHeight="1" x14ac:dyDescent="0.25">
      <c r="A1087" s="334"/>
      <c r="B1087" s="343"/>
      <c r="C1087" s="166" t="s">
        <v>500</v>
      </c>
      <c r="D1087" s="113"/>
      <c r="E1087" s="80" t="s">
        <v>814</v>
      </c>
    </row>
    <row r="1088" spans="1:5" s="73" customFormat="1" ht="15" customHeight="1" x14ac:dyDescent="0.25">
      <c r="A1088" s="334"/>
      <c r="B1088" s="343"/>
      <c r="C1088" s="166" t="s">
        <v>501</v>
      </c>
      <c r="D1088" s="113"/>
      <c r="E1088" s="80" t="s">
        <v>815</v>
      </c>
    </row>
    <row r="1089" spans="1:5" s="73" customFormat="1" ht="15" customHeight="1" x14ac:dyDescent="0.25">
      <c r="A1089" s="334"/>
      <c r="B1089" s="343"/>
      <c r="C1089" s="119" t="s">
        <v>502</v>
      </c>
      <c r="D1089" s="114"/>
      <c r="E1089" s="98" t="s">
        <v>816</v>
      </c>
    </row>
    <row r="1090" spans="1:5" s="111" customFormat="1" ht="15" customHeight="1" x14ac:dyDescent="0.25">
      <c r="A1090" s="334"/>
      <c r="B1090" s="343"/>
      <c r="C1090" s="90" t="s">
        <v>817</v>
      </c>
      <c r="D1090" s="156"/>
      <c r="E1090" s="93" t="s">
        <v>773</v>
      </c>
    </row>
    <row r="1091" spans="1:5" s="111" customFormat="1" ht="15" customHeight="1" x14ac:dyDescent="0.25">
      <c r="A1091" s="334"/>
      <c r="B1091" s="343"/>
      <c r="C1091" s="90" t="s">
        <v>818</v>
      </c>
      <c r="D1091" s="156"/>
      <c r="E1091" s="93" t="s">
        <v>779</v>
      </c>
    </row>
    <row r="1092" spans="1:5" s="73" customFormat="1" ht="15" customHeight="1" x14ac:dyDescent="0.25">
      <c r="A1092" s="334"/>
      <c r="B1092" s="343"/>
      <c r="C1092" s="166" t="s">
        <v>759</v>
      </c>
      <c r="D1092" s="113"/>
      <c r="E1092" s="80" t="s">
        <v>785</v>
      </c>
    </row>
    <row r="1093" spans="1:5" s="73" customFormat="1" ht="15" customHeight="1" x14ac:dyDescent="0.25">
      <c r="A1093" s="334"/>
      <c r="B1093" s="343"/>
      <c r="C1093" s="166" t="s">
        <v>760</v>
      </c>
      <c r="D1093" s="113"/>
      <c r="E1093" s="80" t="s">
        <v>786</v>
      </c>
    </row>
    <row r="1094" spans="1:5" s="111" customFormat="1" ht="15" customHeight="1" x14ac:dyDescent="0.25">
      <c r="A1094" s="334"/>
      <c r="B1094" s="343"/>
      <c r="C1094" s="90" t="s">
        <v>819</v>
      </c>
      <c r="D1094" s="156"/>
      <c r="E1094" s="93" t="s">
        <v>825</v>
      </c>
    </row>
    <row r="1095" spans="1:5" s="73" customFormat="1" ht="15" customHeight="1" x14ac:dyDescent="0.25">
      <c r="A1095" s="334"/>
      <c r="B1095" s="343"/>
      <c r="C1095" s="166" t="s">
        <v>761</v>
      </c>
      <c r="D1095" s="113"/>
      <c r="E1095" s="80" t="s">
        <v>826</v>
      </c>
    </row>
    <row r="1096" spans="1:5" s="73" customFormat="1" ht="15" customHeight="1" x14ac:dyDescent="0.25">
      <c r="A1096" s="334"/>
      <c r="B1096" s="343"/>
      <c r="C1096" s="166" t="s">
        <v>762</v>
      </c>
      <c r="D1096" s="113"/>
      <c r="E1096" s="80" t="s">
        <v>827</v>
      </c>
    </row>
    <row r="1097" spans="1:5" s="73" customFormat="1" ht="15" customHeight="1" x14ac:dyDescent="0.25">
      <c r="A1097" s="334"/>
      <c r="B1097" s="343"/>
      <c r="C1097" s="166" t="s">
        <v>763</v>
      </c>
      <c r="D1097" s="113"/>
      <c r="E1097" s="80" t="s">
        <v>828</v>
      </c>
    </row>
    <row r="1098" spans="1:5" s="73" customFormat="1" ht="15" customHeight="1" x14ac:dyDescent="0.25">
      <c r="A1098" s="334"/>
      <c r="B1098" s="343"/>
      <c r="C1098" s="166" t="s">
        <v>764</v>
      </c>
      <c r="D1098" s="113"/>
      <c r="E1098" s="80" t="s">
        <v>829</v>
      </c>
    </row>
    <row r="1099" spans="1:5" s="73" customFormat="1" ht="15" customHeight="1" x14ac:dyDescent="0.25">
      <c r="A1099" s="334"/>
      <c r="B1099" s="343"/>
      <c r="C1099" s="166" t="s">
        <v>765</v>
      </c>
      <c r="D1099" s="113"/>
      <c r="E1099" s="80" t="s">
        <v>830</v>
      </c>
    </row>
    <row r="1100" spans="1:5" s="73" customFormat="1" ht="15" customHeight="1" x14ac:dyDescent="0.25">
      <c r="A1100" s="334"/>
      <c r="B1100" s="343"/>
      <c r="C1100" s="166" t="s">
        <v>766</v>
      </c>
      <c r="D1100" s="113"/>
      <c r="E1100" s="80" t="s">
        <v>831</v>
      </c>
    </row>
    <row r="1101" spans="1:5" s="73" customFormat="1" ht="15" customHeight="1" x14ac:dyDescent="0.25">
      <c r="A1101" s="334"/>
      <c r="B1101" s="343"/>
      <c r="C1101" s="166" t="s">
        <v>767</v>
      </c>
      <c r="D1101" s="113"/>
      <c r="E1101" s="80" t="s">
        <v>832</v>
      </c>
    </row>
    <row r="1102" spans="1:5" s="73" customFormat="1" ht="15" customHeight="1" x14ac:dyDescent="0.25">
      <c r="A1102" s="334"/>
      <c r="B1102" s="343"/>
      <c r="C1102" s="166" t="s">
        <v>768</v>
      </c>
      <c r="D1102" s="113"/>
      <c r="E1102" s="80" t="s">
        <v>833</v>
      </c>
    </row>
    <row r="1103" spans="1:5" s="73" customFormat="1" ht="15" customHeight="1" x14ac:dyDescent="0.25">
      <c r="A1103" s="334"/>
      <c r="B1103" s="343"/>
      <c r="C1103" s="166" t="s">
        <v>769</v>
      </c>
      <c r="D1103" s="113"/>
      <c r="E1103" s="80" t="s">
        <v>834</v>
      </c>
    </row>
    <row r="1104" spans="1:5" s="73" customFormat="1" ht="15" customHeight="1" x14ac:dyDescent="0.25">
      <c r="A1104" s="334"/>
      <c r="B1104" s="343"/>
      <c r="C1104" s="166" t="s">
        <v>770</v>
      </c>
      <c r="D1104" s="113"/>
      <c r="E1104" s="80" t="s">
        <v>835</v>
      </c>
    </row>
    <row r="1105" spans="1:5" s="73" customFormat="1" ht="15" customHeight="1" x14ac:dyDescent="0.25">
      <c r="A1105" s="334"/>
      <c r="B1105" s="343"/>
      <c r="C1105" s="166" t="s">
        <v>771</v>
      </c>
      <c r="D1105" s="113"/>
      <c r="E1105" s="80" t="s">
        <v>836</v>
      </c>
    </row>
    <row r="1106" spans="1:5" s="111" customFormat="1" ht="15" customHeight="1" x14ac:dyDescent="0.25">
      <c r="A1106" s="334"/>
      <c r="B1106" s="343"/>
      <c r="C1106" s="90" t="s">
        <v>820</v>
      </c>
      <c r="D1106" s="156"/>
      <c r="E1106" s="93" t="s">
        <v>837</v>
      </c>
    </row>
    <row r="1107" spans="1:5" s="73" customFormat="1" ht="15" customHeight="1" x14ac:dyDescent="0.25">
      <c r="A1107" s="334"/>
      <c r="B1107" s="343"/>
      <c r="C1107" s="166" t="s">
        <v>637</v>
      </c>
      <c r="D1107" s="113"/>
      <c r="E1107" s="80" t="s">
        <v>838</v>
      </c>
    </row>
    <row r="1108" spans="1:5" s="73" customFormat="1" ht="15" customHeight="1" x14ac:dyDescent="0.25">
      <c r="A1108" s="334"/>
      <c r="B1108" s="343"/>
      <c r="C1108" s="166" t="s">
        <v>638</v>
      </c>
      <c r="D1108" s="113"/>
      <c r="E1108" s="80" t="s">
        <v>839</v>
      </c>
    </row>
    <row r="1109" spans="1:5" s="73" customFormat="1" ht="15" customHeight="1" x14ac:dyDescent="0.25">
      <c r="A1109" s="334"/>
      <c r="B1109" s="343"/>
      <c r="C1109" s="166" t="s">
        <v>639</v>
      </c>
      <c r="D1109" s="113"/>
      <c r="E1109" s="80" t="s">
        <v>840</v>
      </c>
    </row>
    <row r="1110" spans="1:5" s="73" customFormat="1" ht="15" customHeight="1" x14ac:dyDescent="0.25">
      <c r="A1110" s="334"/>
      <c r="B1110" s="343"/>
      <c r="C1110" s="166" t="s">
        <v>640</v>
      </c>
      <c r="D1110" s="113"/>
      <c r="E1110" s="80" t="s">
        <v>841</v>
      </c>
    </row>
    <row r="1111" spans="1:5" s="111" customFormat="1" ht="15" customHeight="1" x14ac:dyDescent="0.25">
      <c r="A1111" s="334"/>
      <c r="B1111" s="343"/>
      <c r="C1111" s="90" t="s">
        <v>821</v>
      </c>
      <c r="D1111" s="156"/>
      <c r="E1111" s="93" t="s">
        <v>842</v>
      </c>
    </row>
    <row r="1112" spans="1:5" s="73" customFormat="1" ht="15" customHeight="1" x14ac:dyDescent="0.25">
      <c r="A1112" s="334"/>
      <c r="B1112" s="343"/>
      <c r="C1112" s="166" t="s">
        <v>641</v>
      </c>
      <c r="D1112" s="113"/>
      <c r="E1112" s="80" t="s">
        <v>843</v>
      </c>
    </row>
    <row r="1113" spans="1:5" s="73" customFormat="1" ht="15" customHeight="1" x14ac:dyDescent="0.25">
      <c r="A1113" s="334"/>
      <c r="B1113" s="343"/>
      <c r="C1113" s="166" t="s">
        <v>642</v>
      </c>
      <c r="D1113" s="113"/>
      <c r="E1113" s="80" t="s">
        <v>844</v>
      </c>
    </row>
    <row r="1114" spans="1:5" s="111" customFormat="1" ht="15" customHeight="1" x14ac:dyDescent="0.25">
      <c r="A1114" s="334"/>
      <c r="B1114" s="343"/>
      <c r="C1114" s="90" t="s">
        <v>822</v>
      </c>
      <c r="D1114" s="156"/>
      <c r="E1114" s="93" t="s">
        <v>845</v>
      </c>
    </row>
    <row r="1115" spans="1:5" s="73" customFormat="1" ht="15" customHeight="1" x14ac:dyDescent="0.25">
      <c r="A1115" s="334"/>
      <c r="B1115" s="343"/>
      <c r="C1115" s="166" t="s">
        <v>486</v>
      </c>
      <c r="D1115" s="113"/>
      <c r="E1115" s="80" t="s">
        <v>846</v>
      </c>
    </row>
    <row r="1116" spans="1:5" s="73" customFormat="1" ht="15" customHeight="1" x14ac:dyDescent="0.25">
      <c r="A1116" s="334"/>
      <c r="B1116" s="343"/>
      <c r="C1116" s="166" t="s">
        <v>487</v>
      </c>
      <c r="D1116" s="113"/>
      <c r="E1116" s="80" t="s">
        <v>847</v>
      </c>
    </row>
    <row r="1117" spans="1:5" s="73" customFormat="1" ht="15" customHeight="1" x14ac:dyDescent="0.25">
      <c r="A1117" s="334"/>
      <c r="B1117" s="343"/>
      <c r="C1117" s="166" t="s">
        <v>490</v>
      </c>
      <c r="D1117" s="113"/>
      <c r="E1117" s="80" t="s">
        <v>848</v>
      </c>
    </row>
    <row r="1118" spans="1:5" s="73" customFormat="1" ht="15" customHeight="1" x14ac:dyDescent="0.25">
      <c r="A1118" s="334"/>
      <c r="B1118" s="343"/>
      <c r="C1118" s="166" t="s">
        <v>491</v>
      </c>
      <c r="D1118" s="113"/>
      <c r="E1118" s="80" t="s">
        <v>849</v>
      </c>
    </row>
    <row r="1119" spans="1:5" s="111" customFormat="1" ht="15" customHeight="1" x14ac:dyDescent="0.25">
      <c r="A1119" s="334"/>
      <c r="B1119" s="343"/>
      <c r="C1119" s="90" t="s">
        <v>515</v>
      </c>
      <c r="D1119" s="156"/>
      <c r="E1119" s="93" t="s">
        <v>850</v>
      </c>
    </row>
    <row r="1120" spans="1:5" s="73" customFormat="1" ht="15" customHeight="1" x14ac:dyDescent="0.25">
      <c r="A1120" s="334"/>
      <c r="B1120" s="343"/>
      <c r="C1120" s="166" t="s">
        <v>494</v>
      </c>
      <c r="D1120" s="113"/>
      <c r="E1120" s="80" t="s">
        <v>851</v>
      </c>
    </row>
    <row r="1121" spans="1:5" s="73" customFormat="1" ht="15" customHeight="1" x14ac:dyDescent="0.25">
      <c r="A1121" s="334"/>
      <c r="B1121" s="343"/>
      <c r="C1121" s="166" t="s">
        <v>495</v>
      </c>
      <c r="D1121" s="113"/>
      <c r="E1121" s="80" t="s">
        <v>852</v>
      </c>
    </row>
    <row r="1122" spans="1:5" s="73" customFormat="1" ht="15" customHeight="1" x14ac:dyDescent="0.25">
      <c r="A1122" s="334"/>
      <c r="B1122" s="343"/>
      <c r="C1122" s="166" t="s">
        <v>496</v>
      </c>
      <c r="D1122" s="113"/>
      <c r="E1122" s="80" t="s">
        <v>853</v>
      </c>
    </row>
    <row r="1123" spans="1:5" s="73" customFormat="1" ht="15" customHeight="1" x14ac:dyDescent="0.25">
      <c r="A1123" s="334"/>
      <c r="B1123" s="343"/>
      <c r="C1123" s="166" t="s">
        <v>497</v>
      </c>
      <c r="D1123" s="113"/>
      <c r="E1123" s="80" t="s">
        <v>854</v>
      </c>
    </row>
    <row r="1124" spans="1:5" s="73" customFormat="1" ht="15" customHeight="1" x14ac:dyDescent="0.25">
      <c r="A1124" s="334"/>
      <c r="B1124" s="343"/>
      <c r="C1124" s="166" t="s">
        <v>498</v>
      </c>
      <c r="D1124" s="113"/>
      <c r="E1124" s="80" t="s">
        <v>855</v>
      </c>
    </row>
    <row r="1125" spans="1:5" s="73" customFormat="1" ht="15" customHeight="1" x14ac:dyDescent="0.25">
      <c r="A1125" s="334"/>
      <c r="B1125" s="343"/>
      <c r="C1125" s="166" t="s">
        <v>499</v>
      </c>
      <c r="D1125" s="113"/>
      <c r="E1125" s="80" t="s">
        <v>856</v>
      </c>
    </row>
    <row r="1126" spans="1:5" s="73" customFormat="1" ht="15" customHeight="1" x14ac:dyDescent="0.25">
      <c r="A1126" s="334"/>
      <c r="B1126" s="343"/>
      <c r="C1126" s="166" t="s">
        <v>500</v>
      </c>
      <c r="D1126" s="113"/>
      <c r="E1126" s="80" t="s">
        <v>857</v>
      </c>
    </row>
    <row r="1127" spans="1:5" s="73" customFormat="1" ht="15" customHeight="1" x14ac:dyDescent="0.25">
      <c r="A1127" s="334"/>
      <c r="B1127" s="343"/>
      <c r="C1127" s="166" t="s">
        <v>501</v>
      </c>
      <c r="D1127" s="113"/>
      <c r="E1127" s="80" t="s">
        <v>858</v>
      </c>
    </row>
    <row r="1128" spans="1:5" s="73" customFormat="1" ht="15" customHeight="1" x14ac:dyDescent="0.25">
      <c r="A1128" s="334"/>
      <c r="B1128" s="343"/>
      <c r="C1128" s="166" t="s">
        <v>502</v>
      </c>
      <c r="D1128" s="113"/>
      <c r="E1128" s="80" t="s">
        <v>859</v>
      </c>
    </row>
    <row r="1129" spans="1:5" s="111" customFormat="1" ht="15" customHeight="1" x14ac:dyDescent="0.25">
      <c r="A1129" s="334"/>
      <c r="B1129" s="332" t="s">
        <v>1009</v>
      </c>
      <c r="C1129" s="103" t="s">
        <v>772</v>
      </c>
      <c r="D1129" s="157"/>
      <c r="E1129" s="104" t="s">
        <v>860</v>
      </c>
    </row>
    <row r="1130" spans="1:5" s="111" customFormat="1" ht="15" customHeight="1" x14ac:dyDescent="0.25">
      <c r="A1130" s="334"/>
      <c r="B1130" s="332"/>
      <c r="C1130" s="103" t="s">
        <v>774</v>
      </c>
      <c r="D1130" s="157"/>
      <c r="E1130" s="104" t="s">
        <v>861</v>
      </c>
    </row>
    <row r="1131" spans="1:5" s="73" customFormat="1" ht="15" customHeight="1" x14ac:dyDescent="0.25">
      <c r="A1131" s="334"/>
      <c r="B1131" s="332"/>
      <c r="C1131" s="167" t="s">
        <v>759</v>
      </c>
      <c r="D1131" s="115"/>
      <c r="E1131" s="78" t="s">
        <v>862</v>
      </c>
    </row>
    <row r="1132" spans="1:5" s="73" customFormat="1" ht="15" customHeight="1" x14ac:dyDescent="0.25">
      <c r="A1132" s="334"/>
      <c r="B1132" s="332"/>
      <c r="C1132" s="167" t="s">
        <v>760</v>
      </c>
      <c r="D1132" s="115"/>
      <c r="E1132" s="78" t="s">
        <v>863</v>
      </c>
    </row>
    <row r="1133" spans="1:5" s="111" customFormat="1" ht="15" customHeight="1" x14ac:dyDescent="0.25">
      <c r="A1133" s="334"/>
      <c r="B1133" s="332"/>
      <c r="C1133" s="103" t="s">
        <v>775</v>
      </c>
      <c r="D1133" s="157"/>
      <c r="E1133" s="104" t="s">
        <v>864</v>
      </c>
    </row>
    <row r="1134" spans="1:5" s="73" customFormat="1" ht="15" customHeight="1" x14ac:dyDescent="0.25">
      <c r="A1134" s="334"/>
      <c r="B1134" s="332"/>
      <c r="C1134" s="167" t="s">
        <v>761</v>
      </c>
      <c r="D1134" s="115"/>
      <c r="E1134" s="78" t="s">
        <v>865</v>
      </c>
    </row>
    <row r="1135" spans="1:5" s="73" customFormat="1" ht="15" customHeight="1" x14ac:dyDescent="0.25">
      <c r="A1135" s="334"/>
      <c r="B1135" s="332"/>
      <c r="C1135" s="167" t="s">
        <v>762</v>
      </c>
      <c r="D1135" s="115"/>
      <c r="E1135" s="78" t="s">
        <v>866</v>
      </c>
    </row>
    <row r="1136" spans="1:5" s="73" customFormat="1" ht="15" customHeight="1" x14ac:dyDescent="0.25">
      <c r="A1136" s="334"/>
      <c r="B1136" s="332"/>
      <c r="C1136" s="167" t="s">
        <v>763</v>
      </c>
      <c r="D1136" s="115"/>
      <c r="E1136" s="78" t="s">
        <v>867</v>
      </c>
    </row>
    <row r="1137" spans="1:5" s="73" customFormat="1" ht="15" customHeight="1" x14ac:dyDescent="0.25">
      <c r="A1137" s="334"/>
      <c r="B1137" s="332"/>
      <c r="C1137" s="167" t="s">
        <v>764</v>
      </c>
      <c r="D1137" s="115"/>
      <c r="E1137" s="78" t="s">
        <v>868</v>
      </c>
    </row>
    <row r="1138" spans="1:5" s="73" customFormat="1" ht="15" customHeight="1" x14ac:dyDescent="0.25">
      <c r="A1138" s="334"/>
      <c r="B1138" s="332"/>
      <c r="C1138" s="167" t="s">
        <v>765</v>
      </c>
      <c r="D1138" s="115"/>
      <c r="E1138" s="78" t="s">
        <v>869</v>
      </c>
    </row>
    <row r="1139" spans="1:5" s="73" customFormat="1" ht="15" customHeight="1" x14ac:dyDescent="0.25">
      <c r="A1139" s="334"/>
      <c r="B1139" s="332"/>
      <c r="C1139" s="167" t="s">
        <v>766</v>
      </c>
      <c r="D1139" s="115"/>
      <c r="E1139" s="78" t="s">
        <v>870</v>
      </c>
    </row>
    <row r="1140" spans="1:5" s="73" customFormat="1" ht="15" customHeight="1" x14ac:dyDescent="0.25">
      <c r="A1140" s="334"/>
      <c r="B1140" s="332"/>
      <c r="C1140" s="167" t="s">
        <v>767</v>
      </c>
      <c r="D1140" s="115"/>
      <c r="E1140" s="78" t="s">
        <v>871</v>
      </c>
    </row>
    <row r="1141" spans="1:5" s="73" customFormat="1" ht="15" customHeight="1" x14ac:dyDescent="0.25">
      <c r="A1141" s="334"/>
      <c r="B1141" s="332"/>
      <c r="C1141" s="167" t="s">
        <v>768</v>
      </c>
      <c r="D1141" s="115"/>
      <c r="E1141" s="78" t="s">
        <v>872</v>
      </c>
    </row>
    <row r="1142" spans="1:5" s="73" customFormat="1" ht="15" customHeight="1" x14ac:dyDescent="0.25">
      <c r="A1142" s="334"/>
      <c r="B1142" s="332"/>
      <c r="C1142" s="167" t="s">
        <v>769</v>
      </c>
      <c r="D1142" s="115"/>
      <c r="E1142" s="78" t="s">
        <v>873</v>
      </c>
    </row>
    <row r="1143" spans="1:5" s="73" customFormat="1" ht="15" customHeight="1" x14ac:dyDescent="0.25">
      <c r="A1143" s="334"/>
      <c r="B1143" s="332"/>
      <c r="C1143" s="167" t="s">
        <v>770</v>
      </c>
      <c r="D1143" s="115"/>
      <c r="E1143" s="78" t="s">
        <v>874</v>
      </c>
    </row>
    <row r="1144" spans="1:5" s="73" customFormat="1" ht="15" customHeight="1" x14ac:dyDescent="0.25">
      <c r="A1144" s="334"/>
      <c r="B1144" s="332"/>
      <c r="C1144" s="167" t="s">
        <v>771</v>
      </c>
      <c r="D1144" s="115"/>
      <c r="E1144" s="78" t="s">
        <v>875</v>
      </c>
    </row>
    <row r="1145" spans="1:5" s="111" customFormat="1" ht="15" customHeight="1" x14ac:dyDescent="0.25">
      <c r="A1145" s="334"/>
      <c r="B1145" s="332"/>
      <c r="C1145" s="103" t="s">
        <v>776</v>
      </c>
      <c r="D1145" s="157"/>
      <c r="E1145" s="104" t="s">
        <v>876</v>
      </c>
    </row>
    <row r="1146" spans="1:5" s="73" customFormat="1" ht="15" customHeight="1" x14ac:dyDescent="0.25">
      <c r="A1146" s="334"/>
      <c r="B1146" s="332"/>
      <c r="C1146" s="167" t="s">
        <v>637</v>
      </c>
      <c r="D1146" s="115"/>
      <c r="E1146" s="78" t="s">
        <v>877</v>
      </c>
    </row>
    <row r="1147" spans="1:5" s="73" customFormat="1" ht="15" customHeight="1" x14ac:dyDescent="0.25">
      <c r="A1147" s="334"/>
      <c r="B1147" s="332"/>
      <c r="C1147" s="167" t="s">
        <v>638</v>
      </c>
      <c r="D1147" s="115"/>
      <c r="E1147" s="78" t="s">
        <v>878</v>
      </c>
    </row>
    <row r="1148" spans="1:5" s="73" customFormat="1" ht="15" customHeight="1" x14ac:dyDescent="0.25">
      <c r="A1148" s="334"/>
      <c r="B1148" s="332"/>
      <c r="C1148" s="167" t="s">
        <v>639</v>
      </c>
      <c r="D1148" s="115"/>
      <c r="E1148" s="78" t="s">
        <v>879</v>
      </c>
    </row>
    <row r="1149" spans="1:5" s="73" customFormat="1" ht="15" customHeight="1" x14ac:dyDescent="0.25">
      <c r="A1149" s="334"/>
      <c r="B1149" s="332"/>
      <c r="C1149" s="167" t="s">
        <v>640</v>
      </c>
      <c r="D1149" s="115"/>
      <c r="E1149" s="78" t="s">
        <v>880</v>
      </c>
    </row>
    <row r="1150" spans="1:5" s="111" customFormat="1" ht="15" customHeight="1" x14ac:dyDescent="0.25">
      <c r="A1150" s="334"/>
      <c r="B1150" s="332"/>
      <c r="C1150" s="103" t="s">
        <v>777</v>
      </c>
      <c r="D1150" s="157"/>
      <c r="E1150" s="104" t="s">
        <v>881</v>
      </c>
    </row>
    <row r="1151" spans="1:5" s="73" customFormat="1" ht="15" customHeight="1" x14ac:dyDescent="0.25">
      <c r="A1151" s="334"/>
      <c r="B1151" s="332"/>
      <c r="C1151" s="167" t="s">
        <v>641</v>
      </c>
      <c r="D1151" s="115"/>
      <c r="E1151" s="78" t="s">
        <v>882</v>
      </c>
    </row>
    <row r="1152" spans="1:5" s="73" customFormat="1" ht="15" customHeight="1" x14ac:dyDescent="0.25">
      <c r="A1152" s="334"/>
      <c r="B1152" s="332"/>
      <c r="C1152" s="167" t="s">
        <v>642</v>
      </c>
      <c r="D1152" s="115"/>
      <c r="E1152" s="78" t="s">
        <v>883</v>
      </c>
    </row>
    <row r="1153" spans="1:5" s="111" customFormat="1" ht="15" customHeight="1" x14ac:dyDescent="0.25">
      <c r="A1153" s="334"/>
      <c r="B1153" s="332"/>
      <c r="C1153" s="103" t="s">
        <v>778</v>
      </c>
      <c r="D1153" s="157"/>
      <c r="E1153" s="104" t="s">
        <v>884</v>
      </c>
    </row>
    <row r="1154" spans="1:5" s="73" customFormat="1" ht="15" customHeight="1" x14ac:dyDescent="0.25">
      <c r="A1154" s="334"/>
      <c r="B1154" s="332"/>
      <c r="C1154" s="167" t="s">
        <v>486</v>
      </c>
      <c r="D1154" s="115"/>
      <c r="E1154" s="78" t="s">
        <v>885</v>
      </c>
    </row>
    <row r="1155" spans="1:5" s="73" customFormat="1" ht="15" customHeight="1" x14ac:dyDescent="0.25">
      <c r="A1155" s="334"/>
      <c r="B1155" s="332"/>
      <c r="C1155" s="167" t="s">
        <v>487</v>
      </c>
      <c r="D1155" s="115"/>
      <c r="E1155" s="78" t="s">
        <v>886</v>
      </c>
    </row>
    <row r="1156" spans="1:5" s="73" customFormat="1" ht="15" customHeight="1" x14ac:dyDescent="0.25">
      <c r="A1156" s="334"/>
      <c r="B1156" s="332"/>
      <c r="C1156" s="167" t="s">
        <v>490</v>
      </c>
      <c r="D1156" s="115"/>
      <c r="E1156" s="78" t="s">
        <v>887</v>
      </c>
    </row>
    <row r="1157" spans="1:5" s="73" customFormat="1" ht="15" customHeight="1" x14ac:dyDescent="0.25">
      <c r="A1157" s="334"/>
      <c r="B1157" s="332"/>
      <c r="C1157" s="167" t="s">
        <v>491</v>
      </c>
      <c r="D1157" s="115"/>
      <c r="E1157" s="78" t="s">
        <v>888</v>
      </c>
    </row>
    <row r="1158" spans="1:5" s="111" customFormat="1" ht="15" customHeight="1" x14ac:dyDescent="0.25">
      <c r="A1158" s="334"/>
      <c r="B1158" s="332"/>
      <c r="C1158" s="103" t="s">
        <v>564</v>
      </c>
      <c r="D1158" s="157"/>
      <c r="E1158" s="104" t="s">
        <v>889</v>
      </c>
    </row>
    <row r="1159" spans="1:5" s="73" customFormat="1" ht="15" customHeight="1" x14ac:dyDescent="0.25">
      <c r="A1159" s="334"/>
      <c r="B1159" s="332"/>
      <c r="C1159" s="167" t="s">
        <v>494</v>
      </c>
      <c r="D1159" s="115"/>
      <c r="E1159" s="78" t="s">
        <v>890</v>
      </c>
    </row>
    <row r="1160" spans="1:5" s="73" customFormat="1" ht="15" customHeight="1" x14ac:dyDescent="0.25">
      <c r="A1160" s="334"/>
      <c r="B1160" s="332"/>
      <c r="C1160" s="167" t="s">
        <v>495</v>
      </c>
      <c r="D1160" s="115"/>
      <c r="E1160" s="78" t="s">
        <v>891</v>
      </c>
    </row>
    <row r="1161" spans="1:5" s="73" customFormat="1" ht="15" customHeight="1" x14ac:dyDescent="0.25">
      <c r="A1161" s="334"/>
      <c r="B1161" s="332"/>
      <c r="C1161" s="167" t="s">
        <v>496</v>
      </c>
      <c r="D1161" s="115"/>
      <c r="E1161" s="78" t="s">
        <v>892</v>
      </c>
    </row>
    <row r="1162" spans="1:5" s="73" customFormat="1" ht="15" customHeight="1" x14ac:dyDescent="0.25">
      <c r="A1162" s="334"/>
      <c r="B1162" s="332"/>
      <c r="C1162" s="167" t="s">
        <v>497</v>
      </c>
      <c r="D1162" s="115"/>
      <c r="E1162" s="78" t="s">
        <v>893</v>
      </c>
    </row>
    <row r="1163" spans="1:5" s="73" customFormat="1" ht="15" customHeight="1" x14ac:dyDescent="0.25">
      <c r="A1163" s="334"/>
      <c r="B1163" s="332"/>
      <c r="C1163" s="167" t="s">
        <v>498</v>
      </c>
      <c r="D1163" s="115"/>
      <c r="E1163" s="78" t="s">
        <v>894</v>
      </c>
    </row>
    <row r="1164" spans="1:5" s="73" customFormat="1" ht="15" customHeight="1" x14ac:dyDescent="0.25">
      <c r="A1164" s="334"/>
      <c r="B1164" s="332"/>
      <c r="C1164" s="167" t="s">
        <v>499</v>
      </c>
      <c r="D1164" s="115"/>
      <c r="E1164" s="78" t="s">
        <v>895</v>
      </c>
    </row>
    <row r="1165" spans="1:5" s="73" customFormat="1" ht="15" customHeight="1" x14ac:dyDescent="0.25">
      <c r="A1165" s="334"/>
      <c r="B1165" s="332"/>
      <c r="C1165" s="167" t="s">
        <v>500</v>
      </c>
      <c r="D1165" s="115"/>
      <c r="E1165" s="78" t="s">
        <v>896</v>
      </c>
    </row>
    <row r="1166" spans="1:5" s="73" customFormat="1" ht="15" customHeight="1" x14ac:dyDescent="0.25">
      <c r="A1166" s="334"/>
      <c r="B1166" s="332"/>
      <c r="C1166" s="167" t="s">
        <v>501</v>
      </c>
      <c r="D1166" s="115"/>
      <c r="E1166" s="78" t="s">
        <v>897</v>
      </c>
    </row>
    <row r="1167" spans="1:5" s="73" customFormat="1" ht="15" customHeight="1" x14ac:dyDescent="0.25">
      <c r="A1167" s="334"/>
      <c r="B1167" s="332"/>
      <c r="C1167" s="168" t="s">
        <v>502</v>
      </c>
      <c r="D1167" s="116"/>
      <c r="E1167" s="105" t="s">
        <v>898</v>
      </c>
    </row>
    <row r="1168" spans="1:5" s="111" customFormat="1" ht="15" customHeight="1" x14ac:dyDescent="0.25">
      <c r="A1168" s="334"/>
      <c r="B1168" s="332"/>
      <c r="C1168" s="103" t="s">
        <v>817</v>
      </c>
      <c r="D1168" s="157"/>
      <c r="E1168" s="104" t="s">
        <v>860</v>
      </c>
    </row>
    <row r="1169" spans="1:5" s="111" customFormat="1" ht="15" customHeight="1" x14ac:dyDescent="0.25">
      <c r="A1169" s="334"/>
      <c r="B1169" s="332"/>
      <c r="C1169" s="103" t="s">
        <v>818</v>
      </c>
      <c r="D1169" s="157"/>
      <c r="E1169" s="104" t="s">
        <v>861</v>
      </c>
    </row>
    <row r="1170" spans="1:5" s="73" customFormat="1" ht="15" customHeight="1" x14ac:dyDescent="0.25">
      <c r="A1170" s="334"/>
      <c r="B1170" s="332"/>
      <c r="C1170" s="167" t="s">
        <v>759</v>
      </c>
      <c r="D1170" s="115"/>
      <c r="E1170" s="78" t="s">
        <v>862</v>
      </c>
    </row>
    <row r="1171" spans="1:5" s="73" customFormat="1" ht="15" customHeight="1" x14ac:dyDescent="0.25">
      <c r="A1171" s="334"/>
      <c r="B1171" s="332"/>
      <c r="C1171" s="167" t="s">
        <v>760</v>
      </c>
      <c r="D1171" s="115"/>
      <c r="E1171" s="78" t="s">
        <v>863</v>
      </c>
    </row>
    <row r="1172" spans="1:5" s="111" customFormat="1" ht="15" customHeight="1" x14ac:dyDescent="0.25">
      <c r="A1172" s="334"/>
      <c r="B1172" s="332"/>
      <c r="C1172" s="103" t="s">
        <v>819</v>
      </c>
      <c r="D1172" s="157"/>
      <c r="E1172" s="104" t="s">
        <v>899</v>
      </c>
    </row>
    <row r="1173" spans="1:5" s="73" customFormat="1" ht="15" customHeight="1" x14ac:dyDescent="0.25">
      <c r="A1173" s="334"/>
      <c r="B1173" s="332"/>
      <c r="C1173" s="167" t="s">
        <v>761</v>
      </c>
      <c r="D1173" s="115"/>
      <c r="E1173" s="78" t="s">
        <v>900</v>
      </c>
    </row>
    <row r="1174" spans="1:5" s="73" customFormat="1" ht="15" customHeight="1" x14ac:dyDescent="0.25">
      <c r="A1174" s="334"/>
      <c r="B1174" s="332"/>
      <c r="C1174" s="167" t="s">
        <v>762</v>
      </c>
      <c r="D1174" s="115"/>
      <c r="E1174" s="78" t="s">
        <v>901</v>
      </c>
    </row>
    <row r="1175" spans="1:5" s="73" customFormat="1" ht="15" customHeight="1" x14ac:dyDescent="0.25">
      <c r="A1175" s="334"/>
      <c r="B1175" s="332"/>
      <c r="C1175" s="167" t="s">
        <v>763</v>
      </c>
      <c r="D1175" s="115"/>
      <c r="E1175" s="78" t="s">
        <v>902</v>
      </c>
    </row>
    <row r="1176" spans="1:5" s="73" customFormat="1" ht="15" customHeight="1" x14ac:dyDescent="0.25">
      <c r="A1176" s="334"/>
      <c r="B1176" s="332"/>
      <c r="C1176" s="167" t="s">
        <v>764</v>
      </c>
      <c r="D1176" s="115"/>
      <c r="E1176" s="78" t="s">
        <v>903</v>
      </c>
    </row>
    <row r="1177" spans="1:5" s="73" customFormat="1" ht="15" customHeight="1" x14ac:dyDescent="0.25">
      <c r="A1177" s="334"/>
      <c r="B1177" s="332"/>
      <c r="C1177" s="167" t="s">
        <v>765</v>
      </c>
      <c r="D1177" s="115"/>
      <c r="E1177" s="78" t="s">
        <v>904</v>
      </c>
    </row>
    <row r="1178" spans="1:5" s="73" customFormat="1" ht="15" customHeight="1" x14ac:dyDescent="0.25">
      <c r="A1178" s="334"/>
      <c r="B1178" s="332"/>
      <c r="C1178" s="167" t="s">
        <v>766</v>
      </c>
      <c r="D1178" s="115"/>
      <c r="E1178" s="78" t="s">
        <v>905</v>
      </c>
    </row>
    <row r="1179" spans="1:5" s="73" customFormat="1" ht="15" customHeight="1" x14ac:dyDescent="0.25">
      <c r="A1179" s="334"/>
      <c r="B1179" s="332"/>
      <c r="C1179" s="167" t="s">
        <v>767</v>
      </c>
      <c r="D1179" s="115"/>
      <c r="E1179" s="78" t="s">
        <v>906</v>
      </c>
    </row>
    <row r="1180" spans="1:5" s="73" customFormat="1" ht="15" customHeight="1" x14ac:dyDescent="0.25">
      <c r="A1180" s="334"/>
      <c r="B1180" s="332"/>
      <c r="C1180" s="167" t="s">
        <v>768</v>
      </c>
      <c r="D1180" s="115"/>
      <c r="E1180" s="78" t="s">
        <v>907</v>
      </c>
    </row>
    <row r="1181" spans="1:5" s="73" customFormat="1" ht="15" customHeight="1" x14ac:dyDescent="0.25">
      <c r="A1181" s="334"/>
      <c r="B1181" s="332"/>
      <c r="C1181" s="167" t="s">
        <v>769</v>
      </c>
      <c r="D1181" s="115"/>
      <c r="E1181" s="78" t="s">
        <v>908</v>
      </c>
    </row>
    <row r="1182" spans="1:5" s="73" customFormat="1" ht="15" customHeight="1" x14ac:dyDescent="0.25">
      <c r="A1182" s="334"/>
      <c r="B1182" s="332"/>
      <c r="C1182" s="167" t="s">
        <v>770</v>
      </c>
      <c r="D1182" s="115"/>
      <c r="E1182" s="78" t="s">
        <v>909</v>
      </c>
    </row>
    <row r="1183" spans="1:5" s="73" customFormat="1" ht="15" customHeight="1" x14ac:dyDescent="0.25">
      <c r="A1183" s="334"/>
      <c r="B1183" s="332"/>
      <c r="C1183" s="167" t="s">
        <v>771</v>
      </c>
      <c r="D1183" s="115"/>
      <c r="E1183" s="78" t="s">
        <v>910</v>
      </c>
    </row>
    <row r="1184" spans="1:5" s="111" customFormat="1" ht="15" customHeight="1" x14ac:dyDescent="0.25">
      <c r="A1184" s="334"/>
      <c r="B1184" s="332"/>
      <c r="C1184" s="103" t="s">
        <v>820</v>
      </c>
      <c r="D1184" s="157"/>
      <c r="E1184" s="104" t="s">
        <v>911</v>
      </c>
    </row>
    <row r="1185" spans="1:5" s="73" customFormat="1" ht="15" customHeight="1" x14ac:dyDescent="0.25">
      <c r="A1185" s="334"/>
      <c r="B1185" s="332"/>
      <c r="C1185" s="167" t="s">
        <v>637</v>
      </c>
      <c r="D1185" s="115"/>
      <c r="E1185" s="78" t="s">
        <v>912</v>
      </c>
    </row>
    <row r="1186" spans="1:5" s="73" customFormat="1" ht="15" customHeight="1" x14ac:dyDescent="0.25">
      <c r="A1186" s="334"/>
      <c r="B1186" s="332"/>
      <c r="C1186" s="167" t="s">
        <v>638</v>
      </c>
      <c r="D1186" s="115"/>
      <c r="E1186" s="78" t="s">
        <v>913</v>
      </c>
    </row>
    <row r="1187" spans="1:5" s="73" customFormat="1" ht="15" customHeight="1" x14ac:dyDescent="0.25">
      <c r="A1187" s="334"/>
      <c r="B1187" s="332"/>
      <c r="C1187" s="167" t="s">
        <v>639</v>
      </c>
      <c r="D1187" s="115"/>
      <c r="E1187" s="78" t="s">
        <v>914</v>
      </c>
    </row>
    <row r="1188" spans="1:5" s="73" customFormat="1" ht="15" customHeight="1" x14ac:dyDescent="0.25">
      <c r="A1188" s="334"/>
      <c r="B1188" s="332"/>
      <c r="C1188" s="167" t="s">
        <v>640</v>
      </c>
      <c r="D1188" s="115"/>
      <c r="E1188" s="78" t="s">
        <v>915</v>
      </c>
    </row>
    <row r="1189" spans="1:5" s="111" customFormat="1" ht="15" customHeight="1" x14ac:dyDescent="0.25">
      <c r="A1189" s="334"/>
      <c r="B1189" s="332"/>
      <c r="C1189" s="103" t="s">
        <v>821</v>
      </c>
      <c r="D1189" s="157"/>
      <c r="E1189" s="104" t="s">
        <v>916</v>
      </c>
    </row>
    <row r="1190" spans="1:5" s="73" customFormat="1" ht="15" customHeight="1" x14ac:dyDescent="0.25">
      <c r="A1190" s="334"/>
      <c r="B1190" s="332"/>
      <c r="C1190" s="167" t="s">
        <v>641</v>
      </c>
      <c r="D1190" s="115"/>
      <c r="E1190" s="78" t="s">
        <v>917</v>
      </c>
    </row>
    <row r="1191" spans="1:5" s="73" customFormat="1" ht="15" customHeight="1" x14ac:dyDescent="0.25">
      <c r="A1191" s="334"/>
      <c r="B1191" s="332"/>
      <c r="C1191" s="167" t="s">
        <v>642</v>
      </c>
      <c r="D1191" s="115"/>
      <c r="E1191" s="78" t="s">
        <v>918</v>
      </c>
    </row>
    <row r="1192" spans="1:5" s="111" customFormat="1" ht="15" customHeight="1" x14ac:dyDescent="0.25">
      <c r="A1192" s="334"/>
      <c r="B1192" s="332"/>
      <c r="C1192" s="103" t="s">
        <v>822</v>
      </c>
      <c r="D1192" s="157"/>
      <c r="E1192" s="104" t="s">
        <v>919</v>
      </c>
    </row>
    <row r="1193" spans="1:5" s="73" customFormat="1" ht="15" customHeight="1" x14ac:dyDescent="0.25">
      <c r="A1193" s="334"/>
      <c r="B1193" s="332"/>
      <c r="C1193" s="167" t="s">
        <v>486</v>
      </c>
      <c r="D1193" s="115"/>
      <c r="E1193" s="78" t="s">
        <v>920</v>
      </c>
    </row>
    <row r="1194" spans="1:5" s="73" customFormat="1" ht="15" customHeight="1" x14ac:dyDescent="0.25">
      <c r="A1194" s="334"/>
      <c r="B1194" s="332"/>
      <c r="C1194" s="167" t="s">
        <v>487</v>
      </c>
      <c r="D1194" s="115"/>
      <c r="E1194" s="78" t="s">
        <v>921</v>
      </c>
    </row>
    <row r="1195" spans="1:5" s="73" customFormat="1" ht="15" customHeight="1" x14ac:dyDescent="0.25">
      <c r="A1195" s="334"/>
      <c r="B1195" s="332"/>
      <c r="C1195" s="167" t="s">
        <v>490</v>
      </c>
      <c r="D1195" s="115"/>
      <c r="E1195" s="78" t="s">
        <v>922</v>
      </c>
    </row>
    <row r="1196" spans="1:5" s="73" customFormat="1" ht="15" customHeight="1" x14ac:dyDescent="0.25">
      <c r="A1196" s="334"/>
      <c r="B1196" s="332"/>
      <c r="C1196" s="167" t="s">
        <v>491</v>
      </c>
      <c r="D1196" s="115"/>
      <c r="E1196" s="78" t="s">
        <v>923</v>
      </c>
    </row>
    <row r="1197" spans="1:5" s="111" customFormat="1" ht="15" customHeight="1" x14ac:dyDescent="0.25">
      <c r="A1197" s="334"/>
      <c r="B1197" s="332"/>
      <c r="C1197" s="103" t="s">
        <v>515</v>
      </c>
      <c r="D1197" s="157"/>
      <c r="E1197" s="104" t="s">
        <v>924</v>
      </c>
    </row>
    <row r="1198" spans="1:5" s="73" customFormat="1" ht="15" customHeight="1" x14ac:dyDescent="0.25">
      <c r="A1198" s="334"/>
      <c r="B1198" s="332"/>
      <c r="C1198" s="167" t="s">
        <v>494</v>
      </c>
      <c r="D1198" s="115"/>
      <c r="E1198" s="78" t="s">
        <v>925</v>
      </c>
    </row>
    <row r="1199" spans="1:5" s="73" customFormat="1" ht="15" customHeight="1" x14ac:dyDescent="0.25">
      <c r="A1199" s="334"/>
      <c r="B1199" s="332"/>
      <c r="C1199" s="167" t="s">
        <v>495</v>
      </c>
      <c r="D1199" s="115"/>
      <c r="E1199" s="78" t="s">
        <v>926</v>
      </c>
    </row>
    <row r="1200" spans="1:5" s="73" customFormat="1" ht="15" customHeight="1" x14ac:dyDescent="0.25">
      <c r="A1200" s="334"/>
      <c r="B1200" s="332"/>
      <c r="C1200" s="167" t="s">
        <v>496</v>
      </c>
      <c r="D1200" s="115"/>
      <c r="E1200" s="78" t="s">
        <v>927</v>
      </c>
    </row>
    <row r="1201" spans="1:5" s="73" customFormat="1" ht="15" customHeight="1" x14ac:dyDescent="0.25">
      <c r="A1201" s="334"/>
      <c r="B1201" s="332"/>
      <c r="C1201" s="167" t="s">
        <v>497</v>
      </c>
      <c r="D1201" s="115"/>
      <c r="E1201" s="78" t="s">
        <v>928</v>
      </c>
    </row>
    <row r="1202" spans="1:5" s="73" customFormat="1" ht="15" customHeight="1" x14ac:dyDescent="0.25">
      <c r="A1202" s="334"/>
      <c r="B1202" s="332"/>
      <c r="C1202" s="167" t="s">
        <v>498</v>
      </c>
      <c r="D1202" s="115"/>
      <c r="E1202" s="78" t="s">
        <v>929</v>
      </c>
    </row>
    <row r="1203" spans="1:5" s="73" customFormat="1" ht="15" customHeight="1" x14ac:dyDescent="0.25">
      <c r="A1203" s="334"/>
      <c r="B1203" s="332"/>
      <c r="C1203" s="167" t="s">
        <v>499</v>
      </c>
      <c r="D1203" s="115"/>
      <c r="E1203" s="78" t="s">
        <v>930</v>
      </c>
    </row>
    <row r="1204" spans="1:5" s="73" customFormat="1" ht="15" customHeight="1" x14ac:dyDescent="0.25">
      <c r="A1204" s="334"/>
      <c r="B1204" s="332"/>
      <c r="C1204" s="167" t="s">
        <v>500</v>
      </c>
      <c r="D1204" s="115"/>
      <c r="E1204" s="78" t="s">
        <v>931</v>
      </c>
    </row>
    <row r="1205" spans="1:5" s="73" customFormat="1" ht="15" customHeight="1" x14ac:dyDescent="0.25">
      <c r="A1205" s="334"/>
      <c r="B1205" s="332"/>
      <c r="C1205" s="167" t="s">
        <v>501</v>
      </c>
      <c r="D1205" s="115"/>
      <c r="E1205" s="78" t="s">
        <v>932</v>
      </c>
    </row>
    <row r="1206" spans="1:5" s="73" customFormat="1" ht="15" customHeight="1" x14ac:dyDescent="0.25">
      <c r="A1206" s="334"/>
      <c r="B1206" s="332"/>
      <c r="C1206" s="167" t="s">
        <v>502</v>
      </c>
      <c r="D1206" s="115"/>
      <c r="E1206" s="78" t="s">
        <v>933</v>
      </c>
    </row>
    <row r="1207" spans="1:5" s="73" customFormat="1" ht="15" customHeight="1" x14ac:dyDescent="0.25">
      <c r="A1207" s="334"/>
      <c r="B1207" s="338" t="s">
        <v>1011</v>
      </c>
      <c r="C1207" s="108" t="s">
        <v>552</v>
      </c>
      <c r="D1207" s="80"/>
      <c r="E1207" s="77"/>
    </row>
    <row r="1208" spans="1:5" s="73" customFormat="1" ht="15" customHeight="1" x14ac:dyDescent="0.25">
      <c r="A1208" s="334"/>
      <c r="B1208" s="338"/>
      <c r="C1208" s="117" t="s">
        <v>1012</v>
      </c>
      <c r="D1208" s="117"/>
      <c r="E1208" s="77"/>
    </row>
    <row r="1209" spans="1:5" s="73" customFormat="1" ht="15" customHeight="1" x14ac:dyDescent="0.25">
      <c r="A1209" s="334"/>
      <c r="B1209" s="338"/>
      <c r="C1209" s="117" t="s">
        <v>1013</v>
      </c>
      <c r="D1209" s="118"/>
      <c r="E1209" s="77"/>
    </row>
    <row r="1210" spans="1:5" s="73" customFormat="1" ht="15" customHeight="1" x14ac:dyDescent="0.25">
      <c r="A1210" s="334"/>
      <c r="B1210" s="338"/>
      <c r="C1210" s="118" t="s">
        <v>1014</v>
      </c>
      <c r="D1210" s="80"/>
      <c r="E1210" s="77"/>
    </row>
    <row r="1211" spans="1:5" s="73" customFormat="1" ht="15" customHeight="1" x14ac:dyDescent="0.25">
      <c r="A1211" s="334"/>
      <c r="B1211" s="338"/>
      <c r="C1211" s="119" t="s">
        <v>1015</v>
      </c>
      <c r="D1211" s="119"/>
      <c r="E1211" s="109"/>
    </row>
    <row r="1212" spans="1:5" s="73" customFormat="1" ht="15" customHeight="1" x14ac:dyDescent="0.25">
      <c r="A1212" s="334"/>
      <c r="B1212" s="338"/>
      <c r="C1212" s="108" t="s">
        <v>476</v>
      </c>
      <c r="D1212" s="80"/>
      <c r="E1212" s="77"/>
    </row>
    <row r="1213" spans="1:5" s="73" customFormat="1" ht="15" customHeight="1" x14ac:dyDescent="0.25">
      <c r="A1213" s="334"/>
      <c r="B1213" s="338"/>
      <c r="C1213" s="117" t="s">
        <v>1012</v>
      </c>
      <c r="D1213" s="117"/>
      <c r="E1213" s="77"/>
    </row>
    <row r="1214" spans="1:5" s="73" customFormat="1" ht="15" customHeight="1" x14ac:dyDescent="0.25">
      <c r="A1214" s="334"/>
      <c r="B1214" s="338"/>
      <c r="C1214" s="117" t="s">
        <v>1013</v>
      </c>
      <c r="D1214" s="118"/>
      <c r="E1214" s="77"/>
    </row>
    <row r="1215" spans="1:5" s="73" customFormat="1" ht="15" customHeight="1" x14ac:dyDescent="0.25">
      <c r="A1215" s="334"/>
      <c r="B1215" s="338"/>
      <c r="C1215" s="118" t="s">
        <v>1014</v>
      </c>
      <c r="D1215" s="80"/>
      <c r="E1215" s="77"/>
    </row>
    <row r="1216" spans="1:5" s="73" customFormat="1" ht="15" customHeight="1" x14ac:dyDescent="0.25">
      <c r="A1216" s="334"/>
      <c r="B1216" s="338"/>
      <c r="C1216" s="118" t="s">
        <v>1015</v>
      </c>
      <c r="D1216" s="118"/>
      <c r="E1216" s="77"/>
    </row>
    <row r="1217" spans="1:5" s="111" customFormat="1" ht="15" customHeight="1" x14ac:dyDescent="0.25">
      <c r="A1217" s="334"/>
      <c r="B1217" s="337" t="s">
        <v>1019</v>
      </c>
      <c r="C1217" s="107" t="s">
        <v>772</v>
      </c>
      <c r="D1217" s="158"/>
      <c r="E1217" s="92" t="s">
        <v>934</v>
      </c>
    </row>
    <row r="1218" spans="1:5" s="111" customFormat="1" ht="15" customHeight="1" x14ac:dyDescent="0.25">
      <c r="A1218" s="334"/>
      <c r="B1218" s="337"/>
      <c r="C1218" s="107" t="s">
        <v>774</v>
      </c>
      <c r="D1218" s="158"/>
      <c r="E1218" s="92" t="s">
        <v>935</v>
      </c>
    </row>
    <row r="1219" spans="1:5" s="73" customFormat="1" ht="15" customHeight="1" x14ac:dyDescent="0.25">
      <c r="A1219" s="334"/>
      <c r="B1219" s="337"/>
      <c r="C1219" s="169" t="s">
        <v>759</v>
      </c>
      <c r="D1219" s="120"/>
      <c r="E1219" s="79" t="s">
        <v>936</v>
      </c>
    </row>
    <row r="1220" spans="1:5" s="73" customFormat="1" ht="15" customHeight="1" x14ac:dyDescent="0.25">
      <c r="A1220" s="334"/>
      <c r="B1220" s="337"/>
      <c r="C1220" s="169" t="s">
        <v>760</v>
      </c>
      <c r="D1220" s="120"/>
      <c r="E1220" s="79" t="s">
        <v>937</v>
      </c>
    </row>
    <row r="1221" spans="1:5" s="111" customFormat="1" ht="15" customHeight="1" x14ac:dyDescent="0.25">
      <c r="A1221" s="334"/>
      <c r="B1221" s="337"/>
      <c r="C1221" s="107" t="s">
        <v>775</v>
      </c>
      <c r="D1221" s="158"/>
      <c r="E1221" s="92" t="s">
        <v>938</v>
      </c>
    </row>
    <row r="1222" spans="1:5" s="73" customFormat="1" ht="15" customHeight="1" x14ac:dyDescent="0.25">
      <c r="A1222" s="334"/>
      <c r="B1222" s="337"/>
      <c r="C1222" s="169" t="s">
        <v>761</v>
      </c>
      <c r="D1222" s="120"/>
      <c r="E1222" s="79" t="s">
        <v>939</v>
      </c>
    </row>
    <row r="1223" spans="1:5" s="73" customFormat="1" ht="15" customHeight="1" x14ac:dyDescent="0.25">
      <c r="A1223" s="334"/>
      <c r="B1223" s="337"/>
      <c r="C1223" s="169" t="s">
        <v>762</v>
      </c>
      <c r="D1223" s="120"/>
      <c r="E1223" s="79" t="s">
        <v>940</v>
      </c>
    </row>
    <row r="1224" spans="1:5" s="73" customFormat="1" ht="15" customHeight="1" x14ac:dyDescent="0.25">
      <c r="A1224" s="334"/>
      <c r="B1224" s="337"/>
      <c r="C1224" s="169" t="s">
        <v>763</v>
      </c>
      <c r="D1224" s="120"/>
      <c r="E1224" s="79" t="s">
        <v>941</v>
      </c>
    </row>
    <row r="1225" spans="1:5" s="73" customFormat="1" ht="15" customHeight="1" x14ac:dyDescent="0.25">
      <c r="A1225" s="334"/>
      <c r="B1225" s="337"/>
      <c r="C1225" s="169" t="s">
        <v>764</v>
      </c>
      <c r="D1225" s="120"/>
      <c r="E1225" s="79" t="s">
        <v>942</v>
      </c>
    </row>
    <row r="1226" spans="1:5" s="73" customFormat="1" ht="15" customHeight="1" x14ac:dyDescent="0.25">
      <c r="A1226" s="334"/>
      <c r="B1226" s="337"/>
      <c r="C1226" s="169" t="s">
        <v>765</v>
      </c>
      <c r="D1226" s="120"/>
      <c r="E1226" s="79" t="s">
        <v>943</v>
      </c>
    </row>
    <row r="1227" spans="1:5" s="73" customFormat="1" ht="15" customHeight="1" x14ac:dyDescent="0.25">
      <c r="A1227" s="334"/>
      <c r="B1227" s="337"/>
      <c r="C1227" s="169" t="s">
        <v>766</v>
      </c>
      <c r="D1227" s="120"/>
      <c r="E1227" s="79" t="s">
        <v>944</v>
      </c>
    </row>
    <row r="1228" spans="1:5" s="73" customFormat="1" ht="15" customHeight="1" x14ac:dyDescent="0.25">
      <c r="A1228" s="334"/>
      <c r="B1228" s="337"/>
      <c r="C1228" s="169" t="s">
        <v>767</v>
      </c>
      <c r="D1228" s="120"/>
      <c r="E1228" s="79" t="s">
        <v>945</v>
      </c>
    </row>
    <row r="1229" spans="1:5" s="73" customFormat="1" ht="15" customHeight="1" x14ac:dyDescent="0.25">
      <c r="A1229" s="334"/>
      <c r="B1229" s="337"/>
      <c r="C1229" s="169" t="s">
        <v>768</v>
      </c>
      <c r="D1229" s="120"/>
      <c r="E1229" s="79" t="s">
        <v>946</v>
      </c>
    </row>
    <row r="1230" spans="1:5" s="73" customFormat="1" ht="15" customHeight="1" x14ac:dyDescent="0.25">
      <c r="A1230" s="334"/>
      <c r="B1230" s="337"/>
      <c r="C1230" s="169" t="s">
        <v>769</v>
      </c>
      <c r="D1230" s="120"/>
      <c r="E1230" s="79" t="s">
        <v>947</v>
      </c>
    </row>
    <row r="1231" spans="1:5" s="73" customFormat="1" ht="15" customHeight="1" x14ac:dyDescent="0.25">
      <c r="A1231" s="334"/>
      <c r="B1231" s="337"/>
      <c r="C1231" s="169" t="s">
        <v>770</v>
      </c>
      <c r="D1231" s="120"/>
      <c r="E1231" s="79" t="s">
        <v>948</v>
      </c>
    </row>
    <row r="1232" spans="1:5" s="73" customFormat="1" ht="15" customHeight="1" x14ac:dyDescent="0.25">
      <c r="A1232" s="334"/>
      <c r="B1232" s="337"/>
      <c r="C1232" s="169" t="s">
        <v>771</v>
      </c>
      <c r="D1232" s="120"/>
      <c r="E1232" s="79" t="s">
        <v>949</v>
      </c>
    </row>
    <row r="1233" spans="1:5" s="111" customFormat="1" ht="15" customHeight="1" x14ac:dyDescent="0.25">
      <c r="A1233" s="334"/>
      <c r="B1233" s="337"/>
      <c r="C1233" s="107" t="s">
        <v>776</v>
      </c>
      <c r="D1233" s="158"/>
      <c r="E1233" s="92" t="s">
        <v>950</v>
      </c>
    </row>
    <row r="1234" spans="1:5" s="73" customFormat="1" ht="15" customHeight="1" x14ac:dyDescent="0.25">
      <c r="A1234" s="334"/>
      <c r="B1234" s="337"/>
      <c r="C1234" s="169" t="s">
        <v>637</v>
      </c>
      <c r="D1234" s="120"/>
      <c r="E1234" s="79" t="s">
        <v>951</v>
      </c>
    </row>
    <row r="1235" spans="1:5" s="73" customFormat="1" ht="15" customHeight="1" x14ac:dyDescent="0.25">
      <c r="A1235" s="334"/>
      <c r="B1235" s="337"/>
      <c r="C1235" s="169" t="s">
        <v>638</v>
      </c>
      <c r="D1235" s="120"/>
      <c r="E1235" s="79" t="s">
        <v>952</v>
      </c>
    </row>
    <row r="1236" spans="1:5" s="73" customFormat="1" ht="15" customHeight="1" x14ac:dyDescent="0.25">
      <c r="A1236" s="334"/>
      <c r="B1236" s="337"/>
      <c r="C1236" s="169" t="s">
        <v>639</v>
      </c>
      <c r="D1236" s="120"/>
      <c r="E1236" s="79" t="s">
        <v>953</v>
      </c>
    </row>
    <row r="1237" spans="1:5" s="73" customFormat="1" ht="15" customHeight="1" x14ac:dyDescent="0.25">
      <c r="A1237" s="334"/>
      <c r="B1237" s="337"/>
      <c r="C1237" s="169" t="s">
        <v>640</v>
      </c>
      <c r="D1237" s="120"/>
      <c r="E1237" s="79" t="s">
        <v>954</v>
      </c>
    </row>
    <row r="1238" spans="1:5" s="111" customFormat="1" ht="15" customHeight="1" x14ac:dyDescent="0.25">
      <c r="A1238" s="334"/>
      <c r="B1238" s="337"/>
      <c r="C1238" s="107" t="s">
        <v>777</v>
      </c>
      <c r="D1238" s="158"/>
      <c r="E1238" s="92" t="s">
        <v>955</v>
      </c>
    </row>
    <row r="1239" spans="1:5" s="73" customFormat="1" ht="15" customHeight="1" x14ac:dyDescent="0.25">
      <c r="A1239" s="334"/>
      <c r="B1239" s="337"/>
      <c r="C1239" s="169" t="s">
        <v>641</v>
      </c>
      <c r="D1239" s="120"/>
      <c r="E1239" s="79" t="s">
        <v>956</v>
      </c>
    </row>
    <row r="1240" spans="1:5" s="73" customFormat="1" ht="15" customHeight="1" x14ac:dyDescent="0.25">
      <c r="A1240" s="334"/>
      <c r="B1240" s="337"/>
      <c r="C1240" s="169" t="s">
        <v>642</v>
      </c>
      <c r="D1240" s="120"/>
      <c r="E1240" s="79" t="s">
        <v>957</v>
      </c>
    </row>
    <row r="1241" spans="1:5" s="111" customFormat="1" ht="15" customHeight="1" x14ac:dyDescent="0.25">
      <c r="A1241" s="334"/>
      <c r="B1241" s="337"/>
      <c r="C1241" s="107" t="s">
        <v>778</v>
      </c>
      <c r="D1241" s="158"/>
      <c r="E1241" s="92" t="s">
        <v>958</v>
      </c>
    </row>
    <row r="1242" spans="1:5" s="73" customFormat="1" ht="15" customHeight="1" x14ac:dyDescent="0.25">
      <c r="A1242" s="334"/>
      <c r="B1242" s="337"/>
      <c r="C1242" s="169" t="s">
        <v>486</v>
      </c>
      <c r="D1242" s="120"/>
      <c r="E1242" s="79" t="s">
        <v>959</v>
      </c>
    </row>
    <row r="1243" spans="1:5" s="73" customFormat="1" ht="15" customHeight="1" x14ac:dyDescent="0.25">
      <c r="A1243" s="334"/>
      <c r="B1243" s="337"/>
      <c r="C1243" s="169" t="s">
        <v>487</v>
      </c>
      <c r="D1243" s="120"/>
      <c r="E1243" s="79" t="s">
        <v>960</v>
      </c>
    </row>
    <row r="1244" spans="1:5" s="73" customFormat="1" ht="15" customHeight="1" x14ac:dyDescent="0.25">
      <c r="A1244" s="334"/>
      <c r="B1244" s="337"/>
      <c r="C1244" s="169" t="s">
        <v>490</v>
      </c>
      <c r="D1244" s="120"/>
      <c r="E1244" s="79" t="s">
        <v>961</v>
      </c>
    </row>
    <row r="1245" spans="1:5" s="73" customFormat="1" ht="15" customHeight="1" x14ac:dyDescent="0.25">
      <c r="A1245" s="334"/>
      <c r="B1245" s="337"/>
      <c r="C1245" s="169" t="s">
        <v>491</v>
      </c>
      <c r="D1245" s="120"/>
      <c r="E1245" s="79" t="s">
        <v>962</v>
      </c>
    </row>
    <row r="1246" spans="1:5" s="111" customFormat="1" ht="15" customHeight="1" x14ac:dyDescent="0.25">
      <c r="A1246" s="334"/>
      <c r="B1246" s="337"/>
      <c r="C1246" s="107" t="s">
        <v>564</v>
      </c>
      <c r="D1246" s="158"/>
      <c r="E1246" s="92" t="s">
        <v>963</v>
      </c>
    </row>
    <row r="1247" spans="1:5" s="73" customFormat="1" ht="15" customHeight="1" x14ac:dyDescent="0.25">
      <c r="A1247" s="334"/>
      <c r="B1247" s="337"/>
      <c r="C1247" s="169" t="s">
        <v>494</v>
      </c>
      <c r="D1247" s="120"/>
      <c r="E1247" s="79" t="s">
        <v>964</v>
      </c>
    </row>
    <row r="1248" spans="1:5" s="73" customFormat="1" ht="15" customHeight="1" x14ac:dyDescent="0.25">
      <c r="A1248" s="334"/>
      <c r="B1248" s="337"/>
      <c r="C1248" s="169" t="s">
        <v>495</v>
      </c>
      <c r="D1248" s="120"/>
      <c r="E1248" s="79" t="s">
        <v>965</v>
      </c>
    </row>
    <row r="1249" spans="1:5" s="73" customFormat="1" ht="15" customHeight="1" x14ac:dyDescent="0.25">
      <c r="A1249" s="334"/>
      <c r="B1249" s="337"/>
      <c r="C1249" s="169" t="s">
        <v>496</v>
      </c>
      <c r="D1249" s="120"/>
      <c r="E1249" s="79" t="s">
        <v>966</v>
      </c>
    </row>
    <row r="1250" spans="1:5" s="73" customFormat="1" ht="15" customHeight="1" x14ac:dyDescent="0.25">
      <c r="A1250" s="334"/>
      <c r="B1250" s="337"/>
      <c r="C1250" s="169" t="s">
        <v>497</v>
      </c>
      <c r="D1250" s="120"/>
      <c r="E1250" s="79" t="s">
        <v>967</v>
      </c>
    </row>
    <row r="1251" spans="1:5" s="73" customFormat="1" ht="15" customHeight="1" x14ac:dyDescent="0.25">
      <c r="A1251" s="334"/>
      <c r="B1251" s="337"/>
      <c r="C1251" s="169" t="s">
        <v>498</v>
      </c>
      <c r="D1251" s="120"/>
      <c r="E1251" s="79" t="s">
        <v>968</v>
      </c>
    </row>
    <row r="1252" spans="1:5" s="73" customFormat="1" ht="15" customHeight="1" x14ac:dyDescent="0.25">
      <c r="A1252" s="334"/>
      <c r="B1252" s="337"/>
      <c r="C1252" s="169" t="s">
        <v>499</v>
      </c>
      <c r="D1252" s="120"/>
      <c r="E1252" s="79" t="s">
        <v>969</v>
      </c>
    </row>
    <row r="1253" spans="1:5" s="73" customFormat="1" ht="15" customHeight="1" x14ac:dyDescent="0.25">
      <c r="A1253" s="334"/>
      <c r="B1253" s="337"/>
      <c r="C1253" s="169" t="s">
        <v>500</v>
      </c>
      <c r="D1253" s="120"/>
      <c r="E1253" s="79" t="s">
        <v>970</v>
      </c>
    </row>
    <row r="1254" spans="1:5" s="73" customFormat="1" ht="15" customHeight="1" x14ac:dyDescent="0.25">
      <c r="A1254" s="334"/>
      <c r="B1254" s="337"/>
      <c r="C1254" s="169" t="s">
        <v>501</v>
      </c>
      <c r="D1254" s="120"/>
      <c r="E1254" s="79" t="s">
        <v>971</v>
      </c>
    </row>
    <row r="1255" spans="1:5" s="73" customFormat="1" ht="15" customHeight="1" x14ac:dyDescent="0.25">
      <c r="A1255" s="334"/>
      <c r="B1255" s="337"/>
      <c r="C1255" s="170" t="s">
        <v>502</v>
      </c>
      <c r="D1255" s="121"/>
      <c r="E1255" s="52" t="s">
        <v>972</v>
      </c>
    </row>
    <row r="1256" spans="1:5" s="111" customFormat="1" ht="15" customHeight="1" x14ac:dyDescent="0.25">
      <c r="A1256" s="334"/>
      <c r="B1256" s="337"/>
      <c r="C1256" s="107" t="s">
        <v>817</v>
      </c>
      <c r="D1256" s="158"/>
      <c r="E1256" s="92" t="s">
        <v>934</v>
      </c>
    </row>
    <row r="1257" spans="1:5" s="111" customFormat="1" ht="15" customHeight="1" x14ac:dyDescent="0.25">
      <c r="A1257" s="334"/>
      <c r="B1257" s="337"/>
      <c r="C1257" s="107" t="s">
        <v>818</v>
      </c>
      <c r="D1257" s="158"/>
      <c r="E1257" s="92" t="s">
        <v>935</v>
      </c>
    </row>
    <row r="1258" spans="1:5" s="73" customFormat="1" ht="15" customHeight="1" x14ac:dyDescent="0.25">
      <c r="A1258" s="334"/>
      <c r="B1258" s="337"/>
      <c r="C1258" s="169" t="s">
        <v>759</v>
      </c>
      <c r="D1258" s="120"/>
      <c r="E1258" s="79" t="s">
        <v>936</v>
      </c>
    </row>
    <row r="1259" spans="1:5" s="73" customFormat="1" ht="15" customHeight="1" x14ac:dyDescent="0.25">
      <c r="A1259" s="334"/>
      <c r="B1259" s="337"/>
      <c r="C1259" s="169" t="s">
        <v>760</v>
      </c>
      <c r="D1259" s="120"/>
      <c r="E1259" s="79" t="s">
        <v>937</v>
      </c>
    </row>
    <row r="1260" spans="1:5" s="111" customFormat="1" ht="15" customHeight="1" x14ac:dyDescent="0.25">
      <c r="A1260" s="334"/>
      <c r="B1260" s="337"/>
      <c r="C1260" s="107" t="s">
        <v>819</v>
      </c>
      <c r="D1260" s="158"/>
      <c r="E1260" s="92" t="s">
        <v>973</v>
      </c>
    </row>
    <row r="1261" spans="1:5" s="73" customFormat="1" ht="15" customHeight="1" x14ac:dyDescent="0.25">
      <c r="A1261" s="334"/>
      <c r="B1261" s="337"/>
      <c r="C1261" s="169" t="s">
        <v>761</v>
      </c>
      <c r="D1261" s="120"/>
      <c r="E1261" s="79" t="s">
        <v>974</v>
      </c>
    </row>
    <row r="1262" spans="1:5" s="73" customFormat="1" ht="15" customHeight="1" x14ac:dyDescent="0.25">
      <c r="A1262" s="334"/>
      <c r="B1262" s="337"/>
      <c r="C1262" s="169" t="s">
        <v>762</v>
      </c>
      <c r="D1262" s="120"/>
      <c r="E1262" s="79" t="s">
        <v>975</v>
      </c>
    </row>
    <row r="1263" spans="1:5" s="73" customFormat="1" ht="15" customHeight="1" x14ac:dyDescent="0.25">
      <c r="A1263" s="334"/>
      <c r="B1263" s="337"/>
      <c r="C1263" s="169" t="s">
        <v>763</v>
      </c>
      <c r="D1263" s="120"/>
      <c r="E1263" s="79" t="s">
        <v>976</v>
      </c>
    </row>
    <row r="1264" spans="1:5" s="73" customFormat="1" ht="15" customHeight="1" x14ac:dyDescent="0.25">
      <c r="A1264" s="334"/>
      <c r="B1264" s="337"/>
      <c r="C1264" s="169" t="s">
        <v>764</v>
      </c>
      <c r="D1264" s="120"/>
      <c r="E1264" s="79" t="s">
        <v>977</v>
      </c>
    </row>
    <row r="1265" spans="1:5" s="73" customFormat="1" ht="15" customHeight="1" x14ac:dyDescent="0.25">
      <c r="A1265" s="334"/>
      <c r="B1265" s="337"/>
      <c r="C1265" s="169" t="s">
        <v>765</v>
      </c>
      <c r="D1265" s="120"/>
      <c r="E1265" s="79" t="s">
        <v>978</v>
      </c>
    </row>
    <row r="1266" spans="1:5" s="73" customFormat="1" ht="15" customHeight="1" x14ac:dyDescent="0.25">
      <c r="A1266" s="334"/>
      <c r="B1266" s="337"/>
      <c r="C1266" s="169" t="s">
        <v>766</v>
      </c>
      <c r="D1266" s="120"/>
      <c r="E1266" s="79" t="s">
        <v>979</v>
      </c>
    </row>
    <row r="1267" spans="1:5" s="73" customFormat="1" ht="15" customHeight="1" x14ac:dyDescent="0.25">
      <c r="A1267" s="334"/>
      <c r="B1267" s="337"/>
      <c r="C1267" s="169" t="s">
        <v>767</v>
      </c>
      <c r="D1267" s="120"/>
      <c r="E1267" s="79" t="s">
        <v>980</v>
      </c>
    </row>
    <row r="1268" spans="1:5" s="73" customFormat="1" ht="15" customHeight="1" x14ac:dyDescent="0.25">
      <c r="A1268" s="334"/>
      <c r="B1268" s="337"/>
      <c r="C1268" s="169" t="s">
        <v>768</v>
      </c>
      <c r="D1268" s="120"/>
      <c r="E1268" s="79" t="s">
        <v>981</v>
      </c>
    </row>
    <row r="1269" spans="1:5" s="73" customFormat="1" ht="15" customHeight="1" x14ac:dyDescent="0.25">
      <c r="A1269" s="334"/>
      <c r="B1269" s="337"/>
      <c r="C1269" s="169" t="s">
        <v>769</v>
      </c>
      <c r="D1269" s="120"/>
      <c r="E1269" s="79" t="s">
        <v>982</v>
      </c>
    </row>
    <row r="1270" spans="1:5" s="73" customFormat="1" ht="15" customHeight="1" x14ac:dyDescent="0.25">
      <c r="A1270" s="334"/>
      <c r="B1270" s="337"/>
      <c r="C1270" s="169" t="s">
        <v>770</v>
      </c>
      <c r="D1270" s="120"/>
      <c r="E1270" s="79" t="s">
        <v>983</v>
      </c>
    </row>
    <row r="1271" spans="1:5" s="73" customFormat="1" ht="15" customHeight="1" x14ac:dyDescent="0.25">
      <c r="A1271" s="334"/>
      <c r="B1271" s="337"/>
      <c r="C1271" s="169" t="s">
        <v>771</v>
      </c>
      <c r="D1271" s="120"/>
      <c r="E1271" s="79" t="s">
        <v>984</v>
      </c>
    </row>
    <row r="1272" spans="1:5" s="111" customFormat="1" ht="15" customHeight="1" x14ac:dyDescent="0.25">
      <c r="A1272" s="334"/>
      <c r="B1272" s="337"/>
      <c r="C1272" s="107" t="s">
        <v>820</v>
      </c>
      <c r="D1272" s="158"/>
      <c r="E1272" s="92" t="s">
        <v>985</v>
      </c>
    </row>
    <row r="1273" spans="1:5" s="73" customFormat="1" ht="15" customHeight="1" x14ac:dyDescent="0.25">
      <c r="A1273" s="334"/>
      <c r="B1273" s="337"/>
      <c r="C1273" s="169" t="s">
        <v>637</v>
      </c>
      <c r="D1273" s="120"/>
      <c r="E1273" s="79" t="s">
        <v>986</v>
      </c>
    </row>
    <row r="1274" spans="1:5" s="73" customFormat="1" ht="15" customHeight="1" x14ac:dyDescent="0.25">
      <c r="A1274" s="334"/>
      <c r="B1274" s="337"/>
      <c r="C1274" s="169" t="s">
        <v>638</v>
      </c>
      <c r="D1274" s="120"/>
      <c r="E1274" s="79" t="s">
        <v>987</v>
      </c>
    </row>
    <row r="1275" spans="1:5" s="73" customFormat="1" ht="15" customHeight="1" x14ac:dyDescent="0.25">
      <c r="A1275" s="334"/>
      <c r="B1275" s="337"/>
      <c r="C1275" s="169" t="s">
        <v>639</v>
      </c>
      <c r="D1275" s="120"/>
      <c r="E1275" s="79" t="s">
        <v>988</v>
      </c>
    </row>
    <row r="1276" spans="1:5" s="73" customFormat="1" ht="15" customHeight="1" x14ac:dyDescent="0.25">
      <c r="A1276" s="334"/>
      <c r="B1276" s="337"/>
      <c r="C1276" s="169" t="s">
        <v>640</v>
      </c>
      <c r="D1276" s="120"/>
      <c r="E1276" s="79" t="s">
        <v>989</v>
      </c>
    </row>
    <row r="1277" spans="1:5" s="111" customFormat="1" ht="15" customHeight="1" x14ac:dyDescent="0.25">
      <c r="A1277" s="334"/>
      <c r="B1277" s="337"/>
      <c r="C1277" s="107" t="s">
        <v>821</v>
      </c>
      <c r="D1277" s="158"/>
      <c r="E1277" s="92" t="s">
        <v>990</v>
      </c>
    </row>
    <row r="1278" spans="1:5" s="73" customFormat="1" ht="15" customHeight="1" x14ac:dyDescent="0.25">
      <c r="A1278" s="334"/>
      <c r="B1278" s="337"/>
      <c r="C1278" s="169" t="s">
        <v>641</v>
      </c>
      <c r="D1278" s="120"/>
      <c r="E1278" s="79" t="s">
        <v>991</v>
      </c>
    </row>
    <row r="1279" spans="1:5" s="73" customFormat="1" ht="15" customHeight="1" x14ac:dyDescent="0.25">
      <c r="A1279" s="334"/>
      <c r="B1279" s="337"/>
      <c r="C1279" s="169" t="s">
        <v>642</v>
      </c>
      <c r="D1279" s="120"/>
      <c r="E1279" s="79" t="s">
        <v>992</v>
      </c>
    </row>
    <row r="1280" spans="1:5" s="111" customFormat="1" ht="15" customHeight="1" x14ac:dyDescent="0.25">
      <c r="A1280" s="334"/>
      <c r="B1280" s="337"/>
      <c r="C1280" s="107" t="s">
        <v>822</v>
      </c>
      <c r="D1280" s="158"/>
      <c r="E1280" s="92" t="s">
        <v>993</v>
      </c>
    </row>
    <row r="1281" spans="1:11" s="73" customFormat="1" ht="15" customHeight="1" x14ac:dyDescent="0.25">
      <c r="A1281" s="334"/>
      <c r="B1281" s="337"/>
      <c r="C1281" s="169" t="s">
        <v>486</v>
      </c>
      <c r="D1281" s="120"/>
      <c r="E1281" s="79" t="s">
        <v>994</v>
      </c>
    </row>
    <row r="1282" spans="1:11" s="73" customFormat="1" ht="15" customHeight="1" x14ac:dyDescent="0.25">
      <c r="A1282" s="334"/>
      <c r="B1282" s="337"/>
      <c r="C1282" s="169" t="s">
        <v>487</v>
      </c>
      <c r="D1282" s="120"/>
      <c r="E1282" s="79" t="s">
        <v>995</v>
      </c>
    </row>
    <row r="1283" spans="1:11" s="73" customFormat="1" ht="15" customHeight="1" x14ac:dyDescent="0.25">
      <c r="A1283" s="334"/>
      <c r="B1283" s="337"/>
      <c r="C1283" s="169" t="s">
        <v>490</v>
      </c>
      <c r="D1283" s="120"/>
      <c r="E1283" s="79" t="s">
        <v>996</v>
      </c>
    </row>
    <row r="1284" spans="1:11" s="73" customFormat="1" ht="15" customHeight="1" x14ac:dyDescent="0.25">
      <c r="A1284" s="334"/>
      <c r="B1284" s="337"/>
      <c r="C1284" s="169" t="s">
        <v>491</v>
      </c>
      <c r="D1284" s="120"/>
      <c r="E1284" s="79" t="s">
        <v>997</v>
      </c>
    </row>
    <row r="1285" spans="1:11" s="111" customFormat="1" ht="15" customHeight="1" x14ac:dyDescent="0.25">
      <c r="A1285" s="334"/>
      <c r="B1285" s="337"/>
      <c r="C1285" s="107" t="s">
        <v>515</v>
      </c>
      <c r="D1285" s="158"/>
      <c r="E1285" s="92" t="s">
        <v>998</v>
      </c>
    </row>
    <row r="1286" spans="1:11" s="73" customFormat="1" ht="15" customHeight="1" x14ac:dyDescent="0.25">
      <c r="A1286" s="334"/>
      <c r="B1286" s="337"/>
      <c r="C1286" s="169" t="s">
        <v>494</v>
      </c>
      <c r="D1286" s="120"/>
      <c r="E1286" s="79" t="s">
        <v>999</v>
      </c>
    </row>
    <row r="1287" spans="1:11" s="73" customFormat="1" ht="15" customHeight="1" x14ac:dyDescent="0.25">
      <c r="A1287" s="334"/>
      <c r="B1287" s="337"/>
      <c r="C1287" s="169" t="s">
        <v>495</v>
      </c>
      <c r="D1287" s="120"/>
      <c r="E1287" s="79" t="s">
        <v>1000</v>
      </c>
    </row>
    <row r="1288" spans="1:11" s="73" customFormat="1" ht="15" customHeight="1" x14ac:dyDescent="0.25">
      <c r="A1288" s="334"/>
      <c r="B1288" s="337"/>
      <c r="C1288" s="169" t="s">
        <v>496</v>
      </c>
      <c r="D1288" s="120"/>
      <c r="E1288" s="79" t="s">
        <v>1001</v>
      </c>
    </row>
    <row r="1289" spans="1:11" s="73" customFormat="1" ht="15" customHeight="1" x14ac:dyDescent="0.25">
      <c r="A1289" s="334"/>
      <c r="B1289" s="337"/>
      <c r="C1289" s="169" t="s">
        <v>497</v>
      </c>
      <c r="D1289" s="120"/>
      <c r="E1289" s="79" t="s">
        <v>1002</v>
      </c>
    </row>
    <row r="1290" spans="1:11" s="73" customFormat="1" ht="15" customHeight="1" x14ac:dyDescent="0.25">
      <c r="A1290" s="334"/>
      <c r="B1290" s="337"/>
      <c r="C1290" s="169" t="s">
        <v>498</v>
      </c>
      <c r="D1290" s="120"/>
      <c r="E1290" s="79" t="s">
        <v>1003</v>
      </c>
    </row>
    <row r="1291" spans="1:11" s="73" customFormat="1" ht="15" customHeight="1" x14ac:dyDescent="0.25">
      <c r="A1291" s="334"/>
      <c r="B1291" s="337"/>
      <c r="C1291" s="169" t="s">
        <v>499</v>
      </c>
      <c r="D1291" s="120"/>
      <c r="E1291" s="79" t="s">
        <v>1004</v>
      </c>
    </row>
    <row r="1292" spans="1:11" s="73" customFormat="1" ht="15" customHeight="1" x14ac:dyDescent="0.25">
      <c r="A1292" s="334"/>
      <c r="B1292" s="337"/>
      <c r="C1292" s="169" t="s">
        <v>500</v>
      </c>
      <c r="D1292" s="120"/>
      <c r="E1292" s="79" t="s">
        <v>1005</v>
      </c>
    </row>
    <row r="1293" spans="1:11" s="73" customFormat="1" ht="15" customHeight="1" x14ac:dyDescent="0.25">
      <c r="A1293" s="334"/>
      <c r="B1293" s="337"/>
      <c r="C1293" s="169" t="s">
        <v>501</v>
      </c>
      <c r="D1293" s="120"/>
      <c r="E1293" s="79" t="s">
        <v>1006</v>
      </c>
    </row>
    <row r="1294" spans="1:11" s="73" customFormat="1" ht="15" customHeight="1" x14ac:dyDescent="0.25">
      <c r="A1294" s="334"/>
      <c r="B1294" s="337"/>
      <c r="C1294" s="169" t="s">
        <v>502</v>
      </c>
      <c r="D1294" s="120"/>
      <c r="E1294" s="79" t="s">
        <v>1007</v>
      </c>
    </row>
    <row r="1295" spans="1:11" ht="15" customHeight="1" x14ac:dyDescent="0.25">
      <c r="A1295" s="334"/>
      <c r="B1295" s="344" t="s">
        <v>1020</v>
      </c>
      <c r="C1295" s="188"/>
      <c r="D1295" s="147"/>
      <c r="E1295" s="76" t="s">
        <v>1031</v>
      </c>
      <c r="K1295" s="75"/>
    </row>
    <row r="1296" spans="1:11" ht="15" customHeight="1" x14ac:dyDescent="0.25">
      <c r="A1296" s="334"/>
      <c r="B1296" s="344"/>
      <c r="C1296" s="189"/>
      <c r="D1296" s="147"/>
      <c r="E1296" s="110"/>
    </row>
    <row r="1297" spans="1:5" ht="15" customHeight="1" x14ac:dyDescent="0.25">
      <c r="A1297" s="334"/>
      <c r="B1297" s="344"/>
      <c r="C1297" s="189"/>
      <c r="D1297" s="147"/>
      <c r="E1297" s="110"/>
    </row>
    <row r="1298" spans="1:5" ht="15" customHeight="1" x14ac:dyDescent="0.25">
      <c r="A1298" s="334"/>
      <c r="B1298" s="344"/>
      <c r="C1298" s="189"/>
      <c r="D1298" s="147"/>
      <c r="E1298" s="110"/>
    </row>
    <row r="1299" spans="1:5" ht="15" customHeight="1" x14ac:dyDescent="0.25">
      <c r="A1299" s="334"/>
      <c r="B1299" s="344"/>
      <c r="C1299" s="189"/>
      <c r="D1299" s="147"/>
      <c r="E1299" s="110"/>
    </row>
    <row r="1300" spans="1:5" ht="15" customHeight="1" x14ac:dyDescent="0.25">
      <c r="A1300" s="334"/>
      <c r="B1300" s="344"/>
      <c r="C1300" s="189"/>
      <c r="D1300" s="147"/>
      <c r="E1300" s="110"/>
    </row>
    <row r="1301" spans="1:5" ht="15" customHeight="1" x14ac:dyDescent="0.25">
      <c r="A1301" s="334"/>
      <c r="B1301" s="344"/>
      <c r="C1301" s="189"/>
      <c r="D1301" s="147"/>
      <c r="E1301" s="110"/>
    </row>
    <row r="1302" spans="1:5" ht="15" customHeight="1" x14ac:dyDescent="0.25">
      <c r="A1302" s="334"/>
      <c r="B1302" s="344"/>
      <c r="C1302" s="189"/>
      <c r="D1302" s="147"/>
      <c r="E1302" s="110"/>
    </row>
    <row r="1303" spans="1:5" ht="15" customHeight="1" x14ac:dyDescent="0.25">
      <c r="A1303" s="334"/>
      <c r="B1303" s="344"/>
      <c r="C1303" s="189"/>
      <c r="D1303" s="147"/>
      <c r="E1303" s="110"/>
    </row>
    <row r="1304" spans="1:5" ht="15" customHeight="1" x14ac:dyDescent="0.25">
      <c r="A1304" s="334"/>
      <c r="B1304" s="344"/>
      <c r="C1304" s="189"/>
      <c r="D1304" s="147"/>
      <c r="E1304" s="110"/>
    </row>
    <row r="1305" spans="1:5" ht="15" customHeight="1" x14ac:dyDescent="0.25">
      <c r="A1305" s="334"/>
      <c r="B1305" s="344"/>
      <c r="C1305" s="189"/>
      <c r="D1305" s="147"/>
      <c r="E1305" s="110"/>
    </row>
    <row r="1306" spans="1:5" ht="15" customHeight="1" x14ac:dyDescent="0.25">
      <c r="A1306" s="334"/>
      <c r="B1306" s="344"/>
      <c r="C1306" s="189"/>
      <c r="D1306" s="147"/>
      <c r="E1306" s="110"/>
    </row>
    <row r="1307" spans="1:5" ht="15" customHeight="1" x14ac:dyDescent="0.25">
      <c r="A1307" s="334"/>
      <c r="B1307" s="344"/>
      <c r="C1307" s="189"/>
      <c r="D1307" s="147"/>
      <c r="E1307" s="110"/>
    </row>
    <row r="1308" spans="1:5" ht="15" customHeight="1" x14ac:dyDescent="0.25">
      <c r="A1308" s="334"/>
      <c r="B1308" s="344"/>
      <c r="C1308" s="189"/>
      <c r="D1308" s="147"/>
      <c r="E1308" s="110"/>
    </row>
    <row r="1309" spans="1:5" ht="15" customHeight="1" x14ac:dyDescent="0.25">
      <c r="A1309" s="334"/>
      <c r="B1309" s="344"/>
      <c r="C1309" s="189"/>
      <c r="D1309" s="147"/>
      <c r="E1309" s="110"/>
    </row>
    <row r="1310" spans="1:5" ht="15" customHeight="1" x14ac:dyDescent="0.25">
      <c r="A1310" s="334"/>
      <c r="B1310" s="344"/>
      <c r="C1310" s="188"/>
      <c r="D1310" s="147"/>
      <c r="E1310" s="110"/>
    </row>
    <row r="1311" spans="1:5" ht="15" customHeight="1" x14ac:dyDescent="0.25">
      <c r="A1311" s="334"/>
      <c r="B1311" s="339" t="s">
        <v>1021</v>
      </c>
      <c r="C1311" s="190" t="s">
        <v>552</v>
      </c>
      <c r="D1311" s="143"/>
      <c r="E1311" s="70"/>
    </row>
    <row r="1312" spans="1:5" s="73" customFormat="1" ht="15" customHeight="1" x14ac:dyDescent="0.25">
      <c r="A1312" s="334"/>
      <c r="B1312" s="339"/>
      <c r="C1312" s="191" t="s">
        <v>1016</v>
      </c>
      <c r="D1312" s="143"/>
      <c r="E1312" s="81"/>
    </row>
    <row r="1313" spans="1:9" ht="15" customHeight="1" x14ac:dyDescent="0.25">
      <c r="A1313" s="334"/>
      <c r="B1313" s="339"/>
      <c r="C1313" s="191" t="s">
        <v>1017</v>
      </c>
      <c r="D1313" s="143"/>
      <c r="E1313" s="70"/>
    </row>
    <row r="1314" spans="1:9" ht="15" customHeight="1" x14ac:dyDescent="0.25">
      <c r="A1314" s="334"/>
      <c r="B1314" s="339"/>
      <c r="C1314" s="192" t="s">
        <v>1018</v>
      </c>
      <c r="D1314" s="148"/>
      <c r="E1314" s="106"/>
    </row>
    <row r="1315" spans="1:9" s="73" customFormat="1" ht="15" customHeight="1" x14ac:dyDescent="0.25">
      <c r="A1315" s="334"/>
      <c r="B1315" s="339"/>
      <c r="C1315" s="193" t="s">
        <v>476</v>
      </c>
      <c r="D1315" s="143"/>
      <c r="E1315" s="81"/>
    </row>
    <row r="1316" spans="1:9" s="73" customFormat="1" ht="15" customHeight="1" x14ac:dyDescent="0.25">
      <c r="A1316" s="334"/>
      <c r="B1316" s="339"/>
      <c r="C1316" s="191" t="s">
        <v>1016</v>
      </c>
      <c r="D1316" s="143"/>
      <c r="E1316" s="81"/>
    </row>
    <row r="1317" spans="1:9" s="73" customFormat="1" ht="15" customHeight="1" x14ac:dyDescent="0.25">
      <c r="A1317" s="334"/>
      <c r="B1317" s="339"/>
      <c r="C1317" s="191" t="s">
        <v>1017</v>
      </c>
      <c r="D1317" s="143"/>
      <c r="E1317" s="81"/>
    </row>
    <row r="1318" spans="1:9" ht="15" customHeight="1" x14ac:dyDescent="0.25">
      <c r="A1318" s="334"/>
      <c r="B1318" s="339"/>
      <c r="C1318" s="191" t="s">
        <v>1018</v>
      </c>
      <c r="D1318" s="143"/>
      <c r="E1318" s="63"/>
    </row>
    <row r="1319" spans="1:9" s="111" customFormat="1" ht="15" customHeight="1" x14ac:dyDescent="0.25">
      <c r="A1319" s="334"/>
      <c r="B1319" s="335" t="s">
        <v>1022</v>
      </c>
      <c r="C1319" s="88" t="s">
        <v>772</v>
      </c>
      <c r="D1319" s="159"/>
      <c r="E1319" s="88" t="s">
        <v>701</v>
      </c>
      <c r="F1319" s="74"/>
      <c r="G1319" s="74"/>
      <c r="H1319" s="74"/>
      <c r="I1319" s="74"/>
    </row>
    <row r="1320" spans="1:9" s="73" customFormat="1" ht="15" customHeight="1" x14ac:dyDescent="0.25">
      <c r="A1320" s="334"/>
      <c r="B1320" s="336"/>
      <c r="C1320" s="82" t="s">
        <v>625</v>
      </c>
      <c r="D1320" s="89"/>
      <c r="E1320" s="82" t="s">
        <v>702</v>
      </c>
      <c r="F1320" s="74"/>
      <c r="G1320" s="74"/>
      <c r="H1320" s="74"/>
      <c r="I1320" s="74"/>
    </row>
    <row r="1321" spans="1:9" s="73" customFormat="1" ht="15" customHeight="1" x14ac:dyDescent="0.25">
      <c r="A1321" s="334"/>
      <c r="B1321" s="336"/>
      <c r="C1321" s="82" t="s">
        <v>626</v>
      </c>
      <c r="D1321" s="89"/>
      <c r="E1321" s="82" t="s">
        <v>703</v>
      </c>
      <c r="F1321" s="74"/>
      <c r="G1321" s="74"/>
      <c r="H1321" s="74"/>
      <c r="I1321" s="74"/>
    </row>
    <row r="1322" spans="1:9" s="73" customFormat="1" ht="15" customHeight="1" x14ac:dyDescent="0.25">
      <c r="A1322" s="334"/>
      <c r="B1322" s="336"/>
      <c r="C1322" s="82" t="s">
        <v>627</v>
      </c>
      <c r="D1322" s="89"/>
      <c r="E1322" s="82" t="s">
        <v>704</v>
      </c>
      <c r="F1322" s="74"/>
      <c r="G1322" s="74"/>
      <c r="H1322" s="74"/>
      <c r="I1322" s="74"/>
    </row>
    <row r="1323" spans="1:9" s="73" customFormat="1" ht="15" customHeight="1" x14ac:dyDescent="0.25">
      <c r="A1323" s="334"/>
      <c r="B1323" s="336"/>
      <c r="C1323" s="82" t="s">
        <v>628</v>
      </c>
      <c r="D1323" s="89"/>
      <c r="E1323" s="82" t="s">
        <v>705</v>
      </c>
      <c r="F1323" s="74"/>
      <c r="G1323" s="74"/>
      <c r="H1323" s="74"/>
      <c r="I1323" s="74"/>
    </row>
    <row r="1324" spans="1:9" s="73" customFormat="1" ht="15" customHeight="1" x14ac:dyDescent="0.25">
      <c r="A1324" s="334"/>
      <c r="B1324" s="336"/>
      <c r="C1324" s="82" t="s">
        <v>629</v>
      </c>
      <c r="D1324" s="89"/>
      <c r="E1324" s="82" t="s">
        <v>706</v>
      </c>
      <c r="F1324" s="74"/>
      <c r="G1324" s="74"/>
      <c r="H1324" s="74"/>
      <c r="I1324" s="74"/>
    </row>
    <row r="1325" spans="1:9" s="73" customFormat="1" ht="15" customHeight="1" x14ac:dyDescent="0.25">
      <c r="A1325" s="334"/>
      <c r="B1325" s="336"/>
      <c r="C1325" s="82" t="s">
        <v>630</v>
      </c>
      <c r="D1325" s="89"/>
      <c r="E1325" s="82" t="s">
        <v>707</v>
      </c>
      <c r="F1325" s="74"/>
      <c r="G1325" s="74"/>
      <c r="H1325" s="74"/>
      <c r="I1325" s="74"/>
    </row>
    <row r="1326" spans="1:9" s="73" customFormat="1" ht="15" customHeight="1" x14ac:dyDescent="0.25">
      <c r="A1326" s="334"/>
      <c r="B1326" s="336"/>
      <c r="C1326" s="82" t="s">
        <v>631</v>
      </c>
      <c r="D1326" s="89"/>
      <c r="E1326" s="82" t="s">
        <v>708</v>
      </c>
      <c r="F1326" s="74"/>
      <c r="G1326" s="74"/>
      <c r="H1326" s="74"/>
      <c r="I1326" s="74"/>
    </row>
    <row r="1327" spans="1:9" s="73" customFormat="1" ht="15" customHeight="1" x14ac:dyDescent="0.25">
      <c r="A1327" s="334"/>
      <c r="B1327" s="336"/>
      <c r="C1327" s="82" t="s">
        <v>632</v>
      </c>
      <c r="D1327" s="89"/>
      <c r="E1327" s="82" t="s">
        <v>709</v>
      </c>
      <c r="F1327" s="74"/>
      <c r="G1327" s="74"/>
      <c r="H1327" s="74"/>
      <c r="I1327" s="74"/>
    </row>
    <row r="1328" spans="1:9" s="73" customFormat="1" ht="15" customHeight="1" x14ac:dyDescent="0.25">
      <c r="A1328" s="334"/>
      <c r="B1328" s="336"/>
      <c r="C1328" s="82" t="s">
        <v>633</v>
      </c>
      <c r="D1328" s="89"/>
      <c r="E1328" s="82" t="s">
        <v>710</v>
      </c>
      <c r="F1328" s="74"/>
      <c r="G1328" s="74"/>
      <c r="H1328" s="74"/>
      <c r="I1328" s="74"/>
    </row>
    <row r="1329" spans="1:9" s="73" customFormat="1" ht="15" customHeight="1" x14ac:dyDescent="0.25">
      <c r="A1329" s="334"/>
      <c r="B1329" s="336"/>
      <c r="C1329" s="82" t="s">
        <v>634</v>
      </c>
      <c r="D1329" s="89"/>
      <c r="E1329" s="82" t="s">
        <v>711</v>
      </c>
      <c r="F1329" s="74"/>
      <c r="G1329" s="74"/>
      <c r="H1329" s="74"/>
      <c r="I1329" s="74"/>
    </row>
    <row r="1330" spans="1:9" s="73" customFormat="1" ht="15" customHeight="1" x14ac:dyDescent="0.25">
      <c r="A1330" s="334"/>
      <c r="B1330" s="336"/>
      <c r="C1330" s="82" t="s">
        <v>635</v>
      </c>
      <c r="D1330" s="89"/>
      <c r="E1330" s="82" t="s">
        <v>712</v>
      </c>
      <c r="F1330" s="74"/>
      <c r="G1330" s="74"/>
      <c r="H1330" s="74"/>
      <c r="I1330" s="74"/>
    </row>
    <row r="1331" spans="1:9" s="73" customFormat="1" ht="15" customHeight="1" x14ac:dyDescent="0.25">
      <c r="A1331" s="334"/>
      <c r="B1331" s="336"/>
      <c r="C1331" s="82" t="s">
        <v>636</v>
      </c>
      <c r="D1331" s="89"/>
      <c r="E1331" s="82" t="s">
        <v>713</v>
      </c>
      <c r="F1331" s="74"/>
      <c r="G1331" s="74"/>
      <c r="H1331" s="74"/>
      <c r="I1331" s="74"/>
    </row>
    <row r="1332" spans="1:9" s="73" customFormat="1" ht="15" customHeight="1" x14ac:dyDescent="0.25">
      <c r="A1332" s="334"/>
      <c r="B1332" s="336"/>
      <c r="C1332" s="82" t="s">
        <v>637</v>
      </c>
      <c r="D1332" s="89"/>
      <c r="E1332" s="82" t="s">
        <v>714</v>
      </c>
      <c r="F1332" s="74"/>
      <c r="G1332" s="74"/>
      <c r="H1332" s="74"/>
      <c r="I1332" s="74"/>
    </row>
    <row r="1333" spans="1:9" s="73" customFormat="1" ht="15" customHeight="1" x14ac:dyDescent="0.25">
      <c r="A1333" s="334"/>
      <c r="B1333" s="336"/>
      <c r="C1333" s="82" t="s">
        <v>638</v>
      </c>
      <c r="D1333" s="89"/>
      <c r="E1333" s="82" t="s">
        <v>715</v>
      </c>
      <c r="F1333" s="74"/>
      <c r="G1333" s="74"/>
      <c r="H1333" s="74"/>
      <c r="I1333" s="74"/>
    </row>
    <row r="1334" spans="1:9" s="73" customFormat="1" ht="15" customHeight="1" x14ac:dyDescent="0.25">
      <c r="A1334" s="334"/>
      <c r="B1334" s="336"/>
      <c r="C1334" s="82" t="s">
        <v>639</v>
      </c>
      <c r="D1334" s="89"/>
      <c r="E1334" s="82" t="s">
        <v>716</v>
      </c>
      <c r="F1334" s="74"/>
      <c r="G1334" s="74"/>
      <c r="H1334" s="74"/>
      <c r="I1334" s="74"/>
    </row>
    <row r="1335" spans="1:9" s="73" customFormat="1" ht="15" customHeight="1" x14ac:dyDescent="0.25">
      <c r="A1335" s="334"/>
      <c r="B1335" s="336"/>
      <c r="C1335" s="82" t="s">
        <v>640</v>
      </c>
      <c r="D1335" s="89"/>
      <c r="E1335" s="82" t="s">
        <v>717</v>
      </c>
      <c r="F1335" s="74"/>
      <c r="G1335" s="74"/>
      <c r="H1335" s="74"/>
      <c r="I1335" s="74"/>
    </row>
    <row r="1336" spans="1:9" s="73" customFormat="1" ht="15" customHeight="1" x14ac:dyDescent="0.25">
      <c r="A1336" s="334"/>
      <c r="B1336" s="336"/>
      <c r="C1336" s="82" t="s">
        <v>641</v>
      </c>
      <c r="D1336" s="89"/>
      <c r="E1336" s="82" t="s">
        <v>718</v>
      </c>
      <c r="F1336" s="74"/>
      <c r="G1336" s="74"/>
      <c r="H1336" s="74"/>
      <c r="I1336" s="74"/>
    </row>
    <row r="1337" spans="1:9" s="73" customFormat="1" ht="15" customHeight="1" x14ac:dyDescent="0.25">
      <c r="A1337" s="334"/>
      <c r="B1337" s="336"/>
      <c r="C1337" s="82" t="s">
        <v>642</v>
      </c>
      <c r="D1337" s="89"/>
      <c r="E1337" s="82" t="s">
        <v>719</v>
      </c>
      <c r="F1337" s="74"/>
      <c r="G1337" s="74"/>
      <c r="H1337" s="74"/>
      <c r="I1337" s="74"/>
    </row>
    <row r="1338" spans="1:9" s="73" customFormat="1" ht="15" customHeight="1" x14ac:dyDescent="0.25">
      <c r="A1338" s="334"/>
      <c r="B1338" s="336"/>
      <c r="C1338" s="82" t="s">
        <v>643</v>
      </c>
      <c r="D1338" s="89"/>
      <c r="E1338" s="82" t="s">
        <v>720</v>
      </c>
      <c r="F1338" s="74"/>
      <c r="G1338" s="74"/>
      <c r="H1338" s="74"/>
      <c r="I1338" s="74"/>
    </row>
    <row r="1339" spans="1:9" s="73" customFormat="1" ht="15" customHeight="1" x14ac:dyDescent="0.25">
      <c r="A1339" s="334"/>
      <c r="B1339" s="336"/>
      <c r="C1339" s="82" t="s">
        <v>530</v>
      </c>
      <c r="D1339" s="89"/>
      <c r="E1339" s="82" t="s">
        <v>721</v>
      </c>
      <c r="F1339" s="74"/>
      <c r="G1339" s="74"/>
      <c r="H1339" s="74"/>
      <c r="I1339" s="74"/>
    </row>
    <row r="1340" spans="1:9" s="73" customFormat="1" ht="15" customHeight="1" x14ac:dyDescent="0.25">
      <c r="A1340" s="334"/>
      <c r="B1340" s="336"/>
      <c r="C1340" s="82" t="s">
        <v>531</v>
      </c>
      <c r="D1340" s="89"/>
      <c r="E1340" s="82" t="s">
        <v>722</v>
      </c>
      <c r="F1340" s="74"/>
      <c r="G1340" s="74"/>
      <c r="H1340" s="74"/>
      <c r="I1340" s="74"/>
    </row>
    <row r="1341" spans="1:9" s="73" customFormat="1" ht="15" customHeight="1" x14ac:dyDescent="0.25">
      <c r="A1341" s="334"/>
      <c r="B1341" s="336"/>
      <c r="C1341" s="82" t="s">
        <v>532</v>
      </c>
      <c r="D1341" s="89"/>
      <c r="E1341" s="82" t="s">
        <v>723</v>
      </c>
      <c r="F1341" s="74"/>
      <c r="G1341" s="74"/>
      <c r="H1341" s="74"/>
      <c r="I1341" s="74"/>
    </row>
    <row r="1342" spans="1:9" s="73" customFormat="1" ht="15" customHeight="1" x14ac:dyDescent="0.25">
      <c r="A1342" s="334"/>
      <c r="B1342" s="336"/>
      <c r="C1342" s="82" t="s">
        <v>533</v>
      </c>
      <c r="D1342" s="89"/>
      <c r="E1342" s="82" t="s">
        <v>724</v>
      </c>
      <c r="F1342" s="74"/>
      <c r="G1342" s="74"/>
      <c r="H1342" s="74"/>
      <c r="I1342" s="74"/>
    </row>
    <row r="1343" spans="1:9" s="73" customFormat="1" ht="15" customHeight="1" x14ac:dyDescent="0.25">
      <c r="A1343" s="334"/>
      <c r="B1343" s="336"/>
      <c r="C1343" s="82" t="s">
        <v>534</v>
      </c>
      <c r="D1343" s="89"/>
      <c r="E1343" s="82" t="s">
        <v>725</v>
      </c>
      <c r="F1343" s="74"/>
      <c r="G1343" s="74"/>
      <c r="H1343" s="74"/>
      <c r="I1343" s="74"/>
    </row>
    <row r="1344" spans="1:9" s="73" customFormat="1" ht="15" customHeight="1" x14ac:dyDescent="0.25">
      <c r="A1344" s="334"/>
      <c r="B1344" s="336"/>
      <c r="C1344" s="82" t="s">
        <v>535</v>
      </c>
      <c r="D1344" s="89"/>
      <c r="E1344" s="82" t="s">
        <v>726</v>
      </c>
      <c r="F1344" s="74"/>
      <c r="G1344" s="74"/>
      <c r="H1344" s="74"/>
      <c r="I1344" s="74"/>
    </row>
    <row r="1345" spans="1:9" s="73" customFormat="1" ht="15" customHeight="1" x14ac:dyDescent="0.25">
      <c r="A1345" s="334"/>
      <c r="B1345" s="336"/>
      <c r="C1345" s="82" t="s">
        <v>536</v>
      </c>
      <c r="D1345" s="89"/>
      <c r="E1345" s="82" t="s">
        <v>727</v>
      </c>
      <c r="F1345" s="74"/>
      <c r="G1345" s="74"/>
      <c r="H1345" s="74"/>
      <c r="I1345" s="74"/>
    </row>
    <row r="1346" spans="1:9" s="73" customFormat="1" ht="15" customHeight="1" x14ac:dyDescent="0.25">
      <c r="A1346" s="334"/>
      <c r="B1346" s="336"/>
      <c r="C1346" s="82" t="s">
        <v>537</v>
      </c>
      <c r="D1346" s="89"/>
      <c r="E1346" s="82" t="s">
        <v>728</v>
      </c>
      <c r="F1346" s="74"/>
      <c r="G1346" s="74"/>
      <c r="H1346" s="74"/>
      <c r="I1346" s="74"/>
    </row>
    <row r="1347" spans="1:9" s="73" customFormat="1" ht="15" customHeight="1" x14ac:dyDescent="0.25">
      <c r="A1347" s="334"/>
      <c r="B1347" s="336"/>
      <c r="C1347" s="99" t="s">
        <v>538</v>
      </c>
      <c r="D1347" s="100"/>
      <c r="E1347" s="101" t="s">
        <v>729</v>
      </c>
      <c r="F1347" s="74"/>
      <c r="G1347" s="74"/>
      <c r="H1347" s="74"/>
      <c r="I1347" s="74"/>
    </row>
    <row r="1348" spans="1:9" s="111" customFormat="1" ht="15" customHeight="1" x14ac:dyDescent="0.25">
      <c r="A1348" s="334"/>
      <c r="B1348" s="336"/>
      <c r="C1348" s="88" t="s">
        <v>817</v>
      </c>
      <c r="D1348" s="159"/>
      <c r="E1348" s="88" t="s">
        <v>730</v>
      </c>
      <c r="F1348" s="74"/>
      <c r="G1348" s="74"/>
      <c r="H1348" s="74"/>
      <c r="I1348" s="74"/>
    </row>
    <row r="1349" spans="1:9" s="73" customFormat="1" ht="15" customHeight="1" x14ac:dyDescent="0.25">
      <c r="A1349" s="334"/>
      <c r="B1349" s="336"/>
      <c r="C1349" s="82" t="s">
        <v>625</v>
      </c>
      <c r="D1349" s="89"/>
      <c r="E1349" s="82" t="s">
        <v>731</v>
      </c>
      <c r="F1349" s="74"/>
      <c r="G1349" s="74"/>
      <c r="H1349" s="74"/>
      <c r="I1349" s="74"/>
    </row>
    <row r="1350" spans="1:9" s="73" customFormat="1" ht="15" customHeight="1" x14ac:dyDescent="0.25">
      <c r="A1350" s="334"/>
      <c r="B1350" s="336"/>
      <c r="C1350" s="82" t="s">
        <v>626</v>
      </c>
      <c r="D1350" s="89"/>
      <c r="E1350" s="82" t="s">
        <v>732</v>
      </c>
      <c r="F1350" s="74"/>
      <c r="G1350" s="74"/>
      <c r="H1350" s="74"/>
      <c r="I1350" s="74"/>
    </row>
    <row r="1351" spans="1:9" s="73" customFormat="1" ht="15" customHeight="1" x14ac:dyDescent="0.25">
      <c r="A1351" s="334"/>
      <c r="B1351" s="336"/>
      <c r="C1351" s="82" t="s">
        <v>627</v>
      </c>
      <c r="D1351" s="89"/>
      <c r="E1351" s="82" t="s">
        <v>733</v>
      </c>
      <c r="F1351" s="74"/>
      <c r="G1351" s="74"/>
      <c r="H1351" s="74"/>
      <c r="I1351" s="74"/>
    </row>
    <row r="1352" spans="1:9" s="73" customFormat="1" ht="15" customHeight="1" x14ac:dyDescent="0.25">
      <c r="A1352" s="334"/>
      <c r="B1352" s="336"/>
      <c r="C1352" s="82" t="s">
        <v>628</v>
      </c>
      <c r="D1352" s="89"/>
      <c r="E1352" s="82" t="s">
        <v>734</v>
      </c>
      <c r="F1352" s="74"/>
      <c r="G1352" s="74"/>
      <c r="H1352" s="74"/>
      <c r="I1352" s="74"/>
    </row>
    <row r="1353" spans="1:9" s="73" customFormat="1" ht="15" customHeight="1" x14ac:dyDescent="0.25">
      <c r="A1353" s="334"/>
      <c r="B1353" s="336"/>
      <c r="C1353" s="82" t="s">
        <v>629</v>
      </c>
      <c r="D1353" s="89"/>
      <c r="E1353" s="82" t="s">
        <v>735</v>
      </c>
      <c r="F1353" s="74"/>
      <c r="G1353" s="74"/>
      <c r="H1353" s="74"/>
      <c r="I1353" s="74"/>
    </row>
    <row r="1354" spans="1:9" s="73" customFormat="1" ht="15" customHeight="1" x14ac:dyDescent="0.25">
      <c r="A1354" s="334"/>
      <c r="B1354" s="336"/>
      <c r="C1354" s="82" t="s">
        <v>630</v>
      </c>
      <c r="D1354" s="89"/>
      <c r="E1354" s="82" t="s">
        <v>736</v>
      </c>
      <c r="F1354" s="74"/>
      <c r="G1354" s="74"/>
      <c r="H1354" s="74"/>
      <c r="I1354" s="74"/>
    </row>
    <row r="1355" spans="1:9" s="73" customFormat="1" ht="15" customHeight="1" x14ac:dyDescent="0.25">
      <c r="A1355" s="334"/>
      <c r="B1355" s="336"/>
      <c r="C1355" s="82" t="s">
        <v>631</v>
      </c>
      <c r="D1355" s="89"/>
      <c r="E1355" s="82" t="s">
        <v>737</v>
      </c>
      <c r="F1355" s="74"/>
      <c r="G1355" s="74"/>
      <c r="H1355" s="74"/>
      <c r="I1355" s="74"/>
    </row>
    <row r="1356" spans="1:9" s="73" customFormat="1" ht="15" customHeight="1" x14ac:dyDescent="0.25">
      <c r="A1356" s="334"/>
      <c r="B1356" s="336"/>
      <c r="C1356" s="82" t="s">
        <v>632</v>
      </c>
      <c r="D1356" s="89"/>
      <c r="E1356" s="82" t="s">
        <v>738</v>
      </c>
      <c r="F1356" s="74"/>
      <c r="G1356" s="74"/>
      <c r="H1356" s="74"/>
      <c r="I1356" s="74"/>
    </row>
    <row r="1357" spans="1:9" s="73" customFormat="1" ht="15" customHeight="1" x14ac:dyDescent="0.25">
      <c r="A1357" s="334"/>
      <c r="B1357" s="336"/>
      <c r="C1357" s="82" t="s">
        <v>633</v>
      </c>
      <c r="D1357" s="89"/>
      <c r="E1357" s="82" t="s">
        <v>739</v>
      </c>
      <c r="F1357" s="74"/>
      <c r="G1357" s="74"/>
      <c r="H1357" s="74"/>
      <c r="I1357" s="74"/>
    </row>
    <row r="1358" spans="1:9" s="73" customFormat="1" ht="15" customHeight="1" x14ac:dyDescent="0.25">
      <c r="A1358" s="334"/>
      <c r="B1358" s="336"/>
      <c r="C1358" s="82" t="s">
        <v>634</v>
      </c>
      <c r="D1358" s="89"/>
      <c r="E1358" s="82" t="s">
        <v>740</v>
      </c>
      <c r="F1358" s="74"/>
      <c r="G1358" s="74"/>
      <c r="H1358" s="74"/>
      <c r="I1358" s="74"/>
    </row>
    <row r="1359" spans="1:9" s="73" customFormat="1" ht="15" customHeight="1" x14ac:dyDescent="0.25">
      <c r="A1359" s="334"/>
      <c r="B1359" s="336"/>
      <c r="C1359" s="82" t="s">
        <v>635</v>
      </c>
      <c r="D1359" s="89"/>
      <c r="E1359" s="82" t="s">
        <v>741</v>
      </c>
      <c r="F1359" s="74"/>
      <c r="G1359" s="74"/>
      <c r="H1359" s="74"/>
      <c r="I1359" s="74"/>
    </row>
    <row r="1360" spans="1:9" s="73" customFormat="1" ht="15" customHeight="1" x14ac:dyDescent="0.25">
      <c r="A1360" s="334"/>
      <c r="B1360" s="336"/>
      <c r="C1360" s="82" t="s">
        <v>636</v>
      </c>
      <c r="D1360" s="89"/>
      <c r="E1360" s="82" t="s">
        <v>742</v>
      </c>
      <c r="F1360" s="74"/>
      <c r="G1360" s="74"/>
      <c r="H1360" s="74"/>
      <c r="I1360" s="74"/>
    </row>
    <row r="1361" spans="1:9" s="73" customFormat="1" ht="15" customHeight="1" x14ac:dyDescent="0.25">
      <c r="A1361" s="334"/>
      <c r="B1361" s="336"/>
      <c r="C1361" s="82" t="s">
        <v>637</v>
      </c>
      <c r="D1361" s="89"/>
      <c r="E1361" s="82" t="s">
        <v>743</v>
      </c>
      <c r="F1361" s="74"/>
      <c r="G1361" s="74"/>
      <c r="H1361" s="74"/>
      <c r="I1361" s="74"/>
    </row>
    <row r="1362" spans="1:9" s="73" customFormat="1" ht="15" customHeight="1" x14ac:dyDescent="0.25">
      <c r="A1362" s="334"/>
      <c r="B1362" s="336"/>
      <c r="C1362" s="82" t="s">
        <v>638</v>
      </c>
      <c r="D1362" s="89"/>
      <c r="E1362" s="82" t="s">
        <v>744</v>
      </c>
      <c r="F1362" s="74"/>
      <c r="G1362" s="74"/>
      <c r="H1362" s="74"/>
      <c r="I1362" s="74"/>
    </row>
    <row r="1363" spans="1:9" s="73" customFormat="1" ht="15" customHeight="1" x14ac:dyDescent="0.25">
      <c r="A1363" s="334"/>
      <c r="B1363" s="336"/>
      <c r="C1363" s="82" t="s">
        <v>639</v>
      </c>
      <c r="D1363" s="89"/>
      <c r="E1363" s="82" t="s">
        <v>745</v>
      </c>
      <c r="F1363" s="74"/>
      <c r="G1363" s="74"/>
      <c r="H1363" s="74"/>
      <c r="I1363" s="74"/>
    </row>
    <row r="1364" spans="1:9" s="73" customFormat="1" ht="15" customHeight="1" x14ac:dyDescent="0.25">
      <c r="A1364" s="334"/>
      <c r="B1364" s="336"/>
      <c r="C1364" s="82" t="s">
        <v>640</v>
      </c>
      <c r="D1364" s="89"/>
      <c r="E1364" s="82" t="s">
        <v>746</v>
      </c>
      <c r="F1364" s="74"/>
      <c r="G1364" s="74"/>
      <c r="H1364" s="74"/>
      <c r="I1364" s="74"/>
    </row>
    <row r="1365" spans="1:9" s="73" customFormat="1" ht="15" customHeight="1" x14ac:dyDescent="0.25">
      <c r="A1365" s="334"/>
      <c r="B1365" s="336"/>
      <c r="C1365" s="82" t="s">
        <v>641</v>
      </c>
      <c r="D1365" s="89"/>
      <c r="E1365" s="82" t="s">
        <v>747</v>
      </c>
      <c r="F1365" s="74"/>
      <c r="G1365" s="74"/>
      <c r="H1365" s="74"/>
      <c r="I1365" s="74"/>
    </row>
    <row r="1366" spans="1:9" s="73" customFormat="1" ht="15" customHeight="1" x14ac:dyDescent="0.25">
      <c r="A1366" s="334"/>
      <c r="B1366" s="336"/>
      <c r="C1366" s="82" t="s">
        <v>642</v>
      </c>
      <c r="D1366" s="89"/>
      <c r="E1366" s="82" t="s">
        <v>748</v>
      </c>
      <c r="F1366" s="74"/>
      <c r="G1366" s="74"/>
      <c r="H1366" s="74"/>
      <c r="I1366" s="74"/>
    </row>
    <row r="1367" spans="1:9" s="73" customFormat="1" ht="15" customHeight="1" x14ac:dyDescent="0.25">
      <c r="A1367" s="334"/>
      <c r="B1367" s="336"/>
      <c r="C1367" s="82" t="s">
        <v>643</v>
      </c>
      <c r="D1367" s="89"/>
      <c r="E1367" s="82" t="s">
        <v>749</v>
      </c>
      <c r="F1367" s="74"/>
      <c r="G1367" s="74"/>
      <c r="H1367" s="74"/>
      <c r="I1367" s="74"/>
    </row>
    <row r="1368" spans="1:9" s="73" customFormat="1" ht="15" customHeight="1" x14ac:dyDescent="0.25">
      <c r="A1368" s="334"/>
      <c r="B1368" s="336"/>
      <c r="C1368" s="82" t="s">
        <v>530</v>
      </c>
      <c r="D1368" s="89"/>
      <c r="E1368" s="82" t="s">
        <v>750</v>
      </c>
      <c r="F1368" s="74"/>
      <c r="G1368" s="74"/>
      <c r="H1368" s="74"/>
      <c r="I1368" s="74"/>
    </row>
    <row r="1369" spans="1:9" s="73" customFormat="1" ht="15" customHeight="1" x14ac:dyDescent="0.25">
      <c r="A1369" s="334"/>
      <c r="B1369" s="336"/>
      <c r="C1369" s="82" t="s">
        <v>531</v>
      </c>
      <c r="D1369" s="89"/>
      <c r="E1369" s="82" t="s">
        <v>751</v>
      </c>
      <c r="F1369" s="74"/>
      <c r="G1369" s="74"/>
      <c r="H1369" s="74"/>
      <c r="I1369" s="74"/>
    </row>
    <row r="1370" spans="1:9" s="73" customFormat="1" ht="15" customHeight="1" x14ac:dyDescent="0.25">
      <c r="A1370" s="334"/>
      <c r="B1370" s="336"/>
      <c r="C1370" s="82" t="s">
        <v>532</v>
      </c>
      <c r="D1370" s="89"/>
      <c r="E1370" s="82" t="s">
        <v>752</v>
      </c>
      <c r="F1370" s="74"/>
      <c r="G1370" s="74"/>
      <c r="H1370" s="74"/>
      <c r="I1370" s="74"/>
    </row>
    <row r="1371" spans="1:9" s="73" customFormat="1" ht="15" customHeight="1" x14ac:dyDescent="0.25">
      <c r="A1371" s="334"/>
      <c r="B1371" s="336"/>
      <c r="C1371" s="82" t="s">
        <v>533</v>
      </c>
      <c r="D1371" s="89"/>
      <c r="E1371" s="82" t="s">
        <v>753</v>
      </c>
      <c r="F1371" s="74"/>
      <c r="G1371" s="74"/>
      <c r="H1371" s="74"/>
      <c r="I1371" s="74"/>
    </row>
    <row r="1372" spans="1:9" s="73" customFormat="1" ht="15" customHeight="1" x14ac:dyDescent="0.25">
      <c r="A1372" s="334"/>
      <c r="B1372" s="336"/>
      <c r="C1372" s="82" t="s">
        <v>534</v>
      </c>
      <c r="D1372" s="89"/>
      <c r="E1372" s="82" t="s">
        <v>754</v>
      </c>
      <c r="F1372" s="74"/>
      <c r="G1372" s="74"/>
      <c r="H1372" s="74"/>
      <c r="I1372" s="74"/>
    </row>
    <row r="1373" spans="1:9" s="73" customFormat="1" ht="15" customHeight="1" x14ac:dyDescent="0.25">
      <c r="A1373" s="334"/>
      <c r="B1373" s="336"/>
      <c r="C1373" s="82" t="s">
        <v>535</v>
      </c>
      <c r="D1373" s="89"/>
      <c r="E1373" s="82" t="s">
        <v>755</v>
      </c>
      <c r="F1373" s="74"/>
      <c r="G1373" s="74"/>
      <c r="H1373" s="74"/>
      <c r="I1373" s="74"/>
    </row>
    <row r="1374" spans="1:9" s="73" customFormat="1" ht="15" customHeight="1" x14ac:dyDescent="0.25">
      <c r="A1374" s="334"/>
      <c r="B1374" s="336"/>
      <c r="C1374" s="82" t="s">
        <v>536</v>
      </c>
      <c r="D1374" s="89"/>
      <c r="E1374" s="82" t="s">
        <v>756</v>
      </c>
      <c r="F1374" s="74"/>
      <c r="G1374" s="74"/>
      <c r="H1374" s="74"/>
      <c r="I1374" s="74"/>
    </row>
    <row r="1375" spans="1:9" s="73" customFormat="1" ht="15" customHeight="1" x14ac:dyDescent="0.25">
      <c r="A1375" s="334"/>
      <c r="B1375" s="336"/>
      <c r="C1375" s="82" t="s">
        <v>537</v>
      </c>
      <c r="D1375" s="89"/>
      <c r="E1375" s="82" t="s">
        <v>757</v>
      </c>
      <c r="F1375" s="74"/>
      <c r="G1375" s="74"/>
      <c r="H1375" s="74"/>
      <c r="I1375" s="74"/>
    </row>
    <row r="1376" spans="1:9" s="73" customFormat="1" ht="15" customHeight="1" x14ac:dyDescent="0.25">
      <c r="A1376" s="334"/>
      <c r="B1376" s="336"/>
      <c r="C1376" s="82" t="s">
        <v>538</v>
      </c>
      <c r="D1376" s="89"/>
      <c r="E1376" s="82" t="s">
        <v>758</v>
      </c>
      <c r="F1376" s="74"/>
      <c r="G1376" s="74"/>
      <c r="H1376" s="74"/>
      <c r="I1376" s="74"/>
    </row>
    <row r="1377" spans="1:9" s="111" customFormat="1" ht="15" customHeight="1" x14ac:dyDescent="0.25">
      <c r="A1377" s="334"/>
      <c r="B1377" s="345" t="s">
        <v>1023</v>
      </c>
      <c r="C1377" s="194" t="s">
        <v>772</v>
      </c>
      <c r="D1377" s="160"/>
      <c r="E1377" s="161" t="s">
        <v>315</v>
      </c>
      <c r="F1377" s="74"/>
      <c r="G1377" s="74"/>
      <c r="H1377" s="74"/>
      <c r="I1377" s="74"/>
    </row>
    <row r="1378" spans="1:9" ht="15" customHeight="1" x14ac:dyDescent="0.25">
      <c r="A1378" s="334"/>
      <c r="B1378" s="346"/>
      <c r="C1378" s="195" t="s">
        <v>625</v>
      </c>
      <c r="D1378" s="149"/>
      <c r="E1378" s="71" t="s">
        <v>644</v>
      </c>
      <c r="F1378" s="74"/>
      <c r="G1378" s="74"/>
      <c r="H1378" s="74"/>
      <c r="I1378" s="74"/>
    </row>
    <row r="1379" spans="1:9" ht="15" customHeight="1" x14ac:dyDescent="0.25">
      <c r="A1379" s="334"/>
      <c r="B1379" s="346"/>
      <c r="C1379" s="195" t="s">
        <v>626</v>
      </c>
      <c r="D1379" s="149"/>
      <c r="E1379" s="71" t="s">
        <v>645</v>
      </c>
      <c r="F1379" s="74"/>
      <c r="G1379" s="74"/>
      <c r="H1379" s="74"/>
      <c r="I1379" s="74"/>
    </row>
    <row r="1380" spans="1:9" ht="15" customHeight="1" x14ac:dyDescent="0.25">
      <c r="A1380" s="334"/>
      <c r="B1380" s="346"/>
      <c r="C1380" s="195" t="s">
        <v>627</v>
      </c>
      <c r="D1380" s="149"/>
      <c r="E1380" s="71" t="s">
        <v>646</v>
      </c>
      <c r="F1380" s="74"/>
      <c r="G1380" s="74"/>
      <c r="H1380" s="74"/>
      <c r="I1380" s="74"/>
    </row>
    <row r="1381" spans="1:9" ht="15" customHeight="1" x14ac:dyDescent="0.25">
      <c r="A1381" s="334"/>
      <c r="B1381" s="346"/>
      <c r="C1381" s="195" t="s">
        <v>628</v>
      </c>
      <c r="D1381" s="149"/>
      <c r="E1381" s="83" t="s">
        <v>647</v>
      </c>
      <c r="F1381" s="74"/>
      <c r="G1381" s="74"/>
      <c r="H1381" s="74"/>
      <c r="I1381" s="74"/>
    </row>
    <row r="1382" spans="1:9" ht="15" customHeight="1" x14ac:dyDescent="0.25">
      <c r="A1382" s="334"/>
      <c r="B1382" s="346"/>
      <c r="C1382" s="195" t="s">
        <v>629</v>
      </c>
      <c r="D1382" s="149"/>
      <c r="E1382" s="83" t="s">
        <v>648</v>
      </c>
      <c r="F1382" s="74"/>
      <c r="G1382" s="74"/>
      <c r="H1382" s="74"/>
      <c r="I1382" s="74"/>
    </row>
    <row r="1383" spans="1:9" ht="15" customHeight="1" x14ac:dyDescent="0.25">
      <c r="A1383" s="334"/>
      <c r="B1383" s="346"/>
      <c r="C1383" s="195" t="s">
        <v>630</v>
      </c>
      <c r="D1383" s="149"/>
      <c r="E1383" s="83" t="s">
        <v>649</v>
      </c>
      <c r="F1383" s="74"/>
      <c r="G1383" s="74"/>
      <c r="H1383" s="74"/>
      <c r="I1383" s="74"/>
    </row>
    <row r="1384" spans="1:9" ht="15" customHeight="1" x14ac:dyDescent="0.25">
      <c r="A1384" s="334"/>
      <c r="B1384" s="346"/>
      <c r="C1384" s="195" t="s">
        <v>631</v>
      </c>
      <c r="D1384" s="149"/>
      <c r="E1384" s="83" t="s">
        <v>650</v>
      </c>
      <c r="F1384" s="74"/>
      <c r="G1384" s="74"/>
      <c r="H1384" s="74"/>
      <c r="I1384" s="74"/>
    </row>
    <row r="1385" spans="1:9" ht="15" customHeight="1" x14ac:dyDescent="0.25">
      <c r="A1385" s="334"/>
      <c r="B1385" s="346"/>
      <c r="C1385" s="195" t="s">
        <v>632</v>
      </c>
      <c r="D1385" s="149"/>
      <c r="E1385" s="83" t="s">
        <v>651</v>
      </c>
      <c r="F1385" s="74"/>
      <c r="G1385" s="74"/>
      <c r="H1385" s="74"/>
      <c r="I1385" s="74"/>
    </row>
    <row r="1386" spans="1:9" ht="15" customHeight="1" x14ac:dyDescent="0.25">
      <c r="A1386" s="334"/>
      <c r="B1386" s="346"/>
      <c r="C1386" s="195" t="s">
        <v>633</v>
      </c>
      <c r="D1386" s="149"/>
      <c r="E1386" s="83" t="s">
        <v>652</v>
      </c>
      <c r="F1386" s="74"/>
      <c r="G1386" s="74"/>
      <c r="H1386" s="74"/>
      <c r="I1386" s="74"/>
    </row>
    <row r="1387" spans="1:9" ht="15" customHeight="1" x14ac:dyDescent="0.25">
      <c r="A1387" s="334"/>
      <c r="B1387" s="346"/>
      <c r="C1387" s="195" t="s">
        <v>634</v>
      </c>
      <c r="D1387" s="149"/>
      <c r="E1387" s="83" t="s">
        <v>653</v>
      </c>
      <c r="F1387" s="74"/>
      <c r="G1387" s="74"/>
      <c r="H1387" s="74"/>
      <c r="I1387" s="74"/>
    </row>
    <row r="1388" spans="1:9" ht="15" customHeight="1" x14ac:dyDescent="0.25">
      <c r="A1388" s="334"/>
      <c r="B1388" s="346"/>
      <c r="C1388" s="195" t="s">
        <v>635</v>
      </c>
      <c r="D1388" s="149"/>
      <c r="E1388" s="83" t="s">
        <v>654</v>
      </c>
      <c r="F1388" s="74"/>
      <c r="G1388" s="74"/>
      <c r="H1388" s="74"/>
      <c r="I1388" s="74"/>
    </row>
    <row r="1389" spans="1:9" ht="15" customHeight="1" x14ac:dyDescent="0.25">
      <c r="A1389" s="334"/>
      <c r="B1389" s="346"/>
      <c r="C1389" s="195" t="s">
        <v>636</v>
      </c>
      <c r="D1389" s="149"/>
      <c r="E1389" s="83" t="s">
        <v>655</v>
      </c>
      <c r="F1389" s="74"/>
      <c r="G1389" s="74"/>
      <c r="H1389" s="74"/>
      <c r="I1389" s="74"/>
    </row>
    <row r="1390" spans="1:9" ht="15" customHeight="1" x14ac:dyDescent="0.25">
      <c r="A1390" s="334"/>
      <c r="B1390" s="346"/>
      <c r="C1390" s="195" t="s">
        <v>637</v>
      </c>
      <c r="D1390" s="149"/>
      <c r="E1390" s="83" t="s">
        <v>656</v>
      </c>
      <c r="F1390" s="74"/>
      <c r="G1390" s="74"/>
      <c r="H1390" s="74"/>
      <c r="I1390" s="74"/>
    </row>
    <row r="1391" spans="1:9" ht="15" customHeight="1" x14ac:dyDescent="0.25">
      <c r="A1391" s="334"/>
      <c r="B1391" s="346"/>
      <c r="C1391" s="195" t="s">
        <v>638</v>
      </c>
      <c r="D1391" s="149"/>
      <c r="E1391" s="83" t="s">
        <v>657</v>
      </c>
      <c r="F1391" s="74"/>
      <c r="G1391" s="74"/>
      <c r="H1391" s="74"/>
      <c r="I1391" s="74"/>
    </row>
    <row r="1392" spans="1:9" ht="15" customHeight="1" x14ac:dyDescent="0.25">
      <c r="A1392" s="334"/>
      <c r="B1392" s="346"/>
      <c r="C1392" s="195" t="s">
        <v>639</v>
      </c>
      <c r="D1392" s="149"/>
      <c r="E1392" s="83" t="s">
        <v>658</v>
      </c>
      <c r="F1392" s="74"/>
      <c r="G1392" s="74"/>
      <c r="H1392" s="74"/>
      <c r="I1392" s="74"/>
    </row>
    <row r="1393" spans="1:9" ht="15" customHeight="1" x14ac:dyDescent="0.25">
      <c r="A1393" s="334"/>
      <c r="B1393" s="346"/>
      <c r="C1393" s="195" t="s">
        <v>640</v>
      </c>
      <c r="D1393" s="149"/>
      <c r="E1393" s="83" t="s">
        <v>659</v>
      </c>
      <c r="F1393" s="74"/>
      <c r="G1393" s="74"/>
      <c r="H1393" s="74"/>
      <c r="I1393" s="74"/>
    </row>
    <row r="1394" spans="1:9" ht="15" customHeight="1" x14ac:dyDescent="0.25">
      <c r="A1394" s="334"/>
      <c r="B1394" s="346"/>
      <c r="C1394" s="195" t="s">
        <v>641</v>
      </c>
      <c r="D1394" s="149"/>
      <c r="E1394" s="83" t="s">
        <v>660</v>
      </c>
      <c r="F1394" s="74"/>
      <c r="G1394" s="74"/>
      <c r="H1394" s="74"/>
      <c r="I1394" s="74"/>
    </row>
    <row r="1395" spans="1:9" ht="15" customHeight="1" x14ac:dyDescent="0.25">
      <c r="A1395" s="334"/>
      <c r="B1395" s="346"/>
      <c r="C1395" s="195" t="s">
        <v>642</v>
      </c>
      <c r="D1395" s="149"/>
      <c r="E1395" s="83" t="s">
        <v>661</v>
      </c>
      <c r="F1395" s="74"/>
      <c r="G1395" s="74"/>
      <c r="H1395" s="74"/>
      <c r="I1395" s="74"/>
    </row>
    <row r="1396" spans="1:9" ht="15" customHeight="1" x14ac:dyDescent="0.25">
      <c r="A1396" s="334"/>
      <c r="B1396" s="346"/>
      <c r="C1396" s="195" t="s">
        <v>643</v>
      </c>
      <c r="D1396" s="149"/>
      <c r="E1396" s="83" t="s">
        <v>662</v>
      </c>
      <c r="F1396" s="74"/>
      <c r="G1396" s="74"/>
      <c r="H1396" s="74"/>
      <c r="I1396" s="74"/>
    </row>
    <row r="1397" spans="1:9" ht="15" customHeight="1" x14ac:dyDescent="0.25">
      <c r="A1397" s="334"/>
      <c r="B1397" s="346"/>
      <c r="C1397" s="195" t="s">
        <v>530</v>
      </c>
      <c r="D1397" s="149"/>
      <c r="E1397" s="83" t="s">
        <v>663</v>
      </c>
      <c r="F1397" s="74"/>
      <c r="G1397" s="74"/>
      <c r="H1397" s="74"/>
      <c r="I1397" s="74"/>
    </row>
    <row r="1398" spans="1:9" ht="15" customHeight="1" x14ac:dyDescent="0.25">
      <c r="A1398" s="334"/>
      <c r="B1398" s="346"/>
      <c r="C1398" s="195" t="s">
        <v>531</v>
      </c>
      <c r="D1398" s="149"/>
      <c r="E1398" s="83" t="s">
        <v>664</v>
      </c>
      <c r="F1398" s="74"/>
      <c r="G1398" s="74"/>
      <c r="H1398" s="74"/>
      <c r="I1398" s="74"/>
    </row>
    <row r="1399" spans="1:9" ht="15" customHeight="1" x14ac:dyDescent="0.25">
      <c r="A1399" s="334"/>
      <c r="B1399" s="346"/>
      <c r="C1399" s="195" t="s">
        <v>532</v>
      </c>
      <c r="D1399" s="149"/>
      <c r="E1399" s="83" t="s">
        <v>665</v>
      </c>
      <c r="F1399" s="74"/>
      <c r="G1399" s="74"/>
      <c r="H1399" s="74"/>
      <c r="I1399" s="74"/>
    </row>
    <row r="1400" spans="1:9" ht="15" customHeight="1" x14ac:dyDescent="0.25">
      <c r="A1400" s="334"/>
      <c r="B1400" s="346"/>
      <c r="C1400" s="195" t="s">
        <v>533</v>
      </c>
      <c r="D1400" s="149"/>
      <c r="E1400" s="83" t="s">
        <v>666</v>
      </c>
      <c r="F1400" s="74"/>
      <c r="G1400" s="74"/>
      <c r="H1400" s="74"/>
      <c r="I1400" s="74"/>
    </row>
    <row r="1401" spans="1:9" s="73" customFormat="1" ht="15" customHeight="1" x14ac:dyDescent="0.25">
      <c r="A1401" s="334"/>
      <c r="B1401" s="346"/>
      <c r="C1401" s="195" t="s">
        <v>534</v>
      </c>
      <c r="D1401" s="149"/>
      <c r="E1401" s="83" t="s">
        <v>667</v>
      </c>
      <c r="F1401" s="74"/>
      <c r="G1401" s="74"/>
      <c r="H1401" s="74"/>
      <c r="I1401" s="74"/>
    </row>
    <row r="1402" spans="1:9" s="73" customFormat="1" ht="15" customHeight="1" x14ac:dyDescent="0.25">
      <c r="A1402" s="334"/>
      <c r="B1402" s="346"/>
      <c r="C1402" s="195" t="s">
        <v>535</v>
      </c>
      <c r="D1402" s="149"/>
      <c r="E1402" s="83" t="s">
        <v>668</v>
      </c>
      <c r="F1402" s="74"/>
      <c r="G1402" s="74"/>
      <c r="H1402" s="74"/>
      <c r="I1402" s="74"/>
    </row>
    <row r="1403" spans="1:9" s="73" customFormat="1" ht="15" customHeight="1" x14ac:dyDescent="0.25">
      <c r="A1403" s="334"/>
      <c r="B1403" s="346"/>
      <c r="C1403" s="195" t="s">
        <v>536</v>
      </c>
      <c r="D1403" s="149"/>
      <c r="E1403" s="83" t="s">
        <v>669</v>
      </c>
      <c r="F1403" s="74"/>
      <c r="G1403" s="74"/>
      <c r="H1403" s="74"/>
      <c r="I1403" s="74"/>
    </row>
    <row r="1404" spans="1:9" s="73" customFormat="1" ht="15" customHeight="1" x14ac:dyDescent="0.25">
      <c r="A1404" s="334"/>
      <c r="B1404" s="346"/>
      <c r="C1404" s="195" t="s">
        <v>537</v>
      </c>
      <c r="D1404" s="149"/>
      <c r="E1404" s="83" t="s">
        <v>670</v>
      </c>
      <c r="F1404" s="74"/>
      <c r="G1404" s="74"/>
      <c r="H1404" s="74"/>
      <c r="I1404" s="74"/>
    </row>
    <row r="1405" spans="1:9" s="73" customFormat="1" ht="15" customHeight="1" x14ac:dyDescent="0.25">
      <c r="A1405" s="334"/>
      <c r="B1405" s="346"/>
      <c r="C1405" s="196" t="s">
        <v>538</v>
      </c>
      <c r="D1405" s="150"/>
      <c r="E1405" s="102" t="s">
        <v>671</v>
      </c>
      <c r="F1405" s="74"/>
      <c r="G1405" s="74"/>
      <c r="H1405" s="74"/>
      <c r="I1405" s="74"/>
    </row>
    <row r="1406" spans="1:9" s="111" customFormat="1" ht="15" customHeight="1" x14ac:dyDescent="0.25">
      <c r="A1406" s="334"/>
      <c r="B1406" s="346"/>
      <c r="C1406" s="194" t="s">
        <v>817</v>
      </c>
      <c r="D1406" s="160"/>
      <c r="E1406" s="161" t="s">
        <v>672</v>
      </c>
      <c r="F1406" s="74"/>
      <c r="G1406" s="74"/>
      <c r="H1406" s="74"/>
      <c r="I1406" s="74"/>
    </row>
    <row r="1407" spans="1:9" s="73" customFormat="1" ht="15" customHeight="1" x14ac:dyDescent="0.25">
      <c r="A1407" s="334"/>
      <c r="B1407" s="346"/>
      <c r="C1407" s="195" t="s">
        <v>625</v>
      </c>
      <c r="D1407" s="149"/>
      <c r="E1407" s="83" t="s">
        <v>673</v>
      </c>
      <c r="F1407" s="74"/>
      <c r="G1407" s="74"/>
      <c r="H1407" s="74"/>
      <c r="I1407" s="74"/>
    </row>
    <row r="1408" spans="1:9" s="73" customFormat="1" ht="15" customHeight="1" x14ac:dyDescent="0.25">
      <c r="A1408" s="334"/>
      <c r="B1408" s="346"/>
      <c r="C1408" s="195" t="s">
        <v>626</v>
      </c>
      <c r="D1408" s="149"/>
      <c r="E1408" s="83" t="s">
        <v>674</v>
      </c>
      <c r="F1408" s="74"/>
      <c r="G1408" s="74"/>
      <c r="H1408" s="74"/>
      <c r="I1408" s="74"/>
    </row>
    <row r="1409" spans="1:9" s="73" customFormat="1" ht="15" customHeight="1" x14ac:dyDescent="0.25">
      <c r="A1409" s="334"/>
      <c r="B1409" s="346"/>
      <c r="C1409" s="195" t="s">
        <v>627</v>
      </c>
      <c r="D1409" s="149"/>
      <c r="E1409" s="83" t="s">
        <v>675</v>
      </c>
      <c r="F1409" s="74"/>
      <c r="G1409" s="74"/>
      <c r="H1409" s="74"/>
      <c r="I1409" s="74"/>
    </row>
    <row r="1410" spans="1:9" s="73" customFormat="1" ht="15" customHeight="1" x14ac:dyDescent="0.25">
      <c r="A1410" s="334"/>
      <c r="B1410" s="346"/>
      <c r="C1410" s="195" t="s">
        <v>628</v>
      </c>
      <c r="D1410" s="149"/>
      <c r="E1410" s="83" t="s">
        <v>676</v>
      </c>
      <c r="F1410" s="74"/>
      <c r="G1410" s="74"/>
      <c r="H1410" s="74"/>
      <c r="I1410" s="74"/>
    </row>
    <row r="1411" spans="1:9" s="73" customFormat="1" ht="15" customHeight="1" x14ac:dyDescent="0.25">
      <c r="A1411" s="334"/>
      <c r="B1411" s="346"/>
      <c r="C1411" s="195" t="s">
        <v>629</v>
      </c>
      <c r="D1411" s="149"/>
      <c r="E1411" s="83" t="s">
        <v>677</v>
      </c>
      <c r="F1411" s="74"/>
      <c r="G1411" s="74"/>
      <c r="H1411" s="74"/>
      <c r="I1411" s="74"/>
    </row>
    <row r="1412" spans="1:9" s="73" customFormat="1" ht="15" customHeight="1" x14ac:dyDescent="0.25">
      <c r="A1412" s="334"/>
      <c r="B1412" s="346"/>
      <c r="C1412" s="195" t="s">
        <v>630</v>
      </c>
      <c r="D1412" s="149"/>
      <c r="E1412" s="83" t="s">
        <v>678</v>
      </c>
      <c r="F1412" s="74"/>
      <c r="G1412" s="74"/>
      <c r="H1412" s="74"/>
      <c r="I1412" s="74"/>
    </row>
    <row r="1413" spans="1:9" s="73" customFormat="1" ht="15" customHeight="1" x14ac:dyDescent="0.25">
      <c r="A1413" s="334"/>
      <c r="B1413" s="346"/>
      <c r="C1413" s="195" t="s">
        <v>631</v>
      </c>
      <c r="D1413" s="149"/>
      <c r="E1413" s="83" t="s">
        <v>679</v>
      </c>
      <c r="F1413" s="74"/>
      <c r="G1413" s="74"/>
      <c r="H1413" s="74"/>
      <c r="I1413" s="74"/>
    </row>
    <row r="1414" spans="1:9" s="73" customFormat="1" ht="15" customHeight="1" x14ac:dyDescent="0.25">
      <c r="A1414" s="334"/>
      <c r="B1414" s="346"/>
      <c r="C1414" s="195" t="s">
        <v>632</v>
      </c>
      <c r="D1414" s="149"/>
      <c r="E1414" s="83" t="s">
        <v>680</v>
      </c>
      <c r="F1414" s="74"/>
      <c r="G1414" s="74"/>
      <c r="H1414" s="74"/>
      <c r="I1414" s="74"/>
    </row>
    <row r="1415" spans="1:9" s="73" customFormat="1" ht="15" customHeight="1" x14ac:dyDescent="0.25">
      <c r="A1415" s="334"/>
      <c r="B1415" s="346"/>
      <c r="C1415" s="195" t="s">
        <v>633</v>
      </c>
      <c r="D1415" s="149"/>
      <c r="E1415" s="83" t="s">
        <v>681</v>
      </c>
      <c r="F1415" s="74"/>
      <c r="G1415" s="74"/>
      <c r="H1415" s="74"/>
      <c r="I1415" s="74"/>
    </row>
    <row r="1416" spans="1:9" s="73" customFormat="1" ht="15" customHeight="1" x14ac:dyDescent="0.25">
      <c r="A1416" s="334"/>
      <c r="B1416" s="346"/>
      <c r="C1416" s="195" t="s">
        <v>634</v>
      </c>
      <c r="D1416" s="149"/>
      <c r="E1416" s="83" t="s">
        <v>682</v>
      </c>
      <c r="F1416" s="74"/>
      <c r="G1416" s="74"/>
      <c r="H1416" s="74"/>
      <c r="I1416" s="74"/>
    </row>
    <row r="1417" spans="1:9" s="73" customFormat="1" ht="15" customHeight="1" x14ac:dyDescent="0.25">
      <c r="A1417" s="334"/>
      <c r="B1417" s="346"/>
      <c r="C1417" s="195" t="s">
        <v>635</v>
      </c>
      <c r="D1417" s="149"/>
      <c r="E1417" s="83" t="s">
        <v>683</v>
      </c>
      <c r="F1417" s="74"/>
      <c r="G1417" s="74"/>
      <c r="H1417" s="74"/>
      <c r="I1417" s="74"/>
    </row>
    <row r="1418" spans="1:9" s="73" customFormat="1" ht="15" customHeight="1" x14ac:dyDescent="0.25">
      <c r="A1418" s="334"/>
      <c r="B1418" s="346"/>
      <c r="C1418" s="195" t="s">
        <v>636</v>
      </c>
      <c r="D1418" s="149"/>
      <c r="E1418" s="83" t="s">
        <v>684</v>
      </c>
      <c r="F1418" s="74"/>
      <c r="G1418" s="74"/>
      <c r="H1418" s="74"/>
      <c r="I1418" s="74"/>
    </row>
    <row r="1419" spans="1:9" s="73" customFormat="1" ht="15" customHeight="1" x14ac:dyDescent="0.25">
      <c r="A1419" s="334"/>
      <c r="B1419" s="346"/>
      <c r="C1419" s="195" t="s">
        <v>637</v>
      </c>
      <c r="D1419" s="149"/>
      <c r="E1419" s="83" t="s">
        <v>685</v>
      </c>
      <c r="F1419" s="74"/>
      <c r="G1419" s="74"/>
      <c r="H1419" s="74"/>
      <c r="I1419" s="74"/>
    </row>
    <row r="1420" spans="1:9" s="73" customFormat="1" ht="15" customHeight="1" x14ac:dyDescent="0.25">
      <c r="A1420" s="334"/>
      <c r="B1420" s="346"/>
      <c r="C1420" s="195" t="s">
        <v>638</v>
      </c>
      <c r="D1420" s="149"/>
      <c r="E1420" s="83" t="s">
        <v>686</v>
      </c>
      <c r="F1420" s="74"/>
      <c r="G1420" s="74"/>
      <c r="H1420" s="74"/>
      <c r="I1420" s="74"/>
    </row>
    <row r="1421" spans="1:9" s="73" customFormat="1" ht="15" customHeight="1" x14ac:dyDescent="0.25">
      <c r="A1421" s="334"/>
      <c r="B1421" s="346"/>
      <c r="C1421" s="195" t="s">
        <v>639</v>
      </c>
      <c r="D1421" s="149"/>
      <c r="E1421" s="83" t="s">
        <v>687</v>
      </c>
      <c r="F1421" s="74"/>
      <c r="G1421" s="74"/>
      <c r="H1421" s="74"/>
      <c r="I1421" s="74"/>
    </row>
    <row r="1422" spans="1:9" s="73" customFormat="1" ht="15" customHeight="1" x14ac:dyDescent="0.25">
      <c r="A1422" s="334"/>
      <c r="B1422" s="346"/>
      <c r="C1422" s="195" t="s">
        <v>640</v>
      </c>
      <c r="D1422" s="149"/>
      <c r="E1422" s="83" t="s">
        <v>688</v>
      </c>
      <c r="F1422" s="74"/>
      <c r="G1422" s="74"/>
      <c r="H1422" s="74"/>
      <c r="I1422" s="74"/>
    </row>
    <row r="1423" spans="1:9" s="73" customFormat="1" ht="15" customHeight="1" x14ac:dyDescent="0.25">
      <c r="A1423" s="334"/>
      <c r="B1423" s="346"/>
      <c r="C1423" s="195" t="s">
        <v>641</v>
      </c>
      <c r="D1423" s="149"/>
      <c r="E1423" s="83" t="s">
        <v>689</v>
      </c>
      <c r="F1423" s="74"/>
      <c r="G1423" s="74"/>
      <c r="H1423" s="74"/>
      <c r="I1423" s="74"/>
    </row>
    <row r="1424" spans="1:9" s="73" customFormat="1" ht="15" customHeight="1" x14ac:dyDescent="0.25">
      <c r="A1424" s="334"/>
      <c r="B1424" s="346"/>
      <c r="C1424" s="195" t="s">
        <v>642</v>
      </c>
      <c r="D1424" s="149"/>
      <c r="E1424" s="83" t="s">
        <v>690</v>
      </c>
      <c r="F1424" s="74"/>
      <c r="G1424" s="74"/>
      <c r="H1424" s="74"/>
      <c r="I1424" s="74"/>
    </row>
    <row r="1425" spans="1:9" s="73" customFormat="1" ht="15" customHeight="1" x14ac:dyDescent="0.25">
      <c r="A1425" s="334"/>
      <c r="B1425" s="346"/>
      <c r="C1425" s="195" t="s">
        <v>643</v>
      </c>
      <c r="D1425" s="149"/>
      <c r="E1425" s="83" t="s">
        <v>691</v>
      </c>
      <c r="F1425" s="74"/>
      <c r="G1425" s="74"/>
      <c r="H1425" s="74"/>
      <c r="I1425" s="74"/>
    </row>
    <row r="1426" spans="1:9" s="73" customFormat="1" ht="15" customHeight="1" x14ac:dyDescent="0.25">
      <c r="A1426" s="334"/>
      <c r="B1426" s="346"/>
      <c r="C1426" s="195" t="s">
        <v>530</v>
      </c>
      <c r="D1426" s="149"/>
      <c r="E1426" s="83" t="s">
        <v>692</v>
      </c>
      <c r="F1426" s="74"/>
      <c r="G1426" s="74"/>
      <c r="H1426" s="74"/>
      <c r="I1426" s="74"/>
    </row>
    <row r="1427" spans="1:9" s="73" customFormat="1" ht="15" customHeight="1" x14ac:dyDescent="0.25">
      <c r="A1427" s="334"/>
      <c r="B1427" s="346"/>
      <c r="C1427" s="195" t="s">
        <v>531</v>
      </c>
      <c r="D1427" s="149"/>
      <c r="E1427" s="83" t="s">
        <v>693</v>
      </c>
      <c r="F1427" s="74"/>
      <c r="G1427" s="74"/>
      <c r="H1427" s="74"/>
      <c r="I1427" s="74"/>
    </row>
    <row r="1428" spans="1:9" s="73" customFormat="1" ht="15" customHeight="1" x14ac:dyDescent="0.25">
      <c r="A1428" s="334"/>
      <c r="B1428" s="346"/>
      <c r="C1428" s="195" t="s">
        <v>532</v>
      </c>
      <c r="D1428" s="149"/>
      <c r="E1428" s="83" t="s">
        <v>694</v>
      </c>
      <c r="F1428" s="74"/>
      <c r="G1428" s="74"/>
      <c r="H1428" s="74"/>
      <c r="I1428" s="74"/>
    </row>
    <row r="1429" spans="1:9" s="73" customFormat="1" ht="15" customHeight="1" x14ac:dyDescent="0.25">
      <c r="A1429" s="334"/>
      <c r="B1429" s="346"/>
      <c r="C1429" s="195" t="s">
        <v>533</v>
      </c>
      <c r="D1429" s="149"/>
      <c r="E1429" s="83" t="s">
        <v>695</v>
      </c>
      <c r="F1429" s="74"/>
      <c r="G1429" s="74"/>
      <c r="H1429" s="74"/>
      <c r="I1429" s="74"/>
    </row>
    <row r="1430" spans="1:9" s="73" customFormat="1" ht="15" customHeight="1" x14ac:dyDescent="0.25">
      <c r="A1430" s="334"/>
      <c r="B1430" s="346"/>
      <c r="C1430" s="195" t="s">
        <v>534</v>
      </c>
      <c r="D1430" s="149"/>
      <c r="E1430" s="83" t="s">
        <v>696</v>
      </c>
      <c r="F1430" s="74"/>
      <c r="G1430" s="74"/>
      <c r="H1430" s="74"/>
      <c r="I1430" s="74"/>
    </row>
    <row r="1431" spans="1:9" s="73" customFormat="1" ht="15" customHeight="1" x14ac:dyDescent="0.25">
      <c r="A1431" s="334"/>
      <c r="B1431" s="346"/>
      <c r="C1431" s="195" t="s">
        <v>535</v>
      </c>
      <c r="D1431" s="149"/>
      <c r="E1431" s="83" t="s">
        <v>697</v>
      </c>
      <c r="F1431" s="74"/>
      <c r="G1431" s="74"/>
      <c r="H1431" s="74"/>
      <c r="I1431" s="74"/>
    </row>
    <row r="1432" spans="1:9" s="73" customFormat="1" ht="15" customHeight="1" x14ac:dyDescent="0.25">
      <c r="A1432" s="334"/>
      <c r="B1432" s="346"/>
      <c r="C1432" s="195" t="s">
        <v>536</v>
      </c>
      <c r="D1432" s="149"/>
      <c r="E1432" s="83" t="s">
        <v>698</v>
      </c>
      <c r="F1432" s="74"/>
      <c r="G1432" s="74"/>
      <c r="H1432" s="74"/>
      <c r="I1432" s="74"/>
    </row>
    <row r="1433" spans="1:9" s="73" customFormat="1" ht="15" customHeight="1" x14ac:dyDescent="0.25">
      <c r="A1433" s="334"/>
      <c r="B1433" s="346"/>
      <c r="C1433" s="195" t="s">
        <v>537</v>
      </c>
      <c r="D1433" s="149"/>
      <c r="E1433" s="83" t="s">
        <v>699</v>
      </c>
      <c r="F1433" s="74"/>
      <c r="G1433" s="74"/>
      <c r="H1433" s="74"/>
      <c r="I1433" s="74"/>
    </row>
    <row r="1434" spans="1:9" s="73" customFormat="1" ht="15" customHeight="1" x14ac:dyDescent="0.25">
      <c r="A1434" s="334"/>
      <c r="B1434" s="346"/>
      <c r="C1434" s="195" t="s">
        <v>538</v>
      </c>
      <c r="D1434" s="149"/>
      <c r="E1434" s="83" t="s">
        <v>700</v>
      </c>
      <c r="F1434" s="74"/>
      <c r="G1434" s="74"/>
      <c r="H1434" s="74"/>
      <c r="I1434" s="74"/>
    </row>
    <row r="1435" spans="1:9" x14ac:dyDescent="0.25">
      <c r="F1435" s="74"/>
      <c r="G1435" s="74"/>
      <c r="H1435" s="74"/>
      <c r="I1435" s="74"/>
    </row>
  </sheetData>
  <mergeCells count="29">
    <mergeCell ref="A945:A981"/>
    <mergeCell ref="B945:B977"/>
    <mergeCell ref="B978:B981"/>
    <mergeCell ref="B982:B1026"/>
    <mergeCell ref="B1027:B1032"/>
    <mergeCell ref="A982:A1434"/>
    <mergeCell ref="B1319:B1376"/>
    <mergeCell ref="B1129:B1206"/>
    <mergeCell ref="B1217:B1294"/>
    <mergeCell ref="B1207:B1216"/>
    <mergeCell ref="B1033:B1034"/>
    <mergeCell ref="B1036:B1050"/>
    <mergeCell ref="B1051:B1128"/>
    <mergeCell ref="B1295:B1310"/>
    <mergeCell ref="B1311:B1318"/>
    <mergeCell ref="B1377:B1434"/>
    <mergeCell ref="A1:D1"/>
    <mergeCell ref="B104:B119"/>
    <mergeCell ref="B4:B103"/>
    <mergeCell ref="A444:A944"/>
    <mergeCell ref="B444:B793"/>
    <mergeCell ref="B138:B205"/>
    <mergeCell ref="B120:B137"/>
    <mergeCell ref="A4:A137"/>
    <mergeCell ref="A138:A443"/>
    <mergeCell ref="B206:B275"/>
    <mergeCell ref="B276:B279"/>
    <mergeCell ref="B280:B347"/>
    <mergeCell ref="B348:B443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9"/>
  <sheetViews>
    <sheetView workbookViewId="0"/>
  </sheetViews>
  <sheetFormatPr baseColWidth="10" defaultRowHeight="15" x14ac:dyDescent="0.25"/>
  <sheetData>
    <row r="1" spans="1:37" x14ac:dyDescent="0.2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25">
      <c r="A2" t="s">
        <v>1990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153.69788890000001</v>
      </c>
      <c r="J2">
        <v>154.49581259999999</v>
      </c>
      <c r="K2">
        <v>155.3236919</v>
      </c>
      <c r="L2">
        <v>156.17039320000001</v>
      </c>
      <c r="M2">
        <v>157.0222287</v>
      </c>
      <c r="N2">
        <v>157.86422279999999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163.23416560000001</v>
      </c>
      <c r="W2">
        <v>163.80435679999999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166.70129929999999</v>
      </c>
      <c r="AC2">
        <v>167.30292679999999</v>
      </c>
      <c r="AD2">
        <v>167.9151334</v>
      </c>
      <c r="AE2">
        <v>168.53913019999999</v>
      </c>
      <c r="AF2">
        <v>169.17614829999999</v>
      </c>
      <c r="AG2">
        <v>169.82746220000001</v>
      </c>
      <c r="AH2">
        <v>170.49440200000001</v>
      </c>
      <c r="AI2">
        <v>171.17835779999999</v>
      </c>
      <c r="AJ2">
        <v>171.8807764</v>
      </c>
      <c r="AK2">
        <v>172.60315180000001</v>
      </c>
    </row>
    <row r="3" spans="1:37" x14ac:dyDescent="0.25">
      <c r="A3" t="s">
        <v>1991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154.81742510000001</v>
      </c>
      <c r="J3">
        <v>155.87806119999999</v>
      </c>
      <c r="K3">
        <v>156.97270080000001</v>
      </c>
      <c r="L3">
        <v>158.09525450000001</v>
      </c>
      <c r="M3">
        <v>159.24154580000001</v>
      </c>
      <c r="N3">
        <v>160.4087835</v>
      </c>
      <c r="O3">
        <v>161.5951245</v>
      </c>
      <c r="P3">
        <v>162.7993462</v>
      </c>
      <c r="Q3">
        <v>164.02069560000001</v>
      </c>
      <c r="R3">
        <v>165.25872709999999</v>
      </c>
      <c r="S3">
        <v>166.51314970000001</v>
      </c>
      <c r="T3">
        <v>167.78380910000001</v>
      </c>
      <c r="U3">
        <v>169.07065349999999</v>
      </c>
      <c r="V3">
        <v>170.37371010000001</v>
      </c>
      <c r="W3">
        <v>171.69305320000001</v>
      </c>
      <c r="X3">
        <v>173.028785</v>
      </c>
      <c r="Y3">
        <v>174.3810264</v>
      </c>
      <c r="Z3">
        <v>175.7499115</v>
      </c>
      <c r="AA3">
        <v>177.13558610000001</v>
      </c>
      <c r="AB3">
        <v>178.53820680000001</v>
      </c>
      <c r="AC3">
        <v>179.95794119999999</v>
      </c>
      <c r="AD3">
        <v>181.39496829999999</v>
      </c>
      <c r="AE3">
        <v>182.8494786</v>
      </c>
      <c r="AF3">
        <v>184.32167010000001</v>
      </c>
      <c r="AG3">
        <v>185.81175379999999</v>
      </c>
      <c r="AH3">
        <v>187.31995190000001</v>
      </c>
      <c r="AI3">
        <v>188.84649580000001</v>
      </c>
      <c r="AJ3">
        <v>190.3916251</v>
      </c>
      <c r="AK3">
        <v>191.95558600000001</v>
      </c>
    </row>
    <row r="4" spans="1:37" x14ac:dyDescent="0.25">
      <c r="A4" t="s">
        <v>1992</v>
      </c>
      <c r="B4">
        <v>2.391149</v>
      </c>
      <c r="C4">
        <v>2.4113402939999999</v>
      </c>
      <c r="D4">
        <v>2.4286401739999999</v>
      </c>
      <c r="E4">
        <v>2.4450674380000001</v>
      </c>
      <c r="F4">
        <v>2.4608148160000001</v>
      </c>
      <c r="G4">
        <v>2.4751913060000001</v>
      </c>
      <c r="H4">
        <v>2.488319808</v>
      </c>
      <c r="I4">
        <v>2.5011328000000002</v>
      </c>
      <c r="J4">
        <v>2.5140191330000001</v>
      </c>
      <c r="K4">
        <v>2.5269144560000001</v>
      </c>
      <c r="L4">
        <v>2.53943853</v>
      </c>
      <c r="M4">
        <v>2.5510018200000002</v>
      </c>
      <c r="N4">
        <v>2.5608869329999999</v>
      </c>
      <c r="O4">
        <v>2.5683162469999998</v>
      </c>
      <c r="P4">
        <v>2.5725126199999999</v>
      </c>
      <c r="Q4">
        <v>2.572755243</v>
      </c>
      <c r="R4">
        <v>2.569252477</v>
      </c>
      <c r="S4">
        <v>2.5630356679999999</v>
      </c>
      <c r="T4">
        <v>2.5549306129999998</v>
      </c>
      <c r="U4">
        <v>2.5455444310000002</v>
      </c>
      <c r="V4">
        <v>2.5353158929999999</v>
      </c>
      <c r="W4">
        <v>2.5245598760000001</v>
      </c>
      <c r="X4">
        <v>2.5135002740000001</v>
      </c>
      <c r="Y4">
        <v>2.5022938510000001</v>
      </c>
      <c r="Z4">
        <v>2.4910476479999999</v>
      </c>
      <c r="AA4">
        <v>2.4798317910000001</v>
      </c>
      <c r="AB4">
        <v>2.4686890030000002</v>
      </c>
      <c r="AC4">
        <v>2.4576417039999998</v>
      </c>
      <c r="AD4">
        <v>2.4466973699999999</v>
      </c>
      <c r="AE4">
        <v>2.4358526600000001</v>
      </c>
      <c r="AF4">
        <v>2.4250966549999999</v>
      </c>
      <c r="AG4">
        <v>2.4144135090000001</v>
      </c>
      <c r="AH4">
        <v>2.4037846950000001</v>
      </c>
      <c r="AI4">
        <v>2.3931909789999999</v>
      </c>
      <c r="AJ4">
        <v>2.3826142240000001</v>
      </c>
      <c r="AK4">
        <v>2.372039059</v>
      </c>
    </row>
    <row r="5" spans="1:37" x14ac:dyDescent="0.25">
      <c r="A5" t="s">
        <v>1993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2.5339147369999999</v>
      </c>
      <c r="I5">
        <v>2.561197301</v>
      </c>
      <c r="J5">
        <v>2.5891752879999999</v>
      </c>
      <c r="K5">
        <v>2.6177206100000001</v>
      </c>
      <c r="L5">
        <v>2.6467433090000001</v>
      </c>
      <c r="M5">
        <v>2.6761821170000002</v>
      </c>
      <c r="N5">
        <v>2.7059964619999999</v>
      </c>
      <c r="O5">
        <v>2.7361602989999998</v>
      </c>
      <c r="P5">
        <v>2.7666573919999999</v>
      </c>
      <c r="Q5">
        <v>2.7974787710000002</v>
      </c>
      <c r="R5">
        <v>2.8286203919999999</v>
      </c>
      <c r="S5">
        <v>2.860081863</v>
      </c>
      <c r="T5">
        <v>2.89186487</v>
      </c>
      <c r="U5">
        <v>2.9239721200000002</v>
      </c>
      <c r="V5">
        <v>2.9564069389999998</v>
      </c>
      <c r="W5">
        <v>2.9891730120000002</v>
      </c>
      <c r="X5">
        <v>3.0222742299999998</v>
      </c>
      <c r="Y5">
        <v>3.0557145920000002</v>
      </c>
      <c r="Z5">
        <v>3.0894981700000002</v>
      </c>
      <c r="AA5">
        <v>3.1236290919999998</v>
      </c>
      <c r="AB5">
        <v>3.1581115519999998</v>
      </c>
      <c r="AC5">
        <v>3.1929498239999998</v>
      </c>
      <c r="AD5">
        <v>3.2281482690000001</v>
      </c>
      <c r="AE5">
        <v>3.2637113470000001</v>
      </c>
      <c r="AF5">
        <v>3.299643648</v>
      </c>
      <c r="AG5">
        <v>3.3359498379999999</v>
      </c>
      <c r="AH5">
        <v>3.372634659</v>
      </c>
      <c r="AI5">
        <v>3.409702915</v>
      </c>
      <c r="AJ5">
        <v>3.44715946</v>
      </c>
      <c r="AK5">
        <v>3.4850091879999998</v>
      </c>
    </row>
    <row r="6" spans="1:37" x14ac:dyDescent="0.25">
      <c r="A6" t="s">
        <v>1994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1.1342990820000001</v>
      </c>
      <c r="J6">
        <v>1.1412008380000001</v>
      </c>
      <c r="K6">
        <v>1.148381232</v>
      </c>
      <c r="L6">
        <v>1.1557181430000001</v>
      </c>
      <c r="M6">
        <v>1.1630714449999999</v>
      </c>
      <c r="N6">
        <v>1.170289951</v>
      </c>
      <c r="O6">
        <v>1.1772170500000001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</v>
      </c>
      <c r="U6">
        <v>1.207906414</v>
      </c>
      <c r="V6">
        <v>1.21167705</v>
      </c>
      <c r="W6">
        <v>1.21523504</v>
      </c>
      <c r="X6">
        <v>1.218602274</v>
      </c>
      <c r="Y6">
        <v>1.22178882</v>
      </c>
      <c r="Z6">
        <v>1.2247961919999999</v>
      </c>
      <c r="AA6">
        <v>1.227619689</v>
      </c>
      <c r="AB6">
        <v>1.230250083</v>
      </c>
      <c r="AC6">
        <v>1.2326748809999999</v>
      </c>
      <c r="AD6">
        <v>1.2348793039999999</v>
      </c>
      <c r="AE6">
        <v>1.2368471059999999</v>
      </c>
      <c r="AF6">
        <v>1.2385613090000001</v>
      </c>
      <c r="AG6">
        <v>1.240004903</v>
      </c>
      <c r="AH6">
        <v>1.2411615519999999</v>
      </c>
      <c r="AI6">
        <v>1.242016306</v>
      </c>
      <c r="AJ6">
        <v>1.2425563509999999</v>
      </c>
      <c r="AK6">
        <v>1.242771761</v>
      </c>
    </row>
    <row r="7" spans="1:37" x14ac:dyDescent="0.25">
      <c r="A7" t="s">
        <v>1995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1.119431509</v>
      </c>
      <c r="G7">
        <v>1.126786308</v>
      </c>
      <c r="H7">
        <v>1.13497811</v>
      </c>
      <c r="I7">
        <v>1.1438038129999999</v>
      </c>
      <c r="J7">
        <v>1.153098556</v>
      </c>
      <c r="K7">
        <v>1.162743262</v>
      </c>
      <c r="L7">
        <v>1.1726568479999999</v>
      </c>
      <c r="M7">
        <v>1.1827858360000001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1.257916335</v>
      </c>
      <c r="U7">
        <v>1.2691591769999999</v>
      </c>
      <c r="V7">
        <v>1.2805225499999999</v>
      </c>
      <c r="W7">
        <v>1.2920062029999999</v>
      </c>
      <c r="X7">
        <v>1.303610175</v>
      </c>
      <c r="Y7">
        <v>1.315334724</v>
      </c>
      <c r="Z7">
        <v>1.3271802859999999</v>
      </c>
      <c r="AA7">
        <v>1.3391474480000001</v>
      </c>
      <c r="AB7">
        <v>1.351236946</v>
      </c>
      <c r="AC7">
        <v>1.3634496540000001</v>
      </c>
      <c r="AD7">
        <v>1.3757865840000001</v>
      </c>
      <c r="AE7">
        <v>1.388248884</v>
      </c>
      <c r="AF7">
        <v>1.4008378260000001</v>
      </c>
      <c r="AG7">
        <v>1.4135548040000001</v>
      </c>
      <c r="AH7">
        <v>1.4264013200000001</v>
      </c>
      <c r="AI7">
        <v>1.4393789749999999</v>
      </c>
      <c r="AJ7">
        <v>1.4524894500000001</v>
      </c>
      <c r="AK7">
        <v>1.4657344919999999</v>
      </c>
    </row>
    <row r="8" spans="1:37" x14ac:dyDescent="0.25">
      <c r="A8" t="s">
        <v>1996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43.264920930000002</v>
      </c>
      <c r="H8">
        <v>43.513952080000003</v>
      </c>
      <c r="I8">
        <v>43.78233985</v>
      </c>
      <c r="J8">
        <v>44.066370890000002</v>
      </c>
      <c r="K8">
        <v>44.361627120000001</v>
      </c>
      <c r="L8">
        <v>44.663092769999999</v>
      </c>
      <c r="M8">
        <v>44.965278179999999</v>
      </c>
      <c r="N8">
        <v>45.262340440000003</v>
      </c>
      <c r="O8">
        <v>45.548213250000003</v>
      </c>
      <c r="P8">
        <v>45.816747450000001</v>
      </c>
      <c r="Q8">
        <v>46.061854830000001</v>
      </c>
      <c r="R8">
        <v>46.282313430000002</v>
      </c>
      <c r="S8">
        <v>46.482149659999997</v>
      </c>
      <c r="T8">
        <v>46.66522758</v>
      </c>
      <c r="U8">
        <v>46.834475269999999</v>
      </c>
      <c r="V8">
        <v>46.991903649999998</v>
      </c>
      <c r="W8">
        <v>47.138777109999999</v>
      </c>
      <c r="X8">
        <v>47.275783519999997</v>
      </c>
      <c r="Y8">
        <v>47.403171999999998</v>
      </c>
      <c r="Z8">
        <v>47.52085804</v>
      </c>
      <c r="AA8">
        <v>47.628503100000003</v>
      </c>
      <c r="AB8">
        <v>47.725575450000001</v>
      </c>
      <c r="AC8">
        <v>47.811398420000003</v>
      </c>
      <c r="AD8">
        <v>47.885190510000001</v>
      </c>
      <c r="AE8">
        <v>47.946100899999998</v>
      </c>
      <c r="AF8">
        <v>47.993242969999997</v>
      </c>
      <c r="AG8">
        <v>48.025727379999999</v>
      </c>
      <c r="AH8">
        <v>48.042696079999999</v>
      </c>
      <c r="AI8">
        <v>48.043357440000001</v>
      </c>
      <c r="AJ8">
        <v>48.027022899999999</v>
      </c>
      <c r="AK8">
        <v>47.993144409999999</v>
      </c>
    </row>
    <row r="9" spans="1:37" x14ac:dyDescent="0.25">
      <c r="A9" t="s">
        <v>1997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43.450606270000002</v>
      </c>
      <c r="H9">
        <v>43.77617515</v>
      </c>
      <c r="I9">
        <v>44.128631660000003</v>
      </c>
      <c r="J9">
        <v>44.500733289999999</v>
      </c>
      <c r="K9">
        <v>44.887349469999997</v>
      </c>
      <c r="L9">
        <v>45.285004139999998</v>
      </c>
      <c r="M9">
        <v>45.691392559999997</v>
      </c>
      <c r="N9">
        <v>46.104998129999998</v>
      </c>
      <c r="O9">
        <v>46.524821809999999</v>
      </c>
      <c r="P9">
        <v>46.950201370000002</v>
      </c>
      <c r="Q9">
        <v>47.380695060000001</v>
      </c>
      <c r="R9">
        <v>47.816006229999999</v>
      </c>
      <c r="S9">
        <v>48.255934099999997</v>
      </c>
      <c r="T9">
        <v>48.70034287</v>
      </c>
      <c r="U9">
        <v>49.14914134</v>
      </c>
      <c r="V9">
        <v>49.602268989999999</v>
      </c>
      <c r="W9">
        <v>50.059686829999997</v>
      </c>
      <c r="X9">
        <v>50.521371530000003</v>
      </c>
      <c r="Y9">
        <v>50.987311800000001</v>
      </c>
      <c r="Z9">
        <v>51.457506299999999</v>
      </c>
      <c r="AA9">
        <v>51.931962400000003</v>
      </c>
      <c r="AB9">
        <v>52.410695519999997</v>
      </c>
      <c r="AC9">
        <v>52.893728779999996</v>
      </c>
      <c r="AD9">
        <v>53.38109266</v>
      </c>
      <c r="AE9">
        <v>53.872824639999997</v>
      </c>
      <c r="AF9">
        <v>54.36896883</v>
      </c>
      <c r="AG9">
        <v>54.869575400000002</v>
      </c>
      <c r="AH9">
        <v>55.374699999999997</v>
      </c>
      <c r="AI9">
        <v>55.884403040000002</v>
      </c>
      <c r="AJ9">
        <v>56.398748959999999</v>
      </c>
      <c r="AK9">
        <v>56.917805469999998</v>
      </c>
    </row>
    <row r="10" spans="1:37" x14ac:dyDescent="0.25">
      <c r="A10" t="s">
        <v>1998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8.0809697239999991</v>
      </c>
      <c r="H10">
        <v>8.1006529559999993</v>
      </c>
      <c r="I10">
        <v>8.1215149209999993</v>
      </c>
      <c r="J10">
        <v>8.144054122</v>
      </c>
      <c r="K10">
        <v>8.1679440509999992</v>
      </c>
      <c r="L10">
        <v>8.1923757459999997</v>
      </c>
      <c r="M10">
        <v>8.2162685240000002</v>
      </c>
      <c r="N10">
        <v>8.2383993180000008</v>
      </c>
      <c r="O10">
        <v>8.2574886670000005</v>
      </c>
      <c r="P10">
        <v>8.2722653570000002</v>
      </c>
      <c r="Q10">
        <v>8.2815209789999997</v>
      </c>
      <c r="R10">
        <v>8.2856109609999997</v>
      </c>
      <c r="S10">
        <v>8.2862246979999998</v>
      </c>
      <c r="T10">
        <v>8.2845759589999997</v>
      </c>
      <c r="U10">
        <v>8.2814961</v>
      </c>
      <c r="V10">
        <v>8.2775610680000007</v>
      </c>
      <c r="W10">
        <v>8.2731805779999998</v>
      </c>
      <c r="X10">
        <v>8.2686547029999993</v>
      </c>
      <c r="Y10">
        <v>8.2642092890000001</v>
      </c>
      <c r="Z10">
        <v>8.2600185130000003</v>
      </c>
      <c r="AA10">
        <v>8.2562196960000005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8.2463866849999992</v>
      </c>
      <c r="AG10">
        <v>8.2467296720000007</v>
      </c>
      <c r="AH10">
        <v>8.2479680420000001</v>
      </c>
      <c r="AI10">
        <v>8.2501481830000003</v>
      </c>
      <c r="AJ10">
        <v>8.253314906</v>
      </c>
      <c r="AK10">
        <v>8.2575120880000004</v>
      </c>
    </row>
    <row r="11" spans="1:37" x14ac:dyDescent="0.25">
      <c r="A11" t="s">
        <v>1999</v>
      </c>
      <c r="B11">
        <v>7.9355360250000002</v>
      </c>
      <c r="C11">
        <v>7.9882333299999999</v>
      </c>
      <c r="D11">
        <v>8.0259841749999996</v>
      </c>
      <c r="E11">
        <v>8.0597632410000006</v>
      </c>
      <c r="F11">
        <v>8.0940822430000008</v>
      </c>
      <c r="G11">
        <v>8.1304840889999994</v>
      </c>
      <c r="H11">
        <v>8.1692775429999998</v>
      </c>
      <c r="I11">
        <v>8.2103169440000006</v>
      </c>
      <c r="J11">
        <v>8.2533317870000005</v>
      </c>
      <c r="K11">
        <v>8.2980553950000004</v>
      </c>
      <c r="L11">
        <v>8.3442670830000001</v>
      </c>
      <c r="M11">
        <v>8.3917989459999998</v>
      </c>
      <c r="N11">
        <v>8.4405296599999993</v>
      </c>
      <c r="O11">
        <v>8.4903729329999997</v>
      </c>
      <c r="P11">
        <v>8.5412591609999993</v>
      </c>
      <c r="Q11">
        <v>8.5931470399999998</v>
      </c>
      <c r="R11">
        <v>8.6460126390000003</v>
      </c>
      <c r="S11">
        <v>8.6998426210000002</v>
      </c>
      <c r="T11">
        <v>8.7546298670000002</v>
      </c>
      <c r="U11">
        <v>8.8103706840000005</v>
      </c>
      <c r="V11">
        <v>8.8670631699999998</v>
      </c>
      <c r="W11">
        <v>8.9247062560000003</v>
      </c>
      <c r="X11">
        <v>8.9832992110000003</v>
      </c>
      <c r="Y11">
        <v>9.0428414299999993</v>
      </c>
      <c r="Z11">
        <v>9.1033324199999992</v>
      </c>
      <c r="AA11">
        <v>9.1647718979999997</v>
      </c>
      <c r="AB11">
        <v>9.2271599309999992</v>
      </c>
      <c r="AC11">
        <v>9.2904970949999992</v>
      </c>
      <c r="AD11">
        <v>9.3547846180000001</v>
      </c>
      <c r="AE11">
        <v>9.4200244909999995</v>
      </c>
      <c r="AF11">
        <v>9.4862195479999993</v>
      </c>
      <c r="AG11">
        <v>9.5533735059999998</v>
      </c>
      <c r="AH11">
        <v>9.6214909710000001</v>
      </c>
      <c r="AI11">
        <v>9.6905774200000003</v>
      </c>
      <c r="AJ11">
        <v>9.7606391630000005</v>
      </c>
      <c r="AK11">
        <v>9.8316832909999992</v>
      </c>
    </row>
    <row r="12" spans="1:37" x14ac:dyDescent="0.25">
      <c r="A12" t="s">
        <v>2000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6.4644390879999998</v>
      </c>
      <c r="H12">
        <v>6.4213775010000003</v>
      </c>
      <c r="I12">
        <v>6.3850269920000002</v>
      </c>
      <c r="J12">
        <v>6.354881539</v>
      </c>
      <c r="K12">
        <v>6.3284719149999997</v>
      </c>
      <c r="L12">
        <v>6.3031777739999999</v>
      </c>
      <c r="M12">
        <v>6.2768809020000003</v>
      </c>
      <c r="N12">
        <v>6.248162582</v>
      </c>
      <c r="O12">
        <v>6.2163283170000003</v>
      </c>
      <c r="P12">
        <v>6.1813630069999999</v>
      </c>
      <c r="Q12">
        <v>6.1438464479999997</v>
      </c>
      <c r="R12">
        <v>6.1075439429999996</v>
      </c>
      <c r="S12">
        <v>6.076631989</v>
      </c>
      <c r="T12">
        <v>6.0520068179999997</v>
      </c>
      <c r="U12">
        <v>6.0333399270000001</v>
      </c>
      <c r="V12">
        <v>6.0199343069999998</v>
      </c>
      <c r="W12">
        <v>6.0110661480000003</v>
      </c>
      <c r="X12">
        <v>6.006104219</v>
      </c>
      <c r="Y12">
        <v>6.0045364360000004</v>
      </c>
      <c r="Z12">
        <v>6.0059610409999999</v>
      </c>
      <c r="AA12">
        <v>6.0100672489999996</v>
      </c>
      <c r="AB12">
        <v>6.0166154069999997</v>
      </c>
      <c r="AC12">
        <v>6.0254201419999998</v>
      </c>
      <c r="AD12">
        <v>6.0363371399999997</v>
      </c>
      <c r="AE12">
        <v>6.0492531170000001</v>
      </c>
      <c r="AF12">
        <v>6.0640783779999996</v>
      </c>
      <c r="AG12">
        <v>6.0807411800000004</v>
      </c>
      <c r="AH12">
        <v>6.0991834630000001</v>
      </c>
      <c r="AI12">
        <v>6.1193574890000004</v>
      </c>
      <c r="AJ12">
        <v>6.1412231500000001</v>
      </c>
      <c r="AK12">
        <v>6.1647457140000004</v>
      </c>
    </row>
    <row r="13" spans="1:37" x14ac:dyDescent="0.25">
      <c r="A13" t="s">
        <v>2001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6.579626362</v>
      </c>
      <c r="H13">
        <v>6.5662570679999996</v>
      </c>
      <c r="I13">
        <v>6.5536933399999997</v>
      </c>
      <c r="J13">
        <v>6.5418995039999999</v>
      </c>
      <c r="K13">
        <v>6.530756352</v>
      </c>
      <c r="L13">
        <v>6.5201428579999998</v>
      </c>
      <c r="M13">
        <v>6.5099630670000002</v>
      </c>
      <c r="N13">
        <v>6.5001490659999996</v>
      </c>
      <c r="O13">
        <v>6.4906442699999998</v>
      </c>
      <c r="P13">
        <v>6.4813875310000002</v>
      </c>
      <c r="Q13">
        <v>6.4723484869999997</v>
      </c>
      <c r="R13">
        <v>6.4635120500000003</v>
      </c>
      <c r="S13">
        <v>6.454870294</v>
      </c>
      <c r="T13">
        <v>6.4464192520000001</v>
      </c>
      <c r="U13">
        <v>6.438157608</v>
      </c>
      <c r="V13">
        <v>6.4300859969999999</v>
      </c>
      <c r="W13">
        <v>6.4222067120000004</v>
      </c>
      <c r="X13">
        <v>6.414523515</v>
      </c>
      <c r="Y13">
        <v>6.4070414070000004</v>
      </c>
      <c r="Z13">
        <v>6.3997663630000003</v>
      </c>
      <c r="AA13">
        <v>6.392705018</v>
      </c>
      <c r="AB13">
        <v>6.3858643610000003</v>
      </c>
      <c r="AC13">
        <v>6.3792514430000002</v>
      </c>
      <c r="AD13">
        <v>6.3728731219999997</v>
      </c>
      <c r="AE13">
        <v>6.3667358600000004</v>
      </c>
      <c r="AF13">
        <v>6.3608457620000003</v>
      </c>
      <c r="AG13">
        <v>6.3552081810000001</v>
      </c>
      <c r="AH13">
        <v>6.349827672</v>
      </c>
      <c r="AI13">
        <v>6.3447080089999996</v>
      </c>
      <c r="AJ13">
        <v>6.3398522110000002</v>
      </c>
      <c r="AK13">
        <v>6.3352625759999999</v>
      </c>
    </row>
    <row r="14" spans="1:37" x14ac:dyDescent="0.25">
      <c r="A14" t="s">
        <v>2002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59.22279391</v>
      </c>
      <c r="H14">
        <v>59.569532440000003</v>
      </c>
      <c r="I14">
        <v>59.922402239999997</v>
      </c>
      <c r="J14">
        <v>60.282005140000003</v>
      </c>
      <c r="K14">
        <v>60.649574110000003</v>
      </c>
      <c r="L14">
        <v>61.025720649999997</v>
      </c>
      <c r="M14">
        <v>61.410175160000001</v>
      </c>
      <c r="N14">
        <v>61.801853360000003</v>
      </c>
      <c r="O14">
        <v>62.199005409999998</v>
      </c>
      <c r="P14">
        <v>62.599366860000003</v>
      </c>
      <c r="Q14">
        <v>63.000296030000001</v>
      </c>
      <c r="R14">
        <v>63.39725524</v>
      </c>
      <c r="S14">
        <v>63.787277520000004</v>
      </c>
      <c r="T14">
        <v>64.171804609999995</v>
      </c>
      <c r="U14">
        <v>64.553488130000005</v>
      </c>
      <c r="V14">
        <v>64.935102610000001</v>
      </c>
      <c r="W14">
        <v>65.319218090000007</v>
      </c>
      <c r="X14">
        <v>65.708153069999994</v>
      </c>
      <c r="Y14">
        <v>66.104022270000002</v>
      </c>
      <c r="Z14">
        <v>66.508806309999997</v>
      </c>
      <c r="AA14">
        <v>66.924416269999995</v>
      </c>
      <c r="AB14">
        <v>67.352744349999995</v>
      </c>
      <c r="AC14">
        <v>67.795699470000002</v>
      </c>
      <c r="AD14">
        <v>68.255228590000002</v>
      </c>
      <c r="AE14">
        <v>68.733325300000004</v>
      </c>
      <c r="AF14">
        <v>69.232026869999999</v>
      </c>
      <c r="AG14">
        <v>69.753400799999994</v>
      </c>
      <c r="AH14">
        <v>70.299521659999996</v>
      </c>
      <c r="AI14">
        <v>70.872439249999999</v>
      </c>
      <c r="AJ14">
        <v>71.474138870000004</v>
      </c>
      <c r="AK14">
        <v>72.106495219999999</v>
      </c>
    </row>
    <row r="15" spans="1:37" x14ac:dyDescent="0.25">
      <c r="A15" t="s">
        <v>2003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58.865512459999998</v>
      </c>
      <c r="G15">
        <v>59.204070780000002</v>
      </c>
      <c r="H15">
        <v>59.55949056</v>
      </c>
      <c r="I15">
        <v>59.930186579999997</v>
      </c>
      <c r="J15">
        <v>60.314031919999998</v>
      </c>
      <c r="K15">
        <v>60.709138539999998</v>
      </c>
      <c r="L15">
        <v>61.114056570000002</v>
      </c>
      <c r="M15">
        <v>61.527754049999999</v>
      </c>
      <c r="N15">
        <v>61.949533090000003</v>
      </c>
      <c r="O15">
        <v>62.378943270000001</v>
      </c>
      <c r="P15">
        <v>62.815710520000003</v>
      </c>
      <c r="Q15">
        <v>63.259683150000001</v>
      </c>
      <c r="R15">
        <v>63.71079314</v>
      </c>
      <c r="S15">
        <v>64.168984170000002</v>
      </c>
      <c r="T15">
        <v>64.634242330000006</v>
      </c>
      <c r="U15">
        <v>65.10660532</v>
      </c>
      <c r="V15">
        <v>65.586137620000002</v>
      </c>
      <c r="W15">
        <v>66.07291687</v>
      </c>
      <c r="X15">
        <v>66.567026690000006</v>
      </c>
      <c r="Y15">
        <v>67.068553359999996</v>
      </c>
      <c r="Z15">
        <v>67.577584540000004</v>
      </c>
      <c r="AA15">
        <v>68.094209120000002</v>
      </c>
      <c r="AB15">
        <v>68.618517560000001</v>
      </c>
      <c r="AC15">
        <v>69.150602500000005</v>
      </c>
      <c r="AD15">
        <v>69.690559230000005</v>
      </c>
      <c r="AE15">
        <v>70.238486129999998</v>
      </c>
      <c r="AF15">
        <v>70.794484850000003</v>
      </c>
      <c r="AG15">
        <v>71.358660389999997</v>
      </c>
      <c r="AH15">
        <v>71.931121009999998</v>
      </c>
      <c r="AI15">
        <v>72.511977959999996</v>
      </c>
      <c r="AJ15">
        <v>73.101345230000007</v>
      </c>
      <c r="AK15">
        <v>73.699339179999996</v>
      </c>
    </row>
    <row r="16" spans="1:37" x14ac:dyDescent="0.25">
      <c r="A16" t="s">
        <v>2004</v>
      </c>
      <c r="B16">
        <v>5.7094259999999997</v>
      </c>
      <c r="C16">
        <v>5.7722436630000002</v>
      </c>
      <c r="D16">
        <v>5.8322895360000002</v>
      </c>
      <c r="E16">
        <v>5.8903485360000003</v>
      </c>
      <c r="F16">
        <v>5.9468911120000003</v>
      </c>
      <c r="G16">
        <v>6.0018206989999996</v>
      </c>
      <c r="H16">
        <v>6.0548594639999997</v>
      </c>
      <c r="I16">
        <v>6.1064926220000002</v>
      </c>
      <c r="J16">
        <v>6.1577301540000002</v>
      </c>
      <c r="K16">
        <v>6.2091284269999996</v>
      </c>
      <c r="L16">
        <v>6.2606826590000004</v>
      </c>
      <c r="M16">
        <v>6.3119623540000003</v>
      </c>
      <c r="N16">
        <v>6.3622753379999999</v>
      </c>
      <c r="O16">
        <v>6.4107988090000001</v>
      </c>
      <c r="P16">
        <v>6.4566709150000001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6.6931079899999997</v>
      </c>
      <c r="X16">
        <v>6.7218637350000003</v>
      </c>
      <c r="Y16">
        <v>6.7504914459999998</v>
      </c>
      <c r="Z16">
        <v>6.7790575649999996</v>
      </c>
      <c r="AA16">
        <v>6.807596481</v>
      </c>
      <c r="AB16">
        <v>6.836129036</v>
      </c>
      <c r="AC16">
        <v>6.8646722640000002</v>
      </c>
      <c r="AD16">
        <v>6.8932439390000004</v>
      </c>
      <c r="AE16">
        <v>6.9218643049999997</v>
      </c>
      <c r="AF16">
        <v>6.9505563800000001</v>
      </c>
      <c r="AG16">
        <v>6.9793456730000001</v>
      </c>
      <c r="AH16">
        <v>7.0082596969999997</v>
      </c>
      <c r="AI16">
        <v>7.0373274910000001</v>
      </c>
      <c r="AJ16">
        <v>7.0665792190000003</v>
      </c>
      <c r="AK16">
        <v>7.0960458620000004</v>
      </c>
    </row>
    <row r="17" spans="1:37" x14ac:dyDescent="0.25">
      <c r="A17" t="s">
        <v>2005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6.0875169600000003</v>
      </c>
      <c r="I17">
        <v>6.1513029440000002</v>
      </c>
      <c r="J17">
        <v>6.215320803</v>
      </c>
      <c r="K17">
        <v>6.2795289030000001</v>
      </c>
      <c r="L17">
        <v>6.3438975549999999</v>
      </c>
      <c r="M17">
        <v>6.4084091670000003</v>
      </c>
      <c r="N17">
        <v>6.4730562049999998</v>
      </c>
      <c r="O17">
        <v>6.5378385339999996</v>
      </c>
      <c r="P17">
        <v>6.6027609050000002</v>
      </c>
      <c r="Q17">
        <v>6.6678308990000001</v>
      </c>
      <c r="R17">
        <v>6.7330574439999999</v>
      </c>
      <c r="S17">
        <v>6.7984498530000002</v>
      </c>
      <c r="T17">
        <v>6.8640171890000001</v>
      </c>
      <c r="U17">
        <v>6.9297679099999998</v>
      </c>
      <c r="V17">
        <v>6.9957097680000002</v>
      </c>
      <c r="W17">
        <v>7.0618498519999999</v>
      </c>
      <c r="X17">
        <v>7.1281946869999997</v>
      </c>
      <c r="Y17">
        <v>7.1947503709999996</v>
      </c>
      <c r="Z17">
        <v>7.2615227180000002</v>
      </c>
      <c r="AA17">
        <v>7.328517401</v>
      </c>
      <c r="AB17">
        <v>7.3957400780000002</v>
      </c>
      <c r="AC17">
        <v>7.4631965019999997</v>
      </c>
      <c r="AD17">
        <v>7.530892605</v>
      </c>
      <c r="AE17">
        <v>7.5988345590000002</v>
      </c>
      <c r="AF17">
        <v>7.6670259380000001</v>
      </c>
      <c r="AG17">
        <v>7.7354723249999999</v>
      </c>
      <c r="AH17">
        <v>7.8041804939999997</v>
      </c>
      <c r="AI17">
        <v>7.8731578860000004</v>
      </c>
      <c r="AJ17">
        <v>7.9424123690000004</v>
      </c>
      <c r="AK17">
        <v>8.0119521200000001</v>
      </c>
    </row>
    <row r="18" spans="1:37" x14ac:dyDescent="0.25">
      <c r="A18" t="s">
        <v>2006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11.10200375</v>
      </c>
      <c r="H18">
        <v>11.064522289999999</v>
      </c>
      <c r="I18">
        <v>11.031690940000001</v>
      </c>
      <c r="J18">
        <v>11.00416165</v>
      </c>
      <c r="K18">
        <v>10.98062571</v>
      </c>
      <c r="L18">
        <v>10.959044240000001</v>
      </c>
      <c r="M18">
        <v>10.937236130000001</v>
      </c>
      <c r="N18">
        <v>10.913170279999999</v>
      </c>
      <c r="O18">
        <v>10.88512253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10.68226392</v>
      </c>
      <c r="U18">
        <v>10.642407990000001</v>
      </c>
      <c r="V18">
        <v>10.605517880000001</v>
      </c>
      <c r="W18">
        <v>10.5717701</v>
      </c>
      <c r="X18">
        <v>10.54120941</v>
      </c>
      <c r="Y18">
        <v>10.513818799999999</v>
      </c>
      <c r="Z18">
        <v>10.48955613</v>
      </c>
      <c r="AA18">
        <v>10.468373339999999</v>
      </c>
      <c r="AB18">
        <v>10.45022629</v>
      </c>
      <c r="AC18">
        <v>10.435079549999999</v>
      </c>
      <c r="AD18">
        <v>10.422908380000001</v>
      </c>
      <c r="AE18">
        <v>10.41369924</v>
      </c>
      <c r="AF18">
        <v>10.40744922</v>
      </c>
      <c r="AG18">
        <v>10.40416493</v>
      </c>
      <c r="AH18">
        <v>10.403860849999999</v>
      </c>
      <c r="AI18">
        <v>10.40655748</v>
      </c>
      <c r="AJ18">
        <v>10.41227898</v>
      </c>
      <c r="AK18">
        <v>10.42105078</v>
      </c>
    </row>
    <row r="19" spans="1:37" x14ac:dyDescent="0.25">
      <c r="A19" t="s">
        <v>2007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11.25017909</v>
      </c>
      <c r="H19">
        <v>11.258341870000001</v>
      </c>
      <c r="I19">
        <v>11.269454959999999</v>
      </c>
      <c r="J19">
        <v>11.28308479</v>
      </c>
      <c r="K19">
        <v>11.298805120000001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</v>
      </c>
      <c r="T19">
        <v>11.50007815</v>
      </c>
      <c r="U19">
        <v>11.5276224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11.81758452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12.01215914</v>
      </c>
      <c r="AJ19">
        <v>12.054031739999999</v>
      </c>
      <c r="AK19">
        <v>12.09690614</v>
      </c>
    </row>
    <row r="20" spans="1:37" x14ac:dyDescent="0.25">
      <c r="A20" t="s">
        <v>2008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14.831389100000001</v>
      </c>
      <c r="K20">
        <v>14.951024889999999</v>
      </c>
      <c r="L20">
        <v>15.07114267</v>
      </c>
      <c r="M20">
        <v>15.190354190000001</v>
      </c>
      <c r="N20">
        <v>15.306844570000001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15.784267140000001</v>
      </c>
      <c r="T20">
        <v>15.85752709</v>
      </c>
      <c r="U20">
        <v>15.92672237</v>
      </c>
      <c r="V20">
        <v>15.99305946</v>
      </c>
      <c r="W20">
        <v>16.057441919999999</v>
      </c>
      <c r="X20">
        <v>16.120536359999999</v>
      </c>
      <c r="Y20">
        <v>16.182832940000001</v>
      </c>
      <c r="Z20">
        <v>16.244694620000001</v>
      </c>
      <c r="AA20">
        <v>16.30639498</v>
      </c>
      <c r="AB20">
        <v>16.368146289999999</v>
      </c>
      <c r="AC20">
        <v>16.430119869999999</v>
      </c>
      <c r="AD20">
        <v>16.49246063</v>
      </c>
      <c r="AE20">
        <v>16.555297339999999</v>
      </c>
      <c r="AF20">
        <v>16.618749860000001</v>
      </c>
      <c r="AG20">
        <v>16.68293418</v>
      </c>
      <c r="AH20">
        <v>16.747965990000001</v>
      </c>
      <c r="AI20">
        <v>16.813963229999999</v>
      </c>
      <c r="AJ20">
        <v>16.881047800000001</v>
      </c>
      <c r="AK20">
        <v>16.949346859999999</v>
      </c>
    </row>
    <row r="21" spans="1:37" x14ac:dyDescent="0.25">
      <c r="A21" t="s">
        <v>2009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14.868837559999999</v>
      </c>
      <c r="J21">
        <v>15.02738529</v>
      </c>
      <c r="K21">
        <v>15.188603179999999</v>
      </c>
      <c r="L21">
        <v>15.352213020000001</v>
      </c>
      <c r="M21">
        <v>15.51802402</v>
      </c>
      <c r="N21">
        <v>15.68591032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16.554715160000001</v>
      </c>
      <c r="T21">
        <v>16.734298259999999</v>
      </c>
      <c r="U21">
        <v>16.915856900000001</v>
      </c>
      <c r="V21">
        <v>17.09941654</v>
      </c>
      <c r="W21">
        <v>17.28500429</v>
      </c>
      <c r="X21">
        <v>17.47264796</v>
      </c>
      <c r="Y21">
        <v>17.66237551</v>
      </c>
      <c r="Z21">
        <v>17.854214840000001</v>
      </c>
      <c r="AA21">
        <v>18.048193779999998</v>
      </c>
      <c r="AB21">
        <v>18.244340099999999</v>
      </c>
      <c r="AC21">
        <v>18.442681690000001</v>
      </c>
      <c r="AD21">
        <v>18.643246690000002</v>
      </c>
      <c r="AE21">
        <v>18.84606355</v>
      </c>
      <c r="AF21">
        <v>19.051160899999999</v>
      </c>
      <c r="AG21">
        <v>19.258567960000001</v>
      </c>
      <c r="AH21">
        <v>19.468314410000001</v>
      </c>
      <c r="AI21">
        <v>19.68043042</v>
      </c>
      <c r="AJ21">
        <v>19.894946529999999</v>
      </c>
      <c r="AK21">
        <v>20.111893590000001</v>
      </c>
    </row>
    <row r="22" spans="1:37" x14ac:dyDescent="0.25">
      <c r="A22" t="s">
        <v>2010</v>
      </c>
      <c r="B22">
        <v>36.569328980000002</v>
      </c>
      <c r="C22">
        <v>36.740422770000002</v>
      </c>
      <c r="D22">
        <v>36.857821719999997</v>
      </c>
      <c r="E22">
        <v>36.993322149999997</v>
      </c>
      <c r="F22">
        <v>37.161984670000002</v>
      </c>
      <c r="G22">
        <v>37.357434519999998</v>
      </c>
      <c r="H22">
        <v>37.572462420000001</v>
      </c>
      <c r="I22">
        <v>37.804203940000001</v>
      </c>
      <c r="J22">
        <v>38.049452770000002</v>
      </c>
      <c r="K22">
        <v>38.30439406</v>
      </c>
      <c r="L22">
        <v>38.564696939999997</v>
      </c>
      <c r="M22">
        <v>38.825621300000002</v>
      </c>
      <c r="N22">
        <v>39.082122030000001</v>
      </c>
      <c r="O22">
        <v>39.328961139999997</v>
      </c>
      <c r="P22">
        <v>39.560829099999999</v>
      </c>
      <c r="Q22">
        <v>39.772468979999999</v>
      </c>
      <c r="R22">
        <v>39.962825690000003</v>
      </c>
      <c r="S22">
        <v>40.135375850000003</v>
      </c>
      <c r="T22">
        <v>40.293455909999999</v>
      </c>
      <c r="U22">
        <v>40.439594149999998</v>
      </c>
      <c r="V22">
        <v>40.575526920000001</v>
      </c>
      <c r="W22">
        <v>40.702345950000002</v>
      </c>
      <c r="X22">
        <v>40.820645220000003</v>
      </c>
      <c r="Y22">
        <v>40.930639790000001</v>
      </c>
      <c r="Z22">
        <v>41.03225673</v>
      </c>
      <c r="AA22">
        <v>41.125203689999999</v>
      </c>
      <c r="AB22">
        <v>41.209021569999997</v>
      </c>
      <c r="AC22">
        <v>41.283126090000003</v>
      </c>
      <c r="AD22">
        <v>41.346842449999997</v>
      </c>
      <c r="AE22">
        <v>41.399436000000001</v>
      </c>
      <c r="AF22">
        <v>41.440141189999999</v>
      </c>
      <c r="AG22">
        <v>41.468190110000002</v>
      </c>
      <c r="AH22">
        <v>41.482841860000001</v>
      </c>
      <c r="AI22">
        <v>41.483412919999999</v>
      </c>
      <c r="AJ22">
        <v>41.469308730000002</v>
      </c>
      <c r="AK22">
        <v>41.440056079999998</v>
      </c>
    </row>
    <row r="23" spans="1:37" x14ac:dyDescent="0.25">
      <c r="A23" t="s">
        <v>2011</v>
      </c>
      <c r="B23">
        <v>36.569328980000002</v>
      </c>
      <c r="C23">
        <v>36.75207949</v>
      </c>
      <c r="D23">
        <v>36.891328360000003</v>
      </c>
      <c r="E23">
        <v>37.057925560000001</v>
      </c>
      <c r="F23">
        <v>37.267946670000001</v>
      </c>
      <c r="G23">
        <v>37.51776598</v>
      </c>
      <c r="H23">
        <v>37.79888098</v>
      </c>
      <c r="I23">
        <v>38.103212319999997</v>
      </c>
      <c r="J23">
        <v>38.424506370000003</v>
      </c>
      <c r="K23">
        <v>38.758333139999998</v>
      </c>
      <c r="L23">
        <v>39.101691180000003</v>
      </c>
      <c r="M23">
        <v>39.452590440000002</v>
      </c>
      <c r="N23">
        <v>39.809721400000001</v>
      </c>
      <c r="O23">
        <v>40.172221440000001</v>
      </c>
      <c r="P23">
        <v>40.53951876</v>
      </c>
      <c r="Q23">
        <v>40.911231899999997</v>
      </c>
      <c r="R23">
        <v>41.287104730000003</v>
      </c>
      <c r="S23">
        <v>41.666963899999999</v>
      </c>
      <c r="T23">
        <v>42.050692130000002</v>
      </c>
      <c r="U23">
        <v>42.438210679999997</v>
      </c>
      <c r="V23">
        <v>42.829467299999997</v>
      </c>
      <c r="W23">
        <v>43.22442831</v>
      </c>
      <c r="X23">
        <v>43.623073570000003</v>
      </c>
      <c r="Y23">
        <v>44.025393350000002</v>
      </c>
      <c r="Z23">
        <v>44.43138647</v>
      </c>
      <c r="AA23">
        <v>44.841059299999998</v>
      </c>
      <c r="AB23">
        <v>45.254425159999997</v>
      </c>
      <c r="AC23">
        <v>45.67150401</v>
      </c>
      <c r="AD23">
        <v>46.092322160000002</v>
      </c>
      <c r="AE23">
        <v>46.516911989999997</v>
      </c>
      <c r="AF23">
        <v>46.945311570000001</v>
      </c>
      <c r="AG23">
        <v>47.377564229999997</v>
      </c>
      <c r="AH23">
        <v>47.813718020000003</v>
      </c>
      <c r="AI23">
        <v>48.2538251</v>
      </c>
      <c r="AJ23">
        <v>48.697941110000002</v>
      </c>
      <c r="AK23">
        <v>49.14612451</v>
      </c>
    </row>
    <row r="24" spans="1:37" x14ac:dyDescent="0.25">
      <c r="A24" t="s">
        <v>2012</v>
      </c>
      <c r="B24">
        <v>5.7828600000000003</v>
      </c>
      <c r="C24">
        <v>5.8099157740000003</v>
      </c>
      <c r="D24">
        <v>5.8284805569999998</v>
      </c>
      <c r="E24">
        <v>5.8499078029999998</v>
      </c>
      <c r="F24">
        <v>5.8765791079999996</v>
      </c>
      <c r="G24">
        <v>5.9074864060000003</v>
      </c>
      <c r="H24">
        <v>5.9414896620000004</v>
      </c>
      <c r="I24">
        <v>5.9781359109999999</v>
      </c>
      <c r="J24">
        <v>6.0169181280000004</v>
      </c>
      <c r="K24">
        <v>6.0572330550000002</v>
      </c>
      <c r="L24">
        <v>6.0983958310000004</v>
      </c>
      <c r="M24">
        <v>6.1396568839999999</v>
      </c>
      <c r="N24">
        <v>6.1802184110000002</v>
      </c>
      <c r="O24">
        <v>6.2192521059999999</v>
      </c>
      <c r="P24">
        <v>6.25591835</v>
      </c>
      <c r="Q24">
        <v>6.2893858439999999</v>
      </c>
      <c r="R24">
        <v>6.3194877419999997</v>
      </c>
      <c r="S24">
        <v>6.3467738149999997</v>
      </c>
      <c r="T24">
        <v>6.3717716720000004</v>
      </c>
      <c r="U24">
        <v>6.39488112</v>
      </c>
      <c r="V24">
        <v>6.4163767329999999</v>
      </c>
      <c r="W24">
        <v>6.4364311540000001</v>
      </c>
      <c r="X24">
        <v>6.4551383089999996</v>
      </c>
      <c r="Y24">
        <v>6.4725322079999996</v>
      </c>
      <c r="Z24">
        <v>6.4886013169999996</v>
      </c>
      <c r="AA24">
        <v>6.5032994070000001</v>
      </c>
      <c r="AB24">
        <v>6.5165538769999998</v>
      </c>
      <c r="AC24">
        <v>6.5282723320000002</v>
      </c>
      <c r="AD24">
        <v>6.538348064</v>
      </c>
      <c r="AE24">
        <v>6.5466649019999998</v>
      </c>
      <c r="AF24">
        <v>6.5531017819999997</v>
      </c>
      <c r="AG24">
        <v>6.5575372749999996</v>
      </c>
      <c r="AH24">
        <v>6.5598542169999998</v>
      </c>
      <c r="AI24">
        <v>6.5599445200000002</v>
      </c>
      <c r="AJ24">
        <v>6.5577141670000003</v>
      </c>
      <c r="AK24">
        <v>6.553088324</v>
      </c>
    </row>
    <row r="25" spans="1:37" x14ac:dyDescent="0.25">
      <c r="A25" t="s">
        <v>2013</v>
      </c>
      <c r="B25">
        <v>5.7828600000000003</v>
      </c>
      <c r="C25">
        <v>5.8117590989999997</v>
      </c>
      <c r="D25">
        <v>5.8337791010000002</v>
      </c>
      <c r="E25">
        <v>5.8601238090000001</v>
      </c>
      <c r="F25">
        <v>5.8933353210000003</v>
      </c>
      <c r="G25">
        <v>5.9328402860000002</v>
      </c>
      <c r="H25">
        <v>5.9772941700000004</v>
      </c>
      <c r="I25">
        <v>6.0254193479999998</v>
      </c>
      <c r="J25">
        <v>6.0762269130000002</v>
      </c>
      <c r="K25">
        <v>6.1290163270000004</v>
      </c>
      <c r="L25">
        <v>6.1833129619999996</v>
      </c>
      <c r="M25">
        <v>6.2388021199999999</v>
      </c>
      <c r="N25">
        <v>6.2952767239999998</v>
      </c>
      <c r="O25">
        <v>6.3526003619999996</v>
      </c>
      <c r="P25">
        <v>6.4106826139999997</v>
      </c>
      <c r="Q25">
        <v>6.4694631569999999</v>
      </c>
      <c r="R25">
        <v>6.5289014910000001</v>
      </c>
      <c r="S25">
        <v>6.5889702000000003</v>
      </c>
      <c r="T25">
        <v>6.6496507400000002</v>
      </c>
      <c r="U25">
        <v>6.7109306589999997</v>
      </c>
      <c r="V25">
        <v>6.772801694</v>
      </c>
      <c r="W25">
        <v>6.8352585210000001</v>
      </c>
      <c r="X25">
        <v>6.8982979540000002</v>
      </c>
      <c r="Y25">
        <v>6.9619184519999999</v>
      </c>
      <c r="Z25">
        <v>7.026119832</v>
      </c>
      <c r="AA25">
        <v>7.0909030990000002</v>
      </c>
      <c r="AB25">
        <v>7.1562703609999998</v>
      </c>
      <c r="AC25">
        <v>7.2222247729999998</v>
      </c>
      <c r="AD25">
        <v>7.2887704969999998</v>
      </c>
      <c r="AE25">
        <v>7.3559126519999998</v>
      </c>
      <c r="AF25">
        <v>7.4236572589999996</v>
      </c>
      <c r="AG25">
        <v>7.4920111690000004</v>
      </c>
      <c r="AH25">
        <v>7.5609819800000002</v>
      </c>
      <c r="AI25">
        <v>7.6305779410000003</v>
      </c>
      <c r="AJ25">
        <v>7.7008078519999996</v>
      </c>
      <c r="AK25">
        <v>7.7716809570000001</v>
      </c>
    </row>
    <row r="26" spans="1:37" x14ac:dyDescent="0.25">
      <c r="A26" t="s">
        <v>2014</v>
      </c>
      <c r="B26">
        <v>0.52361599999999997</v>
      </c>
      <c r="C26">
        <v>0.52397990019999996</v>
      </c>
      <c r="D26">
        <v>0.52219846820000004</v>
      </c>
      <c r="E26">
        <v>0.51957232269999998</v>
      </c>
      <c r="F26">
        <v>0.51650193960000002</v>
      </c>
      <c r="G26">
        <v>0.51303778170000003</v>
      </c>
      <c r="H26">
        <v>0.50962028169999996</v>
      </c>
      <c r="I26">
        <v>0.50673539339999996</v>
      </c>
      <c r="J26">
        <v>0.50434295740000001</v>
      </c>
      <c r="K26">
        <v>0.50224700840000003</v>
      </c>
      <c r="L26">
        <v>0.50023958749999997</v>
      </c>
      <c r="M26">
        <v>0.49815258690000003</v>
      </c>
      <c r="N26">
        <v>0.49587341260000001</v>
      </c>
      <c r="O26">
        <v>0.4933469473</v>
      </c>
      <c r="P26">
        <v>0.49057199270000001</v>
      </c>
      <c r="Q26">
        <v>0.48759456309999999</v>
      </c>
      <c r="R26">
        <v>0.48471348460000002</v>
      </c>
      <c r="S26">
        <v>0.48226021679999997</v>
      </c>
      <c r="T26">
        <v>0.48030588740000002</v>
      </c>
      <c r="U26">
        <v>0.47882442549999998</v>
      </c>
      <c r="V26">
        <v>0.47776051419999999</v>
      </c>
      <c r="W26">
        <v>0.47705670979999998</v>
      </c>
      <c r="X26">
        <v>0.47666291589999998</v>
      </c>
      <c r="Y26">
        <v>0.47653849180000002</v>
      </c>
      <c r="Z26">
        <v>0.4766515529</v>
      </c>
      <c r="AA26">
        <v>0.47697743419999999</v>
      </c>
      <c r="AB26">
        <v>0.47749711610000001</v>
      </c>
      <c r="AC26">
        <v>0.47819588699999999</v>
      </c>
      <c r="AD26">
        <v>0.47906229360000002</v>
      </c>
      <c r="AE26">
        <v>0.48008734530000002</v>
      </c>
      <c r="AF26">
        <v>0.48126392359999998</v>
      </c>
      <c r="AG26">
        <v>0.48258633490000002</v>
      </c>
      <c r="AH26">
        <v>0.48404997109999998</v>
      </c>
      <c r="AI26">
        <v>0.48565104399999998</v>
      </c>
      <c r="AJ26">
        <v>0.48738637010000002</v>
      </c>
      <c r="AK26">
        <v>0.48925319319999999</v>
      </c>
    </row>
    <row r="27" spans="1:37" x14ac:dyDescent="0.25">
      <c r="A27" t="s">
        <v>2015</v>
      </c>
      <c r="B27">
        <v>0.52361599999999997</v>
      </c>
      <c r="C27">
        <v>0.52531136109999998</v>
      </c>
      <c r="D27">
        <v>0.5251958538</v>
      </c>
      <c r="E27">
        <v>0.5243587368</v>
      </c>
      <c r="F27">
        <v>0.52328489540000001</v>
      </c>
      <c r="G27">
        <v>0.52217939830000004</v>
      </c>
      <c r="H27">
        <v>0.52111837000000005</v>
      </c>
      <c r="I27">
        <v>0.52012127379999995</v>
      </c>
      <c r="J27">
        <v>0.51918527869999997</v>
      </c>
      <c r="K27">
        <v>0.51830092390000004</v>
      </c>
      <c r="L27">
        <v>0.51745860440000002</v>
      </c>
      <c r="M27">
        <v>0.51665070479999997</v>
      </c>
      <c r="N27">
        <v>0.51587183540000003</v>
      </c>
      <c r="O27">
        <v>0.51511750560000003</v>
      </c>
      <c r="P27">
        <v>0.51438286229999997</v>
      </c>
      <c r="Q27">
        <v>0.51366549589999999</v>
      </c>
      <c r="R27">
        <v>0.51296420909999996</v>
      </c>
      <c r="S27">
        <v>0.51227837279999999</v>
      </c>
      <c r="T27">
        <v>0.51160767210000002</v>
      </c>
      <c r="U27">
        <v>0.51095200259999995</v>
      </c>
      <c r="V27">
        <v>0.51031141469999997</v>
      </c>
      <c r="W27">
        <v>0.50968609040000001</v>
      </c>
      <c r="X27">
        <v>0.50907632820000004</v>
      </c>
      <c r="Y27">
        <v>0.50848252510000003</v>
      </c>
      <c r="Z27">
        <v>0.50790515520000001</v>
      </c>
      <c r="AA27">
        <v>0.50734474510000005</v>
      </c>
      <c r="AB27">
        <v>0.50680184949999996</v>
      </c>
      <c r="AC27">
        <v>0.50627702799999996</v>
      </c>
      <c r="AD27">
        <v>0.50577082490000003</v>
      </c>
      <c r="AE27">
        <v>0.50528375280000004</v>
      </c>
      <c r="AF27">
        <v>0.50481629660000005</v>
      </c>
      <c r="AG27">
        <v>0.50436888079999997</v>
      </c>
      <c r="AH27">
        <v>0.50394186699999999</v>
      </c>
      <c r="AI27">
        <v>0.50353555480000001</v>
      </c>
      <c r="AJ27">
        <v>0.50315018369999998</v>
      </c>
      <c r="AK27">
        <v>0.50278593620000001</v>
      </c>
    </row>
    <row r="28" spans="1:37" x14ac:dyDescent="0.25">
      <c r="A28" t="s">
        <v>2016</v>
      </c>
      <c r="B28">
        <v>0.72579400000000005</v>
      </c>
      <c r="C28">
        <v>0.72629840889999997</v>
      </c>
      <c r="D28">
        <v>0.72382913250000003</v>
      </c>
      <c r="E28">
        <v>0.72018898279999999</v>
      </c>
      <c r="F28">
        <v>0.71593306690000003</v>
      </c>
      <c r="G28">
        <v>0.71113133230000003</v>
      </c>
      <c r="H28">
        <v>0.70639427119999998</v>
      </c>
      <c r="I28">
        <v>0.70239547319999995</v>
      </c>
      <c r="J28">
        <v>0.69907927270000003</v>
      </c>
      <c r="K28">
        <v>0.69617403820000001</v>
      </c>
      <c r="L28">
        <v>0.69339151440000002</v>
      </c>
      <c r="M28">
        <v>0.69049868339999998</v>
      </c>
      <c r="N28">
        <v>0.68733947699999998</v>
      </c>
      <c r="O28">
        <v>0.68383749589999998</v>
      </c>
      <c r="P28">
        <v>0.67999107910000001</v>
      </c>
      <c r="Q28">
        <v>0.6758640078</v>
      </c>
      <c r="R28">
        <v>0.67187049060000004</v>
      </c>
      <c r="S28">
        <v>0.66846996989999996</v>
      </c>
      <c r="T28">
        <v>0.66576103720000002</v>
      </c>
      <c r="U28">
        <v>0.6637075549</v>
      </c>
      <c r="V28">
        <v>0.6622328475</v>
      </c>
      <c r="W28">
        <v>0.66125729089999996</v>
      </c>
      <c r="X28">
        <v>0.66071144569999996</v>
      </c>
      <c r="Y28">
        <v>0.66053897910000003</v>
      </c>
      <c r="Z28">
        <v>0.66069569530000005</v>
      </c>
      <c r="AA28">
        <v>0.66114740549999995</v>
      </c>
      <c r="AB28">
        <v>0.66186774640000001</v>
      </c>
      <c r="AC28">
        <v>0.66283632579999996</v>
      </c>
      <c r="AD28">
        <v>0.66403726829999998</v>
      </c>
      <c r="AE28">
        <v>0.66545811180000003</v>
      </c>
      <c r="AF28">
        <v>0.66708898920000004</v>
      </c>
      <c r="AG28">
        <v>0.66892200830000004</v>
      </c>
      <c r="AH28">
        <v>0.67095078210000003</v>
      </c>
      <c r="AI28">
        <v>0.67317005939999996</v>
      </c>
      <c r="AJ28">
        <v>0.6755754276</v>
      </c>
      <c r="AK28">
        <v>0.6781630662</v>
      </c>
    </row>
    <row r="29" spans="1:37" x14ac:dyDescent="0.25">
      <c r="A29" t="s">
        <v>2017</v>
      </c>
      <c r="B29">
        <v>0.72579400000000005</v>
      </c>
      <c r="C29">
        <v>0.72814397190000002</v>
      </c>
      <c r="D29">
        <v>0.72798386510000002</v>
      </c>
      <c r="E29">
        <v>0.72682352139999995</v>
      </c>
      <c r="F29">
        <v>0.72533504959999995</v>
      </c>
      <c r="G29">
        <v>0.72380269929999996</v>
      </c>
      <c r="H29">
        <v>0.72233198799999998</v>
      </c>
      <c r="I29">
        <v>0.7209498942</v>
      </c>
      <c r="J29">
        <v>0.71965249379999996</v>
      </c>
      <c r="K29">
        <v>0.71842667280000005</v>
      </c>
      <c r="L29">
        <v>0.71725911789999997</v>
      </c>
      <c r="M29">
        <v>0.71613927310000003</v>
      </c>
      <c r="N29">
        <v>0.71505966759999995</v>
      </c>
      <c r="O29">
        <v>0.71401407679999995</v>
      </c>
      <c r="P29">
        <v>0.71299577390000002</v>
      </c>
      <c r="Q29">
        <v>0.71200141890000002</v>
      </c>
      <c r="R29">
        <v>0.71102935199999995</v>
      </c>
      <c r="S29">
        <v>0.71007870139999996</v>
      </c>
      <c r="T29">
        <v>0.7091490305</v>
      </c>
      <c r="U29">
        <v>0.70824019469999999</v>
      </c>
      <c r="V29">
        <v>0.70735226370000004</v>
      </c>
      <c r="W29">
        <v>0.70648548990000004</v>
      </c>
      <c r="X29">
        <v>0.70564028700000003</v>
      </c>
      <c r="Y29">
        <v>0.70481720540000004</v>
      </c>
      <c r="Z29">
        <v>0.70401690210000001</v>
      </c>
      <c r="AA29">
        <v>0.70324010709999996</v>
      </c>
      <c r="AB29">
        <v>0.70248758929999999</v>
      </c>
      <c r="AC29">
        <v>0.70176012430000001</v>
      </c>
      <c r="AD29">
        <v>0.70105846660000004</v>
      </c>
      <c r="AE29">
        <v>0.70038332690000005</v>
      </c>
      <c r="AF29">
        <v>0.69973537699999999</v>
      </c>
      <c r="AG29">
        <v>0.69911520549999995</v>
      </c>
      <c r="AH29">
        <v>0.69852331369999998</v>
      </c>
      <c r="AI29">
        <v>0.69796011660000001</v>
      </c>
      <c r="AJ29">
        <v>0.6974259465</v>
      </c>
      <c r="AK29">
        <v>0.6969210562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7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1964</v>
      </c>
      <c r="B2">
        <v>0.83809636089999995</v>
      </c>
      <c r="C2">
        <v>0.83809636089999995</v>
      </c>
      <c r="D2">
        <v>0.83809636089999995</v>
      </c>
      <c r="E2">
        <v>0.83809636089999995</v>
      </c>
      <c r="F2">
        <v>0.83809636089999995</v>
      </c>
      <c r="G2">
        <v>0.83809636089999995</v>
      </c>
      <c r="H2">
        <v>0.83809636089999995</v>
      </c>
      <c r="I2">
        <v>0.83809636089999995</v>
      </c>
      <c r="J2">
        <v>0.83809636089999995</v>
      </c>
      <c r="K2">
        <v>0.83809636089999995</v>
      </c>
      <c r="L2">
        <v>0.83809636089999995</v>
      </c>
      <c r="M2">
        <v>0.83809636089999995</v>
      </c>
      <c r="N2">
        <v>0.83809636089999995</v>
      </c>
      <c r="O2">
        <v>0.83809636089999995</v>
      </c>
      <c r="P2">
        <v>0.83809636089999995</v>
      </c>
      <c r="Q2">
        <v>0.83809636089999995</v>
      </c>
      <c r="R2">
        <v>0.83809636089999995</v>
      </c>
      <c r="S2">
        <v>0.83809636089999995</v>
      </c>
      <c r="T2">
        <v>0.83809636089999995</v>
      </c>
      <c r="U2">
        <v>0.83809636089999995</v>
      </c>
      <c r="V2">
        <v>0.83809636089999995</v>
      </c>
      <c r="W2">
        <v>0.83809636089999995</v>
      </c>
      <c r="X2">
        <v>0.83809636089999995</v>
      </c>
      <c r="Y2">
        <v>0.83809636089999995</v>
      </c>
      <c r="Z2">
        <v>0.83809636089999995</v>
      </c>
      <c r="AA2">
        <v>0.83809636089999995</v>
      </c>
      <c r="AB2">
        <v>0.83809636089999995</v>
      </c>
      <c r="AC2">
        <v>0.83809636089999995</v>
      </c>
      <c r="AD2">
        <v>0.83809636089999995</v>
      </c>
      <c r="AE2">
        <v>0.83809636089999995</v>
      </c>
      <c r="AF2">
        <v>0.83809636089999995</v>
      </c>
      <c r="AG2">
        <v>0.83809636089999995</v>
      </c>
      <c r="AH2">
        <v>0.83809636089999995</v>
      </c>
      <c r="AI2">
        <v>0.83809636089999995</v>
      </c>
      <c r="AJ2">
        <v>0.83809636089999995</v>
      </c>
      <c r="AK2">
        <v>0.83809636089999995</v>
      </c>
    </row>
    <row r="3" spans="1:37" x14ac:dyDescent="0.25">
      <c r="A3" t="s">
        <v>1965</v>
      </c>
      <c r="B3">
        <v>0.1619036391</v>
      </c>
      <c r="C3">
        <v>0.1619036391</v>
      </c>
      <c r="D3">
        <v>0.1619036391</v>
      </c>
      <c r="E3">
        <v>0.1619036391</v>
      </c>
      <c r="F3">
        <v>0.1619036391</v>
      </c>
      <c r="G3">
        <v>0.1619036391</v>
      </c>
      <c r="H3">
        <v>0.1619036391</v>
      </c>
      <c r="I3">
        <v>0.1619036391</v>
      </c>
      <c r="J3">
        <v>0.1619036391</v>
      </c>
      <c r="K3">
        <v>0.1619036391</v>
      </c>
      <c r="L3">
        <v>0.1619036391</v>
      </c>
      <c r="M3">
        <v>0.1619036391</v>
      </c>
      <c r="N3">
        <v>0.1619036391</v>
      </c>
      <c r="O3">
        <v>0.1619036391</v>
      </c>
      <c r="P3">
        <v>0.1619036391</v>
      </c>
      <c r="Q3">
        <v>0.1619036391</v>
      </c>
      <c r="R3">
        <v>0.1619036391</v>
      </c>
      <c r="S3">
        <v>0.1619036391</v>
      </c>
      <c r="T3">
        <v>0.1619036391</v>
      </c>
      <c r="U3">
        <v>0.1619036391</v>
      </c>
      <c r="V3">
        <v>0.1619036391</v>
      </c>
      <c r="W3">
        <v>0.1619036391</v>
      </c>
      <c r="X3">
        <v>0.1619036391</v>
      </c>
      <c r="Y3">
        <v>0.1619036391</v>
      </c>
      <c r="Z3">
        <v>0.1619036391</v>
      </c>
      <c r="AA3">
        <v>0.1619036391</v>
      </c>
      <c r="AB3">
        <v>0.1619036391</v>
      </c>
      <c r="AC3">
        <v>0.1619036391</v>
      </c>
      <c r="AD3">
        <v>0.1619036391</v>
      </c>
      <c r="AE3">
        <v>0.1619036391</v>
      </c>
      <c r="AF3">
        <v>0.1619036391</v>
      </c>
      <c r="AG3">
        <v>0.1619036391</v>
      </c>
      <c r="AH3">
        <v>0.1619036391</v>
      </c>
      <c r="AI3">
        <v>0.1619036391</v>
      </c>
      <c r="AJ3">
        <v>0.1619036391</v>
      </c>
      <c r="AK3">
        <v>0.1619036391</v>
      </c>
    </row>
    <row r="4" spans="1:37" x14ac:dyDescent="0.25">
      <c r="A4" t="s">
        <v>1966</v>
      </c>
      <c r="B4">
        <v>0.14751432270000001</v>
      </c>
      <c r="C4">
        <v>0.14751432270000001</v>
      </c>
      <c r="D4">
        <v>0.14751432270000001</v>
      </c>
      <c r="E4">
        <v>0.14751432270000001</v>
      </c>
      <c r="F4">
        <v>0.14751432270000001</v>
      </c>
      <c r="G4">
        <v>0.14751432270000001</v>
      </c>
      <c r="H4">
        <v>0.14751432270000001</v>
      </c>
      <c r="I4">
        <v>0.14751432270000001</v>
      </c>
      <c r="J4">
        <v>0.14751432270000001</v>
      </c>
      <c r="K4">
        <v>0.14751432270000001</v>
      </c>
      <c r="L4">
        <v>0.14751432270000001</v>
      </c>
      <c r="M4">
        <v>0.14751432270000001</v>
      </c>
      <c r="N4">
        <v>0.14751432270000001</v>
      </c>
      <c r="O4">
        <v>0.14751432270000001</v>
      </c>
      <c r="P4">
        <v>0.14751432270000001</v>
      </c>
      <c r="Q4">
        <v>0.14751432270000001</v>
      </c>
      <c r="R4">
        <v>0.14751432270000001</v>
      </c>
      <c r="S4">
        <v>0.14751432270000001</v>
      </c>
      <c r="T4">
        <v>0.14751432270000001</v>
      </c>
      <c r="U4">
        <v>0.14751432270000001</v>
      </c>
      <c r="V4">
        <v>0.14751432270000001</v>
      </c>
      <c r="W4">
        <v>0.14751432270000001</v>
      </c>
      <c r="X4">
        <v>0.14751432270000001</v>
      </c>
      <c r="Y4">
        <v>0.14751432270000001</v>
      </c>
      <c r="Z4">
        <v>0.14751432270000001</v>
      </c>
      <c r="AA4">
        <v>0.14751432270000001</v>
      </c>
      <c r="AB4">
        <v>0.14751432270000001</v>
      </c>
      <c r="AC4">
        <v>0.14751432270000001</v>
      </c>
      <c r="AD4">
        <v>0.14751432270000001</v>
      </c>
      <c r="AE4">
        <v>0.14751432270000001</v>
      </c>
      <c r="AF4">
        <v>0.14751432270000001</v>
      </c>
      <c r="AG4">
        <v>0.14751432270000001</v>
      </c>
      <c r="AH4">
        <v>0.14751432270000001</v>
      </c>
      <c r="AI4">
        <v>0.14751432270000001</v>
      </c>
      <c r="AJ4">
        <v>0.14751432270000001</v>
      </c>
      <c r="AK4">
        <v>0.14751432270000001</v>
      </c>
    </row>
    <row r="5" spans="1:37" x14ac:dyDescent="0.25">
      <c r="A5" t="s">
        <v>1967</v>
      </c>
      <c r="B5">
        <v>0.20708638560000001</v>
      </c>
      <c r="C5">
        <v>0.20708638560000001</v>
      </c>
      <c r="D5">
        <v>0.20708638560000001</v>
      </c>
      <c r="E5">
        <v>0.20708638560000001</v>
      </c>
      <c r="F5">
        <v>0.20708638560000001</v>
      </c>
      <c r="G5">
        <v>0.20708638560000001</v>
      </c>
      <c r="H5">
        <v>0.20708638560000001</v>
      </c>
      <c r="I5">
        <v>0.20708638560000001</v>
      </c>
      <c r="J5">
        <v>0.20708638560000001</v>
      </c>
      <c r="K5">
        <v>0.20708638560000001</v>
      </c>
      <c r="L5">
        <v>0.20708638560000001</v>
      </c>
      <c r="M5">
        <v>0.20708638560000001</v>
      </c>
      <c r="N5">
        <v>0.20708638560000001</v>
      </c>
      <c r="O5">
        <v>0.20708638560000001</v>
      </c>
      <c r="P5">
        <v>0.20708638560000001</v>
      </c>
      <c r="Q5">
        <v>0.20708638560000001</v>
      </c>
      <c r="R5">
        <v>0.20708638560000001</v>
      </c>
      <c r="S5">
        <v>0.20708638560000001</v>
      </c>
      <c r="T5">
        <v>0.20708638560000001</v>
      </c>
      <c r="U5">
        <v>0.20708638560000001</v>
      </c>
      <c r="V5">
        <v>0.20708638560000001</v>
      </c>
      <c r="W5">
        <v>0.20708638560000001</v>
      </c>
      <c r="X5">
        <v>0.20708638560000001</v>
      </c>
      <c r="Y5">
        <v>0.20708638560000001</v>
      </c>
      <c r="Z5">
        <v>0.20708638560000001</v>
      </c>
      <c r="AA5">
        <v>0.20708638560000001</v>
      </c>
      <c r="AB5">
        <v>0.20708638560000001</v>
      </c>
      <c r="AC5">
        <v>0.20708638560000001</v>
      </c>
      <c r="AD5">
        <v>0.20708638560000001</v>
      </c>
      <c r="AE5">
        <v>0.20708638560000001</v>
      </c>
      <c r="AF5">
        <v>0.20708638560000001</v>
      </c>
      <c r="AG5">
        <v>0.20708638560000001</v>
      </c>
      <c r="AH5">
        <v>0.20708638560000001</v>
      </c>
      <c r="AI5">
        <v>0.20708638560000001</v>
      </c>
      <c r="AJ5">
        <v>0.20708638560000001</v>
      </c>
      <c r="AK5">
        <v>0.20708638560000001</v>
      </c>
    </row>
    <row r="6" spans="1:37" x14ac:dyDescent="0.25">
      <c r="A6" t="s">
        <v>1968</v>
      </c>
      <c r="B6">
        <v>0.72577004280000001</v>
      </c>
      <c r="C6">
        <v>0.72577008499999995</v>
      </c>
      <c r="D6">
        <v>0.72577008499999995</v>
      </c>
      <c r="E6">
        <v>0.72577008499999995</v>
      </c>
      <c r="F6">
        <v>0.72577008499999995</v>
      </c>
      <c r="G6">
        <v>0.72577008499999995</v>
      </c>
      <c r="H6">
        <v>0.72577008499999995</v>
      </c>
      <c r="I6">
        <v>0.72577008499999995</v>
      </c>
      <c r="J6">
        <v>0.72577008499999995</v>
      </c>
      <c r="K6">
        <v>0.72577008499999995</v>
      </c>
      <c r="L6">
        <v>0.72577008499999995</v>
      </c>
      <c r="M6">
        <v>0.72577008499999995</v>
      </c>
      <c r="N6">
        <v>0.72577008499999995</v>
      </c>
      <c r="O6">
        <v>0.72577008499999995</v>
      </c>
      <c r="P6">
        <v>0.72577008499999995</v>
      </c>
      <c r="Q6">
        <v>0.72577008499999995</v>
      </c>
      <c r="R6">
        <v>0.72577008499999995</v>
      </c>
      <c r="S6">
        <v>0.72577008499999995</v>
      </c>
      <c r="T6">
        <v>0.72577008499999995</v>
      </c>
      <c r="U6">
        <v>0.72577008499999995</v>
      </c>
      <c r="V6">
        <v>0.72577008499999995</v>
      </c>
      <c r="W6">
        <v>0.72577008499999995</v>
      </c>
      <c r="X6">
        <v>0.72577008499999995</v>
      </c>
      <c r="Y6">
        <v>0.72577008499999995</v>
      </c>
      <c r="Z6">
        <v>0.72577008499999995</v>
      </c>
      <c r="AA6">
        <v>0.72577008499999995</v>
      </c>
      <c r="AB6">
        <v>0.72577008499999995</v>
      </c>
      <c r="AC6">
        <v>0.72577008499999995</v>
      </c>
      <c r="AD6">
        <v>0.72577008499999995</v>
      </c>
      <c r="AE6">
        <v>0.72577008499999995</v>
      </c>
      <c r="AF6">
        <v>0.72577008499999995</v>
      </c>
      <c r="AG6">
        <v>0.72577008499999995</v>
      </c>
      <c r="AH6">
        <v>0.72577008499999995</v>
      </c>
      <c r="AI6">
        <v>0.72577008499999995</v>
      </c>
      <c r="AJ6">
        <v>0.72577008499999995</v>
      </c>
      <c r="AK6">
        <v>0.72577008499999995</v>
      </c>
    </row>
    <row r="7" spans="1:37" x14ac:dyDescent="0.25">
      <c r="A7" t="s">
        <v>1969</v>
      </c>
      <c r="B7">
        <v>1.44644951E-2</v>
      </c>
      <c r="C7">
        <v>1.4464495900000001E-2</v>
      </c>
      <c r="D7">
        <v>1.4464495900000001E-2</v>
      </c>
      <c r="E7">
        <v>1.4464495900000001E-2</v>
      </c>
      <c r="F7">
        <v>1.4464495900000001E-2</v>
      </c>
      <c r="G7">
        <v>1.4464495900000001E-2</v>
      </c>
      <c r="H7">
        <v>1.4464495900000001E-2</v>
      </c>
      <c r="I7">
        <v>1.4464495900000001E-2</v>
      </c>
      <c r="J7">
        <v>1.4464495900000001E-2</v>
      </c>
      <c r="K7">
        <v>1.4464495900000001E-2</v>
      </c>
      <c r="L7">
        <v>1.4464495900000001E-2</v>
      </c>
      <c r="M7">
        <v>1.4464495900000001E-2</v>
      </c>
      <c r="N7">
        <v>1.4464495900000001E-2</v>
      </c>
      <c r="O7">
        <v>1.4464495900000001E-2</v>
      </c>
      <c r="P7">
        <v>1.4464495900000001E-2</v>
      </c>
      <c r="Q7">
        <v>1.4464495900000001E-2</v>
      </c>
      <c r="R7">
        <v>1.4464495900000001E-2</v>
      </c>
      <c r="S7">
        <v>1.4464495900000001E-2</v>
      </c>
      <c r="T7">
        <v>1.4464495900000001E-2</v>
      </c>
      <c r="U7">
        <v>1.4464495900000001E-2</v>
      </c>
      <c r="V7">
        <v>1.4464495900000001E-2</v>
      </c>
      <c r="W7">
        <v>1.4464495900000001E-2</v>
      </c>
      <c r="X7">
        <v>1.4464495900000001E-2</v>
      </c>
      <c r="Y7">
        <v>1.4464495900000001E-2</v>
      </c>
      <c r="Z7">
        <v>1.4464495900000001E-2</v>
      </c>
      <c r="AA7">
        <v>1.4464495900000001E-2</v>
      </c>
      <c r="AB7">
        <v>1.4464495900000001E-2</v>
      </c>
      <c r="AC7">
        <v>1.4464495900000001E-2</v>
      </c>
      <c r="AD7">
        <v>1.4464495900000001E-2</v>
      </c>
      <c r="AE7">
        <v>1.4464495900000001E-2</v>
      </c>
      <c r="AF7">
        <v>1.4464495900000001E-2</v>
      </c>
      <c r="AG7">
        <v>1.4464495900000001E-2</v>
      </c>
      <c r="AH7">
        <v>1.4464495900000001E-2</v>
      </c>
      <c r="AI7">
        <v>1.4464495900000001E-2</v>
      </c>
      <c r="AJ7">
        <v>1.4464495900000001E-2</v>
      </c>
      <c r="AK7">
        <v>1.4464495900000001E-2</v>
      </c>
    </row>
    <row r="8" spans="1:37" x14ac:dyDescent="0.25">
      <c r="A8" t="s">
        <v>1970</v>
      </c>
      <c r="B8">
        <v>2.10193412E-2</v>
      </c>
      <c r="C8">
        <v>2.1019342399999998E-2</v>
      </c>
      <c r="D8">
        <v>2.1019342399999998E-2</v>
      </c>
      <c r="E8">
        <v>2.1019342399999998E-2</v>
      </c>
      <c r="F8">
        <v>2.1019342399999998E-2</v>
      </c>
      <c r="G8">
        <v>2.1019342399999998E-2</v>
      </c>
      <c r="H8">
        <v>2.1019342399999998E-2</v>
      </c>
      <c r="I8">
        <v>2.1019342399999998E-2</v>
      </c>
      <c r="J8">
        <v>2.1019342399999998E-2</v>
      </c>
      <c r="K8">
        <v>2.1019342399999998E-2</v>
      </c>
      <c r="L8">
        <v>2.1019342399999998E-2</v>
      </c>
      <c r="M8">
        <v>2.1019342399999998E-2</v>
      </c>
      <c r="N8">
        <v>2.1019342399999998E-2</v>
      </c>
      <c r="O8">
        <v>2.1019342399999998E-2</v>
      </c>
      <c r="P8">
        <v>2.1019342399999998E-2</v>
      </c>
      <c r="Q8">
        <v>2.1019342399999998E-2</v>
      </c>
      <c r="R8">
        <v>2.1019342399999998E-2</v>
      </c>
      <c r="S8">
        <v>2.1019342399999998E-2</v>
      </c>
      <c r="T8">
        <v>2.1019342399999998E-2</v>
      </c>
      <c r="U8">
        <v>2.1019342399999998E-2</v>
      </c>
      <c r="V8">
        <v>2.1019342399999998E-2</v>
      </c>
      <c r="W8">
        <v>2.1019342399999998E-2</v>
      </c>
      <c r="X8">
        <v>2.1019342399999998E-2</v>
      </c>
      <c r="Y8">
        <v>2.1019342399999998E-2</v>
      </c>
      <c r="Z8">
        <v>2.1019342399999998E-2</v>
      </c>
      <c r="AA8">
        <v>2.1019342399999998E-2</v>
      </c>
      <c r="AB8">
        <v>2.1019342399999998E-2</v>
      </c>
      <c r="AC8">
        <v>2.1019342399999998E-2</v>
      </c>
      <c r="AD8">
        <v>2.1019342399999998E-2</v>
      </c>
      <c r="AE8">
        <v>2.1019342399999998E-2</v>
      </c>
      <c r="AF8">
        <v>2.1019342399999998E-2</v>
      </c>
      <c r="AG8">
        <v>2.1019342399999998E-2</v>
      </c>
      <c r="AH8">
        <v>2.1019342399999998E-2</v>
      </c>
      <c r="AI8">
        <v>2.1019342399999998E-2</v>
      </c>
      <c r="AJ8">
        <v>2.1019342399999998E-2</v>
      </c>
      <c r="AK8">
        <v>2.1019342399999998E-2</v>
      </c>
    </row>
    <row r="9" spans="1:37" x14ac:dyDescent="0.25">
      <c r="A9" t="s">
        <v>1971</v>
      </c>
      <c r="B9">
        <v>1.9096190499999999E-2</v>
      </c>
      <c r="C9">
        <v>1.90961916E-2</v>
      </c>
      <c r="D9">
        <v>1.90961916E-2</v>
      </c>
      <c r="E9">
        <v>1.90961916E-2</v>
      </c>
      <c r="F9">
        <v>1.90961916E-2</v>
      </c>
      <c r="G9">
        <v>1.90961916E-2</v>
      </c>
      <c r="H9">
        <v>1.90961916E-2</v>
      </c>
      <c r="I9">
        <v>1.90961916E-2</v>
      </c>
      <c r="J9">
        <v>1.90961916E-2</v>
      </c>
      <c r="K9">
        <v>1.90961916E-2</v>
      </c>
      <c r="L9">
        <v>1.90961916E-2</v>
      </c>
      <c r="M9">
        <v>1.90961916E-2</v>
      </c>
      <c r="N9">
        <v>1.90961916E-2</v>
      </c>
      <c r="O9">
        <v>1.90961916E-2</v>
      </c>
      <c r="P9">
        <v>1.90961916E-2</v>
      </c>
      <c r="Q9">
        <v>1.90961916E-2</v>
      </c>
      <c r="R9">
        <v>1.90961916E-2</v>
      </c>
      <c r="S9">
        <v>1.90961916E-2</v>
      </c>
      <c r="T9">
        <v>1.90961916E-2</v>
      </c>
      <c r="U9">
        <v>1.90961916E-2</v>
      </c>
      <c r="V9">
        <v>1.90961916E-2</v>
      </c>
      <c r="W9">
        <v>1.90961916E-2</v>
      </c>
      <c r="X9">
        <v>1.90961916E-2</v>
      </c>
      <c r="Y9">
        <v>1.90961916E-2</v>
      </c>
      <c r="Z9">
        <v>1.90961916E-2</v>
      </c>
      <c r="AA9">
        <v>1.90961916E-2</v>
      </c>
      <c r="AB9">
        <v>1.90961916E-2</v>
      </c>
      <c r="AC9">
        <v>1.90961916E-2</v>
      </c>
      <c r="AD9">
        <v>1.90961916E-2</v>
      </c>
      <c r="AE9">
        <v>1.90961916E-2</v>
      </c>
      <c r="AF9">
        <v>1.90961916E-2</v>
      </c>
      <c r="AG9">
        <v>1.90961916E-2</v>
      </c>
      <c r="AH9">
        <v>1.90961916E-2</v>
      </c>
      <c r="AI9">
        <v>1.90961916E-2</v>
      </c>
      <c r="AJ9">
        <v>1.90961916E-2</v>
      </c>
      <c r="AK9">
        <v>1.90961916E-2</v>
      </c>
    </row>
    <row r="10" spans="1:37" x14ac:dyDescent="0.25">
      <c r="A10" t="s">
        <v>1972</v>
      </c>
      <c r="B10">
        <v>3.7580969800000003E-2</v>
      </c>
      <c r="C10">
        <v>3.7580913899999999E-2</v>
      </c>
      <c r="D10">
        <v>3.7580913899999999E-2</v>
      </c>
      <c r="E10">
        <v>3.7580913899999999E-2</v>
      </c>
      <c r="F10">
        <v>3.7580913899999999E-2</v>
      </c>
      <c r="G10">
        <v>3.7580913899999999E-2</v>
      </c>
      <c r="H10">
        <v>3.7580913899999999E-2</v>
      </c>
      <c r="I10">
        <v>3.7580913899999999E-2</v>
      </c>
      <c r="J10">
        <v>3.7580913899999999E-2</v>
      </c>
      <c r="K10">
        <v>3.7580913899999999E-2</v>
      </c>
      <c r="L10">
        <v>3.7580913899999999E-2</v>
      </c>
      <c r="M10">
        <v>3.7580913899999999E-2</v>
      </c>
      <c r="N10">
        <v>3.7580913899999999E-2</v>
      </c>
      <c r="O10">
        <v>3.7580913899999999E-2</v>
      </c>
      <c r="P10">
        <v>3.7580913899999999E-2</v>
      </c>
      <c r="Q10">
        <v>3.7580913899999999E-2</v>
      </c>
      <c r="R10">
        <v>3.7580913899999999E-2</v>
      </c>
      <c r="S10">
        <v>3.7580913899999999E-2</v>
      </c>
      <c r="T10">
        <v>3.7580913899999999E-2</v>
      </c>
      <c r="U10">
        <v>3.7580913899999999E-2</v>
      </c>
      <c r="V10">
        <v>3.7580913899999999E-2</v>
      </c>
      <c r="W10">
        <v>3.7580913899999999E-2</v>
      </c>
      <c r="X10">
        <v>3.7580913899999999E-2</v>
      </c>
      <c r="Y10">
        <v>3.7580913899999999E-2</v>
      </c>
      <c r="Z10">
        <v>3.7580913899999999E-2</v>
      </c>
      <c r="AA10">
        <v>3.7580913899999999E-2</v>
      </c>
      <c r="AB10">
        <v>3.7580913899999999E-2</v>
      </c>
      <c r="AC10">
        <v>3.7580913899999999E-2</v>
      </c>
      <c r="AD10">
        <v>3.7580913899999999E-2</v>
      </c>
      <c r="AE10">
        <v>3.7580913899999999E-2</v>
      </c>
      <c r="AF10">
        <v>3.7580913899999999E-2</v>
      </c>
      <c r="AG10">
        <v>3.7580913899999999E-2</v>
      </c>
      <c r="AH10">
        <v>3.7580913899999999E-2</v>
      </c>
      <c r="AI10">
        <v>3.7580913899999999E-2</v>
      </c>
      <c r="AJ10">
        <v>3.7580913899999999E-2</v>
      </c>
      <c r="AK10">
        <v>3.7580913899999999E-2</v>
      </c>
    </row>
    <row r="11" spans="1:37" x14ac:dyDescent="0.25">
      <c r="A11" t="s">
        <v>1973</v>
      </c>
      <c r="B11">
        <v>1.36621179E-2</v>
      </c>
      <c r="C11">
        <v>1.36621187E-2</v>
      </c>
      <c r="D11">
        <v>1.36621187E-2</v>
      </c>
      <c r="E11">
        <v>1.36621187E-2</v>
      </c>
      <c r="F11">
        <v>1.36621187E-2</v>
      </c>
      <c r="G11">
        <v>1.36621187E-2</v>
      </c>
      <c r="H11">
        <v>1.36621187E-2</v>
      </c>
      <c r="I11">
        <v>1.36621187E-2</v>
      </c>
      <c r="J11">
        <v>1.36621187E-2</v>
      </c>
      <c r="K11">
        <v>1.36621187E-2</v>
      </c>
      <c r="L11">
        <v>1.36621187E-2</v>
      </c>
      <c r="M11">
        <v>1.36621187E-2</v>
      </c>
      <c r="N11">
        <v>1.36621187E-2</v>
      </c>
      <c r="O11">
        <v>1.36621187E-2</v>
      </c>
      <c r="P11">
        <v>1.36621187E-2</v>
      </c>
      <c r="Q11">
        <v>1.36621187E-2</v>
      </c>
      <c r="R11">
        <v>1.36621187E-2</v>
      </c>
      <c r="S11">
        <v>1.36621187E-2</v>
      </c>
      <c r="T11">
        <v>1.36621187E-2</v>
      </c>
      <c r="U11">
        <v>1.36621187E-2</v>
      </c>
      <c r="V11">
        <v>1.36621187E-2</v>
      </c>
      <c r="W11">
        <v>1.36621187E-2</v>
      </c>
      <c r="X11">
        <v>1.36621187E-2</v>
      </c>
      <c r="Y11">
        <v>1.36621187E-2</v>
      </c>
      <c r="Z11">
        <v>1.36621187E-2</v>
      </c>
      <c r="AA11">
        <v>1.36621187E-2</v>
      </c>
      <c r="AB11">
        <v>1.36621187E-2</v>
      </c>
      <c r="AC11">
        <v>1.36621187E-2</v>
      </c>
      <c r="AD11">
        <v>1.36621187E-2</v>
      </c>
      <c r="AE11">
        <v>1.36621187E-2</v>
      </c>
      <c r="AF11">
        <v>1.36621187E-2</v>
      </c>
      <c r="AG11">
        <v>1.36621187E-2</v>
      </c>
      <c r="AH11">
        <v>1.36621187E-2</v>
      </c>
      <c r="AI11">
        <v>1.36621187E-2</v>
      </c>
      <c r="AJ11">
        <v>1.36621187E-2</v>
      </c>
      <c r="AK11">
        <v>1.36621187E-2</v>
      </c>
    </row>
    <row r="12" spans="1:37" x14ac:dyDescent="0.25">
      <c r="A12" t="s">
        <v>1974</v>
      </c>
      <c r="B12">
        <v>0.1051730505</v>
      </c>
      <c r="C12">
        <v>0.1051730566</v>
      </c>
      <c r="D12">
        <v>0.1051730566</v>
      </c>
      <c r="E12">
        <v>0.1051730566</v>
      </c>
      <c r="F12">
        <v>0.1051730566</v>
      </c>
      <c r="G12">
        <v>0.1051730566</v>
      </c>
      <c r="H12">
        <v>0.1051730566</v>
      </c>
      <c r="I12">
        <v>0.1051730566</v>
      </c>
      <c r="J12">
        <v>0.1051730566</v>
      </c>
      <c r="K12">
        <v>0.1051730566</v>
      </c>
      <c r="L12">
        <v>0.1051730566</v>
      </c>
      <c r="M12">
        <v>0.1051730566</v>
      </c>
      <c r="N12">
        <v>0.1051730566</v>
      </c>
      <c r="O12">
        <v>0.1051730566</v>
      </c>
      <c r="P12">
        <v>0.1051730566</v>
      </c>
      <c r="Q12">
        <v>0.1051730566</v>
      </c>
      <c r="R12">
        <v>0.1051730566</v>
      </c>
      <c r="S12">
        <v>0.1051730566</v>
      </c>
      <c r="T12">
        <v>0.1051730566</v>
      </c>
      <c r="U12">
        <v>0.1051730566</v>
      </c>
      <c r="V12">
        <v>0.1051730566</v>
      </c>
      <c r="W12">
        <v>0.1051730566</v>
      </c>
      <c r="X12">
        <v>0.1051730566</v>
      </c>
      <c r="Y12">
        <v>0.1051730566</v>
      </c>
      <c r="Z12">
        <v>0.1051730566</v>
      </c>
      <c r="AA12">
        <v>0.1051730566</v>
      </c>
      <c r="AB12">
        <v>0.1051730566</v>
      </c>
      <c r="AC12">
        <v>0.1051730566</v>
      </c>
      <c r="AD12">
        <v>0.1051730566</v>
      </c>
      <c r="AE12">
        <v>0.1051730566</v>
      </c>
      <c r="AF12">
        <v>0.1051730566</v>
      </c>
      <c r="AG12">
        <v>0.1051730566</v>
      </c>
      <c r="AH12">
        <v>0.1051730566</v>
      </c>
      <c r="AI12">
        <v>0.1051730566</v>
      </c>
      <c r="AJ12">
        <v>0.1051730566</v>
      </c>
      <c r="AK12">
        <v>0.1051730566</v>
      </c>
    </row>
    <row r="13" spans="1:37" x14ac:dyDescent="0.25">
      <c r="A13" t="s">
        <v>1975</v>
      </c>
      <c r="B13">
        <v>6.1515785400000002E-2</v>
      </c>
      <c r="C13">
        <v>6.1515789000000001E-2</v>
      </c>
      <c r="D13">
        <v>6.1515789000000001E-2</v>
      </c>
      <c r="E13">
        <v>6.1515789000000001E-2</v>
      </c>
      <c r="F13">
        <v>6.1515789000000001E-2</v>
      </c>
      <c r="G13">
        <v>6.1515789000000001E-2</v>
      </c>
      <c r="H13">
        <v>6.1515789000000001E-2</v>
      </c>
      <c r="I13">
        <v>6.1515789000000001E-2</v>
      </c>
      <c r="J13">
        <v>6.1515789000000001E-2</v>
      </c>
      <c r="K13">
        <v>6.1515789000000001E-2</v>
      </c>
      <c r="L13">
        <v>6.1515789000000001E-2</v>
      </c>
      <c r="M13">
        <v>6.1515789000000001E-2</v>
      </c>
      <c r="N13">
        <v>6.1515789000000001E-2</v>
      </c>
      <c r="O13">
        <v>6.1515789000000001E-2</v>
      </c>
      <c r="P13">
        <v>6.1515789000000001E-2</v>
      </c>
      <c r="Q13">
        <v>6.1515789000000001E-2</v>
      </c>
      <c r="R13">
        <v>6.1515789000000001E-2</v>
      </c>
      <c r="S13">
        <v>6.1515789000000001E-2</v>
      </c>
      <c r="T13">
        <v>6.1515789000000001E-2</v>
      </c>
      <c r="U13">
        <v>6.1515789000000001E-2</v>
      </c>
      <c r="V13">
        <v>6.1515789000000001E-2</v>
      </c>
      <c r="W13">
        <v>6.1515789000000001E-2</v>
      </c>
      <c r="X13">
        <v>6.1515789000000001E-2</v>
      </c>
      <c r="Y13">
        <v>6.1515789000000001E-2</v>
      </c>
      <c r="Z13">
        <v>6.1515789000000001E-2</v>
      </c>
      <c r="AA13">
        <v>6.1515789000000001E-2</v>
      </c>
      <c r="AB13">
        <v>6.1515789000000001E-2</v>
      </c>
      <c r="AC13">
        <v>6.1515789000000001E-2</v>
      </c>
      <c r="AD13">
        <v>6.1515789000000001E-2</v>
      </c>
      <c r="AE13">
        <v>6.1515789000000001E-2</v>
      </c>
      <c r="AF13">
        <v>6.1515789000000001E-2</v>
      </c>
      <c r="AG13">
        <v>6.1515789000000001E-2</v>
      </c>
      <c r="AH13">
        <v>6.1515789000000001E-2</v>
      </c>
      <c r="AI13">
        <v>6.1515789000000001E-2</v>
      </c>
      <c r="AJ13">
        <v>6.1515789000000001E-2</v>
      </c>
      <c r="AK13">
        <v>6.1515789000000001E-2</v>
      </c>
    </row>
    <row r="14" spans="1:37" x14ac:dyDescent="0.25">
      <c r="A14" t="s">
        <v>1976</v>
      </c>
      <c r="B14">
        <v>1.71800688E-3</v>
      </c>
      <c r="C14">
        <v>1.71800698E-3</v>
      </c>
      <c r="D14">
        <v>1.71800698E-3</v>
      </c>
      <c r="E14">
        <v>1.71800698E-3</v>
      </c>
      <c r="F14">
        <v>1.71800698E-3</v>
      </c>
      <c r="G14">
        <v>1.71800698E-3</v>
      </c>
      <c r="H14">
        <v>1.71800698E-3</v>
      </c>
      <c r="I14">
        <v>1.71800698E-3</v>
      </c>
      <c r="J14">
        <v>1.71800698E-3</v>
      </c>
      <c r="K14">
        <v>1.71800698E-3</v>
      </c>
      <c r="L14">
        <v>1.71800698E-3</v>
      </c>
      <c r="M14">
        <v>1.71800698E-3</v>
      </c>
      <c r="N14">
        <v>1.71800698E-3</v>
      </c>
      <c r="O14">
        <v>1.71800698E-3</v>
      </c>
      <c r="P14">
        <v>1.71800698E-3</v>
      </c>
      <c r="Q14">
        <v>1.71800698E-3</v>
      </c>
      <c r="R14">
        <v>1.71800698E-3</v>
      </c>
      <c r="S14">
        <v>1.71800698E-3</v>
      </c>
      <c r="T14">
        <v>1.71800698E-3</v>
      </c>
      <c r="U14">
        <v>1.71800698E-3</v>
      </c>
      <c r="V14">
        <v>1.71800698E-3</v>
      </c>
      <c r="W14">
        <v>1.71800698E-3</v>
      </c>
      <c r="X14">
        <v>1.71800698E-3</v>
      </c>
      <c r="Y14">
        <v>1.71800698E-3</v>
      </c>
      <c r="Z14">
        <v>1.71800698E-3</v>
      </c>
      <c r="AA14">
        <v>1.71800698E-3</v>
      </c>
      <c r="AB14">
        <v>1.71800698E-3</v>
      </c>
      <c r="AC14">
        <v>1.71800698E-3</v>
      </c>
      <c r="AD14">
        <v>1.71800698E-3</v>
      </c>
      <c r="AE14">
        <v>1.71800698E-3</v>
      </c>
      <c r="AF14">
        <v>1.71800698E-3</v>
      </c>
      <c r="AG14">
        <v>1.71800698E-3</v>
      </c>
      <c r="AH14">
        <v>1.71800698E-3</v>
      </c>
      <c r="AI14">
        <v>1.71800698E-3</v>
      </c>
      <c r="AJ14">
        <v>1.71800698E-3</v>
      </c>
      <c r="AK14">
        <v>1.71800698E-3</v>
      </c>
    </row>
    <row r="15" spans="1:37" x14ac:dyDescent="0.25">
      <c r="A15" t="s">
        <v>1977</v>
      </c>
      <c r="B15">
        <v>0.83809636089999995</v>
      </c>
      <c r="C15">
        <v>0.83809636089999995</v>
      </c>
      <c r="D15">
        <v>0.83809636089999995</v>
      </c>
      <c r="E15">
        <v>0.83809636089999995</v>
      </c>
      <c r="F15">
        <v>0.83809636089999995</v>
      </c>
      <c r="G15">
        <v>0.83809636089999995</v>
      </c>
      <c r="H15">
        <v>0.83809636089999995</v>
      </c>
      <c r="I15">
        <v>0.83809636089999995</v>
      </c>
      <c r="J15">
        <v>0.83809636089999995</v>
      </c>
      <c r="K15">
        <v>0.83809636089999995</v>
      </c>
      <c r="L15">
        <v>0.83809636089999995</v>
      </c>
      <c r="M15">
        <v>0.83809636089999995</v>
      </c>
      <c r="N15">
        <v>0.83809636089999995</v>
      </c>
      <c r="O15">
        <v>0.83809636089999995</v>
      </c>
      <c r="P15">
        <v>0.83809636089999995</v>
      </c>
      <c r="Q15">
        <v>0.83809636089999995</v>
      </c>
      <c r="R15">
        <v>0.83809636089999995</v>
      </c>
      <c r="S15">
        <v>0.83809636089999995</v>
      </c>
      <c r="T15">
        <v>0.83809636089999995</v>
      </c>
      <c r="U15">
        <v>0.83809636089999995</v>
      </c>
      <c r="V15">
        <v>0.83809636089999995</v>
      </c>
      <c r="W15">
        <v>0.83809636089999995</v>
      </c>
      <c r="X15">
        <v>0.83809636089999995</v>
      </c>
      <c r="Y15">
        <v>0.83809636089999995</v>
      </c>
      <c r="Z15">
        <v>0.83809636089999995</v>
      </c>
      <c r="AA15">
        <v>0.83809636089999995</v>
      </c>
      <c r="AB15">
        <v>0.83809636089999995</v>
      </c>
      <c r="AC15">
        <v>0.83809636089999995</v>
      </c>
      <c r="AD15">
        <v>0.83809636089999995</v>
      </c>
      <c r="AE15">
        <v>0.83809636089999995</v>
      </c>
      <c r="AF15">
        <v>0.83809636089999995</v>
      </c>
      <c r="AG15">
        <v>0.83809636089999995</v>
      </c>
      <c r="AH15">
        <v>0.83809636089999995</v>
      </c>
      <c r="AI15">
        <v>0.83809636089999995</v>
      </c>
      <c r="AJ15">
        <v>0.83809636089999995</v>
      </c>
      <c r="AK15">
        <v>0.83809636089999995</v>
      </c>
    </row>
    <row r="16" spans="1:37" x14ac:dyDescent="0.25">
      <c r="A16" t="s">
        <v>1978</v>
      </c>
      <c r="B16">
        <v>0.1619036391</v>
      </c>
      <c r="C16">
        <v>0.1619036391</v>
      </c>
      <c r="D16">
        <v>0.1619036391</v>
      </c>
      <c r="E16">
        <v>0.1619036391</v>
      </c>
      <c r="F16">
        <v>0.1619036391</v>
      </c>
      <c r="G16">
        <v>0.1619036391</v>
      </c>
      <c r="H16">
        <v>0.1619036391</v>
      </c>
      <c r="I16">
        <v>0.1619036391</v>
      </c>
      <c r="J16">
        <v>0.1619036391</v>
      </c>
      <c r="K16">
        <v>0.1619036391</v>
      </c>
      <c r="L16">
        <v>0.1619036391</v>
      </c>
      <c r="M16">
        <v>0.1619036391</v>
      </c>
      <c r="N16">
        <v>0.1619036391</v>
      </c>
      <c r="O16">
        <v>0.1619036391</v>
      </c>
      <c r="P16">
        <v>0.1619036391</v>
      </c>
      <c r="Q16">
        <v>0.1619036391</v>
      </c>
      <c r="R16">
        <v>0.1619036391</v>
      </c>
      <c r="S16">
        <v>0.1619036391</v>
      </c>
      <c r="T16">
        <v>0.1619036391</v>
      </c>
      <c r="U16">
        <v>0.1619036391</v>
      </c>
      <c r="V16">
        <v>0.1619036391</v>
      </c>
      <c r="W16">
        <v>0.1619036391</v>
      </c>
      <c r="X16">
        <v>0.1619036391</v>
      </c>
      <c r="Y16">
        <v>0.1619036391</v>
      </c>
      <c r="Z16">
        <v>0.1619036391</v>
      </c>
      <c r="AA16">
        <v>0.1619036391</v>
      </c>
      <c r="AB16">
        <v>0.1619036391</v>
      </c>
      <c r="AC16">
        <v>0.1619036391</v>
      </c>
      <c r="AD16">
        <v>0.1619036391</v>
      </c>
      <c r="AE16">
        <v>0.1619036391</v>
      </c>
      <c r="AF16">
        <v>0.1619036391</v>
      </c>
      <c r="AG16">
        <v>0.1619036391</v>
      </c>
      <c r="AH16">
        <v>0.1619036391</v>
      </c>
      <c r="AI16">
        <v>0.1619036391</v>
      </c>
      <c r="AJ16">
        <v>0.1619036391</v>
      </c>
      <c r="AK16">
        <v>0.1619036391</v>
      </c>
    </row>
    <row r="17" spans="1:37" x14ac:dyDescent="0.25">
      <c r="A17" t="s">
        <v>1979</v>
      </c>
      <c r="B17">
        <v>0.14751432270000001</v>
      </c>
      <c r="C17">
        <v>0.14751432270000001</v>
      </c>
      <c r="D17">
        <v>0.14751432270000001</v>
      </c>
      <c r="E17">
        <v>0.14751432270000001</v>
      </c>
      <c r="F17">
        <v>0.14751432270000001</v>
      </c>
      <c r="G17">
        <v>0.14751432270000001</v>
      </c>
      <c r="H17">
        <v>0.14751432270000001</v>
      </c>
      <c r="I17">
        <v>0.14751432270000001</v>
      </c>
      <c r="J17">
        <v>0.14751432270000001</v>
      </c>
      <c r="K17">
        <v>0.14751432270000001</v>
      </c>
      <c r="L17">
        <v>0.14751432270000001</v>
      </c>
      <c r="M17">
        <v>0.14751432270000001</v>
      </c>
      <c r="N17">
        <v>0.14751432270000001</v>
      </c>
      <c r="O17">
        <v>0.14751432270000001</v>
      </c>
      <c r="P17">
        <v>0.14751432270000001</v>
      </c>
      <c r="Q17">
        <v>0.14751432270000001</v>
      </c>
      <c r="R17">
        <v>0.14751432270000001</v>
      </c>
      <c r="S17">
        <v>0.14751432270000001</v>
      </c>
      <c r="T17">
        <v>0.14751432270000001</v>
      </c>
      <c r="U17">
        <v>0.14751432270000001</v>
      </c>
      <c r="V17">
        <v>0.14751432270000001</v>
      </c>
      <c r="W17">
        <v>0.14751432270000001</v>
      </c>
      <c r="X17">
        <v>0.14751432270000001</v>
      </c>
      <c r="Y17">
        <v>0.14751432270000001</v>
      </c>
      <c r="Z17">
        <v>0.14751432270000001</v>
      </c>
      <c r="AA17">
        <v>0.14751432270000001</v>
      </c>
      <c r="AB17">
        <v>0.14751432270000001</v>
      </c>
      <c r="AC17">
        <v>0.14751432270000001</v>
      </c>
      <c r="AD17">
        <v>0.14751432270000001</v>
      </c>
      <c r="AE17">
        <v>0.14751432270000001</v>
      </c>
      <c r="AF17">
        <v>0.14751432270000001</v>
      </c>
      <c r="AG17">
        <v>0.14751432270000001</v>
      </c>
      <c r="AH17">
        <v>0.14751432270000001</v>
      </c>
      <c r="AI17">
        <v>0.14751432270000001</v>
      </c>
      <c r="AJ17">
        <v>0.14751432270000001</v>
      </c>
      <c r="AK17">
        <v>0.14751432270000001</v>
      </c>
    </row>
    <row r="18" spans="1:37" x14ac:dyDescent="0.25">
      <c r="A18" t="s">
        <v>1980</v>
      </c>
      <c r="B18">
        <v>0.20708638560000001</v>
      </c>
      <c r="C18">
        <v>0.20708638560000001</v>
      </c>
      <c r="D18">
        <v>0.20708638560000001</v>
      </c>
      <c r="E18">
        <v>0.20708638560000001</v>
      </c>
      <c r="F18">
        <v>0.20708638560000001</v>
      </c>
      <c r="G18">
        <v>0.20708638560000001</v>
      </c>
      <c r="H18">
        <v>0.20708638560000001</v>
      </c>
      <c r="I18">
        <v>0.20708638560000001</v>
      </c>
      <c r="J18">
        <v>0.20708638560000001</v>
      </c>
      <c r="K18">
        <v>0.20708638560000001</v>
      </c>
      <c r="L18">
        <v>0.20708638560000001</v>
      </c>
      <c r="M18">
        <v>0.20708638560000001</v>
      </c>
      <c r="N18">
        <v>0.20708638560000001</v>
      </c>
      <c r="O18">
        <v>0.20708638560000001</v>
      </c>
      <c r="P18">
        <v>0.20708638560000001</v>
      </c>
      <c r="Q18">
        <v>0.20708638560000001</v>
      </c>
      <c r="R18">
        <v>0.20708638560000001</v>
      </c>
      <c r="S18">
        <v>0.20708638560000001</v>
      </c>
      <c r="T18">
        <v>0.20708638560000001</v>
      </c>
      <c r="U18">
        <v>0.20708638560000001</v>
      </c>
      <c r="V18">
        <v>0.20708638560000001</v>
      </c>
      <c r="W18">
        <v>0.20708638560000001</v>
      </c>
      <c r="X18">
        <v>0.20708638560000001</v>
      </c>
      <c r="Y18">
        <v>0.20708638560000001</v>
      </c>
      <c r="Z18">
        <v>0.20708638560000001</v>
      </c>
      <c r="AA18">
        <v>0.20708638560000001</v>
      </c>
      <c r="AB18">
        <v>0.20708638560000001</v>
      </c>
      <c r="AC18">
        <v>0.20708638560000001</v>
      </c>
      <c r="AD18">
        <v>0.20708638560000001</v>
      </c>
      <c r="AE18">
        <v>0.20708638560000001</v>
      </c>
      <c r="AF18">
        <v>0.20708638560000001</v>
      </c>
      <c r="AG18">
        <v>0.20708638560000001</v>
      </c>
      <c r="AH18">
        <v>0.20708638560000001</v>
      </c>
      <c r="AI18">
        <v>0.20708638560000001</v>
      </c>
      <c r="AJ18">
        <v>0.20708638560000001</v>
      </c>
      <c r="AK18">
        <v>0.20708638560000001</v>
      </c>
    </row>
    <row r="19" spans="1:37" x14ac:dyDescent="0.25">
      <c r="A19" t="s">
        <v>1981</v>
      </c>
      <c r="B19">
        <v>0.72577004280000001</v>
      </c>
      <c r="C19">
        <v>0.72577008499999995</v>
      </c>
      <c r="D19">
        <v>0.72577008499999995</v>
      </c>
      <c r="E19">
        <v>0.72577008499999995</v>
      </c>
      <c r="F19">
        <v>0.72577008499999995</v>
      </c>
      <c r="G19">
        <v>0.72577008499999995</v>
      </c>
      <c r="H19">
        <v>0.72577008499999995</v>
      </c>
      <c r="I19">
        <v>0.72577008499999995</v>
      </c>
      <c r="J19">
        <v>0.72577008499999995</v>
      </c>
      <c r="K19">
        <v>0.72577008499999995</v>
      </c>
      <c r="L19">
        <v>0.72577008499999995</v>
      </c>
      <c r="M19">
        <v>0.72577008499999995</v>
      </c>
      <c r="N19">
        <v>0.72577008499999995</v>
      </c>
      <c r="O19">
        <v>0.72577008499999995</v>
      </c>
      <c r="P19">
        <v>0.72577008499999995</v>
      </c>
      <c r="Q19">
        <v>0.72577008499999995</v>
      </c>
      <c r="R19">
        <v>0.72577008499999995</v>
      </c>
      <c r="S19">
        <v>0.72577008499999995</v>
      </c>
      <c r="T19">
        <v>0.72577008499999995</v>
      </c>
      <c r="U19">
        <v>0.72577008499999995</v>
      </c>
      <c r="V19">
        <v>0.72577008499999995</v>
      </c>
      <c r="W19">
        <v>0.72577008499999995</v>
      </c>
      <c r="X19">
        <v>0.72577008499999995</v>
      </c>
      <c r="Y19">
        <v>0.72577008499999995</v>
      </c>
      <c r="Z19">
        <v>0.72577008499999995</v>
      </c>
      <c r="AA19">
        <v>0.72577008499999995</v>
      </c>
      <c r="AB19">
        <v>0.72577008499999995</v>
      </c>
      <c r="AC19">
        <v>0.72577008499999995</v>
      </c>
      <c r="AD19">
        <v>0.72577008499999995</v>
      </c>
      <c r="AE19">
        <v>0.72577008499999995</v>
      </c>
      <c r="AF19">
        <v>0.72577008499999995</v>
      </c>
      <c r="AG19">
        <v>0.72577008499999995</v>
      </c>
      <c r="AH19">
        <v>0.72577008499999995</v>
      </c>
      <c r="AI19">
        <v>0.72577008499999995</v>
      </c>
      <c r="AJ19">
        <v>0.72577008499999995</v>
      </c>
      <c r="AK19">
        <v>0.72577008499999995</v>
      </c>
    </row>
    <row r="20" spans="1:37" x14ac:dyDescent="0.25">
      <c r="A20" t="s">
        <v>1982</v>
      </c>
      <c r="B20">
        <v>1.44644951E-2</v>
      </c>
      <c r="C20">
        <v>1.4464495900000001E-2</v>
      </c>
      <c r="D20">
        <v>1.4464495900000001E-2</v>
      </c>
      <c r="E20">
        <v>1.4464495900000001E-2</v>
      </c>
      <c r="F20">
        <v>1.4464495900000001E-2</v>
      </c>
      <c r="G20">
        <v>1.4464495900000001E-2</v>
      </c>
      <c r="H20">
        <v>1.4464495900000001E-2</v>
      </c>
      <c r="I20">
        <v>1.4464495900000001E-2</v>
      </c>
      <c r="J20">
        <v>1.4464495900000001E-2</v>
      </c>
      <c r="K20">
        <v>1.4464495900000001E-2</v>
      </c>
      <c r="L20">
        <v>1.4464495900000001E-2</v>
      </c>
      <c r="M20">
        <v>1.4464495900000001E-2</v>
      </c>
      <c r="N20">
        <v>1.4464495900000001E-2</v>
      </c>
      <c r="O20">
        <v>1.4464495900000001E-2</v>
      </c>
      <c r="P20">
        <v>1.4464495900000001E-2</v>
      </c>
      <c r="Q20">
        <v>1.4464495900000001E-2</v>
      </c>
      <c r="R20">
        <v>1.4464495900000001E-2</v>
      </c>
      <c r="S20">
        <v>1.4464495900000001E-2</v>
      </c>
      <c r="T20">
        <v>1.4464495900000001E-2</v>
      </c>
      <c r="U20">
        <v>1.4464495900000001E-2</v>
      </c>
      <c r="V20">
        <v>1.4464495900000001E-2</v>
      </c>
      <c r="W20">
        <v>1.4464495900000001E-2</v>
      </c>
      <c r="X20">
        <v>1.4464495900000001E-2</v>
      </c>
      <c r="Y20">
        <v>1.4464495900000001E-2</v>
      </c>
      <c r="Z20">
        <v>1.4464495900000001E-2</v>
      </c>
      <c r="AA20">
        <v>1.4464495900000001E-2</v>
      </c>
      <c r="AB20">
        <v>1.4464495900000001E-2</v>
      </c>
      <c r="AC20">
        <v>1.4464495900000001E-2</v>
      </c>
      <c r="AD20">
        <v>1.4464495900000001E-2</v>
      </c>
      <c r="AE20">
        <v>1.4464495900000001E-2</v>
      </c>
      <c r="AF20">
        <v>1.4464495900000001E-2</v>
      </c>
      <c r="AG20">
        <v>1.4464495900000001E-2</v>
      </c>
      <c r="AH20">
        <v>1.4464495900000001E-2</v>
      </c>
      <c r="AI20">
        <v>1.4464495900000001E-2</v>
      </c>
      <c r="AJ20">
        <v>1.4464495900000001E-2</v>
      </c>
      <c r="AK20">
        <v>1.4464495900000001E-2</v>
      </c>
    </row>
    <row r="21" spans="1:37" x14ac:dyDescent="0.25">
      <c r="A21" t="s">
        <v>1983</v>
      </c>
      <c r="B21">
        <v>2.10193412E-2</v>
      </c>
      <c r="C21">
        <v>2.1019342399999998E-2</v>
      </c>
      <c r="D21">
        <v>2.1019342399999998E-2</v>
      </c>
      <c r="E21">
        <v>2.1019342399999998E-2</v>
      </c>
      <c r="F21">
        <v>2.1019342399999998E-2</v>
      </c>
      <c r="G21">
        <v>2.1019342399999998E-2</v>
      </c>
      <c r="H21">
        <v>2.1019342399999998E-2</v>
      </c>
      <c r="I21">
        <v>2.1019342399999998E-2</v>
      </c>
      <c r="J21">
        <v>2.1019342399999998E-2</v>
      </c>
      <c r="K21">
        <v>2.1019342399999998E-2</v>
      </c>
      <c r="L21">
        <v>2.1019342399999998E-2</v>
      </c>
      <c r="M21">
        <v>2.1019342399999998E-2</v>
      </c>
      <c r="N21">
        <v>2.1019342399999998E-2</v>
      </c>
      <c r="O21">
        <v>2.1019342399999998E-2</v>
      </c>
      <c r="P21">
        <v>2.1019342399999998E-2</v>
      </c>
      <c r="Q21">
        <v>2.1019342399999998E-2</v>
      </c>
      <c r="R21">
        <v>2.1019342399999998E-2</v>
      </c>
      <c r="S21">
        <v>2.1019342399999998E-2</v>
      </c>
      <c r="T21">
        <v>2.1019342399999998E-2</v>
      </c>
      <c r="U21">
        <v>2.1019342399999998E-2</v>
      </c>
      <c r="V21">
        <v>2.1019342399999998E-2</v>
      </c>
      <c r="W21">
        <v>2.1019342399999998E-2</v>
      </c>
      <c r="X21">
        <v>2.1019342399999998E-2</v>
      </c>
      <c r="Y21">
        <v>2.1019342399999998E-2</v>
      </c>
      <c r="Z21">
        <v>2.1019342399999998E-2</v>
      </c>
      <c r="AA21">
        <v>2.1019342399999998E-2</v>
      </c>
      <c r="AB21">
        <v>2.1019342399999998E-2</v>
      </c>
      <c r="AC21">
        <v>2.1019342399999998E-2</v>
      </c>
      <c r="AD21">
        <v>2.1019342399999998E-2</v>
      </c>
      <c r="AE21">
        <v>2.1019342399999998E-2</v>
      </c>
      <c r="AF21">
        <v>2.1019342399999998E-2</v>
      </c>
      <c r="AG21">
        <v>2.1019342399999998E-2</v>
      </c>
      <c r="AH21">
        <v>2.1019342399999998E-2</v>
      </c>
      <c r="AI21">
        <v>2.1019342399999998E-2</v>
      </c>
      <c r="AJ21">
        <v>2.1019342399999998E-2</v>
      </c>
      <c r="AK21">
        <v>2.1019342399999998E-2</v>
      </c>
    </row>
    <row r="22" spans="1:37" x14ac:dyDescent="0.25">
      <c r="A22" t="s">
        <v>1984</v>
      </c>
      <c r="B22">
        <v>1.9096190499999999E-2</v>
      </c>
      <c r="C22">
        <v>1.90961916E-2</v>
      </c>
      <c r="D22">
        <v>1.90961916E-2</v>
      </c>
      <c r="E22">
        <v>1.90961916E-2</v>
      </c>
      <c r="F22">
        <v>1.90961916E-2</v>
      </c>
      <c r="G22">
        <v>1.90961916E-2</v>
      </c>
      <c r="H22">
        <v>1.90961916E-2</v>
      </c>
      <c r="I22">
        <v>1.90961916E-2</v>
      </c>
      <c r="J22">
        <v>1.90961916E-2</v>
      </c>
      <c r="K22">
        <v>1.90961916E-2</v>
      </c>
      <c r="L22">
        <v>1.90961916E-2</v>
      </c>
      <c r="M22">
        <v>1.90961916E-2</v>
      </c>
      <c r="N22">
        <v>1.90961916E-2</v>
      </c>
      <c r="O22">
        <v>1.90961916E-2</v>
      </c>
      <c r="P22">
        <v>1.90961916E-2</v>
      </c>
      <c r="Q22">
        <v>1.90961916E-2</v>
      </c>
      <c r="R22">
        <v>1.90961916E-2</v>
      </c>
      <c r="S22">
        <v>1.90961916E-2</v>
      </c>
      <c r="T22">
        <v>1.90961916E-2</v>
      </c>
      <c r="U22">
        <v>1.90961916E-2</v>
      </c>
      <c r="V22">
        <v>1.90961916E-2</v>
      </c>
      <c r="W22">
        <v>1.90961916E-2</v>
      </c>
      <c r="X22">
        <v>1.90961916E-2</v>
      </c>
      <c r="Y22">
        <v>1.90961916E-2</v>
      </c>
      <c r="Z22">
        <v>1.90961916E-2</v>
      </c>
      <c r="AA22">
        <v>1.90961916E-2</v>
      </c>
      <c r="AB22">
        <v>1.90961916E-2</v>
      </c>
      <c r="AC22">
        <v>1.90961916E-2</v>
      </c>
      <c r="AD22">
        <v>1.90961916E-2</v>
      </c>
      <c r="AE22">
        <v>1.90961916E-2</v>
      </c>
      <c r="AF22">
        <v>1.90961916E-2</v>
      </c>
      <c r="AG22">
        <v>1.90961916E-2</v>
      </c>
      <c r="AH22">
        <v>1.90961916E-2</v>
      </c>
      <c r="AI22">
        <v>1.90961916E-2</v>
      </c>
      <c r="AJ22">
        <v>1.90961916E-2</v>
      </c>
      <c r="AK22">
        <v>1.90961916E-2</v>
      </c>
    </row>
    <row r="23" spans="1:37" x14ac:dyDescent="0.25">
      <c r="A23" t="s">
        <v>1985</v>
      </c>
      <c r="B23">
        <v>3.7580969800000003E-2</v>
      </c>
      <c r="C23">
        <v>3.7580913899999999E-2</v>
      </c>
      <c r="D23">
        <v>3.7580913899999999E-2</v>
      </c>
      <c r="E23">
        <v>3.7580913899999999E-2</v>
      </c>
      <c r="F23">
        <v>3.7580913899999999E-2</v>
      </c>
      <c r="G23">
        <v>3.7580913899999999E-2</v>
      </c>
      <c r="H23">
        <v>3.7580913899999999E-2</v>
      </c>
      <c r="I23">
        <v>3.7580913899999999E-2</v>
      </c>
      <c r="J23">
        <v>3.7580913899999999E-2</v>
      </c>
      <c r="K23">
        <v>3.7580913899999999E-2</v>
      </c>
      <c r="L23">
        <v>3.7580913899999999E-2</v>
      </c>
      <c r="M23">
        <v>3.7580913899999999E-2</v>
      </c>
      <c r="N23">
        <v>3.7580913899999999E-2</v>
      </c>
      <c r="O23">
        <v>3.7580913899999999E-2</v>
      </c>
      <c r="P23">
        <v>3.7580913899999999E-2</v>
      </c>
      <c r="Q23">
        <v>3.7580913899999999E-2</v>
      </c>
      <c r="R23">
        <v>3.7580913899999999E-2</v>
      </c>
      <c r="S23">
        <v>3.7580913899999999E-2</v>
      </c>
      <c r="T23">
        <v>3.7580913899999999E-2</v>
      </c>
      <c r="U23">
        <v>3.7580913899999999E-2</v>
      </c>
      <c r="V23">
        <v>3.7580913899999999E-2</v>
      </c>
      <c r="W23">
        <v>3.7580913899999999E-2</v>
      </c>
      <c r="X23">
        <v>3.7580913899999999E-2</v>
      </c>
      <c r="Y23">
        <v>3.7580913899999999E-2</v>
      </c>
      <c r="Z23">
        <v>3.7580913899999999E-2</v>
      </c>
      <c r="AA23">
        <v>3.7580913899999999E-2</v>
      </c>
      <c r="AB23">
        <v>3.7580913899999999E-2</v>
      </c>
      <c r="AC23">
        <v>3.7580913899999999E-2</v>
      </c>
      <c r="AD23">
        <v>3.7580913899999999E-2</v>
      </c>
      <c r="AE23">
        <v>3.7580913899999999E-2</v>
      </c>
      <c r="AF23">
        <v>3.7580913899999999E-2</v>
      </c>
      <c r="AG23">
        <v>3.7580913899999999E-2</v>
      </c>
      <c r="AH23">
        <v>3.7580913899999999E-2</v>
      </c>
      <c r="AI23">
        <v>3.7580913899999999E-2</v>
      </c>
      <c r="AJ23">
        <v>3.7580913899999999E-2</v>
      </c>
      <c r="AK23">
        <v>3.7580913899999999E-2</v>
      </c>
    </row>
    <row r="24" spans="1:37" x14ac:dyDescent="0.25">
      <c r="A24" t="s">
        <v>1986</v>
      </c>
      <c r="B24">
        <v>1.36621179E-2</v>
      </c>
      <c r="C24">
        <v>1.36621187E-2</v>
      </c>
      <c r="D24">
        <v>1.36621187E-2</v>
      </c>
      <c r="E24">
        <v>1.36621187E-2</v>
      </c>
      <c r="F24">
        <v>1.36621187E-2</v>
      </c>
      <c r="G24">
        <v>1.36621187E-2</v>
      </c>
      <c r="H24">
        <v>1.36621187E-2</v>
      </c>
      <c r="I24">
        <v>1.36621187E-2</v>
      </c>
      <c r="J24">
        <v>1.36621187E-2</v>
      </c>
      <c r="K24">
        <v>1.36621187E-2</v>
      </c>
      <c r="L24">
        <v>1.36621187E-2</v>
      </c>
      <c r="M24">
        <v>1.36621187E-2</v>
      </c>
      <c r="N24">
        <v>1.36621187E-2</v>
      </c>
      <c r="O24">
        <v>1.36621187E-2</v>
      </c>
      <c r="P24">
        <v>1.36621187E-2</v>
      </c>
      <c r="Q24">
        <v>1.36621187E-2</v>
      </c>
      <c r="R24">
        <v>1.36621187E-2</v>
      </c>
      <c r="S24">
        <v>1.36621187E-2</v>
      </c>
      <c r="T24">
        <v>1.36621187E-2</v>
      </c>
      <c r="U24">
        <v>1.36621187E-2</v>
      </c>
      <c r="V24">
        <v>1.36621187E-2</v>
      </c>
      <c r="W24">
        <v>1.36621187E-2</v>
      </c>
      <c r="X24">
        <v>1.36621187E-2</v>
      </c>
      <c r="Y24">
        <v>1.36621187E-2</v>
      </c>
      <c r="Z24">
        <v>1.36621187E-2</v>
      </c>
      <c r="AA24">
        <v>1.36621187E-2</v>
      </c>
      <c r="AB24">
        <v>1.36621187E-2</v>
      </c>
      <c r="AC24">
        <v>1.36621187E-2</v>
      </c>
      <c r="AD24">
        <v>1.36621187E-2</v>
      </c>
      <c r="AE24">
        <v>1.36621187E-2</v>
      </c>
      <c r="AF24">
        <v>1.36621187E-2</v>
      </c>
      <c r="AG24">
        <v>1.36621187E-2</v>
      </c>
      <c r="AH24">
        <v>1.36621187E-2</v>
      </c>
      <c r="AI24">
        <v>1.36621187E-2</v>
      </c>
      <c r="AJ24">
        <v>1.36621187E-2</v>
      </c>
      <c r="AK24">
        <v>1.36621187E-2</v>
      </c>
    </row>
    <row r="25" spans="1:37" x14ac:dyDescent="0.25">
      <c r="A25" t="s">
        <v>1987</v>
      </c>
      <c r="B25">
        <v>0.1051730505</v>
      </c>
      <c r="C25">
        <v>0.1051730566</v>
      </c>
      <c r="D25">
        <v>0.1051730566</v>
      </c>
      <c r="E25">
        <v>0.1051730566</v>
      </c>
      <c r="F25">
        <v>0.1051730566</v>
      </c>
      <c r="G25">
        <v>0.1051730566</v>
      </c>
      <c r="H25">
        <v>0.1051730566</v>
      </c>
      <c r="I25">
        <v>0.1051730566</v>
      </c>
      <c r="J25">
        <v>0.1051730566</v>
      </c>
      <c r="K25">
        <v>0.1051730566</v>
      </c>
      <c r="L25">
        <v>0.1051730566</v>
      </c>
      <c r="M25">
        <v>0.1051730566</v>
      </c>
      <c r="N25">
        <v>0.1051730566</v>
      </c>
      <c r="O25">
        <v>0.1051730566</v>
      </c>
      <c r="P25">
        <v>0.1051730566</v>
      </c>
      <c r="Q25">
        <v>0.1051730566</v>
      </c>
      <c r="R25">
        <v>0.1051730566</v>
      </c>
      <c r="S25">
        <v>0.1051730566</v>
      </c>
      <c r="T25">
        <v>0.1051730566</v>
      </c>
      <c r="U25">
        <v>0.1051730566</v>
      </c>
      <c r="V25">
        <v>0.1051730566</v>
      </c>
      <c r="W25">
        <v>0.1051730566</v>
      </c>
      <c r="X25">
        <v>0.1051730566</v>
      </c>
      <c r="Y25">
        <v>0.1051730566</v>
      </c>
      <c r="Z25">
        <v>0.1051730566</v>
      </c>
      <c r="AA25">
        <v>0.1051730566</v>
      </c>
      <c r="AB25">
        <v>0.1051730566</v>
      </c>
      <c r="AC25">
        <v>0.1051730566</v>
      </c>
      <c r="AD25">
        <v>0.1051730566</v>
      </c>
      <c r="AE25">
        <v>0.1051730566</v>
      </c>
      <c r="AF25">
        <v>0.1051730566</v>
      </c>
      <c r="AG25">
        <v>0.1051730566</v>
      </c>
      <c r="AH25">
        <v>0.1051730566</v>
      </c>
      <c r="AI25">
        <v>0.1051730566</v>
      </c>
      <c r="AJ25">
        <v>0.1051730566</v>
      </c>
      <c r="AK25">
        <v>0.1051730566</v>
      </c>
    </row>
    <row r="26" spans="1:37" x14ac:dyDescent="0.25">
      <c r="A26" t="s">
        <v>1988</v>
      </c>
      <c r="B26">
        <v>6.1515785400000002E-2</v>
      </c>
      <c r="C26">
        <v>6.1515789000000001E-2</v>
      </c>
      <c r="D26">
        <v>6.1515789000000001E-2</v>
      </c>
      <c r="E26">
        <v>6.1515789000000001E-2</v>
      </c>
      <c r="F26">
        <v>6.1515789000000001E-2</v>
      </c>
      <c r="G26">
        <v>6.1515789000000001E-2</v>
      </c>
      <c r="H26">
        <v>6.1515789000000001E-2</v>
      </c>
      <c r="I26">
        <v>6.1515789000000001E-2</v>
      </c>
      <c r="J26">
        <v>6.1515789000000001E-2</v>
      </c>
      <c r="K26">
        <v>6.1515789000000001E-2</v>
      </c>
      <c r="L26">
        <v>6.1515789000000001E-2</v>
      </c>
      <c r="M26">
        <v>6.1515789000000001E-2</v>
      </c>
      <c r="N26">
        <v>6.1515789000000001E-2</v>
      </c>
      <c r="O26">
        <v>6.1515789000000001E-2</v>
      </c>
      <c r="P26">
        <v>6.1515789000000001E-2</v>
      </c>
      <c r="Q26">
        <v>6.1515789000000001E-2</v>
      </c>
      <c r="R26">
        <v>6.1515789000000001E-2</v>
      </c>
      <c r="S26">
        <v>6.1515789000000001E-2</v>
      </c>
      <c r="T26">
        <v>6.1515789000000001E-2</v>
      </c>
      <c r="U26">
        <v>6.1515789000000001E-2</v>
      </c>
      <c r="V26">
        <v>6.1515789000000001E-2</v>
      </c>
      <c r="W26">
        <v>6.1515789000000001E-2</v>
      </c>
      <c r="X26">
        <v>6.1515789000000001E-2</v>
      </c>
      <c r="Y26">
        <v>6.1515789000000001E-2</v>
      </c>
      <c r="Z26">
        <v>6.1515789000000001E-2</v>
      </c>
      <c r="AA26">
        <v>6.1515789000000001E-2</v>
      </c>
      <c r="AB26">
        <v>6.1515789000000001E-2</v>
      </c>
      <c r="AC26">
        <v>6.1515789000000001E-2</v>
      </c>
      <c r="AD26">
        <v>6.1515789000000001E-2</v>
      </c>
      <c r="AE26">
        <v>6.1515789000000001E-2</v>
      </c>
      <c r="AF26">
        <v>6.1515789000000001E-2</v>
      </c>
      <c r="AG26">
        <v>6.1515789000000001E-2</v>
      </c>
      <c r="AH26">
        <v>6.1515789000000001E-2</v>
      </c>
      <c r="AI26">
        <v>6.1515789000000001E-2</v>
      </c>
      <c r="AJ26">
        <v>6.1515789000000001E-2</v>
      </c>
      <c r="AK26">
        <v>6.1515789000000001E-2</v>
      </c>
    </row>
    <row r="27" spans="1:37" x14ac:dyDescent="0.25">
      <c r="A27" t="s">
        <v>1989</v>
      </c>
      <c r="B27">
        <v>1.71800688E-3</v>
      </c>
      <c r="C27">
        <v>1.71800698E-3</v>
      </c>
      <c r="D27">
        <v>1.71800698E-3</v>
      </c>
      <c r="E27">
        <v>1.71800698E-3</v>
      </c>
      <c r="F27">
        <v>1.71800698E-3</v>
      </c>
      <c r="G27">
        <v>1.71800698E-3</v>
      </c>
      <c r="H27">
        <v>1.71800698E-3</v>
      </c>
      <c r="I27">
        <v>1.71800698E-3</v>
      </c>
      <c r="J27">
        <v>1.71800698E-3</v>
      </c>
      <c r="K27">
        <v>1.71800698E-3</v>
      </c>
      <c r="L27">
        <v>1.71800698E-3</v>
      </c>
      <c r="M27">
        <v>1.71800698E-3</v>
      </c>
      <c r="N27">
        <v>1.71800698E-3</v>
      </c>
      <c r="O27">
        <v>1.71800698E-3</v>
      </c>
      <c r="P27">
        <v>1.71800698E-3</v>
      </c>
      <c r="Q27">
        <v>1.71800698E-3</v>
      </c>
      <c r="R27">
        <v>1.71800698E-3</v>
      </c>
      <c r="S27">
        <v>1.71800698E-3</v>
      </c>
      <c r="T27">
        <v>1.71800698E-3</v>
      </c>
      <c r="U27">
        <v>1.71800698E-3</v>
      </c>
      <c r="V27">
        <v>1.71800698E-3</v>
      </c>
      <c r="W27">
        <v>1.71800698E-3</v>
      </c>
      <c r="X27">
        <v>1.71800698E-3</v>
      </c>
      <c r="Y27">
        <v>1.71800698E-3</v>
      </c>
      <c r="Z27">
        <v>1.71800698E-3</v>
      </c>
      <c r="AA27">
        <v>1.71800698E-3</v>
      </c>
      <c r="AB27">
        <v>1.71800698E-3</v>
      </c>
      <c r="AC27">
        <v>1.71800698E-3</v>
      </c>
      <c r="AD27">
        <v>1.71800698E-3</v>
      </c>
      <c r="AE27">
        <v>1.71800698E-3</v>
      </c>
      <c r="AF27">
        <v>1.71800698E-3</v>
      </c>
      <c r="AG27">
        <v>1.71800698E-3</v>
      </c>
      <c r="AH27">
        <v>1.71800698E-3</v>
      </c>
      <c r="AI27">
        <v>1.71800698E-3</v>
      </c>
      <c r="AJ27">
        <v>1.71800698E-3</v>
      </c>
      <c r="AK27">
        <v>1.71800698E-3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468</v>
      </c>
      <c r="B2">
        <v>291099.78360000002</v>
      </c>
      <c r="C2">
        <v>295820.9878</v>
      </c>
      <c r="D2">
        <v>300398.3077</v>
      </c>
      <c r="E2">
        <v>304939.29479999997</v>
      </c>
      <c r="F2">
        <v>309486.94099999999</v>
      </c>
      <c r="G2">
        <v>314040.24489999999</v>
      </c>
      <c r="H2">
        <v>318658.45140000002</v>
      </c>
      <c r="I2">
        <v>323442.26579999999</v>
      </c>
      <c r="J2">
        <v>328421.13270000002</v>
      </c>
      <c r="K2">
        <v>333574.54950000002</v>
      </c>
      <c r="L2">
        <v>338859.978</v>
      </c>
      <c r="M2">
        <v>344226.6899</v>
      </c>
      <c r="N2">
        <v>349622.81410000002</v>
      </c>
      <c r="O2">
        <v>354999.01899999997</v>
      </c>
      <c r="P2">
        <v>360310.57549999998</v>
      </c>
      <c r="Q2">
        <v>365518.71629999997</v>
      </c>
      <c r="R2">
        <v>370661.37839999999</v>
      </c>
      <c r="S2">
        <v>375836.59259999997</v>
      </c>
      <c r="T2">
        <v>381104.41200000001</v>
      </c>
      <c r="U2">
        <v>386493.00099999999</v>
      </c>
      <c r="V2">
        <v>392014.58510000003</v>
      </c>
      <c r="W2">
        <v>397673.37530000001</v>
      </c>
      <c r="X2">
        <v>403469.62199999997</v>
      </c>
      <c r="Y2">
        <v>409401.63660000003</v>
      </c>
      <c r="Z2">
        <v>415466.73379999999</v>
      </c>
      <c r="AA2">
        <v>421661.63250000001</v>
      </c>
      <c r="AB2">
        <v>427982.61619999999</v>
      </c>
      <c r="AC2">
        <v>434425.6116</v>
      </c>
      <c r="AD2">
        <v>440986.2562</v>
      </c>
      <c r="AE2">
        <v>447659.98239999998</v>
      </c>
      <c r="AF2">
        <v>454442.11249999999</v>
      </c>
      <c r="AG2">
        <v>461327.96309999999</v>
      </c>
      <c r="AH2">
        <v>468312.94559999998</v>
      </c>
      <c r="AI2">
        <v>475392.6568</v>
      </c>
      <c r="AJ2">
        <v>482562.95480000001</v>
      </c>
      <c r="AK2">
        <v>489820.02059999999</v>
      </c>
    </row>
    <row r="3" spans="1:37" x14ac:dyDescent="0.25">
      <c r="A3" t="s">
        <v>1954</v>
      </c>
      <c r="B3">
        <v>724102.94209999999</v>
      </c>
      <c r="C3">
        <v>715355.48509999993</v>
      </c>
      <c r="D3">
        <v>710971.41559999995</v>
      </c>
      <c r="E3">
        <v>709498.47699999996</v>
      </c>
      <c r="F3">
        <v>709947.49209999992</v>
      </c>
      <c r="G3">
        <v>711651.17420000001</v>
      </c>
      <c r="H3">
        <v>714212.50600000005</v>
      </c>
      <c r="I3">
        <v>717410.59720000008</v>
      </c>
      <c r="J3">
        <v>721079.02309999999</v>
      </c>
      <c r="K3">
        <v>725085.74430000002</v>
      </c>
      <c r="L3">
        <v>729322.26419999998</v>
      </c>
      <c r="M3">
        <v>733696.15500000003</v>
      </c>
      <c r="N3">
        <v>738125.90430000005</v>
      </c>
      <c r="O3">
        <v>742537.43129999994</v>
      </c>
      <c r="P3">
        <v>746861.77770000009</v>
      </c>
      <c r="Q3">
        <v>751033.62899999996</v>
      </c>
      <c r="R3">
        <v>755045.86499999999</v>
      </c>
      <c r="S3">
        <v>758941.1361</v>
      </c>
      <c r="T3">
        <v>762741.97089999996</v>
      </c>
      <c r="U3">
        <v>766458.72139999992</v>
      </c>
      <c r="V3">
        <v>770096.054</v>
      </c>
      <c r="W3">
        <v>773656.44149999996</v>
      </c>
      <c r="X3">
        <v>777141.92430000007</v>
      </c>
      <c r="Y3">
        <v>780554.97270000004</v>
      </c>
      <c r="Z3">
        <v>783898.90880000009</v>
      </c>
      <c r="AA3">
        <v>787178.12680000009</v>
      </c>
      <c r="AB3">
        <v>790398.22849999997</v>
      </c>
      <c r="AC3">
        <v>793566.12740000011</v>
      </c>
      <c r="AD3">
        <v>796690.14370000002</v>
      </c>
      <c r="AE3">
        <v>799780.09400000004</v>
      </c>
      <c r="AF3">
        <v>802847.36979999999</v>
      </c>
      <c r="AG3">
        <v>805904.995</v>
      </c>
      <c r="AH3">
        <v>808967.65130000003</v>
      </c>
      <c r="AI3">
        <v>812051.65810000012</v>
      </c>
      <c r="AJ3">
        <v>815174.89819999994</v>
      </c>
      <c r="AK3">
        <v>818356.68</v>
      </c>
    </row>
    <row r="4" spans="1:37" x14ac:dyDescent="0.25">
      <c r="A4" t="s">
        <v>1955</v>
      </c>
      <c r="B4">
        <v>624600.3419</v>
      </c>
      <c r="C4">
        <v>618861.96189999999</v>
      </c>
      <c r="D4">
        <v>616086.93689999997</v>
      </c>
      <c r="E4">
        <v>615320.54669999995</v>
      </c>
      <c r="F4">
        <v>615893.36690000002</v>
      </c>
      <c r="G4">
        <v>617345.72360000003</v>
      </c>
      <c r="H4">
        <v>619400.72259999998</v>
      </c>
      <c r="I4">
        <v>621904.13670000003</v>
      </c>
      <c r="J4">
        <v>624740.22400000005</v>
      </c>
      <c r="K4">
        <v>627815.98160000006</v>
      </c>
      <c r="L4">
        <v>631054.33169999998</v>
      </c>
      <c r="M4">
        <v>634389.26899999997</v>
      </c>
      <c r="N4">
        <v>637762.4621</v>
      </c>
      <c r="O4">
        <v>641120.92130000005</v>
      </c>
      <c r="P4">
        <v>644415.42070000002</v>
      </c>
      <c r="Q4">
        <v>647599.45519999997</v>
      </c>
      <c r="R4">
        <v>650667.15260000003</v>
      </c>
      <c r="S4">
        <v>653648.66249999998</v>
      </c>
      <c r="T4">
        <v>656561.12890000001</v>
      </c>
      <c r="U4">
        <v>659412.598</v>
      </c>
      <c r="V4">
        <v>662206.8088</v>
      </c>
      <c r="W4">
        <v>664945.7463</v>
      </c>
      <c r="X4">
        <v>667630.94429999997</v>
      </c>
      <c r="Y4">
        <v>670264.13899999997</v>
      </c>
      <c r="Z4">
        <v>672847.59730000002</v>
      </c>
      <c r="AA4">
        <v>675384.29240000003</v>
      </c>
      <c r="AB4">
        <v>677878.0111</v>
      </c>
      <c r="AC4">
        <v>680333.43480000005</v>
      </c>
      <c r="AD4">
        <v>682756.21230000001</v>
      </c>
      <c r="AE4">
        <v>685153.02679999999</v>
      </c>
      <c r="AF4">
        <v>687531.65610000002</v>
      </c>
      <c r="AG4">
        <v>689901.01630000002</v>
      </c>
      <c r="AH4">
        <v>692271.18229999999</v>
      </c>
      <c r="AI4">
        <v>694653.37569999998</v>
      </c>
      <c r="AJ4">
        <v>697059.91249999998</v>
      </c>
      <c r="AK4">
        <v>699504.10530000005</v>
      </c>
    </row>
    <row r="5" spans="1:37" x14ac:dyDescent="0.25">
      <c r="A5" t="s">
        <v>1956</v>
      </c>
      <c r="B5">
        <v>554271.6422</v>
      </c>
      <c r="C5">
        <v>547921.7966</v>
      </c>
      <c r="D5">
        <v>544690.45169999998</v>
      </c>
      <c r="E5">
        <v>543539.71470000001</v>
      </c>
      <c r="F5">
        <v>543761.34439999994</v>
      </c>
      <c r="G5">
        <v>544877.08310000005</v>
      </c>
      <c r="H5">
        <v>546602.28870000003</v>
      </c>
      <c r="I5">
        <v>548778.59900000005</v>
      </c>
      <c r="J5">
        <v>551286.77989999996</v>
      </c>
      <c r="K5">
        <v>554032.30870000005</v>
      </c>
      <c r="L5">
        <v>556937.57389999996</v>
      </c>
      <c r="M5">
        <v>559936.54229999997</v>
      </c>
      <c r="N5">
        <v>562971.08909999998</v>
      </c>
      <c r="O5">
        <v>565988.51489999995</v>
      </c>
      <c r="P5">
        <v>568939.89820000005</v>
      </c>
      <c r="Q5">
        <v>571779.03599999996</v>
      </c>
      <c r="R5">
        <v>574501.20299999998</v>
      </c>
      <c r="S5">
        <v>577137.04790000001</v>
      </c>
      <c r="T5">
        <v>579702.89159999997</v>
      </c>
      <c r="U5">
        <v>582206.35889999999</v>
      </c>
      <c r="V5">
        <v>584650.97450000001</v>
      </c>
      <c r="W5">
        <v>587038.66399999999</v>
      </c>
      <c r="X5">
        <v>589371.02410000004</v>
      </c>
      <c r="Y5">
        <v>591649.946</v>
      </c>
      <c r="Z5">
        <v>593877.92000000004</v>
      </c>
      <c r="AA5">
        <v>596058.19220000005</v>
      </c>
      <c r="AB5">
        <v>598194.85829999996</v>
      </c>
      <c r="AC5">
        <v>600292.93370000005</v>
      </c>
      <c r="AD5">
        <v>602358.41509999998</v>
      </c>
      <c r="AE5">
        <v>604398.3382</v>
      </c>
      <c r="AF5">
        <v>606420.8273</v>
      </c>
      <c r="AG5">
        <v>608435.13029999996</v>
      </c>
      <c r="AH5">
        <v>610451.63080000004</v>
      </c>
      <c r="AI5">
        <v>612481.82940000005</v>
      </c>
      <c r="AJ5">
        <v>614538.28729999997</v>
      </c>
      <c r="AK5">
        <v>616634.52540000004</v>
      </c>
    </row>
    <row r="6" spans="1:37" x14ac:dyDescent="0.25">
      <c r="A6" t="s">
        <v>472</v>
      </c>
      <c r="B6">
        <v>70328.699649999995</v>
      </c>
      <c r="C6">
        <v>70321.713780000005</v>
      </c>
      <c r="D6">
        <v>70422.251279999997</v>
      </c>
      <c r="E6">
        <v>70597.879260000002</v>
      </c>
      <c r="F6">
        <v>70825.341199999995</v>
      </c>
      <c r="G6">
        <v>71088.353579999995</v>
      </c>
      <c r="H6">
        <v>71376.449590000004</v>
      </c>
      <c r="I6">
        <v>71684.112040000007</v>
      </c>
      <c r="J6">
        <v>72007.760439999998</v>
      </c>
      <c r="K6">
        <v>72343.932499999995</v>
      </c>
      <c r="L6">
        <v>72689.392810000005</v>
      </c>
      <c r="M6">
        <v>73041.122340000002</v>
      </c>
      <c r="N6">
        <v>73396.292589999997</v>
      </c>
      <c r="O6">
        <v>73752.238639999996</v>
      </c>
      <c r="P6">
        <v>74106.43045</v>
      </c>
      <c r="Q6">
        <v>74456.445430000007</v>
      </c>
      <c r="R6">
        <v>74801.305129999993</v>
      </c>
      <c r="S6">
        <v>75142.139009999999</v>
      </c>
      <c r="T6">
        <v>75480.232430000004</v>
      </c>
      <c r="U6">
        <v>75816.213440000007</v>
      </c>
      <c r="V6">
        <v>76150.391459999999</v>
      </c>
      <c r="W6">
        <v>76482.908320000002</v>
      </c>
      <c r="X6">
        <v>76813.818719999996</v>
      </c>
      <c r="Y6">
        <v>77143.137499999997</v>
      </c>
      <c r="Z6">
        <v>77470.867970000007</v>
      </c>
      <c r="AA6">
        <v>77797.01917</v>
      </c>
      <c r="AB6">
        <v>78121.616959999999</v>
      </c>
      <c r="AC6">
        <v>78444.71226</v>
      </c>
      <c r="AD6">
        <v>78766.388210000005</v>
      </c>
      <c r="AE6">
        <v>79086.767009999996</v>
      </c>
      <c r="AF6">
        <v>79406.016260000004</v>
      </c>
      <c r="AG6">
        <v>79724.35454</v>
      </c>
      <c r="AH6">
        <v>80042.055619999999</v>
      </c>
      <c r="AI6">
        <v>80359.450830000002</v>
      </c>
      <c r="AJ6">
        <v>80676.929210000002</v>
      </c>
      <c r="AK6">
        <v>80994.935169999997</v>
      </c>
    </row>
    <row r="7" spans="1:37" x14ac:dyDescent="0.25">
      <c r="A7" t="s">
        <v>1957</v>
      </c>
      <c r="B7">
        <v>275159.80609999999</v>
      </c>
      <c r="C7">
        <v>270792.35190000001</v>
      </c>
      <c r="D7">
        <v>268629.34490000003</v>
      </c>
      <c r="E7">
        <v>267925.60129999998</v>
      </c>
      <c r="F7">
        <v>268182.20030000003</v>
      </c>
      <c r="G7">
        <v>269066.09120000002</v>
      </c>
      <c r="H7">
        <v>270380.44839999999</v>
      </c>
      <c r="I7">
        <v>272015.85159999999</v>
      </c>
      <c r="J7">
        <v>273889.6005</v>
      </c>
      <c r="K7">
        <v>275936.37920000002</v>
      </c>
      <c r="L7">
        <v>278102.65539999999</v>
      </c>
      <c r="M7">
        <v>280342.81929999997</v>
      </c>
      <c r="N7">
        <v>282616.53149999998</v>
      </c>
      <c r="O7">
        <v>284886.9436</v>
      </c>
      <c r="P7">
        <v>287119.53370000003</v>
      </c>
      <c r="Q7">
        <v>289281.37699999998</v>
      </c>
      <c r="R7">
        <v>291368.74900000001</v>
      </c>
      <c r="S7">
        <v>293402.5932</v>
      </c>
      <c r="T7">
        <v>295393.37459999998</v>
      </c>
      <c r="U7">
        <v>297345.67910000001</v>
      </c>
      <c r="V7">
        <v>299261.41629999998</v>
      </c>
      <c r="W7">
        <v>301141.51659999997</v>
      </c>
      <c r="X7">
        <v>302986.77299999999</v>
      </c>
      <c r="Y7">
        <v>304798.2451</v>
      </c>
      <c r="Z7">
        <v>306577.45500000002</v>
      </c>
      <c r="AA7">
        <v>308326.4915</v>
      </c>
      <c r="AB7">
        <v>310048.07659999997</v>
      </c>
      <c r="AC7">
        <v>311745.6214</v>
      </c>
      <c r="AD7">
        <v>313423.27899999998</v>
      </c>
      <c r="AE7">
        <v>315085.9952</v>
      </c>
      <c r="AF7">
        <v>316739.5551</v>
      </c>
      <c r="AG7">
        <v>318390.61820000003</v>
      </c>
      <c r="AH7">
        <v>320046.73719999997</v>
      </c>
      <c r="AI7">
        <v>321716.35340000002</v>
      </c>
      <c r="AJ7">
        <v>323408.76360000001</v>
      </c>
      <c r="AK7">
        <v>325134.0552</v>
      </c>
    </row>
    <row r="8" spans="1:37" x14ac:dyDescent="0.25">
      <c r="A8" t="s">
        <v>1958</v>
      </c>
      <c r="B8">
        <v>169831.29990000001</v>
      </c>
      <c r="C8">
        <v>167433.68849999999</v>
      </c>
      <c r="D8">
        <v>166280.9639</v>
      </c>
      <c r="E8">
        <v>165958.7623</v>
      </c>
      <c r="F8">
        <v>166186.1477</v>
      </c>
      <c r="G8">
        <v>166774.09109999999</v>
      </c>
      <c r="H8">
        <v>167610.21729999999</v>
      </c>
      <c r="I8">
        <v>168631.9982</v>
      </c>
      <c r="J8">
        <v>169792.2432</v>
      </c>
      <c r="K8">
        <v>171053.4356</v>
      </c>
      <c r="L8">
        <v>172384.69029999999</v>
      </c>
      <c r="M8">
        <v>173759.6127</v>
      </c>
      <c r="N8">
        <v>175154.81520000001</v>
      </c>
      <c r="O8">
        <v>176548.91639999999</v>
      </c>
      <c r="P8">
        <v>177921.87950000001</v>
      </c>
      <c r="Q8">
        <v>179254.59299999999</v>
      </c>
      <c r="R8">
        <v>180544.66200000001</v>
      </c>
      <c r="S8">
        <v>181804.0882</v>
      </c>
      <c r="T8">
        <v>183039.07930000001</v>
      </c>
      <c r="U8">
        <v>184252.36249999999</v>
      </c>
      <c r="V8">
        <v>185445.07949999999</v>
      </c>
      <c r="W8">
        <v>186617.7775</v>
      </c>
      <c r="X8">
        <v>187770.9002</v>
      </c>
      <c r="Y8">
        <v>188905.02669999999</v>
      </c>
      <c r="Z8">
        <v>190020.98879999999</v>
      </c>
      <c r="AA8">
        <v>191119.93460000001</v>
      </c>
      <c r="AB8">
        <v>192203.3702</v>
      </c>
      <c r="AC8">
        <v>193273.1937</v>
      </c>
      <c r="AD8">
        <v>194331.7286</v>
      </c>
      <c r="AE8">
        <v>195381.75580000001</v>
      </c>
      <c r="AF8">
        <v>196426.54250000001</v>
      </c>
      <c r="AG8">
        <v>197469.86470000001</v>
      </c>
      <c r="AH8">
        <v>198516.02050000001</v>
      </c>
      <c r="AI8">
        <v>199569.82870000001</v>
      </c>
      <c r="AJ8">
        <v>200636.6109</v>
      </c>
      <c r="AK8">
        <v>201722.15460000001</v>
      </c>
    </row>
    <row r="9" spans="1:37" x14ac:dyDescent="0.25">
      <c r="A9" t="s">
        <v>475</v>
      </c>
      <c r="B9">
        <v>105328.5062</v>
      </c>
      <c r="C9">
        <v>106469.6841</v>
      </c>
      <c r="D9">
        <v>107456.71950000001</v>
      </c>
      <c r="E9">
        <v>108342.2931</v>
      </c>
      <c r="F9">
        <v>109165.3447</v>
      </c>
      <c r="G9">
        <v>109953.23</v>
      </c>
      <c r="H9">
        <v>110720.406</v>
      </c>
      <c r="I9">
        <v>111476.07030000001</v>
      </c>
      <c r="J9">
        <v>112229.3395</v>
      </c>
      <c r="K9">
        <v>112985.4523</v>
      </c>
      <c r="L9">
        <v>113747.46859999999</v>
      </c>
      <c r="M9">
        <v>114517.1305</v>
      </c>
      <c r="N9">
        <v>115295.3995</v>
      </c>
      <c r="O9">
        <v>116082.798</v>
      </c>
      <c r="P9">
        <v>116879.60769999999</v>
      </c>
      <c r="Q9">
        <v>117685.973</v>
      </c>
      <c r="R9">
        <v>118499.287</v>
      </c>
      <c r="S9">
        <v>119317.6311</v>
      </c>
      <c r="T9">
        <v>120142.30469999999</v>
      </c>
      <c r="U9">
        <v>120973.9725</v>
      </c>
      <c r="V9">
        <v>121813.011</v>
      </c>
      <c r="W9">
        <v>122659.5482</v>
      </c>
      <c r="X9">
        <v>123513.4868</v>
      </c>
      <c r="Y9">
        <v>124374.5373</v>
      </c>
      <c r="Z9">
        <v>125242.2507</v>
      </c>
      <c r="AA9">
        <v>126116.0436</v>
      </c>
      <c r="AB9">
        <v>126995.2167</v>
      </c>
      <c r="AC9">
        <v>127878.9681</v>
      </c>
      <c r="AD9">
        <v>128766.4071</v>
      </c>
      <c r="AE9">
        <v>129656.56660000001</v>
      </c>
      <c r="AF9">
        <v>130548.4167</v>
      </c>
      <c r="AG9">
        <v>131440.87839999999</v>
      </c>
      <c r="AH9">
        <v>132332.83660000001</v>
      </c>
      <c r="AI9">
        <v>133223.1532</v>
      </c>
      <c r="AJ9">
        <v>134110.67970000001</v>
      </c>
      <c r="AK9">
        <v>134994.26980000001</v>
      </c>
    </row>
    <row r="10" spans="1:37" x14ac:dyDescent="0.25">
      <c r="A10" t="s">
        <v>477</v>
      </c>
      <c r="B10">
        <v>291099.78360000002</v>
      </c>
      <c r="C10">
        <v>295997.44150000002</v>
      </c>
      <c r="D10">
        <v>300860.60800000001</v>
      </c>
      <c r="E10">
        <v>305754.87800000003</v>
      </c>
      <c r="F10">
        <v>310735.6605</v>
      </c>
      <c r="G10">
        <v>315838.9644</v>
      </c>
      <c r="H10">
        <v>321084.30790000001</v>
      </c>
      <c r="I10">
        <v>326479.86459999997</v>
      </c>
      <c r="J10">
        <v>332026.96090000001</v>
      </c>
      <c r="K10">
        <v>337723.35519999999</v>
      </c>
      <c r="L10">
        <v>343565.3982</v>
      </c>
      <c r="M10">
        <v>349549.32539999997</v>
      </c>
      <c r="N10">
        <v>355671.92719999998</v>
      </c>
      <c r="O10">
        <v>361930.81599999999</v>
      </c>
      <c r="P10">
        <v>368324.43609999999</v>
      </c>
      <c r="Q10">
        <v>374851.94339999999</v>
      </c>
      <c r="R10">
        <v>381513.0306</v>
      </c>
      <c r="S10">
        <v>388307.75079999998</v>
      </c>
      <c r="T10">
        <v>395236.36489999999</v>
      </c>
      <c r="U10">
        <v>402299.2279</v>
      </c>
      <c r="V10">
        <v>409496.71620000002</v>
      </c>
      <c r="W10">
        <v>416829.1923</v>
      </c>
      <c r="X10">
        <v>424297.00069999998</v>
      </c>
      <c r="Y10">
        <v>431900.48469999997</v>
      </c>
      <c r="Z10">
        <v>439640.01760000002</v>
      </c>
      <c r="AA10">
        <v>447516.04100000003</v>
      </c>
      <c r="AB10">
        <v>455529.103</v>
      </c>
      <c r="AC10">
        <v>463679.89429999999</v>
      </c>
      <c r="AD10">
        <v>471969.27830000001</v>
      </c>
      <c r="AE10">
        <v>480398.31359999999</v>
      </c>
      <c r="AF10">
        <v>488968.27010000002</v>
      </c>
      <c r="AG10">
        <v>497680.63689999998</v>
      </c>
      <c r="AH10">
        <v>506537.12449999998</v>
      </c>
      <c r="AI10">
        <v>515539.66230000003</v>
      </c>
      <c r="AJ10">
        <v>524690.39119999995</v>
      </c>
      <c r="AK10">
        <v>533991.65390000003</v>
      </c>
    </row>
    <row r="11" spans="1:37" x14ac:dyDescent="0.25">
      <c r="A11" t="s">
        <v>1959</v>
      </c>
      <c r="B11">
        <v>724102.94209999999</v>
      </c>
      <c r="C11">
        <v>715470.96420000005</v>
      </c>
      <c r="D11">
        <v>711264.17420000001</v>
      </c>
      <c r="E11">
        <v>710013.51729999995</v>
      </c>
      <c r="F11">
        <v>710740.20549999992</v>
      </c>
      <c r="G11">
        <v>712802.83059999999</v>
      </c>
      <c r="H11">
        <v>715783.55300000007</v>
      </c>
      <c r="I11">
        <v>719409.00319999992</v>
      </c>
      <c r="J11">
        <v>723497.84840000002</v>
      </c>
      <c r="K11">
        <v>727927.14669999992</v>
      </c>
      <c r="L11">
        <v>732611.2169</v>
      </c>
      <c r="M11">
        <v>737488.53029999998</v>
      </c>
      <c r="N11">
        <v>742513.60239999997</v>
      </c>
      <c r="O11">
        <v>747651.94299999997</v>
      </c>
      <c r="P11">
        <v>752876.85309999995</v>
      </c>
      <c r="Q11">
        <v>758167.33740000008</v>
      </c>
      <c r="R11">
        <v>763506.69459999993</v>
      </c>
      <c r="S11">
        <v>768881.53280000004</v>
      </c>
      <c r="T11">
        <v>774281.05739999993</v>
      </c>
      <c r="U11">
        <v>779696.54409999994</v>
      </c>
      <c r="V11">
        <v>785120.94160000002</v>
      </c>
      <c r="W11">
        <v>790548.56869999995</v>
      </c>
      <c r="X11">
        <v>795974.88120000006</v>
      </c>
      <c r="Y11">
        <v>801396.29200000002</v>
      </c>
      <c r="Z11">
        <v>806810.02989999996</v>
      </c>
      <c r="AA11">
        <v>812214.02650000004</v>
      </c>
      <c r="AB11">
        <v>817606.82510000002</v>
      </c>
      <c r="AC11">
        <v>822987.50319999992</v>
      </c>
      <c r="AD11">
        <v>828355.60679999995</v>
      </c>
      <c r="AE11">
        <v>833711.09100000001</v>
      </c>
      <c r="AF11">
        <v>839054.26630000002</v>
      </c>
      <c r="AG11">
        <v>844385.74970000004</v>
      </c>
      <c r="AH11">
        <v>849706.41840000008</v>
      </c>
      <c r="AI11">
        <v>855017.3674000001</v>
      </c>
      <c r="AJ11">
        <v>860319.86919999996</v>
      </c>
      <c r="AK11">
        <v>865615.33759999997</v>
      </c>
    </row>
    <row r="12" spans="1:37" x14ac:dyDescent="0.25">
      <c r="A12" t="s">
        <v>1960</v>
      </c>
      <c r="B12">
        <v>624600.3419</v>
      </c>
      <c r="C12">
        <v>618939.61120000004</v>
      </c>
      <c r="D12">
        <v>616289.43500000006</v>
      </c>
      <c r="E12">
        <v>615681.22320000001</v>
      </c>
      <c r="F12">
        <v>616451.95389999996</v>
      </c>
      <c r="G12">
        <v>618159.90930000006</v>
      </c>
      <c r="H12">
        <v>620514.29520000005</v>
      </c>
      <c r="I12">
        <v>623323.46100000001</v>
      </c>
      <c r="J12">
        <v>626459.5368</v>
      </c>
      <c r="K12">
        <v>629835.38020000001</v>
      </c>
      <c r="L12">
        <v>633389.97979999997</v>
      </c>
      <c r="M12">
        <v>637079.35979999998</v>
      </c>
      <c r="N12">
        <v>640870.9351</v>
      </c>
      <c r="O12">
        <v>644739.98120000004</v>
      </c>
      <c r="P12">
        <v>648667.38100000005</v>
      </c>
      <c r="Q12">
        <v>652638.14320000005</v>
      </c>
      <c r="R12">
        <v>656640.39099999995</v>
      </c>
      <c r="S12">
        <v>660664.64899999998</v>
      </c>
      <c r="T12">
        <v>664703.32200000004</v>
      </c>
      <c r="U12">
        <v>668750.30799999996</v>
      </c>
      <c r="V12">
        <v>672800.70490000001</v>
      </c>
      <c r="W12">
        <v>676850.58810000005</v>
      </c>
      <c r="X12">
        <v>680896.83929999999</v>
      </c>
      <c r="Y12">
        <v>684937.01569999999</v>
      </c>
      <c r="Z12">
        <v>688969.24739999999</v>
      </c>
      <c r="AA12">
        <v>692992.15709999995</v>
      </c>
      <c r="AB12">
        <v>697004.7942</v>
      </c>
      <c r="AC12">
        <v>701006.58039999998</v>
      </c>
      <c r="AD12">
        <v>704997.26289999997</v>
      </c>
      <c r="AE12">
        <v>708976.87219999998</v>
      </c>
      <c r="AF12">
        <v>712945.68489999999</v>
      </c>
      <c r="AG12">
        <v>716904.18790000002</v>
      </c>
      <c r="AH12">
        <v>720853.0466</v>
      </c>
      <c r="AI12">
        <v>724793.07429999998</v>
      </c>
      <c r="AJ12">
        <v>728725.20369999995</v>
      </c>
      <c r="AK12">
        <v>732650.46189999999</v>
      </c>
    </row>
    <row r="13" spans="1:37" x14ac:dyDescent="0.25">
      <c r="A13" t="s">
        <v>1961</v>
      </c>
      <c r="B13">
        <v>554271.6422</v>
      </c>
      <c r="C13">
        <v>548004.88430000003</v>
      </c>
      <c r="D13">
        <v>544901.18830000004</v>
      </c>
      <c r="E13">
        <v>543910.57479999994</v>
      </c>
      <c r="F13">
        <v>544332.11219999997</v>
      </c>
      <c r="G13">
        <v>545705.99380000005</v>
      </c>
      <c r="H13">
        <v>547732.54890000005</v>
      </c>
      <c r="I13">
        <v>550215.72129999998</v>
      </c>
      <c r="J13">
        <v>553025.51289999997</v>
      </c>
      <c r="K13">
        <v>556073.84849999996</v>
      </c>
      <c r="L13">
        <v>559299.40390000003</v>
      </c>
      <c r="M13">
        <v>562658.18850000005</v>
      </c>
      <c r="N13">
        <v>566117.71869999997</v>
      </c>
      <c r="O13">
        <v>569653.39020000002</v>
      </c>
      <c r="P13">
        <v>573246.17810000002</v>
      </c>
      <c r="Q13">
        <v>576881.14040000003</v>
      </c>
      <c r="R13">
        <v>580546.40819999995</v>
      </c>
      <c r="S13">
        <v>584232.48140000005</v>
      </c>
      <c r="T13">
        <v>587931.71959999995</v>
      </c>
      <c r="U13">
        <v>591637.96519999998</v>
      </c>
      <c r="V13">
        <v>595346.25890000002</v>
      </c>
      <c r="W13">
        <v>599052.62199999997</v>
      </c>
      <c r="X13">
        <v>602753.88890000002</v>
      </c>
      <c r="Y13">
        <v>606447.57700000005</v>
      </c>
      <c r="Z13">
        <v>610131.78419999999</v>
      </c>
      <c r="AA13">
        <v>613805.10640000005</v>
      </c>
      <c r="AB13">
        <v>617466.57149999996</v>
      </c>
      <c r="AC13">
        <v>621115.58239999996</v>
      </c>
      <c r="AD13">
        <v>624751.86930000002</v>
      </c>
      <c r="AE13">
        <v>628375.44669999997</v>
      </c>
      <c r="AF13">
        <v>631986.57440000004</v>
      </c>
      <c r="AG13">
        <v>635585.72259999998</v>
      </c>
      <c r="AH13">
        <v>639173.53870000003</v>
      </c>
      <c r="AI13">
        <v>642750.81740000006</v>
      </c>
      <c r="AJ13">
        <v>646318.47199999995</v>
      </c>
      <c r="AK13">
        <v>649877.50930000003</v>
      </c>
    </row>
    <row r="14" spans="1:37" x14ac:dyDescent="0.25">
      <c r="A14" t="s">
        <v>481</v>
      </c>
      <c r="B14">
        <v>70328.699649999995</v>
      </c>
      <c r="C14">
        <v>70323.208249999996</v>
      </c>
      <c r="D14">
        <v>70428.442630000005</v>
      </c>
      <c r="E14">
        <v>70610.468630000003</v>
      </c>
      <c r="F14">
        <v>70845.981490000006</v>
      </c>
      <c r="G14">
        <v>71119.360780000003</v>
      </c>
      <c r="H14">
        <v>71420.207190000001</v>
      </c>
      <c r="I14">
        <v>71741.510139999999</v>
      </c>
      <c r="J14">
        <v>72078.410480000006</v>
      </c>
      <c r="K14">
        <v>72427.420570000002</v>
      </c>
      <c r="L14">
        <v>72785.952990000005</v>
      </c>
      <c r="M14">
        <v>73152.039210000003</v>
      </c>
      <c r="N14">
        <v>73524.157879999999</v>
      </c>
      <c r="O14">
        <v>73901.124209999994</v>
      </c>
      <c r="P14">
        <v>74282.012549999999</v>
      </c>
      <c r="Q14">
        <v>74666.098540000006</v>
      </c>
      <c r="R14">
        <v>75052.813810000007</v>
      </c>
      <c r="S14">
        <v>75441.709959999993</v>
      </c>
      <c r="T14">
        <v>75832.430250000005</v>
      </c>
      <c r="U14">
        <v>76224.687680000003</v>
      </c>
      <c r="V14">
        <v>76618.248619999998</v>
      </c>
      <c r="W14">
        <v>77012.920989999999</v>
      </c>
      <c r="X14">
        <v>77408.546000000002</v>
      </c>
      <c r="Y14">
        <v>77804.992589999994</v>
      </c>
      <c r="Z14">
        <v>78202.153720000002</v>
      </c>
      <c r="AA14">
        <v>78599.943920000005</v>
      </c>
      <c r="AB14">
        <v>78998.297560000006</v>
      </c>
      <c r="AC14">
        <v>79397.16747</v>
      </c>
      <c r="AD14">
        <v>79796.523700000005</v>
      </c>
      <c r="AE14">
        <v>80196.352270000003</v>
      </c>
      <c r="AF14">
        <v>80596.653820000007</v>
      </c>
      <c r="AG14">
        <v>80997.442150000003</v>
      </c>
      <c r="AH14">
        <v>81398.742719999995</v>
      </c>
      <c r="AI14">
        <v>81800.591079999998</v>
      </c>
      <c r="AJ14">
        <v>82203.031289999999</v>
      </c>
      <c r="AK14">
        <v>82606.114419999998</v>
      </c>
    </row>
    <row r="15" spans="1:37" x14ac:dyDescent="0.25">
      <c r="A15" t="s">
        <v>1962</v>
      </c>
      <c r="B15">
        <v>275159.80609999999</v>
      </c>
      <c r="C15">
        <v>270850.2463</v>
      </c>
      <c r="D15">
        <v>268774.07169999997</v>
      </c>
      <c r="E15">
        <v>268178.57520000002</v>
      </c>
      <c r="F15">
        <v>268570.46889999998</v>
      </c>
      <c r="G15">
        <v>269629.71960000001</v>
      </c>
      <c r="H15">
        <v>271149.10080000001</v>
      </c>
      <c r="I15">
        <v>272993.52980000002</v>
      </c>
      <c r="J15">
        <v>275073.60190000001</v>
      </c>
      <c r="K15">
        <v>277328.78029999998</v>
      </c>
      <c r="L15">
        <v>279716.90110000002</v>
      </c>
      <c r="M15">
        <v>282207.6827</v>
      </c>
      <c r="N15">
        <v>284778.71970000002</v>
      </c>
      <c r="O15">
        <v>287412.99119999999</v>
      </c>
      <c r="P15">
        <v>290097.28389999998</v>
      </c>
      <c r="Q15">
        <v>292821.16639999999</v>
      </c>
      <c r="R15">
        <v>295576.2991</v>
      </c>
      <c r="S15">
        <v>298355.95409999997</v>
      </c>
      <c r="T15">
        <v>301154.66859999998</v>
      </c>
      <c r="U15">
        <v>303967.99050000001</v>
      </c>
      <c r="V15">
        <v>306792.28629999998</v>
      </c>
      <c r="W15">
        <v>309624.59539999999</v>
      </c>
      <c r="X15">
        <v>312462.51929999999</v>
      </c>
      <c r="Y15">
        <v>315304.13540000003</v>
      </c>
      <c r="Z15">
        <v>318147.92969999998</v>
      </c>
      <c r="AA15">
        <v>320992.74369999999</v>
      </c>
      <c r="AB15">
        <v>323837.73109999998</v>
      </c>
      <c r="AC15">
        <v>326682.32089999999</v>
      </c>
      <c r="AD15">
        <v>329526.1862</v>
      </c>
      <c r="AE15">
        <v>332369.2156</v>
      </c>
      <c r="AF15">
        <v>335211.48749999999</v>
      </c>
      <c r="AG15">
        <v>338053.24550000002</v>
      </c>
      <c r="AH15">
        <v>340894.87589999998</v>
      </c>
      <c r="AI15">
        <v>343736.886</v>
      </c>
      <c r="AJ15">
        <v>346579.88439999998</v>
      </c>
      <c r="AK15">
        <v>349424.56170000002</v>
      </c>
    </row>
    <row r="16" spans="1:37" x14ac:dyDescent="0.25">
      <c r="A16" t="s">
        <v>1963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166408.09330000001</v>
      </c>
      <c r="G16">
        <v>167096.83679999999</v>
      </c>
      <c r="H16">
        <v>168051.00409999999</v>
      </c>
      <c r="I16">
        <v>169193.2819</v>
      </c>
      <c r="J16">
        <v>170472.33549999999</v>
      </c>
      <c r="K16">
        <v>171853.29819999999</v>
      </c>
      <c r="L16">
        <v>173311.81299999999</v>
      </c>
      <c r="M16">
        <v>174830.34179999999</v>
      </c>
      <c r="N16">
        <v>176395.88370000001</v>
      </c>
      <c r="O16">
        <v>177998.5528</v>
      </c>
      <c r="P16">
        <v>179630.67499999999</v>
      </c>
      <c r="Q16">
        <v>181286.19699999999</v>
      </c>
      <c r="R16">
        <v>182960.28640000001</v>
      </c>
      <c r="S16">
        <v>184649.0514</v>
      </c>
      <c r="T16">
        <v>186349.33780000001</v>
      </c>
      <c r="U16">
        <v>188058.57889999999</v>
      </c>
      <c r="V16">
        <v>189774.6827</v>
      </c>
      <c r="W16">
        <v>191495.9467</v>
      </c>
      <c r="X16">
        <v>193220.99230000001</v>
      </c>
      <c r="Y16">
        <v>194948.715</v>
      </c>
      <c r="Z16">
        <v>196678.2457</v>
      </c>
      <c r="AA16">
        <v>198408.92009999999</v>
      </c>
      <c r="AB16">
        <v>200140.2536</v>
      </c>
      <c r="AC16">
        <v>201871.92079999999</v>
      </c>
      <c r="AD16">
        <v>203603.73749999999</v>
      </c>
      <c r="AE16">
        <v>205335.64430000001</v>
      </c>
      <c r="AF16">
        <v>207067.69190000001</v>
      </c>
      <c r="AG16">
        <v>208800.02710000001</v>
      </c>
      <c r="AH16">
        <v>210532.87969999999</v>
      </c>
      <c r="AI16">
        <v>212266.55</v>
      </c>
      <c r="AJ16">
        <v>214001.39720000001</v>
      </c>
      <c r="AK16">
        <v>215737.82829999999</v>
      </c>
    </row>
    <row r="17" spans="1:37" x14ac:dyDescent="0.25">
      <c r="A17" t="s">
        <v>484</v>
      </c>
      <c r="B17">
        <v>105328.5062</v>
      </c>
      <c r="C17">
        <v>106459.9066</v>
      </c>
      <c r="D17">
        <v>107439.18580000001</v>
      </c>
      <c r="E17">
        <v>108316.2608</v>
      </c>
      <c r="F17">
        <v>109128.7254</v>
      </c>
      <c r="G17">
        <v>109902.8466</v>
      </c>
      <c r="H17">
        <v>110656.1265</v>
      </c>
      <c r="I17">
        <v>111399.75569999999</v>
      </c>
      <c r="J17">
        <v>112140.5931</v>
      </c>
      <c r="K17">
        <v>112882.6581</v>
      </c>
      <c r="L17">
        <v>113628.20299999999</v>
      </c>
      <c r="M17">
        <v>114378.4454</v>
      </c>
      <c r="N17">
        <v>115134.0402</v>
      </c>
      <c r="O17">
        <v>115895.36350000001</v>
      </c>
      <c r="P17">
        <v>116662.6682</v>
      </c>
      <c r="Q17">
        <v>117436.1584</v>
      </c>
      <c r="R17">
        <v>118216.0166</v>
      </c>
      <c r="S17">
        <v>119002.40730000001</v>
      </c>
      <c r="T17">
        <v>119795.4715</v>
      </c>
      <c r="U17">
        <v>120595.31879999999</v>
      </c>
      <c r="V17">
        <v>121402.0232</v>
      </c>
      <c r="W17">
        <v>122215.62209999999</v>
      </c>
      <c r="X17">
        <v>123036.1188</v>
      </c>
      <c r="Y17">
        <v>123863.4883</v>
      </c>
      <c r="Z17">
        <v>124697.68369999999</v>
      </c>
      <c r="AA17">
        <v>125538.6441</v>
      </c>
      <c r="AB17">
        <v>126386.3012</v>
      </c>
      <c r="AC17">
        <v>127240.5858</v>
      </c>
      <c r="AD17">
        <v>128101.4329</v>
      </c>
      <c r="AE17">
        <v>128968.7853</v>
      </c>
      <c r="AF17">
        <v>129842.5966</v>
      </c>
      <c r="AG17">
        <v>130722.83229999999</v>
      </c>
      <c r="AH17">
        <v>131609.47029999999</v>
      </c>
      <c r="AI17">
        <v>132502.50159999999</v>
      </c>
      <c r="AJ17">
        <v>133401.929</v>
      </c>
      <c r="AK17">
        <v>134307.76620000001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32317.940999999999</v>
      </c>
      <c r="C2">
        <v>31926.454819999999</v>
      </c>
      <c r="D2">
        <v>31730.400539999999</v>
      </c>
      <c r="E2">
        <v>31664.732889999999</v>
      </c>
      <c r="F2">
        <v>31685.151559999998</v>
      </c>
      <c r="G2">
        <v>31761.773590000001</v>
      </c>
      <c r="H2">
        <v>31876.819759999998</v>
      </c>
      <c r="I2">
        <v>32020.398109999998</v>
      </c>
      <c r="J2">
        <v>32185.055550000001</v>
      </c>
      <c r="K2">
        <v>32364.878639999999</v>
      </c>
      <c r="L2">
        <v>32555.008150000001</v>
      </c>
      <c r="M2">
        <v>32751.304230000002</v>
      </c>
      <c r="N2">
        <v>32950.115619999997</v>
      </c>
      <c r="O2">
        <v>33148.123549999997</v>
      </c>
      <c r="P2">
        <v>33342.23833</v>
      </c>
      <c r="Q2">
        <v>33529.533100000001</v>
      </c>
      <c r="R2">
        <v>33709.687819999999</v>
      </c>
      <c r="S2">
        <v>33884.612249999998</v>
      </c>
      <c r="T2">
        <v>34055.314740000002</v>
      </c>
      <c r="U2">
        <v>34222.258249999999</v>
      </c>
      <c r="V2">
        <v>34385.651189999997</v>
      </c>
      <c r="W2">
        <v>34545.60383</v>
      </c>
      <c r="X2">
        <v>34702.207130000003</v>
      </c>
      <c r="Y2">
        <v>34855.571329999999</v>
      </c>
      <c r="Z2">
        <v>35005.844879999997</v>
      </c>
      <c r="AA2">
        <v>35153.224249999999</v>
      </c>
      <c r="AB2">
        <v>35297.960070000001</v>
      </c>
      <c r="AC2">
        <v>35440.36174</v>
      </c>
      <c r="AD2">
        <v>35580.801769999998</v>
      </c>
      <c r="AE2">
        <v>35719.719770000003</v>
      </c>
      <c r="AF2">
        <v>35857.62601</v>
      </c>
      <c r="AG2">
        <v>35995.104010000003</v>
      </c>
      <c r="AH2">
        <v>36132.811670000003</v>
      </c>
      <c r="AI2">
        <v>36271.480450000003</v>
      </c>
      <c r="AJ2">
        <v>36411.911959999998</v>
      </c>
      <c r="AK2">
        <v>36554.971879999997</v>
      </c>
    </row>
    <row r="3" spans="1:37" x14ac:dyDescent="0.25">
      <c r="A3" t="s">
        <v>63</v>
      </c>
      <c r="B3">
        <v>32271.24</v>
      </c>
      <c r="C3">
        <v>31862.031640000001</v>
      </c>
      <c r="D3">
        <v>31647.329440000001</v>
      </c>
      <c r="E3">
        <v>31562.481319999999</v>
      </c>
      <c r="F3">
        <v>31563.391670000001</v>
      </c>
      <c r="G3">
        <v>31620.228930000001</v>
      </c>
      <c r="H3">
        <v>31715.127369999998</v>
      </c>
      <c r="I3">
        <v>31838.038369999998</v>
      </c>
      <c r="J3">
        <v>31981.34908</v>
      </c>
      <c r="K3">
        <v>32138.97392</v>
      </c>
      <c r="L3">
        <v>32305.853879999999</v>
      </c>
      <c r="M3">
        <v>32477.603520000001</v>
      </c>
      <c r="N3">
        <v>32650.258519999999</v>
      </c>
      <c r="O3">
        <v>32820.092669999998</v>
      </c>
      <c r="P3">
        <v>32983.479639999998</v>
      </c>
      <c r="Q3">
        <v>33136.779049999997</v>
      </c>
      <c r="R3">
        <v>33278.705000000002</v>
      </c>
      <c r="S3">
        <v>33409.974479999997</v>
      </c>
      <c r="T3">
        <v>33530.266199999998</v>
      </c>
      <c r="U3">
        <v>33638.562089999999</v>
      </c>
      <c r="V3">
        <v>33733.42353</v>
      </c>
      <c r="W3">
        <v>33813.135219999996</v>
      </c>
      <c r="X3">
        <v>33875.774189999996</v>
      </c>
      <c r="Y3">
        <v>33919.241320000001</v>
      </c>
      <c r="Z3">
        <v>33941.276899999997</v>
      </c>
      <c r="AA3">
        <v>33939.47163</v>
      </c>
      <c r="AB3">
        <v>33911.279459999998</v>
      </c>
      <c r="AC3">
        <v>33854.035799999998</v>
      </c>
      <c r="AD3">
        <v>33764.983189999999</v>
      </c>
      <c r="AE3">
        <v>33641.30573</v>
      </c>
      <c r="AF3">
        <v>33480.172939999997</v>
      </c>
      <c r="AG3">
        <v>33278.793189999997</v>
      </c>
      <c r="AH3">
        <v>33034.47653</v>
      </c>
      <c r="AI3">
        <v>32744.70595</v>
      </c>
      <c r="AJ3">
        <v>32407.21574</v>
      </c>
      <c r="AK3">
        <v>32020.074850000001</v>
      </c>
    </row>
    <row r="4" spans="1:37" x14ac:dyDescent="0.25">
      <c r="A4" t="s">
        <v>64</v>
      </c>
      <c r="B4">
        <v>44.765000000000001</v>
      </c>
      <c r="C4">
        <v>62.431569170000003</v>
      </c>
      <c r="D4">
        <v>81.013695760000004</v>
      </c>
      <c r="E4">
        <v>100.1229845</v>
      </c>
      <c r="F4">
        <v>119.557911</v>
      </c>
      <c r="G4">
        <v>139.26916840000001</v>
      </c>
      <c r="H4">
        <v>159.34439639999999</v>
      </c>
      <c r="I4">
        <v>179.9408076</v>
      </c>
      <c r="J4">
        <v>201.21851140000001</v>
      </c>
      <c r="K4">
        <v>223.34990759999999</v>
      </c>
      <c r="L4">
        <v>246.5349597</v>
      </c>
      <c r="M4">
        <v>271.01943679999999</v>
      </c>
      <c r="N4">
        <v>297.11657760000003</v>
      </c>
      <c r="O4">
        <v>325.23391279999998</v>
      </c>
      <c r="P4">
        <v>355.90822200000002</v>
      </c>
      <c r="Q4">
        <v>389.85320739999997</v>
      </c>
      <c r="R4">
        <v>428.0347132</v>
      </c>
      <c r="S4">
        <v>471.6453156</v>
      </c>
      <c r="T4">
        <v>522.01457679999999</v>
      </c>
      <c r="U4">
        <v>580.62349040000004</v>
      </c>
      <c r="V4">
        <v>649.11914290000004</v>
      </c>
      <c r="W4">
        <v>729.32712479999998</v>
      </c>
      <c r="X4">
        <v>823.26146000000006</v>
      </c>
      <c r="Y4">
        <v>933.13161100000002</v>
      </c>
      <c r="Z4">
        <v>1061.3458559999999</v>
      </c>
      <c r="AA4">
        <v>1210.5101259999999</v>
      </c>
      <c r="AB4">
        <v>1383.4212379999999</v>
      </c>
      <c r="AC4">
        <v>1583.0533829999999</v>
      </c>
      <c r="AD4">
        <v>1812.536709</v>
      </c>
      <c r="AE4">
        <v>2075.126925</v>
      </c>
      <c r="AF4">
        <v>2374.164992</v>
      </c>
      <c r="AG4">
        <v>2713.0262630000002</v>
      </c>
      <c r="AH4">
        <v>3095.0588210000001</v>
      </c>
      <c r="AI4">
        <v>3523.511317</v>
      </c>
      <c r="AJ4">
        <v>4001.4512589999999</v>
      </c>
      <c r="AK4">
        <v>4531.6755290000001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2.0574011310000002</v>
      </c>
      <c r="E5">
        <v>2.1285899490000002</v>
      </c>
      <c r="F5">
        <v>2.2019793989999998</v>
      </c>
      <c r="G5">
        <v>2.2754864349999999</v>
      </c>
      <c r="H5">
        <v>2.347968431</v>
      </c>
      <c r="I5">
        <v>2.4188940940000001</v>
      </c>
      <c r="J5">
        <v>2.4879042729999998</v>
      </c>
      <c r="K5">
        <v>2.5547407990000002</v>
      </c>
      <c r="L5">
        <v>2.6192080980000001</v>
      </c>
      <c r="M5">
        <v>2.6811463290000002</v>
      </c>
      <c r="N5">
        <v>2.7404123490000001</v>
      </c>
      <c r="O5">
        <v>2.796866047</v>
      </c>
      <c r="P5">
        <v>2.8503601010000001</v>
      </c>
      <c r="Q5">
        <v>2.9007315039999999</v>
      </c>
      <c r="R5">
        <v>2.9480014429999999</v>
      </c>
      <c r="S5">
        <v>2.9923496369999998</v>
      </c>
      <c r="T5">
        <v>3.0338620330000001</v>
      </c>
      <c r="U5">
        <v>3.0725585679999998</v>
      </c>
      <c r="V5">
        <v>3.1084159470000001</v>
      </c>
      <c r="W5">
        <v>3.1413796810000001</v>
      </c>
      <c r="X5">
        <v>3.171370027</v>
      </c>
      <c r="Y5">
        <v>3.1982848530000001</v>
      </c>
      <c r="Z5">
        <v>3.222001197</v>
      </c>
      <c r="AA5">
        <v>3.2423764400000001</v>
      </c>
      <c r="AB5">
        <v>3.2592496390000001</v>
      </c>
      <c r="AC5">
        <v>3.2724433030000002</v>
      </c>
      <c r="AD5">
        <v>3.2817658120000002</v>
      </c>
      <c r="AE5">
        <v>3.2870145860000002</v>
      </c>
      <c r="AF5">
        <v>3.2879800709999998</v>
      </c>
      <c r="AG5">
        <v>3.2844505700000002</v>
      </c>
      <c r="AH5">
        <v>3.2762179050000002</v>
      </c>
      <c r="AI5">
        <v>3.2630838529999999</v>
      </c>
      <c r="AJ5">
        <v>3.2448672379999999</v>
      </c>
      <c r="AK5">
        <v>3.2214115080000001</v>
      </c>
    </row>
    <row r="6" spans="1:37" x14ac:dyDescent="0.25">
      <c r="A6" t="s">
        <v>1886</v>
      </c>
      <c r="B6">
        <v>1886.229</v>
      </c>
      <c r="C6">
        <v>2121.8059619999999</v>
      </c>
      <c r="D6">
        <v>2286.102993</v>
      </c>
      <c r="E6">
        <v>2400.528687</v>
      </c>
      <c r="F6">
        <v>2480.7808479999999</v>
      </c>
      <c r="G6">
        <v>2537.837047</v>
      </c>
      <c r="H6">
        <v>2581.477351</v>
      </c>
      <c r="I6">
        <v>2618.2021749999999</v>
      </c>
      <c r="J6">
        <v>2649.6746109999999</v>
      </c>
      <c r="K6">
        <v>2676.8482650000001</v>
      </c>
      <c r="L6">
        <v>2700.3106360000002</v>
      </c>
      <c r="M6">
        <v>2720.3954100000001</v>
      </c>
      <c r="N6">
        <v>2737.259708</v>
      </c>
      <c r="O6">
        <v>2750.9400209999999</v>
      </c>
      <c r="P6">
        <v>2761.391752</v>
      </c>
      <c r="Q6">
        <v>2768.516995</v>
      </c>
      <c r="R6">
        <v>2774.6678139999999</v>
      </c>
      <c r="S6">
        <v>2782.0125619999999</v>
      </c>
      <c r="T6">
        <v>2789.753342</v>
      </c>
      <c r="U6">
        <v>2797.372942</v>
      </c>
      <c r="V6">
        <v>2804.5968539999999</v>
      </c>
      <c r="W6">
        <v>2811.280827</v>
      </c>
      <c r="X6">
        <v>2817.345108</v>
      </c>
      <c r="Y6">
        <v>2822.7398899999998</v>
      </c>
      <c r="Z6">
        <v>2827.4283770000002</v>
      </c>
      <c r="AA6">
        <v>2831.3790909999998</v>
      </c>
      <c r="AB6">
        <v>2834.5628860000002</v>
      </c>
      <c r="AC6">
        <v>2836.952299</v>
      </c>
      <c r="AD6">
        <v>2838.522011</v>
      </c>
      <c r="AE6">
        <v>2839.24973</v>
      </c>
      <c r="AF6">
        <v>2839.1171979999999</v>
      </c>
      <c r="AG6">
        <v>2838.111022</v>
      </c>
      <c r="AH6">
        <v>2836.223348</v>
      </c>
      <c r="AI6">
        <v>2833.4522750000001</v>
      </c>
      <c r="AJ6">
        <v>2829.8020540000002</v>
      </c>
      <c r="AK6">
        <v>2825.2830899999999</v>
      </c>
    </row>
    <row r="7" spans="1:37" x14ac:dyDescent="0.25">
      <c r="A7" t="s">
        <v>1887</v>
      </c>
      <c r="B7">
        <v>1868.8030000000001</v>
      </c>
      <c r="C7">
        <v>2102.1721870000001</v>
      </c>
      <c r="D7">
        <v>2264.8333320000002</v>
      </c>
      <c r="E7">
        <v>2377.9790739999999</v>
      </c>
      <c r="F7">
        <v>2457.1345759999999</v>
      </c>
      <c r="G7">
        <v>2513.1323339999999</v>
      </c>
      <c r="H7">
        <v>2555.616642</v>
      </c>
      <c r="I7">
        <v>2591.0142970000002</v>
      </c>
      <c r="J7">
        <v>2620.9790659999999</v>
      </c>
      <c r="K7">
        <v>2646.4457790000001</v>
      </c>
      <c r="L7">
        <v>2667.9674279999999</v>
      </c>
      <c r="M7">
        <v>2685.8238729999998</v>
      </c>
      <c r="N7">
        <v>2700.0949620000001</v>
      </c>
      <c r="O7">
        <v>2710.710298</v>
      </c>
      <c r="P7">
        <v>2717.4797899999999</v>
      </c>
      <c r="Q7">
        <v>2720.1071619999998</v>
      </c>
      <c r="R7">
        <v>2720.6636140000001</v>
      </c>
      <c r="S7">
        <v>2721.0519720000002</v>
      </c>
      <c r="T7">
        <v>2720.2897320000002</v>
      </c>
      <c r="U7">
        <v>2717.655131</v>
      </c>
      <c r="V7">
        <v>2712.6483680000001</v>
      </c>
      <c r="W7">
        <v>2704.880838</v>
      </c>
      <c r="X7">
        <v>2694.0113590000001</v>
      </c>
      <c r="Y7">
        <v>2679.714152</v>
      </c>
      <c r="Z7">
        <v>2661.6652549999999</v>
      </c>
      <c r="AA7">
        <v>2639.5392350000002</v>
      </c>
      <c r="AB7">
        <v>2613.0118499999999</v>
      </c>
      <c r="AC7">
        <v>2581.7664169999998</v>
      </c>
      <c r="AD7">
        <v>2545.5027</v>
      </c>
      <c r="AE7">
        <v>2503.9476909999998</v>
      </c>
      <c r="AF7">
        <v>2456.8676519999999</v>
      </c>
      <c r="AG7">
        <v>2404.0811840000001</v>
      </c>
      <c r="AH7">
        <v>2345.4726949999999</v>
      </c>
      <c r="AI7">
        <v>2281.005799</v>
      </c>
      <c r="AJ7">
        <v>2210.7359339999998</v>
      </c>
      <c r="AK7">
        <v>2134.8214229999999</v>
      </c>
    </row>
    <row r="8" spans="1:37" x14ac:dyDescent="0.25">
      <c r="A8" t="s">
        <v>1888</v>
      </c>
      <c r="B8">
        <v>17.268999999999998</v>
      </c>
      <c r="C8">
        <v>19.45716917</v>
      </c>
      <c r="D8">
        <v>21.07938936</v>
      </c>
      <c r="E8">
        <v>22.349836580000002</v>
      </c>
      <c r="F8">
        <v>23.43984592</v>
      </c>
      <c r="G8">
        <v>24.4935738</v>
      </c>
      <c r="H8">
        <v>25.645994730000002</v>
      </c>
      <c r="I8">
        <v>26.970187079999999</v>
      </c>
      <c r="J8">
        <v>28.475336110000001</v>
      </c>
      <c r="K8">
        <v>30.180136610000002</v>
      </c>
      <c r="L8">
        <v>32.119048390000003</v>
      </c>
      <c r="M8">
        <v>34.345875560000003</v>
      </c>
      <c r="N8">
        <v>36.937918199999999</v>
      </c>
      <c r="O8">
        <v>40.001998290000003</v>
      </c>
      <c r="P8">
        <v>43.683665779999998</v>
      </c>
      <c r="Q8">
        <v>48.181314209999996</v>
      </c>
      <c r="R8">
        <v>53.775634099999998</v>
      </c>
      <c r="S8">
        <v>60.731990940000003</v>
      </c>
      <c r="T8">
        <v>69.235073839999998</v>
      </c>
      <c r="U8">
        <v>79.489496700000004</v>
      </c>
      <c r="V8">
        <v>91.720592139999994</v>
      </c>
      <c r="W8">
        <v>106.17274759999999</v>
      </c>
      <c r="X8">
        <v>123.10742020000001</v>
      </c>
      <c r="Y8">
        <v>142.80060929999999</v>
      </c>
      <c r="Z8">
        <v>165.53950939999999</v>
      </c>
      <c r="AA8">
        <v>191.6181043</v>
      </c>
      <c r="AB8">
        <v>221.3315174</v>
      </c>
      <c r="AC8">
        <v>254.96899440000001</v>
      </c>
      <c r="AD8">
        <v>292.80546079999999</v>
      </c>
      <c r="AE8">
        <v>335.09168419999997</v>
      </c>
      <c r="AF8">
        <v>382.04314419999997</v>
      </c>
      <c r="AG8">
        <v>433.82787080000003</v>
      </c>
      <c r="AH8">
        <v>490.55360910000002</v>
      </c>
      <c r="AI8">
        <v>552.25484800000004</v>
      </c>
      <c r="AJ8">
        <v>618.88039509999999</v>
      </c>
      <c r="AK8">
        <v>690.28232000000003</v>
      </c>
    </row>
    <row r="9" spans="1:37" x14ac:dyDescent="0.25">
      <c r="A9" t="s">
        <v>1889</v>
      </c>
      <c r="B9">
        <v>0.157</v>
      </c>
      <c r="C9">
        <v>0.17660557769999999</v>
      </c>
      <c r="D9">
        <v>0.1902709024</v>
      </c>
      <c r="E9">
        <v>0.19977638880000001</v>
      </c>
      <c r="F9">
        <v>0.20642632129999999</v>
      </c>
      <c r="G9">
        <v>0.2111307486</v>
      </c>
      <c r="H9">
        <v>0.2146998977</v>
      </c>
      <c r="I9">
        <v>0.21767368989999999</v>
      </c>
      <c r="J9">
        <v>0.22019105990000001</v>
      </c>
      <c r="K9">
        <v>0.2223305438</v>
      </c>
      <c r="L9">
        <v>0.22413859899999999</v>
      </c>
      <c r="M9">
        <v>0.22563873670000001</v>
      </c>
      <c r="N9">
        <v>0.2268376651</v>
      </c>
      <c r="O9">
        <v>0.22772946999999999</v>
      </c>
      <c r="P9">
        <v>0.2282981818</v>
      </c>
      <c r="Q9">
        <v>0.22851890999999999</v>
      </c>
      <c r="R9">
        <v>0.228565658</v>
      </c>
      <c r="S9">
        <v>0.22859828430000001</v>
      </c>
      <c r="T9">
        <v>0.22853424780000001</v>
      </c>
      <c r="U9">
        <v>0.22831291240000001</v>
      </c>
      <c r="V9">
        <v>0.22789228919999999</v>
      </c>
      <c r="W9">
        <v>0.2272397313</v>
      </c>
      <c r="X9">
        <v>0.22632657549999999</v>
      </c>
      <c r="Y9">
        <v>0.225125453</v>
      </c>
      <c r="Z9">
        <v>0.2236091472</v>
      </c>
      <c r="AA9">
        <v>0.22175031819999999</v>
      </c>
      <c r="AB9">
        <v>0.21952172619999999</v>
      </c>
      <c r="AC9">
        <v>0.21689676620000001</v>
      </c>
      <c r="AD9">
        <v>0.21385021530000001</v>
      </c>
      <c r="AE9">
        <v>0.2103591376</v>
      </c>
      <c r="AF9">
        <v>0.20640389670000001</v>
      </c>
      <c r="AG9">
        <v>0.20196925299999999</v>
      </c>
      <c r="AH9">
        <v>0.1970454955</v>
      </c>
      <c r="AI9">
        <v>0.19162956740000001</v>
      </c>
      <c r="AJ9">
        <v>0.1857261261</v>
      </c>
      <c r="AK9">
        <v>0.17934847239999999</v>
      </c>
    </row>
    <row r="10" spans="1:37" x14ac:dyDescent="0.25">
      <c r="A10" t="s">
        <v>66</v>
      </c>
      <c r="B10">
        <v>7095.7005250000002</v>
      </c>
      <c r="C10">
        <v>7141.7439880000002</v>
      </c>
      <c r="D10">
        <v>7236.2108500000004</v>
      </c>
      <c r="E10">
        <v>7362.7565290000002</v>
      </c>
      <c r="F10">
        <v>7510.0299349999996</v>
      </c>
      <c r="G10">
        <v>7670.2472029999999</v>
      </c>
      <c r="H10">
        <v>7838.7850349999999</v>
      </c>
      <c r="I10">
        <v>8013.1055109999998</v>
      </c>
      <c r="J10">
        <v>8191.2469520000004</v>
      </c>
      <c r="K10">
        <v>8371.6255729999993</v>
      </c>
      <c r="L10">
        <v>8552.9218550000005</v>
      </c>
      <c r="M10">
        <v>8733.9921400000003</v>
      </c>
      <c r="N10">
        <v>8913.8008030000001</v>
      </c>
      <c r="O10">
        <v>9091.3683889999993</v>
      </c>
      <c r="P10">
        <v>9265.7305400000005</v>
      </c>
      <c r="Q10">
        <v>9435.9022650000006</v>
      </c>
      <c r="R10">
        <v>9601.6398969999991</v>
      </c>
      <c r="S10">
        <v>9763.3043679999992</v>
      </c>
      <c r="T10">
        <v>9920.8512179999998</v>
      </c>
      <c r="U10">
        <v>10073.96235</v>
      </c>
      <c r="V10">
        <v>10222.14596</v>
      </c>
      <c r="W10">
        <v>10364.787990000001</v>
      </c>
      <c r="X10">
        <v>10501.17597</v>
      </c>
      <c r="Y10">
        <v>10630.50922</v>
      </c>
      <c r="Z10">
        <v>10751.902609999999</v>
      </c>
      <c r="AA10">
        <v>10864.38847</v>
      </c>
      <c r="AB10">
        <v>10966.918830000001</v>
      </c>
      <c r="AC10">
        <v>11058.36961</v>
      </c>
      <c r="AD10">
        <v>11137.54775</v>
      </c>
      <c r="AE10">
        <v>11203.201940000001</v>
      </c>
      <c r="AF10">
        <v>11254.03751</v>
      </c>
      <c r="AG10">
        <v>11288.73596</v>
      </c>
      <c r="AH10">
        <v>11305.979009999999</v>
      </c>
      <c r="AI10">
        <v>11304.4774</v>
      </c>
      <c r="AJ10">
        <v>11283.00395</v>
      </c>
      <c r="AK10">
        <v>11240.43024</v>
      </c>
    </row>
    <row r="11" spans="1:37" x14ac:dyDescent="0.25">
      <c r="A11" t="s">
        <v>67</v>
      </c>
      <c r="B11">
        <v>8251.256421</v>
      </c>
      <c r="C11">
        <v>8182.7844539999996</v>
      </c>
      <c r="D11">
        <v>8168.3355730000003</v>
      </c>
      <c r="E11">
        <v>8191.2663309999998</v>
      </c>
      <c r="F11">
        <v>8239.9130120000009</v>
      </c>
      <c r="G11">
        <v>8306.1530999999995</v>
      </c>
      <c r="H11">
        <v>8384.9727180000009</v>
      </c>
      <c r="I11">
        <v>8473.4298299999991</v>
      </c>
      <c r="J11">
        <v>8569.2031970000007</v>
      </c>
      <c r="K11">
        <v>8670.3748560000004</v>
      </c>
      <c r="L11">
        <v>8775.3060330000008</v>
      </c>
      <c r="M11">
        <v>8882.5442230000008</v>
      </c>
      <c r="N11">
        <v>8990.7536220000002</v>
      </c>
      <c r="O11">
        <v>9098.6627050000006</v>
      </c>
      <c r="P11">
        <v>9205.0230439999996</v>
      </c>
      <c r="Q11">
        <v>9308.5738020000008</v>
      </c>
      <c r="R11">
        <v>9408.7536359999995</v>
      </c>
      <c r="S11">
        <v>9505.5997970000008</v>
      </c>
      <c r="T11">
        <v>9598.8301439999996</v>
      </c>
      <c r="U11">
        <v>9687.9491309999994</v>
      </c>
      <c r="V11">
        <v>9772.3322900000003</v>
      </c>
      <c r="W11">
        <v>9851.2702169999993</v>
      </c>
      <c r="X11">
        <v>9923.9897560000009</v>
      </c>
      <c r="Y11">
        <v>9989.6639109999996</v>
      </c>
      <c r="Z11">
        <v>10047.417020000001</v>
      </c>
      <c r="AA11">
        <v>10096.328729999999</v>
      </c>
      <c r="AB11">
        <v>10135.43887</v>
      </c>
      <c r="AC11">
        <v>10163.754150000001</v>
      </c>
      <c r="AD11">
        <v>10180.257680000001</v>
      </c>
      <c r="AE11">
        <v>10183.92152</v>
      </c>
      <c r="AF11">
        <v>10173.722529999999</v>
      </c>
      <c r="AG11">
        <v>10148.661630000001</v>
      </c>
      <c r="AH11">
        <v>10107.786260000001</v>
      </c>
      <c r="AI11">
        <v>10050.215630000001</v>
      </c>
      <c r="AJ11">
        <v>9975.1682849999997</v>
      </c>
      <c r="AK11">
        <v>9881.9910660000005</v>
      </c>
    </row>
    <row r="12" spans="1:37" x14ac:dyDescent="0.25">
      <c r="A12" t="s">
        <v>68</v>
      </c>
      <c r="B12">
        <v>6777.6024520000001</v>
      </c>
      <c r="C12">
        <v>6646.7628590000004</v>
      </c>
      <c r="D12">
        <v>6558.9663870000004</v>
      </c>
      <c r="E12">
        <v>6502.0081840000003</v>
      </c>
      <c r="F12">
        <v>6467.26224</v>
      </c>
      <c r="G12">
        <v>6448.6372609999999</v>
      </c>
      <c r="H12">
        <v>6442.2478430000001</v>
      </c>
      <c r="I12">
        <v>6445.6930149999998</v>
      </c>
      <c r="J12">
        <v>6457.0498120000002</v>
      </c>
      <c r="K12">
        <v>6474.7042330000004</v>
      </c>
      <c r="L12">
        <v>6497.2552610000002</v>
      </c>
      <c r="M12">
        <v>6523.4452289999999</v>
      </c>
      <c r="N12">
        <v>6552.1088769999997</v>
      </c>
      <c r="O12">
        <v>6582.1355510000003</v>
      </c>
      <c r="P12">
        <v>6612.4398520000004</v>
      </c>
      <c r="Q12">
        <v>6641.9366570000002</v>
      </c>
      <c r="R12">
        <v>6670.0211129999998</v>
      </c>
      <c r="S12">
        <v>6696.5179209999997</v>
      </c>
      <c r="T12">
        <v>6721.0788030000003</v>
      </c>
      <c r="U12">
        <v>6743.242346</v>
      </c>
      <c r="V12">
        <v>6762.4847749999999</v>
      </c>
      <c r="W12">
        <v>6778.2466480000003</v>
      </c>
      <c r="X12">
        <v>6789.9460079999999</v>
      </c>
      <c r="Y12">
        <v>6796.9849889999996</v>
      </c>
      <c r="Z12">
        <v>6798.7538560000003</v>
      </c>
      <c r="AA12">
        <v>6794.6346009999997</v>
      </c>
      <c r="AB12">
        <v>6784.0052619999997</v>
      </c>
      <c r="AC12">
        <v>6766.2455490000002</v>
      </c>
      <c r="AD12">
        <v>6740.7441310000004</v>
      </c>
      <c r="AE12">
        <v>6706.9076919999998</v>
      </c>
      <c r="AF12">
        <v>6664.1717500000004</v>
      </c>
      <c r="AG12">
        <v>6612.0131240000001</v>
      </c>
      <c r="AH12">
        <v>6549.9637679999996</v>
      </c>
      <c r="AI12">
        <v>6477.6256270000003</v>
      </c>
      <c r="AJ12">
        <v>6394.6860070000002</v>
      </c>
      <c r="AK12">
        <v>6300.9328379999997</v>
      </c>
    </row>
    <row r="13" spans="1:37" x14ac:dyDescent="0.25">
      <c r="A13" t="s">
        <v>69</v>
      </c>
      <c r="B13">
        <v>4159.6639080000004</v>
      </c>
      <c r="C13">
        <v>4054.5797419999999</v>
      </c>
      <c r="D13">
        <v>3973.8284979999999</v>
      </c>
      <c r="E13">
        <v>3910.0598810000001</v>
      </c>
      <c r="F13">
        <v>3858.1675019999998</v>
      </c>
      <c r="G13">
        <v>3814.603525</v>
      </c>
      <c r="H13">
        <v>3777.1169620000001</v>
      </c>
      <c r="I13">
        <v>3744.3155849999998</v>
      </c>
      <c r="J13">
        <v>3715.1046860000001</v>
      </c>
      <c r="K13">
        <v>3688.5794689999998</v>
      </c>
      <c r="L13">
        <v>3663.966539</v>
      </c>
      <c r="M13">
        <v>3640.5846419999998</v>
      </c>
      <c r="N13">
        <v>3617.8179610000002</v>
      </c>
      <c r="O13">
        <v>3595.0978479999999</v>
      </c>
      <c r="P13">
        <v>3571.8900829999998</v>
      </c>
      <c r="Q13">
        <v>3547.6856480000001</v>
      </c>
      <c r="R13">
        <v>3522.2278809999998</v>
      </c>
      <c r="S13">
        <v>3495.4858749999999</v>
      </c>
      <c r="T13">
        <v>3467.3739759999999</v>
      </c>
      <c r="U13">
        <v>3437.7763599999998</v>
      </c>
      <c r="V13">
        <v>3406.5692130000002</v>
      </c>
      <c r="W13">
        <v>3373.63229</v>
      </c>
      <c r="X13">
        <v>3338.854241</v>
      </c>
      <c r="Y13">
        <v>3302.1347110000002</v>
      </c>
      <c r="Z13">
        <v>3263.3849359999999</v>
      </c>
      <c r="AA13">
        <v>3222.5277270000001</v>
      </c>
      <c r="AB13">
        <v>3179.4972859999998</v>
      </c>
      <c r="AC13">
        <v>3134.2390569999998</v>
      </c>
      <c r="AD13">
        <v>3086.7097010000002</v>
      </c>
      <c r="AE13">
        <v>3036.8772060000001</v>
      </c>
      <c r="AF13">
        <v>2984.7211400000001</v>
      </c>
      <c r="AG13">
        <v>2930.233025</v>
      </c>
      <c r="AH13">
        <v>2873.4168239999999</v>
      </c>
      <c r="AI13">
        <v>2814.28955</v>
      </c>
      <c r="AJ13">
        <v>2752.881969</v>
      </c>
      <c r="AK13">
        <v>2689.239435</v>
      </c>
    </row>
    <row r="14" spans="1:37" x14ac:dyDescent="0.25">
      <c r="A14" t="s">
        <v>70</v>
      </c>
      <c r="B14">
        <v>2503.7292430000002</v>
      </c>
      <c r="C14">
        <v>2442.716915</v>
      </c>
      <c r="D14">
        <v>2395.2654680000001</v>
      </c>
      <c r="E14">
        <v>2356.683145</v>
      </c>
      <c r="F14">
        <v>2323.7961850000002</v>
      </c>
      <c r="G14">
        <v>2294.4653119999998</v>
      </c>
      <c r="H14">
        <v>2267.380537</v>
      </c>
      <c r="I14">
        <v>2241.7722570000001</v>
      </c>
      <c r="J14">
        <v>2217.0646809999998</v>
      </c>
      <c r="K14">
        <v>2192.8016640000001</v>
      </c>
      <c r="L14">
        <v>2168.607501</v>
      </c>
      <c r="M14">
        <v>2144.1620480000001</v>
      </c>
      <c r="N14">
        <v>2119.1846540000001</v>
      </c>
      <c r="O14">
        <v>2093.42371</v>
      </c>
      <c r="P14">
        <v>2066.649754</v>
      </c>
      <c r="Q14">
        <v>2038.6508260000001</v>
      </c>
      <c r="R14">
        <v>2009.35256</v>
      </c>
      <c r="S14">
        <v>1978.8037879999999</v>
      </c>
      <c r="T14">
        <v>1947.0308769999999</v>
      </c>
      <c r="U14">
        <v>1914.048667</v>
      </c>
      <c r="V14">
        <v>1879.8711149999999</v>
      </c>
      <c r="W14">
        <v>1844.5167650000001</v>
      </c>
      <c r="X14">
        <v>1808.011115</v>
      </c>
      <c r="Y14">
        <v>1770.3873530000001</v>
      </c>
      <c r="Z14">
        <v>1731.6863330000001</v>
      </c>
      <c r="AA14">
        <v>1691.9562410000001</v>
      </c>
      <c r="AB14">
        <v>1651.2521509999999</v>
      </c>
      <c r="AC14">
        <v>1609.6355759999999</v>
      </c>
      <c r="AD14">
        <v>1567.174037</v>
      </c>
      <c r="AE14">
        <v>1523.9406530000001</v>
      </c>
      <c r="AF14">
        <v>1480.013733</v>
      </c>
      <c r="AG14">
        <v>1435.476369</v>
      </c>
      <c r="AH14">
        <v>1390.416017</v>
      </c>
      <c r="AI14">
        <v>1344.9240589999999</v>
      </c>
      <c r="AJ14">
        <v>1299.095358</v>
      </c>
      <c r="AK14">
        <v>1253.0278020000001</v>
      </c>
    </row>
    <row r="15" spans="1:37" x14ac:dyDescent="0.25">
      <c r="A15" t="s">
        <v>71</v>
      </c>
      <c r="B15">
        <v>1243.6668460000001</v>
      </c>
      <c r="C15">
        <v>1210.492495</v>
      </c>
      <c r="D15">
        <v>1182.323858</v>
      </c>
      <c r="E15">
        <v>1156.636193</v>
      </c>
      <c r="F15">
        <v>1131.8888010000001</v>
      </c>
      <c r="G15">
        <v>1107.1769650000001</v>
      </c>
      <c r="H15">
        <v>1082.050888</v>
      </c>
      <c r="I15">
        <v>1056.334942</v>
      </c>
      <c r="J15">
        <v>1029.955195</v>
      </c>
      <c r="K15">
        <v>1002.894758</v>
      </c>
      <c r="L15">
        <v>975.17131440000003</v>
      </c>
      <c r="M15">
        <v>946.82415349999997</v>
      </c>
      <c r="N15">
        <v>917.90639620000002</v>
      </c>
      <c r="O15">
        <v>888.48020250000002</v>
      </c>
      <c r="P15">
        <v>858.61372919999997</v>
      </c>
      <c r="Q15">
        <v>828.37916280000002</v>
      </c>
      <c r="R15">
        <v>797.88431449999996</v>
      </c>
      <c r="S15">
        <v>767.26368239999999</v>
      </c>
      <c r="T15">
        <v>736.63803399999995</v>
      </c>
      <c r="U15">
        <v>706.11730850000004</v>
      </c>
      <c r="V15">
        <v>675.80339600000002</v>
      </c>
      <c r="W15">
        <v>645.79139239999995</v>
      </c>
      <c r="X15">
        <v>616.1699539</v>
      </c>
      <c r="Y15">
        <v>587.02122580000002</v>
      </c>
      <c r="Z15">
        <v>558.42062080000005</v>
      </c>
      <c r="AA15">
        <v>530.43659400000001</v>
      </c>
      <c r="AB15">
        <v>503.13047640000002</v>
      </c>
      <c r="AC15">
        <v>476.55638979999998</v>
      </c>
      <c r="AD15">
        <v>450.76124620000002</v>
      </c>
      <c r="AE15">
        <v>425.78482250000002</v>
      </c>
      <c r="AF15">
        <v>401.65990470000003</v>
      </c>
      <c r="AG15">
        <v>378.41249169999998</v>
      </c>
      <c r="AH15">
        <v>356.06205340000002</v>
      </c>
      <c r="AI15">
        <v>334.62183520000002</v>
      </c>
      <c r="AJ15">
        <v>314.09920460000001</v>
      </c>
      <c r="AK15">
        <v>294.49603300000001</v>
      </c>
    </row>
    <row r="16" spans="1:37" x14ac:dyDescent="0.25">
      <c r="A16" t="s">
        <v>72</v>
      </c>
      <c r="B16">
        <v>2239.620606</v>
      </c>
      <c r="C16">
        <v>2182.9511900000002</v>
      </c>
      <c r="D16">
        <v>2132.3988039999999</v>
      </c>
      <c r="E16">
        <v>2083.0710549999999</v>
      </c>
      <c r="F16">
        <v>2032.3339940000001</v>
      </c>
      <c r="G16">
        <v>1978.9455640000001</v>
      </c>
      <c r="H16">
        <v>1922.5733849999999</v>
      </c>
      <c r="I16">
        <v>1863.38723</v>
      </c>
      <c r="J16">
        <v>1801.724555</v>
      </c>
      <c r="K16">
        <v>1737.993365</v>
      </c>
      <c r="L16">
        <v>1672.625378</v>
      </c>
      <c r="M16">
        <v>1606.0510870000001</v>
      </c>
      <c r="N16">
        <v>1538.6862080000001</v>
      </c>
      <c r="O16">
        <v>1470.924264</v>
      </c>
      <c r="P16">
        <v>1403.132642</v>
      </c>
      <c r="Q16">
        <v>1335.6506919999999</v>
      </c>
      <c r="R16">
        <v>1268.8255959999999</v>
      </c>
      <c r="S16">
        <v>1202.999047</v>
      </c>
      <c r="T16">
        <v>1138.4631440000001</v>
      </c>
      <c r="U16">
        <v>1075.4659320000001</v>
      </c>
      <c r="V16">
        <v>1014.216772</v>
      </c>
      <c r="W16">
        <v>954.88991929999997</v>
      </c>
      <c r="X16">
        <v>897.62713929999995</v>
      </c>
      <c r="Y16">
        <v>842.53990799999997</v>
      </c>
      <c r="Z16">
        <v>789.71152359999996</v>
      </c>
      <c r="AA16">
        <v>739.19925909999995</v>
      </c>
      <c r="AB16">
        <v>691.03658819999998</v>
      </c>
      <c r="AC16">
        <v>645.23546690000001</v>
      </c>
      <c r="AD16">
        <v>601.78863509999996</v>
      </c>
      <c r="AE16">
        <v>560.67190059999996</v>
      </c>
      <c r="AF16">
        <v>521.84636839999996</v>
      </c>
      <c r="AG16">
        <v>485.26058890000002</v>
      </c>
      <c r="AH16">
        <v>450.85260019999998</v>
      </c>
      <c r="AI16">
        <v>418.55184789999998</v>
      </c>
      <c r="AJ16">
        <v>388.28096840000001</v>
      </c>
      <c r="AK16">
        <v>359.95742710000002</v>
      </c>
    </row>
    <row r="17" spans="1:37" x14ac:dyDescent="0.25">
      <c r="A17" t="s">
        <v>73</v>
      </c>
      <c r="B17">
        <v>9.8427898650000003</v>
      </c>
      <c r="C17">
        <v>14.98677562</v>
      </c>
      <c r="D17">
        <v>20.44188892</v>
      </c>
      <c r="E17">
        <v>26.112449139999999</v>
      </c>
      <c r="F17">
        <v>31.950416000000001</v>
      </c>
      <c r="G17">
        <v>37.949261730000003</v>
      </c>
      <c r="H17">
        <v>44.142141090000003</v>
      </c>
      <c r="I17">
        <v>50.582779780000003</v>
      </c>
      <c r="J17">
        <v>57.325872269999998</v>
      </c>
      <c r="K17">
        <v>64.430769369999993</v>
      </c>
      <c r="L17">
        <v>71.966934690000002</v>
      </c>
      <c r="M17">
        <v>80.020459020000004</v>
      </c>
      <c r="N17">
        <v>88.701914599999995</v>
      </c>
      <c r="O17">
        <v>98.156257339999996</v>
      </c>
      <c r="P17">
        <v>108.57594520000001</v>
      </c>
      <c r="Q17">
        <v>120.2190784</v>
      </c>
      <c r="R17">
        <v>133.4370993</v>
      </c>
      <c r="S17">
        <v>148.6682544</v>
      </c>
      <c r="T17">
        <v>166.4089108</v>
      </c>
      <c r="U17">
        <v>187.22067989999999</v>
      </c>
      <c r="V17">
        <v>211.73773399999999</v>
      </c>
      <c r="W17">
        <v>240.67353679999999</v>
      </c>
      <c r="X17">
        <v>274.82690589999999</v>
      </c>
      <c r="Y17">
        <v>315.08722010000002</v>
      </c>
      <c r="Z17">
        <v>362.4384718</v>
      </c>
      <c r="AA17">
        <v>417.9617619</v>
      </c>
      <c r="AB17">
        <v>482.83575330000002</v>
      </c>
      <c r="AC17">
        <v>558.33453750000001</v>
      </c>
      <c r="AD17">
        <v>645.82233480000002</v>
      </c>
      <c r="AE17">
        <v>746.74444080000001</v>
      </c>
      <c r="AF17">
        <v>862.61385929999994</v>
      </c>
      <c r="AG17">
        <v>994.99314949999996</v>
      </c>
      <c r="AH17">
        <v>1145.4711460000001</v>
      </c>
      <c r="AI17">
        <v>1315.634419</v>
      </c>
      <c r="AJ17">
        <v>1507.033623</v>
      </c>
      <c r="AK17">
        <v>1721.1452220000001</v>
      </c>
    </row>
    <row r="18" spans="1:37" x14ac:dyDescent="0.25">
      <c r="A18" t="s">
        <v>74</v>
      </c>
      <c r="B18">
        <v>11.44571741</v>
      </c>
      <c r="C18">
        <v>16.298725730000001</v>
      </c>
      <c r="D18">
        <v>21.445142629999999</v>
      </c>
      <c r="E18">
        <v>26.792131120000001</v>
      </c>
      <c r="F18">
        <v>32.294000230000002</v>
      </c>
      <c r="G18">
        <v>37.945945260000002</v>
      </c>
      <c r="H18">
        <v>43.781767790000004</v>
      </c>
      <c r="I18">
        <v>49.854747240000002</v>
      </c>
      <c r="J18">
        <v>56.21847236</v>
      </c>
      <c r="K18">
        <v>62.930440470000001</v>
      </c>
      <c r="L18">
        <v>70.057372700000002</v>
      </c>
      <c r="M18">
        <v>77.681484060000003</v>
      </c>
      <c r="N18">
        <v>85.907924730000005</v>
      </c>
      <c r="O18">
        <v>94.874013860000005</v>
      </c>
      <c r="P18">
        <v>104.76130120000001</v>
      </c>
      <c r="Q18">
        <v>115.8120426</v>
      </c>
      <c r="R18">
        <v>128.35424190000001</v>
      </c>
      <c r="S18">
        <v>142.7937646</v>
      </c>
      <c r="T18">
        <v>159.58537770000001</v>
      </c>
      <c r="U18">
        <v>179.2376491</v>
      </c>
      <c r="V18">
        <v>202.3178685</v>
      </c>
      <c r="W18">
        <v>229.45618899999999</v>
      </c>
      <c r="X18">
        <v>261.34888030000002</v>
      </c>
      <c r="Y18">
        <v>298.76051790000002</v>
      </c>
      <c r="Z18">
        <v>342.52484459999999</v>
      </c>
      <c r="AA18">
        <v>393.54397510000001</v>
      </c>
      <c r="AB18">
        <v>452.78556479999997</v>
      </c>
      <c r="AC18">
        <v>521.27754449999998</v>
      </c>
      <c r="AD18">
        <v>600.1000229</v>
      </c>
      <c r="AE18">
        <v>690.37399719999996</v>
      </c>
      <c r="AF18">
        <v>793.2465737</v>
      </c>
      <c r="AG18">
        <v>909.87251289999995</v>
      </c>
      <c r="AH18">
        <v>1041.3920660000001</v>
      </c>
      <c r="AI18">
        <v>1188.9052670000001</v>
      </c>
      <c r="AJ18">
        <v>1353.4430850000001</v>
      </c>
      <c r="AK18">
        <v>1535.9361309999999</v>
      </c>
    </row>
    <row r="19" spans="1:37" x14ac:dyDescent="0.25">
      <c r="A19" t="s">
        <v>75</v>
      </c>
      <c r="B19">
        <v>9.4015406210000005</v>
      </c>
      <c r="C19">
        <v>12.69768285</v>
      </c>
      <c r="D19">
        <v>16.19335895</v>
      </c>
      <c r="E19">
        <v>19.823554609999999</v>
      </c>
      <c r="F19">
        <v>23.556821750000001</v>
      </c>
      <c r="G19">
        <v>27.39065647</v>
      </c>
      <c r="H19">
        <v>31.34954905</v>
      </c>
      <c r="I19">
        <v>35.47124152</v>
      </c>
      <c r="J19">
        <v>39.793247970000003</v>
      </c>
      <c r="K19">
        <v>44.35537171</v>
      </c>
      <c r="L19">
        <v>49.203413930000004</v>
      </c>
      <c r="M19">
        <v>54.393495029999997</v>
      </c>
      <c r="N19">
        <v>59.99710151</v>
      </c>
      <c r="O19">
        <v>66.107249269999997</v>
      </c>
      <c r="P19">
        <v>72.846419979999993</v>
      </c>
      <c r="Q19">
        <v>80.377270300000006</v>
      </c>
      <c r="R19">
        <v>88.91887423</v>
      </c>
      <c r="S19">
        <v>98.740275030000006</v>
      </c>
      <c r="T19">
        <v>110.1396676</v>
      </c>
      <c r="U19">
        <v>123.4465984</v>
      </c>
      <c r="V19">
        <v>139.024114</v>
      </c>
      <c r="W19">
        <v>157.27027609999999</v>
      </c>
      <c r="X19">
        <v>178.61896239999999</v>
      </c>
      <c r="Y19">
        <v>203.53984109999999</v>
      </c>
      <c r="Z19">
        <v>232.53736660000001</v>
      </c>
      <c r="AA19">
        <v>266.14861280000002</v>
      </c>
      <c r="AB19">
        <v>304.93974739999999</v>
      </c>
      <c r="AC19">
        <v>349.50095399999998</v>
      </c>
      <c r="AD19">
        <v>400.43962970000001</v>
      </c>
      <c r="AE19">
        <v>458.3717302</v>
      </c>
      <c r="AF19">
        <v>523.9111881</v>
      </c>
      <c r="AG19">
        <v>597.65742379999995</v>
      </c>
      <c r="AH19">
        <v>680.18106290000003</v>
      </c>
      <c r="AI19">
        <v>772.00810660000002</v>
      </c>
      <c r="AJ19">
        <v>873.60293979999994</v>
      </c>
      <c r="AK19">
        <v>985.35070729999995</v>
      </c>
    </row>
    <row r="20" spans="1:37" x14ac:dyDescent="0.25">
      <c r="A20" t="s">
        <v>76</v>
      </c>
      <c r="B20">
        <v>5.770071272</v>
      </c>
      <c r="C20">
        <v>7.5615054730000004</v>
      </c>
      <c r="D20">
        <v>9.4379838589999991</v>
      </c>
      <c r="E20">
        <v>11.35207945</v>
      </c>
      <c r="F20">
        <v>13.275194150000001</v>
      </c>
      <c r="G20">
        <v>15.19295917</v>
      </c>
      <c r="H20">
        <v>17.10332404</v>
      </c>
      <c r="I20">
        <v>19.010938110000001</v>
      </c>
      <c r="J20">
        <v>20.921141630000001</v>
      </c>
      <c r="K20">
        <v>22.840063820000001</v>
      </c>
      <c r="L20">
        <v>24.775194509999999</v>
      </c>
      <c r="M20">
        <v>26.73612</v>
      </c>
      <c r="N20">
        <v>28.735392220000001</v>
      </c>
      <c r="O20">
        <v>30.789568280000001</v>
      </c>
      <c r="P20">
        <v>32.920506150000001</v>
      </c>
      <c r="Q20">
        <v>35.157052210000003</v>
      </c>
      <c r="R20">
        <v>37.538923269999998</v>
      </c>
      <c r="S20">
        <v>40.114565859999999</v>
      </c>
      <c r="T20">
        <v>42.934930999999999</v>
      </c>
      <c r="U20">
        <v>46.053606670000001</v>
      </c>
      <c r="V20">
        <v>49.526958950000001</v>
      </c>
      <c r="W20">
        <v>53.41412141</v>
      </c>
      <c r="X20">
        <v>57.776851649999998</v>
      </c>
      <c r="Y20">
        <v>62.679266990000002</v>
      </c>
      <c r="Z20">
        <v>68.187461170000006</v>
      </c>
      <c r="AA20">
        <v>74.368996670000001</v>
      </c>
      <c r="AB20">
        <v>81.292263750000004</v>
      </c>
      <c r="AC20">
        <v>89.025695900000002</v>
      </c>
      <c r="AD20">
        <v>97.636831959999995</v>
      </c>
      <c r="AE20">
        <v>107.191216</v>
      </c>
      <c r="AF20">
        <v>117.7511284</v>
      </c>
      <c r="AG20">
        <v>129.37414480000001</v>
      </c>
      <c r="AH20">
        <v>142.1115246</v>
      </c>
      <c r="AI20">
        <v>156.0064361</v>
      </c>
      <c r="AJ20">
        <v>171.09203640000001</v>
      </c>
      <c r="AK20">
        <v>187.38943420000001</v>
      </c>
    </row>
    <row r="21" spans="1:37" x14ac:dyDescent="0.25">
      <c r="A21" t="s">
        <v>77</v>
      </c>
      <c r="B21">
        <v>3.4730440960000002</v>
      </c>
      <c r="C21">
        <v>4.5722154760000002</v>
      </c>
      <c r="D21">
        <v>5.7140433249999996</v>
      </c>
      <c r="E21">
        <v>6.8675525430000004</v>
      </c>
      <c r="F21">
        <v>8.0145189620000004</v>
      </c>
      <c r="G21">
        <v>9.1461110110000003</v>
      </c>
      <c r="H21">
        <v>10.261243759999999</v>
      </c>
      <c r="I21">
        <v>11.362807200000001</v>
      </c>
      <c r="J21">
        <v>12.45393795</v>
      </c>
      <c r="K21">
        <v>13.538066860000001</v>
      </c>
      <c r="L21">
        <v>14.619250660000001</v>
      </c>
      <c r="M21">
        <v>15.70257655</v>
      </c>
      <c r="N21">
        <v>16.794605059999999</v>
      </c>
      <c r="O21">
        <v>17.903858849999999</v>
      </c>
      <c r="P21">
        <v>19.04138876</v>
      </c>
      <c r="Q21">
        <v>20.221467619999999</v>
      </c>
      <c r="R21">
        <v>21.463368240000001</v>
      </c>
      <c r="S21">
        <v>22.789836999999999</v>
      </c>
      <c r="T21">
        <v>24.223509069999999</v>
      </c>
      <c r="U21">
        <v>25.786814570000001</v>
      </c>
      <c r="V21">
        <v>27.50190834</v>
      </c>
      <c r="W21">
        <v>29.390532260000001</v>
      </c>
      <c r="X21">
        <v>31.473822670000001</v>
      </c>
      <c r="Y21">
        <v>33.772074310000001</v>
      </c>
      <c r="Z21">
        <v>36.304468649999997</v>
      </c>
      <c r="AA21">
        <v>39.088771960000003</v>
      </c>
      <c r="AB21">
        <v>42.141007449999996</v>
      </c>
      <c r="AC21">
        <v>45.475105829999997</v>
      </c>
      <c r="AD21">
        <v>49.102538780000003</v>
      </c>
      <c r="AE21">
        <v>53.031940990000003</v>
      </c>
      <c r="AF21">
        <v>57.268726450000003</v>
      </c>
      <c r="AG21">
        <v>61.814705940000003</v>
      </c>
      <c r="AH21">
        <v>66.667713710000001</v>
      </c>
      <c r="AI21">
        <v>71.821252290000004</v>
      </c>
      <c r="AJ21">
        <v>77.264166209999999</v>
      </c>
      <c r="AK21">
        <v>82.980357240000004</v>
      </c>
    </row>
    <row r="22" spans="1:37" x14ac:dyDescent="0.25">
      <c r="A22" t="s">
        <v>78</v>
      </c>
      <c r="B22">
        <v>1.7251505170000001</v>
      </c>
      <c r="C22">
        <v>2.244394497</v>
      </c>
      <c r="D22">
        <v>2.7668950890000001</v>
      </c>
      <c r="E22">
        <v>3.2740041689999999</v>
      </c>
      <c r="F22">
        <v>3.7551965630000002</v>
      </c>
      <c r="G22">
        <v>4.2053456369999997</v>
      </c>
      <c r="H22">
        <v>4.6232034869999996</v>
      </c>
      <c r="I22">
        <v>5.0095093979999996</v>
      </c>
      <c r="J22">
        <v>5.3653540150000003</v>
      </c>
      <c r="K22">
        <v>5.6920121210000003</v>
      </c>
      <c r="L22">
        <v>5.9909231490000003</v>
      </c>
      <c r="M22">
        <v>6.2637074889999997</v>
      </c>
      <c r="N22">
        <v>6.5121891439999997</v>
      </c>
      <c r="O22">
        <v>6.738415045</v>
      </c>
      <c r="P22">
        <v>6.9446695040000002</v>
      </c>
      <c r="Q22">
        <v>7.1334857420000004</v>
      </c>
      <c r="R22">
        <v>7.3079419129999996</v>
      </c>
      <c r="S22">
        <v>7.4712815580000003</v>
      </c>
      <c r="T22">
        <v>7.6261899179999997</v>
      </c>
      <c r="U22">
        <v>7.7748277469999998</v>
      </c>
      <c r="V22">
        <v>7.9188780850000002</v>
      </c>
      <c r="W22">
        <v>8.0595840780000003</v>
      </c>
      <c r="X22">
        <v>8.1977818669999998</v>
      </c>
      <c r="Y22">
        <v>8.333932055</v>
      </c>
      <c r="Z22">
        <v>8.4681519220000006</v>
      </c>
      <c r="AA22">
        <v>8.6002494380000005</v>
      </c>
      <c r="AB22">
        <v>8.7297594230000009</v>
      </c>
      <c r="AC22">
        <v>8.8559816930000004</v>
      </c>
      <c r="AD22">
        <v>8.9780207720000007</v>
      </c>
      <c r="AE22">
        <v>9.0948264979999998</v>
      </c>
      <c r="AF22">
        <v>9.2052348070000001</v>
      </c>
      <c r="AG22">
        <v>9.3080078709999992</v>
      </c>
      <c r="AH22">
        <v>9.4018728300000003</v>
      </c>
      <c r="AI22">
        <v>9.4855584250000007</v>
      </c>
      <c r="AJ22">
        <v>9.5578289190000003</v>
      </c>
      <c r="AK22">
        <v>9.6175148539999995</v>
      </c>
    </row>
    <row r="23" spans="1:37" x14ac:dyDescent="0.25">
      <c r="A23" t="s">
        <v>79</v>
      </c>
      <c r="B23">
        <v>3.1066862139999998</v>
      </c>
      <c r="C23">
        <v>4.0702695269999998</v>
      </c>
      <c r="D23">
        <v>5.0143829850000001</v>
      </c>
      <c r="E23">
        <v>5.9012134720000002</v>
      </c>
      <c r="F23">
        <v>6.711763382</v>
      </c>
      <c r="G23">
        <v>7.4388891170000004</v>
      </c>
      <c r="H23">
        <v>8.0831671870000008</v>
      </c>
      <c r="I23">
        <v>8.6487843669999993</v>
      </c>
      <c r="J23">
        <v>9.1404852200000004</v>
      </c>
      <c r="K23">
        <v>9.5631832140000004</v>
      </c>
      <c r="L23">
        <v>9.9218700230000003</v>
      </c>
      <c r="M23">
        <v>10.221594680000001</v>
      </c>
      <c r="N23">
        <v>10.467450299999999</v>
      </c>
      <c r="O23">
        <v>10.66455011</v>
      </c>
      <c r="P23">
        <v>10.81799124</v>
      </c>
      <c r="Q23">
        <v>10.932810529999999</v>
      </c>
      <c r="R23">
        <v>11.014264259999999</v>
      </c>
      <c r="S23">
        <v>11.06733715</v>
      </c>
      <c r="T23">
        <v>11.09599064</v>
      </c>
      <c r="U23">
        <v>11.103313999999999</v>
      </c>
      <c r="V23">
        <v>11.09168113</v>
      </c>
      <c r="W23">
        <v>11.062885189999999</v>
      </c>
      <c r="X23">
        <v>11.01825519</v>
      </c>
      <c r="Y23">
        <v>10.958758449999999</v>
      </c>
      <c r="Z23">
        <v>10.885091149999999</v>
      </c>
      <c r="AA23">
        <v>10.797758099999999</v>
      </c>
      <c r="AB23">
        <v>10.697142210000001</v>
      </c>
      <c r="AC23">
        <v>10.583563829999999</v>
      </c>
      <c r="AD23">
        <v>10.457329830000001</v>
      </c>
      <c r="AE23">
        <v>10.31877289</v>
      </c>
      <c r="AF23">
        <v>10.168281</v>
      </c>
      <c r="AG23">
        <v>10.006317960000001</v>
      </c>
      <c r="AH23">
        <v>9.8334354479999995</v>
      </c>
      <c r="AI23">
        <v>9.6502777650000002</v>
      </c>
      <c r="AJ23">
        <v>9.4575801429999995</v>
      </c>
      <c r="AK23">
        <v>9.2561619079999993</v>
      </c>
    </row>
    <row r="24" spans="1:37" x14ac:dyDescent="0.25">
      <c r="A24" t="s">
        <v>80</v>
      </c>
      <c r="B24">
        <v>0.42568169729999999</v>
      </c>
      <c r="C24">
        <v>0.44933516569999998</v>
      </c>
      <c r="D24">
        <v>0.47587941420000002</v>
      </c>
      <c r="E24">
        <v>0.50407722799999999</v>
      </c>
      <c r="F24">
        <v>0.53308136819999996</v>
      </c>
      <c r="G24">
        <v>0.56232302369999998</v>
      </c>
      <c r="H24">
        <v>0.59148356609999997</v>
      </c>
      <c r="I24">
        <v>0.62040925059999996</v>
      </c>
      <c r="J24">
        <v>0.64898775880000004</v>
      </c>
      <c r="K24">
        <v>0.67713271480000004</v>
      </c>
      <c r="L24">
        <v>0.70477498770000002</v>
      </c>
      <c r="M24">
        <v>0.73185591490000002</v>
      </c>
      <c r="N24">
        <v>0.75832209910000004</v>
      </c>
      <c r="O24">
        <v>0.78412142839999999</v>
      </c>
      <c r="P24">
        <v>0.80919991300000005</v>
      </c>
      <c r="Q24">
        <v>0.83349889870000005</v>
      </c>
      <c r="R24">
        <v>0.85701923759999998</v>
      </c>
      <c r="S24">
        <v>0.87981092790000004</v>
      </c>
      <c r="T24">
        <v>0.90188914539999998</v>
      </c>
      <c r="U24">
        <v>0.9232448379</v>
      </c>
      <c r="V24">
        <v>0.94385284790000001</v>
      </c>
      <c r="W24">
        <v>0.96367609990000003</v>
      </c>
      <c r="X24">
        <v>0.98266755900000002</v>
      </c>
      <c r="Y24">
        <v>1.0007710569999999</v>
      </c>
      <c r="Z24">
        <v>1.017921608</v>
      </c>
      <c r="AA24">
        <v>1.0340455669999999</v>
      </c>
      <c r="AB24">
        <v>1.04906082</v>
      </c>
      <c r="AC24">
        <v>1.0628771379999999</v>
      </c>
      <c r="AD24">
        <v>1.075396789</v>
      </c>
      <c r="AE24">
        <v>1.086515452</v>
      </c>
      <c r="AF24">
        <v>1.0961235090000001</v>
      </c>
      <c r="AG24">
        <v>1.1041077189999999</v>
      </c>
      <c r="AH24">
        <v>1.110353323</v>
      </c>
      <c r="AI24">
        <v>1.1147465519999999</v>
      </c>
      <c r="AJ24">
        <v>1.1171775319999999</v>
      </c>
      <c r="AK24">
        <v>1.1175435330000001</v>
      </c>
    </row>
    <row r="25" spans="1:37" x14ac:dyDescent="0.25">
      <c r="A25" t="s">
        <v>81</v>
      </c>
      <c r="B25">
        <v>0.49500522540000003</v>
      </c>
      <c r="C25">
        <v>0.51226023529999998</v>
      </c>
      <c r="D25">
        <v>0.53252768289999997</v>
      </c>
      <c r="E25">
        <v>0.55457425149999995</v>
      </c>
      <c r="F25">
        <v>0.57755324689999998</v>
      </c>
      <c r="G25">
        <v>0.60089213809999997</v>
      </c>
      <c r="H25">
        <v>0.62426223319999996</v>
      </c>
      <c r="I25">
        <v>0.64749666139999995</v>
      </c>
      <c r="J25">
        <v>0.67047190050000005</v>
      </c>
      <c r="K25">
        <v>0.69309085189999997</v>
      </c>
      <c r="L25">
        <v>0.71527340210000001</v>
      </c>
      <c r="M25">
        <v>0.73694937849999997</v>
      </c>
      <c r="N25">
        <v>0.75805330260000003</v>
      </c>
      <c r="O25">
        <v>0.77852045520000002</v>
      </c>
      <c r="P25">
        <v>0.79828378960000002</v>
      </c>
      <c r="Q25">
        <v>0.81727124470000001</v>
      </c>
      <c r="R25">
        <v>0.83546578540000005</v>
      </c>
      <c r="S25">
        <v>0.85289806000000001</v>
      </c>
      <c r="T25">
        <v>0.86957021209999996</v>
      </c>
      <c r="U25">
        <v>0.88546447849999999</v>
      </c>
      <c r="V25">
        <v>0.90055013559999997</v>
      </c>
      <c r="W25">
        <v>0.91478716169999996</v>
      </c>
      <c r="X25">
        <v>0.92812804270000004</v>
      </c>
      <c r="Y25">
        <v>0.94051865629999998</v>
      </c>
      <c r="Z25">
        <v>0.95189876699999998</v>
      </c>
      <c r="AA25">
        <v>0.96220242659999999</v>
      </c>
      <c r="AB25">
        <v>0.97135844280000005</v>
      </c>
      <c r="AC25">
        <v>0.97929101659999995</v>
      </c>
      <c r="AD25">
        <v>0.98592060800000003</v>
      </c>
      <c r="AE25">
        <v>0.99116507129999998</v>
      </c>
      <c r="AF25">
        <v>0.99494107899999995</v>
      </c>
      <c r="AG25">
        <v>0.99716584399999997</v>
      </c>
      <c r="AH25">
        <v>0.99775912789999999</v>
      </c>
      <c r="AI25">
        <v>0.99664551010000002</v>
      </c>
      <c r="AJ25">
        <v>0.99375687069999996</v>
      </c>
      <c r="AK25">
        <v>0.98903501650000003</v>
      </c>
    </row>
    <row r="26" spans="1:37" x14ac:dyDescent="0.25">
      <c r="A26" t="s">
        <v>82</v>
      </c>
      <c r="B26">
        <v>0.40659851759999999</v>
      </c>
      <c r="C26">
        <v>0.41450489509999999</v>
      </c>
      <c r="D26">
        <v>0.42467781360000001</v>
      </c>
      <c r="E26">
        <v>0.43623168080000002</v>
      </c>
      <c r="F26">
        <v>0.44855712269999998</v>
      </c>
      <c r="G26">
        <v>0.46123940009999997</v>
      </c>
      <c r="H26">
        <v>0.47403519</v>
      </c>
      <c r="I26">
        <v>0.48681568390000002</v>
      </c>
      <c r="J26">
        <v>0.49948458439999999</v>
      </c>
      <c r="K26">
        <v>0.51196499689999997</v>
      </c>
      <c r="L26">
        <v>0.52419217389999995</v>
      </c>
      <c r="M26">
        <v>0.53610829790000003</v>
      </c>
      <c r="N26">
        <v>0.54765870569999997</v>
      </c>
      <c r="O26">
        <v>0.55878912010000004</v>
      </c>
      <c r="P26">
        <v>0.5694435162</v>
      </c>
      <c r="Q26">
        <v>0.57956229820000005</v>
      </c>
      <c r="R26">
        <v>0.58912284820000005</v>
      </c>
      <c r="S26">
        <v>0.5981360952</v>
      </c>
      <c r="T26">
        <v>0.60659660650000002</v>
      </c>
      <c r="U26">
        <v>0.61448750770000005</v>
      </c>
      <c r="V26">
        <v>0.62178472299999998</v>
      </c>
      <c r="W26">
        <v>0.62845926100000005</v>
      </c>
      <c r="X26">
        <v>0.63447839289999997</v>
      </c>
      <c r="Y26">
        <v>0.63980629440000003</v>
      </c>
      <c r="Z26">
        <v>0.644404474</v>
      </c>
      <c r="AA26">
        <v>0.64823216500000003</v>
      </c>
      <c r="AB26">
        <v>0.6512467757</v>
      </c>
      <c r="AC26">
        <v>0.65340445079999998</v>
      </c>
      <c r="AD26">
        <v>0.65466077290000002</v>
      </c>
      <c r="AE26">
        <v>0.65497161780000002</v>
      </c>
      <c r="AF26">
        <v>0.65429416220000003</v>
      </c>
      <c r="AG26">
        <v>0.65258803860000003</v>
      </c>
      <c r="AH26">
        <v>0.64981661390000001</v>
      </c>
      <c r="AI26">
        <v>0.64594836470000006</v>
      </c>
      <c r="AJ26">
        <v>0.64095830639999996</v>
      </c>
      <c r="AK26">
        <v>0.63482942539999998</v>
      </c>
    </row>
    <row r="27" spans="1:37" x14ac:dyDescent="0.25">
      <c r="A27" t="s">
        <v>83</v>
      </c>
      <c r="B27">
        <v>0.2495444651</v>
      </c>
      <c r="C27">
        <v>0.25231484729999998</v>
      </c>
      <c r="D27">
        <v>0.25626929209999999</v>
      </c>
      <c r="E27">
        <v>0.26087537430000002</v>
      </c>
      <c r="F27">
        <v>0.26577440320000001</v>
      </c>
      <c r="G27">
        <v>0.27072765720000003</v>
      </c>
      <c r="H27">
        <v>0.2755970888</v>
      </c>
      <c r="I27">
        <v>0.28031070759999999</v>
      </c>
      <c r="J27">
        <v>0.28481691539999998</v>
      </c>
      <c r="K27">
        <v>0.28907613640000002</v>
      </c>
      <c r="L27">
        <v>0.29305639220000002</v>
      </c>
      <c r="M27">
        <v>0.29673038730000001</v>
      </c>
      <c r="N27">
        <v>0.30007357600000001</v>
      </c>
      <c r="O27">
        <v>0.30306288310000001</v>
      </c>
      <c r="P27">
        <v>0.30567585050000001</v>
      </c>
      <c r="Q27">
        <v>0.30789004790000002</v>
      </c>
      <c r="R27">
        <v>0.30970231990000002</v>
      </c>
      <c r="S27">
        <v>0.31112699659999998</v>
      </c>
      <c r="T27">
        <v>0.3121727104</v>
      </c>
      <c r="U27">
        <v>0.31284445999999999</v>
      </c>
      <c r="V27">
        <v>0.31314550299999999</v>
      </c>
      <c r="W27">
        <v>0.31307838389999998</v>
      </c>
      <c r="X27">
        <v>0.31264544919999998</v>
      </c>
      <c r="Y27">
        <v>0.31184909459999999</v>
      </c>
      <c r="Z27">
        <v>0.31069188349999999</v>
      </c>
      <c r="AA27">
        <v>0.30917661140000002</v>
      </c>
      <c r="AB27">
        <v>0.3073063513</v>
      </c>
      <c r="AC27">
        <v>0.30508449850000002</v>
      </c>
      <c r="AD27">
        <v>0.30251482159999998</v>
      </c>
      <c r="AE27">
        <v>0.29960152220000003</v>
      </c>
      <c r="AF27">
        <v>0.29634930250000002</v>
      </c>
      <c r="AG27">
        <v>0.29276344180000002</v>
      </c>
      <c r="AH27">
        <v>0.28884987909999998</v>
      </c>
      <c r="AI27">
        <v>0.28461530429999998</v>
      </c>
      <c r="AJ27">
        <v>0.28006725609999999</v>
      </c>
      <c r="AK27">
        <v>0.2752142286</v>
      </c>
    </row>
    <row r="28" spans="1:37" x14ac:dyDescent="0.25">
      <c r="A28" t="s">
        <v>84</v>
      </c>
      <c r="B28">
        <v>0.15020246549999999</v>
      </c>
      <c r="C28">
        <v>0.15205803779999999</v>
      </c>
      <c r="D28">
        <v>0.15453801219999999</v>
      </c>
      <c r="E28">
        <v>0.15729786309999999</v>
      </c>
      <c r="F28">
        <v>0.1601114521</v>
      </c>
      <c r="G28">
        <v>0.1628329332</v>
      </c>
      <c r="H28">
        <v>0.16538125870000001</v>
      </c>
      <c r="I28">
        <v>0.16771728020000001</v>
      </c>
      <c r="J28">
        <v>0.16981554709999999</v>
      </c>
      <c r="K28">
        <v>0.1716584864</v>
      </c>
      <c r="L28">
        <v>0.17323339930000001</v>
      </c>
      <c r="M28">
        <v>0.1745305919</v>
      </c>
      <c r="N28">
        <v>0.17554220109999999</v>
      </c>
      <c r="O28">
        <v>0.17626146009999999</v>
      </c>
      <c r="P28">
        <v>0.17668224090000001</v>
      </c>
      <c r="Q28">
        <v>0.17679876850000001</v>
      </c>
      <c r="R28">
        <v>0.17661580239999999</v>
      </c>
      <c r="S28">
        <v>0.17614766870000001</v>
      </c>
      <c r="T28">
        <v>0.17540622980000001</v>
      </c>
      <c r="U28">
        <v>0.1744018108</v>
      </c>
      <c r="V28">
        <v>0.17314411430000001</v>
      </c>
      <c r="W28">
        <v>0.1716427133</v>
      </c>
      <c r="X28">
        <v>0.1699072875</v>
      </c>
      <c r="Y28">
        <v>0.1679477247</v>
      </c>
      <c r="Z28">
        <v>0.16577415570000001</v>
      </c>
      <c r="AA28">
        <v>0.16339696109999999</v>
      </c>
      <c r="AB28">
        <v>0.16082676630000001</v>
      </c>
      <c r="AC28">
        <v>0.15807443390000001</v>
      </c>
      <c r="AD28">
        <v>0.15515105439999999</v>
      </c>
      <c r="AE28">
        <v>0.15206793660000001</v>
      </c>
      <c r="AF28">
        <v>0.14883659690000001</v>
      </c>
      <c r="AG28">
        <v>0.14546874570000001</v>
      </c>
      <c r="AH28">
        <v>0.1419762712</v>
      </c>
      <c r="AI28">
        <v>0.1383712201</v>
      </c>
      <c r="AJ28">
        <v>0.13466577630000001</v>
      </c>
      <c r="AK28">
        <v>0.13087223649999999</v>
      </c>
    </row>
    <row r="29" spans="1:37" x14ac:dyDescent="0.25">
      <c r="A29" t="s">
        <v>85</v>
      </c>
      <c r="B29">
        <v>7.4609436000000001E-2</v>
      </c>
      <c r="C29">
        <v>7.5290206700000001E-2</v>
      </c>
      <c r="D29">
        <v>7.6132076399999998E-2</v>
      </c>
      <c r="E29">
        <v>7.6945596599999999E-2</v>
      </c>
      <c r="F29">
        <v>7.7619323800000001E-2</v>
      </c>
      <c r="G29">
        <v>7.8092136100000001E-2</v>
      </c>
      <c r="H29">
        <v>7.8339035299999998E-2</v>
      </c>
      <c r="I29">
        <v>7.8356677999999999E-2</v>
      </c>
      <c r="J29">
        <v>7.8149325199999994E-2</v>
      </c>
      <c r="K29">
        <v>7.7725280399999999E-2</v>
      </c>
      <c r="L29">
        <v>7.7095122399999994E-2</v>
      </c>
      <c r="M29">
        <v>7.62706992E-2</v>
      </c>
      <c r="N29">
        <v>7.5264537399999998E-2</v>
      </c>
      <c r="O29">
        <v>7.4089487400000001E-2</v>
      </c>
      <c r="P29">
        <v>7.27585065E-2</v>
      </c>
      <c r="Q29">
        <v>7.1284526400000006E-2</v>
      </c>
      <c r="R29">
        <v>6.9683135300000004E-2</v>
      </c>
      <c r="S29">
        <v>6.7971894099999999E-2</v>
      </c>
      <c r="T29">
        <v>6.61669919E-2</v>
      </c>
      <c r="U29">
        <v>6.4283485700000004E-2</v>
      </c>
      <c r="V29">
        <v>6.2335534200000001E-2</v>
      </c>
      <c r="W29">
        <v>6.0336506400000003E-2</v>
      </c>
      <c r="X29">
        <v>5.8299016600000003E-2</v>
      </c>
      <c r="Y29">
        <v>5.6234922999999999E-2</v>
      </c>
      <c r="Z29">
        <v>5.4155314500000003E-2</v>
      </c>
      <c r="AA29">
        <v>5.2070495299999998E-2</v>
      </c>
      <c r="AB29">
        <v>4.9989974499999999E-2</v>
      </c>
      <c r="AC29">
        <v>4.7922462499999999E-2</v>
      </c>
      <c r="AD29">
        <v>4.5875873099999999E-2</v>
      </c>
      <c r="AE29">
        <v>4.3857332999999998E-2</v>
      </c>
      <c r="AF29">
        <v>4.1873196100000003E-2</v>
      </c>
      <c r="AG29">
        <v>3.99290635E-2</v>
      </c>
      <c r="AH29">
        <v>3.8029807399999997E-2</v>
      </c>
      <c r="AI29">
        <v>3.6179600200000002E-2</v>
      </c>
      <c r="AJ29">
        <v>3.4381946099999998E-2</v>
      </c>
      <c r="AK29">
        <v>3.2639716800000003E-2</v>
      </c>
    </row>
    <row r="30" spans="1:37" x14ac:dyDescent="0.25">
      <c r="A30" t="s">
        <v>86</v>
      </c>
      <c r="B30">
        <v>0.13435819299999999</v>
      </c>
      <c r="C30">
        <v>0.13584218980000001</v>
      </c>
      <c r="D30">
        <v>0.13737684</v>
      </c>
      <c r="E30">
        <v>0.1385879552</v>
      </c>
      <c r="F30">
        <v>0.1392824819</v>
      </c>
      <c r="G30">
        <v>0.13937914670000001</v>
      </c>
      <c r="H30">
        <v>0.1388700584</v>
      </c>
      <c r="I30">
        <v>0.13778783189999999</v>
      </c>
      <c r="J30">
        <v>0.13617824119999999</v>
      </c>
      <c r="K30">
        <v>0.13409233240000001</v>
      </c>
      <c r="L30">
        <v>0.1315826209</v>
      </c>
      <c r="M30">
        <v>0.12870105940000001</v>
      </c>
      <c r="N30">
        <v>0.1254979266</v>
      </c>
      <c r="O30">
        <v>0.1220212123</v>
      </c>
      <c r="P30">
        <v>0.1183162839</v>
      </c>
      <c r="Q30">
        <v>0.1144257199</v>
      </c>
      <c r="R30">
        <v>0.1103923143</v>
      </c>
      <c r="S30">
        <v>0.1062579949</v>
      </c>
      <c r="T30">
        <v>0.10206013680000001</v>
      </c>
      <c r="U30">
        <v>9.7831987600000003E-2</v>
      </c>
      <c r="V30">
        <v>9.3603088900000006E-2</v>
      </c>
      <c r="W30">
        <v>8.9399555199999994E-2</v>
      </c>
      <c r="X30">
        <v>8.5244278899999998E-2</v>
      </c>
      <c r="Y30">
        <v>8.1157103600000002E-2</v>
      </c>
      <c r="Z30">
        <v>7.7154994300000002E-2</v>
      </c>
      <c r="AA30">
        <v>7.3252213799999993E-2</v>
      </c>
      <c r="AB30">
        <v>6.9460508700000007E-2</v>
      </c>
      <c r="AC30">
        <v>6.5789302399999999E-2</v>
      </c>
      <c r="AD30">
        <v>6.2245893199999999E-2</v>
      </c>
      <c r="AE30">
        <v>5.8835653199999997E-2</v>
      </c>
      <c r="AF30">
        <v>5.5562225600000001E-2</v>
      </c>
      <c r="AG30">
        <v>5.2427716700000002E-2</v>
      </c>
      <c r="AH30">
        <v>4.9432881800000002E-2</v>
      </c>
      <c r="AI30">
        <v>4.6577301699999997E-2</v>
      </c>
      <c r="AJ30">
        <v>4.3859550599999998E-2</v>
      </c>
      <c r="AK30">
        <v>4.1277351099999998E-2</v>
      </c>
    </row>
    <row r="31" spans="1:37" x14ac:dyDescent="0.25">
      <c r="A31" t="s">
        <v>1890</v>
      </c>
      <c r="B31">
        <v>528.68436870000005</v>
      </c>
      <c r="C31">
        <v>598.23805579999998</v>
      </c>
      <c r="D31">
        <v>650.24460480000005</v>
      </c>
      <c r="E31">
        <v>689.67492819999995</v>
      </c>
      <c r="F31">
        <v>720.25056719999998</v>
      </c>
      <c r="G31">
        <v>744.65539590000003</v>
      </c>
      <c r="H31">
        <v>765.44422840000004</v>
      </c>
      <c r="I31">
        <v>784.34265800000003</v>
      </c>
      <c r="J31">
        <v>801.72941860000003</v>
      </c>
      <c r="K31">
        <v>817.82974609999997</v>
      </c>
      <c r="L31">
        <v>832.7846528</v>
      </c>
      <c r="M31">
        <v>846.66731630000004</v>
      </c>
      <c r="N31">
        <v>859.4967676</v>
      </c>
      <c r="O31">
        <v>871.24858270000004</v>
      </c>
      <c r="P31">
        <v>881.8616366</v>
      </c>
      <c r="Q31">
        <v>891.24024899999995</v>
      </c>
      <c r="R31">
        <v>900.04909250000003</v>
      </c>
      <c r="S31">
        <v>908.87380159999998</v>
      </c>
      <c r="T31">
        <v>917.33707300000003</v>
      </c>
      <c r="U31">
        <v>925.16180569999995</v>
      </c>
      <c r="V31">
        <v>932.14956099999995</v>
      </c>
      <c r="W31">
        <v>938.13976090000006</v>
      </c>
      <c r="X31">
        <v>942.98627309999995</v>
      </c>
      <c r="Y31">
        <v>946.54538720000005</v>
      </c>
      <c r="Z31">
        <v>948.67037560000006</v>
      </c>
      <c r="AA31">
        <v>949.20979680000005</v>
      </c>
      <c r="AB31">
        <v>948.00805839999998</v>
      </c>
      <c r="AC31">
        <v>944.90750270000001</v>
      </c>
      <c r="AD31">
        <v>939.75165130000005</v>
      </c>
      <c r="AE31">
        <v>932.38941580000005</v>
      </c>
      <c r="AF31">
        <v>922.68008650000002</v>
      </c>
      <c r="AG31">
        <v>910.49903270000004</v>
      </c>
      <c r="AH31">
        <v>895.74389910000002</v>
      </c>
      <c r="AI31">
        <v>878.34111270000005</v>
      </c>
      <c r="AJ31">
        <v>858.25241679999999</v>
      </c>
      <c r="AK31">
        <v>835.48108079999997</v>
      </c>
    </row>
    <row r="32" spans="1:37" x14ac:dyDescent="0.25">
      <c r="A32" t="s">
        <v>1891</v>
      </c>
      <c r="B32">
        <v>507.5668948</v>
      </c>
      <c r="C32">
        <v>573.64915540000004</v>
      </c>
      <c r="D32">
        <v>622.34368410000002</v>
      </c>
      <c r="E32">
        <v>658.59889599999997</v>
      </c>
      <c r="F32">
        <v>686.09931349999999</v>
      </c>
      <c r="G32">
        <v>707.47845489999997</v>
      </c>
      <c r="H32">
        <v>725.2128553</v>
      </c>
      <c r="I32">
        <v>740.98417119999999</v>
      </c>
      <c r="J32">
        <v>755.18424949999996</v>
      </c>
      <c r="K32">
        <v>768.03572029999998</v>
      </c>
      <c r="L32">
        <v>779.66852029999995</v>
      </c>
      <c r="M32">
        <v>790.14138330000003</v>
      </c>
      <c r="N32">
        <v>799.45797630000004</v>
      </c>
      <c r="O32">
        <v>807.5786253</v>
      </c>
      <c r="P32">
        <v>814.42747629999997</v>
      </c>
      <c r="Q32">
        <v>819.89496350000002</v>
      </c>
      <c r="R32">
        <v>824.58246410000004</v>
      </c>
      <c r="S32">
        <v>829.04488790000005</v>
      </c>
      <c r="T32">
        <v>832.96574009999995</v>
      </c>
      <c r="U32">
        <v>836.10965940000006</v>
      </c>
      <c r="V32">
        <v>838.30916149999996</v>
      </c>
      <c r="W32">
        <v>839.43071210000005</v>
      </c>
      <c r="X32">
        <v>839.35535370000002</v>
      </c>
      <c r="Y32">
        <v>837.96907780000004</v>
      </c>
      <c r="Z32">
        <v>835.15885649999996</v>
      </c>
      <c r="AA32">
        <v>830.81187460000001</v>
      </c>
      <c r="AB32">
        <v>824.81665220000002</v>
      </c>
      <c r="AC32">
        <v>817.06538850000004</v>
      </c>
      <c r="AD32">
        <v>807.45716349999998</v>
      </c>
      <c r="AE32">
        <v>795.90178719999994</v>
      </c>
      <c r="AF32">
        <v>782.3240816</v>
      </c>
      <c r="AG32">
        <v>766.66848449999998</v>
      </c>
      <c r="AH32">
        <v>748.90374629999997</v>
      </c>
      <c r="AI32">
        <v>729.0275226</v>
      </c>
      <c r="AJ32">
        <v>707.07060109999998</v>
      </c>
      <c r="AK32">
        <v>683.10046839999995</v>
      </c>
    </row>
    <row r="33" spans="1:37" x14ac:dyDescent="0.25">
      <c r="A33" t="s">
        <v>1892</v>
      </c>
      <c r="B33">
        <v>351.33496400000001</v>
      </c>
      <c r="C33">
        <v>396.60028699999998</v>
      </c>
      <c r="D33">
        <v>429.46133750000001</v>
      </c>
      <c r="E33">
        <v>453.467197</v>
      </c>
      <c r="F33">
        <v>471.24691050000001</v>
      </c>
      <c r="G33">
        <v>484.66391160000001</v>
      </c>
      <c r="H33">
        <v>495.45005730000003</v>
      </c>
      <c r="I33">
        <v>504.78741650000001</v>
      </c>
      <c r="J33">
        <v>512.96714889999998</v>
      </c>
      <c r="K33">
        <v>520.14856959999997</v>
      </c>
      <c r="L33">
        <v>526.41906159999996</v>
      </c>
      <c r="M33">
        <v>531.81294579999997</v>
      </c>
      <c r="N33">
        <v>536.32475509999995</v>
      </c>
      <c r="O33">
        <v>539.91841529999999</v>
      </c>
      <c r="P33">
        <v>542.53274820000001</v>
      </c>
      <c r="Q33">
        <v>544.08356460000005</v>
      </c>
      <c r="R33">
        <v>544.96668590000002</v>
      </c>
      <c r="S33">
        <v>545.56459859999995</v>
      </c>
      <c r="T33">
        <v>545.69068200000004</v>
      </c>
      <c r="U33">
        <v>545.20469500000002</v>
      </c>
      <c r="V33">
        <v>544.00836979999997</v>
      </c>
      <c r="W33">
        <v>542.02527940000004</v>
      </c>
      <c r="X33">
        <v>539.18937149999999</v>
      </c>
      <c r="Y33">
        <v>535.43944929999998</v>
      </c>
      <c r="Z33">
        <v>530.71711479999999</v>
      </c>
      <c r="AA33">
        <v>524.96664859999998</v>
      </c>
      <c r="AB33">
        <v>518.13599910000005</v>
      </c>
      <c r="AC33">
        <v>510.17844029999998</v>
      </c>
      <c r="AD33">
        <v>501.05465579999998</v>
      </c>
      <c r="AE33">
        <v>490.7350879</v>
      </c>
      <c r="AF33">
        <v>479.20240030000002</v>
      </c>
      <c r="AG33">
        <v>466.4539613</v>
      </c>
      <c r="AH33">
        <v>452.50419429999999</v>
      </c>
      <c r="AI33">
        <v>437.38666640000002</v>
      </c>
      <c r="AJ33">
        <v>421.15575919999998</v>
      </c>
      <c r="AK33">
        <v>403.8877655</v>
      </c>
    </row>
    <row r="34" spans="1:37" x14ac:dyDescent="0.25">
      <c r="A34" t="s">
        <v>1893</v>
      </c>
      <c r="B34">
        <v>194.7292726</v>
      </c>
      <c r="C34">
        <v>218.62508769999999</v>
      </c>
      <c r="D34">
        <v>234.78025410000001</v>
      </c>
      <c r="E34">
        <v>245.4787365</v>
      </c>
      <c r="F34">
        <v>252.3924366</v>
      </c>
      <c r="G34">
        <v>256.6825217</v>
      </c>
      <c r="H34">
        <v>259.36974249999997</v>
      </c>
      <c r="I34">
        <v>261.13768549999998</v>
      </c>
      <c r="J34">
        <v>262.17552810000001</v>
      </c>
      <c r="K34">
        <v>262.587988</v>
      </c>
      <c r="L34">
        <v>262.43605609999997</v>
      </c>
      <c r="M34">
        <v>261.75168550000001</v>
      </c>
      <c r="N34">
        <v>260.54729939999999</v>
      </c>
      <c r="O34">
        <v>258.8221403</v>
      </c>
      <c r="P34">
        <v>256.56638720000001</v>
      </c>
      <c r="Q34">
        <v>253.76366490000001</v>
      </c>
      <c r="R34">
        <v>250.62671839999999</v>
      </c>
      <c r="S34">
        <v>247.3613312</v>
      </c>
      <c r="T34">
        <v>243.91034859999999</v>
      </c>
      <c r="U34">
        <v>240.23693470000001</v>
      </c>
      <c r="V34">
        <v>236.3240868</v>
      </c>
      <c r="W34">
        <v>232.1657395</v>
      </c>
      <c r="X34">
        <v>227.7614289</v>
      </c>
      <c r="Y34">
        <v>223.113485</v>
      </c>
      <c r="Z34">
        <v>218.22568899999999</v>
      </c>
      <c r="AA34">
        <v>213.1027082</v>
      </c>
      <c r="AB34">
        <v>207.74992639999999</v>
      </c>
      <c r="AC34">
        <v>202.17346649999999</v>
      </c>
      <c r="AD34">
        <v>196.38029789999999</v>
      </c>
      <c r="AE34">
        <v>190.37837690000001</v>
      </c>
      <c r="AF34">
        <v>184.1767907</v>
      </c>
      <c r="AG34">
        <v>177.78590320000001</v>
      </c>
      <c r="AH34">
        <v>171.21749840000001</v>
      </c>
      <c r="AI34">
        <v>164.4849298</v>
      </c>
      <c r="AJ34">
        <v>157.60327910000001</v>
      </c>
      <c r="AK34">
        <v>150.5895261</v>
      </c>
    </row>
    <row r="35" spans="1:37" x14ac:dyDescent="0.25">
      <c r="A35" t="s">
        <v>1894</v>
      </c>
      <c r="B35">
        <v>119.7902723</v>
      </c>
      <c r="C35">
        <v>133.83041510000001</v>
      </c>
      <c r="D35">
        <v>142.6432543</v>
      </c>
      <c r="E35">
        <v>147.81965880000001</v>
      </c>
      <c r="F35">
        <v>150.51250619999999</v>
      </c>
      <c r="G35">
        <v>151.5092975</v>
      </c>
      <c r="H35">
        <v>151.47283669999999</v>
      </c>
      <c r="I35">
        <v>150.84156730000001</v>
      </c>
      <c r="J35">
        <v>149.74940889999999</v>
      </c>
      <c r="K35">
        <v>148.27119930000001</v>
      </c>
      <c r="L35">
        <v>146.4518812</v>
      </c>
      <c r="M35">
        <v>144.31777629999999</v>
      </c>
      <c r="N35">
        <v>141.8834659</v>
      </c>
      <c r="O35">
        <v>139.15614969999999</v>
      </c>
      <c r="P35">
        <v>136.13839469999999</v>
      </c>
      <c r="Q35">
        <v>132.82984640000001</v>
      </c>
      <c r="R35">
        <v>129.3516041</v>
      </c>
      <c r="S35">
        <v>125.82107689999999</v>
      </c>
      <c r="T35">
        <v>122.21960180000001</v>
      </c>
      <c r="U35">
        <v>118.53770249999999</v>
      </c>
      <c r="V35">
        <v>114.77565130000001</v>
      </c>
      <c r="W35">
        <v>110.9391227</v>
      </c>
      <c r="X35">
        <v>107.0365108</v>
      </c>
      <c r="Y35">
        <v>103.0774914</v>
      </c>
      <c r="Z35">
        <v>99.072315219999993</v>
      </c>
      <c r="AA35">
        <v>95.03149062</v>
      </c>
      <c r="AB35">
        <v>90.965656339999995</v>
      </c>
      <c r="AC35">
        <v>86.885537630000002</v>
      </c>
      <c r="AD35">
        <v>82.801930029999994</v>
      </c>
      <c r="AE35">
        <v>78.725684670000007</v>
      </c>
      <c r="AF35">
        <v>74.667683229999994</v>
      </c>
      <c r="AG35">
        <v>70.638802609999999</v>
      </c>
      <c r="AH35">
        <v>66.649871430000005</v>
      </c>
      <c r="AI35">
        <v>62.711623080000003</v>
      </c>
      <c r="AJ35">
        <v>58.83464961</v>
      </c>
      <c r="AK35">
        <v>55.02935918</v>
      </c>
    </row>
    <row r="36" spans="1:37" x14ac:dyDescent="0.25">
      <c r="A36" t="s">
        <v>1895</v>
      </c>
      <c r="B36">
        <v>57.932893</v>
      </c>
      <c r="C36">
        <v>63.609060390000003</v>
      </c>
      <c r="D36">
        <v>66.033113589999999</v>
      </c>
      <c r="E36">
        <v>66.321973819999997</v>
      </c>
      <c r="F36">
        <v>65.263206890000006</v>
      </c>
      <c r="G36">
        <v>63.372895249999999</v>
      </c>
      <c r="H36">
        <v>61.035555250000002</v>
      </c>
      <c r="I36">
        <v>58.490347980000003</v>
      </c>
      <c r="J36">
        <v>55.825307479999999</v>
      </c>
      <c r="K36">
        <v>53.091717719999998</v>
      </c>
      <c r="L36">
        <v>50.322841390000001</v>
      </c>
      <c r="M36">
        <v>47.541657270000002</v>
      </c>
      <c r="N36">
        <v>44.765056190000003</v>
      </c>
      <c r="O36">
        <v>42.006210750000001</v>
      </c>
      <c r="P36">
        <v>39.275954890000001</v>
      </c>
      <c r="Q36">
        <v>36.583622660000003</v>
      </c>
      <c r="R36">
        <v>33.970456220000003</v>
      </c>
      <c r="S36">
        <v>31.471532419999999</v>
      </c>
      <c r="T36">
        <v>29.083587609999999</v>
      </c>
      <c r="U36">
        <v>26.805191499999999</v>
      </c>
      <c r="V36">
        <v>24.63685087</v>
      </c>
      <c r="W36">
        <v>22.579700330000001</v>
      </c>
      <c r="X36">
        <v>20.634701039999999</v>
      </c>
      <c r="Y36">
        <v>18.802240999999999</v>
      </c>
      <c r="Z36">
        <v>17.081980690000002</v>
      </c>
      <c r="AA36">
        <v>15.472830889999999</v>
      </c>
      <c r="AB36">
        <v>13.972994699999999</v>
      </c>
      <c r="AC36">
        <v>12.580036140000001</v>
      </c>
      <c r="AD36">
        <v>11.290956789999999</v>
      </c>
      <c r="AE36">
        <v>10.10227252</v>
      </c>
      <c r="AF36">
        <v>9.0100877809999993</v>
      </c>
      <c r="AG36">
        <v>8.0101671400000001</v>
      </c>
      <c r="AH36">
        <v>7.0980046200000002</v>
      </c>
      <c r="AI36">
        <v>6.2688910360000003</v>
      </c>
      <c r="AJ36">
        <v>5.5179791749999998</v>
      </c>
      <c r="AK36">
        <v>4.8403462140000002</v>
      </c>
    </row>
    <row r="37" spans="1:37" x14ac:dyDescent="0.25">
      <c r="A37" t="s">
        <v>1896</v>
      </c>
      <c r="B37">
        <v>108.7643346</v>
      </c>
      <c r="C37">
        <v>117.6201255</v>
      </c>
      <c r="D37">
        <v>119.3270837</v>
      </c>
      <c r="E37">
        <v>116.6176839</v>
      </c>
      <c r="F37">
        <v>111.3696352</v>
      </c>
      <c r="G37">
        <v>104.7698573</v>
      </c>
      <c r="H37">
        <v>97.631366979999996</v>
      </c>
      <c r="I37">
        <v>90.430450919999998</v>
      </c>
      <c r="J37">
        <v>83.348004200000005</v>
      </c>
      <c r="K37">
        <v>76.480837870000002</v>
      </c>
      <c r="L37">
        <v>69.884414770000006</v>
      </c>
      <c r="M37">
        <v>63.591108460000001</v>
      </c>
      <c r="N37">
        <v>57.619641219999998</v>
      </c>
      <c r="O37">
        <v>51.980173739999998</v>
      </c>
      <c r="P37">
        <v>46.677191929999999</v>
      </c>
      <c r="Q37">
        <v>41.711251279999999</v>
      </c>
      <c r="R37">
        <v>37.11659246</v>
      </c>
      <c r="S37">
        <v>32.914743020000003</v>
      </c>
      <c r="T37">
        <v>29.082699059999999</v>
      </c>
      <c r="U37">
        <v>25.599142400000002</v>
      </c>
      <c r="V37">
        <v>22.444686390000001</v>
      </c>
      <c r="W37">
        <v>19.60052258</v>
      </c>
      <c r="X37">
        <v>17.04771959</v>
      </c>
      <c r="Y37">
        <v>14.767020779999999</v>
      </c>
      <c r="Z37">
        <v>12.738923590000001</v>
      </c>
      <c r="AA37">
        <v>10.943885229999999</v>
      </c>
      <c r="AB37">
        <v>9.3625632949999993</v>
      </c>
      <c r="AC37">
        <v>7.9760450389999997</v>
      </c>
      <c r="AD37">
        <v>6.7660450579999996</v>
      </c>
      <c r="AE37">
        <v>5.715065879</v>
      </c>
      <c r="AF37">
        <v>4.8065223379999997</v>
      </c>
      <c r="AG37">
        <v>4.0248328249999998</v>
      </c>
      <c r="AH37">
        <v>3.3554812570000001</v>
      </c>
      <c r="AI37">
        <v>2.785053129</v>
      </c>
      <c r="AJ37">
        <v>2.3012487500000001</v>
      </c>
      <c r="AK37">
        <v>1.8928764760000001</v>
      </c>
    </row>
    <row r="38" spans="1:37" x14ac:dyDescent="0.25">
      <c r="A38" t="s">
        <v>1897</v>
      </c>
      <c r="B38">
        <v>4.8854001</v>
      </c>
      <c r="C38">
        <v>5.537697348</v>
      </c>
      <c r="D38">
        <v>6.0545843220000002</v>
      </c>
      <c r="E38">
        <v>6.488235779</v>
      </c>
      <c r="F38">
        <v>6.8824648310000001</v>
      </c>
      <c r="G38">
        <v>7.2768623689999998</v>
      </c>
      <c r="H38">
        <v>7.710849821</v>
      </c>
      <c r="I38">
        <v>8.2063243430000004</v>
      </c>
      <c r="J38">
        <v>8.7664036779999996</v>
      </c>
      <c r="K38">
        <v>9.3979319879999998</v>
      </c>
      <c r="L38">
        <v>10.113396099999999</v>
      </c>
      <c r="M38">
        <v>10.932201709999999</v>
      </c>
      <c r="N38">
        <v>11.88227395</v>
      </c>
      <c r="O38">
        <v>13.00241933</v>
      </c>
      <c r="P38">
        <v>14.345938139999999</v>
      </c>
      <c r="Q38">
        <v>15.98617099</v>
      </c>
      <c r="R38">
        <v>18.026784060000001</v>
      </c>
      <c r="S38">
        <v>20.568639050000002</v>
      </c>
      <c r="T38">
        <v>23.687386579999998</v>
      </c>
      <c r="U38">
        <v>27.468125560000001</v>
      </c>
      <c r="V38">
        <v>32.005881260000002</v>
      </c>
      <c r="W38">
        <v>37.405312199999997</v>
      </c>
      <c r="X38">
        <v>43.780310579999998</v>
      </c>
      <c r="Y38">
        <v>51.253390410000002</v>
      </c>
      <c r="Z38">
        <v>59.954740479999998</v>
      </c>
      <c r="AA38">
        <v>70.02082901</v>
      </c>
      <c r="AB38">
        <v>81.592461839999999</v>
      </c>
      <c r="AC38">
        <v>94.812214350000005</v>
      </c>
      <c r="AD38">
        <v>109.8211788</v>
      </c>
      <c r="AE38">
        <v>126.7549994</v>
      </c>
      <c r="AF38">
        <v>145.73919620000001</v>
      </c>
      <c r="AG38">
        <v>166.8838446</v>
      </c>
      <c r="AH38">
        <v>190.2777222</v>
      </c>
      <c r="AI38">
        <v>215.98211860000001</v>
      </c>
      <c r="AJ38">
        <v>244.0245807</v>
      </c>
      <c r="AK38">
        <v>274.39294439999998</v>
      </c>
    </row>
    <row r="39" spans="1:37" x14ac:dyDescent="0.25">
      <c r="A39" t="s">
        <v>1898</v>
      </c>
      <c r="B39">
        <v>4.6902603999999997</v>
      </c>
      <c r="C39">
        <v>5.3108370069999999</v>
      </c>
      <c r="D39">
        <v>5.7983659379999999</v>
      </c>
      <c r="E39">
        <v>6.2047941919999996</v>
      </c>
      <c r="F39">
        <v>6.5735543559999998</v>
      </c>
      <c r="G39">
        <v>6.9437050390000001</v>
      </c>
      <c r="H39">
        <v>7.3536603349999998</v>
      </c>
      <c r="I39">
        <v>7.8242501600000001</v>
      </c>
      <c r="J39">
        <v>8.3579150099999993</v>
      </c>
      <c r="K39">
        <v>8.9607070130000004</v>
      </c>
      <c r="L39">
        <v>9.6441498410000008</v>
      </c>
      <c r="M39">
        <v>10.426406269999999</v>
      </c>
      <c r="N39">
        <v>11.33370002</v>
      </c>
      <c r="O39">
        <v>12.40240612</v>
      </c>
      <c r="P39">
        <v>13.682247889999999</v>
      </c>
      <c r="Q39">
        <v>15.241193429999999</v>
      </c>
      <c r="R39">
        <v>17.174681069999998</v>
      </c>
      <c r="S39">
        <v>19.573692319999999</v>
      </c>
      <c r="T39">
        <v>22.503363749999998</v>
      </c>
      <c r="U39">
        <v>26.03568645</v>
      </c>
      <c r="V39">
        <v>30.249725349999999</v>
      </c>
      <c r="W39">
        <v>35.231035210000002</v>
      </c>
      <c r="X39">
        <v>41.070938920000003</v>
      </c>
      <c r="Y39">
        <v>47.865592820000003</v>
      </c>
      <c r="Z39">
        <v>55.714747420000002</v>
      </c>
      <c r="AA39">
        <v>64.720124220000002</v>
      </c>
      <c r="AB39">
        <v>74.983348739999997</v>
      </c>
      <c r="AC39">
        <v>86.603402299999999</v>
      </c>
      <c r="AD39">
        <v>99.673580119999997</v>
      </c>
      <c r="AE39">
        <v>114.27797529999999</v>
      </c>
      <c r="AF39">
        <v>130.48753629999999</v>
      </c>
      <c r="AG39">
        <v>148.3558022</v>
      </c>
      <c r="AH39">
        <v>167.91445379999999</v>
      </c>
      <c r="AI39">
        <v>189.1688833</v>
      </c>
      <c r="AJ39">
        <v>212.09402879999999</v>
      </c>
      <c r="AK39">
        <v>236.63076960000001</v>
      </c>
    </row>
    <row r="40" spans="1:37" x14ac:dyDescent="0.25">
      <c r="A40" t="s">
        <v>1899</v>
      </c>
      <c r="B40">
        <v>3.246572</v>
      </c>
      <c r="C40">
        <v>3.6722038530000001</v>
      </c>
      <c r="D40">
        <v>4.0035834159999997</v>
      </c>
      <c r="E40">
        <v>4.2779300180000002</v>
      </c>
      <c r="F40">
        <v>4.5262093229999998</v>
      </c>
      <c r="G40">
        <v>4.7761075890000004</v>
      </c>
      <c r="H40">
        <v>5.0545188359999997</v>
      </c>
      <c r="I40">
        <v>5.3756744359999997</v>
      </c>
      <c r="J40">
        <v>5.7408561110000003</v>
      </c>
      <c r="K40">
        <v>6.1538536610000003</v>
      </c>
      <c r="L40">
        <v>6.6222570870000004</v>
      </c>
      <c r="M40">
        <v>7.1582176579999999</v>
      </c>
      <c r="N40">
        <v>7.7793462819999997</v>
      </c>
      <c r="O40">
        <v>8.5100318149999996</v>
      </c>
      <c r="P40">
        <v>9.3834606889999996</v>
      </c>
      <c r="Q40">
        <v>10.44470711</v>
      </c>
      <c r="R40">
        <v>11.756694749999999</v>
      </c>
      <c r="S40">
        <v>13.378155769999999</v>
      </c>
      <c r="T40">
        <v>15.3490036</v>
      </c>
      <c r="U40">
        <v>17.712517510000001</v>
      </c>
      <c r="V40">
        <v>20.515379490000001</v>
      </c>
      <c r="W40">
        <v>23.807126650000001</v>
      </c>
      <c r="X40">
        <v>27.63949736</v>
      </c>
      <c r="Y40">
        <v>32.065637240000001</v>
      </c>
      <c r="Z40">
        <v>37.13911916</v>
      </c>
      <c r="AA40">
        <v>42.912740839999998</v>
      </c>
      <c r="AB40">
        <v>49.437079109999999</v>
      </c>
      <c r="AC40">
        <v>56.758796429999997</v>
      </c>
      <c r="AD40">
        <v>64.918713949999997</v>
      </c>
      <c r="AE40">
        <v>73.949685619999997</v>
      </c>
      <c r="AF40">
        <v>83.874327170000001</v>
      </c>
      <c r="AG40">
        <v>94.702683230000005</v>
      </c>
      <c r="AH40">
        <v>106.429936</v>
      </c>
      <c r="AI40">
        <v>119.0342862</v>
      </c>
      <c r="AJ40">
        <v>132.47515749999999</v>
      </c>
      <c r="AK40">
        <v>146.69188510000001</v>
      </c>
    </row>
    <row r="41" spans="1:37" x14ac:dyDescent="0.25">
      <c r="A41" t="s">
        <v>1900</v>
      </c>
      <c r="B41">
        <v>1.7994298</v>
      </c>
      <c r="C41">
        <v>2.0222370519999999</v>
      </c>
      <c r="D41">
        <v>2.1789386049999999</v>
      </c>
      <c r="E41">
        <v>2.2916149479999999</v>
      </c>
      <c r="F41">
        <v>2.3771978759999999</v>
      </c>
      <c r="G41">
        <v>2.4487727850000001</v>
      </c>
      <c r="H41">
        <v>2.5180832369999999</v>
      </c>
      <c r="I41">
        <v>2.5917470310000001</v>
      </c>
      <c r="J41">
        <v>2.67064105</v>
      </c>
      <c r="K41">
        <v>2.7557678540000001</v>
      </c>
      <c r="L41">
        <v>2.8487332400000001</v>
      </c>
      <c r="M41">
        <v>2.9519332739999999</v>
      </c>
      <c r="N41">
        <v>3.0687170130000001</v>
      </c>
      <c r="O41">
        <v>3.2035917519999999</v>
      </c>
      <c r="P41">
        <v>3.3625205990000002</v>
      </c>
      <c r="Q41">
        <v>3.553366311</v>
      </c>
      <c r="R41">
        <v>3.7881531449999999</v>
      </c>
      <c r="S41">
        <v>4.0771995209999998</v>
      </c>
      <c r="T41">
        <v>4.4249477769999999</v>
      </c>
      <c r="U41">
        <v>4.836072905</v>
      </c>
      <c r="V41">
        <v>5.3154965440000002</v>
      </c>
      <c r="W41">
        <v>5.868240825</v>
      </c>
      <c r="X41">
        <v>6.4992950970000001</v>
      </c>
      <c r="Y41">
        <v>7.2134894029999996</v>
      </c>
      <c r="Z41">
        <v>8.0153648569999998</v>
      </c>
      <c r="AA41">
        <v>8.9090339509999996</v>
      </c>
      <c r="AB41">
        <v>9.8980269429999996</v>
      </c>
      <c r="AC41">
        <v>10.985122710000001</v>
      </c>
      <c r="AD41">
        <v>12.17216389</v>
      </c>
      <c r="AE41">
        <v>13.45985731</v>
      </c>
      <c r="AF41">
        <v>14.84756103</v>
      </c>
      <c r="AG41">
        <v>16.33306159</v>
      </c>
      <c r="AH41">
        <v>17.912345590000001</v>
      </c>
      <c r="AI41">
        <v>19.579372469999999</v>
      </c>
      <c r="AJ41">
        <v>21.325857769999999</v>
      </c>
      <c r="AK41">
        <v>23.141079250000001</v>
      </c>
    </row>
    <row r="42" spans="1:37" x14ac:dyDescent="0.25">
      <c r="A42" t="s">
        <v>1901</v>
      </c>
      <c r="B42">
        <v>1.1069429</v>
      </c>
      <c r="C42">
        <v>1.238093144</v>
      </c>
      <c r="D42">
        <v>1.3247164680000001</v>
      </c>
      <c r="E42">
        <v>1.382070951</v>
      </c>
      <c r="F42">
        <v>1.421668521</v>
      </c>
      <c r="G42">
        <v>1.452172808</v>
      </c>
      <c r="H42">
        <v>1.480977188</v>
      </c>
      <c r="I42">
        <v>1.5120131889999999</v>
      </c>
      <c r="J42">
        <v>1.545643044</v>
      </c>
      <c r="K42">
        <v>1.5822864210000001</v>
      </c>
      <c r="L42">
        <v>1.6227064739999999</v>
      </c>
      <c r="M42">
        <v>1.6680959230000001</v>
      </c>
      <c r="N42">
        <v>1.7201315720000001</v>
      </c>
      <c r="O42">
        <v>1.781037988</v>
      </c>
      <c r="P42">
        <v>1.8536842650000001</v>
      </c>
      <c r="Q42">
        <v>1.9417344080000001</v>
      </c>
      <c r="R42">
        <v>2.0507593279999998</v>
      </c>
      <c r="S42">
        <v>2.185003494</v>
      </c>
      <c r="T42">
        <v>2.345265543</v>
      </c>
      <c r="U42">
        <v>2.5322458640000001</v>
      </c>
      <c r="V42">
        <v>2.7465663500000002</v>
      </c>
      <c r="W42">
        <v>2.9887002549999999</v>
      </c>
      <c r="X42">
        <v>3.2589117019999998</v>
      </c>
      <c r="Y42">
        <v>3.557204547</v>
      </c>
      <c r="Z42">
        <v>3.8832773110000001</v>
      </c>
      <c r="AA42">
        <v>4.2364820539999997</v>
      </c>
      <c r="AB42">
        <v>4.6157863770000001</v>
      </c>
      <c r="AC42">
        <v>5.0197386689999997</v>
      </c>
      <c r="AD42">
        <v>5.4464371849999997</v>
      </c>
      <c r="AE42">
        <v>5.8935037680000004</v>
      </c>
      <c r="AF42">
        <v>6.3580630930000002</v>
      </c>
      <c r="AG42">
        <v>6.8367285459999998</v>
      </c>
      <c r="AH42">
        <v>7.325596011</v>
      </c>
      <c r="AI42">
        <v>7.8202471310000004</v>
      </c>
      <c r="AJ42">
        <v>8.3157640130000008</v>
      </c>
      <c r="AK42">
        <v>8.8067576790000004</v>
      </c>
    </row>
    <row r="43" spans="1:37" x14ac:dyDescent="0.25">
      <c r="A43" t="s">
        <v>1902</v>
      </c>
      <c r="B43">
        <v>0.53533900000000001</v>
      </c>
      <c r="C43">
        <v>0.5882500007</v>
      </c>
      <c r="D43">
        <v>0.61227637170000004</v>
      </c>
      <c r="E43">
        <v>0.6177848829</v>
      </c>
      <c r="F43">
        <v>0.61215256149999997</v>
      </c>
      <c r="G43">
        <v>0.60035693590000005</v>
      </c>
      <c r="H43">
        <v>0.58607167540000005</v>
      </c>
      <c r="I43">
        <v>0.5712340508</v>
      </c>
      <c r="J43">
        <v>0.55622499280000004</v>
      </c>
      <c r="K43">
        <v>0.54127226650000004</v>
      </c>
      <c r="L43">
        <v>0.5265915135</v>
      </c>
      <c r="M43">
        <v>0.51242126529999998</v>
      </c>
      <c r="N43">
        <v>0.49902995439999998</v>
      </c>
      <c r="O43">
        <v>0.48671346720000003</v>
      </c>
      <c r="P43">
        <v>0.47579106030000001</v>
      </c>
      <c r="Q43">
        <v>0.46660301840000001</v>
      </c>
      <c r="R43">
        <v>0.4597956004</v>
      </c>
      <c r="S43">
        <v>0.45565732240000001</v>
      </c>
      <c r="T43">
        <v>0.45375962139999998</v>
      </c>
      <c r="U43">
        <v>0.45368542620000002</v>
      </c>
      <c r="V43">
        <v>0.4550434478</v>
      </c>
      <c r="W43">
        <v>0.45746111649999999</v>
      </c>
      <c r="X43">
        <v>0.46058115189999999</v>
      </c>
      <c r="Y43">
        <v>0.46406146279999999</v>
      </c>
      <c r="Z43">
        <v>0.46757714880000001</v>
      </c>
      <c r="AA43">
        <v>0.47082359350000003</v>
      </c>
      <c r="AB43">
        <v>0.47351996229999999</v>
      </c>
      <c r="AC43">
        <v>0.47541264750000001</v>
      </c>
      <c r="AD43">
        <v>0.4762783458</v>
      </c>
      <c r="AE43">
        <v>0.47592655699999997</v>
      </c>
      <c r="AF43">
        <v>0.47420136940000002</v>
      </c>
      <c r="AG43">
        <v>0.47098245570000002</v>
      </c>
      <c r="AH43">
        <v>0.46618527389999997</v>
      </c>
      <c r="AI43">
        <v>0.4597605085</v>
      </c>
      <c r="AJ43">
        <v>0.45169283139999999</v>
      </c>
      <c r="AK43">
        <v>0.44199909129999998</v>
      </c>
    </row>
    <row r="44" spans="1:37" x14ac:dyDescent="0.25">
      <c r="A44" t="s">
        <v>1903</v>
      </c>
      <c r="B44">
        <v>1.0050558000000001</v>
      </c>
      <c r="C44">
        <v>1.0878507610000001</v>
      </c>
      <c r="D44">
        <v>1.1069242399999999</v>
      </c>
      <c r="E44">
        <v>1.087405806</v>
      </c>
      <c r="F44">
        <v>1.046598449</v>
      </c>
      <c r="G44">
        <v>0.99559627019999997</v>
      </c>
      <c r="H44">
        <v>0.94183363399999998</v>
      </c>
      <c r="I44">
        <v>0.88894386800000003</v>
      </c>
      <c r="J44">
        <v>0.83765222800000005</v>
      </c>
      <c r="K44">
        <v>0.78831740279999996</v>
      </c>
      <c r="L44">
        <v>0.74121413719999996</v>
      </c>
      <c r="M44">
        <v>0.6965994539</v>
      </c>
      <c r="N44">
        <v>0.65471940939999995</v>
      </c>
      <c r="O44">
        <v>0.61579782189999999</v>
      </c>
      <c r="P44">
        <v>0.58002313719999998</v>
      </c>
      <c r="Q44">
        <v>0.54753893360000006</v>
      </c>
      <c r="R44">
        <v>0.51876615270000004</v>
      </c>
      <c r="S44">
        <v>0.4936434677</v>
      </c>
      <c r="T44">
        <v>0.47134696850000002</v>
      </c>
      <c r="U44">
        <v>0.45116298529999999</v>
      </c>
      <c r="V44">
        <v>0.43249969630000001</v>
      </c>
      <c r="W44">
        <v>0.41487130430000002</v>
      </c>
      <c r="X44">
        <v>0.39788540729999999</v>
      </c>
      <c r="Y44">
        <v>0.38123347000000002</v>
      </c>
      <c r="Z44">
        <v>0.3646830358</v>
      </c>
      <c r="AA44">
        <v>0.34807059099999998</v>
      </c>
      <c r="AB44">
        <v>0.33129444060000002</v>
      </c>
      <c r="AC44">
        <v>0.31430730220000003</v>
      </c>
      <c r="AD44">
        <v>0.29710855809999998</v>
      </c>
      <c r="AE44">
        <v>0.27973625369999999</v>
      </c>
      <c r="AF44">
        <v>0.26225902800000001</v>
      </c>
      <c r="AG44">
        <v>0.2447681941</v>
      </c>
      <c r="AH44">
        <v>0.22737020790000001</v>
      </c>
      <c r="AI44">
        <v>0.21017973449999999</v>
      </c>
      <c r="AJ44">
        <v>0.19331348840000001</v>
      </c>
      <c r="AK44">
        <v>0.17688497149999999</v>
      </c>
    </row>
    <row r="45" spans="1:37" x14ac:dyDescent="0.25">
      <c r="A45" t="s">
        <v>1904</v>
      </c>
      <c r="B45">
        <v>4.4415299999999998E-2</v>
      </c>
      <c r="C45">
        <v>5.02585745E-2</v>
      </c>
      <c r="D45">
        <v>5.4627696400000002E-2</v>
      </c>
      <c r="E45">
        <v>5.79402771E-2</v>
      </c>
      <c r="F45">
        <v>6.0508966999999997E-2</v>
      </c>
      <c r="G45">
        <v>6.2559240899999993E-2</v>
      </c>
      <c r="H45">
        <v>6.4305731500000005E-2</v>
      </c>
      <c r="I45">
        <v>6.5893407299999998E-2</v>
      </c>
      <c r="J45">
        <v>6.7354086399999999E-2</v>
      </c>
      <c r="K45">
        <v>6.8706690900000006E-2</v>
      </c>
      <c r="L45">
        <v>6.9963067500000004E-2</v>
      </c>
      <c r="M45">
        <v>7.1129363900000006E-2</v>
      </c>
      <c r="N45">
        <v>7.2207178900000002E-2</v>
      </c>
      <c r="O45">
        <v>7.3194460599999997E-2</v>
      </c>
      <c r="P45">
        <v>7.4086073799999999E-2</v>
      </c>
      <c r="Q45">
        <v>7.4873980300000004E-2</v>
      </c>
      <c r="R45">
        <v>7.5614020099999998E-2</v>
      </c>
      <c r="S45">
        <v>7.6355392600000002E-2</v>
      </c>
      <c r="T45">
        <v>7.7066400500000007E-2</v>
      </c>
      <c r="U45">
        <v>7.7723764099999995E-2</v>
      </c>
      <c r="V45">
        <v>7.8310812399999999E-2</v>
      </c>
      <c r="W45">
        <v>7.8814054999999994E-2</v>
      </c>
      <c r="X45">
        <v>7.9221215299999995E-2</v>
      </c>
      <c r="Y45">
        <v>7.9520220000000003E-2</v>
      </c>
      <c r="Z45">
        <v>7.9698742399999994E-2</v>
      </c>
      <c r="AA45">
        <v>7.9744059800000003E-2</v>
      </c>
      <c r="AB45">
        <v>7.9643100499999994E-2</v>
      </c>
      <c r="AC45">
        <v>7.9382619700000004E-2</v>
      </c>
      <c r="AD45">
        <v>7.8949471500000007E-2</v>
      </c>
      <c r="AE45">
        <v>7.8330962800000001E-2</v>
      </c>
      <c r="AF45">
        <v>7.7515272400000002E-2</v>
      </c>
      <c r="AG45">
        <v>7.6491929900000005E-2</v>
      </c>
      <c r="AH45">
        <v>7.5252336500000003E-2</v>
      </c>
      <c r="AI45">
        <v>7.3790311100000006E-2</v>
      </c>
      <c r="AJ45">
        <v>7.2102639699999999E-2</v>
      </c>
      <c r="AK45">
        <v>7.0189597100000001E-2</v>
      </c>
    </row>
    <row r="46" spans="1:37" x14ac:dyDescent="0.25">
      <c r="A46" t="s">
        <v>1905</v>
      </c>
      <c r="B46">
        <v>4.2641199999999997E-2</v>
      </c>
      <c r="C46">
        <v>4.8192836500000003E-2</v>
      </c>
      <c r="D46">
        <v>5.22837123E-2</v>
      </c>
      <c r="E46">
        <v>5.5329548700000002E-2</v>
      </c>
      <c r="F46">
        <v>5.7639886199999997E-2</v>
      </c>
      <c r="G46">
        <v>5.94359691E-2</v>
      </c>
      <c r="H46">
        <v>6.0925853799999999E-2</v>
      </c>
      <c r="I46">
        <v>6.2250817700000002E-2</v>
      </c>
      <c r="J46">
        <v>6.3443780399999997E-2</v>
      </c>
      <c r="K46">
        <v>6.4523445299999996E-2</v>
      </c>
      <c r="L46">
        <v>6.55007284E-2</v>
      </c>
      <c r="M46">
        <v>6.6380564000000003E-2</v>
      </c>
      <c r="N46">
        <v>6.7163260299999999E-2</v>
      </c>
      <c r="O46">
        <v>6.7845484100000006E-2</v>
      </c>
      <c r="P46">
        <v>6.8420862900000004E-2</v>
      </c>
      <c r="Q46">
        <v>6.8880191899999998E-2</v>
      </c>
      <c r="R46">
        <v>6.9273993500000006E-2</v>
      </c>
      <c r="S46">
        <v>6.9648886199999996E-2</v>
      </c>
      <c r="T46">
        <v>6.9978280899999995E-2</v>
      </c>
      <c r="U46">
        <v>7.0242404600000002E-2</v>
      </c>
      <c r="V46">
        <v>7.0427187000000002E-2</v>
      </c>
      <c r="W46">
        <v>7.0521409600000001E-2</v>
      </c>
      <c r="X46">
        <v>7.0515078699999997E-2</v>
      </c>
      <c r="Y46">
        <v>7.03986162E-2</v>
      </c>
      <c r="Z46">
        <v>7.0162526700000005E-2</v>
      </c>
      <c r="AA46">
        <v>6.9797332500000003E-2</v>
      </c>
      <c r="AB46">
        <v>6.9293667899999994E-2</v>
      </c>
      <c r="AC46">
        <v>6.8642476499999994E-2</v>
      </c>
      <c r="AD46">
        <v>6.7835279900000003E-2</v>
      </c>
      <c r="AE46">
        <v>6.6864501300000004E-2</v>
      </c>
      <c r="AF46">
        <v>6.5723824700000003E-2</v>
      </c>
      <c r="AG46">
        <v>6.4408582399999997E-2</v>
      </c>
      <c r="AH46">
        <v>6.2916149099999999E-2</v>
      </c>
      <c r="AI46">
        <v>6.12463278E-2</v>
      </c>
      <c r="AJ46">
        <v>5.9401704899999998E-2</v>
      </c>
      <c r="AK46">
        <v>5.7387950200000003E-2</v>
      </c>
    </row>
    <row r="47" spans="1:37" x14ac:dyDescent="0.25">
      <c r="A47" t="s">
        <v>1906</v>
      </c>
      <c r="B47">
        <v>2.9516000000000001E-2</v>
      </c>
      <c r="C47">
        <v>3.3318784800000001E-2</v>
      </c>
      <c r="D47">
        <v>3.6079474399999999E-2</v>
      </c>
      <c r="E47">
        <v>3.8096230500000001E-2</v>
      </c>
      <c r="F47">
        <v>3.9589922E-2</v>
      </c>
      <c r="G47">
        <v>4.0717097600000002E-2</v>
      </c>
      <c r="H47">
        <v>4.1623252399999998E-2</v>
      </c>
      <c r="I47">
        <v>4.24076933E-2</v>
      </c>
      <c r="J47">
        <v>4.3094880699999998E-2</v>
      </c>
      <c r="K47">
        <v>4.3698199E-2</v>
      </c>
      <c r="L47">
        <v>4.4224989300000003E-2</v>
      </c>
      <c r="M47">
        <v>4.4678134899999999E-2</v>
      </c>
      <c r="N47">
        <v>4.5057176499999997E-2</v>
      </c>
      <c r="O47">
        <v>4.53590834E-2</v>
      </c>
      <c r="P47">
        <v>4.55787161E-2</v>
      </c>
      <c r="Q47">
        <v>4.5709001800000003E-2</v>
      </c>
      <c r="R47">
        <v>4.5783193700000002E-2</v>
      </c>
      <c r="S47">
        <v>4.5833424900000003E-2</v>
      </c>
      <c r="T47">
        <v>4.5844017299999998E-2</v>
      </c>
      <c r="U47">
        <v>4.5803189100000002E-2</v>
      </c>
      <c r="V47">
        <v>4.5702684600000001E-2</v>
      </c>
      <c r="W47">
        <v>4.5536083200000001E-2</v>
      </c>
      <c r="X47">
        <v>4.5297835699999997E-2</v>
      </c>
      <c r="Y47">
        <v>4.4982801000000003E-2</v>
      </c>
      <c r="Z47">
        <v>4.4586072999999997E-2</v>
      </c>
      <c r="AA47">
        <v>4.4102970599999999E-2</v>
      </c>
      <c r="AB47">
        <v>4.3529120999999997E-2</v>
      </c>
      <c r="AC47">
        <v>4.2860598499999999E-2</v>
      </c>
      <c r="AD47">
        <v>4.2094100299999999E-2</v>
      </c>
      <c r="AE47">
        <v>4.1227143199999997E-2</v>
      </c>
      <c r="AF47">
        <v>4.02582706E-2</v>
      </c>
      <c r="AG47">
        <v>3.9187261500000001E-2</v>
      </c>
      <c r="AH47">
        <v>3.8015327699999997E-2</v>
      </c>
      <c r="AI47">
        <v>3.6745289200000003E-2</v>
      </c>
      <c r="AJ47">
        <v>3.5381714500000001E-2</v>
      </c>
      <c r="AK47">
        <v>3.3931013199999999E-2</v>
      </c>
    </row>
    <row r="48" spans="1:37" x14ac:dyDescent="0.25">
      <c r="A48" t="s">
        <v>1907</v>
      </c>
      <c r="B48">
        <v>1.63594E-2</v>
      </c>
      <c r="C48">
        <v>1.8366911199999999E-2</v>
      </c>
      <c r="D48">
        <v>1.97241228E-2</v>
      </c>
      <c r="E48">
        <v>2.0622913E-2</v>
      </c>
      <c r="F48">
        <v>2.1203739799999999E-2</v>
      </c>
      <c r="G48">
        <v>2.15641541E-2</v>
      </c>
      <c r="H48">
        <v>2.1789910199999998E-2</v>
      </c>
      <c r="I48">
        <v>2.19384369E-2</v>
      </c>
      <c r="J48">
        <v>2.20256271E-2</v>
      </c>
      <c r="K48">
        <v>2.2060278199999998E-2</v>
      </c>
      <c r="L48">
        <v>2.2047514300000001E-2</v>
      </c>
      <c r="M48">
        <v>2.1990019600000001E-2</v>
      </c>
      <c r="N48">
        <v>2.1888837899999999E-2</v>
      </c>
      <c r="O48">
        <v>2.1743905599999998E-2</v>
      </c>
      <c r="P48">
        <v>2.1554397499999999E-2</v>
      </c>
      <c r="Q48">
        <v>2.13189381E-2</v>
      </c>
      <c r="R48">
        <v>2.10554001E-2</v>
      </c>
      <c r="S48">
        <v>2.0781071599999999E-2</v>
      </c>
      <c r="T48">
        <v>2.04911511E-2</v>
      </c>
      <c r="U48">
        <v>2.0182544E-2</v>
      </c>
      <c r="V48">
        <v>1.98538217E-2</v>
      </c>
      <c r="W48">
        <v>1.9504474800000001E-2</v>
      </c>
      <c r="X48">
        <v>1.9134464300000001E-2</v>
      </c>
      <c r="Y48">
        <v>1.8743985899999999E-2</v>
      </c>
      <c r="Z48">
        <v>1.8333357299999999E-2</v>
      </c>
      <c r="AA48">
        <v>1.7902970599999998E-2</v>
      </c>
      <c r="AB48">
        <v>1.74532781E-2</v>
      </c>
      <c r="AC48">
        <v>1.6984794099999999E-2</v>
      </c>
      <c r="AD48">
        <v>1.64981043E-2</v>
      </c>
      <c r="AE48">
        <v>1.5993876899999999E-2</v>
      </c>
      <c r="AF48">
        <v>1.54728755E-2</v>
      </c>
      <c r="AG48">
        <v>1.49359707E-2</v>
      </c>
      <c r="AH48">
        <v>1.4384152399999999E-2</v>
      </c>
      <c r="AI48">
        <v>1.38185427E-2</v>
      </c>
      <c r="AJ48">
        <v>1.3240408299999999E-2</v>
      </c>
      <c r="AK48">
        <v>1.2651176E-2</v>
      </c>
    </row>
    <row r="49" spans="1:37" x14ac:dyDescent="0.25">
      <c r="A49" t="s">
        <v>1908</v>
      </c>
      <c r="B49">
        <v>1.00637E-2</v>
      </c>
      <c r="C49">
        <v>1.12432264E-2</v>
      </c>
      <c r="D49">
        <v>1.19836018E-2</v>
      </c>
      <c r="E49">
        <v>1.24184767E-2</v>
      </c>
      <c r="F49">
        <v>1.2644705399999999E-2</v>
      </c>
      <c r="G49">
        <v>1.2728446900000001E-2</v>
      </c>
      <c r="H49">
        <v>1.27253838E-2</v>
      </c>
      <c r="I49">
        <v>1.26723502E-2</v>
      </c>
      <c r="J49">
        <v>1.2580596899999999E-2</v>
      </c>
      <c r="K49">
        <v>1.2456411000000001E-2</v>
      </c>
      <c r="L49">
        <v>1.23035683E-2</v>
      </c>
      <c r="M49">
        <v>1.2124279999999999E-2</v>
      </c>
      <c r="N49">
        <v>1.19197712E-2</v>
      </c>
      <c r="O49">
        <v>1.16906466E-2</v>
      </c>
      <c r="P49">
        <v>1.1437121999999999E-2</v>
      </c>
      <c r="Q49">
        <v>1.11591676E-2</v>
      </c>
      <c r="R49">
        <v>1.0866957E-2</v>
      </c>
      <c r="S49">
        <v>1.0570353899999999E-2</v>
      </c>
      <c r="T49">
        <v>1.0267790400000001E-2</v>
      </c>
      <c r="U49">
        <v>9.9584703699999999E-3</v>
      </c>
      <c r="V49">
        <v>9.6424166999999998E-3</v>
      </c>
      <c r="W49">
        <v>9.3201061100000003E-3</v>
      </c>
      <c r="X49">
        <v>8.9922438099999998E-3</v>
      </c>
      <c r="Y49">
        <v>8.6596426399999996E-3</v>
      </c>
      <c r="Z49">
        <v>8.3231638100000008E-3</v>
      </c>
      <c r="AA49">
        <v>7.9836901100000003E-3</v>
      </c>
      <c r="AB49">
        <v>7.6421153300000001E-3</v>
      </c>
      <c r="AC49">
        <v>7.2993404900000003E-3</v>
      </c>
      <c r="AD49">
        <v>6.9562725499999999E-3</v>
      </c>
      <c r="AE49">
        <v>6.61382312E-3</v>
      </c>
      <c r="AF49">
        <v>6.2729063800000002E-3</v>
      </c>
      <c r="AG49">
        <v>5.93443611E-3</v>
      </c>
      <c r="AH49">
        <v>5.5993220300000002E-3</v>
      </c>
      <c r="AI49">
        <v>5.2684658699999999E-3</v>
      </c>
      <c r="AJ49">
        <v>4.9427574699999997E-3</v>
      </c>
      <c r="AK49">
        <v>4.6230712300000002E-3</v>
      </c>
    </row>
    <row r="50" spans="1:37" x14ac:dyDescent="0.25">
      <c r="A50" t="s">
        <v>1909</v>
      </c>
      <c r="B50">
        <v>4.8669999999999998E-3</v>
      </c>
      <c r="C50">
        <v>5.3438604699999996E-3</v>
      </c>
      <c r="D50">
        <v>5.5475075900000004E-3</v>
      </c>
      <c r="E50">
        <v>5.57177503E-3</v>
      </c>
      <c r="F50">
        <v>5.4828269700000001E-3</v>
      </c>
      <c r="G50">
        <v>5.3240199999999996E-3</v>
      </c>
      <c r="H50">
        <v>5.1276577400000004E-3</v>
      </c>
      <c r="I50">
        <v>4.9138323500000003E-3</v>
      </c>
      <c r="J50">
        <v>4.6899396399999998E-3</v>
      </c>
      <c r="K50">
        <v>4.4602880500000004E-3</v>
      </c>
      <c r="L50">
        <v>4.2276719900000001E-3</v>
      </c>
      <c r="M50">
        <v>3.9940219400000001E-3</v>
      </c>
      <c r="N50">
        <v>3.7607569199999999E-3</v>
      </c>
      <c r="O50">
        <v>3.5289835700000002E-3</v>
      </c>
      <c r="P50">
        <v>3.2996120600000001E-3</v>
      </c>
      <c r="Q50">
        <v>3.0734265500000002E-3</v>
      </c>
      <c r="R50">
        <v>2.85389184E-3</v>
      </c>
      <c r="S50">
        <v>2.64395476E-3</v>
      </c>
      <c r="T50">
        <v>2.4433411399999998E-3</v>
      </c>
      <c r="U50">
        <v>2.2519308199999998E-3</v>
      </c>
      <c r="V50">
        <v>2.0697663600000001E-3</v>
      </c>
      <c r="W50">
        <v>1.8969430999999999E-3</v>
      </c>
      <c r="X50">
        <v>1.7335417700000001E-3</v>
      </c>
      <c r="Y50">
        <v>1.5795949799999999E-3</v>
      </c>
      <c r="Z50">
        <v>1.4350742E-3</v>
      </c>
      <c r="AA50">
        <v>1.29988792E-3</v>
      </c>
      <c r="AB50">
        <v>1.1738851900000001E-3</v>
      </c>
      <c r="AC50">
        <v>1.0568613599999999E-3</v>
      </c>
      <c r="AD50">
        <v>9.4856451800000004E-4</v>
      </c>
      <c r="AE50">
        <v>8.4870196900000002E-4</v>
      </c>
      <c r="AF50">
        <v>7.5694644199999995E-4</v>
      </c>
      <c r="AG50">
        <v>6.7294211400000003E-4</v>
      </c>
      <c r="AH50">
        <v>5.9631043299999997E-4</v>
      </c>
      <c r="AI50">
        <v>5.2665577500000005E-4</v>
      </c>
      <c r="AJ50">
        <v>4.6357092200000001E-4</v>
      </c>
      <c r="AK50">
        <v>4.0664230300000001E-4</v>
      </c>
    </row>
    <row r="51" spans="1:37" x14ac:dyDescent="0.25">
      <c r="A51" t="s">
        <v>1910</v>
      </c>
      <c r="B51">
        <v>9.1374000000000004E-3</v>
      </c>
      <c r="C51">
        <v>9.8813838099999999E-3</v>
      </c>
      <c r="D51">
        <v>1.00247871E-2</v>
      </c>
      <c r="E51">
        <v>9.7971676900000006E-3</v>
      </c>
      <c r="F51">
        <v>9.3562738999999999E-3</v>
      </c>
      <c r="G51">
        <v>8.8018199899999993E-3</v>
      </c>
      <c r="H51">
        <v>8.2021083099999992E-3</v>
      </c>
      <c r="I51">
        <v>7.5971521900000004E-3</v>
      </c>
      <c r="J51">
        <v>7.00214879E-3</v>
      </c>
      <c r="K51">
        <v>6.4252313099999996E-3</v>
      </c>
      <c r="L51">
        <v>5.8710592400000004E-3</v>
      </c>
      <c r="M51">
        <v>5.3423523100000004E-3</v>
      </c>
      <c r="N51">
        <v>4.8406834100000002E-3</v>
      </c>
      <c r="O51">
        <v>4.3669061299999997E-3</v>
      </c>
      <c r="P51">
        <v>3.9213973500000004E-3</v>
      </c>
      <c r="Q51">
        <v>3.5042037300000001E-3</v>
      </c>
      <c r="R51">
        <v>3.1182018700000001E-3</v>
      </c>
      <c r="S51">
        <v>2.7652003199999998E-3</v>
      </c>
      <c r="T51">
        <v>2.4432664900000001E-3</v>
      </c>
      <c r="U51">
        <v>2.15060943E-3</v>
      </c>
      <c r="V51">
        <v>1.8856004400000001E-3</v>
      </c>
      <c r="W51">
        <v>1.6466594100000001E-3</v>
      </c>
      <c r="X51">
        <v>1.43219589E-3</v>
      </c>
      <c r="Y51">
        <v>1.24059211E-3</v>
      </c>
      <c r="Z51">
        <v>1.0702096499999999E-3</v>
      </c>
      <c r="AA51">
        <v>9.1940668999999995E-4</v>
      </c>
      <c r="AB51">
        <v>7.8655826099999996E-4</v>
      </c>
      <c r="AC51">
        <v>6.7007548200000004E-4</v>
      </c>
      <c r="AD51">
        <v>5.68422179E-4</v>
      </c>
      <c r="AE51">
        <v>4.80128373E-4</v>
      </c>
      <c r="AF51">
        <v>4.0380072499999998E-4</v>
      </c>
      <c r="AG51">
        <v>3.3813021099999999E-4</v>
      </c>
      <c r="AH51">
        <v>2.8189732E-4</v>
      </c>
      <c r="AI51">
        <v>2.3397508499999999E-4</v>
      </c>
      <c r="AJ51">
        <v>1.9333019799999999E-4</v>
      </c>
      <c r="AK51">
        <v>1.59022437E-4</v>
      </c>
    </row>
    <row r="52" spans="1:37" x14ac:dyDescent="0.25">
      <c r="A52" t="s">
        <v>1911</v>
      </c>
      <c r="B52">
        <v>2457.4699179999998</v>
      </c>
      <c r="C52">
        <v>2463.613593</v>
      </c>
      <c r="D52">
        <v>2469.7726269999998</v>
      </c>
      <c r="E52">
        <v>2475.9470590000001</v>
      </c>
      <c r="F52">
        <v>2482.1369260000001</v>
      </c>
      <c r="G52">
        <v>2488.3422690000002</v>
      </c>
      <c r="H52">
        <v>2494.5631239999998</v>
      </c>
      <c r="I52">
        <v>2500.799532</v>
      </c>
      <c r="J52">
        <v>2507.0515310000001</v>
      </c>
      <c r="K52">
        <v>2513.31916</v>
      </c>
      <c r="L52">
        <v>2519.6024579999998</v>
      </c>
      <c r="M52">
        <v>2525.901464</v>
      </c>
      <c r="N52">
        <v>2532.2162170000001</v>
      </c>
      <c r="O52">
        <v>2538.546758</v>
      </c>
      <c r="P52">
        <v>2544.8931250000001</v>
      </c>
      <c r="Q52">
        <v>2551.2553579999999</v>
      </c>
      <c r="R52">
        <v>2557.6334959999999</v>
      </c>
      <c r="S52">
        <v>2564.0275799999999</v>
      </c>
      <c r="T52">
        <v>2570.437649</v>
      </c>
      <c r="U52">
        <v>2576.8637429999999</v>
      </c>
      <c r="V52">
        <v>2583.3059020000001</v>
      </c>
      <c r="W52">
        <v>2589.7641669999998</v>
      </c>
      <c r="X52">
        <v>2596.2385770000001</v>
      </c>
      <c r="Y52">
        <v>2602.7291740000001</v>
      </c>
      <c r="Z52">
        <v>2609.2359970000002</v>
      </c>
      <c r="AA52">
        <v>2615.7590869999999</v>
      </c>
      <c r="AB52">
        <v>2622.2984839999999</v>
      </c>
      <c r="AC52">
        <v>2628.8542309999998</v>
      </c>
      <c r="AD52">
        <v>2635.4263660000001</v>
      </c>
      <c r="AE52">
        <v>2642.014932</v>
      </c>
      <c r="AF52">
        <v>2648.6199700000002</v>
      </c>
      <c r="AG52">
        <v>2655.2415190000002</v>
      </c>
      <c r="AH52">
        <v>2661.8796229999998</v>
      </c>
      <c r="AI52">
        <v>2668.534322</v>
      </c>
      <c r="AJ52">
        <v>2675.2056579999999</v>
      </c>
      <c r="AK52">
        <v>2681.8936720000002</v>
      </c>
    </row>
    <row r="53" spans="1:37" x14ac:dyDescent="0.25">
      <c r="A53" t="s">
        <v>1912</v>
      </c>
      <c r="B53">
        <v>3.476542051</v>
      </c>
      <c r="C53">
        <v>5.5991122850000004</v>
      </c>
      <c r="D53">
        <v>7.7010989729999997</v>
      </c>
      <c r="E53">
        <v>9.7827382830000005</v>
      </c>
      <c r="F53">
        <v>11.844296630000001</v>
      </c>
      <c r="G53">
        <v>13.88576879</v>
      </c>
      <c r="H53">
        <v>15.907078820000001</v>
      </c>
      <c r="I53">
        <v>17.908692800000001</v>
      </c>
      <c r="J53">
        <v>19.891430660000001</v>
      </c>
      <c r="K53">
        <v>21.8558187</v>
      </c>
      <c r="L53">
        <v>23.80203586</v>
      </c>
      <c r="M53">
        <v>25.730014489999999</v>
      </c>
      <c r="N53">
        <v>27.63954713</v>
      </c>
      <c r="O53">
        <v>29.530363739999999</v>
      </c>
      <c r="P53">
        <v>31.40218136</v>
      </c>
      <c r="Q53">
        <v>33.254736979999997</v>
      </c>
      <c r="R53">
        <v>35.087920879999999</v>
      </c>
      <c r="S53">
        <v>36.902126979999998</v>
      </c>
      <c r="T53">
        <v>38.698126350000003</v>
      </c>
      <c r="U53">
        <v>40.47661849</v>
      </c>
      <c r="V53">
        <v>42.23814359</v>
      </c>
      <c r="W53">
        <v>43.983107779999997</v>
      </c>
      <c r="X53">
        <v>45.711828650000001</v>
      </c>
      <c r="Y53">
        <v>47.424571929999999</v>
      </c>
      <c r="Z53">
        <v>49.121574750000001</v>
      </c>
      <c r="AA53">
        <v>50.803058020000002</v>
      </c>
      <c r="AB53">
        <v>52.469232040000001</v>
      </c>
      <c r="AC53">
        <v>54.120298419999997</v>
      </c>
      <c r="AD53">
        <v>55.756450430000001</v>
      </c>
      <c r="AE53">
        <v>57.377872850000003</v>
      </c>
      <c r="AF53">
        <v>58.98474186</v>
      </c>
      <c r="AG53">
        <v>60.577225300000002</v>
      </c>
      <c r="AH53">
        <v>62.155483089999997</v>
      </c>
      <c r="AI53">
        <v>63.719667899999997</v>
      </c>
      <c r="AJ53">
        <v>65.269925990000004</v>
      </c>
      <c r="AK53">
        <v>66.80639798</v>
      </c>
    </row>
    <row r="54" spans="1:37" x14ac:dyDescent="0.25">
      <c r="A54" t="s">
        <v>1913</v>
      </c>
      <c r="B54">
        <v>68.80476281</v>
      </c>
      <c r="C54">
        <v>76.774266659999995</v>
      </c>
      <c r="D54">
        <v>84.695532490000005</v>
      </c>
      <c r="E54">
        <v>92.573301439999994</v>
      </c>
      <c r="F54">
        <v>100.41090509999999</v>
      </c>
      <c r="G54">
        <v>108.21146330000001</v>
      </c>
      <c r="H54">
        <v>115.978041</v>
      </c>
      <c r="I54">
        <v>123.711482</v>
      </c>
      <c r="J54">
        <v>131.40979899999999</v>
      </c>
      <c r="K54">
        <v>139.07021180000001</v>
      </c>
      <c r="L54">
        <v>146.69061629999999</v>
      </c>
      <c r="M54">
        <v>154.27034810000001</v>
      </c>
      <c r="N54">
        <v>161.81041200000001</v>
      </c>
      <c r="O54">
        <v>169.3133837</v>
      </c>
      <c r="P54">
        <v>176.7831362</v>
      </c>
      <c r="Q54">
        <v>184.22448549999999</v>
      </c>
      <c r="R54">
        <v>191.6423815</v>
      </c>
      <c r="S54">
        <v>199.0398658</v>
      </c>
      <c r="T54">
        <v>206.4170641</v>
      </c>
      <c r="U54">
        <v>213.77217139999999</v>
      </c>
      <c r="V54">
        <v>221.10242210000001</v>
      </c>
      <c r="W54">
        <v>228.40478490000001</v>
      </c>
      <c r="X54">
        <v>235.6763771</v>
      </c>
      <c r="Y54">
        <v>242.9146686</v>
      </c>
      <c r="Z54">
        <v>250.11755109999999</v>
      </c>
      <c r="AA54">
        <v>257.28333149999997</v>
      </c>
      <c r="AB54">
        <v>264.41068860000001</v>
      </c>
      <c r="AC54">
        <v>271.49861659999999</v>
      </c>
      <c r="AD54">
        <v>278.5463694</v>
      </c>
      <c r="AE54">
        <v>285.55341060000001</v>
      </c>
      <c r="AF54">
        <v>292.51937099999998</v>
      </c>
      <c r="AG54">
        <v>299.44401499999998</v>
      </c>
      <c r="AH54">
        <v>306.32721379999998</v>
      </c>
      <c r="AI54">
        <v>313.16892410000003</v>
      </c>
      <c r="AJ54">
        <v>319.96917189999999</v>
      </c>
      <c r="AK54">
        <v>326.72803959999999</v>
      </c>
    </row>
    <row r="55" spans="1:37" x14ac:dyDescent="0.25">
      <c r="A55" t="s">
        <v>1914</v>
      </c>
      <c r="B55">
        <v>408.28039699999999</v>
      </c>
      <c r="C55">
        <v>424.07498500000003</v>
      </c>
      <c r="D55">
        <v>439.74758329999997</v>
      </c>
      <c r="E55">
        <v>455.29549209999999</v>
      </c>
      <c r="F55">
        <v>470.7172668</v>
      </c>
      <c r="G55">
        <v>486.01122820000001</v>
      </c>
      <c r="H55">
        <v>501.17559139999997</v>
      </c>
      <c r="I55">
        <v>516.21132750000004</v>
      </c>
      <c r="J55">
        <v>531.12268700000004</v>
      </c>
      <c r="K55">
        <v>545.91460459999996</v>
      </c>
      <c r="L55">
        <v>560.59113139999999</v>
      </c>
      <c r="M55">
        <v>575.15469880000001</v>
      </c>
      <c r="N55">
        <v>589.60593510000001</v>
      </c>
      <c r="O55">
        <v>603.94380850000005</v>
      </c>
      <c r="P55">
        <v>618.16594840000005</v>
      </c>
      <c r="Q55">
        <v>632.26905490000001</v>
      </c>
      <c r="R55">
        <v>646.24983699999996</v>
      </c>
      <c r="S55">
        <v>660.10727789999999</v>
      </c>
      <c r="T55">
        <v>673.84350810000001</v>
      </c>
      <c r="U55">
        <v>687.46254429999999</v>
      </c>
      <c r="V55">
        <v>700.96926359999998</v>
      </c>
      <c r="W55">
        <v>714.36871559999997</v>
      </c>
      <c r="X55">
        <v>727.66572540000004</v>
      </c>
      <c r="Y55">
        <v>740.86469980000004</v>
      </c>
      <c r="Z55">
        <v>753.96956339999997</v>
      </c>
      <c r="AA55">
        <v>766.98376840000003</v>
      </c>
      <c r="AB55">
        <v>779.91034030000003</v>
      </c>
      <c r="AC55">
        <v>792.75193660000002</v>
      </c>
      <c r="AD55">
        <v>805.51090739999995</v>
      </c>
      <c r="AE55">
        <v>818.18934939999997</v>
      </c>
      <c r="AF55">
        <v>830.78915229999996</v>
      </c>
      <c r="AG55">
        <v>843.31203719999996</v>
      </c>
      <c r="AH55">
        <v>855.75958709999998</v>
      </c>
      <c r="AI55">
        <v>868.13327179999999</v>
      </c>
      <c r="AJ55">
        <v>880.43446630000005</v>
      </c>
      <c r="AK55">
        <v>892.66446659999997</v>
      </c>
    </row>
    <row r="56" spans="1:37" x14ac:dyDescent="0.25">
      <c r="A56" t="s">
        <v>1915</v>
      </c>
      <c r="B56">
        <v>954.38155940000001</v>
      </c>
      <c r="C56">
        <v>947.51893399999994</v>
      </c>
      <c r="D56">
        <v>940.69733710000003</v>
      </c>
      <c r="E56">
        <v>933.91695400000003</v>
      </c>
      <c r="F56">
        <v>927.17797680000001</v>
      </c>
      <c r="G56">
        <v>920.48142849999999</v>
      </c>
      <c r="H56">
        <v>913.82859499999995</v>
      </c>
      <c r="I56">
        <v>907.21924000000001</v>
      </c>
      <c r="J56">
        <v>900.6518777</v>
      </c>
      <c r="K56">
        <v>894.12545239999997</v>
      </c>
      <c r="L56">
        <v>887.63965089999999</v>
      </c>
      <c r="M56">
        <v>881.19480429999999</v>
      </c>
      <c r="N56">
        <v>874.79171540000004</v>
      </c>
      <c r="O56">
        <v>868.43150879999996</v>
      </c>
      <c r="P56">
        <v>862.11551029999998</v>
      </c>
      <c r="Q56">
        <v>855.84514200000001</v>
      </c>
      <c r="R56">
        <v>849.62153020000005</v>
      </c>
      <c r="S56">
        <v>843.44448</v>
      </c>
      <c r="T56">
        <v>837.31260759999998</v>
      </c>
      <c r="U56">
        <v>831.22440719999997</v>
      </c>
      <c r="V56">
        <v>825.17854239999997</v>
      </c>
      <c r="W56">
        <v>819.1738742</v>
      </c>
      <c r="X56">
        <v>813.20942190000005</v>
      </c>
      <c r="Y56">
        <v>807.28432439999995</v>
      </c>
      <c r="Z56">
        <v>801.39781479999999</v>
      </c>
      <c r="AA56">
        <v>795.54920609999999</v>
      </c>
      <c r="AB56">
        <v>789.73788449999995</v>
      </c>
      <c r="AC56">
        <v>783.96330330000001</v>
      </c>
      <c r="AD56">
        <v>778.22497920000001</v>
      </c>
      <c r="AE56">
        <v>772.52248669999994</v>
      </c>
      <c r="AF56">
        <v>766.85545290000005</v>
      </c>
      <c r="AG56">
        <v>761.22355149999999</v>
      </c>
      <c r="AH56">
        <v>755.62649739999995</v>
      </c>
      <c r="AI56">
        <v>750.06404090000001</v>
      </c>
      <c r="AJ56">
        <v>744.53596289999996</v>
      </c>
      <c r="AK56">
        <v>739.04207029999998</v>
      </c>
    </row>
    <row r="57" spans="1:37" x14ac:dyDescent="0.25">
      <c r="A57" t="s">
        <v>1916</v>
      </c>
      <c r="B57">
        <v>878.79999729999997</v>
      </c>
      <c r="C57">
        <v>867.96668339999997</v>
      </c>
      <c r="D57">
        <v>857.2679263</v>
      </c>
      <c r="E57">
        <v>846.70180649999998</v>
      </c>
      <c r="F57">
        <v>836.26651449999997</v>
      </c>
      <c r="G57">
        <v>825.96011910000004</v>
      </c>
      <c r="H57">
        <v>815.78064810000001</v>
      </c>
      <c r="I57">
        <v>805.72656859999995</v>
      </c>
      <c r="J57">
        <v>795.79679020000003</v>
      </c>
      <c r="K57">
        <v>785.99018530000001</v>
      </c>
      <c r="L57">
        <v>776.30542609999998</v>
      </c>
      <c r="M57">
        <v>766.74095650000004</v>
      </c>
      <c r="N57">
        <v>757.29501049999999</v>
      </c>
      <c r="O57">
        <v>747.96564130000002</v>
      </c>
      <c r="P57">
        <v>738.75074529999995</v>
      </c>
      <c r="Q57">
        <v>729.6480798</v>
      </c>
      <c r="R57">
        <v>720.65539249999995</v>
      </c>
      <c r="S57">
        <v>711.77088049999998</v>
      </c>
      <c r="T57">
        <v>702.99332049999998</v>
      </c>
      <c r="U57">
        <v>694.32172379999997</v>
      </c>
      <c r="V57">
        <v>685.75518629999999</v>
      </c>
      <c r="W57">
        <v>677.29282720000003</v>
      </c>
      <c r="X57">
        <v>668.93376469999998</v>
      </c>
      <c r="Y57">
        <v>660.67710790000001</v>
      </c>
      <c r="Z57">
        <v>652.52195340000003</v>
      </c>
      <c r="AA57">
        <v>644.46738440000001</v>
      </c>
      <c r="AB57">
        <v>636.51247020000005</v>
      </c>
      <c r="AC57">
        <v>628.65626669999995</v>
      </c>
      <c r="AD57">
        <v>620.89781700000003</v>
      </c>
      <c r="AE57">
        <v>613.23615270000005</v>
      </c>
      <c r="AF57">
        <v>605.67029490000004</v>
      </c>
      <c r="AG57">
        <v>598.19925590000003</v>
      </c>
      <c r="AH57">
        <v>590.82204079999997</v>
      </c>
      <c r="AI57">
        <v>583.53764899999999</v>
      </c>
      <c r="AJ57">
        <v>576.34507589999998</v>
      </c>
      <c r="AK57">
        <v>569.24331419999999</v>
      </c>
    </row>
    <row r="58" spans="1:37" x14ac:dyDescent="0.25">
      <c r="A58" t="s">
        <v>1917</v>
      </c>
      <c r="B58">
        <v>139.85209269999999</v>
      </c>
      <c r="C58">
        <v>137.9553411</v>
      </c>
      <c r="D58">
        <v>136.0829918</v>
      </c>
      <c r="E58">
        <v>134.23479950000001</v>
      </c>
      <c r="F58">
        <v>132.4105155</v>
      </c>
      <c r="G58">
        <v>130.60988939999999</v>
      </c>
      <c r="H58">
        <v>128.83267029999999</v>
      </c>
      <c r="I58">
        <v>127.07860340000001</v>
      </c>
      <c r="J58">
        <v>125.34743</v>
      </c>
      <c r="K58">
        <v>123.63889229999999</v>
      </c>
      <c r="L58">
        <v>121.9527358</v>
      </c>
      <c r="M58">
        <v>120.2887096</v>
      </c>
      <c r="N58">
        <v>118.6465664</v>
      </c>
      <c r="O58">
        <v>117.0260626</v>
      </c>
      <c r="P58">
        <v>115.4269571</v>
      </c>
      <c r="Q58">
        <v>113.8490123</v>
      </c>
      <c r="R58">
        <v>112.2919923</v>
      </c>
      <c r="S58">
        <v>110.75565810000001</v>
      </c>
      <c r="T58">
        <v>109.23976519999999</v>
      </c>
      <c r="U58">
        <v>107.74406690000001</v>
      </c>
      <c r="V58">
        <v>106.2683167</v>
      </c>
      <c r="W58">
        <v>104.8122697</v>
      </c>
      <c r="X58">
        <v>103.375683</v>
      </c>
      <c r="Y58">
        <v>101.958316</v>
      </c>
      <c r="Z58">
        <v>100.5599309</v>
      </c>
      <c r="AA58">
        <v>99.180292399999999</v>
      </c>
      <c r="AB58">
        <v>97.819167820000004</v>
      </c>
      <c r="AC58">
        <v>96.476326990000004</v>
      </c>
      <c r="AD58">
        <v>95.151542190000001</v>
      </c>
      <c r="AE58">
        <v>93.844588099999996</v>
      </c>
      <c r="AF58">
        <v>92.555241769999995</v>
      </c>
      <c r="AG58">
        <v>91.28328252</v>
      </c>
      <c r="AH58">
        <v>90.028491939999995</v>
      </c>
      <c r="AI58">
        <v>88.790653840000004</v>
      </c>
      <c r="AJ58">
        <v>87.569554240000002</v>
      </c>
      <c r="AK58">
        <v>86.364981290000003</v>
      </c>
    </row>
    <row r="59" spans="1:37" x14ac:dyDescent="0.25">
      <c r="A59" t="s">
        <v>1918</v>
      </c>
      <c r="B59">
        <v>3.874567114</v>
      </c>
      <c r="C59">
        <v>3.7242706779999999</v>
      </c>
      <c r="D59">
        <v>3.5801571349999999</v>
      </c>
      <c r="E59">
        <v>3.4419667719999998</v>
      </c>
      <c r="F59">
        <v>3.3094508610000002</v>
      </c>
      <c r="G59">
        <v>3.1823711970000002</v>
      </c>
      <c r="H59">
        <v>3.0604996469999999</v>
      </c>
      <c r="I59">
        <v>2.9436177290000001</v>
      </c>
      <c r="J59">
        <v>2.8315161980000001</v>
      </c>
      <c r="K59">
        <v>2.7239946530000001</v>
      </c>
      <c r="L59">
        <v>2.6208611679999998</v>
      </c>
      <c r="M59">
        <v>2.5219319269999998</v>
      </c>
      <c r="N59">
        <v>2.427030883</v>
      </c>
      <c r="O59">
        <v>2.3359894290000001</v>
      </c>
      <c r="P59">
        <v>2.248646082</v>
      </c>
      <c r="Q59">
        <v>2.1648461810000001</v>
      </c>
      <c r="R59">
        <v>2.0844416020000001</v>
      </c>
      <c r="S59">
        <v>2.0072904739999999</v>
      </c>
      <c r="T59">
        <v>1.9332569209999999</v>
      </c>
      <c r="U59">
        <v>1.8622107999999999</v>
      </c>
      <c r="V59">
        <v>1.7940274650000001</v>
      </c>
      <c r="W59">
        <v>1.728587528</v>
      </c>
      <c r="X59">
        <v>1.6657766389999999</v>
      </c>
      <c r="Y59">
        <v>1.6054852719999999</v>
      </c>
      <c r="Z59">
        <v>1.5476085230000001</v>
      </c>
      <c r="AA59">
        <v>1.492045909</v>
      </c>
      <c r="AB59">
        <v>1.438701185</v>
      </c>
      <c r="AC59">
        <v>1.3874821660000001</v>
      </c>
      <c r="AD59">
        <v>1.3383005480000001</v>
      </c>
      <c r="AE59">
        <v>1.2910717519999999</v>
      </c>
      <c r="AF59">
        <v>1.245714762</v>
      </c>
      <c r="AG59">
        <v>1.202151974</v>
      </c>
      <c r="AH59">
        <v>1.160309051</v>
      </c>
      <c r="AI59">
        <v>1.1201147899999999</v>
      </c>
      <c r="AJ59">
        <v>1.081500981</v>
      </c>
      <c r="AK59">
        <v>1.0444022879999999</v>
      </c>
    </row>
    <row r="60" spans="1:37" x14ac:dyDescent="0.25">
      <c r="A60" t="s">
        <v>1919</v>
      </c>
      <c r="B60">
        <v>1.1716777110000001</v>
      </c>
      <c r="C60">
        <v>1.1716777110000001</v>
      </c>
      <c r="D60">
        <v>1.156539886</v>
      </c>
      <c r="E60">
        <v>1.141606444</v>
      </c>
      <c r="F60">
        <v>1.126874092</v>
      </c>
      <c r="G60">
        <v>1.1123396780000001</v>
      </c>
      <c r="H60">
        <v>1.0979999600000001</v>
      </c>
      <c r="I60">
        <v>1.083851688</v>
      </c>
      <c r="J60">
        <v>1.0698920759999999</v>
      </c>
      <c r="K60">
        <v>1.0561188050000001</v>
      </c>
      <c r="L60">
        <v>1.042529552</v>
      </c>
      <c r="M60">
        <v>1.0291218259999999</v>
      </c>
      <c r="N60">
        <v>1.015892944</v>
      </c>
      <c r="O60">
        <v>1.0028400479999999</v>
      </c>
      <c r="P60">
        <v>0.98996013039999997</v>
      </c>
      <c r="Q60">
        <v>0.97725005629999995</v>
      </c>
      <c r="R60">
        <v>0.96470658149999999</v>
      </c>
      <c r="S60">
        <v>0.95232647859999997</v>
      </c>
      <c r="T60">
        <v>0.94010698439999996</v>
      </c>
      <c r="U60">
        <v>0.9280459244</v>
      </c>
      <c r="V60">
        <v>0.91614137419999997</v>
      </c>
      <c r="W60">
        <v>0.9043915132</v>
      </c>
      <c r="X60">
        <v>0.89279456420000003</v>
      </c>
      <c r="Y60">
        <v>0.88134877119999999</v>
      </c>
      <c r="Z60">
        <v>0.87005238979999999</v>
      </c>
      <c r="AA60">
        <v>0.85890368419999996</v>
      </c>
      <c r="AB60">
        <v>0.84790092530000005</v>
      </c>
      <c r="AC60">
        <v>0.83704238990000002</v>
      </c>
      <c r="AD60">
        <v>0.82632636000000004</v>
      </c>
      <c r="AE60">
        <v>0.81575112329999999</v>
      </c>
      <c r="AF60">
        <v>0.80531497289999998</v>
      </c>
      <c r="AG60">
        <v>0.7950162087</v>
      </c>
      <c r="AH60">
        <v>0.78485313769999998</v>
      </c>
      <c r="AI60">
        <v>0.77482407539999998</v>
      </c>
      <c r="AJ60">
        <v>0.76492734699999998</v>
      </c>
      <c r="AK60">
        <v>0.75516128770000002</v>
      </c>
    </row>
    <row r="61" spans="1:37" x14ac:dyDescent="0.25">
      <c r="A61" t="s">
        <v>87</v>
      </c>
      <c r="B61">
        <v>32317.940999999999</v>
      </c>
      <c r="C61">
        <v>31931.6253</v>
      </c>
      <c r="D61">
        <v>31743.508249999999</v>
      </c>
      <c r="E61">
        <v>31687.79249</v>
      </c>
      <c r="F61">
        <v>31720.643349999998</v>
      </c>
      <c r="G61">
        <v>31813.33711</v>
      </c>
      <c r="H61">
        <v>31947.162380000002</v>
      </c>
      <c r="I61">
        <v>32109.87729</v>
      </c>
      <c r="J61">
        <v>32293.361379999998</v>
      </c>
      <c r="K61">
        <v>32492.108840000001</v>
      </c>
      <c r="L61">
        <v>32702.282360000001</v>
      </c>
      <c r="M61">
        <v>32921.126179999999</v>
      </c>
      <c r="N61">
        <v>33146.603029999998</v>
      </c>
      <c r="O61">
        <v>33377.167979999998</v>
      </c>
      <c r="P61">
        <v>33611.625030000003</v>
      </c>
      <c r="Q61">
        <v>33849.033629999998</v>
      </c>
      <c r="R61">
        <v>34088.645530000002</v>
      </c>
      <c r="S61">
        <v>34329.860690000001</v>
      </c>
      <c r="T61">
        <v>34572.195419999996</v>
      </c>
      <c r="U61">
        <v>34815.258710000002</v>
      </c>
      <c r="V61">
        <v>35058.734510000002</v>
      </c>
      <c r="W61">
        <v>35302.36808</v>
      </c>
      <c r="X61">
        <v>35545.95566</v>
      </c>
      <c r="Y61">
        <v>35789.336340000002</v>
      </c>
      <c r="Z61">
        <v>36032.385739999998</v>
      </c>
      <c r="AA61">
        <v>36275.010999999999</v>
      </c>
      <c r="AB61">
        <v>36517.146650000002</v>
      </c>
      <c r="AC61">
        <v>36758.751190000003</v>
      </c>
      <c r="AD61">
        <v>36999.804109999997</v>
      </c>
      <c r="AE61">
        <v>37240.303260000001</v>
      </c>
      <c r="AF61">
        <v>37480.262430000002</v>
      </c>
      <c r="AG61">
        <v>37719.709159999999</v>
      </c>
      <c r="AH61">
        <v>37958.682679999998</v>
      </c>
      <c r="AI61">
        <v>38197.23199</v>
      </c>
      <c r="AJ61">
        <v>38435.414069999999</v>
      </c>
      <c r="AK61">
        <v>38673.292269999998</v>
      </c>
    </row>
    <row r="62" spans="1:37" x14ac:dyDescent="0.25">
      <c r="A62" t="s">
        <v>88</v>
      </c>
      <c r="B62">
        <v>32271.24</v>
      </c>
      <c r="C62">
        <v>31867.184539999998</v>
      </c>
      <c r="D62">
        <v>31660.485769999999</v>
      </c>
      <c r="E62">
        <v>31585.837940000001</v>
      </c>
      <c r="F62">
        <v>31599.720549999998</v>
      </c>
      <c r="G62">
        <v>31673.60284</v>
      </c>
      <c r="H62">
        <v>31788.887490000001</v>
      </c>
      <c r="I62">
        <v>31933.39687</v>
      </c>
      <c r="J62">
        <v>32099.043880000001</v>
      </c>
      <c r="K62">
        <v>32280.33711</v>
      </c>
      <c r="L62">
        <v>32473.442050000001</v>
      </c>
      <c r="M62">
        <v>32675.5985</v>
      </c>
      <c r="N62">
        <v>32884.760260000003</v>
      </c>
      <c r="O62">
        <v>33099.37055</v>
      </c>
      <c r="P62">
        <v>33318.219720000001</v>
      </c>
      <c r="Q62">
        <v>33540.352330000002</v>
      </c>
      <c r="R62">
        <v>33765.004459999996</v>
      </c>
      <c r="S62">
        <v>33991.559860000001</v>
      </c>
      <c r="T62">
        <v>34219.518219999998</v>
      </c>
      <c r="U62">
        <v>34448.471680000002</v>
      </c>
      <c r="V62">
        <v>34678.087050000002</v>
      </c>
      <c r="W62">
        <v>34908.092270000001</v>
      </c>
      <c r="X62">
        <v>35138.265950000001</v>
      </c>
      <c r="Y62">
        <v>35368.429279999997</v>
      </c>
      <c r="Z62">
        <v>35598.439659999996</v>
      </c>
      <c r="AA62">
        <v>35828.185579999998</v>
      </c>
      <c r="AB62">
        <v>36057.582459999998</v>
      </c>
      <c r="AC62">
        <v>36286.56912</v>
      </c>
      <c r="AD62">
        <v>36515.104740000002</v>
      </c>
      <c r="AE62">
        <v>36743.166120000002</v>
      </c>
      <c r="AF62">
        <v>36970.745210000001</v>
      </c>
      <c r="AG62">
        <v>37197.846769999996</v>
      </c>
      <c r="AH62">
        <v>37424.486270000001</v>
      </c>
      <c r="AI62">
        <v>37650.6878</v>
      </c>
      <c r="AJ62">
        <v>37876.482239999998</v>
      </c>
      <c r="AK62">
        <v>38101.905460000002</v>
      </c>
    </row>
    <row r="63" spans="1:37" x14ac:dyDescent="0.25">
      <c r="A63" t="s">
        <v>89</v>
      </c>
      <c r="B63">
        <v>44.765000000000001</v>
      </c>
      <c r="C63">
        <v>62.448716269999998</v>
      </c>
      <c r="D63">
        <v>80.96397125</v>
      </c>
      <c r="E63">
        <v>99.823967240000002</v>
      </c>
      <c r="F63">
        <v>118.71771630000001</v>
      </c>
      <c r="G63">
        <v>137.45419670000001</v>
      </c>
      <c r="H63">
        <v>155.92054479999999</v>
      </c>
      <c r="I63">
        <v>174.05323809999999</v>
      </c>
      <c r="J63">
        <v>191.819312</v>
      </c>
      <c r="K63">
        <v>209.20456300000001</v>
      </c>
      <c r="L63">
        <v>226.20631040000001</v>
      </c>
      <c r="M63">
        <v>242.8290054</v>
      </c>
      <c r="N63">
        <v>259.08157080000001</v>
      </c>
      <c r="O63">
        <v>274.9757745</v>
      </c>
      <c r="P63">
        <v>290.52522199999999</v>
      </c>
      <c r="Q63">
        <v>305.74471920000002</v>
      </c>
      <c r="R63">
        <v>320.64986579999999</v>
      </c>
      <c r="S63">
        <v>335.25679709999997</v>
      </c>
      <c r="T63">
        <v>349.58202449999999</v>
      </c>
      <c r="U63">
        <v>363.64234420000003</v>
      </c>
      <c r="V63">
        <v>377.45479499999999</v>
      </c>
      <c r="W63">
        <v>391.03665089999998</v>
      </c>
      <c r="X63">
        <v>404.40544</v>
      </c>
      <c r="Y63">
        <v>417.57898280000001</v>
      </c>
      <c r="Z63">
        <v>430.57544489999998</v>
      </c>
      <c r="AA63">
        <v>443.41340109999999</v>
      </c>
      <c r="AB63">
        <v>456.11190629999999</v>
      </c>
      <c r="AC63">
        <v>468.69057370000002</v>
      </c>
      <c r="AD63">
        <v>481.16965679999998</v>
      </c>
      <c r="AE63">
        <v>493.57013669999998</v>
      </c>
      <c r="AF63">
        <v>505.91381250000001</v>
      </c>
      <c r="AG63">
        <v>518.22339710000006</v>
      </c>
      <c r="AH63">
        <v>530.5226169</v>
      </c>
      <c r="AI63">
        <v>542.83631739999998</v>
      </c>
      <c r="AJ63">
        <v>555.19057529999998</v>
      </c>
      <c r="AK63">
        <v>567.61281750000001</v>
      </c>
    </row>
    <row r="64" spans="1:37" x14ac:dyDescent="0.25">
      <c r="A64" t="s">
        <v>90</v>
      </c>
      <c r="B64">
        <v>1.9359999999999999</v>
      </c>
      <c r="C64">
        <v>1.992038478</v>
      </c>
      <c r="D64">
        <v>2.0585130399999998</v>
      </c>
      <c r="E64">
        <v>2.1305753150000002</v>
      </c>
      <c r="F64">
        <v>2.205083192</v>
      </c>
      <c r="G64">
        <v>2.2800657229999999</v>
      </c>
      <c r="H64">
        <v>2.3543231279999999</v>
      </c>
      <c r="I64">
        <v>2.4271483549999999</v>
      </c>
      <c r="J64">
        <v>2.498142573</v>
      </c>
      <c r="K64">
        <v>2.5670970789999998</v>
      </c>
      <c r="L64">
        <v>2.6339195040000001</v>
      </c>
      <c r="M64">
        <v>2.69858844</v>
      </c>
      <c r="N64">
        <v>2.7611257519999999</v>
      </c>
      <c r="O64">
        <v>2.8215796809999998</v>
      </c>
      <c r="P64">
        <v>2.8800144360000002</v>
      </c>
      <c r="Q64">
        <v>2.9365036600000001</v>
      </c>
      <c r="R64">
        <v>2.9911262380000001</v>
      </c>
      <c r="S64">
        <v>3.0439635360000001</v>
      </c>
      <c r="T64">
        <v>3.0950975459999999</v>
      </c>
      <c r="U64">
        <v>3.1446096300000002</v>
      </c>
      <c r="V64">
        <v>3.192579673</v>
      </c>
      <c r="W64">
        <v>3.239085524</v>
      </c>
      <c r="X64">
        <v>3.2842026450000001</v>
      </c>
      <c r="Y64">
        <v>3.3280039100000001</v>
      </c>
      <c r="Z64">
        <v>3.370559514</v>
      </c>
      <c r="AA64">
        <v>3.4119369420000001</v>
      </c>
      <c r="AB64">
        <v>3.452200994</v>
      </c>
      <c r="AC64">
        <v>3.4914138370000001</v>
      </c>
      <c r="AD64">
        <v>3.5296350570000001</v>
      </c>
      <c r="AE64">
        <v>3.5669217350000002</v>
      </c>
      <c r="AF64">
        <v>3.6033285020000001</v>
      </c>
      <c r="AG64">
        <v>3.6389076010000001</v>
      </c>
      <c r="AH64">
        <v>3.6737089360000001</v>
      </c>
      <c r="AI64">
        <v>3.707780122</v>
      </c>
      <c r="AJ64">
        <v>3.741166524</v>
      </c>
      <c r="AK64">
        <v>3.7739112929999998</v>
      </c>
    </row>
    <row r="65" spans="1:37" x14ac:dyDescent="0.25">
      <c r="A65" t="s">
        <v>1920</v>
      </c>
      <c r="B65">
        <v>1886.229</v>
      </c>
      <c r="C65">
        <v>2126.9764409999998</v>
      </c>
      <c r="D65">
        <v>2294.441949</v>
      </c>
      <c r="E65">
        <v>2411.5024819999999</v>
      </c>
      <c r="F65">
        <v>2495.0188450000001</v>
      </c>
      <c r="G65">
        <v>2556.7025119999998</v>
      </c>
      <c r="H65">
        <v>2604.3377540000001</v>
      </c>
      <c r="I65">
        <v>2642.9422650000001</v>
      </c>
      <c r="J65">
        <v>2675.6871630000001</v>
      </c>
      <c r="K65">
        <v>2704.556431</v>
      </c>
      <c r="L65">
        <v>2730.7906400000002</v>
      </c>
      <c r="M65">
        <v>2755.1728119999998</v>
      </c>
      <c r="N65">
        <v>2778.2068039999999</v>
      </c>
      <c r="O65">
        <v>2800.226091</v>
      </c>
      <c r="P65">
        <v>2821.4589340000002</v>
      </c>
      <c r="Q65">
        <v>2842.0671710000001</v>
      </c>
      <c r="R65">
        <v>2862.1693700000001</v>
      </c>
      <c r="S65">
        <v>2881.8549119999998</v>
      </c>
      <c r="T65">
        <v>2901.192822</v>
      </c>
      <c r="U65">
        <v>2920.2375459999998</v>
      </c>
      <c r="V65">
        <v>2939.0329419999998</v>
      </c>
      <c r="W65">
        <v>2957.6151220000002</v>
      </c>
      <c r="X65">
        <v>2976.0145470000002</v>
      </c>
      <c r="Y65">
        <v>2994.25756</v>
      </c>
      <c r="Z65">
        <v>3012.367506</v>
      </c>
      <c r="AA65">
        <v>3030.3655220000001</v>
      </c>
      <c r="AB65">
        <v>3048.2710809999999</v>
      </c>
      <c r="AC65">
        <v>3066.1023279999999</v>
      </c>
      <c r="AD65">
        <v>3083.87628</v>
      </c>
      <c r="AE65">
        <v>3101.6089280000001</v>
      </c>
      <c r="AF65">
        <v>3119.3152650000002</v>
      </c>
      <c r="AG65">
        <v>3137.0092840000002</v>
      </c>
      <c r="AH65">
        <v>3154.703955</v>
      </c>
      <c r="AI65">
        <v>3172.4112030000001</v>
      </c>
      <c r="AJ65">
        <v>3190.1418899999999</v>
      </c>
      <c r="AK65">
        <v>3207.9058129999999</v>
      </c>
    </row>
    <row r="66" spans="1:37" x14ac:dyDescent="0.25">
      <c r="A66" t="s">
        <v>1921</v>
      </c>
      <c r="B66">
        <v>1868.8030000000001</v>
      </c>
      <c r="C66">
        <v>2107.3250859999998</v>
      </c>
      <c r="D66">
        <v>2273.237768</v>
      </c>
      <c r="E66">
        <v>2389.2032079999999</v>
      </c>
      <c r="F66">
        <v>2471.9244659999999</v>
      </c>
      <c r="G66">
        <v>2533.004516</v>
      </c>
      <c r="H66">
        <v>2580.1564659999999</v>
      </c>
      <c r="I66">
        <v>2618.3527669999999</v>
      </c>
      <c r="J66">
        <v>2650.7362549999998</v>
      </c>
      <c r="K66">
        <v>2679.2733050000002</v>
      </c>
      <c r="L66">
        <v>2705.1934289999999</v>
      </c>
      <c r="M66">
        <v>2729.2725620000001</v>
      </c>
      <c r="N66">
        <v>2752.009888</v>
      </c>
      <c r="O66">
        <v>2773.735604</v>
      </c>
      <c r="P66">
        <v>2794.6756730000002</v>
      </c>
      <c r="Q66">
        <v>2814.9901749999999</v>
      </c>
      <c r="R66">
        <v>2834.79628</v>
      </c>
      <c r="S66">
        <v>2854.1822029999998</v>
      </c>
      <c r="T66">
        <v>2873.21594</v>
      </c>
      <c r="U66">
        <v>2891.9509889999999</v>
      </c>
      <c r="V66">
        <v>2910.430288</v>
      </c>
      <c r="W66">
        <v>2928.6890320000002</v>
      </c>
      <c r="X66">
        <v>2946.7567319999998</v>
      </c>
      <c r="Y66">
        <v>2964.658735</v>
      </c>
      <c r="Z66">
        <v>2982.417328</v>
      </c>
      <c r="AA66">
        <v>3000.05251</v>
      </c>
      <c r="AB66">
        <v>3017.5825289999998</v>
      </c>
      <c r="AC66">
        <v>3035.0242079999998</v>
      </c>
      <c r="AD66">
        <v>3052.3931389999998</v>
      </c>
      <c r="AE66">
        <v>3069.7037719999998</v>
      </c>
      <c r="AF66">
        <v>3086.969443</v>
      </c>
      <c r="AG66">
        <v>3104.2023589999999</v>
      </c>
      <c r="AH66">
        <v>3121.4135649999998</v>
      </c>
      <c r="AI66">
        <v>3138.6129190000001</v>
      </c>
      <c r="AJ66">
        <v>3155.8090560000001</v>
      </c>
      <c r="AK66">
        <v>3173.00938</v>
      </c>
    </row>
    <row r="67" spans="1:37" x14ac:dyDescent="0.25">
      <c r="A67" t="s">
        <v>1922</v>
      </c>
      <c r="B67">
        <v>17.268999999999998</v>
      </c>
      <c r="C67">
        <v>19.474316269999999</v>
      </c>
      <c r="D67">
        <v>21.01320363</v>
      </c>
      <c r="E67">
        <v>22.098554849999999</v>
      </c>
      <c r="F67">
        <v>22.886707730000001</v>
      </c>
      <c r="G67">
        <v>23.485189049999999</v>
      </c>
      <c r="H67">
        <v>23.964515939999998</v>
      </c>
      <c r="I67">
        <v>24.36951509</v>
      </c>
      <c r="J67">
        <v>24.72820342</v>
      </c>
      <c r="K67">
        <v>25.058023500000001</v>
      </c>
      <c r="L67">
        <v>25.369929899999999</v>
      </c>
      <c r="M67">
        <v>25.670947420000001</v>
      </c>
      <c r="N67">
        <v>25.96572561</v>
      </c>
      <c r="O67">
        <v>26.257466600000001</v>
      </c>
      <c r="P67">
        <v>26.548478500000002</v>
      </c>
      <c r="Q67">
        <v>26.84050603</v>
      </c>
      <c r="R67">
        <v>27.134935380000002</v>
      </c>
      <c r="S67">
        <v>27.432925959999999</v>
      </c>
      <c r="T67">
        <v>27.735499220000001</v>
      </c>
      <c r="U67">
        <v>28.043600659999999</v>
      </c>
      <c r="V67">
        <v>28.358144589999998</v>
      </c>
      <c r="W67">
        <v>28.680047739999999</v>
      </c>
      <c r="X67">
        <v>29.010255140000002</v>
      </c>
      <c r="Y67">
        <v>29.34976035</v>
      </c>
      <c r="Z67">
        <v>29.69962147</v>
      </c>
      <c r="AA67">
        <v>30.06097398</v>
      </c>
      <c r="AB67">
        <v>30.43504128</v>
      </c>
      <c r="AC67">
        <v>30.82314362</v>
      </c>
      <c r="AD67">
        <v>31.226706069999999</v>
      </c>
      <c r="AE67">
        <v>31.647266129999998</v>
      </c>
      <c r="AF67">
        <v>32.086481310000003</v>
      </c>
      <c r="AG67">
        <v>32.546137109999997</v>
      </c>
      <c r="AH67">
        <v>33.028155650000002</v>
      </c>
      <c r="AI67">
        <v>33.534605169999999</v>
      </c>
      <c r="AJ67">
        <v>34.067710599999998</v>
      </c>
      <c r="AK67">
        <v>34.629865250000002</v>
      </c>
    </row>
    <row r="68" spans="1:37" x14ac:dyDescent="0.25">
      <c r="A68" t="s">
        <v>1923</v>
      </c>
      <c r="B68">
        <v>0.157</v>
      </c>
      <c r="C68">
        <v>0.17703847780000001</v>
      </c>
      <c r="D68">
        <v>0.1909769674</v>
      </c>
      <c r="E68">
        <v>0.2007193394</v>
      </c>
      <c r="F68">
        <v>0.2076688347</v>
      </c>
      <c r="G68">
        <v>0.21280023040000001</v>
      </c>
      <c r="H68">
        <v>0.21676151269999999</v>
      </c>
      <c r="I68">
        <v>0.219970422</v>
      </c>
      <c r="J68">
        <v>0.222690991</v>
      </c>
      <c r="K68">
        <v>0.2250884169</v>
      </c>
      <c r="L68">
        <v>0.22726599240000001</v>
      </c>
      <c r="M68">
        <v>0.22928890430000001</v>
      </c>
      <c r="N68">
        <v>0.2311990897</v>
      </c>
      <c r="O68">
        <v>0.23302428880000001</v>
      </c>
      <c r="P68">
        <v>0.2347834848</v>
      </c>
      <c r="Q68">
        <v>0.23649012629999999</v>
      </c>
      <c r="R68">
        <v>0.23815405689999999</v>
      </c>
      <c r="S68">
        <v>0.23978268759999999</v>
      </c>
      <c r="T68">
        <v>0.2413817308</v>
      </c>
      <c r="U68">
        <v>0.2429556809</v>
      </c>
      <c r="V68">
        <v>0.2445081452</v>
      </c>
      <c r="W68">
        <v>0.2460420804</v>
      </c>
      <c r="X68">
        <v>0.24755996590000001</v>
      </c>
      <c r="Y68">
        <v>0.24906393099999999</v>
      </c>
      <c r="Z68">
        <v>0.25055584800000003</v>
      </c>
      <c r="AA68">
        <v>0.25203739730000002</v>
      </c>
      <c r="AB68">
        <v>0.25351011159999998</v>
      </c>
      <c r="AC68">
        <v>0.25497540439999999</v>
      </c>
      <c r="AD68">
        <v>0.25643458559999999</v>
      </c>
      <c r="AE68">
        <v>0.25788886909999997</v>
      </c>
      <c r="AF68">
        <v>0.25933937530000001</v>
      </c>
      <c r="AG68">
        <v>0.26078712970000001</v>
      </c>
      <c r="AH68">
        <v>0.26223306029999999</v>
      </c>
      <c r="AI68">
        <v>0.26367799510000001</v>
      </c>
      <c r="AJ68">
        <v>0.26512265969999999</v>
      </c>
      <c r="AK68">
        <v>0.26656767599999998</v>
      </c>
    </row>
    <row r="69" spans="1:37" x14ac:dyDescent="0.25">
      <c r="A69" t="s">
        <v>91</v>
      </c>
      <c r="B69">
        <v>7095.7005250000002</v>
      </c>
      <c r="C69">
        <v>7143.1787640000002</v>
      </c>
      <c r="D69">
        <v>7239.8100320000003</v>
      </c>
      <c r="E69">
        <v>7369.0432149999997</v>
      </c>
      <c r="F69">
        <v>7519.6803529999997</v>
      </c>
      <c r="G69">
        <v>7684.2985710000003</v>
      </c>
      <c r="H69">
        <v>7858.0379009999997</v>
      </c>
      <c r="I69">
        <v>8037.7298559999999</v>
      </c>
      <c r="J69">
        <v>8221.3015240000004</v>
      </c>
      <c r="K69">
        <v>8407.3826119999994</v>
      </c>
      <c r="L69">
        <v>8595.0529569999999</v>
      </c>
      <c r="M69">
        <v>8783.6831230000007</v>
      </c>
      <c r="N69">
        <v>8972.8346920000004</v>
      </c>
      <c r="O69">
        <v>9162.1979510000001</v>
      </c>
      <c r="P69">
        <v>9351.5526379999992</v>
      </c>
      <c r="Q69">
        <v>9540.7427050000006</v>
      </c>
      <c r="R69">
        <v>9729.6596580000005</v>
      </c>
      <c r="S69">
        <v>9918.2312120000006</v>
      </c>
      <c r="T69">
        <v>10106.41331</v>
      </c>
      <c r="U69">
        <v>10294.18433</v>
      </c>
      <c r="V69">
        <v>10481.540859999999</v>
      </c>
      <c r="W69">
        <v>10668.49447</v>
      </c>
      <c r="X69">
        <v>10855.069320000001</v>
      </c>
      <c r="Y69">
        <v>11041.30032</v>
      </c>
      <c r="Z69">
        <v>11227.23172</v>
      </c>
      <c r="AA69">
        <v>11412.9159</v>
      </c>
      <c r="AB69">
        <v>11598.41252</v>
      </c>
      <c r="AC69">
        <v>11783.787609999999</v>
      </c>
      <c r="AD69">
        <v>11969.11292</v>
      </c>
      <c r="AE69">
        <v>12154.46516</v>
      </c>
      <c r="AF69">
        <v>12339.92534</v>
      </c>
      <c r="AG69">
        <v>12525.57812</v>
      </c>
      <c r="AH69">
        <v>12711.51116</v>
      </c>
      <c r="AI69">
        <v>12897.81444</v>
      </c>
      <c r="AJ69">
        <v>13084.579680000001</v>
      </c>
      <c r="AK69">
        <v>13271.899649999999</v>
      </c>
    </row>
    <row r="70" spans="1:37" x14ac:dyDescent="0.25">
      <c r="A70" t="s">
        <v>92</v>
      </c>
      <c r="B70">
        <v>8251.256421</v>
      </c>
      <c r="C70">
        <v>8184.178527</v>
      </c>
      <c r="D70">
        <v>8171.8778769999999</v>
      </c>
      <c r="E70">
        <v>8197.5342110000001</v>
      </c>
      <c r="F70">
        <v>8249.6491499999993</v>
      </c>
      <c r="G70">
        <v>8320.4704320000001</v>
      </c>
      <c r="H70">
        <v>8404.7877079999998</v>
      </c>
      <c r="I70">
        <v>8499.0715280000004</v>
      </c>
      <c r="J70">
        <v>8600.8872150000007</v>
      </c>
      <c r="K70">
        <v>8708.5096250000006</v>
      </c>
      <c r="L70">
        <v>8820.6760479999994</v>
      </c>
      <c r="M70">
        <v>8936.4301090000008</v>
      </c>
      <c r="N70">
        <v>9055.0237899999993</v>
      </c>
      <c r="O70">
        <v>9175.8556850000004</v>
      </c>
      <c r="P70">
        <v>9298.4315650000008</v>
      </c>
      <c r="Q70">
        <v>9422.3384829999995</v>
      </c>
      <c r="R70">
        <v>9547.2271970000002</v>
      </c>
      <c r="S70">
        <v>9672.7997749999995</v>
      </c>
      <c r="T70">
        <v>9798.8005140000005</v>
      </c>
      <c r="U70">
        <v>9925.0090739999996</v>
      </c>
      <c r="V70">
        <v>10051.23516</v>
      </c>
      <c r="W70">
        <v>10177.31431</v>
      </c>
      <c r="X70">
        <v>10303.10454</v>
      </c>
      <c r="Y70">
        <v>10428.483620000001</v>
      </c>
      <c r="Z70">
        <v>10553.34671</v>
      </c>
      <c r="AA70">
        <v>10677.604530000001</v>
      </c>
      <c r="AB70">
        <v>10801.181570000001</v>
      </c>
      <c r="AC70">
        <v>10924.014639999999</v>
      </c>
      <c r="AD70">
        <v>11046.05148</v>
      </c>
      <c r="AE70">
        <v>11167.24944</v>
      </c>
      <c r="AF70">
        <v>11287.574280000001</v>
      </c>
      <c r="AG70">
        <v>11406.99901</v>
      </c>
      <c r="AH70">
        <v>11525.50275</v>
      </c>
      <c r="AI70">
        <v>11643.06969</v>
      </c>
      <c r="AJ70">
        <v>11759.68808</v>
      </c>
      <c r="AK70">
        <v>11875.349249999999</v>
      </c>
    </row>
    <row r="71" spans="1:37" x14ac:dyDescent="0.25">
      <c r="A71" t="s">
        <v>93</v>
      </c>
      <c r="B71">
        <v>6777.6024520000001</v>
      </c>
      <c r="C71">
        <v>6647.7392339999997</v>
      </c>
      <c r="D71">
        <v>6561.4777880000001</v>
      </c>
      <c r="E71">
        <v>6506.5051000000003</v>
      </c>
      <c r="F71">
        <v>6474.3213969999997</v>
      </c>
      <c r="G71">
        <v>6459.1067370000001</v>
      </c>
      <c r="H71">
        <v>6456.8591409999999</v>
      </c>
      <c r="I71">
        <v>6464.7815380000002</v>
      </c>
      <c r="J71">
        <v>6480.8662649999997</v>
      </c>
      <c r="K71">
        <v>6503.6228220000003</v>
      </c>
      <c r="L71">
        <v>6531.9035240000003</v>
      </c>
      <c r="M71">
        <v>6564.7932879999998</v>
      </c>
      <c r="N71">
        <v>6601.5401860000002</v>
      </c>
      <c r="O71">
        <v>6641.5113270000002</v>
      </c>
      <c r="P71">
        <v>6684.1642849999998</v>
      </c>
      <c r="Q71">
        <v>6729.0279730000002</v>
      </c>
      <c r="R71">
        <v>6775.6893330000003</v>
      </c>
      <c r="S71">
        <v>6823.7836639999996</v>
      </c>
      <c r="T71">
        <v>6872.9873250000001</v>
      </c>
      <c r="U71">
        <v>6923.012025</v>
      </c>
      <c r="V71">
        <v>6973.600265</v>
      </c>
      <c r="W71">
        <v>7024.5216149999997</v>
      </c>
      <c r="X71">
        <v>7075.56963</v>
      </c>
      <c r="Y71">
        <v>7126.559252</v>
      </c>
      <c r="Z71">
        <v>7177.324595</v>
      </c>
      <c r="AA71">
        <v>7227.7170050000004</v>
      </c>
      <c r="AB71">
        <v>7277.6033479999996</v>
      </c>
      <c r="AC71">
        <v>7326.8644670000003</v>
      </c>
      <c r="AD71">
        <v>7375.3937619999997</v>
      </c>
      <c r="AE71">
        <v>7423.0958760000003</v>
      </c>
      <c r="AF71">
        <v>7469.8854730000003</v>
      </c>
      <c r="AG71">
        <v>7515.6860820000002</v>
      </c>
      <c r="AH71">
        <v>7560.4290179999998</v>
      </c>
      <c r="AI71">
        <v>7604.0523620000004</v>
      </c>
      <c r="AJ71">
        <v>7646.5000209999998</v>
      </c>
      <c r="AK71">
        <v>7687.7208369999998</v>
      </c>
    </row>
    <row r="72" spans="1:37" x14ac:dyDescent="0.25">
      <c r="A72" t="s">
        <v>94</v>
      </c>
      <c r="B72">
        <v>4159.6639080000004</v>
      </c>
      <c r="C72">
        <v>4055.1231299999999</v>
      </c>
      <c r="D72">
        <v>3975.232931</v>
      </c>
      <c r="E72">
        <v>3912.580833</v>
      </c>
      <c r="F72">
        <v>3862.1234340000001</v>
      </c>
      <c r="G72">
        <v>3820.4515780000002</v>
      </c>
      <c r="H72">
        <v>3785.243532</v>
      </c>
      <c r="I72">
        <v>3754.885698</v>
      </c>
      <c r="J72">
        <v>3728.221814</v>
      </c>
      <c r="K72">
        <v>3704.392398</v>
      </c>
      <c r="L72">
        <v>3682.7340829999998</v>
      </c>
      <c r="M72">
        <v>3662.7171469999998</v>
      </c>
      <c r="N72">
        <v>3643.9066910000001</v>
      </c>
      <c r="O72">
        <v>3625.9381819999999</v>
      </c>
      <c r="P72">
        <v>3608.501608</v>
      </c>
      <c r="Q72">
        <v>3591.3308040000002</v>
      </c>
      <c r="R72">
        <v>3574.1959099999999</v>
      </c>
      <c r="S72">
        <v>3556.897802</v>
      </c>
      <c r="T72">
        <v>3539.263817</v>
      </c>
      <c r="U72">
        <v>3521.1443530000001</v>
      </c>
      <c r="V72">
        <v>3502.4101219999998</v>
      </c>
      <c r="W72">
        <v>3482.9498749999998</v>
      </c>
      <c r="X72">
        <v>3462.668494</v>
      </c>
      <c r="Y72">
        <v>3441.4853720000001</v>
      </c>
      <c r="Z72">
        <v>3419.3330099999998</v>
      </c>
      <c r="AA72">
        <v>3396.1557819999998</v>
      </c>
      <c r="AB72">
        <v>3371.9088350000002</v>
      </c>
      <c r="AC72">
        <v>3346.5571</v>
      </c>
      <c r="AD72">
        <v>3320.0743790000001</v>
      </c>
      <c r="AE72">
        <v>3292.4425150000002</v>
      </c>
      <c r="AF72">
        <v>3263.6506209999998</v>
      </c>
      <c r="AG72">
        <v>3233.6943660000002</v>
      </c>
      <c r="AH72">
        <v>3202.5753220000001</v>
      </c>
      <c r="AI72">
        <v>3170.300358</v>
      </c>
      <c r="AJ72">
        <v>3136.8810910000002</v>
      </c>
      <c r="AK72">
        <v>3102.3333859999998</v>
      </c>
    </row>
    <row r="73" spans="1:37" x14ac:dyDescent="0.25">
      <c r="A73" t="s">
        <v>95</v>
      </c>
      <c r="B73">
        <v>2503.7292430000002</v>
      </c>
      <c r="C73">
        <v>2443.05404</v>
      </c>
      <c r="D73">
        <v>2396.1449859999998</v>
      </c>
      <c r="E73">
        <v>2358.2744779999998</v>
      </c>
      <c r="F73">
        <v>2326.3078700000001</v>
      </c>
      <c r="G73">
        <v>2298.1903590000002</v>
      </c>
      <c r="H73">
        <v>2272.5717709999999</v>
      </c>
      <c r="I73">
        <v>2248.5515999999998</v>
      </c>
      <c r="J73">
        <v>2225.5139140000001</v>
      </c>
      <c r="K73">
        <v>2203.023839</v>
      </c>
      <c r="L73">
        <v>2180.7639549999999</v>
      </c>
      <c r="M73">
        <v>2158.4955650000002</v>
      </c>
      <c r="N73">
        <v>2136.0350469999998</v>
      </c>
      <c r="O73">
        <v>2113.2391520000001</v>
      </c>
      <c r="P73">
        <v>2089.9955719999998</v>
      </c>
      <c r="Q73">
        <v>2066.2166120000002</v>
      </c>
      <c r="R73">
        <v>2041.834726</v>
      </c>
      <c r="S73">
        <v>2016.799209</v>
      </c>
      <c r="T73">
        <v>1991.0736569999999</v>
      </c>
      <c r="U73">
        <v>1964.6339390000001</v>
      </c>
      <c r="V73">
        <v>1937.4665560000001</v>
      </c>
      <c r="W73">
        <v>1909.5672770000001</v>
      </c>
      <c r="X73">
        <v>1880.9399940000001</v>
      </c>
      <c r="Y73">
        <v>1851.595738</v>
      </c>
      <c r="Z73">
        <v>1821.5518219999999</v>
      </c>
      <c r="AA73">
        <v>1790.8310879999999</v>
      </c>
      <c r="AB73">
        <v>1759.4612159999999</v>
      </c>
      <c r="AC73">
        <v>1727.4741120000001</v>
      </c>
      <c r="AD73">
        <v>1694.9053369999999</v>
      </c>
      <c r="AE73">
        <v>1661.7935769999999</v>
      </c>
      <c r="AF73">
        <v>1628.1801620000001</v>
      </c>
      <c r="AG73">
        <v>1594.1086150000001</v>
      </c>
      <c r="AH73">
        <v>1559.624239</v>
      </c>
      <c r="AI73">
        <v>1524.773735</v>
      </c>
      <c r="AJ73">
        <v>1489.604855</v>
      </c>
      <c r="AK73">
        <v>1454.1660850000001</v>
      </c>
    </row>
    <row r="74" spans="1:37" x14ac:dyDescent="0.25">
      <c r="A74" t="s">
        <v>96</v>
      </c>
      <c r="B74">
        <v>1243.6668460000001</v>
      </c>
      <c r="C74">
        <v>1210.6549419999999</v>
      </c>
      <c r="D74">
        <v>1182.747584</v>
      </c>
      <c r="E74">
        <v>1157.3994600000001</v>
      </c>
      <c r="F74">
        <v>1133.082864</v>
      </c>
      <c r="G74">
        <v>1108.924158</v>
      </c>
      <c r="H74">
        <v>1084.4505790000001</v>
      </c>
      <c r="I74">
        <v>1059.4277460000001</v>
      </c>
      <c r="J74">
        <v>1033.760544</v>
      </c>
      <c r="K74">
        <v>1007.434588</v>
      </c>
      <c r="L74">
        <v>980.48231669999996</v>
      </c>
      <c r="M74">
        <v>952.96343330000002</v>
      </c>
      <c r="N74">
        <v>924.95350269999994</v>
      </c>
      <c r="O74">
        <v>896.53710699999999</v>
      </c>
      <c r="P74">
        <v>867.80354409999995</v>
      </c>
      <c r="Q74">
        <v>838.84397420000005</v>
      </c>
      <c r="R74">
        <v>809.74942620000002</v>
      </c>
      <c r="S74">
        <v>780.60934850000001</v>
      </c>
      <c r="T74">
        <v>751.51053019999995</v>
      </c>
      <c r="U74">
        <v>722.53628949999995</v>
      </c>
      <c r="V74">
        <v>693.76586459999999</v>
      </c>
      <c r="W74">
        <v>665.27396150000004</v>
      </c>
      <c r="X74">
        <v>637.13042619999999</v>
      </c>
      <c r="Y74">
        <v>609.40001570000004</v>
      </c>
      <c r="Z74">
        <v>582.14224999999999</v>
      </c>
      <c r="AA74">
        <v>555.41133009999999</v>
      </c>
      <c r="AB74">
        <v>529.25611179999999</v>
      </c>
      <c r="AC74">
        <v>503.72012810000001</v>
      </c>
      <c r="AD74">
        <v>478.8416527</v>
      </c>
      <c r="AE74">
        <v>454.6538008</v>
      </c>
      <c r="AF74">
        <v>431.184662</v>
      </c>
      <c r="AG74">
        <v>408.4574624</v>
      </c>
      <c r="AH74">
        <v>386.49075110000001</v>
      </c>
      <c r="AI74">
        <v>365.2986085</v>
      </c>
      <c r="AJ74">
        <v>344.89087239999998</v>
      </c>
      <c r="AK74">
        <v>325.27337849999998</v>
      </c>
    </row>
    <row r="75" spans="1:37" x14ac:dyDescent="0.25">
      <c r="A75" t="s">
        <v>97</v>
      </c>
      <c r="B75">
        <v>2239.620606</v>
      </c>
      <c r="C75">
        <v>2183.255905</v>
      </c>
      <c r="D75">
        <v>2133.1945719999999</v>
      </c>
      <c r="E75">
        <v>2084.5006480000002</v>
      </c>
      <c r="F75">
        <v>2034.5554790000001</v>
      </c>
      <c r="G75">
        <v>1982.1610049999999</v>
      </c>
      <c r="H75">
        <v>1926.93686</v>
      </c>
      <c r="I75">
        <v>1868.9489080000001</v>
      </c>
      <c r="J75">
        <v>1808.492602</v>
      </c>
      <c r="K75">
        <v>1745.9712300000001</v>
      </c>
      <c r="L75">
        <v>1681.829168</v>
      </c>
      <c r="M75">
        <v>1616.515836</v>
      </c>
      <c r="N75">
        <v>1550.466347</v>
      </c>
      <c r="O75">
        <v>1484.0911450000001</v>
      </c>
      <c r="P75">
        <v>1417.7705080000001</v>
      </c>
      <c r="Q75">
        <v>1351.8517790000001</v>
      </c>
      <c r="R75">
        <v>1286.6482120000001</v>
      </c>
      <c r="S75">
        <v>1222.4388469999999</v>
      </c>
      <c r="T75">
        <v>1159.4690720000001</v>
      </c>
      <c r="U75">
        <v>1097.951673</v>
      </c>
      <c r="V75">
        <v>1038.0682320000001</v>
      </c>
      <c r="W75">
        <v>979.97076800000002</v>
      </c>
      <c r="X75">
        <v>923.78353949999996</v>
      </c>
      <c r="Y75">
        <v>869.6049567</v>
      </c>
      <c r="Z75">
        <v>817.50954709999996</v>
      </c>
      <c r="AA75">
        <v>767.54994399999998</v>
      </c>
      <c r="AB75">
        <v>719.75886479999997</v>
      </c>
      <c r="AC75">
        <v>674.1510591</v>
      </c>
      <c r="AD75">
        <v>630.72520759999998</v>
      </c>
      <c r="AE75">
        <v>589.4657555</v>
      </c>
      <c r="AF75">
        <v>550.34467140000004</v>
      </c>
      <c r="AG75">
        <v>513.32311849999996</v>
      </c>
      <c r="AH75">
        <v>478.3530331</v>
      </c>
      <c r="AI75">
        <v>445.37860369999999</v>
      </c>
      <c r="AJ75">
        <v>414.33764600000001</v>
      </c>
      <c r="AK75">
        <v>385.16287219999998</v>
      </c>
    </row>
    <row r="76" spans="1:37" x14ac:dyDescent="0.25">
      <c r="A76" t="s">
        <v>98</v>
      </c>
      <c r="B76">
        <v>9.8427898650000003</v>
      </c>
      <c r="C76">
        <v>14.99081578</v>
      </c>
      <c r="D76">
        <v>20.42298388</v>
      </c>
      <c r="E76">
        <v>26.012772640000001</v>
      </c>
      <c r="F76">
        <v>31.67694968</v>
      </c>
      <c r="G76">
        <v>37.362607220000001</v>
      </c>
      <c r="H76">
        <v>43.037132409999998</v>
      </c>
      <c r="I76">
        <v>48.681062070000003</v>
      </c>
      <c r="J76">
        <v>54.283284770000002</v>
      </c>
      <c r="K76">
        <v>59.837947139999997</v>
      </c>
      <c r="L76">
        <v>65.342511110000004</v>
      </c>
      <c r="M76">
        <v>70.796552160000005</v>
      </c>
      <c r="N76">
        <v>76.201020200000002</v>
      </c>
      <c r="O76">
        <v>81.557783619999995</v>
      </c>
      <c r="P76">
        <v>86.869346559999997</v>
      </c>
      <c r="Q76">
        <v>92.138671560000006</v>
      </c>
      <c r="R76">
        <v>97.369068650000003</v>
      </c>
      <c r="S76">
        <v>102.5641272</v>
      </c>
      <c r="T76">
        <v>107.7276766</v>
      </c>
      <c r="U76">
        <v>112.8637671</v>
      </c>
      <c r="V76">
        <v>117.9766642</v>
      </c>
      <c r="W76">
        <v>123.0708537</v>
      </c>
      <c r="X76">
        <v>128.1510553</v>
      </c>
      <c r="Y76">
        <v>133.22224080000001</v>
      </c>
      <c r="Z76">
        <v>138.2896585</v>
      </c>
      <c r="AA76">
        <v>143.3588603</v>
      </c>
      <c r="AB76">
        <v>148.43573280000001</v>
      </c>
      <c r="AC76">
        <v>153.52652990000001</v>
      </c>
      <c r="AD76">
        <v>158.63790850000001</v>
      </c>
      <c r="AE76">
        <v>163.7769668</v>
      </c>
      <c r="AF76">
        <v>168.95128389999999</v>
      </c>
      <c r="AG76">
        <v>174.1689633</v>
      </c>
      <c r="AH76">
        <v>179.43867850000001</v>
      </c>
      <c r="AI76">
        <v>184.7697221</v>
      </c>
      <c r="AJ76">
        <v>190.1720593</v>
      </c>
      <c r="AK76">
        <v>195.65638519999999</v>
      </c>
    </row>
    <row r="77" spans="1:37" x14ac:dyDescent="0.25">
      <c r="A77" t="s">
        <v>99</v>
      </c>
      <c r="B77">
        <v>11.44571741</v>
      </c>
      <c r="C77">
        <v>16.302055960000001</v>
      </c>
      <c r="D77">
        <v>21.42389696</v>
      </c>
      <c r="E77">
        <v>26.687145130000001</v>
      </c>
      <c r="F77">
        <v>32.010429279999997</v>
      </c>
      <c r="G77">
        <v>37.342129300000003</v>
      </c>
      <c r="H77">
        <v>42.650406009999998</v>
      </c>
      <c r="I77">
        <v>47.916153549999997</v>
      </c>
      <c r="J77">
        <v>53.128303359999997</v>
      </c>
      <c r="K77">
        <v>58.280818070000002</v>
      </c>
      <c r="L77">
        <v>63.370816159999997</v>
      </c>
      <c r="M77">
        <v>68.397418049999999</v>
      </c>
      <c r="N77">
        <v>73.361038930000007</v>
      </c>
      <c r="O77">
        <v>78.262953139999993</v>
      </c>
      <c r="P77">
        <v>83.105023459999998</v>
      </c>
      <c r="Q77">
        <v>87.889530539999996</v>
      </c>
      <c r="R77">
        <v>92.619065109999994</v>
      </c>
      <c r="S77">
        <v>97.296460890000006</v>
      </c>
      <c r="T77">
        <v>101.9247546</v>
      </c>
      <c r="U77">
        <v>106.507165</v>
      </c>
      <c r="V77">
        <v>111.0470847</v>
      </c>
      <c r="W77">
        <v>115.5480821</v>
      </c>
      <c r="X77">
        <v>120.0139095</v>
      </c>
      <c r="Y77">
        <v>124.4485177</v>
      </c>
      <c r="Z77">
        <v>128.85607329999999</v>
      </c>
      <c r="AA77">
        <v>133.2409796</v>
      </c>
      <c r="AB77">
        <v>137.607899</v>
      </c>
      <c r="AC77">
        <v>141.96177779999999</v>
      </c>
      <c r="AD77">
        <v>146.30787179999999</v>
      </c>
      <c r="AE77">
        <v>150.6517728</v>
      </c>
      <c r="AF77">
        <v>154.999437</v>
      </c>
      <c r="AG77">
        <v>159.35721409999999</v>
      </c>
      <c r="AH77">
        <v>163.7318784</v>
      </c>
      <c r="AI77">
        <v>168.13066079999999</v>
      </c>
      <c r="AJ77">
        <v>172.5612836</v>
      </c>
      <c r="AK77">
        <v>177.03199749999999</v>
      </c>
    </row>
    <row r="78" spans="1:37" x14ac:dyDescent="0.25">
      <c r="A78" t="s">
        <v>100</v>
      </c>
      <c r="B78">
        <v>9.4015406210000005</v>
      </c>
      <c r="C78">
        <v>12.69963972</v>
      </c>
      <c r="D78">
        <v>16.176694980000001</v>
      </c>
      <c r="E78">
        <v>19.745033970000001</v>
      </c>
      <c r="F78">
        <v>23.347366480000002</v>
      </c>
      <c r="G78">
        <v>26.947438290000001</v>
      </c>
      <c r="H78">
        <v>30.522893849999999</v>
      </c>
      <c r="I78">
        <v>34.060268610000001</v>
      </c>
      <c r="J78">
        <v>37.551677079999997</v>
      </c>
      <c r="K78">
        <v>40.992707719999999</v>
      </c>
      <c r="L78">
        <v>44.381118090000001</v>
      </c>
      <c r="M78">
        <v>47.716036359999997</v>
      </c>
      <c r="N78">
        <v>50.997473849999999</v>
      </c>
      <c r="O78">
        <v>54.226025239999998</v>
      </c>
      <c r="P78">
        <v>57.402682130000002</v>
      </c>
      <c r="Q78">
        <v>60.528715060000003</v>
      </c>
      <c r="R78">
        <v>63.605598559999997</v>
      </c>
      <c r="S78">
        <v>66.634963760000005</v>
      </c>
      <c r="T78">
        <v>69.618569719999996</v>
      </c>
      <c r="U78">
        <v>72.558287469999996</v>
      </c>
      <c r="V78">
        <v>75.456092889999994</v>
      </c>
      <c r="W78">
        <v>78.314065979999995</v>
      </c>
      <c r="X78">
        <v>81.13439468</v>
      </c>
      <c r="Y78">
        <v>83.919381950000002</v>
      </c>
      <c r="Z78">
        <v>86.671455140000006</v>
      </c>
      <c r="AA78">
        <v>89.393176929999996</v>
      </c>
      <c r="AB78">
        <v>92.087257199999996</v>
      </c>
      <c r="AC78">
        <v>94.756565589999994</v>
      </c>
      <c r="AD78">
        <v>97.404144360000004</v>
      </c>
      <c r="AE78">
        <v>100.0332216</v>
      </c>
      <c r="AF78">
        <v>102.6472243</v>
      </c>
      <c r="AG78">
        <v>105.2497925</v>
      </c>
      <c r="AH78">
        <v>107.8447925</v>
      </c>
      <c r="AI78">
        <v>110.43633149999999</v>
      </c>
      <c r="AJ78">
        <v>113.0287725</v>
      </c>
      <c r="AK78">
        <v>115.6267496</v>
      </c>
    </row>
    <row r="79" spans="1:37" x14ac:dyDescent="0.25">
      <c r="A79" t="s">
        <v>101</v>
      </c>
      <c r="B79">
        <v>5.770071272</v>
      </c>
      <c r="C79">
        <v>7.5646068240000002</v>
      </c>
      <c r="D79">
        <v>9.4403133399999994</v>
      </c>
      <c r="E79">
        <v>11.343636529999999</v>
      </c>
      <c r="F79">
        <v>13.239824179999999</v>
      </c>
      <c r="G79">
        <v>15.10698481</v>
      </c>
      <c r="H79">
        <v>16.931633550000001</v>
      </c>
      <c r="I79">
        <v>18.70561438</v>
      </c>
      <c r="J79">
        <v>20.42408696</v>
      </c>
      <c r="K79">
        <v>22.084258550000001</v>
      </c>
      <c r="L79">
        <v>23.684604849999999</v>
      </c>
      <c r="M79">
        <v>25.224398170000001</v>
      </c>
      <c r="N79">
        <v>26.703422979999999</v>
      </c>
      <c r="O79">
        <v>28.121803239999998</v>
      </c>
      <c r="P79">
        <v>29.479895930000001</v>
      </c>
      <c r="Q79">
        <v>30.778223629999999</v>
      </c>
      <c r="R79">
        <v>32.017430560000001</v>
      </c>
      <c r="S79">
        <v>33.198253119999997</v>
      </c>
      <c r="T79">
        <v>34.321499789999997</v>
      </c>
      <c r="U79">
        <v>35.388037150000002</v>
      </c>
      <c r="V79">
        <v>36.398780209999998</v>
      </c>
      <c r="W79">
        <v>37.354685549999999</v>
      </c>
      <c r="X79">
        <v>38.256746649999997</v>
      </c>
      <c r="Y79">
        <v>39.105990560000002</v>
      </c>
      <c r="Z79">
        <v>39.903475469999997</v>
      </c>
      <c r="AA79">
        <v>40.650288830000001</v>
      </c>
      <c r="AB79">
        <v>41.347545820000001</v>
      </c>
      <c r="AC79">
        <v>41.996387830000003</v>
      </c>
      <c r="AD79">
        <v>42.597980939999999</v>
      </c>
      <c r="AE79">
        <v>43.153514319999999</v>
      </c>
      <c r="AF79">
        <v>43.664198550000002</v>
      </c>
      <c r="AG79">
        <v>44.13126372</v>
      </c>
      <c r="AH79">
        <v>44.555957579999998</v>
      </c>
      <c r="AI79">
        <v>44.939543489999998</v>
      </c>
      <c r="AJ79">
        <v>45.283298440000003</v>
      </c>
      <c r="AK79">
        <v>45.588511019999999</v>
      </c>
    </row>
    <row r="80" spans="1:37" x14ac:dyDescent="0.25">
      <c r="A80" t="s">
        <v>102</v>
      </c>
      <c r="B80">
        <v>3.4730440960000002</v>
      </c>
      <c r="C80">
        <v>4.5739757470000004</v>
      </c>
      <c r="D80">
        <v>5.7146976629999999</v>
      </c>
      <c r="E80">
        <v>6.8601644190000002</v>
      </c>
      <c r="F80">
        <v>7.9881131219999997</v>
      </c>
      <c r="G80">
        <v>9.0848797099999992</v>
      </c>
      <c r="H80">
        <v>10.142320809999999</v>
      </c>
      <c r="I80">
        <v>11.15573262</v>
      </c>
      <c r="J80">
        <v>12.12251932</v>
      </c>
      <c r="K80">
        <v>13.04137214</v>
      </c>
      <c r="L80">
        <v>13.911774960000001</v>
      </c>
      <c r="M80">
        <v>14.733710289999999</v>
      </c>
      <c r="N80">
        <v>15.507484460000001</v>
      </c>
      <c r="O80">
        <v>16.233622449999999</v>
      </c>
      <c r="P80">
        <v>16.912803</v>
      </c>
      <c r="Q80">
        <v>17.545817230000001</v>
      </c>
      <c r="R80">
        <v>18.133541059999999</v>
      </c>
      <c r="S80">
        <v>18.676916420000001</v>
      </c>
      <c r="T80">
        <v>19.17693775</v>
      </c>
      <c r="U80">
        <v>19.634642320000001</v>
      </c>
      <c r="V80">
        <v>20.05110298</v>
      </c>
      <c r="W80">
        <v>20.427422589999999</v>
      </c>
      <c r="X80">
        <v>20.764729679999999</v>
      </c>
      <c r="Y80">
        <v>21.064174909999998</v>
      </c>
      <c r="Z80">
        <v>21.326927950000002</v>
      </c>
      <c r="AA80">
        <v>21.554174740000001</v>
      </c>
      <c r="AB80">
        <v>21.74711482</v>
      </c>
      <c r="AC80">
        <v>21.90695874</v>
      </c>
      <c r="AD80">
        <v>22.034925470000001</v>
      </c>
      <c r="AE80">
        <v>22.132239760000001</v>
      </c>
      <c r="AF80">
        <v>22.200129520000001</v>
      </c>
      <c r="AG80">
        <v>22.239823130000001</v>
      </c>
      <c r="AH80">
        <v>22.25254687</v>
      </c>
      <c r="AI80">
        <v>22.239522260000001</v>
      </c>
      <c r="AJ80">
        <v>22.201963559999999</v>
      </c>
      <c r="AK80">
        <v>22.141075310000002</v>
      </c>
    </row>
    <row r="81" spans="1:37" x14ac:dyDescent="0.25">
      <c r="A81" t="s">
        <v>103</v>
      </c>
      <c r="B81">
        <v>1.7251505170000001</v>
      </c>
      <c r="C81">
        <v>2.2454555790000001</v>
      </c>
      <c r="D81">
        <v>2.7684617760000001</v>
      </c>
      <c r="E81">
        <v>3.2743104380000001</v>
      </c>
      <c r="F81">
        <v>3.7515155080000002</v>
      </c>
      <c r="G81">
        <v>4.1939767000000003</v>
      </c>
      <c r="H81">
        <v>4.5988845530000004</v>
      </c>
      <c r="I81">
        <v>4.9653764230000004</v>
      </c>
      <c r="J81">
        <v>5.2937201649999999</v>
      </c>
      <c r="K81">
        <v>5.5848351840000001</v>
      </c>
      <c r="L81">
        <v>5.8400167859999996</v>
      </c>
      <c r="M81">
        <v>6.0607780770000002</v>
      </c>
      <c r="N81">
        <v>6.2487579389999999</v>
      </c>
      <c r="O81">
        <v>6.4056655600000001</v>
      </c>
      <c r="P81">
        <v>6.5332451259999997</v>
      </c>
      <c r="Q81">
        <v>6.6332519220000004</v>
      </c>
      <c r="R81">
        <v>6.707435147</v>
      </c>
      <c r="S81">
        <v>6.7575249700000004</v>
      </c>
      <c r="T81">
        <v>6.7852224879999996</v>
      </c>
      <c r="U81">
        <v>6.7921917440000001</v>
      </c>
      <c r="V81">
        <v>6.7800533420000004</v>
      </c>
      <c r="W81">
        <v>6.750379283</v>
      </c>
      <c r="X81">
        <v>6.7046887870000003</v>
      </c>
      <c r="Y81">
        <v>6.6444449319999999</v>
      </c>
      <c r="Z81">
        <v>6.5710519559999998</v>
      </c>
      <c r="AA81">
        <v>6.485853144</v>
      </c>
      <c r="AB81">
        <v>6.3901292239999998</v>
      </c>
      <c r="AC81">
        <v>6.285097232</v>
      </c>
      <c r="AD81">
        <v>6.1719097989999998</v>
      </c>
      <c r="AE81">
        <v>6.0516548429999997</v>
      </c>
      <c r="AF81">
        <v>5.925355637</v>
      </c>
      <c r="AG81">
        <v>5.7939712219999997</v>
      </c>
      <c r="AH81">
        <v>5.6583971609999999</v>
      </c>
      <c r="AI81">
        <v>5.5194665799999996</v>
      </c>
      <c r="AJ81">
        <v>5.3779514920000002</v>
      </c>
      <c r="AK81">
        <v>5.2345643639999997</v>
      </c>
    </row>
    <row r="82" spans="1:37" x14ac:dyDescent="0.25">
      <c r="A82" t="s">
        <v>104</v>
      </c>
      <c r="B82">
        <v>3.1066862139999998</v>
      </c>
      <c r="C82">
        <v>4.0721666550000002</v>
      </c>
      <c r="D82">
        <v>5.0169226489999996</v>
      </c>
      <c r="E82">
        <v>5.9009041160000004</v>
      </c>
      <c r="F82">
        <v>6.7035180270000003</v>
      </c>
      <c r="G82">
        <v>7.4161806490000002</v>
      </c>
      <c r="H82">
        <v>8.0372735639999995</v>
      </c>
      <c r="I82">
        <v>8.5690304140000002</v>
      </c>
      <c r="J82">
        <v>9.0157203080000006</v>
      </c>
      <c r="K82">
        <v>9.3826241629999991</v>
      </c>
      <c r="L82">
        <v>9.6754684019999999</v>
      </c>
      <c r="M82">
        <v>9.9001122630000005</v>
      </c>
      <c r="N82">
        <v>10.062372399999999</v>
      </c>
      <c r="O82">
        <v>10.16792128</v>
      </c>
      <c r="P82">
        <v>10.222225849999999</v>
      </c>
      <c r="Q82">
        <v>10.230509250000001</v>
      </c>
      <c r="R82">
        <v>10.19772671</v>
      </c>
      <c r="S82">
        <v>10.128550779999999</v>
      </c>
      <c r="T82">
        <v>10.027363449999999</v>
      </c>
      <c r="U82">
        <v>9.8982532929999998</v>
      </c>
      <c r="V82">
        <v>9.7450166239999998</v>
      </c>
      <c r="W82">
        <v>9.5711617039999997</v>
      </c>
      <c r="X82">
        <v>9.3799154290000004</v>
      </c>
      <c r="Y82">
        <v>9.1742319200000004</v>
      </c>
      <c r="Z82">
        <v>8.9568026209999996</v>
      </c>
      <c r="AA82">
        <v>8.7300675600000002</v>
      </c>
      <c r="AB82">
        <v>8.4962274789999999</v>
      </c>
      <c r="AC82">
        <v>8.2572566250000001</v>
      </c>
      <c r="AD82">
        <v>8.0149159619999999</v>
      </c>
      <c r="AE82">
        <v>7.7707666499999997</v>
      </c>
      <c r="AF82">
        <v>7.5261836180000001</v>
      </c>
      <c r="AG82">
        <v>7.2823690880000003</v>
      </c>
      <c r="AH82">
        <v>7.0403659259999998</v>
      </c>
      <c r="AI82">
        <v>6.8010707049999999</v>
      </c>
      <c r="AJ82">
        <v>6.5652463799999996</v>
      </c>
      <c r="AK82">
        <v>6.3335344979999997</v>
      </c>
    </row>
    <row r="83" spans="1:37" x14ac:dyDescent="0.25">
      <c r="A83" t="s">
        <v>105</v>
      </c>
      <c r="B83">
        <v>0.42568169729999999</v>
      </c>
      <c r="C83">
        <v>0.44945570270000001</v>
      </c>
      <c r="D83">
        <v>0.47618363180000001</v>
      </c>
      <c r="E83">
        <v>0.50461174259999997</v>
      </c>
      <c r="F83">
        <v>0.53390616749999997</v>
      </c>
      <c r="G83">
        <v>0.56352909380000005</v>
      </c>
      <c r="H83">
        <v>0.59314310530000003</v>
      </c>
      <c r="I83">
        <v>0.62254220360000001</v>
      </c>
      <c r="J83">
        <v>0.65160459059999998</v>
      </c>
      <c r="K83">
        <v>0.68026155590000004</v>
      </c>
      <c r="L83">
        <v>0.70847754080000003</v>
      </c>
      <c r="M83">
        <v>0.73623761710000002</v>
      </c>
      <c r="N83">
        <v>0.76353972240000001</v>
      </c>
      <c r="O83">
        <v>0.79038986950000001</v>
      </c>
      <c r="P83">
        <v>0.81679918529999995</v>
      </c>
      <c r="Q83">
        <v>0.84278205589999999</v>
      </c>
      <c r="R83">
        <v>0.86835494329999996</v>
      </c>
      <c r="S83">
        <v>0.89353561299999995</v>
      </c>
      <c r="T83">
        <v>0.91834261910000003</v>
      </c>
      <c r="U83">
        <v>0.94279495359999999</v>
      </c>
      <c r="V83">
        <v>0.9669118082</v>
      </c>
      <c r="W83">
        <v>0.99071241300000001</v>
      </c>
      <c r="X83">
        <v>1.01421593</v>
      </c>
      <c r="Y83">
        <v>1.0374413819999999</v>
      </c>
      <c r="Z83">
        <v>1.060407619</v>
      </c>
      <c r="AA83">
        <v>1.083133283</v>
      </c>
      <c r="AB83">
        <v>1.1056368050000001</v>
      </c>
      <c r="AC83">
        <v>1.1279363920000001</v>
      </c>
      <c r="AD83">
        <v>1.150050021</v>
      </c>
      <c r="AE83">
        <v>1.1719954340000001</v>
      </c>
      <c r="AF83">
        <v>1.193790127</v>
      </c>
      <c r="AG83">
        <v>1.215451337</v>
      </c>
      <c r="AH83">
        <v>1.236996032</v>
      </c>
      <c r="AI83">
        <v>1.2584408840000001</v>
      </c>
      <c r="AJ83">
        <v>1.2798022600000001</v>
      </c>
      <c r="AK83">
        <v>1.3010961910000001</v>
      </c>
    </row>
    <row r="84" spans="1:37" x14ac:dyDescent="0.25">
      <c r="A84" t="s">
        <v>106</v>
      </c>
      <c r="B84">
        <v>0.49500522540000003</v>
      </c>
      <c r="C84">
        <v>0.51237735269999996</v>
      </c>
      <c r="D84">
        <v>0.53282706970000004</v>
      </c>
      <c r="E84">
        <v>0.55510706389999998</v>
      </c>
      <c r="F84">
        <v>0.57838510870000004</v>
      </c>
      <c r="G84">
        <v>0.60212053229999996</v>
      </c>
      <c r="H84">
        <v>0.6259693207</v>
      </c>
      <c r="I84">
        <v>0.64971611019999997</v>
      </c>
      <c r="J84">
        <v>0.67322789579999998</v>
      </c>
      <c r="K84">
        <v>0.69642367620000001</v>
      </c>
      <c r="L84">
        <v>0.71925508319999998</v>
      </c>
      <c r="M84">
        <v>0.74169425229999997</v>
      </c>
      <c r="N84">
        <v>0.76372631199999996</v>
      </c>
      <c r="O84">
        <v>0.78534474669999998</v>
      </c>
      <c r="P84">
        <v>0.80654852040000002</v>
      </c>
      <c r="Q84">
        <v>0.82734025919999998</v>
      </c>
      <c r="R84">
        <v>0.84772507720000001</v>
      </c>
      <c r="S84">
        <v>0.86770979619999999</v>
      </c>
      <c r="T84">
        <v>0.8873024115</v>
      </c>
      <c r="U84">
        <v>0.90651171779999995</v>
      </c>
      <c r="V84">
        <v>0.92534704339999996</v>
      </c>
      <c r="W84">
        <v>0.94381806079999997</v>
      </c>
      <c r="X84">
        <v>0.96193465069999995</v>
      </c>
      <c r="Y84">
        <v>0.97970680529999998</v>
      </c>
      <c r="Z84">
        <v>0.99714455849999994</v>
      </c>
      <c r="AA84">
        <v>1.014257934</v>
      </c>
      <c r="AB84">
        <v>1.031056907</v>
      </c>
      <c r="AC84">
        <v>1.0475513670000001</v>
      </c>
      <c r="AD84">
        <v>1.0637510910000001</v>
      </c>
      <c r="AE84">
        <v>1.0796657119999999</v>
      </c>
      <c r="AF84">
        <v>1.095304689</v>
      </c>
      <c r="AG84">
        <v>1.110677272</v>
      </c>
      <c r="AH84">
        <v>1.125792473</v>
      </c>
      <c r="AI84">
        <v>1.1406590299999999</v>
      </c>
      <c r="AJ84">
        <v>1.155285369</v>
      </c>
      <c r="AK84">
        <v>1.169679575</v>
      </c>
    </row>
    <row r="85" spans="1:37" x14ac:dyDescent="0.25">
      <c r="A85" t="s">
        <v>107</v>
      </c>
      <c r="B85">
        <v>0.40659851759999999</v>
      </c>
      <c r="C85">
        <v>0.41458692130000002</v>
      </c>
      <c r="D85">
        <v>0.42489005559999998</v>
      </c>
      <c r="E85">
        <v>0.4366138819</v>
      </c>
      <c r="F85">
        <v>0.44916009270000001</v>
      </c>
      <c r="G85">
        <v>0.46213734029999998</v>
      </c>
      <c r="H85">
        <v>0.475293415</v>
      </c>
      <c r="I85">
        <v>0.48846693209999997</v>
      </c>
      <c r="J85">
        <v>0.50155462500000003</v>
      </c>
      <c r="K85">
        <v>0.51449000320000005</v>
      </c>
      <c r="L85">
        <v>0.52722978740000004</v>
      </c>
      <c r="M85">
        <v>0.53974544120000001</v>
      </c>
      <c r="N85">
        <v>0.55201793570000002</v>
      </c>
      <c r="O85">
        <v>0.56403451579999997</v>
      </c>
      <c r="P85">
        <v>0.57578668580000003</v>
      </c>
      <c r="Q85">
        <v>0.58726892829999999</v>
      </c>
      <c r="R85">
        <v>0.59847786550000004</v>
      </c>
      <c r="S85">
        <v>0.60941169319999999</v>
      </c>
      <c r="T85">
        <v>0.62006978459999995</v>
      </c>
      <c r="U85">
        <v>0.63045240629999999</v>
      </c>
      <c r="V85">
        <v>0.64056051030000005</v>
      </c>
      <c r="W85">
        <v>0.65039557940000003</v>
      </c>
      <c r="X85">
        <v>0.65995951269999997</v>
      </c>
      <c r="Y85">
        <v>0.66925453729999995</v>
      </c>
      <c r="Z85">
        <v>0.67828314190000005</v>
      </c>
      <c r="AA85">
        <v>0.6870480229</v>
      </c>
      <c r="AB85">
        <v>0.69555204020000005</v>
      </c>
      <c r="AC85">
        <v>0.70379817879999995</v>
      </c>
      <c r="AD85">
        <v>0.71178951270000002</v>
      </c>
      <c r="AE85">
        <v>0.71952917179999998</v>
      </c>
      <c r="AF85">
        <v>0.72702030870000001</v>
      </c>
      <c r="AG85">
        <v>0.73426606559999996</v>
      </c>
      <c r="AH85">
        <v>0.74126954270000001</v>
      </c>
      <c r="AI85">
        <v>0.74803376580000003</v>
      </c>
      <c r="AJ85">
        <v>0.75456165590000002</v>
      </c>
      <c r="AK85">
        <v>0.76085599989999997</v>
      </c>
    </row>
    <row r="86" spans="1:37" x14ac:dyDescent="0.25">
      <c r="A86" t="s">
        <v>108</v>
      </c>
      <c r="B86">
        <v>0.2495444651</v>
      </c>
      <c r="C86">
        <v>0.25236049780000003</v>
      </c>
      <c r="D86">
        <v>0.25638797930000001</v>
      </c>
      <c r="E86">
        <v>0.26108962549999998</v>
      </c>
      <c r="F86">
        <v>0.26611229930000002</v>
      </c>
      <c r="G86">
        <v>0.27122925679999998</v>
      </c>
      <c r="H86">
        <v>0.2762969924</v>
      </c>
      <c r="I86">
        <v>0.28122528190000001</v>
      </c>
      <c r="J86">
        <v>0.28595741159999999</v>
      </c>
      <c r="K86">
        <v>0.29045758589999998</v>
      </c>
      <c r="L86">
        <v>0.29470310329999999</v>
      </c>
      <c r="M86">
        <v>0.29867957150000002</v>
      </c>
      <c r="N86">
        <v>0.30237800100000001</v>
      </c>
      <c r="O86">
        <v>0.30579303190000001</v>
      </c>
      <c r="P86">
        <v>0.30892183699999998</v>
      </c>
      <c r="Q86">
        <v>0.31176342219999997</v>
      </c>
      <c r="R86">
        <v>0.31431816540000002</v>
      </c>
      <c r="S86">
        <v>0.31658750070000002</v>
      </c>
      <c r="T86">
        <v>0.3185736931</v>
      </c>
      <c r="U86">
        <v>0.32027967509999999</v>
      </c>
      <c r="V86">
        <v>0.32170892429999998</v>
      </c>
      <c r="W86">
        <v>0.32286537100000001</v>
      </c>
      <c r="X86">
        <v>0.3237533279</v>
      </c>
      <c r="Y86">
        <v>0.32437743530000002</v>
      </c>
      <c r="Z86">
        <v>0.32474261780000002</v>
      </c>
      <c r="AA86">
        <v>0.32485404810000001</v>
      </c>
      <c r="AB86">
        <v>0.32471711730000002</v>
      </c>
      <c r="AC86">
        <v>0.32433740820000001</v>
      </c>
      <c r="AD86">
        <v>0.32372067049999997</v>
      </c>
      <c r="AE86">
        <v>0.32287279899999999</v>
      </c>
      <c r="AF86">
        <v>0.32179981210000003</v>
      </c>
      <c r="AG86">
        <v>0.3205078314</v>
      </c>
      <c r="AH86">
        <v>0.31900306379999999</v>
      </c>
      <c r="AI86">
        <v>0.31729178359999999</v>
      </c>
      <c r="AJ86">
        <v>0.31538031640000003</v>
      </c>
      <c r="AK86">
        <v>0.31327502540000002</v>
      </c>
    </row>
    <row r="87" spans="1:37" x14ac:dyDescent="0.25">
      <c r="A87" t="s">
        <v>109</v>
      </c>
      <c r="B87">
        <v>0.15020246549999999</v>
      </c>
      <c r="C87">
        <v>0.15208636</v>
      </c>
      <c r="D87">
        <v>0.15461233529999999</v>
      </c>
      <c r="E87">
        <v>0.1574330914</v>
      </c>
      <c r="F87">
        <v>0.16032595220000001</v>
      </c>
      <c r="G87">
        <v>0.16315238379999999</v>
      </c>
      <c r="H87">
        <v>0.16582827310000001</v>
      </c>
      <c r="I87">
        <v>0.16830371420000001</v>
      </c>
      <c r="J87">
        <v>0.1705499402</v>
      </c>
      <c r="K87">
        <v>0.17255116619999999</v>
      </c>
      <c r="L87">
        <v>0.17429961799999999</v>
      </c>
      <c r="M87">
        <v>0.17579254590000001</v>
      </c>
      <c r="N87">
        <v>0.1770304382</v>
      </c>
      <c r="O87">
        <v>0.17801594400000001</v>
      </c>
      <c r="P87">
        <v>0.1787532097</v>
      </c>
      <c r="Q87">
        <v>0.17924745619999999</v>
      </c>
      <c r="R87">
        <v>0.17950469729999999</v>
      </c>
      <c r="S87">
        <v>0.1795315442</v>
      </c>
      <c r="T87">
        <v>0.17933506499999999</v>
      </c>
      <c r="U87">
        <v>0.17892267889999999</v>
      </c>
      <c r="V87">
        <v>0.17830207689999999</v>
      </c>
      <c r="W87">
        <v>0.1774811597</v>
      </c>
      <c r="X87">
        <v>0.1764679891</v>
      </c>
      <c r="Y87">
        <v>0.1752707479</v>
      </c>
      <c r="Z87">
        <v>0.1738977078</v>
      </c>
      <c r="AA87">
        <v>0.17235720060000001</v>
      </c>
      <c r="AB87">
        <v>0.17065759389999999</v>
      </c>
      <c r="AC87">
        <v>0.16880726770000001</v>
      </c>
      <c r="AD87">
        <v>0.1668145942</v>
      </c>
      <c r="AE87">
        <v>0.16468791720000001</v>
      </c>
      <c r="AF87">
        <v>0.16243553429999999</v>
      </c>
      <c r="AG87">
        <v>0.16006567869999999</v>
      </c>
      <c r="AH87">
        <v>0.15758650330000001</v>
      </c>
      <c r="AI87">
        <v>0.15500606480000001</v>
      </c>
      <c r="AJ87">
        <v>0.1523323103</v>
      </c>
      <c r="AK87">
        <v>0.14957306400000001</v>
      </c>
    </row>
    <row r="88" spans="1:37" x14ac:dyDescent="0.25">
      <c r="A88" t="s">
        <v>110</v>
      </c>
      <c r="B88">
        <v>7.4609436000000001E-2</v>
      </c>
      <c r="C88">
        <v>7.5303854000000003E-2</v>
      </c>
      <c r="D88">
        <v>7.61678831E-2</v>
      </c>
      <c r="E88">
        <v>7.70104608E-2</v>
      </c>
      <c r="F88">
        <v>7.7721315700000002E-2</v>
      </c>
      <c r="G88">
        <v>7.8242029099999999E-2</v>
      </c>
      <c r="H88">
        <v>7.8545799799999996E-2</v>
      </c>
      <c r="I88">
        <v>7.8624437599999999E-2</v>
      </c>
      <c r="J88">
        <v>7.8480431599999997E-2</v>
      </c>
      <c r="K88">
        <v>7.8122275899999996E-2</v>
      </c>
      <c r="L88">
        <v>7.7561773200000003E-2</v>
      </c>
      <c r="M88">
        <v>7.6812491100000005E-2</v>
      </c>
      <c r="N88">
        <v>7.5888872299999993E-2</v>
      </c>
      <c r="O88">
        <v>7.4805708200000001E-2</v>
      </c>
      <c r="P88">
        <v>7.3577815000000005E-2</v>
      </c>
      <c r="Q88">
        <v>7.2219823200000005E-2</v>
      </c>
      <c r="R88">
        <v>7.0746033799999997E-2</v>
      </c>
      <c r="S88">
        <v>6.9170316300000007E-2</v>
      </c>
      <c r="T88">
        <v>6.7506034699999995E-2</v>
      </c>
      <c r="U88">
        <v>6.5765993800000005E-2</v>
      </c>
      <c r="V88">
        <v>6.39623998E-2</v>
      </c>
      <c r="W88">
        <v>6.21068335E-2</v>
      </c>
      <c r="X88">
        <v>6.02102318E-2</v>
      </c>
      <c r="Y88">
        <v>5.8282877400000002E-2</v>
      </c>
      <c r="Z88">
        <v>5.6334393500000003E-2</v>
      </c>
      <c r="AA88">
        <v>5.43737444E-2</v>
      </c>
      <c r="AB88">
        <v>5.2409239099999998E-2</v>
      </c>
      <c r="AC88">
        <v>5.0448539799999997E-2</v>
      </c>
      <c r="AD88">
        <v>4.8498672399999998E-2</v>
      </c>
      <c r="AE88">
        <v>4.6566040699999998E-2</v>
      </c>
      <c r="AF88">
        <v>4.4656442499999997E-2</v>
      </c>
      <c r="AG88">
        <v>4.2775088099999997E-2</v>
      </c>
      <c r="AH88">
        <v>4.0926621500000003E-2</v>
      </c>
      <c r="AI88">
        <v>3.9115141899999997E-2</v>
      </c>
      <c r="AJ88">
        <v>3.7344228100000001E-2</v>
      </c>
      <c r="AK88">
        <v>3.5616963299999999E-2</v>
      </c>
    </row>
    <row r="89" spans="1:37" x14ac:dyDescent="0.25">
      <c r="A89" t="s">
        <v>111</v>
      </c>
      <c r="B89">
        <v>0.13435819299999999</v>
      </c>
      <c r="C89">
        <v>0.13586778920000001</v>
      </c>
      <c r="D89">
        <v>0.1374440854</v>
      </c>
      <c r="E89">
        <v>0.13870944860000001</v>
      </c>
      <c r="F89">
        <v>0.1394722561</v>
      </c>
      <c r="G89">
        <v>0.13965508700000001</v>
      </c>
      <c r="H89">
        <v>0.13924622179999999</v>
      </c>
      <c r="I89">
        <v>0.1382696749</v>
      </c>
      <c r="J89">
        <v>0.1367676786</v>
      </c>
      <c r="K89">
        <v>0.1347908163</v>
      </c>
      <c r="L89">
        <v>0.13239259850000001</v>
      </c>
      <c r="M89">
        <v>0.12962652050000001</v>
      </c>
      <c r="N89">
        <v>0.12654447029999999</v>
      </c>
      <c r="O89">
        <v>0.123195865</v>
      </c>
      <c r="P89">
        <v>0.1196271825</v>
      </c>
      <c r="Q89">
        <v>0.11588171479999999</v>
      </c>
      <c r="R89">
        <v>0.1119994555</v>
      </c>
      <c r="S89">
        <v>0.10801707219999999</v>
      </c>
      <c r="T89">
        <v>0.1039679376</v>
      </c>
      <c r="U89">
        <v>9.9882204399999994E-2</v>
      </c>
      <c r="V89">
        <v>9.57869103E-2</v>
      </c>
      <c r="W89">
        <v>9.1706106499999995E-2</v>
      </c>
      <c r="X89">
        <v>8.7661003000000001E-2</v>
      </c>
      <c r="Y89">
        <v>8.3670124799999995E-2</v>
      </c>
      <c r="Z89">
        <v>7.9749476E-2</v>
      </c>
      <c r="AA89">
        <v>7.5912708600000003E-2</v>
      </c>
      <c r="AB89">
        <v>7.2171291999999998E-2</v>
      </c>
      <c r="AC89">
        <v>6.8534683499999999E-2</v>
      </c>
      <c r="AD89">
        <v>6.5010495500000001E-2</v>
      </c>
      <c r="AE89">
        <v>6.16046601E-2</v>
      </c>
      <c r="AF89">
        <v>5.8321589100000001E-2</v>
      </c>
      <c r="AG89">
        <v>5.5164326999999999E-2</v>
      </c>
      <c r="AH89">
        <v>5.2134699399999998E-2</v>
      </c>
      <c r="AI89">
        <v>4.9233452300000001E-2</v>
      </c>
      <c r="AJ89">
        <v>4.6460385299999997E-2</v>
      </c>
      <c r="AK89">
        <v>4.38144746E-2</v>
      </c>
    </row>
    <row r="90" spans="1:37" x14ac:dyDescent="0.25">
      <c r="A90" t="s">
        <v>1924</v>
      </c>
      <c r="B90">
        <v>528.68436870000005</v>
      </c>
      <c r="C90">
        <v>599.67283199999997</v>
      </c>
      <c r="D90">
        <v>652.52066590000004</v>
      </c>
      <c r="E90">
        <v>692.64252380000005</v>
      </c>
      <c r="F90">
        <v>724.10353659999998</v>
      </c>
      <c r="G90">
        <v>749.80735089999996</v>
      </c>
      <c r="H90">
        <v>771.7392188</v>
      </c>
      <c r="I90">
        <v>791.21241399999997</v>
      </c>
      <c r="J90">
        <v>809.0759372</v>
      </c>
      <c r="K90">
        <v>825.87108920000003</v>
      </c>
      <c r="L90">
        <v>841.94136619999995</v>
      </c>
      <c r="M90">
        <v>857.50588200000004</v>
      </c>
      <c r="N90">
        <v>872.70667600000002</v>
      </c>
      <c r="O90">
        <v>887.63833199999999</v>
      </c>
      <c r="P90">
        <v>902.36620100000005</v>
      </c>
      <c r="Q90">
        <v>916.93735379999998</v>
      </c>
      <c r="R90">
        <v>931.38720209999997</v>
      </c>
      <c r="S90">
        <v>945.74351190000004</v>
      </c>
      <c r="T90">
        <v>960.02888189999999</v>
      </c>
      <c r="U90">
        <v>974.26233200000001</v>
      </c>
      <c r="V90">
        <v>988.46036749999996</v>
      </c>
      <c r="W90">
        <v>1002.6377210000001</v>
      </c>
      <c r="X90">
        <v>1016.8078829999999</v>
      </c>
      <c r="Y90">
        <v>1030.983483</v>
      </c>
      <c r="Z90">
        <v>1045.1765539999999</v>
      </c>
      <c r="AA90">
        <v>1059.398715</v>
      </c>
      <c r="AB90">
        <v>1073.661276</v>
      </c>
      <c r="AC90">
        <v>1087.975293</v>
      </c>
      <c r="AD90">
        <v>1102.351584</v>
      </c>
      <c r="AE90">
        <v>1116.8007110000001</v>
      </c>
      <c r="AF90">
        <v>1131.332952</v>
      </c>
      <c r="AG90">
        <v>1145.9582559999999</v>
      </c>
      <c r="AH90">
        <v>1160.6862000000001</v>
      </c>
      <c r="AI90">
        <v>1175.5259450000001</v>
      </c>
      <c r="AJ90">
        <v>1190.4862009999999</v>
      </c>
      <c r="AK90">
        <v>1205.575198</v>
      </c>
    </row>
    <row r="91" spans="1:37" x14ac:dyDescent="0.25">
      <c r="A91" t="s">
        <v>1925</v>
      </c>
      <c r="B91">
        <v>507.5668948</v>
      </c>
      <c r="C91">
        <v>575.04322830000001</v>
      </c>
      <c r="D91">
        <v>624.60040319999996</v>
      </c>
      <c r="E91">
        <v>661.60013719999995</v>
      </c>
      <c r="F91">
        <v>690.0553453</v>
      </c>
      <c r="G91">
        <v>712.81732480000005</v>
      </c>
      <c r="H91">
        <v>731.82470220000005</v>
      </c>
      <c r="I91">
        <v>748.35290199999997</v>
      </c>
      <c r="J91">
        <v>763.22203139999999</v>
      </c>
      <c r="K91">
        <v>776.95215510000003</v>
      </c>
      <c r="L91">
        <v>789.87145199999998</v>
      </c>
      <c r="M91">
        <v>802.18799460000002</v>
      </c>
      <c r="N91">
        <v>814.03571250000005</v>
      </c>
      <c r="O91">
        <v>825.50300719999996</v>
      </c>
      <c r="P91">
        <v>836.65025249999997</v>
      </c>
      <c r="Q91">
        <v>847.52026899999998</v>
      </c>
      <c r="R91">
        <v>858.14462700000001</v>
      </c>
      <c r="S91">
        <v>868.54745739999998</v>
      </c>
      <c r="T91">
        <v>878.74780350000003</v>
      </c>
      <c r="U91">
        <v>888.76112880000005</v>
      </c>
      <c r="V91">
        <v>898.60032920000003</v>
      </c>
      <c r="W91">
        <v>908.27643880000005</v>
      </c>
      <c r="X91">
        <v>917.79913380000005</v>
      </c>
      <c r="Y91">
        <v>927.17709160000004</v>
      </c>
      <c r="Z91">
        <v>936.41824199999996</v>
      </c>
      <c r="AA91">
        <v>945.52993240000001</v>
      </c>
      <c r="AB91">
        <v>954.51902640000003</v>
      </c>
      <c r="AC91">
        <v>963.39195159999997</v>
      </c>
      <c r="AD91">
        <v>972.15470949999997</v>
      </c>
      <c r="AE91">
        <v>980.81285990000003</v>
      </c>
      <c r="AF91">
        <v>989.37149009999996</v>
      </c>
      <c r="AG91">
        <v>997.83517610000001</v>
      </c>
      <c r="AH91">
        <v>1006.207943</v>
      </c>
      <c r="AI91">
        <v>1014.493229</v>
      </c>
      <c r="AJ91">
        <v>1022.693853</v>
      </c>
      <c r="AK91">
        <v>1030.811993</v>
      </c>
    </row>
    <row r="92" spans="1:37" x14ac:dyDescent="0.25">
      <c r="A92" t="s">
        <v>1926</v>
      </c>
      <c r="B92">
        <v>351.33496400000001</v>
      </c>
      <c r="C92">
        <v>397.57666180000001</v>
      </c>
      <c r="D92">
        <v>431.07234629999999</v>
      </c>
      <c r="E92">
        <v>455.64815199999998</v>
      </c>
      <c r="F92">
        <v>474.15910630000002</v>
      </c>
      <c r="G92">
        <v>488.62358130000001</v>
      </c>
      <c r="H92">
        <v>500.40662400000002</v>
      </c>
      <c r="I92">
        <v>510.40170810000001</v>
      </c>
      <c r="J92">
        <v>519.18056669999999</v>
      </c>
      <c r="K92">
        <v>527.10412640000004</v>
      </c>
      <c r="L92">
        <v>534.39920930000005</v>
      </c>
      <c r="M92">
        <v>541.20910419999996</v>
      </c>
      <c r="N92">
        <v>547.62575330000004</v>
      </c>
      <c r="O92">
        <v>553.70967680000001</v>
      </c>
      <c r="P92">
        <v>559.50208840000005</v>
      </c>
      <c r="Q92">
        <v>565.03211510000006</v>
      </c>
      <c r="R92">
        <v>570.32112389999998</v>
      </c>
      <c r="S92">
        <v>575.38533029999996</v>
      </c>
      <c r="T92">
        <v>580.23740889999999</v>
      </c>
      <c r="U92">
        <v>584.88752699999998</v>
      </c>
      <c r="V92">
        <v>589.34403980000002</v>
      </c>
      <c r="W92">
        <v>593.6139776</v>
      </c>
      <c r="X92">
        <v>597.70339309999997</v>
      </c>
      <c r="Y92">
        <v>601.61760939999999</v>
      </c>
      <c r="Z92">
        <v>605.36139349999996</v>
      </c>
      <c r="AA92">
        <v>608.93907060000004</v>
      </c>
      <c r="AB92">
        <v>612.35459289999994</v>
      </c>
      <c r="AC92">
        <v>615.61157419999995</v>
      </c>
      <c r="AD92">
        <v>618.71329960000003</v>
      </c>
      <c r="AE92">
        <v>621.66271830000005</v>
      </c>
      <c r="AF92">
        <v>624.46242789999997</v>
      </c>
      <c r="AG92">
        <v>627.11465399999997</v>
      </c>
      <c r="AH92">
        <v>629.62122980000004</v>
      </c>
      <c r="AI92">
        <v>631.98357950000002</v>
      </c>
      <c r="AJ92">
        <v>634.20270600000003</v>
      </c>
      <c r="AK92">
        <v>636.27918380000006</v>
      </c>
    </row>
    <row r="93" spans="1:37" x14ac:dyDescent="0.25">
      <c r="A93" t="s">
        <v>1927</v>
      </c>
      <c r="B93">
        <v>194.7292726</v>
      </c>
      <c r="C93">
        <v>219.16847580000001</v>
      </c>
      <c r="D93">
        <v>235.6835853</v>
      </c>
      <c r="E93">
        <v>246.70455079999999</v>
      </c>
      <c r="F93">
        <v>254.02359989999999</v>
      </c>
      <c r="G93">
        <v>258.88249669999999</v>
      </c>
      <c r="H93">
        <v>262.1033602</v>
      </c>
      <c r="I93">
        <v>264.21364740000001</v>
      </c>
      <c r="J93">
        <v>265.54511989999997</v>
      </c>
      <c r="K93">
        <v>266.30457689999997</v>
      </c>
      <c r="L93">
        <v>266.62124929999999</v>
      </c>
      <c r="M93">
        <v>266.57715610000002</v>
      </c>
      <c r="N93">
        <v>266.22589820000002</v>
      </c>
      <c r="O93">
        <v>265.60399560000002</v>
      </c>
      <c r="P93">
        <v>264.73760390000001</v>
      </c>
      <c r="Q93">
        <v>263.64644179999999</v>
      </c>
      <c r="R93">
        <v>262.34610190000001</v>
      </c>
      <c r="S93">
        <v>260.84943399999997</v>
      </c>
      <c r="T93">
        <v>259.16739999999999</v>
      </c>
      <c r="U93">
        <v>257.3096271</v>
      </c>
      <c r="V93">
        <v>255.28478509999999</v>
      </c>
      <c r="W93">
        <v>253.1008515</v>
      </c>
      <c r="X93">
        <v>250.76530170000001</v>
      </c>
      <c r="Y93">
        <v>248.28524379999999</v>
      </c>
      <c r="Z93">
        <v>245.6675114</v>
      </c>
      <c r="AA93">
        <v>242.91872570000001</v>
      </c>
      <c r="AB93">
        <v>240.0453321</v>
      </c>
      <c r="AC93">
        <v>237.0536214</v>
      </c>
      <c r="AD93">
        <v>233.94973820000001</v>
      </c>
      <c r="AE93">
        <v>230.73968339999999</v>
      </c>
      <c r="AF93">
        <v>227.4293132</v>
      </c>
      <c r="AG93">
        <v>224.02433819999999</v>
      </c>
      <c r="AH93">
        <v>220.53032260000001</v>
      </c>
      <c r="AI93">
        <v>216.9526874</v>
      </c>
      <c r="AJ93">
        <v>213.29671450000001</v>
      </c>
      <c r="AK93">
        <v>209.56755469999999</v>
      </c>
    </row>
    <row r="94" spans="1:37" x14ac:dyDescent="0.25">
      <c r="A94" t="s">
        <v>1928</v>
      </c>
      <c r="B94">
        <v>119.7902723</v>
      </c>
      <c r="C94">
        <v>134.1675396</v>
      </c>
      <c r="D94">
        <v>143.21188309999999</v>
      </c>
      <c r="E94">
        <v>148.599919</v>
      </c>
      <c r="F94">
        <v>151.55669750000001</v>
      </c>
      <c r="G94">
        <v>152.91812100000001</v>
      </c>
      <c r="H94">
        <v>153.2289107</v>
      </c>
      <c r="I94">
        <v>152.83366319999999</v>
      </c>
      <c r="J94">
        <v>151.94687450000001</v>
      </c>
      <c r="K94">
        <v>150.7016697</v>
      </c>
      <c r="L94">
        <v>149.1816594</v>
      </c>
      <c r="M94">
        <v>147.4408675</v>
      </c>
      <c r="N94">
        <v>145.51579079999999</v>
      </c>
      <c r="O94">
        <v>143.43251309999999</v>
      </c>
      <c r="P94">
        <v>141.21082860000001</v>
      </c>
      <c r="Q94">
        <v>138.86661000000001</v>
      </c>
      <c r="R94">
        <v>136.41318050000001</v>
      </c>
      <c r="S94">
        <v>133.86212739999999</v>
      </c>
      <c r="T94">
        <v>131.2238026</v>
      </c>
      <c r="U94">
        <v>128.5076483</v>
      </c>
      <c r="V94">
        <v>125.72241750000001</v>
      </c>
      <c r="W94">
        <v>122.87632859999999</v>
      </c>
      <c r="X94">
        <v>119.9771744</v>
      </c>
      <c r="Y94">
        <v>117.032397</v>
      </c>
      <c r="Z94">
        <v>114.0491384</v>
      </c>
      <c r="AA94">
        <v>111.0342708</v>
      </c>
      <c r="AB94">
        <v>107.994415</v>
      </c>
      <c r="AC94">
        <v>104.9359484</v>
      </c>
      <c r="AD94">
        <v>101.8650075</v>
      </c>
      <c r="AE94">
        <v>98.787487870000007</v>
      </c>
      <c r="AF94">
        <v>95.709042499999995</v>
      </c>
      <c r="AG94">
        <v>92.635080930000001</v>
      </c>
      <c r="AH94">
        <v>89.570769299999995</v>
      </c>
      <c r="AI94">
        <v>86.521031890000003</v>
      </c>
      <c r="AJ94">
        <v>83.490554119999999</v>
      </c>
      <c r="AK94">
        <v>80.483786749999993</v>
      </c>
    </row>
    <row r="95" spans="1:37" x14ac:dyDescent="0.25">
      <c r="A95" t="s">
        <v>1929</v>
      </c>
      <c r="B95">
        <v>57.932893</v>
      </c>
      <c r="C95">
        <v>63.771507409999998</v>
      </c>
      <c r="D95">
        <v>66.307034189999996</v>
      </c>
      <c r="E95">
        <v>66.694489480000001</v>
      </c>
      <c r="F95">
        <v>65.753401089999997</v>
      </c>
      <c r="G95">
        <v>64.018948850000001</v>
      </c>
      <c r="H95">
        <v>61.82402055</v>
      </c>
      <c r="I95">
        <v>59.370208980000001</v>
      </c>
      <c r="J95">
        <v>56.778536289999998</v>
      </c>
      <c r="K95">
        <v>54.122335409999998</v>
      </c>
      <c r="L95">
        <v>51.447307709999997</v>
      </c>
      <c r="M95">
        <v>48.783242450000003</v>
      </c>
      <c r="N95">
        <v>46.150647849999999</v>
      </c>
      <c r="O95">
        <v>43.564421629999998</v>
      </c>
      <c r="P95">
        <v>41.035861779999998</v>
      </c>
      <c r="Q95">
        <v>38.573779870000003</v>
      </c>
      <c r="R95">
        <v>36.185138690000002</v>
      </c>
      <c r="S95">
        <v>33.875441850000001</v>
      </c>
      <c r="T95">
        <v>31.64899093</v>
      </c>
      <c r="U95">
        <v>29.509069069999999</v>
      </c>
      <c r="V95">
        <v>27.4580801</v>
      </c>
      <c r="W95">
        <v>25.497658340000001</v>
      </c>
      <c r="X95">
        <v>23.62875738</v>
      </c>
      <c r="Y95">
        <v>21.85172386</v>
      </c>
      <c r="Z95">
        <v>20.16636008</v>
      </c>
      <c r="AA95">
        <v>18.571978900000001</v>
      </c>
      <c r="AB95">
        <v>17.067453319999998</v>
      </c>
      <c r="AC95">
        <v>15.65126236</v>
      </c>
      <c r="AD95">
        <v>14.321534590000001</v>
      </c>
      <c r="AE95">
        <v>13.07608991</v>
      </c>
      <c r="AF95">
        <v>11.912479940000001</v>
      </c>
      <c r="AG95">
        <v>10.82802699</v>
      </c>
      <c r="AH95">
        <v>9.8198616390000009</v>
      </c>
      <c r="AI95">
        <v>8.8849586869999992</v>
      </c>
      <c r="AJ95">
        <v>8.0201712119999993</v>
      </c>
      <c r="AK95">
        <v>7.2222626459999999</v>
      </c>
    </row>
    <row r="96" spans="1:37" x14ac:dyDescent="0.25">
      <c r="A96" t="s">
        <v>1930</v>
      </c>
      <c r="B96">
        <v>108.7643346</v>
      </c>
      <c r="C96">
        <v>117.9248407</v>
      </c>
      <c r="D96">
        <v>119.84184980000001</v>
      </c>
      <c r="E96">
        <v>117.313436</v>
      </c>
      <c r="F96">
        <v>112.2727798</v>
      </c>
      <c r="G96">
        <v>105.9366924</v>
      </c>
      <c r="H96">
        <v>99.029629439999994</v>
      </c>
      <c r="I96">
        <v>91.968223469999998</v>
      </c>
      <c r="J96">
        <v>84.987189270000002</v>
      </c>
      <c r="K96">
        <v>78.217351899999997</v>
      </c>
      <c r="L96">
        <v>71.731185400000001</v>
      </c>
      <c r="M96">
        <v>65.568314740000005</v>
      </c>
      <c r="N96">
        <v>59.74940891</v>
      </c>
      <c r="O96">
        <v>54.283658080000002</v>
      </c>
      <c r="P96">
        <v>49.17283733</v>
      </c>
      <c r="Q96">
        <v>44.413605799999999</v>
      </c>
      <c r="R96">
        <v>39.998906210000001</v>
      </c>
      <c r="S96">
        <v>35.91890059</v>
      </c>
      <c r="T96">
        <v>32.161652500000002</v>
      </c>
      <c r="U96">
        <v>28.713657130000001</v>
      </c>
      <c r="V96">
        <v>25.560269380000001</v>
      </c>
      <c r="W96">
        <v>22.68605595</v>
      </c>
      <c r="X96">
        <v>20.075088130000001</v>
      </c>
      <c r="Y96">
        <v>17.711186730000001</v>
      </c>
      <c r="Z96">
        <v>15.578127950000001</v>
      </c>
      <c r="AA96">
        <v>13.65981689</v>
      </c>
      <c r="AB96">
        <v>11.9404339</v>
      </c>
      <c r="AC96">
        <v>10.404557369999999</v>
      </c>
      <c r="AD96">
        <v>9.0372658829999999</v>
      </c>
      <c r="AE96">
        <v>7.8242217280000004</v>
      </c>
      <c r="AF96">
        <v>6.7517373369999998</v>
      </c>
      <c r="AG96">
        <v>5.8068261330000004</v>
      </c>
      <c r="AH96">
        <v>4.9772389869999998</v>
      </c>
      <c r="AI96">
        <v>4.2514875679999999</v>
      </c>
      <c r="AJ96">
        <v>3.6188558409999998</v>
      </c>
      <c r="AK96">
        <v>3.0694010230000002</v>
      </c>
    </row>
    <row r="97" spans="1:37" x14ac:dyDescent="0.25">
      <c r="A97" t="s">
        <v>1931</v>
      </c>
      <c r="B97">
        <v>4.8854001</v>
      </c>
      <c r="C97">
        <v>5.5417375089999998</v>
      </c>
      <c r="D97">
        <v>6.0318007280000003</v>
      </c>
      <c r="E97">
        <v>6.4067081200000002</v>
      </c>
      <c r="F97">
        <v>6.704687946</v>
      </c>
      <c r="G97">
        <v>6.95273553</v>
      </c>
      <c r="H97">
        <v>7.1690294769999996</v>
      </c>
      <c r="I97">
        <v>7.365414951</v>
      </c>
      <c r="J97">
        <v>7.5494651829999997</v>
      </c>
      <c r="K97">
        <v>7.7259937680000004</v>
      </c>
      <c r="L97">
        <v>7.8980818519999998</v>
      </c>
      <c r="M97">
        <v>8.0677414909999996</v>
      </c>
      <c r="N97">
        <v>8.2363301260000004</v>
      </c>
      <c r="O97">
        <v>8.404804231</v>
      </c>
      <c r="P97">
        <v>8.5738742800000001</v>
      </c>
      <c r="Q97">
        <v>8.744098868</v>
      </c>
      <c r="R97">
        <v>8.9159439500000008</v>
      </c>
      <c r="S97">
        <v>9.0898212899999997</v>
      </c>
      <c r="T97">
        <v>9.2661145440000006</v>
      </c>
      <c r="U97">
        <v>9.4451975600000004</v>
      </c>
      <c r="V97">
        <v>9.6274477199999993</v>
      </c>
      <c r="W97">
        <v>9.8132561319999994</v>
      </c>
      <c r="X97">
        <v>10.0030357</v>
      </c>
      <c r="Y97">
        <v>10.19722771</v>
      </c>
      <c r="Z97">
        <v>10.3963073</v>
      </c>
      <c r="AA97">
        <v>10.60078822</v>
      </c>
      <c r="AB97">
        <v>10.811226899999999</v>
      </c>
      <c r="AC97">
        <v>11.02822636</v>
      </c>
      <c r="AD97">
        <v>11.25243985</v>
      </c>
      <c r="AE97">
        <v>11.484574609999999</v>
      </c>
      <c r="AF97">
        <v>11.72539581</v>
      </c>
      <c r="AG97">
        <v>11.97573077</v>
      </c>
      <c r="AH97">
        <v>12.236473670000001</v>
      </c>
      <c r="AI97">
        <v>12.50859075</v>
      </c>
      <c r="AJ97">
        <v>12.79312612</v>
      </c>
      <c r="AK97">
        <v>13.091208290000001</v>
      </c>
    </row>
    <row r="98" spans="1:37" x14ac:dyDescent="0.25">
      <c r="A98" t="s">
        <v>1932</v>
      </c>
      <c r="B98">
        <v>4.6902603999999997</v>
      </c>
      <c r="C98">
        <v>5.3141672460000002</v>
      </c>
      <c r="D98">
        <v>5.7739232359999999</v>
      </c>
      <c r="E98">
        <v>6.1202040450000004</v>
      </c>
      <c r="F98">
        <v>6.390769959</v>
      </c>
      <c r="G98">
        <v>6.612117188</v>
      </c>
      <c r="H98">
        <v>6.8019618810000004</v>
      </c>
      <c r="I98">
        <v>6.9717637840000002</v>
      </c>
      <c r="J98">
        <v>7.1287959460000003</v>
      </c>
      <c r="K98">
        <v>7.2776468520000002</v>
      </c>
      <c r="L98">
        <v>7.4212308120000001</v>
      </c>
      <c r="M98">
        <v>7.5614345289999996</v>
      </c>
      <c r="N98">
        <v>7.6995176040000004</v>
      </c>
      <c r="O98">
        <v>7.8363557679999998</v>
      </c>
      <c r="P98">
        <v>7.9725884459999996</v>
      </c>
      <c r="Q98">
        <v>8.1087080149999995</v>
      </c>
      <c r="R98">
        <v>8.2451158000000007</v>
      </c>
      <c r="S98">
        <v>8.3821583799999999</v>
      </c>
      <c r="T98">
        <v>8.5201521739999997</v>
      </c>
      <c r="U98">
        <v>8.6594005809999999</v>
      </c>
      <c r="V98">
        <v>8.8002063249999996</v>
      </c>
      <c r="W98">
        <v>8.9428807050000003</v>
      </c>
      <c r="X98">
        <v>9.0877507069999997</v>
      </c>
      <c r="Y98">
        <v>9.2351645930000004</v>
      </c>
      <c r="Z98">
        <v>9.3854963310000006</v>
      </c>
      <c r="AA98">
        <v>9.5391491730000002</v>
      </c>
      <c r="AB98">
        <v>9.6965585920000006</v>
      </c>
      <c r="AC98">
        <v>9.8581948090000004</v>
      </c>
      <c r="AD98">
        <v>10.02456507</v>
      </c>
      <c r="AE98">
        <v>10.19621585</v>
      </c>
      <c r="AF98">
        <v>10.373735099999999</v>
      </c>
      <c r="AG98">
        <v>10.55775465</v>
      </c>
      <c r="AH98">
        <v>10.74895285</v>
      </c>
      <c r="AI98">
        <v>10.948057520000001</v>
      </c>
      <c r="AJ98">
        <v>11.15584928</v>
      </c>
      <c r="AK98">
        <v>11.37316521</v>
      </c>
    </row>
    <row r="99" spans="1:37" x14ac:dyDescent="0.25">
      <c r="A99" t="s">
        <v>1933</v>
      </c>
      <c r="B99">
        <v>3.246572</v>
      </c>
      <c r="C99">
        <v>3.6741607209999998</v>
      </c>
      <c r="D99">
        <v>3.985040852</v>
      </c>
      <c r="E99">
        <v>4.215406786</v>
      </c>
      <c r="F99">
        <v>4.3921338710000004</v>
      </c>
      <c r="G99">
        <v>4.5339664730000004</v>
      </c>
      <c r="H99">
        <v>4.6533530870000002</v>
      </c>
      <c r="I99">
        <v>4.7582905110000002</v>
      </c>
      <c r="J99">
        <v>4.8538192130000004</v>
      </c>
      <c r="K99">
        <v>4.9430977260000004</v>
      </c>
      <c r="L99">
        <v>5.0281186770000001</v>
      </c>
      <c r="M99">
        <v>5.1101629969999998</v>
      </c>
      <c r="N99">
        <v>5.1900789439999997</v>
      </c>
      <c r="O99">
        <v>5.268450348</v>
      </c>
      <c r="P99">
        <v>5.3456978929999996</v>
      </c>
      <c r="Q99">
        <v>5.4221402220000003</v>
      </c>
      <c r="R99">
        <v>5.4980320989999996</v>
      </c>
      <c r="S99">
        <v>5.5735891390000001</v>
      </c>
      <c r="T99">
        <v>5.6490045139999996</v>
      </c>
      <c r="U99">
        <v>5.7244605389999998</v>
      </c>
      <c r="V99">
        <v>5.8001369179999998</v>
      </c>
      <c r="W99">
        <v>5.8762168060000004</v>
      </c>
      <c r="X99">
        <v>5.9528913379999997</v>
      </c>
      <c r="Y99">
        <v>6.0303630559999997</v>
      </c>
      <c r="Z99">
        <v>6.1088484730000001</v>
      </c>
      <c r="AA99">
        <v>6.1885799949999996</v>
      </c>
      <c r="AB99">
        <v>6.2698073489999997</v>
      </c>
      <c r="AC99">
        <v>6.3527986749999998</v>
      </c>
      <c r="AD99">
        <v>6.4378413950000004</v>
      </c>
      <c r="AE99">
        <v>6.5252429709999999</v>
      </c>
      <c r="AF99">
        <v>6.6153316350000004</v>
      </c>
      <c r="AG99">
        <v>6.7084571510000002</v>
      </c>
      <c r="AH99">
        <v>6.8049916709999998</v>
      </c>
      <c r="AI99">
        <v>6.9053307029999997</v>
      </c>
      <c r="AJ99">
        <v>7.0098942400000004</v>
      </c>
      <c r="AK99">
        <v>7.1191280270000004</v>
      </c>
    </row>
    <row r="100" spans="1:37" x14ac:dyDescent="0.25">
      <c r="A100" t="s">
        <v>1934</v>
      </c>
      <c r="B100">
        <v>1.7994298</v>
      </c>
      <c r="C100">
        <v>2.0253384040000002</v>
      </c>
      <c r="D100">
        <v>2.1782907890000001</v>
      </c>
      <c r="E100">
        <v>2.2809357260000001</v>
      </c>
      <c r="F100">
        <v>2.349933112</v>
      </c>
      <c r="G100">
        <v>2.3967535899999999</v>
      </c>
      <c r="H100">
        <v>2.4289281410000001</v>
      </c>
      <c r="I100">
        <v>2.451246169</v>
      </c>
      <c r="J100">
        <v>2.4666971549999999</v>
      </c>
      <c r="K100">
        <v>2.4771350679999999</v>
      </c>
      <c r="L100">
        <v>2.4837166389999998</v>
      </c>
      <c r="M100">
        <v>2.4871775180000002</v>
      </c>
      <c r="N100">
        <v>2.4880007370000001</v>
      </c>
      <c r="O100">
        <v>2.4865171739999998</v>
      </c>
      <c r="P100">
        <v>2.4829648199999999</v>
      </c>
      <c r="Q100">
        <v>2.4775235430000002</v>
      </c>
      <c r="R100">
        <v>2.470335876</v>
      </c>
      <c r="S100">
        <v>2.461519784</v>
      </c>
      <c r="T100">
        <v>2.4511767899999999</v>
      </c>
      <c r="U100">
        <v>2.4393973569999998</v>
      </c>
      <c r="V100">
        <v>2.4262645389999999</v>
      </c>
      <c r="W100">
        <v>2.4118565479999998</v>
      </c>
      <c r="X100">
        <v>2.3962485290000002</v>
      </c>
      <c r="Y100">
        <v>2.3795137770000001</v>
      </c>
      <c r="Z100">
        <v>2.3617245229999999</v>
      </c>
      <c r="AA100">
        <v>2.3429523790000002</v>
      </c>
      <c r="AB100">
        <v>2.3232685449999999</v>
      </c>
      <c r="AC100">
        <v>2.3027438409999998</v>
      </c>
      <c r="AD100">
        <v>2.281448621</v>
      </c>
      <c r="AE100">
        <v>2.2594526250000002</v>
      </c>
      <c r="AF100">
        <v>2.2368247979999998</v>
      </c>
      <c r="AG100">
        <v>2.2136331149999999</v>
      </c>
      <c r="AH100">
        <v>2.1899444039999998</v>
      </c>
      <c r="AI100">
        <v>2.1658242140000001</v>
      </c>
      <c r="AJ100">
        <v>2.1413366960000002</v>
      </c>
      <c r="AK100">
        <v>2.1165445169999999</v>
      </c>
    </row>
    <row r="101" spans="1:37" x14ac:dyDescent="0.25">
      <c r="A101" t="s">
        <v>1935</v>
      </c>
      <c r="B101">
        <v>1.1069429</v>
      </c>
      <c r="C101">
        <v>1.239853415</v>
      </c>
      <c r="D101">
        <v>1.323680945</v>
      </c>
      <c r="E101">
        <v>1.3740546629999999</v>
      </c>
      <c r="F101">
        <v>1.4023552800000001</v>
      </c>
      <c r="G101">
        <v>1.416291113</v>
      </c>
      <c r="H101">
        <v>1.4208362919999999</v>
      </c>
      <c r="I101">
        <v>1.4191046329999999</v>
      </c>
      <c r="J101">
        <v>1.4130160089999999</v>
      </c>
      <c r="K101">
        <v>1.4037535969999999</v>
      </c>
      <c r="L101">
        <v>1.392057707</v>
      </c>
      <c r="M101">
        <v>1.378406325</v>
      </c>
      <c r="N101">
        <v>1.36312258</v>
      </c>
      <c r="O101">
        <v>1.346437366</v>
      </c>
      <c r="P101">
        <v>1.3285254550000001</v>
      </c>
      <c r="Q101">
        <v>1.3095263420000001</v>
      </c>
      <c r="R101">
        <v>1.2895565259999999</v>
      </c>
      <c r="S101">
        <v>1.268716996</v>
      </c>
      <c r="T101">
        <v>1.247097986</v>
      </c>
      <c r="U101">
        <v>1.2247820869999999</v>
      </c>
      <c r="V101">
        <v>1.2018463530000001</v>
      </c>
      <c r="W101">
        <v>1.1783637259999999</v>
      </c>
      <c r="X101">
        <v>1.1544039960000001</v>
      </c>
      <c r="Y101">
        <v>1.130034411</v>
      </c>
      <c r="Z101">
        <v>1.105320036</v>
      </c>
      <c r="AA101">
        <v>1.0803239069999999</v>
      </c>
      <c r="AB101">
        <v>1.05510707</v>
      </c>
      <c r="AC101">
        <v>1.029728516</v>
      </c>
      <c r="AD101">
        <v>1.00424508</v>
      </c>
      <c r="AE101">
        <v>0.97871131050000004</v>
      </c>
      <c r="AF101">
        <v>0.95317934530000004</v>
      </c>
      <c r="AG101">
        <v>0.92769879769999997</v>
      </c>
      <c r="AH101">
        <v>0.90231666529999999</v>
      </c>
      <c r="AI101">
        <v>0.8770772644</v>
      </c>
      <c r="AJ101">
        <v>0.85202218900000004</v>
      </c>
      <c r="AK101">
        <v>0.8271902927</v>
      </c>
    </row>
    <row r="102" spans="1:37" x14ac:dyDescent="0.25">
      <c r="A102" t="s">
        <v>1936</v>
      </c>
      <c r="B102">
        <v>0.53533900000000001</v>
      </c>
      <c r="C102">
        <v>0.5893110828</v>
      </c>
      <c r="D102">
        <v>0.61282441980000002</v>
      </c>
      <c r="E102">
        <v>0.61658713320000003</v>
      </c>
      <c r="F102">
        <v>0.6081774875</v>
      </c>
      <c r="G102">
        <v>0.59252181169999996</v>
      </c>
      <c r="H102">
        <v>0.57266692090000004</v>
      </c>
      <c r="I102">
        <v>0.55044725279999995</v>
      </c>
      <c r="J102">
        <v>0.52695879830000003</v>
      </c>
      <c r="K102">
        <v>0.50286382620000003</v>
      </c>
      <c r="L102">
        <v>0.47857500949999998</v>
      </c>
      <c r="M102">
        <v>0.45436196159999998</v>
      </c>
      <c r="N102">
        <v>0.430410986</v>
      </c>
      <c r="O102">
        <v>0.40685793790000002</v>
      </c>
      <c r="P102">
        <v>0.38380618840000003</v>
      </c>
      <c r="Q102">
        <v>0.36133660169999998</v>
      </c>
      <c r="R102">
        <v>0.3395133011</v>
      </c>
      <c r="S102">
        <v>0.31838722959999999</v>
      </c>
      <c r="T102">
        <v>0.29799851620000001</v>
      </c>
      <c r="U102">
        <v>0.27837815589999998</v>
      </c>
      <c r="V102">
        <v>0.25954926810000001</v>
      </c>
      <c r="W102">
        <v>0.24152807370000001</v>
      </c>
      <c r="X102">
        <v>0.22432467549999999</v>
      </c>
      <c r="Y102">
        <v>0.20794369679999999</v>
      </c>
      <c r="Z102">
        <v>0.19238482160000001</v>
      </c>
      <c r="AA102">
        <v>0.17764326599999999</v>
      </c>
      <c r="AB102">
        <v>0.163710206</v>
      </c>
      <c r="AC102">
        <v>0.15057317680000001</v>
      </c>
      <c r="AD102">
        <v>0.1382164562</v>
      </c>
      <c r="AE102">
        <v>0.1266214363</v>
      </c>
      <c r="AF102">
        <v>0.1157669871</v>
      </c>
      <c r="AG102">
        <v>0.1056298111</v>
      </c>
      <c r="AH102">
        <v>9.6184787899999999E-2</v>
      </c>
      <c r="AI102">
        <v>8.7405305000000003E-2</v>
      </c>
      <c r="AJ102">
        <v>7.9263574899999995E-2</v>
      </c>
      <c r="AK102">
        <v>7.1730932400000003E-2</v>
      </c>
    </row>
    <row r="103" spans="1:37" x14ac:dyDescent="0.25">
      <c r="A103" t="s">
        <v>1937</v>
      </c>
      <c r="B103">
        <v>1.0050558000000001</v>
      </c>
      <c r="C103">
        <v>1.0897478890000001</v>
      </c>
      <c r="D103">
        <v>1.10764266</v>
      </c>
      <c r="E103">
        <v>1.084658374</v>
      </c>
      <c r="F103">
        <v>1.0386500750000001</v>
      </c>
      <c r="G103">
        <v>0.98080334359999999</v>
      </c>
      <c r="H103">
        <v>0.91774014049999997</v>
      </c>
      <c r="I103">
        <v>0.85324779309999998</v>
      </c>
      <c r="J103">
        <v>0.78945111030000004</v>
      </c>
      <c r="K103">
        <v>0.72753266760000002</v>
      </c>
      <c r="L103">
        <v>0.66814920509999998</v>
      </c>
      <c r="M103">
        <v>0.61166259769999998</v>
      </c>
      <c r="N103">
        <v>0.55826463120000003</v>
      </c>
      <c r="O103">
        <v>0.50804377440000004</v>
      </c>
      <c r="P103">
        <v>0.4610214165</v>
      </c>
      <c r="Q103">
        <v>0.41717243970000001</v>
      </c>
      <c r="R103">
        <v>0.37643782679999999</v>
      </c>
      <c r="S103">
        <v>0.33873313820000001</v>
      </c>
      <c r="T103">
        <v>0.3039546984</v>
      </c>
      <c r="U103">
        <v>0.27198438349999998</v>
      </c>
      <c r="V103">
        <v>0.2426934627</v>
      </c>
      <c r="W103">
        <v>0.2159457451</v>
      </c>
      <c r="X103">
        <v>0.19160019289999999</v>
      </c>
      <c r="Y103">
        <v>0.1695131081</v>
      </c>
      <c r="Z103">
        <v>0.14953997860000001</v>
      </c>
      <c r="AA103">
        <v>0.1315370431</v>
      </c>
      <c r="AB103">
        <v>0.1153626219</v>
      </c>
      <c r="AC103">
        <v>0.10087824519999999</v>
      </c>
      <c r="AD103">
        <v>8.7949602000000002E-2</v>
      </c>
      <c r="AE103">
        <v>7.6447326699999998E-2</v>
      </c>
      <c r="AF103">
        <v>6.6247633700000003E-2</v>
      </c>
      <c r="AG103">
        <v>5.7232814399999998E-2</v>
      </c>
      <c r="AH103">
        <v>4.9291601499999997E-2</v>
      </c>
      <c r="AI103">
        <v>4.2319416200000001E-2</v>
      </c>
      <c r="AJ103">
        <v>3.6218503700000002E-2</v>
      </c>
      <c r="AK103">
        <v>3.0897972499999999E-2</v>
      </c>
    </row>
    <row r="104" spans="1:37" x14ac:dyDescent="0.25">
      <c r="A104" t="s">
        <v>1938</v>
      </c>
      <c r="B104">
        <v>4.4415299999999998E-2</v>
      </c>
      <c r="C104">
        <v>5.0379111499999997E-2</v>
      </c>
      <c r="D104">
        <v>5.48189106E-2</v>
      </c>
      <c r="E104">
        <v>5.8189587799999998E-2</v>
      </c>
      <c r="F104">
        <v>6.0832658800000002E-2</v>
      </c>
      <c r="G104">
        <v>6.2992061799999999E-2</v>
      </c>
      <c r="H104">
        <v>6.4834579899999994E-2</v>
      </c>
      <c r="I104">
        <v>6.6470542399999999E-2</v>
      </c>
      <c r="J104">
        <v>6.7971274700000001E-2</v>
      </c>
      <c r="K104">
        <v>6.9382252199999994E-2</v>
      </c>
      <c r="L104">
        <v>7.0732332100000003E-2</v>
      </c>
      <c r="M104">
        <v>7.20399226E-2</v>
      </c>
      <c r="N104">
        <v>7.3316956399999994E-2</v>
      </c>
      <c r="O104">
        <v>7.4571379699999996E-2</v>
      </c>
      <c r="P104">
        <v>7.5808682700000005E-2</v>
      </c>
      <c r="Q104">
        <v>7.7032819700000005E-2</v>
      </c>
      <c r="R104">
        <v>7.8246765800000007E-2</v>
      </c>
      <c r="S104">
        <v>7.9452853700000006E-2</v>
      </c>
      <c r="T104">
        <v>8.0652981900000004E-2</v>
      </c>
      <c r="U104">
        <v>8.1848748200000002E-2</v>
      </c>
      <c r="V104">
        <v>8.3041539299999995E-2</v>
      </c>
      <c r="W104">
        <v>8.4232592800000006E-2</v>
      </c>
      <c r="X104">
        <v>8.5423042300000002E-2</v>
      </c>
      <c r="Y104">
        <v>8.6613948499999996E-2</v>
      </c>
      <c r="Z104">
        <v>8.78063226E-2</v>
      </c>
      <c r="AA104">
        <v>8.9001140500000006E-2</v>
      </c>
      <c r="AB104">
        <v>9.0199352400000002E-2</v>
      </c>
      <c r="AC104">
        <v>9.1401887200000004E-2</v>
      </c>
      <c r="AD104">
        <v>9.2609653700000003E-2</v>
      </c>
      <c r="AE104">
        <v>9.3823539299999995E-2</v>
      </c>
      <c r="AF104">
        <v>9.5044407299999994E-2</v>
      </c>
      <c r="AG104">
        <v>9.6273093700000006E-2</v>
      </c>
      <c r="AH104">
        <v>9.7510402800000007E-2</v>
      </c>
      <c r="AI104">
        <v>9.8757104600000006E-2</v>
      </c>
      <c r="AJ104">
        <v>0.1000139306</v>
      </c>
      <c r="AK104">
        <v>0.1012815723</v>
      </c>
    </row>
    <row r="105" spans="1:37" x14ac:dyDescent="0.25">
      <c r="A105" t="s">
        <v>1939</v>
      </c>
      <c r="B105">
        <v>4.2641199999999997E-2</v>
      </c>
      <c r="C105">
        <v>4.8309953900000001E-2</v>
      </c>
      <c r="D105">
        <v>5.24733015E-2</v>
      </c>
      <c r="E105">
        <v>5.5581685999999998E-2</v>
      </c>
      <c r="F105">
        <v>5.7972236400000002E-2</v>
      </c>
      <c r="G105">
        <v>5.9884492900000003E-2</v>
      </c>
      <c r="H105">
        <v>6.14813216E-2</v>
      </c>
      <c r="I105">
        <v>6.2869872100000002E-2</v>
      </c>
      <c r="J105">
        <v>6.4119042500000001E-2</v>
      </c>
      <c r="K105">
        <v>6.5272523799999996E-2</v>
      </c>
      <c r="L105">
        <v>6.6357886800000002E-2</v>
      </c>
      <c r="M105">
        <v>6.7392611800000002E-2</v>
      </c>
      <c r="N105">
        <v>6.8387950399999994E-2</v>
      </c>
      <c r="O105">
        <v>6.9351329200000006E-2</v>
      </c>
      <c r="P105">
        <v>7.0287820400000006E-2</v>
      </c>
      <c r="Q105">
        <v>7.12010213E-2</v>
      </c>
      <c r="R105">
        <v>7.2093584200000005E-2</v>
      </c>
      <c r="S105">
        <v>7.2967536299999997E-2</v>
      </c>
      <c r="T105">
        <v>7.3824477599999994E-2</v>
      </c>
      <c r="U105">
        <v>7.4665706999999998E-2</v>
      </c>
      <c r="V105">
        <v>7.5492307999999994E-2</v>
      </c>
      <c r="W105">
        <v>7.6305207599999994E-2</v>
      </c>
      <c r="X105">
        <v>7.7105218700000006E-2</v>
      </c>
      <c r="Y105">
        <v>7.7893070300000006E-2</v>
      </c>
      <c r="Z105">
        <v>7.8669428499999999E-2</v>
      </c>
      <c r="AA105">
        <v>7.94349107E-2</v>
      </c>
      <c r="AB105">
        <v>8.0190093399999995E-2</v>
      </c>
      <c r="AC105">
        <v>8.0935516700000001E-2</v>
      </c>
      <c r="AD105">
        <v>8.1671684699999997E-2</v>
      </c>
      <c r="AE105">
        <v>8.2399064499999994E-2</v>
      </c>
      <c r="AF105">
        <v>8.3118083600000003E-2</v>
      </c>
      <c r="AG105">
        <v>8.3829126300000001E-2</v>
      </c>
      <c r="AH105">
        <v>8.4532530800000005E-2</v>
      </c>
      <c r="AI105">
        <v>8.5228585900000001E-2</v>
      </c>
      <c r="AJ105">
        <v>8.5917528399999998E-2</v>
      </c>
      <c r="AK105">
        <v>8.6599541399999994E-2</v>
      </c>
    </row>
    <row r="106" spans="1:37" x14ac:dyDescent="0.25">
      <c r="A106" t="s">
        <v>1940</v>
      </c>
      <c r="B106">
        <v>2.9516000000000001E-2</v>
      </c>
      <c r="C106">
        <v>3.3400811099999997E-2</v>
      </c>
      <c r="D106">
        <v>3.6214816900000002E-2</v>
      </c>
      <c r="E106">
        <v>3.82794547E-2</v>
      </c>
      <c r="F106">
        <v>3.9834578400000001E-2</v>
      </c>
      <c r="G106">
        <v>4.10497534E-2</v>
      </c>
      <c r="H106">
        <v>4.20396585E-2</v>
      </c>
      <c r="I106">
        <v>4.2879355500000001E-2</v>
      </c>
      <c r="J106">
        <v>4.36168761E-2</v>
      </c>
      <c r="K106">
        <v>4.4282542299999998E-2</v>
      </c>
      <c r="L106">
        <v>4.4895409400000003E-2</v>
      </c>
      <c r="M106">
        <v>4.54675155E-2</v>
      </c>
      <c r="N106">
        <v>4.6006584599999997E-2</v>
      </c>
      <c r="O106">
        <v>4.6517701000000002E-2</v>
      </c>
      <c r="P106">
        <v>4.7004327300000003E-2</v>
      </c>
      <c r="Q106">
        <v>4.7468910400000001E-2</v>
      </c>
      <c r="R106">
        <v>4.7913245200000003E-2</v>
      </c>
      <c r="S106">
        <v>4.8338694299999999E-2</v>
      </c>
      <c r="T106">
        <v>4.8746322199999997E-2</v>
      </c>
      <c r="U106">
        <v>4.9136983299999999E-2</v>
      </c>
      <c r="V106">
        <v>4.9511379299999998E-2</v>
      </c>
      <c r="W106">
        <v>4.9870101100000001E-2</v>
      </c>
      <c r="X106">
        <v>5.02136569E-2</v>
      </c>
      <c r="Y106">
        <v>5.0542494100000002E-2</v>
      </c>
      <c r="Z106">
        <v>5.0857013200000002E-2</v>
      </c>
      <c r="AA106">
        <v>5.1157577400000001E-2</v>
      </c>
      <c r="AB106">
        <v>5.1444518799999998E-2</v>
      </c>
      <c r="AC106">
        <v>5.1718141099999997E-2</v>
      </c>
      <c r="AD106">
        <v>5.19787201E-2</v>
      </c>
      <c r="AE106">
        <v>5.2226503700000003E-2</v>
      </c>
      <c r="AF106">
        <v>5.2461710100000003E-2</v>
      </c>
      <c r="AG106">
        <v>5.2684526199999998E-2</v>
      </c>
      <c r="AH106">
        <v>5.28951062E-2</v>
      </c>
      <c r="AI106">
        <v>5.30935695E-2</v>
      </c>
      <c r="AJ106">
        <v>5.3280000500000001E-2</v>
      </c>
      <c r="AK106">
        <v>5.3454447500000002E-2</v>
      </c>
    </row>
    <row r="107" spans="1:37" x14ac:dyDescent="0.25">
      <c r="A107" t="s">
        <v>1941</v>
      </c>
      <c r="B107">
        <v>1.63594E-2</v>
      </c>
      <c r="C107">
        <v>1.8412561800000001E-2</v>
      </c>
      <c r="D107">
        <v>1.98000126E-2</v>
      </c>
      <c r="E107">
        <v>2.07258949E-2</v>
      </c>
      <c r="F107">
        <v>2.1340775499999999E-2</v>
      </c>
      <c r="G107">
        <v>2.1748976199999999E-2</v>
      </c>
      <c r="H107">
        <v>2.2019564200000001E-2</v>
      </c>
      <c r="I107">
        <v>2.21968515E-2</v>
      </c>
      <c r="J107">
        <v>2.23087098E-2</v>
      </c>
      <c r="K107">
        <v>2.23725125E-2</v>
      </c>
      <c r="L107">
        <v>2.23991165E-2</v>
      </c>
      <c r="M107">
        <v>2.2395412199999999E-2</v>
      </c>
      <c r="N107">
        <v>2.2365902699999999E-2</v>
      </c>
      <c r="O107">
        <v>2.2313656000000001E-2</v>
      </c>
      <c r="P107">
        <v>2.2240869600000001E-2</v>
      </c>
      <c r="Q107">
        <v>2.2149200000000001E-2</v>
      </c>
      <c r="R107">
        <v>2.20399571E-2</v>
      </c>
      <c r="S107">
        <v>2.1914220599999999E-2</v>
      </c>
      <c r="T107">
        <v>2.1772911200000002E-2</v>
      </c>
      <c r="U107">
        <v>2.1616837900000001E-2</v>
      </c>
      <c r="V107">
        <v>2.14467289E-2</v>
      </c>
      <c r="W107">
        <v>2.1263254400000001E-2</v>
      </c>
      <c r="X107">
        <v>2.1067042599999999E-2</v>
      </c>
      <c r="Y107">
        <v>2.0858690400000001E-2</v>
      </c>
      <c r="Z107">
        <v>2.0638772100000001E-2</v>
      </c>
      <c r="AA107">
        <v>2.04078439E-2</v>
      </c>
      <c r="AB107">
        <v>2.0166447300000001E-2</v>
      </c>
      <c r="AC107">
        <v>1.9915110699999999E-2</v>
      </c>
      <c r="AD107">
        <v>1.9654350399999999E-2</v>
      </c>
      <c r="AE107">
        <v>1.9384670499999999E-2</v>
      </c>
      <c r="AF107">
        <v>1.9106563E-2</v>
      </c>
      <c r="AG107">
        <v>1.8820507600000001E-2</v>
      </c>
      <c r="AH107">
        <v>1.8526971900000001E-2</v>
      </c>
      <c r="AI107">
        <v>1.8226411200000001E-2</v>
      </c>
      <c r="AJ107">
        <v>1.7919269299999999E-2</v>
      </c>
      <c r="AK107">
        <v>1.7605978800000002E-2</v>
      </c>
    </row>
    <row r="108" spans="1:37" x14ac:dyDescent="0.25">
      <c r="A108" t="s">
        <v>1942</v>
      </c>
      <c r="B108">
        <v>1.00637E-2</v>
      </c>
      <c r="C108">
        <v>1.1271548500000001E-2</v>
      </c>
      <c r="D108">
        <v>1.2031372800000001E-2</v>
      </c>
      <c r="E108">
        <v>1.24840271E-2</v>
      </c>
      <c r="F108">
        <v>1.2732429E-2</v>
      </c>
      <c r="G108">
        <v>1.28468035E-2</v>
      </c>
      <c r="H108">
        <v>1.28729133E-2</v>
      </c>
      <c r="I108">
        <v>1.2839708199999999E-2</v>
      </c>
      <c r="J108">
        <v>1.2765208199999999E-2</v>
      </c>
      <c r="K108">
        <v>1.26605973E-2</v>
      </c>
      <c r="L108">
        <v>1.2532899700000001E-2</v>
      </c>
      <c r="M108">
        <v>1.2386654E-2</v>
      </c>
      <c r="N108">
        <v>1.2224926400000001E-2</v>
      </c>
      <c r="O108">
        <v>1.2049908200000001E-2</v>
      </c>
      <c r="P108">
        <v>1.18632623E-2</v>
      </c>
      <c r="Q108">
        <v>1.1666322099999999E-2</v>
      </c>
      <c r="R108">
        <v>1.14602071E-2</v>
      </c>
      <c r="S108">
        <v>1.1245890499999999E-2</v>
      </c>
      <c r="T108">
        <v>1.1024242300000001E-2</v>
      </c>
      <c r="U108">
        <v>1.0796055400000001E-2</v>
      </c>
      <c r="V108">
        <v>1.0562065400000001E-2</v>
      </c>
      <c r="W108">
        <v>1.03229627E-2</v>
      </c>
      <c r="X108">
        <v>1.00794018E-2</v>
      </c>
      <c r="Y108">
        <v>9.8320081600000008E-3</v>
      </c>
      <c r="Z108">
        <v>9.5813816199999992E-3</v>
      </c>
      <c r="AA108">
        <v>9.3280996000000005E-3</v>
      </c>
      <c r="AB108">
        <v>9.0727182900000002E-3</v>
      </c>
      <c r="AC108">
        <v>8.8157734600000006E-3</v>
      </c>
      <c r="AD108">
        <v>8.55778066E-3</v>
      </c>
      <c r="AE108">
        <v>8.2992351799999996E-3</v>
      </c>
      <c r="AF108">
        <v>8.0406119199999994E-3</v>
      </c>
      <c r="AG108">
        <v>7.7823653499999998E-3</v>
      </c>
      <c r="AH108">
        <v>7.5249294800000003E-3</v>
      </c>
      <c r="AI108">
        <v>7.2687180000000004E-3</v>
      </c>
      <c r="AJ108">
        <v>7.0141245499999996E-3</v>
      </c>
      <c r="AK108">
        <v>6.7615230300000001E-3</v>
      </c>
    </row>
    <row r="109" spans="1:37" x14ac:dyDescent="0.25">
      <c r="A109" t="s">
        <v>1943</v>
      </c>
      <c r="B109">
        <v>4.8669999999999998E-3</v>
      </c>
      <c r="C109">
        <v>5.3575078100000003E-3</v>
      </c>
      <c r="D109">
        <v>5.5705199400000001E-3</v>
      </c>
      <c r="E109">
        <v>5.6030704399999999E-3</v>
      </c>
      <c r="F109">
        <v>5.5240086700000003E-3</v>
      </c>
      <c r="G109">
        <v>5.3782956100000001E-3</v>
      </c>
      <c r="H109">
        <v>5.1938975E-3</v>
      </c>
      <c r="I109">
        <v>4.9877503500000003E-3</v>
      </c>
      <c r="J109">
        <v>4.7700213399999997E-3</v>
      </c>
      <c r="K109">
        <v>4.5468712599999999E-3</v>
      </c>
      <c r="L109">
        <v>4.3221395299999996E-3</v>
      </c>
      <c r="M109">
        <v>4.0983287499999996E-3</v>
      </c>
      <c r="N109">
        <v>3.8771618600000001E-3</v>
      </c>
      <c r="O109">
        <v>3.6598904199999999E-3</v>
      </c>
      <c r="P109">
        <v>3.4474635899999998E-3</v>
      </c>
      <c r="Q109">
        <v>3.24062164E-3</v>
      </c>
      <c r="R109">
        <v>3.0399495200000002E-3</v>
      </c>
      <c r="S109">
        <v>2.84590959E-3</v>
      </c>
      <c r="T109">
        <v>2.65886323E-3</v>
      </c>
      <c r="U109">
        <v>2.47908626E-3</v>
      </c>
      <c r="V109">
        <v>2.3067806400000001E-3</v>
      </c>
      <c r="W109">
        <v>2.1420836499999999E-3</v>
      </c>
      <c r="X109">
        <v>1.9850754199999998E-3</v>
      </c>
      <c r="Y109">
        <v>1.8357850700000001E-3</v>
      </c>
      <c r="Z109">
        <v>1.6941959800000001E-3</v>
      </c>
      <c r="AA109">
        <v>1.56025043E-3</v>
      </c>
      <c r="AB109">
        <v>1.43385374E-3</v>
      </c>
      <c r="AC109">
        <v>1.3148781299999999E-3</v>
      </c>
      <c r="AD109">
        <v>1.2031663699999999E-3</v>
      </c>
      <c r="AE109">
        <v>1.0985353300000001E-3</v>
      </c>
      <c r="AF109">
        <v>1.0007792999999999E-3</v>
      </c>
      <c r="AG109">
        <v>9.0967332399999996E-4</v>
      </c>
      <c r="AH109">
        <v>8.2497634999999995E-4</v>
      </c>
      <c r="AI109">
        <v>7.4643422200000001E-4</v>
      </c>
      <c r="AJ109">
        <v>6.7378256599999996E-4</v>
      </c>
      <c r="AK109">
        <v>6.0674947300000002E-4</v>
      </c>
    </row>
    <row r="110" spans="1:37" x14ac:dyDescent="0.25">
      <c r="A110" t="s">
        <v>1944</v>
      </c>
      <c r="B110">
        <v>9.1374000000000004E-3</v>
      </c>
      <c r="C110">
        <v>9.9069832299999994E-3</v>
      </c>
      <c r="D110">
        <v>1.00680331E-2</v>
      </c>
      <c r="E110">
        <v>9.8556185199999997E-3</v>
      </c>
      <c r="F110">
        <v>9.4321479799999997E-3</v>
      </c>
      <c r="G110">
        <v>8.8998469600000008E-3</v>
      </c>
      <c r="H110">
        <v>8.3195777299999996E-3</v>
      </c>
      <c r="I110">
        <v>7.7263419899999998E-3</v>
      </c>
      <c r="J110">
        <v>7.1398583600000001E-3</v>
      </c>
      <c r="K110">
        <v>6.5711175799999999E-3</v>
      </c>
      <c r="L110">
        <v>6.0262082799999997E-3</v>
      </c>
      <c r="M110">
        <v>5.5084593799999996E-3</v>
      </c>
      <c r="N110">
        <v>5.0196073100000002E-3</v>
      </c>
      <c r="O110">
        <v>4.5604241399999999E-3</v>
      </c>
      <c r="P110">
        <v>4.1310590000000003E-3</v>
      </c>
      <c r="Q110">
        <v>3.7312312300000002E-3</v>
      </c>
      <c r="R110">
        <v>3.3603479199999999E-3</v>
      </c>
      <c r="S110">
        <v>3.0175825899999998E-3</v>
      </c>
      <c r="T110">
        <v>2.7019324400000002E-3</v>
      </c>
      <c r="U110">
        <v>2.4122629099999999E-3</v>
      </c>
      <c r="V110">
        <v>2.1473436699999998E-3</v>
      </c>
      <c r="W110">
        <v>1.90587814E-3</v>
      </c>
      <c r="X110">
        <v>1.68652813E-3</v>
      </c>
      <c r="Y110">
        <v>1.4879344200000001E-3</v>
      </c>
      <c r="Z110">
        <v>1.3087340300000001E-3</v>
      </c>
      <c r="AA110">
        <v>1.14757481E-3</v>
      </c>
      <c r="AB110">
        <v>1.00312774E-3</v>
      </c>
      <c r="AC110">
        <v>8.7409721999999999E-4</v>
      </c>
      <c r="AD110">
        <v>7.5922970099999995E-4</v>
      </c>
      <c r="AE110">
        <v>6.5732065499999996E-4</v>
      </c>
      <c r="AF110">
        <v>5.6722017399999996E-4</v>
      </c>
      <c r="AG110">
        <v>4.8783724299999998E-4</v>
      </c>
      <c r="AH110">
        <v>4.1814280099999998E-4</v>
      </c>
      <c r="AI110">
        <v>3.57171702E-4</v>
      </c>
      <c r="AJ110">
        <v>3.0402368099999999E-4</v>
      </c>
      <c r="AK110">
        <v>2.5786343499999999E-4</v>
      </c>
    </row>
    <row r="111" spans="1:37" x14ac:dyDescent="0.25">
      <c r="A111" t="s">
        <v>1945</v>
      </c>
      <c r="B111">
        <v>2457.4699179999998</v>
      </c>
      <c r="C111">
        <v>2463.613593</v>
      </c>
      <c r="D111">
        <v>2469.7726269999998</v>
      </c>
      <c r="E111">
        <v>2475.9470590000001</v>
      </c>
      <c r="F111">
        <v>2482.1369260000001</v>
      </c>
      <c r="G111">
        <v>2488.3422690000002</v>
      </c>
      <c r="H111">
        <v>2494.5631239999998</v>
      </c>
      <c r="I111">
        <v>2500.799532</v>
      </c>
      <c r="J111">
        <v>2507.0515310000001</v>
      </c>
      <c r="K111">
        <v>2513.31916</v>
      </c>
      <c r="L111">
        <v>2519.6024579999998</v>
      </c>
      <c r="M111">
        <v>2525.901464</v>
      </c>
      <c r="N111">
        <v>2532.2162170000001</v>
      </c>
      <c r="O111">
        <v>2538.546758</v>
      </c>
      <c r="P111">
        <v>2544.8931250000001</v>
      </c>
      <c r="Q111">
        <v>2551.2553579999999</v>
      </c>
      <c r="R111">
        <v>2557.6334959999999</v>
      </c>
      <c r="S111">
        <v>2564.0275799999999</v>
      </c>
      <c r="T111">
        <v>2570.437649</v>
      </c>
      <c r="U111">
        <v>2576.8637429999999</v>
      </c>
      <c r="V111">
        <v>2583.3059020000001</v>
      </c>
      <c r="W111">
        <v>2589.7641669999998</v>
      </c>
      <c r="X111">
        <v>2596.2385770000001</v>
      </c>
      <c r="Y111">
        <v>2602.7291740000001</v>
      </c>
      <c r="Z111">
        <v>2609.2359970000002</v>
      </c>
      <c r="AA111">
        <v>2615.7590869999999</v>
      </c>
      <c r="AB111">
        <v>2622.2984839999999</v>
      </c>
      <c r="AC111">
        <v>2628.8542309999998</v>
      </c>
      <c r="AD111">
        <v>2635.4263660000001</v>
      </c>
      <c r="AE111">
        <v>2642.014932</v>
      </c>
      <c r="AF111">
        <v>2648.6199700000002</v>
      </c>
      <c r="AG111">
        <v>2655.2415190000002</v>
      </c>
      <c r="AH111">
        <v>2661.8796229999998</v>
      </c>
      <c r="AI111">
        <v>2668.534322</v>
      </c>
      <c r="AJ111">
        <v>2675.2056579999999</v>
      </c>
      <c r="AK111">
        <v>2681.8936720000002</v>
      </c>
    </row>
    <row r="112" spans="1:37" x14ac:dyDescent="0.25">
      <c r="A112" t="s">
        <v>1946</v>
      </c>
      <c r="B112">
        <v>3.476542051</v>
      </c>
      <c r="C112">
        <v>5.5995510140000002</v>
      </c>
      <c r="D112">
        <v>7.7036304580000001</v>
      </c>
      <c r="E112">
        <v>9.7889277490000008</v>
      </c>
      <c r="F112">
        <v>11.855592209999999</v>
      </c>
      <c r="G112">
        <v>13.903781560000001</v>
      </c>
      <c r="H112">
        <v>15.93366241</v>
      </c>
      <c r="I112">
        <v>17.945406779999999</v>
      </c>
      <c r="J112">
        <v>19.9391876</v>
      </c>
      <c r="K112">
        <v>21.915175250000001</v>
      </c>
      <c r="L112">
        <v>23.873535950000001</v>
      </c>
      <c r="M112">
        <v>25.814431509999999</v>
      </c>
      <c r="N112">
        <v>27.738020110000001</v>
      </c>
      <c r="O112">
        <v>29.644457370000001</v>
      </c>
      <c r="P112">
        <v>31.533898010000001</v>
      </c>
      <c r="Q112">
        <v>33.406496990000001</v>
      </c>
      <c r="R112">
        <v>35.26240859</v>
      </c>
      <c r="S112">
        <v>37.101786199999999</v>
      </c>
      <c r="T112">
        <v>38.924782499999999</v>
      </c>
      <c r="U112">
        <v>40.731549020000003</v>
      </c>
      <c r="V112">
        <v>42.522235340000002</v>
      </c>
      <c r="W112">
        <v>44.296988949999999</v>
      </c>
      <c r="X112">
        <v>46.055955099999998</v>
      </c>
      <c r="Y112">
        <v>47.799276929999998</v>
      </c>
      <c r="Z112">
        <v>49.52709548</v>
      </c>
      <c r="AA112">
        <v>51.239549889999999</v>
      </c>
      <c r="AB112">
        <v>52.93677752</v>
      </c>
      <c r="AC112">
        <v>54.61891404</v>
      </c>
      <c r="AD112">
        <v>56.286093610000002</v>
      </c>
      <c r="AE112">
        <v>57.938448979999997</v>
      </c>
      <c r="AF112">
        <v>59.57611146</v>
      </c>
      <c r="AG112">
        <v>61.199210839999999</v>
      </c>
      <c r="AH112">
        <v>62.807875680000002</v>
      </c>
      <c r="AI112">
        <v>64.402233449999997</v>
      </c>
      <c r="AJ112">
        <v>65.982410700000003</v>
      </c>
      <c r="AK112">
        <v>67.548533039999995</v>
      </c>
    </row>
    <row r="113" spans="1:37" x14ac:dyDescent="0.25">
      <c r="A113" t="s">
        <v>1947</v>
      </c>
      <c r="B113">
        <v>68.80476281</v>
      </c>
      <c r="C113">
        <v>76.772546509999998</v>
      </c>
      <c r="D113">
        <v>84.684486320000005</v>
      </c>
      <c r="E113">
        <v>92.541697170000006</v>
      </c>
      <c r="F113">
        <v>100.3450521</v>
      </c>
      <c r="G113">
        <v>108.09510280000001</v>
      </c>
      <c r="H113">
        <v>115.7921578</v>
      </c>
      <c r="I113">
        <v>123.4364073</v>
      </c>
      <c r="J113">
        <v>131.02802560000001</v>
      </c>
      <c r="K113">
        <v>138.5672289</v>
      </c>
      <c r="L113">
        <v>146.0542963</v>
      </c>
      <c r="M113">
        <v>153.48956680000001</v>
      </c>
      <c r="N113">
        <v>160.87342670000001</v>
      </c>
      <c r="O113">
        <v>168.20629550000001</v>
      </c>
      <c r="P113">
        <v>175.48861400000001</v>
      </c>
      <c r="Q113">
        <v>182.72083570000001</v>
      </c>
      <c r="R113">
        <v>189.90342269999999</v>
      </c>
      <c r="S113">
        <v>197.0368454</v>
      </c>
      <c r="T113">
        <v>204.1215871</v>
      </c>
      <c r="U113">
        <v>211.1581401</v>
      </c>
      <c r="V113">
        <v>218.14699970000001</v>
      </c>
      <c r="W113">
        <v>225.08866190000001</v>
      </c>
      <c r="X113">
        <v>231.9836214</v>
      </c>
      <c r="Y113">
        <v>238.83237120000001</v>
      </c>
      <c r="Z113">
        <v>245.63540169999999</v>
      </c>
      <c r="AA113">
        <v>252.39320029999999</v>
      </c>
      <c r="AB113">
        <v>259.10625149999998</v>
      </c>
      <c r="AC113">
        <v>265.775036</v>
      </c>
      <c r="AD113">
        <v>272.40003080000002</v>
      </c>
      <c r="AE113">
        <v>278.98170900000002</v>
      </c>
      <c r="AF113">
        <v>285.5205388</v>
      </c>
      <c r="AG113">
        <v>292.01698290000002</v>
      </c>
      <c r="AH113">
        <v>298.47149880000001</v>
      </c>
      <c r="AI113">
        <v>304.8845397</v>
      </c>
      <c r="AJ113">
        <v>311.25655410000002</v>
      </c>
      <c r="AK113">
        <v>317.58798589999998</v>
      </c>
    </row>
    <row r="114" spans="1:37" x14ac:dyDescent="0.25">
      <c r="A114" t="s">
        <v>1948</v>
      </c>
      <c r="B114">
        <v>408.28039699999999</v>
      </c>
      <c r="C114">
        <v>424.0771919</v>
      </c>
      <c r="D114">
        <v>439.76150250000001</v>
      </c>
      <c r="E114">
        <v>455.33442889999998</v>
      </c>
      <c r="F114">
        <v>470.79706290000001</v>
      </c>
      <c r="G114">
        <v>486.15058540000001</v>
      </c>
      <c r="H114">
        <v>501.39630249999999</v>
      </c>
      <c r="I114">
        <v>516.53563210000004</v>
      </c>
      <c r="J114">
        <v>531.57006420000005</v>
      </c>
      <c r="K114">
        <v>546.5011174</v>
      </c>
      <c r="L114">
        <v>561.33030229999997</v>
      </c>
      <c r="M114">
        <v>576.05909640000004</v>
      </c>
      <c r="N114">
        <v>590.68893000000003</v>
      </c>
      <c r="O114">
        <v>605.22118149999994</v>
      </c>
      <c r="P114">
        <v>619.65717710000001</v>
      </c>
      <c r="Q114">
        <v>633.99819590000004</v>
      </c>
      <c r="R114">
        <v>648.24547680000001</v>
      </c>
      <c r="S114">
        <v>662.40022380000005</v>
      </c>
      <c r="T114">
        <v>676.46360470000002</v>
      </c>
      <c r="U114">
        <v>690.43676049999999</v>
      </c>
      <c r="V114">
        <v>704.32081589999996</v>
      </c>
      <c r="W114">
        <v>718.11688260000005</v>
      </c>
      <c r="X114">
        <v>731.82606129999999</v>
      </c>
      <c r="Y114">
        <v>745.4494426</v>
      </c>
      <c r="Z114">
        <v>758.98810730000002</v>
      </c>
      <c r="AA114">
        <v>772.44312639999998</v>
      </c>
      <c r="AB114">
        <v>785.815561</v>
      </c>
      <c r="AC114">
        <v>799.10646199999996</v>
      </c>
      <c r="AD114">
        <v>812.31687030000001</v>
      </c>
      <c r="AE114">
        <v>825.44781650000004</v>
      </c>
      <c r="AF114">
        <v>838.50032099999999</v>
      </c>
      <c r="AG114">
        <v>851.47539549999999</v>
      </c>
      <c r="AH114">
        <v>864.37404149999998</v>
      </c>
      <c r="AI114">
        <v>877.19725010000002</v>
      </c>
      <c r="AJ114">
        <v>889.94600209999999</v>
      </c>
      <c r="AK114">
        <v>902.62126769999998</v>
      </c>
    </row>
    <row r="115" spans="1:37" x14ac:dyDescent="0.25">
      <c r="A115" t="s">
        <v>1949</v>
      </c>
      <c r="B115">
        <v>954.38155940000001</v>
      </c>
      <c r="C115">
        <v>947.51768939999999</v>
      </c>
      <c r="D115">
        <v>940.69002</v>
      </c>
      <c r="E115">
        <v>933.89841869999998</v>
      </c>
      <c r="F115">
        <v>927.14297429999999</v>
      </c>
      <c r="G115">
        <v>920.42396410000003</v>
      </c>
      <c r="H115">
        <v>913.74173489999998</v>
      </c>
      <c r="I115">
        <v>907.09659669999996</v>
      </c>
      <c r="J115">
        <v>900.48876670000004</v>
      </c>
      <c r="K115">
        <v>893.91836279999995</v>
      </c>
      <c r="L115">
        <v>887.38542459999996</v>
      </c>
      <c r="M115">
        <v>880.88994439999999</v>
      </c>
      <c r="N115">
        <v>874.43189410000002</v>
      </c>
      <c r="O115">
        <v>868.01124470000002</v>
      </c>
      <c r="P115">
        <v>861.62797569999998</v>
      </c>
      <c r="Q115">
        <v>855.28207850000001</v>
      </c>
      <c r="R115">
        <v>848.97355319999997</v>
      </c>
      <c r="S115">
        <v>842.70240520000004</v>
      </c>
      <c r="T115">
        <v>836.46864100000005</v>
      </c>
      <c r="U115">
        <v>830.27226359999997</v>
      </c>
      <c r="V115">
        <v>824.11326819999999</v>
      </c>
      <c r="W115">
        <v>817.99164189999999</v>
      </c>
      <c r="X115">
        <v>811.90736370000002</v>
      </c>
      <c r="Y115">
        <v>805.8604047</v>
      </c>
      <c r="Z115">
        <v>799.85072809999997</v>
      </c>
      <c r="AA115">
        <v>793.87829050000005</v>
      </c>
      <c r="AB115">
        <v>787.94304190000003</v>
      </c>
      <c r="AC115">
        <v>782.04492660000005</v>
      </c>
      <c r="AD115">
        <v>776.18388370000002</v>
      </c>
      <c r="AE115">
        <v>770.35984770000005</v>
      </c>
      <c r="AF115">
        <v>764.57274889999997</v>
      </c>
      <c r="AG115">
        <v>758.82251399999996</v>
      </c>
      <c r="AH115">
        <v>753.10906660000001</v>
      </c>
      <c r="AI115">
        <v>747.43232669999998</v>
      </c>
      <c r="AJ115">
        <v>741.79221129999996</v>
      </c>
      <c r="AK115">
        <v>736.18863480000005</v>
      </c>
    </row>
    <row r="116" spans="1:37" x14ac:dyDescent="0.25">
      <c r="A116" t="s">
        <v>1950</v>
      </c>
      <c r="B116">
        <v>878.79999729999997</v>
      </c>
      <c r="C116">
        <v>867.96700399999997</v>
      </c>
      <c r="D116">
        <v>857.26984870000001</v>
      </c>
      <c r="E116">
        <v>846.70684649999998</v>
      </c>
      <c r="F116">
        <v>836.27633149999997</v>
      </c>
      <c r="G116">
        <v>825.97666589999994</v>
      </c>
      <c r="H116">
        <v>815.80624269999998</v>
      </c>
      <c r="I116">
        <v>805.76348440000004</v>
      </c>
      <c r="J116">
        <v>795.84683889999997</v>
      </c>
      <c r="K116">
        <v>786.05477559999997</v>
      </c>
      <c r="L116">
        <v>776.38578150000001</v>
      </c>
      <c r="M116">
        <v>766.83835950000002</v>
      </c>
      <c r="N116">
        <v>757.41102720000004</v>
      </c>
      <c r="O116">
        <v>748.10231620000002</v>
      </c>
      <c r="P116">
        <v>738.91077310000003</v>
      </c>
      <c r="Q116">
        <v>729.83495949999997</v>
      </c>
      <c r="R116">
        <v>720.87345200000004</v>
      </c>
      <c r="S116">
        <v>712.02484279999999</v>
      </c>
      <c r="T116">
        <v>703.2877393</v>
      </c>
      <c r="U116">
        <v>694.66076459999999</v>
      </c>
      <c r="V116">
        <v>686.14255760000003</v>
      </c>
      <c r="W116">
        <v>677.73177350000003</v>
      </c>
      <c r="X116">
        <v>669.42708300000004</v>
      </c>
      <c r="Y116">
        <v>661.22717290000003</v>
      </c>
      <c r="Z116">
        <v>653.13074559999995</v>
      </c>
      <c r="AA116">
        <v>645.13651900000002</v>
      </c>
      <c r="AB116">
        <v>637.24322640000003</v>
      </c>
      <c r="AC116">
        <v>629.44961650000005</v>
      </c>
      <c r="AD116">
        <v>621.75445279999997</v>
      </c>
      <c r="AE116">
        <v>614.15651409999998</v>
      </c>
      <c r="AF116">
        <v>606.65459369999996</v>
      </c>
      <c r="AG116">
        <v>599.24749970000005</v>
      </c>
      <c r="AH116">
        <v>591.93405440000004</v>
      </c>
      <c r="AI116">
        <v>584.71309480000002</v>
      </c>
      <c r="AJ116">
        <v>577.58347170000002</v>
      </c>
      <c r="AK116">
        <v>570.54405020000002</v>
      </c>
    </row>
    <row r="117" spans="1:37" x14ac:dyDescent="0.25">
      <c r="A117" t="s">
        <v>1951</v>
      </c>
      <c r="B117">
        <v>139.85209269999999</v>
      </c>
      <c r="C117">
        <v>137.9553396</v>
      </c>
      <c r="D117">
        <v>136.08298189999999</v>
      </c>
      <c r="E117">
        <v>134.2347728</v>
      </c>
      <c r="F117">
        <v>132.4104624</v>
      </c>
      <c r="G117">
        <v>130.6097977</v>
      </c>
      <c r="H117">
        <v>128.83252429999999</v>
      </c>
      <c r="I117">
        <v>127.07838700000001</v>
      </c>
      <c r="J117">
        <v>125.34713170000001</v>
      </c>
      <c r="K117">
        <v>123.6385052</v>
      </c>
      <c r="L117">
        <v>121.9522559</v>
      </c>
      <c r="M117">
        <v>120.28813340000001</v>
      </c>
      <c r="N117">
        <v>118.64588860000001</v>
      </c>
      <c r="O117">
        <v>117.0252735</v>
      </c>
      <c r="P117">
        <v>115.426041</v>
      </c>
      <c r="Q117">
        <v>113.84794530000001</v>
      </c>
      <c r="R117">
        <v>112.2907416</v>
      </c>
      <c r="S117">
        <v>110.7541866</v>
      </c>
      <c r="T117">
        <v>109.238038</v>
      </c>
      <c r="U117">
        <v>107.7420552</v>
      </c>
      <c r="V117">
        <v>106.26599899999999</v>
      </c>
      <c r="W117">
        <v>104.80963180000001</v>
      </c>
      <c r="X117">
        <v>103.3727176</v>
      </c>
      <c r="Y117">
        <v>101.95502190000001</v>
      </c>
      <c r="Z117">
        <v>100.55631200000001</v>
      </c>
      <c r="AA117">
        <v>99.176356949999999</v>
      </c>
      <c r="AB117">
        <v>97.814927499999996</v>
      </c>
      <c r="AC117">
        <v>96.471796229999995</v>
      </c>
      <c r="AD117">
        <v>95.146737509999994</v>
      </c>
      <c r="AE117">
        <v>93.839527610000005</v>
      </c>
      <c r="AF117">
        <v>92.54994465</v>
      </c>
      <c r="AG117">
        <v>91.277768699999996</v>
      </c>
      <c r="AH117">
        <v>90.022781739999999</v>
      </c>
      <c r="AI117">
        <v>88.784767689999995</v>
      </c>
      <c r="AJ117">
        <v>87.56351248</v>
      </c>
      <c r="AK117">
        <v>86.35880401</v>
      </c>
    </row>
    <row r="118" spans="1:37" x14ac:dyDescent="0.25">
      <c r="A118" t="s">
        <v>1952</v>
      </c>
      <c r="B118">
        <v>3.874567114</v>
      </c>
      <c r="C118">
        <v>3.7242706779999999</v>
      </c>
      <c r="D118">
        <v>3.5801571349999999</v>
      </c>
      <c r="E118">
        <v>3.4419667710000001</v>
      </c>
      <c r="F118">
        <v>3.3094508579999999</v>
      </c>
      <c r="G118">
        <v>3.1823711889999999</v>
      </c>
      <c r="H118">
        <v>3.060499632</v>
      </c>
      <c r="I118">
        <v>2.9436177020000001</v>
      </c>
      <c r="J118">
        <v>2.8315161519999998</v>
      </c>
      <c r="K118">
        <v>2.723994582</v>
      </c>
      <c r="L118">
        <v>2.6208610640000001</v>
      </c>
      <c r="M118">
        <v>2.5219317819999998</v>
      </c>
      <c r="N118">
        <v>2.427030689</v>
      </c>
      <c r="O118">
        <v>2.3359891780000002</v>
      </c>
      <c r="P118">
        <v>2.2486457660000001</v>
      </c>
      <c r="Q118">
        <v>2.1648457909999999</v>
      </c>
      <c r="R118">
        <v>2.0844411250000001</v>
      </c>
      <c r="S118">
        <v>2.0072898960000001</v>
      </c>
      <c r="T118">
        <v>1.933256224</v>
      </c>
      <c r="U118">
        <v>1.8622099649999999</v>
      </c>
      <c r="V118">
        <v>1.794026468</v>
      </c>
      <c r="W118">
        <v>1.728586347</v>
      </c>
      <c r="X118">
        <v>1.665775249</v>
      </c>
      <c r="Y118">
        <v>1.6054836509999999</v>
      </c>
      <c r="Z118">
        <v>1.5476066470000001</v>
      </c>
      <c r="AA118">
        <v>1.4920437559999999</v>
      </c>
      <c r="AB118">
        <v>1.4386987369999999</v>
      </c>
      <c r="AC118">
        <v>1.387479404</v>
      </c>
      <c r="AD118">
        <v>1.3382974569999999</v>
      </c>
      <c r="AE118">
        <v>1.291068318</v>
      </c>
      <c r="AF118">
        <v>1.2457109749999999</v>
      </c>
      <c r="AG118">
        <v>1.2021478240000001</v>
      </c>
      <c r="AH118">
        <v>1.1603045329999999</v>
      </c>
      <c r="AI118">
        <v>1.120109899</v>
      </c>
      <c r="AJ118">
        <v>1.0814957160000001</v>
      </c>
      <c r="AK118">
        <v>1.0443966490000001</v>
      </c>
    </row>
    <row r="119" spans="1:37" x14ac:dyDescent="0.25">
      <c r="A119" t="s">
        <v>1953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0.94035800160000005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347" t="s">
        <v>37</v>
      </c>
      <c r="C1" s="347"/>
      <c r="D1" s="347"/>
      <c r="E1" s="347"/>
      <c r="F1" s="347"/>
      <c r="G1" s="347"/>
      <c r="H1" s="10"/>
      <c r="I1" s="10"/>
      <c r="J1" s="10"/>
    </row>
    <row r="2" spans="1:10" ht="15.75" x14ac:dyDescent="0.25">
      <c r="A2" s="8"/>
      <c r="B2" s="348" t="s">
        <v>0</v>
      </c>
      <c r="C2" s="349"/>
      <c r="D2" s="349"/>
      <c r="E2" s="349"/>
      <c r="F2" s="349"/>
      <c r="G2" s="350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4.8738572254336532E-2</v>
      </c>
      <c r="C4" s="12">
        <f>Macro!I2</f>
        <v>6.009585893678171E-2</v>
      </c>
      <c r="D4" s="12">
        <f>Macro!J2</f>
        <v>7.0015106790588533E-2</v>
      </c>
      <c r="E4" s="12">
        <f>Macro!L2</f>
        <v>8.596298329950347E-2</v>
      </c>
      <c r="F4" s="12">
        <f>Macro!Q2</f>
        <v>0.1426524117757566</v>
      </c>
      <c r="G4" s="13">
        <f>Macro!AK2</f>
        <v>0.14504591145982904</v>
      </c>
      <c r="H4" s="10"/>
      <c r="I4" s="10"/>
      <c r="J4" s="10"/>
    </row>
    <row r="5" spans="1:10" x14ac:dyDescent="0.25">
      <c r="A5" s="5" t="s">
        <v>2</v>
      </c>
      <c r="B5" s="11">
        <f>Macro!H3</f>
        <v>0.11251556631557413</v>
      </c>
      <c r="C5" s="12">
        <f>Macro!I3</f>
        <v>0.15121566866254099</v>
      </c>
      <c r="D5" s="12">
        <f>Macro!J3</f>
        <v>0.19244796452977386</v>
      </c>
      <c r="E5" s="12">
        <f>Macro!L3</f>
        <v>0.27910298405513512</v>
      </c>
      <c r="F5" s="12">
        <f>Macro!Q3</f>
        <v>0.58194624165135433</v>
      </c>
      <c r="G5" s="13">
        <f>Macro!AK3</f>
        <v>2.8569809500042398</v>
      </c>
      <c r="H5" s="10"/>
      <c r="I5" s="10"/>
      <c r="J5" s="10"/>
    </row>
    <row r="6" spans="1:10" x14ac:dyDescent="0.25">
      <c r="A6" s="5" t="s">
        <v>3</v>
      </c>
      <c r="B6" s="11">
        <f>Macro!H4</f>
        <v>-5.9365516176024258E-2</v>
      </c>
      <c r="C6" s="12">
        <f>Macro!I4</f>
        <v>-7.5529889180436793E-2</v>
      </c>
      <c r="D6" s="12">
        <f>Macro!J4</f>
        <v>-9.1710764186325733E-2</v>
      </c>
      <c r="E6" s="12">
        <f>Macro!L4</f>
        <v>-0.12569350278309743</v>
      </c>
      <c r="F6" s="12">
        <f>Macro!Q4</f>
        <v>-0.24634602124126159</v>
      </c>
      <c r="G6" s="13">
        <f>Macro!AK4</f>
        <v>-1.153091425806807</v>
      </c>
      <c r="H6" s="10"/>
      <c r="I6" s="10"/>
      <c r="J6" s="10"/>
    </row>
    <row r="7" spans="1:10" x14ac:dyDescent="0.25">
      <c r="A7" s="5" t="s">
        <v>4</v>
      </c>
      <c r="B7" s="11">
        <f>Macro!H5</f>
        <v>-8.4743656817842794E-2</v>
      </c>
      <c r="C7" s="12">
        <f>Macro!I5</f>
        <v>-0.12011475921420711</v>
      </c>
      <c r="D7" s="12">
        <f>Macro!J5</f>
        <v>-0.16133862827192313</v>
      </c>
      <c r="E7" s="12">
        <f>Macro!L5</f>
        <v>-0.25968196953497502</v>
      </c>
      <c r="F7" s="12">
        <f>Macro!Q5</f>
        <v>-0.62273485779784643</v>
      </c>
      <c r="G7" s="13">
        <f>Macro!AK5</f>
        <v>-4.3575532745635641</v>
      </c>
      <c r="H7" s="10"/>
      <c r="I7" s="10"/>
      <c r="J7" s="10"/>
    </row>
    <row r="8" spans="1:10" x14ac:dyDescent="0.25">
      <c r="A8" s="5" t="s">
        <v>5</v>
      </c>
      <c r="B8" s="11">
        <f>Macro!H6</f>
        <v>-8.1006384895143668E-2</v>
      </c>
      <c r="C8" s="12">
        <f>Macro!I6</f>
        <v>-9.3915886507911495E-2</v>
      </c>
      <c r="D8" s="12">
        <f>Macro!J6</f>
        <v>-0.10310887444271444</v>
      </c>
      <c r="E8" s="12">
        <f>Macro!L6</f>
        <v>-0.11740134376440059</v>
      </c>
      <c r="F8" s="12">
        <f>Macro!Q6</f>
        <v>-0.18982160993969988</v>
      </c>
      <c r="G8" s="13">
        <f>Macro!AK6</f>
        <v>-0.25427953200130027</v>
      </c>
      <c r="H8" s="10"/>
      <c r="I8" s="10"/>
      <c r="J8" s="10"/>
    </row>
    <row r="9" spans="1:10" x14ac:dyDescent="0.25">
      <c r="A9" s="5" t="s">
        <v>60</v>
      </c>
      <c r="B9" s="11">
        <f>Macro!H7</f>
        <v>0.12157521038389518</v>
      </c>
      <c r="C9" s="12">
        <f>Macro!I7</f>
        <v>0.1601725494615458</v>
      </c>
      <c r="D9" s="12">
        <f>Macro!J7</f>
        <v>0.20029739158338167</v>
      </c>
      <c r="E9" s="12">
        <f>Macro!L7</f>
        <v>0.28453423812833112</v>
      </c>
      <c r="F9" s="12">
        <f>Macro!Q7</f>
        <v>0.59324440983614668</v>
      </c>
      <c r="G9" s="13">
        <f>Macro!AK7</f>
        <v>2.8463130574759354</v>
      </c>
      <c r="H9" s="10"/>
      <c r="I9" s="10"/>
      <c r="J9" s="10"/>
    </row>
    <row r="10" spans="1:10" x14ac:dyDescent="0.25">
      <c r="A10" s="5" t="s">
        <v>58</v>
      </c>
      <c r="B10" s="11">
        <f>Macro!H8</f>
        <v>8.0213899999986848E-3</v>
      </c>
      <c r="C10" s="12">
        <f>Macro!I8</f>
        <v>7.9267299999991048E-3</v>
      </c>
      <c r="D10" s="12">
        <f>Macro!J8</f>
        <v>6.943469999999563E-3</v>
      </c>
      <c r="E10" s="12">
        <f>Macro!L8</f>
        <v>4.8000399999997834E-3</v>
      </c>
      <c r="F10" s="12">
        <f>Macro!Q8</f>
        <v>9.9548000000004855E-3</v>
      </c>
      <c r="G10" s="13">
        <f>Macro!AK8</f>
        <v>-9.1944900000001661E-3</v>
      </c>
      <c r="H10" s="10"/>
      <c r="I10" s="10"/>
      <c r="J10" s="10"/>
    </row>
    <row r="11" spans="1:10" x14ac:dyDescent="0.25">
      <c r="A11" s="5" t="s">
        <v>6</v>
      </c>
      <c r="B11" s="11">
        <f>Macro!H9</f>
        <v>0.36952058289894119</v>
      </c>
      <c r="C11" s="12">
        <f>Macro!I9</f>
        <v>0.47010293291394056</v>
      </c>
      <c r="D11" s="12">
        <f>Macro!J9</f>
        <v>0.57633973261892457</v>
      </c>
      <c r="E11" s="12">
        <f>Macro!L9</f>
        <v>0.81690358037678212</v>
      </c>
      <c r="F11" s="12">
        <f>Macro!Q9</f>
        <v>1.7507386540959402</v>
      </c>
      <c r="G11" s="13">
        <f>Macro!AK9</f>
        <v>9.4772122696094705</v>
      </c>
      <c r="H11" s="10"/>
      <c r="I11" s="10"/>
      <c r="J11" s="10"/>
    </row>
    <row r="12" spans="1:10" x14ac:dyDescent="0.25">
      <c r="A12" s="5" t="s">
        <v>35</v>
      </c>
      <c r="B12" s="11">
        <f>Macro!H10</f>
        <v>0.16101627796076823</v>
      </c>
      <c r="C12" s="12">
        <f>Macro!I10</f>
        <v>0.22699330874180745</v>
      </c>
      <c r="D12" s="12">
        <f>Macro!J10</f>
        <v>0.30376118517134731</v>
      </c>
      <c r="E12" s="12">
        <f>Macro!L10</f>
        <v>0.48622175052746019</v>
      </c>
      <c r="F12" s="12">
        <f>Macro!Q10</f>
        <v>1.1478252411117884</v>
      </c>
      <c r="G12" s="13">
        <f>Macro!AK10</f>
        <v>7.9308716263475576</v>
      </c>
      <c r="H12" s="10"/>
      <c r="I12" s="10"/>
      <c r="J12" s="10"/>
    </row>
    <row r="13" spans="1:10" x14ac:dyDescent="0.25">
      <c r="A13" s="5" t="s">
        <v>33</v>
      </c>
      <c r="B13" s="11">
        <f>Macro!H11</f>
        <v>-0.11409150719374761</v>
      </c>
      <c r="C13" s="12">
        <f>Macro!I11</f>
        <v>-9.9489263249596949E-2</v>
      </c>
      <c r="D13" s="12">
        <f>Macro!J11</f>
        <v>-6.8390501972404039E-2</v>
      </c>
      <c r="E13" s="12">
        <f>Macro!L11</f>
        <v>2.1294043303221599E-2</v>
      </c>
      <c r="F13" s="12">
        <f>Macro!Q11</f>
        <v>0.2469707851670222</v>
      </c>
      <c r="G13" s="13">
        <f>Macro!AK11</f>
        <v>4.4747757301231816</v>
      </c>
      <c r="H13" s="10"/>
      <c r="I13" s="10"/>
      <c r="J13" s="10"/>
    </row>
    <row r="14" spans="1:10" x14ac:dyDescent="0.25">
      <c r="A14" s="5" t="s">
        <v>34</v>
      </c>
      <c r="B14" s="11">
        <f>Macro!H12</f>
        <v>0.44768826858940791</v>
      </c>
      <c r="C14" s="12">
        <f>Macro!I12</f>
        <v>0.56728174365983097</v>
      </c>
      <c r="D14" s="12">
        <f>Macro!J12</f>
        <v>0.69175234595819646</v>
      </c>
      <c r="E14" s="12">
        <f>Macro!L12</f>
        <v>0.97122731949939034</v>
      </c>
      <c r="F14" s="12">
        <f>Macro!Q12</f>
        <v>2.0898956190398499</v>
      </c>
      <c r="G14" s="13">
        <f>Macro!AK12</f>
        <v>11.613077506346903</v>
      </c>
      <c r="H14" s="10"/>
      <c r="I14" s="10"/>
      <c r="J14" s="10"/>
    </row>
    <row r="15" spans="1:10" x14ac:dyDescent="0.25">
      <c r="A15" s="5" t="s">
        <v>7</v>
      </c>
      <c r="B15" s="11">
        <f>Macro!H13</f>
        <v>0.25431324482032558</v>
      </c>
      <c r="C15" s="12">
        <f>Macro!I13</f>
        <v>0.33938229040177958</v>
      </c>
      <c r="D15" s="12">
        <f>Macro!J13</f>
        <v>0.4316857719868894</v>
      </c>
      <c r="E15" s="12">
        <f>Macro!L13</f>
        <v>0.63899438838832534</v>
      </c>
      <c r="F15" s="12">
        <f>Macro!Q13</f>
        <v>1.4145330871613515</v>
      </c>
      <c r="G15" s="13">
        <f>Macro!AK13</f>
        <v>8.7682090831969752</v>
      </c>
      <c r="H15" s="10"/>
      <c r="I15" s="10"/>
      <c r="J15" s="10"/>
    </row>
    <row r="16" spans="1:10" x14ac:dyDescent="0.25">
      <c r="A16" s="5" t="s">
        <v>8</v>
      </c>
      <c r="B16" s="11">
        <f>Macro!H14</f>
        <v>0</v>
      </c>
      <c r="C16" s="12">
        <f>Macro!I14</f>
        <v>0</v>
      </c>
      <c r="D16" s="12">
        <f>Macro!J14</f>
        <v>0</v>
      </c>
      <c r="E16" s="12">
        <f>Macro!L14</f>
        <v>0</v>
      </c>
      <c r="F16" s="12">
        <f>Macro!Q14</f>
        <v>0</v>
      </c>
      <c r="G16" s="13">
        <f>Macro!AK14</f>
        <v>0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0.18858050410446303</v>
      </c>
      <c r="C17" s="12">
        <f>Macro!I15</f>
        <v>0.27285209051604031</v>
      </c>
      <c r="D17" s="12">
        <f>Macro!J15</f>
        <v>0.37044544246807032</v>
      </c>
      <c r="E17" s="12">
        <f>Macro!L15</f>
        <v>0.595315274699737</v>
      </c>
      <c r="F17" s="12">
        <f>Macro!Q15</f>
        <v>1.3715251531530415</v>
      </c>
      <c r="G17" s="13">
        <f>Macro!AK15</f>
        <v>9.1274191390819492</v>
      </c>
      <c r="H17" s="10"/>
      <c r="I17" s="10"/>
      <c r="J17" s="10"/>
    </row>
    <row r="18" spans="1:10" x14ac:dyDescent="0.25">
      <c r="A18" s="5" t="s">
        <v>10</v>
      </c>
      <c r="B18" s="11">
        <f>Macro!H16</f>
        <v>0.30301773065501969</v>
      </c>
      <c r="C18" s="12">
        <f>Macro!I16</f>
        <v>0.37271217410255186</v>
      </c>
      <c r="D18" s="12">
        <f>Macro!J16</f>
        <v>0.43913626518283788</v>
      </c>
      <c r="E18" s="12">
        <f>Macro!L16</f>
        <v>0.57389903546454235</v>
      </c>
      <c r="F18" s="12">
        <f>Macro!Q16</f>
        <v>1.1217838924006296</v>
      </c>
      <c r="G18" s="13">
        <f>Macro!AK16</f>
        <v>4.453365260608666</v>
      </c>
      <c r="H18" s="10"/>
      <c r="I18" s="10"/>
      <c r="J18" s="10"/>
    </row>
    <row r="19" spans="1:10" x14ac:dyDescent="0.25">
      <c r="A19" s="5" t="s">
        <v>11</v>
      </c>
      <c r="B19" s="11">
        <f>Macro!H17</f>
        <v>26.986350000002858</v>
      </c>
      <c r="C19" s="12">
        <f>Macro!I17</f>
        <v>34.739529999998922</v>
      </c>
      <c r="D19" s="12">
        <f>Macro!J17</f>
        <v>42.163759999999456</v>
      </c>
      <c r="E19" s="12">
        <f>Macro!L17</f>
        <v>55.362229999998817</v>
      </c>
      <c r="F19" s="12">
        <f>Macro!Q17</f>
        <v>98.335049999997864</v>
      </c>
      <c r="G19" s="13">
        <f>Macro!AK17</f>
        <v>344.19142000000284</v>
      </c>
      <c r="H19" s="10"/>
      <c r="I19" s="10"/>
      <c r="J19" s="10"/>
    </row>
    <row r="20" spans="1:10" x14ac:dyDescent="0.25">
      <c r="A20" s="5" t="s">
        <v>38</v>
      </c>
      <c r="B20" s="11">
        <f>Macro!H18</f>
        <v>-6.5679769999998916E-2</v>
      </c>
      <c r="C20" s="12">
        <f>Macro!I18</f>
        <v>-8.3592529999998444E-2</v>
      </c>
      <c r="D20" s="12">
        <f>Macro!J18</f>
        <v>-0.1003292299999986</v>
      </c>
      <c r="E20" s="12">
        <f>Macro!L18</f>
        <v>-0.12927664999999866</v>
      </c>
      <c r="F20" s="12">
        <f>Macro!Q18</f>
        <v>-0.22590734000000057</v>
      </c>
      <c r="G20" s="13">
        <f>Macro!AK18</f>
        <v>-0.73289311999999995</v>
      </c>
      <c r="H20" s="10"/>
      <c r="I20" s="10"/>
      <c r="J20" s="10"/>
    </row>
    <row r="21" spans="1:10" x14ac:dyDescent="0.25">
      <c r="A21" s="5" t="s">
        <v>12</v>
      </c>
      <c r="B21" s="11">
        <f>Macro!H19</f>
        <v>7.7560869999999948E-2</v>
      </c>
      <c r="C21" s="12">
        <f>Macro!I19</f>
        <v>9.7017180000000092E-2</v>
      </c>
      <c r="D21" s="12">
        <f>Macro!J19</f>
        <v>0.11577688999999999</v>
      </c>
      <c r="E21" s="12">
        <f>Macro!L19</f>
        <v>0.15406328000000002</v>
      </c>
      <c r="F21" s="12">
        <f>Macro!Q19</f>
        <v>0.30085051800000007</v>
      </c>
      <c r="G21" s="13">
        <f>Macro!AK19</f>
        <v>1.2166336099999999</v>
      </c>
      <c r="H21" s="10"/>
      <c r="I21" s="10"/>
      <c r="J21" s="10"/>
    </row>
    <row r="22" spans="1:10" x14ac:dyDescent="0.25">
      <c r="A22" s="5" t="s">
        <v>36</v>
      </c>
      <c r="B22" s="11">
        <f>Macro!H20</f>
        <v>4.8717009999999991E-2</v>
      </c>
      <c r="C22" s="12">
        <f>Macro!I20</f>
        <v>6.5151400000000054E-2</v>
      </c>
      <c r="D22" s="12">
        <f>Macro!J20</f>
        <v>8.122626000000005E-2</v>
      </c>
      <c r="E22" s="12">
        <f>Macro!L20</f>
        <v>0.11100171999999989</v>
      </c>
      <c r="F22" s="12">
        <f>Macro!Q20</f>
        <v>0.21785925700000003</v>
      </c>
      <c r="G22" s="13">
        <f>Macro!AK20</f>
        <v>0.98712456700000006</v>
      </c>
      <c r="H22" s="10"/>
      <c r="I22" s="10"/>
      <c r="J22" s="10"/>
    </row>
    <row r="23" spans="1:10" x14ac:dyDescent="0.25">
      <c r="A23" s="5" t="s">
        <v>31</v>
      </c>
      <c r="B23" s="11">
        <f>Macro!H21</f>
        <v>-0.3830715900000059</v>
      </c>
      <c r="C23" s="12">
        <f>Macro!I21</f>
        <v>-0.51876303999999207</v>
      </c>
      <c r="D23" s="12">
        <f>Macro!J21</f>
        <v>-0.67357828999999869</v>
      </c>
      <c r="E23" s="12">
        <f>Macro!L21</f>
        <v>-1.0411177599999988</v>
      </c>
      <c r="F23" s="12">
        <f>Macro!Q21</f>
        <v>-2.4580048500000062</v>
      </c>
      <c r="G23" s="13">
        <f>Macro!AK21</f>
        <v>-17.787567559999996</v>
      </c>
      <c r="H23" s="10"/>
      <c r="I23" s="10"/>
      <c r="J23" s="10"/>
    </row>
    <row r="24" spans="1:10" x14ac:dyDescent="0.25">
      <c r="A24" s="5" t="s">
        <v>40</v>
      </c>
      <c r="B24" s="11">
        <f>Macro!H22</f>
        <v>-1.7612059724864237</v>
      </c>
      <c r="C24" s="12">
        <f>Macro!I22</f>
        <v>-2.2324390846755526</v>
      </c>
      <c r="D24" s="12">
        <f>Macro!J22</f>
        <v>-2.6954211860647836</v>
      </c>
      <c r="E24" s="12">
        <f>Macro!L22</f>
        <v>-3.6119939361743181</v>
      </c>
      <c r="F24" s="12">
        <f>Macro!Q22</f>
        <v>-6.6014015570079465</v>
      </c>
      <c r="G24" s="13">
        <f>Macro!AK22</f>
        <v>-22.746640781263704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351" t="s">
        <v>13</v>
      </c>
      <c r="C26" s="351"/>
      <c r="D26" s="351"/>
      <c r="E26" s="351"/>
      <c r="F26" s="351"/>
      <c r="G26" s="351"/>
      <c r="H26" s="10"/>
      <c r="I26" s="10"/>
      <c r="J26" s="10"/>
    </row>
    <row r="27" spans="1:10" ht="15.75" x14ac:dyDescent="0.25">
      <c r="A27" s="8"/>
      <c r="B27" s="352" t="s">
        <v>14</v>
      </c>
      <c r="C27" s="352"/>
      <c r="D27" s="352"/>
      <c r="E27" s="352"/>
      <c r="F27" s="352"/>
      <c r="G27" s="353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4.8738572254336532E-2</v>
      </c>
      <c r="C29" s="12">
        <f t="shared" ref="C29:G29" si="0">C4</f>
        <v>6.009585893678171E-2</v>
      </c>
      <c r="D29" s="12">
        <f t="shared" si="0"/>
        <v>7.0015106790588533E-2</v>
      </c>
      <c r="E29" s="12">
        <f t="shared" si="0"/>
        <v>8.596298329950347E-2</v>
      </c>
      <c r="F29" s="12">
        <f t="shared" si="0"/>
        <v>0.1426524117757566</v>
      </c>
      <c r="G29" s="13">
        <f t="shared" si="0"/>
        <v>0.14504591145982904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0.11251556631557413</v>
      </c>
      <c r="C30" s="12">
        <f t="shared" si="1"/>
        <v>0.15121566866254099</v>
      </c>
      <c r="D30" s="12">
        <f t="shared" si="1"/>
        <v>0.19244796452977386</v>
      </c>
      <c r="E30" s="12">
        <f t="shared" si="1"/>
        <v>0.27910298405513512</v>
      </c>
      <c r="F30" s="12">
        <f t="shared" si="1"/>
        <v>0.58194624165135433</v>
      </c>
      <c r="G30" s="13">
        <f t="shared" si="1"/>
        <v>2.8569809500042398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-5.9365516176024258E-2</v>
      </c>
      <c r="C31" s="12">
        <f t="shared" si="2"/>
        <v>-7.5529889180436793E-2</v>
      </c>
      <c r="D31" s="12">
        <f t="shared" si="2"/>
        <v>-9.1710764186325733E-2</v>
      </c>
      <c r="E31" s="12">
        <f t="shared" si="2"/>
        <v>-0.12569350278309743</v>
      </c>
      <c r="F31" s="12">
        <f t="shared" si="2"/>
        <v>-0.24634602124126159</v>
      </c>
      <c r="G31" s="13">
        <f t="shared" si="2"/>
        <v>-1.153091425806807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-8.4743656817842794E-2</v>
      </c>
      <c r="C32" s="12">
        <f t="shared" si="3"/>
        <v>-0.12011475921420711</v>
      </c>
      <c r="D32" s="12">
        <f t="shared" si="3"/>
        <v>-0.16133862827192313</v>
      </c>
      <c r="E32" s="12">
        <f t="shared" si="3"/>
        <v>-0.25968196953497502</v>
      </c>
      <c r="F32" s="12">
        <f t="shared" si="3"/>
        <v>-0.62273485779784643</v>
      </c>
      <c r="G32" s="13">
        <f t="shared" si="3"/>
        <v>-4.3575532745635641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-8.1006384895143668E-2</v>
      </c>
      <c r="C33" s="12">
        <f t="shared" si="4"/>
        <v>-9.3915886507911495E-2</v>
      </c>
      <c r="D33" s="12">
        <f t="shared" si="4"/>
        <v>-0.10310887444271444</v>
      </c>
      <c r="E33" s="12">
        <f t="shared" si="4"/>
        <v>-0.11740134376440059</v>
      </c>
      <c r="F33" s="12">
        <f t="shared" si="4"/>
        <v>-0.18982160993969988</v>
      </c>
      <c r="G33" s="13">
        <f t="shared" si="4"/>
        <v>-0.25427953200130027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0.12157521038389518</v>
      </c>
      <c r="C34" s="12">
        <f t="shared" si="5"/>
        <v>0.1601725494615458</v>
      </c>
      <c r="D34" s="12">
        <f t="shared" si="5"/>
        <v>0.20029739158338167</v>
      </c>
      <c r="E34" s="12">
        <f t="shared" si="5"/>
        <v>0.28453423812833112</v>
      </c>
      <c r="F34" s="12">
        <f t="shared" si="5"/>
        <v>0.59324440983614668</v>
      </c>
      <c r="G34" s="13">
        <f t="shared" si="5"/>
        <v>2.8463130574759354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8.0213899999986848E-3</v>
      </c>
      <c r="C35" s="12">
        <f t="shared" si="6"/>
        <v>7.9267299999991048E-3</v>
      </c>
      <c r="D35" s="12">
        <f t="shared" si="6"/>
        <v>6.943469999999563E-3</v>
      </c>
      <c r="E35" s="12">
        <f t="shared" si="6"/>
        <v>4.8000399999997834E-3</v>
      </c>
      <c r="F35" s="12">
        <f t="shared" si="6"/>
        <v>9.9548000000004855E-3</v>
      </c>
      <c r="G35" s="13">
        <f t="shared" si="6"/>
        <v>-9.1944900000001661E-3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0.36952058289894119</v>
      </c>
      <c r="C36" s="12">
        <f t="shared" si="7"/>
        <v>0.47010293291394056</v>
      </c>
      <c r="D36" s="12">
        <f t="shared" si="7"/>
        <v>0.57633973261892457</v>
      </c>
      <c r="E36" s="12">
        <f t="shared" si="7"/>
        <v>0.81690358037678212</v>
      </c>
      <c r="F36" s="12">
        <f t="shared" si="7"/>
        <v>1.7507386540959402</v>
      </c>
      <c r="G36" s="13">
        <f t="shared" si="7"/>
        <v>9.4772122696094705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0.16101627796076823</v>
      </c>
      <c r="C37" s="12">
        <f t="shared" si="8"/>
        <v>0.22699330874180745</v>
      </c>
      <c r="D37" s="12">
        <f t="shared" si="8"/>
        <v>0.30376118517134731</v>
      </c>
      <c r="E37" s="12">
        <f t="shared" si="8"/>
        <v>0.48622175052746019</v>
      </c>
      <c r="F37" s="12">
        <f t="shared" si="8"/>
        <v>1.1478252411117884</v>
      </c>
      <c r="G37" s="13">
        <f t="shared" si="8"/>
        <v>7.9308716263475576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-0.11409150719374761</v>
      </c>
      <c r="C38" s="12">
        <f t="shared" si="9"/>
        <v>-9.9489263249596949E-2</v>
      </c>
      <c r="D38" s="12">
        <f t="shared" si="9"/>
        <v>-6.8390501972404039E-2</v>
      </c>
      <c r="E38" s="12">
        <f t="shared" si="9"/>
        <v>2.1294043303221599E-2</v>
      </c>
      <c r="F38" s="12">
        <f t="shared" si="9"/>
        <v>0.2469707851670222</v>
      </c>
      <c r="G38" s="13">
        <f t="shared" si="9"/>
        <v>4.4747757301231816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0.44768826858940791</v>
      </c>
      <c r="C39" s="12">
        <f t="shared" si="10"/>
        <v>0.56728174365983097</v>
      </c>
      <c r="D39" s="12">
        <f t="shared" si="10"/>
        <v>0.69175234595819646</v>
      </c>
      <c r="E39" s="12">
        <f t="shared" si="10"/>
        <v>0.97122731949939034</v>
      </c>
      <c r="F39" s="12">
        <f t="shared" si="10"/>
        <v>2.0898956190398499</v>
      </c>
      <c r="G39" s="13">
        <f t="shared" si="10"/>
        <v>11.613077506346903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0.25431324482032558</v>
      </c>
      <c r="C40" s="12">
        <f t="shared" si="11"/>
        <v>0.33938229040177958</v>
      </c>
      <c r="D40" s="12">
        <f t="shared" si="11"/>
        <v>0.4316857719868894</v>
      </c>
      <c r="E40" s="12">
        <f t="shared" si="11"/>
        <v>0.63899438838832534</v>
      </c>
      <c r="F40" s="12">
        <f t="shared" si="11"/>
        <v>1.4145330871613515</v>
      </c>
      <c r="G40" s="13">
        <f t="shared" si="11"/>
        <v>8.7682090831969752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0</v>
      </c>
      <c r="C41" s="12">
        <f t="shared" si="12"/>
        <v>0</v>
      </c>
      <c r="D41" s="12">
        <f t="shared" si="12"/>
        <v>0</v>
      </c>
      <c r="E41" s="12">
        <f t="shared" si="12"/>
        <v>0</v>
      </c>
      <c r="F41" s="12">
        <f t="shared" si="12"/>
        <v>0</v>
      </c>
      <c r="G41" s="13">
        <f t="shared" si="12"/>
        <v>0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0.18858050410446303</v>
      </c>
      <c r="C42" s="12">
        <f t="shared" si="13"/>
        <v>0.27285209051604031</v>
      </c>
      <c r="D42" s="12">
        <f t="shared" si="13"/>
        <v>0.37044544246807032</v>
      </c>
      <c r="E42" s="12">
        <f t="shared" si="13"/>
        <v>0.595315274699737</v>
      </c>
      <c r="F42" s="12">
        <f t="shared" si="13"/>
        <v>1.3715251531530415</v>
      </c>
      <c r="G42" s="13">
        <f t="shared" si="13"/>
        <v>9.1274191390819492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0.30301773065501969</v>
      </c>
      <c r="C43" s="12">
        <f t="shared" si="14"/>
        <v>0.37271217410255186</v>
      </c>
      <c r="D43" s="12">
        <f t="shared" si="14"/>
        <v>0.43913626518283788</v>
      </c>
      <c r="E43" s="12">
        <f t="shared" si="14"/>
        <v>0.57389903546454235</v>
      </c>
      <c r="F43" s="12">
        <f t="shared" si="14"/>
        <v>1.1217838924006296</v>
      </c>
      <c r="G43" s="13">
        <f t="shared" si="14"/>
        <v>4.453365260608666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26.986350000002858</v>
      </c>
      <c r="C44" s="12">
        <f t="shared" si="15"/>
        <v>34.739529999998922</v>
      </c>
      <c r="D44" s="12">
        <f t="shared" si="15"/>
        <v>42.163759999999456</v>
      </c>
      <c r="E44" s="12">
        <f t="shared" si="15"/>
        <v>55.362229999998817</v>
      </c>
      <c r="F44" s="12">
        <f t="shared" si="15"/>
        <v>98.335049999997864</v>
      </c>
      <c r="G44" s="13">
        <f t="shared" si="15"/>
        <v>344.19142000000284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-6.5679769999998916E-2</v>
      </c>
      <c r="C45" s="12">
        <f t="shared" si="16"/>
        <v>-8.3592529999998444E-2</v>
      </c>
      <c r="D45" s="12">
        <f t="shared" si="16"/>
        <v>-0.1003292299999986</v>
      </c>
      <c r="E45" s="12">
        <f t="shared" si="16"/>
        <v>-0.12927664999999866</v>
      </c>
      <c r="F45" s="12">
        <f t="shared" si="16"/>
        <v>-0.22590734000000057</v>
      </c>
      <c r="G45" s="13">
        <f t="shared" si="16"/>
        <v>-0.73289311999999995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7.7560869999999948E-2</v>
      </c>
      <c r="C46" s="12">
        <f t="shared" si="17"/>
        <v>9.7017180000000092E-2</v>
      </c>
      <c r="D46" s="12">
        <f t="shared" si="17"/>
        <v>0.11577688999999999</v>
      </c>
      <c r="E46" s="12">
        <f t="shared" si="17"/>
        <v>0.15406328000000002</v>
      </c>
      <c r="F46" s="12">
        <f t="shared" si="17"/>
        <v>0.30085051800000007</v>
      </c>
      <c r="G46" s="13">
        <f t="shared" si="17"/>
        <v>1.2166336099999999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4.8717009999999991E-2</v>
      </c>
      <c r="C47" s="12">
        <f t="shared" si="18"/>
        <v>6.5151400000000054E-2</v>
      </c>
      <c r="D47" s="12">
        <f t="shared" si="18"/>
        <v>8.122626000000005E-2</v>
      </c>
      <c r="E47" s="12">
        <f t="shared" si="18"/>
        <v>0.11100171999999989</v>
      </c>
      <c r="F47" s="12">
        <f t="shared" si="18"/>
        <v>0.21785925700000003</v>
      </c>
      <c r="G47" s="13">
        <f t="shared" si="18"/>
        <v>0.98712456700000006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-0.3830715900000059</v>
      </c>
      <c r="C48" s="12">
        <f t="shared" si="18"/>
        <v>-0.51876303999999207</v>
      </c>
      <c r="D48" s="12">
        <f t="shared" si="18"/>
        <v>-0.67357828999999869</v>
      </c>
      <c r="E48" s="12">
        <f t="shared" si="18"/>
        <v>-1.0411177599999988</v>
      </c>
      <c r="F48" s="12">
        <f t="shared" si="18"/>
        <v>-2.4580048500000062</v>
      </c>
      <c r="G48" s="13">
        <f t="shared" si="18"/>
        <v>-17.787567559999996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-1.7612059724864237</v>
      </c>
      <c r="C49" s="12">
        <f t="shared" si="18"/>
        <v>-2.2324390846755526</v>
      </c>
      <c r="D49" s="12">
        <f t="shared" si="18"/>
        <v>-2.6954211860647836</v>
      </c>
      <c r="E49" s="12">
        <f t="shared" si="18"/>
        <v>-3.6119939361743181</v>
      </c>
      <c r="F49" s="12">
        <f t="shared" si="18"/>
        <v>-6.6014015570079465</v>
      </c>
      <c r="G49" s="13">
        <f t="shared" si="18"/>
        <v>-22.746640781263704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348" t="s">
        <v>0</v>
      </c>
      <c r="D2" s="349"/>
      <c r="E2" s="349"/>
      <c r="F2" s="349"/>
      <c r="G2" s="349"/>
      <c r="H2" s="350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1.1252093159357823E-2</v>
      </c>
      <c r="D4" s="36">
        <f>VLOOKUP($B4,Baseline!$A$1:$AT$50,D$1,FALSE)</f>
        <v>1.1375472823364374E-2</v>
      </c>
      <c r="E4" s="36">
        <f>VLOOKUP($B4,Baseline!$A$1:$AT$50,E$1,FALSE)</f>
        <v>1.1476237140703338E-2</v>
      </c>
      <c r="F4" s="36">
        <f>VLOOKUP($B4,Baseline!$A$1:$AT$50,F$1,FALSE)</f>
        <v>1.1614092140754373E-2</v>
      </c>
      <c r="G4" s="36">
        <f>VLOOKUP($B4,Baseline!$A$1:$AT$50,G$1,FALSE)</f>
        <v>1.1726135871448662E-2</v>
      </c>
      <c r="H4" s="40">
        <f>VLOOKUP($B4,Baseline!$A$1:$AT$50,H$1,FALSE)</f>
        <v>1.1660367708691277E-2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1.9668197676172561E-2</v>
      </c>
      <c r="E5" s="18">
        <f>VLOOKUP($B5,Baseline!$A$1:$AT$50,E$1,FALSE)</f>
        <v>1.9714317259956093E-2</v>
      </c>
      <c r="F5" s="18">
        <f>VLOOKUP($B5,Baseline!$A$1:$AT$50,F$1,FALSE)</f>
        <v>1.982889790318465E-2</v>
      </c>
      <c r="G5" s="18">
        <f>VLOOKUP($B5,Baseline!$A$1:$AT$50,G$1,FALSE)</f>
        <v>2.0129185263145999E-2</v>
      </c>
      <c r="H5" s="41">
        <f>VLOOKUP($B5,Baseline!$A$1:$AT$50,H$1,FALSE)</f>
        <v>2.0366929276244283E-2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0.1441590549</v>
      </c>
      <c r="D6" s="18">
        <f>VLOOKUP($B6,Baseline!$A$1:$AT$50,D$1,FALSE)</f>
        <v>0.14419204229999999</v>
      </c>
      <c r="E6" s="18">
        <f>VLOOKUP($B6,Baseline!$A$1:$AT$50,E$1,FALSE)</f>
        <v>0.1441297882</v>
      </c>
      <c r="F6" s="18">
        <f>VLOOKUP($B6,Baseline!$A$1:$AT$50,F$1,FALSE)</f>
        <v>0.14381067819999999</v>
      </c>
      <c r="G6" s="18">
        <f>VLOOKUP($B6,Baseline!$A$1:$AT$50,G$1,FALSE)</f>
        <v>0.14261895090000001</v>
      </c>
      <c r="H6" s="41">
        <f>VLOOKUP($B6,Baseline!$A$1:$AT$50,H$1,FALSE)</f>
        <v>0.1388751318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0.9700480159</v>
      </c>
      <c r="D7" s="18">
        <f>VLOOKUP($B7,Baseline!$A$1:$AT$50,D$1,FALSE)</f>
        <v>0.97258711779999996</v>
      </c>
      <c r="E7" s="18">
        <f>VLOOKUP($B7,Baseline!$A$1:$AT$50,E$1,FALSE)</f>
        <v>0.9750314591</v>
      </c>
      <c r="F7" s="18">
        <f>VLOOKUP($B7,Baseline!$A$1:$AT$50,F$1,FALSE)</f>
        <v>0.97946805780000001</v>
      </c>
      <c r="G7" s="18">
        <f>VLOOKUP($B7,Baseline!$A$1:$AT$50,G$1,FALSE)</f>
        <v>0.98723105300000003</v>
      </c>
      <c r="H7" s="41">
        <f>VLOOKUP($B7,Baseline!$A$1:$AT$50,H$1,FALSE)</f>
        <v>0.97986828619999999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-1.14602514E-2</v>
      </c>
      <c r="D8" s="18">
        <f>VLOOKUP($B8,Baseline!$A$1:$AT$50,D$1,FALSE)</f>
        <v>-1.1637087900000001E-2</v>
      </c>
      <c r="E8" s="18">
        <f>VLOOKUP($B8,Baseline!$A$1:$AT$50,E$1,FALSE)</f>
        <v>-1.1732351800000001E-2</v>
      </c>
      <c r="F8" s="18">
        <f>VLOOKUP($B8,Baseline!$A$1:$AT$50,F$1,FALSE)</f>
        <v>-1.1733133099999999E-2</v>
      </c>
      <c r="G8" s="18">
        <f>VLOOKUP($B8,Baseline!$A$1:$AT$50,G$1,FALSE)</f>
        <v>-1.11774804E-2</v>
      </c>
      <c r="H8" s="41">
        <f>VLOOKUP($B8,Baseline!$A$1:$AT$50,H$1,FALSE)</f>
        <v>-8.4911300500000002E-3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-1.2772920199999999E-2</v>
      </c>
      <c r="D9" s="18">
        <f>VLOOKUP($B9,Baseline!$A$1:$AT$50,D$1,FALSE)</f>
        <v>-1.27849577E-2</v>
      </c>
      <c r="E9" s="18">
        <f>VLOOKUP($B9,Baseline!$A$1:$AT$50,E$1,FALSE)</f>
        <v>-1.2769053900000001E-2</v>
      </c>
      <c r="F9" s="18">
        <f>VLOOKUP($B9,Baseline!$A$1:$AT$50,F$1,FALSE)</f>
        <v>-1.26983687E-2</v>
      </c>
      <c r="G9" s="18">
        <f>VLOOKUP($B9,Baseline!$A$1:$AT$50,G$1,FALSE)</f>
        <v>-1.2442024600000001E-2</v>
      </c>
      <c r="H9" s="41">
        <f>VLOOKUP($B9,Baseline!$A$1:$AT$50,H$1,FALSE)</f>
        <v>-1.11389048E-2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362.0426344</v>
      </c>
      <c r="D10" s="21">
        <f>VLOOKUP($B10,Baseline!$A$1:$AT$50,D$1,FALSE)</f>
        <v>364.51423269999998</v>
      </c>
      <c r="E10" s="21">
        <f>VLOOKUP($B10,Baseline!$A$1:$AT$50,E$1,FALSE)</f>
        <v>367.11029619999999</v>
      </c>
      <c r="F10" s="21">
        <f>VLOOKUP($B10,Baseline!$A$1:$AT$50,F$1,FALSE)</f>
        <v>372.57878440000002</v>
      </c>
      <c r="G10" s="21">
        <f>VLOOKUP($B10,Baseline!$A$1:$AT$50,G$1,FALSE)</f>
        <v>387.32088449999998</v>
      </c>
      <c r="H10" s="42">
        <f>VLOOKUP($B10,Baseline!$A$1:$AT$50,H$1,FALSE)</f>
        <v>457.408886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354"/>
      <c r="D32" s="354"/>
      <c r="E32" s="354"/>
      <c r="F32" s="354"/>
      <c r="G32" s="354"/>
      <c r="H32" s="354"/>
    </row>
    <row r="33" spans="1:11" ht="15.75" x14ac:dyDescent="0.25">
      <c r="A33" s="9"/>
      <c r="B33" s="28"/>
      <c r="C33" s="352" t="s">
        <v>14</v>
      </c>
      <c r="D33" s="352"/>
      <c r="E33" s="352"/>
      <c r="F33" s="352"/>
      <c r="G33" s="352"/>
      <c r="H33" s="352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1.1252093159357823E-2</v>
      </c>
      <c r="D35" s="18">
        <f t="shared" ref="D35:H35" si="0">D4</f>
        <v>1.1375472823364374E-2</v>
      </c>
      <c r="E35" s="18">
        <f t="shared" si="0"/>
        <v>1.1476237140703338E-2</v>
      </c>
      <c r="F35" s="18">
        <f t="shared" si="0"/>
        <v>1.1614092140754373E-2</v>
      </c>
      <c r="G35" s="18">
        <f t="shared" si="0"/>
        <v>1.1726135871448662E-2</v>
      </c>
      <c r="H35" s="19">
        <f t="shared" si="0"/>
        <v>1.1660367708691277E-2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1.9668197676172561E-2</v>
      </c>
      <c r="E36" s="18">
        <f t="shared" si="1"/>
        <v>1.9714317259956093E-2</v>
      </c>
      <c r="F36" s="18">
        <f t="shared" si="1"/>
        <v>1.982889790318465E-2</v>
      </c>
      <c r="G36" s="18">
        <f t="shared" si="1"/>
        <v>2.0129185263145999E-2</v>
      </c>
      <c r="H36" s="19">
        <f t="shared" si="1"/>
        <v>2.0366929276244283E-2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0.1441590549</v>
      </c>
      <c r="D37" s="18">
        <f t="shared" si="2"/>
        <v>0.14419204229999999</v>
      </c>
      <c r="E37" s="18">
        <f t="shared" si="2"/>
        <v>0.1441297882</v>
      </c>
      <c r="F37" s="18">
        <f t="shared" si="2"/>
        <v>0.14381067819999999</v>
      </c>
      <c r="G37" s="18">
        <f t="shared" si="2"/>
        <v>0.14261895090000001</v>
      </c>
      <c r="H37" s="19">
        <f t="shared" si="2"/>
        <v>0.1388751318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0.9700480159</v>
      </c>
      <c r="D38" s="18">
        <f t="shared" si="3"/>
        <v>0.97258711779999996</v>
      </c>
      <c r="E38" s="18">
        <f t="shared" si="3"/>
        <v>0.9750314591</v>
      </c>
      <c r="F38" s="18">
        <f t="shared" si="3"/>
        <v>0.97946805780000001</v>
      </c>
      <c r="G38" s="18">
        <f t="shared" si="3"/>
        <v>0.98723105300000003</v>
      </c>
      <c r="H38" s="19">
        <f t="shared" si="3"/>
        <v>0.97986828619999999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-1.14602514E-2</v>
      </c>
      <c r="D39" s="18">
        <f t="shared" si="4"/>
        <v>-1.1637087900000001E-2</v>
      </c>
      <c r="E39" s="18">
        <f t="shared" si="4"/>
        <v>-1.1732351800000001E-2</v>
      </c>
      <c r="F39" s="18">
        <f t="shared" si="4"/>
        <v>-1.1733133099999999E-2</v>
      </c>
      <c r="G39" s="18">
        <f t="shared" si="4"/>
        <v>-1.11774804E-2</v>
      </c>
      <c r="H39" s="19">
        <f t="shared" si="4"/>
        <v>-8.4911300500000002E-3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-1.2772920199999999E-2</v>
      </c>
      <c r="D40" s="18">
        <f t="shared" si="5"/>
        <v>-1.27849577E-2</v>
      </c>
      <c r="E40" s="18">
        <f t="shared" si="5"/>
        <v>-1.2769053900000001E-2</v>
      </c>
      <c r="F40" s="18">
        <f t="shared" si="5"/>
        <v>-1.26983687E-2</v>
      </c>
      <c r="G40" s="18">
        <f t="shared" si="5"/>
        <v>-1.2442024600000001E-2</v>
      </c>
      <c r="H40" s="19">
        <f t="shared" si="5"/>
        <v>-1.11389048E-2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362.0426344</v>
      </c>
      <c r="D41" s="21">
        <f t="shared" si="6"/>
        <v>364.51423269999998</v>
      </c>
      <c r="E41" s="21">
        <f t="shared" si="6"/>
        <v>367.11029619999999</v>
      </c>
      <c r="F41" s="21">
        <f t="shared" si="6"/>
        <v>372.57878440000002</v>
      </c>
      <c r="G41" s="21">
        <f t="shared" si="6"/>
        <v>387.32088449999998</v>
      </c>
      <c r="H41" s="25">
        <f t="shared" si="6"/>
        <v>457.408886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31" sqref="H31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3.675428841194428E-2</v>
      </c>
      <c r="H2">
        <v>4.8738572254336532E-2</v>
      </c>
      <c r="I2">
        <v>6.009585893678171E-2</v>
      </c>
      <c r="J2">
        <v>7.0015106790588533E-2</v>
      </c>
      <c r="K2">
        <v>7.8444432843594036E-2</v>
      </c>
      <c r="L2">
        <v>8.596298329950347E-2</v>
      </c>
      <c r="M2">
        <v>9.3517875039306197E-2</v>
      </c>
      <c r="N2">
        <v>0.10215197422387412</v>
      </c>
      <c r="O2">
        <v>0.11279883931964996</v>
      </c>
      <c r="P2">
        <v>0.1261599893421117</v>
      </c>
      <c r="Q2">
        <v>0.1426524117757566</v>
      </c>
      <c r="R2">
        <v>0.16135000682691025</v>
      </c>
      <c r="S2">
        <v>0.1802489086113912</v>
      </c>
      <c r="T2">
        <v>0.19776241417297502</v>
      </c>
      <c r="U2">
        <v>0.21281821933873957</v>
      </c>
      <c r="V2">
        <v>0.22488162556755231</v>
      </c>
      <c r="W2">
        <v>0.23384640340853302</v>
      </c>
      <c r="X2">
        <v>0.23987807168803776</v>
      </c>
      <c r="Y2">
        <v>0.24327290629826415</v>
      </c>
      <c r="Z2">
        <v>0.24435604380725895</v>
      </c>
      <c r="AA2">
        <v>0.24341917386956347</v>
      </c>
      <c r="AB2">
        <v>0.24069008633054167</v>
      </c>
      <c r="AC2">
        <v>0.23632354167872904</v>
      </c>
      <c r="AD2">
        <v>0.23040663748350454</v>
      </c>
      <c r="AE2">
        <v>0.22297109119497893</v>
      </c>
      <c r="AF2">
        <v>0.21400903031845164</v>
      </c>
      <c r="AG2">
        <v>0.20348859299632593</v>
      </c>
      <c r="AH2">
        <v>0.19136789527074427</v>
      </c>
      <c r="AI2">
        <v>0.17760608603039074</v>
      </c>
      <c r="AJ2">
        <v>0.16217137907874601</v>
      </c>
      <c r="AK2">
        <v>0.14504591145982904</v>
      </c>
    </row>
    <row r="3" spans="1:37" x14ac:dyDescent="0.25">
      <c r="A3" t="s">
        <v>113</v>
      </c>
      <c r="B3">
        <v>0</v>
      </c>
      <c r="C3">
        <v>4.0055392577897919E-3</v>
      </c>
      <c r="D3">
        <v>1.3727548382114207E-2</v>
      </c>
      <c r="E3">
        <v>2.9358830272774306E-2</v>
      </c>
      <c r="F3">
        <v>5.0742052921504133E-2</v>
      </c>
      <c r="G3">
        <v>7.8457722130753638E-2</v>
      </c>
      <c r="H3">
        <v>0.11251556631557413</v>
      </c>
      <c r="I3">
        <v>0.15121566866254099</v>
      </c>
      <c r="J3">
        <v>0.19244796452977386</v>
      </c>
      <c r="K3">
        <v>0.23501692141201236</v>
      </c>
      <c r="L3">
        <v>0.27910298405513512</v>
      </c>
      <c r="M3">
        <v>0.32599045153041128</v>
      </c>
      <c r="N3">
        <v>0.37759554731375822</v>
      </c>
      <c r="O3">
        <v>0.43606675607372747</v>
      </c>
      <c r="P3">
        <v>0.50352805569837678</v>
      </c>
      <c r="Q3">
        <v>0.58194624165135433</v>
      </c>
      <c r="R3">
        <v>0.67185041528592393</v>
      </c>
      <c r="S3">
        <v>0.77157128575227052</v>
      </c>
      <c r="T3">
        <v>0.87851096397639772</v>
      </c>
      <c r="U3">
        <v>0.99028321912326689</v>
      </c>
      <c r="V3">
        <v>1.10523647917673</v>
      </c>
      <c r="W3">
        <v>1.2224211707336563</v>
      </c>
      <c r="X3">
        <v>1.3413526472340287</v>
      </c>
      <c r="Y3">
        <v>1.461767286362825</v>
      </c>
      <c r="Z3">
        <v>1.5834437545064528</v>
      </c>
      <c r="AA3">
        <v>1.7060965799519767</v>
      </c>
      <c r="AB3">
        <v>1.8293273655509701</v>
      </c>
      <c r="AC3">
        <v>1.9526152289849108</v>
      </c>
      <c r="AD3">
        <v>2.0753324063535805</v>
      </c>
      <c r="AE3">
        <v>2.196772555877069</v>
      </c>
      <c r="AF3">
        <v>2.3161832912837799</v>
      </c>
      <c r="AG3">
        <v>2.4327994142356646</v>
      </c>
      <c r="AH3">
        <v>2.5458709371255273</v>
      </c>
      <c r="AI3">
        <v>2.6546857633344745</v>
      </c>
      <c r="AJ3">
        <v>2.7585865444856639</v>
      </c>
      <c r="AK3">
        <v>2.8569809500042398</v>
      </c>
    </row>
    <row r="4" spans="1:37" x14ac:dyDescent="0.25">
      <c r="A4" t="s">
        <v>114</v>
      </c>
      <c r="B4">
        <v>0</v>
      </c>
      <c r="C4">
        <v>-4.6338231390774531E-3</v>
      </c>
      <c r="D4">
        <v>-1.1432338218120286E-2</v>
      </c>
      <c r="E4">
        <v>-1.9738649162925892E-2</v>
      </c>
      <c r="F4">
        <v>-3.0099289925600292E-2</v>
      </c>
      <c r="G4">
        <v>-4.3591278743360107E-2</v>
      </c>
      <c r="H4">
        <v>-5.9365516176024258E-2</v>
      </c>
      <c r="I4">
        <v>-7.5529889180436793E-2</v>
      </c>
      <c r="J4">
        <v>-9.1710764186325733E-2</v>
      </c>
      <c r="K4">
        <v>-0.1082526553606189</v>
      </c>
      <c r="L4">
        <v>-0.12569350278309743</v>
      </c>
      <c r="M4">
        <v>-0.14456916272882481</v>
      </c>
      <c r="N4">
        <v>-0.16541451695339937</v>
      </c>
      <c r="O4">
        <v>-0.18882793431833633</v>
      </c>
      <c r="P4">
        <v>-0.21552383094205485</v>
      </c>
      <c r="Q4">
        <v>-0.24634602124126159</v>
      </c>
      <c r="R4">
        <v>-0.28087374221729133</v>
      </c>
      <c r="S4">
        <v>-0.31788339104479313</v>
      </c>
      <c r="T4">
        <v>-0.35702665098213959</v>
      </c>
      <c r="U4">
        <v>-0.39828610098511241</v>
      </c>
      <c r="V4">
        <v>-0.44160759310606368</v>
      </c>
      <c r="W4">
        <v>-0.48676437698925712</v>
      </c>
      <c r="X4">
        <v>-0.53337375017448174</v>
      </c>
      <c r="Y4">
        <v>-0.58097564111110334</v>
      </c>
      <c r="Z4">
        <v>-0.629115377651146</v>
      </c>
      <c r="AA4">
        <v>-0.67740527239373849</v>
      </c>
      <c r="AB4">
        <v>-0.72555932896060105</v>
      </c>
      <c r="AC4">
        <v>-0.77340525642467517</v>
      </c>
      <c r="AD4">
        <v>-0.82088032963462121</v>
      </c>
      <c r="AE4">
        <v>-0.86801770131952338</v>
      </c>
      <c r="AF4">
        <v>-0.91492806052884124</v>
      </c>
      <c r="AG4">
        <v>-0.96178028429029228</v>
      </c>
      <c r="AH4">
        <v>-1.0087835254926292</v>
      </c>
      <c r="AI4">
        <v>-1.0561716562439316</v>
      </c>
      <c r="AJ4">
        <v>-1.1041910350297668</v>
      </c>
      <c r="AK4">
        <v>-1.153091425806807</v>
      </c>
    </row>
    <row r="5" spans="1:37" x14ac:dyDescent="0.25">
      <c r="A5" t="s">
        <v>115</v>
      </c>
      <c r="B5">
        <v>0</v>
      </c>
      <c r="C5">
        <v>-2.5491856302295446E-3</v>
      </c>
      <c r="D5">
        <v>-8.5910816649659161E-3</v>
      </c>
      <c r="E5">
        <v>-1.8818883106908046E-2</v>
      </c>
      <c r="F5">
        <v>-3.4155167018723454E-2</v>
      </c>
      <c r="G5">
        <v>-5.5920622417393595E-2</v>
      </c>
      <c r="H5">
        <v>-8.4743656817842794E-2</v>
      </c>
      <c r="I5">
        <v>-0.12011475921420711</v>
      </c>
      <c r="J5">
        <v>-0.16133862827192313</v>
      </c>
      <c r="K5">
        <v>-0.20791035179900108</v>
      </c>
      <c r="L5">
        <v>-0.25968196953497502</v>
      </c>
      <c r="M5">
        <v>-0.31694183765166306</v>
      </c>
      <c r="N5">
        <v>-0.38044514976971477</v>
      </c>
      <c r="O5">
        <v>-0.45141088649005567</v>
      </c>
      <c r="P5">
        <v>-0.53149316996680129</v>
      </c>
      <c r="Q5">
        <v>-0.62273485779784643</v>
      </c>
      <c r="R5">
        <v>-0.72664833176684374</v>
      </c>
      <c r="S5">
        <v>-0.84365631243028538</v>
      </c>
      <c r="T5">
        <v>-0.97362659854567379</v>
      </c>
      <c r="U5">
        <v>-1.116090505123446</v>
      </c>
      <c r="V5">
        <v>-1.2703568867630022</v>
      </c>
      <c r="W5">
        <v>-1.4355883316849671</v>
      </c>
      <c r="X5">
        <v>-1.6108573804437754</v>
      </c>
      <c r="Y5">
        <v>-1.7951870531409009</v>
      </c>
      <c r="Z5">
        <v>-1.9875783680686654</v>
      </c>
      <c r="AA5">
        <v>-2.1870276704960889</v>
      </c>
      <c r="AB5">
        <v>-2.3925368006765591</v>
      </c>
      <c r="AC5">
        <v>-2.6031189380972375</v>
      </c>
      <c r="AD5">
        <v>-2.8178016998180677</v>
      </c>
      <c r="AE5">
        <v>-3.0356291911333377</v>
      </c>
      <c r="AF5">
        <v>-3.255663481902149</v>
      </c>
      <c r="AG5">
        <v>-3.4769860226307459</v>
      </c>
      <c r="AH5">
        <v>-3.6986991698695681</v>
      </c>
      <c r="AI5">
        <v>-3.9199277359178497</v>
      </c>
      <c r="AJ5">
        <v>-4.1398207354947587</v>
      </c>
      <c r="AK5">
        <v>-4.3575532745635641</v>
      </c>
    </row>
    <row r="6" spans="1:37" x14ac:dyDescent="0.25">
      <c r="A6" t="s">
        <v>116</v>
      </c>
      <c r="B6">
        <v>0</v>
      </c>
      <c r="C6">
        <v>-9.7074529827434475E-3</v>
      </c>
      <c r="D6">
        <v>-2.1687179759621866E-2</v>
      </c>
      <c r="E6">
        <v>-3.4010922366944918E-2</v>
      </c>
      <c r="F6">
        <v>-4.7603819238506428E-2</v>
      </c>
      <c r="G6">
        <v>-6.4181484608138994E-2</v>
      </c>
      <c r="H6">
        <v>-8.1006384895143668E-2</v>
      </c>
      <c r="I6">
        <v>-9.3915886507911495E-2</v>
      </c>
      <c r="J6">
        <v>-0.10310887444271444</v>
      </c>
      <c r="K6">
        <v>-0.11033069662231831</v>
      </c>
      <c r="L6">
        <v>-0.11740134376440059</v>
      </c>
      <c r="M6">
        <v>-0.12577706943327494</v>
      </c>
      <c r="N6">
        <v>-0.13653471307765175</v>
      </c>
      <c r="O6">
        <v>-0.1504568711977905</v>
      </c>
      <c r="P6">
        <v>-0.16809946355931249</v>
      </c>
      <c r="Q6">
        <v>-0.18982160993969988</v>
      </c>
      <c r="R6">
        <v>-0.2127070505132389</v>
      </c>
      <c r="S6">
        <v>-0.23262718864660581</v>
      </c>
      <c r="T6">
        <v>-0.24862889259933407</v>
      </c>
      <c r="U6">
        <v>-0.26100229766630179</v>
      </c>
      <c r="V6">
        <v>-0.27025332345886888</v>
      </c>
      <c r="W6">
        <v>-0.27677430952776083</v>
      </c>
      <c r="X6">
        <v>-0.28082104880805536</v>
      </c>
      <c r="Y6">
        <v>-0.28258265608067656</v>
      </c>
      <c r="Z6">
        <v>-0.28225407517774581</v>
      </c>
      <c r="AA6">
        <v>-0.280084202406361</v>
      </c>
      <c r="AB6">
        <v>-0.27639747199564857</v>
      </c>
      <c r="AC6">
        <v>-0.27159551047148955</v>
      </c>
      <c r="AD6">
        <v>-0.26614580748079986</v>
      </c>
      <c r="AE6">
        <v>-0.26056376299383732</v>
      </c>
      <c r="AF6">
        <v>-0.25539199689675884</v>
      </c>
      <c r="AG6">
        <v>-0.25118047443831726</v>
      </c>
      <c r="AH6">
        <v>-0.24846850734993042</v>
      </c>
      <c r="AI6">
        <v>-0.24777016434299748</v>
      </c>
      <c r="AJ6">
        <v>-0.24956290490996125</v>
      </c>
      <c r="AK6">
        <v>-0.25427953200130027</v>
      </c>
    </row>
    <row r="7" spans="1:37" x14ac:dyDescent="0.25">
      <c r="A7" t="s">
        <v>117</v>
      </c>
      <c r="B7">
        <v>0</v>
      </c>
      <c r="C7">
        <v>5.3999496521850432E-3</v>
      </c>
      <c r="D7">
        <v>1.7255271085070412E-2</v>
      </c>
      <c r="E7">
        <v>3.4772077307776428E-2</v>
      </c>
      <c r="F7">
        <v>5.7523275998683232E-2</v>
      </c>
      <c r="G7">
        <v>8.6540381838062785E-2</v>
      </c>
      <c r="H7">
        <v>0.12157521038389518</v>
      </c>
      <c r="I7">
        <v>0.1601725494615458</v>
      </c>
      <c r="J7">
        <v>0.20029739158338167</v>
      </c>
      <c r="K7">
        <v>0.24145167875371243</v>
      </c>
      <c r="L7">
        <v>0.28453423812833112</v>
      </c>
      <c r="M7">
        <v>0.33122177928950336</v>
      </c>
      <c r="N7">
        <v>0.3834925694551572</v>
      </c>
      <c r="O7">
        <v>0.44335079979340719</v>
      </c>
      <c r="P7">
        <v>0.51269018637158936</v>
      </c>
      <c r="Q7">
        <v>0.59324440983614668</v>
      </c>
      <c r="R7">
        <v>0.68488719160502143</v>
      </c>
      <c r="S7">
        <v>0.78515264278795627</v>
      </c>
      <c r="T7">
        <v>0.89132880535132131</v>
      </c>
      <c r="U7">
        <v>1.0014621991219608</v>
      </c>
      <c r="V7">
        <v>1.1144572086887683</v>
      </c>
      <c r="W7">
        <v>1.2297586349639955</v>
      </c>
      <c r="X7">
        <v>1.3470635547808696</v>
      </c>
      <c r="Y7">
        <v>1.4661315748039083</v>
      </c>
      <c r="Z7">
        <v>1.5866780652403767</v>
      </c>
      <c r="AA7">
        <v>1.708323147136559</v>
      </c>
      <c r="AB7">
        <v>1.8305774431431443</v>
      </c>
      <c r="AC7">
        <v>1.9528497673490186</v>
      </c>
      <c r="AD7">
        <v>2.0744675332022622</v>
      </c>
      <c r="AE7">
        <v>2.1947049490877335</v>
      </c>
      <c r="AF7">
        <v>2.3128105708708713</v>
      </c>
      <c r="AG7">
        <v>2.4280346767987959</v>
      </c>
      <c r="AH7">
        <v>2.5396518677200497</v>
      </c>
      <c r="AI7">
        <v>2.646979012414219</v>
      </c>
      <c r="AJ7">
        <v>2.7493878676470906</v>
      </c>
      <c r="AK7">
        <v>2.8463130574759354</v>
      </c>
    </row>
    <row r="8" spans="1:37" x14ac:dyDescent="0.25">
      <c r="A8" t="s">
        <v>118</v>
      </c>
      <c r="B8">
        <v>0</v>
      </c>
      <c r="C8">
        <v>1.2359800000000254E-3</v>
      </c>
      <c r="D8">
        <v>3.1267899999992688E-3</v>
      </c>
      <c r="E8">
        <v>4.7976499999990985E-3</v>
      </c>
      <c r="F8">
        <v>6.0086799999997664E-3</v>
      </c>
      <c r="G8">
        <v>7.1594399999999614E-3</v>
      </c>
      <c r="H8">
        <v>8.0213899999986848E-3</v>
      </c>
      <c r="I8">
        <v>7.9267299999991048E-3</v>
      </c>
      <c r="J8">
        <v>6.943469999999563E-3</v>
      </c>
      <c r="K8">
        <v>5.6894800000012458E-3</v>
      </c>
      <c r="L8">
        <v>4.8000399999997834E-3</v>
      </c>
      <c r="M8">
        <v>4.6210800000001662E-3</v>
      </c>
      <c r="N8">
        <v>5.2065499999989773E-3</v>
      </c>
      <c r="O8">
        <v>6.4273000000003577E-3</v>
      </c>
      <c r="P8">
        <v>8.0790600000005264E-3</v>
      </c>
      <c r="Q8">
        <v>9.9548000000004855E-3</v>
      </c>
      <c r="R8">
        <v>1.147633000000009E-2</v>
      </c>
      <c r="S8">
        <v>1.1943920000000163E-2</v>
      </c>
      <c r="T8">
        <v>1.1260750000000042E-2</v>
      </c>
      <c r="U8">
        <v>9.8103799999998964E-3</v>
      </c>
      <c r="V8">
        <v>8.0829300000001547E-3</v>
      </c>
      <c r="W8">
        <v>6.4247300000000451E-3</v>
      </c>
      <c r="X8">
        <v>4.9947200000011183E-3</v>
      </c>
      <c r="Y8">
        <v>3.8125700000002372E-3</v>
      </c>
      <c r="Z8">
        <v>2.8221199999997615E-3</v>
      </c>
      <c r="AA8">
        <v>1.9405099999994513E-3</v>
      </c>
      <c r="AB8">
        <v>1.0882199999992515E-3</v>
      </c>
      <c r="AC8">
        <v>2.0386999999982836E-4</v>
      </c>
      <c r="AD8">
        <v>-7.5109000000073145E-4</v>
      </c>
      <c r="AE8">
        <v>-1.7933900000002834E-3</v>
      </c>
      <c r="AF8">
        <v>-2.9220800000007152E-3</v>
      </c>
      <c r="AG8">
        <v>-4.1234800000011784E-3</v>
      </c>
      <c r="AH8">
        <v>-5.3761600000007403E-3</v>
      </c>
      <c r="AI8">
        <v>-6.6552400000002843E-3</v>
      </c>
      <c r="AJ8">
        <v>-7.935679999999945E-3</v>
      </c>
      <c r="AK8">
        <v>-9.1944900000001661E-3</v>
      </c>
    </row>
    <row r="9" spans="1:37" x14ac:dyDescent="0.25">
      <c r="A9" t="s">
        <v>119</v>
      </c>
      <c r="B9">
        <v>0</v>
      </c>
      <c r="C9">
        <v>3.564481337581249E-2</v>
      </c>
      <c r="D9">
        <v>7.451175331247839E-2</v>
      </c>
      <c r="E9">
        <v>0.12266123394637507</v>
      </c>
      <c r="F9">
        <v>0.18626678847324385</v>
      </c>
      <c r="G9">
        <v>0.27150892751710565</v>
      </c>
      <c r="H9">
        <v>0.36952058289894119</v>
      </c>
      <c r="I9">
        <v>0.47010293291394056</v>
      </c>
      <c r="J9">
        <v>0.57633973261892457</v>
      </c>
      <c r="K9">
        <v>0.69099153762575138</v>
      </c>
      <c r="L9">
        <v>0.81690358037678212</v>
      </c>
      <c r="M9">
        <v>0.95734259160793478</v>
      </c>
      <c r="N9">
        <v>1.1161684575277109</v>
      </c>
      <c r="O9">
        <v>1.2978717164908726</v>
      </c>
      <c r="P9">
        <v>1.5075321986219858</v>
      </c>
      <c r="Q9">
        <v>1.7507386540959402</v>
      </c>
      <c r="R9">
        <v>2.0224970828861322</v>
      </c>
      <c r="S9">
        <v>2.3147610092684845</v>
      </c>
      <c r="T9">
        <v>2.6276678092947758</v>
      </c>
      <c r="U9">
        <v>2.9604915588276048</v>
      </c>
      <c r="V9">
        <v>3.3118777342181271</v>
      </c>
      <c r="W9">
        <v>3.6800960276071049</v>
      </c>
      <c r="X9">
        <v>4.0632206324088704</v>
      </c>
      <c r="Y9">
        <v>4.4592380756246719</v>
      </c>
      <c r="Z9">
        <v>4.8661038621982566</v>
      </c>
      <c r="AA9">
        <v>5.2817690514169513</v>
      </c>
      <c r="AB9">
        <v>5.7041901518308125</v>
      </c>
      <c r="AC9">
        <v>6.131331944069851</v>
      </c>
      <c r="AD9">
        <v>6.5611674203596149</v>
      </c>
      <c r="AE9">
        <v>6.9916764942540954</v>
      </c>
      <c r="AF9">
        <v>7.420847354032345</v>
      </c>
      <c r="AG9">
        <v>7.8466779912979234</v>
      </c>
      <c r="AH9">
        <v>8.2671806452786925</v>
      </c>
      <c r="AI9">
        <v>8.6803884117280905</v>
      </c>
      <c r="AJ9">
        <v>9.0843642352254506</v>
      </c>
      <c r="AK9">
        <v>9.4772122696094705</v>
      </c>
    </row>
    <row r="10" spans="1:37" x14ac:dyDescent="0.25">
      <c r="A10" t="s">
        <v>120</v>
      </c>
      <c r="B10">
        <v>0</v>
      </c>
      <c r="C10">
        <v>5.8105778391714935E-3</v>
      </c>
      <c r="D10">
        <v>1.7409199864637515E-2</v>
      </c>
      <c r="E10">
        <v>3.660132915010994E-2</v>
      </c>
      <c r="F10">
        <v>6.5554012837920617E-2</v>
      </c>
      <c r="G10">
        <v>0.10680856174265507</v>
      </c>
      <c r="H10">
        <v>0.16101627796076823</v>
      </c>
      <c r="I10">
        <v>0.22699330874180745</v>
      </c>
      <c r="J10">
        <v>0.30376118517134731</v>
      </c>
      <c r="K10">
        <v>0.39035096581423456</v>
      </c>
      <c r="L10">
        <v>0.48622175052746019</v>
      </c>
      <c r="M10">
        <v>0.59162577386466797</v>
      </c>
      <c r="N10">
        <v>0.70778923165957242</v>
      </c>
      <c r="O10">
        <v>0.83694583479712037</v>
      </c>
      <c r="P10">
        <v>0.98227978411451478</v>
      </c>
      <c r="Q10">
        <v>1.1478252411117884</v>
      </c>
      <c r="R10">
        <v>1.3364189955936467</v>
      </c>
      <c r="S10">
        <v>1.549013912075714</v>
      </c>
      <c r="T10">
        <v>1.785831894099621</v>
      </c>
      <c r="U10">
        <v>2.0461511823092415</v>
      </c>
      <c r="V10">
        <v>2.3285825191145637</v>
      </c>
      <c r="W10">
        <v>2.6313651799968252</v>
      </c>
      <c r="X10">
        <v>2.9525727863084494</v>
      </c>
      <c r="Y10">
        <v>3.2902295563524975</v>
      </c>
      <c r="Z10">
        <v>3.6423653098894837</v>
      </c>
      <c r="AA10">
        <v>4.0070350899589213</v>
      </c>
      <c r="AB10">
        <v>4.3823223347437157</v>
      </c>
      <c r="AC10">
        <v>4.7663351336242998</v>
      </c>
      <c r="AD10">
        <v>5.157200851833732</v>
      </c>
      <c r="AE10">
        <v>5.5530621125526425</v>
      </c>
      <c r="AF10">
        <v>5.952074587052536</v>
      </c>
      <c r="AG10">
        <v>6.3524064604046249</v>
      </c>
      <c r="AH10">
        <v>6.7522403940404097</v>
      </c>
      <c r="AI10">
        <v>7.1497764352109749</v>
      </c>
      <c r="AJ10">
        <v>7.5432367594374217</v>
      </c>
      <c r="AK10">
        <v>7.9308716263475576</v>
      </c>
    </row>
    <row r="11" spans="1:37" x14ac:dyDescent="0.25">
      <c r="A11" t="s">
        <v>121</v>
      </c>
      <c r="B11">
        <v>0</v>
      </c>
      <c r="C11">
        <v>-2.9375200939951718E-2</v>
      </c>
      <c r="D11">
        <v>-5.2075455450384389E-2</v>
      </c>
      <c r="E11">
        <v>-7.0848407248513823E-2</v>
      </c>
      <c r="F11">
        <v>-8.8333192952916306E-2</v>
      </c>
      <c r="G11">
        <v>-0.10681034013843016</v>
      </c>
      <c r="H11">
        <v>-0.11409150719374761</v>
      </c>
      <c r="I11">
        <v>-9.9489263249596949E-2</v>
      </c>
      <c r="J11">
        <v>-6.8390501972404039E-2</v>
      </c>
      <c r="K11">
        <v>-2.6412005098519487E-2</v>
      </c>
      <c r="L11">
        <v>2.1294043303221599E-2</v>
      </c>
      <c r="M11">
        <v>7.0585526076749616E-2</v>
      </c>
      <c r="N11">
        <v>0.1186125655856296</v>
      </c>
      <c r="O11">
        <v>0.16390129990759839</v>
      </c>
      <c r="P11">
        <v>0.20631749775792407</v>
      </c>
      <c r="Q11">
        <v>0.2469707851670222</v>
      </c>
      <c r="R11">
        <v>0.29877484660507658</v>
      </c>
      <c r="S11">
        <v>0.3752590705079939</v>
      </c>
      <c r="T11">
        <v>0.47735263485053636</v>
      </c>
      <c r="U11">
        <v>0.60458245639061214</v>
      </c>
      <c r="V11">
        <v>0.75553242550963073</v>
      </c>
      <c r="W11">
        <v>0.92828093383134913</v>
      </c>
      <c r="X11">
        <v>1.1206933783675765</v>
      </c>
      <c r="Y11">
        <v>1.3305873607489138</v>
      </c>
      <c r="Z11">
        <v>1.5558079195669539</v>
      </c>
      <c r="AA11">
        <v>1.7942545325374537</v>
      </c>
      <c r="AB11">
        <v>2.0438828671723419</v>
      </c>
      <c r="AC11">
        <v>2.3026965937011701</v>
      </c>
      <c r="AD11">
        <v>2.5687382163808836</v>
      </c>
      <c r="AE11">
        <v>2.8400808032867486</v>
      </c>
      <c r="AF11">
        <v>3.1148234040219602</v>
      </c>
      <c r="AG11">
        <v>3.3910888796235827</v>
      </c>
      <c r="AH11">
        <v>3.6670247320037541</v>
      </c>
      <c r="AI11">
        <v>3.9408061784461434</v>
      </c>
      <c r="AJ11">
        <v>4.2106409724884886</v>
      </c>
      <c r="AK11">
        <v>4.4747757301231816</v>
      </c>
    </row>
    <row r="12" spans="1:37" x14ac:dyDescent="0.25">
      <c r="A12" t="s">
        <v>122</v>
      </c>
      <c r="B12">
        <v>0</v>
      </c>
      <c r="C12">
        <v>4.2458743292561607E-2</v>
      </c>
      <c r="D12">
        <v>8.9778680120566889E-2</v>
      </c>
      <c r="E12">
        <v>0.14851579448025287</v>
      </c>
      <c r="F12">
        <v>0.22585094105325165</v>
      </c>
      <c r="G12">
        <v>0.32935998796101984</v>
      </c>
      <c r="H12">
        <v>0.44768826858940791</v>
      </c>
      <c r="I12">
        <v>0.56728174365983097</v>
      </c>
      <c r="J12">
        <v>0.69175234595819646</v>
      </c>
      <c r="K12">
        <v>0.82497563832155674</v>
      </c>
      <c r="L12">
        <v>0.97122731949939034</v>
      </c>
      <c r="M12">
        <v>1.1353592844286498</v>
      </c>
      <c r="N12">
        <v>1.3228774359171691</v>
      </c>
      <c r="O12">
        <v>1.539925427602995</v>
      </c>
      <c r="P12">
        <v>1.7932093238278712</v>
      </c>
      <c r="Q12">
        <v>2.0898956190398499</v>
      </c>
      <c r="R12">
        <v>2.4223555811371034</v>
      </c>
      <c r="S12">
        <v>2.7784096673563408</v>
      </c>
      <c r="T12">
        <v>3.1575394722442196</v>
      </c>
      <c r="U12">
        <v>3.5587583892700891</v>
      </c>
      <c r="V12">
        <v>3.9806983843974075</v>
      </c>
      <c r="W12">
        <v>4.4217609004915781</v>
      </c>
      <c r="X12">
        <v>4.8802303309745332</v>
      </c>
      <c r="Y12">
        <v>5.3543406018937922</v>
      </c>
      <c r="Z12">
        <v>5.8423078741301593</v>
      </c>
      <c r="AA12">
        <v>6.3423439638034873</v>
      </c>
      <c r="AB12">
        <v>6.8526602255797542</v>
      </c>
      <c r="AC12">
        <v>7.3714681701257057</v>
      </c>
      <c r="AD12">
        <v>7.8969784921267827</v>
      </c>
      <c r="AE12">
        <v>8.4274013498988545</v>
      </c>
      <c r="AF12">
        <v>8.9609464598652711</v>
      </c>
      <c r="AG12">
        <v>9.4958245215484673</v>
      </c>
      <c r="AH12">
        <v>10.030249799236636</v>
      </c>
      <c r="AI12">
        <v>10.562443013556155</v>
      </c>
      <c r="AJ12">
        <v>11.090636168201273</v>
      </c>
      <c r="AK12">
        <v>11.613077506346903</v>
      </c>
    </row>
    <row r="13" spans="1:37" x14ac:dyDescent="0.25">
      <c r="A13" t="s">
        <v>123</v>
      </c>
      <c r="B13">
        <v>0</v>
      </c>
      <c r="C13">
        <v>1.4166794160597185E-2</v>
      </c>
      <c r="D13">
        <v>3.7844698782163455E-2</v>
      </c>
      <c r="E13">
        <v>7.1235258308255389E-2</v>
      </c>
      <c r="F13">
        <v>0.11680205840070013</v>
      </c>
      <c r="G13">
        <v>0.17835931550487238</v>
      </c>
      <c r="H13">
        <v>0.25431324482032558</v>
      </c>
      <c r="I13">
        <v>0.33938229040177958</v>
      </c>
      <c r="J13">
        <v>0.4316857719868894</v>
      </c>
      <c r="K13">
        <v>0.53115289606366911</v>
      </c>
      <c r="L13">
        <v>0.63899438838832534</v>
      </c>
      <c r="M13">
        <v>0.75749896013792561</v>
      </c>
      <c r="N13">
        <v>0.88990517344422759</v>
      </c>
      <c r="O13">
        <v>1.0402760915505294</v>
      </c>
      <c r="P13">
        <v>1.2133729336131216</v>
      </c>
      <c r="Q13">
        <v>1.4145330871613515</v>
      </c>
      <c r="R13">
        <v>1.6445182286069837</v>
      </c>
      <c r="S13">
        <v>1.8998964734671775</v>
      </c>
      <c r="T13">
        <v>2.1784281472318368</v>
      </c>
      <c r="U13">
        <v>2.4781825831838855</v>
      </c>
      <c r="V13">
        <v>2.7973098004947738</v>
      </c>
      <c r="W13">
        <v>3.1340103518742835</v>
      </c>
      <c r="X13">
        <v>3.4865403773429726</v>
      </c>
      <c r="Y13">
        <v>3.8532107292365225</v>
      </c>
      <c r="Z13">
        <v>4.2323755683345787</v>
      </c>
      <c r="AA13">
        <v>4.6224172293187982</v>
      </c>
      <c r="AB13">
        <v>5.0217317333273392</v>
      </c>
      <c r="AC13">
        <v>5.4287191452327521</v>
      </c>
      <c r="AD13">
        <v>5.8417771170086841</v>
      </c>
      <c r="AE13">
        <v>6.259299353490988</v>
      </c>
      <c r="AF13">
        <v>6.679675898885562</v>
      </c>
      <c r="AG13">
        <v>7.1012959905422335</v>
      </c>
      <c r="AH13">
        <v>7.5225518293691396</v>
      </c>
      <c r="AI13">
        <v>7.9418435845699742</v>
      </c>
      <c r="AJ13">
        <v>8.3575848186848702</v>
      </c>
      <c r="AK13">
        <v>8.7682090831969752</v>
      </c>
    </row>
    <row r="14" spans="1:37" x14ac:dyDescent="0.25">
      <c r="A14" t="s">
        <v>124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5">
      <c r="A15" t="s">
        <v>125</v>
      </c>
      <c r="B15">
        <v>0</v>
      </c>
      <c r="C15">
        <v>6.0117937170645064E-4</v>
      </c>
      <c r="D15">
        <v>1.2267696218115631E-2</v>
      </c>
      <c r="E15">
        <v>3.5864523555328987E-2</v>
      </c>
      <c r="F15">
        <v>7.1671214529689387E-2</v>
      </c>
      <c r="G15">
        <v>0.12149582221829824</v>
      </c>
      <c r="H15">
        <v>0.18858050410446303</v>
      </c>
      <c r="I15">
        <v>0.27285209051604031</v>
      </c>
      <c r="J15">
        <v>0.37044544246807032</v>
      </c>
      <c r="K15">
        <v>0.47836434897368107</v>
      </c>
      <c r="L15">
        <v>0.595315274699737</v>
      </c>
      <c r="M15">
        <v>0.72162009701715046</v>
      </c>
      <c r="N15">
        <v>0.85899338485386778</v>
      </c>
      <c r="O15">
        <v>1.0103419216497933</v>
      </c>
      <c r="P15">
        <v>1.1795910700872714</v>
      </c>
      <c r="Q15">
        <v>1.3715251531530415</v>
      </c>
      <c r="R15">
        <v>1.591447600326279</v>
      </c>
      <c r="S15">
        <v>1.8417563770623424</v>
      </c>
      <c r="T15">
        <v>2.1210270619247629</v>
      </c>
      <c r="U15">
        <v>2.4270691177683101</v>
      </c>
      <c r="V15">
        <v>2.7576065808719186</v>
      </c>
      <c r="W15">
        <v>3.1103672572253327</v>
      </c>
      <c r="X15">
        <v>3.4830756706548005</v>
      </c>
      <c r="Y15">
        <v>3.8734527941521213</v>
      </c>
      <c r="Z15">
        <v>4.2792260523359493</v>
      </c>
      <c r="AA15">
        <v>4.698139689993619</v>
      </c>
      <c r="AB15">
        <v>5.1279600167020378</v>
      </c>
      <c r="AC15">
        <v>5.566475372437818</v>
      </c>
      <c r="AD15">
        <v>6.0114929601477352</v>
      </c>
      <c r="AE15">
        <v>6.4608350444962381</v>
      </c>
      <c r="AF15">
        <v>6.9123363757949141</v>
      </c>
      <c r="AG15">
        <v>7.3638430422306778</v>
      </c>
      <c r="AH15">
        <v>7.8132149200365486</v>
      </c>
      <c r="AI15">
        <v>8.2583290009827781</v>
      </c>
      <c r="AJ15">
        <v>8.6970861152653178</v>
      </c>
      <c r="AK15">
        <v>9.1274191390819492</v>
      </c>
    </row>
    <row r="16" spans="1:37" x14ac:dyDescent="0.25">
      <c r="A16" t="s">
        <v>126</v>
      </c>
      <c r="B16">
        <v>0</v>
      </c>
      <c r="C16">
        <v>2.9985186784320383E-2</v>
      </c>
      <c r="D16">
        <v>6.4376672268484647E-2</v>
      </c>
      <c r="E16">
        <v>0.10678858192383345</v>
      </c>
      <c r="F16">
        <v>0.16014588160320198</v>
      </c>
      <c r="G16">
        <v>0.22855027718549081</v>
      </c>
      <c r="H16">
        <v>0.30301773065501969</v>
      </c>
      <c r="I16">
        <v>0.37271217410255186</v>
      </c>
      <c r="J16">
        <v>0.43913626518283788</v>
      </c>
      <c r="K16">
        <v>0.5049096950506371</v>
      </c>
      <c r="L16">
        <v>0.57389903546454235</v>
      </c>
      <c r="M16">
        <v>0.65057536494024237</v>
      </c>
      <c r="N16">
        <v>0.73950368268824729</v>
      </c>
      <c r="O16">
        <v>0.84505558162579764</v>
      </c>
      <c r="P16">
        <v>0.97126966490712618</v>
      </c>
      <c r="Q16">
        <v>1.1217838924006296</v>
      </c>
      <c r="R16">
        <v>1.2888220716192444</v>
      </c>
      <c r="S16">
        <v>1.4610147277477559</v>
      </c>
      <c r="T16">
        <v>1.6358655718960335</v>
      </c>
      <c r="U16">
        <v>1.8115344516346221</v>
      </c>
      <c r="V16">
        <v>1.987061268486956</v>
      </c>
      <c r="W16">
        <v>2.1620167251650946</v>
      </c>
      <c r="X16">
        <v>2.3362006067054519</v>
      </c>
      <c r="Y16">
        <v>2.5094746591787898</v>
      </c>
      <c r="Z16">
        <v>2.6816960544890023</v>
      </c>
      <c r="AA16">
        <v>2.852700482137549</v>
      </c>
      <c r="AB16">
        <v>3.0223047021361582</v>
      </c>
      <c r="AC16">
        <v>3.1903154774315379</v>
      </c>
      <c r="AD16">
        <v>3.3565341293535278</v>
      </c>
      <c r="AE16">
        <v>3.520761781539794</v>
      </c>
      <c r="AF16">
        <v>3.6828001995304227</v>
      </c>
      <c r="AG16">
        <v>3.8424531538209905</v>
      </c>
      <c r="AH16">
        <v>3.9995265225987175</v>
      </c>
      <c r="AI16">
        <v>4.1538284719610186</v>
      </c>
      <c r="AJ16">
        <v>4.3051699125945309</v>
      </c>
      <c r="AK16">
        <v>4.453365260608666</v>
      </c>
    </row>
    <row r="17" spans="1:37" x14ac:dyDescent="0.25">
      <c r="A17" t="s">
        <v>127</v>
      </c>
      <c r="B17">
        <v>0</v>
      </c>
      <c r="C17">
        <v>1.3115900000011607</v>
      </c>
      <c r="D17">
        <v>4.027620000000752</v>
      </c>
      <c r="E17">
        <v>7.9804599999988568</v>
      </c>
      <c r="F17">
        <v>13.099419999998645</v>
      </c>
      <c r="G17">
        <v>19.518749999999272</v>
      </c>
      <c r="H17">
        <v>26.986350000002858</v>
      </c>
      <c r="I17">
        <v>34.739529999998922</v>
      </c>
      <c r="J17">
        <v>42.163759999999456</v>
      </c>
      <c r="K17">
        <v>49.001090000001568</v>
      </c>
      <c r="L17">
        <v>55.362229999998817</v>
      </c>
      <c r="M17">
        <v>61.648409999997966</v>
      </c>
      <c r="N17">
        <v>68.441899999997986</v>
      </c>
      <c r="O17">
        <v>76.399939999999333</v>
      </c>
      <c r="P17">
        <v>86.170450000001438</v>
      </c>
      <c r="Q17">
        <v>98.335049999997864</v>
      </c>
      <c r="R17">
        <v>112.90267999999924</v>
      </c>
      <c r="S17">
        <v>129.16825000000244</v>
      </c>
      <c r="T17">
        <v>146.27600000000166</v>
      </c>
      <c r="U17">
        <v>163.4736899999989</v>
      </c>
      <c r="V17">
        <v>180.21169999999984</v>
      </c>
      <c r="W17">
        <v>196.15566000000035</v>
      </c>
      <c r="X17">
        <v>211.15298999999868</v>
      </c>
      <c r="Y17">
        <v>225.18197000000146</v>
      </c>
      <c r="Z17">
        <v>238.3009200000015</v>
      </c>
      <c r="AA17">
        <v>250.60637000000133</v>
      </c>
      <c r="AB17">
        <v>262.20332000000053</v>
      </c>
      <c r="AC17">
        <v>273.18675999999687</v>
      </c>
      <c r="AD17">
        <v>283.63241999999809</v>
      </c>
      <c r="AE17">
        <v>293.59414000000106</v>
      </c>
      <c r="AF17">
        <v>303.10543999999936</v>
      </c>
      <c r="AG17">
        <v>312.18340000000171</v>
      </c>
      <c r="AH17">
        <v>320.83351000000039</v>
      </c>
      <c r="AI17">
        <v>329.05432999999903</v>
      </c>
      <c r="AJ17">
        <v>336.84159999999974</v>
      </c>
      <c r="AK17">
        <v>344.19142000000284</v>
      </c>
    </row>
    <row r="18" spans="1:37" x14ac:dyDescent="0.25">
      <c r="A18" t="s">
        <v>128</v>
      </c>
      <c r="B18">
        <v>0</v>
      </c>
      <c r="C18">
        <v>-3.4888499999996547E-3</v>
      </c>
      <c r="D18">
        <v>-1.042947999999877E-2</v>
      </c>
      <c r="E18">
        <v>-2.0226100000000913E-2</v>
      </c>
      <c r="F18">
        <v>-3.2649889999999959E-2</v>
      </c>
      <c r="G18">
        <v>-4.8038379999998382E-2</v>
      </c>
      <c r="H18">
        <v>-6.5679769999998916E-2</v>
      </c>
      <c r="I18">
        <v>-8.3592529999998444E-2</v>
      </c>
      <c r="J18">
        <v>-0.1003292299999986</v>
      </c>
      <c r="K18">
        <v>-0.11541371000000078</v>
      </c>
      <c r="L18">
        <v>-0.12927664999999866</v>
      </c>
      <c r="M18">
        <v>-0.14300297000000017</v>
      </c>
      <c r="N18">
        <v>-0.15803775999999881</v>
      </c>
      <c r="O18">
        <v>-0.17592809000000209</v>
      </c>
      <c r="P18">
        <v>-0.1981331599999997</v>
      </c>
      <c r="Q18">
        <v>-0.22590734000000057</v>
      </c>
      <c r="R18">
        <v>-0.25902955000000061</v>
      </c>
      <c r="S18">
        <v>-0.29556917000000127</v>
      </c>
      <c r="T18">
        <v>-0.33341608999999939</v>
      </c>
      <c r="U18">
        <v>-0.37085292999999853</v>
      </c>
      <c r="V18">
        <v>-0.40672053999999958</v>
      </c>
      <c r="W18">
        <v>-0.4403887199999984</v>
      </c>
      <c r="X18">
        <v>-0.47164000000000095</v>
      </c>
      <c r="Y18">
        <v>-0.50053154000000155</v>
      </c>
      <c r="Z18">
        <v>-0.5272716599999977</v>
      </c>
      <c r="AA18">
        <v>-0.55212634000000038</v>
      </c>
      <c r="AB18">
        <v>-0.57535733999999894</v>
      </c>
      <c r="AC18">
        <v>-0.59718773999999919</v>
      </c>
      <c r="AD18">
        <v>-0.61778763000000236</v>
      </c>
      <c r="AE18">
        <v>-0.6372735200000007</v>
      </c>
      <c r="AF18">
        <v>-0.65571570000000079</v>
      </c>
      <c r="AG18">
        <v>-0.67314919999999778</v>
      </c>
      <c r="AH18">
        <v>-0.68958574000000106</v>
      </c>
      <c r="AI18">
        <v>-0.70502446999999857</v>
      </c>
      <c r="AJ18">
        <v>-0.71946084999999771</v>
      </c>
      <c r="AK18">
        <v>-0.73289311999999995</v>
      </c>
    </row>
    <row r="19" spans="1:37" x14ac:dyDescent="0.25">
      <c r="A19" t="s">
        <v>129</v>
      </c>
      <c r="B19">
        <v>0</v>
      </c>
      <c r="C19">
        <v>6.5387899999999957E-3</v>
      </c>
      <c r="D19">
        <v>1.5627129999999829E-2</v>
      </c>
      <c r="E19">
        <v>2.6593549999999987E-2</v>
      </c>
      <c r="F19">
        <v>4.019623999999989E-2</v>
      </c>
      <c r="G19">
        <v>5.7704959999999896E-2</v>
      </c>
      <c r="H19">
        <v>7.7560869999999948E-2</v>
      </c>
      <c r="I19">
        <v>9.7017180000000092E-2</v>
      </c>
      <c r="J19">
        <v>0.11577688999999999</v>
      </c>
      <c r="K19">
        <v>0.1344808500000001</v>
      </c>
      <c r="L19">
        <v>0.15406328000000002</v>
      </c>
      <c r="M19">
        <v>0.17553528000000002</v>
      </c>
      <c r="N19">
        <v>0.19992763</v>
      </c>
      <c r="O19">
        <v>0.22827308000000004</v>
      </c>
      <c r="P19">
        <v>0.26158842999999993</v>
      </c>
      <c r="Q19">
        <v>0.30085051800000007</v>
      </c>
      <c r="R19">
        <v>0.34482179399999996</v>
      </c>
      <c r="S19">
        <v>0.3910156580000001</v>
      </c>
      <c r="T19">
        <v>0.43843659600000007</v>
      </c>
      <c r="U19">
        <v>0.48664226999999993</v>
      </c>
      <c r="V19">
        <v>0.53534705900000001</v>
      </c>
      <c r="W19">
        <v>0.58429876300000005</v>
      </c>
      <c r="X19">
        <v>0.63325968899999996</v>
      </c>
      <c r="Y19">
        <v>0.68201603099999997</v>
      </c>
      <c r="Z19">
        <v>0.73038805200000001</v>
      </c>
      <c r="AA19">
        <v>0.77823450199999999</v>
      </c>
      <c r="AB19">
        <v>0.82545167699999999</v>
      </c>
      <c r="AC19">
        <v>0.87196914500000011</v>
      </c>
      <c r="AD19">
        <v>0.9177436149999999</v>
      </c>
      <c r="AE19">
        <v>0.96275240200000001</v>
      </c>
      <c r="AF19">
        <v>1.006987152</v>
      </c>
      <c r="AG19">
        <v>1.0504481643000001</v>
      </c>
      <c r="AH19">
        <v>1.0931398014</v>
      </c>
      <c r="AI19">
        <v>1.1350668248700002</v>
      </c>
      <c r="AJ19">
        <v>1.1762318341</v>
      </c>
      <c r="AK19">
        <v>1.2166336099999999</v>
      </c>
    </row>
    <row r="20" spans="1:37" x14ac:dyDescent="0.25">
      <c r="A20" t="s">
        <v>130</v>
      </c>
      <c r="B20">
        <v>0</v>
      </c>
      <c r="C20">
        <v>-6.1921999999943467E-5</v>
      </c>
      <c r="D20">
        <v>4.814832000000005E-3</v>
      </c>
      <c r="E20">
        <v>1.2596930000000062E-2</v>
      </c>
      <c r="F20">
        <v>2.2305480000000058E-2</v>
      </c>
      <c r="G20">
        <v>3.4082960000000016E-2</v>
      </c>
      <c r="H20">
        <v>4.8717009999999991E-2</v>
      </c>
      <c r="I20">
        <v>6.5151400000000054E-2</v>
      </c>
      <c r="J20">
        <v>8.122626000000005E-2</v>
      </c>
      <c r="K20">
        <v>9.6342760000000041E-2</v>
      </c>
      <c r="L20">
        <v>0.11100171999999989</v>
      </c>
      <c r="M20">
        <v>0.12627738999999999</v>
      </c>
      <c r="N20">
        <v>0.14343962000000002</v>
      </c>
      <c r="O20">
        <v>0.16372731399999993</v>
      </c>
      <c r="P20">
        <v>0.18823304900000004</v>
      </c>
      <c r="Q20">
        <v>0.21785925700000003</v>
      </c>
      <c r="R20">
        <v>0.25311527199999989</v>
      </c>
      <c r="S20">
        <v>0.29269831899999993</v>
      </c>
      <c r="T20">
        <v>0.33419094199999988</v>
      </c>
      <c r="U20">
        <v>0.37607814700000003</v>
      </c>
      <c r="V20">
        <v>0.41761501600000012</v>
      </c>
      <c r="W20">
        <v>0.45855980200000007</v>
      </c>
      <c r="X20">
        <v>0.49894471200000007</v>
      </c>
      <c r="Y20">
        <v>0.5389140790000001</v>
      </c>
      <c r="Z20">
        <v>0.57862221599999997</v>
      </c>
      <c r="AA20">
        <v>0.61817667199999993</v>
      </c>
      <c r="AB20">
        <v>0.65761354900000013</v>
      </c>
      <c r="AC20">
        <v>0.69689416299999996</v>
      </c>
      <c r="AD20">
        <v>0.73591467099999996</v>
      </c>
      <c r="AE20">
        <v>0.77452244999999997</v>
      </c>
      <c r="AF20">
        <v>0.81253462359999995</v>
      </c>
      <c r="AG20">
        <v>0.84975578289999998</v>
      </c>
      <c r="AH20">
        <v>0.88599303371000004</v>
      </c>
      <c r="AI20">
        <v>0.9210674578000001</v>
      </c>
      <c r="AJ20">
        <v>0.95482178870000012</v>
      </c>
      <c r="AK20">
        <v>0.98712456700000006</v>
      </c>
    </row>
    <row r="21" spans="1:37" x14ac:dyDescent="0.25">
      <c r="A21" t="s">
        <v>131</v>
      </c>
      <c r="B21">
        <v>0</v>
      </c>
      <c r="C21">
        <v>-2.4781200000001391E-2</v>
      </c>
      <c r="D21">
        <v>-5.6029579999994361E-2</v>
      </c>
      <c r="E21">
        <v>-0.10247763999999826</v>
      </c>
      <c r="F21">
        <v>-0.1702542900000048</v>
      </c>
      <c r="G21">
        <v>-0.26509135000000184</v>
      </c>
      <c r="H21">
        <v>-0.3830715900000059</v>
      </c>
      <c r="I21">
        <v>-0.51876303999999207</v>
      </c>
      <c r="J21">
        <v>-0.67357828999999869</v>
      </c>
      <c r="K21">
        <v>-0.84745628999999267</v>
      </c>
      <c r="L21">
        <v>-1.0411177599999988</v>
      </c>
      <c r="M21">
        <v>-1.2570876700000011</v>
      </c>
      <c r="N21">
        <v>-1.4998753600000025</v>
      </c>
      <c r="O21">
        <v>-1.7757328099999969</v>
      </c>
      <c r="P21">
        <v>-2.0922605900000057</v>
      </c>
      <c r="Q21">
        <v>-2.4580048500000062</v>
      </c>
      <c r="R21">
        <v>-2.8742685799999945</v>
      </c>
      <c r="S21">
        <v>-3.3388587500000066</v>
      </c>
      <c r="T21">
        <v>-3.8524406399999989</v>
      </c>
      <c r="U21">
        <v>-4.4130114699999945</v>
      </c>
      <c r="V21">
        <v>-5.0175449199999944</v>
      </c>
      <c r="W21">
        <v>-5.6629382400000043</v>
      </c>
      <c r="X21">
        <v>-6.3464114300000096</v>
      </c>
      <c r="Y21">
        <v>-7.0655892600000048</v>
      </c>
      <c r="Z21">
        <v>-7.818432629999994</v>
      </c>
      <c r="AA21">
        <v>-8.6031178099999934</v>
      </c>
      <c r="AB21">
        <v>-9.4179148699999988</v>
      </c>
      <c r="AC21">
        <v>-10.261088579999999</v>
      </c>
      <c r="AD21">
        <v>-11.13082971</v>
      </c>
      <c r="AE21">
        <v>-12.025216399999994</v>
      </c>
      <c r="AF21">
        <v>-12.942201370000006</v>
      </c>
      <c r="AG21">
        <v>-13.879619160000001</v>
      </c>
      <c r="AH21">
        <v>-14.835207519999994</v>
      </c>
      <c r="AI21">
        <v>-15.806637040000005</v>
      </c>
      <c r="AJ21">
        <v>-16.791544720000008</v>
      </c>
      <c r="AK21">
        <v>-17.787567559999996</v>
      </c>
    </row>
    <row r="22" spans="1:37" x14ac:dyDescent="0.25">
      <c r="A22" t="s">
        <v>132</v>
      </c>
      <c r="B22">
        <v>0</v>
      </c>
      <c r="C22">
        <v>-0.1212422627225096</v>
      </c>
      <c r="D22">
        <v>-0.31745265344894635</v>
      </c>
      <c r="E22">
        <v>-0.57356653760012311</v>
      </c>
      <c r="F22">
        <v>-0.89534443723829904</v>
      </c>
      <c r="G22">
        <v>-1.2994357164767045</v>
      </c>
      <c r="H22">
        <v>-1.7612059724864237</v>
      </c>
      <c r="I22">
        <v>-2.2324390846755526</v>
      </c>
      <c r="J22">
        <v>-2.6954211860647836</v>
      </c>
      <c r="K22">
        <v>-3.1513473496157629</v>
      </c>
      <c r="L22">
        <v>-3.6119939361743181</v>
      </c>
      <c r="M22">
        <v>-4.094415954684294</v>
      </c>
      <c r="N22">
        <v>-4.6174949122913418</v>
      </c>
      <c r="O22">
        <v>-5.1995490228767931</v>
      </c>
      <c r="P22">
        <v>-5.8566231188115658</v>
      </c>
      <c r="Q22">
        <v>-6.6014015570079465</v>
      </c>
      <c r="R22">
        <v>-7.4194710113869906</v>
      </c>
      <c r="S22">
        <v>-8.2777056500303985</v>
      </c>
      <c r="T22">
        <v>-9.1540120262801334</v>
      </c>
      <c r="U22">
        <v>-10.034458835737203</v>
      </c>
      <c r="V22">
        <v>-10.910528944058473</v>
      </c>
      <c r="W22">
        <v>-11.777204758282245</v>
      </c>
      <c r="X22">
        <v>-12.631733003522283</v>
      </c>
      <c r="Y22">
        <v>-13.472836398216092</v>
      </c>
      <c r="Z22">
        <v>-14.300206989976916</v>
      </c>
      <c r="AA22">
        <v>-15.114174645059887</v>
      </c>
      <c r="AB22">
        <v>-15.915485574569576</v>
      </c>
      <c r="AC22">
        <v>-16.705150764984911</v>
      </c>
      <c r="AD22">
        <v>-17.484338415407851</v>
      </c>
      <c r="AE22">
        <v>-18.254295059975366</v>
      </c>
      <c r="AF22">
        <v>-19.016284320756917</v>
      </c>
      <c r="AG22">
        <v>-19.771539191583564</v>
      </c>
      <c r="AH22">
        <v>-20.521220807955643</v>
      </c>
      <c r="AI22">
        <v>-21.266382982636365</v>
      </c>
      <c r="AJ22">
        <v>-22.007940450205908</v>
      </c>
      <c r="AK22">
        <v>-22.746640781263704</v>
      </c>
    </row>
    <row r="23" spans="1:37" x14ac:dyDescent="0.25">
      <c r="A23" t="s">
        <v>133</v>
      </c>
      <c r="B23">
        <v>0</v>
      </c>
      <c r="C23">
        <v>2.1929801292393551E-3</v>
      </c>
      <c r="D23">
        <v>7.5184546232559641E-3</v>
      </c>
      <c r="E23">
        <v>1.6082426605880946E-2</v>
      </c>
      <c r="F23">
        <v>2.7795420576632132E-2</v>
      </c>
      <c r="G23">
        <v>4.2970976653510254E-2</v>
      </c>
      <c r="H23">
        <v>6.1611112926349514E-2</v>
      </c>
      <c r="I23">
        <v>8.2784009888317148E-2</v>
      </c>
      <c r="J23">
        <v>0.10533604742285728</v>
      </c>
      <c r="K23">
        <v>0.12861588418264308</v>
      </c>
      <c r="L23">
        <v>0.15272544968730833</v>
      </c>
      <c r="M23">
        <v>0.17837011329577626</v>
      </c>
      <c r="N23">
        <v>0.2066003486214317</v>
      </c>
      <c r="O23">
        <v>0.23859338027939864</v>
      </c>
      <c r="P23">
        <v>0.27551308756454418</v>
      </c>
      <c r="Q23">
        <v>0.31843770756627204</v>
      </c>
      <c r="R23">
        <v>0.36765925482625389</v>
      </c>
      <c r="S23">
        <v>0.422266946577388</v>
      </c>
      <c r="T23">
        <v>0.48084151497358008</v>
      </c>
      <c r="U23">
        <v>0.54207887069117044</v>
      </c>
      <c r="V23">
        <v>0.60507626449336727</v>
      </c>
      <c r="W23">
        <v>0.66931450264481518</v>
      </c>
      <c r="X23">
        <v>0.73452829882734683</v>
      </c>
      <c r="Y23">
        <v>0.80057284992927424</v>
      </c>
      <c r="Z23">
        <v>0.86732603850979939</v>
      </c>
      <c r="AA23">
        <v>0.93463019624378585</v>
      </c>
      <c r="AB23">
        <v>1.0022654131686775</v>
      </c>
      <c r="AC23">
        <v>1.0699443439920739</v>
      </c>
      <c r="AD23">
        <v>1.1373208059818991</v>
      </c>
      <c r="AE23">
        <v>1.2040053514960891</v>
      </c>
      <c r="AF23">
        <v>1.2695831772577657</v>
      </c>
      <c r="AG23">
        <v>1.3336324167502562</v>
      </c>
      <c r="AH23">
        <v>1.3957395880125727</v>
      </c>
      <c r="AI23">
        <v>1.4555121056877469</v>
      </c>
      <c r="AJ23">
        <v>1.5125875871955801</v>
      </c>
      <c r="AK23">
        <v>1.5666395386702705</v>
      </c>
    </row>
    <row r="24" spans="1:37" x14ac:dyDescent="0.25">
      <c r="A24" t="s">
        <v>134</v>
      </c>
      <c r="B24">
        <v>0</v>
      </c>
      <c r="C24">
        <v>-9.9763864684440759E-4</v>
      </c>
      <c r="D24">
        <v>-2.462690351238916E-3</v>
      </c>
      <c r="E24">
        <v>-4.2537118431673158E-3</v>
      </c>
      <c r="F24">
        <v>-6.4880603463437153E-3</v>
      </c>
      <c r="G24">
        <v>-9.39750066284494E-3</v>
      </c>
      <c r="H24">
        <v>-1.2798618492635741E-2</v>
      </c>
      <c r="I24">
        <v>-1.6283173430287231E-2</v>
      </c>
      <c r="J24">
        <v>-1.9770476254849643E-2</v>
      </c>
      <c r="K24">
        <v>-2.3334814080219347E-2</v>
      </c>
      <c r="L24">
        <v>-2.709223314837261E-2</v>
      </c>
      <c r="M24">
        <v>-3.1158342958253107E-2</v>
      </c>
      <c r="N24">
        <v>-3.5648542828729861E-2</v>
      </c>
      <c r="O24">
        <v>-4.0691918324186324E-2</v>
      </c>
      <c r="P24">
        <v>-4.644257746437265E-2</v>
      </c>
      <c r="Q24">
        <v>-5.3082542528644465E-2</v>
      </c>
      <c r="R24">
        <v>-6.0521403437572591E-2</v>
      </c>
      <c r="S24">
        <v>-6.8495843217574431E-2</v>
      </c>
      <c r="T24">
        <v>-7.6931207019790351E-2</v>
      </c>
      <c r="U24">
        <v>-8.5824172437211521E-2</v>
      </c>
      <c r="V24">
        <v>-9.516352380878422E-2</v>
      </c>
      <c r="W24">
        <v>-0.10490085705417057</v>
      </c>
      <c r="X24">
        <v>-0.11495414160961029</v>
      </c>
      <c r="Y24">
        <v>-0.12522462561397507</v>
      </c>
      <c r="Z24">
        <v>-0.13561464815759339</v>
      </c>
      <c r="AA24">
        <v>-0.1460408968902312</v>
      </c>
      <c r="AB24">
        <v>-0.15644188361829028</v>
      </c>
      <c r="AC24">
        <v>-0.16678053866974724</v>
      </c>
      <c r="AD24">
        <v>-0.17704333043301432</v>
      </c>
      <c r="AE24">
        <v>-0.18723732920923136</v>
      </c>
      <c r="AF24">
        <v>-0.19738626947088458</v>
      </c>
      <c r="AG24">
        <v>-0.20752639330270237</v>
      </c>
      <c r="AH24">
        <v>-0.21770260073032716</v>
      </c>
      <c r="AI24">
        <v>-0.22796510530214692</v>
      </c>
      <c r="AJ24">
        <v>-0.23836680321383855</v>
      </c>
      <c r="AK24">
        <v>-0.24896131887889866</v>
      </c>
    </row>
    <row r="25" spans="1:37" x14ac:dyDescent="0.25">
      <c r="A25" t="s">
        <v>135</v>
      </c>
      <c r="B25">
        <v>0</v>
      </c>
      <c r="C25">
        <v>2.1687683099262615E-3</v>
      </c>
      <c r="D25">
        <v>4.0265624211144341E-3</v>
      </c>
      <c r="E25">
        <v>4.7914325929475097E-3</v>
      </c>
      <c r="F25">
        <v>4.4664594628584754E-3</v>
      </c>
      <c r="G25">
        <v>3.1807951710291975E-3</v>
      </c>
      <c r="H25">
        <v>-7.3934973113505697E-5</v>
      </c>
      <c r="I25">
        <v>-6.4049606547935288E-3</v>
      </c>
      <c r="J25">
        <v>-1.5550476883721626E-2</v>
      </c>
      <c r="K25">
        <v>-2.6836641379988889E-2</v>
      </c>
      <c r="L25">
        <v>-3.9670208796402769E-2</v>
      </c>
      <c r="M25">
        <v>-5.3693895298208796E-2</v>
      </c>
      <c r="N25">
        <v>-6.8799803706163162E-2</v>
      </c>
      <c r="O25">
        <v>-8.5102599029611009E-2</v>
      </c>
      <c r="P25">
        <v>-0.10291054797933855</v>
      </c>
      <c r="Q25">
        <v>-0.12270277248028133</v>
      </c>
      <c r="R25">
        <v>-0.14578785975824202</v>
      </c>
      <c r="S25">
        <v>-0.17352223980913228</v>
      </c>
      <c r="T25">
        <v>-0.20614789749233189</v>
      </c>
      <c r="U25">
        <v>-0.2434364972575899</v>
      </c>
      <c r="V25">
        <v>-0.28503111511704249</v>
      </c>
      <c r="W25">
        <v>-0.33056725651768409</v>
      </c>
      <c r="X25">
        <v>-0.37969609261439285</v>
      </c>
      <c r="Y25">
        <v>-0.4320753005105552</v>
      </c>
      <c r="Z25">
        <v>-0.48735534654494833</v>
      </c>
      <c r="AA25">
        <v>-0.54517012206335902</v>
      </c>
      <c r="AB25">
        <v>-0.60513344321984563</v>
      </c>
      <c r="AC25">
        <v>-0.66684024693399435</v>
      </c>
      <c r="AD25">
        <v>-0.72987085788497541</v>
      </c>
      <c r="AE25">
        <v>-0.79379690823635118</v>
      </c>
      <c r="AF25">
        <v>-0.85818789360515157</v>
      </c>
      <c r="AG25">
        <v>-0.92261744959165826</v>
      </c>
      <c r="AH25">
        <v>-0.98666908570501266</v>
      </c>
      <c r="AI25">
        <v>-1.049940901887737</v>
      </c>
      <c r="AJ25">
        <v>-1.112049392579292</v>
      </c>
      <c r="AK25">
        <v>-1.1726322991952836</v>
      </c>
    </row>
    <row r="26" spans="1:37" x14ac:dyDescent="0.25">
      <c r="A26" t="s">
        <v>136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1.1108712116434827E-2</v>
      </c>
      <c r="H2">
        <v>1.1252093159357823E-2</v>
      </c>
      <c r="I2">
        <v>1.1375472823364374E-2</v>
      </c>
      <c r="J2">
        <v>1.1476237140703338E-2</v>
      </c>
      <c r="K2">
        <v>1.1554988254227627E-2</v>
      </c>
      <c r="L2">
        <v>1.1614092140754373E-2</v>
      </c>
      <c r="M2">
        <v>1.1656738013605006E-2</v>
      </c>
      <c r="N2">
        <v>1.1686314337850057E-2</v>
      </c>
      <c r="O2">
        <v>1.1706003474639459E-2</v>
      </c>
      <c r="P2">
        <v>1.171854807389483E-2</v>
      </c>
      <c r="Q2">
        <v>1.1726135871448662E-2</v>
      </c>
      <c r="R2">
        <v>1.1730408292628169E-2</v>
      </c>
      <c r="S2">
        <v>1.1732512801927442E-2</v>
      </c>
      <c r="T2">
        <v>1.1733198495621933E-2</v>
      </c>
      <c r="U2">
        <v>1.1732908704036316E-2</v>
      </c>
      <c r="V2">
        <v>1.1731876729581536E-2</v>
      </c>
      <c r="W2">
        <v>1.173020196421426E-2</v>
      </c>
      <c r="X2">
        <v>1.1727914309837884E-2</v>
      </c>
      <c r="Y2">
        <v>1.1725016024030754E-2</v>
      </c>
      <c r="Z2">
        <v>1.1721511956768182E-2</v>
      </c>
      <c r="AA2">
        <v>1.1717423221064394E-2</v>
      </c>
      <c r="AB2">
        <v>1.1712793249015752E-2</v>
      </c>
      <c r="AC2">
        <v>1.1707687565019498E-2</v>
      </c>
      <c r="AD2">
        <v>1.1702186832551975E-2</v>
      </c>
      <c r="AE2">
        <v>1.1696385357961026E-2</v>
      </c>
      <c r="AF2">
        <v>1.169037987732735E-2</v>
      </c>
      <c r="AG2">
        <v>1.1684265665574234E-2</v>
      </c>
      <c r="AH2">
        <v>1.1678133269040103E-2</v>
      </c>
      <c r="AI2">
        <v>1.1672062348727197E-2</v>
      </c>
      <c r="AJ2">
        <v>1.1666121327831291E-2</v>
      </c>
      <c r="AK2">
        <v>1.1660367708691277E-2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1.9668197676172561E-2</v>
      </c>
      <c r="J3">
        <v>1.9714317259956093E-2</v>
      </c>
      <c r="K3">
        <v>1.9769024890948783E-2</v>
      </c>
      <c r="L3">
        <v>1.982889790318465E-2</v>
      </c>
      <c r="M3">
        <v>1.9891268495833669E-2</v>
      </c>
      <c r="N3">
        <v>1.9953994994787561E-2</v>
      </c>
      <c r="O3">
        <v>2.0015379151087087E-2</v>
      </c>
      <c r="P3">
        <v>2.0074100242836623E-2</v>
      </c>
      <c r="Q3">
        <v>2.0129185263145999E-2</v>
      </c>
      <c r="R3">
        <v>2.01799556550597E-2</v>
      </c>
      <c r="S3">
        <v>2.0225984415443321E-2</v>
      </c>
      <c r="T3">
        <v>2.0267046672765909E-2</v>
      </c>
      <c r="U3">
        <v>2.0303071497009384E-2</v>
      </c>
      <c r="V3">
        <v>2.0334107630878284E-2</v>
      </c>
      <c r="W3">
        <v>2.036028458698258E-2</v>
      </c>
      <c r="X3">
        <v>2.0381795968468452E-2</v>
      </c>
      <c r="Y3">
        <v>2.039887858283862E-2</v>
      </c>
      <c r="Z3">
        <v>2.0411798342434118E-2</v>
      </c>
      <c r="AA3">
        <v>2.0420845196527093E-2</v>
      </c>
      <c r="AB3">
        <v>2.0426323614131991E-2</v>
      </c>
      <c r="AC3">
        <v>2.0428547139446085E-2</v>
      </c>
      <c r="AD3">
        <v>2.0427834126646172E-2</v>
      </c>
      <c r="AE3">
        <v>2.0424509106835798E-2</v>
      </c>
      <c r="AF3">
        <v>2.0418887577704936E-2</v>
      </c>
      <c r="AG3">
        <v>2.0411284291938614E-2</v>
      </c>
      <c r="AH3">
        <v>2.0402003135526314E-2</v>
      </c>
      <c r="AI3">
        <v>2.0391335774858854E-2</v>
      </c>
      <c r="AJ3">
        <v>2.0379557413334748E-2</v>
      </c>
      <c r="AK3">
        <v>2.0366929276244283E-2</v>
      </c>
    </row>
    <row r="4" spans="1:37" x14ac:dyDescent="0.25">
      <c r="A4" t="s">
        <v>51</v>
      </c>
      <c r="B4">
        <v>0.14211337809999999</v>
      </c>
      <c r="C4">
        <v>0.14239252769999999</v>
      </c>
      <c r="D4">
        <v>0.14284801019999999</v>
      </c>
      <c r="E4">
        <v>0.143327446</v>
      </c>
      <c r="F4">
        <v>0.14372957810000001</v>
      </c>
      <c r="G4">
        <v>0.14400923669999999</v>
      </c>
      <c r="H4">
        <v>0.1441590549</v>
      </c>
      <c r="I4">
        <v>0.14419204229999999</v>
      </c>
      <c r="J4">
        <v>0.1441297882</v>
      </c>
      <c r="K4">
        <v>0.14399555610000001</v>
      </c>
      <c r="L4">
        <v>0.14381067819999999</v>
      </c>
      <c r="M4">
        <v>0.14359296930000001</v>
      </c>
      <c r="N4">
        <v>0.1433563101</v>
      </c>
      <c r="O4">
        <v>0.14311086240000001</v>
      </c>
      <c r="P4">
        <v>0.1428635982</v>
      </c>
      <c r="Q4">
        <v>0.14261895090000001</v>
      </c>
      <c r="R4">
        <v>0.14237945930000001</v>
      </c>
      <c r="S4">
        <v>0.1421463359</v>
      </c>
      <c r="T4">
        <v>0.14191994080000001</v>
      </c>
      <c r="U4">
        <v>0.141700147</v>
      </c>
      <c r="V4">
        <v>0.1414865988</v>
      </c>
      <c r="W4">
        <v>0.14127887859999999</v>
      </c>
      <c r="X4">
        <v>0.14107660380000001</v>
      </c>
      <c r="Y4">
        <v>0.14087947140000001</v>
      </c>
      <c r="Z4">
        <v>0.14068726749999999</v>
      </c>
      <c r="AA4">
        <v>0.1404998563</v>
      </c>
      <c r="AB4">
        <v>0.14031715829999999</v>
      </c>
      <c r="AC4">
        <v>0.140139127</v>
      </c>
      <c r="AD4">
        <v>0.13996572600000001</v>
      </c>
      <c r="AE4">
        <v>0.13979691220000001</v>
      </c>
      <c r="AF4">
        <v>0.13963262370000001</v>
      </c>
      <c r="AG4">
        <v>0.13947277329999999</v>
      </c>
      <c r="AH4">
        <v>0.13931724740000001</v>
      </c>
      <c r="AI4">
        <v>0.13916590719999999</v>
      </c>
      <c r="AJ4">
        <v>0.13901859359999999</v>
      </c>
      <c r="AK4">
        <v>0.1388751318</v>
      </c>
    </row>
    <row r="5" spans="1:37" x14ac:dyDescent="0.25">
      <c r="A5" t="s">
        <v>52</v>
      </c>
      <c r="B5">
        <v>0.95799999989999995</v>
      </c>
      <c r="C5">
        <v>0.95897526759999996</v>
      </c>
      <c r="D5">
        <v>0.96058315289999996</v>
      </c>
      <c r="E5">
        <v>0.96263010959999995</v>
      </c>
      <c r="F5">
        <v>0.9649712399</v>
      </c>
      <c r="G5">
        <v>0.96748012999999999</v>
      </c>
      <c r="H5">
        <v>0.9700480159</v>
      </c>
      <c r="I5">
        <v>0.97258711779999996</v>
      </c>
      <c r="J5">
        <v>0.9750314591</v>
      </c>
      <c r="K5">
        <v>0.97733497319999996</v>
      </c>
      <c r="L5">
        <v>0.97946805780000001</v>
      </c>
      <c r="M5">
        <v>0.98141365010000003</v>
      </c>
      <c r="N5">
        <v>0.98316354530000005</v>
      </c>
      <c r="O5">
        <v>0.98471533909999998</v>
      </c>
      <c r="P5">
        <v>0.98607014250000002</v>
      </c>
      <c r="Q5">
        <v>0.98723105300000003</v>
      </c>
      <c r="R5">
        <v>0.98820223399999996</v>
      </c>
      <c r="S5">
        <v>0.98898845580000005</v>
      </c>
      <c r="T5">
        <v>0.98959493269999999</v>
      </c>
      <c r="U5">
        <v>0.99002733409999999</v>
      </c>
      <c r="V5">
        <v>0.99029186629999999</v>
      </c>
      <c r="W5">
        <v>0.99039535710000004</v>
      </c>
      <c r="X5">
        <v>0.99034530350000005</v>
      </c>
      <c r="Y5">
        <v>0.99014986630000001</v>
      </c>
      <c r="Z5">
        <v>0.98981781209999997</v>
      </c>
      <c r="AA5">
        <v>0.98935840929999996</v>
      </c>
      <c r="AB5">
        <v>0.98878129209999999</v>
      </c>
      <c r="AC5">
        <v>0.98809630579999996</v>
      </c>
      <c r="AD5">
        <v>0.98731334790000003</v>
      </c>
      <c r="AE5">
        <v>0.98644221379999997</v>
      </c>
      <c r="AF5">
        <v>0.98549245640000005</v>
      </c>
      <c r="AG5">
        <v>0.98447326499999999</v>
      </c>
      <c r="AH5">
        <v>0.98339336629999996</v>
      </c>
      <c r="AI5">
        <v>0.982260947</v>
      </c>
      <c r="AJ5">
        <v>0.98108359950000001</v>
      </c>
      <c r="AK5">
        <v>0.97986828619999999</v>
      </c>
    </row>
    <row r="6" spans="1:37" x14ac:dyDescent="0.25">
      <c r="A6" t="s">
        <v>53</v>
      </c>
      <c r="B6">
        <v>-9.2851684799999997E-3</v>
      </c>
      <c r="C6">
        <v>-9.5358179000000001E-3</v>
      </c>
      <c r="D6">
        <v>-9.94639875E-3</v>
      </c>
      <c r="E6">
        <v>-1.04052789E-2</v>
      </c>
      <c r="F6">
        <v>-1.0835160200000001E-2</v>
      </c>
      <c r="G6">
        <v>-1.11927178E-2</v>
      </c>
      <c r="H6">
        <v>-1.14602514E-2</v>
      </c>
      <c r="I6">
        <v>-1.1637087900000001E-2</v>
      </c>
      <c r="J6">
        <v>-1.1732351800000001E-2</v>
      </c>
      <c r="K6">
        <v>-1.1759576900000001E-2</v>
      </c>
      <c r="L6">
        <v>-1.1733133099999999E-2</v>
      </c>
      <c r="M6">
        <v>-1.1666161899999999E-2</v>
      </c>
      <c r="N6">
        <v>-1.15696229E-2</v>
      </c>
      <c r="O6">
        <v>-1.1452067999999999E-2</v>
      </c>
      <c r="P6">
        <v>-1.13198421E-2</v>
      </c>
      <c r="Q6">
        <v>-1.11774804E-2</v>
      </c>
      <c r="R6">
        <v>-1.10281628E-2</v>
      </c>
      <c r="S6">
        <v>-1.0874132599999999E-2</v>
      </c>
      <c r="T6">
        <v>-1.0717037299999999E-2</v>
      </c>
      <c r="U6">
        <v>-1.05581805E-2</v>
      </c>
      <c r="V6">
        <v>-1.0398689900000001E-2</v>
      </c>
      <c r="W6">
        <v>-1.0239613700000001E-2</v>
      </c>
      <c r="X6">
        <v>-1.00819632E-2</v>
      </c>
      <c r="Y6">
        <v>-9.9267198200000007E-3</v>
      </c>
      <c r="Z6">
        <v>-9.7748208200000002E-3</v>
      </c>
      <c r="AA6">
        <v>-9.6271357499999998E-3</v>
      </c>
      <c r="AB6">
        <v>-9.4844412600000004E-3</v>
      </c>
      <c r="AC6">
        <v>-9.3473998399999994E-3</v>
      </c>
      <c r="AD6">
        <v>-9.2165451299999999E-3</v>
      </c>
      <c r="AE6">
        <v>-9.0922747599999996E-3</v>
      </c>
      <c r="AF6">
        <v>-8.9748501699999997E-3</v>
      </c>
      <c r="AG6">
        <v>-8.8644026999999993E-3</v>
      </c>
      <c r="AH6">
        <v>-8.7609442800000003E-3</v>
      </c>
      <c r="AI6">
        <v>-8.6643811300000009E-3</v>
      </c>
      <c r="AJ6">
        <v>-8.5745291800000002E-3</v>
      </c>
      <c r="AK6">
        <v>-8.4911300500000002E-3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-1.2567896199999999E-2</v>
      </c>
      <c r="G7">
        <v>-1.2711324899999999E-2</v>
      </c>
      <c r="H7">
        <v>-1.2772920199999999E-2</v>
      </c>
      <c r="I7">
        <v>-1.27849577E-2</v>
      </c>
      <c r="J7">
        <v>-1.2769053900000001E-2</v>
      </c>
      <c r="K7">
        <v>-1.2737939300000001E-2</v>
      </c>
      <c r="L7">
        <v>-1.26983687E-2</v>
      </c>
      <c r="M7">
        <v>-1.26535963E-2</v>
      </c>
      <c r="N7">
        <v>-1.2605063E-2</v>
      </c>
      <c r="O7">
        <v>-1.2553400100000001E-2</v>
      </c>
      <c r="P7">
        <v>-1.24989526E-2</v>
      </c>
      <c r="Q7">
        <v>-1.2442024600000001E-2</v>
      </c>
      <c r="R7">
        <v>-1.23829526E-2</v>
      </c>
      <c r="S7">
        <v>-1.2322106500000001E-2</v>
      </c>
      <c r="T7">
        <v>-1.2259857900000001E-2</v>
      </c>
      <c r="U7">
        <v>-1.21965489E-2</v>
      </c>
      <c r="V7">
        <v>-1.21324694E-2</v>
      </c>
      <c r="W7">
        <v>-1.2067847600000001E-2</v>
      </c>
      <c r="X7">
        <v>-1.2002848999999999E-2</v>
      </c>
      <c r="Y7">
        <v>-1.19375829E-2</v>
      </c>
      <c r="Z7">
        <v>-1.18721125E-2</v>
      </c>
      <c r="AA7">
        <v>-1.18064664E-2</v>
      </c>
      <c r="AB7">
        <v>-1.17406496E-2</v>
      </c>
      <c r="AC7">
        <v>-1.16746538E-2</v>
      </c>
      <c r="AD7">
        <v>-1.16084642E-2</v>
      </c>
      <c r="AE7">
        <v>-1.15420652E-2</v>
      </c>
      <c r="AF7">
        <v>-1.14754443E-2</v>
      </c>
      <c r="AG7">
        <v>-1.1408593200000001E-2</v>
      </c>
      <c r="AH7">
        <v>-1.1341509200000001E-2</v>
      </c>
      <c r="AI7">
        <v>-1.1274194600000001E-2</v>
      </c>
      <c r="AJ7">
        <v>-1.1206656299999999E-2</v>
      </c>
      <c r="AK7">
        <v>-1.11389048E-2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357.615993</v>
      </c>
      <c r="G8">
        <v>359.72996130000001</v>
      </c>
      <c r="H8">
        <v>362.0426344</v>
      </c>
      <c r="I8">
        <v>364.51423269999998</v>
      </c>
      <c r="J8">
        <v>367.11029619999999</v>
      </c>
      <c r="K8">
        <v>369.8046774</v>
      </c>
      <c r="L8">
        <v>372.57878440000002</v>
      </c>
      <c r="M8">
        <v>375.41987599999999</v>
      </c>
      <c r="N8">
        <v>378.31942279999998</v>
      </c>
      <c r="O8">
        <v>381.27175670000003</v>
      </c>
      <c r="P8">
        <v>384.27303999999998</v>
      </c>
      <c r="Q8">
        <v>387.32088449999998</v>
      </c>
      <c r="R8">
        <v>390.41382540000001</v>
      </c>
      <c r="S8">
        <v>393.55096300000002</v>
      </c>
      <c r="T8">
        <v>396.73175320000001</v>
      </c>
      <c r="U8">
        <v>399.95582280000002</v>
      </c>
      <c r="V8">
        <v>403.22296770000003</v>
      </c>
      <c r="W8">
        <v>406.53307539999997</v>
      </c>
      <c r="X8">
        <v>409.88608440000002</v>
      </c>
      <c r="Y8">
        <v>413.2819642</v>
      </c>
      <c r="Z8">
        <v>416.72070930000001</v>
      </c>
      <c r="AA8">
        <v>420.2023398</v>
      </c>
      <c r="AB8">
        <v>423.72690599999999</v>
      </c>
      <c r="AC8">
        <v>427.29449440000002</v>
      </c>
      <c r="AD8">
        <v>430.90523250000001</v>
      </c>
      <c r="AE8">
        <v>434.55929270000001</v>
      </c>
      <c r="AF8">
        <v>438.25689180000001</v>
      </c>
      <c r="AG8">
        <v>441.99829590000002</v>
      </c>
      <c r="AH8">
        <v>445.78381839999997</v>
      </c>
      <c r="AI8">
        <v>449.6138181</v>
      </c>
      <c r="AJ8">
        <v>453.48869480000002</v>
      </c>
      <c r="AK8">
        <v>457.408886</v>
      </c>
    </row>
    <row r="9" spans="1:37" x14ac:dyDescent="0.25">
      <c r="A9" t="s">
        <v>137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138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2318806.966</v>
      </c>
      <c r="H10">
        <v>2344898.398</v>
      </c>
      <c r="I10">
        <v>2371572.7259999998</v>
      </c>
      <c r="J10">
        <v>2398789.4569999999</v>
      </c>
      <c r="K10">
        <v>2426507.4410000001</v>
      </c>
      <c r="L10">
        <v>2454689.122</v>
      </c>
      <c r="M10">
        <v>2483302.79</v>
      </c>
      <c r="N10">
        <v>2512323.4470000002</v>
      </c>
      <c r="O10">
        <v>2541732.7140000002</v>
      </c>
      <c r="P10">
        <v>2571518.1310000001</v>
      </c>
      <c r="Q10">
        <v>2601672.102</v>
      </c>
      <c r="R10">
        <v>2632190.7779999999</v>
      </c>
      <c r="S10">
        <v>2663072.9900000002</v>
      </c>
      <c r="T10">
        <v>2694319.3539999998</v>
      </c>
      <c r="U10">
        <v>2725931.557</v>
      </c>
      <c r="V10">
        <v>2757911.85</v>
      </c>
      <c r="W10">
        <v>2790262.713</v>
      </c>
      <c r="X10">
        <v>2822986.6749999998</v>
      </c>
      <c r="Y10">
        <v>2856086.2390000001</v>
      </c>
      <c r="Z10">
        <v>2889563.8879999998</v>
      </c>
      <c r="AA10">
        <v>2923422.1310000001</v>
      </c>
      <c r="AB10">
        <v>2957663.57</v>
      </c>
      <c r="AC10">
        <v>2992290.9709999999</v>
      </c>
      <c r="AD10">
        <v>3027307.3190000001</v>
      </c>
      <c r="AE10">
        <v>3062715.872</v>
      </c>
      <c r="AF10">
        <v>3098520.1839999999</v>
      </c>
      <c r="AG10">
        <v>3134724.1170000001</v>
      </c>
      <c r="AH10">
        <v>3171331.8429999999</v>
      </c>
      <c r="AI10">
        <v>3208347.8259999999</v>
      </c>
      <c r="AJ10">
        <v>3245776.801</v>
      </c>
      <c r="AK10">
        <v>3283623.7519999999</v>
      </c>
    </row>
    <row r="11" spans="1:37" x14ac:dyDescent="0.25">
      <c r="A11" t="s">
        <v>139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1.1463470280000001</v>
      </c>
      <c r="J11">
        <v>1.168946477</v>
      </c>
      <c r="K11">
        <v>1.192055409</v>
      </c>
      <c r="L11">
        <v>1.2156925540000001</v>
      </c>
      <c r="M11">
        <v>1.239874221</v>
      </c>
      <c r="N11">
        <v>1.2646146650000001</v>
      </c>
      <c r="O11">
        <v>1.2899264070000001</v>
      </c>
      <c r="P11">
        <v>1.3158205190000001</v>
      </c>
      <c r="Q11">
        <v>1.3423069139999999</v>
      </c>
      <c r="R11">
        <v>1.3693946079999999</v>
      </c>
      <c r="S11">
        <v>1.397091962</v>
      </c>
      <c r="T11">
        <v>1.4254068900000001</v>
      </c>
      <c r="U11">
        <v>1.4543470279999999</v>
      </c>
      <c r="V11">
        <v>1.4839198769999999</v>
      </c>
      <c r="W11">
        <v>1.5141329080000001</v>
      </c>
      <c r="X11">
        <v>1.5449936559999999</v>
      </c>
      <c r="Y11">
        <v>1.5765097939999999</v>
      </c>
      <c r="Z11">
        <v>1.6086891940000001</v>
      </c>
      <c r="AA11">
        <v>1.641539987</v>
      </c>
      <c r="AB11">
        <v>1.675070614</v>
      </c>
      <c r="AC11">
        <v>1.7092898729999999</v>
      </c>
      <c r="AD11">
        <v>1.7442069630000001</v>
      </c>
      <c r="AE11">
        <v>1.7798315339999999</v>
      </c>
      <c r="AF11">
        <v>1.8161737140000001</v>
      </c>
      <c r="AG11">
        <v>1.853244152</v>
      </c>
      <c r="AH11">
        <v>1.891054045</v>
      </c>
      <c r="AI11">
        <v>1.929615163</v>
      </c>
      <c r="AJ11">
        <v>1.9689398659999999</v>
      </c>
      <c r="AK11">
        <v>2.009041125</v>
      </c>
    </row>
    <row r="12" spans="1:37" x14ac:dyDescent="0.25">
      <c r="A12" t="s">
        <v>140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116.9499326</v>
      </c>
      <c r="R12">
        <v>117.04357160000001</v>
      </c>
      <c r="S12">
        <v>117.1436008</v>
      </c>
      <c r="T12">
        <v>117.24928939999999</v>
      </c>
      <c r="U12">
        <v>117.36001469999999</v>
      </c>
      <c r="V12">
        <v>117.47530380000001</v>
      </c>
      <c r="W12">
        <v>117.59478489999999</v>
      </c>
      <c r="X12">
        <v>117.71815839999999</v>
      </c>
      <c r="Y12">
        <v>117.8451793</v>
      </c>
      <c r="Z12">
        <v>117.97564629999999</v>
      </c>
      <c r="AA12">
        <v>118.1093947</v>
      </c>
      <c r="AB12">
        <v>118.24629090000001</v>
      </c>
      <c r="AC12">
        <v>118.3862286</v>
      </c>
      <c r="AD12">
        <v>118.52912569999999</v>
      </c>
      <c r="AE12">
        <v>118.67492110000001</v>
      </c>
      <c r="AF12">
        <v>118.8235724</v>
      </c>
      <c r="AG12">
        <v>118.97505289999999</v>
      </c>
      <c r="AH12">
        <v>119.1293493</v>
      </c>
      <c r="AI12">
        <v>119.2864593</v>
      </c>
      <c r="AJ12">
        <v>119.4463889</v>
      </c>
      <c r="AK12">
        <v>119.6091505</v>
      </c>
    </row>
    <row r="13" spans="1:37" x14ac:dyDescent="0.25">
      <c r="A13" t="s">
        <v>141</v>
      </c>
      <c r="B13">
        <v>215.54838330000001</v>
      </c>
      <c r="C13">
        <v>217.7527589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228.89549940000001</v>
      </c>
      <c r="I13">
        <v>231.31711709999999</v>
      </c>
      <c r="J13">
        <v>233.79253829999999</v>
      </c>
      <c r="K13">
        <v>236.31578150000001</v>
      </c>
      <c r="L13">
        <v>238.882363</v>
      </c>
      <c r="M13">
        <v>241.48908259999999</v>
      </c>
      <c r="N13">
        <v>244.13376030000001</v>
      </c>
      <c r="O13">
        <v>246.8149975</v>
      </c>
      <c r="P13">
        <v>249.53197420000001</v>
      </c>
      <c r="Q13">
        <v>252.2842904</v>
      </c>
      <c r="R13">
        <v>255.071834</v>
      </c>
      <c r="S13">
        <v>257.89466019999998</v>
      </c>
      <c r="T13">
        <v>260.75292949999999</v>
      </c>
      <c r="U13">
        <v>263.64686060000002</v>
      </c>
      <c r="V13">
        <v>266.5766893</v>
      </c>
      <c r="W13">
        <v>269.54264239999998</v>
      </c>
      <c r="X13">
        <v>272.5449271</v>
      </c>
      <c r="Y13">
        <v>275.58372869999999</v>
      </c>
      <c r="Z13">
        <v>278.65921580000003</v>
      </c>
      <c r="AA13">
        <v>281.77154819999998</v>
      </c>
      <c r="AB13">
        <v>284.92088580000001</v>
      </c>
      <c r="AC13">
        <v>288.10739849999999</v>
      </c>
      <c r="AD13">
        <v>291.33127350000001</v>
      </c>
      <c r="AE13">
        <v>294.59272220000003</v>
      </c>
      <c r="AF13">
        <v>297.89198160000001</v>
      </c>
      <c r="AG13">
        <v>301.22932159999999</v>
      </c>
      <c r="AH13">
        <v>304.60504609999998</v>
      </c>
      <c r="AI13">
        <v>308.01949239999999</v>
      </c>
      <c r="AJ13">
        <v>311.47302999999999</v>
      </c>
      <c r="AK13">
        <v>314.9660591</v>
      </c>
    </row>
    <row r="14" spans="1:37" x14ac:dyDescent="0.25">
      <c r="A14" t="s">
        <v>142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31.850459619999999</v>
      </c>
      <c r="G14">
        <v>32.140411210000003</v>
      </c>
      <c r="H14">
        <v>32.437361690000003</v>
      </c>
      <c r="I14">
        <v>32.741051970000001</v>
      </c>
      <c r="J14">
        <v>33.050955449999996</v>
      </c>
      <c r="K14">
        <v>33.366529579999998</v>
      </c>
      <c r="L14">
        <v>33.687313420000002</v>
      </c>
      <c r="M14">
        <v>34.01295485</v>
      </c>
      <c r="N14">
        <v>34.343206889999998</v>
      </c>
      <c r="O14">
        <v>34.677912020000001</v>
      </c>
      <c r="P14">
        <v>35.016982910000003</v>
      </c>
      <c r="Q14">
        <v>35.360384799999999</v>
      </c>
      <c r="R14">
        <v>35.708119779999997</v>
      </c>
      <c r="S14">
        <v>36.060206030000003</v>
      </c>
      <c r="T14">
        <v>36.416676180000003</v>
      </c>
      <c r="U14">
        <v>36.777575149999997</v>
      </c>
      <c r="V14">
        <v>37.142953210000002</v>
      </c>
      <c r="W14">
        <v>37.512861440000002</v>
      </c>
      <c r="X14">
        <v>37.887349399999998</v>
      </c>
      <c r="Y14">
        <v>38.266464390000003</v>
      </c>
      <c r="Z14">
        <v>38.650251509999997</v>
      </c>
      <c r="AA14">
        <v>39.038754160000003</v>
      </c>
      <c r="AB14">
        <v>39.432014819999999</v>
      </c>
      <c r="AC14">
        <v>39.830075829999998</v>
      </c>
      <c r="AD14">
        <v>40.232980070000004</v>
      </c>
      <c r="AE14">
        <v>40.640771530000002</v>
      </c>
      <c r="AF14">
        <v>41.05349511</v>
      </c>
      <c r="AG14">
        <v>41.471197779999997</v>
      </c>
      <c r="AH14">
        <v>41.893928699999996</v>
      </c>
      <c r="AI14">
        <v>42.321739059999999</v>
      </c>
      <c r="AJ14">
        <v>42.754682080000002</v>
      </c>
      <c r="AK14">
        <v>43.192812789999998</v>
      </c>
    </row>
    <row r="15" spans="1:37" x14ac:dyDescent="0.25">
      <c r="A15" t="s">
        <v>143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12.613047399999999</v>
      </c>
      <c r="G15">
        <v>12.702734339999999</v>
      </c>
      <c r="H15">
        <v>12.801177320000001</v>
      </c>
      <c r="I15">
        <v>12.906312789999999</v>
      </c>
      <c r="J15">
        <v>13.01646189</v>
      </c>
      <c r="K15">
        <v>13.130409070000001</v>
      </c>
      <c r="L15">
        <v>13.24732449</v>
      </c>
      <c r="M15">
        <v>13.3666597</v>
      </c>
      <c r="N15">
        <v>13.48805861</v>
      </c>
      <c r="O15">
        <v>13.61129169</v>
      </c>
      <c r="P15">
        <v>13.736209300000001</v>
      </c>
      <c r="Q15">
        <v>13.8627173</v>
      </c>
      <c r="R15">
        <v>13.990757479999999</v>
      </c>
      <c r="S15">
        <v>14.1202945</v>
      </c>
      <c r="T15">
        <v>14.25130774</v>
      </c>
      <c r="U15">
        <v>14.38378606</v>
      </c>
      <c r="V15">
        <v>14.51772442</v>
      </c>
      <c r="W15">
        <v>14.65312174</v>
      </c>
      <c r="X15">
        <v>14.78997961</v>
      </c>
      <c r="Y15">
        <v>14.92830156</v>
      </c>
      <c r="Z15">
        <v>15.068092719999999</v>
      </c>
      <c r="AA15">
        <v>15.209359660000001</v>
      </c>
      <c r="AB15">
        <v>15.352110359999999</v>
      </c>
      <c r="AC15">
        <v>15.49635428</v>
      </c>
      <c r="AD15">
        <v>15.642102360000001</v>
      </c>
      <c r="AE15">
        <v>15.78936708</v>
      </c>
      <c r="AF15">
        <v>15.938162350000001</v>
      </c>
      <c r="AG15">
        <v>16.088503559999999</v>
      </c>
      <c r="AH15">
        <v>16.24040742</v>
      </c>
      <c r="AI15">
        <v>16.39389186</v>
      </c>
      <c r="AJ15">
        <v>16.54897587</v>
      </c>
      <c r="AK15">
        <v>16.705679369999999</v>
      </c>
    </row>
    <row r="16" spans="1:37" x14ac:dyDescent="0.25">
      <c r="A16" t="s">
        <v>144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137.26754030000001</v>
      </c>
      <c r="G16">
        <v>138.1465493</v>
      </c>
      <c r="H16">
        <v>139.16044769999999</v>
      </c>
      <c r="I16">
        <v>140.27427349999999</v>
      </c>
      <c r="J16">
        <v>141.4610328</v>
      </c>
      <c r="K16">
        <v>142.701595</v>
      </c>
      <c r="L16">
        <v>143.9829871</v>
      </c>
      <c r="M16">
        <v>145.29660770000001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152.20575120000001</v>
      </c>
      <c r="S16">
        <v>153.64277720000001</v>
      </c>
      <c r="T16">
        <v>155.09626829999999</v>
      </c>
      <c r="U16">
        <v>156.56585609999999</v>
      </c>
      <c r="V16">
        <v>158.05126999999999</v>
      </c>
      <c r="W16">
        <v>159.55230520000001</v>
      </c>
      <c r="X16">
        <v>161.0688035</v>
      </c>
      <c r="Y16">
        <v>162.60064310000001</v>
      </c>
      <c r="Z16">
        <v>164.14773299999999</v>
      </c>
      <c r="AA16">
        <v>165.71001190000001</v>
      </c>
      <c r="AB16">
        <v>167.2874478</v>
      </c>
      <c r="AC16">
        <v>168.88003900000001</v>
      </c>
      <c r="AD16">
        <v>170.48781439999999</v>
      </c>
      <c r="AE16">
        <v>172.11083379999999</v>
      </c>
      <c r="AF16">
        <v>173.74918740000001</v>
      </c>
      <c r="AG16">
        <v>175.40299450000001</v>
      </c>
      <c r="AH16">
        <v>177.0724013</v>
      </c>
      <c r="AI16">
        <v>178.7575793</v>
      </c>
      <c r="AJ16">
        <v>180.4587219</v>
      </c>
      <c r="AK16">
        <v>182.17604159999999</v>
      </c>
    </row>
    <row r="17" spans="1:37" x14ac:dyDescent="0.25">
      <c r="A17" t="s">
        <v>145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34.282061820000003</v>
      </c>
      <c r="I17">
        <v>34.39272175</v>
      </c>
      <c r="J17">
        <v>34.512422800000003</v>
      </c>
      <c r="K17">
        <v>34.639822160000001</v>
      </c>
      <c r="L17">
        <v>34.773820659999998</v>
      </c>
      <c r="M17">
        <v>34.913597430000003</v>
      </c>
      <c r="N17">
        <v>35.058573279999997</v>
      </c>
      <c r="O17">
        <v>35.208344859999997</v>
      </c>
      <c r="P17">
        <v>35.362581040000002</v>
      </c>
      <c r="Q17">
        <v>35.521092879999998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</v>
      </c>
      <c r="Y17">
        <v>36.936298039999997</v>
      </c>
      <c r="Z17">
        <v>37.131266770000003</v>
      </c>
      <c r="AA17">
        <v>37.330196569999998</v>
      </c>
      <c r="AB17">
        <v>37.533072099999998</v>
      </c>
      <c r="AC17">
        <v>37.739879799999997</v>
      </c>
      <c r="AD17">
        <v>37.95060866</v>
      </c>
      <c r="AE17">
        <v>38.165250810000003</v>
      </c>
      <c r="AF17">
        <v>38.383801980000001</v>
      </c>
      <c r="AG17">
        <v>38.606261719999999</v>
      </c>
      <c r="AH17">
        <v>38.832633520000002</v>
      </c>
      <c r="AI17">
        <v>39.062924789999997</v>
      </c>
      <c r="AJ17">
        <v>39.297146769999998</v>
      </c>
      <c r="AK17">
        <v>39.535314339999999</v>
      </c>
    </row>
    <row r="18" spans="1:37" x14ac:dyDescent="0.25">
      <c r="A18" t="s">
        <v>146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85.028257210000007</v>
      </c>
      <c r="G18">
        <v>85.580982059999997</v>
      </c>
      <c r="H18">
        <v>86.155373769999997</v>
      </c>
      <c r="I18">
        <v>86.75006621</v>
      </c>
      <c r="J18">
        <v>87.362737249999995</v>
      </c>
      <c r="K18">
        <v>87.991157749999999</v>
      </c>
      <c r="L18">
        <v>88.633532950000003</v>
      </c>
      <c r="M18">
        <v>89.288547559999998</v>
      </c>
      <c r="N18">
        <v>89.955300620000003</v>
      </c>
      <c r="O18">
        <v>90.633168170000005</v>
      </c>
      <c r="P18">
        <v>91.321678879999993</v>
      </c>
      <c r="Q18">
        <v>92.02060195</v>
      </c>
      <c r="R18">
        <v>92.729844069999999</v>
      </c>
      <c r="S18">
        <v>93.449381000000002</v>
      </c>
      <c r="T18">
        <v>94.179224059999996</v>
      </c>
      <c r="U18">
        <v>94.919400069999995</v>
      </c>
      <c r="V18">
        <v>95.669937000000004</v>
      </c>
      <c r="W18">
        <v>96.430856849999998</v>
      </c>
      <c r="X18">
        <v>97.202173380000005</v>
      </c>
      <c r="Y18">
        <v>97.983892749999995</v>
      </c>
      <c r="Z18">
        <v>98.776015860000001</v>
      </c>
      <c r="AA18">
        <v>99.578541360000003</v>
      </c>
      <c r="AB18">
        <v>100.39146890000001</v>
      </c>
      <c r="AC18">
        <v>101.2148021</v>
      </c>
      <c r="AD18">
        <v>102.0485511</v>
      </c>
      <c r="AE18">
        <v>102.89273439999999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147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4.342696213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4.196695149</v>
      </c>
      <c r="AA19">
        <v>4.1735693270000001</v>
      </c>
      <c r="AB19">
        <v>4.1507879389999998</v>
      </c>
      <c r="AC19">
        <v>4.1283510830000001</v>
      </c>
      <c r="AD19">
        <v>4.106258886</v>
      </c>
      <c r="AE19">
        <v>4.0845115029999999</v>
      </c>
      <c r="AF19">
        <v>4.0631091169999998</v>
      </c>
      <c r="AG19">
        <v>4.0420519510000004</v>
      </c>
      <c r="AH19">
        <v>4.0213402839999999</v>
      </c>
      <c r="AI19">
        <v>4.0009744669999998</v>
      </c>
      <c r="AJ19">
        <v>3.9809549450000001</v>
      </c>
      <c r="AK19">
        <v>3.9612822780000001</v>
      </c>
    </row>
    <row r="20" spans="1:37" x14ac:dyDescent="0.25">
      <c r="A20" t="s">
        <v>148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31.15310169</v>
      </c>
      <c r="K20">
        <v>31.054016529999998</v>
      </c>
      <c r="L20">
        <v>30.96073955</v>
      </c>
      <c r="M20">
        <v>30.87229482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30.349705060000002</v>
      </c>
      <c r="U20">
        <v>30.2864079</v>
      </c>
      <c r="V20">
        <v>30.225638020000002</v>
      </c>
      <c r="W20">
        <v>30.16735933</v>
      </c>
      <c r="X20">
        <v>30.111551540000001</v>
      </c>
      <c r="Y20">
        <v>30.058202430000001</v>
      </c>
      <c r="Z20">
        <v>30.00730377</v>
      </c>
      <c r="AA20">
        <v>29.95884912</v>
      </c>
      <c r="AB20">
        <v>29.912832760000001</v>
      </c>
      <c r="AC20">
        <v>29.869249180000001</v>
      </c>
      <c r="AD20">
        <v>29.828092860000002</v>
      </c>
      <c r="AE20">
        <v>29.78935826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149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19.65689162</v>
      </c>
      <c r="I21">
        <v>19.863096809999998</v>
      </c>
      <c r="J21">
        <v>20.073510769999999</v>
      </c>
      <c r="K21">
        <v>20.28767568</v>
      </c>
      <c r="L21">
        <v>20.505242110000001</v>
      </c>
      <c r="M21">
        <v>20.72595785</v>
      </c>
      <c r="N21">
        <v>20.949650089999999</v>
      </c>
      <c r="O21">
        <v>21.176208030000002</v>
      </c>
      <c r="P21">
        <v>21.405567649999998</v>
      </c>
      <c r="Q21">
        <v>21.637699949999998</v>
      </c>
      <c r="R21">
        <v>21.87260084</v>
      </c>
      <c r="S21">
        <v>22.110281050000001</v>
      </c>
      <c r="T21">
        <v>22.350762069999998</v>
      </c>
      <c r="U21">
        <v>22.59407281</v>
      </c>
      <c r="V21">
        <v>22.840245800000002</v>
      </c>
      <c r="W21">
        <v>23.089314640000001</v>
      </c>
      <c r="X21">
        <v>23.34131262</v>
      </c>
      <c r="Y21">
        <v>23.596272070000001</v>
      </c>
      <c r="Z21">
        <v>23.854224330000001</v>
      </c>
      <c r="AA21">
        <v>24.115199969999999</v>
      </c>
      <c r="AB21">
        <v>24.379229129999999</v>
      </c>
      <c r="AC21">
        <v>24.646342059999998</v>
      </c>
      <c r="AD21">
        <v>24.916569460000002</v>
      </c>
      <c r="AE21">
        <v>25.189942869999999</v>
      </c>
      <c r="AF21">
        <v>25.466494350000001</v>
      </c>
      <c r="AG21">
        <v>25.74625751</v>
      </c>
      <c r="AH21">
        <v>26.029267489999999</v>
      </c>
      <c r="AI21">
        <v>26.315560909999999</v>
      </c>
      <c r="AJ21">
        <v>26.605175729999999</v>
      </c>
      <c r="AK21">
        <v>26.898151219999999</v>
      </c>
    </row>
    <row r="22" spans="1:37" x14ac:dyDescent="0.25">
      <c r="A22" t="s">
        <v>150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31.158881770000001</v>
      </c>
      <c r="H22">
        <v>31.448921779999999</v>
      </c>
      <c r="I22">
        <v>31.74544453</v>
      </c>
      <c r="J22">
        <v>32.047955899999998</v>
      </c>
      <c r="K22">
        <v>32.355942949999999</v>
      </c>
      <c r="L22">
        <v>32.668967850000001</v>
      </c>
      <c r="M22">
        <v>32.986695079999997</v>
      </c>
      <c r="N22">
        <v>33.308888940000003</v>
      </c>
      <c r="O22">
        <v>33.635399249999999</v>
      </c>
      <c r="P22">
        <v>33.966143090000003</v>
      </c>
      <c r="Q22">
        <v>34.301088159999999</v>
      </c>
      <c r="R22">
        <v>34.640237620000001</v>
      </c>
      <c r="S22">
        <v>34.983610380000002</v>
      </c>
      <c r="T22">
        <v>35.331239189999998</v>
      </c>
      <c r="U22">
        <v>35.683168569999999</v>
      </c>
      <c r="V22">
        <v>36.03944808</v>
      </c>
      <c r="W22">
        <v>36.400127939999997</v>
      </c>
      <c r="X22">
        <v>36.765256919999999</v>
      </c>
      <c r="Y22">
        <v>37.134881479999997</v>
      </c>
      <c r="Z22">
        <v>37.509045929999999</v>
      </c>
      <c r="AA22">
        <v>37.887792910000002</v>
      </c>
      <c r="AB22">
        <v>38.271164120000002</v>
      </c>
      <c r="AC22">
        <v>38.659201109999998</v>
      </c>
      <c r="AD22">
        <v>39.051945910000001</v>
      </c>
      <c r="AE22">
        <v>39.449441569999998</v>
      </c>
      <c r="AF22">
        <v>39.851732050000003</v>
      </c>
      <c r="AG22">
        <v>40.258863259999998</v>
      </c>
      <c r="AH22">
        <v>40.670883160000002</v>
      </c>
      <c r="AI22">
        <v>41.087841709999999</v>
      </c>
      <c r="AJ22">
        <v>41.509790729999999</v>
      </c>
      <c r="AK22">
        <v>41.936783839999997</v>
      </c>
    </row>
    <row r="23" spans="1:37" x14ac:dyDescent="0.25">
      <c r="A23" t="s">
        <v>151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12.76025881</v>
      </c>
      <c r="I23">
        <v>12.865017050000001</v>
      </c>
      <c r="J23">
        <v>12.974775640000001</v>
      </c>
      <c r="K23">
        <v>13.088321779999999</v>
      </c>
      <c r="L23">
        <v>13.20482756</v>
      </c>
      <c r="M23">
        <v>13.32374574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14.337322439999999</v>
      </c>
      <c r="V23">
        <v>14.470792299999999</v>
      </c>
      <c r="W23">
        <v>14.60571566</v>
      </c>
      <c r="X23">
        <v>14.74209411</v>
      </c>
      <c r="Y23">
        <v>14.879931190000001</v>
      </c>
      <c r="Z23">
        <v>15.01923199</v>
      </c>
      <c r="AA23">
        <v>15.160003059999999</v>
      </c>
      <c r="AB23">
        <v>15.30225239</v>
      </c>
      <c r="AC23">
        <v>15.4459894</v>
      </c>
      <c r="AD23">
        <v>15.59122502</v>
      </c>
      <c r="AE23">
        <v>15.73797167</v>
      </c>
      <c r="AF23">
        <v>15.886243260000001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16.65105586</v>
      </c>
    </row>
    <row r="24" spans="1:37" x14ac:dyDescent="0.25">
      <c r="A24" t="s">
        <v>152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133.93809440000001</v>
      </c>
      <c r="G24">
        <v>134.79120209999999</v>
      </c>
      <c r="H24">
        <v>135.77681720000001</v>
      </c>
      <c r="I24">
        <v>136.86055709999999</v>
      </c>
      <c r="J24">
        <v>138.01587789999999</v>
      </c>
      <c r="K24">
        <v>139.22396749999999</v>
      </c>
      <c r="L24">
        <v>140.47206750000001</v>
      </c>
      <c r="M24">
        <v>141.75171789999999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148.48311580000001</v>
      </c>
      <c r="S24">
        <v>149.8832122</v>
      </c>
      <c r="T24">
        <v>151.2993405</v>
      </c>
      <c r="U24">
        <v>152.73113710000001</v>
      </c>
      <c r="V24">
        <v>154.17833450000001</v>
      </c>
      <c r="W24">
        <v>155.6407304</v>
      </c>
      <c r="X24">
        <v>157.11816880000001</v>
      </c>
      <c r="Y24">
        <v>158.6105292</v>
      </c>
      <c r="Z24">
        <v>160.11772199999999</v>
      </c>
      <c r="AA24">
        <v>161.6396866</v>
      </c>
      <c r="AB24">
        <v>163.1763914</v>
      </c>
      <c r="AC24">
        <v>164.72783469999999</v>
      </c>
      <c r="AD24">
        <v>166.29404460000001</v>
      </c>
      <c r="AE24">
        <v>167.87507980000001</v>
      </c>
      <c r="AF24">
        <v>169.47102860000001</v>
      </c>
      <c r="AG24">
        <v>171.08200790000001</v>
      </c>
      <c r="AH24">
        <v>172.70816110000001</v>
      </c>
      <c r="AI24">
        <v>174.34965600000001</v>
      </c>
      <c r="AJ24">
        <v>176.00668200000001</v>
      </c>
      <c r="AK24">
        <v>177.67944729999999</v>
      </c>
    </row>
    <row r="25" spans="1:37" x14ac:dyDescent="0.25">
      <c r="A25" t="s">
        <v>153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33.513358140000001</v>
      </c>
      <c r="I25">
        <v>33.619398410000002</v>
      </c>
      <c r="J25">
        <v>33.73429703</v>
      </c>
      <c r="K25">
        <v>33.856734099999997</v>
      </c>
      <c r="L25">
        <v>33.98562897</v>
      </c>
      <c r="M25">
        <v>34.12017453</v>
      </c>
      <c r="N25">
        <v>34.259801299999999</v>
      </c>
      <c r="O25">
        <v>34.404112570000002</v>
      </c>
      <c r="P25">
        <v>34.552782389999997</v>
      </c>
      <c r="Q25">
        <v>34.70562469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37.052267299999997</v>
      </c>
      <c r="AE25">
        <v>37.259832600000003</v>
      </c>
      <c r="AF25">
        <v>37.471206809999998</v>
      </c>
      <c r="AG25">
        <v>37.686389300000002</v>
      </c>
      <c r="AH25">
        <v>37.905383299999997</v>
      </c>
      <c r="AI25">
        <v>38.12819588</v>
      </c>
      <c r="AJ25">
        <v>38.354837840000002</v>
      </c>
      <c r="AK25">
        <v>38.585323520000003</v>
      </c>
    </row>
    <row r="26" spans="1:37" x14ac:dyDescent="0.25">
      <c r="A26" t="s">
        <v>154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85.167487530000002</v>
      </c>
      <c r="H26">
        <v>85.739265110000005</v>
      </c>
      <c r="I26">
        <v>86.331247210000001</v>
      </c>
      <c r="J26">
        <v>86.941123070000003</v>
      </c>
      <c r="K26">
        <v>87.566674370000001</v>
      </c>
      <c r="L26">
        <v>88.206115019999999</v>
      </c>
      <c r="M26">
        <v>88.858135989999994</v>
      </c>
      <c r="N26">
        <v>89.521840560000001</v>
      </c>
      <c r="O26">
        <v>90.196607709999995</v>
      </c>
      <c r="P26">
        <v>90.881968400000005</v>
      </c>
      <c r="Q26">
        <v>91.577692940000006</v>
      </c>
      <c r="R26">
        <v>92.283688459999993</v>
      </c>
      <c r="S26">
        <v>92.999930809999995</v>
      </c>
      <c r="T26">
        <v>93.726431230000003</v>
      </c>
      <c r="U26">
        <v>94.463216419999995</v>
      </c>
      <c r="V26">
        <v>95.210314190000005</v>
      </c>
      <c r="W26">
        <v>95.967746410000004</v>
      </c>
      <c r="X26">
        <v>96.735526759999999</v>
      </c>
      <c r="Y26">
        <v>97.513661319999997</v>
      </c>
      <c r="Z26">
        <v>98.302150940000004</v>
      </c>
      <c r="AA26">
        <v>99.100994240000006</v>
      </c>
      <c r="AB26">
        <v>99.910190819999997</v>
      </c>
      <c r="AC26">
        <v>100.7297442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107.6621863</v>
      </c>
    </row>
    <row r="27" spans="1:37" x14ac:dyDescent="0.25">
      <c r="A27" t="s">
        <v>155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27.345802389999999</v>
      </c>
      <c r="K27">
        <v>27.263098840000001</v>
      </c>
      <c r="L27">
        <v>27.185492150000002</v>
      </c>
      <c r="M27">
        <v>27.112131460000001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26.737166739999999</v>
      </c>
      <c r="T27">
        <v>26.683709539999999</v>
      </c>
      <c r="U27">
        <v>26.632549449999999</v>
      </c>
      <c r="V27">
        <v>26.58362919</v>
      </c>
      <c r="W27">
        <v>26.536917670000001</v>
      </c>
      <c r="X27">
        <v>26.492397489999998</v>
      </c>
      <c r="Y27">
        <v>26.45005827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26.270872619999999</v>
      </c>
      <c r="AE27">
        <v>26.241504880000001</v>
      </c>
      <c r="AF27">
        <v>26.214283210000001</v>
      </c>
      <c r="AG27">
        <v>26.189203259999999</v>
      </c>
      <c r="AH27">
        <v>26.166260860000001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156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18.778708250000001</v>
      </c>
      <c r="H28">
        <v>18.972724320000001</v>
      </c>
      <c r="I28">
        <v>19.171329889999999</v>
      </c>
      <c r="J28">
        <v>19.373996909999999</v>
      </c>
      <c r="K28">
        <v>19.580284939999999</v>
      </c>
      <c r="L28">
        <v>19.789857309999999</v>
      </c>
      <c r="M28">
        <v>20.00247092</v>
      </c>
      <c r="N28">
        <v>20.217959189999998</v>
      </c>
      <c r="O28">
        <v>20.436215390000001</v>
      </c>
      <c r="P28">
        <v>20.657177919999999</v>
      </c>
      <c r="Q28">
        <v>20.880818919999999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22.039485590000002</v>
      </c>
      <c r="W28">
        <v>22.279486840000001</v>
      </c>
      <c r="X28">
        <v>22.522316849999999</v>
      </c>
      <c r="Y28">
        <v>22.768006539999998</v>
      </c>
      <c r="Z28">
        <v>23.016585849999998</v>
      </c>
      <c r="AA28">
        <v>23.26808393</v>
      </c>
      <c r="AB28">
        <v>23.522529550000002</v>
      </c>
      <c r="AC28">
        <v>23.779951560000001</v>
      </c>
      <c r="AD28">
        <v>24.040379250000001</v>
      </c>
      <c r="AE28">
        <v>24.303842719999999</v>
      </c>
      <c r="AF28">
        <v>24.570372580000001</v>
      </c>
      <c r="AG28">
        <v>24.84000095</v>
      </c>
      <c r="AH28">
        <v>25.11276148</v>
      </c>
      <c r="AI28">
        <v>25.38868922</v>
      </c>
      <c r="AJ28">
        <v>25.667820590000002</v>
      </c>
      <c r="AK28">
        <v>25.950193250000002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4" workbookViewId="0">
      <selection activeCell="G38" sqref="G38"/>
    </sheetView>
  </sheetViews>
  <sheetFormatPr baseColWidth="10" defaultRowHeight="15" x14ac:dyDescent="0.25"/>
  <cols>
    <col min="1" max="1" width="11.42578125" style="73"/>
    <col min="2" max="2" width="44" style="73" customWidth="1"/>
    <col min="3" max="4" width="6.28515625" style="73" customWidth="1"/>
    <col min="5" max="5" width="6.7109375" style="73" customWidth="1"/>
    <col min="6" max="6" width="2.28515625" style="73" customWidth="1"/>
    <col min="7" max="7" width="44.7109375" style="73" customWidth="1"/>
    <col min="8" max="8" width="7" style="73" customWidth="1"/>
    <col min="9" max="10" width="7.7109375" style="73" customWidth="1"/>
    <col min="11" max="11" width="12.42578125" style="73" customWidth="1"/>
    <col min="12" max="12" width="11.42578125" style="73"/>
    <col min="13" max="13" width="44.28515625" style="73" customWidth="1"/>
    <col min="14" max="14" width="4.140625" style="73" customWidth="1"/>
    <col min="15" max="15" width="3.7109375" style="73" customWidth="1"/>
    <col min="16" max="16" width="49.28515625" style="73" customWidth="1"/>
    <col min="17" max="17" width="6.7109375" style="73" customWidth="1"/>
    <col min="18" max="16384" width="11.42578125" style="73"/>
  </cols>
  <sheetData>
    <row r="1" spans="2:17" ht="18.75" x14ac:dyDescent="0.3">
      <c r="B1" s="355" t="s">
        <v>160</v>
      </c>
      <c r="C1" s="356"/>
      <c r="D1" s="356"/>
      <c r="E1" s="356"/>
      <c r="F1" s="356"/>
      <c r="G1" s="356"/>
      <c r="H1" s="356"/>
      <c r="I1" s="356"/>
      <c r="J1" s="356"/>
      <c r="K1" s="357"/>
      <c r="M1" s="358" t="s">
        <v>1730</v>
      </c>
      <c r="N1" s="359"/>
      <c r="O1" s="359"/>
      <c r="P1" s="359"/>
      <c r="Q1" s="360"/>
    </row>
    <row r="2" spans="2:17" ht="18.75" x14ac:dyDescent="0.3">
      <c r="B2" s="203" t="s">
        <v>1731</v>
      </c>
      <c r="C2" s="204" t="s">
        <v>1732</v>
      </c>
      <c r="D2" s="204"/>
      <c r="E2" s="204" t="s">
        <v>1733</v>
      </c>
      <c r="F2" s="205"/>
      <c r="G2" s="204" t="s">
        <v>1734</v>
      </c>
      <c r="H2" s="204" t="s">
        <v>1732</v>
      </c>
      <c r="I2" s="204" t="s">
        <v>1733</v>
      </c>
      <c r="J2" s="204"/>
      <c r="K2" s="206" t="s">
        <v>1735</v>
      </c>
      <c r="M2" s="207" t="s">
        <v>1736</v>
      </c>
      <c r="N2" s="208"/>
      <c r="O2" s="209"/>
      <c r="P2" s="210" t="s">
        <v>1737</v>
      </c>
      <c r="Q2" s="211"/>
    </row>
    <row r="3" spans="2:17" ht="15" customHeight="1" x14ac:dyDescent="0.25">
      <c r="B3" s="212" t="s">
        <v>625</v>
      </c>
      <c r="C3" s="74" t="s">
        <v>1738</v>
      </c>
      <c r="D3" s="74"/>
      <c r="E3" s="213">
        <v>1</v>
      </c>
      <c r="F3" s="214"/>
      <c r="G3" s="74" t="s">
        <v>759</v>
      </c>
      <c r="H3" s="74" t="s">
        <v>1739</v>
      </c>
      <c r="I3" s="215">
        <v>1</v>
      </c>
      <c r="J3" s="213"/>
      <c r="K3" s="216"/>
      <c r="M3" s="217" t="s">
        <v>1740</v>
      </c>
      <c r="N3" s="75">
        <v>1</v>
      </c>
      <c r="O3" s="214"/>
      <c r="P3" s="218" t="s">
        <v>1741</v>
      </c>
      <c r="Q3" s="219">
        <v>1</v>
      </c>
    </row>
    <row r="4" spans="2:17" ht="15" customHeight="1" x14ac:dyDescent="0.25">
      <c r="B4" s="212" t="s">
        <v>626</v>
      </c>
      <c r="C4" s="74" t="s">
        <v>1742</v>
      </c>
      <c r="D4" s="74"/>
      <c r="E4" s="220"/>
      <c r="F4" s="214"/>
      <c r="G4" s="74" t="s">
        <v>760</v>
      </c>
      <c r="H4" s="74" t="s">
        <v>1743</v>
      </c>
      <c r="I4" s="221"/>
      <c r="J4" s="221"/>
      <c r="K4" s="216"/>
      <c r="M4" s="217" t="s">
        <v>1744</v>
      </c>
      <c r="N4" s="75">
        <v>2</v>
      </c>
      <c r="O4" s="214"/>
      <c r="P4" s="218" t="s">
        <v>1745</v>
      </c>
      <c r="Q4" s="219">
        <v>2</v>
      </c>
    </row>
    <row r="5" spans="2:17" ht="15" customHeight="1" x14ac:dyDescent="0.25">
      <c r="B5" s="212" t="s">
        <v>627</v>
      </c>
      <c r="C5" s="74" t="s">
        <v>1746</v>
      </c>
      <c r="D5" s="74"/>
      <c r="E5" s="213">
        <v>2</v>
      </c>
      <c r="F5" s="214"/>
      <c r="G5" s="74" t="s">
        <v>761</v>
      </c>
      <c r="H5" s="74" t="s">
        <v>1747</v>
      </c>
      <c r="I5" s="213">
        <v>2</v>
      </c>
      <c r="J5" s="213"/>
      <c r="K5" s="222"/>
      <c r="M5" s="223" t="s">
        <v>1748</v>
      </c>
      <c r="N5" s="75">
        <v>3</v>
      </c>
      <c r="O5" s="214"/>
      <c r="P5" s="218" t="s">
        <v>1748</v>
      </c>
      <c r="Q5" s="219">
        <v>3</v>
      </c>
    </row>
    <row r="6" spans="2:17" ht="15" customHeight="1" x14ac:dyDescent="0.25">
      <c r="B6" s="212" t="s">
        <v>628</v>
      </c>
      <c r="C6" s="74" t="s">
        <v>1749</v>
      </c>
      <c r="D6" s="74"/>
      <c r="E6" s="213">
        <v>3</v>
      </c>
      <c r="F6" s="214"/>
      <c r="G6" s="74" t="s">
        <v>762</v>
      </c>
      <c r="H6" s="74" t="s">
        <v>1750</v>
      </c>
      <c r="I6" s="213">
        <v>3</v>
      </c>
      <c r="J6" s="213"/>
      <c r="K6" s="216"/>
      <c r="M6" s="223" t="s">
        <v>1751</v>
      </c>
      <c r="N6" s="75">
        <v>4</v>
      </c>
      <c r="O6" s="214"/>
      <c r="P6" s="218" t="s">
        <v>1751</v>
      </c>
      <c r="Q6" s="219">
        <v>4</v>
      </c>
    </row>
    <row r="7" spans="2:17" ht="15" customHeight="1" x14ac:dyDescent="0.25">
      <c r="B7" s="212" t="s">
        <v>629</v>
      </c>
      <c r="C7" s="74" t="s">
        <v>1752</v>
      </c>
      <c r="D7" s="74"/>
      <c r="E7" s="75" t="s">
        <v>1753</v>
      </c>
      <c r="F7" s="214"/>
      <c r="G7" s="74" t="s">
        <v>763</v>
      </c>
      <c r="H7" s="74" t="s">
        <v>1754</v>
      </c>
      <c r="I7" s="224" t="s">
        <v>1755</v>
      </c>
      <c r="J7" s="213"/>
      <c r="K7" s="222" t="s">
        <v>1756</v>
      </c>
      <c r="M7" s="223" t="s">
        <v>1757</v>
      </c>
      <c r="N7" s="75">
        <v>5</v>
      </c>
      <c r="O7" s="214"/>
      <c r="P7" s="218" t="s">
        <v>1757</v>
      </c>
      <c r="Q7" s="219">
        <v>5</v>
      </c>
    </row>
    <row r="8" spans="2:17" ht="15" customHeight="1" x14ac:dyDescent="0.25">
      <c r="B8" s="212" t="s">
        <v>630</v>
      </c>
      <c r="C8" s="74" t="s">
        <v>1758</v>
      </c>
      <c r="D8" s="74"/>
      <c r="E8" s="213">
        <v>6</v>
      </c>
      <c r="F8" s="214"/>
      <c r="G8" s="74" t="s">
        <v>764</v>
      </c>
      <c r="H8" s="74" t="s">
        <v>1759</v>
      </c>
      <c r="I8" s="213">
        <v>6</v>
      </c>
      <c r="J8" s="213"/>
      <c r="K8" s="222" t="s">
        <v>1756</v>
      </c>
      <c r="M8" s="223" t="s">
        <v>1760</v>
      </c>
      <c r="N8" s="75">
        <v>6</v>
      </c>
      <c r="O8" s="214"/>
      <c r="P8" s="218" t="s">
        <v>1760</v>
      </c>
      <c r="Q8" s="219">
        <v>6</v>
      </c>
    </row>
    <row r="9" spans="2:17" ht="15" customHeight="1" x14ac:dyDescent="0.25">
      <c r="B9" s="212" t="s">
        <v>631</v>
      </c>
      <c r="C9" s="74" t="s">
        <v>1761</v>
      </c>
      <c r="D9" s="74"/>
      <c r="E9" s="213" t="s">
        <v>1762</v>
      </c>
      <c r="F9" s="214"/>
      <c r="G9" s="74" t="s">
        <v>765</v>
      </c>
      <c r="H9" s="74" t="s">
        <v>1763</v>
      </c>
      <c r="I9" s="213" t="s">
        <v>1762</v>
      </c>
      <c r="J9" s="213"/>
      <c r="K9" s="222" t="s">
        <v>1756</v>
      </c>
      <c r="M9" s="223" t="s">
        <v>1764</v>
      </c>
      <c r="N9" s="75">
        <v>7</v>
      </c>
      <c r="O9" s="214"/>
      <c r="P9" s="218" t="s">
        <v>1764</v>
      </c>
      <c r="Q9" s="219">
        <v>7</v>
      </c>
    </row>
    <row r="10" spans="2:17" ht="15" customHeight="1" x14ac:dyDescent="0.25">
      <c r="B10" s="212" t="s">
        <v>632</v>
      </c>
      <c r="C10" s="74" t="s">
        <v>1765</v>
      </c>
      <c r="D10" s="74"/>
      <c r="E10" s="213">
        <v>9</v>
      </c>
      <c r="F10" s="214"/>
      <c r="G10" s="74" t="s">
        <v>766</v>
      </c>
      <c r="H10" s="74" t="s">
        <v>1766</v>
      </c>
      <c r="I10" s="213">
        <v>9</v>
      </c>
      <c r="J10" s="213"/>
      <c r="K10" s="222" t="s">
        <v>1756</v>
      </c>
      <c r="M10" s="223" t="s">
        <v>1767</v>
      </c>
      <c r="N10" s="75">
        <v>8</v>
      </c>
      <c r="O10" s="214"/>
      <c r="P10" s="218" t="s">
        <v>1767</v>
      </c>
      <c r="Q10" s="219">
        <v>8</v>
      </c>
    </row>
    <row r="11" spans="2:17" ht="15" customHeight="1" x14ac:dyDescent="0.25">
      <c r="B11" s="212" t="s">
        <v>633</v>
      </c>
      <c r="C11" s="74" t="s">
        <v>1768</v>
      </c>
      <c r="D11" s="74"/>
      <c r="E11" s="213" t="s">
        <v>1769</v>
      </c>
      <c r="F11" s="214"/>
      <c r="G11" s="74" t="s">
        <v>767</v>
      </c>
      <c r="H11" s="74" t="s">
        <v>1770</v>
      </c>
      <c r="I11" s="213" t="s">
        <v>1769</v>
      </c>
      <c r="J11" s="213"/>
      <c r="K11" s="222" t="s">
        <v>1756</v>
      </c>
      <c r="M11" s="223" t="s">
        <v>1771</v>
      </c>
      <c r="N11" s="75">
        <v>9</v>
      </c>
      <c r="O11" s="214"/>
      <c r="P11" s="218" t="s">
        <v>1771</v>
      </c>
      <c r="Q11" s="219">
        <v>9</v>
      </c>
    </row>
    <row r="12" spans="2:17" ht="15" customHeight="1" x14ac:dyDescent="0.25">
      <c r="B12" s="212" t="s">
        <v>634</v>
      </c>
      <c r="C12" s="74" t="s">
        <v>1772</v>
      </c>
      <c r="D12" s="74"/>
      <c r="E12" s="213">
        <v>12</v>
      </c>
      <c r="F12" s="214"/>
      <c r="G12" s="74" t="s">
        <v>768</v>
      </c>
      <c r="H12" s="74" t="s">
        <v>1773</v>
      </c>
      <c r="I12" s="213">
        <v>12</v>
      </c>
      <c r="J12" s="213"/>
      <c r="K12" s="216"/>
      <c r="M12" s="223" t="s">
        <v>1774</v>
      </c>
      <c r="N12" s="75">
        <v>10</v>
      </c>
      <c r="O12" s="214"/>
      <c r="P12" s="218" t="s">
        <v>1774</v>
      </c>
      <c r="Q12" s="219">
        <v>10</v>
      </c>
    </row>
    <row r="13" spans="2:17" ht="15" customHeight="1" x14ac:dyDescent="0.25">
      <c r="B13" s="212" t="s">
        <v>635</v>
      </c>
      <c r="C13" s="74" t="s">
        <v>1775</v>
      </c>
      <c r="D13" s="74"/>
      <c r="E13" s="213">
        <v>12</v>
      </c>
      <c r="F13" s="214"/>
      <c r="G13" s="74" t="s">
        <v>769</v>
      </c>
      <c r="H13" s="74" t="s">
        <v>1776</v>
      </c>
      <c r="I13" s="213">
        <v>12</v>
      </c>
      <c r="J13" s="213"/>
      <c r="K13" s="216"/>
      <c r="M13" s="223" t="s">
        <v>1777</v>
      </c>
      <c r="N13" s="75">
        <v>11</v>
      </c>
      <c r="O13" s="214"/>
      <c r="P13" s="218" t="s">
        <v>1777</v>
      </c>
      <c r="Q13" s="219">
        <v>11</v>
      </c>
    </row>
    <row r="14" spans="2:17" ht="15" customHeight="1" x14ac:dyDescent="0.25">
      <c r="B14" s="212" t="s">
        <v>636</v>
      </c>
      <c r="C14" s="74" t="s">
        <v>1778</v>
      </c>
      <c r="D14" s="74"/>
      <c r="E14" s="213">
        <v>13</v>
      </c>
      <c r="F14" s="214"/>
      <c r="G14" s="74" t="s">
        <v>770</v>
      </c>
      <c r="H14" s="74" t="s">
        <v>1779</v>
      </c>
      <c r="I14" s="213">
        <v>13</v>
      </c>
      <c r="J14" s="213"/>
      <c r="K14" s="216"/>
      <c r="M14" s="223" t="s">
        <v>1780</v>
      </c>
      <c r="N14" s="75">
        <v>12</v>
      </c>
      <c r="O14" s="214"/>
      <c r="P14" s="218" t="s">
        <v>1780</v>
      </c>
      <c r="Q14" s="219">
        <v>12</v>
      </c>
    </row>
    <row r="15" spans="2:17" ht="15" customHeight="1" x14ac:dyDescent="0.25">
      <c r="B15" s="212" t="s">
        <v>637</v>
      </c>
      <c r="C15" s="74" t="s">
        <v>1781</v>
      </c>
      <c r="D15" s="74"/>
      <c r="E15" s="213">
        <v>14</v>
      </c>
      <c r="F15" s="214"/>
      <c r="G15" s="74" t="s">
        <v>637</v>
      </c>
      <c r="H15" s="74" t="s">
        <v>1782</v>
      </c>
      <c r="I15" s="213">
        <v>14</v>
      </c>
      <c r="J15" s="213"/>
      <c r="K15" s="216"/>
      <c r="M15" s="223" t="s">
        <v>1783</v>
      </c>
      <c r="N15" s="75">
        <v>13</v>
      </c>
      <c r="O15" s="214"/>
      <c r="P15" s="218" t="s">
        <v>1783</v>
      </c>
      <c r="Q15" s="219">
        <v>13</v>
      </c>
    </row>
    <row r="16" spans="2:17" ht="15" customHeight="1" x14ac:dyDescent="0.25">
      <c r="B16" s="212" t="s">
        <v>638</v>
      </c>
      <c r="C16" s="74" t="s">
        <v>1784</v>
      </c>
      <c r="D16" s="74"/>
      <c r="E16" s="215" t="s">
        <v>1785</v>
      </c>
      <c r="F16" s="214"/>
      <c r="G16" s="74" t="s">
        <v>638</v>
      </c>
      <c r="H16" s="74" t="s">
        <v>1786</v>
      </c>
      <c r="I16" s="215" t="s">
        <v>1785</v>
      </c>
      <c r="J16" s="213"/>
      <c r="K16" s="216"/>
      <c r="M16" s="225" t="s">
        <v>1787</v>
      </c>
      <c r="N16" s="75">
        <v>14</v>
      </c>
      <c r="O16" s="214"/>
      <c r="P16" s="218" t="s">
        <v>1787</v>
      </c>
      <c r="Q16" s="219">
        <v>14</v>
      </c>
    </row>
    <row r="17" spans="2:17" ht="15" customHeight="1" x14ac:dyDescent="0.25">
      <c r="B17" s="212" t="s">
        <v>639</v>
      </c>
      <c r="C17" s="74" t="s">
        <v>1788</v>
      </c>
      <c r="D17" s="74"/>
      <c r="E17" s="213">
        <v>17</v>
      </c>
      <c r="F17" s="214"/>
      <c r="G17" s="74" t="s">
        <v>639</v>
      </c>
      <c r="H17" s="74" t="s">
        <v>1789</v>
      </c>
      <c r="I17" s="213">
        <v>17</v>
      </c>
      <c r="J17" s="213"/>
      <c r="K17" s="216"/>
      <c r="M17" s="225" t="s">
        <v>1790</v>
      </c>
      <c r="N17" s="75">
        <v>15</v>
      </c>
      <c r="O17" s="214"/>
      <c r="P17" s="218" t="s">
        <v>1790</v>
      </c>
      <c r="Q17" s="219">
        <v>15</v>
      </c>
    </row>
    <row r="18" spans="2:17" ht="15" customHeight="1" x14ac:dyDescent="0.25">
      <c r="B18" s="212" t="s">
        <v>640</v>
      </c>
      <c r="C18" s="74" t="s">
        <v>1791</v>
      </c>
      <c r="D18" s="74"/>
      <c r="E18" s="213">
        <v>18</v>
      </c>
      <c r="F18" s="214"/>
      <c r="G18" s="74" t="s">
        <v>640</v>
      </c>
      <c r="H18" s="74" t="s">
        <v>1792</v>
      </c>
      <c r="I18" s="213">
        <v>18</v>
      </c>
      <c r="J18" s="213"/>
      <c r="K18" s="222" t="s">
        <v>1756</v>
      </c>
      <c r="M18" s="225" t="s">
        <v>1793</v>
      </c>
      <c r="N18" s="75">
        <v>16</v>
      </c>
      <c r="O18" s="214"/>
      <c r="P18" s="218" t="s">
        <v>1793</v>
      </c>
      <c r="Q18" s="219">
        <v>16</v>
      </c>
    </row>
    <row r="19" spans="2:17" ht="15" customHeight="1" x14ac:dyDescent="0.25">
      <c r="B19" s="212" t="s">
        <v>641</v>
      </c>
      <c r="C19" s="74" t="s">
        <v>1794</v>
      </c>
      <c r="D19" s="74"/>
      <c r="E19" s="213">
        <v>19</v>
      </c>
      <c r="F19" s="214"/>
      <c r="G19" s="74" t="s">
        <v>641</v>
      </c>
      <c r="H19" s="74" t="s">
        <v>1795</v>
      </c>
      <c r="I19" s="213">
        <v>19</v>
      </c>
      <c r="J19" s="213"/>
      <c r="K19" s="216"/>
      <c r="M19" s="225" t="s">
        <v>1796</v>
      </c>
      <c r="N19" s="75">
        <v>17</v>
      </c>
      <c r="O19" s="214"/>
      <c r="P19" s="218" t="s">
        <v>1796</v>
      </c>
      <c r="Q19" s="219">
        <v>17</v>
      </c>
    </row>
    <row r="20" spans="2:17" ht="15" customHeight="1" x14ac:dyDescent="0.25">
      <c r="B20" s="212" t="s">
        <v>642</v>
      </c>
      <c r="C20" s="74" t="s">
        <v>1797</v>
      </c>
      <c r="D20" s="74"/>
      <c r="E20" s="213">
        <v>20</v>
      </c>
      <c r="F20" s="214"/>
      <c r="G20" s="74" t="s">
        <v>642</v>
      </c>
      <c r="H20" s="74" t="s">
        <v>1798</v>
      </c>
      <c r="I20" s="213">
        <v>20</v>
      </c>
      <c r="J20" s="213"/>
      <c r="K20" s="216"/>
      <c r="M20" s="225" t="s">
        <v>1799</v>
      </c>
      <c r="N20" s="75">
        <v>18</v>
      </c>
      <c r="O20" s="214"/>
      <c r="P20" s="218" t="s">
        <v>1799</v>
      </c>
      <c r="Q20" s="219">
        <v>18</v>
      </c>
    </row>
    <row r="21" spans="2:17" ht="15" customHeight="1" x14ac:dyDescent="0.25">
      <c r="B21" s="212" t="s">
        <v>643</v>
      </c>
      <c r="C21" s="74" t="s">
        <v>1800</v>
      </c>
      <c r="D21" s="74"/>
      <c r="F21" s="214"/>
      <c r="G21" s="74" t="s">
        <v>771</v>
      </c>
      <c r="H21" s="74" t="s">
        <v>1801</v>
      </c>
      <c r="I21" s="224">
        <v>21</v>
      </c>
      <c r="J21" s="224"/>
      <c r="K21" s="222" t="s">
        <v>1756</v>
      </c>
      <c r="M21" s="223" t="s">
        <v>1802</v>
      </c>
      <c r="N21" s="75">
        <v>19</v>
      </c>
      <c r="O21" s="214"/>
      <c r="P21" s="218" t="s">
        <v>1802</v>
      </c>
      <c r="Q21" s="219">
        <v>19</v>
      </c>
    </row>
    <row r="22" spans="2:17" ht="15" customHeight="1" x14ac:dyDescent="0.25">
      <c r="B22" s="212" t="s">
        <v>530</v>
      </c>
      <c r="C22" s="74" t="s">
        <v>1803</v>
      </c>
      <c r="D22" s="74"/>
      <c r="E22" s="224">
        <v>21</v>
      </c>
      <c r="F22" s="214"/>
      <c r="G22" s="226" t="s">
        <v>486</v>
      </c>
      <c r="H22" s="226" t="s">
        <v>1804</v>
      </c>
      <c r="I22" s="227" t="s">
        <v>1805</v>
      </c>
      <c r="J22" s="227" t="s">
        <v>1806</v>
      </c>
      <c r="K22" s="222" t="s">
        <v>1756</v>
      </c>
      <c r="M22" s="223" t="s">
        <v>1807</v>
      </c>
      <c r="N22" s="75">
        <v>20</v>
      </c>
      <c r="O22" s="214"/>
      <c r="P22" s="218" t="s">
        <v>1807</v>
      </c>
      <c r="Q22" s="219">
        <v>20</v>
      </c>
    </row>
    <row r="23" spans="2:17" ht="15" customHeight="1" x14ac:dyDescent="0.25">
      <c r="B23" s="228" t="s">
        <v>531</v>
      </c>
      <c r="C23" s="229" t="s">
        <v>1808</v>
      </c>
      <c r="D23" s="229" t="s">
        <v>162</v>
      </c>
      <c r="E23" s="224">
        <v>22</v>
      </c>
      <c r="F23" s="214"/>
      <c r="G23" s="226" t="s">
        <v>487</v>
      </c>
      <c r="H23" s="226" t="s">
        <v>1809</v>
      </c>
      <c r="I23" s="227" t="s">
        <v>1810</v>
      </c>
      <c r="J23" s="227" t="s">
        <v>1806</v>
      </c>
      <c r="K23" s="222" t="s">
        <v>1756</v>
      </c>
      <c r="M23" s="223" t="s">
        <v>1811</v>
      </c>
      <c r="N23" s="75">
        <v>21</v>
      </c>
      <c r="O23" s="214"/>
      <c r="P23" s="230" t="s">
        <v>1812</v>
      </c>
      <c r="Q23" s="231">
        <v>21</v>
      </c>
    </row>
    <row r="24" spans="2:17" ht="15" customHeight="1" x14ac:dyDescent="0.25">
      <c r="B24" s="228" t="s">
        <v>532</v>
      </c>
      <c r="C24" s="229" t="s">
        <v>1813</v>
      </c>
      <c r="D24" s="229" t="s">
        <v>162</v>
      </c>
      <c r="E24" s="224">
        <v>22</v>
      </c>
      <c r="F24" s="214"/>
      <c r="G24" s="226" t="s">
        <v>490</v>
      </c>
      <c r="H24" s="226" t="s">
        <v>1814</v>
      </c>
      <c r="I24" s="227" t="s">
        <v>1815</v>
      </c>
      <c r="J24" s="227" t="s">
        <v>1806</v>
      </c>
      <c r="K24" s="222" t="s">
        <v>1756</v>
      </c>
      <c r="M24" s="223" t="s">
        <v>1816</v>
      </c>
      <c r="N24" s="75">
        <v>22</v>
      </c>
      <c r="O24" s="214"/>
      <c r="P24" s="232" t="s">
        <v>170</v>
      </c>
      <c r="Q24" s="233" t="s">
        <v>1805</v>
      </c>
    </row>
    <row r="25" spans="2:17" ht="15" customHeight="1" x14ac:dyDescent="0.25">
      <c r="B25" s="228" t="s">
        <v>533</v>
      </c>
      <c r="C25" s="229" t="s">
        <v>1817</v>
      </c>
      <c r="D25" s="229" t="s">
        <v>162</v>
      </c>
      <c r="E25" s="224">
        <v>22</v>
      </c>
      <c r="F25" s="214"/>
      <c r="G25" s="226" t="s">
        <v>491</v>
      </c>
      <c r="H25" s="226" t="s">
        <v>1818</v>
      </c>
      <c r="I25" s="227" t="s">
        <v>1819</v>
      </c>
      <c r="J25" s="227" t="s">
        <v>1806</v>
      </c>
      <c r="K25" s="222" t="s">
        <v>1756</v>
      </c>
      <c r="M25" s="223" t="s">
        <v>1820</v>
      </c>
      <c r="N25" s="75">
        <v>23</v>
      </c>
      <c r="O25" s="214"/>
      <c r="P25" s="232" t="s">
        <v>1821</v>
      </c>
      <c r="Q25" s="233" t="s">
        <v>1810</v>
      </c>
    </row>
    <row r="26" spans="2:17" ht="15" customHeight="1" x14ac:dyDescent="0.25">
      <c r="B26" s="307" t="s">
        <v>534</v>
      </c>
      <c r="C26" s="234" t="s">
        <v>1822</v>
      </c>
      <c r="D26" s="234" t="s">
        <v>164</v>
      </c>
      <c r="E26" s="224">
        <v>24</v>
      </c>
      <c r="F26" s="214"/>
      <c r="G26" s="235" t="s">
        <v>494</v>
      </c>
      <c r="H26" s="235" t="s">
        <v>1823</v>
      </c>
      <c r="I26" s="236" t="s">
        <v>1824</v>
      </c>
      <c r="J26" s="236" t="s">
        <v>1825</v>
      </c>
      <c r="K26" s="222" t="s">
        <v>1756</v>
      </c>
      <c r="M26" s="223" t="s">
        <v>1826</v>
      </c>
      <c r="N26" s="75">
        <v>24</v>
      </c>
      <c r="O26" s="214"/>
      <c r="P26" s="237" t="s">
        <v>1827</v>
      </c>
      <c r="Q26" s="238" t="s">
        <v>1824</v>
      </c>
    </row>
    <row r="27" spans="2:17" ht="15" customHeight="1" x14ac:dyDescent="0.25">
      <c r="B27" s="239" t="s">
        <v>535</v>
      </c>
      <c r="C27" s="240" t="s">
        <v>1828</v>
      </c>
      <c r="D27" s="240" t="s">
        <v>1829</v>
      </c>
      <c r="E27" s="224">
        <v>23</v>
      </c>
      <c r="F27" s="214"/>
      <c r="G27" s="235" t="s">
        <v>495</v>
      </c>
      <c r="H27" s="235" t="s">
        <v>1830</v>
      </c>
      <c r="I27" s="236" t="s">
        <v>1831</v>
      </c>
      <c r="J27" s="236" t="s">
        <v>1825</v>
      </c>
      <c r="K27" s="222" t="s">
        <v>1756</v>
      </c>
      <c r="M27" s="241"/>
      <c r="N27" s="75"/>
      <c r="O27" s="214"/>
      <c r="P27" s="237" t="s">
        <v>1832</v>
      </c>
      <c r="Q27" s="238" t="s">
        <v>1831</v>
      </c>
    </row>
    <row r="28" spans="2:17" ht="15" customHeight="1" x14ac:dyDescent="0.25">
      <c r="B28" s="212" t="s">
        <v>536</v>
      </c>
      <c r="C28" s="74" t="s">
        <v>1833</v>
      </c>
      <c r="D28" s="74"/>
      <c r="E28" s="242"/>
      <c r="F28" s="214"/>
      <c r="G28" s="235" t="s">
        <v>496</v>
      </c>
      <c r="H28" s="235" t="s">
        <v>1834</v>
      </c>
      <c r="I28" s="236" t="s">
        <v>1835</v>
      </c>
      <c r="J28" s="236" t="s">
        <v>1825</v>
      </c>
      <c r="K28" s="222" t="s">
        <v>1756</v>
      </c>
      <c r="M28" s="241"/>
      <c r="N28" s="75"/>
      <c r="O28" s="214"/>
      <c r="P28" s="237" t="s">
        <v>1836</v>
      </c>
      <c r="Q28" s="238" t="s">
        <v>1835</v>
      </c>
    </row>
    <row r="29" spans="2:17" ht="15" customHeight="1" x14ac:dyDescent="0.25">
      <c r="B29" s="212" t="s">
        <v>537</v>
      </c>
      <c r="C29" s="74" t="s">
        <v>1837</v>
      </c>
      <c r="D29" s="74"/>
      <c r="E29" s="242"/>
      <c r="F29" s="214"/>
      <c r="G29" s="235" t="s">
        <v>497</v>
      </c>
      <c r="H29" s="235" t="s">
        <v>1838</v>
      </c>
      <c r="I29" s="236" t="s">
        <v>1839</v>
      </c>
      <c r="J29" s="236" t="s">
        <v>1825</v>
      </c>
      <c r="K29" s="222" t="s">
        <v>1756</v>
      </c>
      <c r="M29" s="241"/>
      <c r="N29" s="75"/>
      <c r="O29" s="214"/>
      <c r="P29" s="237" t="s">
        <v>1840</v>
      </c>
      <c r="Q29" s="238" t="s">
        <v>1839</v>
      </c>
    </row>
    <row r="30" spans="2:17" ht="15" customHeight="1" x14ac:dyDescent="0.25">
      <c r="B30" s="212" t="s">
        <v>538</v>
      </c>
      <c r="C30" s="74" t="s">
        <v>1841</v>
      </c>
      <c r="D30" s="74"/>
      <c r="E30" s="242"/>
      <c r="F30" s="214"/>
      <c r="G30" s="235" t="s">
        <v>498</v>
      </c>
      <c r="H30" s="235" t="s">
        <v>1842</v>
      </c>
      <c r="I30" s="236" t="s">
        <v>1843</v>
      </c>
      <c r="J30" s="236" t="s">
        <v>1825</v>
      </c>
      <c r="K30" s="222" t="s">
        <v>1756</v>
      </c>
      <c r="M30" s="241"/>
      <c r="N30" s="75"/>
      <c r="O30" s="214"/>
      <c r="P30" s="237" t="s">
        <v>1844</v>
      </c>
      <c r="Q30" s="238" t="s">
        <v>1843</v>
      </c>
    </row>
    <row r="31" spans="2:17" ht="15" customHeight="1" x14ac:dyDescent="0.25">
      <c r="B31" s="241"/>
      <c r="C31" s="75"/>
      <c r="D31" s="75"/>
      <c r="E31" s="75"/>
      <c r="F31" s="214"/>
      <c r="G31" s="235" t="s">
        <v>499</v>
      </c>
      <c r="H31" s="235" t="s">
        <v>1845</v>
      </c>
      <c r="I31" s="236" t="s">
        <v>1846</v>
      </c>
      <c r="J31" s="236" t="s">
        <v>1825</v>
      </c>
      <c r="K31" s="222" t="s">
        <v>1756</v>
      </c>
      <c r="M31" s="241"/>
      <c r="N31" s="75"/>
      <c r="O31" s="214"/>
      <c r="P31" s="237" t="s">
        <v>1847</v>
      </c>
      <c r="Q31" s="238" t="s">
        <v>1846</v>
      </c>
    </row>
    <row r="32" spans="2:17" ht="15" customHeight="1" x14ac:dyDescent="0.25">
      <c r="B32" s="241"/>
      <c r="C32" s="75"/>
      <c r="D32" s="75"/>
      <c r="E32" s="75"/>
      <c r="F32" s="214"/>
      <c r="G32" s="235" t="s">
        <v>500</v>
      </c>
      <c r="H32" s="235" t="s">
        <v>1848</v>
      </c>
      <c r="I32" s="236" t="s">
        <v>1849</v>
      </c>
      <c r="J32" s="236" t="s">
        <v>1825</v>
      </c>
      <c r="K32" s="222" t="s">
        <v>1756</v>
      </c>
      <c r="M32" s="241"/>
      <c r="N32" s="75"/>
      <c r="O32" s="214"/>
      <c r="P32" s="237" t="s">
        <v>1850</v>
      </c>
      <c r="Q32" s="238" t="s">
        <v>1849</v>
      </c>
    </row>
    <row r="33" spans="2:17" ht="15" customHeight="1" x14ac:dyDescent="0.25">
      <c r="B33" s="241"/>
      <c r="C33" s="75"/>
      <c r="D33" s="75"/>
      <c r="E33" s="75"/>
      <c r="F33" s="214"/>
      <c r="G33" s="235" t="s">
        <v>501</v>
      </c>
      <c r="H33" s="235" t="s">
        <v>1851</v>
      </c>
      <c r="I33" s="243" t="s">
        <v>1852</v>
      </c>
      <c r="J33" s="236" t="s">
        <v>1825</v>
      </c>
      <c r="K33" s="222" t="s">
        <v>1756</v>
      </c>
      <c r="M33" s="241"/>
      <c r="N33" s="75"/>
      <c r="O33" s="214"/>
      <c r="P33" s="237" t="s">
        <v>1853</v>
      </c>
      <c r="Q33" s="238" t="s">
        <v>1854</v>
      </c>
    </row>
    <row r="34" spans="2:17" ht="15" customHeight="1" x14ac:dyDescent="0.25">
      <c r="B34" s="244"/>
      <c r="C34" s="245"/>
      <c r="D34" s="245"/>
      <c r="E34" s="245"/>
      <c r="F34" s="246"/>
      <c r="G34" s="247" t="s">
        <v>502</v>
      </c>
      <c r="H34" s="247" t="s">
        <v>1855</v>
      </c>
      <c r="I34" s="248"/>
      <c r="J34" s="249" t="s">
        <v>1825</v>
      </c>
      <c r="K34" s="250" t="s">
        <v>1756</v>
      </c>
      <c r="M34" s="241"/>
      <c r="N34" s="75"/>
      <c r="O34" s="214"/>
      <c r="P34" s="251" t="s">
        <v>1856</v>
      </c>
      <c r="Q34" s="252" t="s">
        <v>1815</v>
      </c>
    </row>
    <row r="35" spans="2:17" ht="15" customHeight="1" x14ac:dyDescent="0.25">
      <c r="M35" s="241"/>
      <c r="N35" s="75"/>
      <c r="O35" s="214"/>
      <c r="P35" s="253" t="s">
        <v>1857</v>
      </c>
      <c r="Q35" s="254" t="s">
        <v>1858</v>
      </c>
    </row>
    <row r="36" spans="2:17" ht="15" customHeight="1" x14ac:dyDescent="0.25">
      <c r="M36" s="241"/>
      <c r="N36" s="75"/>
      <c r="O36" s="214"/>
      <c r="P36" s="251" t="s">
        <v>1859</v>
      </c>
      <c r="Q36" s="252" t="s">
        <v>1819</v>
      </c>
    </row>
    <row r="37" spans="2:17" ht="15" customHeight="1" x14ac:dyDescent="0.25">
      <c r="M37" s="241"/>
      <c r="N37" s="75"/>
      <c r="O37" s="214"/>
      <c r="P37" s="251" t="s">
        <v>1860</v>
      </c>
      <c r="Q37" s="252" t="s">
        <v>1861</v>
      </c>
    </row>
    <row r="38" spans="2:17" ht="15" customHeight="1" x14ac:dyDescent="0.25">
      <c r="M38" s="241"/>
      <c r="N38" s="75"/>
      <c r="O38" s="214"/>
      <c r="P38" s="251" t="s">
        <v>1862</v>
      </c>
      <c r="Q38" s="252" t="s">
        <v>1863</v>
      </c>
    </row>
    <row r="39" spans="2:17" ht="15" customHeight="1" x14ac:dyDescent="0.25">
      <c r="M39" s="244"/>
      <c r="N39" s="245"/>
      <c r="O39" s="246"/>
      <c r="P39" s="255" t="s">
        <v>1853</v>
      </c>
      <c r="Q39" s="256" t="s">
        <v>1864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activeCell="A19" sqref="A19"/>
    </sheetView>
  </sheetViews>
  <sheetFormatPr baseColWidth="10" defaultRowHeight="15" x14ac:dyDescent="0.25"/>
  <cols>
    <col min="1" max="1" width="11.42578125" style="73"/>
    <col min="2" max="2" width="50.140625" style="73" customWidth="1"/>
    <col min="3" max="3" width="8.85546875" style="73" customWidth="1"/>
    <col min="4" max="4" width="42.7109375" style="73" customWidth="1"/>
    <col min="5" max="16384" width="11.42578125" style="73"/>
  </cols>
  <sheetData>
    <row r="1" spans="2:5" ht="15.75" thickBot="1" x14ac:dyDescent="0.3">
      <c r="B1" s="257" t="s">
        <v>1865</v>
      </c>
      <c r="C1" s="258" t="s">
        <v>1866</v>
      </c>
      <c r="D1" s="259" t="s">
        <v>1867</v>
      </c>
      <c r="E1" s="260" t="str">
        <f>C1</f>
        <v>Acronym</v>
      </c>
    </row>
    <row r="2" spans="2:5" x14ac:dyDescent="0.25">
      <c r="B2" s="261" t="s">
        <v>759</v>
      </c>
      <c r="C2" s="262" t="s">
        <v>1739</v>
      </c>
      <c r="D2" s="263" t="s">
        <v>625</v>
      </c>
      <c r="E2" s="264" t="s">
        <v>1738</v>
      </c>
    </row>
    <row r="3" spans="2:5" x14ac:dyDescent="0.25">
      <c r="B3" s="265"/>
      <c r="C3" s="266"/>
      <c r="D3" s="267" t="s">
        <v>1868</v>
      </c>
      <c r="E3" s="268" t="s">
        <v>1837</v>
      </c>
    </row>
    <row r="4" spans="2:5" x14ac:dyDescent="0.25">
      <c r="B4" s="269" t="s">
        <v>760</v>
      </c>
      <c r="C4" s="270" t="s">
        <v>1743</v>
      </c>
      <c r="D4" s="271" t="s">
        <v>626</v>
      </c>
      <c r="E4" s="272" t="s">
        <v>1742</v>
      </c>
    </row>
    <row r="5" spans="2:5" x14ac:dyDescent="0.25">
      <c r="B5" s="269" t="s">
        <v>761</v>
      </c>
      <c r="C5" s="270" t="s">
        <v>1747</v>
      </c>
      <c r="D5" s="271" t="s">
        <v>627</v>
      </c>
      <c r="E5" s="272" t="s">
        <v>1746</v>
      </c>
    </row>
    <row r="6" spans="2:5" x14ac:dyDescent="0.25">
      <c r="B6" s="269" t="s">
        <v>762</v>
      </c>
      <c r="C6" s="270" t="s">
        <v>1750</v>
      </c>
      <c r="D6" s="271" t="s">
        <v>628</v>
      </c>
      <c r="E6" s="272" t="s">
        <v>1749</v>
      </c>
    </row>
    <row r="7" spans="2:5" x14ac:dyDescent="0.25">
      <c r="B7" s="269" t="s">
        <v>763</v>
      </c>
      <c r="C7" s="270" t="s">
        <v>1754</v>
      </c>
      <c r="D7" s="271" t="s">
        <v>629</v>
      </c>
      <c r="E7" s="272" t="s">
        <v>1752</v>
      </c>
    </row>
    <row r="8" spans="2:5" x14ac:dyDescent="0.25">
      <c r="B8" s="269" t="s">
        <v>764</v>
      </c>
      <c r="C8" s="270" t="s">
        <v>1759</v>
      </c>
      <c r="D8" s="271" t="s">
        <v>630</v>
      </c>
      <c r="E8" s="272" t="s">
        <v>1758</v>
      </c>
    </row>
    <row r="9" spans="2:5" x14ac:dyDescent="0.25">
      <c r="B9" s="269" t="s">
        <v>765</v>
      </c>
      <c r="C9" s="270" t="s">
        <v>1763</v>
      </c>
      <c r="D9" s="271" t="s">
        <v>631</v>
      </c>
      <c r="E9" s="272" t="s">
        <v>1761</v>
      </c>
    </row>
    <row r="10" spans="2:5" x14ac:dyDescent="0.25">
      <c r="B10" s="269" t="s">
        <v>766</v>
      </c>
      <c r="C10" s="270" t="s">
        <v>1766</v>
      </c>
      <c r="D10" s="271" t="s">
        <v>632</v>
      </c>
      <c r="E10" s="272" t="s">
        <v>1765</v>
      </c>
    </row>
    <row r="11" spans="2:5" x14ac:dyDescent="0.25">
      <c r="B11" s="269" t="s">
        <v>767</v>
      </c>
      <c r="C11" s="270" t="s">
        <v>1770</v>
      </c>
      <c r="D11" s="271" t="s">
        <v>633</v>
      </c>
      <c r="E11" s="272" t="s">
        <v>1768</v>
      </c>
    </row>
    <row r="12" spans="2:5" x14ac:dyDescent="0.25">
      <c r="B12" s="269" t="s">
        <v>768</v>
      </c>
      <c r="C12" s="270" t="s">
        <v>1773</v>
      </c>
      <c r="D12" s="271" t="s">
        <v>634</v>
      </c>
      <c r="E12" s="272" t="s">
        <v>1772</v>
      </c>
    </row>
    <row r="13" spans="2:5" x14ac:dyDescent="0.25">
      <c r="B13" s="269" t="s">
        <v>769</v>
      </c>
      <c r="C13" s="270" t="s">
        <v>1776</v>
      </c>
      <c r="D13" s="271" t="s">
        <v>635</v>
      </c>
      <c r="E13" s="272" t="s">
        <v>1775</v>
      </c>
    </row>
    <row r="14" spans="2:5" ht="15.75" thickBot="1" x14ac:dyDescent="0.3">
      <c r="B14" s="265" t="s">
        <v>770</v>
      </c>
      <c r="C14" s="266" t="s">
        <v>1779</v>
      </c>
      <c r="D14" s="267" t="s">
        <v>636</v>
      </c>
      <c r="E14" s="273" t="s">
        <v>1778</v>
      </c>
    </row>
    <row r="15" spans="2:5" x14ac:dyDescent="0.25">
      <c r="B15" s="274" t="s">
        <v>637</v>
      </c>
      <c r="C15" s="275" t="s">
        <v>1782</v>
      </c>
      <c r="D15" s="276" t="s">
        <v>637</v>
      </c>
      <c r="E15" s="277" t="s">
        <v>1781</v>
      </c>
    </row>
    <row r="16" spans="2:5" x14ac:dyDescent="0.25">
      <c r="B16" s="278" t="s">
        <v>638</v>
      </c>
      <c r="C16" s="270" t="s">
        <v>1786</v>
      </c>
      <c r="D16" s="271" t="s">
        <v>638</v>
      </c>
      <c r="E16" s="279" t="s">
        <v>1784</v>
      </c>
    </row>
    <row r="17" spans="1:5" x14ac:dyDescent="0.25">
      <c r="B17" s="278" t="s">
        <v>639</v>
      </c>
      <c r="C17" s="270" t="s">
        <v>1789</v>
      </c>
      <c r="D17" s="271" t="s">
        <v>639</v>
      </c>
      <c r="E17" s="279" t="s">
        <v>1788</v>
      </c>
    </row>
    <row r="18" spans="1:5" ht="15.75" thickBot="1" x14ac:dyDescent="0.3">
      <c r="B18" s="280" t="s">
        <v>640</v>
      </c>
      <c r="C18" s="281" t="s">
        <v>1792</v>
      </c>
      <c r="D18" s="282" t="s">
        <v>640</v>
      </c>
      <c r="E18" s="283" t="s">
        <v>1791</v>
      </c>
    </row>
    <row r="19" spans="1:5" x14ac:dyDescent="0.25">
      <c r="B19" s="265" t="s">
        <v>641</v>
      </c>
      <c r="C19" s="266" t="s">
        <v>1795</v>
      </c>
      <c r="D19" s="267" t="s">
        <v>641</v>
      </c>
      <c r="E19" s="273" t="s">
        <v>1794</v>
      </c>
    </row>
    <row r="20" spans="1:5" ht="15.75" thickBot="1" x14ac:dyDescent="0.3">
      <c r="B20" s="284" t="s">
        <v>642</v>
      </c>
      <c r="C20" s="285" t="s">
        <v>1798</v>
      </c>
      <c r="D20" s="286" t="s">
        <v>642</v>
      </c>
      <c r="E20" s="287" t="s">
        <v>1797</v>
      </c>
    </row>
    <row r="21" spans="1:5" x14ac:dyDescent="0.25">
      <c r="B21" s="288" t="s">
        <v>771</v>
      </c>
      <c r="C21" s="289" t="s">
        <v>1801</v>
      </c>
      <c r="D21" s="290" t="s">
        <v>643</v>
      </c>
      <c r="E21" s="291" t="s">
        <v>1800</v>
      </c>
    </row>
    <row r="22" spans="1:5" x14ac:dyDescent="0.25">
      <c r="B22" s="292"/>
      <c r="C22" s="266"/>
      <c r="D22" s="267" t="s">
        <v>530</v>
      </c>
      <c r="E22" s="293" t="s">
        <v>1803</v>
      </c>
    </row>
    <row r="23" spans="1:5" x14ac:dyDescent="0.25">
      <c r="B23" s="292"/>
      <c r="C23" s="266"/>
      <c r="D23" s="267" t="s">
        <v>1869</v>
      </c>
      <c r="E23" s="293" t="s">
        <v>1870</v>
      </c>
    </row>
    <row r="24" spans="1:5" x14ac:dyDescent="0.25">
      <c r="B24" s="292"/>
      <c r="C24" s="266"/>
      <c r="D24" s="267" t="s">
        <v>531</v>
      </c>
      <c r="E24" s="293" t="s">
        <v>1808</v>
      </c>
    </row>
    <row r="25" spans="1:5" x14ac:dyDescent="0.25">
      <c r="B25" s="292"/>
      <c r="C25" s="266"/>
      <c r="D25" s="294" t="s">
        <v>1871</v>
      </c>
      <c r="E25" s="295" t="s">
        <v>1872</v>
      </c>
    </row>
    <row r="26" spans="1:5" x14ac:dyDescent="0.25">
      <c r="A26" s="361" t="s">
        <v>1873</v>
      </c>
      <c r="B26" s="296" t="s">
        <v>486</v>
      </c>
      <c r="C26" s="285" t="s">
        <v>1804</v>
      </c>
      <c r="D26" s="286" t="s">
        <v>532</v>
      </c>
      <c r="E26" s="297" t="s">
        <v>1813</v>
      </c>
    </row>
    <row r="27" spans="1:5" x14ac:dyDescent="0.25">
      <c r="A27" s="361"/>
      <c r="B27" s="292" t="s">
        <v>487</v>
      </c>
      <c r="C27" s="298" t="s">
        <v>1809</v>
      </c>
      <c r="D27" s="267" t="s">
        <v>533</v>
      </c>
      <c r="E27" s="293" t="s">
        <v>1817</v>
      </c>
    </row>
    <row r="28" spans="1:5" x14ac:dyDescent="0.25">
      <c r="A28" s="361"/>
      <c r="B28" s="299"/>
      <c r="C28" s="300"/>
      <c r="D28" s="301" t="s">
        <v>1874</v>
      </c>
      <c r="E28" s="302" t="s">
        <v>1875</v>
      </c>
    </row>
    <row r="29" spans="1:5" x14ac:dyDescent="0.25">
      <c r="A29" s="361"/>
      <c r="B29" s="292" t="s">
        <v>490</v>
      </c>
      <c r="C29" s="266" t="s">
        <v>1814</v>
      </c>
      <c r="D29" s="294" t="s">
        <v>534</v>
      </c>
      <c r="E29" s="295" t="s">
        <v>1822</v>
      </c>
    </row>
    <row r="30" spans="1:5" x14ac:dyDescent="0.25">
      <c r="A30" s="361"/>
      <c r="B30" s="292" t="s">
        <v>491</v>
      </c>
      <c r="C30" s="266" t="s">
        <v>1818</v>
      </c>
      <c r="D30" s="267" t="s">
        <v>1876</v>
      </c>
      <c r="E30" s="293" t="s">
        <v>1877</v>
      </c>
    </row>
    <row r="31" spans="1:5" x14ac:dyDescent="0.25">
      <c r="A31" s="362" t="s">
        <v>1878</v>
      </c>
      <c r="B31" s="296" t="s">
        <v>1879</v>
      </c>
      <c r="C31" s="285" t="s">
        <v>1880</v>
      </c>
      <c r="D31" s="286"/>
      <c r="E31" s="297"/>
    </row>
    <row r="32" spans="1:5" x14ac:dyDescent="0.25">
      <c r="A32" s="362"/>
      <c r="B32" s="292" t="s">
        <v>494</v>
      </c>
      <c r="C32" s="266" t="s">
        <v>1823</v>
      </c>
      <c r="D32" s="267"/>
      <c r="E32" s="293"/>
    </row>
    <row r="33" spans="1:5" x14ac:dyDescent="0.25">
      <c r="A33" s="362"/>
      <c r="B33" s="292" t="s">
        <v>495</v>
      </c>
      <c r="C33" s="266" t="s">
        <v>1830</v>
      </c>
      <c r="D33" s="267"/>
      <c r="E33" s="293"/>
    </row>
    <row r="34" spans="1:5" x14ac:dyDescent="0.25">
      <c r="A34" s="362"/>
      <c r="B34" s="292" t="s">
        <v>496</v>
      </c>
      <c r="C34" s="266" t="s">
        <v>1834</v>
      </c>
      <c r="D34" s="267" t="s">
        <v>535</v>
      </c>
      <c r="E34" s="293" t="s">
        <v>1828</v>
      </c>
    </row>
    <row r="35" spans="1:5" x14ac:dyDescent="0.25">
      <c r="A35" s="362"/>
      <c r="B35" s="292" t="s">
        <v>497</v>
      </c>
      <c r="C35" s="266" t="s">
        <v>1838</v>
      </c>
      <c r="D35" s="267"/>
      <c r="E35" s="293"/>
    </row>
    <row r="36" spans="1:5" x14ac:dyDescent="0.25">
      <c r="A36" s="362"/>
      <c r="B36" s="292" t="s">
        <v>498</v>
      </c>
      <c r="C36" s="266" t="s">
        <v>1842</v>
      </c>
      <c r="D36" s="267"/>
      <c r="E36" s="293"/>
    </row>
    <row r="37" spans="1:5" x14ac:dyDescent="0.25">
      <c r="A37" s="362"/>
      <c r="B37" s="292" t="s">
        <v>499</v>
      </c>
      <c r="C37" s="266" t="s">
        <v>1845</v>
      </c>
      <c r="D37" s="267"/>
      <c r="E37" s="293"/>
    </row>
    <row r="38" spans="1:5" x14ac:dyDescent="0.25">
      <c r="A38" s="362"/>
      <c r="B38" s="292" t="s">
        <v>500</v>
      </c>
      <c r="C38" s="266" t="s">
        <v>1848</v>
      </c>
      <c r="D38" s="267" t="s">
        <v>536</v>
      </c>
      <c r="E38" s="293" t="s">
        <v>1833</v>
      </c>
    </row>
    <row r="39" spans="1:5" x14ac:dyDescent="0.25">
      <c r="A39" s="362"/>
      <c r="B39" s="292" t="s">
        <v>501</v>
      </c>
      <c r="C39" s="266" t="s">
        <v>1851</v>
      </c>
      <c r="D39" s="267"/>
      <c r="E39" s="293"/>
    </row>
    <row r="40" spans="1:5" ht="15.75" thickBot="1" x14ac:dyDescent="0.3">
      <c r="A40" s="362"/>
      <c r="B40" s="303" t="s">
        <v>502</v>
      </c>
      <c r="C40" s="304" t="s">
        <v>1855</v>
      </c>
      <c r="D40" s="305"/>
      <c r="E40" s="306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Results</vt:lpstr>
      <vt:lpstr>Primary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2021-07-13T15:15:33Z</dcterms:modified>
</cp:coreProperties>
</file>