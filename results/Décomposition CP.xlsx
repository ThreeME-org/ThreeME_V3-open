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A575C9B8-152F-49D6-AFFA-D0DEA5E7D846}" xr6:coauthVersionLast="47" xr6:coauthVersionMax="47" xr10:uidLastSave="{00000000-0000-0000-0000-000000000000}"/>
  <bookViews>
    <workbookView xWindow="-108" yWindow="-108" windowWidth="23256" windowHeight="12456" activeTab="1" xr2:uid="{64203D87-38B7-4BDD-A33D-820F861F4EFC}"/>
  </bookViews>
  <sheets>
    <sheet name="Feuil1" sheetId="1" r:id="rId1"/>
    <sheet name="Graphique1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" i="1" l="1"/>
  <c r="CF2" i="1"/>
  <c r="CE2" i="1"/>
  <c r="CD2" i="1"/>
  <c r="CC2" i="1"/>
  <c r="BX2" i="1"/>
  <c r="BW2" i="1"/>
  <c r="BV2" i="1"/>
  <c r="BU2" i="1"/>
  <c r="BO2" i="1"/>
  <c r="BN2" i="1"/>
  <c r="BM2" i="1"/>
  <c r="BF2" i="1"/>
  <c r="BE2" i="1"/>
  <c r="AW2" i="1"/>
  <c r="AO2" i="1"/>
  <c r="AK2" i="1"/>
  <c r="AJ2" i="1"/>
  <c r="AI2" i="1"/>
  <c r="AH2" i="1"/>
  <c r="AG2" i="1"/>
  <c r="AC2" i="1"/>
  <c r="AB2" i="1"/>
  <c r="AA2" i="1"/>
  <c r="Z2" i="1"/>
  <c r="U2" i="1"/>
  <c r="T2" i="1"/>
  <c r="S2" i="1"/>
  <c r="R2" i="1"/>
  <c r="Q2" i="1"/>
  <c r="L2" i="1"/>
  <c r="K2" i="1"/>
  <c r="J2" i="1"/>
  <c r="I2" i="1"/>
  <c r="C2" i="1"/>
  <c r="B2" i="1"/>
  <c r="Y2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CI2" i="1"/>
  <c r="CH2" i="1"/>
  <c r="CB2" i="1"/>
  <c r="CA2" i="1"/>
  <c r="BZ2" i="1"/>
  <c r="BY2" i="1"/>
  <c r="BT2" i="1"/>
  <c r="BS2" i="1"/>
  <c r="BR2" i="1"/>
  <c r="BQ2" i="1"/>
  <c r="BP2" i="1"/>
  <c r="BL2" i="1"/>
  <c r="BK2" i="1"/>
  <c r="BJ2" i="1"/>
  <c r="BI2" i="1"/>
  <c r="BH2" i="1"/>
  <c r="BG2" i="1"/>
  <c r="BD2" i="1"/>
  <c r="BC2" i="1"/>
  <c r="BB2" i="1"/>
  <c r="BA2" i="1"/>
  <c r="AZ2" i="1"/>
  <c r="AY2" i="1"/>
  <c r="AX2" i="1"/>
  <c r="AV2" i="1"/>
  <c r="AU2" i="1"/>
  <c r="AT2" i="1"/>
  <c r="AS2" i="1"/>
  <c r="AR2" i="1"/>
  <c r="AQ2" i="1"/>
  <c r="AP2" i="1"/>
  <c r="AN2" i="1"/>
  <c r="AM2" i="1"/>
  <c r="AL2" i="1"/>
  <c r="AF2" i="1"/>
  <c r="AE2" i="1"/>
  <c r="AD2" i="1"/>
  <c r="X2" i="1"/>
  <c r="W2" i="1"/>
  <c r="V2" i="1"/>
  <c r="P2" i="1"/>
  <c r="O2" i="1"/>
  <c r="N2" i="1"/>
  <c r="M2" i="1"/>
  <c r="H2" i="1"/>
  <c r="G2" i="1"/>
  <c r="F2" i="1"/>
  <c r="E2" i="1"/>
  <c r="D2" i="1"/>
  <c r="CI6" i="1" l="1"/>
  <c r="CH6" i="1"/>
  <c r="CG6" i="1"/>
  <c r="CE6" i="1"/>
  <c r="CC6" i="1"/>
  <c r="BZ6" i="1"/>
  <c r="BY6" i="1"/>
  <c r="BX6" i="1"/>
  <c r="BW6" i="1"/>
  <c r="BS6" i="1"/>
  <c r="BR6" i="1"/>
  <c r="BQ6" i="1"/>
  <c r="BO6" i="1"/>
  <c r="BM6" i="1"/>
  <c r="BK6" i="1"/>
  <c r="BJ6" i="1"/>
  <c r="BI6" i="1"/>
  <c r="BH6" i="1"/>
  <c r="BG6" i="1"/>
  <c r="BE6" i="1"/>
  <c r="BC6" i="1"/>
  <c r="BB6" i="1"/>
  <c r="BA6" i="1"/>
  <c r="AY6" i="1"/>
  <c r="AW6" i="1"/>
  <c r="AT6" i="1"/>
  <c r="AS6" i="1"/>
  <c r="AR6" i="1"/>
  <c r="AQ6" i="1"/>
  <c r="AO6" i="1"/>
  <c r="AM6" i="1"/>
  <c r="AL6" i="1"/>
  <c r="AK6" i="1"/>
  <c r="AI6" i="1"/>
  <c r="AG6" i="1"/>
  <c r="AE6" i="1"/>
  <c r="AD6" i="1"/>
  <c r="AC6" i="1"/>
  <c r="AA6" i="1"/>
  <c r="Y6" i="1"/>
  <c r="W6" i="1"/>
  <c r="V6" i="1"/>
  <c r="U6" i="1"/>
  <c r="T6" i="1"/>
  <c r="S6" i="1"/>
  <c r="O6" i="1"/>
  <c r="N6" i="1"/>
  <c r="M6" i="1"/>
  <c r="K6" i="1"/>
  <c r="I6" i="1"/>
  <c r="G6" i="1"/>
  <c r="F6" i="1"/>
  <c r="E6" i="1"/>
  <c r="D6" i="1"/>
  <c r="C6" i="1"/>
  <c r="J6" i="1"/>
  <c r="L6" i="1"/>
  <c r="Q6" i="1"/>
  <c r="R6" i="1"/>
  <c r="Z6" i="1"/>
  <c r="AB6" i="1"/>
  <c r="AH6" i="1"/>
  <c r="AJ6" i="1"/>
  <c r="AP6" i="1"/>
  <c r="AU6" i="1"/>
  <c r="AX6" i="1"/>
  <c r="AZ6" i="1"/>
  <c r="BF6" i="1"/>
  <c r="BN6" i="1"/>
  <c r="BP6" i="1"/>
  <c r="BU6" i="1"/>
  <c r="BV6" i="1"/>
  <c r="CA6" i="1"/>
  <c r="CD6" i="1"/>
  <c r="CF6" i="1"/>
  <c r="B6" i="1"/>
  <c r="CI8" i="1"/>
  <c r="CH8" i="1"/>
  <c r="CG8" i="1"/>
  <c r="CF8" i="1"/>
  <c r="CE7" i="1"/>
  <c r="CC8" i="1"/>
  <c r="CB8" i="1"/>
  <c r="CA7" i="1"/>
  <c r="BY8" i="1"/>
  <c r="BW8" i="1"/>
  <c r="BT8" i="1"/>
  <c r="BS8" i="1"/>
  <c r="BQ8" i="1"/>
  <c r="BP7" i="1"/>
  <c r="BM8" i="1"/>
  <c r="BL8" i="1"/>
  <c r="BK8" i="1"/>
  <c r="BJ8" i="1"/>
  <c r="BI8" i="1"/>
  <c r="BH8" i="1"/>
  <c r="BG7" i="1"/>
  <c r="BE8" i="1"/>
  <c r="BD8" i="1"/>
  <c r="BC7" i="1"/>
  <c r="BA8" i="1"/>
  <c r="AY8" i="1"/>
  <c r="AW8" i="1"/>
  <c r="AV8" i="1"/>
  <c r="AT8" i="1"/>
  <c r="AS8" i="1"/>
  <c r="AR8" i="1"/>
  <c r="AQ7" i="1"/>
  <c r="AN8" i="1"/>
  <c r="AM8" i="1"/>
  <c r="AL8" i="1"/>
  <c r="AK8" i="1"/>
  <c r="AJ8" i="1"/>
  <c r="AI7" i="1"/>
  <c r="AG8" i="1"/>
  <c r="AF8" i="1"/>
  <c r="AE7" i="1"/>
  <c r="AC8" i="1"/>
  <c r="AA8" i="1"/>
  <c r="Y8" i="1"/>
  <c r="X8" i="1"/>
  <c r="V8" i="1"/>
  <c r="U8" i="1"/>
  <c r="T7" i="1"/>
  <c r="S7" i="1"/>
  <c r="Q8" i="1"/>
  <c r="P8" i="1"/>
  <c r="M8" i="1"/>
  <c r="L8" i="1"/>
  <c r="H8" i="1"/>
  <c r="G7" i="1"/>
  <c r="E8" i="1"/>
  <c r="C8" i="1"/>
  <c r="F8" i="1" l="1"/>
  <c r="F7" i="1"/>
  <c r="N8" i="1"/>
  <c r="N7" i="1"/>
  <c r="AD7" i="1"/>
  <c r="AD8" i="1"/>
  <c r="BB8" i="1"/>
  <c r="BB7" i="1"/>
  <c r="BR8" i="1"/>
  <c r="BR7" i="1"/>
  <c r="BZ8" i="1"/>
  <c r="BZ7" i="1"/>
  <c r="O8" i="1"/>
  <c r="O7" i="1"/>
  <c r="AU8" i="1"/>
  <c r="AU7" i="1"/>
  <c r="W8" i="1"/>
  <c r="W7" i="1"/>
  <c r="I7" i="1"/>
  <c r="I8" i="1"/>
  <c r="AO8" i="1"/>
  <c r="AO7" i="1"/>
  <c r="BU7" i="1"/>
  <c r="BU8" i="1"/>
  <c r="B8" i="1"/>
  <c r="B7" i="1"/>
  <c r="J8" i="1"/>
  <c r="J7" i="1"/>
  <c r="R8" i="1"/>
  <c r="R7" i="1"/>
  <c r="Z8" i="1"/>
  <c r="Z7" i="1"/>
  <c r="AH8" i="1"/>
  <c r="AH7" i="1"/>
  <c r="AP8" i="1"/>
  <c r="AP7" i="1"/>
  <c r="AX8" i="1"/>
  <c r="AX7" i="1"/>
  <c r="BF8" i="1"/>
  <c r="BF7" i="1"/>
  <c r="BN8" i="1"/>
  <c r="BN7" i="1"/>
  <c r="BV8" i="1"/>
  <c r="BV7" i="1"/>
  <c r="CD8" i="1"/>
  <c r="CD7" i="1"/>
  <c r="BO8" i="1"/>
  <c r="BO7" i="1"/>
  <c r="K8" i="1"/>
  <c r="K7" i="1"/>
  <c r="D8" i="1"/>
  <c r="D7" i="1"/>
  <c r="AB8" i="1"/>
  <c r="AB7" i="1"/>
  <c r="AZ8" i="1"/>
  <c r="AZ7" i="1"/>
  <c r="BX8" i="1"/>
  <c r="BX7" i="1"/>
  <c r="V7" i="1"/>
  <c r="AL7" i="1"/>
  <c r="AT7" i="1"/>
  <c r="BJ7" i="1"/>
  <c r="CH7" i="1"/>
  <c r="CI7" i="1"/>
  <c r="BW7" i="1"/>
  <c r="BK7" i="1"/>
  <c r="AY7" i="1"/>
  <c r="AM7" i="1"/>
  <c r="AA7" i="1"/>
  <c r="C7" i="1"/>
  <c r="CE8" i="1"/>
  <c r="BG8" i="1"/>
  <c r="AQ8" i="1"/>
  <c r="AI8" i="1"/>
  <c r="S8" i="1"/>
  <c r="L7" i="1"/>
  <c r="CF7" i="1"/>
  <c r="BH7" i="1"/>
  <c r="AJ7" i="1"/>
  <c r="T8" i="1"/>
  <c r="BS7" i="1"/>
  <c r="AR7" i="1"/>
  <c r="Q7" i="1"/>
  <c r="Y7" i="1"/>
  <c r="AG7" i="1"/>
  <c r="AW7" i="1"/>
  <c r="BE7" i="1"/>
  <c r="BM7" i="1"/>
  <c r="CC7" i="1"/>
  <c r="CA8" i="1"/>
  <c r="BC8" i="1"/>
  <c r="AE8" i="1"/>
  <c r="G8" i="1"/>
  <c r="BP8" i="1"/>
  <c r="H7" i="1"/>
  <c r="P7" i="1"/>
  <c r="X7" i="1"/>
  <c r="AF7" i="1"/>
  <c r="AN7" i="1"/>
  <c r="AV7" i="1"/>
  <c r="BD7" i="1"/>
  <c r="BL7" i="1"/>
  <c r="BT7" i="1"/>
  <c r="CB7" i="1"/>
  <c r="CG7" i="1"/>
  <c r="BY7" i="1"/>
  <c r="BQ7" i="1"/>
  <c r="BI7" i="1"/>
  <c r="BA7" i="1"/>
  <c r="AS7" i="1"/>
  <c r="AK7" i="1"/>
  <c r="AC7" i="1"/>
  <c r="U7" i="1"/>
  <c r="M7" i="1"/>
  <c r="E7" i="1"/>
  <c r="CB6" i="1"/>
  <c r="BT6" i="1"/>
  <c r="BL6" i="1"/>
  <c r="BD6" i="1"/>
  <c r="AV6" i="1"/>
  <c r="AN6" i="1"/>
  <c r="AF6" i="1"/>
  <c r="X6" i="1"/>
  <c r="P6" i="1"/>
  <c r="H6" i="1"/>
</calcChain>
</file>

<file path=xl/sharedStrings.xml><?xml version="1.0" encoding="utf-8"?>
<sst xmlns="http://schemas.openxmlformats.org/spreadsheetml/2006/main" count="5" uniqueCount="5">
  <si>
    <t>TC</t>
  </si>
  <si>
    <t>Politique de transition</t>
  </si>
  <si>
    <t>Coût des dommages</t>
  </si>
  <si>
    <t>NZP</t>
  </si>
  <si>
    <t>Current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</si>
</sst>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2400"/>
              <a:t>Décomposition scénario Current policies (% du PIB)</a:t>
            </a:r>
          </a:p>
        </c:rich>
      </c:tx>
      <c:layout>
        <c:manualLayout>
          <c:xMode val="edge"/>
          <c:yMode val="edge"/>
          <c:x val="0.16677612924894331"/>
          <c:y val="2.305334051759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272504293453358E-2"/>
          <c:y val="0.11366458767098624"/>
          <c:w val="0.91470350087041308"/>
          <c:h val="0.721632327074802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Feuil1!$A$6</c:f>
              <c:strCache>
                <c:ptCount val="1"/>
                <c:pt idx="0">
                  <c:v>Politique de transition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Feuil1!$B$5:$CH$5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Feuil1!$B$6:$CH$6</c:f>
              <c:numCache>
                <c:formatCode>#,##0.0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-8.2570057391762042E-2</c:v>
                </c:pt>
                <c:pt idx="8">
                  <c:v>-0.21338835760309482</c:v>
                </c:pt>
                <c:pt idx="9">
                  <c:v>-0.39081988898773679</c:v>
                </c:pt>
                <c:pt idx="10">
                  <c:v>-0.59683840620929907</c:v>
                </c:pt>
                <c:pt idx="11">
                  <c:v>-0.81601507905502135</c:v>
                </c:pt>
                <c:pt idx="12">
                  <c:v>-1.021644343563699</c:v>
                </c:pt>
                <c:pt idx="13">
                  <c:v>-1.2027012008759219</c:v>
                </c:pt>
                <c:pt idx="14">
                  <c:v>-1.3492451623409618</c:v>
                </c:pt>
                <c:pt idx="15">
                  <c:v>-1.4565266856650716</c:v>
                </c:pt>
                <c:pt idx="16">
                  <c:v>-1.5490159288063743</c:v>
                </c:pt>
                <c:pt idx="17">
                  <c:v>-1.5916749315270984</c:v>
                </c:pt>
                <c:pt idx="18">
                  <c:v>-1.5999089847043901</c:v>
                </c:pt>
                <c:pt idx="19">
                  <c:v>-1.5881941837013969</c:v>
                </c:pt>
                <c:pt idx="20">
                  <c:v>-1.5655967208889177</c:v>
                </c:pt>
                <c:pt idx="21">
                  <c:v>-1.5586846599906057</c:v>
                </c:pt>
                <c:pt idx="22">
                  <c:v>-1.5472438090482377</c:v>
                </c:pt>
                <c:pt idx="23">
                  <c:v>-1.5302140505298212</c:v>
                </c:pt>
                <c:pt idx="24">
                  <c:v>-1.5064439639732474</c:v>
                </c:pt>
                <c:pt idx="25">
                  <c:v>-1.4749888381082599</c:v>
                </c:pt>
                <c:pt idx="26">
                  <c:v>-1.4571786519016694</c:v>
                </c:pt>
                <c:pt idx="27">
                  <c:v>-1.4312146976609763</c:v>
                </c:pt>
                <c:pt idx="28">
                  <c:v>-1.3978275626726266</c:v>
                </c:pt>
                <c:pt idx="29">
                  <c:v>-1.3587504540436779</c:v>
                </c:pt>
                <c:pt idx="30">
                  <c:v>-1.3154393232594708</c:v>
                </c:pt>
                <c:pt idx="31">
                  <c:v>-1.2922665125678634</c:v>
                </c:pt>
                <c:pt idx="32">
                  <c:v>-1.2679111909157603</c:v>
                </c:pt>
                <c:pt idx="33">
                  <c:v>-1.2434188557406078</c:v>
                </c:pt>
                <c:pt idx="34">
                  <c:v>-1.2217784739536275</c:v>
                </c:pt>
                <c:pt idx="35">
                  <c:v>-1.2094156700070857</c:v>
                </c:pt>
                <c:pt idx="36">
                  <c:v>-1.2305857769585149</c:v>
                </c:pt>
                <c:pt idx="37">
                  <c:v>-1.2536161899830756</c:v>
                </c:pt>
                <c:pt idx="38">
                  <c:v>-1.2746695671363217</c:v>
                </c:pt>
                <c:pt idx="39">
                  <c:v>-1.2914629150219792</c:v>
                </c:pt>
                <c:pt idx="40">
                  <c:v>-1.3030167844177876</c:v>
                </c:pt>
                <c:pt idx="41">
                  <c:v>-1.3095127330916667</c:v>
                </c:pt>
                <c:pt idx="42">
                  <c:v>-1.3106507803896328</c:v>
                </c:pt>
                <c:pt idx="43">
                  <c:v>-1.3071908036014213</c:v>
                </c:pt>
                <c:pt idx="44">
                  <c:v>-1.3000727254234068</c:v>
                </c:pt>
                <c:pt idx="45">
                  <c:v>-1.2902608557570416</c:v>
                </c:pt>
                <c:pt idx="46">
                  <c:v>-1.2789766451751894</c:v>
                </c:pt>
                <c:pt idx="47">
                  <c:v>-1.2665032616958727</c:v>
                </c:pt>
                <c:pt idx="48">
                  <c:v>-1.2533463832295477</c:v>
                </c:pt>
                <c:pt idx="49">
                  <c:v>-1.239857444434922</c:v>
                </c:pt>
                <c:pt idx="50">
                  <c:v>-1.2262658509793356</c:v>
                </c:pt>
                <c:pt idx="51">
                  <c:v>-1.2225135347008642</c:v>
                </c:pt>
                <c:pt idx="52">
                  <c:v>-1.2114613335996727</c:v>
                </c:pt>
                <c:pt idx="53">
                  <c:v>-1.1967135727076972</c:v>
                </c:pt>
                <c:pt idx="54">
                  <c:v>-1.1808624654202959</c:v>
                </c:pt>
                <c:pt idx="55">
                  <c:v>-1.165362710991702</c:v>
                </c:pt>
                <c:pt idx="56">
                  <c:v>-1.1518173602783177</c:v>
                </c:pt>
                <c:pt idx="57">
                  <c:v>-1.1387701420468965</c:v>
                </c:pt>
                <c:pt idx="58">
                  <c:v>-1.126137120211268</c:v>
                </c:pt>
                <c:pt idx="59">
                  <c:v>-1.1137589162455996</c:v>
                </c:pt>
                <c:pt idx="60">
                  <c:v>-1.1015274200528169</c:v>
                </c:pt>
                <c:pt idx="61">
                  <c:v>-1.0893917663554298</c:v>
                </c:pt>
                <c:pt idx="62">
                  <c:v>-1.0774096472528027</c:v>
                </c:pt>
                <c:pt idx="63">
                  <c:v>-1.0656487554816296</c:v>
                </c:pt>
                <c:pt idx="64">
                  <c:v>-1.0541833702330083</c:v>
                </c:pt>
                <c:pt idx="65">
                  <c:v>-1.0430738755354607</c:v>
                </c:pt>
                <c:pt idx="66">
                  <c:v>-1.0334012452635544</c:v>
                </c:pt>
                <c:pt idx="67">
                  <c:v>-1.0237704884281218</c:v>
                </c:pt>
                <c:pt idx="68">
                  <c:v>-1.0142809961707466</c:v>
                </c:pt>
                <c:pt idx="69">
                  <c:v>-1.0049663456938918</c:v>
                </c:pt>
                <c:pt idx="70">
                  <c:v>-0.99582410138888688</c:v>
                </c:pt>
                <c:pt idx="71">
                  <c:v>-0.98686499417993678</c:v>
                </c:pt>
                <c:pt idx="72">
                  <c:v>-0.97802636516018948</c:v>
                </c:pt>
                <c:pt idx="73">
                  <c:v>-0.96928040117759684</c:v>
                </c:pt>
                <c:pt idx="74">
                  <c:v>-0.96060008931205809</c:v>
                </c:pt>
                <c:pt idx="75">
                  <c:v>-0.95196067445528776</c:v>
                </c:pt>
                <c:pt idx="76">
                  <c:v>-0.94420985573711036</c:v>
                </c:pt>
                <c:pt idx="77">
                  <c:v>-0.93616980121628002</c:v>
                </c:pt>
                <c:pt idx="78">
                  <c:v>-0.92790896895041941</c:v>
                </c:pt>
                <c:pt idx="79">
                  <c:v>-0.91945087437653727</c:v>
                </c:pt>
                <c:pt idx="80">
                  <c:v>-0.91079779064868749</c:v>
                </c:pt>
                <c:pt idx="81">
                  <c:v>-0.90203768341269308</c:v>
                </c:pt>
                <c:pt idx="82">
                  <c:v>-0.89306236791467652</c:v>
                </c:pt>
                <c:pt idx="83">
                  <c:v>-0.88386847005845759</c:v>
                </c:pt>
                <c:pt idx="84">
                  <c:v>-0.87444889324749253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8-452F-A23A-B11A91A4491E}"/>
            </c:ext>
          </c:extLst>
        </c:ser>
        <c:ser>
          <c:idx val="1"/>
          <c:order val="1"/>
          <c:tx>
            <c:strRef>
              <c:f>Feuil1!$A$7</c:f>
              <c:strCache>
                <c:ptCount val="1"/>
                <c:pt idx="0">
                  <c:v>Coût des dommages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Feuil1!$B$5:$CH$5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Feuil1!$B$7:$CH$7</c:f>
              <c:numCache>
                <c:formatCode>#,##0.0</c:formatCode>
                <c:ptCount val="85"/>
                <c:pt idx="0">
                  <c:v>0</c:v>
                </c:pt>
                <c:pt idx="1">
                  <c:v>9.3052311245234165E-4</c:v>
                </c:pt>
                <c:pt idx="2">
                  <c:v>1.9761493193604096E-3</c:v>
                </c:pt>
                <c:pt idx="3">
                  <c:v>3.1012489866366622E-3</c:v>
                </c:pt>
                <c:pt idx="4">
                  <c:v>4.27214195894976E-3</c:v>
                </c:pt>
                <c:pt idx="5">
                  <c:v>5.4575734054651548E-3</c:v>
                </c:pt>
                <c:pt idx="6">
                  <c:v>1.342940026942685E-2</c:v>
                </c:pt>
                <c:pt idx="7">
                  <c:v>2.1800278867167844E-2</c:v>
                </c:pt>
                <c:pt idx="8">
                  <c:v>3.0643042960565303E-2</c:v>
                </c:pt>
                <c:pt idx="9">
                  <c:v>3.9867799140935745E-2</c:v>
                </c:pt>
                <c:pt idx="10">
                  <c:v>4.927991799202891E-2</c:v>
                </c:pt>
                <c:pt idx="11">
                  <c:v>3.3078741435887959E-2</c:v>
                </c:pt>
                <c:pt idx="12">
                  <c:v>1.3541486872958863E-2</c:v>
                </c:pt>
                <c:pt idx="13">
                  <c:v>-8.603748186364335E-3</c:v>
                </c:pt>
                <c:pt idx="14">
                  <c:v>-3.2344040886334025E-2</c:v>
                </c:pt>
                <c:pt idx="15">
                  <c:v>-5.6938595615185772E-2</c:v>
                </c:pt>
                <c:pt idx="16">
                  <c:v>-0.11825416143416145</c:v>
                </c:pt>
                <c:pt idx="17">
                  <c:v>-0.18488125626501262</c:v>
                </c:pt>
                <c:pt idx="18">
                  <c:v>-0.25544465691681451</c:v>
                </c:pt>
                <c:pt idx="19">
                  <c:v>-0.32816563031391466</c:v>
                </c:pt>
                <c:pt idx="20">
                  <c:v>-0.40164518448964071</c:v>
                </c:pt>
                <c:pt idx="21">
                  <c:v>-0.50013281784996311</c:v>
                </c:pt>
                <c:pt idx="22">
                  <c:v>-0.60202097305039892</c:v>
                </c:pt>
                <c:pt idx="23">
                  <c:v>-0.70621634110639153</c:v>
                </c:pt>
                <c:pt idx="24">
                  <c:v>-0.8114569066683619</c:v>
                </c:pt>
                <c:pt idx="25">
                  <c:v>-0.91680262391298228</c:v>
                </c:pt>
                <c:pt idx="26">
                  <c:v>-1.0287207845078084</c:v>
                </c:pt>
                <c:pt idx="27">
                  <c:v>-1.1410632626922657</c:v>
                </c:pt>
                <c:pt idx="28">
                  <c:v>-1.2534242591575429</c:v>
                </c:pt>
                <c:pt idx="29">
                  <c:v>-1.3653879929995449</c:v>
                </c:pt>
                <c:pt idx="30">
                  <c:v>-1.4766735544567644</c:v>
                </c:pt>
                <c:pt idx="31">
                  <c:v>-1.5920022420327862</c:v>
                </c:pt>
                <c:pt idx="32">
                  <c:v>-1.7072625328382607</c:v>
                </c:pt>
                <c:pt idx="33">
                  <c:v>-1.8222487171343005</c:v>
                </c:pt>
                <c:pt idx="34">
                  <c:v>-1.9366840799197593</c:v>
                </c:pt>
                <c:pt idx="35">
                  <c:v>-2.0502812545724169</c:v>
                </c:pt>
                <c:pt idx="36">
                  <c:v>-2.1611005026786367</c:v>
                </c:pt>
                <c:pt idx="37">
                  <c:v>-2.2706743774339899</c:v>
                </c:pt>
                <c:pt idx="38">
                  <c:v>-2.3791634090794767</c:v>
                </c:pt>
                <c:pt idx="39">
                  <c:v>-2.486751668872822</c:v>
                </c:pt>
                <c:pt idx="40">
                  <c:v>-2.5935840776729835</c:v>
                </c:pt>
                <c:pt idx="41">
                  <c:v>-2.6995006089653661</c:v>
                </c:pt>
                <c:pt idx="42">
                  <c:v>-2.8047269858977542</c:v>
                </c:pt>
                <c:pt idx="43">
                  <c:v>-2.9092932969585812</c:v>
                </c:pt>
                <c:pt idx="44">
                  <c:v>-3.0132098463354513</c:v>
                </c:pt>
                <c:pt idx="45">
                  <c:v>-3.1164767760564538</c:v>
                </c:pt>
                <c:pt idx="46">
                  <c:v>-3.2138762008894202</c:v>
                </c:pt>
                <c:pt idx="47">
                  <c:v>-3.3095217380475384</c:v>
                </c:pt>
                <c:pt idx="48">
                  <c:v>-3.4036274968648255</c:v>
                </c:pt>
                <c:pt idx="49">
                  <c:v>-3.4964826754300566</c:v>
                </c:pt>
                <c:pt idx="50">
                  <c:v>-3.5883146424084407</c:v>
                </c:pt>
                <c:pt idx="51">
                  <c:v>-3.6754577974013491</c:v>
                </c:pt>
                <c:pt idx="52">
                  <c:v>-3.7605158039021531</c:v>
                </c:pt>
                <c:pt idx="53">
                  <c:v>-3.8444887809908508</c:v>
                </c:pt>
                <c:pt idx="54">
                  <c:v>-3.9275537195196502</c:v>
                </c:pt>
                <c:pt idx="55">
                  <c:v>-4.0097566858217197</c:v>
                </c:pt>
                <c:pt idx="56">
                  <c:v>-4.0899017692919921</c:v>
                </c:pt>
                <c:pt idx="57">
                  <c:v>-4.1690081943360102</c:v>
                </c:pt>
                <c:pt idx="58">
                  <c:v>-4.2471379598738146</c:v>
                </c:pt>
                <c:pt idx="59">
                  <c:v>-4.3243615556597508</c:v>
                </c:pt>
                <c:pt idx="60">
                  <c:v>-4.4007481761572098</c:v>
                </c:pt>
                <c:pt idx="61">
                  <c:v>-4.4748142266294755</c:v>
                </c:pt>
                <c:pt idx="62">
                  <c:v>-4.5477962065850202</c:v>
                </c:pt>
                <c:pt idx="63">
                  <c:v>-4.6198212765482749</c:v>
                </c:pt>
                <c:pt idx="64">
                  <c:v>-4.6910241798980064</c:v>
                </c:pt>
                <c:pt idx="65">
                  <c:v>-4.7615003717315307</c:v>
                </c:pt>
                <c:pt idx="66">
                  <c:v>-4.8252806564068607</c:v>
                </c:pt>
                <c:pt idx="67">
                  <c:v>-4.8871212576593219</c:v>
                </c:pt>
                <c:pt idx="68">
                  <c:v>-4.9472864318471412</c:v>
                </c:pt>
                <c:pt idx="69">
                  <c:v>-5.0060980179113646</c:v>
                </c:pt>
                <c:pt idx="70">
                  <c:v>-5.0638075986128577</c:v>
                </c:pt>
                <c:pt idx="71">
                  <c:v>-5.1180325246451321</c:v>
                </c:pt>
                <c:pt idx="72">
                  <c:v>-5.1708668137868781</c:v>
                </c:pt>
                <c:pt idx="73">
                  <c:v>-5.2225244699434459</c:v>
                </c:pt>
                <c:pt idx="74">
                  <c:v>-5.2732296942810457</c:v>
                </c:pt>
                <c:pt idx="75">
                  <c:v>-5.3231565195916986</c:v>
                </c:pt>
                <c:pt idx="76">
                  <c:v>-5.367366528034978</c:v>
                </c:pt>
                <c:pt idx="77">
                  <c:v>-5.4099347239184183</c:v>
                </c:pt>
                <c:pt idx="78">
                  <c:v>-5.4511391638237487</c:v>
                </c:pt>
                <c:pt idx="79">
                  <c:v>-5.4912919082110712</c:v>
                </c:pt>
                <c:pt idx="80">
                  <c:v>-5.5306327998514204</c:v>
                </c:pt>
                <c:pt idx="81">
                  <c:v>-5.5685351706893709</c:v>
                </c:pt>
                <c:pt idx="82">
                  <c:v>-5.6057895780407545</c:v>
                </c:pt>
                <c:pt idx="83">
                  <c:v>-5.6424937053326403</c:v>
                </c:pt>
                <c:pt idx="84">
                  <c:v>-5.6787255793141806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88-452F-A23A-B11A91A44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4425439"/>
        <c:axId val="231066863"/>
      </c:barChart>
      <c:lineChart>
        <c:grouping val="standard"/>
        <c:varyColors val="0"/>
        <c:ser>
          <c:idx val="2"/>
          <c:order val="2"/>
          <c:tx>
            <c:strRef>
              <c:f>Feuil1!$A$8</c:f>
              <c:strCache>
                <c:ptCount val="1"/>
                <c:pt idx="0">
                  <c:v>Current policies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Feuil1!$B$5:$CH$5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Feuil1!$B$8:$CH$8</c:f>
              <c:numCache>
                <c:formatCode>#,##0.0</c:formatCode>
                <c:ptCount val="85"/>
                <c:pt idx="0">
                  <c:v>0</c:v>
                </c:pt>
                <c:pt idx="1">
                  <c:v>9.3052311245234165E-4</c:v>
                </c:pt>
                <c:pt idx="2">
                  <c:v>1.9761493193604096E-3</c:v>
                </c:pt>
                <c:pt idx="3">
                  <c:v>3.1012489866366622E-3</c:v>
                </c:pt>
                <c:pt idx="4">
                  <c:v>4.27214195894976E-3</c:v>
                </c:pt>
                <c:pt idx="5">
                  <c:v>5.4575734054651548E-3</c:v>
                </c:pt>
                <c:pt idx="6">
                  <c:v>1.342940026942685E-2</c:v>
                </c:pt>
                <c:pt idx="7">
                  <c:v>-6.0769778524594198E-2</c:v>
                </c:pt>
                <c:pt idx="8">
                  <c:v>-0.18274531464252952</c:v>
                </c:pt>
                <c:pt idx="9">
                  <c:v>-0.35095208984680104</c:v>
                </c:pt>
                <c:pt idx="10">
                  <c:v>-0.54755848821727016</c:v>
                </c:pt>
                <c:pt idx="11">
                  <c:v>-0.78293633761913339</c:v>
                </c:pt>
                <c:pt idx="12">
                  <c:v>-1.0081028566907402</c:v>
                </c:pt>
                <c:pt idx="13">
                  <c:v>-1.2113049490622863</c:v>
                </c:pt>
                <c:pt idx="14">
                  <c:v>-1.3815892032272958</c:v>
                </c:pt>
                <c:pt idx="15">
                  <c:v>-1.5134652812802574</c:v>
                </c:pt>
                <c:pt idx="16">
                  <c:v>-1.6672700902405357</c:v>
                </c:pt>
                <c:pt idx="17">
                  <c:v>-1.776556187792111</c:v>
                </c:pt>
                <c:pt idx="18">
                  <c:v>-1.8553536416212046</c:v>
                </c:pt>
                <c:pt idx="19">
                  <c:v>-1.9163598140153115</c:v>
                </c:pt>
                <c:pt idx="20">
                  <c:v>-1.9672419053785584</c:v>
                </c:pt>
                <c:pt idx="21">
                  <c:v>-2.0588174778405688</c:v>
                </c:pt>
                <c:pt idx="22">
                  <c:v>-2.1492647820986366</c:v>
                </c:pt>
                <c:pt idx="23">
                  <c:v>-2.2364303916362127</c:v>
                </c:pt>
                <c:pt idx="24">
                  <c:v>-2.3179008706416093</c:v>
                </c:pt>
                <c:pt idx="25">
                  <c:v>-2.3917914620212422</c:v>
                </c:pt>
                <c:pt idx="26">
                  <c:v>-2.4858994364094777</c:v>
                </c:pt>
                <c:pt idx="27">
                  <c:v>-2.572277960353242</c:v>
                </c:pt>
                <c:pt idx="28">
                  <c:v>-2.6512518218301695</c:v>
                </c:pt>
                <c:pt idx="29">
                  <c:v>-2.7241384470432228</c:v>
                </c:pt>
                <c:pt idx="30">
                  <c:v>-2.7921128777162352</c:v>
                </c:pt>
                <c:pt idx="31">
                  <c:v>-2.8842687546006496</c:v>
                </c:pt>
                <c:pt idx="32">
                  <c:v>-2.975173723754021</c:v>
                </c:pt>
                <c:pt idx="33">
                  <c:v>-3.0656675728749083</c:v>
                </c:pt>
                <c:pt idx="34">
                  <c:v>-3.1584625538733868</c:v>
                </c:pt>
                <c:pt idx="35">
                  <c:v>-3.2596969245795027</c:v>
                </c:pt>
                <c:pt idx="36">
                  <c:v>-3.3916862796371516</c:v>
                </c:pt>
                <c:pt idx="37">
                  <c:v>-3.5242905674170655</c:v>
                </c:pt>
                <c:pt idx="38">
                  <c:v>-3.6538329762157984</c:v>
                </c:pt>
                <c:pt idx="39">
                  <c:v>-3.7782145838948011</c:v>
                </c:pt>
                <c:pt idx="40">
                  <c:v>-3.8966008620907711</c:v>
                </c:pt>
                <c:pt idx="41">
                  <c:v>-4.0090133420570329</c:v>
                </c:pt>
                <c:pt idx="42">
                  <c:v>-4.1153777662873869</c:v>
                </c:pt>
                <c:pt idx="43">
                  <c:v>-4.2164841005600024</c:v>
                </c:pt>
                <c:pt idx="44">
                  <c:v>-4.3132825717588581</c:v>
                </c:pt>
                <c:pt idx="45">
                  <c:v>-4.4067376318134954</c:v>
                </c:pt>
                <c:pt idx="46">
                  <c:v>-4.4928528460646096</c:v>
                </c:pt>
                <c:pt idx="47">
                  <c:v>-4.576024999743411</c:v>
                </c:pt>
                <c:pt idx="48">
                  <c:v>-4.6569738800943732</c:v>
                </c:pt>
                <c:pt idx="49">
                  <c:v>-4.7363401198649786</c:v>
                </c:pt>
                <c:pt idx="50">
                  <c:v>-4.8145804933877763</c:v>
                </c:pt>
                <c:pt idx="51">
                  <c:v>-4.8979713321022134</c:v>
                </c:pt>
                <c:pt idx="52">
                  <c:v>-4.9719771375018258</c:v>
                </c:pt>
                <c:pt idx="53">
                  <c:v>-5.041202353698548</c:v>
                </c:pt>
                <c:pt idx="54">
                  <c:v>-5.1084161849399461</c:v>
                </c:pt>
                <c:pt idx="55">
                  <c:v>-5.1751193968134217</c:v>
                </c:pt>
                <c:pt idx="56">
                  <c:v>-5.2417191295703098</c:v>
                </c:pt>
                <c:pt idx="57">
                  <c:v>-5.3077783363829063</c:v>
                </c:pt>
                <c:pt idx="58">
                  <c:v>-5.373275080085083</c:v>
                </c:pt>
                <c:pt idx="59">
                  <c:v>-5.43812047190535</c:v>
                </c:pt>
                <c:pt idx="60">
                  <c:v>-5.5022755962100263</c:v>
                </c:pt>
                <c:pt idx="61">
                  <c:v>-5.5642059929849053</c:v>
                </c:pt>
                <c:pt idx="62">
                  <c:v>-5.6252058538378229</c:v>
                </c:pt>
                <c:pt idx="63">
                  <c:v>-5.6854700320299045</c:v>
                </c:pt>
                <c:pt idx="64">
                  <c:v>-5.7452075501310151</c:v>
                </c:pt>
                <c:pt idx="65">
                  <c:v>-5.8045742472669914</c:v>
                </c:pt>
                <c:pt idx="66">
                  <c:v>-5.8586819016704155</c:v>
                </c:pt>
                <c:pt idx="67">
                  <c:v>-5.9108917460874437</c:v>
                </c:pt>
                <c:pt idx="68">
                  <c:v>-5.9615674280178883</c:v>
                </c:pt>
                <c:pt idx="69">
                  <c:v>-6.0110643636052563</c:v>
                </c:pt>
                <c:pt idx="70">
                  <c:v>-6.0596317000017441</c:v>
                </c:pt>
                <c:pt idx="71">
                  <c:v>-6.1048975188250694</c:v>
                </c:pt>
                <c:pt idx="72">
                  <c:v>-6.148893178947068</c:v>
                </c:pt>
                <c:pt idx="73">
                  <c:v>-6.1918048711210432</c:v>
                </c:pt>
                <c:pt idx="74">
                  <c:v>-6.2338297835931034</c:v>
                </c:pt>
                <c:pt idx="75">
                  <c:v>-6.2751171940469863</c:v>
                </c:pt>
                <c:pt idx="76">
                  <c:v>-6.3115763837720884</c:v>
                </c:pt>
                <c:pt idx="77">
                  <c:v>-6.3461045251346988</c:v>
                </c:pt>
                <c:pt idx="78">
                  <c:v>-6.3790481327741677</c:v>
                </c:pt>
                <c:pt idx="79">
                  <c:v>-6.410742782587608</c:v>
                </c:pt>
                <c:pt idx="80">
                  <c:v>-6.4414305905001079</c:v>
                </c:pt>
                <c:pt idx="81">
                  <c:v>-6.4705728541020635</c:v>
                </c:pt>
                <c:pt idx="82">
                  <c:v>-6.4988519459554306</c:v>
                </c:pt>
                <c:pt idx="83">
                  <c:v>-6.5263621753910979</c:v>
                </c:pt>
                <c:pt idx="84">
                  <c:v>-6.5531744725616736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88-452F-A23A-B11A91A44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425439"/>
        <c:axId val="231066863"/>
      </c:lineChart>
      <c:dateAx>
        <c:axId val="244425439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1066863"/>
        <c:crosses val="autoZero"/>
        <c:auto val="1"/>
        <c:lblOffset val="100"/>
        <c:baseTimeUnit val="years"/>
        <c:majorUnit val="10"/>
        <c:majorTimeUnit val="years"/>
      </c:dateAx>
      <c:valAx>
        <c:axId val="2310668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42543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363386341758349"/>
          <c:y val="0.92513059948808829"/>
          <c:w val="0.73273216562013122"/>
          <c:h val="5.81178439031918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3B1545-4AA9-42B5-A778-7D99F2BFC7FF}">
  <sheetPr/>
  <sheetViews>
    <sheetView tabSelected="1"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CBEA4B-FB82-6E48-0BA4-0E29DE6FCE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Graphiques%20CP%20P.xlsx" TargetMode="External"/><Relationship Id="rId1" Type="http://schemas.openxmlformats.org/officeDocument/2006/relationships/externalLinkPath" Target="Graphiques%20CP%20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Graphiques%20CP%20P%20-%20TC.xlsx" TargetMode="External"/><Relationship Id="rId1" Type="http://schemas.openxmlformats.org/officeDocument/2006/relationships/externalLinkPath" Target="Graphiques%20CP%20P%20-%20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"/>
      <sheetName val="Graphique1"/>
      <sheetName val="Graphique1 (2)"/>
      <sheetName val="Gr Macro"/>
      <sheetName val="Gr inflation"/>
      <sheetName val="Gr émissions"/>
      <sheetName val="Gr CO2 éner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base)"/>
      <sheetName val="Auto (ener,shock)"/>
      <sheetName val="Employment"/>
      <sheetName val="Investissement"/>
      <sheetName val="Investissement ctrb"/>
      <sheetName val="Firms' emissions"/>
      <sheetName val="Firms' emissions 2"/>
      <sheetName val="Capital intensity"/>
      <sheetName val="Energy intensity"/>
      <sheetName val="Gr VA secteurs (% dev)"/>
      <sheetName val="Gr VA secteurs (% dev2)"/>
      <sheetName val="Gr VA secteurs (% share)"/>
      <sheetName val="Gr Y secteurs (% dev)"/>
      <sheetName val="Gr Y secteurs ctrb"/>
      <sheetName val="Gr Y secteurs (% share)"/>
    </sheetNames>
    <sheetDataSet>
      <sheetData sheetId="0">
        <row r="4">
          <cell r="C4">
            <v>42005</v>
          </cell>
          <cell r="D4">
            <v>42370</v>
          </cell>
          <cell r="E4">
            <v>42736</v>
          </cell>
          <cell r="F4">
            <v>43101</v>
          </cell>
          <cell r="G4">
            <v>43466</v>
          </cell>
          <cell r="H4">
            <v>43831</v>
          </cell>
          <cell r="I4">
            <v>44197</v>
          </cell>
          <cell r="J4">
            <v>44562</v>
          </cell>
          <cell r="K4">
            <v>44927</v>
          </cell>
          <cell r="L4">
            <v>45292</v>
          </cell>
          <cell r="M4">
            <v>45658</v>
          </cell>
          <cell r="N4">
            <v>46023</v>
          </cell>
          <cell r="O4">
            <v>46388</v>
          </cell>
          <cell r="P4">
            <v>46753</v>
          </cell>
          <cell r="Q4">
            <v>47119</v>
          </cell>
          <cell r="R4">
            <v>47484</v>
          </cell>
          <cell r="S4">
            <v>47849</v>
          </cell>
          <cell r="T4">
            <v>48214</v>
          </cell>
          <cell r="U4">
            <v>48580</v>
          </cell>
          <cell r="V4">
            <v>48945</v>
          </cell>
          <cell r="W4">
            <v>49310</v>
          </cell>
          <cell r="X4">
            <v>49675</v>
          </cell>
          <cell r="Y4">
            <v>50041</v>
          </cell>
          <cell r="Z4">
            <v>50406</v>
          </cell>
          <cell r="AA4">
            <v>50771</v>
          </cell>
          <cell r="AB4">
            <v>51136</v>
          </cell>
          <cell r="AC4">
            <v>51502</v>
          </cell>
          <cell r="AD4">
            <v>51867</v>
          </cell>
          <cell r="AE4">
            <v>52232</v>
          </cell>
          <cell r="AF4">
            <v>52597</v>
          </cell>
          <cell r="AG4">
            <v>52963</v>
          </cell>
          <cell r="AH4">
            <v>53328</v>
          </cell>
          <cell r="AI4">
            <v>53693</v>
          </cell>
          <cell r="AJ4">
            <v>54058</v>
          </cell>
          <cell r="AK4">
            <v>54424</v>
          </cell>
          <cell r="AL4">
            <v>54789</v>
          </cell>
          <cell r="AM4">
            <v>55154</v>
          </cell>
          <cell r="AN4">
            <v>55519</v>
          </cell>
          <cell r="AO4">
            <v>55885</v>
          </cell>
          <cell r="AP4">
            <v>56250</v>
          </cell>
          <cell r="AQ4">
            <v>56615</v>
          </cell>
          <cell r="AR4">
            <v>56980</v>
          </cell>
          <cell r="AS4">
            <v>57346</v>
          </cell>
          <cell r="AT4">
            <v>57711</v>
          </cell>
          <cell r="AU4">
            <v>58076</v>
          </cell>
          <cell r="AV4">
            <v>58441</v>
          </cell>
          <cell r="AW4">
            <v>58807</v>
          </cell>
          <cell r="AX4">
            <v>59172</v>
          </cell>
          <cell r="AY4">
            <v>59537</v>
          </cell>
          <cell r="AZ4">
            <v>59902</v>
          </cell>
          <cell r="BA4">
            <v>60268</v>
          </cell>
          <cell r="BB4">
            <v>60633</v>
          </cell>
          <cell r="BC4">
            <v>60998</v>
          </cell>
          <cell r="BD4">
            <v>61363</v>
          </cell>
          <cell r="BE4">
            <v>61729</v>
          </cell>
          <cell r="BF4">
            <v>62094</v>
          </cell>
          <cell r="BG4">
            <v>62459</v>
          </cell>
          <cell r="BH4">
            <v>62824</v>
          </cell>
          <cell r="BI4">
            <v>63190</v>
          </cell>
          <cell r="BJ4">
            <v>63555</v>
          </cell>
          <cell r="BK4">
            <v>63920</v>
          </cell>
          <cell r="BL4">
            <v>64285</v>
          </cell>
          <cell r="BM4">
            <v>64651</v>
          </cell>
          <cell r="BN4">
            <v>65016</v>
          </cell>
          <cell r="BO4">
            <v>65381</v>
          </cell>
          <cell r="BP4">
            <v>65746</v>
          </cell>
          <cell r="BQ4">
            <v>66112</v>
          </cell>
          <cell r="BR4">
            <v>66477</v>
          </cell>
          <cell r="BS4">
            <v>66842</v>
          </cell>
          <cell r="BT4">
            <v>67207</v>
          </cell>
          <cell r="BU4">
            <v>67573</v>
          </cell>
          <cell r="BV4">
            <v>67938</v>
          </cell>
          <cell r="BW4">
            <v>68303</v>
          </cell>
          <cell r="BX4">
            <v>68668</v>
          </cell>
          <cell r="BY4">
            <v>69034</v>
          </cell>
          <cell r="BZ4">
            <v>69399</v>
          </cell>
          <cell r="CA4">
            <v>69764</v>
          </cell>
          <cell r="CB4">
            <v>70129</v>
          </cell>
          <cell r="CC4">
            <v>70495</v>
          </cell>
          <cell r="CD4">
            <v>70860</v>
          </cell>
          <cell r="CE4">
            <v>71225</v>
          </cell>
          <cell r="CF4">
            <v>71590</v>
          </cell>
          <cell r="CG4">
            <v>71956</v>
          </cell>
          <cell r="CH4">
            <v>72321</v>
          </cell>
          <cell r="CI4">
            <v>72686</v>
          </cell>
          <cell r="CJ4">
            <v>73051</v>
          </cell>
        </row>
        <row r="5">
          <cell r="C5">
            <v>0</v>
          </cell>
          <cell r="D5">
            <v>9.3052311245234165E-4</v>
          </cell>
          <cell r="E5">
            <v>1.9761493193604096E-3</v>
          </cell>
          <cell r="F5">
            <v>3.1012489866366622E-3</v>
          </cell>
          <cell r="G5">
            <v>4.27214195894976E-3</v>
          </cell>
          <cell r="H5">
            <v>5.4575734054651548E-3</v>
          </cell>
          <cell r="I5">
            <v>1.342940026942685E-2</v>
          </cell>
          <cell r="J5">
            <v>-6.0769778524594198E-2</v>
          </cell>
          <cell r="K5">
            <v>-0.18274531464252952</v>
          </cell>
          <cell r="L5">
            <v>-0.35095208984680104</v>
          </cell>
          <cell r="M5">
            <v>-0.54755848821727016</v>
          </cell>
          <cell r="N5">
            <v>-0.78293633761913339</v>
          </cell>
          <cell r="O5">
            <v>-1.0081028566907402</v>
          </cell>
          <cell r="P5">
            <v>-1.2113049490622863</v>
          </cell>
          <cell r="Q5">
            <v>-1.3815892032272958</v>
          </cell>
          <cell r="R5">
            <v>-1.5134652812802574</v>
          </cell>
          <cell r="S5">
            <v>-1.6672700902405357</v>
          </cell>
          <cell r="T5">
            <v>-1.776556187792111</v>
          </cell>
          <cell r="U5">
            <v>-1.8553536416212046</v>
          </cell>
          <cell r="V5">
            <v>-1.9163598140153115</v>
          </cell>
          <cell r="W5">
            <v>-1.9672419053785584</v>
          </cell>
          <cell r="X5">
            <v>-2.0588174778405688</v>
          </cell>
          <cell r="Y5">
            <v>-2.1492647820986366</v>
          </cell>
          <cell r="Z5">
            <v>-2.2364303916362127</v>
          </cell>
          <cell r="AA5">
            <v>-2.3179008706416093</v>
          </cell>
          <cell r="AB5">
            <v>-2.3917914620212422</v>
          </cell>
          <cell r="AC5">
            <v>-2.4858994364094777</v>
          </cell>
          <cell r="AD5">
            <v>-2.572277960353242</v>
          </cell>
          <cell r="AE5">
            <v>-2.6512518218301695</v>
          </cell>
          <cell r="AF5">
            <v>-2.7241384470432228</v>
          </cell>
          <cell r="AG5">
            <v>-2.7921128777162352</v>
          </cell>
          <cell r="AH5">
            <v>-2.8842687546006496</v>
          </cell>
          <cell r="AI5">
            <v>-2.975173723754021</v>
          </cell>
          <cell r="AJ5">
            <v>-3.0656675728749083</v>
          </cell>
          <cell r="AK5">
            <v>-3.1584625538733868</v>
          </cell>
          <cell r="AL5">
            <v>-3.2596969245795027</v>
          </cell>
          <cell r="AM5">
            <v>-3.3916862796371516</v>
          </cell>
          <cell r="AN5">
            <v>-3.5242905674170655</v>
          </cell>
          <cell r="AO5">
            <v>-3.6538329762157984</v>
          </cell>
          <cell r="AP5">
            <v>-3.7782145838948011</v>
          </cell>
          <cell r="AQ5">
            <v>-3.8966008620907711</v>
          </cell>
          <cell r="AR5">
            <v>-4.0090133420570329</v>
          </cell>
          <cell r="AS5">
            <v>-4.1153777662873869</v>
          </cell>
          <cell r="AT5">
            <v>-4.2164841005600024</v>
          </cell>
          <cell r="AU5">
            <v>-4.3132825717588581</v>
          </cell>
          <cell r="AV5">
            <v>-4.4067376318134954</v>
          </cell>
          <cell r="AW5">
            <v>-4.4928528460646096</v>
          </cell>
          <cell r="AX5">
            <v>-4.576024999743411</v>
          </cell>
          <cell r="AY5">
            <v>-4.6569738800943732</v>
          </cell>
          <cell r="AZ5">
            <v>-4.7363401198649786</v>
          </cell>
          <cell r="BA5">
            <v>-4.8145804933877763</v>
          </cell>
          <cell r="BB5">
            <v>-4.8979713321022134</v>
          </cell>
          <cell r="BC5">
            <v>-4.9719771375018258</v>
          </cell>
          <cell r="BD5">
            <v>-5.041202353698548</v>
          </cell>
          <cell r="BE5">
            <v>-5.1084161849399461</v>
          </cell>
          <cell r="BF5">
            <v>-5.1751193968134217</v>
          </cell>
          <cell r="BG5">
            <v>-5.2417191295703098</v>
          </cell>
          <cell r="BH5">
            <v>-5.3077783363829063</v>
          </cell>
          <cell r="BI5">
            <v>-5.373275080085083</v>
          </cell>
          <cell r="BJ5">
            <v>-5.43812047190535</v>
          </cell>
          <cell r="BK5">
            <v>-5.5022755962100263</v>
          </cell>
          <cell r="BL5">
            <v>-5.5642059929849053</v>
          </cell>
          <cell r="BM5">
            <v>-5.6252058538378229</v>
          </cell>
          <cell r="BN5">
            <v>-5.6854700320299045</v>
          </cell>
          <cell r="BO5">
            <v>-5.7452075501310151</v>
          </cell>
          <cell r="BP5">
            <v>-5.8045742472669914</v>
          </cell>
          <cell r="BQ5">
            <v>-5.8586819016704155</v>
          </cell>
          <cell r="BR5">
            <v>-5.9108917460874437</v>
          </cell>
          <cell r="BS5">
            <v>-5.9615674280178883</v>
          </cell>
          <cell r="BT5">
            <v>-6.0110643636052563</v>
          </cell>
          <cell r="BU5">
            <v>-6.0596317000017441</v>
          </cell>
          <cell r="BV5">
            <v>-6.1048975188250694</v>
          </cell>
          <cell r="BW5">
            <v>-6.148893178947068</v>
          </cell>
          <cell r="BX5">
            <v>-6.1918048711210432</v>
          </cell>
          <cell r="BY5">
            <v>-6.2338297835931034</v>
          </cell>
          <cell r="BZ5">
            <v>-6.2751171940469863</v>
          </cell>
          <cell r="CA5">
            <v>-6.3115763837720884</v>
          </cell>
          <cell r="CB5">
            <v>-6.3461045251346988</v>
          </cell>
          <cell r="CC5">
            <v>-6.3790481327741677</v>
          </cell>
          <cell r="CD5">
            <v>-6.410742782587608</v>
          </cell>
          <cell r="CE5">
            <v>-6.4414305905001079</v>
          </cell>
          <cell r="CF5">
            <v>-6.4705728541020635</v>
          </cell>
          <cell r="CG5">
            <v>-6.4988519459554306</v>
          </cell>
          <cell r="CH5">
            <v>-6.5263621753910979</v>
          </cell>
          <cell r="CI5">
            <v>-6.5531744725616736</v>
          </cell>
          <cell r="CJ5">
            <v>-6.5793367572583588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"/>
      <sheetName val="Graphique1"/>
      <sheetName val="Graphique1 (2)"/>
      <sheetName val="Gr Macro"/>
      <sheetName val="Gr inflation"/>
      <sheetName val="Gr émissions"/>
      <sheetName val="Gr CO2 éner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base)"/>
      <sheetName val="Auto (ener,shock)"/>
      <sheetName val="Employment"/>
      <sheetName val="Investissement"/>
      <sheetName val="Investissement ctrb"/>
      <sheetName val="Firms' emissions"/>
      <sheetName val="Firms' emissions 2"/>
      <sheetName val="Capital intensity"/>
      <sheetName val="Energy intensity"/>
      <sheetName val="Gr VA secteurs (% dev)"/>
      <sheetName val="Gr VA secteurs (% dev2)"/>
      <sheetName val="Gr VA secteurs (% share)"/>
      <sheetName val="Gr Y secteurs (% dev)"/>
      <sheetName val="Gr Y secteurs ctrb"/>
      <sheetName val="Gr Y secteurs (% share)"/>
    </sheetNames>
    <sheetDataSet>
      <sheetData sheetId="0"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-8.2570057391762042E-2</v>
          </cell>
          <cell r="K5">
            <v>-0.21338835760309482</v>
          </cell>
          <cell r="L5">
            <v>-0.39081988898773679</v>
          </cell>
          <cell r="M5">
            <v>-0.59683840620929907</v>
          </cell>
          <cell r="N5">
            <v>-0.81601507905502135</v>
          </cell>
          <cell r="O5">
            <v>-1.021644343563699</v>
          </cell>
          <cell r="P5">
            <v>-1.2027012008759219</v>
          </cell>
          <cell r="Q5">
            <v>-1.3492451623409618</v>
          </cell>
          <cell r="R5">
            <v>-1.4565266856650716</v>
          </cell>
          <cell r="S5">
            <v>-1.5490159288063743</v>
          </cell>
          <cell r="T5">
            <v>-1.5916749315270984</v>
          </cell>
          <cell r="U5">
            <v>-1.5999089847043901</v>
          </cell>
          <cell r="V5">
            <v>-1.5881941837013969</v>
          </cell>
          <cell r="W5">
            <v>-1.5655967208889177</v>
          </cell>
          <cell r="X5">
            <v>-1.5586846599906057</v>
          </cell>
          <cell r="Y5">
            <v>-1.5472438090482377</v>
          </cell>
          <cell r="Z5">
            <v>-1.5302140505298212</v>
          </cell>
          <cell r="AA5">
            <v>-1.5064439639732474</v>
          </cell>
          <cell r="AB5">
            <v>-1.4749888381082599</v>
          </cell>
          <cell r="AC5">
            <v>-1.4571786519016694</v>
          </cell>
          <cell r="AD5">
            <v>-1.4312146976609763</v>
          </cell>
          <cell r="AE5">
            <v>-1.3978275626726266</v>
          </cell>
          <cell r="AF5">
            <v>-1.3587504540436779</v>
          </cell>
          <cell r="AG5">
            <v>-1.3154393232594708</v>
          </cell>
          <cell r="AH5">
            <v>-1.2922665125678634</v>
          </cell>
          <cell r="AI5">
            <v>-1.2679111909157603</v>
          </cell>
          <cell r="AJ5">
            <v>-1.2434188557406078</v>
          </cell>
          <cell r="AK5">
            <v>-1.2217784739536275</v>
          </cell>
          <cell r="AL5">
            <v>-1.2094156700070857</v>
          </cell>
          <cell r="AM5">
            <v>-1.2305857769585149</v>
          </cell>
          <cell r="AN5">
            <v>-1.2536161899830756</v>
          </cell>
          <cell r="AO5">
            <v>-1.2746695671363217</v>
          </cell>
          <cell r="AP5">
            <v>-1.2914629150219792</v>
          </cell>
          <cell r="AQ5">
            <v>-1.3030167844177876</v>
          </cell>
          <cell r="AR5">
            <v>-1.3095127330916667</v>
          </cell>
          <cell r="AS5">
            <v>-1.3106507803896328</v>
          </cell>
          <cell r="AT5">
            <v>-1.3071908036014213</v>
          </cell>
          <cell r="AU5">
            <v>-1.3000727254234068</v>
          </cell>
          <cell r="AV5">
            <v>-1.2902608557570416</v>
          </cell>
          <cell r="AW5">
            <v>-1.2789766451751894</v>
          </cell>
          <cell r="AX5">
            <v>-1.2665032616958727</v>
          </cell>
          <cell r="AY5">
            <v>-1.2533463832295477</v>
          </cell>
          <cell r="AZ5">
            <v>-1.239857444434922</v>
          </cell>
          <cell r="BA5">
            <v>-1.2262658509793356</v>
          </cell>
          <cell r="BB5">
            <v>-1.2225135347008642</v>
          </cell>
          <cell r="BC5">
            <v>-1.2114613335996727</v>
          </cell>
          <cell r="BD5">
            <v>-1.1967135727076972</v>
          </cell>
          <cell r="BE5">
            <v>-1.1808624654202959</v>
          </cell>
          <cell r="BF5">
            <v>-1.165362710991702</v>
          </cell>
          <cell r="BG5">
            <v>-1.1518173602783177</v>
          </cell>
          <cell r="BH5">
            <v>-1.1387701420468965</v>
          </cell>
          <cell r="BI5">
            <v>-1.126137120211268</v>
          </cell>
          <cell r="BJ5">
            <v>-1.1137589162455996</v>
          </cell>
          <cell r="BK5">
            <v>-1.1015274200528169</v>
          </cell>
          <cell r="BL5">
            <v>-1.0893917663554298</v>
          </cell>
          <cell r="BM5">
            <v>-1.0774096472528027</v>
          </cell>
          <cell r="BN5">
            <v>-1.0656487554816296</v>
          </cell>
          <cell r="BO5">
            <v>-1.0541833702330083</v>
          </cell>
          <cell r="BP5">
            <v>-1.0430738755354607</v>
          </cell>
          <cell r="BQ5">
            <v>-1.0334012452635544</v>
          </cell>
          <cell r="BR5">
            <v>-1.0237704884281218</v>
          </cell>
          <cell r="BS5">
            <v>-1.0142809961707466</v>
          </cell>
          <cell r="BT5">
            <v>-1.0049663456938918</v>
          </cell>
          <cell r="BU5">
            <v>-0.99582410138888688</v>
          </cell>
          <cell r="BV5">
            <v>-0.98686499417993678</v>
          </cell>
          <cell r="BW5">
            <v>-0.97802636516018948</v>
          </cell>
          <cell r="BX5">
            <v>-0.96928040117759684</v>
          </cell>
          <cell r="BY5">
            <v>-0.96060008931205809</v>
          </cell>
          <cell r="BZ5">
            <v>-0.95196067445528776</v>
          </cell>
          <cell r="CA5">
            <v>-0.94420985573711036</v>
          </cell>
          <cell r="CB5">
            <v>-0.93616980121628002</v>
          </cell>
          <cell r="CC5">
            <v>-0.92790896895041941</v>
          </cell>
          <cell r="CD5">
            <v>-0.91945087437653727</v>
          </cell>
          <cell r="CE5">
            <v>-0.91079779064868749</v>
          </cell>
          <cell r="CF5">
            <v>-0.90203768341269308</v>
          </cell>
          <cell r="CG5">
            <v>-0.89306236791467652</v>
          </cell>
          <cell r="CH5">
            <v>-0.88386847005845759</v>
          </cell>
          <cell r="CI5">
            <v>-0.87444889324749253</v>
          </cell>
          <cell r="CJ5">
            <v>-0.86479592251866855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71B5-42F5-4837-A3A1-83350F5EBD68}">
  <dimension ref="A1:CI8"/>
  <sheetViews>
    <sheetView workbookViewId="0">
      <selection activeCell="E8" sqref="E8"/>
    </sheetView>
  </sheetViews>
  <sheetFormatPr baseColWidth="10" defaultRowHeight="14.4" x14ac:dyDescent="0.3"/>
  <sheetData>
    <row r="1" spans="1:87" x14ac:dyDescent="0.3">
      <c r="B1" s="1">
        <f>[1]Données!C4</f>
        <v>42005</v>
      </c>
      <c r="C1" s="1">
        <f>[1]Données!D4</f>
        <v>42370</v>
      </c>
      <c r="D1" s="1">
        <f>[1]Données!E4</f>
        <v>42736</v>
      </c>
      <c r="E1" s="1">
        <f>[1]Données!F4</f>
        <v>43101</v>
      </c>
      <c r="F1" s="1">
        <f>[1]Données!G4</f>
        <v>43466</v>
      </c>
      <c r="G1" s="1">
        <f>[1]Données!H4</f>
        <v>43831</v>
      </c>
      <c r="H1" s="1">
        <f>[1]Données!I4</f>
        <v>44197</v>
      </c>
      <c r="I1" s="1">
        <f>[1]Données!J4</f>
        <v>44562</v>
      </c>
      <c r="J1" s="1">
        <f>[1]Données!K4</f>
        <v>44927</v>
      </c>
      <c r="K1" s="1">
        <f>[1]Données!L4</f>
        <v>45292</v>
      </c>
      <c r="L1" s="1">
        <f>[1]Données!M4</f>
        <v>45658</v>
      </c>
      <c r="M1" s="1">
        <f>[1]Données!N4</f>
        <v>46023</v>
      </c>
      <c r="N1" s="1">
        <f>[1]Données!O4</f>
        <v>46388</v>
      </c>
      <c r="O1" s="1">
        <f>[1]Données!P4</f>
        <v>46753</v>
      </c>
      <c r="P1" s="1">
        <f>[1]Données!Q4</f>
        <v>47119</v>
      </c>
      <c r="Q1" s="1">
        <f>[1]Données!R4</f>
        <v>47484</v>
      </c>
      <c r="R1" s="1">
        <f>[1]Données!S4</f>
        <v>47849</v>
      </c>
      <c r="S1" s="1">
        <f>[1]Données!T4</f>
        <v>48214</v>
      </c>
      <c r="T1" s="1">
        <f>[1]Données!U4</f>
        <v>48580</v>
      </c>
      <c r="U1" s="1">
        <f>[1]Données!V4</f>
        <v>48945</v>
      </c>
      <c r="V1" s="1">
        <f>[1]Données!W4</f>
        <v>49310</v>
      </c>
      <c r="W1" s="1">
        <f>[1]Données!X4</f>
        <v>49675</v>
      </c>
      <c r="X1" s="1">
        <f>[1]Données!Y4</f>
        <v>50041</v>
      </c>
      <c r="Y1" s="1">
        <f>[1]Données!Z4</f>
        <v>50406</v>
      </c>
      <c r="Z1" s="1">
        <f>[1]Données!AA4</f>
        <v>50771</v>
      </c>
      <c r="AA1" s="1">
        <f>[1]Données!AB4</f>
        <v>51136</v>
      </c>
      <c r="AB1" s="1">
        <f>[1]Données!AC4</f>
        <v>51502</v>
      </c>
      <c r="AC1" s="1">
        <f>[1]Données!AD4</f>
        <v>51867</v>
      </c>
      <c r="AD1" s="1">
        <f>[1]Données!AE4</f>
        <v>52232</v>
      </c>
      <c r="AE1" s="1">
        <f>[1]Données!AF4</f>
        <v>52597</v>
      </c>
      <c r="AF1" s="1">
        <f>[1]Données!AG4</f>
        <v>52963</v>
      </c>
      <c r="AG1" s="1">
        <f>[1]Données!AH4</f>
        <v>53328</v>
      </c>
      <c r="AH1" s="1">
        <f>[1]Données!AI4</f>
        <v>53693</v>
      </c>
      <c r="AI1" s="1">
        <f>[1]Données!AJ4</f>
        <v>54058</v>
      </c>
      <c r="AJ1" s="1">
        <f>[1]Données!AK4</f>
        <v>54424</v>
      </c>
      <c r="AK1" s="1">
        <f>[1]Données!AL4</f>
        <v>54789</v>
      </c>
      <c r="AL1" s="1">
        <f>[1]Données!AM4</f>
        <v>55154</v>
      </c>
      <c r="AM1" s="1">
        <f>[1]Données!AN4</f>
        <v>55519</v>
      </c>
      <c r="AN1" s="1">
        <f>[1]Données!AO4</f>
        <v>55885</v>
      </c>
      <c r="AO1" s="1">
        <f>[1]Données!AP4</f>
        <v>56250</v>
      </c>
      <c r="AP1" s="1">
        <f>[1]Données!AQ4</f>
        <v>56615</v>
      </c>
      <c r="AQ1" s="1">
        <f>[1]Données!AR4</f>
        <v>56980</v>
      </c>
      <c r="AR1" s="1">
        <f>[1]Données!AS4</f>
        <v>57346</v>
      </c>
      <c r="AS1" s="1">
        <f>[1]Données!AT4</f>
        <v>57711</v>
      </c>
      <c r="AT1" s="1">
        <f>[1]Données!AU4</f>
        <v>58076</v>
      </c>
      <c r="AU1" s="1">
        <f>[1]Données!AV4</f>
        <v>58441</v>
      </c>
      <c r="AV1" s="1">
        <f>[1]Données!AW4</f>
        <v>58807</v>
      </c>
      <c r="AW1" s="1">
        <f>[1]Données!AX4</f>
        <v>59172</v>
      </c>
      <c r="AX1" s="1">
        <f>[1]Données!AY4</f>
        <v>59537</v>
      </c>
      <c r="AY1" s="1">
        <f>[1]Données!AZ4</f>
        <v>59902</v>
      </c>
      <c r="AZ1" s="1">
        <f>[1]Données!BA4</f>
        <v>60268</v>
      </c>
      <c r="BA1" s="1">
        <f>[1]Données!BB4</f>
        <v>60633</v>
      </c>
      <c r="BB1" s="1">
        <f>[1]Données!BC4</f>
        <v>60998</v>
      </c>
      <c r="BC1" s="1">
        <f>[1]Données!BD4</f>
        <v>61363</v>
      </c>
      <c r="BD1" s="1">
        <f>[1]Données!BE4</f>
        <v>61729</v>
      </c>
      <c r="BE1" s="1">
        <f>[1]Données!BF4</f>
        <v>62094</v>
      </c>
      <c r="BF1" s="1">
        <f>[1]Données!BG4</f>
        <v>62459</v>
      </c>
      <c r="BG1" s="1">
        <f>[1]Données!BH4</f>
        <v>62824</v>
      </c>
      <c r="BH1" s="1">
        <f>[1]Données!BI4</f>
        <v>63190</v>
      </c>
      <c r="BI1" s="1">
        <f>[1]Données!BJ4</f>
        <v>63555</v>
      </c>
      <c r="BJ1" s="1">
        <f>[1]Données!BK4</f>
        <v>63920</v>
      </c>
      <c r="BK1" s="1">
        <f>[1]Données!BL4</f>
        <v>64285</v>
      </c>
      <c r="BL1" s="1">
        <f>[1]Données!BM4</f>
        <v>64651</v>
      </c>
      <c r="BM1" s="1">
        <f>[1]Données!BN4</f>
        <v>65016</v>
      </c>
      <c r="BN1" s="1">
        <f>[1]Données!BO4</f>
        <v>65381</v>
      </c>
      <c r="BO1" s="1">
        <f>[1]Données!BP4</f>
        <v>65746</v>
      </c>
      <c r="BP1" s="1">
        <f>[1]Données!BQ4</f>
        <v>66112</v>
      </c>
      <c r="BQ1" s="1">
        <f>[1]Données!BR4</f>
        <v>66477</v>
      </c>
      <c r="BR1" s="1">
        <f>[1]Données!BS4</f>
        <v>66842</v>
      </c>
      <c r="BS1" s="1">
        <f>[1]Données!BT4</f>
        <v>67207</v>
      </c>
      <c r="BT1" s="1">
        <f>[1]Données!BU4</f>
        <v>67573</v>
      </c>
      <c r="BU1" s="1">
        <f>[1]Données!BV4</f>
        <v>67938</v>
      </c>
      <c r="BV1" s="1">
        <f>[1]Données!BW4</f>
        <v>68303</v>
      </c>
      <c r="BW1" s="1">
        <f>[1]Données!BX4</f>
        <v>68668</v>
      </c>
      <c r="BX1" s="1">
        <f>[1]Données!BY4</f>
        <v>69034</v>
      </c>
      <c r="BY1" s="1">
        <f>[1]Données!BZ4</f>
        <v>69399</v>
      </c>
      <c r="BZ1" s="1">
        <f>[1]Données!CA4</f>
        <v>69764</v>
      </c>
      <c r="CA1" s="1">
        <f>[1]Données!CB4</f>
        <v>70129</v>
      </c>
      <c r="CB1" s="1">
        <f>[1]Données!CC4</f>
        <v>70495</v>
      </c>
      <c r="CC1" s="1">
        <f>[1]Données!CD4</f>
        <v>70860</v>
      </c>
      <c r="CD1" s="1">
        <f>[1]Données!CE4</f>
        <v>71225</v>
      </c>
      <c r="CE1" s="1">
        <f>[1]Données!CF4</f>
        <v>71590</v>
      </c>
      <c r="CF1" s="1">
        <f>[1]Données!CG4</f>
        <v>71956</v>
      </c>
      <c r="CG1" s="1">
        <f>[1]Données!CH4</f>
        <v>72321</v>
      </c>
      <c r="CH1" s="1">
        <f>[1]Données!CI4</f>
        <v>72686</v>
      </c>
      <c r="CI1" s="1">
        <f>[1]Données!CJ4</f>
        <v>73051</v>
      </c>
    </row>
    <row r="2" spans="1:87" x14ac:dyDescent="0.3">
      <c r="A2" t="s">
        <v>0</v>
      </c>
      <c r="B2" s="2">
        <f>[2]Données!C5</f>
        <v>0</v>
      </c>
      <c r="C2" s="2">
        <f>[2]Données!D5</f>
        <v>0</v>
      </c>
      <c r="D2" s="2">
        <f>[2]Données!E5</f>
        <v>0</v>
      </c>
      <c r="E2" s="2">
        <f>[2]Données!F5</f>
        <v>0</v>
      </c>
      <c r="F2" s="2">
        <f>[2]Données!G5</f>
        <v>0</v>
      </c>
      <c r="G2" s="2">
        <f>[2]Données!H5</f>
        <v>0</v>
      </c>
      <c r="H2" s="2">
        <f>[2]Données!I5</f>
        <v>0</v>
      </c>
      <c r="I2" s="2">
        <f>[2]Données!J5</f>
        <v>-8.2570057391762042E-2</v>
      </c>
      <c r="J2" s="2">
        <f>[2]Données!K5</f>
        <v>-0.21338835760309482</v>
      </c>
      <c r="K2" s="2">
        <f>[2]Données!L5</f>
        <v>-0.39081988898773679</v>
      </c>
      <c r="L2" s="2">
        <f>[2]Données!M5</f>
        <v>-0.59683840620929907</v>
      </c>
      <c r="M2" s="2">
        <f>[2]Données!N5</f>
        <v>-0.81601507905502135</v>
      </c>
      <c r="N2" s="2">
        <f>[2]Données!O5</f>
        <v>-1.021644343563699</v>
      </c>
      <c r="O2" s="2">
        <f>[2]Données!P5</f>
        <v>-1.2027012008759219</v>
      </c>
      <c r="P2" s="2">
        <f>[2]Données!Q5</f>
        <v>-1.3492451623409618</v>
      </c>
      <c r="Q2" s="2">
        <f>[2]Données!R5</f>
        <v>-1.4565266856650716</v>
      </c>
      <c r="R2" s="2">
        <f>[2]Données!S5</f>
        <v>-1.5490159288063743</v>
      </c>
      <c r="S2" s="2">
        <f>[2]Données!T5</f>
        <v>-1.5916749315270984</v>
      </c>
      <c r="T2" s="2">
        <f>[2]Données!U5</f>
        <v>-1.5999089847043901</v>
      </c>
      <c r="U2" s="2">
        <f>[2]Données!V5</f>
        <v>-1.5881941837013969</v>
      </c>
      <c r="V2" s="2">
        <f>[2]Données!W5</f>
        <v>-1.5655967208889177</v>
      </c>
      <c r="W2" s="2">
        <f>[2]Données!X5</f>
        <v>-1.5586846599906057</v>
      </c>
      <c r="X2" s="2">
        <f>[2]Données!Y5</f>
        <v>-1.5472438090482377</v>
      </c>
      <c r="Y2" s="2">
        <f>[2]Données!Z5</f>
        <v>-1.5302140505298212</v>
      </c>
      <c r="Z2" s="2">
        <f>[2]Données!AA5</f>
        <v>-1.5064439639732474</v>
      </c>
      <c r="AA2" s="2">
        <f>[2]Données!AB5</f>
        <v>-1.4749888381082599</v>
      </c>
      <c r="AB2" s="2">
        <f>[2]Données!AC5</f>
        <v>-1.4571786519016694</v>
      </c>
      <c r="AC2" s="2">
        <f>[2]Données!AD5</f>
        <v>-1.4312146976609763</v>
      </c>
      <c r="AD2" s="2">
        <f>[2]Données!AE5</f>
        <v>-1.3978275626726266</v>
      </c>
      <c r="AE2" s="2">
        <f>[2]Données!AF5</f>
        <v>-1.3587504540436779</v>
      </c>
      <c r="AF2" s="2">
        <f>[2]Données!AG5</f>
        <v>-1.3154393232594708</v>
      </c>
      <c r="AG2" s="2">
        <f>[2]Données!AH5</f>
        <v>-1.2922665125678634</v>
      </c>
      <c r="AH2" s="2">
        <f>[2]Données!AI5</f>
        <v>-1.2679111909157603</v>
      </c>
      <c r="AI2" s="2">
        <f>[2]Données!AJ5</f>
        <v>-1.2434188557406078</v>
      </c>
      <c r="AJ2" s="2">
        <f>[2]Données!AK5</f>
        <v>-1.2217784739536275</v>
      </c>
      <c r="AK2" s="2">
        <f>[2]Données!AL5</f>
        <v>-1.2094156700070857</v>
      </c>
      <c r="AL2" s="2">
        <f>[2]Données!AM5</f>
        <v>-1.2305857769585149</v>
      </c>
      <c r="AM2" s="2">
        <f>[2]Données!AN5</f>
        <v>-1.2536161899830756</v>
      </c>
      <c r="AN2" s="2">
        <f>[2]Données!AO5</f>
        <v>-1.2746695671363217</v>
      </c>
      <c r="AO2" s="2">
        <f>[2]Données!AP5</f>
        <v>-1.2914629150219792</v>
      </c>
      <c r="AP2" s="2">
        <f>[2]Données!AQ5</f>
        <v>-1.3030167844177876</v>
      </c>
      <c r="AQ2" s="2">
        <f>[2]Données!AR5</f>
        <v>-1.3095127330916667</v>
      </c>
      <c r="AR2" s="2">
        <f>[2]Données!AS5</f>
        <v>-1.3106507803896328</v>
      </c>
      <c r="AS2" s="2">
        <f>[2]Données!AT5</f>
        <v>-1.3071908036014213</v>
      </c>
      <c r="AT2" s="2">
        <f>[2]Données!AU5</f>
        <v>-1.3000727254234068</v>
      </c>
      <c r="AU2" s="2">
        <f>[2]Données!AV5</f>
        <v>-1.2902608557570416</v>
      </c>
      <c r="AV2" s="2">
        <f>[2]Données!AW5</f>
        <v>-1.2789766451751894</v>
      </c>
      <c r="AW2" s="2">
        <f>[2]Données!AX5</f>
        <v>-1.2665032616958727</v>
      </c>
      <c r="AX2" s="2">
        <f>[2]Données!AY5</f>
        <v>-1.2533463832295477</v>
      </c>
      <c r="AY2" s="2">
        <f>[2]Données!AZ5</f>
        <v>-1.239857444434922</v>
      </c>
      <c r="AZ2" s="2">
        <f>[2]Données!BA5</f>
        <v>-1.2262658509793356</v>
      </c>
      <c r="BA2" s="2">
        <f>[2]Données!BB5</f>
        <v>-1.2225135347008642</v>
      </c>
      <c r="BB2" s="2">
        <f>[2]Données!BC5</f>
        <v>-1.2114613335996727</v>
      </c>
      <c r="BC2" s="2">
        <f>[2]Données!BD5</f>
        <v>-1.1967135727076972</v>
      </c>
      <c r="BD2" s="2">
        <f>[2]Données!BE5</f>
        <v>-1.1808624654202959</v>
      </c>
      <c r="BE2" s="2">
        <f>[2]Données!BF5</f>
        <v>-1.165362710991702</v>
      </c>
      <c r="BF2" s="2">
        <f>[2]Données!BG5</f>
        <v>-1.1518173602783177</v>
      </c>
      <c r="BG2" s="2">
        <f>[2]Données!BH5</f>
        <v>-1.1387701420468965</v>
      </c>
      <c r="BH2" s="2">
        <f>[2]Données!BI5</f>
        <v>-1.126137120211268</v>
      </c>
      <c r="BI2" s="2">
        <f>[2]Données!BJ5</f>
        <v>-1.1137589162455996</v>
      </c>
      <c r="BJ2" s="2">
        <f>[2]Données!BK5</f>
        <v>-1.1015274200528169</v>
      </c>
      <c r="BK2" s="2">
        <f>[2]Données!BL5</f>
        <v>-1.0893917663554298</v>
      </c>
      <c r="BL2" s="2">
        <f>[2]Données!BM5</f>
        <v>-1.0774096472528027</v>
      </c>
      <c r="BM2" s="2">
        <f>[2]Données!BN5</f>
        <v>-1.0656487554816296</v>
      </c>
      <c r="BN2" s="2">
        <f>[2]Données!BO5</f>
        <v>-1.0541833702330083</v>
      </c>
      <c r="BO2" s="2">
        <f>[2]Données!BP5</f>
        <v>-1.0430738755354607</v>
      </c>
      <c r="BP2" s="2">
        <f>[2]Données!BQ5</f>
        <v>-1.0334012452635544</v>
      </c>
      <c r="BQ2" s="2">
        <f>[2]Données!BR5</f>
        <v>-1.0237704884281218</v>
      </c>
      <c r="BR2" s="2">
        <f>[2]Données!BS5</f>
        <v>-1.0142809961707466</v>
      </c>
      <c r="BS2" s="2">
        <f>[2]Données!BT5</f>
        <v>-1.0049663456938918</v>
      </c>
      <c r="BT2" s="2">
        <f>[2]Données!BU5</f>
        <v>-0.99582410138888688</v>
      </c>
      <c r="BU2" s="2">
        <f>[2]Données!BV5</f>
        <v>-0.98686499417993678</v>
      </c>
      <c r="BV2" s="2">
        <f>[2]Données!BW5</f>
        <v>-0.97802636516018948</v>
      </c>
      <c r="BW2" s="2">
        <f>[2]Données!BX5</f>
        <v>-0.96928040117759684</v>
      </c>
      <c r="BX2" s="2">
        <f>[2]Données!BY5</f>
        <v>-0.96060008931205809</v>
      </c>
      <c r="BY2" s="2">
        <f>[2]Données!BZ5</f>
        <v>-0.95196067445528776</v>
      </c>
      <c r="BZ2" s="2">
        <f>[2]Données!CA5</f>
        <v>-0.94420985573711036</v>
      </c>
      <c r="CA2" s="2">
        <f>[2]Données!CB5</f>
        <v>-0.93616980121628002</v>
      </c>
      <c r="CB2" s="2">
        <f>[2]Données!CC5</f>
        <v>-0.92790896895041941</v>
      </c>
      <c r="CC2" s="2">
        <f>[2]Données!CD5</f>
        <v>-0.91945087437653727</v>
      </c>
      <c r="CD2" s="2">
        <f>[2]Données!CE5</f>
        <v>-0.91079779064868749</v>
      </c>
      <c r="CE2" s="2">
        <f>[2]Données!CF5</f>
        <v>-0.90203768341269308</v>
      </c>
      <c r="CF2" s="2">
        <f>[2]Données!CG5</f>
        <v>-0.89306236791467652</v>
      </c>
      <c r="CG2" s="2">
        <f>[2]Données!CH5</f>
        <v>-0.88386847005845759</v>
      </c>
      <c r="CH2" s="2">
        <f>[2]Données!CI5</f>
        <v>-0.87444889324749253</v>
      </c>
      <c r="CI2" s="2">
        <f>[2]Données!CJ5</f>
        <v>-0.86479592251866855</v>
      </c>
    </row>
    <row r="3" spans="1:87" x14ac:dyDescent="0.3">
      <c r="A3" t="s">
        <v>3</v>
      </c>
      <c r="B3" s="2">
        <f>[1]Données!C5</f>
        <v>0</v>
      </c>
      <c r="C3" s="2">
        <f>[1]Données!D5</f>
        <v>9.3052311245234165E-4</v>
      </c>
      <c r="D3" s="2">
        <f>[1]Données!E5</f>
        <v>1.9761493193604096E-3</v>
      </c>
      <c r="E3" s="2">
        <f>[1]Données!F5</f>
        <v>3.1012489866366622E-3</v>
      </c>
      <c r="F3" s="2">
        <f>[1]Données!G5</f>
        <v>4.27214195894976E-3</v>
      </c>
      <c r="G3" s="2">
        <f>[1]Données!H5</f>
        <v>5.4575734054651548E-3</v>
      </c>
      <c r="H3" s="2">
        <f>[1]Données!I5</f>
        <v>1.342940026942685E-2</v>
      </c>
      <c r="I3" s="2">
        <f>[1]Données!J5</f>
        <v>-6.0769778524594198E-2</v>
      </c>
      <c r="J3" s="2">
        <f>[1]Données!K5</f>
        <v>-0.18274531464252952</v>
      </c>
      <c r="K3" s="2">
        <f>[1]Données!L5</f>
        <v>-0.35095208984680104</v>
      </c>
      <c r="L3" s="2">
        <f>[1]Données!M5</f>
        <v>-0.54755848821727016</v>
      </c>
      <c r="M3" s="2">
        <f>[1]Données!N5</f>
        <v>-0.78293633761913339</v>
      </c>
      <c r="N3" s="2">
        <f>[1]Données!O5</f>
        <v>-1.0081028566907402</v>
      </c>
      <c r="O3" s="2">
        <f>[1]Données!P5</f>
        <v>-1.2113049490622863</v>
      </c>
      <c r="P3" s="2">
        <f>[1]Données!Q5</f>
        <v>-1.3815892032272958</v>
      </c>
      <c r="Q3" s="2">
        <f>[1]Données!R5</f>
        <v>-1.5134652812802574</v>
      </c>
      <c r="R3" s="2">
        <f>[1]Données!S5</f>
        <v>-1.6672700902405357</v>
      </c>
      <c r="S3" s="2">
        <f>[1]Données!T5</f>
        <v>-1.776556187792111</v>
      </c>
      <c r="T3" s="2">
        <f>[1]Données!U5</f>
        <v>-1.8553536416212046</v>
      </c>
      <c r="U3" s="2">
        <f>[1]Données!V5</f>
        <v>-1.9163598140153115</v>
      </c>
      <c r="V3" s="2">
        <f>[1]Données!W5</f>
        <v>-1.9672419053785584</v>
      </c>
      <c r="W3" s="2">
        <f>[1]Données!X5</f>
        <v>-2.0588174778405688</v>
      </c>
      <c r="X3" s="2">
        <f>[1]Données!Y5</f>
        <v>-2.1492647820986366</v>
      </c>
      <c r="Y3" s="2">
        <f>[1]Données!Z5</f>
        <v>-2.2364303916362127</v>
      </c>
      <c r="Z3" s="2">
        <f>[1]Données!AA5</f>
        <v>-2.3179008706416093</v>
      </c>
      <c r="AA3" s="2">
        <f>[1]Données!AB5</f>
        <v>-2.3917914620212422</v>
      </c>
      <c r="AB3" s="2">
        <f>[1]Données!AC5</f>
        <v>-2.4858994364094777</v>
      </c>
      <c r="AC3" s="2">
        <f>[1]Données!AD5</f>
        <v>-2.572277960353242</v>
      </c>
      <c r="AD3" s="2">
        <f>[1]Données!AE5</f>
        <v>-2.6512518218301695</v>
      </c>
      <c r="AE3" s="2">
        <f>[1]Données!AF5</f>
        <v>-2.7241384470432228</v>
      </c>
      <c r="AF3" s="2">
        <f>[1]Données!AG5</f>
        <v>-2.7921128777162352</v>
      </c>
      <c r="AG3" s="2">
        <f>[1]Données!AH5</f>
        <v>-2.8842687546006496</v>
      </c>
      <c r="AH3" s="2">
        <f>[1]Données!AI5</f>
        <v>-2.975173723754021</v>
      </c>
      <c r="AI3" s="2">
        <f>[1]Données!AJ5</f>
        <v>-3.0656675728749083</v>
      </c>
      <c r="AJ3" s="2">
        <f>[1]Données!AK5</f>
        <v>-3.1584625538733868</v>
      </c>
      <c r="AK3" s="2">
        <f>[1]Données!AL5</f>
        <v>-3.2596969245795027</v>
      </c>
      <c r="AL3" s="2">
        <f>[1]Données!AM5</f>
        <v>-3.3916862796371516</v>
      </c>
      <c r="AM3" s="2">
        <f>[1]Données!AN5</f>
        <v>-3.5242905674170655</v>
      </c>
      <c r="AN3" s="2">
        <f>[1]Données!AO5</f>
        <v>-3.6538329762157984</v>
      </c>
      <c r="AO3" s="2">
        <f>[1]Données!AP5</f>
        <v>-3.7782145838948011</v>
      </c>
      <c r="AP3" s="2">
        <f>[1]Données!AQ5</f>
        <v>-3.8966008620907711</v>
      </c>
      <c r="AQ3" s="2">
        <f>[1]Données!AR5</f>
        <v>-4.0090133420570329</v>
      </c>
      <c r="AR3" s="2">
        <f>[1]Données!AS5</f>
        <v>-4.1153777662873869</v>
      </c>
      <c r="AS3" s="2">
        <f>[1]Données!AT5</f>
        <v>-4.2164841005600024</v>
      </c>
      <c r="AT3" s="2">
        <f>[1]Données!AU5</f>
        <v>-4.3132825717588581</v>
      </c>
      <c r="AU3" s="2">
        <f>[1]Données!AV5</f>
        <v>-4.4067376318134954</v>
      </c>
      <c r="AV3" s="2">
        <f>[1]Données!AW5</f>
        <v>-4.4928528460646096</v>
      </c>
      <c r="AW3" s="2">
        <f>[1]Données!AX5</f>
        <v>-4.576024999743411</v>
      </c>
      <c r="AX3" s="2">
        <f>[1]Données!AY5</f>
        <v>-4.6569738800943732</v>
      </c>
      <c r="AY3" s="2">
        <f>[1]Données!AZ5</f>
        <v>-4.7363401198649786</v>
      </c>
      <c r="AZ3" s="2">
        <f>[1]Données!BA5</f>
        <v>-4.8145804933877763</v>
      </c>
      <c r="BA3" s="2">
        <f>[1]Données!BB5</f>
        <v>-4.8979713321022134</v>
      </c>
      <c r="BB3" s="2">
        <f>[1]Données!BC5</f>
        <v>-4.9719771375018258</v>
      </c>
      <c r="BC3" s="2">
        <f>[1]Données!BD5</f>
        <v>-5.041202353698548</v>
      </c>
      <c r="BD3" s="2">
        <f>[1]Données!BE5</f>
        <v>-5.1084161849399461</v>
      </c>
      <c r="BE3" s="2">
        <f>[1]Données!BF5</f>
        <v>-5.1751193968134217</v>
      </c>
      <c r="BF3" s="2">
        <f>[1]Données!BG5</f>
        <v>-5.2417191295703098</v>
      </c>
      <c r="BG3" s="2">
        <f>[1]Données!BH5</f>
        <v>-5.3077783363829063</v>
      </c>
      <c r="BH3" s="2">
        <f>[1]Données!BI5</f>
        <v>-5.373275080085083</v>
      </c>
      <c r="BI3" s="2">
        <f>[1]Données!BJ5</f>
        <v>-5.43812047190535</v>
      </c>
      <c r="BJ3" s="2">
        <f>[1]Données!BK5</f>
        <v>-5.5022755962100263</v>
      </c>
      <c r="BK3" s="2">
        <f>[1]Données!BL5</f>
        <v>-5.5642059929849053</v>
      </c>
      <c r="BL3" s="2">
        <f>[1]Données!BM5</f>
        <v>-5.6252058538378229</v>
      </c>
      <c r="BM3" s="2">
        <f>[1]Données!BN5</f>
        <v>-5.6854700320299045</v>
      </c>
      <c r="BN3" s="2">
        <f>[1]Données!BO5</f>
        <v>-5.7452075501310151</v>
      </c>
      <c r="BO3" s="2">
        <f>[1]Données!BP5</f>
        <v>-5.8045742472669914</v>
      </c>
      <c r="BP3" s="2">
        <f>[1]Données!BQ5</f>
        <v>-5.8586819016704155</v>
      </c>
      <c r="BQ3" s="2">
        <f>[1]Données!BR5</f>
        <v>-5.9108917460874437</v>
      </c>
      <c r="BR3" s="2">
        <f>[1]Données!BS5</f>
        <v>-5.9615674280178883</v>
      </c>
      <c r="BS3" s="2">
        <f>[1]Données!BT5</f>
        <v>-6.0110643636052563</v>
      </c>
      <c r="BT3" s="2">
        <f>[1]Données!BU5</f>
        <v>-6.0596317000017441</v>
      </c>
      <c r="BU3" s="2">
        <f>[1]Données!BV5</f>
        <v>-6.1048975188250694</v>
      </c>
      <c r="BV3" s="2">
        <f>[1]Données!BW5</f>
        <v>-6.148893178947068</v>
      </c>
      <c r="BW3" s="2">
        <f>[1]Données!BX5</f>
        <v>-6.1918048711210432</v>
      </c>
      <c r="BX3" s="2">
        <f>[1]Données!BY5</f>
        <v>-6.2338297835931034</v>
      </c>
      <c r="BY3" s="2">
        <f>[1]Données!BZ5</f>
        <v>-6.2751171940469863</v>
      </c>
      <c r="BZ3" s="2">
        <f>[1]Données!CA5</f>
        <v>-6.3115763837720884</v>
      </c>
      <c r="CA3" s="2">
        <f>[1]Données!CB5</f>
        <v>-6.3461045251346988</v>
      </c>
      <c r="CB3" s="2">
        <f>[1]Données!CC5</f>
        <v>-6.3790481327741677</v>
      </c>
      <c r="CC3" s="2">
        <f>[1]Données!CD5</f>
        <v>-6.410742782587608</v>
      </c>
      <c r="CD3" s="2">
        <f>[1]Données!CE5</f>
        <v>-6.4414305905001079</v>
      </c>
      <c r="CE3" s="2">
        <f>[1]Données!CF5</f>
        <v>-6.4705728541020635</v>
      </c>
      <c r="CF3" s="2">
        <f>[1]Données!CG5</f>
        <v>-6.4988519459554306</v>
      </c>
      <c r="CG3" s="2">
        <f>[1]Données!CH5</f>
        <v>-6.5263621753910979</v>
      </c>
      <c r="CH3" s="2">
        <f>[1]Données!CI5</f>
        <v>-6.5531744725616736</v>
      </c>
      <c r="CI3" s="2">
        <f>[1]Données!CJ5</f>
        <v>-6.5793367572583588</v>
      </c>
    </row>
    <row r="5" spans="1:87" x14ac:dyDescent="0.3">
      <c r="B5" s="1">
        <v>42005</v>
      </c>
      <c r="C5" s="1">
        <v>42370</v>
      </c>
      <c r="D5" s="1">
        <v>42736</v>
      </c>
      <c r="E5" s="1">
        <v>43101</v>
      </c>
      <c r="F5" s="1">
        <v>43466</v>
      </c>
      <c r="G5" s="1">
        <v>43831</v>
      </c>
      <c r="H5" s="1">
        <v>44197</v>
      </c>
      <c r="I5" s="1">
        <v>44562</v>
      </c>
      <c r="J5" s="1">
        <v>44927</v>
      </c>
      <c r="K5" s="1">
        <v>45292</v>
      </c>
      <c r="L5" s="1">
        <v>45658</v>
      </c>
      <c r="M5" s="1">
        <v>46023</v>
      </c>
      <c r="N5" s="1">
        <v>46388</v>
      </c>
      <c r="O5" s="1">
        <v>46753</v>
      </c>
      <c r="P5" s="1">
        <v>47119</v>
      </c>
      <c r="Q5" s="1">
        <v>47484</v>
      </c>
      <c r="R5" s="1">
        <v>47849</v>
      </c>
      <c r="S5" s="1">
        <v>48214</v>
      </c>
      <c r="T5" s="1">
        <v>48580</v>
      </c>
      <c r="U5" s="1">
        <v>48945</v>
      </c>
      <c r="V5" s="1">
        <v>49310</v>
      </c>
      <c r="W5" s="1">
        <v>49675</v>
      </c>
      <c r="X5" s="1">
        <v>50041</v>
      </c>
      <c r="Y5" s="1">
        <v>50406</v>
      </c>
      <c r="Z5" s="1">
        <v>50771</v>
      </c>
      <c r="AA5" s="1">
        <v>51136</v>
      </c>
      <c r="AB5" s="1">
        <v>51502</v>
      </c>
      <c r="AC5" s="1">
        <v>51867</v>
      </c>
      <c r="AD5" s="1">
        <v>52232</v>
      </c>
      <c r="AE5" s="1">
        <v>52597</v>
      </c>
      <c r="AF5" s="1">
        <v>52963</v>
      </c>
      <c r="AG5" s="1">
        <v>53328</v>
      </c>
      <c r="AH5" s="1">
        <v>53693</v>
      </c>
      <c r="AI5" s="1">
        <v>54058</v>
      </c>
      <c r="AJ5" s="1">
        <v>54424</v>
      </c>
      <c r="AK5" s="1">
        <v>54789</v>
      </c>
      <c r="AL5" s="1">
        <v>55154</v>
      </c>
      <c r="AM5" s="1">
        <v>55519</v>
      </c>
      <c r="AN5" s="1">
        <v>55885</v>
      </c>
      <c r="AO5" s="1">
        <v>56250</v>
      </c>
      <c r="AP5" s="1">
        <v>56615</v>
      </c>
      <c r="AQ5" s="1">
        <v>56980</v>
      </c>
      <c r="AR5" s="1">
        <v>57346</v>
      </c>
      <c r="AS5" s="1">
        <v>57711</v>
      </c>
      <c r="AT5" s="1">
        <v>58076</v>
      </c>
      <c r="AU5" s="1">
        <v>58441</v>
      </c>
      <c r="AV5" s="1">
        <v>58807</v>
      </c>
      <c r="AW5" s="1">
        <v>59172</v>
      </c>
      <c r="AX5" s="1">
        <v>59537</v>
      </c>
      <c r="AY5" s="1">
        <v>59902</v>
      </c>
      <c r="AZ5" s="1">
        <v>60268</v>
      </c>
      <c r="BA5" s="1">
        <v>60633</v>
      </c>
      <c r="BB5" s="1">
        <v>60998</v>
      </c>
      <c r="BC5" s="1">
        <v>61363</v>
      </c>
      <c r="BD5" s="1">
        <v>61729</v>
      </c>
      <c r="BE5" s="1">
        <v>62094</v>
      </c>
      <c r="BF5" s="1">
        <v>62459</v>
      </c>
      <c r="BG5" s="1">
        <v>62824</v>
      </c>
      <c r="BH5" s="1">
        <v>63190</v>
      </c>
      <c r="BI5" s="1">
        <v>63555</v>
      </c>
      <c r="BJ5" s="1">
        <v>63920</v>
      </c>
      <c r="BK5" s="1">
        <v>64285</v>
      </c>
      <c r="BL5" s="1">
        <v>64651</v>
      </c>
      <c r="BM5" s="1">
        <v>65016</v>
      </c>
      <c r="BN5" s="1">
        <v>65381</v>
      </c>
      <c r="BO5" s="1">
        <v>65746</v>
      </c>
      <c r="BP5" s="1">
        <v>66112</v>
      </c>
      <c r="BQ5" s="1">
        <v>66477</v>
      </c>
      <c r="BR5" s="1">
        <v>66842</v>
      </c>
      <c r="BS5" s="1">
        <v>67207</v>
      </c>
      <c r="BT5" s="1">
        <v>67573</v>
      </c>
      <c r="BU5" s="1">
        <v>67938</v>
      </c>
      <c r="BV5" s="1">
        <v>68303</v>
      </c>
      <c r="BW5" s="1">
        <v>68668</v>
      </c>
      <c r="BX5" s="1">
        <v>69034</v>
      </c>
      <c r="BY5" s="1">
        <v>69399</v>
      </c>
      <c r="BZ5" s="1">
        <v>69764</v>
      </c>
      <c r="CA5" s="1">
        <v>70129</v>
      </c>
      <c r="CB5" s="1">
        <v>70495</v>
      </c>
      <c r="CC5" s="1">
        <v>70860</v>
      </c>
      <c r="CD5" s="1">
        <v>71225</v>
      </c>
      <c r="CE5" s="1">
        <v>71590</v>
      </c>
      <c r="CF5" s="1">
        <v>71956</v>
      </c>
      <c r="CG5" s="1">
        <v>72321</v>
      </c>
      <c r="CH5" s="1">
        <v>72686</v>
      </c>
      <c r="CI5" s="1">
        <v>73051</v>
      </c>
    </row>
    <row r="6" spans="1:87" x14ac:dyDescent="0.3">
      <c r="A6" t="s">
        <v>1</v>
      </c>
      <c r="B6" s="2">
        <f>B2</f>
        <v>0</v>
      </c>
      <c r="C6" s="2">
        <f t="shared" ref="C6:BN6" si="0">C2</f>
        <v>0</v>
      </c>
      <c r="D6" s="2">
        <f t="shared" si="0"/>
        <v>0</v>
      </c>
      <c r="E6" s="2">
        <f t="shared" si="0"/>
        <v>0</v>
      </c>
      <c r="F6" s="2">
        <f t="shared" si="0"/>
        <v>0</v>
      </c>
      <c r="G6" s="2">
        <f t="shared" si="0"/>
        <v>0</v>
      </c>
      <c r="H6" s="2">
        <f t="shared" si="0"/>
        <v>0</v>
      </c>
      <c r="I6" s="2">
        <f t="shared" si="0"/>
        <v>-8.2570057391762042E-2</v>
      </c>
      <c r="J6" s="2">
        <f t="shared" si="0"/>
        <v>-0.21338835760309482</v>
      </c>
      <c r="K6" s="2">
        <f t="shared" si="0"/>
        <v>-0.39081988898773679</v>
      </c>
      <c r="L6" s="2">
        <f t="shared" si="0"/>
        <v>-0.59683840620929907</v>
      </c>
      <c r="M6" s="2">
        <f t="shared" si="0"/>
        <v>-0.81601507905502135</v>
      </c>
      <c r="N6" s="2">
        <f t="shared" si="0"/>
        <v>-1.021644343563699</v>
      </c>
      <c r="O6" s="2">
        <f t="shared" si="0"/>
        <v>-1.2027012008759219</v>
      </c>
      <c r="P6" s="2">
        <f t="shared" si="0"/>
        <v>-1.3492451623409618</v>
      </c>
      <c r="Q6" s="2">
        <f t="shared" si="0"/>
        <v>-1.4565266856650716</v>
      </c>
      <c r="R6" s="2">
        <f t="shared" si="0"/>
        <v>-1.5490159288063743</v>
      </c>
      <c r="S6" s="2">
        <f t="shared" si="0"/>
        <v>-1.5916749315270984</v>
      </c>
      <c r="T6" s="2">
        <f t="shared" si="0"/>
        <v>-1.5999089847043901</v>
      </c>
      <c r="U6" s="2">
        <f t="shared" si="0"/>
        <v>-1.5881941837013969</v>
      </c>
      <c r="V6" s="2">
        <f t="shared" si="0"/>
        <v>-1.5655967208889177</v>
      </c>
      <c r="W6" s="2">
        <f t="shared" si="0"/>
        <v>-1.5586846599906057</v>
      </c>
      <c r="X6" s="2">
        <f t="shared" si="0"/>
        <v>-1.5472438090482377</v>
      </c>
      <c r="Y6" s="2">
        <f t="shared" si="0"/>
        <v>-1.5302140505298212</v>
      </c>
      <c r="Z6" s="2">
        <f t="shared" si="0"/>
        <v>-1.5064439639732474</v>
      </c>
      <c r="AA6" s="2">
        <f t="shared" si="0"/>
        <v>-1.4749888381082599</v>
      </c>
      <c r="AB6" s="2">
        <f t="shared" si="0"/>
        <v>-1.4571786519016694</v>
      </c>
      <c r="AC6" s="2">
        <f t="shared" si="0"/>
        <v>-1.4312146976609763</v>
      </c>
      <c r="AD6" s="2">
        <f t="shared" si="0"/>
        <v>-1.3978275626726266</v>
      </c>
      <c r="AE6" s="2">
        <f t="shared" si="0"/>
        <v>-1.3587504540436779</v>
      </c>
      <c r="AF6" s="2">
        <f t="shared" si="0"/>
        <v>-1.3154393232594708</v>
      </c>
      <c r="AG6" s="2">
        <f t="shared" si="0"/>
        <v>-1.2922665125678634</v>
      </c>
      <c r="AH6" s="2">
        <f t="shared" si="0"/>
        <v>-1.2679111909157603</v>
      </c>
      <c r="AI6" s="2">
        <f t="shared" si="0"/>
        <v>-1.2434188557406078</v>
      </c>
      <c r="AJ6" s="2">
        <f t="shared" si="0"/>
        <v>-1.2217784739536275</v>
      </c>
      <c r="AK6" s="2">
        <f t="shared" si="0"/>
        <v>-1.2094156700070857</v>
      </c>
      <c r="AL6" s="2">
        <f t="shared" si="0"/>
        <v>-1.2305857769585149</v>
      </c>
      <c r="AM6" s="2">
        <f t="shared" si="0"/>
        <v>-1.2536161899830756</v>
      </c>
      <c r="AN6" s="2">
        <f t="shared" si="0"/>
        <v>-1.2746695671363217</v>
      </c>
      <c r="AO6" s="2">
        <f t="shared" si="0"/>
        <v>-1.2914629150219792</v>
      </c>
      <c r="AP6" s="2">
        <f t="shared" si="0"/>
        <v>-1.3030167844177876</v>
      </c>
      <c r="AQ6" s="2">
        <f t="shared" si="0"/>
        <v>-1.3095127330916667</v>
      </c>
      <c r="AR6" s="2">
        <f t="shared" si="0"/>
        <v>-1.3106507803896328</v>
      </c>
      <c r="AS6" s="2">
        <f t="shared" si="0"/>
        <v>-1.3071908036014213</v>
      </c>
      <c r="AT6" s="2">
        <f t="shared" si="0"/>
        <v>-1.3000727254234068</v>
      </c>
      <c r="AU6" s="2">
        <f t="shared" si="0"/>
        <v>-1.2902608557570416</v>
      </c>
      <c r="AV6" s="2">
        <f t="shared" si="0"/>
        <v>-1.2789766451751894</v>
      </c>
      <c r="AW6" s="2">
        <f t="shared" si="0"/>
        <v>-1.2665032616958727</v>
      </c>
      <c r="AX6" s="2">
        <f t="shared" si="0"/>
        <v>-1.2533463832295477</v>
      </c>
      <c r="AY6" s="2">
        <f t="shared" si="0"/>
        <v>-1.239857444434922</v>
      </c>
      <c r="AZ6" s="2">
        <f t="shared" si="0"/>
        <v>-1.2262658509793356</v>
      </c>
      <c r="BA6" s="2">
        <f t="shared" si="0"/>
        <v>-1.2225135347008642</v>
      </c>
      <c r="BB6" s="2">
        <f t="shared" si="0"/>
        <v>-1.2114613335996727</v>
      </c>
      <c r="BC6" s="2">
        <f t="shared" si="0"/>
        <v>-1.1967135727076972</v>
      </c>
      <c r="BD6" s="2">
        <f t="shared" si="0"/>
        <v>-1.1808624654202959</v>
      </c>
      <c r="BE6" s="2">
        <f t="shared" si="0"/>
        <v>-1.165362710991702</v>
      </c>
      <c r="BF6" s="2">
        <f t="shared" si="0"/>
        <v>-1.1518173602783177</v>
      </c>
      <c r="BG6" s="2">
        <f t="shared" si="0"/>
        <v>-1.1387701420468965</v>
      </c>
      <c r="BH6" s="2">
        <f t="shared" si="0"/>
        <v>-1.126137120211268</v>
      </c>
      <c r="BI6" s="2">
        <f t="shared" si="0"/>
        <v>-1.1137589162455996</v>
      </c>
      <c r="BJ6" s="2">
        <f t="shared" si="0"/>
        <v>-1.1015274200528169</v>
      </c>
      <c r="BK6" s="2">
        <f t="shared" si="0"/>
        <v>-1.0893917663554298</v>
      </c>
      <c r="BL6" s="2">
        <f t="shared" si="0"/>
        <v>-1.0774096472528027</v>
      </c>
      <c r="BM6" s="2">
        <f t="shared" si="0"/>
        <v>-1.0656487554816296</v>
      </c>
      <c r="BN6" s="2">
        <f t="shared" si="0"/>
        <v>-1.0541833702330083</v>
      </c>
      <c r="BO6" s="2">
        <f t="shared" ref="BO6:CI6" si="1">BO2</f>
        <v>-1.0430738755354607</v>
      </c>
      <c r="BP6" s="2">
        <f t="shared" si="1"/>
        <v>-1.0334012452635544</v>
      </c>
      <c r="BQ6" s="2">
        <f t="shared" si="1"/>
        <v>-1.0237704884281218</v>
      </c>
      <c r="BR6" s="2">
        <f t="shared" si="1"/>
        <v>-1.0142809961707466</v>
      </c>
      <c r="BS6" s="2">
        <f t="shared" si="1"/>
        <v>-1.0049663456938918</v>
      </c>
      <c r="BT6" s="2">
        <f t="shared" si="1"/>
        <v>-0.99582410138888688</v>
      </c>
      <c r="BU6" s="2">
        <f t="shared" si="1"/>
        <v>-0.98686499417993678</v>
      </c>
      <c r="BV6" s="2">
        <f t="shared" si="1"/>
        <v>-0.97802636516018948</v>
      </c>
      <c r="BW6" s="2">
        <f t="shared" si="1"/>
        <v>-0.96928040117759684</v>
      </c>
      <c r="BX6" s="2">
        <f t="shared" si="1"/>
        <v>-0.96060008931205809</v>
      </c>
      <c r="BY6" s="2">
        <f t="shared" si="1"/>
        <v>-0.95196067445528776</v>
      </c>
      <c r="BZ6" s="2">
        <f t="shared" si="1"/>
        <v>-0.94420985573711036</v>
      </c>
      <c r="CA6" s="2">
        <f t="shared" si="1"/>
        <v>-0.93616980121628002</v>
      </c>
      <c r="CB6" s="2">
        <f t="shared" si="1"/>
        <v>-0.92790896895041941</v>
      </c>
      <c r="CC6" s="2">
        <f t="shared" si="1"/>
        <v>-0.91945087437653727</v>
      </c>
      <c r="CD6" s="2">
        <f t="shared" si="1"/>
        <v>-0.91079779064868749</v>
      </c>
      <c r="CE6" s="2">
        <f t="shared" si="1"/>
        <v>-0.90203768341269308</v>
      </c>
      <c r="CF6" s="2">
        <f t="shared" si="1"/>
        <v>-0.89306236791467652</v>
      </c>
      <c r="CG6" s="2">
        <f t="shared" si="1"/>
        <v>-0.88386847005845759</v>
      </c>
      <c r="CH6" s="2">
        <f t="shared" si="1"/>
        <v>-0.87444889324749253</v>
      </c>
      <c r="CI6" s="2">
        <f t="shared" si="1"/>
        <v>-0.86479592251866855</v>
      </c>
    </row>
    <row r="7" spans="1:87" x14ac:dyDescent="0.3">
      <c r="A7" t="s">
        <v>2</v>
      </c>
      <c r="B7" s="2">
        <f>B3-B2</f>
        <v>0</v>
      </c>
      <c r="C7" s="2">
        <f t="shared" ref="C7:BN7" si="2">C3-C2</f>
        <v>9.3052311245234165E-4</v>
      </c>
      <c r="D7" s="2">
        <f t="shared" si="2"/>
        <v>1.9761493193604096E-3</v>
      </c>
      <c r="E7" s="2">
        <f t="shared" si="2"/>
        <v>3.1012489866366622E-3</v>
      </c>
      <c r="F7" s="2">
        <f t="shared" si="2"/>
        <v>4.27214195894976E-3</v>
      </c>
      <c r="G7" s="2">
        <f t="shared" si="2"/>
        <v>5.4575734054651548E-3</v>
      </c>
      <c r="H7" s="2">
        <f t="shared" si="2"/>
        <v>1.342940026942685E-2</v>
      </c>
      <c r="I7" s="2">
        <f t="shared" si="2"/>
        <v>2.1800278867167844E-2</v>
      </c>
      <c r="J7" s="2">
        <f t="shared" si="2"/>
        <v>3.0643042960565303E-2</v>
      </c>
      <c r="K7" s="2">
        <f t="shared" si="2"/>
        <v>3.9867799140935745E-2</v>
      </c>
      <c r="L7" s="2">
        <f t="shared" si="2"/>
        <v>4.927991799202891E-2</v>
      </c>
      <c r="M7" s="2">
        <f t="shared" si="2"/>
        <v>3.3078741435887959E-2</v>
      </c>
      <c r="N7" s="2">
        <f t="shared" si="2"/>
        <v>1.3541486872958863E-2</v>
      </c>
      <c r="O7" s="2">
        <f t="shared" si="2"/>
        <v>-8.603748186364335E-3</v>
      </c>
      <c r="P7" s="2">
        <f t="shared" si="2"/>
        <v>-3.2344040886334025E-2</v>
      </c>
      <c r="Q7" s="2">
        <f t="shared" si="2"/>
        <v>-5.6938595615185772E-2</v>
      </c>
      <c r="R7" s="2">
        <f t="shared" si="2"/>
        <v>-0.11825416143416145</v>
      </c>
      <c r="S7" s="2">
        <f t="shared" si="2"/>
        <v>-0.18488125626501262</v>
      </c>
      <c r="T7" s="2">
        <f t="shared" si="2"/>
        <v>-0.25544465691681451</v>
      </c>
      <c r="U7" s="2">
        <f t="shared" si="2"/>
        <v>-0.32816563031391466</v>
      </c>
      <c r="V7" s="2">
        <f t="shared" si="2"/>
        <v>-0.40164518448964071</v>
      </c>
      <c r="W7" s="2">
        <f t="shared" si="2"/>
        <v>-0.50013281784996311</v>
      </c>
      <c r="X7" s="2">
        <f t="shared" si="2"/>
        <v>-0.60202097305039892</v>
      </c>
      <c r="Y7" s="2">
        <f t="shared" si="2"/>
        <v>-0.70621634110639153</v>
      </c>
      <c r="Z7" s="2">
        <f t="shared" si="2"/>
        <v>-0.8114569066683619</v>
      </c>
      <c r="AA7" s="2">
        <f t="shared" si="2"/>
        <v>-0.91680262391298228</v>
      </c>
      <c r="AB7" s="2">
        <f t="shared" si="2"/>
        <v>-1.0287207845078084</v>
      </c>
      <c r="AC7" s="2">
        <f t="shared" si="2"/>
        <v>-1.1410632626922657</v>
      </c>
      <c r="AD7" s="2">
        <f t="shared" si="2"/>
        <v>-1.2534242591575429</v>
      </c>
      <c r="AE7" s="2">
        <f t="shared" si="2"/>
        <v>-1.3653879929995449</v>
      </c>
      <c r="AF7" s="2">
        <f t="shared" si="2"/>
        <v>-1.4766735544567644</v>
      </c>
      <c r="AG7" s="2">
        <f t="shared" si="2"/>
        <v>-1.5920022420327862</v>
      </c>
      <c r="AH7" s="2">
        <f t="shared" si="2"/>
        <v>-1.7072625328382607</v>
      </c>
      <c r="AI7" s="2">
        <f t="shared" si="2"/>
        <v>-1.8222487171343005</v>
      </c>
      <c r="AJ7" s="2">
        <f t="shared" si="2"/>
        <v>-1.9366840799197593</v>
      </c>
      <c r="AK7" s="2">
        <f t="shared" si="2"/>
        <v>-2.0502812545724169</v>
      </c>
      <c r="AL7" s="2">
        <f t="shared" si="2"/>
        <v>-2.1611005026786367</v>
      </c>
      <c r="AM7" s="2">
        <f t="shared" si="2"/>
        <v>-2.2706743774339899</v>
      </c>
      <c r="AN7" s="2">
        <f t="shared" si="2"/>
        <v>-2.3791634090794767</v>
      </c>
      <c r="AO7" s="2">
        <f t="shared" si="2"/>
        <v>-2.486751668872822</v>
      </c>
      <c r="AP7" s="2">
        <f t="shared" si="2"/>
        <v>-2.5935840776729835</v>
      </c>
      <c r="AQ7" s="2">
        <f t="shared" si="2"/>
        <v>-2.6995006089653661</v>
      </c>
      <c r="AR7" s="2">
        <f t="shared" si="2"/>
        <v>-2.8047269858977542</v>
      </c>
      <c r="AS7" s="2">
        <f t="shared" si="2"/>
        <v>-2.9092932969585812</v>
      </c>
      <c r="AT7" s="2">
        <f t="shared" si="2"/>
        <v>-3.0132098463354513</v>
      </c>
      <c r="AU7" s="2">
        <f t="shared" si="2"/>
        <v>-3.1164767760564538</v>
      </c>
      <c r="AV7" s="2">
        <f t="shared" si="2"/>
        <v>-3.2138762008894202</v>
      </c>
      <c r="AW7" s="2">
        <f t="shared" si="2"/>
        <v>-3.3095217380475384</v>
      </c>
      <c r="AX7" s="2">
        <f t="shared" si="2"/>
        <v>-3.4036274968648255</v>
      </c>
      <c r="AY7" s="2">
        <f t="shared" si="2"/>
        <v>-3.4964826754300566</v>
      </c>
      <c r="AZ7" s="2">
        <f t="shared" si="2"/>
        <v>-3.5883146424084407</v>
      </c>
      <c r="BA7" s="2">
        <f t="shared" si="2"/>
        <v>-3.6754577974013491</v>
      </c>
      <c r="BB7" s="2">
        <f t="shared" si="2"/>
        <v>-3.7605158039021531</v>
      </c>
      <c r="BC7" s="2">
        <f t="shared" si="2"/>
        <v>-3.8444887809908508</v>
      </c>
      <c r="BD7" s="2">
        <f t="shared" si="2"/>
        <v>-3.9275537195196502</v>
      </c>
      <c r="BE7" s="2">
        <f t="shared" si="2"/>
        <v>-4.0097566858217197</v>
      </c>
      <c r="BF7" s="2">
        <f t="shared" si="2"/>
        <v>-4.0899017692919921</v>
      </c>
      <c r="BG7" s="2">
        <f t="shared" si="2"/>
        <v>-4.1690081943360102</v>
      </c>
      <c r="BH7" s="2">
        <f t="shared" si="2"/>
        <v>-4.2471379598738146</v>
      </c>
      <c r="BI7" s="2">
        <f t="shared" si="2"/>
        <v>-4.3243615556597508</v>
      </c>
      <c r="BJ7" s="2">
        <f t="shared" si="2"/>
        <v>-4.4007481761572098</v>
      </c>
      <c r="BK7" s="2">
        <f t="shared" si="2"/>
        <v>-4.4748142266294755</v>
      </c>
      <c r="BL7" s="2">
        <f t="shared" si="2"/>
        <v>-4.5477962065850202</v>
      </c>
      <c r="BM7" s="2">
        <f t="shared" si="2"/>
        <v>-4.6198212765482749</v>
      </c>
      <c r="BN7" s="2">
        <f t="shared" si="2"/>
        <v>-4.6910241798980064</v>
      </c>
      <c r="BO7" s="2">
        <f t="shared" ref="BO7:CI7" si="3">BO3-BO2</f>
        <v>-4.7615003717315307</v>
      </c>
      <c r="BP7" s="2">
        <f t="shared" si="3"/>
        <v>-4.8252806564068607</v>
      </c>
      <c r="BQ7" s="2">
        <f t="shared" si="3"/>
        <v>-4.8871212576593219</v>
      </c>
      <c r="BR7" s="2">
        <f t="shared" si="3"/>
        <v>-4.9472864318471412</v>
      </c>
      <c r="BS7" s="2">
        <f t="shared" si="3"/>
        <v>-5.0060980179113646</v>
      </c>
      <c r="BT7" s="2">
        <f t="shared" si="3"/>
        <v>-5.0638075986128577</v>
      </c>
      <c r="BU7" s="2">
        <f t="shared" si="3"/>
        <v>-5.1180325246451321</v>
      </c>
      <c r="BV7" s="2">
        <f t="shared" si="3"/>
        <v>-5.1708668137868781</v>
      </c>
      <c r="BW7" s="2">
        <f t="shared" si="3"/>
        <v>-5.2225244699434459</v>
      </c>
      <c r="BX7" s="2">
        <f t="shared" si="3"/>
        <v>-5.2732296942810457</v>
      </c>
      <c r="BY7" s="2">
        <f t="shared" si="3"/>
        <v>-5.3231565195916986</v>
      </c>
      <c r="BZ7" s="2">
        <f t="shared" si="3"/>
        <v>-5.367366528034978</v>
      </c>
      <c r="CA7" s="2">
        <f t="shared" si="3"/>
        <v>-5.4099347239184183</v>
      </c>
      <c r="CB7" s="2">
        <f t="shared" si="3"/>
        <v>-5.4511391638237487</v>
      </c>
      <c r="CC7" s="2">
        <f t="shared" si="3"/>
        <v>-5.4912919082110712</v>
      </c>
      <c r="CD7" s="2">
        <f t="shared" si="3"/>
        <v>-5.5306327998514204</v>
      </c>
      <c r="CE7" s="2">
        <f t="shared" si="3"/>
        <v>-5.5685351706893709</v>
      </c>
      <c r="CF7" s="2">
        <f t="shared" si="3"/>
        <v>-5.6057895780407545</v>
      </c>
      <c r="CG7" s="2">
        <f t="shared" si="3"/>
        <v>-5.6424937053326403</v>
      </c>
      <c r="CH7" s="2">
        <f t="shared" si="3"/>
        <v>-5.6787255793141806</v>
      </c>
      <c r="CI7" s="2">
        <f t="shared" si="3"/>
        <v>-5.7145408347396902</v>
      </c>
    </row>
    <row r="8" spans="1:87" x14ac:dyDescent="0.3">
      <c r="A8" t="s">
        <v>4</v>
      </c>
      <c r="B8" s="2">
        <f>B3</f>
        <v>0</v>
      </c>
      <c r="C8" s="2">
        <f t="shared" ref="C8:BN8" si="4">C3</f>
        <v>9.3052311245234165E-4</v>
      </c>
      <c r="D8" s="2">
        <f t="shared" si="4"/>
        <v>1.9761493193604096E-3</v>
      </c>
      <c r="E8" s="2">
        <f t="shared" si="4"/>
        <v>3.1012489866366622E-3</v>
      </c>
      <c r="F8" s="2">
        <f t="shared" si="4"/>
        <v>4.27214195894976E-3</v>
      </c>
      <c r="G8" s="2">
        <f t="shared" si="4"/>
        <v>5.4575734054651548E-3</v>
      </c>
      <c r="H8" s="2">
        <f t="shared" si="4"/>
        <v>1.342940026942685E-2</v>
      </c>
      <c r="I8" s="2">
        <f t="shared" si="4"/>
        <v>-6.0769778524594198E-2</v>
      </c>
      <c r="J8" s="2">
        <f t="shared" si="4"/>
        <v>-0.18274531464252952</v>
      </c>
      <c r="K8" s="2">
        <f t="shared" si="4"/>
        <v>-0.35095208984680104</v>
      </c>
      <c r="L8" s="2">
        <f t="shared" si="4"/>
        <v>-0.54755848821727016</v>
      </c>
      <c r="M8" s="2">
        <f t="shared" si="4"/>
        <v>-0.78293633761913339</v>
      </c>
      <c r="N8" s="2">
        <f t="shared" si="4"/>
        <v>-1.0081028566907402</v>
      </c>
      <c r="O8" s="2">
        <f t="shared" si="4"/>
        <v>-1.2113049490622863</v>
      </c>
      <c r="P8" s="2">
        <f t="shared" si="4"/>
        <v>-1.3815892032272958</v>
      </c>
      <c r="Q8" s="2">
        <f t="shared" si="4"/>
        <v>-1.5134652812802574</v>
      </c>
      <c r="R8" s="2">
        <f t="shared" si="4"/>
        <v>-1.6672700902405357</v>
      </c>
      <c r="S8" s="2">
        <f t="shared" si="4"/>
        <v>-1.776556187792111</v>
      </c>
      <c r="T8" s="2">
        <f t="shared" si="4"/>
        <v>-1.8553536416212046</v>
      </c>
      <c r="U8" s="2">
        <f t="shared" si="4"/>
        <v>-1.9163598140153115</v>
      </c>
      <c r="V8" s="2">
        <f t="shared" si="4"/>
        <v>-1.9672419053785584</v>
      </c>
      <c r="W8" s="2">
        <f t="shared" si="4"/>
        <v>-2.0588174778405688</v>
      </c>
      <c r="X8" s="2">
        <f t="shared" si="4"/>
        <v>-2.1492647820986366</v>
      </c>
      <c r="Y8" s="2">
        <f t="shared" si="4"/>
        <v>-2.2364303916362127</v>
      </c>
      <c r="Z8" s="2">
        <f t="shared" si="4"/>
        <v>-2.3179008706416093</v>
      </c>
      <c r="AA8" s="2">
        <f t="shared" si="4"/>
        <v>-2.3917914620212422</v>
      </c>
      <c r="AB8" s="2">
        <f t="shared" si="4"/>
        <v>-2.4858994364094777</v>
      </c>
      <c r="AC8" s="2">
        <f t="shared" si="4"/>
        <v>-2.572277960353242</v>
      </c>
      <c r="AD8" s="2">
        <f t="shared" si="4"/>
        <v>-2.6512518218301695</v>
      </c>
      <c r="AE8" s="2">
        <f t="shared" si="4"/>
        <v>-2.7241384470432228</v>
      </c>
      <c r="AF8" s="2">
        <f t="shared" si="4"/>
        <v>-2.7921128777162352</v>
      </c>
      <c r="AG8" s="2">
        <f t="shared" si="4"/>
        <v>-2.8842687546006496</v>
      </c>
      <c r="AH8" s="2">
        <f t="shared" si="4"/>
        <v>-2.975173723754021</v>
      </c>
      <c r="AI8" s="2">
        <f t="shared" si="4"/>
        <v>-3.0656675728749083</v>
      </c>
      <c r="AJ8" s="2">
        <f t="shared" si="4"/>
        <v>-3.1584625538733868</v>
      </c>
      <c r="AK8" s="2">
        <f t="shared" si="4"/>
        <v>-3.2596969245795027</v>
      </c>
      <c r="AL8" s="2">
        <f t="shared" si="4"/>
        <v>-3.3916862796371516</v>
      </c>
      <c r="AM8" s="2">
        <f t="shared" si="4"/>
        <v>-3.5242905674170655</v>
      </c>
      <c r="AN8" s="2">
        <f t="shared" si="4"/>
        <v>-3.6538329762157984</v>
      </c>
      <c r="AO8" s="2">
        <f t="shared" si="4"/>
        <v>-3.7782145838948011</v>
      </c>
      <c r="AP8" s="2">
        <f t="shared" si="4"/>
        <v>-3.8966008620907711</v>
      </c>
      <c r="AQ8" s="2">
        <f t="shared" si="4"/>
        <v>-4.0090133420570329</v>
      </c>
      <c r="AR8" s="2">
        <f t="shared" si="4"/>
        <v>-4.1153777662873869</v>
      </c>
      <c r="AS8" s="2">
        <f t="shared" si="4"/>
        <v>-4.2164841005600024</v>
      </c>
      <c r="AT8" s="2">
        <f t="shared" si="4"/>
        <v>-4.3132825717588581</v>
      </c>
      <c r="AU8" s="2">
        <f t="shared" si="4"/>
        <v>-4.4067376318134954</v>
      </c>
      <c r="AV8" s="2">
        <f t="shared" si="4"/>
        <v>-4.4928528460646096</v>
      </c>
      <c r="AW8" s="2">
        <f t="shared" si="4"/>
        <v>-4.576024999743411</v>
      </c>
      <c r="AX8" s="2">
        <f t="shared" si="4"/>
        <v>-4.6569738800943732</v>
      </c>
      <c r="AY8" s="2">
        <f t="shared" si="4"/>
        <v>-4.7363401198649786</v>
      </c>
      <c r="AZ8" s="2">
        <f t="shared" si="4"/>
        <v>-4.8145804933877763</v>
      </c>
      <c r="BA8" s="2">
        <f t="shared" si="4"/>
        <v>-4.8979713321022134</v>
      </c>
      <c r="BB8" s="2">
        <f t="shared" si="4"/>
        <v>-4.9719771375018258</v>
      </c>
      <c r="BC8" s="2">
        <f t="shared" si="4"/>
        <v>-5.041202353698548</v>
      </c>
      <c r="BD8" s="2">
        <f t="shared" si="4"/>
        <v>-5.1084161849399461</v>
      </c>
      <c r="BE8" s="2">
        <f t="shared" si="4"/>
        <v>-5.1751193968134217</v>
      </c>
      <c r="BF8" s="2">
        <f t="shared" si="4"/>
        <v>-5.2417191295703098</v>
      </c>
      <c r="BG8" s="2">
        <f t="shared" si="4"/>
        <v>-5.3077783363829063</v>
      </c>
      <c r="BH8" s="2">
        <f t="shared" si="4"/>
        <v>-5.373275080085083</v>
      </c>
      <c r="BI8" s="2">
        <f t="shared" si="4"/>
        <v>-5.43812047190535</v>
      </c>
      <c r="BJ8" s="2">
        <f t="shared" si="4"/>
        <v>-5.5022755962100263</v>
      </c>
      <c r="BK8" s="2">
        <f t="shared" si="4"/>
        <v>-5.5642059929849053</v>
      </c>
      <c r="BL8" s="2">
        <f t="shared" si="4"/>
        <v>-5.6252058538378229</v>
      </c>
      <c r="BM8" s="2">
        <f t="shared" si="4"/>
        <v>-5.6854700320299045</v>
      </c>
      <c r="BN8" s="2">
        <f t="shared" si="4"/>
        <v>-5.7452075501310151</v>
      </c>
      <c r="BO8" s="2">
        <f t="shared" ref="BO8:CI8" si="5">BO3</f>
        <v>-5.8045742472669914</v>
      </c>
      <c r="BP8" s="2">
        <f t="shared" si="5"/>
        <v>-5.8586819016704155</v>
      </c>
      <c r="BQ8" s="2">
        <f t="shared" si="5"/>
        <v>-5.9108917460874437</v>
      </c>
      <c r="BR8" s="2">
        <f t="shared" si="5"/>
        <v>-5.9615674280178883</v>
      </c>
      <c r="BS8" s="2">
        <f t="shared" si="5"/>
        <v>-6.0110643636052563</v>
      </c>
      <c r="BT8" s="2">
        <f t="shared" si="5"/>
        <v>-6.0596317000017441</v>
      </c>
      <c r="BU8" s="2">
        <f t="shared" si="5"/>
        <v>-6.1048975188250694</v>
      </c>
      <c r="BV8" s="2">
        <f t="shared" si="5"/>
        <v>-6.148893178947068</v>
      </c>
      <c r="BW8" s="2">
        <f t="shared" si="5"/>
        <v>-6.1918048711210432</v>
      </c>
      <c r="BX8" s="2">
        <f t="shared" si="5"/>
        <v>-6.2338297835931034</v>
      </c>
      <c r="BY8" s="2">
        <f t="shared" si="5"/>
        <v>-6.2751171940469863</v>
      </c>
      <c r="BZ8" s="2">
        <f t="shared" si="5"/>
        <v>-6.3115763837720884</v>
      </c>
      <c r="CA8" s="2">
        <f t="shared" si="5"/>
        <v>-6.3461045251346988</v>
      </c>
      <c r="CB8" s="2">
        <f t="shared" si="5"/>
        <v>-6.3790481327741677</v>
      </c>
      <c r="CC8" s="2">
        <f t="shared" si="5"/>
        <v>-6.410742782587608</v>
      </c>
      <c r="CD8" s="2">
        <f t="shared" si="5"/>
        <v>-6.4414305905001079</v>
      </c>
      <c r="CE8" s="2">
        <f t="shared" si="5"/>
        <v>-6.4705728541020635</v>
      </c>
      <c r="CF8" s="2">
        <f t="shared" si="5"/>
        <v>-6.4988519459554306</v>
      </c>
      <c r="CG8" s="2">
        <f t="shared" si="5"/>
        <v>-6.5263621753910979</v>
      </c>
      <c r="CH8" s="2">
        <f t="shared" si="5"/>
        <v>-6.5531744725616736</v>
      </c>
      <c r="CI8" s="2">
        <f t="shared" si="5"/>
        <v>-6.5793367572583588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Feuil1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Jacquetin</dc:creator>
  <cp:lastModifiedBy>Florian Jacquetin</cp:lastModifiedBy>
  <dcterms:created xsi:type="dcterms:W3CDTF">2023-03-10T13:24:43Z</dcterms:created>
  <dcterms:modified xsi:type="dcterms:W3CDTF">2023-04-09T21:00:35Z</dcterms:modified>
</cp:coreProperties>
</file>