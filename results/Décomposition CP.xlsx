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lori\Documents\Github\ThreeME_V3-ADEME\results\"/>
    </mc:Choice>
  </mc:AlternateContent>
  <xr:revisionPtr revIDLastSave="0" documentId="13_ncr:1_{E4B9CA82-ADEA-4966-9542-A8629AEE2986}" xr6:coauthVersionLast="47" xr6:coauthVersionMax="47" xr10:uidLastSave="{00000000-0000-0000-0000-000000000000}"/>
  <bookViews>
    <workbookView xWindow="-108" yWindow="-108" windowWidth="23256" windowHeight="12456" activeTab="1" xr2:uid="{64203D87-38B7-4BDD-A33D-820F861F4EFC}"/>
  </bookViews>
  <sheets>
    <sheet name="Feuil1" sheetId="1" r:id="rId1"/>
    <sheet name="Graphique1" sheetId="2" r:id="rId2"/>
  </sheets>
  <externalReferences>
    <externalReference r:id="rId3"/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I1" i="1" l="1"/>
  <c r="CH1" i="1"/>
  <c r="CG1" i="1"/>
  <c r="CF1" i="1"/>
  <c r="CE1" i="1"/>
  <c r="CD1" i="1"/>
  <c r="CC1" i="1"/>
  <c r="CB1" i="1"/>
  <c r="CA1" i="1"/>
  <c r="BZ1" i="1"/>
  <c r="BY1" i="1"/>
  <c r="BX1" i="1"/>
  <c r="BW1" i="1"/>
  <c r="BV1" i="1"/>
  <c r="BU1" i="1"/>
  <c r="BT1" i="1"/>
  <c r="BS1" i="1"/>
  <c r="BR1" i="1"/>
  <c r="BQ1" i="1"/>
  <c r="BP1" i="1"/>
  <c r="BO1" i="1"/>
  <c r="BN1" i="1"/>
  <c r="BM1" i="1"/>
  <c r="BL1" i="1"/>
  <c r="BK1" i="1"/>
  <c r="BJ1" i="1"/>
  <c r="BI1" i="1"/>
  <c r="BH1" i="1"/>
  <c r="BG1" i="1"/>
  <c r="BF1" i="1"/>
  <c r="BE1" i="1"/>
  <c r="BD1" i="1"/>
  <c r="BC1" i="1"/>
  <c r="BB1" i="1"/>
  <c r="BA1" i="1"/>
  <c r="AZ1" i="1"/>
  <c r="AY1" i="1"/>
  <c r="AX1" i="1"/>
  <c r="AW1" i="1"/>
  <c r="AV1" i="1"/>
  <c r="AU1" i="1"/>
  <c r="AT1" i="1"/>
  <c r="AS1" i="1"/>
  <c r="AR1" i="1"/>
  <c r="AQ1" i="1"/>
  <c r="AP1" i="1"/>
  <c r="AO1" i="1"/>
  <c r="AN1" i="1"/>
  <c r="AM1" i="1"/>
  <c r="AL1" i="1"/>
  <c r="AK1" i="1"/>
  <c r="AJ1" i="1"/>
  <c r="AI1" i="1"/>
  <c r="AH1" i="1"/>
  <c r="AG1" i="1"/>
  <c r="AF1" i="1"/>
  <c r="AE1" i="1"/>
  <c r="AD1" i="1"/>
  <c r="AC1" i="1"/>
  <c r="AB1" i="1"/>
  <c r="AA1" i="1"/>
  <c r="Z1" i="1"/>
  <c r="Y1" i="1"/>
  <c r="X1" i="1"/>
  <c r="W1" i="1"/>
  <c r="V1" i="1"/>
  <c r="U1" i="1"/>
  <c r="T1" i="1"/>
  <c r="S1" i="1"/>
  <c r="R1" i="1"/>
  <c r="Q1" i="1"/>
  <c r="P1" i="1"/>
  <c r="O1" i="1"/>
  <c r="N1" i="1"/>
  <c r="M1" i="1"/>
  <c r="L1" i="1"/>
  <c r="K1" i="1"/>
  <c r="J1" i="1"/>
  <c r="I1" i="1"/>
  <c r="H1" i="1"/>
  <c r="G1" i="1"/>
  <c r="F1" i="1"/>
  <c r="E1" i="1"/>
  <c r="D1" i="1"/>
  <c r="C1" i="1"/>
  <c r="B1" i="1"/>
  <c r="CI2" i="1"/>
  <c r="CI6" i="1" s="1"/>
  <c r="CH2" i="1"/>
  <c r="CH6" i="1" s="1"/>
  <c r="CG2" i="1"/>
  <c r="CG6" i="1" s="1"/>
  <c r="CF2" i="1"/>
  <c r="CE2" i="1"/>
  <c r="CE6" i="1" s="1"/>
  <c r="CD2" i="1"/>
  <c r="CC2" i="1"/>
  <c r="CC6" i="1" s="1"/>
  <c r="CB2" i="1"/>
  <c r="CA2" i="1"/>
  <c r="BZ2" i="1"/>
  <c r="BZ6" i="1" s="1"/>
  <c r="BY2" i="1"/>
  <c r="BY6" i="1" s="1"/>
  <c r="BX2" i="1"/>
  <c r="BX6" i="1" s="1"/>
  <c r="BW2" i="1"/>
  <c r="BW6" i="1" s="1"/>
  <c r="BV2" i="1"/>
  <c r="BU2" i="1"/>
  <c r="BT2" i="1"/>
  <c r="BS2" i="1"/>
  <c r="BS6" i="1" s="1"/>
  <c r="BR2" i="1"/>
  <c r="BR6" i="1" s="1"/>
  <c r="BQ2" i="1"/>
  <c r="BQ6" i="1" s="1"/>
  <c r="BP2" i="1"/>
  <c r="BO2" i="1"/>
  <c r="BO6" i="1" s="1"/>
  <c r="BN2" i="1"/>
  <c r="BM2" i="1"/>
  <c r="BM6" i="1" s="1"/>
  <c r="BL2" i="1"/>
  <c r="BK2" i="1"/>
  <c r="BK6" i="1" s="1"/>
  <c r="BJ2" i="1"/>
  <c r="BJ6" i="1" s="1"/>
  <c r="BI2" i="1"/>
  <c r="BI6" i="1" s="1"/>
  <c r="BH2" i="1"/>
  <c r="BH6" i="1" s="1"/>
  <c r="BG2" i="1"/>
  <c r="BG6" i="1" s="1"/>
  <c r="BF2" i="1"/>
  <c r="BE2" i="1"/>
  <c r="BE6" i="1" s="1"/>
  <c r="BD2" i="1"/>
  <c r="BC2" i="1"/>
  <c r="BC6" i="1" s="1"/>
  <c r="BB2" i="1"/>
  <c r="BB6" i="1" s="1"/>
  <c r="BA2" i="1"/>
  <c r="BA6" i="1" s="1"/>
  <c r="AZ2" i="1"/>
  <c r="AY2" i="1"/>
  <c r="AY6" i="1" s="1"/>
  <c r="AX2" i="1"/>
  <c r="AW2" i="1"/>
  <c r="AW6" i="1" s="1"/>
  <c r="AV2" i="1"/>
  <c r="AU2" i="1"/>
  <c r="AT2" i="1"/>
  <c r="AT6" i="1" s="1"/>
  <c r="AS2" i="1"/>
  <c r="AS6" i="1" s="1"/>
  <c r="AR2" i="1"/>
  <c r="AR6" i="1" s="1"/>
  <c r="AQ2" i="1"/>
  <c r="AQ6" i="1" s="1"/>
  <c r="AP2" i="1"/>
  <c r="AO2" i="1"/>
  <c r="AO6" i="1" s="1"/>
  <c r="AN2" i="1"/>
  <c r="AM2" i="1"/>
  <c r="AM6" i="1" s="1"/>
  <c r="AL2" i="1"/>
  <c r="AL6" i="1" s="1"/>
  <c r="AK2" i="1"/>
  <c r="AK6" i="1" s="1"/>
  <c r="AJ2" i="1"/>
  <c r="AI2" i="1"/>
  <c r="AI6" i="1" s="1"/>
  <c r="AH2" i="1"/>
  <c r="AG2" i="1"/>
  <c r="AG6" i="1" s="1"/>
  <c r="AF2" i="1"/>
  <c r="AE2" i="1"/>
  <c r="AE6" i="1" s="1"/>
  <c r="AD2" i="1"/>
  <c r="AD6" i="1" s="1"/>
  <c r="AC2" i="1"/>
  <c r="AC6" i="1" s="1"/>
  <c r="AB2" i="1"/>
  <c r="AA2" i="1"/>
  <c r="AA6" i="1" s="1"/>
  <c r="Z2" i="1"/>
  <c r="Y2" i="1"/>
  <c r="Y6" i="1" s="1"/>
  <c r="X2" i="1"/>
  <c r="W2" i="1"/>
  <c r="W6" i="1" s="1"/>
  <c r="V2" i="1"/>
  <c r="V6" i="1" s="1"/>
  <c r="U2" i="1"/>
  <c r="U6" i="1" s="1"/>
  <c r="T2" i="1"/>
  <c r="T6" i="1" s="1"/>
  <c r="S2" i="1"/>
  <c r="S6" i="1" s="1"/>
  <c r="R2" i="1"/>
  <c r="Q2" i="1"/>
  <c r="P2" i="1"/>
  <c r="O2" i="1"/>
  <c r="O6" i="1" s="1"/>
  <c r="N2" i="1"/>
  <c r="N6" i="1" s="1"/>
  <c r="M2" i="1"/>
  <c r="M6" i="1" s="1"/>
  <c r="L2" i="1"/>
  <c r="K2" i="1"/>
  <c r="K6" i="1" s="1"/>
  <c r="J2" i="1"/>
  <c r="I2" i="1"/>
  <c r="I6" i="1" s="1"/>
  <c r="H2" i="1"/>
  <c r="G2" i="1"/>
  <c r="G6" i="1" s="1"/>
  <c r="F2" i="1"/>
  <c r="F6" i="1" s="1"/>
  <c r="E2" i="1"/>
  <c r="E6" i="1" s="1"/>
  <c r="D2" i="1"/>
  <c r="D6" i="1" s="1"/>
  <c r="C2" i="1"/>
  <c r="C6" i="1" s="1"/>
  <c r="B2" i="1"/>
  <c r="J6" i="1"/>
  <c r="L6" i="1"/>
  <c r="Q6" i="1"/>
  <c r="R6" i="1"/>
  <c r="Z6" i="1"/>
  <c r="AB6" i="1"/>
  <c r="AH6" i="1"/>
  <c r="AJ6" i="1"/>
  <c r="AP6" i="1"/>
  <c r="AU6" i="1"/>
  <c r="AX6" i="1"/>
  <c r="AZ6" i="1"/>
  <c r="BF6" i="1"/>
  <c r="BN6" i="1"/>
  <c r="BP6" i="1"/>
  <c r="BU6" i="1"/>
  <c r="BV6" i="1"/>
  <c r="CA6" i="1"/>
  <c r="CD6" i="1"/>
  <c r="CF6" i="1"/>
  <c r="B6" i="1"/>
  <c r="CI3" i="1"/>
  <c r="CI8" i="1" s="1"/>
  <c r="CH3" i="1"/>
  <c r="CH8" i="1" s="1"/>
  <c r="CG3" i="1"/>
  <c r="CG8" i="1" s="1"/>
  <c r="CF3" i="1"/>
  <c r="CF8" i="1" s="1"/>
  <c r="CE3" i="1"/>
  <c r="CE7" i="1" s="1"/>
  <c r="CD3" i="1"/>
  <c r="CC3" i="1"/>
  <c r="CC8" i="1" s="1"/>
  <c r="CB3" i="1"/>
  <c r="CB8" i="1" s="1"/>
  <c r="CA3" i="1"/>
  <c r="CA7" i="1" s="1"/>
  <c r="BZ3" i="1"/>
  <c r="BY3" i="1"/>
  <c r="BY8" i="1" s="1"/>
  <c r="BX3" i="1"/>
  <c r="BW3" i="1"/>
  <c r="BW8" i="1" s="1"/>
  <c r="BV3" i="1"/>
  <c r="BU3" i="1"/>
  <c r="BT3" i="1"/>
  <c r="BT8" i="1" s="1"/>
  <c r="BS3" i="1"/>
  <c r="BS8" i="1" s="1"/>
  <c r="BR3" i="1"/>
  <c r="BQ3" i="1"/>
  <c r="BQ8" i="1" s="1"/>
  <c r="BP3" i="1"/>
  <c r="BP7" i="1" s="1"/>
  <c r="BO3" i="1"/>
  <c r="BN3" i="1"/>
  <c r="BM3" i="1"/>
  <c r="BM8" i="1" s="1"/>
  <c r="BL3" i="1"/>
  <c r="BL8" i="1" s="1"/>
  <c r="BK3" i="1"/>
  <c r="BK8" i="1" s="1"/>
  <c r="BJ3" i="1"/>
  <c r="BJ8" i="1" s="1"/>
  <c r="BI3" i="1"/>
  <c r="BI8" i="1" s="1"/>
  <c r="BH3" i="1"/>
  <c r="BH8" i="1" s="1"/>
  <c r="BG3" i="1"/>
  <c r="BG7" i="1" s="1"/>
  <c r="BF3" i="1"/>
  <c r="BE3" i="1"/>
  <c r="BE8" i="1" s="1"/>
  <c r="BD3" i="1"/>
  <c r="BD8" i="1" s="1"/>
  <c r="BC3" i="1"/>
  <c r="BC7" i="1" s="1"/>
  <c r="BB3" i="1"/>
  <c r="BA3" i="1"/>
  <c r="BA8" i="1" s="1"/>
  <c r="AZ3" i="1"/>
  <c r="AY3" i="1"/>
  <c r="AY8" i="1" s="1"/>
  <c r="AX3" i="1"/>
  <c r="AW3" i="1"/>
  <c r="AW8" i="1" s="1"/>
  <c r="AV3" i="1"/>
  <c r="AV8" i="1" s="1"/>
  <c r="AU3" i="1"/>
  <c r="AT3" i="1"/>
  <c r="AT8" i="1" s="1"/>
  <c r="AS3" i="1"/>
  <c r="AS8" i="1" s="1"/>
  <c r="AR3" i="1"/>
  <c r="AR8" i="1" s="1"/>
  <c r="AQ3" i="1"/>
  <c r="AQ7" i="1" s="1"/>
  <c r="AP3" i="1"/>
  <c r="AO3" i="1"/>
  <c r="AN3" i="1"/>
  <c r="AN8" i="1" s="1"/>
  <c r="AM3" i="1"/>
  <c r="AM8" i="1" s="1"/>
  <c r="AL3" i="1"/>
  <c r="AL8" i="1" s="1"/>
  <c r="AK3" i="1"/>
  <c r="AK8" i="1" s="1"/>
  <c r="AJ3" i="1"/>
  <c r="AJ8" i="1" s="1"/>
  <c r="AI3" i="1"/>
  <c r="AI7" i="1" s="1"/>
  <c r="AH3" i="1"/>
  <c r="AG3" i="1"/>
  <c r="AG8" i="1" s="1"/>
  <c r="AF3" i="1"/>
  <c r="AF8" i="1" s="1"/>
  <c r="AE3" i="1"/>
  <c r="AE7" i="1" s="1"/>
  <c r="AD3" i="1"/>
  <c r="AC3" i="1"/>
  <c r="AC8" i="1" s="1"/>
  <c r="AB3" i="1"/>
  <c r="AA3" i="1"/>
  <c r="AA8" i="1" s="1"/>
  <c r="Z3" i="1"/>
  <c r="Y3" i="1"/>
  <c r="Y8" i="1" s="1"/>
  <c r="X3" i="1"/>
  <c r="X8" i="1" s="1"/>
  <c r="W3" i="1"/>
  <c r="V3" i="1"/>
  <c r="V8" i="1" s="1"/>
  <c r="U3" i="1"/>
  <c r="U8" i="1" s="1"/>
  <c r="T3" i="1"/>
  <c r="T7" i="1" s="1"/>
  <c r="S3" i="1"/>
  <c r="S7" i="1" s="1"/>
  <c r="R3" i="1"/>
  <c r="Q3" i="1"/>
  <c r="Q8" i="1" s="1"/>
  <c r="P3" i="1"/>
  <c r="P8" i="1" s="1"/>
  <c r="O3" i="1"/>
  <c r="N3" i="1"/>
  <c r="M3" i="1"/>
  <c r="M8" i="1" s="1"/>
  <c r="L3" i="1"/>
  <c r="L8" i="1" s="1"/>
  <c r="K3" i="1"/>
  <c r="J3" i="1"/>
  <c r="I3" i="1"/>
  <c r="H3" i="1"/>
  <c r="H8" i="1" s="1"/>
  <c r="G3" i="1"/>
  <c r="G7" i="1" s="1"/>
  <c r="F3" i="1"/>
  <c r="E3" i="1"/>
  <c r="E8" i="1" s="1"/>
  <c r="D3" i="1"/>
  <c r="C3" i="1"/>
  <c r="C8" i="1" s="1"/>
  <c r="B3" i="1"/>
  <c r="F8" i="1" l="1"/>
  <c r="F7" i="1"/>
  <c r="N8" i="1"/>
  <c r="N7" i="1"/>
  <c r="AD7" i="1"/>
  <c r="AD8" i="1"/>
  <c r="BB8" i="1"/>
  <c r="BB7" i="1"/>
  <c r="BR8" i="1"/>
  <c r="BR7" i="1"/>
  <c r="BZ8" i="1"/>
  <c r="BZ7" i="1"/>
  <c r="O8" i="1"/>
  <c r="O7" i="1"/>
  <c r="AU8" i="1"/>
  <c r="AU7" i="1"/>
  <c r="W8" i="1"/>
  <c r="W7" i="1"/>
  <c r="I7" i="1"/>
  <c r="I8" i="1"/>
  <c r="AO8" i="1"/>
  <c r="AO7" i="1"/>
  <c r="BU7" i="1"/>
  <c r="BU8" i="1"/>
  <c r="B8" i="1"/>
  <c r="B7" i="1"/>
  <c r="J8" i="1"/>
  <c r="J7" i="1"/>
  <c r="R8" i="1"/>
  <c r="R7" i="1"/>
  <c r="Z8" i="1"/>
  <c r="Z7" i="1"/>
  <c r="AH8" i="1"/>
  <c r="AH7" i="1"/>
  <c r="AP8" i="1"/>
  <c r="AP7" i="1"/>
  <c r="AX8" i="1"/>
  <c r="AX7" i="1"/>
  <c r="BF8" i="1"/>
  <c r="BF7" i="1"/>
  <c r="BN8" i="1"/>
  <c r="BN7" i="1"/>
  <c r="BV8" i="1"/>
  <c r="BV7" i="1"/>
  <c r="CD8" i="1"/>
  <c r="CD7" i="1"/>
  <c r="BO8" i="1"/>
  <c r="BO7" i="1"/>
  <c r="K8" i="1"/>
  <c r="K7" i="1"/>
  <c r="D8" i="1"/>
  <c r="D7" i="1"/>
  <c r="AB8" i="1"/>
  <c r="AB7" i="1"/>
  <c r="AZ8" i="1"/>
  <c r="AZ7" i="1"/>
  <c r="BX8" i="1"/>
  <c r="BX7" i="1"/>
  <c r="V7" i="1"/>
  <c r="AL7" i="1"/>
  <c r="AT7" i="1"/>
  <c r="BJ7" i="1"/>
  <c r="CH7" i="1"/>
  <c r="CI7" i="1"/>
  <c r="BW7" i="1"/>
  <c r="BK7" i="1"/>
  <c r="AY7" i="1"/>
  <c r="AM7" i="1"/>
  <c r="AA7" i="1"/>
  <c r="C7" i="1"/>
  <c r="CE8" i="1"/>
  <c r="BG8" i="1"/>
  <c r="AQ8" i="1"/>
  <c r="AI8" i="1"/>
  <c r="S8" i="1"/>
  <c r="L7" i="1"/>
  <c r="CF7" i="1"/>
  <c r="BH7" i="1"/>
  <c r="AJ7" i="1"/>
  <c r="T8" i="1"/>
  <c r="BS7" i="1"/>
  <c r="AR7" i="1"/>
  <c r="Q7" i="1"/>
  <c r="Y7" i="1"/>
  <c r="AG7" i="1"/>
  <c r="AW7" i="1"/>
  <c r="BE7" i="1"/>
  <c r="BM7" i="1"/>
  <c r="CC7" i="1"/>
  <c r="CA8" i="1"/>
  <c r="BC8" i="1"/>
  <c r="AE8" i="1"/>
  <c r="G8" i="1"/>
  <c r="BP8" i="1"/>
  <c r="H7" i="1"/>
  <c r="P7" i="1"/>
  <c r="X7" i="1"/>
  <c r="AF7" i="1"/>
  <c r="AN7" i="1"/>
  <c r="AV7" i="1"/>
  <c r="BD7" i="1"/>
  <c r="BL7" i="1"/>
  <c r="BT7" i="1"/>
  <c r="CB7" i="1"/>
  <c r="CG7" i="1"/>
  <c r="BY7" i="1"/>
  <c r="BQ7" i="1"/>
  <c r="BI7" i="1"/>
  <c r="BA7" i="1"/>
  <c r="AS7" i="1"/>
  <c r="AK7" i="1"/>
  <c r="AC7" i="1"/>
  <c r="U7" i="1"/>
  <c r="M7" i="1"/>
  <c r="E7" i="1"/>
  <c r="CB6" i="1"/>
  <c r="BT6" i="1"/>
  <c r="BL6" i="1"/>
  <c r="BD6" i="1"/>
  <c r="AV6" i="1"/>
  <c r="AN6" i="1"/>
  <c r="AF6" i="1"/>
  <c r="X6" i="1"/>
  <c r="P6" i="1"/>
  <c r="H6" i="1"/>
</calcChain>
</file>

<file path=xl/sharedStrings.xml><?xml version="1.0" encoding="utf-8"?>
<sst xmlns="http://schemas.openxmlformats.org/spreadsheetml/2006/main" count="5" uniqueCount="5">
  <si>
    <t>TC</t>
  </si>
  <si>
    <t>Politique de transition</t>
  </si>
  <si>
    <t>Coût des dommages</t>
  </si>
  <si>
    <t>NZP</t>
  </si>
  <si>
    <t>Net Zero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</si>
</sst>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fr-FR" sz="2400"/>
              <a:t>Décomposition scénario Net Zero (% du PIB)</a:t>
            </a:r>
          </a:p>
          <a:p>
            <a:pPr>
              <a:defRPr sz="2400"/>
            </a:pPr>
            <a:r>
              <a:rPr lang="fr-FR" sz="1600"/>
              <a:t>incluant</a:t>
            </a:r>
            <a:r>
              <a:rPr lang="fr-FR" sz="1600" baseline="0"/>
              <a:t> les risques physiques</a:t>
            </a:r>
          </a:p>
        </c:rich>
      </c:tx>
      <c:layout>
        <c:manualLayout>
          <c:xMode val="edge"/>
          <c:yMode val="edge"/>
          <c:x val="0.20501902519546519"/>
          <c:y val="2.93351742458666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Feuil1!$A$6</c:f>
              <c:strCache>
                <c:ptCount val="1"/>
                <c:pt idx="0">
                  <c:v>Politique de transition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Feuil1!$B$5:$CH$5</c:f>
              <c:numCache>
                <c:formatCode>m/d/yyyy</c:formatCode>
                <c:ptCount val="85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</c:numCache>
            </c:numRef>
          </c:cat>
          <c:val>
            <c:numRef>
              <c:f>Feuil1!$B$6:$CH$6</c:f>
              <c:numCache>
                <c:formatCode>#,##0.0</c:formatCode>
                <c:ptCount val="8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-0.19694161232846064</c:v>
                </c:pt>
                <c:pt idx="8">
                  <c:v>-0.32910460472266312</c:v>
                </c:pt>
                <c:pt idx="9">
                  <c:v>-8.0637713317255333E-2</c:v>
                </c:pt>
                <c:pt idx="10">
                  <c:v>0.20258876617191834</c:v>
                </c:pt>
                <c:pt idx="11">
                  <c:v>0.45424694424371914</c:v>
                </c:pt>
                <c:pt idx="12">
                  <c:v>0.6611727771178133</c:v>
                </c:pt>
                <c:pt idx="13">
                  <c:v>0.83719057505624583</c:v>
                </c:pt>
                <c:pt idx="14">
                  <c:v>1.0028947161887292</c:v>
                </c:pt>
                <c:pt idx="15">
                  <c:v>1.1571750805414949</c:v>
                </c:pt>
                <c:pt idx="16">
                  <c:v>1.2887400597361598</c:v>
                </c:pt>
                <c:pt idx="17">
                  <c:v>1.3742398781701581</c:v>
                </c:pt>
                <c:pt idx="18">
                  <c:v>1.4290171313425803</c:v>
                </c:pt>
                <c:pt idx="19">
                  <c:v>1.4675920150303501</c:v>
                </c:pt>
                <c:pt idx="20">
                  <c:v>1.4991113762324426</c:v>
                </c:pt>
                <c:pt idx="21">
                  <c:v>1.5278210019538108</c:v>
                </c:pt>
                <c:pt idx="22">
                  <c:v>1.5537649183268609</c:v>
                </c:pt>
                <c:pt idx="23">
                  <c:v>1.5768060907918269</c:v>
                </c:pt>
                <c:pt idx="24">
                  <c:v>1.5965658939140592</c:v>
                </c:pt>
                <c:pt idx="25">
                  <c:v>1.6125052003735707</c:v>
                </c:pt>
                <c:pt idx="26">
                  <c:v>1.6238872985003372</c:v>
                </c:pt>
                <c:pt idx="27">
                  <c:v>1.6292175777404383</c:v>
                </c:pt>
                <c:pt idx="28">
                  <c:v>1.6302196584468298</c:v>
                </c:pt>
                <c:pt idx="29">
                  <c:v>1.6294193971467585</c:v>
                </c:pt>
                <c:pt idx="30">
                  <c:v>1.628626915129705</c:v>
                </c:pt>
                <c:pt idx="31">
                  <c:v>1.6291172996173886</c:v>
                </c:pt>
                <c:pt idx="32">
                  <c:v>1.6304594714892096</c:v>
                </c:pt>
                <c:pt idx="33">
                  <c:v>1.6346407218347014</c:v>
                </c:pt>
                <c:pt idx="34">
                  <c:v>1.6454229613436233</c:v>
                </c:pt>
                <c:pt idx="35">
                  <c:v>1.6696180039645014</c:v>
                </c:pt>
                <c:pt idx="36">
                  <c:v>1.6889441686418261</c:v>
                </c:pt>
                <c:pt idx="37">
                  <c:v>1.7078428405991497</c:v>
                </c:pt>
                <c:pt idx="38">
                  <c:v>1.7236337283863978</c:v>
                </c:pt>
                <c:pt idx="39">
                  <c:v>1.7349248053407429</c:v>
                </c:pt>
                <c:pt idx="40">
                  <c:v>1.7411540936693504</c:v>
                </c:pt>
                <c:pt idx="41">
                  <c:v>1.7428896953826323</c:v>
                </c:pt>
                <c:pt idx="42">
                  <c:v>1.7398540828657216</c:v>
                </c:pt>
                <c:pt idx="43">
                  <c:v>1.7329147309208093</c:v>
                </c:pt>
                <c:pt idx="44">
                  <c:v>1.7230862359691956</c:v>
                </c:pt>
                <c:pt idx="45">
                  <c:v>1.7113712076963328</c:v>
                </c:pt>
                <c:pt idx="46">
                  <c:v>1.6991510984826208</c:v>
                </c:pt>
                <c:pt idx="47">
                  <c:v>1.6866072217296857</c:v>
                </c:pt>
                <c:pt idx="48">
                  <c:v>1.6742464005973456</c:v>
                </c:pt>
                <c:pt idx="49">
                  <c:v>1.6623965816549013</c:v>
                </c:pt>
                <c:pt idx="50">
                  <c:v>1.6512509308354018</c:v>
                </c:pt>
                <c:pt idx="51">
                  <c:v>1.6524822554548013</c:v>
                </c:pt>
                <c:pt idx="52">
                  <c:v>1.6450248394999534</c:v>
                </c:pt>
                <c:pt idx="53">
                  <c:v>1.6348458928615806</c:v>
                </c:pt>
                <c:pt idx="54">
                  <c:v>1.6242837620730421</c:v>
                </c:pt>
                <c:pt idx="55">
                  <c:v>1.6146046053609364</c:v>
                </c:pt>
                <c:pt idx="56">
                  <c:v>1.6075645605232003</c:v>
                </c:pt>
                <c:pt idx="57">
                  <c:v>1.6016081837933793</c:v>
                </c:pt>
                <c:pt idx="58">
                  <c:v>1.5966635898912562</c:v>
                </c:pt>
                <c:pt idx="59">
                  <c:v>1.5925545300034649</c:v>
                </c:pt>
                <c:pt idx="60">
                  <c:v>1.5891372665503889</c:v>
                </c:pt>
                <c:pt idx="61">
                  <c:v>1.5863392639233309</c:v>
                </c:pt>
                <c:pt idx="62">
                  <c:v>1.5841510083471011</c:v>
                </c:pt>
                <c:pt idx="63">
                  <c:v>1.5826012084538377</c:v>
                </c:pt>
                <c:pt idx="64">
                  <c:v>1.5817315368870766</c:v>
                </c:pt>
                <c:pt idx="65">
                  <c:v>1.5815791282935976</c:v>
                </c:pt>
                <c:pt idx="66">
                  <c:v>1.5833859626567248</c:v>
                </c:pt>
                <c:pt idx="67">
                  <c:v>1.585692472380229</c:v>
                </c:pt>
                <c:pt idx="68">
                  <c:v>1.5886108369449925</c:v>
                </c:pt>
                <c:pt idx="69">
                  <c:v>1.5921782276750784</c:v>
                </c:pt>
                <c:pt idx="70">
                  <c:v>1.5963952313138297</c:v>
                </c:pt>
                <c:pt idx="71">
                  <c:v>1.6012455941350368</c:v>
                </c:pt>
                <c:pt idx="72">
                  <c:v>1.6067094578869234</c:v>
                </c:pt>
                <c:pt idx="73">
                  <c:v>1.6127694246065971</c:v>
                </c:pt>
                <c:pt idx="74">
                  <c:v>1.6194122415741141</c:v>
                </c:pt>
                <c:pt idx="75">
                  <c:v>1.6266274009712811</c:v>
                </c:pt>
                <c:pt idx="76">
                  <c:v>1.6354020493762667</c:v>
                </c:pt>
                <c:pt idx="77">
                  <c:v>1.6445477994649904</c:v>
                </c:pt>
                <c:pt idx="78">
                  <c:v>1.6541465898829877</c:v>
                </c:pt>
                <c:pt idx="79">
                  <c:v>1.6642258451554426</c:v>
                </c:pt>
                <c:pt idx="80">
                  <c:v>1.6747892448942148</c:v>
                </c:pt>
                <c:pt idx="81">
                  <c:v>1.6858325017146347</c:v>
                </c:pt>
                <c:pt idx="82">
                  <c:v>1.6973521339859632</c:v>
                </c:pt>
                <c:pt idx="83">
                  <c:v>1.7093489455747068</c:v>
                </c:pt>
                <c:pt idx="84">
                  <c:v>1.7218275243293002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188-452F-A23A-B11A91A4491E}"/>
            </c:ext>
          </c:extLst>
        </c:ser>
        <c:ser>
          <c:idx val="1"/>
          <c:order val="1"/>
          <c:tx>
            <c:strRef>
              <c:f>Feuil1!$A$7</c:f>
              <c:strCache>
                <c:ptCount val="1"/>
                <c:pt idx="0">
                  <c:v>Coût des dommages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Feuil1!$B$5:$CH$5</c:f>
              <c:numCache>
                <c:formatCode>m/d/yyyy</c:formatCode>
                <c:ptCount val="85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</c:numCache>
            </c:numRef>
          </c:cat>
          <c:val>
            <c:numRef>
              <c:f>Feuil1!$B$7:$CH$7</c:f>
              <c:numCache>
                <c:formatCode>#,##0.0</c:formatCode>
                <c:ptCount val="85"/>
                <c:pt idx="0">
                  <c:v>0</c:v>
                </c:pt>
                <c:pt idx="1">
                  <c:v>-0.11989295890919571</c:v>
                </c:pt>
                <c:pt idx="2">
                  <c:v>-0.2564913650720313</c:v>
                </c:pt>
                <c:pt idx="3">
                  <c:v>-0.40548218803949654</c:v>
                </c:pt>
                <c:pt idx="4">
                  <c:v>-0.5625868560056535</c:v>
                </c:pt>
                <c:pt idx="5">
                  <c:v>-0.72368591578868546</c:v>
                </c:pt>
                <c:pt idx="6">
                  <c:v>-0.89397615754910342</c:v>
                </c:pt>
                <c:pt idx="7">
                  <c:v>-1.0567432216490147</c:v>
                </c:pt>
                <c:pt idx="8">
                  <c:v>-1.2174431340904013</c:v>
                </c:pt>
                <c:pt idx="9">
                  <c:v>-1.3857419717199115</c:v>
                </c:pt>
                <c:pt idx="10">
                  <c:v>-1.5525404083190808</c:v>
                </c:pt>
                <c:pt idx="11">
                  <c:v>-1.6975277268560407</c:v>
                </c:pt>
                <c:pt idx="12">
                  <c:v>-1.8352635592671529</c:v>
                </c:pt>
                <c:pt idx="13">
                  <c:v>-1.9665730589535579</c:v>
                </c:pt>
                <c:pt idx="14">
                  <c:v>-2.0933483687798016</c:v>
                </c:pt>
                <c:pt idx="15">
                  <c:v>-2.2165809291794014</c:v>
                </c:pt>
                <c:pt idx="16">
                  <c:v>-2.3070973213381696</c:v>
                </c:pt>
                <c:pt idx="17">
                  <c:v>-2.3896751137264083</c:v>
                </c:pt>
                <c:pt idx="18">
                  <c:v>-2.4660827682109754</c:v>
                </c:pt>
                <c:pt idx="19">
                  <c:v>-2.5383588193067186</c:v>
                </c:pt>
                <c:pt idx="20">
                  <c:v>-2.6081115523742371</c:v>
                </c:pt>
                <c:pt idx="21">
                  <c:v>-2.6511689414570383</c:v>
                </c:pt>
                <c:pt idx="22">
                  <c:v>-2.6894213690852653</c:v>
                </c:pt>
                <c:pt idx="23">
                  <c:v>-2.7241402903304679</c:v>
                </c:pt>
                <c:pt idx="24">
                  <c:v>-2.7567615498774622</c:v>
                </c:pt>
                <c:pt idx="25">
                  <c:v>-2.7883597387506676</c:v>
                </c:pt>
                <c:pt idx="26">
                  <c:v>-2.8089696518258989</c:v>
                </c:pt>
                <c:pt idx="27">
                  <c:v>-2.8278862818979622</c:v>
                </c:pt>
                <c:pt idx="28">
                  <c:v>-2.845736679362898</c:v>
                </c:pt>
                <c:pt idx="29">
                  <c:v>-2.863135454837773</c:v>
                </c:pt>
                <c:pt idx="30">
                  <c:v>-2.8804855301895693</c:v>
                </c:pt>
                <c:pt idx="31">
                  <c:v>-2.8905830206418348</c:v>
                </c:pt>
                <c:pt idx="32">
                  <c:v>-2.8996181842041446</c:v>
                </c:pt>
                <c:pt idx="33">
                  <c:v>-2.9079007847959693</c:v>
                </c:pt>
                <c:pt idx="34">
                  <c:v>-2.9158011348523805</c:v>
                </c:pt>
                <c:pt idx="35">
                  <c:v>-2.9236390587223049</c:v>
                </c:pt>
                <c:pt idx="36">
                  <c:v>-2.9231993950436297</c:v>
                </c:pt>
                <c:pt idx="37">
                  <c:v>-2.9209666867608841</c:v>
                </c:pt>
                <c:pt idx="38">
                  <c:v>-2.9171231204214498</c:v>
                </c:pt>
                <c:pt idx="39">
                  <c:v>-2.911769206946091</c:v>
                </c:pt>
                <c:pt idx="40">
                  <c:v>-2.9049518599424506</c:v>
                </c:pt>
                <c:pt idx="41">
                  <c:v>-2.8940385324500828</c:v>
                </c:pt>
                <c:pt idx="42">
                  <c:v>-2.8814726221983555</c:v>
                </c:pt>
                <c:pt idx="43">
                  <c:v>-2.8675560755517027</c:v>
                </c:pt>
                <c:pt idx="44">
                  <c:v>-2.852573828002114</c:v>
                </c:pt>
                <c:pt idx="45">
                  <c:v>-2.8367375662116778</c:v>
                </c:pt>
                <c:pt idx="46">
                  <c:v>-2.8184388359486112</c:v>
                </c:pt>
                <c:pt idx="47">
                  <c:v>-2.7992687429579166</c:v>
                </c:pt>
                <c:pt idx="48">
                  <c:v>-2.7794087331449391</c:v>
                </c:pt>
                <c:pt idx="49">
                  <c:v>-2.7590268287936426</c:v>
                </c:pt>
                <c:pt idx="50">
                  <c:v>-2.7382610472803992</c:v>
                </c:pt>
                <c:pt idx="51">
                  <c:v>-2.7204879688719319</c:v>
                </c:pt>
                <c:pt idx="52">
                  <c:v>-2.7056687985878014</c:v>
                </c:pt>
                <c:pt idx="53">
                  <c:v>-2.6905274014482505</c:v>
                </c:pt>
                <c:pt idx="54">
                  <c:v>-2.6751000655087287</c:v>
                </c:pt>
                <c:pt idx="55">
                  <c:v>-2.6595309848436721</c:v>
                </c:pt>
                <c:pt idx="56">
                  <c:v>-2.6426427140642361</c:v>
                </c:pt>
                <c:pt idx="57">
                  <c:v>-2.6255265773697301</c:v>
                </c:pt>
                <c:pt idx="58">
                  <c:v>-2.6082886651969006</c:v>
                </c:pt>
                <c:pt idx="59">
                  <c:v>-2.5910266586371855</c:v>
                </c:pt>
                <c:pt idx="60">
                  <c:v>-2.5738164372193006</c:v>
                </c:pt>
                <c:pt idx="61">
                  <c:v>-2.5564159346071147</c:v>
                </c:pt>
                <c:pt idx="62">
                  <c:v>-2.5391159005227371</c:v>
                </c:pt>
                <c:pt idx="63">
                  <c:v>-2.5219623175955053</c:v>
                </c:pt>
                <c:pt idx="64">
                  <c:v>-2.5049927014446194</c:v>
                </c:pt>
                <c:pt idx="65">
                  <c:v>-2.4882326476251326</c:v>
                </c:pt>
                <c:pt idx="66">
                  <c:v>-2.4711414631061412</c:v>
                </c:pt>
                <c:pt idx="67">
                  <c:v>-2.4542179509998263</c:v>
                </c:pt>
                <c:pt idx="68">
                  <c:v>-2.4374982348842056</c:v>
                </c:pt>
                <c:pt idx="69">
                  <c:v>-2.4210155162512792</c:v>
                </c:pt>
                <c:pt idx="70">
                  <c:v>-2.4047947478542997</c:v>
                </c:pt>
                <c:pt idx="71">
                  <c:v>-2.3892334662780068</c:v>
                </c:pt>
                <c:pt idx="72">
                  <c:v>-2.3740351065630216</c:v>
                </c:pt>
                <c:pt idx="73">
                  <c:v>-2.3591939516777072</c:v>
                </c:pt>
                <c:pt idx="74">
                  <c:v>-2.344700190984228</c:v>
                </c:pt>
                <c:pt idx="75">
                  <c:v>-2.3305456139527836</c:v>
                </c:pt>
                <c:pt idx="76">
                  <c:v>-2.3167305493591472</c:v>
                </c:pt>
                <c:pt idx="77">
                  <c:v>-2.303268027977734</c:v>
                </c:pt>
                <c:pt idx="78">
                  <c:v>-2.2901533128280693</c:v>
                </c:pt>
                <c:pt idx="79">
                  <c:v>-2.2773826674107212</c:v>
                </c:pt>
                <c:pt idx="80">
                  <c:v>-2.264953178116369</c:v>
                </c:pt>
                <c:pt idx="81">
                  <c:v>-2.2538427520225501</c:v>
                </c:pt>
                <c:pt idx="82">
                  <c:v>-2.2432380041915723</c:v>
                </c:pt>
                <c:pt idx="83">
                  <c:v>-2.2408179811543416</c:v>
                </c:pt>
                <c:pt idx="84">
                  <c:v>-2.2246311597601487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188-452F-A23A-B11A91A449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44425439"/>
        <c:axId val="231066863"/>
      </c:barChart>
      <c:lineChart>
        <c:grouping val="standard"/>
        <c:varyColors val="0"/>
        <c:ser>
          <c:idx val="2"/>
          <c:order val="2"/>
          <c:tx>
            <c:strRef>
              <c:f>Feuil1!$A$8</c:f>
              <c:strCache>
                <c:ptCount val="1"/>
                <c:pt idx="0">
                  <c:v>Net Zero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Feuil1!$B$5:$CH$5</c:f>
              <c:numCache>
                <c:formatCode>m/d/yyyy</c:formatCode>
                <c:ptCount val="85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</c:numCache>
            </c:numRef>
          </c:cat>
          <c:val>
            <c:numRef>
              <c:f>Feuil1!$B$8:$CH$8</c:f>
              <c:numCache>
                <c:formatCode>#,##0.0</c:formatCode>
                <c:ptCount val="85"/>
                <c:pt idx="0">
                  <c:v>0</c:v>
                </c:pt>
                <c:pt idx="1">
                  <c:v>-0.11989295890919571</c:v>
                </c:pt>
                <c:pt idx="2">
                  <c:v>-0.2564913650720313</c:v>
                </c:pt>
                <c:pt idx="3">
                  <c:v>-0.40548218803949654</c:v>
                </c:pt>
                <c:pt idx="4">
                  <c:v>-0.5625868560056535</c:v>
                </c:pt>
                <c:pt idx="5">
                  <c:v>-0.72368591578868546</c:v>
                </c:pt>
                <c:pt idx="6">
                  <c:v>-0.89397615754910342</c:v>
                </c:pt>
                <c:pt idx="7">
                  <c:v>-1.2536848339774753</c:v>
                </c:pt>
                <c:pt idx="8">
                  <c:v>-1.5465477388130644</c:v>
                </c:pt>
                <c:pt idx="9">
                  <c:v>-1.4663796850371669</c:v>
                </c:pt>
                <c:pt idx="10">
                  <c:v>-1.3499516421471625</c:v>
                </c:pt>
                <c:pt idx="11">
                  <c:v>-1.2432807826123216</c:v>
                </c:pt>
                <c:pt idx="12">
                  <c:v>-1.1740907821493396</c:v>
                </c:pt>
                <c:pt idx="13">
                  <c:v>-1.1293824838973121</c:v>
                </c:pt>
                <c:pt idx="14">
                  <c:v>-1.0904536525910724</c:v>
                </c:pt>
                <c:pt idx="15">
                  <c:v>-1.0594058486379065</c:v>
                </c:pt>
                <c:pt idx="16">
                  <c:v>-1.0183572616020098</c:v>
                </c:pt>
                <c:pt idx="17">
                  <c:v>-1.0154352355562501</c:v>
                </c:pt>
                <c:pt idx="18">
                  <c:v>-1.037065636868395</c:v>
                </c:pt>
                <c:pt idx="19">
                  <c:v>-1.0707668042763685</c:v>
                </c:pt>
                <c:pt idx="20">
                  <c:v>-1.1090001761417945</c:v>
                </c:pt>
                <c:pt idx="21">
                  <c:v>-1.1233479395032275</c:v>
                </c:pt>
                <c:pt idx="22">
                  <c:v>-1.1356564507584044</c:v>
                </c:pt>
                <c:pt idx="23">
                  <c:v>-1.147334199538641</c:v>
                </c:pt>
                <c:pt idx="24">
                  <c:v>-1.160195655963403</c:v>
                </c:pt>
                <c:pt idx="25">
                  <c:v>-1.1758545383770969</c:v>
                </c:pt>
                <c:pt idx="26">
                  <c:v>-1.1850823533255617</c:v>
                </c:pt>
                <c:pt idx="27">
                  <c:v>-1.1986687041575239</c:v>
                </c:pt>
                <c:pt idx="28">
                  <c:v>-1.2155170209160682</c:v>
                </c:pt>
                <c:pt idx="29">
                  <c:v>-1.2337160576910144</c:v>
                </c:pt>
                <c:pt idx="30">
                  <c:v>-1.2518586150598643</c:v>
                </c:pt>
                <c:pt idx="31">
                  <c:v>-1.2614657210244462</c:v>
                </c:pt>
                <c:pt idx="32">
                  <c:v>-1.2691587127149351</c:v>
                </c:pt>
                <c:pt idx="33">
                  <c:v>-1.2732600629612678</c:v>
                </c:pt>
                <c:pt idx="34">
                  <c:v>-1.2703781735087571</c:v>
                </c:pt>
                <c:pt idx="35">
                  <c:v>-1.2540210547578035</c:v>
                </c:pt>
                <c:pt idx="36">
                  <c:v>-1.2342552264018036</c:v>
                </c:pt>
                <c:pt idx="37">
                  <c:v>-1.2131238461617344</c:v>
                </c:pt>
                <c:pt idx="38">
                  <c:v>-1.193489392035052</c:v>
                </c:pt>
                <c:pt idx="39">
                  <c:v>-1.1768444016053481</c:v>
                </c:pt>
                <c:pt idx="40">
                  <c:v>-1.1637977662731003</c:v>
                </c:pt>
                <c:pt idx="41">
                  <c:v>-1.1511488370674505</c:v>
                </c:pt>
                <c:pt idx="42">
                  <c:v>-1.1416185393326339</c:v>
                </c:pt>
                <c:pt idx="43">
                  <c:v>-1.1346413446308934</c:v>
                </c:pt>
                <c:pt idx="44">
                  <c:v>-1.1294875920329184</c:v>
                </c:pt>
                <c:pt idx="45">
                  <c:v>-1.1253663585153451</c:v>
                </c:pt>
                <c:pt idx="46">
                  <c:v>-1.1192877374659904</c:v>
                </c:pt>
                <c:pt idx="47">
                  <c:v>-1.1126615212282309</c:v>
                </c:pt>
                <c:pt idx="48">
                  <c:v>-1.1051623325475934</c:v>
                </c:pt>
                <c:pt idx="49">
                  <c:v>-1.0966302471387412</c:v>
                </c:pt>
                <c:pt idx="50">
                  <c:v>-1.0870101164449975</c:v>
                </c:pt>
                <c:pt idx="51">
                  <c:v>-1.0680057134171306</c:v>
                </c:pt>
                <c:pt idx="52">
                  <c:v>-1.060643959087848</c:v>
                </c:pt>
                <c:pt idx="53">
                  <c:v>-1.05568150858667</c:v>
                </c:pt>
                <c:pt idx="54">
                  <c:v>-1.0508163034356865</c:v>
                </c:pt>
                <c:pt idx="55">
                  <c:v>-1.0449263794827357</c:v>
                </c:pt>
                <c:pt idx="56">
                  <c:v>-1.0350781535410358</c:v>
                </c:pt>
                <c:pt idx="57">
                  <c:v>-1.0239183935763507</c:v>
                </c:pt>
                <c:pt idx="58">
                  <c:v>-1.0116250753056444</c:v>
                </c:pt>
                <c:pt idx="59">
                  <c:v>-0.99847212863372059</c:v>
                </c:pt>
                <c:pt idx="60">
                  <c:v>-0.98467917066891175</c:v>
                </c:pt>
                <c:pt idx="61">
                  <c:v>-0.97007667068378378</c:v>
                </c:pt>
                <c:pt idx="62">
                  <c:v>-0.95496489217563596</c:v>
                </c:pt>
                <c:pt idx="63">
                  <c:v>-0.93936110914166759</c:v>
                </c:pt>
                <c:pt idx="64">
                  <c:v>-0.92326116455754281</c:v>
                </c:pt>
                <c:pt idx="65">
                  <c:v>-0.90665351933153504</c:v>
                </c:pt>
                <c:pt idx="66">
                  <c:v>-0.88775550044941642</c:v>
                </c:pt>
                <c:pt idx="67">
                  <c:v>-0.86852547861959728</c:v>
                </c:pt>
                <c:pt idx="68">
                  <c:v>-0.84888739793921308</c:v>
                </c:pt>
                <c:pt idx="69">
                  <c:v>-0.82883728857620076</c:v>
                </c:pt>
                <c:pt idx="70">
                  <c:v>-0.80839951654047004</c:v>
                </c:pt>
                <c:pt idx="71">
                  <c:v>-0.78798787214297006</c:v>
                </c:pt>
                <c:pt idx="72">
                  <c:v>-0.7673256486760982</c:v>
                </c:pt>
                <c:pt idx="73">
                  <c:v>-0.74642452707111007</c:v>
                </c:pt>
                <c:pt idx="74">
                  <c:v>-0.72528794941011387</c:v>
                </c:pt>
                <c:pt idx="75">
                  <c:v>-0.70391821298150248</c:v>
                </c:pt>
                <c:pt idx="76">
                  <c:v>-0.68132849998288059</c:v>
                </c:pt>
                <c:pt idx="77">
                  <c:v>-0.65872022851274359</c:v>
                </c:pt>
                <c:pt idx="78">
                  <c:v>-0.63600672294508165</c:v>
                </c:pt>
                <c:pt idx="79">
                  <c:v>-0.61315682225527857</c:v>
                </c:pt>
                <c:pt idx="80">
                  <c:v>-0.59016393322215421</c:v>
                </c:pt>
                <c:pt idx="81">
                  <c:v>-0.56801025030791541</c:v>
                </c:pt>
                <c:pt idx="82">
                  <c:v>-0.54588587020560908</c:v>
                </c:pt>
                <c:pt idx="83">
                  <c:v>-0.53146903557963476</c:v>
                </c:pt>
                <c:pt idx="84">
                  <c:v>-0.50280363543084849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188-452F-A23A-B11A91A449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44425439"/>
        <c:axId val="231066863"/>
      </c:lineChart>
      <c:dateAx>
        <c:axId val="244425439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31066863"/>
        <c:crosses val="autoZero"/>
        <c:auto val="1"/>
        <c:lblOffset val="100"/>
        <c:baseTimeUnit val="years"/>
        <c:majorUnit val="10"/>
        <c:majorTimeUnit val="years"/>
      </c:dateAx>
      <c:valAx>
        <c:axId val="231066863"/>
        <c:scaling>
          <c:orientation val="minMax"/>
          <c:max val="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44425439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ysClr val="windowText" lastClr="000000"/>
          </a:solidFill>
        </a:defRPr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653B1545-4AA9-42B5-A778-7D99F2BFC7FF}">
  <sheetPr/>
  <sheetViews>
    <sheetView tabSelected="1" zoomScale="74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8459" cy="6065108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46CBEA4B-FB82-6E48-0BA4-0E29DE6FCE3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lori\Documents\Github\ThreeME_V3-ADEME\results\Graphiques%20Net%20Zero%20P%20-%20TC.xlsx" TargetMode="External"/><Relationship Id="rId1" Type="http://schemas.openxmlformats.org/officeDocument/2006/relationships/externalLinkPath" Target="Graphiques%20Net%20Zero%20P%20-%20TC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lori\Documents\Github\ThreeME_V3-ADEME\results\Graphiques%20Net%20Zero%20P.xlsx" TargetMode="External"/><Relationship Id="rId1" Type="http://schemas.openxmlformats.org/officeDocument/2006/relationships/externalLinkPath" Target="Graphiques%20Net%20Zero%20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onnées"/>
      <sheetName val="Gr Macro"/>
      <sheetName val="Gr inflation"/>
      <sheetName val="Gr émissions"/>
      <sheetName val="Gr CO2 éner"/>
      <sheetName val="Gr conso éner"/>
      <sheetName val="GR macro ener"/>
      <sheetName val="Gr éner prim"/>
      <sheetName val="BUIL (class,base)"/>
      <sheetName val="BUIL (class,shock)"/>
      <sheetName val="Auto (class,base)"/>
      <sheetName val="Auto (class,shock)"/>
      <sheetName val="Auto (ener,base)"/>
      <sheetName val="Auto (ener,shock)"/>
      <sheetName val="Employment"/>
      <sheetName val="Investissement"/>
      <sheetName val="Investissement ctrb"/>
      <sheetName val="Firms' emissions"/>
      <sheetName val="Firms' emissions 2"/>
      <sheetName val="Capital intensity"/>
      <sheetName val="Energy intensity"/>
      <sheetName val="Gr VA secteurs (% dev)"/>
      <sheetName val="Gr VA secteurs (% dev2)"/>
      <sheetName val="Gr VA secteurs (% share)"/>
      <sheetName val="Gr Y secteurs (% dev)"/>
      <sheetName val="Gr Y secteurs ctrb"/>
      <sheetName val="Gr Y secteurs (% share)"/>
    </sheetNames>
    <sheetDataSet>
      <sheetData sheetId="0">
        <row r="5"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-0.19694161232846064</v>
          </cell>
          <cell r="K5">
            <v>-0.32910460472266312</v>
          </cell>
          <cell r="L5">
            <v>-8.0637713317255333E-2</v>
          </cell>
          <cell r="M5">
            <v>0.20258876617191834</v>
          </cell>
          <cell r="N5">
            <v>0.45424694424371914</v>
          </cell>
          <cell r="O5">
            <v>0.6611727771178133</v>
          </cell>
          <cell r="P5">
            <v>0.83719057505624583</v>
          </cell>
          <cell r="Q5">
            <v>1.0028947161887292</v>
          </cell>
          <cell r="R5">
            <v>1.1571750805414949</v>
          </cell>
          <cell r="S5">
            <v>1.2887400597361598</v>
          </cell>
          <cell r="T5">
            <v>1.3742398781701581</v>
          </cell>
          <cell r="U5">
            <v>1.4290171313425803</v>
          </cell>
          <cell r="V5">
            <v>1.4675920150303501</v>
          </cell>
          <cell r="W5">
            <v>1.4991113762324426</v>
          </cell>
          <cell r="X5">
            <v>1.5278210019538108</v>
          </cell>
          <cell r="Y5">
            <v>1.5537649183268609</v>
          </cell>
          <cell r="Z5">
            <v>1.5768060907918269</v>
          </cell>
          <cell r="AA5">
            <v>1.5965658939140592</v>
          </cell>
          <cell r="AB5">
            <v>1.6125052003735707</v>
          </cell>
          <cell r="AC5">
            <v>1.6238872985003372</v>
          </cell>
          <cell r="AD5">
            <v>1.6292175777404383</v>
          </cell>
          <cell r="AE5">
            <v>1.6302196584468298</v>
          </cell>
          <cell r="AF5">
            <v>1.6294193971467585</v>
          </cell>
          <cell r="AG5">
            <v>1.628626915129705</v>
          </cell>
          <cell r="AH5">
            <v>1.6291172996173886</v>
          </cell>
          <cell r="AI5">
            <v>1.6304594714892096</v>
          </cell>
          <cell r="AJ5">
            <v>1.6346407218347014</v>
          </cell>
          <cell r="AK5">
            <v>1.6454229613436233</v>
          </cell>
          <cell r="AL5">
            <v>1.6696180039645014</v>
          </cell>
          <cell r="AM5">
            <v>1.6889441686418261</v>
          </cell>
          <cell r="AN5">
            <v>1.7078428405991497</v>
          </cell>
          <cell r="AO5">
            <v>1.7236337283863978</v>
          </cell>
          <cell r="AP5">
            <v>1.7349248053407429</v>
          </cell>
          <cell r="AQ5">
            <v>1.7411540936693504</v>
          </cell>
          <cell r="AR5">
            <v>1.7428896953826323</v>
          </cell>
          <cell r="AS5">
            <v>1.7398540828657216</v>
          </cell>
          <cell r="AT5">
            <v>1.7329147309208093</v>
          </cell>
          <cell r="AU5">
            <v>1.7230862359691956</v>
          </cell>
          <cell r="AV5">
            <v>1.7113712076963328</v>
          </cell>
          <cell r="AW5">
            <v>1.6991510984826208</v>
          </cell>
          <cell r="AX5">
            <v>1.6866072217296857</v>
          </cell>
          <cell r="AY5">
            <v>1.6742464005973456</v>
          </cell>
          <cell r="AZ5">
            <v>1.6623965816549013</v>
          </cell>
          <cell r="BA5">
            <v>1.6512509308354018</v>
          </cell>
          <cell r="BB5">
            <v>1.6524822554548013</v>
          </cell>
          <cell r="BC5">
            <v>1.6450248394999534</v>
          </cell>
          <cell r="BD5">
            <v>1.6348458928615806</v>
          </cell>
          <cell r="BE5">
            <v>1.6242837620730421</v>
          </cell>
          <cell r="BF5">
            <v>1.6146046053609364</v>
          </cell>
          <cell r="BG5">
            <v>1.6075645605232003</v>
          </cell>
          <cell r="BH5">
            <v>1.6016081837933793</v>
          </cell>
          <cell r="BI5">
            <v>1.5966635898912562</v>
          </cell>
          <cell r="BJ5">
            <v>1.5925545300034649</v>
          </cell>
          <cell r="BK5">
            <v>1.5891372665503889</v>
          </cell>
          <cell r="BL5">
            <v>1.5863392639233309</v>
          </cell>
          <cell r="BM5">
            <v>1.5841510083471011</v>
          </cell>
          <cell r="BN5">
            <v>1.5826012084538377</v>
          </cell>
          <cell r="BO5">
            <v>1.5817315368870766</v>
          </cell>
          <cell r="BP5">
            <v>1.5815791282935976</v>
          </cell>
          <cell r="BQ5">
            <v>1.5833859626567248</v>
          </cell>
          <cell r="BR5">
            <v>1.585692472380229</v>
          </cell>
          <cell r="BS5">
            <v>1.5886108369449925</v>
          </cell>
          <cell r="BT5">
            <v>1.5921782276750784</v>
          </cell>
          <cell r="BU5">
            <v>1.5963952313138297</v>
          </cell>
          <cell r="BV5">
            <v>1.6012455941350368</v>
          </cell>
          <cell r="BW5">
            <v>1.6067094578869234</v>
          </cell>
          <cell r="BX5">
            <v>1.6127694246065971</v>
          </cell>
          <cell r="BY5">
            <v>1.6194122415741141</v>
          </cell>
          <cell r="BZ5">
            <v>1.6266274009712811</v>
          </cell>
          <cell r="CA5">
            <v>1.6354020493762667</v>
          </cell>
          <cell r="CB5">
            <v>1.6445477994649904</v>
          </cell>
          <cell r="CC5">
            <v>1.6541465898829877</v>
          </cell>
          <cell r="CD5">
            <v>1.6642258451554426</v>
          </cell>
          <cell r="CE5">
            <v>1.6747892448942148</v>
          </cell>
          <cell r="CF5">
            <v>1.6858325017146347</v>
          </cell>
          <cell r="CG5">
            <v>1.6973521339859632</v>
          </cell>
          <cell r="CH5">
            <v>1.7093489455747068</v>
          </cell>
          <cell r="CI5">
            <v>1.7218275243293002</v>
          </cell>
          <cell r="CJ5">
            <v>1.7347940252342653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onnées"/>
      <sheetName val="Graphique1"/>
      <sheetName val="Graphique1 (2)"/>
      <sheetName val="Gr Macro"/>
      <sheetName val="Gr inflation"/>
      <sheetName val="Gr émissions"/>
      <sheetName val="Gr CO2 éner"/>
      <sheetName val="Gr conso éner"/>
      <sheetName val="GR macro ener"/>
      <sheetName val="Gr éner prim"/>
      <sheetName val="BUIL (class,base)"/>
      <sheetName val="BUIL (class,shock)"/>
      <sheetName val="Auto (class,base)"/>
      <sheetName val="Auto (class,shock)"/>
      <sheetName val="Auto (ener,base)"/>
      <sheetName val="Auto (ener,shock)"/>
      <sheetName val="Employment"/>
      <sheetName val="Investissement"/>
      <sheetName val="Investissement ctrb"/>
      <sheetName val="Firms' emissions"/>
      <sheetName val="Firms' emissions 2"/>
      <sheetName val="Capital intensity"/>
      <sheetName val="Energy intensity"/>
      <sheetName val="Gr VA secteurs (% dev)"/>
      <sheetName val="Gr VA secteurs (% dev2)"/>
      <sheetName val="Gr VA secteurs (% share)"/>
      <sheetName val="Gr Y secteurs (% dev)"/>
      <sheetName val="Gr Y secteurs ctrb"/>
      <sheetName val="Gr Y secteurs (% share)"/>
    </sheetNames>
    <sheetDataSet>
      <sheetData sheetId="0">
        <row r="4">
          <cell r="C4">
            <v>42005</v>
          </cell>
          <cell r="D4">
            <v>42370</v>
          </cell>
          <cell r="E4">
            <v>42736</v>
          </cell>
          <cell r="F4">
            <v>43101</v>
          </cell>
          <cell r="G4">
            <v>43466</v>
          </cell>
          <cell r="H4">
            <v>43831</v>
          </cell>
          <cell r="I4">
            <v>44197</v>
          </cell>
          <cell r="J4">
            <v>44562</v>
          </cell>
          <cell r="K4">
            <v>44927</v>
          </cell>
          <cell r="L4">
            <v>45292</v>
          </cell>
          <cell r="M4">
            <v>45658</v>
          </cell>
          <cell r="N4">
            <v>46023</v>
          </cell>
          <cell r="O4">
            <v>46388</v>
          </cell>
          <cell r="P4">
            <v>46753</v>
          </cell>
          <cell r="Q4">
            <v>47119</v>
          </cell>
          <cell r="R4">
            <v>47484</v>
          </cell>
          <cell r="S4">
            <v>47849</v>
          </cell>
          <cell r="T4">
            <v>48214</v>
          </cell>
          <cell r="U4">
            <v>48580</v>
          </cell>
          <cell r="V4">
            <v>48945</v>
          </cell>
          <cell r="W4">
            <v>49310</v>
          </cell>
          <cell r="X4">
            <v>49675</v>
          </cell>
          <cell r="Y4">
            <v>50041</v>
          </cell>
          <cell r="Z4">
            <v>50406</v>
          </cell>
          <cell r="AA4">
            <v>50771</v>
          </cell>
          <cell r="AB4">
            <v>51136</v>
          </cell>
          <cell r="AC4">
            <v>51502</v>
          </cell>
          <cell r="AD4">
            <v>51867</v>
          </cell>
          <cell r="AE4">
            <v>52232</v>
          </cell>
          <cell r="AF4">
            <v>52597</v>
          </cell>
          <cell r="AG4">
            <v>52963</v>
          </cell>
          <cell r="AH4">
            <v>53328</v>
          </cell>
          <cell r="AI4">
            <v>53693</v>
          </cell>
          <cell r="AJ4">
            <v>54058</v>
          </cell>
          <cell r="AK4">
            <v>54424</v>
          </cell>
          <cell r="AL4">
            <v>54789</v>
          </cell>
          <cell r="AM4">
            <v>55154</v>
          </cell>
          <cell r="AN4">
            <v>55519</v>
          </cell>
          <cell r="AO4">
            <v>55885</v>
          </cell>
          <cell r="AP4">
            <v>56250</v>
          </cell>
          <cell r="AQ4">
            <v>56615</v>
          </cell>
          <cell r="AR4">
            <v>56980</v>
          </cell>
          <cell r="AS4">
            <v>57346</v>
          </cell>
          <cell r="AT4">
            <v>57711</v>
          </cell>
          <cell r="AU4">
            <v>58076</v>
          </cell>
          <cell r="AV4">
            <v>58441</v>
          </cell>
          <cell r="AW4">
            <v>58807</v>
          </cell>
          <cell r="AX4">
            <v>59172</v>
          </cell>
          <cell r="AY4">
            <v>59537</v>
          </cell>
          <cell r="AZ4">
            <v>59902</v>
          </cell>
          <cell r="BA4">
            <v>60268</v>
          </cell>
          <cell r="BB4">
            <v>60633</v>
          </cell>
          <cell r="BC4">
            <v>60998</v>
          </cell>
          <cell r="BD4">
            <v>61363</v>
          </cell>
          <cell r="BE4">
            <v>61729</v>
          </cell>
          <cell r="BF4">
            <v>62094</v>
          </cell>
          <cell r="BG4">
            <v>62459</v>
          </cell>
          <cell r="BH4">
            <v>62824</v>
          </cell>
          <cell r="BI4">
            <v>63190</v>
          </cell>
          <cell r="BJ4">
            <v>63555</v>
          </cell>
          <cell r="BK4">
            <v>63920</v>
          </cell>
          <cell r="BL4">
            <v>64285</v>
          </cell>
          <cell r="BM4">
            <v>64651</v>
          </cell>
          <cell r="BN4">
            <v>65016</v>
          </cell>
          <cell r="BO4">
            <v>65381</v>
          </cell>
          <cell r="BP4">
            <v>65746</v>
          </cell>
          <cell r="BQ4">
            <v>66112</v>
          </cell>
          <cell r="BR4">
            <v>66477</v>
          </cell>
          <cell r="BS4">
            <v>66842</v>
          </cell>
          <cell r="BT4">
            <v>67207</v>
          </cell>
          <cell r="BU4">
            <v>67573</v>
          </cell>
          <cell r="BV4">
            <v>67938</v>
          </cell>
          <cell r="BW4">
            <v>68303</v>
          </cell>
          <cell r="BX4">
            <v>68668</v>
          </cell>
          <cell r="BY4">
            <v>69034</v>
          </cell>
          <cell r="BZ4">
            <v>69399</v>
          </cell>
          <cell r="CA4">
            <v>69764</v>
          </cell>
          <cell r="CB4">
            <v>70129</v>
          </cell>
          <cell r="CC4">
            <v>70495</v>
          </cell>
          <cell r="CD4">
            <v>70860</v>
          </cell>
          <cell r="CE4">
            <v>71225</v>
          </cell>
          <cell r="CF4">
            <v>71590</v>
          </cell>
          <cell r="CG4">
            <v>71956</v>
          </cell>
          <cell r="CH4">
            <v>72321</v>
          </cell>
          <cell r="CI4">
            <v>72686</v>
          </cell>
          <cell r="CJ4">
            <v>73051</v>
          </cell>
        </row>
        <row r="5">
          <cell r="C5">
            <v>0</v>
          </cell>
          <cell r="D5">
            <v>-0.11989295890919571</v>
          </cell>
          <cell r="E5">
            <v>-0.2564913650720313</v>
          </cell>
          <cell r="F5">
            <v>-0.40548218803949654</v>
          </cell>
          <cell r="G5">
            <v>-0.5625868560056535</v>
          </cell>
          <cell r="H5">
            <v>-0.72368591578868546</v>
          </cell>
          <cell r="I5">
            <v>-0.89397615754910342</v>
          </cell>
          <cell r="J5">
            <v>-1.2536848339774753</v>
          </cell>
          <cell r="K5">
            <v>-1.5465477388130644</v>
          </cell>
          <cell r="L5">
            <v>-1.4663796850371669</v>
          </cell>
          <cell r="M5">
            <v>-1.3499516421471625</v>
          </cell>
          <cell r="N5">
            <v>-1.2432807826123216</v>
          </cell>
          <cell r="O5">
            <v>-1.1740907821493396</v>
          </cell>
          <cell r="P5">
            <v>-1.1293824838973121</v>
          </cell>
          <cell r="Q5">
            <v>-1.0904536525910724</v>
          </cell>
          <cell r="R5">
            <v>-1.0594058486379065</v>
          </cell>
          <cell r="S5">
            <v>-1.0183572616020098</v>
          </cell>
          <cell r="T5">
            <v>-1.0154352355562501</v>
          </cell>
          <cell r="U5">
            <v>-1.037065636868395</v>
          </cell>
          <cell r="V5">
            <v>-1.0707668042763685</v>
          </cell>
          <cell r="W5">
            <v>-1.1090001761417945</v>
          </cell>
          <cell r="X5">
            <v>-1.1233479395032275</v>
          </cell>
          <cell r="Y5">
            <v>-1.1356564507584044</v>
          </cell>
          <cell r="Z5">
            <v>-1.147334199538641</v>
          </cell>
          <cell r="AA5">
            <v>-1.160195655963403</v>
          </cell>
          <cell r="AB5">
            <v>-1.1758545383770969</v>
          </cell>
          <cell r="AC5">
            <v>-1.1850823533255617</v>
          </cell>
          <cell r="AD5">
            <v>-1.1986687041575239</v>
          </cell>
          <cell r="AE5">
            <v>-1.2155170209160682</v>
          </cell>
          <cell r="AF5">
            <v>-1.2337160576910144</v>
          </cell>
          <cell r="AG5">
            <v>-1.2518586150598643</v>
          </cell>
          <cell r="AH5">
            <v>-1.2614657210244462</v>
          </cell>
          <cell r="AI5">
            <v>-1.2691587127149351</v>
          </cell>
          <cell r="AJ5">
            <v>-1.2732600629612678</v>
          </cell>
          <cell r="AK5">
            <v>-1.2703781735087571</v>
          </cell>
          <cell r="AL5">
            <v>-1.2540210547578035</v>
          </cell>
          <cell r="AM5">
            <v>-1.2342552264018036</v>
          </cell>
          <cell r="AN5">
            <v>-1.2131238461617344</v>
          </cell>
          <cell r="AO5">
            <v>-1.193489392035052</v>
          </cell>
          <cell r="AP5">
            <v>-1.1768444016053481</v>
          </cell>
          <cell r="AQ5">
            <v>-1.1637977662731003</v>
          </cell>
          <cell r="AR5">
            <v>-1.1511488370674505</v>
          </cell>
          <cell r="AS5">
            <v>-1.1416185393326339</v>
          </cell>
          <cell r="AT5">
            <v>-1.1346413446308934</v>
          </cell>
          <cell r="AU5">
            <v>-1.1294875920329184</v>
          </cell>
          <cell r="AV5">
            <v>-1.1253663585153451</v>
          </cell>
          <cell r="AW5">
            <v>-1.1192877374659904</v>
          </cell>
          <cell r="AX5">
            <v>-1.1126615212282309</v>
          </cell>
          <cell r="AY5">
            <v>-1.1051623325475934</v>
          </cell>
          <cell r="AZ5">
            <v>-1.0966302471387412</v>
          </cell>
          <cell r="BA5">
            <v>-1.0870101164449975</v>
          </cell>
          <cell r="BB5">
            <v>-1.0680057134171306</v>
          </cell>
          <cell r="BC5">
            <v>-1.060643959087848</v>
          </cell>
          <cell r="BD5">
            <v>-1.05568150858667</v>
          </cell>
          <cell r="BE5">
            <v>-1.0508163034356865</v>
          </cell>
          <cell r="BF5">
            <v>-1.0449263794827357</v>
          </cell>
          <cell r="BG5">
            <v>-1.0350781535410358</v>
          </cell>
          <cell r="BH5">
            <v>-1.0239183935763507</v>
          </cell>
          <cell r="BI5">
            <v>-1.0116250753056444</v>
          </cell>
          <cell r="BJ5">
            <v>-0.99847212863372059</v>
          </cell>
          <cell r="BK5">
            <v>-0.98467917066891175</v>
          </cell>
          <cell r="BL5">
            <v>-0.97007667068378378</v>
          </cell>
          <cell r="BM5">
            <v>-0.95496489217563596</v>
          </cell>
          <cell r="BN5">
            <v>-0.93936110914166759</v>
          </cell>
          <cell r="BO5">
            <v>-0.92326116455754281</v>
          </cell>
          <cell r="BP5">
            <v>-0.90665351933153504</v>
          </cell>
          <cell r="BQ5">
            <v>-0.88775550044941642</v>
          </cell>
          <cell r="BR5">
            <v>-0.86852547861959728</v>
          </cell>
          <cell r="BS5">
            <v>-0.84888739793921308</v>
          </cell>
          <cell r="BT5">
            <v>-0.82883728857620076</v>
          </cell>
          <cell r="BU5">
            <v>-0.80839951654047004</v>
          </cell>
          <cell r="BV5">
            <v>-0.78798787214297006</v>
          </cell>
          <cell r="BW5">
            <v>-0.7673256486760982</v>
          </cell>
          <cell r="BX5">
            <v>-0.74642452707111007</v>
          </cell>
          <cell r="BY5">
            <v>-0.72528794941011387</v>
          </cell>
          <cell r="BZ5">
            <v>-0.70391821298150248</v>
          </cell>
          <cell r="CA5">
            <v>-0.68132849998288059</v>
          </cell>
          <cell r="CB5">
            <v>-0.65872022851274359</v>
          </cell>
          <cell r="CC5">
            <v>-0.63600672294508165</v>
          </cell>
          <cell r="CD5">
            <v>-0.61315682225527857</v>
          </cell>
          <cell r="CE5">
            <v>-0.59016393322215421</v>
          </cell>
          <cell r="CF5">
            <v>-0.56801025030791541</v>
          </cell>
          <cell r="CG5">
            <v>-0.54588587020560908</v>
          </cell>
          <cell r="CH5">
            <v>-0.53146903557963476</v>
          </cell>
          <cell r="CI5">
            <v>-0.50280363543084849</v>
          </cell>
          <cell r="CJ5">
            <v>-0.9305997798967458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A71B5-42F5-4837-A3A1-83350F5EBD68}">
  <dimension ref="A1:CI8"/>
  <sheetViews>
    <sheetView topLeftCell="A5" workbookViewId="0">
      <selection activeCell="B8" sqref="B8:CI8"/>
    </sheetView>
  </sheetViews>
  <sheetFormatPr baseColWidth="10" defaultRowHeight="14.4" x14ac:dyDescent="0.3"/>
  <sheetData>
    <row r="1" spans="1:87" x14ac:dyDescent="0.3">
      <c r="B1" s="1">
        <f>[2]Données!C4</f>
        <v>42005</v>
      </c>
      <c r="C1" s="1">
        <f>[2]Données!D4</f>
        <v>42370</v>
      </c>
      <c r="D1" s="1">
        <f>[2]Données!E4</f>
        <v>42736</v>
      </c>
      <c r="E1" s="1">
        <f>[2]Données!F4</f>
        <v>43101</v>
      </c>
      <c r="F1" s="1">
        <f>[2]Données!G4</f>
        <v>43466</v>
      </c>
      <c r="G1" s="1">
        <f>[2]Données!H4</f>
        <v>43831</v>
      </c>
      <c r="H1" s="1">
        <f>[2]Données!I4</f>
        <v>44197</v>
      </c>
      <c r="I1" s="1">
        <f>[2]Données!J4</f>
        <v>44562</v>
      </c>
      <c r="J1" s="1">
        <f>[2]Données!K4</f>
        <v>44927</v>
      </c>
      <c r="K1" s="1">
        <f>[2]Données!L4</f>
        <v>45292</v>
      </c>
      <c r="L1" s="1">
        <f>[2]Données!M4</f>
        <v>45658</v>
      </c>
      <c r="M1" s="1">
        <f>[2]Données!N4</f>
        <v>46023</v>
      </c>
      <c r="N1" s="1">
        <f>[2]Données!O4</f>
        <v>46388</v>
      </c>
      <c r="O1" s="1">
        <f>[2]Données!P4</f>
        <v>46753</v>
      </c>
      <c r="P1" s="1">
        <f>[2]Données!Q4</f>
        <v>47119</v>
      </c>
      <c r="Q1" s="1">
        <f>[2]Données!R4</f>
        <v>47484</v>
      </c>
      <c r="R1" s="1">
        <f>[2]Données!S4</f>
        <v>47849</v>
      </c>
      <c r="S1" s="1">
        <f>[2]Données!T4</f>
        <v>48214</v>
      </c>
      <c r="T1" s="1">
        <f>[2]Données!U4</f>
        <v>48580</v>
      </c>
      <c r="U1" s="1">
        <f>[2]Données!V4</f>
        <v>48945</v>
      </c>
      <c r="V1" s="1">
        <f>[2]Données!W4</f>
        <v>49310</v>
      </c>
      <c r="W1" s="1">
        <f>[2]Données!X4</f>
        <v>49675</v>
      </c>
      <c r="X1" s="1">
        <f>[2]Données!Y4</f>
        <v>50041</v>
      </c>
      <c r="Y1" s="1">
        <f>[2]Données!Z4</f>
        <v>50406</v>
      </c>
      <c r="Z1" s="1">
        <f>[2]Données!AA4</f>
        <v>50771</v>
      </c>
      <c r="AA1" s="1">
        <f>[2]Données!AB4</f>
        <v>51136</v>
      </c>
      <c r="AB1" s="1">
        <f>[2]Données!AC4</f>
        <v>51502</v>
      </c>
      <c r="AC1" s="1">
        <f>[2]Données!AD4</f>
        <v>51867</v>
      </c>
      <c r="AD1" s="1">
        <f>[2]Données!AE4</f>
        <v>52232</v>
      </c>
      <c r="AE1" s="1">
        <f>[2]Données!AF4</f>
        <v>52597</v>
      </c>
      <c r="AF1" s="1">
        <f>[2]Données!AG4</f>
        <v>52963</v>
      </c>
      <c r="AG1" s="1">
        <f>[2]Données!AH4</f>
        <v>53328</v>
      </c>
      <c r="AH1" s="1">
        <f>[2]Données!AI4</f>
        <v>53693</v>
      </c>
      <c r="AI1" s="1">
        <f>[2]Données!AJ4</f>
        <v>54058</v>
      </c>
      <c r="AJ1" s="1">
        <f>[2]Données!AK4</f>
        <v>54424</v>
      </c>
      <c r="AK1" s="1">
        <f>[2]Données!AL4</f>
        <v>54789</v>
      </c>
      <c r="AL1" s="1">
        <f>[2]Données!AM4</f>
        <v>55154</v>
      </c>
      <c r="AM1" s="1">
        <f>[2]Données!AN4</f>
        <v>55519</v>
      </c>
      <c r="AN1" s="1">
        <f>[2]Données!AO4</f>
        <v>55885</v>
      </c>
      <c r="AO1" s="1">
        <f>[2]Données!AP4</f>
        <v>56250</v>
      </c>
      <c r="AP1" s="1">
        <f>[2]Données!AQ4</f>
        <v>56615</v>
      </c>
      <c r="AQ1" s="1">
        <f>[2]Données!AR4</f>
        <v>56980</v>
      </c>
      <c r="AR1" s="1">
        <f>[2]Données!AS4</f>
        <v>57346</v>
      </c>
      <c r="AS1" s="1">
        <f>[2]Données!AT4</f>
        <v>57711</v>
      </c>
      <c r="AT1" s="1">
        <f>[2]Données!AU4</f>
        <v>58076</v>
      </c>
      <c r="AU1" s="1">
        <f>[2]Données!AV4</f>
        <v>58441</v>
      </c>
      <c r="AV1" s="1">
        <f>[2]Données!AW4</f>
        <v>58807</v>
      </c>
      <c r="AW1" s="1">
        <f>[2]Données!AX4</f>
        <v>59172</v>
      </c>
      <c r="AX1" s="1">
        <f>[2]Données!AY4</f>
        <v>59537</v>
      </c>
      <c r="AY1" s="1">
        <f>[2]Données!AZ4</f>
        <v>59902</v>
      </c>
      <c r="AZ1" s="1">
        <f>[2]Données!BA4</f>
        <v>60268</v>
      </c>
      <c r="BA1" s="1">
        <f>[2]Données!BB4</f>
        <v>60633</v>
      </c>
      <c r="BB1" s="1">
        <f>[2]Données!BC4</f>
        <v>60998</v>
      </c>
      <c r="BC1" s="1">
        <f>[2]Données!BD4</f>
        <v>61363</v>
      </c>
      <c r="BD1" s="1">
        <f>[2]Données!BE4</f>
        <v>61729</v>
      </c>
      <c r="BE1" s="1">
        <f>[2]Données!BF4</f>
        <v>62094</v>
      </c>
      <c r="BF1" s="1">
        <f>[2]Données!BG4</f>
        <v>62459</v>
      </c>
      <c r="BG1" s="1">
        <f>[2]Données!BH4</f>
        <v>62824</v>
      </c>
      <c r="BH1" s="1">
        <f>[2]Données!BI4</f>
        <v>63190</v>
      </c>
      <c r="BI1" s="1">
        <f>[2]Données!BJ4</f>
        <v>63555</v>
      </c>
      <c r="BJ1" s="1">
        <f>[2]Données!BK4</f>
        <v>63920</v>
      </c>
      <c r="BK1" s="1">
        <f>[2]Données!BL4</f>
        <v>64285</v>
      </c>
      <c r="BL1" s="1">
        <f>[2]Données!BM4</f>
        <v>64651</v>
      </c>
      <c r="BM1" s="1">
        <f>[2]Données!BN4</f>
        <v>65016</v>
      </c>
      <c r="BN1" s="1">
        <f>[2]Données!BO4</f>
        <v>65381</v>
      </c>
      <c r="BO1" s="1">
        <f>[2]Données!BP4</f>
        <v>65746</v>
      </c>
      <c r="BP1" s="1">
        <f>[2]Données!BQ4</f>
        <v>66112</v>
      </c>
      <c r="BQ1" s="1">
        <f>[2]Données!BR4</f>
        <v>66477</v>
      </c>
      <c r="BR1" s="1">
        <f>[2]Données!BS4</f>
        <v>66842</v>
      </c>
      <c r="BS1" s="1">
        <f>[2]Données!BT4</f>
        <v>67207</v>
      </c>
      <c r="BT1" s="1">
        <f>[2]Données!BU4</f>
        <v>67573</v>
      </c>
      <c r="BU1" s="1">
        <f>[2]Données!BV4</f>
        <v>67938</v>
      </c>
      <c r="BV1" s="1">
        <f>[2]Données!BW4</f>
        <v>68303</v>
      </c>
      <c r="BW1" s="1">
        <f>[2]Données!BX4</f>
        <v>68668</v>
      </c>
      <c r="BX1" s="1">
        <f>[2]Données!BY4</f>
        <v>69034</v>
      </c>
      <c r="BY1" s="1">
        <f>[2]Données!BZ4</f>
        <v>69399</v>
      </c>
      <c r="BZ1" s="1">
        <f>[2]Données!CA4</f>
        <v>69764</v>
      </c>
      <c r="CA1" s="1">
        <f>[2]Données!CB4</f>
        <v>70129</v>
      </c>
      <c r="CB1" s="1">
        <f>[2]Données!CC4</f>
        <v>70495</v>
      </c>
      <c r="CC1" s="1">
        <f>[2]Données!CD4</f>
        <v>70860</v>
      </c>
      <c r="CD1" s="1">
        <f>[2]Données!CE4</f>
        <v>71225</v>
      </c>
      <c r="CE1" s="1">
        <f>[2]Données!CF4</f>
        <v>71590</v>
      </c>
      <c r="CF1" s="1">
        <f>[2]Données!CG4</f>
        <v>71956</v>
      </c>
      <c r="CG1" s="1">
        <f>[2]Données!CH4</f>
        <v>72321</v>
      </c>
      <c r="CH1" s="1">
        <f>[2]Données!CI4</f>
        <v>72686</v>
      </c>
      <c r="CI1" s="1">
        <f>[2]Données!CJ4</f>
        <v>73051</v>
      </c>
    </row>
    <row r="2" spans="1:87" x14ac:dyDescent="0.3">
      <c r="A2" t="s">
        <v>0</v>
      </c>
      <c r="B2" s="2">
        <f>[1]Données!C5</f>
        <v>0</v>
      </c>
      <c r="C2" s="2">
        <f>[1]Données!D5</f>
        <v>0</v>
      </c>
      <c r="D2" s="2">
        <f>[1]Données!E5</f>
        <v>0</v>
      </c>
      <c r="E2" s="2">
        <f>[1]Données!F5</f>
        <v>0</v>
      </c>
      <c r="F2" s="2">
        <f>[1]Données!G5</f>
        <v>0</v>
      </c>
      <c r="G2" s="2">
        <f>[1]Données!H5</f>
        <v>0</v>
      </c>
      <c r="H2" s="2">
        <f>[1]Données!I5</f>
        <v>0</v>
      </c>
      <c r="I2" s="2">
        <f>[1]Données!J5</f>
        <v>-0.19694161232846064</v>
      </c>
      <c r="J2" s="2">
        <f>[1]Données!K5</f>
        <v>-0.32910460472266312</v>
      </c>
      <c r="K2" s="2">
        <f>[1]Données!L5</f>
        <v>-8.0637713317255333E-2</v>
      </c>
      <c r="L2" s="2">
        <f>[1]Données!M5</f>
        <v>0.20258876617191834</v>
      </c>
      <c r="M2" s="2">
        <f>[1]Données!N5</f>
        <v>0.45424694424371914</v>
      </c>
      <c r="N2" s="2">
        <f>[1]Données!O5</f>
        <v>0.6611727771178133</v>
      </c>
      <c r="O2" s="2">
        <f>[1]Données!P5</f>
        <v>0.83719057505624583</v>
      </c>
      <c r="P2" s="2">
        <f>[1]Données!Q5</f>
        <v>1.0028947161887292</v>
      </c>
      <c r="Q2" s="2">
        <f>[1]Données!R5</f>
        <v>1.1571750805414949</v>
      </c>
      <c r="R2" s="2">
        <f>[1]Données!S5</f>
        <v>1.2887400597361598</v>
      </c>
      <c r="S2" s="2">
        <f>[1]Données!T5</f>
        <v>1.3742398781701581</v>
      </c>
      <c r="T2" s="2">
        <f>[1]Données!U5</f>
        <v>1.4290171313425803</v>
      </c>
      <c r="U2" s="2">
        <f>[1]Données!V5</f>
        <v>1.4675920150303501</v>
      </c>
      <c r="V2" s="2">
        <f>[1]Données!W5</f>
        <v>1.4991113762324426</v>
      </c>
      <c r="W2" s="2">
        <f>[1]Données!X5</f>
        <v>1.5278210019538108</v>
      </c>
      <c r="X2" s="2">
        <f>[1]Données!Y5</f>
        <v>1.5537649183268609</v>
      </c>
      <c r="Y2" s="2">
        <f>[1]Données!Z5</f>
        <v>1.5768060907918269</v>
      </c>
      <c r="Z2" s="2">
        <f>[1]Données!AA5</f>
        <v>1.5965658939140592</v>
      </c>
      <c r="AA2" s="2">
        <f>[1]Données!AB5</f>
        <v>1.6125052003735707</v>
      </c>
      <c r="AB2" s="2">
        <f>[1]Données!AC5</f>
        <v>1.6238872985003372</v>
      </c>
      <c r="AC2" s="2">
        <f>[1]Données!AD5</f>
        <v>1.6292175777404383</v>
      </c>
      <c r="AD2" s="2">
        <f>[1]Données!AE5</f>
        <v>1.6302196584468298</v>
      </c>
      <c r="AE2" s="2">
        <f>[1]Données!AF5</f>
        <v>1.6294193971467585</v>
      </c>
      <c r="AF2" s="2">
        <f>[1]Données!AG5</f>
        <v>1.628626915129705</v>
      </c>
      <c r="AG2" s="2">
        <f>[1]Données!AH5</f>
        <v>1.6291172996173886</v>
      </c>
      <c r="AH2" s="2">
        <f>[1]Données!AI5</f>
        <v>1.6304594714892096</v>
      </c>
      <c r="AI2" s="2">
        <f>[1]Données!AJ5</f>
        <v>1.6346407218347014</v>
      </c>
      <c r="AJ2" s="2">
        <f>[1]Données!AK5</f>
        <v>1.6454229613436233</v>
      </c>
      <c r="AK2" s="2">
        <f>[1]Données!AL5</f>
        <v>1.6696180039645014</v>
      </c>
      <c r="AL2" s="2">
        <f>[1]Données!AM5</f>
        <v>1.6889441686418261</v>
      </c>
      <c r="AM2" s="2">
        <f>[1]Données!AN5</f>
        <v>1.7078428405991497</v>
      </c>
      <c r="AN2" s="2">
        <f>[1]Données!AO5</f>
        <v>1.7236337283863978</v>
      </c>
      <c r="AO2" s="2">
        <f>[1]Données!AP5</f>
        <v>1.7349248053407429</v>
      </c>
      <c r="AP2" s="2">
        <f>[1]Données!AQ5</f>
        <v>1.7411540936693504</v>
      </c>
      <c r="AQ2" s="2">
        <f>[1]Données!AR5</f>
        <v>1.7428896953826323</v>
      </c>
      <c r="AR2" s="2">
        <f>[1]Données!AS5</f>
        <v>1.7398540828657216</v>
      </c>
      <c r="AS2" s="2">
        <f>[1]Données!AT5</f>
        <v>1.7329147309208093</v>
      </c>
      <c r="AT2" s="2">
        <f>[1]Données!AU5</f>
        <v>1.7230862359691956</v>
      </c>
      <c r="AU2" s="2">
        <f>[1]Données!AV5</f>
        <v>1.7113712076963328</v>
      </c>
      <c r="AV2" s="2">
        <f>[1]Données!AW5</f>
        <v>1.6991510984826208</v>
      </c>
      <c r="AW2" s="2">
        <f>[1]Données!AX5</f>
        <v>1.6866072217296857</v>
      </c>
      <c r="AX2" s="2">
        <f>[1]Données!AY5</f>
        <v>1.6742464005973456</v>
      </c>
      <c r="AY2" s="2">
        <f>[1]Données!AZ5</f>
        <v>1.6623965816549013</v>
      </c>
      <c r="AZ2" s="2">
        <f>[1]Données!BA5</f>
        <v>1.6512509308354018</v>
      </c>
      <c r="BA2" s="2">
        <f>[1]Données!BB5</f>
        <v>1.6524822554548013</v>
      </c>
      <c r="BB2" s="2">
        <f>[1]Données!BC5</f>
        <v>1.6450248394999534</v>
      </c>
      <c r="BC2" s="2">
        <f>[1]Données!BD5</f>
        <v>1.6348458928615806</v>
      </c>
      <c r="BD2" s="2">
        <f>[1]Données!BE5</f>
        <v>1.6242837620730421</v>
      </c>
      <c r="BE2" s="2">
        <f>[1]Données!BF5</f>
        <v>1.6146046053609364</v>
      </c>
      <c r="BF2" s="2">
        <f>[1]Données!BG5</f>
        <v>1.6075645605232003</v>
      </c>
      <c r="BG2" s="2">
        <f>[1]Données!BH5</f>
        <v>1.6016081837933793</v>
      </c>
      <c r="BH2" s="2">
        <f>[1]Données!BI5</f>
        <v>1.5966635898912562</v>
      </c>
      <c r="BI2" s="2">
        <f>[1]Données!BJ5</f>
        <v>1.5925545300034649</v>
      </c>
      <c r="BJ2" s="2">
        <f>[1]Données!BK5</f>
        <v>1.5891372665503889</v>
      </c>
      <c r="BK2" s="2">
        <f>[1]Données!BL5</f>
        <v>1.5863392639233309</v>
      </c>
      <c r="BL2" s="2">
        <f>[1]Données!BM5</f>
        <v>1.5841510083471011</v>
      </c>
      <c r="BM2" s="2">
        <f>[1]Données!BN5</f>
        <v>1.5826012084538377</v>
      </c>
      <c r="BN2" s="2">
        <f>[1]Données!BO5</f>
        <v>1.5817315368870766</v>
      </c>
      <c r="BO2" s="2">
        <f>[1]Données!BP5</f>
        <v>1.5815791282935976</v>
      </c>
      <c r="BP2" s="2">
        <f>[1]Données!BQ5</f>
        <v>1.5833859626567248</v>
      </c>
      <c r="BQ2" s="2">
        <f>[1]Données!BR5</f>
        <v>1.585692472380229</v>
      </c>
      <c r="BR2" s="2">
        <f>[1]Données!BS5</f>
        <v>1.5886108369449925</v>
      </c>
      <c r="BS2" s="2">
        <f>[1]Données!BT5</f>
        <v>1.5921782276750784</v>
      </c>
      <c r="BT2" s="2">
        <f>[1]Données!BU5</f>
        <v>1.5963952313138297</v>
      </c>
      <c r="BU2" s="2">
        <f>[1]Données!BV5</f>
        <v>1.6012455941350368</v>
      </c>
      <c r="BV2" s="2">
        <f>[1]Données!BW5</f>
        <v>1.6067094578869234</v>
      </c>
      <c r="BW2" s="2">
        <f>[1]Données!BX5</f>
        <v>1.6127694246065971</v>
      </c>
      <c r="BX2" s="2">
        <f>[1]Données!BY5</f>
        <v>1.6194122415741141</v>
      </c>
      <c r="BY2" s="2">
        <f>[1]Données!BZ5</f>
        <v>1.6266274009712811</v>
      </c>
      <c r="BZ2" s="2">
        <f>[1]Données!CA5</f>
        <v>1.6354020493762667</v>
      </c>
      <c r="CA2" s="2">
        <f>[1]Données!CB5</f>
        <v>1.6445477994649904</v>
      </c>
      <c r="CB2" s="2">
        <f>[1]Données!CC5</f>
        <v>1.6541465898829877</v>
      </c>
      <c r="CC2" s="2">
        <f>[1]Données!CD5</f>
        <v>1.6642258451554426</v>
      </c>
      <c r="CD2" s="2">
        <f>[1]Données!CE5</f>
        <v>1.6747892448942148</v>
      </c>
      <c r="CE2" s="2">
        <f>[1]Données!CF5</f>
        <v>1.6858325017146347</v>
      </c>
      <c r="CF2" s="2">
        <f>[1]Données!CG5</f>
        <v>1.6973521339859632</v>
      </c>
      <c r="CG2" s="2">
        <f>[1]Données!CH5</f>
        <v>1.7093489455747068</v>
      </c>
      <c r="CH2" s="2">
        <f>[1]Données!CI5</f>
        <v>1.7218275243293002</v>
      </c>
      <c r="CI2" s="2">
        <f>[1]Données!CJ5</f>
        <v>1.7347940252342653</v>
      </c>
    </row>
    <row r="3" spans="1:87" x14ac:dyDescent="0.3">
      <c r="A3" t="s">
        <v>3</v>
      </c>
      <c r="B3" s="2">
        <f>[2]Données!C5</f>
        <v>0</v>
      </c>
      <c r="C3" s="2">
        <f>[2]Données!D5</f>
        <v>-0.11989295890919571</v>
      </c>
      <c r="D3" s="2">
        <f>[2]Données!E5</f>
        <v>-0.2564913650720313</v>
      </c>
      <c r="E3" s="2">
        <f>[2]Données!F5</f>
        <v>-0.40548218803949654</v>
      </c>
      <c r="F3" s="2">
        <f>[2]Données!G5</f>
        <v>-0.5625868560056535</v>
      </c>
      <c r="G3" s="2">
        <f>[2]Données!H5</f>
        <v>-0.72368591578868546</v>
      </c>
      <c r="H3" s="2">
        <f>[2]Données!I5</f>
        <v>-0.89397615754910342</v>
      </c>
      <c r="I3" s="2">
        <f>[2]Données!J5</f>
        <v>-1.2536848339774753</v>
      </c>
      <c r="J3" s="2">
        <f>[2]Données!K5</f>
        <v>-1.5465477388130644</v>
      </c>
      <c r="K3" s="2">
        <f>[2]Données!L5</f>
        <v>-1.4663796850371669</v>
      </c>
      <c r="L3" s="2">
        <f>[2]Données!M5</f>
        <v>-1.3499516421471625</v>
      </c>
      <c r="M3" s="2">
        <f>[2]Données!N5</f>
        <v>-1.2432807826123216</v>
      </c>
      <c r="N3" s="2">
        <f>[2]Données!O5</f>
        <v>-1.1740907821493396</v>
      </c>
      <c r="O3" s="2">
        <f>[2]Données!P5</f>
        <v>-1.1293824838973121</v>
      </c>
      <c r="P3" s="2">
        <f>[2]Données!Q5</f>
        <v>-1.0904536525910724</v>
      </c>
      <c r="Q3" s="2">
        <f>[2]Données!R5</f>
        <v>-1.0594058486379065</v>
      </c>
      <c r="R3" s="2">
        <f>[2]Données!S5</f>
        <v>-1.0183572616020098</v>
      </c>
      <c r="S3" s="2">
        <f>[2]Données!T5</f>
        <v>-1.0154352355562501</v>
      </c>
      <c r="T3" s="2">
        <f>[2]Données!U5</f>
        <v>-1.037065636868395</v>
      </c>
      <c r="U3" s="2">
        <f>[2]Données!V5</f>
        <v>-1.0707668042763685</v>
      </c>
      <c r="V3" s="2">
        <f>[2]Données!W5</f>
        <v>-1.1090001761417945</v>
      </c>
      <c r="W3" s="2">
        <f>[2]Données!X5</f>
        <v>-1.1233479395032275</v>
      </c>
      <c r="X3" s="2">
        <f>[2]Données!Y5</f>
        <v>-1.1356564507584044</v>
      </c>
      <c r="Y3" s="2">
        <f>[2]Données!Z5</f>
        <v>-1.147334199538641</v>
      </c>
      <c r="Z3" s="2">
        <f>[2]Données!AA5</f>
        <v>-1.160195655963403</v>
      </c>
      <c r="AA3" s="2">
        <f>[2]Données!AB5</f>
        <v>-1.1758545383770969</v>
      </c>
      <c r="AB3" s="2">
        <f>[2]Données!AC5</f>
        <v>-1.1850823533255617</v>
      </c>
      <c r="AC3" s="2">
        <f>[2]Données!AD5</f>
        <v>-1.1986687041575239</v>
      </c>
      <c r="AD3" s="2">
        <f>[2]Données!AE5</f>
        <v>-1.2155170209160682</v>
      </c>
      <c r="AE3" s="2">
        <f>[2]Données!AF5</f>
        <v>-1.2337160576910144</v>
      </c>
      <c r="AF3" s="2">
        <f>[2]Données!AG5</f>
        <v>-1.2518586150598643</v>
      </c>
      <c r="AG3" s="2">
        <f>[2]Données!AH5</f>
        <v>-1.2614657210244462</v>
      </c>
      <c r="AH3" s="2">
        <f>[2]Données!AI5</f>
        <v>-1.2691587127149351</v>
      </c>
      <c r="AI3" s="2">
        <f>[2]Données!AJ5</f>
        <v>-1.2732600629612678</v>
      </c>
      <c r="AJ3" s="2">
        <f>[2]Données!AK5</f>
        <v>-1.2703781735087571</v>
      </c>
      <c r="AK3" s="2">
        <f>[2]Données!AL5</f>
        <v>-1.2540210547578035</v>
      </c>
      <c r="AL3" s="2">
        <f>[2]Données!AM5</f>
        <v>-1.2342552264018036</v>
      </c>
      <c r="AM3" s="2">
        <f>[2]Données!AN5</f>
        <v>-1.2131238461617344</v>
      </c>
      <c r="AN3" s="2">
        <f>[2]Données!AO5</f>
        <v>-1.193489392035052</v>
      </c>
      <c r="AO3" s="2">
        <f>[2]Données!AP5</f>
        <v>-1.1768444016053481</v>
      </c>
      <c r="AP3" s="2">
        <f>[2]Données!AQ5</f>
        <v>-1.1637977662731003</v>
      </c>
      <c r="AQ3" s="2">
        <f>[2]Données!AR5</f>
        <v>-1.1511488370674505</v>
      </c>
      <c r="AR3" s="2">
        <f>[2]Données!AS5</f>
        <v>-1.1416185393326339</v>
      </c>
      <c r="AS3" s="2">
        <f>[2]Données!AT5</f>
        <v>-1.1346413446308934</v>
      </c>
      <c r="AT3" s="2">
        <f>[2]Données!AU5</f>
        <v>-1.1294875920329184</v>
      </c>
      <c r="AU3" s="2">
        <f>[2]Données!AV5</f>
        <v>-1.1253663585153451</v>
      </c>
      <c r="AV3" s="2">
        <f>[2]Données!AW5</f>
        <v>-1.1192877374659904</v>
      </c>
      <c r="AW3" s="2">
        <f>[2]Données!AX5</f>
        <v>-1.1126615212282309</v>
      </c>
      <c r="AX3" s="2">
        <f>[2]Données!AY5</f>
        <v>-1.1051623325475934</v>
      </c>
      <c r="AY3" s="2">
        <f>[2]Données!AZ5</f>
        <v>-1.0966302471387412</v>
      </c>
      <c r="AZ3" s="2">
        <f>[2]Données!BA5</f>
        <v>-1.0870101164449975</v>
      </c>
      <c r="BA3" s="2">
        <f>[2]Données!BB5</f>
        <v>-1.0680057134171306</v>
      </c>
      <c r="BB3" s="2">
        <f>[2]Données!BC5</f>
        <v>-1.060643959087848</v>
      </c>
      <c r="BC3" s="2">
        <f>[2]Données!BD5</f>
        <v>-1.05568150858667</v>
      </c>
      <c r="BD3" s="2">
        <f>[2]Données!BE5</f>
        <v>-1.0508163034356865</v>
      </c>
      <c r="BE3" s="2">
        <f>[2]Données!BF5</f>
        <v>-1.0449263794827357</v>
      </c>
      <c r="BF3" s="2">
        <f>[2]Données!BG5</f>
        <v>-1.0350781535410358</v>
      </c>
      <c r="BG3" s="2">
        <f>[2]Données!BH5</f>
        <v>-1.0239183935763507</v>
      </c>
      <c r="BH3" s="2">
        <f>[2]Données!BI5</f>
        <v>-1.0116250753056444</v>
      </c>
      <c r="BI3" s="2">
        <f>[2]Données!BJ5</f>
        <v>-0.99847212863372059</v>
      </c>
      <c r="BJ3" s="2">
        <f>[2]Données!BK5</f>
        <v>-0.98467917066891175</v>
      </c>
      <c r="BK3" s="2">
        <f>[2]Données!BL5</f>
        <v>-0.97007667068378378</v>
      </c>
      <c r="BL3" s="2">
        <f>[2]Données!BM5</f>
        <v>-0.95496489217563596</v>
      </c>
      <c r="BM3" s="2">
        <f>[2]Données!BN5</f>
        <v>-0.93936110914166759</v>
      </c>
      <c r="BN3" s="2">
        <f>[2]Données!BO5</f>
        <v>-0.92326116455754281</v>
      </c>
      <c r="BO3" s="2">
        <f>[2]Données!BP5</f>
        <v>-0.90665351933153504</v>
      </c>
      <c r="BP3" s="2">
        <f>[2]Données!BQ5</f>
        <v>-0.88775550044941642</v>
      </c>
      <c r="BQ3" s="2">
        <f>[2]Données!BR5</f>
        <v>-0.86852547861959728</v>
      </c>
      <c r="BR3" s="2">
        <f>[2]Données!BS5</f>
        <v>-0.84888739793921308</v>
      </c>
      <c r="BS3" s="2">
        <f>[2]Données!BT5</f>
        <v>-0.82883728857620076</v>
      </c>
      <c r="BT3" s="2">
        <f>[2]Données!BU5</f>
        <v>-0.80839951654047004</v>
      </c>
      <c r="BU3" s="2">
        <f>[2]Données!BV5</f>
        <v>-0.78798787214297006</v>
      </c>
      <c r="BV3" s="2">
        <f>[2]Données!BW5</f>
        <v>-0.7673256486760982</v>
      </c>
      <c r="BW3" s="2">
        <f>[2]Données!BX5</f>
        <v>-0.74642452707111007</v>
      </c>
      <c r="BX3" s="2">
        <f>[2]Données!BY5</f>
        <v>-0.72528794941011387</v>
      </c>
      <c r="BY3" s="2">
        <f>[2]Données!BZ5</f>
        <v>-0.70391821298150248</v>
      </c>
      <c r="BZ3" s="2">
        <f>[2]Données!CA5</f>
        <v>-0.68132849998288059</v>
      </c>
      <c r="CA3" s="2">
        <f>[2]Données!CB5</f>
        <v>-0.65872022851274359</v>
      </c>
      <c r="CB3" s="2">
        <f>[2]Données!CC5</f>
        <v>-0.63600672294508165</v>
      </c>
      <c r="CC3" s="2">
        <f>[2]Données!CD5</f>
        <v>-0.61315682225527857</v>
      </c>
      <c r="CD3" s="2">
        <f>[2]Données!CE5</f>
        <v>-0.59016393322215421</v>
      </c>
      <c r="CE3" s="2">
        <f>[2]Données!CF5</f>
        <v>-0.56801025030791541</v>
      </c>
      <c r="CF3" s="2">
        <f>[2]Données!CG5</f>
        <v>-0.54588587020560908</v>
      </c>
      <c r="CG3" s="2">
        <f>[2]Données!CH5</f>
        <v>-0.53146903557963476</v>
      </c>
      <c r="CH3" s="2">
        <f>[2]Données!CI5</f>
        <v>-0.50280363543084849</v>
      </c>
      <c r="CI3" s="2">
        <f>[2]Données!CJ5</f>
        <v>-0.9305997798967458</v>
      </c>
    </row>
    <row r="5" spans="1:87" x14ac:dyDescent="0.3">
      <c r="B5" s="1">
        <v>42005</v>
      </c>
      <c r="C5" s="1">
        <v>42370</v>
      </c>
      <c r="D5" s="1">
        <v>42736</v>
      </c>
      <c r="E5" s="1">
        <v>43101</v>
      </c>
      <c r="F5" s="1">
        <v>43466</v>
      </c>
      <c r="G5" s="1">
        <v>43831</v>
      </c>
      <c r="H5" s="1">
        <v>44197</v>
      </c>
      <c r="I5" s="1">
        <v>44562</v>
      </c>
      <c r="J5" s="1">
        <v>44927</v>
      </c>
      <c r="K5" s="1">
        <v>45292</v>
      </c>
      <c r="L5" s="1">
        <v>45658</v>
      </c>
      <c r="M5" s="1">
        <v>46023</v>
      </c>
      <c r="N5" s="1">
        <v>46388</v>
      </c>
      <c r="O5" s="1">
        <v>46753</v>
      </c>
      <c r="P5" s="1">
        <v>47119</v>
      </c>
      <c r="Q5" s="1">
        <v>47484</v>
      </c>
      <c r="R5" s="1">
        <v>47849</v>
      </c>
      <c r="S5" s="1">
        <v>48214</v>
      </c>
      <c r="T5" s="1">
        <v>48580</v>
      </c>
      <c r="U5" s="1">
        <v>48945</v>
      </c>
      <c r="V5" s="1">
        <v>49310</v>
      </c>
      <c r="W5" s="1">
        <v>49675</v>
      </c>
      <c r="X5" s="1">
        <v>50041</v>
      </c>
      <c r="Y5" s="1">
        <v>50406</v>
      </c>
      <c r="Z5" s="1">
        <v>50771</v>
      </c>
      <c r="AA5" s="1">
        <v>51136</v>
      </c>
      <c r="AB5" s="1">
        <v>51502</v>
      </c>
      <c r="AC5" s="1">
        <v>51867</v>
      </c>
      <c r="AD5" s="1">
        <v>52232</v>
      </c>
      <c r="AE5" s="1">
        <v>52597</v>
      </c>
      <c r="AF5" s="1">
        <v>52963</v>
      </c>
      <c r="AG5" s="1">
        <v>53328</v>
      </c>
      <c r="AH5" s="1">
        <v>53693</v>
      </c>
      <c r="AI5" s="1">
        <v>54058</v>
      </c>
      <c r="AJ5" s="1">
        <v>54424</v>
      </c>
      <c r="AK5" s="1">
        <v>54789</v>
      </c>
      <c r="AL5" s="1">
        <v>55154</v>
      </c>
      <c r="AM5" s="1">
        <v>55519</v>
      </c>
      <c r="AN5" s="1">
        <v>55885</v>
      </c>
      <c r="AO5" s="1">
        <v>56250</v>
      </c>
      <c r="AP5" s="1">
        <v>56615</v>
      </c>
      <c r="AQ5" s="1">
        <v>56980</v>
      </c>
      <c r="AR5" s="1">
        <v>57346</v>
      </c>
      <c r="AS5" s="1">
        <v>57711</v>
      </c>
      <c r="AT5" s="1">
        <v>58076</v>
      </c>
      <c r="AU5" s="1">
        <v>58441</v>
      </c>
      <c r="AV5" s="1">
        <v>58807</v>
      </c>
      <c r="AW5" s="1">
        <v>59172</v>
      </c>
      <c r="AX5" s="1">
        <v>59537</v>
      </c>
      <c r="AY5" s="1">
        <v>59902</v>
      </c>
      <c r="AZ5" s="1">
        <v>60268</v>
      </c>
      <c r="BA5" s="1">
        <v>60633</v>
      </c>
      <c r="BB5" s="1">
        <v>60998</v>
      </c>
      <c r="BC5" s="1">
        <v>61363</v>
      </c>
      <c r="BD5" s="1">
        <v>61729</v>
      </c>
      <c r="BE5" s="1">
        <v>62094</v>
      </c>
      <c r="BF5" s="1">
        <v>62459</v>
      </c>
      <c r="BG5" s="1">
        <v>62824</v>
      </c>
      <c r="BH5" s="1">
        <v>63190</v>
      </c>
      <c r="BI5" s="1">
        <v>63555</v>
      </c>
      <c r="BJ5" s="1">
        <v>63920</v>
      </c>
      <c r="BK5" s="1">
        <v>64285</v>
      </c>
      <c r="BL5" s="1">
        <v>64651</v>
      </c>
      <c r="BM5" s="1">
        <v>65016</v>
      </c>
      <c r="BN5" s="1">
        <v>65381</v>
      </c>
      <c r="BO5" s="1">
        <v>65746</v>
      </c>
      <c r="BP5" s="1">
        <v>66112</v>
      </c>
      <c r="BQ5" s="1">
        <v>66477</v>
      </c>
      <c r="BR5" s="1">
        <v>66842</v>
      </c>
      <c r="BS5" s="1">
        <v>67207</v>
      </c>
      <c r="BT5" s="1">
        <v>67573</v>
      </c>
      <c r="BU5" s="1">
        <v>67938</v>
      </c>
      <c r="BV5" s="1">
        <v>68303</v>
      </c>
      <c r="BW5" s="1">
        <v>68668</v>
      </c>
      <c r="BX5" s="1">
        <v>69034</v>
      </c>
      <c r="BY5" s="1">
        <v>69399</v>
      </c>
      <c r="BZ5" s="1">
        <v>69764</v>
      </c>
      <c r="CA5" s="1">
        <v>70129</v>
      </c>
      <c r="CB5" s="1">
        <v>70495</v>
      </c>
      <c r="CC5" s="1">
        <v>70860</v>
      </c>
      <c r="CD5" s="1">
        <v>71225</v>
      </c>
      <c r="CE5" s="1">
        <v>71590</v>
      </c>
      <c r="CF5" s="1">
        <v>71956</v>
      </c>
      <c r="CG5" s="1">
        <v>72321</v>
      </c>
      <c r="CH5" s="1">
        <v>72686</v>
      </c>
      <c r="CI5" s="1">
        <v>73051</v>
      </c>
    </row>
    <row r="6" spans="1:87" x14ac:dyDescent="0.3">
      <c r="A6" t="s">
        <v>1</v>
      </c>
      <c r="B6" s="2">
        <f>B2</f>
        <v>0</v>
      </c>
      <c r="C6" s="2">
        <f t="shared" ref="C6:BN6" si="0">C2</f>
        <v>0</v>
      </c>
      <c r="D6" s="2">
        <f t="shared" si="0"/>
        <v>0</v>
      </c>
      <c r="E6" s="2">
        <f t="shared" si="0"/>
        <v>0</v>
      </c>
      <c r="F6" s="2">
        <f t="shared" si="0"/>
        <v>0</v>
      </c>
      <c r="G6" s="2">
        <f t="shared" si="0"/>
        <v>0</v>
      </c>
      <c r="H6" s="2">
        <f t="shared" si="0"/>
        <v>0</v>
      </c>
      <c r="I6" s="2">
        <f t="shared" si="0"/>
        <v>-0.19694161232846064</v>
      </c>
      <c r="J6" s="2">
        <f t="shared" si="0"/>
        <v>-0.32910460472266312</v>
      </c>
      <c r="K6" s="2">
        <f t="shared" si="0"/>
        <v>-8.0637713317255333E-2</v>
      </c>
      <c r="L6" s="2">
        <f t="shared" si="0"/>
        <v>0.20258876617191834</v>
      </c>
      <c r="M6" s="2">
        <f t="shared" si="0"/>
        <v>0.45424694424371914</v>
      </c>
      <c r="N6" s="2">
        <f t="shared" si="0"/>
        <v>0.6611727771178133</v>
      </c>
      <c r="O6" s="2">
        <f t="shared" si="0"/>
        <v>0.83719057505624583</v>
      </c>
      <c r="P6" s="2">
        <f t="shared" si="0"/>
        <v>1.0028947161887292</v>
      </c>
      <c r="Q6" s="2">
        <f t="shared" si="0"/>
        <v>1.1571750805414949</v>
      </c>
      <c r="R6" s="2">
        <f t="shared" si="0"/>
        <v>1.2887400597361598</v>
      </c>
      <c r="S6" s="2">
        <f t="shared" si="0"/>
        <v>1.3742398781701581</v>
      </c>
      <c r="T6" s="2">
        <f t="shared" si="0"/>
        <v>1.4290171313425803</v>
      </c>
      <c r="U6" s="2">
        <f t="shared" si="0"/>
        <v>1.4675920150303501</v>
      </c>
      <c r="V6" s="2">
        <f t="shared" si="0"/>
        <v>1.4991113762324426</v>
      </c>
      <c r="W6" s="2">
        <f t="shared" si="0"/>
        <v>1.5278210019538108</v>
      </c>
      <c r="X6" s="2">
        <f t="shared" si="0"/>
        <v>1.5537649183268609</v>
      </c>
      <c r="Y6" s="2">
        <f t="shared" si="0"/>
        <v>1.5768060907918269</v>
      </c>
      <c r="Z6" s="2">
        <f t="shared" si="0"/>
        <v>1.5965658939140592</v>
      </c>
      <c r="AA6" s="2">
        <f t="shared" si="0"/>
        <v>1.6125052003735707</v>
      </c>
      <c r="AB6" s="2">
        <f t="shared" si="0"/>
        <v>1.6238872985003372</v>
      </c>
      <c r="AC6" s="2">
        <f t="shared" si="0"/>
        <v>1.6292175777404383</v>
      </c>
      <c r="AD6" s="2">
        <f t="shared" si="0"/>
        <v>1.6302196584468298</v>
      </c>
      <c r="AE6" s="2">
        <f t="shared" si="0"/>
        <v>1.6294193971467585</v>
      </c>
      <c r="AF6" s="2">
        <f t="shared" si="0"/>
        <v>1.628626915129705</v>
      </c>
      <c r="AG6" s="2">
        <f t="shared" si="0"/>
        <v>1.6291172996173886</v>
      </c>
      <c r="AH6" s="2">
        <f t="shared" si="0"/>
        <v>1.6304594714892096</v>
      </c>
      <c r="AI6" s="2">
        <f t="shared" si="0"/>
        <v>1.6346407218347014</v>
      </c>
      <c r="AJ6" s="2">
        <f t="shared" si="0"/>
        <v>1.6454229613436233</v>
      </c>
      <c r="AK6" s="2">
        <f t="shared" si="0"/>
        <v>1.6696180039645014</v>
      </c>
      <c r="AL6" s="2">
        <f t="shared" si="0"/>
        <v>1.6889441686418261</v>
      </c>
      <c r="AM6" s="2">
        <f t="shared" si="0"/>
        <v>1.7078428405991497</v>
      </c>
      <c r="AN6" s="2">
        <f t="shared" si="0"/>
        <v>1.7236337283863978</v>
      </c>
      <c r="AO6" s="2">
        <f t="shared" si="0"/>
        <v>1.7349248053407429</v>
      </c>
      <c r="AP6" s="2">
        <f t="shared" si="0"/>
        <v>1.7411540936693504</v>
      </c>
      <c r="AQ6" s="2">
        <f t="shared" si="0"/>
        <v>1.7428896953826323</v>
      </c>
      <c r="AR6" s="2">
        <f t="shared" si="0"/>
        <v>1.7398540828657216</v>
      </c>
      <c r="AS6" s="2">
        <f t="shared" si="0"/>
        <v>1.7329147309208093</v>
      </c>
      <c r="AT6" s="2">
        <f t="shared" si="0"/>
        <v>1.7230862359691956</v>
      </c>
      <c r="AU6" s="2">
        <f t="shared" si="0"/>
        <v>1.7113712076963328</v>
      </c>
      <c r="AV6" s="2">
        <f t="shared" si="0"/>
        <v>1.6991510984826208</v>
      </c>
      <c r="AW6" s="2">
        <f t="shared" si="0"/>
        <v>1.6866072217296857</v>
      </c>
      <c r="AX6" s="2">
        <f t="shared" si="0"/>
        <v>1.6742464005973456</v>
      </c>
      <c r="AY6" s="2">
        <f t="shared" si="0"/>
        <v>1.6623965816549013</v>
      </c>
      <c r="AZ6" s="2">
        <f t="shared" si="0"/>
        <v>1.6512509308354018</v>
      </c>
      <c r="BA6" s="2">
        <f t="shared" si="0"/>
        <v>1.6524822554548013</v>
      </c>
      <c r="BB6" s="2">
        <f t="shared" si="0"/>
        <v>1.6450248394999534</v>
      </c>
      <c r="BC6" s="2">
        <f t="shared" si="0"/>
        <v>1.6348458928615806</v>
      </c>
      <c r="BD6" s="2">
        <f t="shared" si="0"/>
        <v>1.6242837620730421</v>
      </c>
      <c r="BE6" s="2">
        <f t="shared" si="0"/>
        <v>1.6146046053609364</v>
      </c>
      <c r="BF6" s="2">
        <f t="shared" si="0"/>
        <v>1.6075645605232003</v>
      </c>
      <c r="BG6" s="2">
        <f t="shared" si="0"/>
        <v>1.6016081837933793</v>
      </c>
      <c r="BH6" s="2">
        <f t="shared" si="0"/>
        <v>1.5966635898912562</v>
      </c>
      <c r="BI6" s="2">
        <f t="shared" si="0"/>
        <v>1.5925545300034649</v>
      </c>
      <c r="BJ6" s="2">
        <f t="shared" si="0"/>
        <v>1.5891372665503889</v>
      </c>
      <c r="BK6" s="2">
        <f t="shared" si="0"/>
        <v>1.5863392639233309</v>
      </c>
      <c r="BL6" s="2">
        <f t="shared" si="0"/>
        <v>1.5841510083471011</v>
      </c>
      <c r="BM6" s="2">
        <f t="shared" si="0"/>
        <v>1.5826012084538377</v>
      </c>
      <c r="BN6" s="2">
        <f t="shared" si="0"/>
        <v>1.5817315368870766</v>
      </c>
      <c r="BO6" s="2">
        <f t="shared" ref="BO6:CI6" si="1">BO2</f>
        <v>1.5815791282935976</v>
      </c>
      <c r="BP6" s="2">
        <f t="shared" si="1"/>
        <v>1.5833859626567248</v>
      </c>
      <c r="BQ6" s="2">
        <f t="shared" si="1"/>
        <v>1.585692472380229</v>
      </c>
      <c r="BR6" s="2">
        <f t="shared" si="1"/>
        <v>1.5886108369449925</v>
      </c>
      <c r="BS6" s="2">
        <f t="shared" si="1"/>
        <v>1.5921782276750784</v>
      </c>
      <c r="BT6" s="2">
        <f t="shared" si="1"/>
        <v>1.5963952313138297</v>
      </c>
      <c r="BU6" s="2">
        <f t="shared" si="1"/>
        <v>1.6012455941350368</v>
      </c>
      <c r="BV6" s="2">
        <f t="shared" si="1"/>
        <v>1.6067094578869234</v>
      </c>
      <c r="BW6" s="2">
        <f t="shared" si="1"/>
        <v>1.6127694246065971</v>
      </c>
      <c r="BX6" s="2">
        <f t="shared" si="1"/>
        <v>1.6194122415741141</v>
      </c>
      <c r="BY6" s="2">
        <f t="shared" si="1"/>
        <v>1.6266274009712811</v>
      </c>
      <c r="BZ6" s="2">
        <f t="shared" si="1"/>
        <v>1.6354020493762667</v>
      </c>
      <c r="CA6" s="2">
        <f t="shared" si="1"/>
        <v>1.6445477994649904</v>
      </c>
      <c r="CB6" s="2">
        <f t="shared" si="1"/>
        <v>1.6541465898829877</v>
      </c>
      <c r="CC6" s="2">
        <f t="shared" si="1"/>
        <v>1.6642258451554426</v>
      </c>
      <c r="CD6" s="2">
        <f t="shared" si="1"/>
        <v>1.6747892448942148</v>
      </c>
      <c r="CE6" s="2">
        <f t="shared" si="1"/>
        <v>1.6858325017146347</v>
      </c>
      <c r="CF6" s="2">
        <f t="shared" si="1"/>
        <v>1.6973521339859632</v>
      </c>
      <c r="CG6" s="2">
        <f t="shared" si="1"/>
        <v>1.7093489455747068</v>
      </c>
      <c r="CH6" s="2">
        <f t="shared" si="1"/>
        <v>1.7218275243293002</v>
      </c>
      <c r="CI6" s="2">
        <f t="shared" si="1"/>
        <v>1.7347940252342653</v>
      </c>
    </row>
    <row r="7" spans="1:87" x14ac:dyDescent="0.3">
      <c r="A7" t="s">
        <v>2</v>
      </c>
      <c r="B7" s="2">
        <f>B3-B2</f>
        <v>0</v>
      </c>
      <c r="C7" s="2">
        <f t="shared" ref="C7:BN7" si="2">C3-C2</f>
        <v>-0.11989295890919571</v>
      </c>
      <c r="D7" s="2">
        <f t="shared" si="2"/>
        <v>-0.2564913650720313</v>
      </c>
      <c r="E7" s="2">
        <f t="shared" si="2"/>
        <v>-0.40548218803949654</v>
      </c>
      <c r="F7" s="2">
        <f t="shared" si="2"/>
        <v>-0.5625868560056535</v>
      </c>
      <c r="G7" s="2">
        <f t="shared" si="2"/>
        <v>-0.72368591578868546</v>
      </c>
      <c r="H7" s="2">
        <f t="shared" si="2"/>
        <v>-0.89397615754910342</v>
      </c>
      <c r="I7" s="2">
        <f t="shared" si="2"/>
        <v>-1.0567432216490147</v>
      </c>
      <c r="J7" s="2">
        <f t="shared" si="2"/>
        <v>-1.2174431340904013</v>
      </c>
      <c r="K7" s="2">
        <f t="shared" si="2"/>
        <v>-1.3857419717199115</v>
      </c>
      <c r="L7" s="2">
        <f t="shared" si="2"/>
        <v>-1.5525404083190808</v>
      </c>
      <c r="M7" s="2">
        <f t="shared" si="2"/>
        <v>-1.6975277268560407</v>
      </c>
      <c r="N7" s="2">
        <f t="shared" si="2"/>
        <v>-1.8352635592671529</v>
      </c>
      <c r="O7" s="2">
        <f t="shared" si="2"/>
        <v>-1.9665730589535579</v>
      </c>
      <c r="P7" s="2">
        <f t="shared" si="2"/>
        <v>-2.0933483687798016</v>
      </c>
      <c r="Q7" s="2">
        <f t="shared" si="2"/>
        <v>-2.2165809291794014</v>
      </c>
      <c r="R7" s="2">
        <f t="shared" si="2"/>
        <v>-2.3070973213381696</v>
      </c>
      <c r="S7" s="2">
        <f t="shared" si="2"/>
        <v>-2.3896751137264083</v>
      </c>
      <c r="T7" s="2">
        <f t="shared" si="2"/>
        <v>-2.4660827682109754</v>
      </c>
      <c r="U7" s="2">
        <f t="shared" si="2"/>
        <v>-2.5383588193067186</v>
      </c>
      <c r="V7" s="2">
        <f t="shared" si="2"/>
        <v>-2.6081115523742371</v>
      </c>
      <c r="W7" s="2">
        <f t="shared" si="2"/>
        <v>-2.6511689414570383</v>
      </c>
      <c r="X7" s="2">
        <f t="shared" si="2"/>
        <v>-2.6894213690852653</v>
      </c>
      <c r="Y7" s="2">
        <f t="shared" si="2"/>
        <v>-2.7241402903304679</v>
      </c>
      <c r="Z7" s="2">
        <f t="shared" si="2"/>
        <v>-2.7567615498774622</v>
      </c>
      <c r="AA7" s="2">
        <f t="shared" si="2"/>
        <v>-2.7883597387506676</v>
      </c>
      <c r="AB7" s="2">
        <f t="shared" si="2"/>
        <v>-2.8089696518258989</v>
      </c>
      <c r="AC7" s="2">
        <f t="shared" si="2"/>
        <v>-2.8278862818979622</v>
      </c>
      <c r="AD7" s="2">
        <f t="shared" si="2"/>
        <v>-2.845736679362898</v>
      </c>
      <c r="AE7" s="2">
        <f t="shared" si="2"/>
        <v>-2.863135454837773</v>
      </c>
      <c r="AF7" s="2">
        <f t="shared" si="2"/>
        <v>-2.8804855301895693</v>
      </c>
      <c r="AG7" s="2">
        <f t="shared" si="2"/>
        <v>-2.8905830206418348</v>
      </c>
      <c r="AH7" s="2">
        <f t="shared" si="2"/>
        <v>-2.8996181842041446</v>
      </c>
      <c r="AI7" s="2">
        <f t="shared" si="2"/>
        <v>-2.9079007847959693</v>
      </c>
      <c r="AJ7" s="2">
        <f t="shared" si="2"/>
        <v>-2.9158011348523805</v>
      </c>
      <c r="AK7" s="2">
        <f t="shared" si="2"/>
        <v>-2.9236390587223049</v>
      </c>
      <c r="AL7" s="2">
        <f t="shared" si="2"/>
        <v>-2.9231993950436297</v>
      </c>
      <c r="AM7" s="2">
        <f t="shared" si="2"/>
        <v>-2.9209666867608841</v>
      </c>
      <c r="AN7" s="2">
        <f t="shared" si="2"/>
        <v>-2.9171231204214498</v>
      </c>
      <c r="AO7" s="2">
        <f t="shared" si="2"/>
        <v>-2.911769206946091</v>
      </c>
      <c r="AP7" s="2">
        <f t="shared" si="2"/>
        <v>-2.9049518599424506</v>
      </c>
      <c r="AQ7" s="2">
        <f t="shared" si="2"/>
        <v>-2.8940385324500828</v>
      </c>
      <c r="AR7" s="2">
        <f t="shared" si="2"/>
        <v>-2.8814726221983555</v>
      </c>
      <c r="AS7" s="2">
        <f t="shared" si="2"/>
        <v>-2.8675560755517027</v>
      </c>
      <c r="AT7" s="2">
        <f t="shared" si="2"/>
        <v>-2.852573828002114</v>
      </c>
      <c r="AU7" s="2">
        <f t="shared" si="2"/>
        <v>-2.8367375662116778</v>
      </c>
      <c r="AV7" s="2">
        <f t="shared" si="2"/>
        <v>-2.8184388359486112</v>
      </c>
      <c r="AW7" s="2">
        <f t="shared" si="2"/>
        <v>-2.7992687429579166</v>
      </c>
      <c r="AX7" s="2">
        <f t="shared" si="2"/>
        <v>-2.7794087331449391</v>
      </c>
      <c r="AY7" s="2">
        <f t="shared" si="2"/>
        <v>-2.7590268287936426</v>
      </c>
      <c r="AZ7" s="2">
        <f t="shared" si="2"/>
        <v>-2.7382610472803992</v>
      </c>
      <c r="BA7" s="2">
        <f t="shared" si="2"/>
        <v>-2.7204879688719319</v>
      </c>
      <c r="BB7" s="2">
        <f t="shared" si="2"/>
        <v>-2.7056687985878014</v>
      </c>
      <c r="BC7" s="2">
        <f t="shared" si="2"/>
        <v>-2.6905274014482505</v>
      </c>
      <c r="BD7" s="2">
        <f t="shared" si="2"/>
        <v>-2.6751000655087287</v>
      </c>
      <c r="BE7" s="2">
        <f t="shared" si="2"/>
        <v>-2.6595309848436721</v>
      </c>
      <c r="BF7" s="2">
        <f t="shared" si="2"/>
        <v>-2.6426427140642361</v>
      </c>
      <c r="BG7" s="2">
        <f t="shared" si="2"/>
        <v>-2.6255265773697301</v>
      </c>
      <c r="BH7" s="2">
        <f t="shared" si="2"/>
        <v>-2.6082886651969006</v>
      </c>
      <c r="BI7" s="2">
        <f t="shared" si="2"/>
        <v>-2.5910266586371855</v>
      </c>
      <c r="BJ7" s="2">
        <f t="shared" si="2"/>
        <v>-2.5738164372193006</v>
      </c>
      <c r="BK7" s="2">
        <f t="shared" si="2"/>
        <v>-2.5564159346071147</v>
      </c>
      <c r="BL7" s="2">
        <f t="shared" si="2"/>
        <v>-2.5391159005227371</v>
      </c>
      <c r="BM7" s="2">
        <f t="shared" si="2"/>
        <v>-2.5219623175955053</v>
      </c>
      <c r="BN7" s="2">
        <f t="shared" si="2"/>
        <v>-2.5049927014446194</v>
      </c>
      <c r="BO7" s="2">
        <f t="shared" ref="BO7:CI7" si="3">BO3-BO2</f>
        <v>-2.4882326476251326</v>
      </c>
      <c r="BP7" s="2">
        <f t="shared" si="3"/>
        <v>-2.4711414631061412</v>
      </c>
      <c r="BQ7" s="2">
        <f t="shared" si="3"/>
        <v>-2.4542179509998263</v>
      </c>
      <c r="BR7" s="2">
        <f t="shared" si="3"/>
        <v>-2.4374982348842056</v>
      </c>
      <c r="BS7" s="2">
        <f t="shared" si="3"/>
        <v>-2.4210155162512792</v>
      </c>
      <c r="BT7" s="2">
        <f t="shared" si="3"/>
        <v>-2.4047947478542997</v>
      </c>
      <c r="BU7" s="2">
        <f t="shared" si="3"/>
        <v>-2.3892334662780068</v>
      </c>
      <c r="BV7" s="2">
        <f t="shared" si="3"/>
        <v>-2.3740351065630216</v>
      </c>
      <c r="BW7" s="2">
        <f t="shared" si="3"/>
        <v>-2.3591939516777072</v>
      </c>
      <c r="BX7" s="2">
        <f t="shared" si="3"/>
        <v>-2.344700190984228</v>
      </c>
      <c r="BY7" s="2">
        <f t="shared" si="3"/>
        <v>-2.3305456139527836</v>
      </c>
      <c r="BZ7" s="2">
        <f t="shared" si="3"/>
        <v>-2.3167305493591472</v>
      </c>
      <c r="CA7" s="2">
        <f t="shared" si="3"/>
        <v>-2.303268027977734</v>
      </c>
      <c r="CB7" s="2">
        <f t="shared" si="3"/>
        <v>-2.2901533128280693</v>
      </c>
      <c r="CC7" s="2">
        <f t="shared" si="3"/>
        <v>-2.2773826674107212</v>
      </c>
      <c r="CD7" s="2">
        <f t="shared" si="3"/>
        <v>-2.264953178116369</v>
      </c>
      <c r="CE7" s="2">
        <f t="shared" si="3"/>
        <v>-2.2538427520225501</v>
      </c>
      <c r="CF7" s="2">
        <f t="shared" si="3"/>
        <v>-2.2432380041915723</v>
      </c>
      <c r="CG7" s="2">
        <f t="shared" si="3"/>
        <v>-2.2408179811543416</v>
      </c>
      <c r="CH7" s="2">
        <f t="shared" si="3"/>
        <v>-2.2246311597601487</v>
      </c>
      <c r="CI7" s="2">
        <f t="shared" si="3"/>
        <v>-2.6653938051310111</v>
      </c>
    </row>
    <row r="8" spans="1:87" x14ac:dyDescent="0.3">
      <c r="A8" t="s">
        <v>4</v>
      </c>
      <c r="B8" s="2">
        <f>B3</f>
        <v>0</v>
      </c>
      <c r="C8" s="2">
        <f t="shared" ref="C8:BN8" si="4">C3</f>
        <v>-0.11989295890919571</v>
      </c>
      <c r="D8" s="2">
        <f t="shared" si="4"/>
        <v>-0.2564913650720313</v>
      </c>
      <c r="E8" s="2">
        <f t="shared" si="4"/>
        <v>-0.40548218803949654</v>
      </c>
      <c r="F8" s="2">
        <f t="shared" si="4"/>
        <v>-0.5625868560056535</v>
      </c>
      <c r="G8" s="2">
        <f t="shared" si="4"/>
        <v>-0.72368591578868546</v>
      </c>
      <c r="H8" s="2">
        <f t="shared" si="4"/>
        <v>-0.89397615754910342</v>
      </c>
      <c r="I8" s="2">
        <f t="shared" si="4"/>
        <v>-1.2536848339774753</v>
      </c>
      <c r="J8" s="2">
        <f t="shared" si="4"/>
        <v>-1.5465477388130644</v>
      </c>
      <c r="K8" s="2">
        <f t="shared" si="4"/>
        <v>-1.4663796850371669</v>
      </c>
      <c r="L8" s="2">
        <f t="shared" si="4"/>
        <v>-1.3499516421471625</v>
      </c>
      <c r="M8" s="2">
        <f t="shared" si="4"/>
        <v>-1.2432807826123216</v>
      </c>
      <c r="N8" s="2">
        <f t="shared" si="4"/>
        <v>-1.1740907821493396</v>
      </c>
      <c r="O8" s="2">
        <f t="shared" si="4"/>
        <v>-1.1293824838973121</v>
      </c>
      <c r="P8" s="2">
        <f t="shared" si="4"/>
        <v>-1.0904536525910724</v>
      </c>
      <c r="Q8" s="2">
        <f t="shared" si="4"/>
        <v>-1.0594058486379065</v>
      </c>
      <c r="R8" s="2">
        <f t="shared" si="4"/>
        <v>-1.0183572616020098</v>
      </c>
      <c r="S8" s="2">
        <f t="shared" si="4"/>
        <v>-1.0154352355562501</v>
      </c>
      <c r="T8" s="2">
        <f t="shared" si="4"/>
        <v>-1.037065636868395</v>
      </c>
      <c r="U8" s="2">
        <f t="shared" si="4"/>
        <v>-1.0707668042763685</v>
      </c>
      <c r="V8" s="2">
        <f t="shared" si="4"/>
        <v>-1.1090001761417945</v>
      </c>
      <c r="W8" s="2">
        <f t="shared" si="4"/>
        <v>-1.1233479395032275</v>
      </c>
      <c r="X8" s="2">
        <f t="shared" si="4"/>
        <v>-1.1356564507584044</v>
      </c>
      <c r="Y8" s="2">
        <f t="shared" si="4"/>
        <v>-1.147334199538641</v>
      </c>
      <c r="Z8" s="2">
        <f t="shared" si="4"/>
        <v>-1.160195655963403</v>
      </c>
      <c r="AA8" s="2">
        <f t="shared" si="4"/>
        <v>-1.1758545383770969</v>
      </c>
      <c r="AB8" s="2">
        <f t="shared" si="4"/>
        <v>-1.1850823533255617</v>
      </c>
      <c r="AC8" s="2">
        <f t="shared" si="4"/>
        <v>-1.1986687041575239</v>
      </c>
      <c r="AD8" s="2">
        <f t="shared" si="4"/>
        <v>-1.2155170209160682</v>
      </c>
      <c r="AE8" s="2">
        <f t="shared" si="4"/>
        <v>-1.2337160576910144</v>
      </c>
      <c r="AF8" s="2">
        <f t="shared" si="4"/>
        <v>-1.2518586150598643</v>
      </c>
      <c r="AG8" s="2">
        <f t="shared" si="4"/>
        <v>-1.2614657210244462</v>
      </c>
      <c r="AH8" s="2">
        <f t="shared" si="4"/>
        <v>-1.2691587127149351</v>
      </c>
      <c r="AI8" s="2">
        <f t="shared" si="4"/>
        <v>-1.2732600629612678</v>
      </c>
      <c r="AJ8" s="2">
        <f t="shared" si="4"/>
        <v>-1.2703781735087571</v>
      </c>
      <c r="AK8" s="2">
        <f t="shared" si="4"/>
        <v>-1.2540210547578035</v>
      </c>
      <c r="AL8" s="2">
        <f t="shared" si="4"/>
        <v>-1.2342552264018036</v>
      </c>
      <c r="AM8" s="2">
        <f t="shared" si="4"/>
        <v>-1.2131238461617344</v>
      </c>
      <c r="AN8" s="2">
        <f t="shared" si="4"/>
        <v>-1.193489392035052</v>
      </c>
      <c r="AO8" s="2">
        <f t="shared" si="4"/>
        <v>-1.1768444016053481</v>
      </c>
      <c r="AP8" s="2">
        <f t="shared" si="4"/>
        <v>-1.1637977662731003</v>
      </c>
      <c r="AQ8" s="2">
        <f t="shared" si="4"/>
        <v>-1.1511488370674505</v>
      </c>
      <c r="AR8" s="2">
        <f t="shared" si="4"/>
        <v>-1.1416185393326339</v>
      </c>
      <c r="AS8" s="2">
        <f t="shared" si="4"/>
        <v>-1.1346413446308934</v>
      </c>
      <c r="AT8" s="2">
        <f t="shared" si="4"/>
        <v>-1.1294875920329184</v>
      </c>
      <c r="AU8" s="2">
        <f t="shared" si="4"/>
        <v>-1.1253663585153451</v>
      </c>
      <c r="AV8" s="2">
        <f t="shared" si="4"/>
        <v>-1.1192877374659904</v>
      </c>
      <c r="AW8" s="2">
        <f t="shared" si="4"/>
        <v>-1.1126615212282309</v>
      </c>
      <c r="AX8" s="2">
        <f t="shared" si="4"/>
        <v>-1.1051623325475934</v>
      </c>
      <c r="AY8" s="2">
        <f t="shared" si="4"/>
        <v>-1.0966302471387412</v>
      </c>
      <c r="AZ8" s="2">
        <f t="shared" si="4"/>
        <v>-1.0870101164449975</v>
      </c>
      <c r="BA8" s="2">
        <f t="shared" si="4"/>
        <v>-1.0680057134171306</v>
      </c>
      <c r="BB8" s="2">
        <f t="shared" si="4"/>
        <v>-1.060643959087848</v>
      </c>
      <c r="BC8" s="2">
        <f t="shared" si="4"/>
        <v>-1.05568150858667</v>
      </c>
      <c r="BD8" s="2">
        <f t="shared" si="4"/>
        <v>-1.0508163034356865</v>
      </c>
      <c r="BE8" s="2">
        <f t="shared" si="4"/>
        <v>-1.0449263794827357</v>
      </c>
      <c r="BF8" s="2">
        <f t="shared" si="4"/>
        <v>-1.0350781535410358</v>
      </c>
      <c r="BG8" s="2">
        <f t="shared" si="4"/>
        <v>-1.0239183935763507</v>
      </c>
      <c r="BH8" s="2">
        <f t="shared" si="4"/>
        <v>-1.0116250753056444</v>
      </c>
      <c r="BI8" s="2">
        <f t="shared" si="4"/>
        <v>-0.99847212863372059</v>
      </c>
      <c r="BJ8" s="2">
        <f t="shared" si="4"/>
        <v>-0.98467917066891175</v>
      </c>
      <c r="BK8" s="2">
        <f t="shared" si="4"/>
        <v>-0.97007667068378378</v>
      </c>
      <c r="BL8" s="2">
        <f t="shared" si="4"/>
        <v>-0.95496489217563596</v>
      </c>
      <c r="BM8" s="2">
        <f t="shared" si="4"/>
        <v>-0.93936110914166759</v>
      </c>
      <c r="BN8" s="2">
        <f t="shared" si="4"/>
        <v>-0.92326116455754281</v>
      </c>
      <c r="BO8" s="2">
        <f t="shared" ref="BO8:CI8" si="5">BO3</f>
        <v>-0.90665351933153504</v>
      </c>
      <c r="BP8" s="2">
        <f t="shared" si="5"/>
        <v>-0.88775550044941642</v>
      </c>
      <c r="BQ8" s="2">
        <f t="shared" si="5"/>
        <v>-0.86852547861959728</v>
      </c>
      <c r="BR8" s="2">
        <f t="shared" si="5"/>
        <v>-0.84888739793921308</v>
      </c>
      <c r="BS8" s="2">
        <f t="shared" si="5"/>
        <v>-0.82883728857620076</v>
      </c>
      <c r="BT8" s="2">
        <f t="shared" si="5"/>
        <v>-0.80839951654047004</v>
      </c>
      <c r="BU8" s="2">
        <f t="shared" si="5"/>
        <v>-0.78798787214297006</v>
      </c>
      <c r="BV8" s="2">
        <f t="shared" si="5"/>
        <v>-0.7673256486760982</v>
      </c>
      <c r="BW8" s="2">
        <f t="shared" si="5"/>
        <v>-0.74642452707111007</v>
      </c>
      <c r="BX8" s="2">
        <f t="shared" si="5"/>
        <v>-0.72528794941011387</v>
      </c>
      <c r="BY8" s="2">
        <f t="shared" si="5"/>
        <v>-0.70391821298150248</v>
      </c>
      <c r="BZ8" s="2">
        <f t="shared" si="5"/>
        <v>-0.68132849998288059</v>
      </c>
      <c r="CA8" s="2">
        <f t="shared" si="5"/>
        <v>-0.65872022851274359</v>
      </c>
      <c r="CB8" s="2">
        <f t="shared" si="5"/>
        <v>-0.63600672294508165</v>
      </c>
      <c r="CC8" s="2">
        <f t="shared" si="5"/>
        <v>-0.61315682225527857</v>
      </c>
      <c r="CD8" s="2">
        <f t="shared" si="5"/>
        <v>-0.59016393322215421</v>
      </c>
      <c r="CE8" s="2">
        <f t="shared" si="5"/>
        <v>-0.56801025030791541</v>
      </c>
      <c r="CF8" s="2">
        <f t="shared" si="5"/>
        <v>-0.54588587020560908</v>
      </c>
      <c r="CG8" s="2">
        <f t="shared" si="5"/>
        <v>-0.53146903557963476</v>
      </c>
      <c r="CH8" s="2">
        <f t="shared" si="5"/>
        <v>-0.50280363543084849</v>
      </c>
      <c r="CI8" s="2">
        <f t="shared" si="5"/>
        <v>-0.9305997798967458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Graphiques</vt:lpstr>
      </vt:variant>
      <vt:variant>
        <vt:i4>1</vt:i4>
      </vt:variant>
    </vt:vector>
  </HeadingPairs>
  <TitlesOfParts>
    <vt:vector size="2" baseType="lpstr">
      <vt:lpstr>Feuil1</vt:lpstr>
      <vt:lpstr>Graphique1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Florian Jacquetin</dc:creator>
  <cp:lastModifiedBy>Florian Jacquetin</cp:lastModifiedBy>
  <dcterms:created xsi:type="dcterms:W3CDTF">2023-03-10T13:24:43Z</dcterms:created>
  <dcterms:modified xsi:type="dcterms:W3CDTF">2023-04-02T17:15:57Z</dcterms:modified>
</cp:coreProperties>
</file>