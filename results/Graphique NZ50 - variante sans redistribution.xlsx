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chartsheets/sheet4.xml" ContentType="application/vnd.openxmlformats-officedocument.spreadsheetml.chartsheet+xml"/>
  <Override PartName="/xl/chartsheets/sheet5.xml" ContentType="application/vnd.openxmlformats-officedocument.spreadsheetml.chartsheet+xml"/>
  <Override PartName="/xl/chartsheets/sheet6.xml" ContentType="application/vnd.openxmlformats-officedocument.spreadsheetml.chartsheet+xml"/>
  <Override PartName="/xl/chartsheets/sheet7.xml" ContentType="application/vnd.openxmlformats-officedocument.spreadsheetml.chart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ml.chartshapes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5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6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7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8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JACQUETINF\Documents\documents\ThreeME_V3-ADEME\results\"/>
    </mc:Choice>
  </mc:AlternateContent>
  <bookViews>
    <workbookView xWindow="0" yWindow="0" windowWidth="19200" windowHeight="5890" activeTab="1"/>
  </bookViews>
  <sheets>
    <sheet name="Données" sheetId="2" r:id="rId1"/>
    <sheet name="Gr Macro" sheetId="5" r:id="rId2"/>
    <sheet name="Gr inflation" sheetId="6" r:id="rId3"/>
    <sheet name="Gr émissions" sheetId="7" r:id="rId4"/>
    <sheet name="Gr VA secteurs (% dev)" sheetId="12" r:id="rId5"/>
    <sheet name="Gr VA secteurs (% share)" sheetId="13" r:id="rId6"/>
    <sheet name="Gr Y secteurs (% dev)" sheetId="14" r:id="rId7"/>
    <sheet name="Gr Y secteurs (% share)" sheetId="15" r:id="rId8"/>
  </sheets>
  <externalReferences>
    <externalReference r:id="rId9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L115" i="2" l="1"/>
  <c r="AK115" i="2"/>
  <c r="AJ115" i="2"/>
  <c r="AI115" i="2"/>
  <c r="AH115" i="2"/>
  <c r="AG115" i="2"/>
  <c r="AF115" i="2"/>
  <c r="AE115" i="2"/>
  <c r="AD115" i="2"/>
  <c r="AC115" i="2"/>
  <c r="AB115" i="2"/>
  <c r="AA115" i="2"/>
  <c r="Z115" i="2"/>
  <c r="Y115" i="2"/>
  <c r="X115" i="2"/>
  <c r="W115" i="2"/>
  <c r="V115" i="2"/>
  <c r="U115" i="2"/>
  <c r="T115" i="2"/>
  <c r="S115" i="2"/>
  <c r="R115" i="2"/>
  <c r="Q115" i="2"/>
  <c r="P115" i="2"/>
  <c r="O115" i="2"/>
  <c r="N115" i="2"/>
  <c r="M115" i="2"/>
  <c r="L115" i="2"/>
  <c r="K115" i="2"/>
  <c r="J115" i="2"/>
  <c r="I115" i="2"/>
  <c r="H115" i="2"/>
  <c r="G115" i="2"/>
  <c r="F115" i="2"/>
  <c r="E115" i="2"/>
  <c r="D115" i="2"/>
  <c r="C115" i="2"/>
  <c r="AL114" i="2"/>
  <c r="AK114" i="2"/>
  <c r="AJ114" i="2"/>
  <c r="AI114" i="2"/>
  <c r="AH114" i="2"/>
  <c r="AG114" i="2"/>
  <c r="AF114" i="2"/>
  <c r="AE114" i="2"/>
  <c r="AD114" i="2"/>
  <c r="AC114" i="2"/>
  <c r="AB114" i="2"/>
  <c r="AA114" i="2"/>
  <c r="Z114" i="2"/>
  <c r="Y114" i="2"/>
  <c r="X114" i="2"/>
  <c r="W114" i="2"/>
  <c r="V114" i="2"/>
  <c r="U114" i="2"/>
  <c r="T114" i="2"/>
  <c r="S114" i="2"/>
  <c r="R114" i="2"/>
  <c r="Q114" i="2"/>
  <c r="P114" i="2"/>
  <c r="O114" i="2"/>
  <c r="N114" i="2"/>
  <c r="M114" i="2"/>
  <c r="L114" i="2"/>
  <c r="K114" i="2"/>
  <c r="J114" i="2"/>
  <c r="I114" i="2"/>
  <c r="H114" i="2"/>
  <c r="G114" i="2"/>
  <c r="F114" i="2"/>
  <c r="E114" i="2"/>
  <c r="D114" i="2"/>
  <c r="C114" i="2"/>
  <c r="AL113" i="2"/>
  <c r="AK113" i="2"/>
  <c r="AJ113" i="2"/>
  <c r="AI113" i="2"/>
  <c r="AH113" i="2"/>
  <c r="AG113" i="2"/>
  <c r="AF113" i="2"/>
  <c r="AE113" i="2"/>
  <c r="AD113" i="2"/>
  <c r="AC113" i="2"/>
  <c r="AB113" i="2"/>
  <c r="AA113" i="2"/>
  <c r="Z113" i="2"/>
  <c r="Y113" i="2"/>
  <c r="X113" i="2"/>
  <c r="W113" i="2"/>
  <c r="V113" i="2"/>
  <c r="U113" i="2"/>
  <c r="T113" i="2"/>
  <c r="S113" i="2"/>
  <c r="R113" i="2"/>
  <c r="Q113" i="2"/>
  <c r="P113" i="2"/>
  <c r="O113" i="2"/>
  <c r="N113" i="2"/>
  <c r="M113" i="2"/>
  <c r="L113" i="2"/>
  <c r="K113" i="2"/>
  <c r="J113" i="2"/>
  <c r="I113" i="2"/>
  <c r="H113" i="2"/>
  <c r="G113" i="2"/>
  <c r="F113" i="2"/>
  <c r="E113" i="2"/>
  <c r="D113" i="2"/>
  <c r="C113" i="2"/>
  <c r="AL112" i="2"/>
  <c r="AK112" i="2"/>
  <c r="AJ112" i="2"/>
  <c r="AI112" i="2"/>
  <c r="AH112" i="2"/>
  <c r="AG112" i="2"/>
  <c r="AF112" i="2"/>
  <c r="AE112" i="2"/>
  <c r="AD112" i="2"/>
  <c r="AC112" i="2"/>
  <c r="AB112" i="2"/>
  <c r="AA112" i="2"/>
  <c r="Z112" i="2"/>
  <c r="Y112" i="2"/>
  <c r="X112" i="2"/>
  <c r="W112" i="2"/>
  <c r="V112" i="2"/>
  <c r="U112" i="2"/>
  <c r="T112" i="2"/>
  <c r="S112" i="2"/>
  <c r="R112" i="2"/>
  <c r="Q112" i="2"/>
  <c r="P112" i="2"/>
  <c r="O112" i="2"/>
  <c r="N112" i="2"/>
  <c r="M112" i="2"/>
  <c r="L112" i="2"/>
  <c r="K112" i="2"/>
  <c r="J112" i="2"/>
  <c r="I112" i="2"/>
  <c r="H112" i="2"/>
  <c r="G112" i="2"/>
  <c r="F112" i="2"/>
  <c r="E112" i="2"/>
  <c r="D112" i="2"/>
  <c r="C112" i="2"/>
  <c r="AL111" i="2"/>
  <c r="AK111" i="2"/>
  <c r="AJ111" i="2"/>
  <c r="AI111" i="2"/>
  <c r="AH111" i="2"/>
  <c r="AG111" i="2"/>
  <c r="AF111" i="2"/>
  <c r="AE111" i="2"/>
  <c r="AD111" i="2"/>
  <c r="AC111" i="2"/>
  <c r="AB111" i="2"/>
  <c r="AA111" i="2"/>
  <c r="Z111" i="2"/>
  <c r="Y111" i="2"/>
  <c r="X111" i="2"/>
  <c r="W111" i="2"/>
  <c r="V111" i="2"/>
  <c r="U111" i="2"/>
  <c r="T111" i="2"/>
  <c r="S111" i="2"/>
  <c r="R111" i="2"/>
  <c r="Q111" i="2"/>
  <c r="P111" i="2"/>
  <c r="O111" i="2"/>
  <c r="N111" i="2"/>
  <c r="M111" i="2"/>
  <c r="L111" i="2"/>
  <c r="K111" i="2"/>
  <c r="J111" i="2"/>
  <c r="I111" i="2"/>
  <c r="H111" i="2"/>
  <c r="G111" i="2"/>
  <c r="F111" i="2"/>
  <c r="E111" i="2"/>
  <c r="D111" i="2"/>
  <c r="C111" i="2"/>
  <c r="AL110" i="2"/>
  <c r="AK110" i="2"/>
  <c r="AJ110" i="2"/>
  <c r="AI110" i="2"/>
  <c r="AH110" i="2"/>
  <c r="AG110" i="2"/>
  <c r="AF110" i="2"/>
  <c r="AE110" i="2"/>
  <c r="AD110" i="2"/>
  <c r="AC110" i="2"/>
  <c r="AB110" i="2"/>
  <c r="AA110" i="2"/>
  <c r="Z110" i="2"/>
  <c r="Y110" i="2"/>
  <c r="X110" i="2"/>
  <c r="W110" i="2"/>
  <c r="V110" i="2"/>
  <c r="U110" i="2"/>
  <c r="T110" i="2"/>
  <c r="S110" i="2"/>
  <c r="R110" i="2"/>
  <c r="Q110" i="2"/>
  <c r="P110" i="2"/>
  <c r="O110" i="2"/>
  <c r="N110" i="2"/>
  <c r="M110" i="2"/>
  <c r="L110" i="2"/>
  <c r="K110" i="2"/>
  <c r="J110" i="2"/>
  <c r="I110" i="2"/>
  <c r="H110" i="2"/>
  <c r="G110" i="2"/>
  <c r="F110" i="2"/>
  <c r="E110" i="2"/>
  <c r="D110" i="2"/>
  <c r="C110" i="2"/>
  <c r="AL107" i="2"/>
  <c r="AK107" i="2"/>
  <c r="AJ107" i="2"/>
  <c r="AI107" i="2"/>
  <c r="AH107" i="2"/>
  <c r="AG107" i="2"/>
  <c r="AF107" i="2"/>
  <c r="AE107" i="2"/>
  <c r="AD107" i="2"/>
  <c r="AC107" i="2"/>
  <c r="AB107" i="2"/>
  <c r="AA107" i="2"/>
  <c r="Z107" i="2"/>
  <c r="Y107" i="2"/>
  <c r="X107" i="2"/>
  <c r="W107" i="2"/>
  <c r="V107" i="2"/>
  <c r="U107" i="2"/>
  <c r="T107" i="2"/>
  <c r="S107" i="2"/>
  <c r="R107" i="2"/>
  <c r="Q107" i="2"/>
  <c r="P107" i="2"/>
  <c r="O107" i="2"/>
  <c r="N107" i="2"/>
  <c r="M107" i="2"/>
  <c r="L107" i="2"/>
  <c r="K107" i="2"/>
  <c r="J107" i="2"/>
  <c r="I107" i="2"/>
  <c r="H107" i="2"/>
  <c r="G107" i="2"/>
  <c r="F107" i="2"/>
  <c r="E107" i="2"/>
  <c r="D107" i="2"/>
  <c r="C107" i="2"/>
  <c r="AL106" i="2"/>
  <c r="AK106" i="2"/>
  <c r="AJ106" i="2"/>
  <c r="AI106" i="2"/>
  <c r="AH106" i="2"/>
  <c r="AG106" i="2"/>
  <c r="AF106" i="2"/>
  <c r="AE106" i="2"/>
  <c r="AD106" i="2"/>
  <c r="AC106" i="2"/>
  <c r="AB106" i="2"/>
  <c r="AA106" i="2"/>
  <c r="Z106" i="2"/>
  <c r="Y106" i="2"/>
  <c r="X106" i="2"/>
  <c r="W106" i="2"/>
  <c r="V106" i="2"/>
  <c r="U106" i="2"/>
  <c r="T106" i="2"/>
  <c r="S106" i="2"/>
  <c r="R106" i="2"/>
  <c r="Q106" i="2"/>
  <c r="P106" i="2"/>
  <c r="O106" i="2"/>
  <c r="N106" i="2"/>
  <c r="M106" i="2"/>
  <c r="L106" i="2"/>
  <c r="K106" i="2"/>
  <c r="J106" i="2"/>
  <c r="I106" i="2"/>
  <c r="H106" i="2"/>
  <c r="G106" i="2"/>
  <c r="F106" i="2"/>
  <c r="E106" i="2"/>
  <c r="D106" i="2"/>
  <c r="C106" i="2"/>
  <c r="AL105" i="2"/>
  <c r="AK105" i="2"/>
  <c r="AJ105" i="2"/>
  <c r="AI105" i="2"/>
  <c r="AH105" i="2"/>
  <c r="AG105" i="2"/>
  <c r="AF105" i="2"/>
  <c r="AE105" i="2"/>
  <c r="AD105" i="2"/>
  <c r="AC105" i="2"/>
  <c r="AB105" i="2"/>
  <c r="AA105" i="2"/>
  <c r="Z105" i="2"/>
  <c r="Y105" i="2"/>
  <c r="X105" i="2"/>
  <c r="W105" i="2"/>
  <c r="V105" i="2"/>
  <c r="U105" i="2"/>
  <c r="T105" i="2"/>
  <c r="S105" i="2"/>
  <c r="R105" i="2"/>
  <c r="Q105" i="2"/>
  <c r="P105" i="2"/>
  <c r="O105" i="2"/>
  <c r="N105" i="2"/>
  <c r="M105" i="2"/>
  <c r="L105" i="2"/>
  <c r="K105" i="2"/>
  <c r="J105" i="2"/>
  <c r="I105" i="2"/>
  <c r="H105" i="2"/>
  <c r="G105" i="2"/>
  <c r="F105" i="2"/>
  <c r="E105" i="2"/>
  <c r="D105" i="2"/>
  <c r="C105" i="2"/>
  <c r="AL104" i="2"/>
  <c r="AK104" i="2"/>
  <c r="AJ104" i="2"/>
  <c r="AI104" i="2"/>
  <c r="AH104" i="2"/>
  <c r="AG104" i="2"/>
  <c r="AF104" i="2"/>
  <c r="AE104" i="2"/>
  <c r="AD104" i="2"/>
  <c r="AC104" i="2"/>
  <c r="AB104" i="2"/>
  <c r="AA104" i="2"/>
  <c r="Z104" i="2"/>
  <c r="Y104" i="2"/>
  <c r="X104" i="2"/>
  <c r="W104" i="2"/>
  <c r="V104" i="2"/>
  <c r="U104" i="2"/>
  <c r="T104" i="2"/>
  <c r="S104" i="2"/>
  <c r="R104" i="2"/>
  <c r="Q104" i="2"/>
  <c r="P104" i="2"/>
  <c r="O104" i="2"/>
  <c r="N104" i="2"/>
  <c r="M104" i="2"/>
  <c r="L104" i="2"/>
  <c r="K104" i="2"/>
  <c r="J104" i="2"/>
  <c r="I104" i="2"/>
  <c r="H104" i="2"/>
  <c r="G104" i="2"/>
  <c r="F104" i="2"/>
  <c r="E104" i="2"/>
  <c r="D104" i="2"/>
  <c r="C104" i="2"/>
  <c r="AL103" i="2"/>
  <c r="AK103" i="2"/>
  <c r="AJ103" i="2"/>
  <c r="AI103" i="2"/>
  <c r="AH103" i="2"/>
  <c r="AG103" i="2"/>
  <c r="AF103" i="2"/>
  <c r="AE103" i="2"/>
  <c r="AD103" i="2"/>
  <c r="AC103" i="2"/>
  <c r="AB103" i="2"/>
  <c r="AA103" i="2"/>
  <c r="Z103" i="2"/>
  <c r="Y103" i="2"/>
  <c r="X103" i="2"/>
  <c r="W103" i="2"/>
  <c r="V103" i="2"/>
  <c r="U103" i="2"/>
  <c r="T103" i="2"/>
  <c r="S103" i="2"/>
  <c r="R103" i="2"/>
  <c r="Q103" i="2"/>
  <c r="P103" i="2"/>
  <c r="O103" i="2"/>
  <c r="N103" i="2"/>
  <c r="M103" i="2"/>
  <c r="L103" i="2"/>
  <c r="K103" i="2"/>
  <c r="J103" i="2"/>
  <c r="I103" i="2"/>
  <c r="H103" i="2"/>
  <c r="G103" i="2"/>
  <c r="F103" i="2"/>
  <c r="E103" i="2"/>
  <c r="D103" i="2"/>
  <c r="C103" i="2"/>
  <c r="AL102" i="2"/>
  <c r="AK102" i="2"/>
  <c r="AJ102" i="2"/>
  <c r="AI102" i="2"/>
  <c r="AH102" i="2"/>
  <c r="AG102" i="2"/>
  <c r="AF102" i="2"/>
  <c r="AE102" i="2"/>
  <c r="AD102" i="2"/>
  <c r="AC102" i="2"/>
  <c r="AB102" i="2"/>
  <c r="AA102" i="2"/>
  <c r="Z102" i="2"/>
  <c r="Y102" i="2"/>
  <c r="X102" i="2"/>
  <c r="W102" i="2"/>
  <c r="V102" i="2"/>
  <c r="U102" i="2"/>
  <c r="T102" i="2"/>
  <c r="S102" i="2"/>
  <c r="R102" i="2"/>
  <c r="Q102" i="2"/>
  <c r="P102" i="2"/>
  <c r="O102" i="2"/>
  <c r="N102" i="2"/>
  <c r="M102" i="2"/>
  <c r="L102" i="2"/>
  <c r="K102" i="2"/>
  <c r="J102" i="2"/>
  <c r="I102" i="2"/>
  <c r="H102" i="2"/>
  <c r="G102" i="2"/>
  <c r="F102" i="2"/>
  <c r="E102" i="2"/>
  <c r="D102" i="2"/>
  <c r="C102" i="2"/>
  <c r="AL68" i="2"/>
  <c r="AK68" i="2"/>
  <c r="AJ68" i="2"/>
  <c r="AI68" i="2"/>
  <c r="AH68" i="2"/>
  <c r="AG68" i="2"/>
  <c r="AF68" i="2"/>
  <c r="AE68" i="2"/>
  <c r="AD68" i="2"/>
  <c r="AC68" i="2"/>
  <c r="AB68" i="2"/>
  <c r="AA68" i="2"/>
  <c r="Z68" i="2"/>
  <c r="Y68" i="2"/>
  <c r="X68" i="2"/>
  <c r="W68" i="2"/>
  <c r="V68" i="2"/>
  <c r="U68" i="2"/>
  <c r="T68" i="2"/>
  <c r="S68" i="2"/>
  <c r="R68" i="2"/>
  <c r="Q68" i="2"/>
  <c r="P68" i="2"/>
  <c r="O68" i="2"/>
  <c r="N68" i="2"/>
  <c r="M68" i="2"/>
  <c r="L68" i="2"/>
  <c r="K68" i="2"/>
  <c r="J68" i="2"/>
  <c r="I68" i="2"/>
  <c r="H68" i="2"/>
  <c r="G68" i="2"/>
  <c r="F68" i="2"/>
  <c r="E68" i="2"/>
  <c r="D68" i="2"/>
  <c r="C68" i="2"/>
  <c r="AL67" i="2"/>
  <c r="AK67" i="2"/>
  <c r="AJ67" i="2"/>
  <c r="AI67" i="2"/>
  <c r="AH67" i="2"/>
  <c r="AG67" i="2"/>
  <c r="AF67" i="2"/>
  <c r="AE67" i="2"/>
  <c r="AD67" i="2"/>
  <c r="AC67" i="2"/>
  <c r="AB67" i="2"/>
  <c r="AA67" i="2"/>
  <c r="Z67" i="2"/>
  <c r="Y67" i="2"/>
  <c r="X67" i="2"/>
  <c r="W67" i="2"/>
  <c r="V67" i="2"/>
  <c r="U67" i="2"/>
  <c r="T67" i="2"/>
  <c r="S67" i="2"/>
  <c r="R67" i="2"/>
  <c r="Q67" i="2"/>
  <c r="P67" i="2"/>
  <c r="O67" i="2"/>
  <c r="N67" i="2"/>
  <c r="M67" i="2"/>
  <c r="L67" i="2"/>
  <c r="K67" i="2"/>
  <c r="J67" i="2"/>
  <c r="I67" i="2"/>
  <c r="H67" i="2"/>
  <c r="G67" i="2"/>
  <c r="F67" i="2"/>
  <c r="E67" i="2"/>
  <c r="D67" i="2"/>
  <c r="C67" i="2"/>
  <c r="AL66" i="2"/>
  <c r="AK66" i="2"/>
  <c r="AJ66" i="2"/>
  <c r="AI66" i="2"/>
  <c r="AH66" i="2"/>
  <c r="AG66" i="2"/>
  <c r="AF66" i="2"/>
  <c r="AE66" i="2"/>
  <c r="AD66" i="2"/>
  <c r="AC66" i="2"/>
  <c r="AB66" i="2"/>
  <c r="AA66" i="2"/>
  <c r="Z66" i="2"/>
  <c r="Y66" i="2"/>
  <c r="X66" i="2"/>
  <c r="W66" i="2"/>
  <c r="V66" i="2"/>
  <c r="U66" i="2"/>
  <c r="T66" i="2"/>
  <c r="S66" i="2"/>
  <c r="R66" i="2"/>
  <c r="Q66" i="2"/>
  <c r="P66" i="2"/>
  <c r="O66" i="2"/>
  <c r="N66" i="2"/>
  <c r="M66" i="2"/>
  <c r="L66" i="2"/>
  <c r="K66" i="2"/>
  <c r="J66" i="2"/>
  <c r="I66" i="2"/>
  <c r="H66" i="2"/>
  <c r="G66" i="2"/>
  <c r="F66" i="2"/>
  <c r="E66" i="2"/>
  <c r="D66" i="2"/>
  <c r="C66" i="2"/>
  <c r="AL64" i="2"/>
  <c r="AK64" i="2"/>
  <c r="AJ64" i="2"/>
  <c r="AI64" i="2"/>
  <c r="AH64" i="2"/>
  <c r="AG64" i="2"/>
  <c r="AF64" i="2"/>
  <c r="AE64" i="2"/>
  <c r="AD64" i="2"/>
  <c r="AC64" i="2"/>
  <c r="AB64" i="2"/>
  <c r="AA64" i="2"/>
  <c r="Z64" i="2"/>
  <c r="Y64" i="2"/>
  <c r="X64" i="2"/>
  <c r="W64" i="2"/>
  <c r="V64" i="2"/>
  <c r="U64" i="2"/>
  <c r="T64" i="2"/>
  <c r="S64" i="2"/>
  <c r="R64" i="2"/>
  <c r="Q64" i="2"/>
  <c r="P64" i="2"/>
  <c r="O64" i="2"/>
  <c r="N64" i="2"/>
  <c r="M64" i="2"/>
  <c r="L64" i="2"/>
  <c r="K64" i="2"/>
  <c r="J64" i="2"/>
  <c r="I64" i="2"/>
  <c r="H64" i="2"/>
  <c r="G64" i="2"/>
  <c r="F64" i="2"/>
  <c r="E64" i="2"/>
  <c r="D64" i="2"/>
  <c r="C64" i="2"/>
  <c r="AL63" i="2"/>
  <c r="AK63" i="2"/>
  <c r="AJ63" i="2"/>
  <c r="AI63" i="2"/>
  <c r="AH63" i="2"/>
  <c r="AG63" i="2"/>
  <c r="AF63" i="2"/>
  <c r="AE63" i="2"/>
  <c r="AD63" i="2"/>
  <c r="AC63" i="2"/>
  <c r="AB63" i="2"/>
  <c r="AA63" i="2"/>
  <c r="Z63" i="2"/>
  <c r="Y63" i="2"/>
  <c r="X63" i="2"/>
  <c r="W63" i="2"/>
  <c r="V63" i="2"/>
  <c r="U63" i="2"/>
  <c r="T63" i="2"/>
  <c r="S63" i="2"/>
  <c r="R63" i="2"/>
  <c r="Q63" i="2"/>
  <c r="P63" i="2"/>
  <c r="O63" i="2"/>
  <c r="N63" i="2"/>
  <c r="M63" i="2"/>
  <c r="L63" i="2"/>
  <c r="K63" i="2"/>
  <c r="J63" i="2"/>
  <c r="I63" i="2"/>
  <c r="H63" i="2"/>
  <c r="G63" i="2"/>
  <c r="F63" i="2"/>
  <c r="E63" i="2"/>
  <c r="D63" i="2"/>
  <c r="C63" i="2"/>
  <c r="AL62" i="2"/>
  <c r="AK62" i="2"/>
  <c r="AJ62" i="2"/>
  <c r="AI62" i="2"/>
  <c r="AH62" i="2"/>
  <c r="AG62" i="2"/>
  <c r="AF62" i="2"/>
  <c r="AE62" i="2"/>
  <c r="AD62" i="2"/>
  <c r="AC62" i="2"/>
  <c r="AB62" i="2"/>
  <c r="AA62" i="2"/>
  <c r="Z62" i="2"/>
  <c r="Y62" i="2"/>
  <c r="X62" i="2"/>
  <c r="W62" i="2"/>
  <c r="V62" i="2"/>
  <c r="U62" i="2"/>
  <c r="T62" i="2"/>
  <c r="S62" i="2"/>
  <c r="R62" i="2"/>
  <c r="Q62" i="2"/>
  <c r="P62" i="2"/>
  <c r="O62" i="2"/>
  <c r="N62" i="2"/>
  <c r="M62" i="2"/>
  <c r="L62" i="2"/>
  <c r="K62" i="2"/>
  <c r="J62" i="2"/>
  <c r="I62" i="2"/>
  <c r="H62" i="2"/>
  <c r="G62" i="2"/>
  <c r="F62" i="2"/>
  <c r="E62" i="2"/>
  <c r="D62" i="2"/>
  <c r="C62" i="2"/>
  <c r="AL83" i="2"/>
  <c r="AK83" i="2"/>
  <c r="AJ83" i="2"/>
  <c r="AI83" i="2"/>
  <c r="AH83" i="2"/>
  <c r="AG83" i="2"/>
  <c r="AF83" i="2"/>
  <c r="AE83" i="2"/>
  <c r="AD83" i="2"/>
  <c r="AC83" i="2"/>
  <c r="AB83" i="2"/>
  <c r="AA83" i="2"/>
  <c r="Z83" i="2"/>
  <c r="Y83" i="2"/>
  <c r="X83" i="2"/>
  <c r="W83" i="2"/>
  <c r="V83" i="2"/>
  <c r="U83" i="2"/>
  <c r="T83" i="2"/>
  <c r="S83" i="2"/>
  <c r="R83" i="2"/>
  <c r="Q83" i="2"/>
  <c r="P83" i="2"/>
  <c r="O83" i="2"/>
  <c r="N83" i="2"/>
  <c r="M83" i="2"/>
  <c r="L83" i="2"/>
  <c r="K83" i="2"/>
  <c r="J83" i="2"/>
  <c r="I83" i="2"/>
  <c r="H83" i="2"/>
  <c r="G83" i="2"/>
  <c r="F83" i="2"/>
  <c r="E83" i="2"/>
  <c r="D83" i="2"/>
  <c r="C83" i="2"/>
  <c r="AL82" i="2"/>
  <c r="AK82" i="2"/>
  <c r="AJ82" i="2"/>
  <c r="AI82" i="2"/>
  <c r="AH82" i="2"/>
  <c r="AG82" i="2"/>
  <c r="AF82" i="2"/>
  <c r="AE82" i="2"/>
  <c r="AD82" i="2"/>
  <c r="AC82" i="2"/>
  <c r="AB82" i="2"/>
  <c r="AA82" i="2"/>
  <c r="Z82" i="2"/>
  <c r="Y82" i="2"/>
  <c r="X82" i="2"/>
  <c r="W82" i="2"/>
  <c r="V82" i="2"/>
  <c r="U82" i="2"/>
  <c r="T82" i="2"/>
  <c r="S82" i="2"/>
  <c r="R82" i="2"/>
  <c r="Q82" i="2"/>
  <c r="P82" i="2"/>
  <c r="O82" i="2"/>
  <c r="N82" i="2"/>
  <c r="M82" i="2"/>
  <c r="L82" i="2"/>
  <c r="K82" i="2"/>
  <c r="J82" i="2"/>
  <c r="I82" i="2"/>
  <c r="H82" i="2"/>
  <c r="G82" i="2"/>
  <c r="F82" i="2"/>
  <c r="E82" i="2"/>
  <c r="D82" i="2"/>
  <c r="C82" i="2"/>
  <c r="AL81" i="2"/>
  <c r="AK81" i="2"/>
  <c r="AJ81" i="2"/>
  <c r="AI81" i="2"/>
  <c r="AH81" i="2"/>
  <c r="AG81" i="2"/>
  <c r="AF81" i="2"/>
  <c r="AE81" i="2"/>
  <c r="AD81" i="2"/>
  <c r="AC81" i="2"/>
  <c r="AB81" i="2"/>
  <c r="AA81" i="2"/>
  <c r="Z81" i="2"/>
  <c r="Y81" i="2"/>
  <c r="X81" i="2"/>
  <c r="W81" i="2"/>
  <c r="V81" i="2"/>
  <c r="U81" i="2"/>
  <c r="T81" i="2"/>
  <c r="S81" i="2"/>
  <c r="R81" i="2"/>
  <c r="Q81" i="2"/>
  <c r="P81" i="2"/>
  <c r="O81" i="2"/>
  <c r="N81" i="2"/>
  <c r="M81" i="2"/>
  <c r="L81" i="2"/>
  <c r="K81" i="2"/>
  <c r="J81" i="2"/>
  <c r="I81" i="2"/>
  <c r="H81" i="2"/>
  <c r="G81" i="2"/>
  <c r="F81" i="2"/>
  <c r="E81" i="2"/>
  <c r="D81" i="2"/>
  <c r="C81" i="2"/>
  <c r="AL80" i="2"/>
  <c r="AK80" i="2"/>
  <c r="AJ80" i="2"/>
  <c r="AI80" i="2"/>
  <c r="AH80" i="2"/>
  <c r="AG80" i="2"/>
  <c r="AF80" i="2"/>
  <c r="AE80" i="2"/>
  <c r="AD80" i="2"/>
  <c r="AC80" i="2"/>
  <c r="AB80" i="2"/>
  <c r="AA80" i="2"/>
  <c r="Z80" i="2"/>
  <c r="Y80" i="2"/>
  <c r="X80" i="2"/>
  <c r="W80" i="2"/>
  <c r="V80" i="2"/>
  <c r="U80" i="2"/>
  <c r="T80" i="2"/>
  <c r="S80" i="2"/>
  <c r="R80" i="2"/>
  <c r="Q80" i="2"/>
  <c r="P80" i="2"/>
  <c r="O80" i="2"/>
  <c r="N80" i="2"/>
  <c r="M80" i="2"/>
  <c r="L80" i="2"/>
  <c r="K80" i="2"/>
  <c r="J80" i="2"/>
  <c r="I80" i="2"/>
  <c r="H80" i="2"/>
  <c r="G80" i="2"/>
  <c r="F80" i="2"/>
  <c r="E80" i="2"/>
  <c r="D80" i="2"/>
  <c r="C80" i="2"/>
  <c r="AL79" i="2"/>
  <c r="AK79" i="2"/>
  <c r="AJ79" i="2"/>
  <c r="AI79" i="2"/>
  <c r="AH79" i="2"/>
  <c r="AG79" i="2"/>
  <c r="AF79" i="2"/>
  <c r="AE79" i="2"/>
  <c r="AD79" i="2"/>
  <c r="AC79" i="2"/>
  <c r="AB79" i="2"/>
  <c r="AA79" i="2"/>
  <c r="Z79" i="2"/>
  <c r="Y79" i="2"/>
  <c r="X79" i="2"/>
  <c r="W79" i="2"/>
  <c r="V79" i="2"/>
  <c r="U79" i="2"/>
  <c r="T79" i="2"/>
  <c r="S79" i="2"/>
  <c r="R79" i="2"/>
  <c r="Q79" i="2"/>
  <c r="P79" i="2"/>
  <c r="O79" i="2"/>
  <c r="N79" i="2"/>
  <c r="M79" i="2"/>
  <c r="L79" i="2"/>
  <c r="K79" i="2"/>
  <c r="J79" i="2"/>
  <c r="I79" i="2"/>
  <c r="H79" i="2"/>
  <c r="G79" i="2"/>
  <c r="F79" i="2"/>
  <c r="E79" i="2"/>
  <c r="D79" i="2"/>
  <c r="C79" i="2"/>
  <c r="AL78" i="2"/>
  <c r="AK78" i="2"/>
  <c r="AJ78" i="2"/>
  <c r="AI78" i="2"/>
  <c r="AH78" i="2"/>
  <c r="AG78" i="2"/>
  <c r="AF78" i="2"/>
  <c r="AE78" i="2"/>
  <c r="AD78" i="2"/>
  <c r="AC78" i="2"/>
  <c r="AB78" i="2"/>
  <c r="AA78" i="2"/>
  <c r="Z78" i="2"/>
  <c r="Y78" i="2"/>
  <c r="X78" i="2"/>
  <c r="W78" i="2"/>
  <c r="V78" i="2"/>
  <c r="U78" i="2"/>
  <c r="T78" i="2"/>
  <c r="S78" i="2"/>
  <c r="R78" i="2"/>
  <c r="Q78" i="2"/>
  <c r="P78" i="2"/>
  <c r="O78" i="2"/>
  <c r="N78" i="2"/>
  <c r="M78" i="2"/>
  <c r="L78" i="2"/>
  <c r="K78" i="2"/>
  <c r="J78" i="2"/>
  <c r="I78" i="2"/>
  <c r="H78" i="2"/>
  <c r="G78" i="2"/>
  <c r="F78" i="2"/>
  <c r="E78" i="2"/>
  <c r="D78" i="2"/>
  <c r="C78" i="2"/>
  <c r="AL77" i="2"/>
  <c r="AK77" i="2"/>
  <c r="AJ77" i="2"/>
  <c r="AI77" i="2"/>
  <c r="AH77" i="2"/>
  <c r="AG77" i="2"/>
  <c r="AF77" i="2"/>
  <c r="AE77" i="2"/>
  <c r="AD77" i="2"/>
  <c r="AC77" i="2"/>
  <c r="AB77" i="2"/>
  <c r="AA77" i="2"/>
  <c r="Z77" i="2"/>
  <c r="Y77" i="2"/>
  <c r="X77" i="2"/>
  <c r="W77" i="2"/>
  <c r="V77" i="2"/>
  <c r="U77" i="2"/>
  <c r="T77" i="2"/>
  <c r="S77" i="2"/>
  <c r="R77" i="2"/>
  <c r="Q77" i="2"/>
  <c r="P77" i="2"/>
  <c r="O77" i="2"/>
  <c r="N77" i="2"/>
  <c r="M77" i="2"/>
  <c r="L77" i="2"/>
  <c r="K77" i="2"/>
  <c r="J77" i="2"/>
  <c r="I77" i="2"/>
  <c r="H77" i="2"/>
  <c r="G77" i="2"/>
  <c r="F77" i="2"/>
  <c r="E77" i="2"/>
  <c r="D77" i="2"/>
  <c r="C77" i="2"/>
  <c r="AL75" i="2"/>
  <c r="AK75" i="2"/>
  <c r="AJ75" i="2"/>
  <c r="AI75" i="2"/>
  <c r="AH75" i="2"/>
  <c r="AG75" i="2"/>
  <c r="AF75" i="2"/>
  <c r="AE75" i="2"/>
  <c r="AD75" i="2"/>
  <c r="AC75" i="2"/>
  <c r="AB75" i="2"/>
  <c r="AA75" i="2"/>
  <c r="Z75" i="2"/>
  <c r="Y75" i="2"/>
  <c r="X75" i="2"/>
  <c r="W75" i="2"/>
  <c r="V75" i="2"/>
  <c r="U75" i="2"/>
  <c r="T75" i="2"/>
  <c r="S75" i="2"/>
  <c r="R75" i="2"/>
  <c r="Q75" i="2"/>
  <c r="P75" i="2"/>
  <c r="O75" i="2"/>
  <c r="N75" i="2"/>
  <c r="M75" i="2"/>
  <c r="L75" i="2"/>
  <c r="K75" i="2"/>
  <c r="J75" i="2"/>
  <c r="I75" i="2"/>
  <c r="H75" i="2"/>
  <c r="G75" i="2"/>
  <c r="F75" i="2"/>
  <c r="E75" i="2"/>
  <c r="D75" i="2"/>
  <c r="C75" i="2"/>
  <c r="AL74" i="2"/>
  <c r="AK74" i="2"/>
  <c r="AJ74" i="2"/>
  <c r="AI74" i="2"/>
  <c r="AH74" i="2"/>
  <c r="AG74" i="2"/>
  <c r="AF74" i="2"/>
  <c r="AE74" i="2"/>
  <c r="AD74" i="2"/>
  <c r="AC74" i="2"/>
  <c r="AB74" i="2"/>
  <c r="AA74" i="2"/>
  <c r="Z74" i="2"/>
  <c r="Y74" i="2"/>
  <c r="X74" i="2"/>
  <c r="W74" i="2"/>
  <c r="V74" i="2"/>
  <c r="U74" i="2"/>
  <c r="T74" i="2"/>
  <c r="S74" i="2"/>
  <c r="R74" i="2"/>
  <c r="Q74" i="2"/>
  <c r="P74" i="2"/>
  <c r="O74" i="2"/>
  <c r="N74" i="2"/>
  <c r="M74" i="2"/>
  <c r="L74" i="2"/>
  <c r="K74" i="2"/>
  <c r="J74" i="2"/>
  <c r="I74" i="2"/>
  <c r="H74" i="2"/>
  <c r="G74" i="2"/>
  <c r="F74" i="2"/>
  <c r="E74" i="2"/>
  <c r="D74" i="2"/>
  <c r="C74" i="2"/>
  <c r="AL73" i="2"/>
  <c r="AK73" i="2"/>
  <c r="AJ73" i="2"/>
  <c r="AI73" i="2"/>
  <c r="AH73" i="2"/>
  <c r="AG73" i="2"/>
  <c r="AF73" i="2"/>
  <c r="AE73" i="2"/>
  <c r="AD73" i="2"/>
  <c r="AC73" i="2"/>
  <c r="AB73" i="2"/>
  <c r="AA73" i="2"/>
  <c r="Z73" i="2"/>
  <c r="Y73" i="2"/>
  <c r="X73" i="2"/>
  <c r="W73" i="2"/>
  <c r="V73" i="2"/>
  <c r="U73" i="2"/>
  <c r="T73" i="2"/>
  <c r="S73" i="2"/>
  <c r="R73" i="2"/>
  <c r="Q73" i="2"/>
  <c r="P73" i="2"/>
  <c r="O73" i="2"/>
  <c r="N73" i="2"/>
  <c r="M73" i="2"/>
  <c r="L73" i="2"/>
  <c r="K73" i="2"/>
  <c r="J73" i="2"/>
  <c r="I73" i="2"/>
  <c r="H73" i="2"/>
  <c r="G73" i="2"/>
  <c r="F73" i="2"/>
  <c r="E73" i="2"/>
  <c r="D73" i="2"/>
  <c r="C73" i="2"/>
  <c r="AL72" i="2"/>
  <c r="AK72" i="2"/>
  <c r="AJ72" i="2"/>
  <c r="AI72" i="2"/>
  <c r="AH72" i="2"/>
  <c r="AG72" i="2"/>
  <c r="AF72" i="2"/>
  <c r="AE72" i="2"/>
  <c r="AD72" i="2"/>
  <c r="AC72" i="2"/>
  <c r="AB72" i="2"/>
  <c r="AA72" i="2"/>
  <c r="Z72" i="2"/>
  <c r="Y72" i="2"/>
  <c r="X72" i="2"/>
  <c r="W72" i="2"/>
  <c r="V72" i="2"/>
  <c r="U72" i="2"/>
  <c r="T72" i="2"/>
  <c r="S72" i="2"/>
  <c r="R72" i="2"/>
  <c r="Q72" i="2"/>
  <c r="P72" i="2"/>
  <c r="O72" i="2"/>
  <c r="N72" i="2"/>
  <c r="M72" i="2"/>
  <c r="L72" i="2"/>
  <c r="K72" i="2"/>
  <c r="J72" i="2"/>
  <c r="I72" i="2"/>
  <c r="H72" i="2"/>
  <c r="G72" i="2"/>
  <c r="F72" i="2"/>
  <c r="E72" i="2"/>
  <c r="D72" i="2"/>
  <c r="C72" i="2"/>
  <c r="AL71" i="2"/>
  <c r="AK71" i="2"/>
  <c r="AJ71" i="2"/>
  <c r="AI71" i="2"/>
  <c r="AH71" i="2"/>
  <c r="AG71" i="2"/>
  <c r="AF71" i="2"/>
  <c r="AE71" i="2"/>
  <c r="AD71" i="2"/>
  <c r="AC71" i="2"/>
  <c r="AB71" i="2"/>
  <c r="AA71" i="2"/>
  <c r="Z71" i="2"/>
  <c r="Y71" i="2"/>
  <c r="X71" i="2"/>
  <c r="W71" i="2"/>
  <c r="V71" i="2"/>
  <c r="U71" i="2"/>
  <c r="T71" i="2"/>
  <c r="S71" i="2"/>
  <c r="R71" i="2"/>
  <c r="Q71" i="2"/>
  <c r="P71" i="2"/>
  <c r="O71" i="2"/>
  <c r="N71" i="2"/>
  <c r="M71" i="2"/>
  <c r="L71" i="2"/>
  <c r="K71" i="2"/>
  <c r="J71" i="2"/>
  <c r="I71" i="2"/>
  <c r="H71" i="2"/>
  <c r="G71" i="2"/>
  <c r="F71" i="2"/>
  <c r="E71" i="2"/>
  <c r="D71" i="2"/>
  <c r="C71" i="2"/>
  <c r="AL70" i="2"/>
  <c r="AK70" i="2"/>
  <c r="AJ70" i="2"/>
  <c r="AI70" i="2"/>
  <c r="AH70" i="2"/>
  <c r="AG70" i="2"/>
  <c r="AF70" i="2"/>
  <c r="AE70" i="2"/>
  <c r="AD70" i="2"/>
  <c r="AC70" i="2"/>
  <c r="AB70" i="2"/>
  <c r="AA70" i="2"/>
  <c r="Z70" i="2"/>
  <c r="Y70" i="2"/>
  <c r="X70" i="2"/>
  <c r="W70" i="2"/>
  <c r="V70" i="2"/>
  <c r="U70" i="2"/>
  <c r="T70" i="2"/>
  <c r="S70" i="2"/>
  <c r="R70" i="2"/>
  <c r="Q70" i="2"/>
  <c r="P70" i="2"/>
  <c r="O70" i="2"/>
  <c r="N70" i="2"/>
  <c r="M70" i="2"/>
  <c r="L70" i="2"/>
  <c r="K70" i="2"/>
  <c r="J70" i="2"/>
  <c r="I70" i="2"/>
  <c r="H70" i="2"/>
  <c r="G70" i="2"/>
  <c r="F70" i="2"/>
  <c r="E70" i="2"/>
  <c r="D70" i="2"/>
  <c r="C70" i="2"/>
  <c r="AL69" i="2"/>
  <c r="AK69" i="2"/>
  <c r="AJ69" i="2"/>
  <c r="AI69" i="2"/>
  <c r="AH69" i="2"/>
  <c r="AG69" i="2"/>
  <c r="AF69" i="2"/>
  <c r="AE69" i="2"/>
  <c r="AD69" i="2"/>
  <c r="AC69" i="2"/>
  <c r="AB69" i="2"/>
  <c r="AA69" i="2"/>
  <c r="Z69" i="2"/>
  <c r="Y69" i="2"/>
  <c r="X69" i="2"/>
  <c r="W69" i="2"/>
  <c r="V69" i="2"/>
  <c r="U69" i="2"/>
  <c r="T69" i="2"/>
  <c r="S69" i="2"/>
  <c r="R69" i="2"/>
  <c r="Q69" i="2"/>
  <c r="P69" i="2"/>
  <c r="O69" i="2"/>
  <c r="N69" i="2"/>
  <c r="M69" i="2"/>
  <c r="L69" i="2"/>
  <c r="K69" i="2"/>
  <c r="J69" i="2"/>
  <c r="I69" i="2"/>
  <c r="H69" i="2"/>
  <c r="G69" i="2"/>
  <c r="F69" i="2"/>
  <c r="E69" i="2"/>
  <c r="D69" i="2"/>
  <c r="C69" i="2"/>
  <c r="AL57" i="2"/>
  <c r="AK57" i="2"/>
  <c r="AJ57" i="2"/>
  <c r="AI57" i="2"/>
  <c r="AH57" i="2"/>
  <c r="AG57" i="2"/>
  <c r="AF57" i="2"/>
  <c r="AE57" i="2"/>
  <c r="AD57" i="2"/>
  <c r="AC57" i="2"/>
  <c r="AB57" i="2"/>
  <c r="AA57" i="2"/>
  <c r="Z57" i="2"/>
  <c r="Y57" i="2"/>
  <c r="X57" i="2"/>
  <c r="W57" i="2"/>
  <c r="V57" i="2"/>
  <c r="U57" i="2"/>
  <c r="T57" i="2"/>
  <c r="S57" i="2"/>
  <c r="R57" i="2"/>
  <c r="Q57" i="2"/>
  <c r="P57" i="2"/>
  <c r="O57" i="2"/>
  <c r="N57" i="2"/>
  <c r="M57" i="2"/>
  <c r="L57" i="2"/>
  <c r="K57" i="2"/>
  <c r="J57" i="2"/>
  <c r="I57" i="2"/>
  <c r="H57" i="2"/>
  <c r="G57" i="2"/>
  <c r="F57" i="2"/>
  <c r="E57" i="2"/>
  <c r="D57" i="2"/>
  <c r="C57" i="2"/>
  <c r="AL56" i="2"/>
  <c r="AK56" i="2"/>
  <c r="AJ56" i="2"/>
  <c r="AI56" i="2"/>
  <c r="AH56" i="2"/>
  <c r="AG56" i="2"/>
  <c r="AF56" i="2"/>
  <c r="AE56" i="2"/>
  <c r="AD56" i="2"/>
  <c r="AC56" i="2"/>
  <c r="AB56" i="2"/>
  <c r="AA56" i="2"/>
  <c r="Z56" i="2"/>
  <c r="Y56" i="2"/>
  <c r="X56" i="2"/>
  <c r="W56" i="2"/>
  <c r="V56" i="2"/>
  <c r="U56" i="2"/>
  <c r="T56" i="2"/>
  <c r="S56" i="2"/>
  <c r="R56" i="2"/>
  <c r="Q56" i="2"/>
  <c r="P56" i="2"/>
  <c r="O56" i="2"/>
  <c r="N56" i="2"/>
  <c r="M56" i="2"/>
  <c r="L56" i="2"/>
  <c r="K56" i="2"/>
  <c r="J56" i="2"/>
  <c r="I56" i="2"/>
  <c r="H56" i="2"/>
  <c r="G56" i="2"/>
  <c r="F56" i="2"/>
  <c r="E56" i="2"/>
  <c r="D56" i="2"/>
  <c r="C56" i="2"/>
  <c r="AL54" i="2"/>
  <c r="AK54" i="2"/>
  <c r="AJ54" i="2"/>
  <c r="AI54" i="2"/>
  <c r="AH54" i="2"/>
  <c r="AG54" i="2"/>
  <c r="AF54" i="2"/>
  <c r="AE54" i="2"/>
  <c r="AD54" i="2"/>
  <c r="AC54" i="2"/>
  <c r="AB54" i="2"/>
  <c r="AA54" i="2"/>
  <c r="Z54" i="2"/>
  <c r="Y54" i="2"/>
  <c r="X54" i="2"/>
  <c r="W54" i="2"/>
  <c r="V54" i="2"/>
  <c r="U54" i="2"/>
  <c r="T54" i="2"/>
  <c r="S54" i="2"/>
  <c r="R54" i="2"/>
  <c r="Q54" i="2"/>
  <c r="P54" i="2"/>
  <c r="O54" i="2"/>
  <c r="N54" i="2"/>
  <c r="M54" i="2"/>
  <c r="L54" i="2"/>
  <c r="K54" i="2"/>
  <c r="J54" i="2"/>
  <c r="I54" i="2"/>
  <c r="H54" i="2"/>
  <c r="G54" i="2"/>
  <c r="F54" i="2"/>
  <c r="E54" i="2"/>
  <c r="D54" i="2"/>
  <c r="C54" i="2"/>
  <c r="B54" i="2"/>
  <c r="A54" i="2"/>
  <c r="AL53" i="2"/>
  <c r="AK53" i="2"/>
  <c r="AJ53" i="2"/>
  <c r="AI53" i="2"/>
  <c r="AH53" i="2"/>
  <c r="AG53" i="2"/>
  <c r="AF53" i="2"/>
  <c r="AE53" i="2"/>
  <c r="AD53" i="2"/>
  <c r="AC53" i="2"/>
  <c r="AB53" i="2"/>
  <c r="AA53" i="2"/>
  <c r="Z53" i="2"/>
  <c r="Y53" i="2"/>
  <c r="X53" i="2"/>
  <c r="W53" i="2"/>
  <c r="V53" i="2"/>
  <c r="U53" i="2"/>
  <c r="T53" i="2"/>
  <c r="S53" i="2"/>
  <c r="R53" i="2"/>
  <c r="Q53" i="2"/>
  <c r="P53" i="2"/>
  <c r="O53" i="2"/>
  <c r="N53" i="2"/>
  <c r="M53" i="2"/>
  <c r="L53" i="2"/>
  <c r="K53" i="2"/>
  <c r="J53" i="2"/>
  <c r="I53" i="2"/>
  <c r="H53" i="2"/>
  <c r="G53" i="2"/>
  <c r="F53" i="2"/>
  <c r="E53" i="2"/>
  <c r="D53" i="2"/>
  <c r="C53" i="2"/>
  <c r="B53" i="2"/>
  <c r="A53" i="2"/>
  <c r="AL52" i="2"/>
  <c r="AK52" i="2"/>
  <c r="AJ52" i="2"/>
  <c r="AI52" i="2"/>
  <c r="AH52" i="2"/>
  <c r="AG52" i="2"/>
  <c r="AF52" i="2"/>
  <c r="AE52" i="2"/>
  <c r="AD52" i="2"/>
  <c r="AC52" i="2"/>
  <c r="AB52" i="2"/>
  <c r="AA52" i="2"/>
  <c r="Z52" i="2"/>
  <c r="Y52" i="2"/>
  <c r="X52" i="2"/>
  <c r="W52" i="2"/>
  <c r="V52" i="2"/>
  <c r="U52" i="2"/>
  <c r="T52" i="2"/>
  <c r="S52" i="2"/>
  <c r="R52" i="2"/>
  <c r="Q52" i="2"/>
  <c r="P52" i="2"/>
  <c r="O52" i="2"/>
  <c r="N52" i="2"/>
  <c r="M52" i="2"/>
  <c r="L52" i="2"/>
  <c r="K52" i="2"/>
  <c r="J52" i="2"/>
  <c r="I52" i="2"/>
  <c r="H52" i="2"/>
  <c r="G52" i="2"/>
  <c r="F52" i="2"/>
  <c r="E52" i="2"/>
  <c r="D52" i="2"/>
  <c r="C52" i="2"/>
  <c r="B52" i="2"/>
  <c r="A52" i="2"/>
  <c r="AL51" i="2"/>
  <c r="AK51" i="2"/>
  <c r="AJ51" i="2"/>
  <c r="AI51" i="2"/>
  <c r="AH51" i="2"/>
  <c r="AG51" i="2"/>
  <c r="AF51" i="2"/>
  <c r="AE51" i="2"/>
  <c r="AD51" i="2"/>
  <c r="AC51" i="2"/>
  <c r="AB51" i="2"/>
  <c r="AA51" i="2"/>
  <c r="Z51" i="2"/>
  <c r="Y51" i="2"/>
  <c r="X51" i="2"/>
  <c r="W51" i="2"/>
  <c r="V51" i="2"/>
  <c r="U51" i="2"/>
  <c r="T51" i="2"/>
  <c r="S51" i="2"/>
  <c r="R51" i="2"/>
  <c r="Q51" i="2"/>
  <c r="P51" i="2"/>
  <c r="O51" i="2"/>
  <c r="N51" i="2"/>
  <c r="M51" i="2"/>
  <c r="L51" i="2"/>
  <c r="K51" i="2"/>
  <c r="J51" i="2"/>
  <c r="I51" i="2"/>
  <c r="H51" i="2"/>
  <c r="G51" i="2"/>
  <c r="F51" i="2"/>
  <c r="E51" i="2"/>
  <c r="D51" i="2"/>
  <c r="C51" i="2"/>
  <c r="B51" i="2"/>
  <c r="A51" i="2"/>
  <c r="AL50" i="2"/>
  <c r="AK50" i="2"/>
  <c r="AJ50" i="2"/>
  <c r="AI50" i="2"/>
  <c r="AH50" i="2"/>
  <c r="AG50" i="2"/>
  <c r="AF50" i="2"/>
  <c r="AE50" i="2"/>
  <c r="AD50" i="2"/>
  <c r="AC50" i="2"/>
  <c r="AB50" i="2"/>
  <c r="AA50" i="2"/>
  <c r="Z50" i="2"/>
  <c r="Y50" i="2"/>
  <c r="X50" i="2"/>
  <c r="W50" i="2"/>
  <c r="V50" i="2"/>
  <c r="U50" i="2"/>
  <c r="T50" i="2"/>
  <c r="S50" i="2"/>
  <c r="R50" i="2"/>
  <c r="Q50" i="2"/>
  <c r="P50" i="2"/>
  <c r="O50" i="2"/>
  <c r="N50" i="2"/>
  <c r="M50" i="2"/>
  <c r="L50" i="2"/>
  <c r="K50" i="2"/>
  <c r="J50" i="2"/>
  <c r="I50" i="2"/>
  <c r="H50" i="2"/>
  <c r="G50" i="2"/>
  <c r="F50" i="2"/>
  <c r="E50" i="2"/>
  <c r="D50" i="2"/>
  <c r="C50" i="2"/>
  <c r="B50" i="2"/>
  <c r="A50" i="2"/>
  <c r="AL49" i="2"/>
  <c r="AK49" i="2"/>
  <c r="AJ49" i="2"/>
  <c r="AI49" i="2"/>
  <c r="AH49" i="2"/>
  <c r="AG49" i="2"/>
  <c r="AF49" i="2"/>
  <c r="AE49" i="2"/>
  <c r="AD49" i="2"/>
  <c r="AC49" i="2"/>
  <c r="AB49" i="2"/>
  <c r="AA49" i="2"/>
  <c r="Z49" i="2"/>
  <c r="Y49" i="2"/>
  <c r="X49" i="2"/>
  <c r="W49" i="2"/>
  <c r="V49" i="2"/>
  <c r="U49" i="2"/>
  <c r="T49" i="2"/>
  <c r="S49" i="2"/>
  <c r="R49" i="2"/>
  <c r="Q49" i="2"/>
  <c r="P49" i="2"/>
  <c r="O49" i="2"/>
  <c r="N49" i="2"/>
  <c r="M49" i="2"/>
  <c r="L49" i="2"/>
  <c r="K49" i="2"/>
  <c r="J49" i="2"/>
  <c r="I49" i="2"/>
  <c r="H49" i="2"/>
  <c r="G49" i="2"/>
  <c r="F49" i="2"/>
  <c r="E49" i="2"/>
  <c r="D49" i="2"/>
  <c r="C49" i="2"/>
  <c r="B49" i="2"/>
  <c r="A49" i="2"/>
  <c r="AL48" i="2"/>
  <c r="AK48" i="2"/>
  <c r="AJ48" i="2"/>
  <c r="AI48" i="2"/>
  <c r="AH48" i="2"/>
  <c r="AG48" i="2"/>
  <c r="AF48" i="2"/>
  <c r="AE48" i="2"/>
  <c r="AD48" i="2"/>
  <c r="AC48" i="2"/>
  <c r="AB48" i="2"/>
  <c r="AA48" i="2"/>
  <c r="Z48" i="2"/>
  <c r="Y48" i="2"/>
  <c r="X48" i="2"/>
  <c r="W48" i="2"/>
  <c r="V48" i="2"/>
  <c r="U48" i="2"/>
  <c r="T48" i="2"/>
  <c r="S48" i="2"/>
  <c r="R48" i="2"/>
  <c r="Q48" i="2"/>
  <c r="P48" i="2"/>
  <c r="O48" i="2"/>
  <c r="N48" i="2"/>
  <c r="M48" i="2"/>
  <c r="L48" i="2"/>
  <c r="K48" i="2"/>
  <c r="J48" i="2"/>
  <c r="I48" i="2"/>
  <c r="H48" i="2"/>
  <c r="G48" i="2"/>
  <c r="F48" i="2"/>
  <c r="E48" i="2"/>
  <c r="D48" i="2"/>
  <c r="C48" i="2"/>
  <c r="B48" i="2"/>
  <c r="A48" i="2"/>
  <c r="AL47" i="2"/>
  <c r="AK47" i="2"/>
  <c r="AJ47" i="2"/>
  <c r="AI47" i="2"/>
  <c r="AH47" i="2"/>
  <c r="AG47" i="2"/>
  <c r="AF47" i="2"/>
  <c r="AE47" i="2"/>
  <c r="AD47" i="2"/>
  <c r="AC47" i="2"/>
  <c r="AB47" i="2"/>
  <c r="AA47" i="2"/>
  <c r="Z47" i="2"/>
  <c r="Y47" i="2"/>
  <c r="X47" i="2"/>
  <c r="W47" i="2"/>
  <c r="V47" i="2"/>
  <c r="U47" i="2"/>
  <c r="T47" i="2"/>
  <c r="S47" i="2"/>
  <c r="R47" i="2"/>
  <c r="Q47" i="2"/>
  <c r="P47" i="2"/>
  <c r="O47" i="2"/>
  <c r="N47" i="2"/>
  <c r="M47" i="2"/>
  <c r="L47" i="2"/>
  <c r="K47" i="2"/>
  <c r="J47" i="2"/>
  <c r="I47" i="2"/>
  <c r="H47" i="2"/>
  <c r="G47" i="2"/>
  <c r="F47" i="2"/>
  <c r="E47" i="2"/>
  <c r="D47" i="2"/>
  <c r="C47" i="2"/>
  <c r="B47" i="2"/>
  <c r="A47" i="2"/>
  <c r="AL46" i="2"/>
  <c r="AK46" i="2"/>
  <c r="AJ46" i="2"/>
  <c r="AI46" i="2"/>
  <c r="AH46" i="2"/>
  <c r="AG46" i="2"/>
  <c r="AF46" i="2"/>
  <c r="AE46" i="2"/>
  <c r="AD46" i="2"/>
  <c r="AC46" i="2"/>
  <c r="AB46" i="2"/>
  <c r="AA46" i="2"/>
  <c r="Z46" i="2"/>
  <c r="Y46" i="2"/>
  <c r="X46" i="2"/>
  <c r="W46" i="2"/>
  <c r="V46" i="2"/>
  <c r="U46" i="2"/>
  <c r="T46" i="2"/>
  <c r="S46" i="2"/>
  <c r="R46" i="2"/>
  <c r="Q46" i="2"/>
  <c r="P46" i="2"/>
  <c r="O46" i="2"/>
  <c r="N46" i="2"/>
  <c r="M46" i="2"/>
  <c r="L46" i="2"/>
  <c r="K46" i="2"/>
  <c r="J46" i="2"/>
  <c r="I46" i="2"/>
  <c r="H46" i="2"/>
  <c r="G46" i="2"/>
  <c r="F46" i="2"/>
  <c r="E46" i="2"/>
  <c r="D46" i="2"/>
  <c r="C46" i="2"/>
  <c r="B46" i="2"/>
  <c r="A46" i="2"/>
  <c r="AL45" i="2"/>
  <c r="AK45" i="2"/>
  <c r="AJ45" i="2"/>
  <c r="AI45" i="2"/>
  <c r="AH45" i="2"/>
  <c r="AG45" i="2"/>
  <c r="AF45" i="2"/>
  <c r="AE45" i="2"/>
  <c r="AD45" i="2"/>
  <c r="AC45" i="2"/>
  <c r="AB45" i="2"/>
  <c r="AA45" i="2"/>
  <c r="Z45" i="2"/>
  <c r="Y45" i="2"/>
  <c r="X45" i="2"/>
  <c r="W45" i="2"/>
  <c r="V45" i="2"/>
  <c r="U45" i="2"/>
  <c r="T45" i="2"/>
  <c r="S45" i="2"/>
  <c r="R45" i="2"/>
  <c r="Q45" i="2"/>
  <c r="P45" i="2"/>
  <c r="O45" i="2"/>
  <c r="N45" i="2"/>
  <c r="M45" i="2"/>
  <c r="L45" i="2"/>
  <c r="K45" i="2"/>
  <c r="J45" i="2"/>
  <c r="I45" i="2"/>
  <c r="H45" i="2"/>
  <c r="G45" i="2"/>
  <c r="F45" i="2"/>
  <c r="E45" i="2"/>
  <c r="D45" i="2"/>
  <c r="C45" i="2"/>
  <c r="B45" i="2"/>
  <c r="A45" i="2"/>
  <c r="AL44" i="2"/>
  <c r="AK44" i="2"/>
  <c r="AJ44" i="2"/>
  <c r="AI44" i="2"/>
  <c r="AH44" i="2"/>
  <c r="AG44" i="2"/>
  <c r="AF44" i="2"/>
  <c r="AE44" i="2"/>
  <c r="AD44" i="2"/>
  <c r="AC44" i="2"/>
  <c r="AB44" i="2"/>
  <c r="AA44" i="2"/>
  <c r="Z44" i="2"/>
  <c r="Y44" i="2"/>
  <c r="X44" i="2"/>
  <c r="W44" i="2"/>
  <c r="V44" i="2"/>
  <c r="U44" i="2"/>
  <c r="T44" i="2"/>
  <c r="S44" i="2"/>
  <c r="R44" i="2"/>
  <c r="Q44" i="2"/>
  <c r="P44" i="2"/>
  <c r="O44" i="2"/>
  <c r="N44" i="2"/>
  <c r="M44" i="2"/>
  <c r="L44" i="2"/>
  <c r="K44" i="2"/>
  <c r="J44" i="2"/>
  <c r="I44" i="2"/>
  <c r="H44" i="2"/>
  <c r="G44" i="2"/>
  <c r="F44" i="2"/>
  <c r="E44" i="2"/>
  <c r="D44" i="2"/>
  <c r="C44" i="2"/>
  <c r="B44" i="2"/>
  <c r="A44" i="2"/>
  <c r="AL43" i="2"/>
  <c r="AK43" i="2"/>
  <c r="AJ43" i="2"/>
  <c r="AI43" i="2"/>
  <c r="AH43" i="2"/>
  <c r="AG43" i="2"/>
  <c r="AF43" i="2"/>
  <c r="AE43" i="2"/>
  <c r="AD43" i="2"/>
  <c r="AC43" i="2"/>
  <c r="AB43" i="2"/>
  <c r="AA43" i="2"/>
  <c r="Z43" i="2"/>
  <c r="Y43" i="2"/>
  <c r="X43" i="2"/>
  <c r="W43" i="2"/>
  <c r="V43" i="2"/>
  <c r="U43" i="2"/>
  <c r="T43" i="2"/>
  <c r="S43" i="2"/>
  <c r="R43" i="2"/>
  <c r="Q43" i="2"/>
  <c r="P43" i="2"/>
  <c r="O43" i="2"/>
  <c r="N43" i="2"/>
  <c r="M43" i="2"/>
  <c r="L43" i="2"/>
  <c r="K43" i="2"/>
  <c r="J43" i="2"/>
  <c r="I43" i="2"/>
  <c r="H43" i="2"/>
  <c r="G43" i="2"/>
  <c r="F43" i="2"/>
  <c r="E43" i="2"/>
  <c r="D43" i="2"/>
  <c r="C43" i="2"/>
  <c r="B43" i="2"/>
  <c r="A43" i="2"/>
  <c r="AL42" i="2"/>
  <c r="AK42" i="2"/>
  <c r="AJ42" i="2"/>
  <c r="AI42" i="2"/>
  <c r="AH42" i="2"/>
  <c r="AG42" i="2"/>
  <c r="AF42" i="2"/>
  <c r="AE42" i="2"/>
  <c r="AD42" i="2"/>
  <c r="AC42" i="2"/>
  <c r="AB42" i="2"/>
  <c r="AA42" i="2"/>
  <c r="Z42" i="2"/>
  <c r="Y42" i="2"/>
  <c r="X42" i="2"/>
  <c r="W42" i="2"/>
  <c r="V42" i="2"/>
  <c r="U42" i="2"/>
  <c r="T42" i="2"/>
  <c r="S42" i="2"/>
  <c r="R42" i="2"/>
  <c r="Q42" i="2"/>
  <c r="P42" i="2"/>
  <c r="O42" i="2"/>
  <c r="N42" i="2"/>
  <c r="M42" i="2"/>
  <c r="L42" i="2"/>
  <c r="K42" i="2"/>
  <c r="J42" i="2"/>
  <c r="I42" i="2"/>
  <c r="H42" i="2"/>
  <c r="G42" i="2"/>
  <c r="F42" i="2"/>
  <c r="E42" i="2"/>
  <c r="D42" i="2"/>
  <c r="C42" i="2"/>
  <c r="B42" i="2"/>
  <c r="A42" i="2"/>
  <c r="AL41" i="2"/>
  <c r="AK41" i="2"/>
  <c r="AJ41" i="2"/>
  <c r="AI41" i="2"/>
  <c r="AH41" i="2"/>
  <c r="AG41" i="2"/>
  <c r="AF41" i="2"/>
  <c r="AE41" i="2"/>
  <c r="AD41" i="2"/>
  <c r="AC41" i="2"/>
  <c r="AB41" i="2"/>
  <c r="AA41" i="2"/>
  <c r="Z41" i="2"/>
  <c r="Y41" i="2"/>
  <c r="X41" i="2"/>
  <c r="W41" i="2"/>
  <c r="V41" i="2"/>
  <c r="U41" i="2"/>
  <c r="T41" i="2"/>
  <c r="S41" i="2"/>
  <c r="R41" i="2"/>
  <c r="Q41" i="2"/>
  <c r="P41" i="2"/>
  <c r="O41" i="2"/>
  <c r="N41" i="2"/>
  <c r="M41" i="2"/>
  <c r="L41" i="2"/>
  <c r="K41" i="2"/>
  <c r="J41" i="2"/>
  <c r="I41" i="2"/>
  <c r="H41" i="2"/>
  <c r="G41" i="2"/>
  <c r="F41" i="2"/>
  <c r="E41" i="2"/>
  <c r="D41" i="2"/>
  <c r="C41" i="2"/>
  <c r="B41" i="2"/>
  <c r="A41" i="2"/>
  <c r="AL40" i="2"/>
  <c r="AK40" i="2"/>
  <c r="AJ40" i="2"/>
  <c r="AI40" i="2"/>
  <c r="AH40" i="2"/>
  <c r="AG40" i="2"/>
  <c r="AF40" i="2"/>
  <c r="AE40" i="2"/>
  <c r="AD40" i="2"/>
  <c r="AC40" i="2"/>
  <c r="AB40" i="2"/>
  <c r="AA40" i="2"/>
  <c r="Z40" i="2"/>
  <c r="Y40" i="2"/>
  <c r="X40" i="2"/>
  <c r="W40" i="2"/>
  <c r="V40" i="2"/>
  <c r="U40" i="2"/>
  <c r="T40" i="2"/>
  <c r="S40" i="2"/>
  <c r="R40" i="2"/>
  <c r="Q40" i="2"/>
  <c r="P40" i="2"/>
  <c r="O40" i="2"/>
  <c r="N40" i="2"/>
  <c r="M40" i="2"/>
  <c r="L40" i="2"/>
  <c r="K40" i="2"/>
  <c r="J40" i="2"/>
  <c r="I40" i="2"/>
  <c r="H40" i="2"/>
  <c r="G40" i="2"/>
  <c r="F40" i="2"/>
  <c r="E40" i="2"/>
  <c r="D40" i="2"/>
  <c r="C40" i="2"/>
  <c r="B40" i="2"/>
  <c r="A40" i="2"/>
  <c r="AL39" i="2"/>
  <c r="AK39" i="2"/>
  <c r="AJ39" i="2"/>
  <c r="AI39" i="2"/>
  <c r="AH39" i="2"/>
  <c r="AG39" i="2"/>
  <c r="AF39" i="2"/>
  <c r="AE39" i="2"/>
  <c r="AD39" i="2"/>
  <c r="AC39" i="2"/>
  <c r="AB39" i="2"/>
  <c r="AA39" i="2"/>
  <c r="Z39" i="2"/>
  <c r="Y39" i="2"/>
  <c r="X39" i="2"/>
  <c r="W39" i="2"/>
  <c r="V39" i="2"/>
  <c r="U39" i="2"/>
  <c r="T39" i="2"/>
  <c r="S39" i="2"/>
  <c r="R39" i="2"/>
  <c r="Q39" i="2"/>
  <c r="P39" i="2"/>
  <c r="O39" i="2"/>
  <c r="N39" i="2"/>
  <c r="M39" i="2"/>
  <c r="L39" i="2"/>
  <c r="K39" i="2"/>
  <c r="J39" i="2"/>
  <c r="I39" i="2"/>
  <c r="H39" i="2"/>
  <c r="G39" i="2"/>
  <c r="F39" i="2"/>
  <c r="E39" i="2"/>
  <c r="D39" i="2"/>
  <c r="C39" i="2"/>
  <c r="B39" i="2"/>
  <c r="A39" i="2"/>
  <c r="AL38" i="2"/>
  <c r="AK38" i="2"/>
  <c r="AJ38" i="2"/>
  <c r="AI38" i="2"/>
  <c r="AH38" i="2"/>
  <c r="AG38" i="2"/>
  <c r="AF38" i="2"/>
  <c r="AE38" i="2"/>
  <c r="AD38" i="2"/>
  <c r="AC38" i="2"/>
  <c r="AB38" i="2"/>
  <c r="AA38" i="2"/>
  <c r="Z38" i="2"/>
  <c r="Y38" i="2"/>
  <c r="X38" i="2"/>
  <c r="W38" i="2"/>
  <c r="V38" i="2"/>
  <c r="U38" i="2"/>
  <c r="T38" i="2"/>
  <c r="S38" i="2"/>
  <c r="R38" i="2"/>
  <c r="Q38" i="2"/>
  <c r="P38" i="2"/>
  <c r="O38" i="2"/>
  <c r="N38" i="2"/>
  <c r="M38" i="2"/>
  <c r="L38" i="2"/>
  <c r="K38" i="2"/>
  <c r="J38" i="2"/>
  <c r="I38" i="2"/>
  <c r="H38" i="2"/>
  <c r="G38" i="2"/>
  <c r="F38" i="2"/>
  <c r="E38" i="2"/>
  <c r="D38" i="2"/>
  <c r="C38" i="2"/>
  <c r="B38" i="2"/>
  <c r="A38" i="2"/>
  <c r="AL37" i="2"/>
  <c r="AK37" i="2"/>
  <c r="AJ37" i="2"/>
  <c r="AI37" i="2"/>
  <c r="AH37" i="2"/>
  <c r="AG37" i="2"/>
  <c r="AF37" i="2"/>
  <c r="AE37" i="2"/>
  <c r="AD37" i="2"/>
  <c r="AC37" i="2"/>
  <c r="AB37" i="2"/>
  <c r="AA37" i="2"/>
  <c r="Z37" i="2"/>
  <c r="Y37" i="2"/>
  <c r="X37" i="2"/>
  <c r="W37" i="2"/>
  <c r="V37" i="2"/>
  <c r="U37" i="2"/>
  <c r="T37" i="2"/>
  <c r="S37" i="2"/>
  <c r="R37" i="2"/>
  <c r="Q37" i="2"/>
  <c r="P37" i="2"/>
  <c r="O37" i="2"/>
  <c r="N37" i="2"/>
  <c r="M37" i="2"/>
  <c r="L37" i="2"/>
  <c r="K37" i="2"/>
  <c r="J37" i="2"/>
  <c r="I37" i="2"/>
  <c r="H37" i="2"/>
  <c r="G37" i="2"/>
  <c r="F37" i="2"/>
  <c r="E37" i="2"/>
  <c r="D37" i="2"/>
  <c r="C37" i="2"/>
  <c r="B37" i="2"/>
  <c r="A37" i="2"/>
  <c r="AL36" i="2"/>
  <c r="AK36" i="2"/>
  <c r="AJ36" i="2"/>
  <c r="AI36" i="2"/>
  <c r="AH36" i="2"/>
  <c r="AG36" i="2"/>
  <c r="AF36" i="2"/>
  <c r="AE36" i="2"/>
  <c r="AD36" i="2"/>
  <c r="AC36" i="2"/>
  <c r="AB36" i="2"/>
  <c r="AA36" i="2"/>
  <c r="Z36" i="2"/>
  <c r="Y36" i="2"/>
  <c r="X36" i="2"/>
  <c r="W36" i="2"/>
  <c r="V36" i="2"/>
  <c r="U36" i="2"/>
  <c r="T36" i="2"/>
  <c r="S36" i="2"/>
  <c r="R36" i="2"/>
  <c r="Q36" i="2"/>
  <c r="P36" i="2"/>
  <c r="O36" i="2"/>
  <c r="N36" i="2"/>
  <c r="M36" i="2"/>
  <c r="L36" i="2"/>
  <c r="K36" i="2"/>
  <c r="J36" i="2"/>
  <c r="I36" i="2"/>
  <c r="H36" i="2"/>
  <c r="G36" i="2"/>
  <c r="F36" i="2"/>
  <c r="E36" i="2"/>
  <c r="D36" i="2"/>
  <c r="C36" i="2"/>
  <c r="B36" i="2"/>
  <c r="A36" i="2"/>
  <c r="AL35" i="2"/>
  <c r="AK35" i="2"/>
  <c r="AJ35" i="2"/>
  <c r="AI35" i="2"/>
  <c r="AH35" i="2"/>
  <c r="AG35" i="2"/>
  <c r="AF35" i="2"/>
  <c r="AE35" i="2"/>
  <c r="AD35" i="2"/>
  <c r="AC35" i="2"/>
  <c r="AB35" i="2"/>
  <c r="AA35" i="2"/>
  <c r="Z35" i="2"/>
  <c r="Y35" i="2"/>
  <c r="X35" i="2"/>
  <c r="W35" i="2"/>
  <c r="V35" i="2"/>
  <c r="U35" i="2"/>
  <c r="T35" i="2"/>
  <c r="S35" i="2"/>
  <c r="R35" i="2"/>
  <c r="Q35" i="2"/>
  <c r="P35" i="2"/>
  <c r="O35" i="2"/>
  <c r="N35" i="2"/>
  <c r="M35" i="2"/>
  <c r="L35" i="2"/>
  <c r="K35" i="2"/>
  <c r="J35" i="2"/>
  <c r="I35" i="2"/>
  <c r="H35" i="2"/>
  <c r="G35" i="2"/>
  <c r="F35" i="2"/>
  <c r="E35" i="2"/>
  <c r="D35" i="2"/>
  <c r="C35" i="2"/>
  <c r="B35" i="2"/>
  <c r="A35" i="2"/>
  <c r="AL34" i="2"/>
  <c r="AK34" i="2"/>
  <c r="AJ34" i="2"/>
  <c r="AI34" i="2"/>
  <c r="AH34" i="2"/>
  <c r="AG34" i="2"/>
  <c r="AF34" i="2"/>
  <c r="AE34" i="2"/>
  <c r="AD34" i="2"/>
  <c r="AC34" i="2"/>
  <c r="AB34" i="2"/>
  <c r="AA34" i="2"/>
  <c r="Z34" i="2"/>
  <c r="Y34" i="2"/>
  <c r="X34" i="2"/>
  <c r="W34" i="2"/>
  <c r="V34" i="2"/>
  <c r="U34" i="2"/>
  <c r="T34" i="2"/>
  <c r="S34" i="2"/>
  <c r="R34" i="2"/>
  <c r="Q34" i="2"/>
  <c r="P34" i="2"/>
  <c r="O34" i="2"/>
  <c r="N34" i="2"/>
  <c r="M34" i="2"/>
  <c r="L34" i="2"/>
  <c r="K34" i="2"/>
  <c r="J34" i="2"/>
  <c r="I34" i="2"/>
  <c r="H34" i="2"/>
  <c r="G34" i="2"/>
  <c r="F34" i="2"/>
  <c r="E34" i="2"/>
  <c r="D34" i="2"/>
  <c r="C34" i="2"/>
  <c r="B34" i="2"/>
  <c r="A34" i="2"/>
  <c r="AL33" i="2"/>
  <c r="AK33" i="2"/>
  <c r="AJ33" i="2"/>
  <c r="AI33" i="2"/>
  <c r="AH33" i="2"/>
  <c r="AG33" i="2"/>
  <c r="AF33" i="2"/>
  <c r="AE33" i="2"/>
  <c r="AD33" i="2"/>
  <c r="AC33" i="2"/>
  <c r="AB33" i="2"/>
  <c r="AA33" i="2"/>
  <c r="Z33" i="2"/>
  <c r="Y33" i="2"/>
  <c r="X33" i="2"/>
  <c r="W33" i="2"/>
  <c r="V33" i="2"/>
  <c r="U33" i="2"/>
  <c r="T33" i="2"/>
  <c r="S33" i="2"/>
  <c r="R33" i="2"/>
  <c r="Q33" i="2"/>
  <c r="P33" i="2"/>
  <c r="O33" i="2"/>
  <c r="N33" i="2"/>
  <c r="M33" i="2"/>
  <c r="L33" i="2"/>
  <c r="K33" i="2"/>
  <c r="J33" i="2"/>
  <c r="I33" i="2"/>
  <c r="H33" i="2"/>
  <c r="G33" i="2"/>
  <c r="F33" i="2"/>
  <c r="E33" i="2"/>
  <c r="D33" i="2"/>
  <c r="C33" i="2"/>
  <c r="B33" i="2"/>
  <c r="A33" i="2"/>
  <c r="AL32" i="2"/>
  <c r="AK32" i="2"/>
  <c r="AJ32" i="2"/>
  <c r="AI32" i="2"/>
  <c r="AH32" i="2"/>
  <c r="AG32" i="2"/>
  <c r="AF32" i="2"/>
  <c r="AE32" i="2"/>
  <c r="AD32" i="2"/>
  <c r="AC32" i="2"/>
  <c r="AB32" i="2"/>
  <c r="AA32" i="2"/>
  <c r="Z32" i="2"/>
  <c r="Y32" i="2"/>
  <c r="X32" i="2"/>
  <c r="W32" i="2"/>
  <c r="V32" i="2"/>
  <c r="U32" i="2"/>
  <c r="T32" i="2"/>
  <c r="S32" i="2"/>
  <c r="R32" i="2"/>
  <c r="Q32" i="2"/>
  <c r="P32" i="2"/>
  <c r="O32" i="2"/>
  <c r="N32" i="2"/>
  <c r="M32" i="2"/>
  <c r="L32" i="2"/>
  <c r="K32" i="2"/>
  <c r="J32" i="2"/>
  <c r="I32" i="2"/>
  <c r="H32" i="2"/>
  <c r="G32" i="2"/>
  <c r="F32" i="2"/>
  <c r="E32" i="2"/>
  <c r="D32" i="2"/>
  <c r="C32" i="2"/>
  <c r="B32" i="2"/>
  <c r="A32" i="2"/>
  <c r="AL31" i="2"/>
  <c r="AK31" i="2"/>
  <c r="AJ31" i="2"/>
  <c r="AI31" i="2"/>
  <c r="AH31" i="2"/>
  <c r="AG31" i="2"/>
  <c r="AF31" i="2"/>
  <c r="AE31" i="2"/>
  <c r="AD31" i="2"/>
  <c r="AC31" i="2"/>
  <c r="AB31" i="2"/>
  <c r="AA31" i="2"/>
  <c r="Z31" i="2"/>
  <c r="Y31" i="2"/>
  <c r="X31" i="2"/>
  <c r="W31" i="2"/>
  <c r="V31" i="2"/>
  <c r="U31" i="2"/>
  <c r="T31" i="2"/>
  <c r="S31" i="2"/>
  <c r="R31" i="2"/>
  <c r="Q31" i="2"/>
  <c r="P31" i="2"/>
  <c r="O31" i="2"/>
  <c r="N31" i="2"/>
  <c r="M31" i="2"/>
  <c r="L31" i="2"/>
  <c r="K31" i="2"/>
  <c r="J31" i="2"/>
  <c r="I31" i="2"/>
  <c r="H31" i="2"/>
  <c r="G31" i="2"/>
  <c r="F31" i="2"/>
  <c r="E31" i="2"/>
  <c r="D31" i="2"/>
  <c r="C31" i="2"/>
  <c r="B31" i="2"/>
  <c r="A31" i="2"/>
  <c r="AL30" i="2"/>
  <c r="AK30" i="2"/>
  <c r="AJ30" i="2"/>
  <c r="AI30" i="2"/>
  <c r="AH30" i="2"/>
  <c r="AG30" i="2"/>
  <c r="AF30" i="2"/>
  <c r="AE30" i="2"/>
  <c r="AD30" i="2"/>
  <c r="AC30" i="2"/>
  <c r="AB30" i="2"/>
  <c r="AA30" i="2"/>
  <c r="Z30" i="2"/>
  <c r="Y30" i="2"/>
  <c r="X30" i="2"/>
  <c r="W30" i="2"/>
  <c r="V30" i="2"/>
  <c r="U30" i="2"/>
  <c r="T30" i="2"/>
  <c r="S30" i="2"/>
  <c r="R30" i="2"/>
  <c r="Q30" i="2"/>
  <c r="P30" i="2"/>
  <c r="O30" i="2"/>
  <c r="N30" i="2"/>
  <c r="M30" i="2"/>
  <c r="L30" i="2"/>
  <c r="K30" i="2"/>
  <c r="J30" i="2"/>
  <c r="I30" i="2"/>
  <c r="H30" i="2"/>
  <c r="G30" i="2"/>
  <c r="F30" i="2"/>
  <c r="E30" i="2"/>
  <c r="D30" i="2"/>
  <c r="C30" i="2"/>
  <c r="B30" i="2"/>
  <c r="A30" i="2"/>
  <c r="AL29" i="2"/>
  <c r="AK29" i="2"/>
  <c r="AJ29" i="2"/>
  <c r="AI29" i="2"/>
  <c r="AH29" i="2"/>
  <c r="AG29" i="2"/>
  <c r="AF29" i="2"/>
  <c r="AE29" i="2"/>
  <c r="AD29" i="2"/>
  <c r="AC29" i="2"/>
  <c r="AB29" i="2"/>
  <c r="AA29" i="2"/>
  <c r="Z29" i="2"/>
  <c r="Y29" i="2"/>
  <c r="X29" i="2"/>
  <c r="W29" i="2"/>
  <c r="V29" i="2"/>
  <c r="U29" i="2"/>
  <c r="T29" i="2"/>
  <c r="S29" i="2"/>
  <c r="R29" i="2"/>
  <c r="Q29" i="2"/>
  <c r="P29" i="2"/>
  <c r="O29" i="2"/>
  <c r="N29" i="2"/>
  <c r="M29" i="2"/>
  <c r="L29" i="2"/>
  <c r="K29" i="2"/>
  <c r="J29" i="2"/>
  <c r="I29" i="2"/>
  <c r="H29" i="2"/>
  <c r="G29" i="2"/>
  <c r="F29" i="2"/>
  <c r="E29" i="2"/>
  <c r="D29" i="2"/>
  <c r="C29" i="2"/>
  <c r="B29" i="2"/>
  <c r="A29" i="2"/>
  <c r="AL28" i="2"/>
  <c r="AK28" i="2"/>
  <c r="AJ28" i="2"/>
  <c r="AI28" i="2"/>
  <c r="AH28" i="2"/>
  <c r="AG28" i="2"/>
  <c r="AF28" i="2"/>
  <c r="AE28" i="2"/>
  <c r="AD28" i="2"/>
  <c r="AC28" i="2"/>
  <c r="AB28" i="2"/>
  <c r="AA28" i="2"/>
  <c r="Z28" i="2"/>
  <c r="Y28" i="2"/>
  <c r="X28" i="2"/>
  <c r="W28" i="2"/>
  <c r="V28" i="2"/>
  <c r="U28" i="2"/>
  <c r="T28" i="2"/>
  <c r="S28" i="2"/>
  <c r="R28" i="2"/>
  <c r="Q28" i="2"/>
  <c r="P28" i="2"/>
  <c r="O28" i="2"/>
  <c r="N28" i="2"/>
  <c r="M28" i="2"/>
  <c r="L28" i="2"/>
  <c r="K28" i="2"/>
  <c r="J28" i="2"/>
  <c r="I28" i="2"/>
  <c r="H28" i="2"/>
  <c r="G28" i="2"/>
  <c r="F28" i="2"/>
  <c r="E28" i="2"/>
  <c r="D28" i="2"/>
  <c r="C28" i="2"/>
  <c r="B28" i="2"/>
  <c r="A28" i="2"/>
  <c r="AL27" i="2"/>
  <c r="AK27" i="2"/>
  <c r="AJ27" i="2"/>
  <c r="AI27" i="2"/>
  <c r="AH27" i="2"/>
  <c r="AG27" i="2"/>
  <c r="AF27" i="2"/>
  <c r="AE27" i="2"/>
  <c r="AD27" i="2"/>
  <c r="AC27" i="2"/>
  <c r="AB27" i="2"/>
  <c r="AA27" i="2"/>
  <c r="Z27" i="2"/>
  <c r="Y27" i="2"/>
  <c r="X27" i="2"/>
  <c r="W27" i="2"/>
  <c r="V27" i="2"/>
  <c r="U27" i="2"/>
  <c r="T27" i="2"/>
  <c r="S27" i="2"/>
  <c r="R27" i="2"/>
  <c r="Q27" i="2"/>
  <c r="P27" i="2"/>
  <c r="O27" i="2"/>
  <c r="N27" i="2"/>
  <c r="M27" i="2"/>
  <c r="L27" i="2"/>
  <c r="K27" i="2"/>
  <c r="J27" i="2"/>
  <c r="I27" i="2"/>
  <c r="H27" i="2"/>
  <c r="G27" i="2"/>
  <c r="F27" i="2"/>
  <c r="E27" i="2"/>
  <c r="D27" i="2"/>
  <c r="C27" i="2"/>
  <c r="B27" i="2"/>
  <c r="A27" i="2"/>
  <c r="AL26" i="2"/>
  <c r="AK26" i="2"/>
  <c r="AJ26" i="2"/>
  <c r="AI26" i="2"/>
  <c r="AH26" i="2"/>
  <c r="AG26" i="2"/>
  <c r="AF26" i="2"/>
  <c r="AE26" i="2"/>
  <c r="AD26" i="2"/>
  <c r="AC26" i="2"/>
  <c r="AB26" i="2"/>
  <c r="AA26" i="2"/>
  <c r="Z26" i="2"/>
  <c r="Y26" i="2"/>
  <c r="X26" i="2"/>
  <c r="W26" i="2"/>
  <c r="V26" i="2"/>
  <c r="U26" i="2"/>
  <c r="T26" i="2"/>
  <c r="S26" i="2"/>
  <c r="R26" i="2"/>
  <c r="Q26" i="2"/>
  <c r="P26" i="2"/>
  <c r="O26" i="2"/>
  <c r="N26" i="2"/>
  <c r="M26" i="2"/>
  <c r="L26" i="2"/>
  <c r="K26" i="2"/>
  <c r="J26" i="2"/>
  <c r="I26" i="2"/>
  <c r="H26" i="2"/>
  <c r="G26" i="2"/>
  <c r="F26" i="2"/>
  <c r="E26" i="2"/>
  <c r="D26" i="2"/>
  <c r="C26" i="2"/>
  <c r="B26" i="2"/>
  <c r="A26" i="2"/>
  <c r="AL25" i="2"/>
  <c r="AK25" i="2"/>
  <c r="AJ25" i="2"/>
  <c r="AI25" i="2"/>
  <c r="AH25" i="2"/>
  <c r="AG25" i="2"/>
  <c r="AF25" i="2"/>
  <c r="AE25" i="2"/>
  <c r="AD25" i="2"/>
  <c r="AC25" i="2"/>
  <c r="AB25" i="2"/>
  <c r="AA25" i="2"/>
  <c r="Z25" i="2"/>
  <c r="Y25" i="2"/>
  <c r="X25" i="2"/>
  <c r="W25" i="2"/>
  <c r="V25" i="2"/>
  <c r="U25" i="2"/>
  <c r="T25" i="2"/>
  <c r="S25" i="2"/>
  <c r="R25" i="2"/>
  <c r="Q25" i="2"/>
  <c r="P25" i="2"/>
  <c r="O25" i="2"/>
  <c r="N25" i="2"/>
  <c r="M25" i="2"/>
  <c r="L25" i="2"/>
  <c r="K25" i="2"/>
  <c r="J25" i="2"/>
  <c r="I25" i="2"/>
  <c r="H25" i="2"/>
  <c r="G25" i="2"/>
  <c r="F25" i="2"/>
  <c r="E25" i="2"/>
  <c r="D25" i="2"/>
  <c r="C25" i="2"/>
  <c r="B25" i="2"/>
  <c r="A25" i="2"/>
  <c r="AL24" i="2"/>
  <c r="AK24" i="2"/>
  <c r="AJ24" i="2"/>
  <c r="AI24" i="2"/>
  <c r="AH24" i="2"/>
  <c r="AG24" i="2"/>
  <c r="AF24" i="2"/>
  <c r="AE24" i="2"/>
  <c r="AD24" i="2"/>
  <c r="AC24" i="2"/>
  <c r="AB24" i="2"/>
  <c r="AA24" i="2"/>
  <c r="Z24" i="2"/>
  <c r="Y24" i="2"/>
  <c r="X24" i="2"/>
  <c r="W24" i="2"/>
  <c r="V24" i="2"/>
  <c r="U24" i="2"/>
  <c r="T24" i="2"/>
  <c r="S24" i="2"/>
  <c r="R24" i="2"/>
  <c r="Q24" i="2"/>
  <c r="P24" i="2"/>
  <c r="O24" i="2"/>
  <c r="N24" i="2"/>
  <c r="M24" i="2"/>
  <c r="L24" i="2"/>
  <c r="K24" i="2"/>
  <c r="J24" i="2"/>
  <c r="I24" i="2"/>
  <c r="H24" i="2"/>
  <c r="G24" i="2"/>
  <c r="F24" i="2"/>
  <c r="E24" i="2"/>
  <c r="D24" i="2"/>
  <c r="C24" i="2"/>
  <c r="B24" i="2"/>
  <c r="A24" i="2"/>
  <c r="AL23" i="2"/>
  <c r="AK23" i="2"/>
  <c r="AJ23" i="2"/>
  <c r="AI23" i="2"/>
  <c r="AH23" i="2"/>
  <c r="AG23" i="2"/>
  <c r="AF23" i="2"/>
  <c r="AE23" i="2"/>
  <c r="AD23" i="2"/>
  <c r="AC23" i="2"/>
  <c r="AB23" i="2"/>
  <c r="AA23" i="2"/>
  <c r="Z23" i="2"/>
  <c r="Y23" i="2"/>
  <c r="X23" i="2"/>
  <c r="W23" i="2"/>
  <c r="V23" i="2"/>
  <c r="U23" i="2"/>
  <c r="T23" i="2"/>
  <c r="S23" i="2"/>
  <c r="R23" i="2"/>
  <c r="Q23" i="2"/>
  <c r="P23" i="2"/>
  <c r="O23" i="2"/>
  <c r="N23" i="2"/>
  <c r="M23" i="2"/>
  <c r="L23" i="2"/>
  <c r="K23" i="2"/>
  <c r="J23" i="2"/>
  <c r="I23" i="2"/>
  <c r="H23" i="2"/>
  <c r="G23" i="2"/>
  <c r="F23" i="2"/>
  <c r="E23" i="2"/>
  <c r="D23" i="2"/>
  <c r="C23" i="2"/>
  <c r="A23" i="2"/>
  <c r="AL22" i="2"/>
  <c r="AK22" i="2"/>
  <c r="AJ22" i="2"/>
  <c r="AI22" i="2"/>
  <c r="AH22" i="2"/>
  <c r="AG22" i="2"/>
  <c r="AF22" i="2"/>
  <c r="AE22" i="2"/>
  <c r="AD22" i="2"/>
  <c r="AC22" i="2"/>
  <c r="AB22" i="2"/>
  <c r="AA22" i="2"/>
  <c r="Z22" i="2"/>
  <c r="Y22" i="2"/>
  <c r="X22" i="2"/>
  <c r="W22" i="2"/>
  <c r="V22" i="2"/>
  <c r="U22" i="2"/>
  <c r="T22" i="2"/>
  <c r="S22" i="2"/>
  <c r="R22" i="2"/>
  <c r="Q22" i="2"/>
  <c r="P22" i="2"/>
  <c r="O22" i="2"/>
  <c r="N22" i="2"/>
  <c r="M22" i="2"/>
  <c r="L22" i="2"/>
  <c r="K22" i="2"/>
  <c r="J22" i="2"/>
  <c r="I22" i="2"/>
  <c r="H22" i="2"/>
  <c r="G22" i="2"/>
  <c r="F22" i="2"/>
  <c r="E22" i="2"/>
  <c r="D22" i="2"/>
  <c r="C22" i="2"/>
  <c r="A22" i="2"/>
  <c r="AL21" i="2"/>
  <c r="AK21" i="2"/>
  <c r="AJ21" i="2"/>
  <c r="AI21" i="2"/>
  <c r="AH21" i="2"/>
  <c r="AG21" i="2"/>
  <c r="AF21" i="2"/>
  <c r="AE21" i="2"/>
  <c r="AD21" i="2"/>
  <c r="AC21" i="2"/>
  <c r="AB21" i="2"/>
  <c r="AA21" i="2"/>
  <c r="Z21" i="2"/>
  <c r="Y21" i="2"/>
  <c r="X21" i="2"/>
  <c r="W21" i="2"/>
  <c r="V21" i="2"/>
  <c r="U21" i="2"/>
  <c r="T21" i="2"/>
  <c r="S21" i="2"/>
  <c r="R21" i="2"/>
  <c r="Q21" i="2"/>
  <c r="P21" i="2"/>
  <c r="O21" i="2"/>
  <c r="N21" i="2"/>
  <c r="M21" i="2"/>
  <c r="L21" i="2"/>
  <c r="K21" i="2"/>
  <c r="J21" i="2"/>
  <c r="I21" i="2"/>
  <c r="H21" i="2"/>
  <c r="G21" i="2"/>
  <c r="F21" i="2"/>
  <c r="E21" i="2"/>
  <c r="D21" i="2"/>
  <c r="C21" i="2"/>
  <c r="B21" i="2"/>
  <c r="A21" i="2"/>
  <c r="AL20" i="2"/>
  <c r="AK20" i="2"/>
  <c r="AJ20" i="2"/>
  <c r="AI20" i="2"/>
  <c r="AH20" i="2"/>
  <c r="AG20" i="2"/>
  <c r="AF20" i="2"/>
  <c r="AE20" i="2"/>
  <c r="AD20" i="2"/>
  <c r="AC20" i="2"/>
  <c r="AB20" i="2"/>
  <c r="AA20" i="2"/>
  <c r="Z20" i="2"/>
  <c r="Y20" i="2"/>
  <c r="X20" i="2"/>
  <c r="W20" i="2"/>
  <c r="V20" i="2"/>
  <c r="U20" i="2"/>
  <c r="T20" i="2"/>
  <c r="S20" i="2"/>
  <c r="R20" i="2"/>
  <c r="Q20" i="2"/>
  <c r="P20" i="2"/>
  <c r="O20" i="2"/>
  <c r="N20" i="2"/>
  <c r="M20" i="2"/>
  <c r="L20" i="2"/>
  <c r="K20" i="2"/>
  <c r="J20" i="2"/>
  <c r="I20" i="2"/>
  <c r="H20" i="2"/>
  <c r="G20" i="2"/>
  <c r="F20" i="2"/>
  <c r="E20" i="2"/>
  <c r="D20" i="2"/>
  <c r="C20" i="2"/>
  <c r="B20" i="2"/>
  <c r="A20" i="2"/>
  <c r="AL19" i="2"/>
  <c r="AK19" i="2"/>
  <c r="AJ19" i="2"/>
  <c r="AI19" i="2"/>
  <c r="AH19" i="2"/>
  <c r="AG19" i="2"/>
  <c r="AF19" i="2"/>
  <c r="AE19" i="2"/>
  <c r="AD19" i="2"/>
  <c r="AC19" i="2"/>
  <c r="AB19" i="2"/>
  <c r="AA19" i="2"/>
  <c r="Z19" i="2"/>
  <c r="Y19" i="2"/>
  <c r="X19" i="2"/>
  <c r="W19" i="2"/>
  <c r="V19" i="2"/>
  <c r="U19" i="2"/>
  <c r="T19" i="2"/>
  <c r="S19" i="2"/>
  <c r="R19" i="2"/>
  <c r="Q19" i="2"/>
  <c r="P19" i="2"/>
  <c r="O19" i="2"/>
  <c r="N19" i="2"/>
  <c r="M19" i="2"/>
  <c r="L19" i="2"/>
  <c r="K19" i="2"/>
  <c r="J19" i="2"/>
  <c r="I19" i="2"/>
  <c r="H19" i="2"/>
  <c r="G19" i="2"/>
  <c r="F19" i="2"/>
  <c r="E19" i="2"/>
  <c r="D19" i="2"/>
  <c r="C19" i="2"/>
  <c r="B19" i="2"/>
  <c r="A19" i="2"/>
  <c r="AL18" i="2"/>
  <c r="AK18" i="2"/>
  <c r="AJ18" i="2"/>
  <c r="AI18" i="2"/>
  <c r="AH18" i="2"/>
  <c r="AG18" i="2"/>
  <c r="AF18" i="2"/>
  <c r="AE18" i="2"/>
  <c r="AD18" i="2"/>
  <c r="AC18" i="2"/>
  <c r="AB18" i="2"/>
  <c r="AA18" i="2"/>
  <c r="Z18" i="2"/>
  <c r="Y18" i="2"/>
  <c r="X18" i="2"/>
  <c r="W18" i="2"/>
  <c r="V18" i="2"/>
  <c r="U18" i="2"/>
  <c r="T18" i="2"/>
  <c r="S18" i="2"/>
  <c r="R18" i="2"/>
  <c r="Q18" i="2"/>
  <c r="P18" i="2"/>
  <c r="O18" i="2"/>
  <c r="N18" i="2"/>
  <c r="M18" i="2"/>
  <c r="L18" i="2"/>
  <c r="K18" i="2"/>
  <c r="J18" i="2"/>
  <c r="I18" i="2"/>
  <c r="H18" i="2"/>
  <c r="G18" i="2"/>
  <c r="F18" i="2"/>
  <c r="E18" i="2"/>
  <c r="D18" i="2"/>
  <c r="C18" i="2"/>
  <c r="B18" i="2"/>
  <c r="A18" i="2"/>
  <c r="AL17" i="2"/>
  <c r="AK17" i="2"/>
  <c r="AJ17" i="2"/>
  <c r="AI17" i="2"/>
  <c r="AH17" i="2"/>
  <c r="AG17" i="2"/>
  <c r="AF17" i="2"/>
  <c r="AE17" i="2"/>
  <c r="AD17" i="2"/>
  <c r="AC17" i="2"/>
  <c r="AB17" i="2"/>
  <c r="AA17" i="2"/>
  <c r="Z17" i="2"/>
  <c r="Y17" i="2"/>
  <c r="X17" i="2"/>
  <c r="W17" i="2"/>
  <c r="V17" i="2"/>
  <c r="U17" i="2"/>
  <c r="T17" i="2"/>
  <c r="S17" i="2"/>
  <c r="R17" i="2"/>
  <c r="Q17" i="2"/>
  <c r="P17" i="2"/>
  <c r="O17" i="2"/>
  <c r="N17" i="2"/>
  <c r="M17" i="2"/>
  <c r="L17" i="2"/>
  <c r="K17" i="2"/>
  <c r="J17" i="2"/>
  <c r="I17" i="2"/>
  <c r="H17" i="2"/>
  <c r="G17" i="2"/>
  <c r="F17" i="2"/>
  <c r="E17" i="2"/>
  <c r="D17" i="2"/>
  <c r="C17" i="2"/>
  <c r="B17" i="2"/>
  <c r="A17" i="2"/>
  <c r="AL16" i="2"/>
  <c r="AK16" i="2"/>
  <c r="AJ16" i="2"/>
  <c r="AI16" i="2"/>
  <c r="AH16" i="2"/>
  <c r="AG16" i="2"/>
  <c r="AF16" i="2"/>
  <c r="AE16" i="2"/>
  <c r="AD16" i="2"/>
  <c r="AC16" i="2"/>
  <c r="AB16" i="2"/>
  <c r="AA16" i="2"/>
  <c r="Z16" i="2"/>
  <c r="Y16" i="2"/>
  <c r="X16" i="2"/>
  <c r="W16" i="2"/>
  <c r="V16" i="2"/>
  <c r="U16" i="2"/>
  <c r="T16" i="2"/>
  <c r="S16" i="2"/>
  <c r="R16" i="2"/>
  <c r="Q16" i="2"/>
  <c r="P16" i="2"/>
  <c r="O16" i="2"/>
  <c r="N16" i="2"/>
  <c r="M16" i="2"/>
  <c r="L16" i="2"/>
  <c r="K16" i="2"/>
  <c r="J16" i="2"/>
  <c r="I16" i="2"/>
  <c r="H16" i="2"/>
  <c r="G16" i="2"/>
  <c r="F16" i="2"/>
  <c r="E16" i="2"/>
  <c r="D16" i="2"/>
  <c r="C16" i="2"/>
  <c r="B16" i="2"/>
  <c r="A16" i="2"/>
  <c r="AL15" i="2"/>
  <c r="AK15" i="2"/>
  <c r="AJ15" i="2"/>
  <c r="AI15" i="2"/>
  <c r="AH15" i="2"/>
  <c r="AG15" i="2"/>
  <c r="AF15" i="2"/>
  <c r="AE15" i="2"/>
  <c r="AD15" i="2"/>
  <c r="AC15" i="2"/>
  <c r="AB15" i="2"/>
  <c r="AA15" i="2"/>
  <c r="Z15" i="2"/>
  <c r="Y15" i="2"/>
  <c r="X15" i="2"/>
  <c r="W15" i="2"/>
  <c r="V15" i="2"/>
  <c r="U15" i="2"/>
  <c r="T15" i="2"/>
  <c r="S15" i="2"/>
  <c r="R15" i="2"/>
  <c r="Q15" i="2"/>
  <c r="P15" i="2"/>
  <c r="O15" i="2"/>
  <c r="N15" i="2"/>
  <c r="M15" i="2"/>
  <c r="L15" i="2"/>
  <c r="K15" i="2"/>
  <c r="J15" i="2"/>
  <c r="I15" i="2"/>
  <c r="H15" i="2"/>
  <c r="G15" i="2"/>
  <c r="F15" i="2"/>
  <c r="E15" i="2"/>
  <c r="D15" i="2"/>
  <c r="C15" i="2"/>
  <c r="B15" i="2"/>
  <c r="A15" i="2"/>
  <c r="AL14" i="2"/>
  <c r="AK14" i="2"/>
  <c r="AJ14" i="2"/>
  <c r="AI14" i="2"/>
  <c r="AH14" i="2"/>
  <c r="AG14" i="2"/>
  <c r="AF14" i="2"/>
  <c r="AE14" i="2"/>
  <c r="AD14" i="2"/>
  <c r="AC14" i="2"/>
  <c r="AB14" i="2"/>
  <c r="AA14" i="2"/>
  <c r="Z14" i="2"/>
  <c r="Y14" i="2"/>
  <c r="X14" i="2"/>
  <c r="W14" i="2"/>
  <c r="V14" i="2"/>
  <c r="U14" i="2"/>
  <c r="T14" i="2"/>
  <c r="S14" i="2"/>
  <c r="R14" i="2"/>
  <c r="Q14" i="2"/>
  <c r="P14" i="2"/>
  <c r="O14" i="2"/>
  <c r="N14" i="2"/>
  <c r="M14" i="2"/>
  <c r="L14" i="2"/>
  <c r="K14" i="2"/>
  <c r="J14" i="2"/>
  <c r="I14" i="2"/>
  <c r="H14" i="2"/>
  <c r="G14" i="2"/>
  <c r="F14" i="2"/>
  <c r="E14" i="2"/>
  <c r="D14" i="2"/>
  <c r="C14" i="2"/>
  <c r="B14" i="2"/>
  <c r="A14" i="2"/>
  <c r="AL13" i="2"/>
  <c r="AK13" i="2"/>
  <c r="AJ13" i="2"/>
  <c r="AI13" i="2"/>
  <c r="AH13" i="2"/>
  <c r="AG13" i="2"/>
  <c r="AF13" i="2"/>
  <c r="AE13" i="2"/>
  <c r="AD13" i="2"/>
  <c r="AC13" i="2"/>
  <c r="AB13" i="2"/>
  <c r="AA13" i="2"/>
  <c r="Z13" i="2"/>
  <c r="Y13" i="2"/>
  <c r="X13" i="2"/>
  <c r="W13" i="2"/>
  <c r="V13" i="2"/>
  <c r="U13" i="2"/>
  <c r="T13" i="2"/>
  <c r="S13" i="2"/>
  <c r="R13" i="2"/>
  <c r="Q13" i="2"/>
  <c r="P13" i="2"/>
  <c r="O13" i="2"/>
  <c r="N13" i="2"/>
  <c r="M13" i="2"/>
  <c r="L13" i="2"/>
  <c r="K13" i="2"/>
  <c r="J13" i="2"/>
  <c r="I13" i="2"/>
  <c r="H13" i="2"/>
  <c r="G13" i="2"/>
  <c r="F13" i="2"/>
  <c r="E13" i="2"/>
  <c r="D13" i="2"/>
  <c r="C13" i="2"/>
  <c r="A13" i="2"/>
  <c r="AL12" i="2"/>
  <c r="AK12" i="2"/>
  <c r="AJ12" i="2"/>
  <c r="AI12" i="2"/>
  <c r="AH12" i="2"/>
  <c r="AG12" i="2"/>
  <c r="AF12" i="2"/>
  <c r="AE12" i="2"/>
  <c r="AD12" i="2"/>
  <c r="AC12" i="2"/>
  <c r="AB12" i="2"/>
  <c r="AA12" i="2"/>
  <c r="Z12" i="2"/>
  <c r="Y12" i="2"/>
  <c r="X12" i="2"/>
  <c r="W12" i="2"/>
  <c r="V12" i="2"/>
  <c r="U12" i="2"/>
  <c r="T12" i="2"/>
  <c r="S12" i="2"/>
  <c r="R12" i="2"/>
  <c r="Q12" i="2"/>
  <c r="P12" i="2"/>
  <c r="O12" i="2"/>
  <c r="N12" i="2"/>
  <c r="M12" i="2"/>
  <c r="L12" i="2"/>
  <c r="K12" i="2"/>
  <c r="J12" i="2"/>
  <c r="I12" i="2"/>
  <c r="H12" i="2"/>
  <c r="G12" i="2"/>
  <c r="F12" i="2"/>
  <c r="E12" i="2"/>
  <c r="D12" i="2"/>
  <c r="C12" i="2"/>
  <c r="B12" i="2"/>
  <c r="A12" i="2"/>
  <c r="AL11" i="2"/>
  <c r="AK11" i="2"/>
  <c r="AJ11" i="2"/>
  <c r="AI11" i="2"/>
  <c r="AH11" i="2"/>
  <c r="AG11" i="2"/>
  <c r="AF11" i="2"/>
  <c r="AE11" i="2"/>
  <c r="AD11" i="2"/>
  <c r="AC11" i="2"/>
  <c r="AB11" i="2"/>
  <c r="AA11" i="2"/>
  <c r="Z11" i="2"/>
  <c r="Y11" i="2"/>
  <c r="X11" i="2"/>
  <c r="W11" i="2"/>
  <c r="V11" i="2"/>
  <c r="U11" i="2"/>
  <c r="T11" i="2"/>
  <c r="S11" i="2"/>
  <c r="R11" i="2"/>
  <c r="Q11" i="2"/>
  <c r="P11" i="2"/>
  <c r="O11" i="2"/>
  <c r="N11" i="2"/>
  <c r="M11" i="2"/>
  <c r="L11" i="2"/>
  <c r="K11" i="2"/>
  <c r="J11" i="2"/>
  <c r="I11" i="2"/>
  <c r="H11" i="2"/>
  <c r="G11" i="2"/>
  <c r="F11" i="2"/>
  <c r="E11" i="2"/>
  <c r="D11" i="2"/>
  <c r="C11" i="2"/>
  <c r="A11" i="2"/>
  <c r="AL10" i="2"/>
  <c r="AK10" i="2"/>
  <c r="AJ10" i="2"/>
  <c r="AI10" i="2"/>
  <c r="AH10" i="2"/>
  <c r="AG10" i="2"/>
  <c r="AF10" i="2"/>
  <c r="AE10" i="2"/>
  <c r="AD10" i="2"/>
  <c r="AC10" i="2"/>
  <c r="AB10" i="2"/>
  <c r="AA10" i="2"/>
  <c r="Z10" i="2"/>
  <c r="Y10" i="2"/>
  <c r="X10" i="2"/>
  <c r="W10" i="2"/>
  <c r="V10" i="2"/>
  <c r="U10" i="2"/>
  <c r="T10" i="2"/>
  <c r="S10" i="2"/>
  <c r="R10" i="2"/>
  <c r="Q10" i="2"/>
  <c r="P10" i="2"/>
  <c r="O10" i="2"/>
  <c r="N10" i="2"/>
  <c r="M10" i="2"/>
  <c r="L10" i="2"/>
  <c r="K10" i="2"/>
  <c r="J10" i="2"/>
  <c r="I10" i="2"/>
  <c r="H10" i="2"/>
  <c r="G10" i="2"/>
  <c r="F10" i="2"/>
  <c r="E10" i="2"/>
  <c r="D10" i="2"/>
  <c r="C10" i="2"/>
  <c r="B10" i="2"/>
  <c r="A10" i="2"/>
  <c r="AL9" i="2"/>
  <c r="AK9" i="2"/>
  <c r="AJ9" i="2"/>
  <c r="AI9" i="2"/>
  <c r="AH9" i="2"/>
  <c r="AG9" i="2"/>
  <c r="AF9" i="2"/>
  <c r="AE9" i="2"/>
  <c r="AD9" i="2"/>
  <c r="AC9" i="2"/>
  <c r="AB9" i="2"/>
  <c r="AA9" i="2"/>
  <c r="Z9" i="2"/>
  <c r="Y9" i="2"/>
  <c r="X9" i="2"/>
  <c r="W9" i="2"/>
  <c r="V9" i="2"/>
  <c r="U9" i="2"/>
  <c r="T9" i="2"/>
  <c r="S9" i="2"/>
  <c r="R9" i="2"/>
  <c r="Q9" i="2"/>
  <c r="P9" i="2"/>
  <c r="O9" i="2"/>
  <c r="N9" i="2"/>
  <c r="M9" i="2"/>
  <c r="L9" i="2"/>
  <c r="K9" i="2"/>
  <c r="J9" i="2"/>
  <c r="I9" i="2"/>
  <c r="H9" i="2"/>
  <c r="G9" i="2"/>
  <c r="F9" i="2"/>
  <c r="E9" i="2"/>
  <c r="D9" i="2"/>
  <c r="C9" i="2"/>
  <c r="A9" i="2"/>
  <c r="AL8" i="2"/>
  <c r="AK8" i="2"/>
  <c r="AJ8" i="2"/>
  <c r="AI8" i="2"/>
  <c r="AH8" i="2"/>
  <c r="AG8" i="2"/>
  <c r="AF8" i="2"/>
  <c r="AE8" i="2"/>
  <c r="AD8" i="2"/>
  <c r="AC8" i="2"/>
  <c r="AB8" i="2"/>
  <c r="AA8" i="2"/>
  <c r="Z8" i="2"/>
  <c r="Y8" i="2"/>
  <c r="X8" i="2"/>
  <c r="W8" i="2"/>
  <c r="V8" i="2"/>
  <c r="U8" i="2"/>
  <c r="T8" i="2"/>
  <c r="S8" i="2"/>
  <c r="R8" i="2"/>
  <c r="Q8" i="2"/>
  <c r="P8" i="2"/>
  <c r="O8" i="2"/>
  <c r="N8" i="2"/>
  <c r="M8" i="2"/>
  <c r="L8" i="2"/>
  <c r="K8" i="2"/>
  <c r="J8" i="2"/>
  <c r="I8" i="2"/>
  <c r="H8" i="2"/>
  <c r="G8" i="2"/>
  <c r="F8" i="2"/>
  <c r="E8" i="2"/>
  <c r="D8" i="2"/>
  <c r="C8" i="2"/>
  <c r="B8" i="2"/>
  <c r="A8" i="2"/>
  <c r="AL7" i="2"/>
  <c r="AK7" i="2"/>
  <c r="AJ7" i="2"/>
  <c r="AI7" i="2"/>
  <c r="AH7" i="2"/>
  <c r="AG7" i="2"/>
  <c r="AF7" i="2"/>
  <c r="AE7" i="2"/>
  <c r="AD7" i="2"/>
  <c r="AC7" i="2"/>
  <c r="AB7" i="2"/>
  <c r="AA7" i="2"/>
  <c r="Z7" i="2"/>
  <c r="Y7" i="2"/>
  <c r="X7" i="2"/>
  <c r="W7" i="2"/>
  <c r="V7" i="2"/>
  <c r="U7" i="2"/>
  <c r="T7" i="2"/>
  <c r="S7" i="2"/>
  <c r="R7" i="2"/>
  <c r="Q7" i="2"/>
  <c r="P7" i="2"/>
  <c r="O7" i="2"/>
  <c r="N7" i="2"/>
  <c r="M7" i="2"/>
  <c r="L7" i="2"/>
  <c r="K7" i="2"/>
  <c r="J7" i="2"/>
  <c r="I7" i="2"/>
  <c r="H7" i="2"/>
  <c r="G7" i="2"/>
  <c r="F7" i="2"/>
  <c r="E7" i="2"/>
  <c r="D7" i="2"/>
  <c r="C7" i="2"/>
  <c r="B7" i="2"/>
  <c r="A7" i="2"/>
  <c r="AL6" i="2"/>
  <c r="AK6" i="2"/>
  <c r="AJ6" i="2"/>
  <c r="AI6" i="2"/>
  <c r="AH6" i="2"/>
  <c r="AG6" i="2"/>
  <c r="AF6" i="2"/>
  <c r="AE6" i="2"/>
  <c r="AD6" i="2"/>
  <c r="AC6" i="2"/>
  <c r="AB6" i="2"/>
  <c r="AA6" i="2"/>
  <c r="Z6" i="2"/>
  <c r="Y6" i="2"/>
  <c r="X6" i="2"/>
  <c r="W6" i="2"/>
  <c r="V6" i="2"/>
  <c r="U6" i="2"/>
  <c r="T6" i="2"/>
  <c r="S6" i="2"/>
  <c r="R6" i="2"/>
  <c r="Q6" i="2"/>
  <c r="P6" i="2"/>
  <c r="O6" i="2"/>
  <c r="N6" i="2"/>
  <c r="M6" i="2"/>
  <c r="L6" i="2"/>
  <c r="K6" i="2"/>
  <c r="J6" i="2"/>
  <c r="I6" i="2"/>
  <c r="H6" i="2"/>
  <c r="G6" i="2"/>
  <c r="F6" i="2"/>
  <c r="E6" i="2"/>
  <c r="D6" i="2"/>
  <c r="C6" i="2"/>
  <c r="A6" i="2"/>
  <c r="AL5" i="2"/>
  <c r="AK5" i="2"/>
  <c r="AJ5" i="2"/>
  <c r="AI5" i="2"/>
  <c r="AH5" i="2"/>
  <c r="AG5" i="2"/>
  <c r="AF5" i="2"/>
  <c r="AE5" i="2"/>
  <c r="AD5" i="2"/>
  <c r="AC5" i="2"/>
  <c r="AB5" i="2"/>
  <c r="AA5" i="2"/>
  <c r="Z5" i="2"/>
  <c r="Y5" i="2"/>
  <c r="X5" i="2"/>
  <c r="W5" i="2"/>
  <c r="V5" i="2"/>
  <c r="U5" i="2"/>
  <c r="T5" i="2"/>
  <c r="S5" i="2"/>
  <c r="R5" i="2"/>
  <c r="Q5" i="2"/>
  <c r="P5" i="2"/>
  <c r="O5" i="2"/>
  <c r="N5" i="2"/>
  <c r="M5" i="2"/>
  <c r="L5" i="2"/>
  <c r="K5" i="2"/>
  <c r="J5" i="2"/>
  <c r="I5" i="2"/>
  <c r="H5" i="2"/>
  <c r="G5" i="2"/>
  <c r="F5" i="2"/>
  <c r="E5" i="2"/>
  <c r="D5" i="2"/>
  <c r="C5" i="2"/>
  <c r="B5" i="2"/>
  <c r="A5" i="2"/>
  <c r="AL4" i="2"/>
  <c r="AK4" i="2"/>
  <c r="AJ4" i="2"/>
  <c r="AI4" i="2"/>
  <c r="AH4" i="2"/>
  <c r="AG4" i="2"/>
  <c r="AF4" i="2"/>
  <c r="AE4" i="2"/>
  <c r="AD4" i="2"/>
  <c r="AC4" i="2"/>
  <c r="AB4" i="2"/>
  <c r="AA4" i="2"/>
  <c r="Z4" i="2"/>
  <c r="Y4" i="2"/>
  <c r="X4" i="2"/>
  <c r="W4" i="2"/>
  <c r="V4" i="2"/>
  <c r="U4" i="2"/>
  <c r="T4" i="2"/>
  <c r="S4" i="2"/>
  <c r="R4" i="2"/>
  <c r="Q4" i="2"/>
  <c r="P4" i="2"/>
  <c r="O4" i="2"/>
  <c r="N4" i="2"/>
  <c r="M4" i="2"/>
  <c r="L4" i="2"/>
  <c r="K4" i="2"/>
  <c r="J4" i="2"/>
  <c r="I4" i="2"/>
  <c r="H4" i="2"/>
  <c r="G4" i="2"/>
  <c r="F4" i="2"/>
  <c r="E4" i="2"/>
  <c r="D4" i="2"/>
  <c r="C4" i="2"/>
  <c r="A4" i="2"/>
  <c r="AL65" i="2" l="1"/>
  <c r="R65" i="2"/>
  <c r="F65" i="2" l="1"/>
  <c r="AJ65" i="2"/>
  <c r="AB65" i="2"/>
  <c r="V65" i="2"/>
  <c r="AH65" i="2"/>
  <c r="T65" i="2"/>
  <c r="Z65" i="2"/>
  <c r="J65" i="2"/>
  <c r="AK65" i="2"/>
  <c r="M65" i="2"/>
  <c r="AF65" i="2"/>
  <c r="X65" i="2"/>
  <c r="P65" i="2"/>
  <c r="H65" i="2"/>
  <c r="C65" i="2"/>
  <c r="L65" i="2"/>
  <c r="D65" i="2"/>
  <c r="AE65" i="2"/>
  <c r="W65" i="2"/>
  <c r="O65" i="2"/>
  <c r="G65" i="2"/>
  <c r="AD65" i="2"/>
  <c r="N65" i="2"/>
  <c r="K65" i="2"/>
  <c r="AI65" i="2"/>
  <c r="S65" i="2"/>
  <c r="AG65" i="2"/>
  <c r="Y65" i="2"/>
  <c r="Q65" i="2"/>
  <c r="I65" i="2"/>
  <c r="AA65" i="2"/>
  <c r="AC65" i="2"/>
  <c r="U65" i="2"/>
  <c r="E65" i="2"/>
  <c r="D59" i="2" l="1"/>
  <c r="E129" i="2"/>
  <c r="C127" i="2"/>
  <c r="E119" i="2"/>
  <c r="E131" i="2"/>
  <c r="D131" i="2"/>
  <c r="C131" i="2"/>
  <c r="E130" i="2"/>
  <c r="C130" i="2"/>
  <c r="D121" i="2"/>
  <c r="C129" i="2"/>
  <c r="E128" i="2"/>
  <c r="D128" i="2"/>
  <c r="C128" i="2"/>
  <c r="E127" i="2"/>
  <c r="D127" i="2"/>
  <c r="C119" i="2"/>
  <c r="E118" i="2"/>
  <c r="D118" i="2"/>
  <c r="C126" i="2"/>
  <c r="D130" i="2"/>
  <c r="E121" i="2"/>
  <c r="D120" i="2"/>
  <c r="D126" i="2"/>
  <c r="D119" i="2" l="1"/>
  <c r="C122" i="2"/>
  <c r="E126" i="2"/>
  <c r="D129" i="2"/>
  <c r="D122" i="2"/>
  <c r="C120" i="2"/>
  <c r="E122" i="2"/>
  <c r="C123" i="2"/>
  <c r="C118" i="2"/>
  <c r="E120" i="2"/>
  <c r="D123" i="2"/>
  <c r="C121" i="2"/>
  <c r="E123" i="2"/>
  <c r="D99" i="2" l="1"/>
  <c r="C98" i="2"/>
  <c r="C97" i="2"/>
  <c r="C96" i="2"/>
  <c r="D95" i="2"/>
  <c r="C95" i="2"/>
  <c r="C94" i="2"/>
  <c r="B60" i="2"/>
  <c r="B63" i="2" s="1"/>
  <c r="B59" i="2"/>
  <c r="B62" i="2" s="1"/>
  <c r="E59" i="2"/>
  <c r="F59" i="2"/>
  <c r="N59" i="2"/>
  <c r="U59" i="2"/>
  <c r="V59" i="2"/>
  <c r="AD59" i="2"/>
  <c r="AK59" i="2"/>
  <c r="AL59" i="2"/>
  <c r="K60" i="2"/>
  <c r="R60" i="2"/>
  <c r="S60" i="2"/>
  <c r="AA60" i="2"/>
  <c r="AH60" i="2"/>
  <c r="AI60" i="2"/>
  <c r="C91" i="2" l="1"/>
  <c r="D97" i="2"/>
  <c r="E99" i="2"/>
  <c r="C99" i="2"/>
  <c r="D98" i="2"/>
  <c r="D96" i="2"/>
  <c r="D94" i="2"/>
  <c r="E94" i="2"/>
  <c r="E97" i="2"/>
  <c r="E95" i="2"/>
  <c r="E98" i="2"/>
  <c r="C90" i="2"/>
  <c r="D86" i="2"/>
  <c r="E88" i="2"/>
  <c r="E87" i="2"/>
  <c r="E96" i="2"/>
  <c r="D90" i="2"/>
  <c r="D87" i="2"/>
  <c r="C86" i="2"/>
  <c r="D88" i="2"/>
  <c r="E90" i="2"/>
  <c r="C89" i="2"/>
  <c r="D91" i="2"/>
  <c r="E89" i="2"/>
  <c r="C87" i="2"/>
  <c r="D89" i="2"/>
  <c r="E91" i="2"/>
  <c r="E86" i="2"/>
  <c r="C88" i="2"/>
  <c r="AL60" i="2"/>
  <c r="AD60" i="2"/>
  <c r="V60" i="2"/>
  <c r="N60" i="2"/>
  <c r="F60" i="2"/>
  <c r="AG59" i="2"/>
  <c r="Y59" i="2"/>
  <c r="Q59" i="2"/>
  <c r="I59" i="2"/>
  <c r="AF60" i="2"/>
  <c r="X60" i="2"/>
  <c r="P60" i="2"/>
  <c r="H60" i="2"/>
  <c r="AI59" i="2"/>
  <c r="AA59" i="2"/>
  <c r="S59" i="2"/>
  <c r="K59" i="2"/>
  <c r="AK60" i="2"/>
  <c r="X59" i="2"/>
  <c r="AE60" i="2"/>
  <c r="W60" i="2"/>
  <c r="O60" i="2"/>
  <c r="G60" i="2"/>
  <c r="AH59" i="2"/>
  <c r="Z59" i="2"/>
  <c r="R59" i="2"/>
  <c r="J59" i="2"/>
  <c r="AB60" i="2"/>
  <c r="T60" i="2"/>
  <c r="L60" i="2"/>
  <c r="D60" i="2"/>
  <c r="AE59" i="2"/>
  <c r="O59" i="2"/>
  <c r="G59" i="2"/>
  <c r="Y60" i="2"/>
  <c r="I60" i="2"/>
  <c r="AB59" i="2"/>
  <c r="L59" i="2"/>
  <c r="H59" i="2"/>
  <c r="P59" i="2"/>
  <c r="AF59" i="2"/>
  <c r="E60" i="2"/>
  <c r="M60" i="2"/>
  <c r="U60" i="2"/>
  <c r="AC60" i="2"/>
  <c r="AG60" i="2"/>
  <c r="T59" i="2"/>
  <c r="AJ59" i="2"/>
  <c r="Q60" i="2"/>
  <c r="M59" i="2"/>
  <c r="AC59" i="2"/>
  <c r="J60" i="2"/>
  <c r="Z60" i="2"/>
  <c r="W59" i="2"/>
  <c r="AJ60" i="2"/>
</calcChain>
</file>

<file path=xl/sharedStrings.xml><?xml version="1.0" encoding="utf-8"?>
<sst xmlns="http://schemas.openxmlformats.org/spreadsheetml/2006/main" count="87" uniqueCount="29">
  <si>
    <t>Macro</t>
  </si>
  <si>
    <t>Inflation</t>
  </si>
  <si>
    <t>Emissions</t>
  </si>
  <si>
    <t>IPC</t>
  </si>
  <si>
    <t>Baseline</t>
  </si>
  <si>
    <t>Scénario 2</t>
  </si>
  <si>
    <t>NZ50</t>
  </si>
  <si>
    <t>Agriculture</t>
  </si>
  <si>
    <t>Industrie</t>
  </si>
  <si>
    <t>Transports</t>
  </si>
  <si>
    <t>Services</t>
  </si>
  <si>
    <t>Electricité</t>
  </si>
  <si>
    <t>Pétrole et gaz</t>
  </si>
  <si>
    <t>Valeur ajoutée sectorielle baseline</t>
  </si>
  <si>
    <t>Valeur ajoutée sectorielle shock</t>
  </si>
  <si>
    <t>VA</t>
  </si>
  <si>
    <t>Année</t>
  </si>
  <si>
    <t>2030</t>
  </si>
  <si>
    <t>2040</t>
  </si>
  <si>
    <t>2050</t>
  </si>
  <si>
    <t>GDP</t>
  </si>
  <si>
    <t>Consumption</t>
  </si>
  <si>
    <t>Net exports</t>
  </si>
  <si>
    <t>Investment</t>
  </si>
  <si>
    <t>Exports</t>
  </si>
  <si>
    <t>Imports</t>
  </si>
  <si>
    <t>Production</t>
  </si>
  <si>
    <t>Households</t>
  </si>
  <si>
    <t>Firms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</si>
</sst>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"/>
    <numFmt numFmtId="165" formatCode="0.0%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164" fontId="0" fillId="0" borderId="0" xfId="0" applyNumberFormat="1"/>
    <xf numFmtId="14" fontId="0" fillId="0" borderId="0" xfId="0" applyNumberFormat="1"/>
    <xf numFmtId="1" fontId="0" fillId="0" borderId="0" xfId="0" applyNumberFormat="1"/>
    <xf numFmtId="165" fontId="0" fillId="0" borderId="0" xfId="0" applyNumberFormat="1"/>
    <xf numFmtId="4" fontId="0" fillId="0" borderId="0" xfId="0" applyNumberFormat="1"/>
    <xf numFmtId="3" fontId="0" fillId="0" borderId="0" xfId="0" applyNumberFormat="1"/>
    <xf numFmtId="0" fontId="0" fillId="0" borderId="0" xfId="0" applyAlignment="1"/>
    <xf numFmtId="0" fontId="0" fillId="0" borderId="0" xfId="0" quotePrefix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hartsheet" Target="chartsheets/sheet7.xml"/><Relationship Id="rId13" Type="http://schemas.openxmlformats.org/officeDocument/2006/relationships/calcChain" Target="calcChain.xml"/><Relationship Id="rId3" Type="http://schemas.openxmlformats.org/officeDocument/2006/relationships/chartsheet" Target="chartsheets/sheet2.xml"/><Relationship Id="rId7" Type="http://schemas.openxmlformats.org/officeDocument/2006/relationships/chartsheet" Target="chartsheets/sheet6.xml"/><Relationship Id="rId12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chartsheet" Target="chartsheets/sheet5.xml"/><Relationship Id="rId11" Type="http://schemas.openxmlformats.org/officeDocument/2006/relationships/styles" Target="styles.xml"/><Relationship Id="rId5" Type="http://schemas.openxmlformats.org/officeDocument/2006/relationships/chartsheet" Target="chartsheets/sheet4.xml"/><Relationship Id="rId10" Type="http://schemas.openxmlformats.org/officeDocument/2006/relationships/theme" Target="theme/theme1.xml"/><Relationship Id="rId4" Type="http://schemas.openxmlformats.org/officeDocument/2006/relationships/chartsheet" Target="chartsheets/sheet3.xml"/><Relationship Id="rId9" Type="http://schemas.openxmlformats.org/officeDocument/2006/relationships/externalLink" Target="externalLinks/externalLink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400"/>
              <a:t>Impact</a:t>
            </a:r>
            <a:r>
              <a:rPr lang="fr-FR" sz="2400" baseline="0"/>
              <a:t> on GDP - </a:t>
            </a:r>
            <a:r>
              <a:rPr lang="fr-FR" sz="2400" b="1" u="sng" baseline="0"/>
              <a:t>Net Zero 2050</a:t>
            </a:r>
          </a:p>
          <a:p>
            <a:pPr>
              <a:defRPr sz="2400"/>
            </a:pPr>
            <a:r>
              <a:rPr lang="fr-FR" sz="1600" baseline="0"/>
              <a:t>(% deviation from baseline)</a:t>
            </a:r>
            <a:endParaRPr lang="fr-FR" sz="1600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6.5947418400168892E-2"/>
          <c:y val="0.1493210735688186"/>
          <c:w val="0.91901351933111586"/>
          <c:h val="0.67157921974535428"/>
        </c:manualLayout>
      </c:layout>
      <c:barChart>
        <c:barDir val="col"/>
        <c:grouping val="stacked"/>
        <c:varyColors val="0"/>
        <c:ser>
          <c:idx val="2"/>
          <c:order val="2"/>
          <c:tx>
            <c:strRef>
              <c:f>Données!$B$6</c:f>
              <c:strCache>
                <c:ptCount val="1"/>
                <c:pt idx="0">
                  <c:v>Consumption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numRef>
              <c:f>Données!$C$3:$AL$3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Données!$C$6:$AL$6</c:f>
              <c:numCache>
                <c:formatCode>#\ ##0.0</c:formatCode>
                <c:ptCount val="36"/>
                <c:pt idx="0">
                  <c:v>-4.5563179646800728E-8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-4.1381846357799214E-8</c:v>
                </c:pt>
                <c:pt idx="6">
                  <c:v>0</c:v>
                </c:pt>
                <c:pt idx="7">
                  <c:v>-0.20949981138560844</c:v>
                </c:pt>
                <c:pt idx="8">
                  <c:v>-0.58303575966574994</c:v>
                </c:pt>
                <c:pt idx="9">
                  <c:v>-1.0181453959610907</c:v>
                </c:pt>
                <c:pt idx="10">
                  <c:v>-1.4960426206177417</c:v>
                </c:pt>
                <c:pt idx="11">
                  <c:v>-1.7007246027156402</c:v>
                </c:pt>
                <c:pt idx="12">
                  <c:v>-1.6990197781683491</c:v>
                </c:pt>
                <c:pt idx="13">
                  <c:v>-1.5807597594850322</c:v>
                </c:pt>
                <c:pt idx="14">
                  <c:v>-1.4110883783457364</c:v>
                </c:pt>
                <c:pt idx="15">
                  <c:v>-1.2289207518313199</c:v>
                </c:pt>
                <c:pt idx="16">
                  <c:v>-1.0832959646000551</c:v>
                </c:pt>
                <c:pt idx="17">
                  <c:v>-0.98644251290289697</c:v>
                </c:pt>
                <c:pt idx="18">
                  <c:v>-0.92925626295816033</c:v>
                </c:pt>
                <c:pt idx="19">
                  <c:v>-0.89482719080975925</c:v>
                </c:pt>
                <c:pt idx="20">
                  <c:v>-0.8805174949660004</c:v>
                </c:pt>
                <c:pt idx="21">
                  <c:v>-0.86112882279100411</c:v>
                </c:pt>
                <c:pt idx="22">
                  <c:v>-0.84767733532322176</c:v>
                </c:pt>
                <c:pt idx="23">
                  <c:v>-0.84579023181882029</c:v>
                </c:pt>
                <c:pt idx="24">
                  <c:v>-0.857454899665965</c:v>
                </c:pt>
                <c:pt idx="25">
                  <c:v>-0.88408329333172686</c:v>
                </c:pt>
                <c:pt idx="26">
                  <c:v>-0.9134481507120451</c:v>
                </c:pt>
                <c:pt idx="27">
                  <c:v>-0.95673022210637348</c:v>
                </c:pt>
                <c:pt idx="28">
                  <c:v>-1.0135206624474773</c:v>
                </c:pt>
                <c:pt idx="29">
                  <c:v>-1.0801025029242577</c:v>
                </c:pt>
                <c:pt idx="30">
                  <c:v>-1.1526196021636836</c:v>
                </c:pt>
                <c:pt idx="31">
                  <c:v>-1.2225506417080614</c:v>
                </c:pt>
                <c:pt idx="32">
                  <c:v>-1.2924261301866271</c:v>
                </c:pt>
                <c:pt idx="33">
                  <c:v>-1.360117839567089</c:v>
                </c:pt>
                <c:pt idx="34">
                  <c:v>-1.4217697088822854</c:v>
                </c:pt>
                <c:pt idx="35">
                  <c:v>-1.4738111478972447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4DF-4FA2-B0C9-EB7B6F86A366}"/>
            </c:ext>
          </c:extLst>
        </c:ser>
        <c:ser>
          <c:idx val="5"/>
          <c:order val="5"/>
          <c:tx>
            <c:strRef>
              <c:f>Données!$B$9</c:f>
              <c:strCache>
                <c:ptCount val="1"/>
                <c:pt idx="0">
                  <c:v>Investment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numRef>
              <c:f>Données!$C$3:$AL$3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Données!$C$9:$AL$9</c:f>
              <c:numCache>
                <c:formatCode>#\ ##0.0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-4.4006283810876724E-9</c:v>
                </c:pt>
                <c:pt idx="3">
                  <c:v>-4.3173686019957171E-9</c:v>
                </c:pt>
                <c:pt idx="4">
                  <c:v>-8.4586214913942213E-9</c:v>
                </c:pt>
                <c:pt idx="5">
                  <c:v>-4.1381851175280505E-9</c:v>
                </c:pt>
                <c:pt idx="6">
                  <c:v>-8.0928626019952268E-9</c:v>
                </c:pt>
                <c:pt idx="7">
                  <c:v>-7.2406815892912674E-2</c:v>
                </c:pt>
                <c:pt idx="8">
                  <c:v>-0.1982686675528369</c:v>
                </c:pt>
                <c:pt idx="9">
                  <c:v>-0.31373511355394246</c:v>
                </c:pt>
                <c:pt idx="10">
                  <c:v>-0.44973443032498717</c:v>
                </c:pt>
                <c:pt idx="11">
                  <c:v>-0.5694442071038347</c:v>
                </c:pt>
                <c:pt idx="12">
                  <c:v>-0.66516991748865983</c:v>
                </c:pt>
                <c:pt idx="13">
                  <c:v>-0.73705080656363497</c:v>
                </c:pt>
                <c:pt idx="14">
                  <c:v>-0.78690713061629147</c:v>
                </c:pt>
                <c:pt idx="15">
                  <c:v>-0.81970710020144633</c:v>
                </c:pt>
                <c:pt idx="16">
                  <c:v>-0.8511446800450585</c:v>
                </c:pt>
                <c:pt idx="17">
                  <c:v>-0.88671412082023393</c:v>
                </c:pt>
                <c:pt idx="18">
                  <c:v>-0.92696997067974163</c:v>
                </c:pt>
                <c:pt idx="19">
                  <c:v>-0.96878088387251271</c:v>
                </c:pt>
                <c:pt idx="20">
                  <c:v>-1.0102375092397202</c:v>
                </c:pt>
                <c:pt idx="21">
                  <c:v>-1.0439375182589401</c:v>
                </c:pt>
                <c:pt idx="22">
                  <c:v>-1.0682614325716748</c:v>
                </c:pt>
                <c:pt idx="23">
                  <c:v>-1.0831335068664314</c:v>
                </c:pt>
                <c:pt idx="24">
                  <c:v>-1.0890672277184299</c:v>
                </c:pt>
                <c:pt idx="25">
                  <c:v>-1.0871516107020505</c:v>
                </c:pt>
                <c:pt idx="26">
                  <c:v>-1.0729005284356692</c:v>
                </c:pt>
                <c:pt idx="27">
                  <c:v>-1.0488787892915241</c:v>
                </c:pt>
                <c:pt idx="28">
                  <c:v>-1.0175444523403445</c:v>
                </c:pt>
                <c:pt idx="29">
                  <c:v>-0.98111106355860156</c:v>
                </c:pt>
                <c:pt idx="30">
                  <c:v>-0.94136714265384025</c:v>
                </c:pt>
                <c:pt idx="31">
                  <c:v>-0.89828798177515512</c:v>
                </c:pt>
                <c:pt idx="32">
                  <c:v>-0.85327769358571803</c:v>
                </c:pt>
                <c:pt idx="33">
                  <c:v>-0.8075063221651122</c:v>
                </c:pt>
                <c:pt idx="34">
                  <c:v>-0.76181948784062992</c:v>
                </c:pt>
                <c:pt idx="35">
                  <c:v>-0.71677745979889129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64DF-4FA2-B0C9-EB7B6F86A366}"/>
            </c:ext>
          </c:extLst>
        </c:ser>
        <c:ser>
          <c:idx val="7"/>
          <c:order val="7"/>
          <c:tx>
            <c:strRef>
              <c:f>Données!$B$11</c:f>
              <c:strCache>
                <c:ptCount val="1"/>
                <c:pt idx="0">
                  <c:v>Net exports</c:v>
                </c:pt>
              </c:strCache>
            </c:strRef>
          </c:tx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numRef>
              <c:f>Données!$C$3:$AL$3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Données!$C$11:$AL$11</c:f>
              <c:numCache>
                <c:formatCode>#\ ##0.0</c:formatCode>
                <c:ptCount val="36"/>
                <c:pt idx="0">
                  <c:v>0</c:v>
                </c:pt>
                <c:pt idx="1">
                  <c:v>5.2164289989358152E-15</c:v>
                </c:pt>
                <c:pt idx="2">
                  <c:v>-5.1230054495603848E-15</c:v>
                </c:pt>
                <c:pt idx="3">
                  <c:v>-4.3173711150348744E-9</c:v>
                </c:pt>
                <c:pt idx="4">
                  <c:v>-4.2293132074798534E-9</c:v>
                </c:pt>
                <c:pt idx="5">
                  <c:v>-4.1381875262686976E-9</c:v>
                </c:pt>
                <c:pt idx="6">
                  <c:v>-8.0928626019952268E-9</c:v>
                </c:pt>
                <c:pt idx="7">
                  <c:v>-0.11458781124206674</c:v>
                </c:pt>
                <c:pt idx="8">
                  <c:v>-0.12425500553060148</c:v>
                </c:pt>
                <c:pt idx="9">
                  <c:v>0.15585991901827273</c:v>
                </c:pt>
                <c:pt idx="10">
                  <c:v>0.37031775959763336</c:v>
                </c:pt>
                <c:pt idx="11">
                  <c:v>0.40859048423054811</c:v>
                </c:pt>
                <c:pt idx="12">
                  <c:v>0.31089331578111545</c:v>
                </c:pt>
                <c:pt idx="13">
                  <c:v>0.14767865809593828</c:v>
                </c:pt>
                <c:pt idx="14">
                  <c:v>-2.9079751441013824E-2</c:v>
                </c:pt>
                <c:pt idx="15">
                  <c:v>-0.20535189373289675</c:v>
                </c:pt>
                <c:pt idx="16">
                  <c:v>-0.38354787817402181</c:v>
                </c:pt>
                <c:pt idx="17">
                  <c:v>-0.54431081941140136</c:v>
                </c:pt>
                <c:pt idx="18">
                  <c:v>-0.69018264861293277</c:v>
                </c:pt>
                <c:pt idx="19">
                  <c:v>-0.82423221391797197</c:v>
                </c:pt>
                <c:pt idx="20">
                  <c:v>-0.94993914315524852</c:v>
                </c:pt>
                <c:pt idx="21">
                  <c:v>-1.0712039595903742</c:v>
                </c:pt>
                <c:pt idx="22">
                  <c:v>-1.1801221874258441</c:v>
                </c:pt>
                <c:pt idx="23">
                  <c:v>-1.2747428516790975</c:v>
                </c:pt>
                <c:pt idx="24">
                  <c:v>-1.3549934151201444</c:v>
                </c:pt>
                <c:pt idx="25">
                  <c:v>-1.421277890472717</c:v>
                </c:pt>
                <c:pt idx="26">
                  <c:v>-1.4697730912790243</c:v>
                </c:pt>
                <c:pt idx="27">
                  <c:v>-1.4933973857961371</c:v>
                </c:pt>
                <c:pt idx="28">
                  <c:v>-1.4946105030179999</c:v>
                </c:pt>
                <c:pt idx="29">
                  <c:v>-1.4776215885206063</c:v>
                </c:pt>
                <c:pt idx="30">
                  <c:v>-1.4465166184515783</c:v>
                </c:pt>
                <c:pt idx="31">
                  <c:v>-1.4037858654234574</c:v>
                </c:pt>
                <c:pt idx="32">
                  <c:v>-1.3481707978058068</c:v>
                </c:pt>
                <c:pt idx="33">
                  <c:v>-1.2837087752870373</c:v>
                </c:pt>
                <c:pt idx="34">
                  <c:v>-1.215614936509773</c:v>
                </c:pt>
                <c:pt idx="35">
                  <c:v>-1.1486737545738144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64DF-4FA2-B0C9-EB7B6F86A3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98260000"/>
        <c:axId val="698260984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Données!$B$5</c15:sqref>
                        </c15:formulaRef>
                      </c:ext>
                    </c:extLst>
                    <c:strCache>
                      <c:ptCount val="1"/>
                      <c:pt idx="0">
                        <c:v>VA du secteur marchand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Données!$C$3:$AL$3</c15:sqref>
                        </c15:formulaRef>
                      </c:ext>
                    </c:extLst>
                    <c:numCache>
                      <c:formatCode>m/d/yyyy</c:formatCode>
                      <c:ptCount val="36"/>
                      <c:pt idx="0">
                        <c:v>42005</c:v>
                      </c:pt>
                      <c:pt idx="1">
                        <c:v>42370</c:v>
                      </c:pt>
                      <c:pt idx="2">
                        <c:v>42736</c:v>
                      </c:pt>
                      <c:pt idx="3">
                        <c:v>43101</c:v>
                      </c:pt>
                      <c:pt idx="4">
                        <c:v>43466</c:v>
                      </c:pt>
                      <c:pt idx="5">
                        <c:v>43831</c:v>
                      </c:pt>
                      <c:pt idx="6">
                        <c:v>44197</c:v>
                      </c:pt>
                      <c:pt idx="7">
                        <c:v>44562</c:v>
                      </c:pt>
                      <c:pt idx="8">
                        <c:v>44927</c:v>
                      </c:pt>
                      <c:pt idx="9">
                        <c:v>45292</c:v>
                      </c:pt>
                      <c:pt idx="10">
                        <c:v>45658</c:v>
                      </c:pt>
                      <c:pt idx="11">
                        <c:v>46023</c:v>
                      </c:pt>
                      <c:pt idx="12">
                        <c:v>46388</c:v>
                      </c:pt>
                      <c:pt idx="13">
                        <c:v>46753</c:v>
                      </c:pt>
                      <c:pt idx="14">
                        <c:v>47119</c:v>
                      </c:pt>
                      <c:pt idx="15">
                        <c:v>47484</c:v>
                      </c:pt>
                      <c:pt idx="16">
                        <c:v>47849</c:v>
                      </c:pt>
                      <c:pt idx="17">
                        <c:v>48214</c:v>
                      </c:pt>
                      <c:pt idx="18">
                        <c:v>48580</c:v>
                      </c:pt>
                      <c:pt idx="19">
                        <c:v>48945</c:v>
                      </c:pt>
                      <c:pt idx="20">
                        <c:v>49310</c:v>
                      </c:pt>
                      <c:pt idx="21">
                        <c:v>49675</c:v>
                      </c:pt>
                      <c:pt idx="22">
                        <c:v>50041</c:v>
                      </c:pt>
                      <c:pt idx="23">
                        <c:v>50406</c:v>
                      </c:pt>
                      <c:pt idx="24">
                        <c:v>50771</c:v>
                      </c:pt>
                      <c:pt idx="25">
                        <c:v>51136</c:v>
                      </c:pt>
                      <c:pt idx="26">
                        <c:v>51502</c:v>
                      </c:pt>
                      <c:pt idx="27">
                        <c:v>51867</c:v>
                      </c:pt>
                      <c:pt idx="28">
                        <c:v>52232</c:v>
                      </c:pt>
                      <c:pt idx="29">
                        <c:v>52597</c:v>
                      </c:pt>
                      <c:pt idx="30">
                        <c:v>52963</c:v>
                      </c:pt>
                      <c:pt idx="31">
                        <c:v>53328</c:v>
                      </c:pt>
                      <c:pt idx="32">
                        <c:v>53693</c:v>
                      </c:pt>
                      <c:pt idx="33">
                        <c:v>54058</c:v>
                      </c:pt>
                      <c:pt idx="34">
                        <c:v>54424</c:v>
                      </c:pt>
                      <c:pt idx="35">
                        <c:v>54789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Données!$C$5:$AL$5</c15:sqref>
                        </c15:formulaRef>
                      </c:ext>
                    </c:extLst>
                    <c:numCache>
                      <c:formatCode>#\ ##0.0</c:formatCode>
                      <c:ptCount val="36"/>
                      <c:pt idx="0">
                        <c:v>0</c:v>
                      </c:pt>
                      <c:pt idx="1">
                        <c:v>0</c:v>
                      </c:pt>
                      <c:pt idx="2">
                        <c:v>-6.1324134659201945E-8</c:v>
                      </c:pt>
                      <c:pt idx="3">
                        <c:v>0</c:v>
                      </c:pt>
                      <c:pt idx="4">
                        <c:v>-5.2872783928847866E-8</c:v>
                      </c:pt>
                      <c:pt idx="5">
                        <c:v>-5.738195474336294E-8</c:v>
                      </c:pt>
                      <c:pt idx="6">
                        <c:v>0</c:v>
                      </c:pt>
                      <c:pt idx="7">
                        <c:v>-0.46609326178318478</c:v>
                      </c:pt>
                      <c:pt idx="8">
                        <c:v>-1.0358125806852914</c:v>
                      </c:pt>
                      <c:pt idx="9">
                        <c:v>-1.2824621947579717</c:v>
                      </c:pt>
                      <c:pt idx="10">
                        <c:v>-1.6837949600314706</c:v>
                      </c:pt>
                      <c:pt idx="11">
                        <c:v>-1.994382639543435</c:v>
                      </c:pt>
                      <c:pt idx="12">
                        <c:v>-2.2259380213298208</c:v>
                      </c:pt>
                      <c:pt idx="13">
                        <c:v>-2.3862257257816655</c:v>
                      </c:pt>
                      <c:pt idx="14">
                        <c:v>-2.4820013666138507</c:v>
                      </c:pt>
                      <c:pt idx="15">
                        <c:v>-2.5437727036742408</c:v>
                      </c:pt>
                      <c:pt idx="16">
                        <c:v>-2.6451448800461352</c:v>
                      </c:pt>
                      <c:pt idx="17">
                        <c:v>-2.7821860255707764</c:v>
                      </c:pt>
                      <c:pt idx="18">
                        <c:v>-2.9502752899379425</c:v>
                      </c:pt>
                      <c:pt idx="19">
                        <c:v>-3.1342027069375944</c:v>
                      </c:pt>
                      <c:pt idx="20">
                        <c:v>-3.3295648940731337</c:v>
                      </c:pt>
                      <c:pt idx="21">
                        <c:v>-3.5043787380718228</c:v>
                      </c:pt>
                      <c:pt idx="22">
                        <c:v>-3.6584542589960023</c:v>
                      </c:pt>
                      <c:pt idx="23">
                        <c:v>-3.7953604304144406</c:v>
                      </c:pt>
                      <c:pt idx="24">
                        <c:v>-3.9178721880595457</c:v>
                      </c:pt>
                      <c:pt idx="25">
                        <c:v>-4.0294166877818842</c:v>
                      </c:pt>
                      <c:pt idx="26">
                        <c:v>-4.1065331457910581</c:v>
                      </c:pt>
                      <c:pt idx="27">
                        <c:v>-4.1559159739879341</c:v>
                      </c:pt>
                      <c:pt idx="28">
                        <c:v>-4.1834181226637401</c:v>
                      </c:pt>
                      <c:pt idx="29">
                        <c:v>-4.1931682995915098</c:v>
                      </c:pt>
                      <c:pt idx="30">
                        <c:v>-4.1884138736601244</c:v>
                      </c:pt>
                      <c:pt idx="31">
                        <c:v>-4.1632442157200629</c:v>
                      </c:pt>
                      <c:pt idx="32">
                        <c:v>-4.1205325801144665</c:v>
                      </c:pt>
                      <c:pt idx="33">
                        <c:v>-4.0644127586388468</c:v>
                      </c:pt>
                      <c:pt idx="34">
                        <c:v>-3.9981679969933848</c:v>
                      </c:pt>
                      <c:pt idx="35">
                        <c:v>-3.9244692819238813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64DF-4FA2-B0C9-EB7B6F86A366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Données!$B$7</c15:sqref>
                        </c15:formulaRef>
                      </c:ext>
                    </c:extLst>
                    <c:strCache>
                      <c:ptCount val="1"/>
                      <c:pt idx="0">
                        <c:v>Consommation des ménages automobile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Données!$C$3:$AL$3</c15:sqref>
                        </c15:formulaRef>
                      </c:ext>
                    </c:extLst>
                    <c:numCache>
                      <c:formatCode>m/d/yyyy</c:formatCode>
                      <c:ptCount val="36"/>
                      <c:pt idx="0">
                        <c:v>42005</c:v>
                      </c:pt>
                      <c:pt idx="1">
                        <c:v>42370</c:v>
                      </c:pt>
                      <c:pt idx="2">
                        <c:v>42736</c:v>
                      </c:pt>
                      <c:pt idx="3">
                        <c:v>43101</c:v>
                      </c:pt>
                      <c:pt idx="4">
                        <c:v>43466</c:v>
                      </c:pt>
                      <c:pt idx="5">
                        <c:v>43831</c:v>
                      </c:pt>
                      <c:pt idx="6">
                        <c:v>44197</c:v>
                      </c:pt>
                      <c:pt idx="7">
                        <c:v>44562</c:v>
                      </c:pt>
                      <c:pt idx="8">
                        <c:v>44927</c:v>
                      </c:pt>
                      <c:pt idx="9">
                        <c:v>45292</c:v>
                      </c:pt>
                      <c:pt idx="10">
                        <c:v>45658</c:v>
                      </c:pt>
                      <c:pt idx="11">
                        <c:v>46023</c:v>
                      </c:pt>
                      <c:pt idx="12">
                        <c:v>46388</c:v>
                      </c:pt>
                      <c:pt idx="13">
                        <c:v>46753</c:v>
                      </c:pt>
                      <c:pt idx="14">
                        <c:v>47119</c:v>
                      </c:pt>
                      <c:pt idx="15">
                        <c:v>47484</c:v>
                      </c:pt>
                      <c:pt idx="16">
                        <c:v>47849</c:v>
                      </c:pt>
                      <c:pt idx="17">
                        <c:v>48214</c:v>
                      </c:pt>
                      <c:pt idx="18">
                        <c:v>48580</c:v>
                      </c:pt>
                      <c:pt idx="19">
                        <c:v>48945</c:v>
                      </c:pt>
                      <c:pt idx="20">
                        <c:v>49310</c:v>
                      </c:pt>
                      <c:pt idx="21">
                        <c:v>49675</c:v>
                      </c:pt>
                      <c:pt idx="22">
                        <c:v>50041</c:v>
                      </c:pt>
                      <c:pt idx="23">
                        <c:v>50406</c:v>
                      </c:pt>
                      <c:pt idx="24">
                        <c:v>50771</c:v>
                      </c:pt>
                      <c:pt idx="25">
                        <c:v>51136</c:v>
                      </c:pt>
                      <c:pt idx="26">
                        <c:v>51502</c:v>
                      </c:pt>
                      <c:pt idx="27">
                        <c:v>51867</c:v>
                      </c:pt>
                      <c:pt idx="28">
                        <c:v>52232</c:v>
                      </c:pt>
                      <c:pt idx="29">
                        <c:v>52597</c:v>
                      </c:pt>
                      <c:pt idx="30">
                        <c:v>52963</c:v>
                      </c:pt>
                      <c:pt idx="31">
                        <c:v>53328</c:v>
                      </c:pt>
                      <c:pt idx="32">
                        <c:v>53693</c:v>
                      </c:pt>
                      <c:pt idx="33">
                        <c:v>54058</c:v>
                      </c:pt>
                      <c:pt idx="34">
                        <c:v>54424</c:v>
                      </c:pt>
                      <c:pt idx="35">
                        <c:v>54789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Données!$C$7:$AL$7</c15:sqref>
                        </c15:formulaRef>
                      </c:ext>
                    </c:extLst>
                    <c:numCache>
                      <c:formatCode>#\ ##0.0</c:formatCode>
                      <c:ptCount val="36"/>
                      <c:pt idx="0">
                        <c:v>0</c:v>
                      </c:pt>
                      <c:pt idx="1">
                        <c:v>-4.4808799079018707E-10</c:v>
                      </c:pt>
                      <c:pt idx="2">
                        <c:v>-4.4006232580822235E-10</c:v>
                      </c:pt>
                      <c:pt idx="3">
                        <c:v>0</c:v>
                      </c:pt>
                      <c:pt idx="4">
                        <c:v>4.2293119765884816E-10</c:v>
                      </c:pt>
                      <c:pt idx="5">
                        <c:v>1.2414552943843506E-9</c:v>
                      </c:pt>
                      <c:pt idx="6">
                        <c:v>1.2139291547659944E-9</c:v>
                      </c:pt>
                      <c:pt idx="7">
                        <c:v>-4.6212129842904681E-2</c:v>
                      </c:pt>
                      <c:pt idx="8">
                        <c:v>-0.11582030544611273</c:v>
                      </c:pt>
                      <c:pt idx="9">
                        <c:v>-0.18949749195377738</c:v>
                      </c:pt>
                      <c:pt idx="10">
                        <c:v>-0.2702990581666429</c:v>
                      </c:pt>
                      <c:pt idx="11">
                        <c:v>-0.25064895473096782</c:v>
                      </c:pt>
                      <c:pt idx="12">
                        <c:v>-0.19511869080974145</c:v>
                      </c:pt>
                      <c:pt idx="13">
                        <c:v>-0.14102411513576338</c:v>
                      </c:pt>
                      <c:pt idx="14">
                        <c:v>-0.10102091713075263</c:v>
                      </c:pt>
                      <c:pt idx="15">
                        <c:v>-7.6302476044394871E-2</c:v>
                      </c:pt>
                      <c:pt idx="16">
                        <c:v>-7.315870988893676E-2</c:v>
                      </c:pt>
                      <c:pt idx="17">
                        <c:v>-8.2770867865270326E-2</c:v>
                      </c:pt>
                      <c:pt idx="18">
                        <c:v>-9.6248110055996886E-2</c:v>
                      </c:pt>
                      <c:pt idx="19">
                        <c:v>-0.10577150965170018</c:v>
                      </c:pt>
                      <c:pt idx="20">
                        <c:v>-0.11424967798134525</c:v>
                      </c:pt>
                      <c:pt idx="21">
                        <c:v>-0.11296375698207448</c:v>
                      </c:pt>
                      <c:pt idx="22">
                        <c:v>-0.1100072713893169</c:v>
                      </c:pt>
                      <c:pt idx="23">
                        <c:v>-0.10808558703190153</c:v>
                      </c:pt>
                      <c:pt idx="24">
                        <c:v>-0.10749182204591651</c:v>
                      </c:pt>
                      <c:pt idx="25">
                        <c:v>-0.10827589020111221</c:v>
                      </c:pt>
                      <c:pt idx="26">
                        <c:v>-0.1054532217488353</c:v>
                      </c:pt>
                      <c:pt idx="27">
                        <c:v>-0.103876276346375</c:v>
                      </c:pt>
                      <c:pt idx="28">
                        <c:v>-0.10418413183747265</c:v>
                      </c:pt>
                      <c:pt idx="29">
                        <c:v>-0.10572594254464633</c:v>
                      </c:pt>
                      <c:pt idx="30">
                        <c:v>-0.10799632299164927</c:v>
                      </c:pt>
                      <c:pt idx="31">
                        <c:v>-0.10901546319628556</c:v>
                      </c:pt>
                      <c:pt idx="32">
                        <c:v>-0.11096329388764736</c:v>
                      </c:pt>
                      <c:pt idx="33">
                        <c:v>-0.11416846680565935</c:v>
                      </c:pt>
                      <c:pt idx="34">
                        <c:v>-0.11823365046472331</c:v>
                      </c:pt>
                      <c:pt idx="35">
                        <c:v>-0.12278346283182129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64DF-4FA2-B0C9-EB7B6F86A366}"/>
                  </c:ext>
                </c:extLst>
              </c15:ser>
            </c15:filteredBarSeries>
            <c15:filteredBa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Données!$B$8</c15:sqref>
                        </c15:formulaRef>
                      </c:ext>
                    </c:extLst>
                    <c:strCache>
                      <c:ptCount val="1"/>
                      <c:pt idx="0">
                        <c:v>Dépenses publiques</c:v>
                      </c:pt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Données!$C$3:$AL$3</c15:sqref>
                        </c15:formulaRef>
                      </c:ext>
                    </c:extLst>
                    <c:numCache>
                      <c:formatCode>m/d/yyyy</c:formatCode>
                      <c:ptCount val="36"/>
                      <c:pt idx="0">
                        <c:v>42005</c:v>
                      </c:pt>
                      <c:pt idx="1">
                        <c:v>42370</c:v>
                      </c:pt>
                      <c:pt idx="2">
                        <c:v>42736</c:v>
                      </c:pt>
                      <c:pt idx="3">
                        <c:v>43101</c:v>
                      </c:pt>
                      <c:pt idx="4">
                        <c:v>43466</c:v>
                      </c:pt>
                      <c:pt idx="5">
                        <c:v>43831</c:v>
                      </c:pt>
                      <c:pt idx="6">
                        <c:v>44197</c:v>
                      </c:pt>
                      <c:pt idx="7">
                        <c:v>44562</c:v>
                      </c:pt>
                      <c:pt idx="8">
                        <c:v>44927</c:v>
                      </c:pt>
                      <c:pt idx="9">
                        <c:v>45292</c:v>
                      </c:pt>
                      <c:pt idx="10">
                        <c:v>45658</c:v>
                      </c:pt>
                      <c:pt idx="11">
                        <c:v>46023</c:v>
                      </c:pt>
                      <c:pt idx="12">
                        <c:v>46388</c:v>
                      </c:pt>
                      <c:pt idx="13">
                        <c:v>46753</c:v>
                      </c:pt>
                      <c:pt idx="14">
                        <c:v>47119</c:v>
                      </c:pt>
                      <c:pt idx="15">
                        <c:v>47484</c:v>
                      </c:pt>
                      <c:pt idx="16">
                        <c:v>47849</c:v>
                      </c:pt>
                      <c:pt idx="17">
                        <c:v>48214</c:v>
                      </c:pt>
                      <c:pt idx="18">
                        <c:v>48580</c:v>
                      </c:pt>
                      <c:pt idx="19">
                        <c:v>48945</c:v>
                      </c:pt>
                      <c:pt idx="20">
                        <c:v>49310</c:v>
                      </c:pt>
                      <c:pt idx="21">
                        <c:v>49675</c:v>
                      </c:pt>
                      <c:pt idx="22">
                        <c:v>50041</c:v>
                      </c:pt>
                      <c:pt idx="23">
                        <c:v>50406</c:v>
                      </c:pt>
                      <c:pt idx="24">
                        <c:v>50771</c:v>
                      </c:pt>
                      <c:pt idx="25">
                        <c:v>51136</c:v>
                      </c:pt>
                      <c:pt idx="26">
                        <c:v>51502</c:v>
                      </c:pt>
                      <c:pt idx="27">
                        <c:v>51867</c:v>
                      </c:pt>
                      <c:pt idx="28">
                        <c:v>52232</c:v>
                      </c:pt>
                      <c:pt idx="29">
                        <c:v>52597</c:v>
                      </c:pt>
                      <c:pt idx="30">
                        <c:v>52963</c:v>
                      </c:pt>
                      <c:pt idx="31">
                        <c:v>53328</c:v>
                      </c:pt>
                      <c:pt idx="32">
                        <c:v>53693</c:v>
                      </c:pt>
                      <c:pt idx="33">
                        <c:v>54058</c:v>
                      </c:pt>
                      <c:pt idx="34">
                        <c:v>54424</c:v>
                      </c:pt>
                      <c:pt idx="35">
                        <c:v>54789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Données!$C$8:$AL$8</c15:sqref>
                        </c15:formulaRef>
                      </c:ext>
                    </c:extLst>
                    <c:numCache>
                      <c:formatCode>#\ ##0.0</c:formatCode>
                      <c:ptCount val="3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64DF-4FA2-B0C9-EB7B6F86A366}"/>
                  </c:ext>
                </c:extLst>
              </c15:ser>
            </c15:filteredBarSeries>
            <c15:filteredBar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Données!$B$10</c15:sqref>
                        </c15:formulaRef>
                      </c:ext>
                    </c:extLst>
                    <c:strCache>
                      <c:ptCount val="1"/>
                      <c:pt idx="0">
                        <c:v>Variations de stocks</c:v>
                      </c:pt>
                    </c:strCache>
                  </c:strRef>
                </c:tx>
                <c:spPr>
                  <a:solidFill>
                    <a:schemeClr val="accent1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Données!$C$3:$AL$3</c15:sqref>
                        </c15:formulaRef>
                      </c:ext>
                    </c:extLst>
                    <c:numCache>
                      <c:formatCode>m/d/yyyy</c:formatCode>
                      <c:ptCount val="36"/>
                      <c:pt idx="0">
                        <c:v>42005</c:v>
                      </c:pt>
                      <c:pt idx="1">
                        <c:v>42370</c:v>
                      </c:pt>
                      <c:pt idx="2">
                        <c:v>42736</c:v>
                      </c:pt>
                      <c:pt idx="3">
                        <c:v>43101</c:v>
                      </c:pt>
                      <c:pt idx="4">
                        <c:v>43466</c:v>
                      </c:pt>
                      <c:pt idx="5">
                        <c:v>43831</c:v>
                      </c:pt>
                      <c:pt idx="6">
                        <c:v>44197</c:v>
                      </c:pt>
                      <c:pt idx="7">
                        <c:v>44562</c:v>
                      </c:pt>
                      <c:pt idx="8">
                        <c:v>44927</c:v>
                      </c:pt>
                      <c:pt idx="9">
                        <c:v>45292</c:v>
                      </c:pt>
                      <c:pt idx="10">
                        <c:v>45658</c:v>
                      </c:pt>
                      <c:pt idx="11">
                        <c:v>46023</c:v>
                      </c:pt>
                      <c:pt idx="12">
                        <c:v>46388</c:v>
                      </c:pt>
                      <c:pt idx="13">
                        <c:v>46753</c:v>
                      </c:pt>
                      <c:pt idx="14">
                        <c:v>47119</c:v>
                      </c:pt>
                      <c:pt idx="15">
                        <c:v>47484</c:v>
                      </c:pt>
                      <c:pt idx="16">
                        <c:v>47849</c:v>
                      </c:pt>
                      <c:pt idx="17">
                        <c:v>48214</c:v>
                      </c:pt>
                      <c:pt idx="18">
                        <c:v>48580</c:v>
                      </c:pt>
                      <c:pt idx="19">
                        <c:v>48945</c:v>
                      </c:pt>
                      <c:pt idx="20">
                        <c:v>49310</c:v>
                      </c:pt>
                      <c:pt idx="21">
                        <c:v>49675</c:v>
                      </c:pt>
                      <c:pt idx="22">
                        <c:v>50041</c:v>
                      </c:pt>
                      <c:pt idx="23">
                        <c:v>50406</c:v>
                      </c:pt>
                      <c:pt idx="24">
                        <c:v>50771</c:v>
                      </c:pt>
                      <c:pt idx="25">
                        <c:v>51136</c:v>
                      </c:pt>
                      <c:pt idx="26">
                        <c:v>51502</c:v>
                      </c:pt>
                      <c:pt idx="27">
                        <c:v>51867</c:v>
                      </c:pt>
                      <c:pt idx="28">
                        <c:v>52232</c:v>
                      </c:pt>
                      <c:pt idx="29">
                        <c:v>52597</c:v>
                      </c:pt>
                      <c:pt idx="30">
                        <c:v>52963</c:v>
                      </c:pt>
                      <c:pt idx="31">
                        <c:v>53328</c:v>
                      </c:pt>
                      <c:pt idx="32">
                        <c:v>53693</c:v>
                      </c:pt>
                      <c:pt idx="33">
                        <c:v>54058</c:v>
                      </c:pt>
                      <c:pt idx="34">
                        <c:v>54424</c:v>
                      </c:pt>
                      <c:pt idx="35">
                        <c:v>54789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Données!$C$10:$AL$10</c15:sqref>
                        </c15:formulaRef>
                      </c:ext>
                    </c:extLst>
                    <c:numCache>
                      <c:formatCode>#\ ##0.0</c:formatCode>
                      <c:ptCount val="3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64DF-4FA2-B0C9-EB7B6F86A366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0"/>
          <c:order val="0"/>
          <c:tx>
            <c:strRef>
              <c:f>Données!$B$4</c:f>
              <c:strCache>
                <c:ptCount val="1"/>
                <c:pt idx="0">
                  <c:v>GDP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numRef>
              <c:f>Données!$C$3:$AL$3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Données!$C$4:$AL$4</c:f>
              <c:numCache>
                <c:formatCode>#\ ##0.0</c:formatCode>
                <c:ptCount val="36"/>
                <c:pt idx="0">
                  <c:v>-4.5563175454788052E-8</c:v>
                </c:pt>
                <c:pt idx="1">
                  <c:v>0</c:v>
                </c:pt>
                <c:pt idx="2">
                  <c:v>-4.4006287502895702E-8</c:v>
                </c:pt>
                <c:pt idx="3">
                  <c:v>-4.3173686847808312E-8</c:v>
                </c:pt>
                <c:pt idx="4">
                  <c:v>-4.229311345582687E-8</c:v>
                </c:pt>
                <c:pt idx="5">
                  <c:v>-4.1381853499444787E-8</c:v>
                </c:pt>
                <c:pt idx="6">
                  <c:v>0</c:v>
                </c:pt>
                <c:pt idx="7">
                  <c:v>-0.39649447411389538</c:v>
                </c:pt>
                <c:pt idx="8">
                  <c:v>-0.90555944820546186</c:v>
                </c:pt>
                <c:pt idx="9">
                  <c:v>-1.1760205602991514</c:v>
                </c:pt>
                <c:pt idx="10">
                  <c:v>-1.5754592950339541</c:v>
                </c:pt>
                <c:pt idx="11">
                  <c:v>-1.8615783400474428</c:v>
                </c:pt>
                <c:pt idx="12">
                  <c:v>-2.053296411816774</c:v>
                </c:pt>
                <c:pt idx="13">
                  <c:v>-2.1701319044624801</c:v>
                </c:pt>
                <c:pt idx="14">
                  <c:v>-2.2270752500934576</c:v>
                </c:pt>
                <c:pt idx="15">
                  <c:v>-2.2539797119044747</c:v>
                </c:pt>
                <c:pt idx="16">
                  <c:v>-2.3179885061319405</c:v>
                </c:pt>
                <c:pt idx="17">
                  <c:v>-2.4174674432674292</c:v>
                </c:pt>
                <c:pt idx="18">
                  <c:v>-2.5464088368939986</c:v>
                </c:pt>
                <c:pt idx="19">
                  <c:v>-2.6878402886002517</c:v>
                </c:pt>
                <c:pt idx="20">
                  <c:v>-2.8406941944118858</c:v>
                </c:pt>
                <c:pt idx="21">
                  <c:v>-2.9762703068043517</c:v>
                </c:pt>
                <c:pt idx="22">
                  <c:v>-3.0960609553207563</c:v>
                </c:pt>
                <c:pt idx="23">
                  <c:v>-3.2036665696097866</c:v>
                </c:pt>
                <c:pt idx="24">
                  <c:v>-3.3015155366985627</c:v>
                </c:pt>
                <c:pt idx="25">
                  <c:v>-3.3925128456302023</c:v>
                </c:pt>
                <c:pt idx="26">
                  <c:v>-3.4561217898585017</c:v>
                </c:pt>
                <c:pt idx="27">
                  <c:v>-3.4990063809294258</c:v>
                </c:pt>
                <c:pt idx="28">
                  <c:v>-3.5256756045812909</c:v>
                </c:pt>
                <c:pt idx="29">
                  <c:v>-3.5388351885304981</c:v>
                </c:pt>
                <c:pt idx="30">
                  <c:v>-3.5405033632690985</c:v>
                </c:pt>
                <c:pt idx="31">
                  <c:v>-3.5246244889066691</c:v>
                </c:pt>
                <c:pt idx="32">
                  <c:v>-3.4938746215781524</c:v>
                </c:pt>
                <c:pt idx="33">
                  <c:v>-3.4513329370192358</c:v>
                </c:pt>
                <c:pt idx="34">
                  <c:v>-3.3992041332326917</c:v>
                </c:pt>
                <c:pt idx="35">
                  <c:v>-3.3392623401244936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DF-4FA2-B0C9-EB7B6F86A3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98260000"/>
        <c:axId val="698260984"/>
      </c:lineChart>
      <c:dateAx>
        <c:axId val="698260000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698260984"/>
        <c:crosses val="autoZero"/>
        <c:auto val="1"/>
        <c:lblOffset val="100"/>
        <c:baseTimeUnit val="years"/>
        <c:majorUnit val="5"/>
        <c:majorTimeUnit val="years"/>
      </c:dateAx>
      <c:valAx>
        <c:axId val="698260984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\ ##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698260000"/>
        <c:crosses val="autoZero"/>
        <c:crossBetween val="between"/>
        <c:majorUnit val="1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layout>
        <c:manualLayout>
          <c:xMode val="edge"/>
          <c:yMode val="edge"/>
          <c:x val="0.12558026074095319"/>
          <c:y val="0.92307178193558292"/>
          <c:w val="0.7488393708655362"/>
          <c:h val="5.8065941725962647E-2"/>
        </c:manualLayout>
      </c:layout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400">
          <a:latin typeface="Marianne Light" panose="02000000000000000000" pitchFamily="50" charset="0"/>
        </a:defRPr>
      </a:pPr>
      <a:endParaRPr lang="fr-FR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0" i="0" u="none" strike="noStrike" kern="1200" spc="0" baseline="0">
                <a:solidFill>
                  <a:sysClr val="windowText" lastClr="000000"/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/>
              <a:t>Inflation (%)</a:t>
            </a:r>
          </a:p>
        </c:rich>
      </c:tx>
      <c:layout>
        <c:manualLayout>
          <c:xMode val="edge"/>
          <c:yMode val="edge"/>
          <c:x val="0.4109619154318111"/>
          <c:y val="2.51497017846056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0" i="0" u="none" strike="noStrike" kern="1200" spc="0" baseline="0">
              <a:solidFill>
                <a:sysClr val="windowText" lastClr="000000"/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6.5537262156476636E-2"/>
          <c:y val="0.12992444857958643"/>
          <c:w val="0.91942367557480809"/>
          <c:h val="0.68678422777048564"/>
        </c:manualLayout>
      </c:layout>
      <c:lineChart>
        <c:grouping val="standard"/>
        <c:varyColors val="0"/>
        <c:ser>
          <c:idx val="0"/>
          <c:order val="0"/>
          <c:tx>
            <c:strRef>
              <c:f>Données!$B$59</c:f>
              <c:strCache>
                <c:ptCount val="1"/>
                <c:pt idx="0">
                  <c:v>Baseline</c:v>
                </c:pt>
              </c:strCache>
            </c:strRef>
          </c:tx>
          <c:spPr>
            <a:ln w="444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Données!$C$3:$AL$3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Données!$C$59:$AL$59</c:f>
              <c:numCache>
                <c:formatCode>#\ ##0.0</c:formatCode>
                <c:ptCount val="36"/>
                <c:pt idx="1">
                  <c:v>1.9940066808631807</c:v>
                </c:pt>
                <c:pt idx="2">
                  <c:v>2.0169036702479604</c:v>
                </c:pt>
                <c:pt idx="3">
                  <c:v>2.159774893283406</c:v>
                </c:pt>
                <c:pt idx="4">
                  <c:v>1.9924227523615334</c:v>
                </c:pt>
                <c:pt idx="5">
                  <c:v>1.9902482346219941</c:v>
                </c:pt>
                <c:pt idx="6">
                  <c:v>2.0166759962924719</c:v>
                </c:pt>
                <c:pt idx="7">
                  <c:v>2.0528139405335377</c:v>
                </c:pt>
                <c:pt idx="8">
                  <c:v>2.087356138573182</c:v>
                </c:pt>
                <c:pt idx="9">
                  <c:v>2.1171036643748087</c:v>
                </c:pt>
                <c:pt idx="10">
                  <c:v>2.1221823307160381</c:v>
                </c:pt>
                <c:pt idx="11">
                  <c:v>2.0640536305588819</c:v>
                </c:pt>
                <c:pt idx="12">
                  <c:v>1.9512512161091289</c:v>
                </c:pt>
                <c:pt idx="13">
                  <c:v>1.8015449351395985</c:v>
                </c:pt>
                <c:pt idx="14">
                  <c:v>1.6377403803370383</c:v>
                </c:pt>
                <c:pt idx="15">
                  <c:v>1.4733088612000067</c:v>
                </c:pt>
                <c:pt idx="16">
                  <c:v>1.3116422996955146</c:v>
                </c:pt>
                <c:pt idx="17">
                  <c:v>1.1602617232387091</c:v>
                </c:pt>
                <c:pt idx="18">
                  <c:v>1.0315700433703556</c:v>
                </c:pt>
                <c:pt idx="19">
                  <c:v>0.93179621472541108</c:v>
                </c:pt>
                <c:pt idx="20">
                  <c:v>0.86979723991211788</c:v>
                </c:pt>
                <c:pt idx="21">
                  <c:v>0.83700649498203994</c:v>
                </c:pt>
                <c:pt idx="22">
                  <c:v>0.83759062780861537</c:v>
                </c:pt>
                <c:pt idx="23">
                  <c:v>0.87336386371577035</c:v>
                </c:pt>
                <c:pt idx="24">
                  <c:v>0.94698000003121674</c:v>
                </c:pt>
                <c:pt idx="25">
                  <c:v>1.0684437804042934</c:v>
                </c:pt>
                <c:pt idx="26">
                  <c:v>1.1966599327179139</c:v>
                </c:pt>
                <c:pt idx="27">
                  <c:v>1.3391902361382879</c:v>
                </c:pt>
                <c:pt idx="28">
                  <c:v>1.494769111194616</c:v>
                </c:pt>
                <c:pt idx="29">
                  <c:v>1.6517998845314574</c:v>
                </c:pt>
                <c:pt idx="30">
                  <c:v>1.8055142005286129</c:v>
                </c:pt>
                <c:pt idx="31">
                  <c:v>1.949841041115441</c:v>
                </c:pt>
                <c:pt idx="32">
                  <c:v>2.0800393739090151</c:v>
                </c:pt>
                <c:pt idx="33">
                  <c:v>2.1924131038568495</c:v>
                </c:pt>
                <c:pt idx="34">
                  <c:v>2.2838408420410738</c:v>
                </c:pt>
                <c:pt idx="35">
                  <c:v>2.3519204433295693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BB1-4F3D-B713-AB83A709E486}"/>
            </c:ext>
          </c:extLst>
        </c:ser>
        <c:ser>
          <c:idx val="1"/>
          <c:order val="1"/>
          <c:tx>
            <c:strRef>
              <c:f>Données!$B$60</c:f>
              <c:strCache>
                <c:ptCount val="1"/>
                <c:pt idx="0">
                  <c:v>NZ50</c:v>
                </c:pt>
              </c:strCache>
            </c:strRef>
          </c:tx>
          <c:spPr>
            <a:ln w="444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Données!$C$3:$AL$3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Données!$C$60:$AL$60</c:f>
              <c:numCache>
                <c:formatCode>#\ ##0.0</c:formatCode>
                <c:ptCount val="36"/>
                <c:pt idx="1">
                  <c:v>1.9940066808631807</c:v>
                </c:pt>
                <c:pt idx="2">
                  <c:v>2.0169036702479604</c:v>
                </c:pt>
                <c:pt idx="3">
                  <c:v>2.159774989154073</c:v>
                </c:pt>
                <c:pt idx="4">
                  <c:v>1.9924227504917846</c:v>
                </c:pt>
                <c:pt idx="5">
                  <c:v>1.9902482327907256</c:v>
                </c:pt>
                <c:pt idx="6">
                  <c:v>2.0166760846882292</c:v>
                </c:pt>
                <c:pt idx="7">
                  <c:v>2.5873977151745331</c:v>
                </c:pt>
                <c:pt idx="8">
                  <c:v>2.9177138174143469</c:v>
                </c:pt>
                <c:pt idx="9">
                  <c:v>3.3714862105042043</c:v>
                </c:pt>
                <c:pt idx="10">
                  <c:v>3.9022499750424267</c:v>
                </c:pt>
                <c:pt idx="11">
                  <c:v>3.2716664343692026</c:v>
                </c:pt>
                <c:pt idx="12">
                  <c:v>2.9962933549202209</c:v>
                </c:pt>
                <c:pt idx="13">
                  <c:v>2.7391404438711131</c:v>
                </c:pt>
                <c:pt idx="14">
                  <c:v>2.500947453435165</c:v>
                </c:pt>
                <c:pt idx="15">
                  <c:v>2.2757809998898759</c:v>
                </c:pt>
                <c:pt idx="16">
                  <c:v>2.1302392707572615</c:v>
                </c:pt>
                <c:pt idx="17">
                  <c:v>1.980340778278733</c:v>
                </c:pt>
                <c:pt idx="18">
                  <c:v>1.8195675447863602</c:v>
                </c:pt>
                <c:pt idx="19">
                  <c:v>1.646522233401515</c:v>
                </c:pt>
                <c:pt idx="20">
                  <c:v>1.5147394135508474</c:v>
                </c:pt>
                <c:pt idx="21">
                  <c:v>1.3295816643351666</c:v>
                </c:pt>
                <c:pt idx="22">
                  <c:v>1.2280575934664917</c:v>
                </c:pt>
                <c:pt idx="23">
                  <c:v>1.1615919492065085</c:v>
                </c:pt>
                <c:pt idx="24">
                  <c:v>1.1331812916064443</c:v>
                </c:pt>
                <c:pt idx="25">
                  <c:v>1.154871848815997</c:v>
                </c:pt>
                <c:pt idx="26">
                  <c:v>1.1623811545836471</c:v>
                </c:pt>
                <c:pt idx="27">
                  <c:v>1.2523105946408153</c:v>
                </c:pt>
                <c:pt idx="28">
                  <c:v>1.3646325300746387</c:v>
                </c:pt>
                <c:pt idx="29">
                  <c:v>1.4894328742995455</c:v>
                </c:pt>
                <c:pt idx="30">
                  <c:v>1.6218111404308511</c:v>
                </c:pt>
                <c:pt idx="31">
                  <c:v>1.7417864881736911</c:v>
                </c:pt>
                <c:pt idx="32">
                  <c:v>1.8844106122466453</c:v>
                </c:pt>
                <c:pt idx="33">
                  <c:v>2.0186222948007648</c:v>
                </c:pt>
                <c:pt idx="34">
                  <c:v>2.1390168713184776</c:v>
                </c:pt>
                <c:pt idx="35">
                  <c:v>2.2415549411921143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8BB1-4F3D-B713-AB83A709E4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98260000"/>
        <c:axId val="698260984"/>
      </c:lineChart>
      <c:dateAx>
        <c:axId val="698260000"/>
        <c:scaling>
          <c:orientation val="minMax"/>
          <c:min val="43831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ysClr val="windowText" lastClr="000000"/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698260984"/>
        <c:crosses val="autoZero"/>
        <c:auto val="1"/>
        <c:lblOffset val="100"/>
        <c:baseTimeUnit val="years"/>
        <c:majorUnit val="10"/>
        <c:majorTimeUnit val="years"/>
      </c:dateAx>
      <c:valAx>
        <c:axId val="698260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ysClr val="windowText" lastClr="000000"/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69826000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ysClr val="windowText" lastClr="000000"/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800">
          <a:solidFill>
            <a:sysClr val="windowText" lastClr="000000"/>
          </a:solidFill>
          <a:latin typeface="Marianne Light" panose="02000000000000000000" pitchFamily="50" charset="0"/>
        </a:defRPr>
      </a:pPr>
      <a:endParaRPr lang="fr-FR"/>
    </a:p>
  </c:txPr>
  <c:userShapes r:id="rId3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800"/>
              <a:t>CO2 emissions (MtCO2/y)</a:t>
            </a:r>
          </a:p>
        </c:rich>
      </c:tx>
      <c:layout>
        <c:manualLayout>
          <c:xMode val="edge"/>
          <c:yMode val="edge"/>
          <c:x val="0.2902562701424663"/>
          <c:y val="2.724551026665614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areaChart>
        <c:grouping val="stacked"/>
        <c:varyColors val="0"/>
        <c:ser>
          <c:idx val="2"/>
          <c:order val="2"/>
          <c:tx>
            <c:strRef>
              <c:f>Données!$B$64</c:f>
              <c:strCache>
                <c:ptCount val="1"/>
                <c:pt idx="0">
                  <c:v>Households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  <a:ln>
              <a:noFill/>
            </a:ln>
            <a:effectLst/>
          </c:spPr>
          <c:cat>
            <c:numRef>
              <c:f>Données!$C$3:$AL$3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Données!$C$64:$AL$64</c:f>
              <c:numCache>
                <c:formatCode>#,##0</c:formatCode>
                <c:ptCount val="36"/>
                <c:pt idx="0">
                  <c:v>119.49049309999999</c:v>
                </c:pt>
                <c:pt idx="1">
                  <c:v>118.405377</c:v>
                </c:pt>
                <c:pt idx="2">
                  <c:v>117.19669810000001</c:v>
                </c:pt>
                <c:pt idx="3">
                  <c:v>116.0203307</c:v>
                </c:pt>
                <c:pt idx="4">
                  <c:v>115.48603540000001</c:v>
                </c:pt>
                <c:pt idx="5">
                  <c:v>115.3559152</c:v>
                </c:pt>
                <c:pt idx="6">
                  <c:v>115.4569711</c:v>
                </c:pt>
                <c:pt idx="7">
                  <c:v>115.12207429999999</c:v>
                </c:pt>
                <c:pt idx="8">
                  <c:v>114.1898424</c:v>
                </c:pt>
                <c:pt idx="9">
                  <c:v>112.89361289999999</c:v>
                </c:pt>
                <c:pt idx="10">
                  <c:v>111.02735680000001</c:v>
                </c:pt>
                <c:pt idx="11">
                  <c:v>110.1446163</c:v>
                </c:pt>
                <c:pt idx="12">
                  <c:v>109.7425082</c:v>
                </c:pt>
                <c:pt idx="13">
                  <c:v>109.5541128</c:v>
                </c:pt>
                <c:pt idx="14">
                  <c:v>109.43217420000001</c:v>
                </c:pt>
                <c:pt idx="15">
                  <c:v>109.29648899999999</c:v>
                </c:pt>
                <c:pt idx="16">
                  <c:v>108.51697830000001</c:v>
                </c:pt>
                <c:pt idx="17">
                  <c:v>107.5626776</c:v>
                </c:pt>
                <c:pt idx="18">
                  <c:v>106.03843910000001</c:v>
                </c:pt>
                <c:pt idx="19">
                  <c:v>103.08923679999999</c:v>
                </c:pt>
                <c:pt idx="20">
                  <c:v>99.799672459999996</c:v>
                </c:pt>
                <c:pt idx="21">
                  <c:v>96.300008309999996</c:v>
                </c:pt>
                <c:pt idx="22">
                  <c:v>92.600341970000002</c:v>
                </c:pt>
                <c:pt idx="23">
                  <c:v>88.739460500000007</c:v>
                </c:pt>
                <c:pt idx="24">
                  <c:v>84.773326400000002</c:v>
                </c:pt>
                <c:pt idx="25">
                  <c:v>80.716991770000007</c:v>
                </c:pt>
                <c:pt idx="26">
                  <c:v>76.708887410000003</c:v>
                </c:pt>
                <c:pt idx="27">
                  <c:v>72.790392310000001</c:v>
                </c:pt>
                <c:pt idx="28">
                  <c:v>68.983039250000004</c:v>
                </c:pt>
                <c:pt idx="29">
                  <c:v>65.319962169999997</c:v>
                </c:pt>
                <c:pt idx="30">
                  <c:v>61.832328830000002</c:v>
                </c:pt>
                <c:pt idx="31">
                  <c:v>58.567711789999997</c:v>
                </c:pt>
                <c:pt idx="32">
                  <c:v>55.532534230000003</c:v>
                </c:pt>
                <c:pt idx="33">
                  <c:v>52.734414989999998</c:v>
                </c:pt>
                <c:pt idx="34">
                  <c:v>50.179317589999997</c:v>
                </c:pt>
                <c:pt idx="35">
                  <c:v>47.869184910000001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7F9-419D-90DC-C3E392523E46}"/>
            </c:ext>
          </c:extLst>
        </c:ser>
        <c:ser>
          <c:idx val="3"/>
          <c:order val="3"/>
          <c:tx>
            <c:strRef>
              <c:f>Données!$B$65</c:f>
              <c:strCache>
                <c:ptCount val="1"/>
                <c:pt idx="0">
                  <c:v>Firms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cat>
            <c:numRef>
              <c:f>Données!$C$3:$AL$3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Données!$C$65:$AL$65</c:f>
              <c:numCache>
                <c:formatCode>#,##0</c:formatCode>
                <c:ptCount val="36"/>
                <c:pt idx="0">
                  <c:v>228.38294672729998</c:v>
                </c:pt>
                <c:pt idx="1">
                  <c:v>229.53490527370002</c:v>
                </c:pt>
                <c:pt idx="2">
                  <c:v>230.84598320150002</c:v>
                </c:pt>
                <c:pt idx="3">
                  <c:v>231.82458943590001</c:v>
                </c:pt>
                <c:pt idx="4">
                  <c:v>234.19500784370001</c:v>
                </c:pt>
                <c:pt idx="5">
                  <c:v>237.75219613919998</c:v>
                </c:pt>
                <c:pt idx="6">
                  <c:v>242.48533343299999</c:v>
                </c:pt>
                <c:pt idx="7">
                  <c:v>245.38296407659999</c:v>
                </c:pt>
                <c:pt idx="8">
                  <c:v>246.37876447869999</c:v>
                </c:pt>
                <c:pt idx="9">
                  <c:v>246.62544414140001</c:v>
                </c:pt>
                <c:pt idx="10">
                  <c:v>244.12766129969998</c:v>
                </c:pt>
                <c:pt idx="11">
                  <c:v>243.5542897039</c:v>
                </c:pt>
                <c:pt idx="12">
                  <c:v>243.65309558530001</c:v>
                </c:pt>
                <c:pt idx="13">
                  <c:v>244.3284615897</c:v>
                </c:pt>
                <c:pt idx="14">
                  <c:v>245.56268046349999</c:v>
                </c:pt>
                <c:pt idx="15">
                  <c:v>247.2956490386</c:v>
                </c:pt>
                <c:pt idx="16">
                  <c:v>247.41860268359997</c:v>
                </c:pt>
                <c:pt idx="17">
                  <c:v>247.57615346839998</c:v>
                </c:pt>
                <c:pt idx="18">
                  <c:v>247.36046180420001</c:v>
                </c:pt>
                <c:pt idx="19">
                  <c:v>245.92249218090004</c:v>
                </c:pt>
                <c:pt idx="20">
                  <c:v>244.48391074769998</c:v>
                </c:pt>
                <c:pt idx="21">
                  <c:v>243.35088314479998</c:v>
                </c:pt>
                <c:pt idx="22">
                  <c:v>242.61798066920002</c:v>
                </c:pt>
                <c:pt idx="23">
                  <c:v>242.3989964374</c:v>
                </c:pt>
                <c:pt idx="24">
                  <c:v>242.82776084170001</c:v>
                </c:pt>
                <c:pt idx="25">
                  <c:v>244.01247632559998</c:v>
                </c:pt>
                <c:pt idx="26">
                  <c:v>243.616081243</c:v>
                </c:pt>
                <c:pt idx="27">
                  <c:v>243.36691670090002</c:v>
                </c:pt>
                <c:pt idx="28">
                  <c:v>243.9048515787</c:v>
                </c:pt>
                <c:pt idx="29">
                  <c:v>245.2929118401</c:v>
                </c:pt>
                <c:pt idx="30">
                  <c:v>247.39153052469999</c:v>
                </c:pt>
                <c:pt idx="31">
                  <c:v>250.11273353670001</c:v>
                </c:pt>
                <c:pt idx="32">
                  <c:v>253.3091397394</c:v>
                </c:pt>
                <c:pt idx="33">
                  <c:v>256.84126027949998</c:v>
                </c:pt>
                <c:pt idx="34">
                  <c:v>260.59078676979999</c:v>
                </c:pt>
                <c:pt idx="35">
                  <c:v>264.46398641320002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7F9-419D-90DC-C3E392523E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8260000"/>
        <c:axId val="698260984"/>
      </c:areaChart>
      <c:lineChart>
        <c:grouping val="standard"/>
        <c:varyColors val="0"/>
        <c:ser>
          <c:idx val="0"/>
          <c:order val="0"/>
          <c:tx>
            <c:strRef>
              <c:f>Données!$B$62</c:f>
              <c:strCache>
                <c:ptCount val="1"/>
                <c:pt idx="0">
                  <c:v>Baseline</c:v>
                </c:pt>
              </c:strCache>
            </c:strRef>
          </c:tx>
          <c:spPr>
            <a:ln w="444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Données!$C$3:$AL$3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Données!$C$62:$AL$62</c:f>
              <c:numCache>
                <c:formatCode>#,##0</c:formatCode>
                <c:ptCount val="36"/>
                <c:pt idx="0">
                  <c:v>347.87341720000001</c:v>
                </c:pt>
                <c:pt idx="1">
                  <c:v>347.94026020000001</c:v>
                </c:pt>
                <c:pt idx="2">
                  <c:v>348.04265980000002</c:v>
                </c:pt>
                <c:pt idx="3">
                  <c:v>347.84489930000001</c:v>
                </c:pt>
                <c:pt idx="4">
                  <c:v>349.68102260000001</c:v>
                </c:pt>
                <c:pt idx="5">
                  <c:v>353.10809069999999</c:v>
                </c:pt>
                <c:pt idx="6">
                  <c:v>357.94228349999997</c:v>
                </c:pt>
                <c:pt idx="7">
                  <c:v>363.89033030000002</c:v>
                </c:pt>
                <c:pt idx="8">
                  <c:v>370.64353410000001</c:v>
                </c:pt>
                <c:pt idx="9">
                  <c:v>378.01512120000001</c:v>
                </c:pt>
                <c:pt idx="10">
                  <c:v>385.72595310000003</c:v>
                </c:pt>
                <c:pt idx="11">
                  <c:v>393.86852970000001</c:v>
                </c:pt>
                <c:pt idx="12">
                  <c:v>401.43717170000002</c:v>
                </c:pt>
                <c:pt idx="13">
                  <c:v>408.5366856</c:v>
                </c:pt>
                <c:pt idx="14">
                  <c:v>415.31639769999998</c:v>
                </c:pt>
                <c:pt idx="15">
                  <c:v>421.9435297</c:v>
                </c:pt>
                <c:pt idx="16">
                  <c:v>428.62610489999997</c:v>
                </c:pt>
                <c:pt idx="17">
                  <c:v>435.62858770000003</c:v>
                </c:pt>
                <c:pt idx="18">
                  <c:v>443.08207670000002</c:v>
                </c:pt>
                <c:pt idx="19">
                  <c:v>451.10583159999999</c:v>
                </c:pt>
                <c:pt idx="20">
                  <c:v>459.78043650000001</c:v>
                </c:pt>
                <c:pt idx="21">
                  <c:v>469.32250199999999</c:v>
                </c:pt>
                <c:pt idx="22">
                  <c:v>479.8861943</c:v>
                </c:pt>
                <c:pt idx="23">
                  <c:v>491.61611499999998</c:v>
                </c:pt>
                <c:pt idx="24">
                  <c:v>504.6358098</c:v>
                </c:pt>
                <c:pt idx="25">
                  <c:v>518.92498990000001</c:v>
                </c:pt>
                <c:pt idx="26">
                  <c:v>530.70186520000004</c:v>
                </c:pt>
                <c:pt idx="27">
                  <c:v>542.22330099999999</c:v>
                </c:pt>
                <c:pt idx="28">
                  <c:v>554.49499830000002</c:v>
                </c:pt>
                <c:pt idx="29">
                  <c:v>567.72717350000005</c:v>
                </c:pt>
                <c:pt idx="30">
                  <c:v>581.82769870000004</c:v>
                </c:pt>
                <c:pt idx="31">
                  <c:v>596.63400760000002</c:v>
                </c:pt>
                <c:pt idx="32">
                  <c:v>611.98399400000005</c:v>
                </c:pt>
                <c:pt idx="33">
                  <c:v>627.71854329999996</c:v>
                </c:pt>
                <c:pt idx="34">
                  <c:v>643.67850699999997</c:v>
                </c:pt>
                <c:pt idx="35">
                  <c:v>659.70163839999998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9C8-4867-AD43-ECA314AA01DF}"/>
            </c:ext>
          </c:extLst>
        </c:ser>
        <c:ser>
          <c:idx val="1"/>
          <c:order val="1"/>
          <c:tx>
            <c:strRef>
              <c:f>Données!$B$63</c:f>
              <c:strCache>
                <c:ptCount val="1"/>
                <c:pt idx="0">
                  <c:v>NZ50</c:v>
                </c:pt>
              </c:strCache>
            </c:strRef>
          </c:tx>
          <c:spPr>
            <a:ln w="444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Données!$C$3:$AL$3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Données!$C$63:$AL$63</c:f>
              <c:numCache>
                <c:formatCode>#,##0</c:formatCode>
                <c:ptCount val="36"/>
                <c:pt idx="0">
                  <c:v>347.87343980000003</c:v>
                </c:pt>
                <c:pt idx="1">
                  <c:v>347.94028220000001</c:v>
                </c:pt>
                <c:pt idx="2">
                  <c:v>348.04268130000003</c:v>
                </c:pt>
                <c:pt idx="3">
                  <c:v>347.84492010000002</c:v>
                </c:pt>
                <c:pt idx="4">
                  <c:v>349.68104319999998</c:v>
                </c:pt>
                <c:pt idx="5">
                  <c:v>353.10811130000002</c:v>
                </c:pt>
                <c:pt idx="6">
                  <c:v>357.9423046</c:v>
                </c:pt>
                <c:pt idx="7">
                  <c:v>360.50503830000002</c:v>
                </c:pt>
                <c:pt idx="8">
                  <c:v>360.5686068</c:v>
                </c:pt>
                <c:pt idx="9">
                  <c:v>359.5190571</c:v>
                </c:pt>
                <c:pt idx="10">
                  <c:v>355.15501810000001</c:v>
                </c:pt>
                <c:pt idx="11">
                  <c:v>353.69890600000002</c:v>
                </c:pt>
                <c:pt idx="12">
                  <c:v>353.3956038</c:v>
                </c:pt>
                <c:pt idx="13">
                  <c:v>353.88257440000001</c:v>
                </c:pt>
                <c:pt idx="14">
                  <c:v>354.99485470000002</c:v>
                </c:pt>
                <c:pt idx="15">
                  <c:v>356.59213799999998</c:v>
                </c:pt>
                <c:pt idx="16">
                  <c:v>355.93558100000001</c:v>
                </c:pt>
                <c:pt idx="17">
                  <c:v>355.1388311</c:v>
                </c:pt>
                <c:pt idx="18">
                  <c:v>353.39890079999998</c:v>
                </c:pt>
                <c:pt idx="19">
                  <c:v>349.01172889999998</c:v>
                </c:pt>
                <c:pt idx="20">
                  <c:v>344.28358320000001</c:v>
                </c:pt>
                <c:pt idx="21">
                  <c:v>339.65089139999998</c:v>
                </c:pt>
                <c:pt idx="22">
                  <c:v>335.21832260000002</c:v>
                </c:pt>
                <c:pt idx="23">
                  <c:v>331.13845700000002</c:v>
                </c:pt>
                <c:pt idx="24">
                  <c:v>327.60108719999999</c:v>
                </c:pt>
                <c:pt idx="25">
                  <c:v>324.72946810000002</c:v>
                </c:pt>
                <c:pt idx="26">
                  <c:v>320.3249687</c:v>
                </c:pt>
                <c:pt idx="27">
                  <c:v>316.157309</c:v>
                </c:pt>
                <c:pt idx="28">
                  <c:v>312.88789079999998</c:v>
                </c:pt>
                <c:pt idx="29">
                  <c:v>310.61287399999998</c:v>
                </c:pt>
                <c:pt idx="30">
                  <c:v>309.22385939999998</c:v>
                </c:pt>
                <c:pt idx="31">
                  <c:v>308.68044529999997</c:v>
                </c:pt>
                <c:pt idx="32">
                  <c:v>308.84167400000001</c:v>
                </c:pt>
                <c:pt idx="33">
                  <c:v>309.5756753</c:v>
                </c:pt>
                <c:pt idx="34">
                  <c:v>310.77010430000001</c:v>
                </c:pt>
                <c:pt idx="35">
                  <c:v>312.3331713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9C8-4867-AD43-ECA314AA01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98260000"/>
        <c:axId val="698260984"/>
      </c:lineChart>
      <c:dateAx>
        <c:axId val="698260000"/>
        <c:scaling>
          <c:orientation val="minMax"/>
          <c:min val="43831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698260984"/>
        <c:crosses val="autoZero"/>
        <c:auto val="1"/>
        <c:lblOffset val="100"/>
        <c:baseTimeUnit val="years"/>
        <c:majorUnit val="10"/>
        <c:majorTimeUnit val="years"/>
      </c:dateAx>
      <c:valAx>
        <c:axId val="698260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69826000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/>
              <a:t>Valeur</a:t>
            </a:r>
            <a:r>
              <a:rPr lang="fr-FR" baseline="0"/>
              <a:t> ajoutée sectorielle (en pts de VA)</a:t>
            </a:r>
          </a:p>
          <a:p>
            <a:pPr>
              <a:defRPr/>
            </a:pP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Données!$B$86</c:f>
              <c:strCache>
                <c:ptCount val="1"/>
                <c:pt idx="0">
                  <c:v>Agriculture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Données!$C$85:$E$85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Données!$C$86:$E$86</c:f>
              <c:numCache>
                <c:formatCode>#,##0</c:formatCode>
                <c:ptCount val="3"/>
                <c:pt idx="0">
                  <c:v>-7.638921128697862E-2</c:v>
                </c:pt>
                <c:pt idx="1">
                  <c:v>-0.10491964274023086</c:v>
                </c:pt>
                <c:pt idx="2">
                  <c:v>-0.10805912541517741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3EF-431D-9A51-747E617C00CC}"/>
            </c:ext>
          </c:extLst>
        </c:ser>
        <c:ser>
          <c:idx val="1"/>
          <c:order val="1"/>
          <c:tx>
            <c:strRef>
              <c:f>Données!$B$87</c:f>
              <c:strCache>
                <c:ptCount val="1"/>
                <c:pt idx="0">
                  <c:v>Industrie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Données!$C$85:$E$85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Données!$C$87:$E$87</c:f>
              <c:numCache>
                <c:formatCode>#,##0</c:formatCode>
                <c:ptCount val="3"/>
                <c:pt idx="0">
                  <c:v>-30.763409522656087</c:v>
                </c:pt>
                <c:pt idx="1">
                  <c:v>-52.749706053913869</c:v>
                </c:pt>
                <c:pt idx="2">
                  <c:v>-45.573384537916034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3EF-431D-9A51-747E617C00CC}"/>
            </c:ext>
          </c:extLst>
        </c:ser>
        <c:ser>
          <c:idx val="2"/>
          <c:order val="2"/>
          <c:tx>
            <c:strRef>
              <c:f>Données!$B$88</c:f>
              <c:strCache>
                <c:ptCount val="1"/>
                <c:pt idx="0">
                  <c:v>Transports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Données!$C$85:$E$85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Données!$C$88:$E$88</c:f>
              <c:numCache>
                <c:formatCode>#,##0</c:formatCode>
                <c:ptCount val="3"/>
                <c:pt idx="0">
                  <c:v>-0.69546063757746768</c:v>
                </c:pt>
                <c:pt idx="1">
                  <c:v>-1.0798094241964022</c:v>
                </c:pt>
                <c:pt idx="2">
                  <c:v>-0.85726948677797743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3EF-431D-9A51-747E617C00CC}"/>
            </c:ext>
          </c:extLst>
        </c:ser>
        <c:ser>
          <c:idx val="3"/>
          <c:order val="3"/>
          <c:tx>
            <c:strRef>
              <c:f>Données!$B$89</c:f>
              <c:strCache>
                <c:ptCount val="1"/>
                <c:pt idx="0">
                  <c:v>Services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Données!$C$85:$E$85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Données!$C$89:$E$89</c:f>
              <c:numCache>
                <c:formatCode>#,##0</c:formatCode>
                <c:ptCount val="3"/>
                <c:pt idx="0">
                  <c:v>-62.447243028603239</c:v>
                </c:pt>
                <c:pt idx="1">
                  <c:v>-99.677181592616307</c:v>
                </c:pt>
                <c:pt idx="2">
                  <c:v>-97.364609548920328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3EF-431D-9A51-747E617C00CC}"/>
            </c:ext>
          </c:extLst>
        </c:ser>
        <c:ser>
          <c:idx val="4"/>
          <c:order val="4"/>
          <c:tx>
            <c:strRef>
              <c:f>Données!$B$90</c:f>
              <c:strCache>
                <c:ptCount val="1"/>
                <c:pt idx="0">
                  <c:v>Pétrole et gaz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Données!$C$85:$E$85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Données!$C$90:$E$90</c:f>
              <c:numCache>
                <c:formatCode>#,##0</c:formatCode>
                <c:ptCount val="3"/>
                <c:pt idx="0">
                  <c:v>-5.6454916305022718E-3</c:v>
                </c:pt>
                <c:pt idx="1">
                  <c:v>5.6600545989428297E-3</c:v>
                </c:pt>
                <c:pt idx="2">
                  <c:v>3.1889743831413575E-2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3EF-431D-9A51-747E617C00CC}"/>
            </c:ext>
          </c:extLst>
        </c:ser>
        <c:ser>
          <c:idx val="5"/>
          <c:order val="5"/>
          <c:tx>
            <c:strRef>
              <c:f>Données!$B$91</c:f>
              <c:strCache>
                <c:ptCount val="1"/>
                <c:pt idx="0">
                  <c:v>Electricité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Données!$C$85:$E$85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Données!$C$91:$E$91</c:f>
              <c:numCache>
                <c:formatCode>#,##0</c:formatCode>
                <c:ptCount val="3"/>
                <c:pt idx="0">
                  <c:v>-7.3369337258466327</c:v>
                </c:pt>
                <c:pt idx="1">
                  <c:v>25.465010658043429</c:v>
                </c:pt>
                <c:pt idx="2">
                  <c:v>64.869170636134754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3EF-431D-9A51-747E617C00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93301600"/>
        <c:axId val="793302256"/>
      </c:barChart>
      <c:catAx>
        <c:axId val="793301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93302256"/>
        <c:crosses val="autoZero"/>
        <c:auto val="1"/>
        <c:lblAlgn val="ctr"/>
        <c:lblOffset val="100"/>
        <c:noMultiLvlLbl val="0"/>
      </c:catAx>
      <c:valAx>
        <c:axId val="793302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9330160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/>
              <a:t>Valeur</a:t>
            </a:r>
            <a:r>
              <a:rPr lang="fr-FR" baseline="0"/>
              <a:t> ajoutée sectorielle (en %)</a:t>
            </a:r>
          </a:p>
          <a:p>
            <a:pPr>
              <a:defRPr/>
            </a:pP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Données!$B$94</c:f>
              <c:strCache>
                <c:ptCount val="1"/>
                <c:pt idx="0">
                  <c:v>Agriculture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Données!$C$93:$E$93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Données!$C$94:$E$94</c:f>
              <c:numCache>
                <c:formatCode>0.0%</c:formatCode>
                <c:ptCount val="3"/>
                <c:pt idx="0">
                  <c:v>-4.106827645023936E-2</c:v>
                </c:pt>
                <c:pt idx="1">
                  <c:v>-5.5011541100105976E-2</c:v>
                </c:pt>
                <c:pt idx="2">
                  <c:v>-5.6227605018007165E-2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82-485E-9582-B510024133C5}"/>
            </c:ext>
          </c:extLst>
        </c:ser>
        <c:ser>
          <c:idx val="1"/>
          <c:order val="1"/>
          <c:tx>
            <c:strRef>
              <c:f>Données!$B$95</c:f>
              <c:strCache>
                <c:ptCount val="1"/>
                <c:pt idx="0">
                  <c:v>Industrie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Données!$C$93:$E$93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Données!$C$95:$E$95</c:f>
              <c:numCache>
                <c:formatCode>0.0%</c:formatCode>
                <c:ptCount val="3"/>
                <c:pt idx="0">
                  <c:v>-2.9906056723756569E-2</c:v>
                </c:pt>
                <c:pt idx="1">
                  <c:v>-4.7926708889187597E-2</c:v>
                </c:pt>
                <c:pt idx="2">
                  <c:v>-3.9644974225913288E-2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282-485E-9582-B510024133C5}"/>
            </c:ext>
          </c:extLst>
        </c:ser>
        <c:ser>
          <c:idx val="2"/>
          <c:order val="2"/>
          <c:tx>
            <c:strRef>
              <c:f>Données!$B$96</c:f>
              <c:strCache>
                <c:ptCount val="1"/>
                <c:pt idx="0">
                  <c:v>Transports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Données!$C$93:$E$93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Données!$C$96:$E$96</c:f>
              <c:numCache>
                <c:formatCode>0.0%</c:formatCode>
                <c:ptCount val="3"/>
                <c:pt idx="0">
                  <c:v>-4.9003356926582309E-2</c:v>
                </c:pt>
                <c:pt idx="1">
                  <c:v>-7.940444345862574E-2</c:v>
                </c:pt>
                <c:pt idx="2">
                  <c:v>-6.5739785082687296E-2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282-485E-9582-B510024133C5}"/>
            </c:ext>
          </c:extLst>
        </c:ser>
        <c:ser>
          <c:idx val="3"/>
          <c:order val="3"/>
          <c:tx>
            <c:strRef>
              <c:f>Données!$B$97</c:f>
              <c:strCache>
                <c:ptCount val="1"/>
                <c:pt idx="0">
                  <c:v>Services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Données!$C$93:$E$93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Données!$C$97:$E$97</c:f>
              <c:numCache>
                <c:formatCode>0.0%</c:formatCode>
                <c:ptCount val="3"/>
                <c:pt idx="0">
                  <c:v>-1.9211319467796528E-2</c:v>
                </c:pt>
                <c:pt idx="1">
                  <c:v>-2.9973162451934821E-2</c:v>
                </c:pt>
                <c:pt idx="2">
                  <c:v>-3.0620192207338137E-2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282-485E-9582-B510024133C5}"/>
            </c:ext>
          </c:extLst>
        </c:ser>
        <c:ser>
          <c:idx val="4"/>
          <c:order val="4"/>
          <c:tx>
            <c:strRef>
              <c:f>Données!$B$98</c:f>
              <c:strCache>
                <c:ptCount val="1"/>
                <c:pt idx="0">
                  <c:v>Pétrole et gaz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Données!$C$93:$E$93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Données!$C$98:$E$98</c:f>
              <c:numCache>
                <c:formatCode>0.0%</c:formatCode>
                <c:ptCount val="3"/>
                <c:pt idx="0">
                  <c:v>4.70783121947278E-2</c:v>
                </c:pt>
                <c:pt idx="1">
                  <c:v>-5.0909142735613644E-2</c:v>
                </c:pt>
                <c:pt idx="2">
                  <c:v>-0.29030430892865988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282-485E-9582-B510024133C5}"/>
            </c:ext>
          </c:extLst>
        </c:ser>
        <c:ser>
          <c:idx val="5"/>
          <c:order val="5"/>
          <c:tx>
            <c:strRef>
              <c:f>Données!$B$99</c:f>
              <c:strCache>
                <c:ptCount val="1"/>
                <c:pt idx="0">
                  <c:v>Electricité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Données!$C$93:$E$93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Données!$C$99:$E$99</c:f>
              <c:numCache>
                <c:formatCode>0.0%</c:formatCode>
                <c:ptCount val="3"/>
                <c:pt idx="0">
                  <c:v>4.7136111075427589E-3</c:v>
                </c:pt>
                <c:pt idx="1">
                  <c:v>-2.7355500555729662E-2</c:v>
                </c:pt>
                <c:pt idx="2">
                  <c:v>-5.2569656142132715E-2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282-485E-9582-B510024133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93301600"/>
        <c:axId val="793302256"/>
      </c:barChart>
      <c:catAx>
        <c:axId val="793301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93302256"/>
        <c:crosses val="autoZero"/>
        <c:auto val="1"/>
        <c:lblAlgn val="ctr"/>
        <c:lblOffset val="100"/>
        <c:noMultiLvlLbl val="0"/>
      </c:catAx>
      <c:valAx>
        <c:axId val="793302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9330160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/>
              <a:t>Valeur</a:t>
            </a:r>
            <a:r>
              <a:rPr lang="fr-FR" baseline="0"/>
              <a:t> ajoutée sectorielle (en pts de VA)</a:t>
            </a:r>
          </a:p>
          <a:p>
            <a:pPr>
              <a:defRPr/>
            </a:pP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Données!$B$118</c:f>
              <c:strCache>
                <c:ptCount val="1"/>
                <c:pt idx="0">
                  <c:v>Agriculture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Données!$C$117:$E$117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Données!$C$118:$E$118</c:f>
              <c:numCache>
                <c:formatCode>#,##0</c:formatCode>
                <c:ptCount val="3"/>
                <c:pt idx="0">
                  <c:v>-11.558265354645785</c:v>
                </c:pt>
                <c:pt idx="1">
                  <c:v>-17.84820858886107</c:v>
                </c:pt>
                <c:pt idx="2">
                  <c:v>-21.386697419189922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A2D-4067-BD64-AD80378C548C}"/>
            </c:ext>
          </c:extLst>
        </c:ser>
        <c:ser>
          <c:idx val="1"/>
          <c:order val="1"/>
          <c:tx>
            <c:strRef>
              <c:f>Données!$B$119</c:f>
              <c:strCache>
                <c:ptCount val="1"/>
                <c:pt idx="0">
                  <c:v>Industrie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Données!$C$117:$E$117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Données!$C$119:$E$119</c:f>
              <c:numCache>
                <c:formatCode>#,##0</c:formatCode>
                <c:ptCount val="3"/>
                <c:pt idx="0">
                  <c:v>-43.808519713515423</c:v>
                </c:pt>
                <c:pt idx="1">
                  <c:v>-73.124941856154237</c:v>
                </c:pt>
                <c:pt idx="2">
                  <c:v>-67.395774840950324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A2D-4067-BD64-AD80378C548C}"/>
            </c:ext>
          </c:extLst>
        </c:ser>
        <c:ser>
          <c:idx val="2"/>
          <c:order val="2"/>
          <c:tx>
            <c:strRef>
              <c:f>Données!$B$120</c:f>
              <c:strCache>
                <c:ptCount val="1"/>
                <c:pt idx="0">
                  <c:v>Transports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Données!$C$117:$E$117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Données!$C$120:$E$120</c:f>
              <c:numCache>
                <c:formatCode>#,##0</c:formatCode>
                <c:ptCount val="3"/>
                <c:pt idx="0">
                  <c:v>-0.65528194946129958</c:v>
                </c:pt>
                <c:pt idx="1">
                  <c:v>-1.0286072722643382</c:v>
                </c:pt>
                <c:pt idx="2">
                  <c:v>-0.81680772916459754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A2D-4067-BD64-AD80378C548C}"/>
            </c:ext>
          </c:extLst>
        </c:ser>
        <c:ser>
          <c:idx val="3"/>
          <c:order val="3"/>
          <c:tx>
            <c:strRef>
              <c:f>Données!$B$121</c:f>
              <c:strCache>
                <c:ptCount val="1"/>
                <c:pt idx="0">
                  <c:v>Services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Données!$C$117:$E$117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Données!$C$121:$E$121</c:f>
              <c:numCache>
                <c:formatCode>#,##0</c:formatCode>
                <c:ptCount val="3"/>
                <c:pt idx="0">
                  <c:v>-46.470359428000897</c:v>
                </c:pt>
                <c:pt idx="1">
                  <c:v>-73.658112322017374</c:v>
                </c:pt>
                <c:pt idx="2">
                  <c:v>-71.855750926738011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A2D-4067-BD64-AD80378C548C}"/>
            </c:ext>
          </c:extLst>
        </c:ser>
        <c:ser>
          <c:idx val="4"/>
          <c:order val="4"/>
          <c:tx>
            <c:strRef>
              <c:f>Données!$B$122</c:f>
              <c:strCache>
                <c:ptCount val="1"/>
                <c:pt idx="0">
                  <c:v>Pétrole et gaz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Données!$C$117:$E$117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Données!$C$122:$E$122</c:f>
              <c:numCache>
                <c:formatCode>#,##0</c:formatCode>
                <c:ptCount val="3"/>
                <c:pt idx="0">
                  <c:v>-9.5767777451283259E-2</c:v>
                </c:pt>
                <c:pt idx="1">
                  <c:v>-3.4923162218191105E-2</c:v>
                </c:pt>
                <c:pt idx="2">
                  <c:v>0.20999868144018788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A2D-4067-BD64-AD80378C548C}"/>
            </c:ext>
          </c:extLst>
        </c:ser>
        <c:ser>
          <c:idx val="5"/>
          <c:order val="5"/>
          <c:tx>
            <c:strRef>
              <c:f>Données!$B$123</c:f>
              <c:strCache>
                <c:ptCount val="1"/>
                <c:pt idx="0">
                  <c:v>Electricité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Données!$C$117:$E$117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Données!$C$123:$E$123</c:f>
              <c:numCache>
                <c:formatCode>#,##0</c:formatCode>
                <c:ptCount val="3"/>
                <c:pt idx="0">
                  <c:v>2.1606653236089697</c:v>
                </c:pt>
                <c:pt idx="1">
                  <c:v>-4.0056505088040204</c:v>
                </c:pt>
                <c:pt idx="2">
                  <c:v>-9.0445055927519071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A2D-4067-BD64-AD80378C54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93301600"/>
        <c:axId val="793302256"/>
      </c:barChart>
      <c:catAx>
        <c:axId val="793301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93302256"/>
        <c:crosses val="autoZero"/>
        <c:auto val="1"/>
        <c:lblAlgn val="ctr"/>
        <c:lblOffset val="100"/>
        <c:noMultiLvlLbl val="0"/>
      </c:catAx>
      <c:valAx>
        <c:axId val="793302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9330160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/>
              <a:t>Valeur</a:t>
            </a:r>
            <a:r>
              <a:rPr lang="fr-FR" baseline="0"/>
              <a:t> ajoutée sectorielle (en %)</a:t>
            </a:r>
          </a:p>
          <a:p>
            <a:pPr>
              <a:defRPr/>
            </a:pP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Données!$B$126</c:f>
              <c:strCache>
                <c:ptCount val="1"/>
                <c:pt idx="0">
                  <c:v>Agriculture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Données!$C$125:$E$125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Données!$C$126:$E$126</c:f>
              <c:numCache>
                <c:formatCode>0.0%</c:formatCode>
                <c:ptCount val="3"/>
                <c:pt idx="0">
                  <c:v>-4.6158861453187816E-2</c:v>
                </c:pt>
                <c:pt idx="1">
                  <c:v>-6.3987031554260554E-2</c:v>
                </c:pt>
                <c:pt idx="2">
                  <c:v>-6.2741504205624521E-2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7F1-4B6A-9132-8653F2D77B61}"/>
            </c:ext>
          </c:extLst>
        </c:ser>
        <c:ser>
          <c:idx val="1"/>
          <c:order val="1"/>
          <c:tx>
            <c:strRef>
              <c:f>Données!$B$127</c:f>
              <c:strCache>
                <c:ptCount val="1"/>
                <c:pt idx="0">
                  <c:v>Industrie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Données!$C$125:$E$125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Données!$C$127:$E$127</c:f>
              <c:numCache>
                <c:formatCode>0.0%</c:formatCode>
                <c:ptCount val="3"/>
                <c:pt idx="0">
                  <c:v>-3.5652511158304701E-2</c:v>
                </c:pt>
                <c:pt idx="1">
                  <c:v>-5.5440780239746856E-2</c:v>
                </c:pt>
                <c:pt idx="2">
                  <c:v>-4.9451733751130211E-2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7F1-4B6A-9132-8653F2D77B61}"/>
            </c:ext>
          </c:extLst>
        </c:ser>
        <c:ser>
          <c:idx val="2"/>
          <c:order val="2"/>
          <c:tx>
            <c:strRef>
              <c:f>Données!$B$128</c:f>
              <c:strCache>
                <c:ptCount val="1"/>
                <c:pt idx="0">
                  <c:v>Transports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Données!$C$125:$E$125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Données!$C$128:$E$128</c:f>
              <c:numCache>
                <c:formatCode>0.0%</c:formatCode>
                <c:ptCount val="3"/>
                <c:pt idx="0">
                  <c:v>-5.3706730718378726E-2</c:v>
                </c:pt>
                <c:pt idx="1">
                  <c:v>-8.6777590186557396E-2</c:v>
                </c:pt>
                <c:pt idx="2">
                  <c:v>-7.1259967561057347E-2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7F1-4B6A-9132-8653F2D77B61}"/>
            </c:ext>
          </c:extLst>
        </c:ser>
        <c:ser>
          <c:idx val="3"/>
          <c:order val="3"/>
          <c:tx>
            <c:strRef>
              <c:f>Données!$B$129</c:f>
              <c:strCache>
                <c:ptCount val="1"/>
                <c:pt idx="0">
                  <c:v>Services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Données!$C$125:$E$125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Données!$C$129:$E$129</c:f>
              <c:numCache>
                <c:formatCode>0.0%</c:formatCode>
                <c:ptCount val="3"/>
                <c:pt idx="0">
                  <c:v>-2.1053639852793293E-2</c:v>
                </c:pt>
                <c:pt idx="1">
                  <c:v>-3.2609870288168419E-2</c:v>
                </c:pt>
                <c:pt idx="2">
                  <c:v>-3.3487039322418366E-2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7F1-4B6A-9132-8653F2D77B61}"/>
            </c:ext>
          </c:extLst>
        </c:ser>
        <c:ser>
          <c:idx val="4"/>
          <c:order val="4"/>
          <c:tx>
            <c:strRef>
              <c:f>Données!$B$130</c:f>
              <c:strCache>
                <c:ptCount val="1"/>
                <c:pt idx="0">
                  <c:v>Pétrole et gaz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Données!$C$125:$E$125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Données!$C$130:$E$130</c:f>
              <c:numCache>
                <c:formatCode>0.0%</c:formatCode>
                <c:ptCount val="3"/>
                <c:pt idx="0">
                  <c:v>-6.3785140440416388E-2</c:v>
                </c:pt>
                <c:pt idx="1">
                  <c:v>-2.3161236752221037E-2</c:v>
                </c:pt>
                <c:pt idx="2">
                  <c:v>0.14097886075657318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7F1-4B6A-9132-8653F2D77B61}"/>
            </c:ext>
          </c:extLst>
        </c:ser>
        <c:ser>
          <c:idx val="5"/>
          <c:order val="5"/>
          <c:tx>
            <c:strRef>
              <c:f>Données!$B$131</c:f>
              <c:strCache>
                <c:ptCount val="1"/>
                <c:pt idx="0">
                  <c:v>Electricité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Données!$C$125:$E$125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Données!$C$131:$E$131</c:f>
              <c:numCache>
                <c:formatCode>0.0%</c:formatCode>
                <c:ptCount val="3"/>
                <c:pt idx="0">
                  <c:v>9.1167539852787804E-3</c:v>
                </c:pt>
                <c:pt idx="1">
                  <c:v>-1.2017804677578403E-2</c:v>
                </c:pt>
                <c:pt idx="2">
                  <c:v>-3.1576899511238543E-2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7F1-4B6A-9132-8653F2D77B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93301600"/>
        <c:axId val="793302256"/>
      </c:barChart>
      <c:catAx>
        <c:axId val="793301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93302256"/>
        <c:crosses val="autoZero"/>
        <c:auto val="1"/>
        <c:lblAlgn val="ctr"/>
        <c:lblOffset val="100"/>
        <c:noMultiLvlLbl val="0"/>
      </c:catAx>
      <c:valAx>
        <c:axId val="793302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9330160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chart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chart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chart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chart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tabSelected="1" zoomScale="70" workbookViewId="0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>
  <sheetPr/>
  <sheetViews>
    <sheetView zoomScale="70" workbookViewId="0"/>
  </sheetViews>
  <pageMargins left="0.7" right="0.7" top="0.75" bottom="0.75" header="0.3" footer="0.3"/>
  <drawing r:id="rId1"/>
</chartsheet>
</file>

<file path=xl/chartsheets/sheet3.xml><?xml version="1.0" encoding="utf-8"?>
<chartsheet xmlns="http://schemas.openxmlformats.org/spreadsheetml/2006/main" xmlns:r="http://schemas.openxmlformats.org/officeDocument/2006/relationships">
  <sheetPr/>
  <sheetViews>
    <sheetView zoomScale="70" workbookViewId="0"/>
  </sheetViews>
  <pageMargins left="0.7" right="0.7" top="0.75" bottom="0.75" header="0.3" footer="0.3"/>
  <drawing r:id="rId1"/>
</chartsheet>
</file>

<file path=xl/chartsheets/sheet4.xml><?xml version="1.0" encoding="utf-8"?>
<chartsheet xmlns="http://schemas.openxmlformats.org/spreadsheetml/2006/main" xmlns:r="http://schemas.openxmlformats.org/officeDocument/2006/relationships">
  <sheetPr/>
  <sheetViews>
    <sheetView zoomScale="57" workbookViewId="0" zoomToFit="1"/>
  </sheetViews>
  <pageMargins left="0.7" right="0.7" top="0.75" bottom="0.75" header="0.3" footer="0.3"/>
  <drawing r:id="rId1"/>
</chartsheet>
</file>

<file path=xl/chartsheets/sheet5.xml><?xml version="1.0" encoding="utf-8"?>
<chartsheet xmlns="http://schemas.openxmlformats.org/spreadsheetml/2006/main" xmlns:r="http://schemas.openxmlformats.org/officeDocument/2006/relationships">
  <sheetPr/>
  <sheetViews>
    <sheetView zoomScale="57" workbookViewId="0" zoomToFit="1"/>
  </sheetViews>
  <pageMargins left="0.7" right="0.7" top="0.75" bottom="0.75" header="0.3" footer="0.3"/>
  <drawing r:id="rId1"/>
</chartsheet>
</file>

<file path=xl/chartsheets/sheet6.xml><?xml version="1.0" encoding="utf-8"?>
<chartsheet xmlns="http://schemas.openxmlformats.org/spreadsheetml/2006/main" xmlns:r="http://schemas.openxmlformats.org/officeDocument/2006/relationships">
  <sheetPr/>
  <sheetViews>
    <sheetView zoomScale="57" workbookViewId="0" zoomToFit="1"/>
  </sheetViews>
  <pageMargins left="0.7" right="0.7" top="0.75" bottom="0.75" header="0.3" footer="0.3"/>
  <drawing r:id="rId1"/>
</chartsheet>
</file>

<file path=xl/chartsheets/sheet7.xml><?xml version="1.0" encoding="utf-8"?>
<chartsheet xmlns="http://schemas.openxmlformats.org/spreadsheetml/2006/main" xmlns:r="http://schemas.openxmlformats.org/officeDocument/2006/relationships">
  <sheetPr/>
  <sheetViews>
    <sheetView zoomScale="57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89143" cy="6059714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9289143" cy="6059714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1</cdr:x>
      <cdr:y>1</cdr:y>
    </cdr:to>
    <cdr:pic>
      <cdr:nvPicPr>
        <cdr:cNvPr id="2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0" y="0"/>
          <a:ext cx="38747700" cy="25292050"/>
        </a:xfrm>
        <a:prstGeom xmlns:a="http://schemas.openxmlformats.org/drawingml/2006/main" prst="rect">
          <a:avLst/>
        </a:prstGeom>
      </cdr:spPr>
    </cdr:pic>
  </cdr:relSizeAnchor>
</c:userShapes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9289143" cy="6059714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9291053" cy="6060351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.xml><?xml version="1.0" encoding="utf-8"?>
<xdr:wsDr xmlns:xdr="http://schemas.openxmlformats.org/drawingml/2006/spreadsheetDrawing" xmlns:a="http://schemas.openxmlformats.org/drawingml/2006/main">
  <xdr:absoluteAnchor>
    <xdr:pos x="0" y="0"/>
    <xdr:ext cx="9291053" cy="6060351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7.xml><?xml version="1.0" encoding="utf-8"?>
<xdr:wsDr xmlns:xdr="http://schemas.openxmlformats.org/drawingml/2006/spreadsheetDrawing" xmlns:a="http://schemas.openxmlformats.org/drawingml/2006/main">
  <xdr:absoluteAnchor>
    <xdr:pos x="0" y="0"/>
    <xdr:ext cx="9291053" cy="6060351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8.xml><?xml version="1.0" encoding="utf-8"?>
<xdr:wsDr xmlns:xdr="http://schemas.openxmlformats.org/drawingml/2006/spreadsheetDrawing" xmlns:a="http://schemas.openxmlformats.org/drawingml/2006/main">
  <xdr:absoluteAnchor>
    <xdr:pos x="0" y="0"/>
    <xdr:ext cx="9291053" cy="6060351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2021-12-05_14-25-43_Result_Franc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rbontax"/>
      <sheetName val="Production"/>
      <sheetName val="Capital"/>
      <sheetName val="PIB"/>
      <sheetName val="Results"/>
      <sheetName val="date"/>
      <sheetName val="Emissions"/>
      <sheetName val="Consumption"/>
      <sheetName val="Value_Added"/>
      <sheetName val="INV"/>
      <sheetName val="Labor"/>
      <sheetName val="Final_nrj"/>
      <sheetName val="Primary_nrj"/>
      <sheetName val="Energy_Mix"/>
      <sheetName val="Transports"/>
      <sheetName val="Hybrid"/>
      <sheetName val="Tab-macro"/>
      <sheetName val="Tab-baseline"/>
      <sheetName val="Macro"/>
      <sheetName val="Baseline"/>
      <sheetName val="produits-secteurs V2-V3"/>
      <sheetName val="Sect&amp;Com_V3"/>
    </sheetNames>
    <sheetDataSet>
      <sheetData sheetId="0"/>
      <sheetData sheetId="1">
        <row r="4">
          <cell r="B4">
            <v>81627.732350000006</v>
          </cell>
          <cell r="C4">
            <v>82852.398839999994</v>
          </cell>
          <cell r="D4">
            <v>84299.297990000006</v>
          </cell>
          <cell r="E4">
            <v>85931.095749999993</v>
          </cell>
          <cell r="F4">
            <v>87803.124309999999</v>
          </cell>
          <cell r="G4">
            <v>89896.662110000005</v>
          </cell>
          <cell r="H4">
            <v>92165.246299999999</v>
          </cell>
          <cell r="I4">
            <v>94044.744120000003</v>
          </cell>
          <cell r="J4">
            <v>95827.389259999996</v>
          </cell>
          <cell r="K4">
            <v>97921.898409999994</v>
          </cell>
          <cell r="L4">
            <v>99809.753200000006</v>
          </cell>
          <cell r="M4">
            <v>101441.1346</v>
          </cell>
          <cell r="N4">
            <v>102921.2081</v>
          </cell>
          <cell r="O4">
            <v>104305.8379</v>
          </cell>
          <cell r="P4">
            <v>105648.9295</v>
          </cell>
          <cell r="Q4">
            <v>106972.8155</v>
          </cell>
          <cell r="R4">
            <v>108272.77159999999</v>
          </cell>
          <cell r="S4">
            <v>109568.65919999999</v>
          </cell>
          <cell r="T4">
            <v>110909.7975</v>
          </cell>
          <cell r="U4">
            <v>112349.5085</v>
          </cell>
          <cell r="V4">
            <v>113911.1265</v>
          </cell>
          <cell r="W4">
            <v>115684.5529</v>
          </cell>
          <cell r="X4">
            <v>117706.47530000001</v>
          </cell>
          <cell r="Y4">
            <v>119992.5601</v>
          </cell>
          <cell r="Z4">
            <v>122541.3587</v>
          </cell>
          <cell r="AA4">
            <v>125300.8946</v>
          </cell>
          <cell r="AB4">
            <v>128303.98699999999</v>
          </cell>
          <cell r="AC4">
            <v>131595.28039999999</v>
          </cell>
          <cell r="AD4">
            <v>135180.56270000001</v>
          </cell>
          <cell r="AE4">
            <v>139031.49059999999</v>
          </cell>
          <cell r="AF4">
            <v>143101.3909</v>
          </cell>
          <cell r="AG4">
            <v>147360.9425</v>
          </cell>
          <cell r="AH4">
            <v>151774.55660000001</v>
          </cell>
          <cell r="AI4">
            <v>156302.4988</v>
          </cell>
          <cell r="AJ4">
            <v>160903.538</v>
          </cell>
          <cell r="AK4">
            <v>165535.2561</v>
          </cell>
        </row>
        <row r="5">
          <cell r="B5">
            <v>81627.732359999995</v>
          </cell>
          <cell r="C5">
            <v>82852.398849999998</v>
          </cell>
          <cell r="D5">
            <v>84299.298020000002</v>
          </cell>
          <cell r="E5">
            <v>85931.095790000007</v>
          </cell>
          <cell r="F5">
            <v>87803.124360000002</v>
          </cell>
          <cell r="G5">
            <v>89896.662160000007</v>
          </cell>
          <cell r="H5">
            <v>92165.246350000001</v>
          </cell>
          <cell r="I5">
            <v>94576.163759999996</v>
          </cell>
          <cell r="J5">
            <v>97101.587700000004</v>
          </cell>
          <cell r="K5">
            <v>99720.106419999996</v>
          </cell>
          <cell r="L5">
            <v>102346.0888</v>
          </cell>
          <cell r="M5">
            <v>104653.0466</v>
          </cell>
          <cell r="N5">
            <v>106695.9906</v>
          </cell>
          <cell r="O5">
            <v>108517.4932</v>
          </cell>
          <cell r="P5">
            <v>110177.9327</v>
          </cell>
          <cell r="Q5">
            <v>111741.2922</v>
          </cell>
          <cell r="R5">
            <v>113273.9902</v>
          </cell>
          <cell r="S5">
            <v>114842.8039</v>
          </cell>
          <cell r="T5">
            <v>116505.7985</v>
          </cell>
          <cell r="U5">
            <v>118304.14810000001</v>
          </cell>
          <cell r="V5">
            <v>120256.7234</v>
          </cell>
          <cell r="W5">
            <v>122416.7547</v>
          </cell>
          <cell r="X5">
            <v>124814.84729999999</v>
          </cell>
          <cell r="Y5">
            <v>127470.3334</v>
          </cell>
          <cell r="Z5">
            <v>130386.0563</v>
          </cell>
          <cell r="AA5">
            <v>133513.2187</v>
          </cell>
          <cell r="AB5">
            <v>136884.73970000001</v>
          </cell>
          <cell r="AC5">
            <v>140518.4797</v>
          </cell>
          <cell r="AD5">
            <v>144422.552</v>
          </cell>
          <cell r="AE5">
            <v>148570.04939999999</v>
          </cell>
          <cell r="AF5">
            <v>152914.53510000001</v>
          </cell>
          <cell r="AG5">
            <v>157411.5888</v>
          </cell>
          <cell r="AH5">
            <v>162022.49</v>
          </cell>
          <cell r="AI5">
            <v>166709.13039999999</v>
          </cell>
          <cell r="AJ5">
            <v>171432.7059</v>
          </cell>
          <cell r="AK5">
            <v>176153.46679999999</v>
          </cell>
        </row>
        <row r="6">
          <cell r="B6">
            <v>6532.8234830000001</v>
          </cell>
          <cell r="C6">
            <v>6482.8560239999997</v>
          </cell>
          <cell r="D6">
            <v>6437.0137409999998</v>
          </cell>
          <cell r="E6">
            <v>6390.3996610000004</v>
          </cell>
          <cell r="F6">
            <v>6376.0114279999998</v>
          </cell>
          <cell r="G6">
            <v>6380.368117</v>
          </cell>
          <cell r="H6">
            <v>6427.8687479999999</v>
          </cell>
          <cell r="I6">
            <v>6414.5105700000004</v>
          </cell>
          <cell r="J6">
            <v>6383.2133039999999</v>
          </cell>
          <cell r="K6">
            <v>6337.7537769999999</v>
          </cell>
          <cell r="L6">
            <v>6282.4406989999998</v>
          </cell>
          <cell r="M6">
            <v>6281.768</v>
          </cell>
          <cell r="N6">
            <v>6305.1920790000004</v>
          </cell>
          <cell r="O6">
            <v>6341.7068440000003</v>
          </cell>
          <cell r="P6">
            <v>6386.8979579999996</v>
          </cell>
          <cell r="Q6">
            <v>6439.6830639999998</v>
          </cell>
          <cell r="R6">
            <v>6545.5996619999996</v>
          </cell>
          <cell r="S6">
            <v>6664.2289479999999</v>
          </cell>
          <cell r="T6">
            <v>6795.1383299999998</v>
          </cell>
          <cell r="U6">
            <v>6939.0962600000003</v>
          </cell>
          <cell r="V6">
            <v>7095.7675090000002</v>
          </cell>
          <cell r="W6">
            <v>7273.4973490000002</v>
          </cell>
          <cell r="X6">
            <v>7472.2136680000003</v>
          </cell>
          <cell r="Y6">
            <v>7693.4879549999996</v>
          </cell>
          <cell r="Z6">
            <v>7939.4771270000001</v>
          </cell>
          <cell r="AA6">
            <v>8208.3347119999999</v>
          </cell>
          <cell r="AB6">
            <v>8333.100375</v>
          </cell>
          <cell r="AC6">
            <v>8428.4525250000006</v>
          </cell>
          <cell r="AD6">
            <v>8530.2608610000007</v>
          </cell>
          <cell r="AE6">
            <v>8645.6389720000006</v>
          </cell>
          <cell r="AF6">
            <v>8772.857876</v>
          </cell>
          <cell r="AG6">
            <v>8909.979711</v>
          </cell>
          <cell r="AH6">
            <v>9054.0631169999997</v>
          </cell>
          <cell r="AI6">
            <v>9202.8192049999998</v>
          </cell>
          <cell r="AJ6">
            <v>9354.2313959999992</v>
          </cell>
          <cell r="AK6">
            <v>9506.4582410000003</v>
          </cell>
        </row>
        <row r="7">
          <cell r="B7">
            <v>6532.8234830000001</v>
          </cell>
          <cell r="C7">
            <v>6482.8560239999997</v>
          </cell>
          <cell r="D7">
            <v>6437.0137409999998</v>
          </cell>
          <cell r="E7">
            <v>6390.3996610000004</v>
          </cell>
          <cell r="F7">
            <v>6376.0114290000001</v>
          </cell>
          <cell r="G7">
            <v>6380.3681180000003</v>
          </cell>
          <cell r="H7">
            <v>6427.8687490000002</v>
          </cell>
          <cell r="I7">
            <v>6491.3918890000004</v>
          </cell>
          <cell r="J7">
            <v>6565.5092729999997</v>
          </cell>
          <cell r="K7">
            <v>6648.9919280000004</v>
          </cell>
          <cell r="L7">
            <v>6741.325887</v>
          </cell>
          <cell r="M7">
            <v>6823.843879</v>
          </cell>
          <cell r="N7">
            <v>6902.8750540000001</v>
          </cell>
          <cell r="O7">
            <v>6983.158077</v>
          </cell>
          <cell r="P7">
            <v>7067.8532910000004</v>
          </cell>
          <cell r="Q7">
            <v>7159.533085</v>
          </cell>
          <cell r="R7">
            <v>7280.9840469999999</v>
          </cell>
          <cell r="S7">
            <v>7417.3817749999998</v>
          </cell>
          <cell r="T7">
            <v>7567.7801680000002</v>
          </cell>
          <cell r="U7">
            <v>7732.9860900000003</v>
          </cell>
          <cell r="V7">
            <v>7912.3331879999996</v>
          </cell>
          <cell r="W7">
            <v>8110.2926450000004</v>
          </cell>
          <cell r="X7">
            <v>8328.6272090000002</v>
          </cell>
          <cell r="Y7">
            <v>8569.4559140000001</v>
          </cell>
          <cell r="Z7">
            <v>8835.0313889999998</v>
          </cell>
          <cell r="AA7">
            <v>9122.8705559999999</v>
          </cell>
          <cell r="AB7">
            <v>9278.3160970000008</v>
          </cell>
          <cell r="AC7">
            <v>9402.2445779999998</v>
          </cell>
          <cell r="AD7">
            <v>9529.3588849999996</v>
          </cell>
          <cell r="AE7">
            <v>9667.1997059999994</v>
          </cell>
          <cell r="AF7">
            <v>9814.6040240000002</v>
          </cell>
          <cell r="AG7">
            <v>9968.7053629999991</v>
          </cell>
          <cell r="AH7">
            <v>10126.88992</v>
          </cell>
          <cell r="AI7">
            <v>10286.97543</v>
          </cell>
          <cell r="AJ7">
            <v>10447.14359</v>
          </cell>
          <cell r="AK7">
            <v>10605.805189999999</v>
          </cell>
        </row>
        <row r="8">
          <cell r="B8">
            <v>157423.88829999999</v>
          </cell>
          <cell r="C8">
            <v>159880.80669999999</v>
          </cell>
          <cell r="D8">
            <v>162733.34789999999</v>
          </cell>
          <cell r="E8">
            <v>165936.1441</v>
          </cell>
          <cell r="F8">
            <v>169597.38829999999</v>
          </cell>
          <cell r="G8">
            <v>173666.0932</v>
          </cell>
          <cell r="H8">
            <v>178043.78479999999</v>
          </cell>
          <cell r="I8">
            <v>181746.8805</v>
          </cell>
          <cell r="J8">
            <v>185260.7034</v>
          </cell>
          <cell r="K8">
            <v>189227.81589999999</v>
          </cell>
          <cell r="L8">
            <v>192921.82810000001</v>
          </cell>
          <cell r="M8">
            <v>196349.0134</v>
          </cell>
          <cell r="N8">
            <v>199608.2721</v>
          </cell>
          <cell r="O8">
            <v>202713.38269999999</v>
          </cell>
          <cell r="P8">
            <v>205697.74309999999</v>
          </cell>
          <cell r="Q8">
            <v>208576.55600000001</v>
          </cell>
          <cell r="R8">
            <v>211323.39490000001</v>
          </cell>
          <cell r="S8">
            <v>213992.4069</v>
          </cell>
          <cell r="T8">
            <v>216685.58480000001</v>
          </cell>
          <cell r="U8">
            <v>219512.04029999999</v>
          </cell>
          <cell r="V8">
            <v>222508.9742</v>
          </cell>
          <cell r="W8">
            <v>225857.45250000001</v>
          </cell>
          <cell r="X8">
            <v>229615.0895</v>
          </cell>
          <cell r="Y8">
            <v>233812.2585</v>
          </cell>
          <cell r="Z8">
            <v>238452.77900000001</v>
          </cell>
          <cell r="AA8">
            <v>243422.85329999999</v>
          </cell>
          <cell r="AB8">
            <v>248795.93950000001</v>
          </cell>
          <cell r="AC8">
            <v>254644.40359999999</v>
          </cell>
          <cell r="AD8">
            <v>260981.13380000001</v>
          </cell>
          <cell r="AE8">
            <v>267773.27559999999</v>
          </cell>
          <cell r="AF8">
            <v>274955.64490000001</v>
          </cell>
          <cell r="AG8">
            <v>282485.97129999998</v>
          </cell>
          <cell r="AH8">
            <v>290300.06679999997</v>
          </cell>
          <cell r="AI8">
            <v>298328.77899999998</v>
          </cell>
          <cell r="AJ8">
            <v>306500.84869999997</v>
          </cell>
          <cell r="AK8">
            <v>314742.30949999997</v>
          </cell>
        </row>
        <row r="9">
          <cell r="B9">
            <v>157423.88829999999</v>
          </cell>
          <cell r="C9">
            <v>159880.80669999999</v>
          </cell>
          <cell r="D9">
            <v>162733.34789999999</v>
          </cell>
          <cell r="E9">
            <v>165936.14420000001</v>
          </cell>
          <cell r="F9">
            <v>169597.3884</v>
          </cell>
          <cell r="G9">
            <v>173666.09330000001</v>
          </cell>
          <cell r="H9">
            <v>178043.7849</v>
          </cell>
          <cell r="I9">
            <v>182671.1059</v>
          </cell>
          <cell r="J9">
            <v>187496.97529999999</v>
          </cell>
          <cell r="K9">
            <v>192482.42569999999</v>
          </cell>
          <cell r="L9">
            <v>197505.0226</v>
          </cell>
          <cell r="M9">
            <v>202013.503</v>
          </cell>
          <cell r="N9">
            <v>206067.90650000001</v>
          </cell>
          <cell r="O9">
            <v>209711.38269999999</v>
          </cell>
          <cell r="P9">
            <v>213027.47339999999</v>
          </cell>
          <cell r="Q9">
            <v>216117.88130000001</v>
          </cell>
          <cell r="R9">
            <v>219098.48310000001</v>
          </cell>
          <cell r="S9">
            <v>222092.5465</v>
          </cell>
          <cell r="T9">
            <v>225210.70250000001</v>
          </cell>
          <cell r="U9">
            <v>228536.1379</v>
          </cell>
          <cell r="V9">
            <v>232102.0141</v>
          </cell>
          <cell r="W9">
            <v>236025.54680000001</v>
          </cell>
          <cell r="X9">
            <v>240362.3873</v>
          </cell>
          <cell r="Y9">
            <v>245152.8205</v>
          </cell>
          <cell r="Z9">
            <v>250409.48860000001</v>
          </cell>
          <cell r="AA9">
            <v>256026.0405</v>
          </cell>
          <cell r="AB9">
            <v>262087.98879999999</v>
          </cell>
          <cell r="AC9">
            <v>268619.97570000001</v>
          </cell>
          <cell r="AD9">
            <v>275641.12939999998</v>
          </cell>
          <cell r="AE9">
            <v>283118.00069999998</v>
          </cell>
          <cell r="AF9">
            <v>290981.73629999999</v>
          </cell>
          <cell r="AG9">
            <v>299159.80070000002</v>
          </cell>
          <cell r="AH9">
            <v>307582.97810000001</v>
          </cell>
          <cell r="AI9">
            <v>316179.40000000002</v>
          </cell>
          <cell r="AJ9">
            <v>324873.848</v>
          </cell>
          <cell r="AK9">
            <v>333588.17330000002</v>
          </cell>
        </row>
        <row r="10">
          <cell r="B10">
            <v>125537.3599</v>
          </cell>
          <cell r="C10">
            <v>129931.73850000001</v>
          </cell>
          <cell r="D10">
            <v>134657.1881</v>
          </cell>
          <cell r="E10">
            <v>139283.52979999999</v>
          </cell>
          <cell r="F10">
            <v>143931.04680000001</v>
          </cell>
          <cell r="G10">
            <v>148563.76019999999</v>
          </cell>
          <cell r="H10">
            <v>153178.3922</v>
          </cell>
          <cell r="I10">
            <v>156531.14720000001</v>
          </cell>
          <cell r="J10">
            <v>159822.87040000001</v>
          </cell>
          <cell r="K10">
            <v>164744.54500000001</v>
          </cell>
          <cell r="L10">
            <v>168990.46419999999</v>
          </cell>
          <cell r="M10">
            <v>172304.61069999999</v>
          </cell>
          <cell r="N10">
            <v>174908.14619999999</v>
          </cell>
          <cell r="O10">
            <v>177094.424</v>
          </cell>
          <cell r="P10">
            <v>179243.38759999999</v>
          </cell>
          <cell r="Q10">
            <v>181543.22440000001</v>
          </cell>
          <cell r="R10">
            <v>183793.99729999999</v>
          </cell>
          <cell r="S10">
            <v>186327.1525</v>
          </cell>
          <cell r="T10">
            <v>189261.38399999999</v>
          </cell>
          <cell r="U10">
            <v>192670.10459999999</v>
          </cell>
          <cell r="V10">
            <v>196548.4914</v>
          </cell>
          <cell r="W10">
            <v>201026.45550000001</v>
          </cell>
          <cell r="X10">
            <v>206102.06529999999</v>
          </cell>
          <cell r="Y10">
            <v>211750.2341</v>
          </cell>
          <cell r="Z10">
            <v>217914.66099999999</v>
          </cell>
          <cell r="AA10">
            <v>224525.22889999999</v>
          </cell>
          <cell r="AB10">
            <v>231849.97210000001</v>
          </cell>
          <cell r="AC10">
            <v>239775.2597</v>
          </cell>
          <cell r="AD10">
            <v>248260.17199999999</v>
          </cell>
          <cell r="AE10">
            <v>257152.12909999999</v>
          </cell>
          <cell r="AF10">
            <v>266274.32130000001</v>
          </cell>
          <cell r="AG10">
            <v>275547.19380000001</v>
          </cell>
          <cell r="AH10">
            <v>284901.69530000002</v>
          </cell>
          <cell r="AI10">
            <v>294276.0784</v>
          </cell>
          <cell r="AJ10">
            <v>303618.69780000002</v>
          </cell>
          <cell r="AK10">
            <v>312882.55540000001</v>
          </cell>
        </row>
        <row r="11">
          <cell r="B11">
            <v>125537.3599</v>
          </cell>
          <cell r="C11">
            <v>129931.73850000001</v>
          </cell>
          <cell r="D11">
            <v>134657.1881</v>
          </cell>
          <cell r="E11">
            <v>139283.52979999999</v>
          </cell>
          <cell r="F11">
            <v>143931.04689999999</v>
          </cell>
          <cell r="G11">
            <v>148563.76029999999</v>
          </cell>
          <cell r="H11">
            <v>153178.39230000001</v>
          </cell>
          <cell r="I11">
            <v>157810.655</v>
          </cell>
          <cell r="J11">
            <v>162497.37659999999</v>
          </cell>
          <cell r="K11">
            <v>167270.50589999999</v>
          </cell>
          <cell r="L11">
            <v>171848.8799</v>
          </cell>
          <cell r="M11">
            <v>175318.63750000001</v>
          </cell>
          <cell r="N11">
            <v>178165.5527</v>
          </cell>
          <cell r="O11">
            <v>180677.557</v>
          </cell>
          <cell r="P11">
            <v>183121.66529999999</v>
          </cell>
          <cell r="Q11">
            <v>185695.9486</v>
          </cell>
          <cell r="R11">
            <v>188543.2592</v>
          </cell>
          <cell r="S11">
            <v>191775.47200000001</v>
          </cell>
          <cell r="T11">
            <v>195460.76139999999</v>
          </cell>
          <cell r="U11">
            <v>199612.05970000001</v>
          </cell>
          <cell r="V11">
            <v>204233.269</v>
          </cell>
          <cell r="W11">
            <v>209346.72760000001</v>
          </cell>
          <cell r="X11">
            <v>214982.6146</v>
          </cell>
          <cell r="Y11">
            <v>221139.7928</v>
          </cell>
          <cell r="Z11">
            <v>227772.55499999999</v>
          </cell>
          <cell r="AA11">
            <v>234817.44149999999</v>
          </cell>
          <cell r="AB11">
            <v>242298.93479999999</v>
          </cell>
          <cell r="AC11">
            <v>250264.6606</v>
          </cell>
          <cell r="AD11">
            <v>258712.53529999999</v>
          </cell>
          <cell r="AE11">
            <v>267518.1127</v>
          </cell>
          <cell r="AF11">
            <v>276526.30200000003</v>
          </cell>
          <cell r="AG11">
            <v>285633.1324</v>
          </cell>
          <cell r="AH11">
            <v>294784.18030000001</v>
          </cell>
          <cell r="AI11">
            <v>303942.6312</v>
          </cell>
          <cell r="AJ11">
            <v>313077.60649999999</v>
          </cell>
          <cell r="AK11">
            <v>322158.41889999999</v>
          </cell>
        </row>
        <row r="12">
          <cell r="B12">
            <v>22070.26843</v>
          </cell>
          <cell r="C12">
            <v>22442.28009</v>
          </cell>
          <cell r="D12">
            <v>22856.189030000001</v>
          </cell>
          <cell r="E12">
            <v>23294.52031</v>
          </cell>
          <cell r="F12">
            <v>23779.39098</v>
          </cell>
          <cell r="G12">
            <v>24315.849610000001</v>
          </cell>
          <cell r="H12">
            <v>24908.322260000001</v>
          </cell>
          <cell r="I12">
            <v>25396.424449999999</v>
          </cell>
          <cell r="J12">
            <v>25848.207429999999</v>
          </cell>
          <cell r="K12">
            <v>26342.616569999998</v>
          </cell>
          <cell r="L12">
            <v>26750.065320000002</v>
          </cell>
          <cell r="M12">
            <v>27092.634880000001</v>
          </cell>
          <cell r="N12">
            <v>27416.678650000002</v>
          </cell>
          <cell r="O12">
            <v>27749.26527</v>
          </cell>
          <cell r="P12">
            <v>28108.62242</v>
          </cell>
          <cell r="Q12">
            <v>28500.07617</v>
          </cell>
          <cell r="R12">
            <v>28922.71285</v>
          </cell>
          <cell r="S12">
            <v>29369.304349999999</v>
          </cell>
          <cell r="T12">
            <v>29846.267639999998</v>
          </cell>
          <cell r="U12">
            <v>30362.369429999999</v>
          </cell>
          <cell r="V12">
            <v>30921.570530000001</v>
          </cell>
          <cell r="W12">
            <v>31546.494040000001</v>
          </cell>
          <cell r="X12">
            <v>32248.846000000001</v>
          </cell>
          <cell r="Y12">
            <v>33032.930619999999</v>
          </cell>
          <cell r="Z12">
            <v>33898.353810000001</v>
          </cell>
          <cell r="AA12">
            <v>34837.408020000003</v>
          </cell>
          <cell r="AB12">
            <v>35809.39731</v>
          </cell>
          <cell r="AC12">
            <v>36831.066590000002</v>
          </cell>
          <cell r="AD12">
            <v>37909.424489999998</v>
          </cell>
          <cell r="AE12">
            <v>39040.28901</v>
          </cell>
          <cell r="AF12">
            <v>40213.183360000003</v>
          </cell>
          <cell r="AG12">
            <v>41425.089319999999</v>
          </cell>
          <cell r="AH12">
            <v>42669.791879999997</v>
          </cell>
          <cell r="AI12">
            <v>43938.519970000001</v>
          </cell>
          <cell r="AJ12">
            <v>45221.97567</v>
          </cell>
          <cell r="AK12">
            <v>46510.915919999999</v>
          </cell>
        </row>
        <row r="13">
          <cell r="B13">
            <v>22070.26843</v>
          </cell>
          <cell r="C13">
            <v>22442.2801</v>
          </cell>
          <cell r="D13">
            <v>22856.189040000001</v>
          </cell>
          <cell r="E13">
            <v>23294.520329999999</v>
          </cell>
          <cell r="F13">
            <v>23779.39099</v>
          </cell>
          <cell r="G13">
            <v>24315.849630000001</v>
          </cell>
          <cell r="H13">
            <v>24908.32228</v>
          </cell>
          <cell r="I13">
            <v>25549.357309999999</v>
          </cell>
          <cell r="J13">
            <v>26232.336879999999</v>
          </cell>
          <cell r="K13">
            <v>26952.921139999999</v>
          </cell>
          <cell r="L13">
            <v>27689.398120000002</v>
          </cell>
          <cell r="M13">
            <v>28364.06033</v>
          </cell>
          <cell r="N13">
            <v>28992.024109999998</v>
          </cell>
          <cell r="O13">
            <v>29587.5933</v>
          </cell>
          <cell r="P13">
            <v>30168.50187</v>
          </cell>
          <cell r="Q13">
            <v>30751.532650000001</v>
          </cell>
          <cell r="R13">
            <v>31352.711780000001</v>
          </cell>
          <cell r="S13">
            <v>31986.607950000001</v>
          </cell>
          <cell r="T13">
            <v>32665.527559999999</v>
          </cell>
          <cell r="U13">
            <v>33397.951840000002</v>
          </cell>
          <cell r="V13">
            <v>34189.027309999998</v>
          </cell>
          <cell r="W13">
            <v>35047.372490000002</v>
          </cell>
          <cell r="X13">
            <v>35980.969590000001</v>
          </cell>
          <cell r="Y13">
            <v>36995.32013</v>
          </cell>
          <cell r="Z13">
            <v>38092.369180000002</v>
          </cell>
          <cell r="AA13">
            <v>39266.699990000001</v>
          </cell>
          <cell r="AB13">
            <v>40473.112390000002</v>
          </cell>
          <cell r="AC13">
            <v>41719.407379999997</v>
          </cell>
          <cell r="AD13">
            <v>43016.98732</v>
          </cell>
          <cell r="AE13">
            <v>44365.298970000003</v>
          </cell>
          <cell r="AF13">
            <v>45756.193149999999</v>
          </cell>
          <cell r="AG13">
            <v>47180.650679999999</v>
          </cell>
          <cell r="AH13">
            <v>48630.74826</v>
          </cell>
          <cell r="AI13">
            <v>50098.836600000002</v>
          </cell>
          <cell r="AJ13">
            <v>51577.234680000001</v>
          </cell>
          <cell r="AK13">
            <v>53058.044320000001</v>
          </cell>
        </row>
        <row r="14">
          <cell r="B14">
            <v>16289.20824</v>
          </cell>
          <cell r="C14">
            <v>16630.49653</v>
          </cell>
          <cell r="D14">
            <v>17001.167109999999</v>
          </cell>
          <cell r="E14">
            <v>17391.360789999999</v>
          </cell>
          <cell r="F14">
            <v>17811.217339999999</v>
          </cell>
          <cell r="G14">
            <v>18260.534230000001</v>
          </cell>
          <cell r="H14">
            <v>18735.209289999999</v>
          </cell>
          <cell r="I14">
            <v>19124.44685</v>
          </cell>
          <cell r="J14">
            <v>19508.48905</v>
          </cell>
          <cell r="K14">
            <v>20008.954989999998</v>
          </cell>
          <cell r="L14">
            <v>20454.8272</v>
          </cell>
          <cell r="M14">
            <v>20795.565340000001</v>
          </cell>
          <cell r="N14">
            <v>21065.665290000001</v>
          </cell>
          <cell r="O14">
            <v>21295.451659999999</v>
          </cell>
          <cell r="P14">
            <v>21514.519380000002</v>
          </cell>
          <cell r="Q14">
            <v>21737.193960000001</v>
          </cell>
          <cell r="R14">
            <v>21958.60483</v>
          </cell>
          <cell r="S14">
            <v>22196.882020000001</v>
          </cell>
          <cell r="T14">
            <v>22463.42196</v>
          </cell>
          <cell r="U14">
            <v>22767.862099999998</v>
          </cell>
          <cell r="V14">
            <v>23113.22766</v>
          </cell>
          <cell r="W14">
            <v>23513.456870000002</v>
          </cell>
          <cell r="X14">
            <v>23975.966960000002</v>
          </cell>
          <cell r="Y14">
            <v>24502.34535</v>
          </cell>
          <cell r="Z14">
            <v>25089.832249999999</v>
          </cell>
          <cell r="AA14">
            <v>25729.862450000001</v>
          </cell>
          <cell r="AB14">
            <v>26428.549910000002</v>
          </cell>
          <cell r="AC14">
            <v>27191.94945</v>
          </cell>
          <cell r="AD14">
            <v>28018.356459999999</v>
          </cell>
          <cell r="AE14">
            <v>28895.25892</v>
          </cell>
          <cell r="AF14">
            <v>29806.409830000001</v>
          </cell>
          <cell r="AG14">
            <v>30742.32907</v>
          </cell>
          <cell r="AH14">
            <v>31695.160220000002</v>
          </cell>
          <cell r="AI14">
            <v>32656.107169999999</v>
          </cell>
          <cell r="AJ14">
            <v>33616.537929999999</v>
          </cell>
          <cell r="AK14">
            <v>34568.233690000001</v>
          </cell>
        </row>
        <row r="15">
          <cell r="B15">
            <v>16289.20824</v>
          </cell>
          <cell r="C15">
            <v>16630.49654</v>
          </cell>
          <cell r="D15">
            <v>17001.167109999999</v>
          </cell>
          <cell r="E15">
            <v>17391.360799999999</v>
          </cell>
          <cell r="F15">
            <v>17811.217349999999</v>
          </cell>
          <cell r="G15">
            <v>18260.534250000001</v>
          </cell>
          <cell r="H15">
            <v>18735.209299999999</v>
          </cell>
          <cell r="I15">
            <v>19230.977739999998</v>
          </cell>
          <cell r="J15">
            <v>19744.20074</v>
          </cell>
          <cell r="K15">
            <v>20272.3066</v>
          </cell>
          <cell r="L15">
            <v>20790.569080000001</v>
          </cell>
          <cell r="M15">
            <v>21218.108800000002</v>
          </cell>
          <cell r="N15">
            <v>21582.463950000001</v>
          </cell>
          <cell r="O15">
            <v>21902.351170000002</v>
          </cell>
          <cell r="P15">
            <v>22198.15292</v>
          </cell>
          <cell r="Q15">
            <v>22487.772130000001</v>
          </cell>
          <cell r="R15">
            <v>22786.584879999999</v>
          </cell>
          <cell r="S15">
            <v>23108.555400000001</v>
          </cell>
          <cell r="T15">
            <v>23464.782019999999</v>
          </cell>
          <cell r="U15">
            <v>23861.911169999999</v>
          </cell>
          <cell r="V15">
            <v>24303.871190000002</v>
          </cell>
          <cell r="W15">
            <v>24797.731100000001</v>
          </cell>
          <cell r="X15">
            <v>25349.308919999999</v>
          </cell>
          <cell r="Y15">
            <v>25961.26946</v>
          </cell>
          <cell r="Z15">
            <v>26632.244750000002</v>
          </cell>
          <cell r="AA15">
            <v>27354.937300000001</v>
          </cell>
          <cell r="AB15">
            <v>28128.58108</v>
          </cell>
          <cell r="AC15">
            <v>28957.71415</v>
          </cell>
          <cell r="AD15">
            <v>29843.214759999999</v>
          </cell>
          <cell r="AE15">
            <v>30775.150610000001</v>
          </cell>
          <cell r="AF15">
            <v>31739.35757</v>
          </cell>
          <cell r="AG15">
            <v>32724.093700000001</v>
          </cell>
          <cell r="AH15">
            <v>33720.677839999997</v>
          </cell>
          <cell r="AI15">
            <v>34721.578930000003</v>
          </cell>
          <cell r="AJ15">
            <v>35719.777520000003</v>
          </cell>
          <cell r="AK15">
            <v>36708.50877</v>
          </cell>
        </row>
        <row r="16">
          <cell r="B16">
            <v>86903.78701</v>
          </cell>
          <cell r="C16">
            <v>89133.742670000007</v>
          </cell>
          <cell r="D16">
            <v>91471.409039999999</v>
          </cell>
          <cell r="E16">
            <v>93878.748519999994</v>
          </cell>
          <cell r="F16">
            <v>96410.216790000006</v>
          </cell>
          <cell r="G16">
            <v>99077.971220000007</v>
          </cell>
          <cell r="H16">
            <v>101873.6023</v>
          </cell>
          <cell r="I16">
            <v>103926.4008</v>
          </cell>
          <cell r="J16">
            <v>106015.18210000001</v>
          </cell>
          <cell r="K16">
            <v>108924.2681</v>
          </cell>
          <cell r="L16">
            <v>111461.1477</v>
          </cell>
          <cell r="M16">
            <v>113227.53690000001</v>
          </cell>
          <cell r="N16">
            <v>114485.8642</v>
          </cell>
          <cell r="O16">
            <v>115476.7509</v>
          </cell>
          <cell r="P16">
            <v>116426.4433</v>
          </cell>
          <cell r="Q16">
            <v>117441.1035</v>
          </cell>
          <cell r="R16">
            <v>118595.7053</v>
          </cell>
          <cell r="S16">
            <v>119902.2855</v>
          </cell>
          <cell r="T16">
            <v>121412.6675</v>
          </cell>
          <cell r="U16">
            <v>123158.1951</v>
          </cell>
          <cell r="V16">
            <v>125162.3279</v>
          </cell>
          <cell r="W16">
            <v>127490.9618</v>
          </cell>
          <cell r="X16">
            <v>130190.40760000001</v>
          </cell>
          <cell r="Y16">
            <v>133271.40179999999</v>
          </cell>
          <cell r="Z16">
            <v>136716.3683</v>
          </cell>
          <cell r="AA16">
            <v>140492.46479999999</v>
          </cell>
          <cell r="AB16">
            <v>144613.82440000001</v>
          </cell>
          <cell r="AC16">
            <v>149147.9461</v>
          </cell>
          <cell r="AD16">
            <v>154081.0417</v>
          </cell>
          <cell r="AE16">
            <v>159326.39199999999</v>
          </cell>
          <cell r="AF16">
            <v>164776.8167</v>
          </cell>
          <cell r="AG16">
            <v>170372.73540000001</v>
          </cell>
          <cell r="AH16">
            <v>176070.1611</v>
          </cell>
          <cell r="AI16">
            <v>181817.45379999999</v>
          </cell>
          <cell r="AJ16">
            <v>187562.52179999999</v>
          </cell>
          <cell r="AK16">
            <v>193255.2286</v>
          </cell>
        </row>
        <row r="17">
          <cell r="B17">
            <v>86903.78701</v>
          </cell>
          <cell r="C17">
            <v>89133.742679999996</v>
          </cell>
          <cell r="D17">
            <v>91471.409069999994</v>
          </cell>
          <cell r="E17">
            <v>93878.748560000007</v>
          </cell>
          <cell r="F17">
            <v>96410.216839999994</v>
          </cell>
          <cell r="G17">
            <v>99077.971290000001</v>
          </cell>
          <cell r="H17">
            <v>101873.6024</v>
          </cell>
          <cell r="I17">
            <v>104784.9333</v>
          </cell>
          <cell r="J17">
            <v>107799.2404</v>
          </cell>
          <cell r="K17">
            <v>110906.38250000001</v>
          </cell>
          <cell r="L17">
            <v>113923.6958</v>
          </cell>
          <cell r="M17">
            <v>116304.9696</v>
          </cell>
          <cell r="N17">
            <v>118282.658</v>
          </cell>
          <cell r="O17">
            <v>119994.9664</v>
          </cell>
          <cell r="P17">
            <v>121582.8259</v>
          </cell>
          <cell r="Q17">
            <v>123162.44680000001</v>
          </cell>
          <cell r="R17">
            <v>124827.91650000001</v>
          </cell>
          <cell r="S17">
            <v>126661.69590000001</v>
          </cell>
          <cell r="T17">
            <v>128725.95389999999</v>
          </cell>
          <cell r="U17">
            <v>131053.1655</v>
          </cell>
          <cell r="V17">
            <v>133668.58410000001</v>
          </cell>
          <cell r="W17">
            <v>136603.33960000001</v>
          </cell>
          <cell r="X17">
            <v>139892.93719999999</v>
          </cell>
          <cell r="Y17">
            <v>143551.2022</v>
          </cell>
          <cell r="Z17">
            <v>147565.17939999999</v>
          </cell>
          <cell r="AA17">
            <v>151906.88159999999</v>
          </cell>
          <cell r="AB17">
            <v>156577.9509</v>
          </cell>
          <cell r="AC17">
            <v>161605.88800000001</v>
          </cell>
          <cell r="AD17">
            <v>166988.87450000001</v>
          </cell>
          <cell r="AE17">
            <v>172651.8806</v>
          </cell>
          <cell r="AF17">
            <v>178496.85389999999</v>
          </cell>
          <cell r="AG17">
            <v>184448.63200000001</v>
          </cell>
          <cell r="AH17">
            <v>190456.00599999999</v>
          </cell>
          <cell r="AI17">
            <v>196476.10310000001</v>
          </cell>
          <cell r="AJ17">
            <v>202469.44159999999</v>
          </cell>
          <cell r="AK17">
            <v>208397.92809999999</v>
          </cell>
        </row>
        <row r="18">
          <cell r="B18">
            <v>29057.106380000001</v>
          </cell>
          <cell r="C18">
            <v>29762.17829</v>
          </cell>
          <cell r="D18">
            <v>30518.447390000001</v>
          </cell>
          <cell r="E18">
            <v>31301.24555</v>
          </cell>
          <cell r="F18">
            <v>32124.362690000002</v>
          </cell>
          <cell r="G18">
            <v>32989.853929999997</v>
          </cell>
          <cell r="H18">
            <v>33899.091959999998</v>
          </cell>
          <cell r="I18">
            <v>34630.465940000002</v>
          </cell>
          <cell r="J18">
            <v>35373.077519999999</v>
          </cell>
          <cell r="K18">
            <v>36388.016860000003</v>
          </cell>
          <cell r="L18">
            <v>37309.537600000003</v>
          </cell>
          <cell r="M18">
            <v>37992.024579999998</v>
          </cell>
          <cell r="N18">
            <v>38502.326800000003</v>
          </cell>
          <cell r="O18">
            <v>38912.4856</v>
          </cell>
          <cell r="P18">
            <v>39295.984199999999</v>
          </cell>
          <cell r="Q18">
            <v>39690.982580000004</v>
          </cell>
          <cell r="R18">
            <v>40094.527670000003</v>
          </cell>
          <cell r="S18">
            <v>40545.782829999996</v>
          </cell>
          <cell r="T18">
            <v>41066.816019999998</v>
          </cell>
          <cell r="U18">
            <v>41673.564630000001</v>
          </cell>
          <cell r="V18">
            <v>42373.49581</v>
          </cell>
          <cell r="W18">
            <v>43187.530120000003</v>
          </cell>
          <cell r="X18">
            <v>44130.649010000001</v>
          </cell>
          <cell r="Y18">
            <v>45207.144509999998</v>
          </cell>
          <cell r="Z18">
            <v>46412.768580000004</v>
          </cell>
          <cell r="AA18">
            <v>47736.751389999998</v>
          </cell>
          <cell r="AB18">
            <v>49168.43404</v>
          </cell>
          <cell r="AC18">
            <v>50727.690459999998</v>
          </cell>
          <cell r="AD18">
            <v>52415.95435</v>
          </cell>
          <cell r="AE18">
            <v>54209.264260000004</v>
          </cell>
          <cell r="AF18">
            <v>56074.966719999997</v>
          </cell>
          <cell r="AG18">
            <v>57992.517480000002</v>
          </cell>
          <cell r="AH18">
            <v>59946.700929999999</v>
          </cell>
          <cell r="AI18">
            <v>61920.158799999997</v>
          </cell>
          <cell r="AJ18">
            <v>63895.452899999997</v>
          </cell>
          <cell r="AK18">
            <v>65855.694369999997</v>
          </cell>
        </row>
        <row r="19">
          <cell r="B19">
            <v>29057.106380000001</v>
          </cell>
          <cell r="C19">
            <v>29762.1783</v>
          </cell>
          <cell r="D19">
            <v>30518.447400000001</v>
          </cell>
          <cell r="E19">
            <v>31301.245569999999</v>
          </cell>
          <cell r="F19">
            <v>32124.362710000001</v>
          </cell>
          <cell r="G19">
            <v>32989.853949999997</v>
          </cell>
          <cell r="H19">
            <v>33899.091979999997</v>
          </cell>
          <cell r="I19">
            <v>34846.205119999999</v>
          </cell>
          <cell r="J19">
            <v>35826.677219999998</v>
          </cell>
          <cell r="K19">
            <v>36837.703439999997</v>
          </cell>
          <cell r="L19">
            <v>37826.060949999999</v>
          </cell>
          <cell r="M19">
            <v>38624.173280000003</v>
          </cell>
          <cell r="N19">
            <v>39297.027540000003</v>
          </cell>
          <cell r="O19">
            <v>39888.341970000001</v>
          </cell>
          <cell r="P19">
            <v>40442.83268</v>
          </cell>
          <cell r="Q19">
            <v>40997.883240000003</v>
          </cell>
          <cell r="R19">
            <v>41584.110119999998</v>
          </cell>
          <cell r="S19">
            <v>42228.325089999998</v>
          </cell>
          <cell r="T19">
            <v>42951.120049999998</v>
          </cell>
          <cell r="U19">
            <v>43764.025780000004</v>
          </cell>
          <cell r="V19">
            <v>44675.367449999998</v>
          </cell>
          <cell r="W19">
            <v>45695.907019999999</v>
          </cell>
          <cell r="X19">
            <v>46837.36275</v>
          </cell>
          <cell r="Y19">
            <v>48104.832159999998</v>
          </cell>
          <cell r="Z19">
            <v>49495.17613</v>
          </cell>
          <cell r="AA19">
            <v>50998.515050000002</v>
          </cell>
          <cell r="AB19">
            <v>52590.314299999998</v>
          </cell>
          <cell r="AC19">
            <v>54284.715219999998</v>
          </cell>
          <cell r="AD19">
            <v>56086.50333</v>
          </cell>
          <cell r="AE19">
            <v>57975.187590000001</v>
          </cell>
          <cell r="AF19">
            <v>59920.998339999998</v>
          </cell>
          <cell r="AG19">
            <v>61899.872190000002</v>
          </cell>
          <cell r="AH19">
            <v>63894.778259999999</v>
          </cell>
          <cell r="AI19">
            <v>65891.411670000001</v>
          </cell>
          <cell r="AJ19">
            <v>67876.703049999996</v>
          </cell>
          <cell r="AK19">
            <v>69838.211160000006</v>
          </cell>
        </row>
        <row r="20">
          <cell r="B20">
            <v>80159.555359999998</v>
          </cell>
          <cell r="C20">
            <v>82059.783590000006</v>
          </cell>
          <cell r="D20">
            <v>84118.677290000007</v>
          </cell>
          <cell r="E20">
            <v>86238.658420000007</v>
          </cell>
          <cell r="F20">
            <v>88467.828810000006</v>
          </cell>
          <cell r="G20">
            <v>90820.695240000001</v>
          </cell>
          <cell r="H20">
            <v>93306.466899999999</v>
          </cell>
          <cell r="I20">
            <v>95226.516010000007</v>
          </cell>
          <cell r="J20">
            <v>97131.989310000004</v>
          </cell>
          <cell r="K20">
            <v>99695.358930000002</v>
          </cell>
          <cell r="L20">
            <v>101947.2157</v>
          </cell>
          <cell r="M20">
            <v>103575.738</v>
          </cell>
          <cell r="N20">
            <v>104787.3636</v>
          </cell>
          <cell r="O20">
            <v>105790.0214</v>
          </cell>
          <cell r="P20">
            <v>106781.0141</v>
          </cell>
          <cell r="Q20">
            <v>107856.54120000001</v>
          </cell>
          <cell r="R20">
            <v>109026.0221</v>
          </cell>
          <cell r="S20">
            <v>110346.4615</v>
          </cell>
          <cell r="T20">
            <v>111864.4926</v>
          </cell>
          <cell r="U20">
            <v>113612.53079999999</v>
          </cell>
          <cell r="V20">
            <v>115609.4406</v>
          </cell>
          <cell r="W20">
            <v>117916.14200000001</v>
          </cell>
          <cell r="X20">
            <v>120574.29210000001</v>
          </cell>
          <cell r="Y20">
            <v>123593.5934</v>
          </cell>
          <cell r="Z20">
            <v>126959.6151</v>
          </cell>
          <cell r="AA20">
            <v>130644.0073</v>
          </cell>
          <cell r="AB20">
            <v>134595.60649999999</v>
          </cell>
          <cell r="AC20">
            <v>138874.41750000001</v>
          </cell>
          <cell r="AD20">
            <v>143481.22260000001</v>
          </cell>
          <cell r="AE20">
            <v>148350.55059999999</v>
          </cell>
          <cell r="AF20">
            <v>153394.09220000001</v>
          </cell>
          <cell r="AG20">
            <v>158562.41510000001</v>
          </cell>
          <cell r="AH20">
            <v>163818.29920000001</v>
          </cell>
          <cell r="AI20">
            <v>169118.0638</v>
          </cell>
          <cell r="AJ20">
            <v>174418.28779999999</v>
          </cell>
          <cell r="AK20">
            <v>179677.76</v>
          </cell>
        </row>
        <row r="21">
          <cell r="B21">
            <v>80159.555359999998</v>
          </cell>
          <cell r="C21">
            <v>82059.783599999995</v>
          </cell>
          <cell r="D21">
            <v>84118.677309999999</v>
          </cell>
          <cell r="E21">
            <v>86238.658450000003</v>
          </cell>
          <cell r="F21">
            <v>88467.828859999994</v>
          </cell>
          <cell r="G21">
            <v>90820.695300000007</v>
          </cell>
          <cell r="H21">
            <v>93306.466969999994</v>
          </cell>
          <cell r="I21">
            <v>95911.446729999996</v>
          </cell>
          <cell r="J21">
            <v>98623.318180000002</v>
          </cell>
          <cell r="K21">
            <v>101434.2626</v>
          </cell>
          <cell r="L21">
            <v>104196.8961</v>
          </cell>
          <cell r="M21">
            <v>106456.0793</v>
          </cell>
          <cell r="N21">
            <v>108386.1575</v>
          </cell>
          <cell r="O21">
            <v>110113.5714</v>
          </cell>
          <cell r="P21">
            <v>111766.0377</v>
          </cell>
          <cell r="Q21">
            <v>113448.0289</v>
          </cell>
          <cell r="R21">
            <v>115242.63159999999</v>
          </cell>
          <cell r="S21">
            <v>117220.0307</v>
          </cell>
          <cell r="T21">
            <v>119432.8183</v>
          </cell>
          <cell r="U21">
            <v>121908.4571</v>
          </cell>
          <cell r="V21">
            <v>124667.1912</v>
          </cell>
          <cell r="W21">
            <v>127732.02860000001</v>
          </cell>
          <cell r="X21">
            <v>131132.86720000001</v>
          </cell>
          <cell r="Y21">
            <v>134882.27299999999</v>
          </cell>
          <cell r="Z21">
            <v>138970.53899999999</v>
          </cell>
          <cell r="AA21">
            <v>143374.06909999999</v>
          </cell>
          <cell r="AB21">
            <v>148013.07949999999</v>
          </cell>
          <cell r="AC21">
            <v>152918.72270000001</v>
          </cell>
          <cell r="AD21">
            <v>158105.63939999999</v>
          </cell>
          <cell r="AE21">
            <v>163520.8983</v>
          </cell>
          <cell r="AF21">
            <v>169085.40289999999</v>
          </cell>
          <cell r="AG21">
            <v>174735.60320000001</v>
          </cell>
          <cell r="AH21">
            <v>180428.02340000001</v>
          </cell>
          <cell r="AI21">
            <v>186127.4473</v>
          </cell>
          <cell r="AJ21">
            <v>191802.33689999999</v>
          </cell>
          <cell r="AK21">
            <v>197422.73360000001</v>
          </cell>
        </row>
        <row r="22">
          <cell r="B22">
            <v>81030.030719999995</v>
          </cell>
          <cell r="C22">
            <v>83680.471820000006</v>
          </cell>
          <cell r="D22">
            <v>86376.760779999997</v>
          </cell>
          <cell r="E22">
            <v>89096.547149999999</v>
          </cell>
          <cell r="F22">
            <v>91882.535699999993</v>
          </cell>
          <cell r="G22">
            <v>94751.654500000004</v>
          </cell>
          <cell r="H22">
            <v>97712.615170000005</v>
          </cell>
          <cell r="I22">
            <v>99866.877070000002</v>
          </cell>
          <cell r="J22">
            <v>102133.0695</v>
          </cell>
          <cell r="K22">
            <v>105469.039</v>
          </cell>
          <cell r="L22">
            <v>108456.77310000001</v>
          </cell>
          <cell r="M22">
            <v>110529.5589</v>
          </cell>
          <cell r="N22">
            <v>111991.1425</v>
          </cell>
          <cell r="O22">
            <v>113131.7369</v>
          </cell>
          <cell r="P22">
            <v>114228.7928</v>
          </cell>
          <cell r="Q22">
            <v>115411.0713</v>
          </cell>
          <cell r="R22">
            <v>116678.5147</v>
          </cell>
          <cell r="S22">
            <v>118140.8455</v>
          </cell>
          <cell r="T22">
            <v>119853.194</v>
          </cell>
          <cell r="U22">
            <v>121843.47689999999</v>
          </cell>
          <cell r="V22">
            <v>124135.4307</v>
          </cell>
          <cell r="W22">
            <v>126774.185</v>
          </cell>
          <cell r="X22">
            <v>129803.13400000001</v>
          </cell>
          <cell r="Y22">
            <v>133228.74400000001</v>
          </cell>
          <cell r="Z22">
            <v>137027.65059999999</v>
          </cell>
          <cell r="AA22">
            <v>141174.72020000001</v>
          </cell>
          <cell r="AB22">
            <v>145623.4981</v>
          </cell>
          <cell r="AC22">
            <v>150476.41649999999</v>
          </cell>
          <cell r="AD22">
            <v>155723.92860000001</v>
          </cell>
          <cell r="AE22">
            <v>161273.0227</v>
          </cell>
          <cell r="AF22">
            <v>167011.2053</v>
          </cell>
          <cell r="AG22">
            <v>172873.69</v>
          </cell>
          <cell r="AH22">
            <v>178821.4541</v>
          </cell>
          <cell r="AI22">
            <v>184809.29800000001</v>
          </cell>
          <cell r="AJ22">
            <v>190792.34659999999</v>
          </cell>
          <cell r="AK22">
            <v>196727.4418</v>
          </cell>
        </row>
        <row r="23">
          <cell r="B23">
            <v>81030.030729999999</v>
          </cell>
          <cell r="C23">
            <v>83680.471820000006</v>
          </cell>
          <cell r="D23">
            <v>86376.76079</v>
          </cell>
          <cell r="E23">
            <v>89096.547179999994</v>
          </cell>
          <cell r="F23">
            <v>91882.535730000003</v>
          </cell>
          <cell r="G23">
            <v>94751.654540000003</v>
          </cell>
          <cell r="H23">
            <v>97712.615220000007</v>
          </cell>
          <cell r="I23">
            <v>100760.5649</v>
          </cell>
          <cell r="J23">
            <v>103891.77989999999</v>
          </cell>
          <cell r="K23">
            <v>107105.4797</v>
          </cell>
          <cell r="L23">
            <v>110194.6039</v>
          </cell>
          <cell r="M23">
            <v>112555.92140000001</v>
          </cell>
          <cell r="N23">
            <v>114498.9504</v>
          </cell>
          <cell r="O23">
            <v>116199.29489999999</v>
          </cell>
          <cell r="P23">
            <v>117824.276</v>
          </cell>
          <cell r="Q23">
            <v>119501.9013</v>
          </cell>
          <cell r="R23">
            <v>121328.3214</v>
          </cell>
          <cell r="S23">
            <v>123382.8642</v>
          </cell>
          <cell r="T23">
            <v>125720.637</v>
          </cell>
          <cell r="U23">
            <v>128363.3803</v>
          </cell>
          <cell r="V23">
            <v>131331.7591</v>
          </cell>
          <cell r="W23">
            <v>134643.4007</v>
          </cell>
          <cell r="X23">
            <v>138331.8039</v>
          </cell>
          <cell r="Y23">
            <v>142405.6942</v>
          </cell>
          <cell r="Z23">
            <v>146843.883</v>
          </cell>
          <cell r="AA23">
            <v>151623.14939999999</v>
          </cell>
          <cell r="AB23">
            <v>156708.08730000001</v>
          </cell>
          <cell r="AC23">
            <v>162139.37109999999</v>
          </cell>
          <cell r="AD23">
            <v>167919.23240000001</v>
          </cell>
          <cell r="AE23">
            <v>173962.87520000001</v>
          </cell>
          <cell r="AF23">
            <v>180162.67610000001</v>
          </cell>
          <cell r="AG23">
            <v>186442.18590000001</v>
          </cell>
          <cell r="AH23">
            <v>192755.16080000001</v>
          </cell>
          <cell r="AI23">
            <v>199065.6293</v>
          </cell>
          <cell r="AJ23">
            <v>205341.4663</v>
          </cell>
          <cell r="AK23">
            <v>211551.6496</v>
          </cell>
        </row>
        <row r="24">
          <cell r="B24">
            <v>104525.1781</v>
          </cell>
          <cell r="C24">
            <v>106524.83719999999</v>
          </cell>
          <cell r="D24">
            <v>108811.33199999999</v>
          </cell>
          <cell r="E24">
            <v>111276.6672</v>
          </cell>
          <cell r="F24">
            <v>113956.16559999999</v>
          </cell>
          <cell r="G24">
            <v>116833.1253</v>
          </cell>
          <cell r="H24">
            <v>119879.95419999999</v>
          </cell>
          <cell r="I24">
            <v>122500.14969999999</v>
          </cell>
          <cell r="J24">
            <v>125079.07180000001</v>
          </cell>
          <cell r="K24">
            <v>128335.8662</v>
          </cell>
          <cell r="L24">
            <v>131392.3849</v>
          </cell>
          <cell r="M24">
            <v>133963.61309999999</v>
          </cell>
          <cell r="N24">
            <v>136187.85219999999</v>
          </cell>
          <cell r="O24">
            <v>138202.50039999999</v>
          </cell>
          <cell r="P24">
            <v>140158.25020000001</v>
          </cell>
          <cell r="Q24">
            <v>142133.26620000001</v>
          </cell>
          <cell r="R24">
            <v>144057.70360000001</v>
          </cell>
          <cell r="S24">
            <v>146062.22829999999</v>
          </cell>
          <cell r="T24">
            <v>148217.54560000001</v>
          </cell>
          <cell r="U24">
            <v>150583.4454</v>
          </cell>
          <cell r="V24">
            <v>153187.4173</v>
          </cell>
          <cell r="W24">
            <v>156115.7953</v>
          </cell>
          <cell r="X24">
            <v>159411.58180000001</v>
          </cell>
          <cell r="Y24">
            <v>163089.85029999999</v>
          </cell>
          <cell r="Z24">
            <v>167141.80009999999</v>
          </cell>
          <cell r="AA24">
            <v>171518.68770000001</v>
          </cell>
          <cell r="AB24">
            <v>176275.10690000001</v>
          </cell>
          <cell r="AC24">
            <v>181404.36850000001</v>
          </cell>
          <cell r="AD24">
            <v>186911.21580000001</v>
          </cell>
          <cell r="AE24">
            <v>192745.43640000001</v>
          </cell>
          <cell r="AF24">
            <v>198831.0895</v>
          </cell>
          <cell r="AG24">
            <v>205119.89379999999</v>
          </cell>
          <cell r="AH24">
            <v>211567.0588</v>
          </cell>
          <cell r="AI24">
            <v>218124.3351</v>
          </cell>
          <cell r="AJ24">
            <v>224743.38260000001</v>
          </cell>
          <cell r="AK24">
            <v>231375.9363</v>
          </cell>
        </row>
        <row r="25">
          <cell r="B25">
            <v>104525.1781</v>
          </cell>
          <cell r="C25">
            <v>106524.83719999999</v>
          </cell>
          <cell r="D25">
            <v>108811.33199999999</v>
          </cell>
          <cell r="E25">
            <v>111276.6672</v>
          </cell>
          <cell r="F25">
            <v>113956.1657</v>
          </cell>
          <cell r="G25">
            <v>116833.1254</v>
          </cell>
          <cell r="H25">
            <v>119879.95419999999</v>
          </cell>
          <cell r="I25">
            <v>123072.398</v>
          </cell>
          <cell r="J25">
            <v>126391.7653</v>
          </cell>
          <cell r="K25">
            <v>129826.1139</v>
          </cell>
          <cell r="L25">
            <v>133246.91940000001</v>
          </cell>
          <cell r="M25">
            <v>136205.23819999999</v>
          </cell>
          <cell r="N25">
            <v>138823.04680000001</v>
          </cell>
          <cell r="O25">
            <v>141199.46299999999</v>
          </cell>
          <cell r="P25">
            <v>143446.0963</v>
          </cell>
          <cell r="Q25">
            <v>145662.67499999999</v>
          </cell>
          <cell r="R25">
            <v>147937.56099999999</v>
          </cell>
          <cell r="S25">
            <v>150351.47649999999</v>
          </cell>
          <cell r="T25">
            <v>152968.82490000001</v>
          </cell>
          <cell r="U25">
            <v>155828.78080000001</v>
          </cell>
          <cell r="V25">
            <v>158951.79939999999</v>
          </cell>
          <cell r="W25">
            <v>162381.10070000001</v>
          </cell>
          <cell r="X25">
            <v>166151.39929999999</v>
          </cell>
          <cell r="Y25">
            <v>170281.23180000001</v>
          </cell>
          <cell r="Z25">
            <v>174765.9044</v>
          </cell>
          <cell r="AA25">
            <v>179559.85130000001</v>
          </cell>
          <cell r="AB25">
            <v>184638.68119999999</v>
          </cell>
          <cell r="AC25">
            <v>190026.25659999999</v>
          </cell>
          <cell r="AD25">
            <v>195737.58590000001</v>
          </cell>
          <cell r="AE25">
            <v>201731.34390000001</v>
          </cell>
          <cell r="AF25">
            <v>207938.43210000001</v>
          </cell>
          <cell r="AG25">
            <v>214298.37289999999</v>
          </cell>
          <cell r="AH25">
            <v>220765.09109999999</v>
          </cell>
          <cell r="AI25">
            <v>227297.50279999999</v>
          </cell>
          <cell r="AJ25">
            <v>233855.8701</v>
          </cell>
          <cell r="AK25">
            <v>240400.20079999999</v>
          </cell>
        </row>
        <row r="26">
          <cell r="B26">
            <v>270873.1531</v>
          </cell>
          <cell r="C26">
            <v>274694.0453</v>
          </cell>
          <cell r="D26">
            <v>279273.79220000003</v>
          </cell>
          <cell r="E26">
            <v>284468.05579999997</v>
          </cell>
          <cell r="F26">
            <v>290380.62209999998</v>
          </cell>
          <cell r="G26">
            <v>296998.43290000001</v>
          </cell>
          <cell r="H26">
            <v>304384.3737</v>
          </cell>
          <cell r="I26">
            <v>311646.32169999997</v>
          </cell>
          <cell r="J26">
            <v>318734.05070000002</v>
          </cell>
          <cell r="K26">
            <v>326139.61940000003</v>
          </cell>
          <cell r="L26">
            <v>333586.1298</v>
          </cell>
          <cell r="M26">
            <v>341276.29149999999</v>
          </cell>
          <cell r="N26">
            <v>349320.23580000002</v>
          </cell>
          <cell r="O26">
            <v>357759.17320000002</v>
          </cell>
          <cell r="P26">
            <v>366608.49</v>
          </cell>
          <cell r="Q26">
            <v>375861.15039999998</v>
          </cell>
          <cell r="R26">
            <v>385410.54450000002</v>
          </cell>
          <cell r="S26">
            <v>395242.18290000001</v>
          </cell>
          <cell r="T26">
            <v>405423.07120000001</v>
          </cell>
          <cell r="U26">
            <v>416073.12800000003</v>
          </cell>
          <cell r="V26">
            <v>427279.413</v>
          </cell>
          <cell r="W26">
            <v>439275.49400000001</v>
          </cell>
          <cell r="X26">
            <v>452196.64559999999</v>
          </cell>
          <cell r="Y26">
            <v>466146.68680000002</v>
          </cell>
          <cell r="Z26">
            <v>481199.10700000002</v>
          </cell>
          <cell r="AA26">
            <v>497318.39370000002</v>
          </cell>
          <cell r="AB26">
            <v>513736.2169</v>
          </cell>
          <cell r="AC26">
            <v>530470.31389999995</v>
          </cell>
          <cell r="AD26">
            <v>547691.54810000001</v>
          </cell>
          <cell r="AE26">
            <v>565512.27610000002</v>
          </cell>
          <cell r="AF26">
            <v>583959.08389999997</v>
          </cell>
          <cell r="AG26">
            <v>603035.75410000002</v>
          </cell>
          <cell r="AH26">
            <v>622682.7291</v>
          </cell>
          <cell r="AI26">
            <v>642827.27049999998</v>
          </cell>
          <cell r="AJ26">
            <v>663389.58979999996</v>
          </cell>
          <cell r="AK26">
            <v>684281.63580000005</v>
          </cell>
        </row>
        <row r="27">
          <cell r="B27">
            <v>270873.1531</v>
          </cell>
          <cell r="C27">
            <v>274694.0454</v>
          </cell>
          <cell r="D27">
            <v>279273.79229999997</v>
          </cell>
          <cell r="E27">
            <v>284468.05589999998</v>
          </cell>
          <cell r="F27">
            <v>290380.62219999998</v>
          </cell>
          <cell r="G27">
            <v>296998.43300000002</v>
          </cell>
          <cell r="H27">
            <v>304384.37390000001</v>
          </cell>
          <cell r="I27">
            <v>312467.50929999998</v>
          </cell>
          <cell r="J27">
            <v>321189.7732</v>
          </cell>
          <cell r="K27">
            <v>330522.26189999998</v>
          </cell>
          <cell r="L27">
            <v>340400.27590000001</v>
          </cell>
          <cell r="M27">
            <v>350365.34470000002</v>
          </cell>
          <cell r="N27">
            <v>360296.02130000002</v>
          </cell>
          <cell r="O27">
            <v>370194.36690000002</v>
          </cell>
          <cell r="P27">
            <v>380117.84110000002</v>
          </cell>
          <cell r="Q27">
            <v>390148.66509999998</v>
          </cell>
          <cell r="R27">
            <v>400404.587</v>
          </cell>
          <cell r="S27">
            <v>411002.48460000003</v>
          </cell>
          <cell r="T27">
            <v>422055.12030000001</v>
          </cell>
          <cell r="U27">
            <v>433657.97139999998</v>
          </cell>
          <cell r="V27">
            <v>445862.08049999998</v>
          </cell>
          <cell r="W27">
            <v>458774.95059999998</v>
          </cell>
          <cell r="X27">
            <v>472492.48879999999</v>
          </cell>
          <cell r="Y27">
            <v>487105.74099999998</v>
          </cell>
          <cell r="Z27">
            <v>502686.27639999997</v>
          </cell>
          <cell r="AA27">
            <v>519202.16440000001</v>
          </cell>
          <cell r="AB27">
            <v>535807.43720000004</v>
          </cell>
          <cell r="AC27">
            <v>552551.66810000001</v>
          </cell>
          <cell r="AD27">
            <v>569645.20449999999</v>
          </cell>
          <cell r="AE27">
            <v>587236.66700000002</v>
          </cell>
          <cell r="AF27">
            <v>605381.32180000003</v>
          </cell>
          <cell r="AG27">
            <v>624075.15749999997</v>
          </cell>
          <cell r="AH27">
            <v>643284.38489999995</v>
          </cell>
          <cell r="AI27">
            <v>662956.02060000005</v>
          </cell>
          <cell r="AJ27">
            <v>683021.48919999995</v>
          </cell>
          <cell r="AK27">
            <v>703397.09519999998</v>
          </cell>
        </row>
        <row r="28">
          <cell r="B28">
            <v>6781.1861310000004</v>
          </cell>
          <cell r="C28">
            <v>6888.503017</v>
          </cell>
          <cell r="D28">
            <v>7005.2875139999996</v>
          </cell>
          <cell r="E28">
            <v>7128.8665620000002</v>
          </cell>
          <cell r="F28">
            <v>7264.0666879999999</v>
          </cell>
          <cell r="G28">
            <v>7410.1773089999997</v>
          </cell>
          <cell r="H28">
            <v>7565.6412449999998</v>
          </cell>
          <cell r="I28">
            <v>7694.794742</v>
          </cell>
          <cell r="J28">
            <v>7817.8242389999996</v>
          </cell>
          <cell r="K28">
            <v>7964.6589629999999</v>
          </cell>
          <cell r="L28">
            <v>8096.7156800000002</v>
          </cell>
          <cell r="M28">
            <v>8210.2467099999994</v>
          </cell>
          <cell r="N28">
            <v>8310.377305</v>
          </cell>
          <cell r="O28">
            <v>8401.2007969999995</v>
          </cell>
          <cell r="P28">
            <v>8487.828125</v>
          </cell>
          <cell r="Q28">
            <v>8573.0364960000006</v>
          </cell>
          <cell r="R28">
            <v>8656.0887430000002</v>
          </cell>
          <cell r="S28">
            <v>8740.2298480000009</v>
          </cell>
          <cell r="T28">
            <v>8829.3540529999991</v>
          </cell>
          <cell r="U28">
            <v>8927.3463360000005</v>
          </cell>
          <cell r="V28">
            <v>9035.5880720000005</v>
          </cell>
          <cell r="W28">
            <v>9159.7977210000008</v>
          </cell>
          <cell r="X28">
            <v>9302.2129659999991</v>
          </cell>
          <cell r="Y28">
            <v>9463.7314910000005</v>
          </cell>
          <cell r="Z28">
            <v>9644.1800739999999</v>
          </cell>
          <cell r="AA28">
            <v>9840.8752069999991</v>
          </cell>
          <cell r="AB28">
            <v>10054.32748</v>
          </cell>
          <cell r="AC28">
            <v>10287.211730000001</v>
          </cell>
          <cell r="AD28">
            <v>10540.20118</v>
          </cell>
          <cell r="AE28">
            <v>10811.00194</v>
          </cell>
          <cell r="AF28">
            <v>11095.905360000001</v>
          </cell>
          <cell r="AG28">
            <v>11392.62566</v>
          </cell>
          <cell r="AH28">
            <v>11698.575699999999</v>
          </cell>
          <cell r="AI28">
            <v>12010.876609999999</v>
          </cell>
          <cell r="AJ28">
            <v>12326.605530000001</v>
          </cell>
          <cell r="AK28">
            <v>12642.851409999999</v>
          </cell>
        </row>
        <row r="29">
          <cell r="B29">
            <v>6781.1861310000004</v>
          </cell>
          <cell r="C29">
            <v>6888.5030180000003</v>
          </cell>
          <cell r="D29">
            <v>7005.287515</v>
          </cell>
          <cell r="E29">
            <v>7128.8665639999999</v>
          </cell>
          <cell r="F29">
            <v>7264.0666899999997</v>
          </cell>
          <cell r="G29">
            <v>7410.1773119999998</v>
          </cell>
          <cell r="H29">
            <v>7565.6412469999996</v>
          </cell>
          <cell r="I29">
            <v>7728.5042700000004</v>
          </cell>
          <cell r="J29">
            <v>7897.3339969999997</v>
          </cell>
          <cell r="K29">
            <v>8071.1442049999996</v>
          </cell>
          <cell r="L29">
            <v>8243.9743749999998</v>
          </cell>
          <cell r="M29">
            <v>8393.7856439999996</v>
          </cell>
          <cell r="N29">
            <v>8525.5478779999994</v>
          </cell>
          <cell r="O29">
            <v>8643.3520349999999</v>
          </cell>
          <cell r="P29">
            <v>8752.1857510000009</v>
          </cell>
          <cell r="Q29">
            <v>8856.8714889999992</v>
          </cell>
          <cell r="R29">
            <v>8962.0080940000007</v>
          </cell>
          <cell r="S29">
            <v>9071.8929399999997</v>
          </cell>
          <cell r="T29">
            <v>9190.1325770000003</v>
          </cell>
          <cell r="U29">
            <v>9319.1603090000008</v>
          </cell>
          <cell r="V29">
            <v>9460.2400660000003</v>
          </cell>
          <cell r="W29">
            <v>9616.1978880000006</v>
          </cell>
          <cell r="X29">
            <v>9788.9260090000007</v>
          </cell>
          <cell r="Y29">
            <v>9979.5245099999993</v>
          </cell>
          <cell r="Z29">
            <v>10187.996800000001</v>
          </cell>
          <cell r="AA29">
            <v>10411.76211</v>
          </cell>
          <cell r="AB29">
            <v>10648.74106</v>
          </cell>
          <cell r="AC29">
            <v>10901.129370000001</v>
          </cell>
          <cell r="AD29">
            <v>11169.96227</v>
          </cell>
          <cell r="AE29">
            <v>11453.241760000001</v>
          </cell>
          <cell r="AF29">
            <v>11747.47551</v>
          </cell>
          <cell r="AG29">
            <v>12049.43325</v>
          </cell>
          <cell r="AH29">
            <v>12356.47445</v>
          </cell>
          <cell r="AI29">
            <v>12666.1738</v>
          </cell>
          <cell r="AJ29">
            <v>12976.19353</v>
          </cell>
          <cell r="AK29">
            <v>13284.237150000001</v>
          </cell>
        </row>
        <row r="30">
          <cell r="B30">
            <v>78013.438999999998</v>
          </cell>
          <cell r="C30">
            <v>79248.054780000006</v>
          </cell>
          <cell r="D30">
            <v>80591.589680000005</v>
          </cell>
          <cell r="E30">
            <v>82013.291769999996</v>
          </cell>
          <cell r="F30">
            <v>83568.687330000001</v>
          </cell>
          <cell r="G30">
            <v>85249.60153</v>
          </cell>
          <cell r="H30">
            <v>87038.119940000004</v>
          </cell>
          <cell r="I30">
            <v>88523.952690000006</v>
          </cell>
          <cell r="J30">
            <v>89939.33253</v>
          </cell>
          <cell r="K30">
            <v>91628.577090000006</v>
          </cell>
          <cell r="L30">
            <v>93147.809640000007</v>
          </cell>
          <cell r="M30">
            <v>94453.915359999999</v>
          </cell>
          <cell r="N30">
            <v>95605.857220000005</v>
          </cell>
          <cell r="O30">
            <v>96650.726479999998</v>
          </cell>
          <cell r="P30">
            <v>97647.321410000004</v>
          </cell>
          <cell r="Q30">
            <v>98627.592120000001</v>
          </cell>
          <cell r="R30">
            <v>99583.057910000003</v>
          </cell>
          <cell r="S30">
            <v>100551.05039999999</v>
          </cell>
          <cell r="T30">
            <v>101576.3703</v>
          </cell>
          <cell r="U30">
            <v>102703.71219999999</v>
          </cell>
          <cell r="V30">
            <v>103948.9678</v>
          </cell>
          <cell r="W30">
            <v>105377.9246</v>
          </cell>
          <cell r="X30">
            <v>107016.3257</v>
          </cell>
          <cell r="Y30">
            <v>108874.4985</v>
          </cell>
          <cell r="Z30">
            <v>110950.45020000001</v>
          </cell>
          <cell r="AA30">
            <v>113213.3085</v>
          </cell>
          <cell r="AB30">
            <v>115668.9476</v>
          </cell>
          <cell r="AC30">
            <v>118348.13989999999</v>
          </cell>
          <cell r="AD30">
            <v>121258.6302</v>
          </cell>
          <cell r="AE30">
            <v>124374.02899999999</v>
          </cell>
          <cell r="AF30">
            <v>127651.6703</v>
          </cell>
          <cell r="AG30">
            <v>131065.2576</v>
          </cell>
          <cell r="AH30">
            <v>134585.0275</v>
          </cell>
          <cell r="AI30">
            <v>138177.8602</v>
          </cell>
          <cell r="AJ30">
            <v>141810.13029999999</v>
          </cell>
          <cell r="AK30">
            <v>145448.34760000001</v>
          </cell>
        </row>
        <row r="31">
          <cell r="B31">
            <v>78013.438999999998</v>
          </cell>
          <cell r="C31">
            <v>79248.054780000006</v>
          </cell>
          <cell r="D31">
            <v>80591.589689999993</v>
          </cell>
          <cell r="E31">
            <v>82013.291790000003</v>
          </cell>
          <cell r="F31">
            <v>83568.687349999993</v>
          </cell>
          <cell r="G31">
            <v>85249.601550000007</v>
          </cell>
          <cell r="H31">
            <v>87038.119959999996</v>
          </cell>
          <cell r="I31">
            <v>88911.760399999999</v>
          </cell>
          <cell r="J31">
            <v>90854.044139999998</v>
          </cell>
          <cell r="K31">
            <v>92853.625310000003</v>
          </cell>
          <cell r="L31">
            <v>94841.931729999997</v>
          </cell>
          <cell r="M31">
            <v>96565.419630000004</v>
          </cell>
          <cell r="N31">
            <v>98081.264330000005</v>
          </cell>
          <cell r="O31">
            <v>99436.529790000001</v>
          </cell>
          <cell r="P31">
            <v>100688.5958</v>
          </cell>
          <cell r="Q31">
            <v>101892.9418</v>
          </cell>
          <cell r="R31">
            <v>103102.47470000001</v>
          </cell>
          <cell r="S31">
            <v>104366.6333</v>
          </cell>
          <cell r="T31">
            <v>105726.9087</v>
          </cell>
          <cell r="U31">
            <v>107211.2947</v>
          </cell>
          <cell r="V31">
            <v>108834.3318</v>
          </cell>
          <cell r="W31">
            <v>110628.5321</v>
          </cell>
          <cell r="X31">
            <v>112615.6645</v>
          </cell>
          <cell r="Y31">
            <v>114808.3848</v>
          </cell>
          <cell r="Z31">
            <v>117206.7322</v>
          </cell>
          <cell r="AA31">
            <v>119781.0165</v>
          </cell>
          <cell r="AB31">
            <v>122507.3158</v>
          </cell>
          <cell r="AC31">
            <v>125410.89049999999</v>
          </cell>
          <cell r="AD31">
            <v>128503.6501</v>
          </cell>
          <cell r="AE31">
            <v>131762.6091</v>
          </cell>
          <cell r="AF31">
            <v>135147.59020000001</v>
          </cell>
          <cell r="AG31">
            <v>138621.43109999999</v>
          </cell>
          <cell r="AH31">
            <v>142153.75409999999</v>
          </cell>
          <cell r="AI31">
            <v>145716.65760000001</v>
          </cell>
          <cell r="AJ31">
            <v>149283.24679999999</v>
          </cell>
          <cell r="AK31">
            <v>152827.10200000001</v>
          </cell>
        </row>
        <row r="32">
          <cell r="B32">
            <v>15428.269850000001</v>
          </cell>
          <cell r="C32">
            <v>15990.814189999999</v>
          </cell>
          <cell r="D32">
            <v>16546.661919999999</v>
          </cell>
          <cell r="E32">
            <v>17095.285489999998</v>
          </cell>
          <cell r="F32">
            <v>17652.42986</v>
          </cell>
          <cell r="G32">
            <v>18225.49019</v>
          </cell>
          <cell r="H32">
            <v>18816.846850000002</v>
          </cell>
          <cell r="I32">
            <v>19197.31813</v>
          </cell>
          <cell r="J32">
            <v>19590.525610000001</v>
          </cell>
          <cell r="K32">
            <v>20192.167560000002</v>
          </cell>
          <cell r="L32">
            <v>20677.299739999999</v>
          </cell>
          <cell r="M32">
            <v>20956.252820000002</v>
          </cell>
          <cell r="N32">
            <v>21117.23688</v>
          </cell>
          <cell r="O32">
            <v>21230.53126</v>
          </cell>
          <cell r="P32">
            <v>21355.524870000001</v>
          </cell>
          <cell r="Q32">
            <v>21515.641729999999</v>
          </cell>
          <cell r="R32">
            <v>21727.842619999999</v>
          </cell>
          <cell r="S32">
            <v>21985.800439999999</v>
          </cell>
          <cell r="T32">
            <v>22296.82878</v>
          </cell>
          <cell r="U32">
            <v>22664.639370000001</v>
          </cell>
          <cell r="V32">
            <v>23093.16923</v>
          </cell>
          <cell r="W32">
            <v>23592.87241</v>
          </cell>
          <cell r="X32">
            <v>24173.81882</v>
          </cell>
          <cell r="Y32">
            <v>24837.431250000001</v>
          </cell>
          <cell r="Z32">
            <v>25578.424920000001</v>
          </cell>
          <cell r="AA32">
            <v>26393.533159999999</v>
          </cell>
          <cell r="AB32">
            <v>27290.861069999999</v>
          </cell>
          <cell r="AC32">
            <v>28283.54279</v>
          </cell>
          <cell r="AD32">
            <v>29368.49353</v>
          </cell>
          <cell r="AE32">
            <v>30525.038759999999</v>
          </cell>
          <cell r="AF32">
            <v>31729.164769999999</v>
          </cell>
          <cell r="AG32">
            <v>32968.937180000001</v>
          </cell>
          <cell r="AH32">
            <v>34237.259420000002</v>
          </cell>
          <cell r="AI32">
            <v>35524.919950000003</v>
          </cell>
          <cell r="AJ32">
            <v>36822.156730000002</v>
          </cell>
          <cell r="AK32">
            <v>38119.108590000003</v>
          </cell>
        </row>
        <row r="33">
          <cell r="B33">
            <v>15428.269850000001</v>
          </cell>
          <cell r="C33">
            <v>15990.814189999999</v>
          </cell>
          <cell r="D33">
            <v>16546.661919999999</v>
          </cell>
          <cell r="E33">
            <v>17095.285489999998</v>
          </cell>
          <cell r="F33">
            <v>17652.42987</v>
          </cell>
          <cell r="G33">
            <v>18225.4902</v>
          </cell>
          <cell r="H33">
            <v>18816.846860000001</v>
          </cell>
          <cell r="I33">
            <v>19426.67801</v>
          </cell>
          <cell r="J33">
            <v>20054.629410000001</v>
          </cell>
          <cell r="K33">
            <v>20700.549350000001</v>
          </cell>
          <cell r="L33">
            <v>21316.68851</v>
          </cell>
          <cell r="M33">
            <v>21770.401549999999</v>
          </cell>
          <cell r="N33">
            <v>22135.749260000001</v>
          </cell>
          <cell r="O33">
            <v>22452.339639999998</v>
          </cell>
          <cell r="P33">
            <v>22757.156620000002</v>
          </cell>
          <cell r="Q33">
            <v>23077.620940000001</v>
          </cell>
          <cell r="R33">
            <v>23433.437330000001</v>
          </cell>
          <cell r="S33">
            <v>23840.396980000001</v>
          </cell>
          <cell r="T33">
            <v>24308.60903</v>
          </cell>
          <cell r="U33">
            <v>24840.69022</v>
          </cell>
          <cell r="V33">
            <v>25440.057820000002</v>
          </cell>
          <cell r="W33">
            <v>26108.243900000001</v>
          </cell>
          <cell r="X33">
            <v>26851.384259999999</v>
          </cell>
          <cell r="Y33">
            <v>27670.20261</v>
          </cell>
          <cell r="Z33">
            <v>28558.982309999999</v>
          </cell>
          <cell r="AA33">
            <v>29514.134600000001</v>
          </cell>
          <cell r="AB33">
            <v>30535.612109999998</v>
          </cell>
          <cell r="AC33">
            <v>31630.563010000002</v>
          </cell>
          <cell r="AD33">
            <v>32797.399389999999</v>
          </cell>
          <cell r="AE33">
            <v>34016.41734</v>
          </cell>
          <cell r="AF33">
            <v>35264.237589999997</v>
          </cell>
          <cell r="AG33">
            <v>36525.437100000003</v>
          </cell>
          <cell r="AH33">
            <v>37791.705119999999</v>
          </cell>
          <cell r="AI33">
            <v>39057.03527</v>
          </cell>
          <cell r="AJ33">
            <v>40316.193189999998</v>
          </cell>
          <cell r="AK33">
            <v>41564.031089999997</v>
          </cell>
        </row>
        <row r="34">
          <cell r="B34">
            <v>20617.967799999999</v>
          </cell>
          <cell r="C34">
            <v>21115.946039999999</v>
          </cell>
          <cell r="D34">
            <v>21636.49626</v>
          </cell>
          <cell r="E34">
            <v>22153.056339999999</v>
          </cell>
          <cell r="F34">
            <v>22726.836080000001</v>
          </cell>
          <cell r="G34">
            <v>23368.34676</v>
          </cell>
          <cell r="H34">
            <v>24069.378990000001</v>
          </cell>
          <cell r="I34">
            <v>24579.283080000001</v>
          </cell>
          <cell r="J34">
            <v>24990.164830000002</v>
          </cell>
          <cell r="K34">
            <v>25437.714650000002</v>
          </cell>
          <cell r="L34">
            <v>25655.32013</v>
          </cell>
          <cell r="M34">
            <v>25779.706750000001</v>
          </cell>
          <cell r="N34">
            <v>25903.727220000001</v>
          </cell>
          <cell r="O34">
            <v>26052.339</v>
          </cell>
          <cell r="P34">
            <v>26235.610649999999</v>
          </cell>
          <cell r="Q34">
            <v>26446.729009999999</v>
          </cell>
          <cell r="R34">
            <v>26648.87041</v>
          </cell>
          <cell r="S34">
            <v>26845.785360000002</v>
          </cell>
          <cell r="T34">
            <v>27053.1826</v>
          </cell>
          <cell r="U34">
            <v>27299.85139</v>
          </cell>
          <cell r="V34">
            <v>27596.196680000001</v>
          </cell>
          <cell r="W34">
            <v>27986.318879999999</v>
          </cell>
          <cell r="X34">
            <v>28482.559590000001</v>
          </cell>
          <cell r="Y34">
            <v>29087.422050000001</v>
          </cell>
          <cell r="Z34">
            <v>29798.64558</v>
          </cell>
          <cell r="AA34">
            <v>30603.16201</v>
          </cell>
          <cell r="AB34">
            <v>31533.3878</v>
          </cell>
          <cell r="AC34">
            <v>32598.376990000001</v>
          </cell>
          <cell r="AD34">
            <v>33801.329080000003</v>
          </cell>
          <cell r="AE34">
            <v>35133.126149999996</v>
          </cell>
          <cell r="AF34">
            <v>36578.778319999998</v>
          </cell>
          <cell r="AG34">
            <v>38135.62427</v>
          </cell>
          <cell r="AH34">
            <v>39792.319239999997</v>
          </cell>
          <cell r="AI34">
            <v>41532.752809999998</v>
          </cell>
          <cell r="AJ34">
            <v>43338.315240000004</v>
          </cell>
          <cell r="AK34">
            <v>45188.580119999999</v>
          </cell>
        </row>
        <row r="35">
          <cell r="B35">
            <v>20617.967809999998</v>
          </cell>
          <cell r="C35">
            <v>21115.946039999999</v>
          </cell>
          <cell r="D35">
            <v>21636.49626</v>
          </cell>
          <cell r="E35">
            <v>22153.056349999999</v>
          </cell>
          <cell r="F35">
            <v>22726.836080000001</v>
          </cell>
          <cell r="G35">
            <v>23368.34677</v>
          </cell>
          <cell r="H35">
            <v>24069.379000000001</v>
          </cell>
          <cell r="I35">
            <v>24821.192429999999</v>
          </cell>
          <cell r="J35">
            <v>25614.990959999999</v>
          </cell>
          <cell r="K35">
            <v>26443.750830000001</v>
          </cell>
          <cell r="L35">
            <v>27271.632659999999</v>
          </cell>
          <cell r="M35">
            <v>27976.652620000001</v>
          </cell>
          <cell r="N35">
            <v>28595.199499999999</v>
          </cell>
          <cell r="O35">
            <v>29146.894189999999</v>
          </cell>
          <cell r="P35">
            <v>29655.05978</v>
          </cell>
          <cell r="Q35">
            <v>30141.817579999999</v>
          </cell>
          <cell r="R35">
            <v>30628.723440000002</v>
          </cell>
          <cell r="S35">
            <v>31137.147219999999</v>
          </cell>
          <cell r="T35">
            <v>31684.935740000001</v>
          </cell>
          <cell r="U35">
            <v>32283.863069999999</v>
          </cell>
          <cell r="V35">
            <v>32939.95203</v>
          </cell>
          <cell r="W35">
            <v>33669.767290000003</v>
          </cell>
          <cell r="X35">
            <v>34483.501100000001</v>
          </cell>
          <cell r="Y35">
            <v>35387.49106</v>
          </cell>
          <cell r="Z35">
            <v>36382.109219999998</v>
          </cell>
          <cell r="AA35">
            <v>37453.030460000002</v>
          </cell>
          <cell r="AB35">
            <v>38610.987520000002</v>
          </cell>
          <cell r="AC35">
            <v>39863.075499999999</v>
          </cell>
          <cell r="AD35">
            <v>41212.340640000002</v>
          </cell>
          <cell r="AE35">
            <v>42647.934710000001</v>
          </cell>
          <cell r="AF35">
            <v>44152.700380000002</v>
          </cell>
          <cell r="AG35">
            <v>45711.697169999999</v>
          </cell>
          <cell r="AH35">
            <v>47312.74871</v>
          </cell>
          <cell r="AI35">
            <v>48943.829259999999</v>
          </cell>
          <cell r="AJ35">
            <v>50592.44556</v>
          </cell>
          <cell r="AK35">
            <v>52245.467980000001</v>
          </cell>
        </row>
        <row r="36">
          <cell r="B36">
            <v>2014669.59</v>
          </cell>
          <cell r="C36">
            <v>2048352.263</v>
          </cell>
          <cell r="D36">
            <v>2087236.648</v>
          </cell>
          <cell r="E36">
            <v>2129787.9709999999</v>
          </cell>
          <cell r="F36">
            <v>2177053.7200000002</v>
          </cell>
          <cell r="G36">
            <v>2228485.2769999998</v>
          </cell>
          <cell r="H36">
            <v>2283373.8149999999</v>
          </cell>
          <cell r="I36">
            <v>2331586.6290000002</v>
          </cell>
          <cell r="J36">
            <v>2377656.1170000001</v>
          </cell>
          <cell r="K36">
            <v>2430598.7740000002</v>
          </cell>
          <cell r="L36">
            <v>2481200.0109999999</v>
          </cell>
          <cell r="M36">
            <v>2528283.0320000001</v>
          </cell>
          <cell r="N36">
            <v>2572607.0329999998</v>
          </cell>
          <cell r="O36">
            <v>2614586.3050000002</v>
          </cell>
          <cell r="P36">
            <v>2655059.3990000002</v>
          </cell>
          <cell r="Q36">
            <v>2694537.0589999999</v>
          </cell>
          <cell r="R36">
            <v>2732358.281</v>
          </cell>
          <cell r="S36">
            <v>2769798.5159999998</v>
          </cell>
          <cell r="T36">
            <v>2808177.9249999998</v>
          </cell>
          <cell r="U36">
            <v>2848817.57</v>
          </cell>
          <cell r="V36">
            <v>2892197.017</v>
          </cell>
          <cell r="W36">
            <v>2940293.503</v>
          </cell>
          <cell r="X36">
            <v>2993784.2510000002</v>
          </cell>
          <cell r="Y36">
            <v>3053011.9580000001</v>
          </cell>
          <cell r="Z36">
            <v>3118008.4709999999</v>
          </cell>
          <cell r="AA36">
            <v>3187606.7450000001</v>
          </cell>
          <cell r="AB36">
            <v>3261926.3459999999</v>
          </cell>
          <cell r="AC36">
            <v>3341631.2119999998</v>
          </cell>
          <cell r="AD36">
            <v>3427168.0959999999</v>
          </cell>
          <cell r="AE36">
            <v>3518198.1579999998</v>
          </cell>
          <cell r="AF36">
            <v>3613890.2310000001</v>
          </cell>
          <cell r="AG36">
            <v>3713679.0329999998</v>
          </cell>
          <cell r="AH36">
            <v>3816792.648</v>
          </cell>
          <cell r="AI36">
            <v>3922412.6869999999</v>
          </cell>
          <cell r="AJ36">
            <v>4029711.5070000002</v>
          </cell>
          <cell r="AK36">
            <v>4137840.1430000002</v>
          </cell>
        </row>
        <row r="37">
          <cell r="B37">
            <v>2014669.59</v>
          </cell>
          <cell r="C37">
            <v>2048352.263</v>
          </cell>
          <cell r="D37">
            <v>2087236.649</v>
          </cell>
          <cell r="E37">
            <v>2129787.9709999999</v>
          </cell>
          <cell r="F37">
            <v>2177053.7200000002</v>
          </cell>
          <cell r="G37">
            <v>2228485.2779999999</v>
          </cell>
          <cell r="H37">
            <v>2283373.8160000001</v>
          </cell>
          <cell r="I37">
            <v>2341012.0350000001</v>
          </cell>
          <cell r="J37">
            <v>2400891.6850000001</v>
          </cell>
          <cell r="K37">
            <v>2462679.6329999999</v>
          </cell>
          <cell r="L37">
            <v>2524925.0389999999</v>
          </cell>
          <cell r="M37">
            <v>2581092.8810000001</v>
          </cell>
          <cell r="N37">
            <v>2631932.679</v>
          </cell>
          <cell r="O37">
            <v>2678296.2990000001</v>
          </cell>
          <cell r="P37">
            <v>2721416.7650000001</v>
          </cell>
          <cell r="Q37">
            <v>2762621.1179999998</v>
          </cell>
          <cell r="R37">
            <v>2803316.176</v>
          </cell>
          <cell r="S37">
            <v>2844902.2250000001</v>
          </cell>
          <cell r="T37">
            <v>2888608.28</v>
          </cell>
          <cell r="U37">
            <v>2935328.148</v>
          </cell>
          <cell r="V37">
            <v>2985431.3319999999</v>
          </cell>
          <cell r="W37">
            <v>3040098.01</v>
          </cell>
          <cell r="X37">
            <v>3099984.2230000002</v>
          </cell>
          <cell r="Y37">
            <v>3165548.5660000001</v>
          </cell>
          <cell r="Z37">
            <v>3236919.3429999999</v>
          </cell>
          <cell r="AA37">
            <v>3313004.3960000002</v>
          </cell>
          <cell r="AB37">
            <v>3393206.3110000002</v>
          </cell>
          <cell r="AC37">
            <v>3478292.1970000002</v>
          </cell>
          <cell r="AD37">
            <v>3568825.9870000002</v>
          </cell>
          <cell r="AE37">
            <v>3664524.7289999998</v>
          </cell>
          <cell r="AF37">
            <v>3764574.8020000001</v>
          </cell>
          <cell r="AG37">
            <v>3868107.3650000002</v>
          </cell>
          <cell r="AH37">
            <v>3974329.3420000002</v>
          </cell>
          <cell r="AI37">
            <v>4082451.6880000001</v>
          </cell>
          <cell r="AJ37">
            <v>4191665.3080000002</v>
          </cell>
          <cell r="AK37">
            <v>4301134.392</v>
          </cell>
        </row>
        <row r="38">
          <cell r="B38">
            <v>539428.34589999996</v>
          </cell>
          <cell r="C38">
            <v>546127.73770000006</v>
          </cell>
          <cell r="D38">
            <v>553193.33089999994</v>
          </cell>
          <cell r="E38">
            <v>560561.03749999998</v>
          </cell>
          <cell r="F38">
            <v>568301.16489999997</v>
          </cell>
          <cell r="G38">
            <v>576375</v>
          </cell>
          <cell r="H38">
            <v>584739.67969999998</v>
          </cell>
          <cell r="I38">
            <v>592825.54489999998</v>
          </cell>
          <cell r="J38">
            <v>600823.49679999996</v>
          </cell>
          <cell r="K38">
            <v>609186.93429999996</v>
          </cell>
          <cell r="L38">
            <v>617505.90989999997</v>
          </cell>
          <cell r="M38">
            <v>625755.0575</v>
          </cell>
          <cell r="N38">
            <v>633947.02009999997</v>
          </cell>
          <cell r="O38">
            <v>642068.56599999999</v>
          </cell>
          <cell r="P38">
            <v>650137.0797</v>
          </cell>
          <cell r="Q38">
            <v>658172.27910000004</v>
          </cell>
          <cell r="R38">
            <v>666147.65209999995</v>
          </cell>
          <cell r="S38">
            <v>674130.73300000001</v>
          </cell>
          <cell r="T38">
            <v>682203.45440000005</v>
          </cell>
          <cell r="U38">
            <v>690449.45810000005</v>
          </cell>
          <cell r="V38">
            <v>698899.88970000006</v>
          </cell>
          <cell r="W38">
            <v>707685.58700000006</v>
          </cell>
          <cell r="X38">
            <v>716849.07420000003</v>
          </cell>
          <cell r="Y38">
            <v>726415.57290000003</v>
          </cell>
          <cell r="Z38">
            <v>736393.35320000001</v>
          </cell>
          <cell r="AA38">
            <v>746701.75379999995</v>
          </cell>
          <cell r="AB38">
            <v>757313.19010000001</v>
          </cell>
          <cell r="AC38">
            <v>768292.09270000004</v>
          </cell>
          <cell r="AD38">
            <v>779683.17</v>
          </cell>
          <cell r="AE38">
            <v>791480.73659999995</v>
          </cell>
          <cell r="AF38">
            <v>803645.72290000005</v>
          </cell>
          <cell r="AG38">
            <v>816149.11029999994</v>
          </cell>
          <cell r="AH38">
            <v>828944.76980000001</v>
          </cell>
          <cell r="AI38">
            <v>841983.32200000004</v>
          </cell>
          <cell r="AJ38">
            <v>855214.18920000002</v>
          </cell>
          <cell r="AK38">
            <v>868585.00210000004</v>
          </cell>
        </row>
        <row r="39">
          <cell r="B39">
            <v>539428.34589999996</v>
          </cell>
          <cell r="C39">
            <v>546127.73770000006</v>
          </cell>
          <cell r="D39">
            <v>553193.33089999994</v>
          </cell>
          <cell r="E39">
            <v>560561.03760000004</v>
          </cell>
          <cell r="F39">
            <v>568301.16500000004</v>
          </cell>
          <cell r="G39">
            <v>576375</v>
          </cell>
          <cell r="H39">
            <v>584739.67969999998</v>
          </cell>
          <cell r="I39">
            <v>593341.02819999994</v>
          </cell>
          <cell r="J39">
            <v>602140.51199999999</v>
          </cell>
          <cell r="K39">
            <v>611113.21259999997</v>
          </cell>
          <cell r="L39">
            <v>620192.88910000003</v>
          </cell>
          <cell r="M39">
            <v>629010.68290000001</v>
          </cell>
          <cell r="N39">
            <v>637576.84589999996</v>
          </cell>
          <cell r="O39">
            <v>645920.79299999995</v>
          </cell>
          <cell r="P39">
            <v>654101.4338</v>
          </cell>
          <cell r="Q39">
            <v>662193.02359999996</v>
          </cell>
          <cell r="R39">
            <v>670282.27599999995</v>
          </cell>
          <cell r="S39">
            <v>678457.26049999997</v>
          </cell>
          <cell r="T39">
            <v>686798.27619999996</v>
          </cell>
          <cell r="U39">
            <v>695367.55729999999</v>
          </cell>
          <cell r="V39">
            <v>704188.71169999999</v>
          </cell>
          <cell r="W39">
            <v>713347.00859999994</v>
          </cell>
          <cell r="X39">
            <v>722883.96230000001</v>
          </cell>
          <cell r="Y39">
            <v>732831.68090000004</v>
          </cell>
          <cell r="Z39">
            <v>743204.42720000003</v>
          </cell>
          <cell r="AA39">
            <v>753926.1814</v>
          </cell>
          <cell r="AB39">
            <v>764929.52489999996</v>
          </cell>
          <cell r="AC39">
            <v>776282.09730000002</v>
          </cell>
          <cell r="AD39">
            <v>788032.87219999998</v>
          </cell>
          <cell r="AE39">
            <v>800177.44449999998</v>
          </cell>
          <cell r="AF39">
            <v>812676.23320000002</v>
          </cell>
          <cell r="AG39">
            <v>825480.43870000006</v>
          </cell>
          <cell r="AH39">
            <v>838541.26040000003</v>
          </cell>
          <cell r="AI39">
            <v>851808.27139999997</v>
          </cell>
          <cell r="AJ39">
            <v>865229.12840000005</v>
          </cell>
          <cell r="AK39">
            <v>878749.73659999995</v>
          </cell>
        </row>
        <row r="40">
          <cell r="B40">
            <v>4209.4774479999996</v>
          </cell>
          <cell r="C40">
            <v>4275.0338659999998</v>
          </cell>
          <cell r="D40">
            <v>4348.1520719999999</v>
          </cell>
          <cell r="E40">
            <v>4424.4355869999999</v>
          </cell>
          <cell r="F40">
            <v>4510.4531809999999</v>
          </cell>
          <cell r="G40">
            <v>4605.9914410000001</v>
          </cell>
          <cell r="H40">
            <v>4709.3926250000004</v>
          </cell>
          <cell r="I40">
            <v>4779.1270430000004</v>
          </cell>
          <cell r="J40">
            <v>4839.7705820000001</v>
          </cell>
          <cell r="K40">
            <v>4909.0807850000001</v>
          </cell>
          <cell r="L40">
            <v>4961.2190259999998</v>
          </cell>
          <cell r="M40">
            <v>5003.1678549999997</v>
          </cell>
          <cell r="N40">
            <v>5037.9405569999999</v>
          </cell>
          <cell r="O40">
            <v>5069.461456</v>
          </cell>
          <cell r="P40">
            <v>5101.6427309999999</v>
          </cell>
          <cell r="Q40">
            <v>5136.3715920000004</v>
          </cell>
          <cell r="R40">
            <v>5181.36204</v>
          </cell>
          <cell r="S40">
            <v>5229.694947</v>
          </cell>
          <cell r="T40">
            <v>5282.1759890000003</v>
          </cell>
          <cell r="U40">
            <v>5338.316178</v>
          </cell>
          <cell r="V40">
            <v>5402.4307870000002</v>
          </cell>
          <cell r="W40">
            <v>5478.788348</v>
          </cell>
          <cell r="X40">
            <v>5569.1269309999998</v>
          </cell>
          <cell r="Y40">
            <v>5673.8180050000001</v>
          </cell>
          <cell r="Z40">
            <v>5792.3650299999999</v>
          </cell>
          <cell r="AA40">
            <v>5922.9580100000003</v>
          </cell>
          <cell r="AB40">
            <v>6060.7158689999997</v>
          </cell>
          <cell r="AC40">
            <v>6211.4176960000004</v>
          </cell>
          <cell r="AD40">
            <v>6375.5510379999996</v>
          </cell>
          <cell r="AE40">
            <v>6551.0976069999997</v>
          </cell>
          <cell r="AF40">
            <v>6735.0270929999997</v>
          </cell>
          <cell r="AG40">
            <v>6925.9460680000002</v>
          </cell>
          <cell r="AH40">
            <v>7122.2701859999997</v>
          </cell>
          <cell r="AI40">
            <v>7322.0757979999998</v>
          </cell>
          <cell r="AJ40">
            <v>7523.44362</v>
          </cell>
          <cell r="AK40">
            <v>7724.5453889999999</v>
          </cell>
        </row>
        <row r="41">
          <cell r="B41">
            <v>4209.4774470000002</v>
          </cell>
          <cell r="C41">
            <v>4275.0338659999998</v>
          </cell>
          <cell r="D41">
            <v>4348.1520719999999</v>
          </cell>
          <cell r="E41">
            <v>4424.4355869999999</v>
          </cell>
          <cell r="F41">
            <v>4510.4531820000002</v>
          </cell>
          <cell r="G41">
            <v>4605.9914429999999</v>
          </cell>
          <cell r="H41">
            <v>4709.3926270000002</v>
          </cell>
          <cell r="I41">
            <v>4819.639827</v>
          </cell>
          <cell r="J41">
            <v>4935.3827140000003</v>
          </cell>
          <cell r="K41">
            <v>5055.6415049999996</v>
          </cell>
          <cell r="L41">
            <v>5175.2224880000003</v>
          </cell>
          <cell r="M41">
            <v>5278.4440089999998</v>
          </cell>
          <cell r="N41">
            <v>5368.1129099999998</v>
          </cell>
          <cell r="O41">
            <v>5448.1570009999996</v>
          </cell>
          <cell r="P41">
            <v>5523.1244150000002</v>
          </cell>
          <cell r="Q41">
            <v>5597.1390730000003</v>
          </cell>
          <cell r="R41">
            <v>5673.7872619999998</v>
          </cell>
          <cell r="S41">
            <v>5756.2721700000002</v>
          </cell>
          <cell r="T41">
            <v>5847.1587520000003</v>
          </cell>
          <cell r="U41">
            <v>5948.05674</v>
          </cell>
          <cell r="V41">
            <v>6059.8749740000003</v>
          </cell>
          <cell r="W41">
            <v>6184.1898199999996</v>
          </cell>
          <cell r="X41">
            <v>6322.350117</v>
          </cell>
          <cell r="Y41">
            <v>6475.0531799999999</v>
          </cell>
          <cell r="Z41">
            <v>6642.1772890000002</v>
          </cell>
          <cell r="AA41">
            <v>6822.1319370000001</v>
          </cell>
          <cell r="AB41">
            <v>7010.7870679999996</v>
          </cell>
          <cell r="AC41">
            <v>7210.0722750000004</v>
          </cell>
          <cell r="AD41">
            <v>7421.1664650000002</v>
          </cell>
          <cell r="AE41">
            <v>7642.523639</v>
          </cell>
          <cell r="AF41">
            <v>7871.315783</v>
          </cell>
          <cell r="AG41">
            <v>8104.9819909999997</v>
          </cell>
          <cell r="AH41">
            <v>8341.5434580000001</v>
          </cell>
          <cell r="AI41">
            <v>8579.2847020000008</v>
          </cell>
          <cell r="AJ41">
            <v>8816.6157409999996</v>
          </cell>
          <cell r="AK41">
            <v>9052.0126939999991</v>
          </cell>
        </row>
        <row r="42">
          <cell r="B42">
            <v>35340.203670000003</v>
          </cell>
          <cell r="C42">
            <v>35642.288950000002</v>
          </cell>
          <cell r="D42">
            <v>35945.208610000001</v>
          </cell>
          <cell r="E42">
            <v>36264.273829999998</v>
          </cell>
          <cell r="F42">
            <v>36695.28499</v>
          </cell>
          <cell r="G42">
            <v>37228.775739999997</v>
          </cell>
          <cell r="H42">
            <v>37874.663110000001</v>
          </cell>
          <cell r="I42">
            <v>38411.23401</v>
          </cell>
          <cell r="J42">
            <v>38868.101620000001</v>
          </cell>
          <cell r="K42">
            <v>39380.320050000002</v>
          </cell>
          <cell r="L42">
            <v>39717.26</v>
          </cell>
          <cell r="M42">
            <v>40024.847959999999</v>
          </cell>
          <cell r="N42">
            <v>40318.391629999998</v>
          </cell>
          <cell r="O42">
            <v>40615.560920000004</v>
          </cell>
          <cell r="P42">
            <v>40934.943399999996</v>
          </cell>
          <cell r="Q42">
            <v>41280.32935</v>
          </cell>
          <cell r="R42">
            <v>41510.146480000003</v>
          </cell>
          <cell r="S42">
            <v>41737.703809999999</v>
          </cell>
          <cell r="T42">
            <v>41853.585809999997</v>
          </cell>
          <cell r="U42">
            <v>41659.398229999999</v>
          </cell>
          <cell r="V42">
            <v>41450.552369999998</v>
          </cell>
          <cell r="W42">
            <v>41229.085720000003</v>
          </cell>
          <cell r="X42">
            <v>40996.033750000002</v>
          </cell>
          <cell r="Y42">
            <v>40752.212469999999</v>
          </cell>
          <cell r="Z42">
            <v>40496.946219999998</v>
          </cell>
          <cell r="AA42">
            <v>40226.068599999999</v>
          </cell>
          <cell r="AB42">
            <v>39895.0936</v>
          </cell>
          <cell r="AC42">
            <v>39547.221960000003</v>
          </cell>
          <cell r="AD42">
            <v>39207.066729999999</v>
          </cell>
          <cell r="AE42">
            <v>38878.045279999998</v>
          </cell>
          <cell r="AF42">
            <v>38557.837079999998</v>
          </cell>
          <cell r="AG42">
            <v>38253.409529999997</v>
          </cell>
          <cell r="AH42">
            <v>37971.393519999998</v>
          </cell>
          <cell r="AI42">
            <v>37718.395550000001</v>
          </cell>
          <cell r="AJ42">
            <v>37501.05298</v>
          </cell>
          <cell r="AK42">
            <v>37325.419419999998</v>
          </cell>
        </row>
        <row r="43">
          <cell r="B43">
            <v>35340.203569999998</v>
          </cell>
          <cell r="C43">
            <v>35642.288849999997</v>
          </cell>
          <cell r="D43">
            <v>35945.208509999997</v>
          </cell>
          <cell r="E43">
            <v>36264.273739999997</v>
          </cell>
          <cell r="F43">
            <v>36695.284890000003</v>
          </cell>
          <cell r="G43">
            <v>37228.775650000003</v>
          </cell>
          <cell r="H43">
            <v>37874.66302</v>
          </cell>
          <cell r="I43">
            <v>38598.271460000004</v>
          </cell>
          <cell r="J43">
            <v>39381.789779999999</v>
          </cell>
          <cell r="K43">
            <v>40214.227010000002</v>
          </cell>
          <cell r="L43">
            <v>41062.950689999998</v>
          </cell>
          <cell r="M43">
            <v>41823.044849999998</v>
          </cell>
          <cell r="N43">
            <v>42509.446060000002</v>
          </cell>
          <cell r="O43">
            <v>43140.273520000002</v>
          </cell>
          <cell r="P43">
            <v>43735.011749999998</v>
          </cell>
          <cell r="Q43">
            <v>44312.046150000002</v>
          </cell>
          <cell r="R43">
            <v>44880.38654</v>
          </cell>
          <cell r="S43">
            <v>45469.564590000002</v>
          </cell>
          <cell r="T43">
            <v>46093.91214</v>
          </cell>
          <cell r="U43">
            <v>46763.024230000003</v>
          </cell>
          <cell r="V43">
            <v>47484.287940000002</v>
          </cell>
          <cell r="W43">
            <v>48270.879849999998</v>
          </cell>
          <cell r="X43">
            <v>49134.46615</v>
          </cell>
          <cell r="Y43">
            <v>50083.885399999999</v>
          </cell>
          <cell r="Z43">
            <v>51123.815840000003</v>
          </cell>
          <cell r="AA43">
            <v>52251.819909999998</v>
          </cell>
          <cell r="AB43">
            <v>53363.83354</v>
          </cell>
          <cell r="AC43">
            <v>54523.893179999999</v>
          </cell>
          <cell r="AD43">
            <v>55763.585480000002</v>
          </cell>
          <cell r="AE43">
            <v>57082.677669999997</v>
          </cell>
          <cell r="AF43">
            <v>58467.802559999996</v>
          </cell>
          <cell r="AG43">
            <v>59904.89705</v>
          </cell>
          <cell r="AH43">
            <v>61381.953399999999</v>
          </cell>
          <cell r="AI43">
            <v>62887.418360000003</v>
          </cell>
          <cell r="AJ43">
            <v>64409.496070000001</v>
          </cell>
          <cell r="AK43">
            <v>65935.860969999994</v>
          </cell>
        </row>
        <row r="44">
          <cell r="B44">
            <v>3917.9589030000002</v>
          </cell>
          <cell r="C44">
            <v>3933.1617759999999</v>
          </cell>
          <cell r="D44">
            <v>3946.253052</v>
          </cell>
          <cell r="E44">
            <v>3962.9918600000001</v>
          </cell>
          <cell r="F44">
            <v>3992.8438209999999</v>
          </cell>
          <cell r="G44">
            <v>4034.7888670000002</v>
          </cell>
          <cell r="H44">
            <v>4083.2241490000001</v>
          </cell>
          <cell r="I44">
            <v>4122.3200980000001</v>
          </cell>
          <cell r="J44">
            <v>4152.236003</v>
          </cell>
          <cell r="K44">
            <v>4177.7675479999998</v>
          </cell>
          <cell r="L44">
            <v>4189.3609020000004</v>
          </cell>
          <cell r="M44">
            <v>4209.1688960000001</v>
          </cell>
          <cell r="N44">
            <v>4233.3335049999996</v>
          </cell>
          <cell r="O44">
            <v>4260.6904960000002</v>
          </cell>
          <cell r="P44">
            <v>4290.3672390000002</v>
          </cell>
          <cell r="Q44">
            <v>4321.2596450000001</v>
          </cell>
          <cell r="R44">
            <v>4348.0822289999996</v>
          </cell>
          <cell r="S44">
            <v>4373.5152850000004</v>
          </cell>
          <cell r="T44">
            <v>4610.0332470000003</v>
          </cell>
          <cell r="U44">
            <v>5457.6651620000002</v>
          </cell>
          <cell r="V44">
            <v>6449.6133010000003</v>
          </cell>
          <cell r="W44">
            <v>7601.5252339999997</v>
          </cell>
          <cell r="X44">
            <v>8930.8350050000008</v>
          </cell>
          <cell r="Y44">
            <v>10454.21919</v>
          </cell>
          <cell r="Z44">
            <v>12186.014660000001</v>
          </cell>
          <cell r="AA44">
            <v>14135.708329999999</v>
          </cell>
          <cell r="AB44">
            <v>16309.08764</v>
          </cell>
          <cell r="AC44">
            <v>18709.763009999999</v>
          </cell>
          <cell r="AD44">
            <v>21333.71011</v>
          </cell>
          <cell r="AE44">
            <v>24167.243740000002</v>
          </cell>
          <cell r="AF44">
            <v>27187.24281</v>
          </cell>
          <cell r="AG44">
            <v>30366.832490000001</v>
          </cell>
          <cell r="AH44">
            <v>33671.000809999998</v>
          </cell>
          <cell r="AI44">
            <v>37059.259989999999</v>
          </cell>
          <cell r="AJ44">
            <v>40488.238859999998</v>
          </cell>
          <cell r="AK44">
            <v>43914.026230000003</v>
          </cell>
        </row>
        <row r="45">
          <cell r="B45">
            <v>3917.9589030000002</v>
          </cell>
          <cell r="C45">
            <v>3933.161775</v>
          </cell>
          <cell r="D45">
            <v>3946.2530510000001</v>
          </cell>
          <cell r="E45">
            <v>3962.9918590000002</v>
          </cell>
          <cell r="F45">
            <v>3992.8438200000001</v>
          </cell>
          <cell r="G45">
            <v>4034.7888659999999</v>
          </cell>
          <cell r="H45">
            <v>4083.2241479999998</v>
          </cell>
          <cell r="I45">
            <v>4138.7295640000002</v>
          </cell>
          <cell r="J45">
            <v>4199.664135</v>
          </cell>
          <cell r="K45">
            <v>4264.6250499999996</v>
          </cell>
          <cell r="L45">
            <v>4331.2985959999996</v>
          </cell>
          <cell r="M45">
            <v>4399.0251870000002</v>
          </cell>
          <cell r="N45">
            <v>4462.7862729999997</v>
          </cell>
          <cell r="O45">
            <v>4522.3102159999999</v>
          </cell>
          <cell r="P45">
            <v>4578.1445480000002</v>
          </cell>
          <cell r="Q45">
            <v>4631.127735</v>
          </cell>
          <cell r="R45">
            <v>4680.0769650000002</v>
          </cell>
          <cell r="S45">
            <v>4728.9112999999998</v>
          </cell>
          <cell r="T45">
            <v>4778.8391940000001</v>
          </cell>
          <cell r="U45">
            <v>4830.6949379999996</v>
          </cell>
          <cell r="V45">
            <v>4885.1330680000001</v>
          </cell>
          <cell r="W45">
            <v>4943.2142169999997</v>
          </cell>
          <cell r="X45">
            <v>5005.8670140000004</v>
          </cell>
          <cell r="Y45">
            <v>5073.8384809999998</v>
          </cell>
          <cell r="Z45">
            <v>5147.620817</v>
          </cell>
          <cell r="AA45">
            <v>5227.1018620000004</v>
          </cell>
          <cell r="AB45">
            <v>5311.1289870000001</v>
          </cell>
          <cell r="AC45">
            <v>5400.7616959999996</v>
          </cell>
          <cell r="AD45">
            <v>5496.7171959999996</v>
          </cell>
          <cell r="AE45">
            <v>5598.8497470000002</v>
          </cell>
          <cell r="AF45">
            <v>5706.4783880000005</v>
          </cell>
          <cell r="AG45">
            <v>5818.797278</v>
          </cell>
          <cell r="AH45">
            <v>5934.9900049999997</v>
          </cell>
          <cell r="AI45">
            <v>6054.1690339999996</v>
          </cell>
          <cell r="AJ45">
            <v>6175.3578719999996</v>
          </cell>
          <cell r="AK45">
            <v>6297.496435</v>
          </cell>
        </row>
        <row r="46">
          <cell r="B46">
            <v>398.1673533</v>
          </cell>
          <cell r="C46">
            <v>400.59669589999999</v>
          </cell>
          <cell r="D46">
            <v>403.44077529999998</v>
          </cell>
          <cell r="E46">
            <v>405.94529779999999</v>
          </cell>
          <cell r="F46">
            <v>410.30287570000002</v>
          </cell>
          <cell r="G46">
            <v>416.0046466</v>
          </cell>
          <cell r="H46">
            <v>431.21052850000001</v>
          </cell>
          <cell r="I46">
            <v>445.94443819999998</v>
          </cell>
          <cell r="J46">
            <v>460.21539039999999</v>
          </cell>
          <cell r="K46">
            <v>475.7682466</v>
          </cell>
          <cell r="L46">
            <v>483.74782479999999</v>
          </cell>
          <cell r="M46">
            <v>485.57639440000003</v>
          </cell>
          <cell r="N46">
            <v>486.65016420000001</v>
          </cell>
          <cell r="O46">
            <v>487.84893010000002</v>
          </cell>
          <cell r="P46">
            <v>489.45739800000001</v>
          </cell>
          <cell r="Q46">
            <v>491.5626767</v>
          </cell>
          <cell r="R46">
            <v>477.39486590000001</v>
          </cell>
          <cell r="S46">
            <v>461.31987720000001</v>
          </cell>
          <cell r="T46">
            <v>443.48866120000002</v>
          </cell>
          <cell r="U46">
            <v>424.22646559999998</v>
          </cell>
          <cell r="V46">
            <v>404.35699010000002</v>
          </cell>
          <cell r="W46">
            <v>385.04849899999999</v>
          </cell>
          <cell r="X46">
            <v>367.26558740000002</v>
          </cell>
          <cell r="Y46">
            <v>352.1410836</v>
          </cell>
          <cell r="Z46">
            <v>340.88959799999998</v>
          </cell>
          <cell r="AA46">
            <v>334.60023740000003</v>
          </cell>
          <cell r="AB46">
            <v>330.07507529999998</v>
          </cell>
          <cell r="AC46">
            <v>330.502948</v>
          </cell>
          <cell r="AD46">
            <v>337.28450529999998</v>
          </cell>
          <cell r="AE46">
            <v>350.49155180000002</v>
          </cell>
          <cell r="AF46">
            <v>369.59505799999999</v>
          </cell>
          <cell r="AG46">
            <v>393.93046370000002</v>
          </cell>
          <cell r="AH46">
            <v>422.64534730000003</v>
          </cell>
          <cell r="AI46">
            <v>454.85889450000002</v>
          </cell>
          <cell r="AJ46">
            <v>489.71586029999997</v>
          </cell>
          <cell r="AK46">
            <v>526.42315610000003</v>
          </cell>
        </row>
        <row r="47">
          <cell r="B47">
            <v>398.16733060000001</v>
          </cell>
          <cell r="C47">
            <v>400.5966742</v>
          </cell>
          <cell r="D47">
            <v>403.44075429999998</v>
          </cell>
          <cell r="E47">
            <v>405.94527790000001</v>
          </cell>
          <cell r="F47">
            <v>410.30285620000001</v>
          </cell>
          <cell r="G47">
            <v>416.00462720000002</v>
          </cell>
          <cell r="H47">
            <v>431.2105085</v>
          </cell>
          <cell r="I47">
            <v>449.2669138</v>
          </cell>
          <cell r="J47">
            <v>469.18239269999998</v>
          </cell>
          <cell r="K47">
            <v>490.80673089999999</v>
          </cell>
          <cell r="L47">
            <v>513.91619509999998</v>
          </cell>
          <cell r="M47">
            <v>528.98181030000001</v>
          </cell>
          <cell r="N47">
            <v>542.27446199999997</v>
          </cell>
          <cell r="O47">
            <v>554.9844468</v>
          </cell>
          <cell r="P47">
            <v>567.53713930000004</v>
          </cell>
          <cell r="Q47">
            <v>580.24163869999995</v>
          </cell>
          <cell r="R47">
            <v>593.25117339999997</v>
          </cell>
          <cell r="S47">
            <v>606.93116629999997</v>
          </cell>
          <cell r="T47">
            <v>621.48734820000004</v>
          </cell>
          <cell r="U47">
            <v>637.11905349999995</v>
          </cell>
          <cell r="V47">
            <v>653.97632910000004</v>
          </cell>
          <cell r="W47">
            <v>672.40780570000004</v>
          </cell>
          <cell r="X47">
            <v>692.68778759999998</v>
          </cell>
          <cell r="Y47">
            <v>715.08083899999997</v>
          </cell>
          <cell r="Z47">
            <v>739.82761319999997</v>
          </cell>
          <cell r="AA47">
            <v>766.97516759999996</v>
          </cell>
          <cell r="AB47">
            <v>786.65079309999999</v>
          </cell>
          <cell r="AC47">
            <v>803.95485429999997</v>
          </cell>
          <cell r="AD47">
            <v>821.90416500000003</v>
          </cell>
          <cell r="AE47">
            <v>841.24927790000004</v>
          </cell>
          <cell r="AF47">
            <v>861.87532669999996</v>
          </cell>
          <cell r="AG47">
            <v>883.46967159999997</v>
          </cell>
          <cell r="AH47">
            <v>905.72882570000002</v>
          </cell>
          <cell r="AI47">
            <v>928.38198580000005</v>
          </cell>
          <cell r="AJ47">
            <v>951.18599989999996</v>
          </cell>
          <cell r="AK47">
            <v>973.91442910000001</v>
          </cell>
        </row>
        <row r="48">
          <cell r="B48">
            <v>558.96277380000004</v>
          </cell>
          <cell r="C48">
            <v>562.37317929999995</v>
          </cell>
          <cell r="D48">
            <v>566.36580809999998</v>
          </cell>
          <cell r="E48">
            <v>569.88175409999997</v>
          </cell>
          <cell r="F48">
            <v>575.99909090000006</v>
          </cell>
          <cell r="G48">
            <v>584.00345800000002</v>
          </cell>
          <cell r="H48">
            <v>605.35006480000004</v>
          </cell>
          <cell r="I48">
            <v>626.03409880000004</v>
          </cell>
          <cell r="J48">
            <v>646.06821490000004</v>
          </cell>
          <cell r="K48">
            <v>667.90191770000001</v>
          </cell>
          <cell r="L48">
            <v>727.74324000000001</v>
          </cell>
          <cell r="M48">
            <v>782.57911379999996</v>
          </cell>
          <cell r="N48">
            <v>839.66190549999999</v>
          </cell>
          <cell r="O48">
            <v>900.33029620000002</v>
          </cell>
          <cell r="P48">
            <v>965.07616029999997</v>
          </cell>
          <cell r="Q48">
            <v>1034.01458</v>
          </cell>
          <cell r="R48">
            <v>1197.522193</v>
          </cell>
          <cell r="S48">
            <v>1380.0542049999999</v>
          </cell>
          <cell r="T48">
            <v>1580.873615</v>
          </cell>
          <cell r="U48">
            <v>1797.92839</v>
          </cell>
          <cell r="V48">
            <v>2029.034261</v>
          </cell>
          <cell r="W48">
            <v>2272.0223810000002</v>
          </cell>
          <cell r="X48">
            <v>2522.012862</v>
          </cell>
          <cell r="Y48">
            <v>2773.1729690000002</v>
          </cell>
          <cell r="Z48">
            <v>3019.090299</v>
          </cell>
          <cell r="AA48">
            <v>3252.2446220000002</v>
          </cell>
          <cell r="AB48">
            <v>3422.128381</v>
          </cell>
          <cell r="AC48">
            <v>3544.0359659999999</v>
          </cell>
          <cell r="AD48">
            <v>3627.0395309999999</v>
          </cell>
          <cell r="AE48">
            <v>3673.2496449999999</v>
          </cell>
          <cell r="AF48">
            <v>3683.4164599999999</v>
          </cell>
          <cell r="AG48">
            <v>3660.6650749999999</v>
          </cell>
          <cell r="AH48">
            <v>3608.6165350000001</v>
          </cell>
          <cell r="AI48">
            <v>3531.7253890000002</v>
          </cell>
          <cell r="AJ48">
            <v>3434.6948769999999</v>
          </cell>
          <cell r="AK48">
            <v>3322.0490519999998</v>
          </cell>
        </row>
        <row r="49">
          <cell r="B49">
            <v>558.96289839999997</v>
          </cell>
          <cell r="C49">
            <v>562.37330610000004</v>
          </cell>
          <cell r="D49">
            <v>566.36593719999996</v>
          </cell>
          <cell r="E49">
            <v>569.88188549999995</v>
          </cell>
          <cell r="F49">
            <v>575.99922470000001</v>
          </cell>
          <cell r="G49">
            <v>584.00359419999995</v>
          </cell>
          <cell r="H49">
            <v>605.35020610000004</v>
          </cell>
          <cell r="I49">
            <v>630.69849520000002</v>
          </cell>
          <cell r="J49">
            <v>658.65662480000003</v>
          </cell>
          <cell r="K49">
            <v>689.01371800000004</v>
          </cell>
          <cell r="L49">
            <v>721.45568920000005</v>
          </cell>
          <cell r="M49">
            <v>742.60539010000002</v>
          </cell>
          <cell r="N49">
            <v>761.26613529999997</v>
          </cell>
          <cell r="O49">
            <v>779.10891000000004</v>
          </cell>
          <cell r="P49">
            <v>796.73087150000003</v>
          </cell>
          <cell r="Q49">
            <v>814.5659455</v>
          </cell>
          <cell r="R49">
            <v>832.82924000000003</v>
          </cell>
          <cell r="S49">
            <v>852.03374989999998</v>
          </cell>
          <cell r="T49">
            <v>872.46828849999997</v>
          </cell>
          <cell r="U49">
            <v>894.41268879999996</v>
          </cell>
          <cell r="V49">
            <v>918.07759269999997</v>
          </cell>
          <cell r="W49">
            <v>943.95242169999995</v>
          </cell>
          <cell r="X49">
            <v>972.42225480000002</v>
          </cell>
          <cell r="Y49">
            <v>1003.8584980000001</v>
          </cell>
          <cell r="Z49">
            <v>1038.5989890000001</v>
          </cell>
          <cell r="AA49">
            <v>1076.709789</v>
          </cell>
          <cell r="AB49">
            <v>1104.331203</v>
          </cell>
          <cell r="AC49">
            <v>1128.6233219999999</v>
          </cell>
          <cell r="AD49">
            <v>1153.8212679999999</v>
          </cell>
          <cell r="AE49">
            <v>1180.978695</v>
          </cell>
          <cell r="AF49">
            <v>1209.9343510000001</v>
          </cell>
          <cell r="AG49">
            <v>1240.2493380000001</v>
          </cell>
          <cell r="AH49">
            <v>1271.497611</v>
          </cell>
          <cell r="AI49">
            <v>1303.299004</v>
          </cell>
          <cell r="AJ49">
            <v>1335.312173</v>
          </cell>
          <cell r="AK49">
            <v>1367.2192319999999</v>
          </cell>
        </row>
        <row r="50">
          <cell r="B50">
            <v>46376.956530000003</v>
          </cell>
          <cell r="C50">
            <v>47037.848059999997</v>
          </cell>
          <cell r="D50">
            <v>47645.563329999997</v>
          </cell>
          <cell r="E50">
            <v>48293.063110000003</v>
          </cell>
          <cell r="F50">
            <v>48879.615819999999</v>
          </cell>
          <cell r="G50">
            <v>49483.823689999997</v>
          </cell>
          <cell r="H50">
            <v>49658.17959</v>
          </cell>
          <cell r="I50">
            <v>50165.686540000002</v>
          </cell>
          <cell r="J50">
            <v>50786.058510000003</v>
          </cell>
          <cell r="K50">
            <v>51643.858269999997</v>
          </cell>
          <cell r="L50">
            <v>52502.509539999999</v>
          </cell>
          <cell r="M50">
            <v>52854.272729999997</v>
          </cell>
          <cell r="N50">
            <v>52748.704510000003</v>
          </cell>
          <cell r="O50">
            <v>52437.464</v>
          </cell>
          <cell r="P50">
            <v>52035.482550000001</v>
          </cell>
          <cell r="Q50">
            <v>51589.625480000002</v>
          </cell>
          <cell r="R50">
            <v>50862.197200000002</v>
          </cell>
          <cell r="S50">
            <v>50103.024660000003</v>
          </cell>
          <cell r="T50">
            <v>49323.867850000002</v>
          </cell>
          <cell r="U50">
            <v>48546.130169999997</v>
          </cell>
          <cell r="V50">
            <v>47796.171399999999</v>
          </cell>
          <cell r="W50">
            <v>47093.229979999996</v>
          </cell>
          <cell r="X50">
            <v>46483.690439999998</v>
          </cell>
          <cell r="Y50">
            <v>45990.885159999998</v>
          </cell>
          <cell r="Z50">
            <v>45622.822919999999</v>
          </cell>
          <cell r="AA50">
            <v>45367.657350000001</v>
          </cell>
          <cell r="AB50">
            <v>46693.659249999997</v>
          </cell>
          <cell r="AC50">
            <v>47607.702539999998</v>
          </cell>
          <cell r="AD50">
            <v>48529.287250000001</v>
          </cell>
          <cell r="AE50">
            <v>49540.454510000003</v>
          </cell>
          <cell r="AF50">
            <v>50625.06465</v>
          </cell>
          <cell r="AG50">
            <v>51745.992380000003</v>
          </cell>
          <cell r="AH50">
            <v>52886.596830000002</v>
          </cell>
          <cell r="AI50">
            <v>54031.122219999997</v>
          </cell>
          <cell r="AJ50">
            <v>55165.266530000001</v>
          </cell>
          <cell r="AK50">
            <v>56276.899230000003</v>
          </cell>
        </row>
        <row r="51">
          <cell r="B51">
            <v>46376.95652</v>
          </cell>
          <cell r="C51">
            <v>47037.848050000001</v>
          </cell>
          <cell r="D51">
            <v>47645.563329999997</v>
          </cell>
          <cell r="E51">
            <v>48293.063110000003</v>
          </cell>
          <cell r="F51">
            <v>48879.615819999999</v>
          </cell>
          <cell r="G51">
            <v>49483.823700000001</v>
          </cell>
          <cell r="H51">
            <v>49658.179600000003</v>
          </cell>
          <cell r="I51">
            <v>50088.428070000002</v>
          </cell>
          <cell r="J51">
            <v>50551.826509999999</v>
          </cell>
          <cell r="K51">
            <v>50999.643900000003</v>
          </cell>
          <cell r="L51">
            <v>51395.333140000002</v>
          </cell>
          <cell r="M51">
            <v>51673.623979999997</v>
          </cell>
          <cell r="N51">
            <v>51688.287900000003</v>
          </cell>
          <cell r="O51">
            <v>51557.225209999997</v>
          </cell>
          <cell r="P51">
            <v>51321.800410000003</v>
          </cell>
          <cell r="Q51">
            <v>51008.605680000001</v>
          </cell>
          <cell r="R51">
            <v>50408.146030000004</v>
          </cell>
          <cell r="S51">
            <v>49750.519229999998</v>
          </cell>
          <cell r="T51">
            <v>49062.713159999999</v>
          </cell>
          <cell r="U51">
            <v>48380.158210000001</v>
          </cell>
          <cell r="V51">
            <v>47731.293720000001</v>
          </cell>
          <cell r="W51">
            <v>47151.995340000001</v>
          </cell>
          <cell r="X51">
            <v>46666.410409999997</v>
          </cell>
          <cell r="Y51">
            <v>46291.831890000001</v>
          </cell>
          <cell r="Z51">
            <v>46038.765010000003</v>
          </cell>
          <cell r="AA51">
            <v>45902.226999999999</v>
          </cell>
          <cell r="AB51">
            <v>47350.051350000002</v>
          </cell>
          <cell r="AC51">
            <v>48364.975910000001</v>
          </cell>
          <cell r="AD51">
            <v>49376.556689999998</v>
          </cell>
          <cell r="AE51">
            <v>50481.399420000002</v>
          </cell>
          <cell r="AF51">
            <v>51674.93707</v>
          </cell>
          <cell r="AG51">
            <v>52929.798280000003</v>
          </cell>
          <cell r="AH51">
            <v>54218.80603</v>
          </cell>
          <cell r="AI51">
            <v>55519.311269999998</v>
          </cell>
          <cell r="AJ51">
            <v>56813.219499999999</v>
          </cell>
          <cell r="AK51">
            <v>58085.577069999999</v>
          </cell>
        </row>
        <row r="52">
          <cell r="B52">
            <v>924.28623200000004</v>
          </cell>
          <cell r="C52">
            <v>937.4577074</v>
          </cell>
          <cell r="D52">
            <v>949.56938749999995</v>
          </cell>
          <cell r="E52">
            <v>962.47396719999995</v>
          </cell>
          <cell r="F52">
            <v>974.16388040000004</v>
          </cell>
          <cell r="G52">
            <v>986.20565839999995</v>
          </cell>
          <cell r="H52">
            <v>857.30330379999998</v>
          </cell>
          <cell r="I52">
            <v>721.13989189999995</v>
          </cell>
          <cell r="J52">
            <v>570.52192309999998</v>
          </cell>
          <cell r="K52">
            <v>403.10623190000001</v>
          </cell>
          <cell r="L52">
            <v>212.5809142</v>
          </cell>
          <cell r="M52">
            <v>221.49586640000001</v>
          </cell>
          <cell r="N52">
            <v>228.79084320000001</v>
          </cell>
          <cell r="O52">
            <v>235.40183149999999</v>
          </cell>
          <cell r="P52">
            <v>241.77370199999999</v>
          </cell>
          <cell r="Q52">
            <v>248.09223159999999</v>
          </cell>
          <cell r="R52">
            <v>163.78815370000001</v>
          </cell>
          <cell r="S52">
            <v>108.0408255</v>
          </cell>
          <cell r="T52">
            <v>71.222572260000007</v>
          </cell>
          <cell r="U52">
            <v>46.940933770000001</v>
          </cell>
          <cell r="V52">
            <v>30.947587380000002</v>
          </cell>
          <cell r="W52">
            <v>20.418730910000001</v>
          </cell>
          <cell r="X52">
            <v>13.49607389</v>
          </cell>
          <cell r="Y52">
            <v>8.9415991080000001</v>
          </cell>
          <cell r="Z52">
            <v>5.9396678500000002</v>
          </cell>
          <cell r="AA52">
            <v>3.9551498230000002</v>
          </cell>
          <cell r="AB52">
            <v>4.0707505949999998</v>
          </cell>
          <cell r="AC52">
            <v>4.1504368380000001</v>
          </cell>
          <cell r="AD52">
            <v>4.2307805409999997</v>
          </cell>
          <cell r="AE52">
            <v>4.3189340459999999</v>
          </cell>
          <cell r="AF52">
            <v>4.4134902970000001</v>
          </cell>
          <cell r="AG52">
            <v>4.511212714</v>
          </cell>
          <cell r="AH52">
            <v>4.6106505450000004</v>
          </cell>
          <cell r="AI52">
            <v>4.7104302049999998</v>
          </cell>
          <cell r="AJ52">
            <v>4.8093048420000004</v>
          </cell>
          <cell r="AK52">
            <v>4.9062169190000002</v>
          </cell>
        </row>
        <row r="53">
          <cell r="B53">
            <v>924.28623189999996</v>
          </cell>
          <cell r="C53">
            <v>937.45770730000004</v>
          </cell>
          <cell r="D53">
            <v>949.56938739999998</v>
          </cell>
          <cell r="E53">
            <v>962.47396709999998</v>
          </cell>
          <cell r="F53">
            <v>974.16388040000004</v>
          </cell>
          <cell r="G53">
            <v>986.20565839999995</v>
          </cell>
          <cell r="H53">
            <v>857.30330400000003</v>
          </cell>
          <cell r="I53">
            <v>720.02928880000002</v>
          </cell>
          <cell r="J53">
            <v>567.89060080000002</v>
          </cell>
          <cell r="K53">
            <v>398.07781540000002</v>
          </cell>
          <cell r="L53">
            <v>208.09799390000001</v>
          </cell>
          <cell r="M53">
            <v>216.54813369999999</v>
          </cell>
          <cell r="N53">
            <v>224.19142009999999</v>
          </cell>
          <cell r="O53">
            <v>231.4502708</v>
          </cell>
          <cell r="P53">
            <v>238.4577036</v>
          </cell>
          <cell r="Q53">
            <v>245.29813300000001</v>
          </cell>
          <cell r="R53">
            <v>162.32600289999999</v>
          </cell>
          <cell r="S53">
            <v>107.2806922</v>
          </cell>
          <cell r="T53">
            <v>70.845470660000004</v>
          </cell>
          <cell r="U53">
            <v>46.780449740000002</v>
          </cell>
          <cell r="V53">
            <v>30.905579670000002</v>
          </cell>
          <cell r="W53">
            <v>20.44421045</v>
          </cell>
          <cell r="X53">
            <v>13.5491248</v>
          </cell>
          <cell r="Y53">
            <v>9.0001095069999995</v>
          </cell>
          <cell r="Z53">
            <v>5.9938196479999997</v>
          </cell>
          <cell r="AA53">
            <v>4.0017535750000004</v>
          </cell>
          <cell r="AB53">
            <v>4.1279748209999996</v>
          </cell>
          <cell r="AC53">
            <v>4.2164558870000004</v>
          </cell>
          <cell r="AD53">
            <v>4.3046454430000001</v>
          </cell>
          <cell r="AE53">
            <v>4.4009655700000003</v>
          </cell>
          <cell r="AF53">
            <v>4.5050181159999996</v>
          </cell>
          <cell r="AG53">
            <v>4.614416845</v>
          </cell>
          <cell r="AH53">
            <v>4.7267924690000003</v>
          </cell>
          <cell r="AI53">
            <v>4.8401704429999999</v>
          </cell>
          <cell r="AJ53">
            <v>4.9529732900000001</v>
          </cell>
          <cell r="AK53">
            <v>5.0638973509999996</v>
          </cell>
        </row>
        <row r="54">
          <cell r="B54">
            <v>1343.143163</v>
          </cell>
          <cell r="C54">
            <v>1362.2835299999999</v>
          </cell>
          <cell r="D54">
            <v>1379.8838350000001</v>
          </cell>
          <cell r="E54">
            <v>1398.636358</v>
          </cell>
          <cell r="F54">
            <v>1415.623765</v>
          </cell>
          <cell r="G54">
            <v>1433.1224910000001</v>
          </cell>
          <cell r="H54">
            <v>1755.614607</v>
          </cell>
          <cell r="I54">
            <v>2121.0893580000002</v>
          </cell>
          <cell r="J54">
            <v>2529.88913</v>
          </cell>
          <cell r="K54">
            <v>2997.1934999999999</v>
          </cell>
          <cell r="L54">
            <v>3519.9804399999998</v>
          </cell>
          <cell r="M54">
            <v>3699.1476889999999</v>
          </cell>
          <cell r="N54">
            <v>3853.8494900000001</v>
          </cell>
          <cell r="O54">
            <v>3999.3186959999998</v>
          </cell>
          <cell r="P54">
            <v>4142.9081200000001</v>
          </cell>
          <cell r="Q54">
            <v>4287.7501659999998</v>
          </cell>
          <cell r="R54">
            <v>4366.0878819999998</v>
          </cell>
          <cell r="S54">
            <v>4442.1330120000002</v>
          </cell>
          <cell r="T54">
            <v>4516.6350259999999</v>
          </cell>
          <cell r="U54">
            <v>4591.3748089999999</v>
          </cell>
          <cell r="V54">
            <v>4668.8669650000002</v>
          </cell>
          <cell r="W54">
            <v>4751.2417249999999</v>
          </cell>
          <cell r="X54">
            <v>4843.7253140000003</v>
          </cell>
          <cell r="Y54">
            <v>4949.7234280000002</v>
          </cell>
          <cell r="Z54">
            <v>5071.3265570000003</v>
          </cell>
          <cell r="AA54">
            <v>5208.5403820000001</v>
          </cell>
          <cell r="AB54">
            <v>5360.7751429999998</v>
          </cell>
          <cell r="AC54">
            <v>5465.7140280000003</v>
          </cell>
          <cell r="AD54">
            <v>5571.5187230000001</v>
          </cell>
          <cell r="AE54">
            <v>5687.6081539999996</v>
          </cell>
          <cell r="AF54">
            <v>5812.1293660000001</v>
          </cell>
          <cell r="AG54">
            <v>5940.8201060000001</v>
          </cell>
          <cell r="AH54">
            <v>6071.7698760000003</v>
          </cell>
          <cell r="AI54">
            <v>6203.1697999999997</v>
          </cell>
          <cell r="AJ54">
            <v>6333.3778990000001</v>
          </cell>
          <cell r="AK54">
            <v>6461.0015009999997</v>
          </cell>
        </row>
        <row r="55">
          <cell r="B55">
            <v>1343.143163</v>
          </cell>
          <cell r="C55">
            <v>1362.2835299999999</v>
          </cell>
          <cell r="D55">
            <v>1379.8838350000001</v>
          </cell>
          <cell r="E55">
            <v>1398.636358</v>
          </cell>
          <cell r="F55">
            <v>1415.623765</v>
          </cell>
          <cell r="G55">
            <v>1433.122492</v>
          </cell>
          <cell r="H55">
            <v>1755.614607</v>
          </cell>
          <cell r="I55">
            <v>2117.8227400000001</v>
          </cell>
          <cell r="J55">
            <v>2518.2209480000001</v>
          </cell>
          <cell r="K55">
            <v>2959.8059929999999</v>
          </cell>
          <cell r="L55">
            <v>3445.7508590000002</v>
          </cell>
          <cell r="M55">
            <v>3616.5168279999998</v>
          </cell>
          <cell r="N55">
            <v>3776.3748660000001</v>
          </cell>
          <cell r="O55">
            <v>3932.1843399999998</v>
          </cell>
          <cell r="P55">
            <v>4086.0869010000001</v>
          </cell>
          <cell r="Q55">
            <v>4239.4600739999996</v>
          </cell>
          <cell r="R55">
            <v>4327.1114440000001</v>
          </cell>
          <cell r="S55">
            <v>4410.8798889999998</v>
          </cell>
          <cell r="T55">
            <v>4492.7208339999997</v>
          </cell>
          <cell r="U55">
            <v>4575.6775850000004</v>
          </cell>
          <cell r="V55">
            <v>4662.5295269999997</v>
          </cell>
          <cell r="W55">
            <v>4757.1705689999999</v>
          </cell>
          <cell r="X55">
            <v>4862.7652260000004</v>
          </cell>
          <cell r="Y55">
            <v>4982.1125220000004</v>
          </cell>
          <cell r="Z55">
            <v>5117.5617089999996</v>
          </cell>
          <cell r="AA55">
            <v>5269.9129050000001</v>
          </cell>
          <cell r="AB55">
            <v>5436.1337780000003</v>
          </cell>
          <cell r="AC55">
            <v>5552.6545740000001</v>
          </cell>
          <cell r="AD55">
            <v>5668.7914799999999</v>
          </cell>
          <cell r="AE55">
            <v>5795.6355430000003</v>
          </cell>
          <cell r="AF55">
            <v>5932.6624339999998</v>
          </cell>
          <cell r="AG55">
            <v>6076.7297200000003</v>
          </cell>
          <cell r="AH55">
            <v>6224.7172799999998</v>
          </cell>
          <cell r="AI55">
            <v>6374.0248369999999</v>
          </cell>
          <cell r="AJ55">
            <v>6522.5750079999998</v>
          </cell>
          <cell r="AK55">
            <v>6668.6510060000001</v>
          </cell>
        </row>
        <row r="56">
          <cell r="B56">
            <v>1220.2531730000001</v>
          </cell>
          <cell r="C56">
            <v>1237.642304</v>
          </cell>
          <cell r="D56">
            <v>1253.632282</v>
          </cell>
          <cell r="E56">
            <v>1270.669054</v>
          </cell>
          <cell r="F56">
            <v>1286.10221</v>
          </cell>
          <cell r="G56">
            <v>1301.999902</v>
          </cell>
          <cell r="H56">
            <v>1121.0141980000001</v>
          </cell>
          <cell r="I56">
            <v>929.30750079999996</v>
          </cell>
          <cell r="J56">
            <v>717.15401480000003</v>
          </cell>
          <cell r="K56">
            <v>481.06629429999998</v>
          </cell>
          <cell r="L56">
            <v>212.5809142</v>
          </cell>
          <cell r="M56">
            <v>221.49586640000001</v>
          </cell>
          <cell r="N56">
            <v>228.79084320000001</v>
          </cell>
          <cell r="O56">
            <v>235.40183149999999</v>
          </cell>
          <cell r="P56">
            <v>241.77370199999999</v>
          </cell>
          <cell r="Q56">
            <v>248.09223159999999</v>
          </cell>
          <cell r="R56">
            <v>259.5867298</v>
          </cell>
          <cell r="S56">
            <v>271.38628369999998</v>
          </cell>
          <cell r="T56">
            <v>283.54216719999999</v>
          </cell>
          <cell r="U56">
            <v>296.17726920000001</v>
          </cell>
          <cell r="V56">
            <v>309.47587379999999</v>
          </cell>
          <cell r="W56">
            <v>323.61507619999998</v>
          </cell>
          <cell r="X56">
            <v>339.00604870000001</v>
          </cell>
          <cell r="Y56">
            <v>355.97147210000003</v>
          </cell>
          <cell r="Z56">
            <v>374.76770540000001</v>
          </cell>
          <cell r="AA56">
            <v>395.51498229999999</v>
          </cell>
          <cell r="AB56">
            <v>407.07505950000001</v>
          </cell>
          <cell r="AC56">
            <v>415.0436838</v>
          </cell>
          <cell r="AD56">
            <v>423.07805409999997</v>
          </cell>
          <cell r="AE56">
            <v>431.8934046</v>
          </cell>
          <cell r="AF56">
            <v>441.34902970000002</v>
          </cell>
          <cell r="AG56">
            <v>451.12127140000001</v>
          </cell>
          <cell r="AH56">
            <v>461.06505449999997</v>
          </cell>
          <cell r="AI56">
            <v>471.04302050000001</v>
          </cell>
          <cell r="AJ56">
            <v>480.93048420000002</v>
          </cell>
          <cell r="AK56">
            <v>490.62169189999997</v>
          </cell>
        </row>
        <row r="57">
          <cell r="B57">
            <v>1220.2531730000001</v>
          </cell>
          <cell r="C57">
            <v>1237.642304</v>
          </cell>
          <cell r="D57">
            <v>1253.6322809999999</v>
          </cell>
          <cell r="E57">
            <v>1270.669054</v>
          </cell>
          <cell r="F57">
            <v>1286.10221</v>
          </cell>
          <cell r="G57">
            <v>1301.999902</v>
          </cell>
          <cell r="H57">
            <v>1121.0141980000001</v>
          </cell>
          <cell r="I57">
            <v>927.87630590000003</v>
          </cell>
          <cell r="J57">
            <v>713.84640609999997</v>
          </cell>
          <cell r="K57">
            <v>475.0653906</v>
          </cell>
          <cell r="L57">
            <v>208.09799390000001</v>
          </cell>
          <cell r="M57">
            <v>216.54813369999999</v>
          </cell>
          <cell r="N57">
            <v>224.19142009999999</v>
          </cell>
          <cell r="O57">
            <v>231.4502708</v>
          </cell>
          <cell r="P57">
            <v>238.4577036</v>
          </cell>
          <cell r="Q57">
            <v>245.29813300000001</v>
          </cell>
          <cell r="R57">
            <v>257.26937700000002</v>
          </cell>
          <cell r="S57">
            <v>269.47691520000001</v>
          </cell>
          <cell r="T57">
            <v>282.04089870000001</v>
          </cell>
          <cell r="U57">
            <v>295.1646834</v>
          </cell>
          <cell r="V57">
            <v>309.05579669999997</v>
          </cell>
          <cell r="W57">
            <v>324.01889979999999</v>
          </cell>
          <cell r="X57">
            <v>340.33862740000001</v>
          </cell>
          <cell r="Y57">
            <v>358.30081300000001</v>
          </cell>
          <cell r="Z57">
            <v>378.18445279999997</v>
          </cell>
          <cell r="AA57">
            <v>400.17535750000002</v>
          </cell>
          <cell r="AB57">
            <v>412.79748210000002</v>
          </cell>
          <cell r="AC57">
            <v>421.64558870000002</v>
          </cell>
          <cell r="AD57">
            <v>430.4645443</v>
          </cell>
          <cell r="AE57">
            <v>440.09655700000002</v>
          </cell>
          <cell r="AF57">
            <v>450.5018116</v>
          </cell>
          <cell r="AG57">
            <v>461.44168450000001</v>
          </cell>
          <cell r="AH57">
            <v>472.67924690000001</v>
          </cell>
          <cell r="AI57">
            <v>484.01704430000001</v>
          </cell>
          <cell r="AJ57">
            <v>495.29732899999999</v>
          </cell>
          <cell r="AK57">
            <v>506.3897351</v>
          </cell>
        </row>
        <row r="58">
          <cell r="B58">
            <v>2401.4369590000001</v>
          </cell>
          <cell r="C58">
            <v>2435.6546990000002</v>
          </cell>
          <cell r="D58">
            <v>2467.1226470000001</v>
          </cell>
          <cell r="E58">
            <v>2500.6506669999999</v>
          </cell>
          <cell r="F58">
            <v>2531.0228010000001</v>
          </cell>
          <cell r="G58">
            <v>2562.3091330000002</v>
          </cell>
          <cell r="H58">
            <v>3820.9708989999999</v>
          </cell>
          <cell r="I58">
            <v>5228.1053780000002</v>
          </cell>
          <cell r="J58">
            <v>6798.7683239999997</v>
          </cell>
          <cell r="K58">
            <v>8584.9638670000004</v>
          </cell>
          <cell r="L58">
            <v>10589.517229999999</v>
          </cell>
          <cell r="M58">
            <v>11882.277539999999</v>
          </cell>
          <cell r="N58">
            <v>13217.669260000001</v>
          </cell>
          <cell r="O58">
            <v>14645.636619999999</v>
          </cell>
          <cell r="P58">
            <v>16199.053980000001</v>
          </cell>
          <cell r="Q58">
            <v>17900.943960000001</v>
          </cell>
          <cell r="R58">
            <v>19503.037660000002</v>
          </cell>
          <cell r="S58">
            <v>21230.71744</v>
          </cell>
          <cell r="T58">
            <v>23096.779879999998</v>
          </cell>
          <cell r="U58">
            <v>25121.32314</v>
          </cell>
          <cell r="V58">
            <v>27332.199860000001</v>
          </cell>
          <cell r="W58">
            <v>29760.042030000001</v>
          </cell>
          <cell r="X58">
            <v>32461.549480000001</v>
          </cell>
          <cell r="Y58">
            <v>35492.288079999998</v>
          </cell>
          <cell r="Z58">
            <v>38907.915809999999</v>
          </cell>
          <cell r="AA58">
            <v>42755.87038</v>
          </cell>
          <cell r="AB58">
            <v>44005.535199999998</v>
          </cell>
          <cell r="AC58">
            <v>44866.957609999998</v>
          </cell>
          <cell r="AD58">
            <v>45735.487269999998</v>
          </cell>
          <cell r="AE58">
            <v>46688.442289999999</v>
          </cell>
          <cell r="AF58">
            <v>47710.612110000002</v>
          </cell>
          <cell r="AG58">
            <v>48767.008750000001</v>
          </cell>
          <cell r="AH58">
            <v>49841.949330000003</v>
          </cell>
          <cell r="AI58">
            <v>50920.585129999999</v>
          </cell>
          <cell r="AJ58">
            <v>51989.437480000001</v>
          </cell>
          <cell r="AK58">
            <v>53037.074200000003</v>
          </cell>
        </row>
        <row r="59">
          <cell r="B59">
            <v>2401.4369590000001</v>
          </cell>
          <cell r="C59">
            <v>2435.6546990000002</v>
          </cell>
          <cell r="D59">
            <v>2467.1226470000001</v>
          </cell>
          <cell r="E59">
            <v>2500.650666</v>
          </cell>
          <cell r="F59">
            <v>2531.0228010000001</v>
          </cell>
          <cell r="G59">
            <v>2562.3091340000001</v>
          </cell>
          <cell r="H59">
            <v>3820.9708989999999</v>
          </cell>
          <cell r="I59">
            <v>5220.05375</v>
          </cell>
          <cell r="J59">
            <v>6767.4115089999996</v>
          </cell>
          <cell r="K59">
            <v>8477.8735510000006</v>
          </cell>
          <cell r="L59">
            <v>10366.20479</v>
          </cell>
          <cell r="M59">
            <v>11616.85347</v>
          </cell>
          <cell r="N59">
            <v>12951.9521</v>
          </cell>
          <cell r="O59">
            <v>14399.78839</v>
          </cell>
          <cell r="P59">
            <v>15976.879129999999</v>
          </cell>
          <cell r="Q59">
            <v>17699.337479999998</v>
          </cell>
          <cell r="R59">
            <v>19328.932379999998</v>
          </cell>
          <cell r="S59">
            <v>21081.34636</v>
          </cell>
          <cell r="T59">
            <v>22974.489539999999</v>
          </cell>
          <cell r="U59">
            <v>25035.437089999999</v>
          </cell>
          <cell r="V59">
            <v>27295.099610000001</v>
          </cell>
          <cell r="W59">
            <v>29797.17814</v>
          </cell>
          <cell r="X59">
            <v>32589.15065</v>
          </cell>
          <cell r="Y59">
            <v>35724.53602</v>
          </cell>
          <cell r="Z59">
            <v>39262.638270000003</v>
          </cell>
          <cell r="AA59">
            <v>43259.665200000003</v>
          </cell>
          <cell r="AB59">
            <v>44624.139230000001</v>
          </cell>
          <cell r="AC59">
            <v>45580.63523</v>
          </cell>
          <cell r="AD59">
            <v>46533.979959999997</v>
          </cell>
          <cell r="AE59">
            <v>47575.217600000004</v>
          </cell>
          <cell r="AF59">
            <v>48700.044049999997</v>
          </cell>
          <cell r="AG59">
            <v>49882.663699999997</v>
          </cell>
          <cell r="AH59">
            <v>51097.464099999997</v>
          </cell>
          <cell r="AI59">
            <v>52323.10009</v>
          </cell>
          <cell r="AJ59">
            <v>53542.51885</v>
          </cell>
          <cell r="AK59">
            <v>54741.627610000003</v>
          </cell>
        </row>
        <row r="60">
          <cell r="B60">
            <v>873.01405450000004</v>
          </cell>
          <cell r="C60">
            <v>885.45487939999998</v>
          </cell>
          <cell r="D60">
            <v>896.89469810000003</v>
          </cell>
          <cell r="E60">
            <v>909.0834327</v>
          </cell>
          <cell r="F60">
            <v>920.12488080000003</v>
          </cell>
          <cell r="G60">
            <v>931.49867500000005</v>
          </cell>
          <cell r="H60">
            <v>1510.724659</v>
          </cell>
          <cell r="I60">
            <v>2156.7008740000001</v>
          </cell>
          <cell r="J60">
            <v>2877.476815</v>
          </cell>
          <cell r="K60">
            <v>3696.3927659999999</v>
          </cell>
          <cell r="L60">
            <v>4615.9434090000004</v>
          </cell>
          <cell r="M60">
            <v>5215.6145720000004</v>
          </cell>
          <cell r="N60">
            <v>5842.2772400000003</v>
          </cell>
          <cell r="O60">
            <v>6518.6403360000004</v>
          </cell>
          <cell r="P60">
            <v>7260.3891899999999</v>
          </cell>
          <cell r="Q60">
            <v>8079.1870989999998</v>
          </cell>
          <cell r="R60">
            <v>9197.7163870000004</v>
          </cell>
          <cell r="S60">
            <v>10462.33079</v>
          </cell>
          <cell r="T60">
            <v>11893.26879</v>
          </cell>
          <cell r="U60">
            <v>13516.938270000001</v>
          </cell>
          <cell r="V60">
            <v>15367.259690000001</v>
          </cell>
          <cell r="W60">
            <v>17484.024440000001</v>
          </cell>
          <cell r="X60">
            <v>19927.973300000001</v>
          </cell>
          <cell r="Y60">
            <v>22767.424579999999</v>
          </cell>
          <cell r="Z60">
            <v>26079.778470000001</v>
          </cell>
          <cell r="AA60">
            <v>29946.6126</v>
          </cell>
          <cell r="AB60">
            <v>30821.88956</v>
          </cell>
          <cell r="AC60">
            <v>31425.23789</v>
          </cell>
          <cell r="AD60">
            <v>32033.56421</v>
          </cell>
          <cell r="AE60">
            <v>32701.022840000001</v>
          </cell>
          <cell r="AF60">
            <v>33416.960169999998</v>
          </cell>
          <cell r="AG60">
            <v>34156.870289999999</v>
          </cell>
          <cell r="AH60">
            <v>34909.768750000003</v>
          </cell>
          <cell r="AI60">
            <v>35665.255380000002</v>
          </cell>
          <cell r="AJ60">
            <v>36413.889589999999</v>
          </cell>
          <cell r="AK60">
            <v>37147.664169999996</v>
          </cell>
        </row>
        <row r="61">
          <cell r="B61">
            <v>873.01405439999996</v>
          </cell>
          <cell r="C61">
            <v>885.45487930000002</v>
          </cell>
          <cell r="D61">
            <v>896.89469810000003</v>
          </cell>
          <cell r="E61">
            <v>909.08343260000004</v>
          </cell>
          <cell r="F61">
            <v>920.12488080000003</v>
          </cell>
          <cell r="G61">
            <v>931.49867510000001</v>
          </cell>
          <cell r="H61">
            <v>1510.724659</v>
          </cell>
          <cell r="I61">
            <v>2153.3794119999998</v>
          </cell>
          <cell r="J61">
            <v>2864.2055129999999</v>
          </cell>
          <cell r="K61">
            <v>3650.2833260000002</v>
          </cell>
          <cell r="L61">
            <v>4518.602089</v>
          </cell>
          <cell r="M61">
            <v>5099.1091610000003</v>
          </cell>
          <cell r="N61">
            <v>5724.8288990000001</v>
          </cell>
          <cell r="O61">
            <v>6409.2155169999996</v>
          </cell>
          <cell r="P61">
            <v>7160.8107890000001</v>
          </cell>
          <cell r="Q61">
            <v>7988.1965630000004</v>
          </cell>
          <cell r="R61">
            <v>9115.6075899999996</v>
          </cell>
          <cell r="S61">
            <v>10388.721890000001</v>
          </cell>
          <cell r="T61">
            <v>11830.29759</v>
          </cell>
          <cell r="U61">
            <v>13470.72588</v>
          </cell>
          <cell r="V61">
            <v>15346.400439999999</v>
          </cell>
          <cell r="W61">
            <v>17505.841899999999</v>
          </cell>
          <cell r="X61">
            <v>20006.306980000001</v>
          </cell>
          <cell r="Y61">
            <v>22916.405879999998</v>
          </cell>
          <cell r="Z61">
            <v>26317.547139999999</v>
          </cell>
          <cell r="AA61">
            <v>30299.475210000001</v>
          </cell>
          <cell r="AB61">
            <v>31255.16562</v>
          </cell>
          <cell r="AC61">
            <v>31925.10439</v>
          </cell>
          <cell r="AD61">
            <v>32592.83598</v>
          </cell>
          <cell r="AE61">
            <v>33322.12859</v>
          </cell>
          <cell r="AF61">
            <v>34109.96759</v>
          </cell>
          <cell r="AG61">
            <v>34938.285479999999</v>
          </cell>
          <cell r="AH61">
            <v>35789.143069999998</v>
          </cell>
          <cell r="AI61">
            <v>36647.59001</v>
          </cell>
          <cell r="AJ61">
            <v>37501.682350000003</v>
          </cell>
          <cell r="AK61">
            <v>38341.549370000001</v>
          </cell>
        </row>
        <row r="62">
          <cell r="B62">
            <v>6720.5942679999998</v>
          </cell>
          <cell r="C62">
            <v>6816.3656199999996</v>
          </cell>
          <cell r="D62">
            <v>6904.4310750000004</v>
          </cell>
          <cell r="E62">
            <v>6998.2617970000001</v>
          </cell>
          <cell r="F62">
            <v>7083.2605359999998</v>
          </cell>
          <cell r="G62">
            <v>7170.8177240000005</v>
          </cell>
          <cell r="H62">
            <v>7190.8947870000002</v>
          </cell>
          <cell r="I62">
            <v>7258.7046399999999</v>
          </cell>
          <cell r="J62">
            <v>7342.2152249999999</v>
          </cell>
          <cell r="K62">
            <v>7459.2880599999999</v>
          </cell>
          <cell r="L62">
            <v>7575.5777120000002</v>
          </cell>
          <cell r="M62">
            <v>7943.2855849999996</v>
          </cell>
          <cell r="N62">
            <v>8256.8853490000001</v>
          </cell>
          <cell r="O62">
            <v>8549.2992090000007</v>
          </cell>
          <cell r="P62">
            <v>8836.3478469999991</v>
          </cell>
          <cell r="Q62">
            <v>9124.728959</v>
          </cell>
          <cell r="R62">
            <v>9644.9882780000007</v>
          </cell>
          <cell r="S62">
            <v>10186.371719999999</v>
          </cell>
          <cell r="T62">
            <v>10751.317569999999</v>
          </cell>
          <cell r="U62">
            <v>11345.09585</v>
          </cell>
          <cell r="V62">
            <v>11975.55507</v>
          </cell>
          <cell r="W62">
            <v>12650.56754</v>
          </cell>
          <cell r="X62">
            <v>13387.550450000001</v>
          </cell>
          <cell r="Y62">
            <v>14201.07683</v>
          </cell>
          <cell r="Z62">
            <v>15103.60613</v>
          </cell>
          <cell r="AA62">
            <v>16102.519759999999</v>
          </cell>
          <cell r="AB62">
            <v>16573.162789999998</v>
          </cell>
          <cell r="AC62">
            <v>16897.587749999999</v>
          </cell>
          <cell r="AD62">
            <v>17224.689399999999</v>
          </cell>
          <cell r="AE62">
            <v>17583.586950000001</v>
          </cell>
          <cell r="AF62">
            <v>17968.55186</v>
          </cell>
          <cell r="AG62">
            <v>18366.40712</v>
          </cell>
          <cell r="AH62">
            <v>18771.246309999999</v>
          </cell>
          <cell r="AI62">
            <v>19177.477169999998</v>
          </cell>
          <cell r="AJ62">
            <v>19580.023440000001</v>
          </cell>
          <cell r="AK62">
            <v>19974.579580000001</v>
          </cell>
        </row>
        <row r="63">
          <cell r="B63">
            <v>6720.5942670000004</v>
          </cell>
          <cell r="C63">
            <v>6816.3656190000002</v>
          </cell>
          <cell r="D63">
            <v>6904.4310740000001</v>
          </cell>
          <cell r="E63">
            <v>6998.2617970000001</v>
          </cell>
          <cell r="F63">
            <v>7083.2605350000003</v>
          </cell>
          <cell r="G63">
            <v>7170.8177249999999</v>
          </cell>
          <cell r="H63">
            <v>7190.8947879999996</v>
          </cell>
          <cell r="I63">
            <v>7247.5257549999997</v>
          </cell>
          <cell r="J63">
            <v>7308.3519610000003</v>
          </cell>
          <cell r="K63">
            <v>7366.2396170000002</v>
          </cell>
          <cell r="L63">
            <v>7415.8234279999997</v>
          </cell>
          <cell r="M63">
            <v>7765.8499750000001</v>
          </cell>
          <cell r="N63">
            <v>8090.8957110000001</v>
          </cell>
          <cell r="O63">
            <v>8405.7868390000003</v>
          </cell>
          <cell r="P63">
            <v>8715.1547040000005</v>
          </cell>
          <cell r="Q63">
            <v>9021.9631769999996</v>
          </cell>
          <cell r="R63">
            <v>9558.8866460000008</v>
          </cell>
          <cell r="S63">
            <v>10114.70436</v>
          </cell>
          <cell r="T63">
            <v>10694.39265</v>
          </cell>
          <cell r="U63">
            <v>11306.30867</v>
          </cell>
          <cell r="V63">
            <v>11959.299660000001</v>
          </cell>
          <cell r="W63">
            <v>12666.353569999999</v>
          </cell>
          <cell r="X63">
            <v>13440.17477</v>
          </cell>
          <cell r="Y63">
            <v>14294.00324</v>
          </cell>
          <cell r="Z63">
            <v>15241.30531</v>
          </cell>
          <cell r="AA63">
            <v>16292.256649999999</v>
          </cell>
          <cell r="AB63">
            <v>16806.138599999998</v>
          </cell>
          <cell r="AC63">
            <v>17166.369739999998</v>
          </cell>
          <cell r="AD63">
            <v>17525.414059999999</v>
          </cell>
          <cell r="AE63">
            <v>17917.5602</v>
          </cell>
          <cell r="AF63">
            <v>18341.187180000001</v>
          </cell>
          <cell r="AG63">
            <v>18786.579959999999</v>
          </cell>
          <cell r="AH63">
            <v>19244.092519999998</v>
          </cell>
          <cell r="AI63">
            <v>19705.68592</v>
          </cell>
          <cell r="AJ63">
            <v>20164.937819999999</v>
          </cell>
          <cell r="AK63">
            <v>20616.540659999999</v>
          </cell>
        </row>
        <row r="64">
          <cell r="B64">
            <v>7908.7956260000001</v>
          </cell>
          <cell r="C64">
            <v>8006.4010150000004</v>
          </cell>
          <cell r="D64">
            <v>8101.7871009999999</v>
          </cell>
          <cell r="E64">
            <v>8201.1484459999992</v>
          </cell>
          <cell r="F64">
            <v>8296.0926380000001</v>
          </cell>
          <cell r="G64">
            <v>8398.8939210000008</v>
          </cell>
          <cell r="H64">
            <v>9392.2607989999997</v>
          </cell>
          <cell r="I64">
            <v>10509.099249999999</v>
          </cell>
          <cell r="J64">
            <v>11743.14393</v>
          </cell>
          <cell r="K64">
            <v>13139.15265</v>
          </cell>
          <cell r="L64">
            <v>14688.31705</v>
          </cell>
          <cell r="M64">
            <v>15810.14171</v>
          </cell>
          <cell r="N64">
            <v>16967.978060000001</v>
          </cell>
          <cell r="O64">
            <v>18213.921480000001</v>
          </cell>
          <cell r="P64">
            <v>19575.312549999999</v>
          </cell>
          <cell r="Q64">
            <v>21070.792280000001</v>
          </cell>
          <cell r="R64">
            <v>23119.195739999999</v>
          </cell>
          <cell r="S64">
            <v>25354.441889999998</v>
          </cell>
          <cell r="T64">
            <v>27770.30588</v>
          </cell>
          <cell r="U64">
            <v>30366.714840000001</v>
          </cell>
          <cell r="V64">
            <v>33147.019319999999</v>
          </cell>
          <cell r="W64">
            <v>36126.5383</v>
          </cell>
          <cell r="X64">
            <v>39344.135199999997</v>
          </cell>
          <cell r="Y64">
            <v>42838.850290000002</v>
          </cell>
          <cell r="Z64">
            <v>46651.457269999999</v>
          </cell>
          <cell r="AA64">
            <v>50804.52506</v>
          </cell>
          <cell r="AB64">
            <v>52202.317819999997</v>
          </cell>
          <cell r="AC64">
            <v>53187.69341</v>
          </cell>
          <cell r="AD64">
            <v>54180.974600000001</v>
          </cell>
          <cell r="AE64">
            <v>55261.402000000002</v>
          </cell>
          <cell r="AF64">
            <v>56410.712760000002</v>
          </cell>
          <cell r="AG64">
            <v>57591.11262</v>
          </cell>
          <cell r="AH64">
            <v>58787.401310000001</v>
          </cell>
          <cell r="AI64">
            <v>59984.390290000003</v>
          </cell>
          <cell r="AJ64">
            <v>61168.156690000003</v>
          </cell>
          <cell r="AK64">
            <v>62326.899920000003</v>
          </cell>
        </row>
        <row r="65">
          <cell r="B65">
            <v>7908.7956260000001</v>
          </cell>
          <cell r="C65">
            <v>8006.4010189999999</v>
          </cell>
          <cell r="D65">
            <v>8101.7871089999999</v>
          </cell>
          <cell r="E65">
            <v>8201.148459</v>
          </cell>
          <cell r="F65">
            <v>8296.092654</v>
          </cell>
          <cell r="G65">
            <v>8398.8939399999999</v>
          </cell>
          <cell r="H65">
            <v>9392.2608189999992</v>
          </cell>
          <cell r="I65">
            <v>10502.177009999999</v>
          </cell>
          <cell r="J65">
            <v>11725.169169999999</v>
          </cell>
          <cell r="K65">
            <v>13070.576950000001</v>
          </cell>
          <cell r="L65">
            <v>14552.74014</v>
          </cell>
          <cell r="M65">
            <v>15686.053379999999</v>
          </cell>
          <cell r="N65">
            <v>16882.045259999999</v>
          </cell>
          <cell r="O65">
            <v>18169.258259999999</v>
          </cell>
          <cell r="P65">
            <v>19564.609710000001</v>
          </cell>
          <cell r="Q65">
            <v>21084.596539999999</v>
          </cell>
          <cell r="R65">
            <v>23151.480019999999</v>
          </cell>
          <cell r="S65">
            <v>25400.914359999999</v>
          </cell>
          <cell r="T65">
            <v>27833.804619999999</v>
          </cell>
          <cell r="U65">
            <v>30457.861349999999</v>
          </cell>
          <cell r="V65">
            <v>33279.916389999999</v>
          </cell>
          <cell r="W65">
            <v>36330.013489999998</v>
          </cell>
          <cell r="X65">
            <v>39636.156750000002</v>
          </cell>
          <cell r="Y65">
            <v>43234.875469999999</v>
          </cell>
          <cell r="Z65">
            <v>47170.673779999997</v>
          </cell>
          <cell r="AA65">
            <v>51475.85</v>
          </cell>
          <cell r="AB65">
            <v>52991.76698</v>
          </cell>
          <cell r="AC65">
            <v>54075.940759999998</v>
          </cell>
          <cell r="AD65">
            <v>55160.69556</v>
          </cell>
          <cell r="AE65">
            <v>56342.513469999998</v>
          </cell>
          <cell r="AF65">
            <v>57615.890379999997</v>
          </cell>
          <cell r="AG65">
            <v>58952.504359999999</v>
          </cell>
          <cell r="AH65">
            <v>60324.400529999999</v>
          </cell>
          <cell r="AI65">
            <v>61708.27448</v>
          </cell>
          <cell r="AJ65">
            <v>63085.441480000001</v>
          </cell>
          <cell r="AK65">
            <v>64440.383000000002</v>
          </cell>
        </row>
        <row r="66">
          <cell r="B66">
            <v>109.781233</v>
          </cell>
          <cell r="C66">
            <v>111.34566270000001</v>
          </cell>
          <cell r="D66">
            <v>112.78421609999999</v>
          </cell>
          <cell r="E66">
            <v>114.3169455</v>
          </cell>
          <cell r="F66">
            <v>115.705404</v>
          </cell>
          <cell r="G66">
            <v>117.135655</v>
          </cell>
          <cell r="H66">
            <v>119.7917269</v>
          </cell>
          <cell r="I66">
            <v>123.4719875</v>
          </cell>
          <cell r="J66">
            <v>127.7024917</v>
          </cell>
          <cell r="K66">
            <v>132.85987729999999</v>
          </cell>
          <cell r="L66">
            <v>138.4111959</v>
          </cell>
          <cell r="M66">
            <v>143.38687200000001</v>
          </cell>
          <cell r="N66">
            <v>147.54319269999999</v>
          </cell>
          <cell r="O66">
            <v>151.5330227</v>
          </cell>
          <cell r="P66">
            <v>155.68345260000001</v>
          </cell>
          <cell r="Q66">
            <v>160.15431090000001</v>
          </cell>
          <cell r="R66">
            <v>164.3297445</v>
          </cell>
          <cell r="S66">
            <v>169.00479000000001</v>
          </cell>
          <cell r="T66">
            <v>174.2459054</v>
          </cell>
          <cell r="U66">
            <v>180.17196759999999</v>
          </cell>
          <cell r="V66">
            <v>186.94616099999999</v>
          </cell>
          <cell r="W66">
            <v>194.73560889999999</v>
          </cell>
          <cell r="X66">
            <v>203.85972469999999</v>
          </cell>
          <cell r="Y66">
            <v>214.6010234</v>
          </cell>
          <cell r="Z66">
            <v>227.2254408</v>
          </cell>
          <cell r="AA66">
            <v>241.94501220000001</v>
          </cell>
          <cell r="AB66">
            <v>249.01655980000001</v>
          </cell>
          <cell r="AC66">
            <v>253.89113850000001</v>
          </cell>
          <cell r="AD66">
            <v>258.80593540000001</v>
          </cell>
          <cell r="AE66">
            <v>264.19847470000002</v>
          </cell>
          <cell r="AF66">
            <v>269.9826837</v>
          </cell>
          <cell r="AG66">
            <v>275.96057389999999</v>
          </cell>
          <cell r="AH66">
            <v>282.04339970000001</v>
          </cell>
          <cell r="AI66">
            <v>288.14713590000002</v>
          </cell>
          <cell r="AJ66">
            <v>294.19550980000002</v>
          </cell>
          <cell r="AK66">
            <v>300.12382980000001</v>
          </cell>
        </row>
        <row r="67">
          <cell r="B67">
            <v>109.781233</v>
          </cell>
          <cell r="C67">
            <v>111.34566270000001</v>
          </cell>
          <cell r="D67">
            <v>112.78421609999999</v>
          </cell>
          <cell r="E67">
            <v>114.3169455</v>
          </cell>
          <cell r="F67">
            <v>115.705404</v>
          </cell>
          <cell r="G67">
            <v>117.135655</v>
          </cell>
          <cell r="H67">
            <v>119.79172699999999</v>
          </cell>
          <cell r="I67">
            <v>123.28183249999999</v>
          </cell>
          <cell r="J67">
            <v>127.113511</v>
          </cell>
          <cell r="K67">
            <v>131.20256029999999</v>
          </cell>
          <cell r="L67">
            <v>135.49237149999999</v>
          </cell>
          <cell r="M67">
            <v>140.18392320000001</v>
          </cell>
          <cell r="N67">
            <v>144.57710549999999</v>
          </cell>
          <cell r="O67">
            <v>148.98932139999999</v>
          </cell>
          <cell r="P67">
            <v>153.54820770000001</v>
          </cell>
          <cell r="Q67">
            <v>158.35059889999999</v>
          </cell>
          <cell r="R67">
            <v>162.86275889999999</v>
          </cell>
          <cell r="S67">
            <v>167.81573789999999</v>
          </cell>
          <cell r="T67">
            <v>173.32332700000001</v>
          </cell>
          <cell r="U67">
            <v>179.55598660000001</v>
          </cell>
          <cell r="V67">
            <v>186.69240360000001</v>
          </cell>
          <cell r="W67">
            <v>194.97861</v>
          </cell>
          <cell r="X67">
            <v>204.66106479999999</v>
          </cell>
          <cell r="Y67">
            <v>216.00529030000001</v>
          </cell>
          <cell r="Z67">
            <v>229.2970493</v>
          </cell>
          <cell r="AA67">
            <v>244.79586380000001</v>
          </cell>
          <cell r="AB67">
            <v>252.51708859999999</v>
          </cell>
          <cell r="AC67">
            <v>257.92966560000002</v>
          </cell>
          <cell r="AD67">
            <v>263.32441019999999</v>
          </cell>
          <cell r="AE67">
            <v>269.21651930000002</v>
          </cell>
          <cell r="AF67">
            <v>275.581637</v>
          </cell>
          <cell r="AG67">
            <v>282.27379239999999</v>
          </cell>
          <cell r="AH67">
            <v>289.1480507</v>
          </cell>
          <cell r="AI67">
            <v>296.08362499999998</v>
          </cell>
          <cell r="AJ67">
            <v>302.98401749999999</v>
          </cell>
          <cell r="AK67">
            <v>309.76948060000001</v>
          </cell>
        </row>
      </sheetData>
      <sheetData sheetId="2"/>
      <sheetData sheetId="4">
        <row r="1365">
          <cell r="E1365" t="str">
            <v>100*(GDP_2/GDP_0-1)</v>
          </cell>
          <cell r="F1365">
            <v>-4.5563175454788052E-8</v>
          </cell>
          <cell r="G1365">
            <v>0</v>
          </cell>
          <cell r="H1365">
            <v>-4.4006287502895702E-8</v>
          </cell>
          <cell r="I1365">
            <v>-4.3173686847808312E-8</v>
          </cell>
          <cell r="J1365">
            <v>-4.229311345582687E-8</v>
          </cell>
          <cell r="K1365">
            <v>-4.1381853499444787E-8</v>
          </cell>
          <cell r="L1365">
            <v>0</v>
          </cell>
          <cell r="M1365">
            <v>-0.39649447411389538</v>
          </cell>
          <cell r="N1365">
            <v>-0.90555944820546186</v>
          </cell>
          <cell r="O1365">
            <v>-1.1760205602991514</v>
          </cell>
          <cell r="P1365">
            <v>-1.5754592950339541</v>
          </cell>
          <cell r="Q1365">
            <v>-1.8615783400474428</v>
          </cell>
          <cell r="R1365">
            <v>-2.053296411816774</v>
          </cell>
          <cell r="S1365">
            <v>-2.1701319044624801</v>
          </cell>
          <cell r="T1365">
            <v>-2.2270752500934576</v>
          </cell>
          <cell r="U1365">
            <v>-2.2539797119044747</v>
          </cell>
          <cell r="V1365">
            <v>-2.3179885061319405</v>
          </cell>
          <cell r="W1365">
            <v>-2.4174674432674292</v>
          </cell>
          <cell r="X1365">
            <v>-2.5464088368939986</v>
          </cell>
          <cell r="Y1365">
            <v>-2.6878402886002517</v>
          </cell>
          <cell r="Z1365">
            <v>-2.8406941944118858</v>
          </cell>
          <cell r="AA1365">
            <v>-2.9762703068043517</v>
          </cell>
          <cell r="AB1365">
            <v>-3.0960609553207563</v>
          </cell>
          <cell r="AC1365">
            <v>-3.2036665696097866</v>
          </cell>
          <cell r="AD1365">
            <v>-3.3015155366985627</v>
          </cell>
          <cell r="AE1365">
            <v>-3.3925128456302023</v>
          </cell>
          <cell r="AF1365">
            <v>-3.4561217898585017</v>
          </cell>
          <cell r="AG1365">
            <v>-3.4990063809294258</v>
          </cell>
          <cell r="AH1365">
            <v>-3.5256756045812909</v>
          </cell>
          <cell r="AI1365">
            <v>-3.5388351885304981</v>
          </cell>
          <cell r="AJ1365">
            <v>-3.5405033632690985</v>
          </cell>
          <cell r="AK1365">
            <v>-3.5246244889066691</v>
          </cell>
          <cell r="AL1365">
            <v>-3.4938746215781524</v>
          </cell>
          <cell r="AM1365">
            <v>-3.4513329370192358</v>
          </cell>
          <cell r="AN1365">
            <v>-3.3992041332326917</v>
          </cell>
          <cell r="AO1365">
            <v>-3.3392623401244936</v>
          </cell>
        </row>
        <row r="1366">
          <cell r="C1366" t="str">
            <v>VA du secteur marchand</v>
          </cell>
          <cell r="E1366" t="str">
            <v>100*((VA_2-VA_spub_2)/(VA_0-VA_spub_0)-1)</v>
          </cell>
          <cell r="F1366">
            <v>0</v>
          </cell>
          <cell r="G1366">
            <v>0</v>
          </cell>
          <cell r="H1366">
            <v>-6.1324134659201945E-8</v>
          </cell>
          <cell r="I1366">
            <v>0</v>
          </cell>
          <cell r="J1366">
            <v>-5.2872783928847866E-8</v>
          </cell>
          <cell r="K1366">
            <v>-5.738195474336294E-8</v>
          </cell>
          <cell r="L1366">
            <v>0</v>
          </cell>
          <cell r="M1366">
            <v>-0.46609326178318478</v>
          </cell>
          <cell r="N1366">
            <v>-1.0358125806852914</v>
          </cell>
          <cell r="O1366">
            <v>-1.2824621947579717</v>
          </cell>
          <cell r="P1366">
            <v>-1.6837949600314706</v>
          </cell>
          <cell r="Q1366">
            <v>-1.994382639543435</v>
          </cell>
          <cell r="R1366">
            <v>-2.2259380213298208</v>
          </cell>
          <cell r="S1366">
            <v>-2.3862257257816655</v>
          </cell>
          <cell r="T1366">
            <v>-2.4820013666138507</v>
          </cell>
          <cell r="U1366">
            <v>-2.5437727036742408</v>
          </cell>
          <cell r="V1366">
            <v>-2.6451448800461352</v>
          </cell>
          <cell r="W1366">
            <v>-2.7821860255707764</v>
          </cell>
          <cell r="X1366">
            <v>-2.9502752899379425</v>
          </cell>
          <cell r="Y1366">
            <v>-3.1342027069375944</v>
          </cell>
          <cell r="Z1366">
            <v>-3.3295648940731337</v>
          </cell>
          <cell r="AA1366">
            <v>-3.5043787380718228</v>
          </cell>
          <cell r="AB1366">
            <v>-3.6584542589960023</v>
          </cell>
          <cell r="AC1366">
            <v>-3.7953604304144406</v>
          </cell>
          <cell r="AD1366">
            <v>-3.9178721880595457</v>
          </cell>
          <cell r="AE1366">
            <v>-4.0294166877818842</v>
          </cell>
          <cell r="AF1366">
            <v>-4.1065331457910581</v>
          </cell>
          <cell r="AG1366">
            <v>-4.1559159739879341</v>
          </cell>
          <cell r="AH1366">
            <v>-4.1834181226637401</v>
          </cell>
          <cell r="AI1366">
            <v>-4.1931682995915098</v>
          </cell>
          <cell r="AJ1366">
            <v>-4.1884138736601244</v>
          </cell>
          <cell r="AK1366">
            <v>-4.1632442157200629</v>
          </cell>
          <cell r="AL1366">
            <v>-4.1205325801144665</v>
          </cell>
          <cell r="AM1366">
            <v>-4.0644127586388468</v>
          </cell>
          <cell r="AN1366">
            <v>-3.9981679969933848</v>
          </cell>
          <cell r="AO1366">
            <v>-3.9244692819238813</v>
          </cell>
        </row>
        <row r="1367">
          <cell r="E1367" t="str">
            <v>100*((CH_2-CH_0)/GDP_0)</v>
          </cell>
          <cell r="F1367">
            <v>-4.5563179646800728E-8</v>
          </cell>
          <cell r="G1367">
            <v>0</v>
          </cell>
          <cell r="H1367">
            <v>0</v>
          </cell>
          <cell r="I1367">
            <v>0</v>
          </cell>
          <cell r="J1367">
            <v>0</v>
          </cell>
          <cell r="K1367">
            <v>-4.1381846357799214E-8</v>
          </cell>
          <cell r="L1367">
            <v>0</v>
          </cell>
          <cell r="M1367">
            <v>-0.20949981138560844</v>
          </cell>
          <cell r="N1367">
            <v>-0.58303575966574994</v>
          </cell>
          <cell r="O1367">
            <v>-1.0181453959610907</v>
          </cell>
          <cell r="P1367">
            <v>-1.4960426206177417</v>
          </cell>
          <cell r="Q1367">
            <v>-1.7007246027156402</v>
          </cell>
          <cell r="R1367">
            <v>-1.6990197781683491</v>
          </cell>
          <cell r="S1367">
            <v>-1.5807597594850322</v>
          </cell>
          <cell r="T1367">
            <v>-1.4110883783457364</v>
          </cell>
          <cell r="U1367">
            <v>-1.2289207518313199</v>
          </cell>
          <cell r="V1367">
            <v>-1.0832959646000551</v>
          </cell>
          <cell r="W1367">
            <v>-0.98644251290289697</v>
          </cell>
          <cell r="X1367">
            <v>-0.92925626295816033</v>
          </cell>
          <cell r="Y1367">
            <v>-0.89482719080975925</v>
          </cell>
          <cell r="Z1367">
            <v>-0.8805174949660004</v>
          </cell>
          <cell r="AA1367">
            <v>-0.86112882279100411</v>
          </cell>
          <cell r="AB1367">
            <v>-0.84767733532322176</v>
          </cell>
          <cell r="AC1367">
            <v>-0.84579023181882029</v>
          </cell>
          <cell r="AD1367">
            <v>-0.857454899665965</v>
          </cell>
          <cell r="AE1367">
            <v>-0.88408329333172686</v>
          </cell>
          <cell r="AF1367">
            <v>-0.9134481507120451</v>
          </cell>
          <cell r="AG1367">
            <v>-0.95673022210637348</v>
          </cell>
          <cell r="AH1367">
            <v>-1.0135206624474773</v>
          </cell>
          <cell r="AI1367">
            <v>-1.0801025029242577</v>
          </cell>
          <cell r="AJ1367">
            <v>-1.1526196021636836</v>
          </cell>
          <cell r="AK1367">
            <v>-1.2225506417080614</v>
          </cell>
          <cell r="AL1367">
            <v>-1.2924261301866271</v>
          </cell>
          <cell r="AM1367">
            <v>-1.360117839567089</v>
          </cell>
          <cell r="AN1367">
            <v>-1.4217697088822854</v>
          </cell>
          <cell r="AO1367">
            <v>-1.4738111478972447</v>
          </cell>
        </row>
        <row r="1368">
          <cell r="C1368" t="str">
            <v>Consommation des ménages automobile</v>
          </cell>
          <cell r="E1368" t="str">
            <v>100*((CH_cveh_2-CH_cveh_0)/GDP_0)</v>
          </cell>
          <cell r="F1368">
            <v>0</v>
          </cell>
          <cell r="G1368">
            <v>-4.4808799079018707E-10</v>
          </cell>
          <cell r="H1368">
            <v>-4.4006232580822235E-10</v>
          </cell>
          <cell r="I1368">
            <v>0</v>
          </cell>
          <cell r="J1368">
            <v>4.2293119765884816E-10</v>
          </cell>
          <cell r="K1368">
            <v>1.2414552943843506E-9</v>
          </cell>
          <cell r="L1368">
            <v>1.2139291547659944E-9</v>
          </cell>
          <cell r="M1368">
            <v>-4.6212129842904681E-2</v>
          </cell>
          <cell r="N1368">
            <v>-0.11582030544611273</v>
          </cell>
          <cell r="O1368">
            <v>-0.18949749195377738</v>
          </cell>
          <cell r="P1368">
            <v>-0.2702990581666429</v>
          </cell>
          <cell r="Q1368">
            <v>-0.25064895473096782</v>
          </cell>
          <cell r="R1368">
            <v>-0.19511869080974145</v>
          </cell>
          <cell r="S1368">
            <v>-0.14102411513576338</v>
          </cell>
          <cell r="T1368">
            <v>-0.10102091713075263</v>
          </cell>
          <cell r="U1368">
            <v>-7.6302476044394871E-2</v>
          </cell>
          <cell r="V1368">
            <v>-7.315870988893676E-2</v>
          </cell>
          <cell r="W1368">
            <v>-8.2770867865270326E-2</v>
          </cell>
          <cell r="X1368">
            <v>-9.6248110055996886E-2</v>
          </cell>
          <cell r="Y1368">
            <v>-0.10577150965170018</v>
          </cell>
          <cell r="Z1368">
            <v>-0.11424967798134525</v>
          </cell>
          <cell r="AA1368">
            <v>-0.11296375698207448</v>
          </cell>
          <cell r="AB1368">
            <v>-0.1100072713893169</v>
          </cell>
          <cell r="AC1368">
            <v>-0.10808558703190153</v>
          </cell>
          <cell r="AD1368">
            <v>-0.10749182204591651</v>
          </cell>
          <cell r="AE1368">
            <v>-0.10827589020111221</v>
          </cell>
          <cell r="AF1368">
            <v>-0.1054532217488353</v>
          </cell>
          <cell r="AG1368">
            <v>-0.103876276346375</v>
          </cell>
          <cell r="AH1368">
            <v>-0.10418413183747265</v>
          </cell>
          <cell r="AI1368">
            <v>-0.10572594254464633</v>
          </cell>
          <cell r="AJ1368">
            <v>-0.10799632299164927</v>
          </cell>
          <cell r="AK1368">
            <v>-0.10901546319628556</v>
          </cell>
          <cell r="AL1368">
            <v>-0.11096329388764736</v>
          </cell>
          <cell r="AM1368">
            <v>-0.11416846680565935</v>
          </cell>
          <cell r="AN1368">
            <v>-0.11823365046472331</v>
          </cell>
          <cell r="AO1368">
            <v>-0.12278346283182129</v>
          </cell>
        </row>
        <row r="1369">
          <cell r="C1369" t="str">
            <v>Dépenses publiques</v>
          </cell>
          <cell r="E1369" t="str">
            <v>100*((G_2-G_0)/GDP_0)</v>
          </cell>
          <cell r="F1369">
            <v>0</v>
          </cell>
          <cell r="G1369">
            <v>0</v>
          </cell>
          <cell r="H1369">
            <v>0</v>
          </cell>
          <cell r="I1369">
            <v>0</v>
          </cell>
          <cell r="J1369">
            <v>0</v>
          </cell>
          <cell r="K1369">
            <v>0</v>
          </cell>
          <cell r="L1369">
            <v>0</v>
          </cell>
          <cell r="M1369">
            <v>0</v>
          </cell>
          <cell r="N1369">
            <v>0</v>
          </cell>
          <cell r="O1369">
            <v>0</v>
          </cell>
          <cell r="P1369">
            <v>0</v>
          </cell>
          <cell r="Q1369">
            <v>0</v>
          </cell>
          <cell r="R1369">
            <v>0</v>
          </cell>
          <cell r="S1369">
            <v>0</v>
          </cell>
          <cell r="T1369">
            <v>0</v>
          </cell>
          <cell r="U1369">
            <v>0</v>
          </cell>
          <cell r="V1369">
            <v>0</v>
          </cell>
          <cell r="W1369">
            <v>0</v>
          </cell>
          <cell r="X1369">
            <v>0</v>
          </cell>
          <cell r="Y1369">
            <v>0</v>
          </cell>
          <cell r="Z1369">
            <v>0</v>
          </cell>
          <cell r="AA1369">
            <v>0</v>
          </cell>
          <cell r="AB1369">
            <v>0</v>
          </cell>
          <cell r="AC1369">
            <v>0</v>
          </cell>
          <cell r="AD1369">
            <v>0</v>
          </cell>
          <cell r="AE1369">
            <v>0</v>
          </cell>
          <cell r="AF1369">
            <v>0</v>
          </cell>
          <cell r="AG1369">
            <v>0</v>
          </cell>
          <cell r="AH1369">
            <v>0</v>
          </cell>
          <cell r="AI1369">
            <v>0</v>
          </cell>
          <cell r="AJ1369">
            <v>0</v>
          </cell>
          <cell r="AK1369">
            <v>0</v>
          </cell>
          <cell r="AL1369">
            <v>0</v>
          </cell>
          <cell r="AM1369">
            <v>0</v>
          </cell>
          <cell r="AN1369">
            <v>0</v>
          </cell>
          <cell r="AO1369">
            <v>0</v>
          </cell>
        </row>
        <row r="1370">
          <cell r="E1370" t="str">
            <v>100*((I_2-I_0)/GDP_0)</v>
          </cell>
          <cell r="F1370">
            <v>0</v>
          </cell>
          <cell r="G1370">
            <v>0</v>
          </cell>
          <cell r="H1370">
            <v>-4.4006283810876724E-9</v>
          </cell>
          <cell r="I1370">
            <v>-4.3173686019957171E-9</v>
          </cell>
          <cell r="J1370">
            <v>-8.4586214913942213E-9</v>
          </cell>
          <cell r="K1370">
            <v>-4.1381851175280505E-9</v>
          </cell>
          <cell r="L1370">
            <v>-8.0928626019952268E-9</v>
          </cell>
          <cell r="M1370">
            <v>-7.2406815892912674E-2</v>
          </cell>
          <cell r="N1370">
            <v>-0.1982686675528369</v>
          </cell>
          <cell r="O1370">
            <v>-0.31373511355394246</v>
          </cell>
          <cell r="P1370">
            <v>-0.44973443032498717</v>
          </cell>
          <cell r="Q1370">
            <v>-0.5694442071038347</v>
          </cell>
          <cell r="R1370">
            <v>-0.66516991748865983</v>
          </cell>
          <cell r="S1370">
            <v>-0.73705080656363497</v>
          </cell>
          <cell r="T1370">
            <v>-0.78690713061629147</v>
          </cell>
          <cell r="U1370">
            <v>-0.81970710020144633</v>
          </cell>
          <cell r="V1370">
            <v>-0.8511446800450585</v>
          </cell>
          <cell r="W1370">
            <v>-0.88671412082023393</v>
          </cell>
          <cell r="X1370">
            <v>-0.92696997067974163</v>
          </cell>
          <cell r="Y1370">
            <v>-0.96878088387251271</v>
          </cell>
          <cell r="Z1370">
            <v>-1.0102375092397202</v>
          </cell>
          <cell r="AA1370">
            <v>-1.0439375182589401</v>
          </cell>
          <cell r="AB1370">
            <v>-1.0682614325716748</v>
          </cell>
          <cell r="AC1370">
            <v>-1.0831335068664314</v>
          </cell>
          <cell r="AD1370">
            <v>-1.0890672277184299</v>
          </cell>
          <cell r="AE1370">
            <v>-1.0871516107020505</v>
          </cell>
          <cell r="AF1370">
            <v>-1.0729005284356692</v>
          </cell>
          <cell r="AG1370">
            <v>-1.0488787892915241</v>
          </cell>
          <cell r="AH1370">
            <v>-1.0175444523403445</v>
          </cell>
          <cell r="AI1370">
            <v>-0.98111106355860156</v>
          </cell>
          <cell r="AJ1370">
            <v>-0.94136714265384025</v>
          </cell>
          <cell r="AK1370">
            <v>-0.89828798177515512</v>
          </cell>
          <cell r="AL1370">
            <v>-0.85327769358571803</v>
          </cell>
          <cell r="AM1370">
            <v>-0.8075063221651122</v>
          </cell>
          <cell r="AN1370">
            <v>-0.76181948784062992</v>
          </cell>
          <cell r="AO1370">
            <v>-0.71677745979889129</v>
          </cell>
        </row>
        <row r="1371">
          <cell r="C1371" t="str">
            <v>Variations de stocks</v>
          </cell>
          <cell r="E1371" t="str">
            <v>100*((DS_2-DS_0)/GDP_0)</v>
          </cell>
          <cell r="F1371">
            <v>0</v>
          </cell>
          <cell r="G1371">
            <v>0</v>
          </cell>
          <cell r="H1371">
            <v>0</v>
          </cell>
          <cell r="I1371">
            <v>0</v>
          </cell>
          <cell r="J1371">
            <v>0</v>
          </cell>
          <cell r="K1371">
            <v>0</v>
          </cell>
          <cell r="L1371">
            <v>0</v>
          </cell>
          <cell r="M1371">
            <v>0</v>
          </cell>
          <cell r="N1371">
            <v>0</v>
          </cell>
          <cell r="O1371">
            <v>0</v>
          </cell>
          <cell r="P1371">
            <v>0</v>
          </cell>
          <cell r="Q1371">
            <v>0</v>
          </cell>
          <cell r="R1371">
            <v>0</v>
          </cell>
          <cell r="S1371">
            <v>0</v>
          </cell>
          <cell r="T1371">
            <v>0</v>
          </cell>
          <cell r="U1371">
            <v>0</v>
          </cell>
          <cell r="V1371">
            <v>0</v>
          </cell>
          <cell r="W1371">
            <v>0</v>
          </cell>
          <cell r="X1371">
            <v>0</v>
          </cell>
          <cell r="Y1371">
            <v>0</v>
          </cell>
          <cell r="Z1371">
            <v>0</v>
          </cell>
          <cell r="AA1371">
            <v>0</v>
          </cell>
          <cell r="AB1371">
            <v>0</v>
          </cell>
          <cell r="AC1371">
            <v>0</v>
          </cell>
          <cell r="AD1371">
            <v>0</v>
          </cell>
          <cell r="AE1371">
            <v>0</v>
          </cell>
          <cell r="AF1371">
            <v>0</v>
          </cell>
          <cell r="AG1371">
            <v>0</v>
          </cell>
          <cell r="AH1371">
            <v>0</v>
          </cell>
          <cell r="AI1371">
            <v>0</v>
          </cell>
          <cell r="AJ1371">
            <v>0</v>
          </cell>
          <cell r="AK1371">
            <v>0</v>
          </cell>
          <cell r="AL1371">
            <v>0</v>
          </cell>
          <cell r="AM1371">
            <v>0</v>
          </cell>
          <cell r="AN1371">
            <v>0</v>
          </cell>
          <cell r="AO1371">
            <v>0</v>
          </cell>
        </row>
        <row r="1372">
          <cell r="E1372" t="str">
            <v>100*((X_2-X_0)/GDP_0)-100*((M_2-M_0)/GDP_0)</v>
          </cell>
          <cell r="F1372">
            <v>0</v>
          </cell>
          <cell r="G1372">
            <v>5.2164289989358152E-15</v>
          </cell>
          <cell r="H1372">
            <v>-5.1230054495603848E-15</v>
          </cell>
          <cell r="I1372">
            <v>-4.3173711150348744E-9</v>
          </cell>
          <cell r="J1372">
            <v>-4.2293132074798534E-9</v>
          </cell>
          <cell r="K1372">
            <v>-4.1381875262686976E-9</v>
          </cell>
          <cell r="L1372">
            <v>-8.0928626019952268E-9</v>
          </cell>
          <cell r="M1372">
            <v>-0.11458781124206674</v>
          </cell>
          <cell r="N1372">
            <v>-0.12425500553060148</v>
          </cell>
          <cell r="O1372">
            <v>0.15585991901827273</v>
          </cell>
          <cell r="P1372">
            <v>0.37031775959763336</v>
          </cell>
          <cell r="Q1372">
            <v>0.40859048423054811</v>
          </cell>
          <cell r="R1372">
            <v>0.31089331578111545</v>
          </cell>
          <cell r="S1372">
            <v>0.14767865809593828</v>
          </cell>
          <cell r="T1372">
            <v>-2.9079751441013824E-2</v>
          </cell>
          <cell r="U1372">
            <v>-0.20535189373289675</v>
          </cell>
          <cell r="V1372">
            <v>-0.38354787817402181</v>
          </cell>
          <cell r="W1372">
            <v>-0.54431081941140136</v>
          </cell>
          <cell r="X1372">
            <v>-0.69018264861293277</v>
          </cell>
          <cell r="Y1372">
            <v>-0.82423221391797197</v>
          </cell>
          <cell r="Z1372">
            <v>-0.94993914315524852</v>
          </cell>
          <cell r="AA1372">
            <v>-1.0712039595903742</v>
          </cell>
          <cell r="AB1372">
            <v>-1.1801221874258441</v>
          </cell>
          <cell r="AC1372">
            <v>-1.2747428516790975</v>
          </cell>
          <cell r="AD1372">
            <v>-1.3549934151201444</v>
          </cell>
          <cell r="AE1372">
            <v>-1.421277890472717</v>
          </cell>
          <cell r="AF1372">
            <v>-1.4697730912790243</v>
          </cell>
          <cell r="AG1372">
            <v>-1.4933973857961371</v>
          </cell>
          <cell r="AH1372">
            <v>-1.4946105030179999</v>
          </cell>
          <cell r="AI1372">
            <v>-1.4776215885206063</v>
          </cell>
          <cell r="AJ1372">
            <v>-1.4465166184515783</v>
          </cell>
          <cell r="AK1372">
            <v>-1.4037858654234574</v>
          </cell>
          <cell r="AL1372">
            <v>-1.3481707978058068</v>
          </cell>
          <cell r="AM1372">
            <v>-1.2837087752870373</v>
          </cell>
          <cell r="AN1372">
            <v>-1.215614936509773</v>
          </cell>
          <cell r="AO1372">
            <v>-1.1486737545738144</v>
          </cell>
        </row>
        <row r="1373">
          <cell r="C1373" t="str">
            <v>Consommation des ménages</v>
          </cell>
          <cell r="E1373" t="str">
            <v>100*((CH_2-CH_ccon_2-(CH_0-CH_ccon_0))/GDP_0)</v>
          </cell>
          <cell r="F1373">
            <v>-4.5107544455611852E-8</v>
          </cell>
          <cell r="G1373">
            <v>4.4809125105831182E-10</v>
          </cell>
          <cell r="H1373">
            <v>4.4006616806230906E-10</v>
          </cell>
          <cell r="I1373">
            <v>4.3174012715047566E-10</v>
          </cell>
          <cell r="J1373">
            <v>4.2292442775631065E-10</v>
          </cell>
          <cell r="K1373">
            <v>-4.0968034349646159E-8</v>
          </cell>
          <cell r="L1373">
            <v>4.0464619203252998E-10</v>
          </cell>
          <cell r="M1373">
            <v>-0.20578587436945864</v>
          </cell>
          <cell r="N1373">
            <v>-0.57224458705243231</v>
          </cell>
          <cell r="O1373">
            <v>-0.99849441679786977</v>
          </cell>
          <cell r="P1373">
            <v>-1.4661951574851582</v>
          </cell>
          <cell r="Q1373">
            <v>-1.6650732389278833</v>
          </cell>
          <cell r="R1373">
            <v>-1.6621155192499026</v>
          </cell>
          <cell r="S1373">
            <v>-1.5457441282288706</v>
          </cell>
          <cell r="T1373">
            <v>-1.3795726806960962</v>
          </cell>
          <cell r="U1373">
            <v>-1.2013888706508755</v>
          </cell>
          <cell r="V1373">
            <v>-1.0591070665032443</v>
          </cell>
          <cell r="W1373">
            <v>-0.96450139551153402</v>
          </cell>
          <cell r="X1373">
            <v>-0.90858578397647505</v>
          </cell>
          <cell r="Y1373">
            <v>-0.87484029973664501</v>
          </cell>
          <cell r="Z1373">
            <v>-0.86087953829015584</v>
          </cell>
          <cell r="AA1373">
            <v>-0.84204486145859903</v>
          </cell>
          <cell r="AB1373">
            <v>-0.82928045426588803</v>
          </cell>
          <cell r="AC1373">
            <v>-0.82806016744695765</v>
          </cell>
          <cell r="AD1373">
            <v>-0.84024756192529593</v>
          </cell>
          <cell r="AE1373">
            <v>-0.86716716789863246</v>
          </cell>
          <cell r="AF1373">
            <v>-0.89674351804349772</v>
          </cell>
          <cell r="AG1373">
            <v>-0.93991847285440411</v>
          </cell>
          <cell r="AH1373">
            <v>-0.99619521106807851</v>
          </cell>
          <cell r="AI1373">
            <v>-1.0618791193788664</v>
          </cell>
          <cell r="AJ1373">
            <v>-1.1331887340036575</v>
          </cell>
          <cell r="AK1373">
            <v>-1.2017920438041307</v>
          </cell>
          <cell r="AL1373">
            <v>-1.2702163733998086</v>
          </cell>
          <cell r="AM1373">
            <v>-1.3363744247904783</v>
          </cell>
          <cell r="AN1373">
            <v>-1.3964887327528877</v>
          </cell>
          <cell r="AO1373">
            <v>-1.4470750233274492</v>
          </cell>
        </row>
        <row r="1374">
          <cell r="E1374" t="str">
            <v>100*((I_2+CH_ccon_2-(I_0+CH_ccon_0))/GDP_0)</v>
          </cell>
          <cell r="F1374">
            <v>-4.5563253906319661E-10</v>
          </cell>
          <cell r="G1374">
            <v>-4.4808864284381204E-10</v>
          </cell>
          <cell r="H1374">
            <v>-4.8406894261445326E-9</v>
          </cell>
          <cell r="I1374">
            <v>-4.7491062161070354E-9</v>
          </cell>
          <cell r="J1374">
            <v>-8.8815557662814965E-9</v>
          </cell>
          <cell r="K1374">
            <v>-4.5520043519030503E-9</v>
          </cell>
          <cell r="L1374">
            <v>-8.4975040833619603E-9</v>
          </cell>
          <cell r="M1374">
            <v>-7.6120752909062492E-2</v>
          </cell>
          <cell r="N1374">
            <v>-0.20905984016615442</v>
          </cell>
          <cell r="O1374">
            <v>-0.33338609271716335</v>
          </cell>
          <cell r="P1374">
            <v>-0.47958189345757096</v>
          </cell>
          <cell r="Q1374">
            <v>-0.60509557089158761</v>
          </cell>
          <cell r="R1374">
            <v>-0.70207417640710224</v>
          </cell>
          <cell r="S1374">
            <v>-0.77206643781980033</v>
          </cell>
          <cell r="T1374">
            <v>-0.81842282826593182</v>
          </cell>
          <cell r="U1374">
            <v>-0.8472389813818908</v>
          </cell>
          <cell r="V1374">
            <v>-0.8753335781418693</v>
          </cell>
          <cell r="W1374">
            <v>-0.90865523821159289</v>
          </cell>
          <cell r="X1374">
            <v>-0.94764044966141947</v>
          </cell>
          <cell r="Y1374">
            <v>-0.98876777494562307</v>
          </cell>
          <cell r="Z1374">
            <v>-1.0298754659155684</v>
          </cell>
          <cell r="AA1374">
            <v>-1.0630214795913417</v>
          </cell>
          <cell r="AB1374">
            <v>-1.0866583136290087</v>
          </cell>
          <cell r="AC1374">
            <v>-1.1008635712382873</v>
          </cell>
          <cell r="AD1374">
            <v>-1.1062745654590989</v>
          </cell>
          <cell r="AE1374">
            <v>-1.1040677361351483</v>
          </cell>
          <cell r="AF1374">
            <v>-1.0896051611042199</v>
          </cell>
          <cell r="AG1374">
            <v>-1.0656905385434936</v>
          </cell>
          <cell r="AH1374">
            <v>-1.0348699037197433</v>
          </cell>
          <cell r="AI1374">
            <v>-0.99933444710399577</v>
          </cell>
          <cell r="AJ1374">
            <v>-0.96079801081386629</v>
          </cell>
          <cell r="AK1374">
            <v>-0.91904657967908554</v>
          </cell>
          <cell r="AL1374">
            <v>-0.87548745037253661</v>
          </cell>
          <cell r="AM1374">
            <v>-0.83124973694172832</v>
          </cell>
          <cell r="AN1374">
            <v>-0.78710046397002764</v>
          </cell>
          <cell r="AO1374">
            <v>-0.74351358436868664</v>
          </cell>
        </row>
        <row r="1375">
          <cell r="C1375" t="str">
            <v>Investissement entreprises</v>
          </cell>
          <cell r="E1375" t="str">
            <v>100*((I_2-IA_spub_2-(I_0-IA_spub_0))/GDP_0)</v>
          </cell>
          <cell r="F1375">
            <v>0</v>
          </cell>
          <cell r="G1375">
            <v>0</v>
          </cell>
          <cell r="H1375">
            <v>-4.4006283810876724E-9</v>
          </cell>
          <cell r="I1375">
            <v>-4.3173686019957171E-9</v>
          </cell>
          <cell r="J1375">
            <v>-8.0356896782896889E-9</v>
          </cell>
          <cell r="K1375">
            <v>-4.1381851175280505E-9</v>
          </cell>
          <cell r="L1375">
            <v>-8.0928626019952268E-9</v>
          </cell>
          <cell r="M1375">
            <v>-6.9291996095811562E-2</v>
          </cell>
          <cell r="N1375">
            <v>-0.18972078116868815</v>
          </cell>
          <cell r="O1375">
            <v>-0.29854099646648435</v>
          </cell>
          <cell r="P1375">
            <v>-0.42640765241550416</v>
          </cell>
          <cell r="Q1375">
            <v>-0.54048335066883157</v>
          </cell>
          <cell r="R1375">
            <v>-0.63305639587401341</v>
          </cell>
          <cell r="S1375">
            <v>-0.7036964347149699</v>
          </cell>
          <cell r="T1375">
            <v>-0.75364101713119724</v>
          </cell>
          <cell r="U1375">
            <v>-0.78739528136374581</v>
          </cell>
          <cell r="V1375">
            <v>-0.81989843243610183</v>
          </cell>
          <cell r="W1375">
            <v>-0.85636853481078568</v>
          </cell>
          <cell r="X1375">
            <v>-0.89742063686282914</v>
          </cell>
          <cell r="Y1375">
            <v>-0.94016545985359556</v>
          </cell>
          <cell r="Z1375">
            <v>-0.98276837922238525</v>
          </cell>
          <cell r="AA1375">
            <v>-1.0182231657686824</v>
          </cell>
          <cell r="AB1375">
            <v>-1.0447984705134041</v>
          </cell>
          <cell r="AC1375">
            <v>-1.0623114018191424</v>
          </cell>
          <cell r="AD1375">
            <v>-1.0711793058988066</v>
          </cell>
          <cell r="AE1375">
            <v>-1.0723950938758295</v>
          </cell>
          <cell r="AF1375">
            <v>-1.0615120236919595</v>
          </cell>
          <cell r="AG1375">
            <v>-1.0407674416079338</v>
          </cell>
          <cell r="AH1375">
            <v>-1.0124661630740444</v>
          </cell>
          <cell r="AI1375">
            <v>-0.97875229742552372</v>
          </cell>
          <cell r="AJ1375">
            <v>-0.94139155863499102</v>
          </cell>
          <cell r="AK1375">
            <v>-0.90041591191157666</v>
          </cell>
          <cell r="AL1375">
            <v>-0.85715012073548991</v>
          </cell>
          <cell r="AM1375">
            <v>-0.81275865656976876</v>
          </cell>
          <cell r="AN1375">
            <v>-0.76812141080006335</v>
          </cell>
          <cell r="AO1375">
            <v>-0.72384973667064445</v>
          </cell>
        </row>
        <row r="1376">
          <cell r="C1376" t="str">
            <v>Investissement ménages</v>
          </cell>
          <cell r="E1376" t="str">
            <v>100*((CH_ccon_2-CH_ccon_0)/GDP_0)</v>
          </cell>
          <cell r="F1376">
            <v>-4.556317102739228E-10</v>
          </cell>
          <cell r="G1376">
            <v>-4.4808782777678088E-10</v>
          </cell>
          <cell r="H1376">
            <v>-4.400628060899832E-10</v>
          </cell>
          <cell r="I1376">
            <v>-4.3173682878658223E-10</v>
          </cell>
          <cell r="J1376">
            <v>-4.2293119765884816E-10</v>
          </cell>
          <cell r="K1376">
            <v>-4.13818481643547E-10</v>
          </cell>
          <cell r="L1376">
            <v>-4.0464310065810016E-10</v>
          </cell>
          <cell r="M1376">
            <v>-3.7139370161457892E-3</v>
          </cell>
          <cell r="N1376">
            <v>-1.0791172613318085E-2</v>
          </cell>
          <cell r="O1376">
            <v>-1.9650979163220464E-2</v>
          </cell>
          <cell r="P1376">
            <v>-2.9847463132581787E-2</v>
          </cell>
          <cell r="Q1376">
            <v>-3.5651363787752868E-2</v>
          </cell>
          <cell r="R1376">
            <v>-3.6904258918443233E-2</v>
          </cell>
          <cell r="S1376">
            <v>-3.5015631256164102E-2</v>
          </cell>
          <cell r="T1376">
            <v>-3.1515697649640219E-2</v>
          </cell>
          <cell r="U1376">
            <v>-2.753188118044381E-2</v>
          </cell>
          <cell r="V1376">
            <v>-2.4188898096811545E-2</v>
          </cell>
          <cell r="W1376">
            <v>-2.1941117391359479E-2</v>
          </cell>
          <cell r="X1376">
            <v>-2.0670478981677877E-2</v>
          </cell>
          <cell r="Y1376">
            <v>-1.9986891073111E-2</v>
          </cell>
          <cell r="Z1376">
            <v>-1.9637956675846672E-2</v>
          </cell>
          <cell r="AA1376">
            <v>-1.9083961332403893E-2</v>
          </cell>
          <cell r="AB1376">
            <v>-1.8396881057333732E-2</v>
          </cell>
          <cell r="AC1376">
            <v>-1.7730064371857528E-2</v>
          </cell>
          <cell r="AD1376">
            <v>-1.7207337740668918E-2</v>
          </cell>
          <cell r="AE1376">
            <v>-1.6916125433097166E-2</v>
          </cell>
          <cell r="AF1376">
            <v>-1.6704632668548686E-2</v>
          </cell>
          <cell r="AG1376">
            <v>-1.6811749251967226E-2</v>
          </cell>
          <cell r="AH1376">
            <v>-1.7325451379399569E-2</v>
          </cell>
          <cell r="AI1376">
            <v>-1.8223383545392921E-2</v>
          </cell>
          <cell r="AJ1376">
            <v>-1.9430868160025767E-2</v>
          </cell>
          <cell r="AK1376">
            <v>-2.0758597903931662E-2</v>
          </cell>
          <cell r="AL1376">
            <v>-2.2209756786818032E-2</v>
          </cell>
          <cell r="AM1376">
            <v>-2.3743414776616002E-2</v>
          </cell>
          <cell r="AN1376">
            <v>-2.52809761293969E-2</v>
          </cell>
          <cell r="AO1376">
            <v>-2.6736124569795159E-2</v>
          </cell>
        </row>
        <row r="1377">
          <cell r="C1377" t="str">
            <v>Investissement public</v>
          </cell>
          <cell r="E1377" t="str">
            <v>100*((IA_spub_2-IA_spub_0)/GDP_0)</v>
          </cell>
          <cell r="F1377">
            <v>0</v>
          </cell>
          <cell r="G1377">
            <v>0</v>
          </cell>
          <cell r="H1377">
            <v>0</v>
          </cell>
          <cell r="I1377">
            <v>0</v>
          </cell>
          <cell r="J1377">
            <v>-4.2293088993600558E-10</v>
          </cell>
          <cell r="K1377">
            <v>0</v>
          </cell>
          <cell r="L1377">
            <v>0</v>
          </cell>
          <cell r="M1377">
            <v>-3.1148197971002357E-3</v>
          </cell>
          <cell r="N1377">
            <v>-8.5478863841487399E-3</v>
          </cell>
          <cell r="O1377">
            <v>-1.5194117087461457E-2</v>
          </cell>
          <cell r="P1377">
            <v>-2.33267779094825E-2</v>
          </cell>
          <cell r="Q1377">
            <v>-2.8960856435002361E-2</v>
          </cell>
          <cell r="R1377">
            <v>-3.2113521614648574E-2</v>
          </cell>
          <cell r="S1377">
            <v>-3.3354371848666346E-2</v>
          </cell>
          <cell r="T1377">
            <v>-3.3266113485092438E-2</v>
          </cell>
          <cell r="U1377">
            <v>-3.2311818837699444E-2</v>
          </cell>
          <cell r="V1377">
            <v>-3.1246247608955054E-2</v>
          </cell>
          <cell r="W1377">
            <v>-3.0345586009450923E-2</v>
          </cell>
          <cell r="X1377">
            <v>-2.9549333816913308E-2</v>
          </cell>
          <cell r="Y1377">
            <v>-2.861542401891632E-2</v>
          </cell>
          <cell r="Z1377">
            <v>-2.7469130017336616E-2</v>
          </cell>
          <cell r="AA1377">
            <v>-2.5714352490260439E-2</v>
          </cell>
          <cell r="AB1377">
            <v>-2.3462962058268609E-2</v>
          </cell>
          <cell r="AC1377">
            <v>-2.0822105047289825E-2</v>
          </cell>
          <cell r="AD1377">
            <v>-1.7887921819622798E-2</v>
          </cell>
          <cell r="AE1377">
            <v>-1.4756516826220603E-2</v>
          </cell>
          <cell r="AF1377">
            <v>-1.1388504743711208E-2</v>
          </cell>
          <cell r="AG1377">
            <v>-8.1113476835908138E-3</v>
          </cell>
          <cell r="AH1377">
            <v>-5.0782892663007971E-3</v>
          </cell>
          <cell r="AI1377">
            <v>-2.3587661330784623E-3</v>
          </cell>
          <cell r="AJ1377">
            <v>2.4415981152210258E-5</v>
          </cell>
          <cell r="AK1377">
            <v>2.1279301364228774E-3</v>
          </cell>
          <cell r="AL1377">
            <v>3.8724271497732835E-3</v>
          </cell>
          <cell r="AM1377">
            <v>5.2523344046600503E-3</v>
          </cell>
          <cell r="AN1377">
            <v>6.3019229594355125E-3</v>
          </cell>
          <cell r="AO1377">
            <v>7.0722768717529387E-3</v>
          </cell>
        </row>
        <row r="1378">
          <cell r="C1378" t="str">
            <v>Consommation des ménages</v>
          </cell>
          <cell r="E1378" t="str">
            <v>100*(CH_2/CH_0-1)</v>
          </cell>
          <cell r="F1378">
            <v>-8.3317597265875065E-8</v>
          </cell>
          <cell r="G1378">
            <v>0</v>
          </cell>
          <cell r="H1378">
            <v>0</v>
          </cell>
          <cell r="I1378">
            <v>0</v>
          </cell>
          <cell r="J1378">
            <v>0</v>
          </cell>
          <cell r="K1378">
            <v>-7.6011796856789715E-8</v>
          </cell>
          <cell r="L1378">
            <v>0</v>
          </cell>
          <cell r="M1378">
            <v>-0.38378630835476102</v>
          </cell>
          <cell r="N1378">
            <v>-1.0667172030954908</v>
          </cell>
          <cell r="O1378">
            <v>-1.8606758308645444</v>
          </cell>
          <cell r="P1378">
            <v>-2.7295038663904925</v>
          </cell>
          <cell r="Q1378">
            <v>-3.0939759930005972</v>
          </cell>
          <cell r="R1378">
            <v>-3.0817832074528484</v>
          </cell>
          <cell r="S1378">
            <v>-2.8604507630944687</v>
          </cell>
          <cell r="T1378">
            <v>-2.5499293978641702</v>
          </cell>
          <cell r="U1378">
            <v>-2.2204152965826451</v>
          </cell>
          <cell r="V1378">
            <v>-1.9594003886129086</v>
          </cell>
          <cell r="W1378">
            <v>-1.7881331344521745</v>
          </cell>
          <cell r="X1378">
            <v>-1.6897967360412824</v>
          </cell>
          <cell r="Y1378">
            <v>-1.6335750213348321</v>
          </cell>
          <cell r="Z1378">
            <v>-1.6149538438780087</v>
          </cell>
          <cell r="AA1378">
            <v>-1.5872865354196186</v>
          </cell>
          <cell r="AB1378">
            <v>-1.570719082421701</v>
          </cell>
          <cell r="AC1378">
            <v>-1.5756874673250043</v>
          </cell>
          <cell r="AD1378">
            <v>-1.6060141170761932</v>
          </cell>
          <cell r="AE1378">
            <v>-1.6652375345610926</v>
          </cell>
          <cell r="AF1378">
            <v>-1.7299257528338718</v>
          </cell>
          <cell r="AG1378">
            <v>-1.8212584286494859</v>
          </cell>
          <cell r="AH1378">
            <v>-1.9385606608452677</v>
          </cell>
          <cell r="AI1378">
            <v>-2.0744436607312511</v>
          </cell>
          <cell r="AJ1378">
            <v>-2.2210701203043359</v>
          </cell>
          <cell r="AK1378">
            <v>-2.3616675991823266</v>
          </cell>
          <cell r="AL1378">
            <v>-2.5009274542697635</v>
          </cell>
          <cell r="AM1378">
            <v>-2.6347189941579474</v>
          </cell>
          <cell r="AN1378">
            <v>-2.7556745414886286</v>
          </cell>
          <cell r="AO1378">
            <v>-2.8570771919881777</v>
          </cell>
        </row>
        <row r="1379">
          <cell r="C1379" t="str">
            <v>Consommation des ménages automobile</v>
          </cell>
          <cell r="E1379" t="str">
            <v>100*(CH_cveh_2/CH_cveh_0-1)</v>
          </cell>
          <cell r="F1379">
            <v>0</v>
          </cell>
          <cell r="G1379">
            <v>-1.5192413993503351E-8</v>
          </cell>
          <cell r="H1379">
            <v>-1.4171008810848207E-8</v>
          </cell>
          <cell r="I1379">
            <v>0</v>
          </cell>
          <cell r="J1379">
            <v>1.2716894204345408E-8</v>
          </cell>
          <cell r="K1379">
            <v>3.6615177556598155E-8</v>
          </cell>
          <cell r="L1379">
            <v>3.5471514614471289E-8</v>
          </cell>
          <cell r="M1379">
            <v>-1.3474618607818956</v>
          </cell>
          <cell r="N1379">
            <v>-3.3859134002973801</v>
          </cell>
          <cell r="O1379">
            <v>-5.5708578644511286</v>
          </cell>
          <cell r="P1379">
            <v>-7.9993791931227349</v>
          </cell>
          <cell r="Q1379">
            <v>-7.474465901164784</v>
          </cell>
          <cell r="R1379">
            <v>-5.8710016502987683</v>
          </cell>
          <cell r="S1379">
            <v>-4.2875743634363417</v>
          </cell>
          <cell r="T1379">
            <v>-3.1075529457228135</v>
          </cell>
          <cell r="U1379">
            <v>-2.3774408295660354</v>
          </cell>
          <cell r="V1379">
            <v>-2.3103159388850325</v>
          </cell>
          <cell r="W1379">
            <v>-2.6497404737204078</v>
          </cell>
          <cell r="X1379">
            <v>-3.1232688511819928</v>
          </cell>
          <cell r="Y1379">
            <v>-3.4784009841563268</v>
          </cell>
          <cell r="Z1379">
            <v>-3.8078970425981629</v>
          </cell>
          <cell r="AA1379">
            <v>-3.8130342631384817</v>
          </cell>
          <cell r="AB1379">
            <v>-3.7588159265870336</v>
          </cell>
          <cell r="AC1379">
            <v>-3.7369355049655439</v>
          </cell>
          <cell r="AD1379">
            <v>-3.7590773726774218</v>
          </cell>
          <cell r="AE1379">
            <v>-3.8322327050161364</v>
          </cell>
          <cell r="AF1379">
            <v>-3.7749588579200299</v>
          </cell>
          <cell r="AG1379">
            <v>-3.7592659520705118</v>
          </cell>
          <cell r="AH1379">
            <v>-3.8098873986885384</v>
          </cell>
          <cell r="AI1379">
            <v>-3.9043092653166633</v>
          </cell>
          <cell r="AJ1379">
            <v>-4.0250199512691047</v>
          </cell>
          <cell r="AK1379">
            <v>-4.0990492672994927</v>
          </cell>
          <cell r="AL1379">
            <v>-4.2089063191092402</v>
          </cell>
          <cell r="AM1379">
            <v>-4.3691313415683997</v>
          </cell>
          <cell r="AN1379">
            <v>-4.5666081354082237</v>
          </cell>
          <cell r="AO1379">
            <v>-4.7884778697026675</v>
          </cell>
        </row>
        <row r="1380">
          <cell r="C1380" t="str">
            <v>Dépenses publiques</v>
          </cell>
          <cell r="E1380" t="str">
            <v>100*(G_2/G_0-1)</v>
          </cell>
          <cell r="F1380">
            <v>0</v>
          </cell>
          <cell r="G1380">
            <v>0</v>
          </cell>
          <cell r="H1380">
            <v>0</v>
          </cell>
          <cell r="I1380">
            <v>0</v>
          </cell>
          <cell r="J1380">
            <v>0</v>
          </cell>
          <cell r="K1380">
            <v>0</v>
          </cell>
          <cell r="L1380">
            <v>0</v>
          </cell>
          <cell r="M1380">
            <v>0</v>
          </cell>
          <cell r="N1380">
            <v>0</v>
          </cell>
          <cell r="O1380">
            <v>0</v>
          </cell>
          <cell r="P1380">
            <v>0</v>
          </cell>
          <cell r="Q1380">
            <v>0</v>
          </cell>
          <cell r="R1380">
            <v>0</v>
          </cell>
          <cell r="S1380">
            <v>0</v>
          </cell>
          <cell r="T1380">
            <v>0</v>
          </cell>
          <cell r="U1380">
            <v>0</v>
          </cell>
          <cell r="V1380">
            <v>0</v>
          </cell>
          <cell r="W1380">
            <v>0</v>
          </cell>
          <cell r="X1380">
            <v>0</v>
          </cell>
          <cell r="Y1380">
            <v>0</v>
          </cell>
          <cell r="Z1380">
            <v>0</v>
          </cell>
          <cell r="AA1380">
            <v>0</v>
          </cell>
          <cell r="AB1380">
            <v>0</v>
          </cell>
          <cell r="AC1380">
            <v>0</v>
          </cell>
          <cell r="AD1380">
            <v>0</v>
          </cell>
          <cell r="AE1380">
            <v>0</v>
          </cell>
          <cell r="AF1380">
            <v>0</v>
          </cell>
          <cell r="AG1380">
            <v>0</v>
          </cell>
          <cell r="AH1380">
            <v>0</v>
          </cell>
          <cell r="AI1380">
            <v>0</v>
          </cell>
          <cell r="AJ1380">
            <v>0</v>
          </cell>
          <cell r="AK1380">
            <v>0</v>
          </cell>
          <cell r="AL1380">
            <v>0</v>
          </cell>
          <cell r="AM1380">
            <v>0</v>
          </cell>
          <cell r="AN1380">
            <v>0</v>
          </cell>
          <cell r="AO1380">
            <v>0</v>
          </cell>
        </row>
        <row r="1381">
          <cell r="C1381" t="str">
            <v>Investissement</v>
          </cell>
          <cell r="E1381" t="str">
            <v>100*(I_2/I_0-1)</v>
          </cell>
          <cell r="F1381">
            <v>0</v>
          </cell>
          <cell r="G1381">
            <v>0</v>
          </cell>
          <cell r="H1381">
            <v>-2.045298375108473E-8</v>
          </cell>
          <cell r="I1381">
            <v>-2.0031676317699976E-8</v>
          </cell>
          <cell r="J1381">
            <v>-3.9159220310835963E-8</v>
          </cell>
          <cell r="K1381">
            <v>-1.910419600292812E-8</v>
          </cell>
          <cell r="L1381">
            <v>-3.7219038961922024E-8</v>
          </cell>
          <cell r="M1381">
            <v>-0.33145324660394104</v>
          </cell>
          <cell r="N1381">
            <v>-0.9027314599382219</v>
          </cell>
          <cell r="O1381">
            <v>-1.4198341044217355</v>
          </cell>
          <cell r="P1381">
            <v>-2.0214799682738538</v>
          </cell>
          <cell r="Q1381">
            <v>-2.539099380951626</v>
          </cell>
          <cell r="R1381">
            <v>-2.9412702105420796</v>
          </cell>
          <cell r="S1381">
            <v>-3.2312509928016153</v>
          </cell>
          <cell r="T1381">
            <v>-3.4196614956474303</v>
          </cell>
          <cell r="U1381">
            <v>-3.530473612411833</v>
          </cell>
          <cell r="V1381">
            <v>-3.6326663106083346</v>
          </cell>
          <cell r="W1381">
            <v>-3.749841819838351</v>
          </cell>
          <cell r="X1381">
            <v>-3.8840377472510568</v>
          </cell>
          <cell r="Y1381">
            <v>-4.021851382387287</v>
          </cell>
          <cell r="Z1381">
            <v>-4.1552458003166315</v>
          </cell>
          <cell r="AA1381">
            <v>-4.254807955008955</v>
          </cell>
          <cell r="AB1381">
            <v>-4.3148889499068588</v>
          </cell>
          <cell r="AC1381">
            <v>-4.3361529626791402</v>
          </cell>
          <cell r="AD1381">
            <v>-4.321489304421311</v>
          </cell>
          <cell r="AE1381">
            <v>-4.2753680625317037</v>
          </cell>
          <cell r="AF1381">
            <v>-4.1872169145674594</v>
          </cell>
          <cell r="AG1381">
            <v>-4.0667920269018998</v>
          </cell>
          <cell r="AH1381">
            <v>-3.9225591503794455</v>
          </cell>
          <cell r="AI1381">
            <v>-3.7620191364547861</v>
          </cell>
          <cell r="AJ1381">
            <v>-3.5913754632830419</v>
          </cell>
          <cell r="AK1381">
            <v>-3.4102425864388941</v>
          </cell>
          <cell r="AL1381">
            <v>-3.2238289113534546</v>
          </cell>
          <cell r="AM1381">
            <v>-3.0364232692455917</v>
          </cell>
          <cell r="AN1381">
            <v>-2.8510730363230707</v>
          </cell>
          <cell r="AO1381">
            <v>-2.6697590280721051</v>
          </cell>
        </row>
        <row r="1382">
          <cell r="C1382" t="str">
            <v>Investissement entreprises</v>
          </cell>
          <cell r="E1382" t="str">
            <v>100*((I_2-IA_spub_2)/(I_0-IA_spub_0)-1)</v>
          </cell>
          <cell r="F1382">
            <v>0</v>
          </cell>
          <cell r="G1382">
            <v>0</v>
          </cell>
          <cell r="H1382">
            <v>-2.2299184720964149E-8</v>
          </cell>
          <cell r="I1382">
            <v>-2.1825263818442409E-8</v>
          </cell>
          <cell r="J1382">
            <v>-4.0501191289621374E-8</v>
          </cell>
          <cell r="K1382">
            <v>-2.0781043552631218E-8</v>
          </cell>
          <cell r="L1382">
            <v>-4.0447245552854838E-8</v>
          </cell>
          <cell r="M1382">
            <v>-0.34434975466780537</v>
          </cell>
          <cell r="N1382">
            <v>-0.93673357406509616</v>
          </cell>
          <cell r="O1382">
            <v>-1.4634475880532349</v>
          </cell>
          <cell r="P1382">
            <v>-2.0736496716067365</v>
          </cell>
          <cell r="Q1382">
            <v>-2.6047058092421693</v>
          </cell>
          <cell r="R1382">
            <v>-3.0227481884802954</v>
          </cell>
          <cell r="S1382">
            <v>-3.3287102227598675</v>
          </cell>
          <cell r="T1382">
            <v>-3.5313367621897296</v>
          </cell>
          <cell r="U1382">
            <v>-3.6542925511409252</v>
          </cell>
          <cell r="V1382">
            <v>-3.768337902126262</v>
          </cell>
          <cell r="W1382">
            <v>-3.8975146792125326</v>
          </cell>
          <cell r="X1382">
            <v>-4.0441789387774989</v>
          </cell>
          <cell r="Y1382">
            <v>-4.1948998542551408</v>
          </cell>
          <cell r="Z1382">
            <v>-4.3412875551455565</v>
          </cell>
          <cell r="AA1382">
            <v>-4.4534026937792959</v>
          </cell>
          <cell r="AB1382">
            <v>-4.5246574179522492</v>
          </cell>
          <cell r="AC1382">
            <v>-4.5553237457635287</v>
          </cell>
          <cell r="AD1382">
            <v>-4.548162569606129</v>
          </cell>
          <cell r="AE1382">
            <v>-4.5076912225105907</v>
          </cell>
          <cell r="AF1382">
            <v>-4.4231605848949478</v>
          </cell>
          <cell r="AG1382">
            <v>-4.303801510522054</v>
          </cell>
          <cell r="AH1382">
            <v>-4.1581297254783429</v>
          </cell>
          <cell r="AI1382">
            <v>-3.9939830239189011</v>
          </cell>
          <cell r="AJ1382">
            <v>-3.8179976183101649</v>
          </cell>
          <cell r="AK1382">
            <v>-3.6300976950293995</v>
          </cell>
          <cell r="AL1382">
            <v>-3.4355738528340507</v>
          </cell>
          <cell r="AM1382">
            <v>-3.2390032535022595</v>
          </cell>
          <cell r="AN1382">
            <v>-3.0437751412063396</v>
          </cell>
          <cell r="AO1382">
            <v>-2.852191619731903</v>
          </cell>
        </row>
        <row r="1383">
          <cell r="E1383" t="str">
            <v>100*(X_2/X_0-1)</v>
          </cell>
          <cell r="F1383">
            <v>0</v>
          </cell>
          <cell r="G1383">
            <v>-1.5278378562300077E-8</v>
          </cell>
          <cell r="H1383">
            <v>-1.4750889398840172E-8</v>
          </cell>
          <cell r="I1383">
            <v>-2.8516022876345914E-8</v>
          </cell>
          <cell r="J1383">
            <v>-4.1370162850995484E-8</v>
          </cell>
          <cell r="K1383">
            <v>-4.0026271186377471E-8</v>
          </cell>
          <cell r="L1383">
            <v>-5.1647608412253021E-8</v>
          </cell>
          <cell r="M1383">
            <v>-0.9271290383715991</v>
          </cell>
          <cell r="N1383">
            <v>-1.7178380910125024</v>
          </cell>
          <cell r="O1383">
            <v>-1.3216947576185079</v>
          </cell>
          <cell r="P1383">
            <v>-1.196908024059451</v>
          </cell>
          <cell r="Q1383">
            <v>-1.3391054474947928</v>
          </cell>
          <cell r="R1383">
            <v>-1.7186264870662216</v>
          </cell>
          <cell r="S1383">
            <v>-2.1907785543437974</v>
          </cell>
          <cell r="T1383">
            <v>-2.6242831968920521</v>
          </cell>
          <cell r="U1383">
            <v>-3.0069455483941465</v>
          </cell>
          <cell r="V1383">
            <v>-3.4444605987474564</v>
          </cell>
          <cell r="W1383">
            <v>-3.8759172868890412</v>
          </cell>
          <cell r="X1383">
            <v>-4.2976346890616135</v>
          </cell>
          <cell r="Y1383">
            <v>-4.7046580615391687</v>
          </cell>
          <cell r="Z1383">
            <v>-5.0933335717653572</v>
          </cell>
          <cell r="AA1383">
            <v>-5.4440779411799483</v>
          </cell>
          <cell r="AB1383">
            <v>-5.7481270240924642</v>
          </cell>
          <cell r="AC1383">
            <v>-6.0075806895618751</v>
          </cell>
          <cell r="AD1383">
            <v>-6.2266075690704081</v>
          </cell>
          <cell r="AE1383">
            <v>-6.409223210283244</v>
          </cell>
          <cell r="AF1383">
            <v>-6.5283603923498639</v>
          </cell>
          <cell r="AG1383">
            <v>-6.5826739581356097</v>
          </cell>
          <cell r="AH1383">
            <v>-6.583942639963281</v>
          </cell>
          <cell r="AI1383">
            <v>-6.5460530193609756</v>
          </cell>
          <cell r="AJ1383">
            <v>-6.4810739569155285</v>
          </cell>
          <cell r="AK1383">
            <v>-6.3893253692178797</v>
          </cell>
          <cell r="AL1383">
            <v>-6.271449471676938</v>
          </cell>
          <cell r="AM1383">
            <v>-6.1362813740548745</v>
          </cell>
          <cell r="AN1383">
            <v>-5.9935358556537306</v>
          </cell>
          <cell r="AO1383">
            <v>-5.8516807323608315</v>
          </cell>
        </row>
        <row r="1384">
          <cell r="E1384" t="str">
            <v>100*(M_2/M_0-1)</v>
          </cell>
          <cell r="F1384">
            <v>0</v>
          </cell>
          <cell r="G1384">
            <v>-1.5015588772371302E-8</v>
          </cell>
          <cell r="H1384">
            <v>-1.4695655803365071E-8</v>
          </cell>
          <cell r="I1384">
            <v>-1.4358503275246903E-8</v>
          </cell>
          <cell r="J1384">
            <v>-2.8000446405940238E-8</v>
          </cell>
          <cell r="K1384">
            <v>-2.7264934754356318E-8</v>
          </cell>
          <cell r="L1384">
            <v>-2.6518431894828609E-8</v>
          </cell>
          <cell r="M1384">
            <v>-0.58258864923176334</v>
          </cell>
          <cell r="N1384">
            <v>-1.3748066149096294</v>
          </cell>
          <cell r="O1384">
            <v>-1.873569599069691</v>
          </cell>
          <cell r="P1384">
            <v>-2.428998767879198</v>
          </cell>
          <cell r="Q1384">
            <v>-2.6867285567634069</v>
          </cell>
          <cell r="R1384">
            <v>-2.753019322477035</v>
          </cell>
          <cell r="S1384">
            <v>-2.7045928237992234</v>
          </cell>
          <cell r="T1384">
            <v>-2.5741515470291909</v>
          </cell>
          <cell r="U1384">
            <v>-2.3969192110422255</v>
          </cell>
          <cell r="V1384">
            <v>-2.274787450346305</v>
          </cell>
          <cell r="W1384">
            <v>-2.208881374455296</v>
          </cell>
          <cell r="X1384">
            <v>-2.1892411369645592</v>
          </cell>
          <cell r="Y1384">
            <v>-2.20210242206893</v>
          </cell>
          <cell r="Z1384">
            <v>-2.2343115362380317</v>
          </cell>
          <cell r="AA1384">
            <v>-2.2530610577636057</v>
          </cell>
          <cell r="AB1384">
            <v>-2.2739815810912112</v>
          </cell>
          <cell r="AC1384">
            <v>-2.3038771704920635</v>
          </cell>
          <cell r="AD1384">
            <v>-2.3446726146867158</v>
          </cell>
          <cell r="AE1384">
            <v>-2.3991098358245311</v>
          </cell>
          <cell r="AF1384">
            <v>-2.4487557656303283</v>
          </cell>
          <cell r="AG1384">
            <v>-2.5116651419106795</v>
          </cell>
          <cell r="AH1384">
            <v>-2.5888059820228793</v>
          </cell>
          <cell r="AI1384">
            <v>-2.6762009616677185</v>
          </cell>
          <cell r="AJ1384">
            <v>-2.7694903281530348</v>
          </cell>
          <cell r="AK1384">
            <v>-2.8588780808900371</v>
          </cell>
          <cell r="AL1384">
            <v>-2.9479515802871337</v>
          </cell>
          <cell r="AM1384">
            <v>-3.0343563563733467</v>
          </cell>
          <cell r="AN1384">
            <v>-3.1139283715712285</v>
          </cell>
          <cell r="AO1384">
            <v>-3.1828961305741643</v>
          </cell>
        </row>
        <row r="1385">
          <cell r="C1385" t="str">
            <v>Consommation des ménages</v>
          </cell>
          <cell r="E1385" t="str">
            <v>100*((CH_2-CH_ccon_2)/(CH_0-CH_ccon_0)-1)</v>
          </cell>
          <cell r="F1385">
            <v>-8.3730267164128236E-8</v>
          </cell>
          <cell r="G1385">
            <v>8.3464346545270018E-10</v>
          </cell>
          <cell r="H1385">
            <v>8.2103213117079576E-10</v>
          </cell>
          <cell r="I1385">
            <v>8.0617734710131117E-10</v>
          </cell>
          <cell r="J1385">
            <v>7.893685705084863E-10</v>
          </cell>
          <cell r="K1385">
            <v>-7.6377970614771584E-8</v>
          </cell>
          <cell r="L1385">
            <v>7.5337514005013873E-10</v>
          </cell>
          <cell r="M1385">
            <v>-0.38262169938987345</v>
          </cell>
          <cell r="N1385">
            <v>-1.0626278561864155</v>
          </cell>
          <cell r="O1385">
            <v>-1.8520292575462505</v>
          </cell>
          <cell r="P1385">
            <v>-2.714987923590495</v>
          </cell>
          <cell r="Q1385">
            <v>-3.0743182589741735</v>
          </cell>
          <cell r="R1385">
            <v>-3.0598234152829362</v>
          </cell>
          <cell r="S1385">
            <v>-2.8388393144934021</v>
          </cell>
          <cell r="T1385">
            <v>-2.5302342146931278</v>
          </cell>
          <cell r="U1385">
            <v>-2.203168521629828</v>
          </cell>
          <cell r="V1385">
            <v>-1.9443937962217217</v>
          </cell>
          <cell r="W1385">
            <v>-1.7746612229554204</v>
          </cell>
          <cell r="X1385">
            <v>-1.6771276576619476</v>
          </cell>
          <cell r="Y1385">
            <v>-1.621234389747106</v>
          </cell>
          <cell r="Z1385">
            <v>-1.6028601185005265</v>
          </cell>
          <cell r="AA1385">
            <v>-1.575667696244587</v>
          </cell>
          <cell r="AB1385">
            <v>-1.5599809565633338</v>
          </cell>
          <cell r="AC1385">
            <v>-1.5661137526656876</v>
          </cell>
          <cell r="AD1385">
            <v>-1.597716005790295</v>
          </cell>
          <cell r="AE1385">
            <v>-1.6581982355586833</v>
          </cell>
          <cell r="AF1385">
            <v>-1.7240722993213109</v>
          </cell>
          <cell r="AG1385">
            <v>-1.8163816867312388</v>
          </cell>
          <cell r="AH1385">
            <v>-1.9342675703611256</v>
          </cell>
          <cell r="AI1385">
            <v>-2.0702732242748767</v>
          </cell>
          <cell r="AJ1385">
            <v>-2.2165923850361424</v>
          </cell>
          <cell r="AK1385">
            <v>-2.3565753811844892</v>
          </cell>
          <cell r="AL1385">
            <v>-2.4949841712059828</v>
          </cell>
          <cell r="AM1385">
            <v>-2.6277104551657438</v>
          </cell>
          <cell r="AN1385">
            <v>-2.7474328961948014</v>
          </cell>
          <cell r="AO1385">
            <v>-2.8475039465522212</v>
          </cell>
        </row>
        <row r="1386">
          <cell r="C1386" t="str">
            <v>Investissement</v>
          </cell>
          <cell r="E1386" t="str">
            <v>100*((I_2+CH_ccon_2)/(I_0+CH_ccon_0)-1)</v>
          </cell>
          <cell r="F1386">
            <v>-2.0400570122092176E-9</v>
          </cell>
          <cell r="G1386">
            <v>-2.008693211763557E-9</v>
          </cell>
          <cell r="H1386">
            <v>-2.1686252793529093E-8</v>
          </cell>
          <cell r="I1386">
            <v>-2.12431405799407E-8</v>
          </cell>
          <cell r="J1386">
            <v>-3.9644421079287895E-8</v>
          </cell>
          <cell r="K1386">
            <v>-2.0263624112004663E-8</v>
          </cell>
          <cell r="L1386">
            <v>-3.7687097886873744E-8</v>
          </cell>
          <cell r="M1386">
            <v>-0.33607750850076501</v>
          </cell>
          <cell r="N1386">
            <v>-0.9182027769513823</v>
          </cell>
          <cell r="O1386">
            <v>-1.4556954098855601</v>
          </cell>
          <cell r="P1386">
            <v>-2.080246248732931</v>
          </cell>
          <cell r="Q1386">
            <v>-2.6042209602153421</v>
          </cell>
          <cell r="R1386">
            <v>-2.9970532758384794</v>
          </cell>
          <cell r="S1386">
            <v>-3.2683072608337471</v>
          </cell>
          <cell r="T1386">
            <v>-3.434988421430063</v>
          </cell>
          <cell r="U1386">
            <v>-3.5251042940135147</v>
          </cell>
          <cell r="V1386">
            <v>-3.6099749919050739</v>
          </cell>
          <cell r="W1386">
            <v>-3.714211630174602</v>
          </cell>
          <cell r="X1386">
            <v>-3.8392088446532413</v>
          </cell>
          <cell r="Y1386">
            <v>-3.9703497375536134</v>
          </cell>
          <cell r="Z1386">
            <v>-4.0988202814665753</v>
          </cell>
          <cell r="AA1386">
            <v>-4.1939413046196634</v>
          </cell>
          <cell r="AB1386">
            <v>-4.2505069207964148</v>
          </cell>
          <cell r="AC1386">
            <v>-4.2697085674738622</v>
          </cell>
          <cell r="AD1386">
            <v>-4.2547544356827398</v>
          </cell>
          <cell r="AE1386">
            <v>-4.2102978622999832</v>
          </cell>
          <cell r="AF1386">
            <v>-4.1252811006289303</v>
          </cell>
          <cell r="AG1386">
            <v>-4.0099991604383822</v>
          </cell>
          <cell r="AH1386">
            <v>-3.8729432295542598</v>
          </cell>
          <cell r="AI1386">
            <v>-3.7212605626698259</v>
          </cell>
          <cell r="AJ1386">
            <v>-3.5606659432555143</v>
          </cell>
          <cell r="AK1386">
            <v>-3.3900770608067177</v>
          </cell>
          <cell r="AL1386">
            <v>-3.2145782033494608</v>
          </cell>
          <cell r="AM1386">
            <v>-3.0382058566862269</v>
          </cell>
          <cell r="AN1386">
            <v>-2.8636575400602049</v>
          </cell>
          <cell r="AO1386">
            <v>-2.6925701876728159</v>
          </cell>
        </row>
        <row r="1387">
          <cell r="C1387" t="str">
            <v>Investissement ménages</v>
          </cell>
          <cell r="E1387" t="str">
            <v>100*((CH_ccon_2)/(CH_ccon_0)-1)</v>
          </cell>
          <cell r="F1387">
            <v>-5.599560815028326E-8</v>
          </cell>
          <cell r="G1387">
            <v>-5.5388515995957732E-8</v>
          </cell>
          <cell r="H1387">
            <v>-5.4622739664722531E-8</v>
          </cell>
          <cell r="I1387">
            <v>-5.3749127371105487E-8</v>
          </cell>
          <cell r="J1387">
            <v>-5.2705062536517744E-8</v>
          </cell>
          <cell r="K1387">
            <v>-5.1547011103991736E-8</v>
          </cell>
          <cell r="L1387">
            <v>-5.0351667280068568E-8</v>
          </cell>
          <cell r="M1387">
            <v>-0.46164340281261707</v>
          </cell>
          <cell r="N1387">
            <v>-1.3402201063291597</v>
          </cell>
          <cell r="O1387">
            <v>-2.4393458981628369</v>
          </cell>
          <cell r="P1387">
            <v>-3.7017274200314088</v>
          </cell>
          <cell r="Q1387">
            <v>-4.411368379384295</v>
          </cell>
          <cell r="R1387">
            <v>-4.5536886492161033</v>
          </cell>
          <cell r="S1387">
            <v>-4.3083065674004324</v>
          </cell>
          <cell r="T1387">
            <v>-3.8678377399146924</v>
          </cell>
          <cell r="U1387">
            <v>-3.3724010663902848</v>
          </cell>
          <cell r="V1387">
            <v>-2.9594886132879306</v>
          </cell>
          <cell r="W1387">
            <v>-2.6836809035283182</v>
          </cell>
          <cell r="X1387">
            <v>-2.5297985919813137</v>
          </cell>
          <cell r="Y1387">
            <v>-2.4497883428166389</v>
          </cell>
          <cell r="Z1387">
            <v>-2.4131095027484672</v>
          </cell>
          <cell r="AA1387">
            <v>-2.3527921320551481</v>
          </cell>
          <cell r="AB1387">
            <v>-2.2773584171310368</v>
          </cell>
          <cell r="AC1387">
            <v>-2.2053062311929716</v>
          </cell>
          <cell r="AD1387">
            <v>-2.1517206192367411</v>
          </cell>
          <cell r="AE1387">
            <v>-2.1284201566772576</v>
          </cell>
          <cell r="AF1387">
            <v>-2.1154924283845467</v>
          </cell>
          <cell r="AG1387">
            <v>-2.1429258551081354</v>
          </cell>
          <cell r="AH1387">
            <v>-2.222147645119521</v>
          </cell>
          <cell r="AI1387">
            <v>-2.3503289605239619</v>
          </cell>
          <cell r="AJ1387">
            <v>-2.5176780933375609</v>
          </cell>
          <cell r="AK1387">
            <v>-2.6993568711151217</v>
          </cell>
          <cell r="AL1387">
            <v>-2.8953835028015074</v>
          </cell>
          <cell r="AM1387">
            <v>-3.1001025347558997</v>
          </cell>
          <cell r="AN1387">
            <v>-3.3029899502221682</v>
          </cell>
          <cell r="AO1387">
            <v>-3.4926092279752297</v>
          </cell>
        </row>
        <row r="1388">
          <cell r="C1388" t="str">
            <v>Investissement public</v>
          </cell>
          <cell r="E1388" t="str">
            <v>100*((IA_spub_2)/(IA_spub_0)-1)</v>
          </cell>
          <cell r="F1388">
            <v>0</v>
          </cell>
          <cell r="G1388">
            <v>0</v>
          </cell>
          <cell r="H1388">
            <v>0</v>
          </cell>
          <cell r="I1388">
            <v>0</v>
          </cell>
          <cell r="J1388">
            <v>-2.4030644141248558E-8</v>
          </cell>
          <cell r="K1388">
            <v>0</v>
          </cell>
          <cell r="L1388">
            <v>0</v>
          </cell>
          <cell r="M1388">
            <v>-0.18081089285248986</v>
          </cell>
          <cell r="N1388">
            <v>-0.49994840849484357</v>
          </cell>
          <cell r="O1388">
            <v>-0.8954774625998474</v>
          </cell>
          <cell r="P1388">
            <v>-1.3846804001302893</v>
          </cell>
          <cell r="Q1388">
            <v>-1.7272012021047112</v>
          </cell>
          <cell r="R1388">
            <v>-1.9206855918678878</v>
          </cell>
          <cell r="S1388">
            <v>-1.9974317851316981</v>
          </cell>
          <cell r="T1388">
            <v>-1.992297927676534</v>
          </cell>
          <cell r="U1388">
            <v>-1.9337787038574694</v>
          </cell>
          <cell r="V1388">
            <v>-1.86796752077385</v>
          </cell>
          <cell r="W1388">
            <v>-1.8121768759147949</v>
          </cell>
          <cell r="X1388">
            <v>-1.7633880302524219</v>
          </cell>
          <cell r="Y1388">
            <v>-1.7075414202743389</v>
          </cell>
          <cell r="Z1388">
            <v>-1.6403164625102384</v>
          </cell>
          <cell r="AA1388">
            <v>-1.5383605828387714</v>
          </cell>
          <cell r="AB1388">
            <v>-1.4080471604852929</v>
          </cell>
          <cell r="AC1388">
            <v>-1.2551620421556553</v>
          </cell>
          <cell r="AD1388">
            <v>-1.0845843633328189</v>
          </cell>
          <cell r="AE1388">
            <v>-0.90093180812976792</v>
          </cell>
          <cell r="AF1388">
            <v>-0.70113783031556798</v>
          </cell>
          <cell r="AG1388">
            <v>-0.50418889363011976</v>
          </cell>
          <cell r="AH1388">
            <v>-0.3190370355222405</v>
          </cell>
          <cell r="AI1388">
            <v>-0.14988620039154688</v>
          </cell>
          <cell r="AJ1388">
            <v>1.5699571149552227E-3</v>
          </cell>
          <cell r="AK1388">
            <v>0.1384736797069408</v>
          </cell>
          <cell r="AL1388">
            <v>0.25500348531588557</v>
          </cell>
          <cell r="AM1388">
            <v>0.34989109465812795</v>
          </cell>
          <cell r="AN1388">
            <v>0.42447632711439809</v>
          </cell>
          <cell r="AO1388">
            <v>0.48133634184128749</v>
          </cell>
        </row>
        <row r="1389">
          <cell r="C1389" t="str">
            <v>Revenu disponible des ménages</v>
          </cell>
          <cell r="E1389" t="str">
            <v>100*(DISPINC_AT_VAL_2/DISPINC_AT_VAL_0-1)</v>
          </cell>
          <cell r="F1389">
            <v>0</v>
          </cell>
          <cell r="G1389">
            <v>0</v>
          </cell>
          <cell r="H1389">
            <v>0</v>
          </cell>
          <cell r="I1389">
            <v>6.5905902957297258E-8</v>
          </cell>
          <cell r="J1389">
            <v>0</v>
          </cell>
          <cell r="K1389">
            <v>1.2118779313396999E-7</v>
          </cell>
          <cell r="L1389">
            <v>5.8026827787216462E-8</v>
          </cell>
          <cell r="M1389">
            <v>-4.1412666256823716E-2</v>
          </cell>
          <cell r="N1389">
            <v>-1.3331850685582847E-2</v>
          </cell>
          <cell r="O1389">
            <v>0.4190583658543634</v>
          </cell>
          <cell r="P1389">
            <v>1.2925985017030017</v>
          </cell>
          <cell r="Q1389">
            <v>2.4138183098574295</v>
          </cell>
          <cell r="R1389">
            <v>3.6464528594707613</v>
          </cell>
          <cell r="S1389">
            <v>4.8827122862328931</v>
          </cell>
          <cell r="T1389">
            <v>6.0821136398183873</v>
          </cell>
          <cell r="U1389">
            <v>7.2240912672567825</v>
          </cell>
          <cell r="V1389">
            <v>8.2905929948722701</v>
          </cell>
          <cell r="W1389">
            <v>9.2816297041852458</v>
          </cell>
          <cell r="X1389">
            <v>10.194456836332332</v>
          </cell>
          <cell r="Y1389">
            <v>11.016745182823318</v>
          </cell>
          <cell r="Z1389">
            <v>11.734462026478742</v>
          </cell>
          <cell r="AA1389">
            <v>12.326175574100052</v>
          </cell>
          <cell r="AB1389">
            <v>12.780712638080537</v>
          </cell>
          <cell r="AC1389">
            <v>13.092236399205891</v>
          </cell>
          <cell r="AD1389">
            <v>13.260134540783008</v>
          </cell>
          <cell r="AE1389">
            <v>13.282674322937261</v>
          </cell>
          <cell r="AF1389">
            <v>13.177625466715304</v>
          </cell>
          <cell r="AG1389">
            <v>12.970427888176861</v>
          </cell>
          <cell r="AH1389">
            <v>12.687123012977608</v>
          </cell>
          <cell r="AI1389">
            <v>12.352155364539597</v>
          </cell>
          <cell r="AJ1389">
            <v>11.986226969030888</v>
          </cell>
          <cell r="AK1389">
            <v>11.609482826301187</v>
          </cell>
          <cell r="AL1389">
            <v>11.243750305958567</v>
          </cell>
          <cell r="AM1389">
            <v>10.909690558857775</v>
          </cell>
          <cell r="AN1389">
            <v>10.624606259467505</v>
          </cell>
          <cell r="AO1389">
            <v>10.400793440640443</v>
          </cell>
        </row>
        <row r="1390">
          <cell r="C1390" t="str">
            <v>Revenu disponible réel des ménages</v>
          </cell>
          <cell r="E1390" t="str">
            <v>100*(DISPINC_AT_VAL_2/DISPINC_AT_VAL_0-1)-100*(PCH_2/PCH_0-1)</v>
          </cell>
          <cell r="F1390">
            <v>0</v>
          </cell>
          <cell r="G1390">
            <v>0</v>
          </cell>
          <cell r="H1390">
            <v>0</v>
          </cell>
          <cell r="I1390">
            <v>-2.7937940849653842E-8</v>
          </cell>
          <cell r="J1390">
            <v>-9.2010621344229548E-8</v>
          </cell>
          <cell r="K1390">
            <v>3.0972691078545722E-8</v>
          </cell>
          <cell r="L1390">
            <v>-1.1883662942580031E-7</v>
          </cell>
          <cell r="M1390">
            <v>-0.56524335297568618</v>
          </cell>
          <cell r="N1390">
            <v>-1.354802819947809</v>
          </cell>
          <cell r="O1390">
            <v>-2.1672674594633845</v>
          </cell>
          <cell r="P1390">
            <v>-3.0818853435893079</v>
          </cell>
          <cell r="Q1390">
            <v>-3.1956151440297731</v>
          </cell>
          <cell r="R1390">
            <v>-3.0455206015158387</v>
          </cell>
          <cell r="S1390">
            <v>-2.7918976877698398</v>
          </cell>
          <cell r="T1390">
            <v>-2.5069744067470756</v>
          </cell>
          <cell r="U1390">
            <v>-2.2237419872953792</v>
          </cell>
          <cell r="V1390">
            <v>-2.0415775654202726</v>
          </cell>
          <cell r="W1390">
            <v>-1.9449741111451821</v>
          </cell>
          <cell r="X1390">
            <v>-1.8996608250152036</v>
          </cell>
          <cell r="Y1390">
            <v>-1.8711419886066736</v>
          </cell>
          <cell r="Z1390">
            <v>-1.8752086849405334</v>
          </cell>
          <cell r="AA1390">
            <v>-1.8384630477719757</v>
          </cell>
          <cell r="AB1390">
            <v>-1.82599842672251</v>
          </cell>
          <cell r="AC1390">
            <v>-1.841943401141922</v>
          </cell>
          <cell r="AD1390">
            <v>-1.886046576740986</v>
          </cell>
          <cell r="AE1390">
            <v>-1.9619733549366405</v>
          </cell>
          <cell r="AF1390">
            <v>-2.0279848979553936</v>
          </cell>
          <cell r="AG1390">
            <v>-2.1364149404235366</v>
          </cell>
          <cell r="AH1390">
            <v>-2.2721298351695562</v>
          </cell>
          <cell r="AI1390">
            <v>-2.4234746633067896</v>
          </cell>
          <cell r="AJ1390">
            <v>-2.5822960604732224</v>
          </cell>
          <cell r="AK1390">
            <v>-2.7252340236475501</v>
          </cell>
          <cell r="AL1390">
            <v>-2.8718526093800527</v>
          </cell>
          <cell r="AM1390">
            <v>-3.011844691825317</v>
          </cell>
          <cell r="AN1390">
            <v>-3.1356271770678568</v>
          </cell>
          <cell r="AO1390">
            <v>-3.2367729737998285</v>
          </cell>
        </row>
        <row r="1391">
          <cell r="C1391" t="str">
            <v>Revenu disponible par emploi en valeur</v>
          </cell>
          <cell r="E1391" t="str">
            <v>100*(DISPINC_AT_VAL_2/DISPINC_AT_VAL_0-1)-100*((F_L_2/F_L_0)-1)</v>
          </cell>
          <cell r="F1391">
            <v>0</v>
          </cell>
          <cell r="G1391">
            <v>3.6419334215054278E-8</v>
          </cell>
          <cell r="H1391">
            <v>0</v>
          </cell>
          <cell r="I1391">
            <v>6.5905902957297258E-8</v>
          </cell>
          <cell r="J1391">
            <v>3.5602920611665922E-8</v>
          </cell>
          <cell r="K1391">
            <v>1.2118779313396999E-7</v>
          </cell>
          <cell r="L1391">
            <v>9.2862428857642954E-8</v>
          </cell>
          <cell r="M1391">
            <v>0.14158340052029539</v>
          </cell>
          <cell r="N1391">
            <v>0.50421084540130945</v>
          </cell>
          <cell r="O1391">
            <v>1.2014540954989883</v>
          </cell>
          <cell r="P1391">
            <v>2.3330002939865202</v>
          </cell>
          <cell r="Q1391">
            <v>3.6959838421868785</v>
          </cell>
          <cell r="R1391">
            <v>5.1435401400169445</v>
          </cell>
          <cell r="S1391">
            <v>6.559487513480744</v>
          </cell>
          <cell r="T1391">
            <v>7.8971693308527495</v>
          </cell>
          <cell r="U1391">
            <v>9.1430880190039083</v>
          </cell>
          <cell r="V1391">
            <v>10.312867260401749</v>
          </cell>
          <cell r="W1391">
            <v>11.424390817345721</v>
          </cell>
          <cell r="X1391">
            <v>12.4819384990129</v>
          </cell>
          <cell r="Y1391">
            <v>13.469661980677273</v>
          </cell>
          <cell r="Z1391">
            <v>14.369723934152633</v>
          </cell>
          <cell r="AA1391">
            <v>15.147943321312619</v>
          </cell>
          <cell r="AB1391">
            <v>15.783011827883552</v>
          </cell>
          <cell r="AC1391">
            <v>16.264117490140151</v>
          </cell>
          <cell r="AD1391">
            <v>16.588946213477428</v>
          </cell>
          <cell r="AE1391">
            <v>16.756239447291467</v>
          </cell>
          <cell r="AF1391">
            <v>16.776076864569166</v>
          </cell>
          <cell r="AG1391">
            <v>16.667086358088469</v>
          </cell>
          <cell r="AH1391">
            <v>16.453065179478987</v>
          </cell>
          <cell r="AI1391">
            <v>16.159290799702841</v>
          </cell>
          <cell r="AJ1391">
            <v>15.808937942393541</v>
          </cell>
          <cell r="AK1391">
            <v>15.422047091332214</v>
          </cell>
          <cell r="AL1391">
            <v>15.020618969436596</v>
          </cell>
          <cell r="AM1391">
            <v>14.627375951383659</v>
          </cell>
          <cell r="AN1391">
            <v>14.262911475753336</v>
          </cell>
          <cell r="AO1391">
            <v>13.943345190073241</v>
          </cell>
        </row>
        <row r="1392">
          <cell r="C1392" t="str">
            <v>Revenu disponible réel par emploi</v>
          </cell>
          <cell r="E1392" t="str">
            <v>100*(DISPINC_AT_VAL_2/DISPINC_AT_VAL_0-1)-100*((F_L_2/F_L_0)-1)-100*(PCH_2/PCH_0-1)</v>
          </cell>
          <cell r="F1392">
            <v>0</v>
          </cell>
          <cell r="G1392">
            <v>3.6419334215054278E-8</v>
          </cell>
          <cell r="H1392">
            <v>0</v>
          </cell>
          <cell r="I1392">
            <v>-2.7937940849653842E-8</v>
          </cell>
          <cell r="J1392">
            <v>-5.6407700732563626E-8</v>
          </cell>
          <cell r="K1392">
            <v>3.0972691078545722E-8</v>
          </cell>
          <cell r="L1392">
            <v>-8.4001028355373819E-8</v>
          </cell>
          <cell r="M1392">
            <v>-0.38224728619856707</v>
          </cell>
          <cell r="N1392">
            <v>-0.83726012386091675</v>
          </cell>
          <cell r="O1392">
            <v>-1.3848717298187596</v>
          </cell>
          <cell r="P1392">
            <v>-2.0414835513057894</v>
          </cell>
          <cell r="Q1392">
            <v>-1.9134496117003241</v>
          </cell>
          <cell r="R1392">
            <v>-1.5484333209696555</v>
          </cell>
          <cell r="S1392">
            <v>-1.1151224605219889</v>
          </cell>
          <cell r="T1392">
            <v>-0.69191871571271335</v>
          </cell>
          <cell r="U1392">
            <v>-0.30474523554825339</v>
          </cell>
          <cell r="V1392">
            <v>-1.9303299890793824E-2</v>
          </cell>
          <cell r="W1392">
            <v>0.19778700201529276</v>
          </cell>
          <cell r="X1392">
            <v>0.38782083766536424</v>
          </cell>
          <cell r="Y1392">
            <v>0.58177480924728187</v>
          </cell>
          <cell r="Z1392">
            <v>0.76005322273335807</v>
          </cell>
          <cell r="AA1392">
            <v>0.98330469944059118</v>
          </cell>
          <cell r="AB1392">
            <v>1.1763007630805049</v>
          </cell>
          <cell r="AC1392">
            <v>1.3299376897923381</v>
          </cell>
          <cell r="AD1392">
            <v>1.4427650959534333</v>
          </cell>
          <cell r="AE1392">
            <v>1.5115917694175653</v>
          </cell>
          <cell r="AF1392">
            <v>1.570466499898469</v>
          </cell>
          <cell r="AG1392">
            <v>1.560243529488071</v>
          </cell>
          <cell r="AH1392">
            <v>1.4938123313318226</v>
          </cell>
          <cell r="AI1392">
            <v>1.3836607718564551</v>
          </cell>
          <cell r="AJ1392">
            <v>1.2404149128894311</v>
          </cell>
          <cell r="AK1392">
            <v>1.0873302413834764</v>
          </cell>
          <cell r="AL1392">
            <v>0.9050160540979757</v>
          </cell>
          <cell r="AM1392">
            <v>0.70584070070056626</v>
          </cell>
          <cell r="AN1392">
            <v>0.50267803921797416</v>
          </cell>
          <cell r="AO1392">
            <v>0.30577877563296951</v>
          </cell>
        </row>
        <row r="1393">
          <cell r="C1393" t="str">
            <v>Taux d'épargne</v>
          </cell>
          <cell r="E1393" t="str">
            <v>100*(MPS_n_2-MPS_n_0)</v>
          </cell>
          <cell r="F1393">
            <v>0</v>
          </cell>
          <cell r="G1393">
            <v>0</v>
          </cell>
          <cell r="H1393">
            <v>0</v>
          </cell>
          <cell r="I1393">
            <v>0</v>
          </cell>
          <cell r="J1393">
            <v>0</v>
          </cell>
          <cell r="K1393">
            <v>0</v>
          </cell>
          <cell r="L1393">
            <v>0</v>
          </cell>
          <cell r="M1393">
            <v>0</v>
          </cell>
          <cell r="N1393">
            <v>0</v>
          </cell>
          <cell r="O1393">
            <v>0</v>
          </cell>
          <cell r="P1393">
            <v>0</v>
          </cell>
          <cell r="Q1393">
            <v>0</v>
          </cell>
          <cell r="R1393">
            <v>0</v>
          </cell>
          <cell r="S1393">
            <v>0</v>
          </cell>
          <cell r="T1393">
            <v>0</v>
          </cell>
          <cell r="U1393">
            <v>0</v>
          </cell>
          <cell r="V1393">
            <v>0</v>
          </cell>
          <cell r="W1393">
            <v>0</v>
          </cell>
          <cell r="X1393">
            <v>0</v>
          </cell>
          <cell r="Y1393">
            <v>0</v>
          </cell>
          <cell r="Z1393">
            <v>0</v>
          </cell>
          <cell r="AA1393">
            <v>0</v>
          </cell>
          <cell r="AB1393">
            <v>0</v>
          </cell>
          <cell r="AC1393">
            <v>0</v>
          </cell>
          <cell r="AD1393">
            <v>0</v>
          </cell>
          <cell r="AE1393">
            <v>0</v>
          </cell>
          <cell r="AF1393">
            <v>0</v>
          </cell>
          <cell r="AG1393">
            <v>0</v>
          </cell>
          <cell r="AH1393">
            <v>0</v>
          </cell>
          <cell r="AI1393">
            <v>0</v>
          </cell>
          <cell r="AJ1393">
            <v>0</v>
          </cell>
          <cell r="AK1393">
            <v>0</v>
          </cell>
          <cell r="AL1393">
            <v>0</v>
          </cell>
          <cell r="AM1393">
            <v>0</v>
          </cell>
          <cell r="AN1393">
            <v>0</v>
          </cell>
          <cell r="AO1393">
            <v>0</v>
          </cell>
        </row>
        <row r="1394">
          <cell r="C1394" t="str">
            <v>Prix à la consommation des ménages</v>
          </cell>
          <cell r="E1394" t="str">
            <v>100*(PCH_2/PCH_0-1)</v>
          </cell>
          <cell r="F1394">
            <v>0</v>
          </cell>
          <cell r="G1394">
            <v>0</v>
          </cell>
          <cell r="H1394">
            <v>0</v>
          </cell>
          <cell r="I1394">
            <v>-2.7937940849653842E-8</v>
          </cell>
          <cell r="J1394">
            <v>-9.2010621344229548E-8</v>
          </cell>
          <cell r="K1394">
            <v>3.0972691078545722E-8</v>
          </cell>
          <cell r="L1394">
            <v>-1.1883662942580031E-7</v>
          </cell>
          <cell r="M1394">
            <v>-0.56524335297568618</v>
          </cell>
          <cell r="N1394">
            <v>-1.354802819947809</v>
          </cell>
          <cell r="O1394">
            <v>-2.1672674594633845</v>
          </cell>
          <cell r="P1394">
            <v>-3.0818853435893079</v>
          </cell>
          <cell r="Q1394">
            <v>-3.1956151440297731</v>
          </cell>
          <cell r="R1394">
            <v>-3.0455206015158387</v>
          </cell>
          <cell r="S1394">
            <v>-2.7918976877698398</v>
          </cell>
          <cell r="T1394">
            <v>-2.5069744067470756</v>
          </cell>
          <cell r="U1394">
            <v>-2.2237419872953792</v>
          </cell>
          <cell r="V1394">
            <v>-2.0415775654202726</v>
          </cell>
          <cell r="W1394">
            <v>-1.9449741111451821</v>
          </cell>
          <cell r="X1394">
            <v>-1.8996608250152036</v>
          </cell>
          <cell r="Y1394">
            <v>-1.8711419886066736</v>
          </cell>
          <cell r="Z1394">
            <v>-1.8752086849405334</v>
          </cell>
          <cell r="AA1394">
            <v>-1.8384630477719757</v>
          </cell>
          <cell r="AB1394">
            <v>-1.82599842672251</v>
          </cell>
          <cell r="AC1394">
            <v>-1.841943401141922</v>
          </cell>
          <cell r="AD1394">
            <v>-1.886046576740986</v>
          </cell>
          <cell r="AE1394">
            <v>-1.9619733549366405</v>
          </cell>
          <cell r="AF1394">
            <v>-2.0279848979553936</v>
          </cell>
          <cell r="AG1394">
            <v>-2.1364149404235366</v>
          </cell>
          <cell r="AH1394">
            <v>-2.2721298351695562</v>
          </cell>
          <cell r="AI1394">
            <v>-2.4234746633067896</v>
          </cell>
          <cell r="AJ1394">
            <v>-2.5822960604732224</v>
          </cell>
          <cell r="AK1394">
            <v>-2.7252340236475501</v>
          </cell>
          <cell r="AL1394">
            <v>-2.8718526093800527</v>
          </cell>
          <cell r="AM1394">
            <v>-3.011844691825317</v>
          </cell>
          <cell r="AN1394">
            <v>-3.1356271770678568</v>
          </cell>
          <cell r="AO1394">
            <v>-3.2367729737998285</v>
          </cell>
        </row>
        <row r="1395">
          <cell r="C1395" t="str">
            <v>Prix à la production marchande</v>
          </cell>
          <cell r="E1395" t="str">
            <v>100*(PY_2/PY_0-1)</v>
          </cell>
          <cell r="F1395">
            <v>0</v>
          </cell>
          <cell r="G1395">
            <v>9.7852170810597272E-8</v>
          </cell>
          <cell r="H1395">
            <v>0</v>
          </cell>
          <cell r="I1395">
            <v>0</v>
          </cell>
          <cell r="J1395">
            <v>9.1786866995846594E-8</v>
          </cell>
          <cell r="K1395">
            <v>8.9846508011248716E-8</v>
          </cell>
          <cell r="L1395">
            <v>8.7920026814458652E-8</v>
          </cell>
          <cell r="M1395">
            <v>0.31656558450505745</v>
          </cell>
          <cell r="N1395">
            <v>0.92217980013558076</v>
          </cell>
          <cell r="O1395">
            <v>1.9294255345464695</v>
          </cell>
          <cell r="P1395">
            <v>3.4398417199294151</v>
          </cell>
          <cell r="Q1395">
            <v>4.7574188561215092</v>
          </cell>
          <cell r="R1395">
            <v>5.9155598002862408</v>
          </cell>
          <cell r="S1395">
            <v>6.9661694855920553</v>
          </cell>
          <cell r="T1395">
            <v>7.9480502462036862</v>
          </cell>
          <cell r="U1395">
            <v>8.8783351545145717</v>
          </cell>
          <cell r="V1395">
            <v>9.8085007252857856</v>
          </cell>
          <cell r="W1395">
            <v>10.740603642671175</v>
          </cell>
          <cell r="X1395">
            <v>11.650283442984577</v>
          </cell>
          <cell r="Y1395">
            <v>12.501413271710128</v>
          </cell>
          <cell r="Z1395">
            <v>13.280003249297456</v>
          </cell>
          <cell r="AA1395">
            <v>13.914832241422936</v>
          </cell>
          <cell r="AB1395">
            <v>14.423456528736288</v>
          </cell>
          <cell r="AC1395">
            <v>14.813228732731055</v>
          </cell>
          <cell r="AD1395">
            <v>15.088040137420755</v>
          </cell>
          <cell r="AE1395">
            <v>15.252104272428625</v>
          </cell>
          <cell r="AF1395">
            <v>15.262311405247498</v>
          </cell>
          <cell r="AG1395">
            <v>15.193593796805626</v>
          </cell>
          <cell r="AH1395">
            <v>15.077705230610562</v>
          </cell>
          <cell r="AI1395">
            <v>14.933550141445773</v>
          </cell>
          <cell r="AJ1395">
            <v>14.774801446754115</v>
          </cell>
          <cell r="AK1395">
            <v>14.597131222089255</v>
          </cell>
          <cell r="AL1395">
            <v>14.430231940037253</v>
          </cell>
          <cell r="AM1395">
            <v>14.289869074535533</v>
          </cell>
          <cell r="AN1395">
            <v>14.184746992284825</v>
          </cell>
          <cell r="AO1395">
            <v>14.120092678237661</v>
          </cell>
        </row>
        <row r="1396">
          <cell r="C1396" t="str">
            <v>Prix des exportations</v>
          </cell>
          <cell r="E1396" t="str">
            <v>100*(PX_2/PX_0-1)</v>
          </cell>
          <cell r="F1396">
            <v>0</v>
          </cell>
          <cell r="G1396">
            <v>0</v>
          </cell>
          <cell r="H1396">
            <v>9.5899221896900144E-8</v>
          </cell>
          <cell r="I1396">
            <v>0</v>
          </cell>
          <cell r="J1396">
            <v>0</v>
          </cell>
          <cell r="K1396">
            <v>9.0134233410310571E-8</v>
          </cell>
          <cell r="L1396">
            <v>8.8334251024946298E-8</v>
          </cell>
          <cell r="M1396">
            <v>0.40398468826201572</v>
          </cell>
          <cell r="N1396">
            <v>1.1203742509580339</v>
          </cell>
          <cell r="O1396">
            <v>2.2714174890974492</v>
          </cell>
          <cell r="P1396">
            <v>3.9373510804714629</v>
          </cell>
          <cell r="Q1396">
            <v>5.319941217495372</v>
          </cell>
          <cell r="R1396">
            <v>6.4495065532509832</v>
          </cell>
          <cell r="S1396">
            <v>7.4047534843877383</v>
          </cell>
          <cell r="T1396">
            <v>8.2478026383527858</v>
          </cell>
          <cell r="U1396">
            <v>9.0136819104561283</v>
          </cell>
          <cell r="V1396">
            <v>9.7807626497039344</v>
          </cell>
          <cell r="W1396">
            <v>10.564534944558668</v>
          </cell>
          <cell r="X1396">
            <v>11.337188572978828</v>
          </cell>
          <cell r="Y1396">
            <v>12.062101164545979</v>
          </cell>
          <cell r="Z1396">
            <v>12.724168406191151</v>
          </cell>
          <cell r="AA1396">
            <v>13.252877595627854</v>
          </cell>
          <cell r="AB1396">
            <v>13.668289716800764</v>
          </cell>
          <cell r="AC1396">
            <v>13.974558154341699</v>
          </cell>
          <cell r="AD1396">
            <v>14.173445541907004</v>
          </cell>
          <cell r="AE1396">
            <v>14.267589358682976</v>
          </cell>
          <cell r="AF1396">
            <v>14.245751961633491</v>
          </cell>
          <cell r="AG1396">
            <v>14.170362772440503</v>
          </cell>
          <cell r="AH1396">
            <v>14.059365394248191</v>
          </cell>
          <cell r="AI1396">
            <v>13.924768165040092</v>
          </cell>
          <cell r="AJ1396">
            <v>13.776076109777492</v>
          </cell>
          <cell r="AK1396">
            <v>13.610738659169442</v>
          </cell>
          <cell r="AL1396">
            <v>13.460562707265943</v>
          </cell>
          <cell r="AM1396">
            <v>13.337542851629802</v>
          </cell>
          <cell r="AN1396">
            <v>13.2478355819573</v>
          </cell>
          <cell r="AO1396">
            <v>13.194883048244922</v>
          </cell>
        </row>
        <row r="1397">
          <cell r="C1397" t="str">
            <v>Prix des importations</v>
          </cell>
          <cell r="E1397" t="str">
            <v>100*(PM_2/PM_0-1)</v>
          </cell>
          <cell r="F1397">
            <v>0</v>
          </cell>
          <cell r="G1397">
            <v>0</v>
          </cell>
          <cell r="H1397">
            <v>0</v>
          </cell>
          <cell r="I1397">
            <v>0</v>
          </cell>
          <cell r="J1397">
            <v>0</v>
          </cell>
          <cell r="K1397">
            <v>0</v>
          </cell>
          <cell r="L1397">
            <v>0</v>
          </cell>
          <cell r="M1397">
            <v>0.71340826608832231</v>
          </cell>
          <cell r="N1397">
            <v>1.464951205627929</v>
          </cell>
          <cell r="O1397">
            <v>2.2943538438719324</v>
          </cell>
          <cell r="P1397">
            <v>3.1958312564264402</v>
          </cell>
          <cell r="Q1397">
            <v>3.8924537175781371</v>
          </cell>
          <cell r="R1397">
            <v>4.2585671981532291</v>
          </cell>
          <cell r="S1397">
            <v>4.4334070508038836</v>
          </cell>
          <cell r="T1397">
            <v>4.4794395971187839</v>
          </cell>
          <cell r="U1397">
            <v>4.4257070612524485</v>
          </cell>
          <cell r="V1397">
            <v>4.3906888986672277</v>
          </cell>
          <cell r="W1397">
            <v>4.4367361841642694</v>
          </cell>
          <cell r="X1397">
            <v>4.480825213197015</v>
          </cell>
          <cell r="Y1397">
            <v>4.4991481267407263</v>
          </cell>
          <cell r="Z1397">
            <v>4.4837061685952806</v>
          </cell>
          <cell r="AA1397">
            <v>4.4567241381546996</v>
          </cell>
          <cell r="AB1397">
            <v>4.4255758467860007</v>
          </cell>
          <cell r="AC1397">
            <v>4.3553350723367634</v>
          </cell>
          <cell r="AD1397">
            <v>4.232765670046823</v>
          </cell>
          <cell r="AE1397">
            <v>4.0554011296323411</v>
          </cell>
          <cell r="AF1397">
            <v>3.9544679169528196</v>
          </cell>
          <cell r="AG1397">
            <v>3.9704297733843763</v>
          </cell>
          <cell r="AH1397">
            <v>4.0144674010800019</v>
          </cell>
          <cell r="AI1397">
            <v>4.0589089363329167</v>
          </cell>
          <cell r="AJ1397">
            <v>4.0971367023590721</v>
          </cell>
          <cell r="AK1397">
            <v>4.1663009676628393</v>
          </cell>
          <cell r="AL1397">
            <v>4.2968095843796128</v>
          </cell>
          <cell r="AM1397">
            <v>4.4557833847333139</v>
          </cell>
          <cell r="AN1397">
            <v>4.6282421117181949</v>
          </cell>
          <cell r="AO1397">
            <v>4.8073788196377976</v>
          </cell>
        </row>
        <row r="1398">
          <cell r="C1398" t="str">
            <v>Salaire net nominal (hors cotisations employeurs et employés, unitaire)</v>
          </cell>
          <cell r="E1398" t="str">
            <v>100*(W_2/W_0-1)</v>
          </cell>
          <cell r="F1398">
            <v>0</v>
          </cell>
          <cell r="G1398">
            <v>0</v>
          </cell>
          <cell r="H1398">
            <v>2.2818591460804782E-8</v>
          </cell>
          <cell r="I1398">
            <v>2.2106427799428729E-8</v>
          </cell>
          <cell r="J1398">
            <v>4.2792080989784154E-8</v>
          </cell>
          <cell r="K1398">
            <v>6.2095839581388645E-8</v>
          </cell>
          <cell r="L1398">
            <v>6.0034932580776967E-8</v>
          </cell>
          <cell r="M1398">
            <v>-3.4528171373271466E-2</v>
          </cell>
          <cell r="N1398">
            <v>3.2278013005559991E-2</v>
          </cell>
          <cell r="O1398">
            <v>0.31544736999760126</v>
          </cell>
          <cell r="P1398">
            <v>0.89765865359461294</v>
          </cell>
          <cell r="Q1398">
            <v>1.8720381750569004</v>
          </cell>
          <cell r="R1398">
            <v>3.016050077042487</v>
          </cell>
          <cell r="S1398">
            <v>4.2025604329538169</v>
          </cell>
          <cell r="T1398">
            <v>5.3683188529177084</v>
          </cell>
          <cell r="U1398">
            <v>6.4847640062868583</v>
          </cell>
          <cell r="V1398">
            <v>7.5343141388122037</v>
          </cell>
          <cell r="W1398">
            <v>8.5287648518572965</v>
          </cell>
          <cell r="X1398">
            <v>9.4799552149253721</v>
          </cell>
          <cell r="Y1398">
            <v>10.389160912791429</v>
          </cell>
          <cell r="Z1398">
            <v>11.241226029481656</v>
          </cell>
          <cell r="AA1398">
            <v>12.025324835084383</v>
          </cell>
          <cell r="AB1398">
            <v>12.708877019903863</v>
          </cell>
          <cell r="AC1398">
            <v>13.277904779077554</v>
          </cell>
          <cell r="AD1398">
            <v>13.725674670631548</v>
          </cell>
          <cell r="AE1398">
            <v>14.047504899134644</v>
          </cell>
          <cell r="AF1398">
            <v>14.24609737440543</v>
          </cell>
          <cell r="AG1398">
            <v>14.318403919607681</v>
          </cell>
          <cell r="AH1398">
            <v>14.283181263830635</v>
          </cell>
          <cell r="AI1398">
            <v>14.162395775279467</v>
          </cell>
          <cell r="AJ1398">
            <v>13.97699114172919</v>
          </cell>
          <cell r="AK1398">
            <v>13.746760301178629</v>
          </cell>
          <cell r="AL1398">
            <v>13.485945364048169</v>
          </cell>
          <cell r="AM1398">
            <v>13.21523726284326</v>
          </cell>
          <cell r="AN1398">
            <v>12.953890093710241</v>
          </cell>
          <cell r="AO1398">
            <v>12.717601871683959</v>
          </cell>
        </row>
        <row r="1399">
          <cell r="C1399" t="str">
            <v>Salaire net réel (hors cotisations employeurs et employés, unitaire)</v>
          </cell>
          <cell r="E1399" t="str">
            <v>100*((W_2/PCH_2)/(W_0/PCH_0)-1)</v>
          </cell>
          <cell r="F1399">
            <v>0</v>
          </cell>
          <cell r="G1399">
            <v>0</v>
          </cell>
          <cell r="H1399">
            <v>2.2818591460804782E-8</v>
          </cell>
          <cell r="I1399">
            <v>-7.1737404905292124E-8</v>
          </cell>
          <cell r="J1399">
            <v>-4.9218551456675641E-8</v>
          </cell>
          <cell r="K1399">
            <v>-2.8119251371805376E-8</v>
          </cell>
          <cell r="L1399">
            <v>-1.1682852463223981E-7</v>
          </cell>
          <cell r="M1399">
            <v>-0.55544924450030564</v>
          </cell>
          <cell r="N1399">
            <v>-1.2918629892926692</v>
          </cell>
          <cell r="O1399">
            <v>-2.21362685236135</v>
          </cell>
          <cell r="P1399">
            <v>-3.331106476992185</v>
          </cell>
          <cell r="Q1399">
            <v>-3.5388839392478832</v>
          </cell>
          <cell r="R1399">
            <v>-3.4453607564848943</v>
          </cell>
          <cell r="S1399">
            <v>-3.2245759161674381</v>
          </cell>
          <cell r="T1399">
            <v>-2.96601551001755</v>
          </cell>
          <cell r="U1399">
            <v>-2.7072890893818147</v>
          </cell>
          <cell r="V1399">
            <v>-2.5358482546587791</v>
          </cell>
          <cell r="W1399">
            <v>-2.4255338839189622</v>
          </cell>
          <cell r="X1399">
            <v>-2.3321138530390306</v>
          </cell>
          <cell r="Y1399">
            <v>-2.2134582560164429</v>
          </cell>
          <cell r="Z1399">
            <v>-2.0847210163593699</v>
          </cell>
          <cell r="AA1399">
            <v>-1.8738847795711333</v>
          </cell>
          <cell r="AB1399">
            <v>-1.655953676068822</v>
          </cell>
          <cell r="AC1399">
            <v>-1.441063941246512</v>
          </cell>
          <cell r="AD1399">
            <v>-1.2336548490849419</v>
          </cell>
          <cell r="AE1399">
            <v>-1.0387838419059992</v>
          </cell>
          <cell r="AF1399">
            <v>-0.83287002015615119</v>
          </cell>
          <cell r="AG1399">
            <v>-0.6849626743448689</v>
          </cell>
          <cell r="AH1399">
            <v>-0.58809671041406553</v>
          </cell>
          <cell r="AI1399">
            <v>-0.53428959825193578</v>
          </cell>
          <cell r="AJ1399">
            <v>-0.51631274640993041</v>
          </cell>
          <cell r="AK1399">
            <v>-0.51424148759799948</v>
          </cell>
          <cell r="AL1399">
            <v>-0.55177165541299145</v>
          </cell>
          <cell r="AM1399">
            <v>-0.61998636718301192</v>
          </cell>
          <cell r="AN1399">
            <v>-0.70880950088325623</v>
          </cell>
          <cell r="AO1399">
            <v>-0.80956022887818113</v>
          </cell>
        </row>
        <row r="1400">
          <cell r="C1400" t="str">
            <v>Coût du travail nominal (yc. Cotisations employeurs et employés, unitaire)</v>
          </cell>
          <cell r="E1400" t="str">
            <v>100*(C_L_2/C_L_0-1)</v>
          </cell>
          <cell r="F1400">
            <v>0</v>
          </cell>
          <cell r="G1400">
            <v>0</v>
          </cell>
          <cell r="H1400">
            <v>1.7916890193703239E-8</v>
          </cell>
          <cell r="I1400">
            <v>1.735769306066004E-8</v>
          </cell>
          <cell r="J1400">
            <v>3.3599834026176723E-8</v>
          </cell>
          <cell r="K1400">
            <v>6.5009220229228504E-8</v>
          </cell>
          <cell r="L1400">
            <v>7.8564532657310338E-8</v>
          </cell>
          <cell r="M1400">
            <v>-3.4528157715063568E-2</v>
          </cell>
          <cell r="N1400">
            <v>3.2278033528143624E-2</v>
          </cell>
          <cell r="O1400">
            <v>0.31544734966699739</v>
          </cell>
          <cell r="P1400">
            <v>0.89765865838564718</v>
          </cell>
          <cell r="Q1400">
            <v>1.8720381902803673</v>
          </cell>
          <cell r="R1400">
            <v>3.0160500769228493</v>
          </cell>
          <cell r="S1400">
            <v>4.2025604469165811</v>
          </cell>
          <cell r="T1400">
            <v>5.3683188582924313</v>
          </cell>
          <cell r="U1400">
            <v>6.4847640101851844</v>
          </cell>
          <cell r="V1400">
            <v>7.534314151711663</v>
          </cell>
          <cell r="W1400">
            <v>8.528764850912939</v>
          </cell>
          <cell r="X1400">
            <v>9.4799551737134493</v>
          </cell>
          <cell r="Y1400">
            <v>10.389160915032125</v>
          </cell>
          <cell r="Z1400">
            <v>11.241226070756216</v>
          </cell>
          <cell r="AA1400">
            <v>12.025324848770659</v>
          </cell>
          <cell r="AB1400">
            <v>12.708877024815624</v>
          </cell>
          <cell r="AC1400">
            <v>13.277904859229771</v>
          </cell>
          <cell r="AD1400">
            <v>13.725674656390696</v>
          </cell>
          <cell r="AE1400">
            <v>14.047504874960692</v>
          </cell>
          <cell r="AF1400">
            <v>14.246097413456926</v>
          </cell>
          <cell r="AG1400">
            <v>14.318403940185265</v>
          </cell>
          <cell r="AH1400">
            <v>14.283181249045729</v>
          </cell>
          <cell r="AI1400">
            <v>14.162395798085603</v>
          </cell>
          <cell r="AJ1400">
            <v>13.976991151408157</v>
          </cell>
          <cell r="AK1400">
            <v>13.746760272145542</v>
          </cell>
          <cell r="AL1400">
            <v>13.485945428401624</v>
          </cell>
          <cell r="AM1400">
            <v>13.21523727326297</v>
          </cell>
          <cell r="AN1400">
            <v>12.953890130504874</v>
          </cell>
          <cell r="AO1400">
            <v>12.717601819750101</v>
          </cell>
        </row>
        <row r="1401">
          <cell r="C1401" t="str">
            <v>Coût réel du travail (yc. Cotisations employeurs et employés, unitaire)</v>
          </cell>
          <cell r="E1401" t="str">
            <v>100*((C_L_2/PVA_2)/(C_L_0/PVA_0)-1)</v>
          </cell>
          <cell r="F1401">
            <v>-1.0000822392441933E-8</v>
          </cell>
          <cell r="G1401">
            <v>0</v>
          </cell>
          <cell r="H1401">
            <v>1.7916890193703239E-8</v>
          </cell>
          <cell r="I1401">
            <v>1.735769306066004E-8</v>
          </cell>
          <cell r="J1401">
            <v>-5.7992566304676529E-8</v>
          </cell>
          <cell r="K1401">
            <v>-2.4488278071999048E-8</v>
          </cell>
          <cell r="L1401">
            <v>-8.8542506659905484E-9</v>
          </cell>
          <cell r="M1401">
            <v>-0.10086759738840989</v>
          </cell>
          <cell r="N1401">
            <v>-0.34683413356501047</v>
          </cell>
          <cell r="O1401">
            <v>-0.72207878946959347</v>
          </cell>
          <cell r="P1401">
            <v>-1.2180292423154881</v>
          </cell>
          <cell r="Q1401">
            <v>-1.5861867495908788</v>
          </cell>
          <cell r="R1401">
            <v>-1.6571856164470433</v>
          </cell>
          <cell r="S1401">
            <v>-1.5967766694689023</v>
          </cell>
          <cell r="T1401">
            <v>-1.5002887629399497</v>
          </cell>
          <cell r="U1401">
            <v>-1.4088401010238338</v>
          </cell>
          <cell r="V1401">
            <v>-1.3486067326925033</v>
          </cell>
          <cell r="W1401">
            <v>-1.3236866394115698</v>
          </cell>
          <cell r="X1401">
            <v>-1.3123698213784118</v>
          </cell>
          <cell r="Y1401">
            <v>-1.2859813365165729</v>
          </cell>
          <cell r="Z1401">
            <v>-1.2371010744363975</v>
          </cell>
          <cell r="AA1401">
            <v>-1.1519601475361019</v>
          </cell>
          <cell r="AB1401">
            <v>-1.0289483795124843</v>
          </cell>
          <cell r="AC1401">
            <v>-0.89045737774514633</v>
          </cell>
          <cell r="AD1401">
            <v>-0.74466396425150183</v>
          </cell>
          <cell r="AE1401">
            <v>-0.59557445988712709</v>
          </cell>
          <cell r="AF1401">
            <v>-0.4497621142626973</v>
          </cell>
          <cell r="AG1401">
            <v>-0.31518406527556442</v>
          </cell>
          <cell r="AH1401">
            <v>-0.21126446092161189</v>
          </cell>
          <cell r="AI1401">
            <v>-0.14027581577196191</v>
          </cell>
          <cell r="AJ1401">
            <v>-9.9927243668107568E-2</v>
          </cell>
          <cell r="AK1401">
            <v>-8.7022466179476066E-2</v>
          </cell>
          <cell r="AL1401">
            <v>-9.6310481021710803E-2</v>
          </cell>
          <cell r="AM1401">
            <v>-0.13276010541394268</v>
          </cell>
          <cell r="AN1401">
            <v>-0.19248322772279503</v>
          </cell>
          <cell r="AO1401">
            <v>-0.26923054207186325</v>
          </cell>
        </row>
        <row r="1402">
          <cell r="C1402" t="str">
            <v>Emploi en %</v>
          </cell>
          <cell r="E1402" t="str">
            <v>((F_L_2/F_L_0)-1)*100</v>
          </cell>
          <cell r="F1402">
            <v>0</v>
          </cell>
          <cell r="G1402">
            <v>-3.6419334215054278E-8</v>
          </cell>
          <cell r="H1402">
            <v>0</v>
          </cell>
          <cell r="I1402">
            <v>0</v>
          </cell>
          <cell r="J1402">
            <v>-3.5602920611665922E-8</v>
          </cell>
          <cell r="K1402">
            <v>0</v>
          </cell>
          <cell r="L1402">
            <v>-3.4835601070426492E-8</v>
          </cell>
          <cell r="M1402">
            <v>-0.1829960667771191</v>
          </cell>
          <cell r="N1402">
            <v>-0.5175426960868923</v>
          </cell>
          <cell r="O1402">
            <v>-0.78239572964462489</v>
          </cell>
          <cell r="P1402">
            <v>-1.0404017922835185</v>
          </cell>
          <cell r="Q1402">
            <v>-1.282165532329449</v>
          </cell>
          <cell r="R1402">
            <v>-1.4970872805461832</v>
          </cell>
          <cell r="S1402">
            <v>-1.6767752272478509</v>
          </cell>
          <cell r="T1402">
            <v>-1.8150556910343618</v>
          </cell>
          <cell r="U1402">
            <v>-1.9189967517471263</v>
          </cell>
          <cell r="V1402">
            <v>-2.0222742655294779</v>
          </cell>
          <cell r="W1402">
            <v>-2.142761113160474</v>
          </cell>
          <cell r="X1402">
            <v>-2.2874816626805683</v>
          </cell>
          <cell r="Y1402">
            <v>-2.4529167978539546</v>
          </cell>
          <cell r="Z1402">
            <v>-2.6352619076738915</v>
          </cell>
          <cell r="AA1402">
            <v>-2.8217677472125668</v>
          </cell>
          <cell r="AB1402">
            <v>-3.0022991898030149</v>
          </cell>
          <cell r="AC1402">
            <v>-3.1718810909342587</v>
          </cell>
          <cell r="AD1402">
            <v>-3.3288116726944206</v>
          </cell>
          <cell r="AE1402">
            <v>-3.4735651243542054</v>
          </cell>
          <cell r="AF1402">
            <v>-3.5984513978538635</v>
          </cell>
          <cell r="AG1402">
            <v>-3.6966584699116067</v>
          </cell>
          <cell r="AH1402">
            <v>-3.7659421665013793</v>
          </cell>
          <cell r="AI1402">
            <v>-3.8071354351632447</v>
          </cell>
          <cell r="AJ1402">
            <v>-3.822710973362653</v>
          </cell>
          <cell r="AK1402">
            <v>-3.8125642650310265</v>
          </cell>
          <cell r="AL1402">
            <v>-3.776868663478028</v>
          </cell>
          <cell r="AM1402">
            <v>-3.7176853925258824</v>
          </cell>
          <cell r="AN1402">
            <v>-3.6383052162858309</v>
          </cell>
          <cell r="AO1402">
            <v>-3.5425517494327985</v>
          </cell>
        </row>
        <row r="1403">
          <cell r="C1403" t="str">
            <v>Emploi en millier</v>
          </cell>
          <cell r="E1403" t="str">
            <v>F_L_2-F_L_0</v>
          </cell>
          <cell r="F1403">
            <v>0</v>
          </cell>
          <cell r="G1403">
            <v>-1.0000003385357559E-5</v>
          </cell>
          <cell r="H1403">
            <v>0</v>
          </cell>
          <cell r="I1403">
            <v>0</v>
          </cell>
          <cell r="J1403">
            <v>-9.9999997473787516E-6</v>
          </cell>
          <cell r="K1403">
            <v>0</v>
          </cell>
          <cell r="L1403">
            <v>-9.9999997473787516E-6</v>
          </cell>
          <cell r="M1403">
            <v>-53.167990000001737</v>
          </cell>
          <cell r="N1403">
            <v>-152.24669999999969</v>
          </cell>
          <cell r="O1403">
            <v>-233.07143999999971</v>
          </cell>
          <cell r="P1403">
            <v>-313.76610000000073</v>
          </cell>
          <cell r="Q1403">
            <v>-390.7491200000004</v>
          </cell>
          <cell r="R1403">
            <v>-459.97782999999981</v>
          </cell>
          <cell r="S1403">
            <v>-518.20982000000004</v>
          </cell>
          <cell r="T1403">
            <v>-563.15447000000131</v>
          </cell>
          <cell r="U1403">
            <v>-596.91064000000188</v>
          </cell>
          <cell r="V1403">
            <v>-630.10356999999931</v>
          </cell>
          <cell r="W1403">
            <v>-668.59132999999929</v>
          </cell>
          <cell r="X1403">
            <v>-714.90555999999924</v>
          </cell>
          <cell r="Y1403">
            <v>-768.29593999999997</v>
          </cell>
          <cell r="Z1403">
            <v>-827.88287000000128</v>
          </cell>
          <cell r="AA1403">
            <v>-890.06019000000015</v>
          </cell>
          <cell r="AB1403">
            <v>-951.99971000000005</v>
          </cell>
          <cell r="AC1403">
            <v>-1012.4190600000002</v>
          </cell>
          <cell r="AD1403">
            <v>-1070.9541300000019</v>
          </cell>
          <cell r="AE1403">
            <v>-1127.6653000000006</v>
          </cell>
          <cell r="AF1403">
            <v>-1179.5435000000034</v>
          </cell>
          <cell r="AG1403">
            <v>-1224.1467500000035</v>
          </cell>
          <cell r="AH1403">
            <v>-1260.5867800000015</v>
          </cell>
          <cell r="AI1403">
            <v>-1288.8285099999994</v>
          </cell>
          <cell r="AJ1403">
            <v>-1309.1985299999942</v>
          </cell>
          <cell r="AK1403">
            <v>-1321.048950000004</v>
          </cell>
          <cell r="AL1403">
            <v>-1323.8012100000051</v>
          </cell>
          <cell r="AM1403">
            <v>-1317.5686399999977</v>
          </cell>
          <cell r="AN1403">
            <v>-1302.9841699999961</v>
          </cell>
          <cell r="AO1403">
            <v>-1280.9872499999983</v>
          </cell>
        </row>
        <row r="1404">
          <cell r="C1404" t="str">
            <v>Taux de chômage (en point)</v>
          </cell>
          <cell r="E1404" t="str">
            <v>100*(UnR_2-UnR_0)</v>
          </cell>
          <cell r="F1404">
            <v>0</v>
          </cell>
          <cell r="G1404">
            <v>0</v>
          </cell>
          <cell r="H1404">
            <v>1.000000082740371E-8</v>
          </cell>
          <cell r="I1404">
            <v>1.000000082740371E-8</v>
          </cell>
          <cell r="J1404">
            <v>1.000000082740371E-8</v>
          </cell>
          <cell r="K1404">
            <v>2.000000165480742E-8</v>
          </cell>
          <cell r="L1404">
            <v>1.9999998879249858E-8</v>
          </cell>
          <cell r="M1404">
            <v>0.13665476999999981</v>
          </cell>
          <cell r="N1404">
            <v>0.37868813999999973</v>
          </cell>
          <cell r="O1404">
            <v>0.5580666700000001</v>
          </cell>
          <cell r="P1404">
            <v>0.73185830000000029</v>
          </cell>
          <cell r="Q1404">
            <v>0.89453238000000024</v>
          </cell>
          <cell r="R1404">
            <v>1.0371054899999996</v>
          </cell>
          <cell r="S1404">
            <v>1.1534838499999991</v>
          </cell>
          <cell r="T1404">
            <v>1.2396189099999997</v>
          </cell>
          <cell r="U1404">
            <v>1.301884789999999</v>
          </cell>
          <cell r="V1404">
            <v>1.3665316900000002</v>
          </cell>
          <cell r="W1404">
            <v>1.4457257799999998</v>
          </cell>
          <cell r="X1404">
            <v>1.5433779199999997</v>
          </cell>
          <cell r="Y1404">
            <v>1.6559651399999999</v>
          </cell>
          <cell r="Z1404">
            <v>1.7819524599999998</v>
          </cell>
          <cell r="AA1404">
            <v>1.9093449099999993</v>
          </cell>
          <cell r="AB1404">
            <v>2.0331103800000001</v>
          </cell>
          <cell r="AC1404">
            <v>2.1506350199999997</v>
          </cell>
          <cell r="AD1404">
            <v>2.2614436799999997</v>
          </cell>
          <cell r="AE1404">
            <v>2.3709075300000007</v>
          </cell>
          <cell r="AF1404">
            <v>2.4645822299999995</v>
          </cell>
          <cell r="AG1404">
            <v>2.5405224099999999</v>
          </cell>
          <cell r="AH1404">
            <v>2.5974138399999998</v>
          </cell>
          <cell r="AI1404">
            <v>2.6359042599999993</v>
          </cell>
          <cell r="AJ1404">
            <v>2.6574162499999998</v>
          </cell>
          <cell r="AK1404">
            <v>2.6610009499999996</v>
          </cell>
          <cell r="AL1404">
            <v>2.6460246800000005</v>
          </cell>
          <cell r="AM1404">
            <v>2.6134914999999994</v>
          </cell>
          <cell r="AN1404">
            <v>2.5654362600000002</v>
          </cell>
          <cell r="AO1404">
            <v>2.5043616499999999</v>
          </cell>
        </row>
        <row r="1405">
          <cell r="C1405" t="str">
            <v>Balance commerciale</v>
          </cell>
          <cell r="E1405" t="str">
            <v>100*(Bal_Trade_VAL_2/(GDP_2*PGDP_2)-Bal_Trade_VAL_0/(GDP_0*PGDP_0))</v>
          </cell>
          <cell r="F1405">
            <v>1.3539435197995608E-9</v>
          </cell>
          <cell r="G1405">
            <v>7.0083514078916886E-9</v>
          </cell>
          <cell r="H1405">
            <v>1.2025727982867274E-8</v>
          </cell>
          <cell r="I1405">
            <v>1.7212812078448714E-8</v>
          </cell>
          <cell r="J1405">
            <v>1.9321380259618159E-8</v>
          </cell>
          <cell r="K1405">
            <v>1.9001674192442586E-8</v>
          </cell>
          <cell r="L1405">
            <v>1.5379501144829888E-8</v>
          </cell>
          <cell r="M1405">
            <v>-0.19898767928936273</v>
          </cell>
          <cell r="N1405">
            <v>-0.21712024579105468</v>
          </cell>
          <cell r="O1405">
            <v>0.14559169385710141</v>
          </cell>
          <cell r="P1405">
            <v>0.55459223989095108</v>
          </cell>
          <cell r="Q1405">
            <v>0.76551176899661566</v>
          </cell>
          <cell r="R1405">
            <v>0.85232933251624055</v>
          </cell>
          <cell r="S1405">
            <v>0.8722124626317822</v>
          </cell>
          <cell r="T1405">
            <v>0.87990449079971278</v>
          </cell>
          <cell r="U1405">
            <v>0.89328814437264903</v>
          </cell>
          <cell r="V1405">
            <v>0.89949027410480409</v>
          </cell>
          <cell r="W1405">
            <v>0.90689296555690335</v>
          </cell>
          <cell r="X1405">
            <v>0.92674742926969822</v>
          </cell>
          <cell r="Y1405">
            <v>0.95400058152857947</v>
          </cell>
          <cell r="Z1405">
            <v>0.98425849601399762</v>
          </cell>
          <cell r="AA1405">
            <v>0.99507703223938382</v>
          </cell>
          <cell r="AB1405">
            <v>0.99537153034016945</v>
          </cell>
          <cell r="AC1405">
            <v>0.99555845563209788</v>
          </cell>
          <cell r="AD1405">
            <v>0.99906086242911729</v>
          </cell>
          <cell r="AE1405">
            <v>1.0058393616659758</v>
          </cell>
          <cell r="AF1405">
            <v>0.98590634815735256</v>
          </cell>
          <cell r="AG1405">
            <v>0.94980904206269989</v>
          </cell>
          <cell r="AH1405">
            <v>0.91931793565466213</v>
          </cell>
          <cell r="AI1405">
            <v>0.89868004753041464</v>
          </cell>
          <cell r="AJ1405">
            <v>0.88731002406090831</v>
          </cell>
          <cell r="AK1405">
            <v>0.87399416183469447</v>
          </cell>
          <cell r="AL1405">
            <v>0.8595644161932009</v>
          </cell>
          <cell r="AM1405">
            <v>0.85053477923143772</v>
          </cell>
          <cell r="AN1405">
            <v>0.8470790086781671</v>
          </cell>
          <cell r="AO1405">
            <v>0.84736688652407444</v>
          </cell>
        </row>
        <row r="1406">
          <cell r="C1406" t="str">
            <v>Facture énergétique</v>
          </cell>
          <cell r="E1406" t="str">
            <v>100*(ENER_BILL_2/(GDP_2*PGDP_2)-ENER_BILL_0/(GDP_0*PGDP_0))</v>
          </cell>
          <cell r="F1406">
            <v>2.4119093874896969E-9</v>
          </cell>
          <cell r="G1406">
            <v>-1.2313774999661575E-9</v>
          </cell>
          <cell r="H1406">
            <v>-1.564168239376329E-9</v>
          </cell>
          <cell r="I1406">
            <v>-4.6122704613904553E-9</v>
          </cell>
          <cell r="J1406">
            <v>-5.5673196955319249E-9</v>
          </cell>
          <cell r="K1406">
            <v>-6.4301022839607924E-9</v>
          </cell>
          <cell r="L1406">
            <v>-8.2486540167736599E-9</v>
          </cell>
          <cell r="M1406">
            <v>-2.3125903101112177E-2</v>
          </cell>
          <cell r="N1406">
            <v>-5.5670863962723263E-2</v>
          </cell>
          <cell r="O1406">
            <v>-0.11547960435639819</v>
          </cell>
          <cell r="P1406">
            <v>-0.19549661834755705</v>
          </cell>
          <cell r="Q1406">
            <v>-0.26123502103023011</v>
          </cell>
          <cell r="R1406">
            <v>-0.32235164042759246</v>
          </cell>
          <cell r="S1406">
            <v>-0.3786797545591542</v>
          </cell>
          <cell r="T1406">
            <v>-0.43142512894612189</v>
          </cell>
          <cell r="U1406">
            <v>-0.48225759630072973</v>
          </cell>
          <cell r="V1406">
            <v>-0.53176573047254816</v>
          </cell>
          <cell r="W1406">
            <v>-0.58076029035725474</v>
          </cell>
          <cell r="X1406">
            <v>-0.63331174965016857</v>
          </cell>
          <cell r="Y1406">
            <v>-0.69335152831558033</v>
          </cell>
          <cell r="Z1406">
            <v>-0.756033459663075</v>
          </cell>
          <cell r="AA1406">
            <v>-0.8182641279629943</v>
          </cell>
          <cell r="AB1406">
            <v>-0.87866422775380104</v>
          </cell>
          <cell r="AC1406">
            <v>-0.93797594520041339</v>
          </cell>
          <cell r="AD1406">
            <v>-0.99692373027793557</v>
          </cell>
          <cell r="AE1406">
            <v>-1.055607704638017</v>
          </cell>
          <cell r="AF1406">
            <v>-1.101472517677085</v>
          </cell>
          <cell r="AG1406">
            <v>-1.1365023104955765</v>
          </cell>
          <cell r="AH1406">
            <v>-1.1654073355721082</v>
          </cell>
          <cell r="AI1406">
            <v>-1.1904747833396778</v>
          </cell>
          <cell r="AJ1406">
            <v>-1.2122741348851505</v>
          </cell>
          <cell r="AK1406">
            <v>-1.2296264682643654</v>
          </cell>
          <cell r="AL1406">
            <v>-1.2416301592427903</v>
          </cell>
          <cell r="AM1406">
            <v>-1.2494900856163429</v>
          </cell>
          <cell r="AN1406">
            <v>-1.2542534868783317</v>
          </cell>
          <cell r="AO1406">
            <v>-1.2565573590305077</v>
          </cell>
        </row>
        <row r="1407">
          <cell r="C1407" t="str">
            <v>Solde public primaire</v>
          </cell>
          <cell r="E1407" t="str">
            <v>100*((-Bal_G_prim_VAL_2)/(GDP_2*PGDP_2)-(-Bal_G_prim_VAL_0)/(GDP_0*PGDP_0))</v>
          </cell>
          <cell r="F1407">
            <v>-8.7341274837560157E-9</v>
          </cell>
          <cell r="G1407">
            <v>-1.1884727750544055E-8</v>
          </cell>
          <cell r="H1407">
            <v>-1.3803635903579525E-8</v>
          </cell>
          <cell r="I1407">
            <v>-1.9281846692226212E-8</v>
          </cell>
          <cell r="J1407">
            <v>-1.6922246416639641E-8</v>
          </cell>
          <cell r="K1407">
            <v>-1.6656859919139677E-8</v>
          </cell>
          <cell r="L1407">
            <v>-1.4783227766934637E-8</v>
          </cell>
          <cell r="M1407">
            <v>-4.8743040866315937E-2</v>
          </cell>
          <cell r="N1407">
            <v>-9.0997224906815694E-2</v>
          </cell>
          <cell r="O1407">
            <v>-0.30293147071214843</v>
          </cell>
          <cell r="P1407">
            <v>-0.66674291449431089</v>
          </cell>
          <cell r="Q1407">
            <v>-0.62490244698055264</v>
          </cell>
          <cell r="R1407">
            <v>-0.67197843259865286</v>
          </cell>
          <cell r="S1407">
            <v>-0.75687010745269301</v>
          </cell>
          <cell r="T1407">
            <v>-0.859771577516797</v>
          </cell>
          <cell r="U1407">
            <v>-0.971079560535558</v>
          </cell>
          <cell r="V1407">
            <v>-1.0943218163733102</v>
          </cell>
          <cell r="W1407">
            <v>-1.1964736238974296</v>
          </cell>
          <cell r="X1407">
            <v>-1.2799688418590125</v>
          </cell>
          <cell r="Y1407">
            <v>-1.3437209975824691</v>
          </cell>
          <cell r="Z1407">
            <v>-1.3964229523174589</v>
          </cell>
          <cell r="AA1407">
            <v>-1.3949649071515511</v>
          </cell>
          <cell r="AB1407">
            <v>-1.3885730760944439</v>
          </cell>
          <cell r="AC1407">
            <v>-1.3767622996957718</v>
          </cell>
          <cell r="AD1407">
            <v>-1.3614060589450165</v>
          </cell>
          <cell r="AE1407">
            <v>-1.3436227156712581</v>
          </cell>
          <cell r="AF1407">
            <v>-1.2813119740978776</v>
          </cell>
          <cell r="AG1407">
            <v>-1.2189899977517045</v>
          </cell>
          <cell r="AH1407">
            <v>-1.1635492418806195</v>
          </cell>
          <cell r="AI1407">
            <v>-1.1173102429962931</v>
          </cell>
          <cell r="AJ1407">
            <v>-1.0801602150322567</v>
          </cell>
          <cell r="AK1407">
            <v>-1.0343947953650721</v>
          </cell>
          <cell r="AL1407">
            <v>-0.99891768302197703</v>
          </cell>
          <cell r="AM1407">
            <v>-0.9736618762703666</v>
          </cell>
          <cell r="AN1407">
            <v>-0.95912868373210647</v>
          </cell>
          <cell r="AO1407">
            <v>-0.95557569865295378</v>
          </cell>
        </row>
        <row r="1408">
          <cell r="C1408" t="str">
            <v xml:space="preserve">Solde public </v>
          </cell>
          <cell r="E1408" t="str">
            <v>100*((-Bal_G_tot_VAL_2)/(GDP_2*PGDP_2)-(-Bal_G_tot_VAL_0)/(GDP_0*PGDP_0))</v>
          </cell>
          <cell r="F1408">
            <v>-7.8151887739075221E-9</v>
          </cell>
          <cell r="G1408">
            <v>-4.7634798883144924E-9</v>
          </cell>
          <cell r="H1408">
            <v>-1.1461213922370206E-9</v>
          </cell>
          <cell r="I1408">
            <v>-6.8253881713165043E-9</v>
          </cell>
          <cell r="J1408">
            <v>-5.40053071707014E-10</v>
          </cell>
          <cell r="K1408">
            <v>-3.9041598079436746E-9</v>
          </cell>
          <cell r="L1408">
            <v>-7.5449720256248742E-9</v>
          </cell>
          <cell r="M1408">
            <v>-4.8120463586113701E-2</v>
          </cell>
          <cell r="N1408">
            <v>9.8641417385260735E-2</v>
          </cell>
          <cell r="O1408">
            <v>4.8431673107191681E-2</v>
          </cell>
          <cell r="P1408">
            <v>-0.1531707543063858</v>
          </cell>
          <cell r="Q1408">
            <v>5.4276337052323181E-2</v>
          </cell>
          <cell r="R1408">
            <v>-0.1154184205327119</v>
          </cell>
          <cell r="S1408">
            <v>-0.33724094049768294</v>
          </cell>
          <cell r="T1408">
            <v>-0.56413228729645803</v>
          </cell>
          <cell r="U1408">
            <v>-0.78127654350550257</v>
          </cell>
          <cell r="V1408">
            <v>-0.99480133014604666</v>
          </cell>
          <cell r="W1408">
            <v>-1.1695311733666649</v>
          </cell>
          <cell r="X1408">
            <v>-1.318652593817931</v>
          </cell>
          <cell r="Y1408">
            <v>-1.4446634554506441</v>
          </cell>
          <cell r="Z1408">
            <v>-1.5542323620362923</v>
          </cell>
          <cell r="AA1408">
            <v>-1.6026273751331699</v>
          </cell>
          <cell r="AB1408">
            <v>-1.6299295821879458</v>
          </cell>
          <cell r="AC1408">
            <v>-1.6401949352053351</v>
          </cell>
          <cell r="AD1408">
            <v>-1.636793476122661</v>
          </cell>
          <cell r="AE1408">
            <v>-1.6223696445428273</v>
          </cell>
          <cell r="AF1408">
            <v>-1.5575757567918487</v>
          </cell>
          <cell r="AG1408">
            <v>-1.4780927144922282</v>
          </cell>
          <cell r="AH1408">
            <v>-1.4113451990293415</v>
          </cell>
          <cell r="AI1408">
            <v>-1.3585489854726989</v>
          </cell>
          <cell r="AJ1408">
            <v>-1.3190955518606855</v>
          </cell>
          <cell r="AK1408">
            <v>-1.2755340152024994</v>
          </cell>
          <cell r="AL1408">
            <v>-1.2403095568305962</v>
          </cell>
          <cell r="AM1408">
            <v>-1.2284045244547945</v>
          </cell>
          <cell r="AN1408">
            <v>-1.2381019521655712</v>
          </cell>
          <cell r="AO1408">
            <v>-1.2680886035363215</v>
          </cell>
        </row>
        <row r="1409">
          <cell r="C1409" t="str">
            <v>Dette publique</v>
          </cell>
          <cell r="E1409" t="str">
            <v>(DEBT_G_VAL_2/(PGDP_2*GDP_2)-DEBT_G_VAL_0/(PGDP_0*GDP_0))*100</v>
          </cell>
          <cell r="F1409">
            <v>4.3520975712141308E-8</v>
          </cell>
          <cell r="G1409">
            <v>-9.2288943154272829E-8</v>
          </cell>
          <cell r="H1409">
            <v>-1.0954681606278882E-9</v>
          </cell>
          <cell r="I1409">
            <v>-4.5375758706001079E-8</v>
          </cell>
          <cell r="J1409">
            <v>-8.1503659377091253E-8</v>
          </cell>
          <cell r="K1409">
            <v>-4.0365366604788733E-8</v>
          </cell>
          <cell r="L1409">
            <v>-1.403188232274033E-7</v>
          </cell>
          <cell r="M1409">
            <v>-1.9726763242444711E-2</v>
          </cell>
          <cell r="N1409">
            <v>-6.0297421705024501E-2</v>
          </cell>
          <cell r="O1409">
            <v>-0.61754316066323645</v>
          </cell>
          <cell r="P1409">
            <v>-1.568566016762829</v>
          </cell>
          <cell r="Q1409">
            <v>-2.0197244773894618</v>
          </cell>
          <cell r="R1409">
            <v>-2.536715654328825</v>
          </cell>
          <cell r="S1409">
            <v>-3.1880601574888701</v>
          </cell>
          <cell r="T1409">
            <v>-3.9872529450724778</v>
          </cell>
          <cell r="U1409">
            <v>-4.9181863265273069</v>
          </cell>
          <cell r="V1409">
            <v>-5.973383045564673</v>
          </cell>
          <cell r="W1409">
            <v>-7.1131499970325276</v>
          </cell>
          <cell r="X1409">
            <v>-8.3148164701193892</v>
          </cell>
          <cell r="Y1409">
            <v>-9.5600395807169889</v>
          </cell>
          <cell r="Z1409">
            <v>-10.839826576808703</v>
          </cell>
          <cell r="AA1409">
            <v>-12.104572043237532</v>
          </cell>
          <cell r="AB1409">
            <v>-13.339450723212467</v>
          </cell>
          <cell r="AC1409">
            <v>-14.532726040322173</v>
          </cell>
          <cell r="AD1409">
            <v>-15.676388647418626</v>
          </cell>
          <cell r="AE1409">
            <v>-16.767021027763885</v>
          </cell>
          <cell r="AF1409">
            <v>-17.773147802450239</v>
          </cell>
          <cell r="AG1409">
            <v>-18.66586843007607</v>
          </cell>
          <cell r="AH1409">
            <v>-19.446176977735398</v>
          </cell>
          <cell r="AI1409">
            <v>-20.124311331974209</v>
          </cell>
          <cell r="AJ1409">
            <v>-20.714530793746743</v>
          </cell>
          <cell r="AK1409">
            <v>-21.225727554137308</v>
          </cell>
          <cell r="AL1409">
            <v>-21.65223365946375</v>
          </cell>
          <cell r="AM1409">
            <v>-22.009135936237257</v>
          </cell>
          <cell r="AN1409">
            <v>-22.314479721051828</v>
          </cell>
          <cell r="AO1409">
            <v>-22.587104159233327</v>
          </cell>
        </row>
        <row r="1410">
          <cell r="C1410" t="str">
            <v>PIB</v>
          </cell>
          <cell r="E1410" t="str">
            <v>GDP_2</v>
          </cell>
          <cell r="F1410">
            <v>2194755</v>
          </cell>
          <cell r="G1410">
            <v>2231705.2880000002</v>
          </cell>
          <cell r="H1410">
            <v>2272402.8489999999</v>
          </cell>
          <cell r="I1410">
            <v>2316225.7829999998</v>
          </cell>
          <cell r="J1410">
            <v>2364451.5789999999</v>
          </cell>
          <cell r="K1410">
            <v>2416518.398</v>
          </cell>
          <cell r="L1410">
            <v>2471313.5430000001</v>
          </cell>
          <cell r="M1410">
            <v>2518537.9980000001</v>
          </cell>
          <cell r="N1410">
            <v>2564510.335</v>
          </cell>
          <cell r="O1410">
            <v>2618060.6039999998</v>
          </cell>
          <cell r="P1410">
            <v>2668164.071</v>
          </cell>
          <cell r="Q1410">
            <v>2715033.8190000001</v>
          </cell>
          <cell r="R1410">
            <v>2759850.7069999999</v>
          </cell>
          <cell r="S1410">
            <v>2802952.213</v>
          </cell>
          <cell r="T1410">
            <v>2845108.838</v>
          </cell>
          <cell r="U1410">
            <v>2886668.8259999999</v>
          </cell>
          <cell r="V1410">
            <v>2926852.1529999999</v>
          </cell>
          <cell r="W1410">
            <v>2966906.8220000002</v>
          </cell>
          <cell r="X1410">
            <v>3008036.753</v>
          </cell>
          <cell r="Y1410">
            <v>3051467.719</v>
          </cell>
          <cell r="Z1410">
            <v>3097473.4559999998</v>
          </cell>
          <cell r="AA1410">
            <v>3148054.1540000001</v>
          </cell>
          <cell r="AB1410">
            <v>3203710.4479999999</v>
          </cell>
          <cell r="AC1410">
            <v>3264698.9029999999</v>
          </cell>
          <cell r="AD1410">
            <v>3330998.3020000001</v>
          </cell>
          <cell r="AE1410">
            <v>3401424.858</v>
          </cell>
          <cell r="AF1410">
            <v>3477848.1370000001</v>
          </cell>
          <cell r="AG1410">
            <v>3559912.1839999999</v>
          </cell>
          <cell r="AH1410">
            <v>3647550.449</v>
          </cell>
          <cell r="AI1410">
            <v>3740250.716</v>
          </cell>
          <cell r="AJ1410">
            <v>3837207.25</v>
          </cell>
          <cell r="AK1410">
            <v>3937981.1910000001</v>
          </cell>
          <cell r="AL1410">
            <v>4041876.1749999998</v>
          </cell>
          <cell r="AM1410">
            <v>4148149.7370000002</v>
          </cell>
          <cell r="AN1410">
            <v>4256051.9400000004</v>
          </cell>
          <cell r="AO1410">
            <v>4364806.8789999997</v>
          </cell>
        </row>
        <row r="1411">
          <cell r="C1411" t="str">
            <v>Ecart PIB</v>
          </cell>
          <cell r="E1411" t="str">
            <v>(GDPter_2/GDPbis_2-1)*100</v>
          </cell>
          <cell r="F1411">
            <v>0</v>
          </cell>
          <cell r="G1411">
            <v>0</v>
          </cell>
          <cell r="H1411">
            <v>0</v>
          </cell>
          <cell r="I1411">
            <v>0</v>
          </cell>
          <cell r="J1411">
            <v>0</v>
          </cell>
          <cell r="K1411">
            <v>0</v>
          </cell>
          <cell r="L1411">
            <v>0</v>
          </cell>
          <cell r="M1411">
            <v>0</v>
          </cell>
          <cell r="N1411">
            <v>0</v>
          </cell>
          <cell r="O1411">
            <v>0</v>
          </cell>
          <cell r="P1411">
            <v>0</v>
          </cell>
          <cell r="Q1411">
            <v>-3.6831959704386463E-8</v>
          </cell>
          <cell r="R1411">
            <v>-3.6233849254330153E-8</v>
          </cell>
          <cell r="S1411">
            <v>-3.5676672727191772E-8</v>
          </cell>
          <cell r="T1411">
            <v>-3.514805113624675E-8</v>
          </cell>
          <cell r="U1411">
            <v>0</v>
          </cell>
          <cell r="V1411">
            <v>0</v>
          </cell>
          <cell r="W1411">
            <v>0</v>
          </cell>
          <cell r="X1411">
            <v>0</v>
          </cell>
          <cell r="Y1411">
            <v>0</v>
          </cell>
          <cell r="Z1411">
            <v>0</v>
          </cell>
          <cell r="AA1411">
            <v>0</v>
          </cell>
          <cell r="AB1411">
            <v>0</v>
          </cell>
          <cell r="AC1411">
            <v>0</v>
          </cell>
          <cell r="AD1411">
            <v>0</v>
          </cell>
          <cell r="AE1411">
            <v>2.9399438439270398E-8</v>
          </cell>
          <cell r="AF1411">
            <v>0</v>
          </cell>
          <cell r="AG1411">
            <v>0</v>
          </cell>
          <cell r="AH1411">
            <v>-2.7415658632179429E-8</v>
          </cell>
          <cell r="AI1411">
            <v>0</v>
          </cell>
          <cell r="AJ1411">
            <v>-2.606062032839418E-8</v>
          </cell>
          <cell r="AK1411">
            <v>-2.539373156196234E-8</v>
          </cell>
          <cell r="AL1411">
            <v>-2.474097593463398E-8</v>
          </cell>
          <cell r="AM1411">
            <v>-2.4107138507645232E-8</v>
          </cell>
          <cell r="AN1411">
            <v>-2.3495960732589083E-8</v>
          </cell>
          <cell r="AO1411">
            <v>-2.2910529029473992E-8</v>
          </cell>
        </row>
        <row r="1412">
          <cell r="C1412" t="str">
            <v>Dépenses publiques</v>
          </cell>
          <cell r="E1412" t="str">
            <v>SPEND_G_VAL_2</v>
          </cell>
          <cell r="F1412">
            <v>1178747.06</v>
          </cell>
          <cell r="G1412">
            <v>1218872.655</v>
          </cell>
          <cell r="H1412">
            <v>1256505.5460000001</v>
          </cell>
          <cell r="I1412">
            <v>1296349.2279999999</v>
          </cell>
          <cell r="J1412">
            <v>1337168.023</v>
          </cell>
          <cell r="K1412">
            <v>1375679.216</v>
          </cell>
          <cell r="L1412">
            <v>1414021.2990000001</v>
          </cell>
          <cell r="M1412">
            <v>1458125.237</v>
          </cell>
          <cell r="N1412">
            <v>1512557.615</v>
          </cell>
          <cell r="O1412">
            <v>1572494.048</v>
          </cell>
          <cell r="P1412">
            <v>1641960.828</v>
          </cell>
          <cell r="Q1412">
            <v>1707142.7579999999</v>
          </cell>
          <cell r="R1412">
            <v>1760379.652</v>
          </cell>
          <cell r="S1412">
            <v>1810003.2590000001</v>
          </cell>
          <cell r="T1412">
            <v>1856784.3130000001</v>
          </cell>
          <cell r="U1412">
            <v>1901002.334</v>
          </cell>
          <cell r="V1412">
            <v>1943559.567</v>
          </cell>
          <cell r="W1412">
            <v>1984642.0430000001</v>
          </cell>
          <cell r="X1412">
            <v>2023649.621</v>
          </cell>
          <cell r="Y1412">
            <v>2060123.362</v>
          </cell>
          <cell r="Z1412">
            <v>2092863.1359999999</v>
          </cell>
          <cell r="AA1412">
            <v>2124072.33</v>
          </cell>
          <cell r="AB1412">
            <v>2153269.7910000002</v>
          </cell>
          <cell r="AC1412">
            <v>2180357.1639999999</v>
          </cell>
          <cell r="AD1412">
            <v>2205446.13</v>
          </cell>
          <cell r="AE1412">
            <v>2224013.9900000002</v>
          </cell>
          <cell r="AF1412">
            <v>2242846.0550000002</v>
          </cell>
          <cell r="AG1412">
            <v>2260867.1519999998</v>
          </cell>
          <cell r="AH1412">
            <v>2276720.8879999998</v>
          </cell>
          <cell r="AI1412">
            <v>2290091.0729999999</v>
          </cell>
          <cell r="AJ1412">
            <v>2300689.611</v>
          </cell>
          <cell r="AK1412">
            <v>2307821.09</v>
          </cell>
          <cell r="AL1412">
            <v>2312007.1230000001</v>
          </cell>
          <cell r="AM1412">
            <v>2311575.8620000002</v>
          </cell>
          <cell r="AN1412">
            <v>2306088.608</v>
          </cell>
          <cell r="AO1412">
            <v>2295126.0410000002</v>
          </cell>
        </row>
        <row r="1413">
          <cell r="C1413" t="str">
            <v>Recettes publiques</v>
          </cell>
          <cell r="E1413" t="str">
            <v>INC_G_VAL_2</v>
          </cell>
          <cell r="F1413">
            <v>1015133.564</v>
          </cell>
          <cell r="G1413">
            <v>1053469.1229999999</v>
          </cell>
          <cell r="H1413">
            <v>1096797.4669999999</v>
          </cell>
          <cell r="I1413">
            <v>1146583.2749999999</v>
          </cell>
          <cell r="J1413">
            <v>1195877.76</v>
          </cell>
          <cell r="K1413">
            <v>1249333.6299999999</v>
          </cell>
          <cell r="L1413">
            <v>1306769.8500000001</v>
          </cell>
          <cell r="M1413">
            <v>1374646.3470000001</v>
          </cell>
          <cell r="N1413">
            <v>1450485.0049999999</v>
          </cell>
          <cell r="O1413">
            <v>1541929.7120000001</v>
          </cell>
          <cell r="P1413">
            <v>1651388.3049999999</v>
          </cell>
          <cell r="Q1413">
            <v>1744329.608</v>
          </cell>
          <cell r="R1413">
            <v>1838253.6229999999</v>
          </cell>
          <cell r="S1413">
            <v>1930113.4180000001</v>
          </cell>
          <cell r="T1413">
            <v>2018503.706</v>
          </cell>
          <cell r="U1413">
            <v>2102882.4040000001</v>
          </cell>
          <cell r="V1413">
            <v>2184738.9160000002</v>
          </cell>
          <cell r="W1413">
            <v>2263401.36</v>
          </cell>
          <cell r="X1413">
            <v>2339690.5060000001</v>
          </cell>
          <cell r="Y1413">
            <v>2414120.8739999998</v>
          </cell>
          <cell r="Z1413">
            <v>2487987.932</v>
          </cell>
          <cell r="AA1413">
            <v>2559661.6549999998</v>
          </cell>
          <cell r="AB1413">
            <v>2633376.5699999998</v>
          </cell>
          <cell r="AC1413">
            <v>2710606.79</v>
          </cell>
          <cell r="AD1413">
            <v>2792853.352</v>
          </cell>
          <cell r="AE1413">
            <v>2880464.3569999998</v>
          </cell>
          <cell r="AF1413">
            <v>2971209.1129999999</v>
          </cell>
          <cell r="AG1413">
            <v>3070025.1209999998</v>
          </cell>
          <cell r="AH1413">
            <v>3179531.7069999999</v>
          </cell>
          <cell r="AI1413">
            <v>3301391.3509999998</v>
          </cell>
          <cell r="AJ1413">
            <v>3436441.4739999999</v>
          </cell>
          <cell r="AK1413">
            <v>3583303.0950000002</v>
          </cell>
          <cell r="AL1413">
            <v>3743976.963</v>
          </cell>
          <cell r="AM1413">
            <v>3918414.656</v>
          </cell>
          <cell r="AN1413">
            <v>4106253.6140000001</v>
          </cell>
          <cell r="AO1413">
            <v>4306752.0520000001</v>
          </cell>
        </row>
        <row r="1414">
          <cell r="C1414" t="str">
            <v>Solde public</v>
          </cell>
          <cell r="E1414" t="str">
            <v>Bal_G_tot_VAL_2</v>
          </cell>
          <cell r="F1414">
            <v>-61636.427600000003</v>
          </cell>
          <cell r="G1414">
            <v>-60344.642659999998</v>
          </cell>
          <cell r="H1414">
            <v>-51631.957549999999</v>
          </cell>
          <cell r="I1414">
            <v>-39108.234510000002</v>
          </cell>
          <cell r="J1414">
            <v>-28677.131679999999</v>
          </cell>
          <cell r="K1414">
            <v>-12298.598099999999</v>
          </cell>
          <cell r="L1414">
            <v>7410.4689369999996</v>
          </cell>
          <cell r="M1414">
            <v>30812.50344</v>
          </cell>
          <cell r="N1414">
            <v>50678.159010000003</v>
          </cell>
          <cell r="O1414">
            <v>79652.525089999996</v>
          </cell>
          <cell r="P1414">
            <v>115661.7118</v>
          </cell>
          <cell r="Q1414">
            <v>137637.9994</v>
          </cell>
          <cell r="R1414">
            <v>171443.2199</v>
          </cell>
          <cell r="S1414">
            <v>205107.24650000001</v>
          </cell>
          <cell r="T1414">
            <v>236461.11780000001</v>
          </cell>
          <cell r="U1414">
            <v>264798.73969999998</v>
          </cell>
          <cell r="V1414">
            <v>290858.08140000002</v>
          </cell>
          <cell r="W1414">
            <v>313895.14559999999</v>
          </cell>
          <cell r="X1414">
            <v>335481.95649999997</v>
          </cell>
          <cell r="Y1414">
            <v>356664.48599999998</v>
          </cell>
          <cell r="Z1414">
            <v>379958.54590000003</v>
          </cell>
          <cell r="AA1414">
            <v>401425.14779999998</v>
          </cell>
          <cell r="AB1414">
            <v>425871.3432</v>
          </cell>
          <cell r="AC1414">
            <v>454720.62319999997</v>
          </cell>
          <cell r="AD1414">
            <v>489142.18849999999</v>
          </cell>
          <cell r="AE1414">
            <v>533728.22389999998</v>
          </cell>
          <cell r="AF1414">
            <v>578954.50390000001</v>
          </cell>
          <cell r="AG1414">
            <v>630801.69010000001</v>
          </cell>
          <cell r="AH1414">
            <v>692914.45550000004</v>
          </cell>
          <cell r="AI1414">
            <v>766758.19160000002</v>
          </cell>
          <cell r="AJ1414">
            <v>852871.86640000006</v>
          </cell>
          <cell r="AK1414">
            <v>949958.41460000002</v>
          </cell>
          <cell r="AL1414">
            <v>1058948.3289999999</v>
          </cell>
          <cell r="AM1414">
            <v>1180869.8670000001</v>
          </cell>
          <cell r="AN1414">
            <v>1315152.5859999999</v>
          </cell>
          <cell r="AO1414">
            <v>1460855.9620000001</v>
          </cell>
        </row>
        <row r="1415">
          <cell r="C1415" t="str">
            <v>Dette publique</v>
          </cell>
          <cell r="E1415" t="str">
            <v>DEBT_G_VAL_2</v>
          </cell>
          <cell r="F1415">
            <v>2101177.781</v>
          </cell>
          <cell r="G1415">
            <v>2161522.4240000001</v>
          </cell>
          <cell r="H1415">
            <v>2213154.3810000001</v>
          </cell>
          <cell r="I1415">
            <v>2252262.6159999999</v>
          </cell>
          <cell r="J1415">
            <v>2280939.747</v>
          </cell>
          <cell r="K1415">
            <v>2293238.3459999999</v>
          </cell>
          <cell r="L1415">
            <v>2285827.8769999999</v>
          </cell>
          <cell r="M1415">
            <v>2255015.3730000001</v>
          </cell>
          <cell r="N1415">
            <v>2204337.2140000002</v>
          </cell>
          <cell r="O1415">
            <v>2124684.6889999998</v>
          </cell>
          <cell r="P1415">
            <v>2009022.977</v>
          </cell>
          <cell r="Q1415">
            <v>1871384.9779999999</v>
          </cell>
          <cell r="R1415">
            <v>1699941.7579999999</v>
          </cell>
          <cell r="S1415">
            <v>1494834.5109999999</v>
          </cell>
          <cell r="T1415">
            <v>1258373.3940000001</v>
          </cell>
          <cell r="U1415">
            <v>993574.65379999997</v>
          </cell>
          <cell r="V1415">
            <v>702716.57239999995</v>
          </cell>
          <cell r="W1415">
            <v>388821.42680000002</v>
          </cell>
          <cell r="X1415">
            <v>53339.470280000001</v>
          </cell>
          <cell r="Y1415">
            <v>-303325.01569999999</v>
          </cell>
          <cell r="Z1415">
            <v>-683283.56160000002</v>
          </cell>
          <cell r="AA1415">
            <v>-1084708.709</v>
          </cell>
          <cell r="AB1415">
            <v>-1510580.0530000001</v>
          </cell>
          <cell r="AC1415">
            <v>-1965300.676</v>
          </cell>
          <cell r="AD1415">
            <v>-2454442.8640000001</v>
          </cell>
          <cell r="AE1415">
            <v>-2988171.088</v>
          </cell>
          <cell r="AF1415">
            <v>-3567125.5920000002</v>
          </cell>
          <cell r="AG1415">
            <v>-4197927.2819999997</v>
          </cell>
          <cell r="AH1415">
            <v>-4890841.7379999999</v>
          </cell>
          <cell r="AI1415">
            <v>-5657599.9289999995</v>
          </cell>
          <cell r="AJ1415">
            <v>-6510471.7960000001</v>
          </cell>
          <cell r="AK1415">
            <v>-7460430.21</v>
          </cell>
          <cell r="AL1415">
            <v>-8519378.5399999991</v>
          </cell>
          <cell r="AM1415">
            <v>-9700248.4059999995</v>
          </cell>
          <cell r="AN1415">
            <v>-11015400.99</v>
          </cell>
          <cell r="AO1415">
            <v>-12476256.949999999</v>
          </cell>
        </row>
        <row r="1512">
          <cell r="F1512">
            <v>1964141.541</v>
          </cell>
          <cell r="G1512">
            <v>1997874.5870000001</v>
          </cell>
          <cell r="H1512">
            <v>2034652.2069999999</v>
          </cell>
          <cell r="I1512">
            <v>2074114.23</v>
          </cell>
          <cell r="J1512">
            <v>2117265.5350000001</v>
          </cell>
          <cell r="K1512">
            <v>2163690.1439999999</v>
          </cell>
          <cell r="L1512">
            <v>2212340.548</v>
          </cell>
          <cell r="M1512">
            <v>2254180.9640000002</v>
          </cell>
          <cell r="N1512">
            <v>2295300.9019999998</v>
          </cell>
          <cell r="O1512">
            <v>2343888.3289999999</v>
          </cell>
          <cell r="P1512">
            <v>2389261.3139999998</v>
          </cell>
          <cell r="Q1512">
            <v>2430749.6090000002</v>
          </cell>
          <cell r="R1512">
            <v>2469783.3050000002</v>
          </cell>
          <cell r="S1512">
            <v>2507035.66</v>
          </cell>
          <cell r="T1512">
            <v>2543481.2930000001</v>
          </cell>
          <cell r="U1512">
            <v>2579561.9130000002</v>
          </cell>
          <cell r="V1512">
            <v>2614685.9219999998</v>
          </cell>
          <cell r="W1512">
            <v>2649982.5529999998</v>
          </cell>
          <cell r="X1512">
            <v>2686446.0639999998</v>
          </cell>
          <cell r="Y1512">
            <v>2725023.8760000002</v>
          </cell>
          <cell r="Z1512">
            <v>2766028.0260000001</v>
          </cell>
          <cell r="AA1512">
            <v>2811120.6639999999</v>
          </cell>
          <cell r="AB1512">
            <v>2860773.0010000002</v>
          </cell>
          <cell r="AC1512">
            <v>2915193.5920000002</v>
          </cell>
          <cell r="AD1512">
            <v>2974323.6519999998</v>
          </cell>
          <cell r="AE1512">
            <v>3037155.5189999999</v>
          </cell>
          <cell r="AF1512">
            <v>3105772.1889999998</v>
          </cell>
          <cell r="AG1512">
            <v>3179599.3709999998</v>
          </cell>
          <cell r="AH1512">
            <v>3258436.76</v>
          </cell>
          <cell r="AI1512">
            <v>3341719.6850000001</v>
          </cell>
          <cell r="AJ1512">
            <v>3428658.04</v>
          </cell>
          <cell r="AK1512">
            <v>3518823.077</v>
          </cell>
          <cell r="AL1512">
            <v>3611616.3360000001</v>
          </cell>
          <cell r="AM1512">
            <v>3706384.3539999998</v>
          </cell>
          <cell r="AN1512">
            <v>3802465.898</v>
          </cell>
          <cell r="AO1512">
            <v>3899181.9559999998</v>
          </cell>
        </row>
        <row r="1513">
          <cell r="F1513">
            <v>36044.319060000002</v>
          </cell>
          <cell r="G1513">
            <v>36503.095860000001</v>
          </cell>
          <cell r="H1513">
            <v>37042.193229999997</v>
          </cell>
          <cell r="I1513">
            <v>37649.690990000003</v>
          </cell>
          <cell r="J1513">
            <v>38369.91921</v>
          </cell>
          <cell r="K1513">
            <v>39179.94212</v>
          </cell>
          <cell r="L1513">
            <v>40082.089849999997</v>
          </cell>
          <cell r="M1513">
            <v>40763.659780000002</v>
          </cell>
          <cell r="N1513">
            <v>41428.052109999997</v>
          </cell>
          <cell r="O1513">
            <v>42239.414799999999</v>
          </cell>
          <cell r="P1513">
            <v>42954.085930000001</v>
          </cell>
          <cell r="Q1513">
            <v>43611.364909999997</v>
          </cell>
          <cell r="R1513">
            <v>44234.594989999998</v>
          </cell>
          <cell r="S1513">
            <v>44833.308490000003</v>
          </cell>
          <cell r="T1513">
            <v>45423.44902</v>
          </cell>
          <cell r="U1513">
            <v>46010.73717</v>
          </cell>
          <cell r="V1513">
            <v>46630.903550000003</v>
          </cell>
          <cell r="W1513">
            <v>47258.927730000003</v>
          </cell>
          <cell r="X1513">
            <v>47915.50288</v>
          </cell>
          <cell r="Y1513">
            <v>48620.61262</v>
          </cell>
          <cell r="Z1513">
            <v>49380.233890000003</v>
          </cell>
          <cell r="AA1513">
            <v>50236.609750000003</v>
          </cell>
          <cell r="AB1513">
            <v>51199.488129999998</v>
          </cell>
          <cell r="AC1513">
            <v>52274.614679999999</v>
          </cell>
          <cell r="AD1513">
            <v>53462.415249999998</v>
          </cell>
          <cell r="AE1513">
            <v>54738.95811</v>
          </cell>
          <cell r="AF1513">
            <v>55981.086560000003</v>
          </cell>
          <cell r="AG1513">
            <v>57304.316160000002</v>
          </cell>
          <cell r="AH1513">
            <v>58736.995320000002</v>
          </cell>
          <cell r="AI1513">
            <v>60272.551529999997</v>
          </cell>
          <cell r="AJ1513">
            <v>61891.805890000003</v>
          </cell>
          <cell r="AK1513">
            <v>63582.497779999998</v>
          </cell>
          <cell r="AL1513">
            <v>65328.05517</v>
          </cell>
          <cell r="AM1513">
            <v>67111.236420000001</v>
          </cell>
          <cell r="AN1513">
            <v>68914.843359999999</v>
          </cell>
          <cell r="AO1513">
            <v>70721.690799999997</v>
          </cell>
        </row>
        <row r="1516">
          <cell r="F1516">
            <v>331339.58179999999</v>
          </cell>
          <cell r="G1516">
            <v>338951.02750000003</v>
          </cell>
          <cell r="H1516">
            <v>346768.49190000002</v>
          </cell>
          <cell r="I1516">
            <v>354984.44790000003</v>
          </cell>
          <cell r="J1516">
            <v>363845.54590000003</v>
          </cell>
          <cell r="K1516">
            <v>373295.74979999999</v>
          </cell>
          <cell r="L1516">
            <v>383326.40919999999</v>
          </cell>
          <cell r="M1516">
            <v>391479.96590000001</v>
          </cell>
          <cell r="N1516">
            <v>399942.36829999997</v>
          </cell>
          <cell r="O1516">
            <v>410834.98969999998</v>
          </cell>
          <cell r="P1516">
            <v>420587.30719999998</v>
          </cell>
          <cell r="Q1516">
            <v>428920.35159999999</v>
          </cell>
          <cell r="R1516">
            <v>436558.33020000003</v>
          </cell>
          <cell r="S1516">
            <v>443911.11790000001</v>
          </cell>
          <cell r="T1516">
            <v>451391.12119999999</v>
          </cell>
          <cell r="U1516">
            <v>459143.35009999998</v>
          </cell>
          <cell r="V1516">
            <v>467007.07860000001</v>
          </cell>
          <cell r="W1516">
            <v>475270.13520000002</v>
          </cell>
          <cell r="X1516">
            <v>484103.47379999998</v>
          </cell>
          <cell r="Y1516">
            <v>493662.84110000002</v>
          </cell>
          <cell r="Z1516">
            <v>504014.23550000001</v>
          </cell>
          <cell r="AA1516">
            <v>515471.18699999998</v>
          </cell>
          <cell r="AB1516">
            <v>528145.27599999995</v>
          </cell>
          <cell r="AC1516">
            <v>542086.7746</v>
          </cell>
          <cell r="AD1516">
            <v>557282.31409999996</v>
          </cell>
          <cell r="AE1516">
            <v>573600.26789999998</v>
          </cell>
          <cell r="AF1516">
            <v>590781.77350000001</v>
          </cell>
          <cell r="AG1516">
            <v>608964.78209999995</v>
          </cell>
          <cell r="AH1516">
            <v>628214.54359999998</v>
          </cell>
          <cell r="AI1516">
            <v>648395.18759999995</v>
          </cell>
          <cell r="AJ1516">
            <v>669304.88370000001</v>
          </cell>
          <cell r="AK1516">
            <v>690850.10919999995</v>
          </cell>
          <cell r="AL1516">
            <v>712908.30929999996</v>
          </cell>
          <cell r="AM1516">
            <v>735337.73479999998</v>
          </cell>
          <cell r="AN1516">
            <v>757996.70530000003</v>
          </cell>
          <cell r="AO1516">
            <v>780742.08790000004</v>
          </cell>
        </row>
        <row r="1528">
          <cell r="F1528">
            <v>48436.067320000002</v>
          </cell>
          <cell r="G1528">
            <v>49395.242680000003</v>
          </cell>
          <cell r="H1528">
            <v>50351.113570000001</v>
          </cell>
          <cell r="I1528">
            <v>51336.785929999998</v>
          </cell>
          <cell r="J1528">
            <v>52419.538890000003</v>
          </cell>
          <cell r="K1528">
            <v>53593.577550000002</v>
          </cell>
          <cell r="L1528">
            <v>54844.135820000003</v>
          </cell>
          <cell r="M1528">
            <v>55791.029179999998</v>
          </cell>
          <cell r="N1528">
            <v>56708.214950000001</v>
          </cell>
          <cell r="O1528">
            <v>57850.155749999998</v>
          </cell>
          <cell r="P1528">
            <v>58738.337039999999</v>
          </cell>
          <cell r="Q1528">
            <v>59456.243909999997</v>
          </cell>
          <cell r="R1528">
            <v>60106.67035</v>
          </cell>
          <cell r="S1528">
            <v>60723.449269999997</v>
          </cell>
          <cell r="T1528">
            <v>61341.556499999999</v>
          </cell>
          <cell r="U1528">
            <v>61968.931089999998</v>
          </cell>
          <cell r="V1528">
            <v>62583.096989999998</v>
          </cell>
          <cell r="W1528">
            <v>63205.825750000004</v>
          </cell>
          <cell r="X1528">
            <v>63869.012589999998</v>
          </cell>
          <cell r="Y1528">
            <v>64607.42355</v>
          </cell>
          <cell r="Z1528">
            <v>65431.110399999998</v>
          </cell>
          <cell r="AA1528">
            <v>66396.599400000006</v>
          </cell>
          <cell r="AB1528">
            <v>67518.472179999997</v>
          </cell>
          <cell r="AC1528">
            <v>68800.405799999993</v>
          </cell>
          <cell r="AD1528">
            <v>70238.328320000001</v>
          </cell>
          <cell r="AE1528">
            <v>71809.272549999994</v>
          </cell>
          <cell r="AF1528">
            <v>73536.355009999999</v>
          </cell>
          <cell r="AG1528">
            <v>75439.830170000001</v>
          </cell>
          <cell r="AH1528">
            <v>77520.999939999994</v>
          </cell>
          <cell r="AI1528">
            <v>79756.702319999997</v>
          </cell>
          <cell r="AJ1528">
            <v>82115.977929999994</v>
          </cell>
          <cell r="AK1528">
            <v>84586.114509999999</v>
          </cell>
          <cell r="AL1528">
            <v>87146.58567</v>
          </cell>
          <cell r="AM1528">
            <v>89772.547829999996</v>
          </cell>
          <cell r="AN1528">
            <v>92438.443360000005</v>
          </cell>
          <cell r="AO1528">
            <v>95118.399210000003</v>
          </cell>
        </row>
        <row r="1533">
          <cell r="F1533">
            <v>1509727.2009999999</v>
          </cell>
          <cell r="G1533">
            <v>1533878.4639999999</v>
          </cell>
          <cell r="H1533">
            <v>1560836.1059999999</v>
          </cell>
          <cell r="I1533">
            <v>1589945.4129999999</v>
          </cell>
          <cell r="J1533">
            <v>1621939.145</v>
          </cell>
          <cell r="K1533">
            <v>1656421.63</v>
          </cell>
          <cell r="L1533">
            <v>1692968.645</v>
          </cell>
          <cell r="M1533">
            <v>1725243.463</v>
          </cell>
          <cell r="N1533">
            <v>1756560.1410000001</v>
          </cell>
          <cell r="O1533">
            <v>1792405.7239999999</v>
          </cell>
          <cell r="P1533">
            <v>1826607.27</v>
          </cell>
          <cell r="Q1533">
            <v>1858811.307</v>
          </cell>
          <cell r="R1533">
            <v>1889538.3729999999</v>
          </cell>
          <cell r="S1533">
            <v>1918971.9680000001</v>
          </cell>
          <cell r="T1533">
            <v>1947580.07</v>
          </cell>
          <cell r="U1533">
            <v>1975629.605</v>
          </cell>
          <cell r="V1533">
            <v>2002677.7009999999</v>
          </cell>
          <cell r="W1533">
            <v>2029555.62</v>
          </cell>
          <cell r="X1533">
            <v>2057053.1410000001</v>
          </cell>
          <cell r="Y1533">
            <v>2085954.227</v>
          </cell>
          <cell r="Z1533">
            <v>2116503.3199999998</v>
          </cell>
          <cell r="AA1533">
            <v>2149942.5980000002</v>
          </cell>
          <cell r="AB1533">
            <v>2186613.3280000002</v>
          </cell>
          <cell r="AC1533">
            <v>2226707.2170000002</v>
          </cell>
          <cell r="AD1533">
            <v>2270242.0460000001</v>
          </cell>
          <cell r="AE1533">
            <v>2316474.156</v>
          </cell>
          <cell r="AF1533">
            <v>2365496.591</v>
          </cell>
          <cell r="AG1533">
            <v>2417751.9619999998</v>
          </cell>
          <cell r="AH1533">
            <v>2473519.5090000001</v>
          </cell>
          <cell r="AI1533">
            <v>2532588.92</v>
          </cell>
          <cell r="AJ1533">
            <v>2594469.8470000001</v>
          </cell>
          <cell r="AK1533">
            <v>2658852.4300000002</v>
          </cell>
          <cell r="AL1533">
            <v>2725275.3309999998</v>
          </cell>
          <cell r="AM1533">
            <v>2793255.1860000002</v>
          </cell>
          <cell r="AN1533">
            <v>2862303.6189999999</v>
          </cell>
          <cell r="AO1533">
            <v>2931917.2990000001</v>
          </cell>
        </row>
        <row r="1537">
          <cell r="F1537">
            <v>-2125.409842</v>
          </cell>
          <cell r="G1537">
            <v>-2143.3612760000001</v>
          </cell>
          <cell r="H1537">
            <v>-2159.7022830000001</v>
          </cell>
          <cell r="I1537">
            <v>-2176.0875550000001</v>
          </cell>
          <cell r="J1537">
            <v>-2191.7230559999998</v>
          </cell>
          <cell r="K1537">
            <v>-2216.5464270000002</v>
          </cell>
          <cell r="L1537">
            <v>-2249.5671229999998</v>
          </cell>
          <cell r="M1537">
            <v>-2296.8163049999998</v>
          </cell>
          <cell r="N1537">
            <v>-2334.3233230000001</v>
          </cell>
          <cell r="O1537">
            <v>-2360.6362439999998</v>
          </cell>
          <cell r="P1537">
            <v>-2396.442959</v>
          </cell>
          <cell r="Q1537">
            <v>-2415.5152029999999</v>
          </cell>
          <cell r="R1537">
            <v>-2431.3186660000001</v>
          </cell>
          <cell r="S1537">
            <v>-2446.4425999999999</v>
          </cell>
          <cell r="T1537">
            <v>-2462.3224890000001</v>
          </cell>
          <cell r="U1537">
            <v>-2480.6504570000002</v>
          </cell>
          <cell r="V1537">
            <v>-2505.1774909999999</v>
          </cell>
          <cell r="W1537">
            <v>-2518.4870390000001</v>
          </cell>
          <cell r="X1537">
            <v>-2534.0428929999998</v>
          </cell>
          <cell r="Y1537">
            <v>-2546.4841230000002</v>
          </cell>
          <cell r="Z1537">
            <v>-2528.3508919999999</v>
          </cell>
          <cell r="AA1537">
            <v>-2509.0382180000001</v>
          </cell>
          <cell r="AB1537">
            <v>-2491.2675989999998</v>
          </cell>
          <cell r="AC1537">
            <v>-2474.8175620000002</v>
          </cell>
          <cell r="AD1537">
            <v>-2459.2916959999998</v>
          </cell>
          <cell r="AE1537">
            <v>-2444.3313939999998</v>
          </cell>
          <cell r="AF1537">
            <v>-2430.2240160000001</v>
          </cell>
          <cell r="AG1537">
            <v>-2411.1247520000002</v>
          </cell>
          <cell r="AH1537">
            <v>-2390.4664659999999</v>
          </cell>
          <cell r="AI1537">
            <v>-2370.9664990000001</v>
          </cell>
          <cell r="AJ1537">
            <v>-2353.0909999999999</v>
          </cell>
          <cell r="AK1537">
            <v>-2336.2718909999999</v>
          </cell>
          <cell r="AL1537">
            <v>-2320.6869139999999</v>
          </cell>
          <cell r="AM1537">
            <v>-2306.722436</v>
          </cell>
          <cell r="AN1537">
            <v>-2294.8819279999998</v>
          </cell>
          <cell r="AO1537">
            <v>-2285.7116030000002</v>
          </cell>
        </row>
        <row r="1541">
          <cell r="F1541">
            <v>40630.387999999999</v>
          </cell>
          <cell r="G1541">
            <v>41200.62586</v>
          </cell>
          <cell r="H1541">
            <v>41721.146249999998</v>
          </cell>
          <cell r="I1541">
            <v>42278.35613</v>
          </cell>
          <cell r="J1541">
            <v>42782.728810000001</v>
          </cell>
          <cell r="K1541">
            <v>43310.704310000001</v>
          </cell>
          <cell r="L1541">
            <v>43243.776089999999</v>
          </cell>
          <cell r="M1541">
            <v>43056.249409999997</v>
          </cell>
          <cell r="N1541">
            <v>42833.81637</v>
          </cell>
          <cell r="O1541">
            <v>42732.982279999997</v>
          </cell>
          <cell r="P1541">
            <v>42530.97176</v>
          </cell>
          <cell r="Q1541">
            <v>42078.997889999999</v>
          </cell>
          <cell r="R1541">
            <v>41441.981919999998</v>
          </cell>
          <cell r="S1541">
            <v>40657.309150000001</v>
          </cell>
          <cell r="T1541">
            <v>39768.953390000002</v>
          </cell>
          <cell r="U1541">
            <v>38794.370260000003</v>
          </cell>
          <cell r="V1541">
            <v>37664.428019999999</v>
          </cell>
          <cell r="W1541">
            <v>36434.339829999997</v>
          </cell>
          <cell r="X1541">
            <v>35112.172830000003</v>
          </cell>
          <cell r="Y1541">
            <v>33692.27317</v>
          </cell>
          <cell r="Z1541">
            <v>32162.595860000001</v>
          </cell>
          <cell r="AA1541">
            <v>30507.214680000001</v>
          </cell>
          <cell r="AB1541">
            <v>28721.866099999999</v>
          </cell>
          <cell r="AC1541">
            <v>26769.977500000001</v>
          </cell>
          <cell r="AD1541">
            <v>24599.159650000001</v>
          </cell>
          <cell r="AE1541">
            <v>22131.630819999998</v>
          </cell>
          <cell r="AF1541">
            <v>21764.380990000001</v>
          </cell>
          <cell r="AG1541">
            <v>22185.235809999998</v>
          </cell>
          <cell r="AH1541">
            <v>22814.370749999998</v>
          </cell>
          <cell r="AI1541">
            <v>23462.31076</v>
          </cell>
          <cell r="AJ1541">
            <v>24077.941220000001</v>
          </cell>
          <cell r="AK1541">
            <v>24653.133949999999</v>
          </cell>
          <cell r="AL1541">
            <v>25202.335190000002</v>
          </cell>
          <cell r="AM1541">
            <v>25729.611819999998</v>
          </cell>
          <cell r="AN1541">
            <v>26236.16419</v>
          </cell>
          <cell r="AO1541">
            <v>26722.18289</v>
          </cell>
        </row>
        <row r="1551">
          <cell r="F1551">
            <v>1964141.541</v>
          </cell>
          <cell r="G1551">
            <v>1997874.5870000001</v>
          </cell>
          <cell r="H1551">
            <v>2034652.2080000001</v>
          </cell>
          <cell r="I1551">
            <v>2074114.23</v>
          </cell>
          <cell r="J1551">
            <v>2117265.5359999998</v>
          </cell>
          <cell r="K1551">
            <v>2163690.145</v>
          </cell>
          <cell r="L1551">
            <v>2212340.548</v>
          </cell>
          <cell r="M1551">
            <v>2263090.9870000002</v>
          </cell>
          <cell r="N1551">
            <v>2315686.6740000001</v>
          </cell>
          <cell r="O1551">
            <v>2369923.4649999999</v>
          </cell>
          <cell r="P1551">
            <v>2424343.4479999999</v>
          </cell>
          <cell r="Q1551">
            <v>2473169.9180000001</v>
          </cell>
          <cell r="R1551">
            <v>2517953.2609999999</v>
          </cell>
          <cell r="S1551">
            <v>2559463.5490000001</v>
          </cell>
          <cell r="T1551">
            <v>2598785.0419999999</v>
          </cell>
          <cell r="U1551">
            <v>2637011.9029999999</v>
          </cell>
          <cell r="V1551">
            <v>2675237.3509999998</v>
          </cell>
          <cell r="W1551">
            <v>2714582.7940000002</v>
          </cell>
          <cell r="X1551">
            <v>2756001.28</v>
          </cell>
          <cell r="Y1551">
            <v>2800135.2859999998</v>
          </cell>
          <cell r="Z1551">
            <v>2847228.3330000001</v>
          </cell>
          <cell r="AA1551">
            <v>2898209.301</v>
          </cell>
          <cell r="AB1551">
            <v>2953554.202</v>
          </cell>
          <cell r="AC1551">
            <v>3013564.1880000001</v>
          </cell>
          <cell r="AD1551">
            <v>3078244.6609999998</v>
          </cell>
          <cell r="AE1551">
            <v>3146633.7510000002</v>
          </cell>
          <cell r="AF1551">
            <v>3220215.7110000001</v>
          </cell>
          <cell r="AG1551">
            <v>3298524.11</v>
          </cell>
          <cell r="AH1551">
            <v>3381467.1770000001</v>
          </cell>
          <cell r="AI1551">
            <v>3468531.9470000002</v>
          </cell>
          <cell r="AJ1551">
            <v>3558951.9160000002</v>
          </cell>
          <cell r="AK1551">
            <v>3652041.2149999999</v>
          </cell>
          <cell r="AL1551">
            <v>3747215.6889999998</v>
          </cell>
          <cell r="AM1551">
            <v>3843885.577</v>
          </cell>
          <cell r="AN1551">
            <v>3941437.8220000002</v>
          </cell>
          <cell r="AO1551">
            <v>4039232.1009999998</v>
          </cell>
        </row>
        <row r="1552">
          <cell r="F1552">
            <v>36044.319060000002</v>
          </cell>
          <cell r="G1552">
            <v>36503.095869999997</v>
          </cell>
          <cell r="H1552">
            <v>37042.193240000001</v>
          </cell>
          <cell r="I1552">
            <v>37649.691010000002</v>
          </cell>
          <cell r="J1552">
            <v>38369.919220000003</v>
          </cell>
          <cell r="K1552">
            <v>39179.942130000003</v>
          </cell>
          <cell r="L1552">
            <v>40082.089870000003</v>
          </cell>
          <cell r="M1552">
            <v>41043.622049999998</v>
          </cell>
          <cell r="N1552">
            <v>42051.816449999998</v>
          </cell>
          <cell r="O1552">
            <v>43099.222860000002</v>
          </cell>
          <cell r="P1552">
            <v>44151.107230000001</v>
          </cell>
          <cell r="Q1552">
            <v>45059.152929999997</v>
          </cell>
          <cell r="R1552">
            <v>45874.105450000003</v>
          </cell>
          <cell r="S1552">
            <v>46616.26857</v>
          </cell>
          <cell r="T1552">
            <v>47310.43507</v>
          </cell>
          <cell r="U1552">
            <v>47981.244169999998</v>
          </cell>
          <cell r="V1552">
            <v>48671.01266</v>
          </cell>
          <cell r="W1552">
            <v>49390.798219999997</v>
          </cell>
          <cell r="X1552">
            <v>50160.076090000002</v>
          </cell>
          <cell r="Y1552">
            <v>50992.928140000004</v>
          </cell>
          <cell r="Z1552">
            <v>51893.618690000003</v>
          </cell>
          <cell r="AA1552">
            <v>52887.093159999997</v>
          </cell>
          <cell r="AB1552">
            <v>53984.336900000002</v>
          </cell>
          <cell r="AC1552">
            <v>55193.057840000001</v>
          </cell>
          <cell r="AD1552">
            <v>56514.746570000003</v>
          </cell>
          <cell r="AE1552">
            <v>57925.530830000003</v>
          </cell>
          <cell r="AF1552">
            <v>59314.604789999998</v>
          </cell>
          <cell r="AG1552">
            <v>60774.182889999996</v>
          </cell>
          <cell r="AH1552">
            <v>62333.75866</v>
          </cell>
          <cell r="AI1552">
            <v>63987.344559999998</v>
          </cell>
          <cell r="AJ1552">
            <v>65716.437779999993</v>
          </cell>
          <cell r="AK1552">
            <v>67503.606939999998</v>
          </cell>
          <cell r="AL1552">
            <v>69333.963210000002</v>
          </cell>
          <cell r="AM1552">
            <v>71192.708110000007</v>
          </cell>
          <cell r="AN1552">
            <v>73064.845520000003</v>
          </cell>
          <cell r="AO1552">
            <v>74935.112720000005</v>
          </cell>
        </row>
        <row r="1555">
          <cell r="F1555">
            <v>331339.58179999999</v>
          </cell>
          <cell r="G1555">
            <v>338951.02750000003</v>
          </cell>
          <cell r="H1555">
            <v>346768.49200000003</v>
          </cell>
          <cell r="I1555">
            <v>354984.44790000003</v>
          </cell>
          <cell r="J1555">
            <v>363845.54599999997</v>
          </cell>
          <cell r="K1555">
            <v>373295.7499</v>
          </cell>
          <cell r="L1555">
            <v>383326.4094</v>
          </cell>
          <cell r="M1555">
            <v>393877.26929999999</v>
          </cell>
          <cell r="N1555">
            <v>404906.93290000001</v>
          </cell>
          <cell r="O1555">
            <v>416396.1925</v>
          </cell>
          <cell r="P1555">
            <v>427895.21039999998</v>
          </cell>
          <cell r="Q1555">
            <v>437874.94579999999</v>
          </cell>
          <cell r="R1555">
            <v>447125.71120000002</v>
          </cell>
          <cell r="S1555">
            <v>455917.96850000002</v>
          </cell>
          <cell r="T1555">
            <v>464556.50060000003</v>
          </cell>
          <cell r="U1555">
            <v>473297.82160000002</v>
          </cell>
          <cell r="V1555">
            <v>482379.07640000002</v>
          </cell>
          <cell r="W1555">
            <v>492018.77750000003</v>
          </cell>
          <cell r="X1555">
            <v>502386.76939999999</v>
          </cell>
          <cell r="Y1555">
            <v>513577.48320000002</v>
          </cell>
          <cell r="Z1555">
            <v>525642.83490000002</v>
          </cell>
          <cell r="AA1555">
            <v>538722.88379999995</v>
          </cell>
          <cell r="AB1555">
            <v>552928.13600000006</v>
          </cell>
          <cell r="AC1555">
            <v>568316.72039999999</v>
          </cell>
          <cell r="AD1555">
            <v>584876.38190000004</v>
          </cell>
          <cell r="AE1555">
            <v>602474.90740000003</v>
          </cell>
          <cell r="AF1555">
            <v>620696.1459</v>
          </cell>
          <cell r="AG1555">
            <v>639703.1544</v>
          </cell>
          <cell r="AH1555">
            <v>659603.7696</v>
          </cell>
          <cell r="AI1555">
            <v>680288.49199999997</v>
          </cell>
          <cell r="AJ1555">
            <v>701576.47990000003</v>
          </cell>
          <cell r="AK1555">
            <v>723330.42370000004</v>
          </cell>
          <cell r="AL1555">
            <v>745450.20979999995</v>
          </cell>
          <cell r="AM1555">
            <v>767835.14820000005</v>
          </cell>
          <cell r="AN1555">
            <v>790379.85360000003</v>
          </cell>
          <cell r="AO1555">
            <v>812972.35600000003</v>
          </cell>
        </row>
        <row r="1567">
          <cell r="F1567">
            <v>48436.067320000002</v>
          </cell>
          <cell r="G1567">
            <v>49395.242689999999</v>
          </cell>
          <cell r="H1567">
            <v>50351.113579999997</v>
          </cell>
          <cell r="I1567">
            <v>51336.785940000002</v>
          </cell>
          <cell r="J1567">
            <v>52419.538910000003</v>
          </cell>
          <cell r="K1567">
            <v>53593.577570000001</v>
          </cell>
          <cell r="L1567">
            <v>54844.135840000003</v>
          </cell>
          <cell r="M1567">
            <v>56156.426919999998</v>
          </cell>
          <cell r="N1567">
            <v>57519.569539999997</v>
          </cell>
          <cell r="O1567">
            <v>58926.048920000001</v>
          </cell>
          <cell r="P1567">
            <v>60314.14935</v>
          </cell>
          <cell r="Q1567">
            <v>61474.606529999997</v>
          </cell>
          <cell r="R1567">
            <v>62504.868860000002</v>
          </cell>
          <cell r="S1567">
            <v>63437.093119999998</v>
          </cell>
          <cell r="T1567">
            <v>64310.779150000002</v>
          </cell>
          <cell r="U1567">
            <v>65162.092360000002</v>
          </cell>
          <cell r="V1567">
            <v>66025.671619999994</v>
          </cell>
          <cell r="W1567">
            <v>66934.849610000005</v>
          </cell>
          <cell r="X1567">
            <v>67916.682709999994</v>
          </cell>
          <cell r="Y1567">
            <v>68987.866020000001</v>
          </cell>
          <cell r="Z1567">
            <v>70157.058180000007</v>
          </cell>
          <cell r="AA1567">
            <v>71448.601079999993</v>
          </cell>
          <cell r="AB1567">
            <v>72877.443469999998</v>
          </cell>
          <cell r="AC1567">
            <v>74451.132110000006</v>
          </cell>
          <cell r="AD1567">
            <v>76167.474180000005</v>
          </cell>
          <cell r="AE1567">
            <v>78003.062300000005</v>
          </cell>
          <cell r="AF1567">
            <v>79954.131710000001</v>
          </cell>
          <cell r="AG1567">
            <v>82040.355339999995</v>
          </cell>
          <cell r="AH1567">
            <v>84266.962299999999</v>
          </cell>
          <cell r="AI1567">
            <v>86612.001279999997</v>
          </cell>
          <cell r="AJ1567">
            <v>89045.330619999993</v>
          </cell>
          <cell r="AK1567">
            <v>91543.120240000004</v>
          </cell>
          <cell r="AL1567">
            <v>94086.851939999993</v>
          </cell>
          <cell r="AM1567">
            <v>96658.376980000001</v>
          </cell>
          <cell r="AN1567">
            <v>99239.41936</v>
          </cell>
          <cell r="AO1567">
            <v>101811.4629</v>
          </cell>
        </row>
        <row r="1572">
          <cell r="F1572">
            <v>1509727.2009999999</v>
          </cell>
          <cell r="G1572">
            <v>1533878.4639999999</v>
          </cell>
          <cell r="H1572">
            <v>1560836.1059999999</v>
          </cell>
          <cell r="I1572">
            <v>1589945.4129999999</v>
          </cell>
          <cell r="J1572">
            <v>1621939.1459999999</v>
          </cell>
          <cell r="K1572">
            <v>1656421.63</v>
          </cell>
          <cell r="L1572">
            <v>1692968.6459999999</v>
          </cell>
          <cell r="M1572">
            <v>1731163.253</v>
          </cell>
          <cell r="N1572">
            <v>1770716.4779999999</v>
          </cell>
          <cell r="O1572">
            <v>1811440.7830000001</v>
          </cell>
          <cell r="P1572">
            <v>1852449.9</v>
          </cell>
          <cell r="Q1572">
            <v>1889682.8119999999</v>
          </cell>
          <cell r="R1572">
            <v>1923893.375</v>
          </cell>
          <cell r="S1572">
            <v>1955586.054</v>
          </cell>
          <cell r="T1572">
            <v>1985475.676</v>
          </cell>
          <cell r="U1572">
            <v>2014327.4939999999</v>
          </cell>
          <cell r="V1572">
            <v>2042963.922</v>
          </cell>
          <cell r="W1572">
            <v>2072204.716</v>
          </cell>
          <cell r="X1572">
            <v>2102765.5669999998</v>
          </cell>
          <cell r="Y1572">
            <v>2135160.946</v>
          </cell>
          <cell r="Z1572">
            <v>2169583.517</v>
          </cell>
          <cell r="AA1572">
            <v>2206778.355</v>
          </cell>
          <cell r="AB1572">
            <v>2247113.5580000002</v>
          </cell>
          <cell r="AC1572">
            <v>2290854.9550000001</v>
          </cell>
          <cell r="AD1572">
            <v>2338070.2540000002</v>
          </cell>
          <cell r="AE1572">
            <v>2388051.6150000002</v>
          </cell>
          <cell r="AF1572">
            <v>2440441.1540000001</v>
          </cell>
          <cell r="AG1572">
            <v>2495776.9730000002</v>
          </cell>
          <cell r="AH1572">
            <v>2554400.4739999999</v>
          </cell>
          <cell r="AI1572">
            <v>2616121.79</v>
          </cell>
          <cell r="AJ1572">
            <v>2680453.0759999999</v>
          </cell>
          <cell r="AK1572">
            <v>2746893.8020000001</v>
          </cell>
          <cell r="AL1572">
            <v>2814989.8590000002</v>
          </cell>
          <cell r="AM1572">
            <v>2884281.625</v>
          </cell>
          <cell r="AN1572">
            <v>2954292.85</v>
          </cell>
          <cell r="AO1572">
            <v>3024528.9569999999</v>
          </cell>
        </row>
        <row r="1575">
          <cell r="F1575">
            <v>-2036.0155</v>
          </cell>
          <cell r="G1575">
            <v>-2053.8688029999998</v>
          </cell>
          <cell r="H1575">
            <v>-2066.8431070000001</v>
          </cell>
          <cell r="I1575">
            <v>-2080.4640209999998</v>
          </cell>
          <cell r="J1575">
            <v>-2091.3426410000002</v>
          </cell>
          <cell r="K1575">
            <v>-2111.4596390000002</v>
          </cell>
          <cell r="L1575">
            <v>-2124.5086809999998</v>
          </cell>
          <cell r="M1575">
            <v>-2143.6455860000001</v>
          </cell>
          <cell r="N1575">
            <v>-2166.6083210000002</v>
          </cell>
          <cell r="O1575">
            <v>-2191.1857220000002</v>
          </cell>
          <cell r="P1575">
            <v>-2216.9483399999999</v>
          </cell>
          <cell r="Q1575">
            <v>-2260.1064700000002</v>
          </cell>
          <cell r="R1575">
            <v>-2297.0644200000002</v>
          </cell>
          <cell r="S1575">
            <v>-2326.4467789999999</v>
          </cell>
          <cell r="T1575">
            <v>-2349.851768</v>
          </cell>
          <cell r="U1575">
            <v>-2369.1164530000001</v>
          </cell>
          <cell r="V1575">
            <v>-2386.0856370000001</v>
          </cell>
          <cell r="W1575">
            <v>-2400.6085349999998</v>
          </cell>
          <cell r="X1575">
            <v>-2415.4961309999999</v>
          </cell>
          <cell r="Y1575">
            <v>-2431.850903</v>
          </cell>
          <cell r="Z1575">
            <v>-2450.154333</v>
          </cell>
          <cell r="AA1575">
            <v>-2470.1018300000001</v>
          </cell>
          <cell r="AB1575">
            <v>-2492.2083419999999</v>
          </cell>
          <cell r="AC1575">
            <v>-2516.9466630000002</v>
          </cell>
          <cell r="AD1575">
            <v>-2544.5941079999998</v>
          </cell>
          <cell r="AE1575">
            <v>-2575.4450959999999</v>
          </cell>
          <cell r="AF1575">
            <v>-2629.4541920000001</v>
          </cell>
          <cell r="AG1575">
            <v>-2684.0980239999999</v>
          </cell>
          <cell r="AH1575">
            <v>-2739.6029199999998</v>
          </cell>
          <cell r="AI1575">
            <v>-2798.8819840000001</v>
          </cell>
          <cell r="AJ1575">
            <v>-2862.6626550000001</v>
          </cell>
          <cell r="AK1575">
            <v>-2930.172673</v>
          </cell>
          <cell r="AL1575">
            <v>-3000.4237619999999</v>
          </cell>
          <cell r="AM1575">
            <v>-3072.6780130000002</v>
          </cell>
          <cell r="AN1575">
            <v>-3146.305382</v>
          </cell>
          <cell r="AO1575">
            <v>-3220.6925190000002</v>
          </cell>
        </row>
        <row r="1580">
          <cell r="F1580">
            <v>40630.387999999999</v>
          </cell>
          <cell r="G1580">
            <v>41200.62586</v>
          </cell>
          <cell r="H1580">
            <v>41721.146260000001</v>
          </cell>
          <cell r="I1580">
            <v>42278.35613</v>
          </cell>
          <cell r="J1580">
            <v>42782.728819999997</v>
          </cell>
          <cell r="K1580">
            <v>43310.70433</v>
          </cell>
          <cell r="L1580">
            <v>43243.776109999999</v>
          </cell>
          <cell r="M1580">
            <v>42994.061090000003</v>
          </cell>
          <cell r="N1580">
            <v>42658.485860000001</v>
          </cell>
          <cell r="O1580">
            <v>42252.402759999997</v>
          </cell>
          <cell r="P1580">
            <v>41750.029710000003</v>
          </cell>
          <cell r="Q1580">
            <v>41338.508009999998</v>
          </cell>
          <cell r="R1580">
            <v>40852.265240000001</v>
          </cell>
          <cell r="S1580">
            <v>40232.611360000003</v>
          </cell>
          <cell r="T1580">
            <v>39481.502849999997</v>
          </cell>
          <cell r="U1580">
            <v>38612.366580000002</v>
          </cell>
          <cell r="V1580">
            <v>37583.754229999999</v>
          </cell>
          <cell r="W1580">
            <v>36434.261659999996</v>
          </cell>
          <cell r="X1580">
            <v>35187.680780000002</v>
          </cell>
          <cell r="Y1580">
            <v>33847.913710000001</v>
          </cell>
          <cell r="Z1580">
            <v>32401.45793</v>
          </cell>
          <cell r="AA1580">
            <v>30842.46961</v>
          </cell>
          <cell r="AB1580">
            <v>29142.93621</v>
          </cell>
          <cell r="AC1580">
            <v>27265.269830000001</v>
          </cell>
          <cell r="AD1580">
            <v>25160.397870000001</v>
          </cell>
          <cell r="AE1580">
            <v>22754.08007</v>
          </cell>
          <cell r="AF1580">
            <v>22439.128290000001</v>
          </cell>
          <cell r="AG1580">
            <v>22913.542219999999</v>
          </cell>
          <cell r="AH1580">
            <v>23601.81595</v>
          </cell>
          <cell r="AI1580">
            <v>24321.20132</v>
          </cell>
          <cell r="AJ1580">
            <v>25023.253680000002</v>
          </cell>
          <cell r="AK1580">
            <v>25700.43476</v>
          </cell>
          <cell r="AL1580">
            <v>26355.228459999998</v>
          </cell>
          <cell r="AM1580">
            <v>26990.396710000001</v>
          </cell>
          <cell r="AN1580">
            <v>27607.158619999998</v>
          </cell>
          <cell r="AO1580">
            <v>28204.905050000001</v>
          </cell>
        </row>
        <row r="1760">
          <cell r="F1760">
            <v>1.002460884</v>
          </cell>
          <cell r="G1760">
            <v>1.022450021</v>
          </cell>
          <cell r="H1760">
            <v>1.043071853</v>
          </cell>
          <cell r="I1760">
            <v>1.0655998579999999</v>
          </cell>
          <cell r="J1760">
            <v>1.086831112</v>
          </cell>
          <cell r="K1760">
            <v>1.1084617489999999</v>
          </cell>
          <cell r="L1760">
            <v>1.1308158319999999</v>
          </cell>
          <cell r="M1760">
            <v>1.1600745349999999</v>
          </cell>
          <cell r="N1760">
            <v>1.1939221900000001</v>
          </cell>
          <cell r="O1760">
            <v>1.234175112</v>
          </cell>
          <cell r="P1760">
            <v>1.2823357099999999</v>
          </cell>
          <cell r="Q1760">
            <v>1.3242894569999999</v>
          </cell>
          <cell r="R1760">
            <v>1.363969054</v>
          </cell>
          <cell r="S1760">
            <v>1.4013300820000001</v>
          </cell>
          <cell r="T1760">
            <v>1.436376611</v>
          </cell>
          <cell r="U1760">
            <v>1.4690653970000001</v>
          </cell>
          <cell r="V1760">
            <v>1.5003600050000001</v>
          </cell>
          <cell r="W1760">
            <v>1.530072246</v>
          </cell>
          <cell r="X1760">
            <v>1.5579129439999999</v>
          </cell>
          <cell r="Y1760">
            <v>1.5835643269999999</v>
          </cell>
          <cell r="Z1760">
            <v>1.6075512000000001</v>
          </cell>
          <cell r="AA1760">
            <v>1.628924906</v>
          </cell>
          <cell r="AB1760">
            <v>1.648929042</v>
          </cell>
          <cell r="AC1760">
            <v>1.668082869</v>
          </cell>
          <cell r="AD1760">
            <v>1.686985272</v>
          </cell>
          <cell r="AE1760">
            <v>1.70646779</v>
          </cell>
          <cell r="AF1760">
            <v>1.7263034500000001</v>
          </cell>
          <cell r="AG1760">
            <v>1.7479221309999999</v>
          </cell>
          <cell r="AH1760">
            <v>1.7717748449999999</v>
          </cell>
          <cell r="AI1760">
            <v>1.7981642419999999</v>
          </cell>
          <cell r="AJ1760">
            <v>1.8273270699999999</v>
          </cell>
          <cell r="AK1760">
            <v>1.8591552060000001</v>
          </cell>
          <cell r="AL1760">
            <v>1.8941893240000001</v>
          </cell>
          <cell r="AM1760">
            <v>1.9324258519999999</v>
          </cell>
          <cell r="AN1760">
            <v>1.9737607669999999</v>
          </cell>
          <cell r="AO1760">
            <v>2.0180036989999999</v>
          </cell>
        </row>
        <row r="1789">
          <cell r="F1789">
            <v>1.002460884</v>
          </cell>
          <cell r="G1789">
            <v>1.022450021</v>
          </cell>
          <cell r="H1789">
            <v>1.043071853</v>
          </cell>
          <cell r="I1789">
            <v>1.065599857</v>
          </cell>
          <cell r="J1789">
            <v>1.086831111</v>
          </cell>
          <cell r="K1789">
            <v>1.1084617480000001</v>
          </cell>
          <cell r="L1789">
            <v>1.13081583</v>
          </cell>
          <cell r="M1789">
            <v>1.1540293749999999</v>
          </cell>
          <cell r="N1789">
            <v>1.178118078</v>
          </cell>
          <cell r="O1789">
            <v>1.203060059</v>
          </cell>
          <cell r="P1789">
            <v>1.2285911869999999</v>
          </cell>
          <cell r="Q1789">
            <v>1.2539499679999999</v>
          </cell>
          <cell r="R1789">
            <v>1.2784176819999999</v>
          </cell>
          <cell r="S1789">
            <v>1.301448951</v>
          </cell>
          <cell r="T1789">
            <v>1.3227633059999999</v>
          </cell>
          <cell r="U1789">
            <v>1.3422516950000001</v>
          </cell>
          <cell r="V1789">
            <v>1.3598572360000001</v>
          </cell>
          <cell r="W1789">
            <v>1.3756351389999999</v>
          </cell>
          <cell r="X1789">
            <v>1.3898257789999999</v>
          </cell>
          <cell r="Y1789">
            <v>1.402776123</v>
          </cell>
          <cell r="Z1789">
            <v>1.4149774310000001</v>
          </cell>
          <cell r="AA1789">
            <v>1.4268208840000001</v>
          </cell>
          <cell r="AB1789">
            <v>1.438771802</v>
          </cell>
          <cell r="AC1789">
            <v>1.4513375150000001</v>
          </cell>
          <cell r="AD1789">
            <v>1.465081391</v>
          </cell>
          <cell r="AE1789">
            <v>1.4807349620000001</v>
          </cell>
          <cell r="AF1789">
            <v>1.4984543239999999</v>
          </cell>
          <cell r="AG1789">
            <v>1.518521478</v>
          </cell>
          <cell r="AH1789">
            <v>1.541219868</v>
          </cell>
          <cell r="AI1789">
            <v>1.5666777359999999</v>
          </cell>
          <cell r="AJ1789">
            <v>1.5949643250000001</v>
          </cell>
          <cell r="AK1789">
            <v>1.6260635939999999</v>
          </cell>
          <cell r="AL1789">
            <v>1.659886357</v>
          </cell>
          <cell r="AM1789">
            <v>1.696277923</v>
          </cell>
          <cell r="AN1789">
            <v>1.7350182110000001</v>
          </cell>
          <cell r="AO1789">
            <v>1.7758244590000001</v>
          </cell>
        </row>
      </sheetData>
      <sheetData sheetId="5"/>
      <sheetData sheetId="6">
        <row r="820">
          <cell r="B820">
            <v>347.87341720000001</v>
          </cell>
          <cell r="C820">
            <v>347.94026020000001</v>
          </cell>
          <cell r="D820">
            <v>348.04265980000002</v>
          </cell>
          <cell r="E820">
            <v>347.84489930000001</v>
          </cell>
          <cell r="F820">
            <v>349.68102260000001</v>
          </cell>
          <cell r="G820">
            <v>353.10809069999999</v>
          </cell>
          <cell r="H820">
            <v>357.94228349999997</v>
          </cell>
          <cell r="I820">
            <v>363.89033030000002</v>
          </cell>
          <cell r="J820">
            <v>370.64353410000001</v>
          </cell>
          <cell r="K820">
            <v>378.01512120000001</v>
          </cell>
          <cell r="L820">
            <v>385.72595310000003</v>
          </cell>
          <cell r="M820">
            <v>393.86852970000001</v>
          </cell>
          <cell r="N820">
            <v>401.43717170000002</v>
          </cell>
          <cell r="O820">
            <v>408.5366856</v>
          </cell>
          <cell r="P820">
            <v>415.31639769999998</v>
          </cell>
          <cell r="Q820">
            <v>421.9435297</v>
          </cell>
          <cell r="R820">
            <v>428.62610489999997</v>
          </cell>
          <cell r="S820">
            <v>435.62858770000003</v>
          </cell>
          <cell r="T820">
            <v>443.08207670000002</v>
          </cell>
          <cell r="U820">
            <v>451.10583159999999</v>
          </cell>
          <cell r="V820">
            <v>459.78043650000001</v>
          </cell>
          <cell r="W820">
            <v>469.32250199999999</v>
          </cell>
          <cell r="X820">
            <v>479.8861943</v>
          </cell>
          <cell r="Y820">
            <v>491.61611499999998</v>
          </cell>
          <cell r="Z820">
            <v>504.6358098</v>
          </cell>
          <cell r="AA820">
            <v>518.92498990000001</v>
          </cell>
          <cell r="AB820">
            <v>530.70186520000004</v>
          </cell>
          <cell r="AC820">
            <v>542.22330099999999</v>
          </cell>
          <cell r="AD820">
            <v>554.49499830000002</v>
          </cell>
          <cell r="AE820">
            <v>567.72717350000005</v>
          </cell>
          <cell r="AF820">
            <v>581.82769870000004</v>
          </cell>
          <cell r="AG820">
            <v>596.63400760000002</v>
          </cell>
          <cell r="AH820">
            <v>611.98399400000005</v>
          </cell>
          <cell r="AI820">
            <v>627.71854329999996</v>
          </cell>
          <cell r="AJ820">
            <v>643.67850699999997</v>
          </cell>
          <cell r="AK820">
            <v>659.70163839999998</v>
          </cell>
        </row>
        <row r="825">
          <cell r="B825">
            <v>347.87343980000003</v>
          </cell>
          <cell r="C825">
            <v>347.94028220000001</v>
          </cell>
          <cell r="D825">
            <v>348.04268130000003</v>
          </cell>
          <cell r="E825">
            <v>347.84492010000002</v>
          </cell>
          <cell r="F825">
            <v>349.68104319999998</v>
          </cell>
          <cell r="G825">
            <v>353.10811130000002</v>
          </cell>
          <cell r="H825">
            <v>357.9423046</v>
          </cell>
          <cell r="I825">
            <v>360.50503830000002</v>
          </cell>
          <cell r="J825">
            <v>360.5686068</v>
          </cell>
          <cell r="K825">
            <v>359.5190571</v>
          </cell>
          <cell r="L825">
            <v>355.15501810000001</v>
          </cell>
          <cell r="M825">
            <v>353.69890600000002</v>
          </cell>
          <cell r="N825">
            <v>353.3956038</v>
          </cell>
          <cell r="O825">
            <v>353.88257440000001</v>
          </cell>
          <cell r="P825">
            <v>354.99485470000002</v>
          </cell>
          <cell r="Q825">
            <v>356.59213799999998</v>
          </cell>
          <cell r="R825">
            <v>355.93558100000001</v>
          </cell>
          <cell r="S825">
            <v>355.1388311</v>
          </cell>
          <cell r="T825">
            <v>353.39890079999998</v>
          </cell>
          <cell r="U825">
            <v>349.01172889999998</v>
          </cell>
          <cell r="V825">
            <v>344.28358320000001</v>
          </cell>
          <cell r="W825">
            <v>339.65089139999998</v>
          </cell>
          <cell r="X825">
            <v>335.21832260000002</v>
          </cell>
          <cell r="Y825">
            <v>331.13845700000002</v>
          </cell>
          <cell r="Z825">
            <v>327.60108719999999</v>
          </cell>
          <cell r="AA825">
            <v>324.72946810000002</v>
          </cell>
          <cell r="AB825">
            <v>320.3249687</v>
          </cell>
          <cell r="AC825">
            <v>316.157309</v>
          </cell>
          <cell r="AD825">
            <v>312.88789079999998</v>
          </cell>
          <cell r="AE825">
            <v>310.61287399999998</v>
          </cell>
          <cell r="AF825">
            <v>309.22385939999998</v>
          </cell>
          <cell r="AG825">
            <v>308.68044529999997</v>
          </cell>
          <cell r="AH825">
            <v>308.84167400000001</v>
          </cell>
          <cell r="AI825">
            <v>309.5756753</v>
          </cell>
          <cell r="AJ825">
            <v>310.77010430000001</v>
          </cell>
          <cell r="AK825">
            <v>312.3331713</v>
          </cell>
        </row>
        <row r="826">
          <cell r="B826">
            <v>213.1436975</v>
          </cell>
          <cell r="C826">
            <v>214.06431449999999</v>
          </cell>
          <cell r="D826">
            <v>215.1146013</v>
          </cell>
          <cell r="E826">
            <v>215.81639340000001</v>
          </cell>
          <cell r="F826">
            <v>217.88485220000001</v>
          </cell>
          <cell r="G826">
            <v>221.11192019999999</v>
          </cell>
          <cell r="H826">
            <v>225.48480069999999</v>
          </cell>
          <cell r="I826">
            <v>228.0693114</v>
          </cell>
          <cell r="J826">
            <v>228.77484079999999</v>
          </cell>
          <cell r="K826">
            <v>228.71157500000001</v>
          </cell>
          <cell r="L826">
            <v>225.94175559999999</v>
          </cell>
          <cell r="M826">
            <v>225.1305965</v>
          </cell>
          <cell r="N826">
            <v>225.00389949999999</v>
          </cell>
          <cell r="O826">
            <v>225.45129370000001</v>
          </cell>
          <cell r="P826">
            <v>226.44510109999999</v>
          </cell>
          <cell r="Q826">
            <v>227.92172260000001</v>
          </cell>
          <cell r="R826">
            <v>227.77279799999999</v>
          </cell>
          <cell r="S826">
            <v>227.64591419999999</v>
          </cell>
          <cell r="T826">
            <v>227.130101</v>
          </cell>
          <cell r="U826">
            <v>225.37141930000001</v>
          </cell>
          <cell r="V826">
            <v>223.58903659999999</v>
          </cell>
          <cell r="W826">
            <v>222.0776353</v>
          </cell>
          <cell r="X826">
            <v>220.9249915</v>
          </cell>
          <cell r="Y826">
            <v>220.2421587</v>
          </cell>
          <cell r="Z826">
            <v>220.16293490000001</v>
          </cell>
          <cell r="AA826">
            <v>220.7997541</v>
          </cell>
          <cell r="AB826">
            <v>219.83482280000001</v>
          </cell>
          <cell r="AC826">
            <v>218.99045630000001</v>
          </cell>
          <cell r="AD826">
            <v>218.90225190000001</v>
          </cell>
          <cell r="AE826">
            <v>219.63470140000001</v>
          </cell>
          <cell r="AF826">
            <v>221.05347309999999</v>
          </cell>
          <cell r="AG826">
            <v>223.07273979999999</v>
          </cell>
          <cell r="AH826">
            <v>225.54848709999999</v>
          </cell>
          <cell r="AI826">
            <v>228.34590919999999</v>
          </cell>
          <cell r="AJ826">
            <v>231.3517587</v>
          </cell>
          <cell r="AK826">
            <v>234.4773739</v>
          </cell>
        </row>
        <row r="827">
          <cell r="B827">
            <v>2.7493467300000001E-2</v>
          </cell>
          <cell r="C827">
            <v>2.79059537E-2</v>
          </cell>
          <cell r="D827">
            <v>2.8393291500000001E-2</v>
          </cell>
          <cell r="E827">
            <v>2.89429059E-2</v>
          </cell>
          <cell r="F827">
            <v>2.9573433699999999E-2</v>
          </cell>
          <cell r="G827">
            <v>3.0278569200000001E-2</v>
          </cell>
          <cell r="H827">
            <v>3.1042663000000002E-2</v>
          </cell>
          <cell r="I827">
            <v>3.1675706599999999E-2</v>
          </cell>
          <cell r="J827">
            <v>3.2276128699999997E-2</v>
          </cell>
          <cell r="K827">
            <v>3.2981591400000003E-2</v>
          </cell>
          <cell r="L827">
            <v>3.3617449700000003E-2</v>
          </cell>
          <cell r="M827">
            <v>3.41669239E-2</v>
          </cell>
          <cell r="N827">
            <v>3.4665435299999998E-2</v>
          </cell>
          <cell r="O827">
            <v>3.5131799700000001E-2</v>
          </cell>
          <cell r="P827">
            <v>3.5584173500000003E-2</v>
          </cell>
          <cell r="Q827">
            <v>3.6030078600000001E-2</v>
          </cell>
          <cell r="R827">
            <v>3.64679236E-2</v>
          </cell>
          <cell r="S827">
            <v>3.6904398400000003E-2</v>
          </cell>
          <cell r="T827">
            <v>3.7356114199999998E-2</v>
          </cell>
          <cell r="U827">
            <v>3.7841030900000003E-2</v>
          </cell>
          <cell r="V827">
            <v>3.8367007699999997E-2</v>
          </cell>
          <cell r="W827">
            <v>3.8964324799999998E-2</v>
          </cell>
          <cell r="X827">
            <v>3.9645339199999997E-2</v>
          </cell>
          <cell r="Y827">
            <v>4.0415327399999999E-2</v>
          </cell>
          <cell r="Z827">
            <v>4.1273801700000001E-2</v>
          </cell>
          <cell r="AA827">
            <v>4.2203255600000003E-2</v>
          </cell>
          <cell r="AB827">
            <v>4.3214743E-2</v>
          </cell>
          <cell r="AC827">
            <v>4.4323300900000001E-2</v>
          </cell>
          <cell r="AD827">
            <v>4.5530878699999999E-2</v>
          </cell>
          <cell r="AE827">
            <v>4.6827930099999998E-2</v>
          </cell>
          <cell r="AF827">
            <v>4.8198734700000002E-2</v>
          </cell>
          <cell r="AG827">
            <v>4.9633416700000002E-2</v>
          </cell>
          <cell r="AH827">
            <v>5.1119989400000003E-2</v>
          </cell>
          <cell r="AI827">
            <v>5.2645069500000002E-2</v>
          </cell>
          <cell r="AJ827">
            <v>5.4194769800000001E-2</v>
          </cell>
          <cell r="AK827">
            <v>5.5754803200000001E-2</v>
          </cell>
        </row>
        <row r="828">
          <cell r="B828">
            <v>15.211755760000001</v>
          </cell>
          <cell r="C828">
            <v>15.44268482</v>
          </cell>
          <cell r="D828">
            <v>15.70298861</v>
          </cell>
          <cell r="E828">
            <v>15.97925313</v>
          </cell>
          <cell r="F828">
            <v>16.280582209999999</v>
          </cell>
          <cell r="G828">
            <v>16.609997369999999</v>
          </cell>
          <cell r="H828">
            <v>16.969490069999999</v>
          </cell>
          <cell r="I828">
            <v>17.281976969999999</v>
          </cell>
          <cell r="J828">
            <v>17.571647550000002</v>
          </cell>
          <cell r="K828">
            <v>17.880887550000001</v>
          </cell>
          <cell r="L828">
            <v>18.152288250000002</v>
          </cell>
          <cell r="M828">
            <v>18.389526279999998</v>
          </cell>
          <cell r="N828">
            <v>18.614530649999999</v>
          </cell>
          <cell r="O828">
            <v>18.842036090000001</v>
          </cell>
          <cell r="P828">
            <v>19.081995190000001</v>
          </cell>
          <cell r="Q828">
            <v>19.337896359999998</v>
          </cell>
          <cell r="R828">
            <v>19.609336760000001</v>
          </cell>
          <cell r="S828">
            <v>19.89333487</v>
          </cell>
          <cell r="T828">
            <v>20.193004689999999</v>
          </cell>
          <cell r="U828">
            <v>20.51323185</v>
          </cell>
          <cell r="V828">
            <v>20.856507140000001</v>
          </cell>
          <cell r="W828">
            <v>21.234283520000002</v>
          </cell>
          <cell r="X828">
            <v>21.653343830000001</v>
          </cell>
          <cell r="Y828">
            <v>22.116422409999998</v>
          </cell>
          <cell r="Z828">
            <v>22.623552140000001</v>
          </cell>
          <cell r="AA828">
            <v>23.17051897</v>
          </cell>
          <cell r="AB828">
            <v>23.738043699999999</v>
          </cell>
          <cell r="AC828">
            <v>24.332137100000001</v>
          </cell>
          <cell r="AD828">
            <v>24.957068799999998</v>
          </cell>
          <cell r="AE828">
            <v>25.611382509999999</v>
          </cell>
          <cell r="AF828">
            <v>26.289858689999999</v>
          </cell>
          <cell r="AG828">
            <v>26.990360320000001</v>
          </cell>
          <cell r="AH828">
            <v>27.70953265</v>
          </cell>
          <cell r="AI828">
            <v>28.442706009999998</v>
          </cell>
          <cell r="AJ828">
            <v>29.184833300000001</v>
          </cell>
          <cell r="AK828">
            <v>29.930857710000002</v>
          </cell>
        </row>
        <row r="829">
          <cell r="B829">
            <v>119.49049309999999</v>
          </cell>
          <cell r="C829">
            <v>118.405377</v>
          </cell>
          <cell r="D829">
            <v>117.19669810000001</v>
          </cell>
          <cell r="E829">
            <v>116.0203307</v>
          </cell>
          <cell r="F829">
            <v>115.48603540000001</v>
          </cell>
          <cell r="G829">
            <v>115.3559152</v>
          </cell>
          <cell r="H829">
            <v>115.4569711</v>
          </cell>
          <cell r="I829">
            <v>115.12207429999999</v>
          </cell>
          <cell r="J829">
            <v>114.1898424</v>
          </cell>
          <cell r="K829">
            <v>112.89361289999999</v>
          </cell>
          <cell r="L829">
            <v>111.02735680000001</v>
          </cell>
          <cell r="M829">
            <v>110.1446163</v>
          </cell>
          <cell r="N829">
            <v>109.7425082</v>
          </cell>
          <cell r="O829">
            <v>109.5541128</v>
          </cell>
          <cell r="P829">
            <v>109.43217420000001</v>
          </cell>
          <cell r="Q829">
            <v>109.29648899999999</v>
          </cell>
          <cell r="R829">
            <v>108.51697830000001</v>
          </cell>
          <cell r="S829">
            <v>107.5626776</v>
          </cell>
          <cell r="T829">
            <v>106.03843910000001</v>
          </cell>
          <cell r="U829">
            <v>103.08923679999999</v>
          </cell>
          <cell r="V829">
            <v>99.799672459999996</v>
          </cell>
          <cell r="W829">
            <v>96.300008309999996</v>
          </cell>
          <cell r="X829">
            <v>92.600341970000002</v>
          </cell>
          <cell r="Y829">
            <v>88.739460500000007</v>
          </cell>
          <cell r="Z829">
            <v>84.773326400000002</v>
          </cell>
          <cell r="AA829">
            <v>80.716991770000007</v>
          </cell>
          <cell r="AB829">
            <v>76.708887410000003</v>
          </cell>
          <cell r="AC829">
            <v>72.790392310000001</v>
          </cell>
          <cell r="AD829">
            <v>68.983039250000004</v>
          </cell>
          <cell r="AE829">
            <v>65.319962169999997</v>
          </cell>
          <cell r="AF829">
            <v>61.832328830000002</v>
          </cell>
          <cell r="AG829">
            <v>58.567711789999997</v>
          </cell>
          <cell r="AH829">
            <v>55.532534230000003</v>
          </cell>
          <cell r="AI829">
            <v>52.734414989999998</v>
          </cell>
          <cell r="AJ829">
            <v>50.179317589999997</v>
          </cell>
          <cell r="AK829">
            <v>47.869184910000001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31"/>
  <sheetViews>
    <sheetView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A62" sqref="A62:A63"/>
    </sheetView>
  </sheetViews>
  <sheetFormatPr baseColWidth="10" defaultRowHeight="14.5" x14ac:dyDescent="0.35"/>
  <cols>
    <col min="1" max="1" width="26.90625" customWidth="1"/>
    <col min="2" max="2" width="43.08984375" customWidth="1"/>
    <col min="3" max="26" width="11.1796875" bestFit="1" customWidth="1"/>
    <col min="27" max="36" width="11.81640625" bestFit="1" customWidth="1"/>
    <col min="37" max="38" width="12.81640625" bestFit="1" customWidth="1"/>
  </cols>
  <sheetData>
    <row r="1" spans="1:38" x14ac:dyDescent="0.35">
      <c r="A1" t="s">
        <v>5</v>
      </c>
      <c r="B1" t="s">
        <v>6</v>
      </c>
    </row>
    <row r="3" spans="1:38" x14ac:dyDescent="0.35">
      <c r="B3" t="s">
        <v>0</v>
      </c>
      <c r="C3" s="2">
        <v>42005</v>
      </c>
      <c r="D3" s="2">
        <v>42370</v>
      </c>
      <c r="E3" s="2">
        <v>42736</v>
      </c>
      <c r="F3" s="2">
        <v>43101</v>
      </c>
      <c r="G3" s="2">
        <v>43466</v>
      </c>
      <c r="H3" s="2">
        <v>43831</v>
      </c>
      <c r="I3" s="2">
        <v>44197</v>
      </c>
      <c r="J3" s="2">
        <v>44562</v>
      </c>
      <c r="K3" s="2">
        <v>44927</v>
      </c>
      <c r="L3" s="2">
        <v>45292</v>
      </c>
      <c r="M3" s="2">
        <v>45658</v>
      </c>
      <c r="N3" s="2">
        <v>46023</v>
      </c>
      <c r="O3" s="2">
        <v>46388</v>
      </c>
      <c r="P3" s="2">
        <v>46753</v>
      </c>
      <c r="Q3" s="2">
        <v>47119</v>
      </c>
      <c r="R3" s="2">
        <v>47484</v>
      </c>
      <c r="S3" s="2">
        <v>47849</v>
      </c>
      <c r="T3" s="2">
        <v>48214</v>
      </c>
      <c r="U3" s="2">
        <v>48580</v>
      </c>
      <c r="V3" s="2">
        <v>48945</v>
      </c>
      <c r="W3" s="2">
        <v>49310</v>
      </c>
      <c r="X3" s="2">
        <v>49675</v>
      </c>
      <c r="Y3" s="2">
        <v>50041</v>
      </c>
      <c r="Z3" s="2">
        <v>50406</v>
      </c>
      <c r="AA3" s="2">
        <v>50771</v>
      </c>
      <c r="AB3" s="2">
        <v>51136</v>
      </c>
      <c r="AC3" s="2">
        <v>51502</v>
      </c>
      <c r="AD3" s="2">
        <v>51867</v>
      </c>
      <c r="AE3" s="2">
        <v>52232</v>
      </c>
      <c r="AF3" s="2">
        <v>52597</v>
      </c>
      <c r="AG3" s="2">
        <v>52963</v>
      </c>
      <c r="AH3" s="2">
        <v>53328</v>
      </c>
      <c r="AI3" s="2">
        <v>53693</v>
      </c>
      <c r="AJ3" s="2">
        <v>54058</v>
      </c>
      <c r="AK3" s="2">
        <v>54424</v>
      </c>
      <c r="AL3" s="2">
        <v>54789</v>
      </c>
    </row>
    <row r="4" spans="1:38" x14ac:dyDescent="0.35">
      <c r="A4" s="3" t="str">
        <f>[1]Results!E1365</f>
        <v>100*(GDP_2/GDP_0-1)</v>
      </c>
      <c r="B4" t="s">
        <v>20</v>
      </c>
      <c r="C4" s="1">
        <f>[1]Results!F1365</f>
        <v>-4.5563175454788052E-8</v>
      </c>
      <c r="D4" s="1">
        <f>[1]Results!G1365</f>
        <v>0</v>
      </c>
      <c r="E4" s="1">
        <f>[1]Results!H1365</f>
        <v>-4.4006287502895702E-8</v>
      </c>
      <c r="F4" s="1">
        <f>[1]Results!I1365</f>
        <v>-4.3173686847808312E-8</v>
      </c>
      <c r="G4" s="1">
        <f>[1]Results!J1365</f>
        <v>-4.229311345582687E-8</v>
      </c>
      <c r="H4" s="1">
        <f>[1]Results!K1365</f>
        <v>-4.1381853499444787E-8</v>
      </c>
      <c r="I4" s="1">
        <f>[1]Results!L1365</f>
        <v>0</v>
      </c>
      <c r="J4" s="1">
        <f>[1]Results!M1365</f>
        <v>-0.39649447411389538</v>
      </c>
      <c r="K4" s="1">
        <f>[1]Results!N1365</f>
        <v>-0.90555944820546186</v>
      </c>
      <c r="L4" s="1">
        <f>[1]Results!O1365</f>
        <v>-1.1760205602991514</v>
      </c>
      <c r="M4" s="1">
        <f>[1]Results!P1365</f>
        <v>-1.5754592950339541</v>
      </c>
      <c r="N4" s="1">
        <f>[1]Results!Q1365</f>
        <v>-1.8615783400474428</v>
      </c>
      <c r="O4" s="1">
        <f>[1]Results!R1365</f>
        <v>-2.053296411816774</v>
      </c>
      <c r="P4" s="1">
        <f>[1]Results!S1365</f>
        <v>-2.1701319044624801</v>
      </c>
      <c r="Q4" s="1">
        <f>[1]Results!T1365</f>
        <v>-2.2270752500934576</v>
      </c>
      <c r="R4" s="1">
        <f>[1]Results!U1365</f>
        <v>-2.2539797119044747</v>
      </c>
      <c r="S4" s="1">
        <f>[1]Results!V1365</f>
        <v>-2.3179885061319405</v>
      </c>
      <c r="T4" s="1">
        <f>[1]Results!W1365</f>
        <v>-2.4174674432674292</v>
      </c>
      <c r="U4" s="1">
        <f>[1]Results!X1365</f>
        <v>-2.5464088368939986</v>
      </c>
      <c r="V4" s="1">
        <f>[1]Results!Y1365</f>
        <v>-2.6878402886002517</v>
      </c>
      <c r="W4" s="1">
        <f>[1]Results!Z1365</f>
        <v>-2.8406941944118858</v>
      </c>
      <c r="X4" s="1">
        <f>[1]Results!AA1365</f>
        <v>-2.9762703068043517</v>
      </c>
      <c r="Y4" s="1">
        <f>[1]Results!AB1365</f>
        <v>-3.0960609553207563</v>
      </c>
      <c r="Z4" s="1">
        <f>[1]Results!AC1365</f>
        <v>-3.2036665696097866</v>
      </c>
      <c r="AA4" s="1">
        <f>[1]Results!AD1365</f>
        <v>-3.3015155366985627</v>
      </c>
      <c r="AB4" s="1">
        <f>[1]Results!AE1365</f>
        <v>-3.3925128456302023</v>
      </c>
      <c r="AC4" s="1">
        <f>[1]Results!AF1365</f>
        <v>-3.4561217898585017</v>
      </c>
      <c r="AD4" s="1">
        <f>[1]Results!AG1365</f>
        <v>-3.4990063809294258</v>
      </c>
      <c r="AE4" s="1">
        <f>[1]Results!AH1365</f>
        <v>-3.5256756045812909</v>
      </c>
      <c r="AF4" s="1">
        <f>[1]Results!AI1365</f>
        <v>-3.5388351885304981</v>
      </c>
      <c r="AG4" s="1">
        <f>[1]Results!AJ1365</f>
        <v>-3.5405033632690985</v>
      </c>
      <c r="AH4" s="1">
        <f>[1]Results!AK1365</f>
        <v>-3.5246244889066691</v>
      </c>
      <c r="AI4" s="1">
        <f>[1]Results!AL1365</f>
        <v>-3.4938746215781524</v>
      </c>
      <c r="AJ4" s="1">
        <f>[1]Results!AM1365</f>
        <v>-3.4513329370192358</v>
      </c>
      <c r="AK4" s="1">
        <f>[1]Results!AN1365</f>
        <v>-3.3992041332326917</v>
      </c>
      <c r="AL4" s="1">
        <f>[1]Results!AO1365</f>
        <v>-3.3392623401244936</v>
      </c>
    </row>
    <row r="5" spans="1:38" x14ac:dyDescent="0.35">
      <c r="A5" s="3" t="str">
        <f>[1]Results!E1366</f>
        <v>100*((VA_2-VA_spub_2)/(VA_0-VA_spub_0)-1)</v>
      </c>
      <c r="B5" t="str">
        <f>[1]Results!C1366</f>
        <v>VA du secteur marchand</v>
      </c>
      <c r="C5" s="1">
        <f>[1]Results!F1366</f>
        <v>0</v>
      </c>
      <c r="D5" s="1">
        <f>[1]Results!G1366</f>
        <v>0</v>
      </c>
      <c r="E5" s="1">
        <f>[1]Results!H1366</f>
        <v>-6.1324134659201945E-8</v>
      </c>
      <c r="F5" s="1">
        <f>[1]Results!I1366</f>
        <v>0</v>
      </c>
      <c r="G5" s="1">
        <f>[1]Results!J1366</f>
        <v>-5.2872783928847866E-8</v>
      </c>
      <c r="H5" s="1">
        <f>[1]Results!K1366</f>
        <v>-5.738195474336294E-8</v>
      </c>
      <c r="I5" s="1">
        <f>[1]Results!L1366</f>
        <v>0</v>
      </c>
      <c r="J5" s="1">
        <f>[1]Results!M1366</f>
        <v>-0.46609326178318478</v>
      </c>
      <c r="K5" s="1">
        <f>[1]Results!N1366</f>
        <v>-1.0358125806852914</v>
      </c>
      <c r="L5" s="1">
        <f>[1]Results!O1366</f>
        <v>-1.2824621947579717</v>
      </c>
      <c r="M5" s="1">
        <f>[1]Results!P1366</f>
        <v>-1.6837949600314706</v>
      </c>
      <c r="N5" s="1">
        <f>[1]Results!Q1366</f>
        <v>-1.994382639543435</v>
      </c>
      <c r="O5" s="1">
        <f>[1]Results!R1366</f>
        <v>-2.2259380213298208</v>
      </c>
      <c r="P5" s="1">
        <f>[1]Results!S1366</f>
        <v>-2.3862257257816655</v>
      </c>
      <c r="Q5" s="1">
        <f>[1]Results!T1366</f>
        <v>-2.4820013666138507</v>
      </c>
      <c r="R5" s="1">
        <f>[1]Results!U1366</f>
        <v>-2.5437727036742408</v>
      </c>
      <c r="S5" s="1">
        <f>[1]Results!V1366</f>
        <v>-2.6451448800461352</v>
      </c>
      <c r="T5" s="1">
        <f>[1]Results!W1366</f>
        <v>-2.7821860255707764</v>
      </c>
      <c r="U5" s="1">
        <f>[1]Results!X1366</f>
        <v>-2.9502752899379425</v>
      </c>
      <c r="V5" s="1">
        <f>[1]Results!Y1366</f>
        <v>-3.1342027069375944</v>
      </c>
      <c r="W5" s="1">
        <f>[1]Results!Z1366</f>
        <v>-3.3295648940731337</v>
      </c>
      <c r="X5" s="1">
        <f>[1]Results!AA1366</f>
        <v>-3.5043787380718228</v>
      </c>
      <c r="Y5" s="1">
        <f>[1]Results!AB1366</f>
        <v>-3.6584542589960023</v>
      </c>
      <c r="Z5" s="1">
        <f>[1]Results!AC1366</f>
        <v>-3.7953604304144406</v>
      </c>
      <c r="AA5" s="1">
        <f>[1]Results!AD1366</f>
        <v>-3.9178721880595457</v>
      </c>
      <c r="AB5" s="1">
        <f>[1]Results!AE1366</f>
        <v>-4.0294166877818842</v>
      </c>
      <c r="AC5" s="1">
        <f>[1]Results!AF1366</f>
        <v>-4.1065331457910581</v>
      </c>
      <c r="AD5" s="1">
        <f>[1]Results!AG1366</f>
        <v>-4.1559159739879341</v>
      </c>
      <c r="AE5" s="1">
        <f>[1]Results!AH1366</f>
        <v>-4.1834181226637401</v>
      </c>
      <c r="AF5" s="1">
        <f>[1]Results!AI1366</f>
        <v>-4.1931682995915098</v>
      </c>
      <c r="AG5" s="1">
        <f>[1]Results!AJ1366</f>
        <v>-4.1884138736601244</v>
      </c>
      <c r="AH5" s="1">
        <f>[1]Results!AK1366</f>
        <v>-4.1632442157200629</v>
      </c>
      <c r="AI5" s="1">
        <f>[1]Results!AL1366</f>
        <v>-4.1205325801144665</v>
      </c>
      <c r="AJ5" s="1">
        <f>[1]Results!AM1366</f>
        <v>-4.0644127586388468</v>
      </c>
      <c r="AK5" s="1">
        <f>[1]Results!AN1366</f>
        <v>-3.9981679969933848</v>
      </c>
      <c r="AL5" s="1">
        <f>[1]Results!AO1366</f>
        <v>-3.9244692819238813</v>
      </c>
    </row>
    <row r="6" spans="1:38" x14ac:dyDescent="0.35">
      <c r="A6" s="3" t="str">
        <f>[1]Results!E1367</f>
        <v>100*((CH_2-CH_0)/GDP_0)</v>
      </c>
      <c r="B6" t="s">
        <v>21</v>
      </c>
      <c r="C6" s="1">
        <f>[1]Results!F1367</f>
        <v>-4.5563179646800728E-8</v>
      </c>
      <c r="D6" s="1">
        <f>[1]Results!G1367</f>
        <v>0</v>
      </c>
      <c r="E6" s="1">
        <f>[1]Results!H1367</f>
        <v>0</v>
      </c>
      <c r="F6" s="1">
        <f>[1]Results!I1367</f>
        <v>0</v>
      </c>
      <c r="G6" s="1">
        <f>[1]Results!J1367</f>
        <v>0</v>
      </c>
      <c r="H6" s="1">
        <f>[1]Results!K1367</f>
        <v>-4.1381846357799214E-8</v>
      </c>
      <c r="I6" s="1">
        <f>[1]Results!L1367</f>
        <v>0</v>
      </c>
      <c r="J6" s="1">
        <f>[1]Results!M1367</f>
        <v>-0.20949981138560844</v>
      </c>
      <c r="K6" s="1">
        <f>[1]Results!N1367</f>
        <v>-0.58303575966574994</v>
      </c>
      <c r="L6" s="1">
        <f>[1]Results!O1367</f>
        <v>-1.0181453959610907</v>
      </c>
      <c r="M6" s="1">
        <f>[1]Results!P1367</f>
        <v>-1.4960426206177417</v>
      </c>
      <c r="N6" s="1">
        <f>[1]Results!Q1367</f>
        <v>-1.7007246027156402</v>
      </c>
      <c r="O6" s="1">
        <f>[1]Results!R1367</f>
        <v>-1.6990197781683491</v>
      </c>
      <c r="P6" s="1">
        <f>[1]Results!S1367</f>
        <v>-1.5807597594850322</v>
      </c>
      <c r="Q6" s="1">
        <f>[1]Results!T1367</f>
        <v>-1.4110883783457364</v>
      </c>
      <c r="R6" s="1">
        <f>[1]Results!U1367</f>
        <v>-1.2289207518313199</v>
      </c>
      <c r="S6" s="1">
        <f>[1]Results!V1367</f>
        <v>-1.0832959646000551</v>
      </c>
      <c r="T6" s="1">
        <f>[1]Results!W1367</f>
        <v>-0.98644251290289697</v>
      </c>
      <c r="U6" s="1">
        <f>[1]Results!X1367</f>
        <v>-0.92925626295816033</v>
      </c>
      <c r="V6" s="1">
        <f>[1]Results!Y1367</f>
        <v>-0.89482719080975925</v>
      </c>
      <c r="W6" s="1">
        <f>[1]Results!Z1367</f>
        <v>-0.8805174949660004</v>
      </c>
      <c r="X6" s="1">
        <f>[1]Results!AA1367</f>
        <v>-0.86112882279100411</v>
      </c>
      <c r="Y6" s="1">
        <f>[1]Results!AB1367</f>
        <v>-0.84767733532322176</v>
      </c>
      <c r="Z6" s="1">
        <f>[1]Results!AC1367</f>
        <v>-0.84579023181882029</v>
      </c>
      <c r="AA6" s="1">
        <f>[1]Results!AD1367</f>
        <v>-0.857454899665965</v>
      </c>
      <c r="AB6" s="1">
        <f>[1]Results!AE1367</f>
        <v>-0.88408329333172686</v>
      </c>
      <c r="AC6" s="1">
        <f>[1]Results!AF1367</f>
        <v>-0.9134481507120451</v>
      </c>
      <c r="AD6" s="1">
        <f>[1]Results!AG1367</f>
        <v>-0.95673022210637348</v>
      </c>
      <c r="AE6" s="1">
        <f>[1]Results!AH1367</f>
        <v>-1.0135206624474773</v>
      </c>
      <c r="AF6" s="1">
        <f>[1]Results!AI1367</f>
        <v>-1.0801025029242577</v>
      </c>
      <c r="AG6" s="1">
        <f>[1]Results!AJ1367</f>
        <v>-1.1526196021636836</v>
      </c>
      <c r="AH6" s="1">
        <f>[1]Results!AK1367</f>
        <v>-1.2225506417080614</v>
      </c>
      <c r="AI6" s="1">
        <f>[1]Results!AL1367</f>
        <v>-1.2924261301866271</v>
      </c>
      <c r="AJ6" s="1">
        <f>[1]Results!AM1367</f>
        <v>-1.360117839567089</v>
      </c>
      <c r="AK6" s="1">
        <f>[1]Results!AN1367</f>
        <v>-1.4217697088822854</v>
      </c>
      <c r="AL6" s="1">
        <f>[1]Results!AO1367</f>
        <v>-1.4738111478972447</v>
      </c>
    </row>
    <row r="7" spans="1:38" x14ac:dyDescent="0.35">
      <c r="A7" s="3" t="str">
        <f>[1]Results!E1368</f>
        <v>100*((CH_cveh_2-CH_cveh_0)/GDP_0)</v>
      </c>
      <c r="B7" t="str">
        <f>[1]Results!C1368</f>
        <v>Consommation des ménages automobile</v>
      </c>
      <c r="C7" s="1">
        <f>[1]Results!F1368</f>
        <v>0</v>
      </c>
      <c r="D7" s="1">
        <f>[1]Results!G1368</f>
        <v>-4.4808799079018707E-10</v>
      </c>
      <c r="E7" s="1">
        <f>[1]Results!H1368</f>
        <v>-4.4006232580822235E-10</v>
      </c>
      <c r="F7" s="1">
        <f>[1]Results!I1368</f>
        <v>0</v>
      </c>
      <c r="G7" s="1">
        <f>[1]Results!J1368</f>
        <v>4.2293119765884816E-10</v>
      </c>
      <c r="H7" s="1">
        <f>[1]Results!K1368</f>
        <v>1.2414552943843506E-9</v>
      </c>
      <c r="I7" s="1">
        <f>[1]Results!L1368</f>
        <v>1.2139291547659944E-9</v>
      </c>
      <c r="J7" s="1">
        <f>[1]Results!M1368</f>
        <v>-4.6212129842904681E-2</v>
      </c>
      <c r="K7" s="1">
        <f>[1]Results!N1368</f>
        <v>-0.11582030544611273</v>
      </c>
      <c r="L7" s="1">
        <f>[1]Results!O1368</f>
        <v>-0.18949749195377738</v>
      </c>
      <c r="M7" s="1">
        <f>[1]Results!P1368</f>
        <v>-0.2702990581666429</v>
      </c>
      <c r="N7" s="1">
        <f>[1]Results!Q1368</f>
        <v>-0.25064895473096782</v>
      </c>
      <c r="O7" s="1">
        <f>[1]Results!R1368</f>
        <v>-0.19511869080974145</v>
      </c>
      <c r="P7" s="1">
        <f>[1]Results!S1368</f>
        <v>-0.14102411513576338</v>
      </c>
      <c r="Q7" s="1">
        <f>[1]Results!T1368</f>
        <v>-0.10102091713075263</v>
      </c>
      <c r="R7" s="1">
        <f>[1]Results!U1368</f>
        <v>-7.6302476044394871E-2</v>
      </c>
      <c r="S7" s="1">
        <f>[1]Results!V1368</f>
        <v>-7.315870988893676E-2</v>
      </c>
      <c r="T7" s="1">
        <f>[1]Results!W1368</f>
        <v>-8.2770867865270326E-2</v>
      </c>
      <c r="U7" s="1">
        <f>[1]Results!X1368</f>
        <v>-9.6248110055996886E-2</v>
      </c>
      <c r="V7" s="1">
        <f>[1]Results!Y1368</f>
        <v>-0.10577150965170018</v>
      </c>
      <c r="W7" s="1">
        <f>[1]Results!Z1368</f>
        <v>-0.11424967798134525</v>
      </c>
      <c r="X7" s="1">
        <f>[1]Results!AA1368</f>
        <v>-0.11296375698207448</v>
      </c>
      <c r="Y7" s="1">
        <f>[1]Results!AB1368</f>
        <v>-0.1100072713893169</v>
      </c>
      <c r="Z7" s="1">
        <f>[1]Results!AC1368</f>
        <v>-0.10808558703190153</v>
      </c>
      <c r="AA7" s="1">
        <f>[1]Results!AD1368</f>
        <v>-0.10749182204591651</v>
      </c>
      <c r="AB7" s="1">
        <f>[1]Results!AE1368</f>
        <v>-0.10827589020111221</v>
      </c>
      <c r="AC7" s="1">
        <f>[1]Results!AF1368</f>
        <v>-0.1054532217488353</v>
      </c>
      <c r="AD7" s="1">
        <f>[1]Results!AG1368</f>
        <v>-0.103876276346375</v>
      </c>
      <c r="AE7" s="1">
        <f>[1]Results!AH1368</f>
        <v>-0.10418413183747265</v>
      </c>
      <c r="AF7" s="1">
        <f>[1]Results!AI1368</f>
        <v>-0.10572594254464633</v>
      </c>
      <c r="AG7" s="1">
        <f>[1]Results!AJ1368</f>
        <v>-0.10799632299164927</v>
      </c>
      <c r="AH7" s="1">
        <f>[1]Results!AK1368</f>
        <v>-0.10901546319628556</v>
      </c>
      <c r="AI7" s="1">
        <f>[1]Results!AL1368</f>
        <v>-0.11096329388764736</v>
      </c>
      <c r="AJ7" s="1">
        <f>[1]Results!AM1368</f>
        <v>-0.11416846680565935</v>
      </c>
      <c r="AK7" s="1">
        <f>[1]Results!AN1368</f>
        <v>-0.11823365046472331</v>
      </c>
      <c r="AL7" s="1">
        <f>[1]Results!AO1368</f>
        <v>-0.12278346283182129</v>
      </c>
    </row>
    <row r="8" spans="1:38" x14ac:dyDescent="0.35">
      <c r="A8" s="3" t="str">
        <f>[1]Results!E1369</f>
        <v>100*((G_2-G_0)/GDP_0)</v>
      </c>
      <c r="B8" t="str">
        <f>[1]Results!C1369</f>
        <v>Dépenses publiques</v>
      </c>
      <c r="C8" s="1">
        <f>[1]Results!F1369</f>
        <v>0</v>
      </c>
      <c r="D8" s="1">
        <f>[1]Results!G1369</f>
        <v>0</v>
      </c>
      <c r="E8" s="1">
        <f>[1]Results!H1369</f>
        <v>0</v>
      </c>
      <c r="F8" s="1">
        <f>[1]Results!I1369</f>
        <v>0</v>
      </c>
      <c r="G8" s="1">
        <f>[1]Results!J1369</f>
        <v>0</v>
      </c>
      <c r="H8" s="1">
        <f>[1]Results!K1369</f>
        <v>0</v>
      </c>
      <c r="I8" s="1">
        <f>[1]Results!L1369</f>
        <v>0</v>
      </c>
      <c r="J8" s="1">
        <f>[1]Results!M1369</f>
        <v>0</v>
      </c>
      <c r="K8" s="1">
        <f>[1]Results!N1369</f>
        <v>0</v>
      </c>
      <c r="L8" s="1">
        <f>[1]Results!O1369</f>
        <v>0</v>
      </c>
      <c r="M8" s="1">
        <f>[1]Results!P1369</f>
        <v>0</v>
      </c>
      <c r="N8" s="1">
        <f>[1]Results!Q1369</f>
        <v>0</v>
      </c>
      <c r="O8" s="1">
        <f>[1]Results!R1369</f>
        <v>0</v>
      </c>
      <c r="P8" s="1">
        <f>[1]Results!S1369</f>
        <v>0</v>
      </c>
      <c r="Q8" s="1">
        <f>[1]Results!T1369</f>
        <v>0</v>
      </c>
      <c r="R8" s="1">
        <f>[1]Results!U1369</f>
        <v>0</v>
      </c>
      <c r="S8" s="1">
        <f>[1]Results!V1369</f>
        <v>0</v>
      </c>
      <c r="T8" s="1">
        <f>[1]Results!W1369</f>
        <v>0</v>
      </c>
      <c r="U8" s="1">
        <f>[1]Results!X1369</f>
        <v>0</v>
      </c>
      <c r="V8" s="1">
        <f>[1]Results!Y1369</f>
        <v>0</v>
      </c>
      <c r="W8" s="1">
        <f>[1]Results!Z1369</f>
        <v>0</v>
      </c>
      <c r="X8" s="1">
        <f>[1]Results!AA1369</f>
        <v>0</v>
      </c>
      <c r="Y8" s="1">
        <f>[1]Results!AB1369</f>
        <v>0</v>
      </c>
      <c r="Z8" s="1">
        <f>[1]Results!AC1369</f>
        <v>0</v>
      </c>
      <c r="AA8" s="1">
        <f>[1]Results!AD1369</f>
        <v>0</v>
      </c>
      <c r="AB8" s="1">
        <f>[1]Results!AE1369</f>
        <v>0</v>
      </c>
      <c r="AC8" s="1">
        <f>[1]Results!AF1369</f>
        <v>0</v>
      </c>
      <c r="AD8" s="1">
        <f>[1]Results!AG1369</f>
        <v>0</v>
      </c>
      <c r="AE8" s="1">
        <f>[1]Results!AH1369</f>
        <v>0</v>
      </c>
      <c r="AF8" s="1">
        <f>[1]Results!AI1369</f>
        <v>0</v>
      </c>
      <c r="AG8" s="1">
        <f>[1]Results!AJ1369</f>
        <v>0</v>
      </c>
      <c r="AH8" s="1">
        <f>[1]Results!AK1369</f>
        <v>0</v>
      </c>
      <c r="AI8" s="1">
        <f>[1]Results!AL1369</f>
        <v>0</v>
      </c>
      <c r="AJ8" s="1">
        <f>[1]Results!AM1369</f>
        <v>0</v>
      </c>
      <c r="AK8" s="1">
        <f>[1]Results!AN1369</f>
        <v>0</v>
      </c>
      <c r="AL8" s="1">
        <f>[1]Results!AO1369</f>
        <v>0</v>
      </c>
    </row>
    <row r="9" spans="1:38" x14ac:dyDescent="0.35">
      <c r="A9" s="3" t="str">
        <f>[1]Results!E1370</f>
        <v>100*((I_2-I_0)/GDP_0)</v>
      </c>
      <c r="B9" t="s">
        <v>23</v>
      </c>
      <c r="C9" s="1">
        <f>[1]Results!F1370</f>
        <v>0</v>
      </c>
      <c r="D9" s="1">
        <f>[1]Results!G1370</f>
        <v>0</v>
      </c>
      <c r="E9" s="1">
        <f>[1]Results!H1370</f>
        <v>-4.4006283810876724E-9</v>
      </c>
      <c r="F9" s="1">
        <f>[1]Results!I1370</f>
        <v>-4.3173686019957171E-9</v>
      </c>
      <c r="G9" s="1">
        <f>[1]Results!J1370</f>
        <v>-8.4586214913942213E-9</v>
      </c>
      <c r="H9" s="1">
        <f>[1]Results!K1370</f>
        <v>-4.1381851175280505E-9</v>
      </c>
      <c r="I9" s="1">
        <f>[1]Results!L1370</f>
        <v>-8.0928626019952268E-9</v>
      </c>
      <c r="J9" s="1">
        <f>[1]Results!M1370</f>
        <v>-7.2406815892912674E-2</v>
      </c>
      <c r="K9" s="1">
        <f>[1]Results!N1370</f>
        <v>-0.1982686675528369</v>
      </c>
      <c r="L9" s="1">
        <f>[1]Results!O1370</f>
        <v>-0.31373511355394246</v>
      </c>
      <c r="M9" s="1">
        <f>[1]Results!P1370</f>
        <v>-0.44973443032498717</v>
      </c>
      <c r="N9" s="1">
        <f>[1]Results!Q1370</f>
        <v>-0.5694442071038347</v>
      </c>
      <c r="O9" s="1">
        <f>[1]Results!R1370</f>
        <v>-0.66516991748865983</v>
      </c>
      <c r="P9" s="1">
        <f>[1]Results!S1370</f>
        <v>-0.73705080656363497</v>
      </c>
      <c r="Q9" s="1">
        <f>[1]Results!T1370</f>
        <v>-0.78690713061629147</v>
      </c>
      <c r="R9" s="1">
        <f>[1]Results!U1370</f>
        <v>-0.81970710020144633</v>
      </c>
      <c r="S9" s="1">
        <f>[1]Results!V1370</f>
        <v>-0.8511446800450585</v>
      </c>
      <c r="T9" s="1">
        <f>[1]Results!W1370</f>
        <v>-0.88671412082023393</v>
      </c>
      <c r="U9" s="1">
        <f>[1]Results!X1370</f>
        <v>-0.92696997067974163</v>
      </c>
      <c r="V9" s="1">
        <f>[1]Results!Y1370</f>
        <v>-0.96878088387251271</v>
      </c>
      <c r="W9" s="1">
        <f>[1]Results!Z1370</f>
        <v>-1.0102375092397202</v>
      </c>
      <c r="X9" s="1">
        <f>[1]Results!AA1370</f>
        <v>-1.0439375182589401</v>
      </c>
      <c r="Y9" s="1">
        <f>[1]Results!AB1370</f>
        <v>-1.0682614325716748</v>
      </c>
      <c r="Z9" s="1">
        <f>[1]Results!AC1370</f>
        <v>-1.0831335068664314</v>
      </c>
      <c r="AA9" s="1">
        <f>[1]Results!AD1370</f>
        <v>-1.0890672277184299</v>
      </c>
      <c r="AB9" s="1">
        <f>[1]Results!AE1370</f>
        <v>-1.0871516107020505</v>
      </c>
      <c r="AC9" s="1">
        <f>[1]Results!AF1370</f>
        <v>-1.0729005284356692</v>
      </c>
      <c r="AD9" s="1">
        <f>[1]Results!AG1370</f>
        <v>-1.0488787892915241</v>
      </c>
      <c r="AE9" s="1">
        <f>[1]Results!AH1370</f>
        <v>-1.0175444523403445</v>
      </c>
      <c r="AF9" s="1">
        <f>[1]Results!AI1370</f>
        <v>-0.98111106355860156</v>
      </c>
      <c r="AG9" s="1">
        <f>[1]Results!AJ1370</f>
        <v>-0.94136714265384025</v>
      </c>
      <c r="AH9" s="1">
        <f>[1]Results!AK1370</f>
        <v>-0.89828798177515512</v>
      </c>
      <c r="AI9" s="1">
        <f>[1]Results!AL1370</f>
        <v>-0.85327769358571803</v>
      </c>
      <c r="AJ9" s="1">
        <f>[1]Results!AM1370</f>
        <v>-0.8075063221651122</v>
      </c>
      <c r="AK9" s="1">
        <f>[1]Results!AN1370</f>
        <v>-0.76181948784062992</v>
      </c>
      <c r="AL9" s="1">
        <f>[1]Results!AO1370</f>
        <v>-0.71677745979889129</v>
      </c>
    </row>
    <row r="10" spans="1:38" x14ac:dyDescent="0.35">
      <c r="A10" s="3" t="str">
        <f>[1]Results!E1371</f>
        <v>100*((DS_2-DS_0)/GDP_0)</v>
      </c>
      <c r="B10" t="str">
        <f>[1]Results!C1371</f>
        <v>Variations de stocks</v>
      </c>
      <c r="C10" s="1">
        <f>[1]Results!F1371</f>
        <v>0</v>
      </c>
      <c r="D10" s="1">
        <f>[1]Results!G1371</f>
        <v>0</v>
      </c>
      <c r="E10" s="1">
        <f>[1]Results!H1371</f>
        <v>0</v>
      </c>
      <c r="F10" s="1">
        <f>[1]Results!I1371</f>
        <v>0</v>
      </c>
      <c r="G10" s="1">
        <f>[1]Results!J1371</f>
        <v>0</v>
      </c>
      <c r="H10" s="1">
        <f>[1]Results!K1371</f>
        <v>0</v>
      </c>
      <c r="I10" s="1">
        <f>[1]Results!L1371</f>
        <v>0</v>
      </c>
      <c r="J10" s="1">
        <f>[1]Results!M1371</f>
        <v>0</v>
      </c>
      <c r="K10" s="1">
        <f>[1]Results!N1371</f>
        <v>0</v>
      </c>
      <c r="L10" s="1">
        <f>[1]Results!O1371</f>
        <v>0</v>
      </c>
      <c r="M10" s="1">
        <f>[1]Results!P1371</f>
        <v>0</v>
      </c>
      <c r="N10" s="1">
        <f>[1]Results!Q1371</f>
        <v>0</v>
      </c>
      <c r="O10" s="1">
        <f>[1]Results!R1371</f>
        <v>0</v>
      </c>
      <c r="P10" s="1">
        <f>[1]Results!S1371</f>
        <v>0</v>
      </c>
      <c r="Q10" s="1">
        <f>[1]Results!T1371</f>
        <v>0</v>
      </c>
      <c r="R10" s="1">
        <f>[1]Results!U1371</f>
        <v>0</v>
      </c>
      <c r="S10" s="1">
        <f>[1]Results!V1371</f>
        <v>0</v>
      </c>
      <c r="T10" s="1">
        <f>[1]Results!W1371</f>
        <v>0</v>
      </c>
      <c r="U10" s="1">
        <f>[1]Results!X1371</f>
        <v>0</v>
      </c>
      <c r="V10" s="1">
        <f>[1]Results!Y1371</f>
        <v>0</v>
      </c>
      <c r="W10" s="1">
        <f>[1]Results!Z1371</f>
        <v>0</v>
      </c>
      <c r="X10" s="1">
        <f>[1]Results!AA1371</f>
        <v>0</v>
      </c>
      <c r="Y10" s="1">
        <f>[1]Results!AB1371</f>
        <v>0</v>
      </c>
      <c r="Z10" s="1">
        <f>[1]Results!AC1371</f>
        <v>0</v>
      </c>
      <c r="AA10" s="1">
        <f>[1]Results!AD1371</f>
        <v>0</v>
      </c>
      <c r="AB10" s="1">
        <f>[1]Results!AE1371</f>
        <v>0</v>
      </c>
      <c r="AC10" s="1">
        <f>[1]Results!AF1371</f>
        <v>0</v>
      </c>
      <c r="AD10" s="1">
        <f>[1]Results!AG1371</f>
        <v>0</v>
      </c>
      <c r="AE10" s="1">
        <f>[1]Results!AH1371</f>
        <v>0</v>
      </c>
      <c r="AF10" s="1">
        <f>[1]Results!AI1371</f>
        <v>0</v>
      </c>
      <c r="AG10" s="1">
        <f>[1]Results!AJ1371</f>
        <v>0</v>
      </c>
      <c r="AH10" s="1">
        <f>[1]Results!AK1371</f>
        <v>0</v>
      </c>
      <c r="AI10" s="1">
        <f>[1]Results!AL1371</f>
        <v>0</v>
      </c>
      <c r="AJ10" s="1">
        <f>[1]Results!AM1371</f>
        <v>0</v>
      </c>
      <c r="AK10" s="1">
        <f>[1]Results!AN1371</f>
        <v>0</v>
      </c>
      <c r="AL10" s="1">
        <f>[1]Results!AO1371</f>
        <v>0</v>
      </c>
    </row>
    <row r="11" spans="1:38" x14ac:dyDescent="0.35">
      <c r="A11" s="3" t="str">
        <f>[1]Results!E1372</f>
        <v>100*((X_2-X_0)/GDP_0)-100*((M_2-M_0)/GDP_0)</v>
      </c>
      <c r="B11" t="s">
        <v>22</v>
      </c>
      <c r="C11" s="1">
        <f>[1]Results!F1372</f>
        <v>0</v>
      </c>
      <c r="D11" s="1">
        <f>[1]Results!G1372</f>
        <v>5.2164289989358152E-15</v>
      </c>
      <c r="E11" s="1">
        <f>[1]Results!H1372</f>
        <v>-5.1230054495603848E-15</v>
      </c>
      <c r="F11" s="1">
        <f>[1]Results!I1372</f>
        <v>-4.3173711150348744E-9</v>
      </c>
      <c r="G11" s="1">
        <f>[1]Results!J1372</f>
        <v>-4.2293132074798534E-9</v>
      </c>
      <c r="H11" s="1">
        <f>[1]Results!K1372</f>
        <v>-4.1381875262686976E-9</v>
      </c>
      <c r="I11" s="1">
        <f>[1]Results!L1372</f>
        <v>-8.0928626019952268E-9</v>
      </c>
      <c r="J11" s="1">
        <f>[1]Results!M1372</f>
        <v>-0.11458781124206674</v>
      </c>
      <c r="K11" s="1">
        <f>[1]Results!N1372</f>
        <v>-0.12425500553060148</v>
      </c>
      <c r="L11" s="1">
        <f>[1]Results!O1372</f>
        <v>0.15585991901827273</v>
      </c>
      <c r="M11" s="1">
        <f>[1]Results!P1372</f>
        <v>0.37031775959763336</v>
      </c>
      <c r="N11" s="1">
        <f>[1]Results!Q1372</f>
        <v>0.40859048423054811</v>
      </c>
      <c r="O11" s="1">
        <f>[1]Results!R1372</f>
        <v>0.31089331578111545</v>
      </c>
      <c r="P11" s="1">
        <f>[1]Results!S1372</f>
        <v>0.14767865809593828</v>
      </c>
      <c r="Q11" s="1">
        <f>[1]Results!T1372</f>
        <v>-2.9079751441013824E-2</v>
      </c>
      <c r="R11" s="1">
        <f>[1]Results!U1372</f>
        <v>-0.20535189373289675</v>
      </c>
      <c r="S11" s="1">
        <f>[1]Results!V1372</f>
        <v>-0.38354787817402181</v>
      </c>
      <c r="T11" s="1">
        <f>[1]Results!W1372</f>
        <v>-0.54431081941140136</v>
      </c>
      <c r="U11" s="1">
        <f>[1]Results!X1372</f>
        <v>-0.69018264861293277</v>
      </c>
      <c r="V11" s="1">
        <f>[1]Results!Y1372</f>
        <v>-0.82423221391797197</v>
      </c>
      <c r="W11" s="1">
        <f>[1]Results!Z1372</f>
        <v>-0.94993914315524852</v>
      </c>
      <c r="X11" s="1">
        <f>[1]Results!AA1372</f>
        <v>-1.0712039595903742</v>
      </c>
      <c r="Y11" s="1">
        <f>[1]Results!AB1372</f>
        <v>-1.1801221874258441</v>
      </c>
      <c r="Z11" s="1">
        <f>[1]Results!AC1372</f>
        <v>-1.2747428516790975</v>
      </c>
      <c r="AA11" s="1">
        <f>[1]Results!AD1372</f>
        <v>-1.3549934151201444</v>
      </c>
      <c r="AB11" s="1">
        <f>[1]Results!AE1372</f>
        <v>-1.421277890472717</v>
      </c>
      <c r="AC11" s="1">
        <f>[1]Results!AF1372</f>
        <v>-1.4697730912790243</v>
      </c>
      <c r="AD11" s="1">
        <f>[1]Results!AG1372</f>
        <v>-1.4933973857961371</v>
      </c>
      <c r="AE11" s="1">
        <f>[1]Results!AH1372</f>
        <v>-1.4946105030179999</v>
      </c>
      <c r="AF11" s="1">
        <f>[1]Results!AI1372</f>
        <v>-1.4776215885206063</v>
      </c>
      <c r="AG11" s="1">
        <f>[1]Results!AJ1372</f>
        <v>-1.4465166184515783</v>
      </c>
      <c r="AH11" s="1">
        <f>[1]Results!AK1372</f>
        <v>-1.4037858654234574</v>
      </c>
      <c r="AI11" s="1">
        <f>[1]Results!AL1372</f>
        <v>-1.3481707978058068</v>
      </c>
      <c r="AJ11" s="1">
        <f>[1]Results!AM1372</f>
        <v>-1.2837087752870373</v>
      </c>
      <c r="AK11" s="1">
        <f>[1]Results!AN1372</f>
        <v>-1.215614936509773</v>
      </c>
      <c r="AL11" s="1">
        <f>[1]Results!AO1372</f>
        <v>-1.1486737545738144</v>
      </c>
    </row>
    <row r="12" spans="1:38" x14ac:dyDescent="0.35">
      <c r="A12" s="3" t="str">
        <f>[1]Results!E1373</f>
        <v>100*((CH_2-CH_ccon_2-(CH_0-CH_ccon_0))/GDP_0)</v>
      </c>
      <c r="B12" t="str">
        <f>[1]Results!C1373</f>
        <v>Consommation des ménages</v>
      </c>
      <c r="C12" s="1">
        <f>[1]Results!F1373</f>
        <v>-4.5107544455611852E-8</v>
      </c>
      <c r="D12" s="1">
        <f>[1]Results!G1373</f>
        <v>4.4809125105831182E-10</v>
      </c>
      <c r="E12" s="1">
        <f>[1]Results!H1373</f>
        <v>4.4006616806230906E-10</v>
      </c>
      <c r="F12" s="1">
        <f>[1]Results!I1373</f>
        <v>4.3174012715047566E-10</v>
      </c>
      <c r="G12" s="1">
        <f>[1]Results!J1373</f>
        <v>4.2292442775631065E-10</v>
      </c>
      <c r="H12" s="1">
        <f>[1]Results!K1373</f>
        <v>-4.0968034349646159E-8</v>
      </c>
      <c r="I12" s="1">
        <f>[1]Results!L1373</f>
        <v>4.0464619203252998E-10</v>
      </c>
      <c r="J12" s="1">
        <f>[1]Results!M1373</f>
        <v>-0.20578587436945864</v>
      </c>
      <c r="K12" s="1">
        <f>[1]Results!N1373</f>
        <v>-0.57224458705243231</v>
      </c>
      <c r="L12" s="1">
        <f>[1]Results!O1373</f>
        <v>-0.99849441679786977</v>
      </c>
      <c r="M12" s="1">
        <f>[1]Results!P1373</f>
        <v>-1.4661951574851582</v>
      </c>
      <c r="N12" s="1">
        <f>[1]Results!Q1373</f>
        <v>-1.6650732389278833</v>
      </c>
      <c r="O12" s="1">
        <f>[1]Results!R1373</f>
        <v>-1.6621155192499026</v>
      </c>
      <c r="P12" s="1">
        <f>[1]Results!S1373</f>
        <v>-1.5457441282288706</v>
      </c>
      <c r="Q12" s="1">
        <f>[1]Results!T1373</f>
        <v>-1.3795726806960962</v>
      </c>
      <c r="R12" s="1">
        <f>[1]Results!U1373</f>
        <v>-1.2013888706508755</v>
      </c>
      <c r="S12" s="1">
        <f>[1]Results!V1373</f>
        <v>-1.0591070665032443</v>
      </c>
      <c r="T12" s="1">
        <f>[1]Results!W1373</f>
        <v>-0.96450139551153402</v>
      </c>
      <c r="U12" s="1">
        <f>[1]Results!X1373</f>
        <v>-0.90858578397647505</v>
      </c>
      <c r="V12" s="1">
        <f>[1]Results!Y1373</f>
        <v>-0.87484029973664501</v>
      </c>
      <c r="W12" s="1">
        <f>[1]Results!Z1373</f>
        <v>-0.86087953829015584</v>
      </c>
      <c r="X12" s="1">
        <f>[1]Results!AA1373</f>
        <v>-0.84204486145859903</v>
      </c>
      <c r="Y12" s="1">
        <f>[1]Results!AB1373</f>
        <v>-0.82928045426588803</v>
      </c>
      <c r="Z12" s="1">
        <f>[1]Results!AC1373</f>
        <v>-0.82806016744695765</v>
      </c>
      <c r="AA12" s="1">
        <f>[1]Results!AD1373</f>
        <v>-0.84024756192529593</v>
      </c>
      <c r="AB12" s="1">
        <f>[1]Results!AE1373</f>
        <v>-0.86716716789863246</v>
      </c>
      <c r="AC12" s="1">
        <f>[1]Results!AF1373</f>
        <v>-0.89674351804349772</v>
      </c>
      <c r="AD12" s="1">
        <f>[1]Results!AG1373</f>
        <v>-0.93991847285440411</v>
      </c>
      <c r="AE12" s="1">
        <f>[1]Results!AH1373</f>
        <v>-0.99619521106807851</v>
      </c>
      <c r="AF12" s="1">
        <f>[1]Results!AI1373</f>
        <v>-1.0618791193788664</v>
      </c>
      <c r="AG12" s="1">
        <f>[1]Results!AJ1373</f>
        <v>-1.1331887340036575</v>
      </c>
      <c r="AH12" s="1">
        <f>[1]Results!AK1373</f>
        <v>-1.2017920438041307</v>
      </c>
      <c r="AI12" s="1">
        <f>[1]Results!AL1373</f>
        <v>-1.2702163733998086</v>
      </c>
      <c r="AJ12" s="1">
        <f>[1]Results!AM1373</f>
        <v>-1.3363744247904783</v>
      </c>
      <c r="AK12" s="1">
        <f>[1]Results!AN1373</f>
        <v>-1.3964887327528877</v>
      </c>
      <c r="AL12" s="1">
        <f>[1]Results!AO1373</f>
        <v>-1.4470750233274492</v>
      </c>
    </row>
    <row r="13" spans="1:38" x14ac:dyDescent="0.35">
      <c r="A13" s="3" t="str">
        <f>[1]Results!E1374</f>
        <v>100*((I_2+CH_ccon_2-(I_0+CH_ccon_0))/GDP_0)</v>
      </c>
      <c r="B13" t="s">
        <v>23</v>
      </c>
      <c r="C13" s="1">
        <f>[1]Results!F1374</f>
        <v>-4.5563253906319661E-10</v>
      </c>
      <c r="D13" s="1">
        <f>[1]Results!G1374</f>
        <v>-4.4808864284381204E-10</v>
      </c>
      <c r="E13" s="1">
        <f>[1]Results!H1374</f>
        <v>-4.8406894261445326E-9</v>
      </c>
      <c r="F13" s="1">
        <f>[1]Results!I1374</f>
        <v>-4.7491062161070354E-9</v>
      </c>
      <c r="G13" s="1">
        <f>[1]Results!J1374</f>
        <v>-8.8815557662814965E-9</v>
      </c>
      <c r="H13" s="1">
        <f>[1]Results!K1374</f>
        <v>-4.5520043519030503E-9</v>
      </c>
      <c r="I13" s="1">
        <f>[1]Results!L1374</f>
        <v>-8.4975040833619603E-9</v>
      </c>
      <c r="J13" s="1">
        <f>[1]Results!M1374</f>
        <v>-7.6120752909062492E-2</v>
      </c>
      <c r="K13" s="1">
        <f>[1]Results!N1374</f>
        <v>-0.20905984016615442</v>
      </c>
      <c r="L13" s="1">
        <f>[1]Results!O1374</f>
        <v>-0.33338609271716335</v>
      </c>
      <c r="M13" s="1">
        <f>[1]Results!P1374</f>
        <v>-0.47958189345757096</v>
      </c>
      <c r="N13" s="1">
        <f>[1]Results!Q1374</f>
        <v>-0.60509557089158761</v>
      </c>
      <c r="O13" s="1">
        <f>[1]Results!R1374</f>
        <v>-0.70207417640710224</v>
      </c>
      <c r="P13" s="1">
        <f>[1]Results!S1374</f>
        <v>-0.77206643781980033</v>
      </c>
      <c r="Q13" s="1">
        <f>[1]Results!T1374</f>
        <v>-0.81842282826593182</v>
      </c>
      <c r="R13" s="1">
        <f>[1]Results!U1374</f>
        <v>-0.8472389813818908</v>
      </c>
      <c r="S13" s="1">
        <f>[1]Results!V1374</f>
        <v>-0.8753335781418693</v>
      </c>
      <c r="T13" s="1">
        <f>[1]Results!W1374</f>
        <v>-0.90865523821159289</v>
      </c>
      <c r="U13" s="1">
        <f>[1]Results!X1374</f>
        <v>-0.94764044966141947</v>
      </c>
      <c r="V13" s="1">
        <f>[1]Results!Y1374</f>
        <v>-0.98876777494562307</v>
      </c>
      <c r="W13" s="1">
        <f>[1]Results!Z1374</f>
        <v>-1.0298754659155684</v>
      </c>
      <c r="X13" s="1">
        <f>[1]Results!AA1374</f>
        <v>-1.0630214795913417</v>
      </c>
      <c r="Y13" s="1">
        <f>[1]Results!AB1374</f>
        <v>-1.0866583136290087</v>
      </c>
      <c r="Z13" s="1">
        <f>[1]Results!AC1374</f>
        <v>-1.1008635712382873</v>
      </c>
      <c r="AA13" s="1">
        <f>[1]Results!AD1374</f>
        <v>-1.1062745654590989</v>
      </c>
      <c r="AB13" s="1">
        <f>[1]Results!AE1374</f>
        <v>-1.1040677361351483</v>
      </c>
      <c r="AC13" s="1">
        <f>[1]Results!AF1374</f>
        <v>-1.0896051611042199</v>
      </c>
      <c r="AD13" s="1">
        <f>[1]Results!AG1374</f>
        <v>-1.0656905385434936</v>
      </c>
      <c r="AE13" s="1">
        <f>[1]Results!AH1374</f>
        <v>-1.0348699037197433</v>
      </c>
      <c r="AF13" s="1">
        <f>[1]Results!AI1374</f>
        <v>-0.99933444710399577</v>
      </c>
      <c r="AG13" s="1">
        <f>[1]Results!AJ1374</f>
        <v>-0.96079801081386629</v>
      </c>
      <c r="AH13" s="1">
        <f>[1]Results!AK1374</f>
        <v>-0.91904657967908554</v>
      </c>
      <c r="AI13" s="1">
        <f>[1]Results!AL1374</f>
        <v>-0.87548745037253661</v>
      </c>
      <c r="AJ13" s="1">
        <f>[1]Results!AM1374</f>
        <v>-0.83124973694172832</v>
      </c>
      <c r="AK13" s="1">
        <f>[1]Results!AN1374</f>
        <v>-0.78710046397002764</v>
      </c>
      <c r="AL13" s="1">
        <f>[1]Results!AO1374</f>
        <v>-0.74351358436868664</v>
      </c>
    </row>
    <row r="14" spans="1:38" x14ac:dyDescent="0.35">
      <c r="A14" s="3" t="str">
        <f>[1]Results!E1375</f>
        <v>100*((I_2-IA_spub_2-(I_0-IA_spub_0))/GDP_0)</v>
      </c>
      <c r="B14" t="str">
        <f>[1]Results!C1375</f>
        <v>Investissement entreprises</v>
      </c>
      <c r="C14" s="1">
        <f>[1]Results!F1375</f>
        <v>0</v>
      </c>
      <c r="D14" s="1">
        <f>[1]Results!G1375</f>
        <v>0</v>
      </c>
      <c r="E14" s="1">
        <f>[1]Results!H1375</f>
        <v>-4.4006283810876724E-9</v>
      </c>
      <c r="F14" s="1">
        <f>[1]Results!I1375</f>
        <v>-4.3173686019957171E-9</v>
      </c>
      <c r="G14" s="1">
        <f>[1]Results!J1375</f>
        <v>-8.0356896782896889E-9</v>
      </c>
      <c r="H14" s="1">
        <f>[1]Results!K1375</f>
        <v>-4.1381851175280505E-9</v>
      </c>
      <c r="I14" s="1">
        <f>[1]Results!L1375</f>
        <v>-8.0928626019952268E-9</v>
      </c>
      <c r="J14" s="1">
        <f>[1]Results!M1375</f>
        <v>-6.9291996095811562E-2</v>
      </c>
      <c r="K14" s="1">
        <f>[1]Results!N1375</f>
        <v>-0.18972078116868815</v>
      </c>
      <c r="L14" s="1">
        <f>[1]Results!O1375</f>
        <v>-0.29854099646648435</v>
      </c>
      <c r="M14" s="1">
        <f>[1]Results!P1375</f>
        <v>-0.42640765241550416</v>
      </c>
      <c r="N14" s="1">
        <f>[1]Results!Q1375</f>
        <v>-0.54048335066883157</v>
      </c>
      <c r="O14" s="1">
        <f>[1]Results!R1375</f>
        <v>-0.63305639587401341</v>
      </c>
      <c r="P14" s="1">
        <f>[1]Results!S1375</f>
        <v>-0.7036964347149699</v>
      </c>
      <c r="Q14" s="1">
        <f>[1]Results!T1375</f>
        <v>-0.75364101713119724</v>
      </c>
      <c r="R14" s="1">
        <f>[1]Results!U1375</f>
        <v>-0.78739528136374581</v>
      </c>
      <c r="S14" s="1">
        <f>[1]Results!V1375</f>
        <v>-0.81989843243610183</v>
      </c>
      <c r="T14" s="1">
        <f>[1]Results!W1375</f>
        <v>-0.85636853481078568</v>
      </c>
      <c r="U14" s="1">
        <f>[1]Results!X1375</f>
        <v>-0.89742063686282914</v>
      </c>
      <c r="V14" s="1">
        <f>[1]Results!Y1375</f>
        <v>-0.94016545985359556</v>
      </c>
      <c r="W14" s="1">
        <f>[1]Results!Z1375</f>
        <v>-0.98276837922238525</v>
      </c>
      <c r="X14" s="1">
        <f>[1]Results!AA1375</f>
        <v>-1.0182231657686824</v>
      </c>
      <c r="Y14" s="1">
        <f>[1]Results!AB1375</f>
        <v>-1.0447984705134041</v>
      </c>
      <c r="Z14" s="1">
        <f>[1]Results!AC1375</f>
        <v>-1.0623114018191424</v>
      </c>
      <c r="AA14" s="1">
        <f>[1]Results!AD1375</f>
        <v>-1.0711793058988066</v>
      </c>
      <c r="AB14" s="1">
        <f>[1]Results!AE1375</f>
        <v>-1.0723950938758295</v>
      </c>
      <c r="AC14" s="1">
        <f>[1]Results!AF1375</f>
        <v>-1.0615120236919595</v>
      </c>
      <c r="AD14" s="1">
        <f>[1]Results!AG1375</f>
        <v>-1.0407674416079338</v>
      </c>
      <c r="AE14" s="1">
        <f>[1]Results!AH1375</f>
        <v>-1.0124661630740444</v>
      </c>
      <c r="AF14" s="1">
        <f>[1]Results!AI1375</f>
        <v>-0.97875229742552372</v>
      </c>
      <c r="AG14" s="1">
        <f>[1]Results!AJ1375</f>
        <v>-0.94139155863499102</v>
      </c>
      <c r="AH14" s="1">
        <f>[1]Results!AK1375</f>
        <v>-0.90041591191157666</v>
      </c>
      <c r="AI14" s="1">
        <f>[1]Results!AL1375</f>
        <v>-0.85715012073548991</v>
      </c>
      <c r="AJ14" s="1">
        <f>[1]Results!AM1375</f>
        <v>-0.81275865656976876</v>
      </c>
      <c r="AK14" s="1">
        <f>[1]Results!AN1375</f>
        <v>-0.76812141080006335</v>
      </c>
      <c r="AL14" s="1">
        <f>[1]Results!AO1375</f>
        <v>-0.72384973667064445</v>
      </c>
    </row>
    <row r="15" spans="1:38" x14ac:dyDescent="0.35">
      <c r="A15" s="3" t="str">
        <f>[1]Results!E1376</f>
        <v>100*((CH_ccon_2-CH_ccon_0)/GDP_0)</v>
      </c>
      <c r="B15" t="str">
        <f>[1]Results!C1376</f>
        <v>Investissement ménages</v>
      </c>
      <c r="C15" s="1">
        <f>[1]Results!F1376</f>
        <v>-4.556317102739228E-10</v>
      </c>
      <c r="D15" s="1">
        <f>[1]Results!G1376</f>
        <v>-4.4808782777678088E-10</v>
      </c>
      <c r="E15" s="1">
        <f>[1]Results!H1376</f>
        <v>-4.400628060899832E-10</v>
      </c>
      <c r="F15" s="1">
        <f>[1]Results!I1376</f>
        <v>-4.3173682878658223E-10</v>
      </c>
      <c r="G15" s="1">
        <f>[1]Results!J1376</f>
        <v>-4.2293119765884816E-10</v>
      </c>
      <c r="H15" s="1">
        <f>[1]Results!K1376</f>
        <v>-4.13818481643547E-10</v>
      </c>
      <c r="I15" s="1">
        <f>[1]Results!L1376</f>
        <v>-4.0464310065810016E-10</v>
      </c>
      <c r="J15" s="1">
        <f>[1]Results!M1376</f>
        <v>-3.7139370161457892E-3</v>
      </c>
      <c r="K15" s="1">
        <f>[1]Results!N1376</f>
        <v>-1.0791172613318085E-2</v>
      </c>
      <c r="L15" s="1">
        <f>[1]Results!O1376</f>
        <v>-1.9650979163220464E-2</v>
      </c>
      <c r="M15" s="1">
        <f>[1]Results!P1376</f>
        <v>-2.9847463132581787E-2</v>
      </c>
      <c r="N15" s="1">
        <f>[1]Results!Q1376</f>
        <v>-3.5651363787752868E-2</v>
      </c>
      <c r="O15" s="1">
        <f>[1]Results!R1376</f>
        <v>-3.6904258918443233E-2</v>
      </c>
      <c r="P15" s="1">
        <f>[1]Results!S1376</f>
        <v>-3.5015631256164102E-2</v>
      </c>
      <c r="Q15" s="1">
        <f>[1]Results!T1376</f>
        <v>-3.1515697649640219E-2</v>
      </c>
      <c r="R15" s="1">
        <f>[1]Results!U1376</f>
        <v>-2.753188118044381E-2</v>
      </c>
      <c r="S15" s="1">
        <f>[1]Results!V1376</f>
        <v>-2.4188898096811545E-2</v>
      </c>
      <c r="T15" s="1">
        <f>[1]Results!W1376</f>
        <v>-2.1941117391359479E-2</v>
      </c>
      <c r="U15" s="1">
        <f>[1]Results!X1376</f>
        <v>-2.0670478981677877E-2</v>
      </c>
      <c r="V15" s="1">
        <f>[1]Results!Y1376</f>
        <v>-1.9986891073111E-2</v>
      </c>
      <c r="W15" s="1">
        <f>[1]Results!Z1376</f>
        <v>-1.9637956675846672E-2</v>
      </c>
      <c r="X15" s="1">
        <f>[1]Results!AA1376</f>
        <v>-1.9083961332403893E-2</v>
      </c>
      <c r="Y15" s="1">
        <f>[1]Results!AB1376</f>
        <v>-1.8396881057333732E-2</v>
      </c>
      <c r="Z15" s="1">
        <f>[1]Results!AC1376</f>
        <v>-1.7730064371857528E-2</v>
      </c>
      <c r="AA15" s="1">
        <f>[1]Results!AD1376</f>
        <v>-1.7207337740668918E-2</v>
      </c>
      <c r="AB15" s="1">
        <f>[1]Results!AE1376</f>
        <v>-1.6916125433097166E-2</v>
      </c>
      <c r="AC15" s="1">
        <f>[1]Results!AF1376</f>
        <v>-1.6704632668548686E-2</v>
      </c>
      <c r="AD15" s="1">
        <f>[1]Results!AG1376</f>
        <v>-1.6811749251967226E-2</v>
      </c>
      <c r="AE15" s="1">
        <f>[1]Results!AH1376</f>
        <v>-1.7325451379399569E-2</v>
      </c>
      <c r="AF15" s="1">
        <f>[1]Results!AI1376</f>
        <v>-1.8223383545392921E-2</v>
      </c>
      <c r="AG15" s="1">
        <f>[1]Results!AJ1376</f>
        <v>-1.9430868160025767E-2</v>
      </c>
      <c r="AH15" s="1">
        <f>[1]Results!AK1376</f>
        <v>-2.0758597903931662E-2</v>
      </c>
      <c r="AI15" s="1">
        <f>[1]Results!AL1376</f>
        <v>-2.2209756786818032E-2</v>
      </c>
      <c r="AJ15" s="1">
        <f>[1]Results!AM1376</f>
        <v>-2.3743414776616002E-2</v>
      </c>
      <c r="AK15" s="1">
        <f>[1]Results!AN1376</f>
        <v>-2.52809761293969E-2</v>
      </c>
      <c r="AL15" s="1">
        <f>[1]Results!AO1376</f>
        <v>-2.6736124569795159E-2</v>
      </c>
    </row>
    <row r="16" spans="1:38" x14ac:dyDescent="0.35">
      <c r="A16" s="3" t="str">
        <f>[1]Results!E1377</f>
        <v>100*((IA_spub_2-IA_spub_0)/GDP_0)</v>
      </c>
      <c r="B16" t="str">
        <f>[1]Results!C1377</f>
        <v>Investissement public</v>
      </c>
      <c r="C16" s="1">
        <f>[1]Results!F1377</f>
        <v>0</v>
      </c>
      <c r="D16" s="1">
        <f>[1]Results!G1377</f>
        <v>0</v>
      </c>
      <c r="E16" s="1">
        <f>[1]Results!H1377</f>
        <v>0</v>
      </c>
      <c r="F16" s="1">
        <f>[1]Results!I1377</f>
        <v>0</v>
      </c>
      <c r="G16" s="1">
        <f>[1]Results!J1377</f>
        <v>-4.2293088993600558E-10</v>
      </c>
      <c r="H16" s="1">
        <f>[1]Results!K1377</f>
        <v>0</v>
      </c>
      <c r="I16" s="1">
        <f>[1]Results!L1377</f>
        <v>0</v>
      </c>
      <c r="J16" s="1">
        <f>[1]Results!M1377</f>
        <v>-3.1148197971002357E-3</v>
      </c>
      <c r="K16" s="1">
        <f>[1]Results!N1377</f>
        <v>-8.5478863841487399E-3</v>
      </c>
      <c r="L16" s="1">
        <f>[1]Results!O1377</f>
        <v>-1.5194117087461457E-2</v>
      </c>
      <c r="M16" s="1">
        <f>[1]Results!P1377</f>
        <v>-2.33267779094825E-2</v>
      </c>
      <c r="N16" s="1">
        <f>[1]Results!Q1377</f>
        <v>-2.8960856435002361E-2</v>
      </c>
      <c r="O16" s="1">
        <f>[1]Results!R1377</f>
        <v>-3.2113521614648574E-2</v>
      </c>
      <c r="P16" s="1">
        <f>[1]Results!S1377</f>
        <v>-3.3354371848666346E-2</v>
      </c>
      <c r="Q16" s="1">
        <f>[1]Results!T1377</f>
        <v>-3.3266113485092438E-2</v>
      </c>
      <c r="R16" s="1">
        <f>[1]Results!U1377</f>
        <v>-3.2311818837699444E-2</v>
      </c>
      <c r="S16" s="1">
        <f>[1]Results!V1377</f>
        <v>-3.1246247608955054E-2</v>
      </c>
      <c r="T16" s="1">
        <f>[1]Results!W1377</f>
        <v>-3.0345586009450923E-2</v>
      </c>
      <c r="U16" s="1">
        <f>[1]Results!X1377</f>
        <v>-2.9549333816913308E-2</v>
      </c>
      <c r="V16" s="1">
        <f>[1]Results!Y1377</f>
        <v>-2.861542401891632E-2</v>
      </c>
      <c r="W16" s="1">
        <f>[1]Results!Z1377</f>
        <v>-2.7469130017336616E-2</v>
      </c>
      <c r="X16" s="1">
        <f>[1]Results!AA1377</f>
        <v>-2.5714352490260439E-2</v>
      </c>
      <c r="Y16" s="1">
        <f>[1]Results!AB1377</f>
        <v>-2.3462962058268609E-2</v>
      </c>
      <c r="Z16" s="1">
        <f>[1]Results!AC1377</f>
        <v>-2.0822105047289825E-2</v>
      </c>
      <c r="AA16" s="1">
        <f>[1]Results!AD1377</f>
        <v>-1.7887921819622798E-2</v>
      </c>
      <c r="AB16" s="1">
        <f>[1]Results!AE1377</f>
        <v>-1.4756516826220603E-2</v>
      </c>
      <c r="AC16" s="1">
        <f>[1]Results!AF1377</f>
        <v>-1.1388504743711208E-2</v>
      </c>
      <c r="AD16" s="1">
        <f>[1]Results!AG1377</f>
        <v>-8.1113476835908138E-3</v>
      </c>
      <c r="AE16" s="1">
        <f>[1]Results!AH1377</f>
        <v>-5.0782892663007971E-3</v>
      </c>
      <c r="AF16" s="1">
        <f>[1]Results!AI1377</f>
        <v>-2.3587661330784623E-3</v>
      </c>
      <c r="AG16" s="1">
        <f>[1]Results!AJ1377</f>
        <v>2.4415981152210258E-5</v>
      </c>
      <c r="AH16" s="1">
        <f>[1]Results!AK1377</f>
        <v>2.1279301364228774E-3</v>
      </c>
      <c r="AI16" s="1">
        <f>[1]Results!AL1377</f>
        <v>3.8724271497732835E-3</v>
      </c>
      <c r="AJ16" s="1">
        <f>[1]Results!AM1377</f>
        <v>5.2523344046600503E-3</v>
      </c>
      <c r="AK16" s="1">
        <f>[1]Results!AN1377</f>
        <v>6.3019229594355125E-3</v>
      </c>
      <c r="AL16" s="1">
        <f>[1]Results!AO1377</f>
        <v>7.0722768717529387E-3</v>
      </c>
    </row>
    <row r="17" spans="1:38" x14ac:dyDescent="0.35">
      <c r="A17" s="3" t="str">
        <f>[1]Results!E1378</f>
        <v>100*(CH_2/CH_0-1)</v>
      </c>
      <c r="B17" t="str">
        <f>[1]Results!C1378</f>
        <v>Consommation des ménages</v>
      </c>
      <c r="C17" s="1">
        <f>[1]Results!F1378</f>
        <v>-8.3317597265875065E-8</v>
      </c>
      <c r="D17" s="1">
        <f>[1]Results!G1378</f>
        <v>0</v>
      </c>
      <c r="E17" s="1">
        <f>[1]Results!H1378</f>
        <v>0</v>
      </c>
      <c r="F17" s="1">
        <f>[1]Results!I1378</f>
        <v>0</v>
      </c>
      <c r="G17" s="1">
        <f>[1]Results!J1378</f>
        <v>0</v>
      </c>
      <c r="H17" s="1">
        <f>[1]Results!K1378</f>
        <v>-7.6011796856789715E-8</v>
      </c>
      <c r="I17" s="1">
        <f>[1]Results!L1378</f>
        <v>0</v>
      </c>
      <c r="J17" s="1">
        <f>[1]Results!M1378</f>
        <v>-0.38378630835476102</v>
      </c>
      <c r="K17" s="1">
        <f>[1]Results!N1378</f>
        <v>-1.0667172030954908</v>
      </c>
      <c r="L17" s="1">
        <f>[1]Results!O1378</f>
        <v>-1.8606758308645444</v>
      </c>
      <c r="M17" s="1">
        <f>[1]Results!P1378</f>
        <v>-2.7295038663904925</v>
      </c>
      <c r="N17" s="1">
        <f>[1]Results!Q1378</f>
        <v>-3.0939759930005972</v>
      </c>
      <c r="O17" s="1">
        <f>[1]Results!R1378</f>
        <v>-3.0817832074528484</v>
      </c>
      <c r="P17" s="1">
        <f>[1]Results!S1378</f>
        <v>-2.8604507630944687</v>
      </c>
      <c r="Q17" s="1">
        <f>[1]Results!T1378</f>
        <v>-2.5499293978641702</v>
      </c>
      <c r="R17" s="1">
        <f>[1]Results!U1378</f>
        <v>-2.2204152965826451</v>
      </c>
      <c r="S17" s="1">
        <f>[1]Results!V1378</f>
        <v>-1.9594003886129086</v>
      </c>
      <c r="T17" s="1">
        <f>[1]Results!W1378</f>
        <v>-1.7881331344521745</v>
      </c>
      <c r="U17" s="1">
        <f>[1]Results!X1378</f>
        <v>-1.6897967360412824</v>
      </c>
      <c r="V17" s="1">
        <f>[1]Results!Y1378</f>
        <v>-1.6335750213348321</v>
      </c>
      <c r="W17" s="1">
        <f>[1]Results!Z1378</f>
        <v>-1.6149538438780087</v>
      </c>
      <c r="X17" s="1">
        <f>[1]Results!AA1378</f>
        <v>-1.5872865354196186</v>
      </c>
      <c r="Y17" s="1">
        <f>[1]Results!AB1378</f>
        <v>-1.570719082421701</v>
      </c>
      <c r="Z17" s="1">
        <f>[1]Results!AC1378</f>
        <v>-1.5756874673250043</v>
      </c>
      <c r="AA17" s="1">
        <f>[1]Results!AD1378</f>
        <v>-1.6060141170761932</v>
      </c>
      <c r="AB17" s="1">
        <f>[1]Results!AE1378</f>
        <v>-1.6652375345610926</v>
      </c>
      <c r="AC17" s="1">
        <f>[1]Results!AF1378</f>
        <v>-1.7299257528338718</v>
      </c>
      <c r="AD17" s="1">
        <f>[1]Results!AG1378</f>
        <v>-1.8212584286494859</v>
      </c>
      <c r="AE17" s="1">
        <f>[1]Results!AH1378</f>
        <v>-1.9385606608452677</v>
      </c>
      <c r="AF17" s="1">
        <f>[1]Results!AI1378</f>
        <v>-2.0744436607312511</v>
      </c>
      <c r="AG17" s="1">
        <f>[1]Results!AJ1378</f>
        <v>-2.2210701203043359</v>
      </c>
      <c r="AH17" s="1">
        <f>[1]Results!AK1378</f>
        <v>-2.3616675991823266</v>
      </c>
      <c r="AI17" s="1">
        <f>[1]Results!AL1378</f>
        <v>-2.5009274542697635</v>
      </c>
      <c r="AJ17" s="1">
        <f>[1]Results!AM1378</f>
        <v>-2.6347189941579474</v>
      </c>
      <c r="AK17" s="1">
        <f>[1]Results!AN1378</f>
        <v>-2.7556745414886286</v>
      </c>
      <c r="AL17" s="1">
        <f>[1]Results!AO1378</f>
        <v>-2.8570771919881777</v>
      </c>
    </row>
    <row r="18" spans="1:38" x14ac:dyDescent="0.35">
      <c r="A18" s="3" t="str">
        <f>[1]Results!E1379</f>
        <v>100*(CH_cveh_2/CH_cveh_0-1)</v>
      </c>
      <c r="B18" t="str">
        <f>[1]Results!C1379</f>
        <v>Consommation des ménages automobile</v>
      </c>
      <c r="C18" s="1">
        <f>[1]Results!F1379</f>
        <v>0</v>
      </c>
      <c r="D18" s="1">
        <f>[1]Results!G1379</f>
        <v>-1.5192413993503351E-8</v>
      </c>
      <c r="E18" s="1">
        <f>[1]Results!H1379</f>
        <v>-1.4171008810848207E-8</v>
      </c>
      <c r="F18" s="1">
        <f>[1]Results!I1379</f>
        <v>0</v>
      </c>
      <c r="G18" s="1">
        <f>[1]Results!J1379</f>
        <v>1.2716894204345408E-8</v>
      </c>
      <c r="H18" s="1">
        <f>[1]Results!K1379</f>
        <v>3.6615177556598155E-8</v>
      </c>
      <c r="I18" s="1">
        <f>[1]Results!L1379</f>
        <v>3.5471514614471289E-8</v>
      </c>
      <c r="J18" s="1">
        <f>[1]Results!M1379</f>
        <v>-1.3474618607818956</v>
      </c>
      <c r="K18" s="1">
        <f>[1]Results!N1379</f>
        <v>-3.3859134002973801</v>
      </c>
      <c r="L18" s="1">
        <f>[1]Results!O1379</f>
        <v>-5.5708578644511286</v>
      </c>
      <c r="M18" s="1">
        <f>[1]Results!P1379</f>
        <v>-7.9993791931227349</v>
      </c>
      <c r="N18" s="1">
        <f>[1]Results!Q1379</f>
        <v>-7.474465901164784</v>
      </c>
      <c r="O18" s="1">
        <f>[1]Results!R1379</f>
        <v>-5.8710016502987683</v>
      </c>
      <c r="P18" s="1">
        <f>[1]Results!S1379</f>
        <v>-4.2875743634363417</v>
      </c>
      <c r="Q18" s="1">
        <f>[1]Results!T1379</f>
        <v>-3.1075529457228135</v>
      </c>
      <c r="R18" s="1">
        <f>[1]Results!U1379</f>
        <v>-2.3774408295660354</v>
      </c>
      <c r="S18" s="1">
        <f>[1]Results!V1379</f>
        <v>-2.3103159388850325</v>
      </c>
      <c r="T18" s="1">
        <f>[1]Results!W1379</f>
        <v>-2.6497404737204078</v>
      </c>
      <c r="U18" s="1">
        <f>[1]Results!X1379</f>
        <v>-3.1232688511819928</v>
      </c>
      <c r="V18" s="1">
        <f>[1]Results!Y1379</f>
        <v>-3.4784009841563268</v>
      </c>
      <c r="W18" s="1">
        <f>[1]Results!Z1379</f>
        <v>-3.8078970425981629</v>
      </c>
      <c r="X18" s="1">
        <f>[1]Results!AA1379</f>
        <v>-3.8130342631384817</v>
      </c>
      <c r="Y18" s="1">
        <f>[1]Results!AB1379</f>
        <v>-3.7588159265870336</v>
      </c>
      <c r="Z18" s="1">
        <f>[1]Results!AC1379</f>
        <v>-3.7369355049655439</v>
      </c>
      <c r="AA18" s="1">
        <f>[1]Results!AD1379</f>
        <v>-3.7590773726774218</v>
      </c>
      <c r="AB18" s="1">
        <f>[1]Results!AE1379</f>
        <v>-3.8322327050161364</v>
      </c>
      <c r="AC18" s="1">
        <f>[1]Results!AF1379</f>
        <v>-3.7749588579200299</v>
      </c>
      <c r="AD18" s="1">
        <f>[1]Results!AG1379</f>
        <v>-3.7592659520705118</v>
      </c>
      <c r="AE18" s="1">
        <f>[1]Results!AH1379</f>
        <v>-3.8098873986885384</v>
      </c>
      <c r="AF18" s="1">
        <f>[1]Results!AI1379</f>
        <v>-3.9043092653166633</v>
      </c>
      <c r="AG18" s="1">
        <f>[1]Results!AJ1379</f>
        <v>-4.0250199512691047</v>
      </c>
      <c r="AH18" s="1">
        <f>[1]Results!AK1379</f>
        <v>-4.0990492672994927</v>
      </c>
      <c r="AI18" s="1">
        <f>[1]Results!AL1379</f>
        <v>-4.2089063191092402</v>
      </c>
      <c r="AJ18" s="1">
        <f>[1]Results!AM1379</f>
        <v>-4.3691313415683997</v>
      </c>
      <c r="AK18" s="1">
        <f>[1]Results!AN1379</f>
        <v>-4.5666081354082237</v>
      </c>
      <c r="AL18" s="1">
        <f>[1]Results!AO1379</f>
        <v>-4.7884778697026675</v>
      </c>
    </row>
    <row r="19" spans="1:38" x14ac:dyDescent="0.35">
      <c r="A19" s="3" t="str">
        <f>[1]Results!E1380</f>
        <v>100*(G_2/G_0-1)</v>
      </c>
      <c r="B19" t="str">
        <f>[1]Results!C1380</f>
        <v>Dépenses publiques</v>
      </c>
      <c r="C19" s="1">
        <f>[1]Results!F1380</f>
        <v>0</v>
      </c>
      <c r="D19" s="1">
        <f>[1]Results!G1380</f>
        <v>0</v>
      </c>
      <c r="E19" s="1">
        <f>[1]Results!H1380</f>
        <v>0</v>
      </c>
      <c r="F19" s="1">
        <f>[1]Results!I1380</f>
        <v>0</v>
      </c>
      <c r="G19" s="1">
        <f>[1]Results!J1380</f>
        <v>0</v>
      </c>
      <c r="H19" s="1">
        <f>[1]Results!K1380</f>
        <v>0</v>
      </c>
      <c r="I19" s="1">
        <f>[1]Results!L1380</f>
        <v>0</v>
      </c>
      <c r="J19" s="1">
        <f>[1]Results!M1380</f>
        <v>0</v>
      </c>
      <c r="K19" s="1">
        <f>[1]Results!N1380</f>
        <v>0</v>
      </c>
      <c r="L19" s="1">
        <f>[1]Results!O1380</f>
        <v>0</v>
      </c>
      <c r="M19" s="1">
        <f>[1]Results!P1380</f>
        <v>0</v>
      </c>
      <c r="N19" s="1">
        <f>[1]Results!Q1380</f>
        <v>0</v>
      </c>
      <c r="O19" s="1">
        <f>[1]Results!R1380</f>
        <v>0</v>
      </c>
      <c r="P19" s="1">
        <f>[1]Results!S1380</f>
        <v>0</v>
      </c>
      <c r="Q19" s="1">
        <f>[1]Results!T1380</f>
        <v>0</v>
      </c>
      <c r="R19" s="1">
        <f>[1]Results!U1380</f>
        <v>0</v>
      </c>
      <c r="S19" s="1">
        <f>[1]Results!V1380</f>
        <v>0</v>
      </c>
      <c r="T19" s="1">
        <f>[1]Results!W1380</f>
        <v>0</v>
      </c>
      <c r="U19" s="1">
        <f>[1]Results!X1380</f>
        <v>0</v>
      </c>
      <c r="V19" s="1">
        <f>[1]Results!Y1380</f>
        <v>0</v>
      </c>
      <c r="W19" s="1">
        <f>[1]Results!Z1380</f>
        <v>0</v>
      </c>
      <c r="X19" s="1">
        <f>[1]Results!AA1380</f>
        <v>0</v>
      </c>
      <c r="Y19" s="1">
        <f>[1]Results!AB1380</f>
        <v>0</v>
      </c>
      <c r="Z19" s="1">
        <f>[1]Results!AC1380</f>
        <v>0</v>
      </c>
      <c r="AA19" s="1">
        <f>[1]Results!AD1380</f>
        <v>0</v>
      </c>
      <c r="AB19" s="1">
        <f>[1]Results!AE1380</f>
        <v>0</v>
      </c>
      <c r="AC19" s="1">
        <f>[1]Results!AF1380</f>
        <v>0</v>
      </c>
      <c r="AD19" s="1">
        <f>[1]Results!AG1380</f>
        <v>0</v>
      </c>
      <c r="AE19" s="1">
        <f>[1]Results!AH1380</f>
        <v>0</v>
      </c>
      <c r="AF19" s="1">
        <f>[1]Results!AI1380</f>
        <v>0</v>
      </c>
      <c r="AG19" s="1">
        <f>[1]Results!AJ1380</f>
        <v>0</v>
      </c>
      <c r="AH19" s="1">
        <f>[1]Results!AK1380</f>
        <v>0</v>
      </c>
      <c r="AI19" s="1">
        <f>[1]Results!AL1380</f>
        <v>0</v>
      </c>
      <c r="AJ19" s="1">
        <f>[1]Results!AM1380</f>
        <v>0</v>
      </c>
      <c r="AK19" s="1">
        <f>[1]Results!AN1380</f>
        <v>0</v>
      </c>
      <c r="AL19" s="1">
        <f>[1]Results!AO1380</f>
        <v>0</v>
      </c>
    </row>
    <row r="20" spans="1:38" x14ac:dyDescent="0.35">
      <c r="A20" s="3" t="str">
        <f>[1]Results!E1381</f>
        <v>100*(I_2/I_0-1)</v>
      </c>
      <c r="B20" t="str">
        <f>[1]Results!C1381</f>
        <v>Investissement</v>
      </c>
      <c r="C20" s="1">
        <f>[1]Results!F1381</f>
        <v>0</v>
      </c>
      <c r="D20" s="1">
        <f>[1]Results!G1381</f>
        <v>0</v>
      </c>
      <c r="E20" s="1">
        <f>[1]Results!H1381</f>
        <v>-2.045298375108473E-8</v>
      </c>
      <c r="F20" s="1">
        <f>[1]Results!I1381</f>
        <v>-2.0031676317699976E-8</v>
      </c>
      <c r="G20" s="1">
        <f>[1]Results!J1381</f>
        <v>-3.9159220310835963E-8</v>
      </c>
      <c r="H20" s="1">
        <f>[1]Results!K1381</f>
        <v>-1.910419600292812E-8</v>
      </c>
      <c r="I20" s="1">
        <f>[1]Results!L1381</f>
        <v>-3.7219038961922024E-8</v>
      </c>
      <c r="J20" s="1">
        <f>[1]Results!M1381</f>
        <v>-0.33145324660394104</v>
      </c>
      <c r="K20" s="1">
        <f>[1]Results!N1381</f>
        <v>-0.9027314599382219</v>
      </c>
      <c r="L20" s="1">
        <f>[1]Results!O1381</f>
        <v>-1.4198341044217355</v>
      </c>
      <c r="M20" s="1">
        <f>[1]Results!P1381</f>
        <v>-2.0214799682738538</v>
      </c>
      <c r="N20" s="1">
        <f>[1]Results!Q1381</f>
        <v>-2.539099380951626</v>
      </c>
      <c r="O20" s="1">
        <f>[1]Results!R1381</f>
        <v>-2.9412702105420796</v>
      </c>
      <c r="P20" s="1">
        <f>[1]Results!S1381</f>
        <v>-3.2312509928016153</v>
      </c>
      <c r="Q20" s="1">
        <f>[1]Results!T1381</f>
        <v>-3.4196614956474303</v>
      </c>
      <c r="R20" s="1">
        <f>[1]Results!U1381</f>
        <v>-3.530473612411833</v>
      </c>
      <c r="S20" s="1">
        <f>[1]Results!V1381</f>
        <v>-3.6326663106083346</v>
      </c>
      <c r="T20" s="1">
        <f>[1]Results!W1381</f>
        <v>-3.749841819838351</v>
      </c>
      <c r="U20" s="1">
        <f>[1]Results!X1381</f>
        <v>-3.8840377472510568</v>
      </c>
      <c r="V20" s="1">
        <f>[1]Results!Y1381</f>
        <v>-4.021851382387287</v>
      </c>
      <c r="W20" s="1">
        <f>[1]Results!Z1381</f>
        <v>-4.1552458003166315</v>
      </c>
      <c r="X20" s="1">
        <f>[1]Results!AA1381</f>
        <v>-4.254807955008955</v>
      </c>
      <c r="Y20" s="1">
        <f>[1]Results!AB1381</f>
        <v>-4.3148889499068588</v>
      </c>
      <c r="Z20" s="1">
        <f>[1]Results!AC1381</f>
        <v>-4.3361529626791402</v>
      </c>
      <c r="AA20" s="1">
        <f>[1]Results!AD1381</f>
        <v>-4.321489304421311</v>
      </c>
      <c r="AB20" s="1">
        <f>[1]Results!AE1381</f>
        <v>-4.2753680625317037</v>
      </c>
      <c r="AC20" s="1">
        <f>[1]Results!AF1381</f>
        <v>-4.1872169145674594</v>
      </c>
      <c r="AD20" s="1">
        <f>[1]Results!AG1381</f>
        <v>-4.0667920269018998</v>
      </c>
      <c r="AE20" s="1">
        <f>[1]Results!AH1381</f>
        <v>-3.9225591503794455</v>
      </c>
      <c r="AF20" s="1">
        <f>[1]Results!AI1381</f>
        <v>-3.7620191364547861</v>
      </c>
      <c r="AG20" s="1">
        <f>[1]Results!AJ1381</f>
        <v>-3.5913754632830419</v>
      </c>
      <c r="AH20" s="1">
        <f>[1]Results!AK1381</f>
        <v>-3.4102425864388941</v>
      </c>
      <c r="AI20" s="1">
        <f>[1]Results!AL1381</f>
        <v>-3.2238289113534546</v>
      </c>
      <c r="AJ20" s="1">
        <f>[1]Results!AM1381</f>
        <v>-3.0364232692455917</v>
      </c>
      <c r="AK20" s="1">
        <f>[1]Results!AN1381</f>
        <v>-2.8510730363230707</v>
      </c>
      <c r="AL20" s="1">
        <f>[1]Results!AO1381</f>
        <v>-2.6697590280721051</v>
      </c>
    </row>
    <row r="21" spans="1:38" x14ac:dyDescent="0.35">
      <c r="A21" s="3" t="str">
        <f>[1]Results!E1382</f>
        <v>100*((I_2-IA_spub_2)/(I_0-IA_spub_0)-1)</v>
      </c>
      <c r="B21" t="str">
        <f>[1]Results!C1382</f>
        <v>Investissement entreprises</v>
      </c>
      <c r="C21" s="1">
        <f>[1]Results!F1382</f>
        <v>0</v>
      </c>
      <c r="D21" s="1">
        <f>[1]Results!G1382</f>
        <v>0</v>
      </c>
      <c r="E21" s="1">
        <f>[1]Results!H1382</f>
        <v>-2.2299184720964149E-8</v>
      </c>
      <c r="F21" s="1">
        <f>[1]Results!I1382</f>
        <v>-2.1825263818442409E-8</v>
      </c>
      <c r="G21" s="1">
        <f>[1]Results!J1382</f>
        <v>-4.0501191289621374E-8</v>
      </c>
      <c r="H21" s="1">
        <f>[1]Results!K1382</f>
        <v>-2.0781043552631218E-8</v>
      </c>
      <c r="I21" s="1">
        <f>[1]Results!L1382</f>
        <v>-4.0447245552854838E-8</v>
      </c>
      <c r="J21" s="1">
        <f>[1]Results!M1382</f>
        <v>-0.34434975466780537</v>
      </c>
      <c r="K21" s="1">
        <f>[1]Results!N1382</f>
        <v>-0.93673357406509616</v>
      </c>
      <c r="L21" s="1">
        <f>[1]Results!O1382</f>
        <v>-1.4634475880532349</v>
      </c>
      <c r="M21" s="1">
        <f>[1]Results!P1382</f>
        <v>-2.0736496716067365</v>
      </c>
      <c r="N21" s="1">
        <f>[1]Results!Q1382</f>
        <v>-2.6047058092421693</v>
      </c>
      <c r="O21" s="1">
        <f>[1]Results!R1382</f>
        <v>-3.0227481884802954</v>
      </c>
      <c r="P21" s="1">
        <f>[1]Results!S1382</f>
        <v>-3.3287102227598675</v>
      </c>
      <c r="Q21" s="1">
        <f>[1]Results!T1382</f>
        <v>-3.5313367621897296</v>
      </c>
      <c r="R21" s="1">
        <f>[1]Results!U1382</f>
        <v>-3.6542925511409252</v>
      </c>
      <c r="S21" s="1">
        <f>[1]Results!V1382</f>
        <v>-3.768337902126262</v>
      </c>
      <c r="T21" s="1">
        <f>[1]Results!W1382</f>
        <v>-3.8975146792125326</v>
      </c>
      <c r="U21" s="1">
        <f>[1]Results!X1382</f>
        <v>-4.0441789387774989</v>
      </c>
      <c r="V21" s="1">
        <f>[1]Results!Y1382</f>
        <v>-4.1948998542551408</v>
      </c>
      <c r="W21" s="1">
        <f>[1]Results!Z1382</f>
        <v>-4.3412875551455565</v>
      </c>
      <c r="X21" s="1">
        <f>[1]Results!AA1382</f>
        <v>-4.4534026937792959</v>
      </c>
      <c r="Y21" s="1">
        <f>[1]Results!AB1382</f>
        <v>-4.5246574179522492</v>
      </c>
      <c r="Z21" s="1">
        <f>[1]Results!AC1382</f>
        <v>-4.5553237457635287</v>
      </c>
      <c r="AA21" s="1">
        <f>[1]Results!AD1382</f>
        <v>-4.548162569606129</v>
      </c>
      <c r="AB21" s="1">
        <f>[1]Results!AE1382</f>
        <v>-4.5076912225105907</v>
      </c>
      <c r="AC21" s="1">
        <f>[1]Results!AF1382</f>
        <v>-4.4231605848949478</v>
      </c>
      <c r="AD21" s="1">
        <f>[1]Results!AG1382</f>
        <v>-4.303801510522054</v>
      </c>
      <c r="AE21" s="1">
        <f>[1]Results!AH1382</f>
        <v>-4.1581297254783429</v>
      </c>
      <c r="AF21" s="1">
        <f>[1]Results!AI1382</f>
        <v>-3.9939830239189011</v>
      </c>
      <c r="AG21" s="1">
        <f>[1]Results!AJ1382</f>
        <v>-3.8179976183101649</v>
      </c>
      <c r="AH21" s="1">
        <f>[1]Results!AK1382</f>
        <v>-3.6300976950293995</v>
      </c>
      <c r="AI21" s="1">
        <f>[1]Results!AL1382</f>
        <v>-3.4355738528340507</v>
      </c>
      <c r="AJ21" s="1">
        <f>[1]Results!AM1382</f>
        <v>-3.2390032535022595</v>
      </c>
      <c r="AK21" s="1">
        <f>[1]Results!AN1382</f>
        <v>-3.0437751412063396</v>
      </c>
      <c r="AL21" s="1">
        <f>[1]Results!AO1382</f>
        <v>-2.852191619731903</v>
      </c>
    </row>
    <row r="22" spans="1:38" x14ac:dyDescent="0.35">
      <c r="A22" s="3" t="str">
        <f>[1]Results!E1383</f>
        <v>100*(X_2/X_0-1)</v>
      </c>
      <c r="B22" t="s">
        <v>24</v>
      </c>
      <c r="C22" s="1">
        <f>[1]Results!F1383</f>
        <v>0</v>
      </c>
      <c r="D22" s="1">
        <f>[1]Results!G1383</f>
        <v>-1.5278378562300077E-8</v>
      </c>
      <c r="E22" s="1">
        <f>[1]Results!H1383</f>
        <v>-1.4750889398840172E-8</v>
      </c>
      <c r="F22" s="1">
        <f>[1]Results!I1383</f>
        <v>-2.8516022876345914E-8</v>
      </c>
      <c r="G22" s="1">
        <f>[1]Results!J1383</f>
        <v>-4.1370162850995484E-8</v>
      </c>
      <c r="H22" s="1">
        <f>[1]Results!K1383</f>
        <v>-4.0026271186377471E-8</v>
      </c>
      <c r="I22" s="1">
        <f>[1]Results!L1383</f>
        <v>-5.1647608412253021E-8</v>
      </c>
      <c r="J22" s="1">
        <f>[1]Results!M1383</f>
        <v>-0.9271290383715991</v>
      </c>
      <c r="K22" s="1">
        <f>[1]Results!N1383</f>
        <v>-1.7178380910125024</v>
      </c>
      <c r="L22" s="1">
        <f>[1]Results!O1383</f>
        <v>-1.3216947576185079</v>
      </c>
      <c r="M22" s="1">
        <f>[1]Results!P1383</f>
        <v>-1.196908024059451</v>
      </c>
      <c r="N22" s="1">
        <f>[1]Results!Q1383</f>
        <v>-1.3391054474947928</v>
      </c>
      <c r="O22" s="1">
        <f>[1]Results!R1383</f>
        <v>-1.7186264870662216</v>
      </c>
      <c r="P22" s="1">
        <f>[1]Results!S1383</f>
        <v>-2.1907785543437974</v>
      </c>
      <c r="Q22" s="1">
        <f>[1]Results!T1383</f>
        <v>-2.6242831968920521</v>
      </c>
      <c r="R22" s="1">
        <f>[1]Results!U1383</f>
        <v>-3.0069455483941465</v>
      </c>
      <c r="S22" s="1">
        <f>[1]Results!V1383</f>
        <v>-3.4444605987474564</v>
      </c>
      <c r="T22" s="1">
        <f>[1]Results!W1383</f>
        <v>-3.8759172868890412</v>
      </c>
      <c r="U22" s="1">
        <f>[1]Results!X1383</f>
        <v>-4.2976346890616135</v>
      </c>
      <c r="V22" s="1">
        <f>[1]Results!Y1383</f>
        <v>-4.7046580615391687</v>
      </c>
      <c r="W22" s="1">
        <f>[1]Results!Z1383</f>
        <v>-5.0933335717653572</v>
      </c>
      <c r="X22" s="1">
        <f>[1]Results!AA1383</f>
        <v>-5.4440779411799483</v>
      </c>
      <c r="Y22" s="1">
        <f>[1]Results!AB1383</f>
        <v>-5.7481270240924642</v>
      </c>
      <c r="Z22" s="1">
        <f>[1]Results!AC1383</f>
        <v>-6.0075806895618751</v>
      </c>
      <c r="AA22" s="1">
        <f>[1]Results!AD1383</f>
        <v>-6.2266075690704081</v>
      </c>
      <c r="AB22" s="1">
        <f>[1]Results!AE1383</f>
        <v>-6.409223210283244</v>
      </c>
      <c r="AC22" s="1">
        <f>[1]Results!AF1383</f>
        <v>-6.5283603923498639</v>
      </c>
      <c r="AD22" s="1">
        <f>[1]Results!AG1383</f>
        <v>-6.5826739581356097</v>
      </c>
      <c r="AE22" s="1">
        <f>[1]Results!AH1383</f>
        <v>-6.583942639963281</v>
      </c>
      <c r="AF22" s="1">
        <f>[1]Results!AI1383</f>
        <v>-6.5460530193609756</v>
      </c>
      <c r="AG22" s="1">
        <f>[1]Results!AJ1383</f>
        <v>-6.4810739569155285</v>
      </c>
      <c r="AH22" s="1">
        <f>[1]Results!AK1383</f>
        <v>-6.3893253692178797</v>
      </c>
      <c r="AI22" s="1">
        <f>[1]Results!AL1383</f>
        <v>-6.271449471676938</v>
      </c>
      <c r="AJ22" s="1">
        <f>[1]Results!AM1383</f>
        <v>-6.1362813740548745</v>
      </c>
      <c r="AK22" s="1">
        <f>[1]Results!AN1383</f>
        <v>-5.9935358556537306</v>
      </c>
      <c r="AL22" s="1">
        <f>[1]Results!AO1383</f>
        <v>-5.8516807323608315</v>
      </c>
    </row>
    <row r="23" spans="1:38" x14ac:dyDescent="0.35">
      <c r="A23" s="3" t="str">
        <f>[1]Results!E1384</f>
        <v>100*(M_2/M_0-1)</v>
      </c>
      <c r="B23" t="s">
        <v>25</v>
      </c>
      <c r="C23" s="1">
        <f>[1]Results!F1384</f>
        <v>0</v>
      </c>
      <c r="D23" s="1">
        <f>[1]Results!G1384</f>
        <v>-1.5015588772371302E-8</v>
      </c>
      <c r="E23" s="1">
        <f>[1]Results!H1384</f>
        <v>-1.4695655803365071E-8</v>
      </c>
      <c r="F23" s="1">
        <f>[1]Results!I1384</f>
        <v>-1.4358503275246903E-8</v>
      </c>
      <c r="G23" s="1">
        <f>[1]Results!J1384</f>
        <v>-2.8000446405940238E-8</v>
      </c>
      <c r="H23" s="1">
        <f>[1]Results!K1384</f>
        <v>-2.7264934754356318E-8</v>
      </c>
      <c r="I23" s="1">
        <f>[1]Results!L1384</f>
        <v>-2.6518431894828609E-8</v>
      </c>
      <c r="J23" s="1">
        <f>[1]Results!M1384</f>
        <v>-0.58258864923176334</v>
      </c>
      <c r="K23" s="1">
        <f>[1]Results!N1384</f>
        <v>-1.3748066149096294</v>
      </c>
      <c r="L23" s="1">
        <f>[1]Results!O1384</f>
        <v>-1.873569599069691</v>
      </c>
      <c r="M23" s="1">
        <f>[1]Results!P1384</f>
        <v>-2.428998767879198</v>
      </c>
      <c r="N23" s="1">
        <f>[1]Results!Q1384</f>
        <v>-2.6867285567634069</v>
      </c>
      <c r="O23" s="1">
        <f>[1]Results!R1384</f>
        <v>-2.753019322477035</v>
      </c>
      <c r="P23" s="1">
        <f>[1]Results!S1384</f>
        <v>-2.7045928237992234</v>
      </c>
      <c r="Q23" s="1">
        <f>[1]Results!T1384</f>
        <v>-2.5741515470291909</v>
      </c>
      <c r="R23" s="1">
        <f>[1]Results!U1384</f>
        <v>-2.3969192110422255</v>
      </c>
      <c r="S23" s="1">
        <f>[1]Results!V1384</f>
        <v>-2.274787450346305</v>
      </c>
      <c r="T23" s="1">
        <f>[1]Results!W1384</f>
        <v>-2.208881374455296</v>
      </c>
      <c r="U23" s="1">
        <f>[1]Results!X1384</f>
        <v>-2.1892411369645592</v>
      </c>
      <c r="V23" s="1">
        <f>[1]Results!Y1384</f>
        <v>-2.20210242206893</v>
      </c>
      <c r="W23" s="1">
        <f>[1]Results!Z1384</f>
        <v>-2.2343115362380317</v>
      </c>
      <c r="X23" s="1">
        <f>[1]Results!AA1384</f>
        <v>-2.2530610577636057</v>
      </c>
      <c r="Y23" s="1">
        <f>[1]Results!AB1384</f>
        <v>-2.2739815810912112</v>
      </c>
      <c r="Z23" s="1">
        <f>[1]Results!AC1384</f>
        <v>-2.3038771704920635</v>
      </c>
      <c r="AA23" s="1">
        <f>[1]Results!AD1384</f>
        <v>-2.3446726146867158</v>
      </c>
      <c r="AB23" s="1">
        <f>[1]Results!AE1384</f>
        <v>-2.3991098358245311</v>
      </c>
      <c r="AC23" s="1">
        <f>[1]Results!AF1384</f>
        <v>-2.4487557656303283</v>
      </c>
      <c r="AD23" s="1">
        <f>[1]Results!AG1384</f>
        <v>-2.5116651419106795</v>
      </c>
      <c r="AE23" s="1">
        <f>[1]Results!AH1384</f>
        <v>-2.5888059820228793</v>
      </c>
      <c r="AF23" s="1">
        <f>[1]Results!AI1384</f>
        <v>-2.6762009616677185</v>
      </c>
      <c r="AG23" s="1">
        <f>[1]Results!AJ1384</f>
        <v>-2.7694903281530348</v>
      </c>
      <c r="AH23" s="1">
        <f>[1]Results!AK1384</f>
        <v>-2.8588780808900371</v>
      </c>
      <c r="AI23" s="1">
        <f>[1]Results!AL1384</f>
        <v>-2.9479515802871337</v>
      </c>
      <c r="AJ23" s="1">
        <f>[1]Results!AM1384</f>
        <v>-3.0343563563733467</v>
      </c>
      <c r="AK23" s="1">
        <f>[1]Results!AN1384</f>
        <v>-3.1139283715712285</v>
      </c>
      <c r="AL23" s="1">
        <f>[1]Results!AO1384</f>
        <v>-3.1828961305741643</v>
      </c>
    </row>
    <row r="24" spans="1:38" x14ac:dyDescent="0.35">
      <c r="A24" s="3" t="str">
        <f>[1]Results!E1385</f>
        <v>100*((CH_2-CH_ccon_2)/(CH_0-CH_ccon_0)-1)</v>
      </c>
      <c r="B24" t="str">
        <f>[1]Results!C1385</f>
        <v>Consommation des ménages</v>
      </c>
      <c r="C24" s="1">
        <f>[1]Results!F1385</f>
        <v>-8.3730267164128236E-8</v>
      </c>
      <c r="D24" s="1">
        <f>[1]Results!G1385</f>
        <v>8.3464346545270018E-10</v>
      </c>
      <c r="E24" s="1">
        <f>[1]Results!H1385</f>
        <v>8.2103213117079576E-10</v>
      </c>
      <c r="F24" s="1">
        <f>[1]Results!I1385</f>
        <v>8.0617734710131117E-10</v>
      </c>
      <c r="G24" s="1">
        <f>[1]Results!J1385</f>
        <v>7.893685705084863E-10</v>
      </c>
      <c r="H24" s="1">
        <f>[1]Results!K1385</f>
        <v>-7.6377970614771584E-8</v>
      </c>
      <c r="I24" s="1">
        <f>[1]Results!L1385</f>
        <v>7.5337514005013873E-10</v>
      </c>
      <c r="J24" s="1">
        <f>[1]Results!M1385</f>
        <v>-0.38262169938987345</v>
      </c>
      <c r="K24" s="1">
        <f>[1]Results!N1385</f>
        <v>-1.0626278561864155</v>
      </c>
      <c r="L24" s="1">
        <f>[1]Results!O1385</f>
        <v>-1.8520292575462505</v>
      </c>
      <c r="M24" s="1">
        <f>[1]Results!P1385</f>
        <v>-2.714987923590495</v>
      </c>
      <c r="N24" s="1">
        <f>[1]Results!Q1385</f>
        <v>-3.0743182589741735</v>
      </c>
      <c r="O24" s="1">
        <f>[1]Results!R1385</f>
        <v>-3.0598234152829362</v>
      </c>
      <c r="P24" s="1">
        <f>[1]Results!S1385</f>
        <v>-2.8388393144934021</v>
      </c>
      <c r="Q24" s="1">
        <f>[1]Results!T1385</f>
        <v>-2.5302342146931278</v>
      </c>
      <c r="R24" s="1">
        <f>[1]Results!U1385</f>
        <v>-2.203168521629828</v>
      </c>
      <c r="S24" s="1">
        <f>[1]Results!V1385</f>
        <v>-1.9443937962217217</v>
      </c>
      <c r="T24" s="1">
        <f>[1]Results!W1385</f>
        <v>-1.7746612229554204</v>
      </c>
      <c r="U24" s="1">
        <f>[1]Results!X1385</f>
        <v>-1.6771276576619476</v>
      </c>
      <c r="V24" s="1">
        <f>[1]Results!Y1385</f>
        <v>-1.621234389747106</v>
      </c>
      <c r="W24" s="1">
        <f>[1]Results!Z1385</f>
        <v>-1.6028601185005265</v>
      </c>
      <c r="X24" s="1">
        <f>[1]Results!AA1385</f>
        <v>-1.575667696244587</v>
      </c>
      <c r="Y24" s="1">
        <f>[1]Results!AB1385</f>
        <v>-1.5599809565633338</v>
      </c>
      <c r="Z24" s="1">
        <f>[1]Results!AC1385</f>
        <v>-1.5661137526656876</v>
      </c>
      <c r="AA24" s="1">
        <f>[1]Results!AD1385</f>
        <v>-1.597716005790295</v>
      </c>
      <c r="AB24" s="1">
        <f>[1]Results!AE1385</f>
        <v>-1.6581982355586833</v>
      </c>
      <c r="AC24" s="1">
        <f>[1]Results!AF1385</f>
        <v>-1.7240722993213109</v>
      </c>
      <c r="AD24" s="1">
        <f>[1]Results!AG1385</f>
        <v>-1.8163816867312388</v>
      </c>
      <c r="AE24" s="1">
        <f>[1]Results!AH1385</f>
        <v>-1.9342675703611256</v>
      </c>
      <c r="AF24" s="1">
        <f>[1]Results!AI1385</f>
        <v>-2.0702732242748767</v>
      </c>
      <c r="AG24" s="1">
        <f>[1]Results!AJ1385</f>
        <v>-2.2165923850361424</v>
      </c>
      <c r="AH24" s="1">
        <f>[1]Results!AK1385</f>
        <v>-2.3565753811844892</v>
      </c>
      <c r="AI24" s="1">
        <f>[1]Results!AL1385</f>
        <v>-2.4949841712059828</v>
      </c>
      <c r="AJ24" s="1">
        <f>[1]Results!AM1385</f>
        <v>-2.6277104551657438</v>
      </c>
      <c r="AK24" s="1">
        <f>[1]Results!AN1385</f>
        <v>-2.7474328961948014</v>
      </c>
      <c r="AL24" s="1">
        <f>[1]Results!AO1385</f>
        <v>-2.8475039465522212</v>
      </c>
    </row>
    <row r="25" spans="1:38" x14ac:dyDescent="0.35">
      <c r="A25" s="3" t="str">
        <f>[1]Results!E1386</f>
        <v>100*((I_2+CH_ccon_2)/(I_0+CH_ccon_0)-1)</v>
      </c>
      <c r="B25" t="str">
        <f>[1]Results!C1386</f>
        <v>Investissement</v>
      </c>
      <c r="C25" s="1">
        <f>[1]Results!F1386</f>
        <v>-2.0400570122092176E-9</v>
      </c>
      <c r="D25" s="1">
        <f>[1]Results!G1386</f>
        <v>-2.008693211763557E-9</v>
      </c>
      <c r="E25" s="1">
        <f>[1]Results!H1386</f>
        <v>-2.1686252793529093E-8</v>
      </c>
      <c r="F25" s="1">
        <f>[1]Results!I1386</f>
        <v>-2.12431405799407E-8</v>
      </c>
      <c r="G25" s="1">
        <f>[1]Results!J1386</f>
        <v>-3.9644421079287895E-8</v>
      </c>
      <c r="H25" s="1">
        <f>[1]Results!K1386</f>
        <v>-2.0263624112004663E-8</v>
      </c>
      <c r="I25" s="1">
        <f>[1]Results!L1386</f>
        <v>-3.7687097886873744E-8</v>
      </c>
      <c r="J25" s="1">
        <f>[1]Results!M1386</f>
        <v>-0.33607750850076501</v>
      </c>
      <c r="K25" s="1">
        <f>[1]Results!N1386</f>
        <v>-0.9182027769513823</v>
      </c>
      <c r="L25" s="1">
        <f>[1]Results!O1386</f>
        <v>-1.4556954098855601</v>
      </c>
      <c r="M25" s="1">
        <f>[1]Results!P1386</f>
        <v>-2.080246248732931</v>
      </c>
      <c r="N25" s="1">
        <f>[1]Results!Q1386</f>
        <v>-2.6042209602153421</v>
      </c>
      <c r="O25" s="1">
        <f>[1]Results!R1386</f>
        <v>-2.9970532758384794</v>
      </c>
      <c r="P25" s="1">
        <f>[1]Results!S1386</f>
        <v>-3.2683072608337471</v>
      </c>
      <c r="Q25" s="1">
        <f>[1]Results!T1386</f>
        <v>-3.434988421430063</v>
      </c>
      <c r="R25" s="1">
        <f>[1]Results!U1386</f>
        <v>-3.5251042940135147</v>
      </c>
      <c r="S25" s="1">
        <f>[1]Results!V1386</f>
        <v>-3.6099749919050739</v>
      </c>
      <c r="T25" s="1">
        <f>[1]Results!W1386</f>
        <v>-3.714211630174602</v>
      </c>
      <c r="U25" s="1">
        <f>[1]Results!X1386</f>
        <v>-3.8392088446532413</v>
      </c>
      <c r="V25" s="1">
        <f>[1]Results!Y1386</f>
        <v>-3.9703497375536134</v>
      </c>
      <c r="W25" s="1">
        <f>[1]Results!Z1386</f>
        <v>-4.0988202814665753</v>
      </c>
      <c r="X25" s="1">
        <f>[1]Results!AA1386</f>
        <v>-4.1939413046196634</v>
      </c>
      <c r="Y25" s="1">
        <f>[1]Results!AB1386</f>
        <v>-4.2505069207964148</v>
      </c>
      <c r="Z25" s="1">
        <f>[1]Results!AC1386</f>
        <v>-4.2697085674738622</v>
      </c>
      <c r="AA25" s="1">
        <f>[1]Results!AD1386</f>
        <v>-4.2547544356827398</v>
      </c>
      <c r="AB25" s="1">
        <f>[1]Results!AE1386</f>
        <v>-4.2102978622999832</v>
      </c>
      <c r="AC25" s="1">
        <f>[1]Results!AF1386</f>
        <v>-4.1252811006289303</v>
      </c>
      <c r="AD25" s="1">
        <f>[1]Results!AG1386</f>
        <v>-4.0099991604383822</v>
      </c>
      <c r="AE25" s="1">
        <f>[1]Results!AH1386</f>
        <v>-3.8729432295542598</v>
      </c>
      <c r="AF25" s="1">
        <f>[1]Results!AI1386</f>
        <v>-3.7212605626698259</v>
      </c>
      <c r="AG25" s="1">
        <f>[1]Results!AJ1386</f>
        <v>-3.5606659432555143</v>
      </c>
      <c r="AH25" s="1">
        <f>[1]Results!AK1386</f>
        <v>-3.3900770608067177</v>
      </c>
      <c r="AI25" s="1">
        <f>[1]Results!AL1386</f>
        <v>-3.2145782033494608</v>
      </c>
      <c r="AJ25" s="1">
        <f>[1]Results!AM1386</f>
        <v>-3.0382058566862269</v>
      </c>
      <c r="AK25" s="1">
        <f>[1]Results!AN1386</f>
        <v>-2.8636575400602049</v>
      </c>
      <c r="AL25" s="1">
        <f>[1]Results!AO1386</f>
        <v>-2.6925701876728159</v>
      </c>
    </row>
    <row r="26" spans="1:38" x14ac:dyDescent="0.35">
      <c r="A26" s="3" t="str">
        <f>[1]Results!E1387</f>
        <v>100*((CH_ccon_2)/(CH_ccon_0)-1)</v>
      </c>
      <c r="B26" t="str">
        <f>[1]Results!C1387</f>
        <v>Investissement ménages</v>
      </c>
      <c r="C26" s="1">
        <f>[1]Results!F1387</f>
        <v>-5.599560815028326E-8</v>
      </c>
      <c r="D26" s="1">
        <f>[1]Results!G1387</f>
        <v>-5.5388515995957732E-8</v>
      </c>
      <c r="E26" s="1">
        <f>[1]Results!H1387</f>
        <v>-5.4622739664722531E-8</v>
      </c>
      <c r="F26" s="1">
        <f>[1]Results!I1387</f>
        <v>-5.3749127371105487E-8</v>
      </c>
      <c r="G26" s="1">
        <f>[1]Results!J1387</f>
        <v>-5.2705062536517744E-8</v>
      </c>
      <c r="H26" s="1">
        <f>[1]Results!K1387</f>
        <v>-5.1547011103991736E-8</v>
      </c>
      <c r="I26" s="1">
        <f>[1]Results!L1387</f>
        <v>-5.0351667280068568E-8</v>
      </c>
      <c r="J26" s="1">
        <f>[1]Results!M1387</f>
        <v>-0.46164340281261707</v>
      </c>
      <c r="K26" s="1">
        <f>[1]Results!N1387</f>
        <v>-1.3402201063291597</v>
      </c>
      <c r="L26" s="1">
        <f>[1]Results!O1387</f>
        <v>-2.4393458981628369</v>
      </c>
      <c r="M26" s="1">
        <f>[1]Results!P1387</f>
        <v>-3.7017274200314088</v>
      </c>
      <c r="N26" s="1">
        <f>[1]Results!Q1387</f>
        <v>-4.411368379384295</v>
      </c>
      <c r="O26" s="1">
        <f>[1]Results!R1387</f>
        <v>-4.5536886492161033</v>
      </c>
      <c r="P26" s="1">
        <f>[1]Results!S1387</f>
        <v>-4.3083065674004324</v>
      </c>
      <c r="Q26" s="1">
        <f>[1]Results!T1387</f>
        <v>-3.8678377399146924</v>
      </c>
      <c r="R26" s="1">
        <f>[1]Results!U1387</f>
        <v>-3.3724010663902848</v>
      </c>
      <c r="S26" s="1">
        <f>[1]Results!V1387</f>
        <v>-2.9594886132879306</v>
      </c>
      <c r="T26" s="1">
        <f>[1]Results!W1387</f>
        <v>-2.6836809035283182</v>
      </c>
      <c r="U26" s="1">
        <f>[1]Results!X1387</f>
        <v>-2.5297985919813137</v>
      </c>
      <c r="V26" s="1">
        <f>[1]Results!Y1387</f>
        <v>-2.4497883428166389</v>
      </c>
      <c r="W26" s="1">
        <f>[1]Results!Z1387</f>
        <v>-2.4131095027484672</v>
      </c>
      <c r="X26" s="1">
        <f>[1]Results!AA1387</f>
        <v>-2.3527921320551481</v>
      </c>
      <c r="Y26" s="1">
        <f>[1]Results!AB1387</f>
        <v>-2.2773584171310368</v>
      </c>
      <c r="Z26" s="1">
        <f>[1]Results!AC1387</f>
        <v>-2.2053062311929716</v>
      </c>
      <c r="AA26" s="1">
        <f>[1]Results!AD1387</f>
        <v>-2.1517206192367411</v>
      </c>
      <c r="AB26" s="1">
        <f>[1]Results!AE1387</f>
        <v>-2.1284201566772576</v>
      </c>
      <c r="AC26" s="1">
        <f>[1]Results!AF1387</f>
        <v>-2.1154924283845467</v>
      </c>
      <c r="AD26" s="1">
        <f>[1]Results!AG1387</f>
        <v>-2.1429258551081354</v>
      </c>
      <c r="AE26" s="1">
        <f>[1]Results!AH1387</f>
        <v>-2.222147645119521</v>
      </c>
      <c r="AF26" s="1">
        <f>[1]Results!AI1387</f>
        <v>-2.3503289605239619</v>
      </c>
      <c r="AG26" s="1">
        <f>[1]Results!AJ1387</f>
        <v>-2.5176780933375609</v>
      </c>
      <c r="AH26" s="1">
        <f>[1]Results!AK1387</f>
        <v>-2.6993568711151217</v>
      </c>
      <c r="AI26" s="1">
        <f>[1]Results!AL1387</f>
        <v>-2.8953835028015074</v>
      </c>
      <c r="AJ26" s="1">
        <f>[1]Results!AM1387</f>
        <v>-3.1001025347558997</v>
      </c>
      <c r="AK26" s="1">
        <f>[1]Results!AN1387</f>
        <v>-3.3029899502221682</v>
      </c>
      <c r="AL26" s="1">
        <f>[1]Results!AO1387</f>
        <v>-3.4926092279752297</v>
      </c>
    </row>
    <row r="27" spans="1:38" x14ac:dyDescent="0.35">
      <c r="A27" s="3" t="str">
        <f>[1]Results!E1388</f>
        <v>100*((IA_spub_2)/(IA_spub_0)-1)</v>
      </c>
      <c r="B27" t="str">
        <f>[1]Results!C1388</f>
        <v>Investissement public</v>
      </c>
      <c r="C27" s="1">
        <f>[1]Results!F1388</f>
        <v>0</v>
      </c>
      <c r="D27" s="1">
        <f>[1]Results!G1388</f>
        <v>0</v>
      </c>
      <c r="E27" s="1">
        <f>[1]Results!H1388</f>
        <v>0</v>
      </c>
      <c r="F27" s="1">
        <f>[1]Results!I1388</f>
        <v>0</v>
      </c>
      <c r="G27" s="1">
        <f>[1]Results!J1388</f>
        <v>-2.4030644141248558E-8</v>
      </c>
      <c r="H27" s="1">
        <f>[1]Results!K1388</f>
        <v>0</v>
      </c>
      <c r="I27" s="1">
        <f>[1]Results!L1388</f>
        <v>0</v>
      </c>
      <c r="J27" s="1">
        <f>[1]Results!M1388</f>
        <v>-0.18081089285248986</v>
      </c>
      <c r="K27" s="1">
        <f>[1]Results!N1388</f>
        <v>-0.49994840849484357</v>
      </c>
      <c r="L27" s="1">
        <f>[1]Results!O1388</f>
        <v>-0.8954774625998474</v>
      </c>
      <c r="M27" s="1">
        <f>[1]Results!P1388</f>
        <v>-1.3846804001302893</v>
      </c>
      <c r="N27" s="1">
        <f>[1]Results!Q1388</f>
        <v>-1.7272012021047112</v>
      </c>
      <c r="O27" s="1">
        <f>[1]Results!R1388</f>
        <v>-1.9206855918678878</v>
      </c>
      <c r="P27" s="1">
        <f>[1]Results!S1388</f>
        <v>-1.9974317851316981</v>
      </c>
      <c r="Q27" s="1">
        <f>[1]Results!T1388</f>
        <v>-1.992297927676534</v>
      </c>
      <c r="R27" s="1">
        <f>[1]Results!U1388</f>
        <v>-1.9337787038574694</v>
      </c>
      <c r="S27" s="1">
        <f>[1]Results!V1388</f>
        <v>-1.86796752077385</v>
      </c>
      <c r="T27" s="1">
        <f>[1]Results!W1388</f>
        <v>-1.8121768759147949</v>
      </c>
      <c r="U27" s="1">
        <f>[1]Results!X1388</f>
        <v>-1.7633880302524219</v>
      </c>
      <c r="V27" s="1">
        <f>[1]Results!Y1388</f>
        <v>-1.7075414202743389</v>
      </c>
      <c r="W27" s="1">
        <f>[1]Results!Z1388</f>
        <v>-1.6403164625102384</v>
      </c>
      <c r="X27" s="1">
        <f>[1]Results!AA1388</f>
        <v>-1.5383605828387714</v>
      </c>
      <c r="Y27" s="1">
        <f>[1]Results!AB1388</f>
        <v>-1.4080471604852929</v>
      </c>
      <c r="Z27" s="1">
        <f>[1]Results!AC1388</f>
        <v>-1.2551620421556553</v>
      </c>
      <c r="AA27" s="1">
        <f>[1]Results!AD1388</f>
        <v>-1.0845843633328189</v>
      </c>
      <c r="AB27" s="1">
        <f>[1]Results!AE1388</f>
        <v>-0.90093180812976792</v>
      </c>
      <c r="AC27" s="1">
        <f>[1]Results!AF1388</f>
        <v>-0.70113783031556798</v>
      </c>
      <c r="AD27" s="1">
        <f>[1]Results!AG1388</f>
        <v>-0.50418889363011976</v>
      </c>
      <c r="AE27" s="1">
        <f>[1]Results!AH1388</f>
        <v>-0.3190370355222405</v>
      </c>
      <c r="AF27" s="1">
        <f>[1]Results!AI1388</f>
        <v>-0.14988620039154688</v>
      </c>
      <c r="AG27" s="1">
        <f>[1]Results!AJ1388</f>
        <v>1.5699571149552227E-3</v>
      </c>
      <c r="AH27" s="1">
        <f>[1]Results!AK1388</f>
        <v>0.1384736797069408</v>
      </c>
      <c r="AI27" s="1">
        <f>[1]Results!AL1388</f>
        <v>0.25500348531588557</v>
      </c>
      <c r="AJ27" s="1">
        <f>[1]Results!AM1388</f>
        <v>0.34989109465812795</v>
      </c>
      <c r="AK27" s="1">
        <f>[1]Results!AN1388</f>
        <v>0.42447632711439809</v>
      </c>
      <c r="AL27" s="1">
        <f>[1]Results!AO1388</f>
        <v>0.48133634184128749</v>
      </c>
    </row>
    <row r="28" spans="1:38" x14ac:dyDescent="0.35">
      <c r="A28" s="3" t="str">
        <f>[1]Results!E1389</f>
        <v>100*(DISPINC_AT_VAL_2/DISPINC_AT_VAL_0-1)</v>
      </c>
      <c r="B28" t="str">
        <f>[1]Results!C1389</f>
        <v>Revenu disponible des ménages</v>
      </c>
      <c r="C28" s="1">
        <f>[1]Results!F1389</f>
        <v>0</v>
      </c>
      <c r="D28" s="1">
        <f>[1]Results!G1389</f>
        <v>0</v>
      </c>
      <c r="E28" s="1">
        <f>[1]Results!H1389</f>
        <v>0</v>
      </c>
      <c r="F28" s="1">
        <f>[1]Results!I1389</f>
        <v>6.5905902957297258E-8</v>
      </c>
      <c r="G28" s="1">
        <f>[1]Results!J1389</f>
        <v>0</v>
      </c>
      <c r="H28" s="1">
        <f>[1]Results!K1389</f>
        <v>1.2118779313396999E-7</v>
      </c>
      <c r="I28" s="1">
        <f>[1]Results!L1389</f>
        <v>5.8026827787216462E-8</v>
      </c>
      <c r="J28" s="1">
        <f>[1]Results!M1389</f>
        <v>-4.1412666256823716E-2</v>
      </c>
      <c r="K28" s="1">
        <f>[1]Results!N1389</f>
        <v>-1.3331850685582847E-2</v>
      </c>
      <c r="L28" s="1">
        <f>[1]Results!O1389</f>
        <v>0.4190583658543634</v>
      </c>
      <c r="M28" s="1">
        <f>[1]Results!P1389</f>
        <v>1.2925985017030017</v>
      </c>
      <c r="N28" s="1">
        <f>[1]Results!Q1389</f>
        <v>2.4138183098574295</v>
      </c>
      <c r="O28" s="1">
        <f>[1]Results!R1389</f>
        <v>3.6464528594707613</v>
      </c>
      <c r="P28" s="1">
        <f>[1]Results!S1389</f>
        <v>4.8827122862328931</v>
      </c>
      <c r="Q28" s="1">
        <f>[1]Results!T1389</f>
        <v>6.0821136398183873</v>
      </c>
      <c r="R28" s="1">
        <f>[1]Results!U1389</f>
        <v>7.2240912672567825</v>
      </c>
      <c r="S28" s="1">
        <f>[1]Results!V1389</f>
        <v>8.2905929948722701</v>
      </c>
      <c r="T28" s="1">
        <f>[1]Results!W1389</f>
        <v>9.2816297041852458</v>
      </c>
      <c r="U28" s="1">
        <f>[1]Results!X1389</f>
        <v>10.194456836332332</v>
      </c>
      <c r="V28" s="1">
        <f>[1]Results!Y1389</f>
        <v>11.016745182823318</v>
      </c>
      <c r="W28" s="1">
        <f>[1]Results!Z1389</f>
        <v>11.734462026478742</v>
      </c>
      <c r="X28" s="1">
        <f>[1]Results!AA1389</f>
        <v>12.326175574100052</v>
      </c>
      <c r="Y28" s="1">
        <f>[1]Results!AB1389</f>
        <v>12.780712638080537</v>
      </c>
      <c r="Z28" s="1">
        <f>[1]Results!AC1389</f>
        <v>13.092236399205891</v>
      </c>
      <c r="AA28" s="1">
        <f>[1]Results!AD1389</f>
        <v>13.260134540783008</v>
      </c>
      <c r="AB28" s="1">
        <f>[1]Results!AE1389</f>
        <v>13.282674322937261</v>
      </c>
      <c r="AC28" s="1">
        <f>[1]Results!AF1389</f>
        <v>13.177625466715304</v>
      </c>
      <c r="AD28" s="1">
        <f>[1]Results!AG1389</f>
        <v>12.970427888176861</v>
      </c>
      <c r="AE28" s="1">
        <f>[1]Results!AH1389</f>
        <v>12.687123012977608</v>
      </c>
      <c r="AF28" s="1">
        <f>[1]Results!AI1389</f>
        <v>12.352155364539597</v>
      </c>
      <c r="AG28" s="1">
        <f>[1]Results!AJ1389</f>
        <v>11.986226969030888</v>
      </c>
      <c r="AH28" s="1">
        <f>[1]Results!AK1389</f>
        <v>11.609482826301187</v>
      </c>
      <c r="AI28" s="1">
        <f>[1]Results!AL1389</f>
        <v>11.243750305958567</v>
      </c>
      <c r="AJ28" s="1">
        <f>[1]Results!AM1389</f>
        <v>10.909690558857775</v>
      </c>
      <c r="AK28" s="1">
        <f>[1]Results!AN1389</f>
        <v>10.624606259467505</v>
      </c>
      <c r="AL28" s="1">
        <f>[1]Results!AO1389</f>
        <v>10.400793440640443</v>
      </c>
    </row>
    <row r="29" spans="1:38" x14ac:dyDescent="0.35">
      <c r="A29" s="3" t="str">
        <f>[1]Results!E1390</f>
        <v>100*(DISPINC_AT_VAL_2/DISPINC_AT_VAL_0-1)-100*(PCH_2/PCH_0-1)</v>
      </c>
      <c r="B29" t="str">
        <f>[1]Results!C1390</f>
        <v>Revenu disponible réel des ménages</v>
      </c>
      <c r="C29" s="1">
        <f>[1]Results!F1390</f>
        <v>0</v>
      </c>
      <c r="D29" s="1">
        <f>[1]Results!G1390</f>
        <v>0</v>
      </c>
      <c r="E29" s="1">
        <f>[1]Results!H1390</f>
        <v>0</v>
      </c>
      <c r="F29" s="1">
        <f>[1]Results!I1390</f>
        <v>-2.7937940849653842E-8</v>
      </c>
      <c r="G29" s="1">
        <f>[1]Results!J1390</f>
        <v>-9.2010621344229548E-8</v>
      </c>
      <c r="H29" s="1">
        <f>[1]Results!K1390</f>
        <v>3.0972691078545722E-8</v>
      </c>
      <c r="I29" s="1">
        <f>[1]Results!L1390</f>
        <v>-1.1883662942580031E-7</v>
      </c>
      <c r="J29" s="1">
        <f>[1]Results!M1390</f>
        <v>-0.56524335297568618</v>
      </c>
      <c r="K29" s="1">
        <f>[1]Results!N1390</f>
        <v>-1.354802819947809</v>
      </c>
      <c r="L29" s="1">
        <f>[1]Results!O1390</f>
        <v>-2.1672674594633845</v>
      </c>
      <c r="M29" s="1">
        <f>[1]Results!P1390</f>
        <v>-3.0818853435893079</v>
      </c>
      <c r="N29" s="1">
        <f>[1]Results!Q1390</f>
        <v>-3.1956151440297731</v>
      </c>
      <c r="O29" s="1">
        <f>[1]Results!R1390</f>
        <v>-3.0455206015158387</v>
      </c>
      <c r="P29" s="1">
        <f>[1]Results!S1390</f>
        <v>-2.7918976877698398</v>
      </c>
      <c r="Q29" s="1">
        <f>[1]Results!T1390</f>
        <v>-2.5069744067470756</v>
      </c>
      <c r="R29" s="1">
        <f>[1]Results!U1390</f>
        <v>-2.2237419872953792</v>
      </c>
      <c r="S29" s="1">
        <f>[1]Results!V1390</f>
        <v>-2.0415775654202726</v>
      </c>
      <c r="T29" s="1">
        <f>[1]Results!W1390</f>
        <v>-1.9449741111451821</v>
      </c>
      <c r="U29" s="1">
        <f>[1]Results!X1390</f>
        <v>-1.8996608250152036</v>
      </c>
      <c r="V29" s="1">
        <f>[1]Results!Y1390</f>
        <v>-1.8711419886066736</v>
      </c>
      <c r="W29" s="1">
        <f>[1]Results!Z1390</f>
        <v>-1.8752086849405334</v>
      </c>
      <c r="X29" s="1">
        <f>[1]Results!AA1390</f>
        <v>-1.8384630477719757</v>
      </c>
      <c r="Y29" s="1">
        <f>[1]Results!AB1390</f>
        <v>-1.82599842672251</v>
      </c>
      <c r="Z29" s="1">
        <f>[1]Results!AC1390</f>
        <v>-1.841943401141922</v>
      </c>
      <c r="AA29" s="1">
        <f>[1]Results!AD1390</f>
        <v>-1.886046576740986</v>
      </c>
      <c r="AB29" s="1">
        <f>[1]Results!AE1390</f>
        <v>-1.9619733549366405</v>
      </c>
      <c r="AC29" s="1">
        <f>[1]Results!AF1390</f>
        <v>-2.0279848979553936</v>
      </c>
      <c r="AD29" s="1">
        <f>[1]Results!AG1390</f>
        <v>-2.1364149404235366</v>
      </c>
      <c r="AE29" s="1">
        <f>[1]Results!AH1390</f>
        <v>-2.2721298351695562</v>
      </c>
      <c r="AF29" s="1">
        <f>[1]Results!AI1390</f>
        <v>-2.4234746633067896</v>
      </c>
      <c r="AG29" s="1">
        <f>[1]Results!AJ1390</f>
        <v>-2.5822960604732224</v>
      </c>
      <c r="AH29" s="1">
        <f>[1]Results!AK1390</f>
        <v>-2.7252340236475501</v>
      </c>
      <c r="AI29" s="1">
        <f>[1]Results!AL1390</f>
        <v>-2.8718526093800527</v>
      </c>
      <c r="AJ29" s="1">
        <f>[1]Results!AM1390</f>
        <v>-3.011844691825317</v>
      </c>
      <c r="AK29" s="1">
        <f>[1]Results!AN1390</f>
        <v>-3.1356271770678568</v>
      </c>
      <c r="AL29" s="1">
        <f>[1]Results!AO1390</f>
        <v>-3.2367729737998285</v>
      </c>
    </row>
    <row r="30" spans="1:38" x14ac:dyDescent="0.35">
      <c r="A30" s="3" t="str">
        <f>[1]Results!E1391</f>
        <v>100*(DISPINC_AT_VAL_2/DISPINC_AT_VAL_0-1)-100*((F_L_2/F_L_0)-1)</v>
      </c>
      <c r="B30" t="str">
        <f>[1]Results!C1391</f>
        <v>Revenu disponible par emploi en valeur</v>
      </c>
      <c r="C30" s="1">
        <f>[1]Results!F1391</f>
        <v>0</v>
      </c>
      <c r="D30" s="1">
        <f>[1]Results!G1391</f>
        <v>3.6419334215054278E-8</v>
      </c>
      <c r="E30" s="1">
        <f>[1]Results!H1391</f>
        <v>0</v>
      </c>
      <c r="F30" s="1">
        <f>[1]Results!I1391</f>
        <v>6.5905902957297258E-8</v>
      </c>
      <c r="G30" s="1">
        <f>[1]Results!J1391</f>
        <v>3.5602920611665922E-8</v>
      </c>
      <c r="H30" s="1">
        <f>[1]Results!K1391</f>
        <v>1.2118779313396999E-7</v>
      </c>
      <c r="I30" s="1">
        <f>[1]Results!L1391</f>
        <v>9.2862428857642954E-8</v>
      </c>
      <c r="J30" s="1">
        <f>[1]Results!M1391</f>
        <v>0.14158340052029539</v>
      </c>
      <c r="K30" s="1">
        <f>[1]Results!N1391</f>
        <v>0.50421084540130945</v>
      </c>
      <c r="L30" s="1">
        <f>[1]Results!O1391</f>
        <v>1.2014540954989883</v>
      </c>
      <c r="M30" s="1">
        <f>[1]Results!P1391</f>
        <v>2.3330002939865202</v>
      </c>
      <c r="N30" s="1">
        <f>[1]Results!Q1391</f>
        <v>3.6959838421868785</v>
      </c>
      <c r="O30" s="1">
        <f>[1]Results!R1391</f>
        <v>5.1435401400169445</v>
      </c>
      <c r="P30" s="1">
        <f>[1]Results!S1391</f>
        <v>6.559487513480744</v>
      </c>
      <c r="Q30" s="1">
        <f>[1]Results!T1391</f>
        <v>7.8971693308527495</v>
      </c>
      <c r="R30" s="1">
        <f>[1]Results!U1391</f>
        <v>9.1430880190039083</v>
      </c>
      <c r="S30" s="1">
        <f>[1]Results!V1391</f>
        <v>10.312867260401749</v>
      </c>
      <c r="T30" s="1">
        <f>[1]Results!W1391</f>
        <v>11.424390817345721</v>
      </c>
      <c r="U30" s="1">
        <f>[1]Results!X1391</f>
        <v>12.4819384990129</v>
      </c>
      <c r="V30" s="1">
        <f>[1]Results!Y1391</f>
        <v>13.469661980677273</v>
      </c>
      <c r="W30" s="1">
        <f>[1]Results!Z1391</f>
        <v>14.369723934152633</v>
      </c>
      <c r="X30" s="1">
        <f>[1]Results!AA1391</f>
        <v>15.147943321312619</v>
      </c>
      <c r="Y30" s="1">
        <f>[1]Results!AB1391</f>
        <v>15.783011827883552</v>
      </c>
      <c r="Z30" s="1">
        <f>[1]Results!AC1391</f>
        <v>16.264117490140151</v>
      </c>
      <c r="AA30" s="1">
        <f>[1]Results!AD1391</f>
        <v>16.588946213477428</v>
      </c>
      <c r="AB30" s="1">
        <f>[1]Results!AE1391</f>
        <v>16.756239447291467</v>
      </c>
      <c r="AC30" s="1">
        <f>[1]Results!AF1391</f>
        <v>16.776076864569166</v>
      </c>
      <c r="AD30" s="1">
        <f>[1]Results!AG1391</f>
        <v>16.667086358088469</v>
      </c>
      <c r="AE30" s="1">
        <f>[1]Results!AH1391</f>
        <v>16.453065179478987</v>
      </c>
      <c r="AF30" s="1">
        <f>[1]Results!AI1391</f>
        <v>16.159290799702841</v>
      </c>
      <c r="AG30" s="1">
        <f>[1]Results!AJ1391</f>
        <v>15.808937942393541</v>
      </c>
      <c r="AH30" s="1">
        <f>[1]Results!AK1391</f>
        <v>15.422047091332214</v>
      </c>
      <c r="AI30" s="1">
        <f>[1]Results!AL1391</f>
        <v>15.020618969436596</v>
      </c>
      <c r="AJ30" s="1">
        <f>[1]Results!AM1391</f>
        <v>14.627375951383659</v>
      </c>
      <c r="AK30" s="1">
        <f>[1]Results!AN1391</f>
        <v>14.262911475753336</v>
      </c>
      <c r="AL30" s="1">
        <f>[1]Results!AO1391</f>
        <v>13.943345190073241</v>
      </c>
    </row>
    <row r="31" spans="1:38" x14ac:dyDescent="0.35">
      <c r="A31" s="3" t="str">
        <f>[1]Results!E1392</f>
        <v>100*(DISPINC_AT_VAL_2/DISPINC_AT_VAL_0-1)-100*((F_L_2/F_L_0)-1)-100*(PCH_2/PCH_0-1)</v>
      </c>
      <c r="B31" t="str">
        <f>[1]Results!C1392</f>
        <v>Revenu disponible réel par emploi</v>
      </c>
      <c r="C31" s="1">
        <f>[1]Results!F1392</f>
        <v>0</v>
      </c>
      <c r="D31" s="1">
        <f>[1]Results!G1392</f>
        <v>3.6419334215054278E-8</v>
      </c>
      <c r="E31" s="1">
        <f>[1]Results!H1392</f>
        <v>0</v>
      </c>
      <c r="F31" s="1">
        <f>[1]Results!I1392</f>
        <v>-2.7937940849653842E-8</v>
      </c>
      <c r="G31" s="1">
        <f>[1]Results!J1392</f>
        <v>-5.6407700732563626E-8</v>
      </c>
      <c r="H31" s="1">
        <f>[1]Results!K1392</f>
        <v>3.0972691078545722E-8</v>
      </c>
      <c r="I31" s="1">
        <f>[1]Results!L1392</f>
        <v>-8.4001028355373819E-8</v>
      </c>
      <c r="J31" s="1">
        <f>[1]Results!M1392</f>
        <v>-0.38224728619856707</v>
      </c>
      <c r="K31" s="1">
        <f>[1]Results!N1392</f>
        <v>-0.83726012386091675</v>
      </c>
      <c r="L31" s="1">
        <f>[1]Results!O1392</f>
        <v>-1.3848717298187596</v>
      </c>
      <c r="M31" s="1">
        <f>[1]Results!P1392</f>
        <v>-2.0414835513057894</v>
      </c>
      <c r="N31" s="1">
        <f>[1]Results!Q1392</f>
        <v>-1.9134496117003241</v>
      </c>
      <c r="O31" s="1">
        <f>[1]Results!R1392</f>
        <v>-1.5484333209696555</v>
      </c>
      <c r="P31" s="1">
        <f>[1]Results!S1392</f>
        <v>-1.1151224605219889</v>
      </c>
      <c r="Q31" s="1">
        <f>[1]Results!T1392</f>
        <v>-0.69191871571271335</v>
      </c>
      <c r="R31" s="1">
        <f>[1]Results!U1392</f>
        <v>-0.30474523554825339</v>
      </c>
      <c r="S31" s="1">
        <f>[1]Results!V1392</f>
        <v>-1.9303299890793824E-2</v>
      </c>
      <c r="T31" s="1">
        <f>[1]Results!W1392</f>
        <v>0.19778700201529276</v>
      </c>
      <c r="U31" s="1">
        <f>[1]Results!X1392</f>
        <v>0.38782083766536424</v>
      </c>
      <c r="V31" s="1">
        <f>[1]Results!Y1392</f>
        <v>0.58177480924728187</v>
      </c>
      <c r="W31" s="1">
        <f>[1]Results!Z1392</f>
        <v>0.76005322273335807</v>
      </c>
      <c r="X31" s="1">
        <f>[1]Results!AA1392</f>
        <v>0.98330469944059118</v>
      </c>
      <c r="Y31" s="1">
        <f>[1]Results!AB1392</f>
        <v>1.1763007630805049</v>
      </c>
      <c r="Z31" s="1">
        <f>[1]Results!AC1392</f>
        <v>1.3299376897923381</v>
      </c>
      <c r="AA31" s="1">
        <f>[1]Results!AD1392</f>
        <v>1.4427650959534333</v>
      </c>
      <c r="AB31" s="1">
        <f>[1]Results!AE1392</f>
        <v>1.5115917694175653</v>
      </c>
      <c r="AC31" s="1">
        <f>[1]Results!AF1392</f>
        <v>1.570466499898469</v>
      </c>
      <c r="AD31" s="1">
        <f>[1]Results!AG1392</f>
        <v>1.560243529488071</v>
      </c>
      <c r="AE31" s="1">
        <f>[1]Results!AH1392</f>
        <v>1.4938123313318226</v>
      </c>
      <c r="AF31" s="1">
        <f>[1]Results!AI1392</f>
        <v>1.3836607718564551</v>
      </c>
      <c r="AG31" s="1">
        <f>[1]Results!AJ1392</f>
        <v>1.2404149128894311</v>
      </c>
      <c r="AH31" s="1">
        <f>[1]Results!AK1392</f>
        <v>1.0873302413834764</v>
      </c>
      <c r="AI31" s="1">
        <f>[1]Results!AL1392</f>
        <v>0.9050160540979757</v>
      </c>
      <c r="AJ31" s="1">
        <f>[1]Results!AM1392</f>
        <v>0.70584070070056626</v>
      </c>
      <c r="AK31" s="1">
        <f>[1]Results!AN1392</f>
        <v>0.50267803921797416</v>
      </c>
      <c r="AL31" s="1">
        <f>[1]Results!AO1392</f>
        <v>0.30577877563296951</v>
      </c>
    </row>
    <row r="32" spans="1:38" x14ac:dyDescent="0.35">
      <c r="A32" s="3" t="str">
        <f>[1]Results!E1393</f>
        <v>100*(MPS_n_2-MPS_n_0)</v>
      </c>
      <c r="B32" t="str">
        <f>[1]Results!C1393</f>
        <v>Taux d'épargne</v>
      </c>
      <c r="C32" s="1">
        <f>[1]Results!F1393</f>
        <v>0</v>
      </c>
      <c r="D32" s="1">
        <f>[1]Results!G1393</f>
        <v>0</v>
      </c>
      <c r="E32" s="1">
        <f>[1]Results!H1393</f>
        <v>0</v>
      </c>
      <c r="F32" s="1">
        <f>[1]Results!I1393</f>
        <v>0</v>
      </c>
      <c r="G32" s="1">
        <f>[1]Results!J1393</f>
        <v>0</v>
      </c>
      <c r="H32" s="1">
        <f>[1]Results!K1393</f>
        <v>0</v>
      </c>
      <c r="I32" s="1">
        <f>[1]Results!L1393</f>
        <v>0</v>
      </c>
      <c r="J32" s="1">
        <f>[1]Results!M1393</f>
        <v>0</v>
      </c>
      <c r="K32" s="1">
        <f>[1]Results!N1393</f>
        <v>0</v>
      </c>
      <c r="L32" s="1">
        <f>[1]Results!O1393</f>
        <v>0</v>
      </c>
      <c r="M32" s="1">
        <f>[1]Results!P1393</f>
        <v>0</v>
      </c>
      <c r="N32" s="1">
        <f>[1]Results!Q1393</f>
        <v>0</v>
      </c>
      <c r="O32" s="1">
        <f>[1]Results!R1393</f>
        <v>0</v>
      </c>
      <c r="P32" s="1">
        <f>[1]Results!S1393</f>
        <v>0</v>
      </c>
      <c r="Q32" s="1">
        <f>[1]Results!T1393</f>
        <v>0</v>
      </c>
      <c r="R32" s="1">
        <f>[1]Results!U1393</f>
        <v>0</v>
      </c>
      <c r="S32" s="1">
        <f>[1]Results!V1393</f>
        <v>0</v>
      </c>
      <c r="T32" s="1">
        <f>[1]Results!W1393</f>
        <v>0</v>
      </c>
      <c r="U32" s="1">
        <f>[1]Results!X1393</f>
        <v>0</v>
      </c>
      <c r="V32" s="1">
        <f>[1]Results!Y1393</f>
        <v>0</v>
      </c>
      <c r="W32" s="1">
        <f>[1]Results!Z1393</f>
        <v>0</v>
      </c>
      <c r="X32" s="1">
        <f>[1]Results!AA1393</f>
        <v>0</v>
      </c>
      <c r="Y32" s="1">
        <f>[1]Results!AB1393</f>
        <v>0</v>
      </c>
      <c r="Z32" s="1">
        <f>[1]Results!AC1393</f>
        <v>0</v>
      </c>
      <c r="AA32" s="1">
        <f>[1]Results!AD1393</f>
        <v>0</v>
      </c>
      <c r="AB32" s="1">
        <f>[1]Results!AE1393</f>
        <v>0</v>
      </c>
      <c r="AC32" s="1">
        <f>[1]Results!AF1393</f>
        <v>0</v>
      </c>
      <c r="AD32" s="1">
        <f>[1]Results!AG1393</f>
        <v>0</v>
      </c>
      <c r="AE32" s="1">
        <f>[1]Results!AH1393</f>
        <v>0</v>
      </c>
      <c r="AF32" s="1">
        <f>[1]Results!AI1393</f>
        <v>0</v>
      </c>
      <c r="AG32" s="1">
        <f>[1]Results!AJ1393</f>
        <v>0</v>
      </c>
      <c r="AH32" s="1">
        <f>[1]Results!AK1393</f>
        <v>0</v>
      </c>
      <c r="AI32" s="1">
        <f>[1]Results!AL1393</f>
        <v>0</v>
      </c>
      <c r="AJ32" s="1">
        <f>[1]Results!AM1393</f>
        <v>0</v>
      </c>
      <c r="AK32" s="1">
        <f>[1]Results!AN1393</f>
        <v>0</v>
      </c>
      <c r="AL32" s="1">
        <f>[1]Results!AO1393</f>
        <v>0</v>
      </c>
    </row>
    <row r="33" spans="1:38" x14ac:dyDescent="0.35">
      <c r="A33" s="3" t="str">
        <f>[1]Results!E1394</f>
        <v>100*(PCH_2/PCH_0-1)</v>
      </c>
      <c r="B33" t="str">
        <f>[1]Results!C1394</f>
        <v>Prix à la consommation des ménages</v>
      </c>
      <c r="C33" s="1">
        <f>[1]Results!F1394</f>
        <v>0</v>
      </c>
      <c r="D33" s="1">
        <f>[1]Results!G1394</f>
        <v>0</v>
      </c>
      <c r="E33" s="1">
        <f>[1]Results!H1394</f>
        <v>0</v>
      </c>
      <c r="F33" s="1">
        <f>[1]Results!I1394</f>
        <v>-2.7937940849653842E-8</v>
      </c>
      <c r="G33" s="1">
        <f>[1]Results!J1394</f>
        <v>-9.2010621344229548E-8</v>
      </c>
      <c r="H33" s="1">
        <f>[1]Results!K1394</f>
        <v>3.0972691078545722E-8</v>
      </c>
      <c r="I33" s="1">
        <f>[1]Results!L1394</f>
        <v>-1.1883662942580031E-7</v>
      </c>
      <c r="J33" s="1">
        <f>[1]Results!M1394</f>
        <v>-0.56524335297568618</v>
      </c>
      <c r="K33" s="1">
        <f>[1]Results!N1394</f>
        <v>-1.354802819947809</v>
      </c>
      <c r="L33" s="1">
        <f>[1]Results!O1394</f>
        <v>-2.1672674594633845</v>
      </c>
      <c r="M33" s="1">
        <f>[1]Results!P1394</f>
        <v>-3.0818853435893079</v>
      </c>
      <c r="N33" s="1">
        <f>[1]Results!Q1394</f>
        <v>-3.1956151440297731</v>
      </c>
      <c r="O33" s="1">
        <f>[1]Results!R1394</f>
        <v>-3.0455206015158387</v>
      </c>
      <c r="P33" s="1">
        <f>[1]Results!S1394</f>
        <v>-2.7918976877698398</v>
      </c>
      <c r="Q33" s="1">
        <f>[1]Results!T1394</f>
        <v>-2.5069744067470756</v>
      </c>
      <c r="R33" s="1">
        <f>[1]Results!U1394</f>
        <v>-2.2237419872953792</v>
      </c>
      <c r="S33" s="1">
        <f>[1]Results!V1394</f>
        <v>-2.0415775654202726</v>
      </c>
      <c r="T33" s="1">
        <f>[1]Results!W1394</f>
        <v>-1.9449741111451821</v>
      </c>
      <c r="U33" s="1">
        <f>[1]Results!X1394</f>
        <v>-1.8996608250152036</v>
      </c>
      <c r="V33" s="1">
        <f>[1]Results!Y1394</f>
        <v>-1.8711419886066736</v>
      </c>
      <c r="W33" s="1">
        <f>[1]Results!Z1394</f>
        <v>-1.8752086849405334</v>
      </c>
      <c r="X33" s="1">
        <f>[1]Results!AA1394</f>
        <v>-1.8384630477719757</v>
      </c>
      <c r="Y33" s="1">
        <f>[1]Results!AB1394</f>
        <v>-1.82599842672251</v>
      </c>
      <c r="Z33" s="1">
        <f>[1]Results!AC1394</f>
        <v>-1.841943401141922</v>
      </c>
      <c r="AA33" s="1">
        <f>[1]Results!AD1394</f>
        <v>-1.886046576740986</v>
      </c>
      <c r="AB33" s="1">
        <f>[1]Results!AE1394</f>
        <v>-1.9619733549366405</v>
      </c>
      <c r="AC33" s="1">
        <f>[1]Results!AF1394</f>
        <v>-2.0279848979553936</v>
      </c>
      <c r="AD33" s="1">
        <f>[1]Results!AG1394</f>
        <v>-2.1364149404235366</v>
      </c>
      <c r="AE33" s="1">
        <f>[1]Results!AH1394</f>
        <v>-2.2721298351695562</v>
      </c>
      <c r="AF33" s="1">
        <f>[1]Results!AI1394</f>
        <v>-2.4234746633067896</v>
      </c>
      <c r="AG33" s="1">
        <f>[1]Results!AJ1394</f>
        <v>-2.5822960604732224</v>
      </c>
      <c r="AH33" s="1">
        <f>[1]Results!AK1394</f>
        <v>-2.7252340236475501</v>
      </c>
      <c r="AI33" s="1">
        <f>[1]Results!AL1394</f>
        <v>-2.8718526093800527</v>
      </c>
      <c r="AJ33" s="1">
        <f>[1]Results!AM1394</f>
        <v>-3.011844691825317</v>
      </c>
      <c r="AK33" s="1">
        <f>[1]Results!AN1394</f>
        <v>-3.1356271770678568</v>
      </c>
      <c r="AL33" s="1">
        <f>[1]Results!AO1394</f>
        <v>-3.2367729737998285</v>
      </c>
    </row>
    <row r="34" spans="1:38" x14ac:dyDescent="0.35">
      <c r="A34" s="3" t="str">
        <f>[1]Results!E1395</f>
        <v>100*(PY_2/PY_0-1)</v>
      </c>
      <c r="B34" t="str">
        <f>[1]Results!C1395</f>
        <v>Prix à la production marchande</v>
      </c>
      <c r="C34" s="1">
        <f>[1]Results!F1395</f>
        <v>0</v>
      </c>
      <c r="D34" s="1">
        <f>[1]Results!G1395</f>
        <v>9.7852170810597272E-8</v>
      </c>
      <c r="E34" s="1">
        <f>[1]Results!H1395</f>
        <v>0</v>
      </c>
      <c r="F34" s="1">
        <f>[1]Results!I1395</f>
        <v>0</v>
      </c>
      <c r="G34" s="1">
        <f>[1]Results!J1395</f>
        <v>9.1786866995846594E-8</v>
      </c>
      <c r="H34" s="1">
        <f>[1]Results!K1395</f>
        <v>8.9846508011248716E-8</v>
      </c>
      <c r="I34" s="1">
        <f>[1]Results!L1395</f>
        <v>8.7920026814458652E-8</v>
      </c>
      <c r="J34" s="1">
        <f>[1]Results!M1395</f>
        <v>0.31656558450505745</v>
      </c>
      <c r="K34" s="1">
        <f>[1]Results!N1395</f>
        <v>0.92217980013558076</v>
      </c>
      <c r="L34" s="1">
        <f>[1]Results!O1395</f>
        <v>1.9294255345464695</v>
      </c>
      <c r="M34" s="1">
        <f>[1]Results!P1395</f>
        <v>3.4398417199294151</v>
      </c>
      <c r="N34" s="1">
        <f>[1]Results!Q1395</f>
        <v>4.7574188561215092</v>
      </c>
      <c r="O34" s="1">
        <f>[1]Results!R1395</f>
        <v>5.9155598002862408</v>
      </c>
      <c r="P34" s="1">
        <f>[1]Results!S1395</f>
        <v>6.9661694855920553</v>
      </c>
      <c r="Q34" s="1">
        <f>[1]Results!T1395</f>
        <v>7.9480502462036862</v>
      </c>
      <c r="R34" s="1">
        <f>[1]Results!U1395</f>
        <v>8.8783351545145717</v>
      </c>
      <c r="S34" s="1">
        <f>[1]Results!V1395</f>
        <v>9.8085007252857856</v>
      </c>
      <c r="T34" s="1">
        <f>[1]Results!W1395</f>
        <v>10.740603642671175</v>
      </c>
      <c r="U34" s="1">
        <f>[1]Results!X1395</f>
        <v>11.650283442984577</v>
      </c>
      <c r="V34" s="1">
        <f>[1]Results!Y1395</f>
        <v>12.501413271710128</v>
      </c>
      <c r="W34" s="1">
        <f>[1]Results!Z1395</f>
        <v>13.280003249297456</v>
      </c>
      <c r="X34" s="1">
        <f>[1]Results!AA1395</f>
        <v>13.914832241422936</v>
      </c>
      <c r="Y34" s="1">
        <f>[1]Results!AB1395</f>
        <v>14.423456528736288</v>
      </c>
      <c r="Z34" s="1">
        <f>[1]Results!AC1395</f>
        <v>14.813228732731055</v>
      </c>
      <c r="AA34" s="1">
        <f>[1]Results!AD1395</f>
        <v>15.088040137420755</v>
      </c>
      <c r="AB34" s="1">
        <f>[1]Results!AE1395</f>
        <v>15.252104272428625</v>
      </c>
      <c r="AC34" s="1">
        <f>[1]Results!AF1395</f>
        <v>15.262311405247498</v>
      </c>
      <c r="AD34" s="1">
        <f>[1]Results!AG1395</f>
        <v>15.193593796805626</v>
      </c>
      <c r="AE34" s="1">
        <f>[1]Results!AH1395</f>
        <v>15.077705230610562</v>
      </c>
      <c r="AF34" s="1">
        <f>[1]Results!AI1395</f>
        <v>14.933550141445773</v>
      </c>
      <c r="AG34" s="1">
        <f>[1]Results!AJ1395</f>
        <v>14.774801446754115</v>
      </c>
      <c r="AH34" s="1">
        <f>[1]Results!AK1395</f>
        <v>14.597131222089255</v>
      </c>
      <c r="AI34" s="1">
        <f>[1]Results!AL1395</f>
        <v>14.430231940037253</v>
      </c>
      <c r="AJ34" s="1">
        <f>[1]Results!AM1395</f>
        <v>14.289869074535533</v>
      </c>
      <c r="AK34" s="1">
        <f>[1]Results!AN1395</f>
        <v>14.184746992284825</v>
      </c>
      <c r="AL34" s="1">
        <f>[1]Results!AO1395</f>
        <v>14.120092678237661</v>
      </c>
    </row>
    <row r="35" spans="1:38" x14ac:dyDescent="0.35">
      <c r="A35" s="3" t="str">
        <f>[1]Results!E1396</f>
        <v>100*(PX_2/PX_0-1)</v>
      </c>
      <c r="B35" t="str">
        <f>[1]Results!C1396</f>
        <v>Prix des exportations</v>
      </c>
      <c r="C35" s="1">
        <f>[1]Results!F1396</f>
        <v>0</v>
      </c>
      <c r="D35" s="1">
        <f>[1]Results!G1396</f>
        <v>0</v>
      </c>
      <c r="E35" s="1">
        <f>[1]Results!H1396</f>
        <v>9.5899221896900144E-8</v>
      </c>
      <c r="F35" s="1">
        <f>[1]Results!I1396</f>
        <v>0</v>
      </c>
      <c r="G35" s="1">
        <f>[1]Results!J1396</f>
        <v>0</v>
      </c>
      <c r="H35" s="1">
        <f>[1]Results!K1396</f>
        <v>9.0134233410310571E-8</v>
      </c>
      <c r="I35" s="1">
        <f>[1]Results!L1396</f>
        <v>8.8334251024946298E-8</v>
      </c>
      <c r="J35" s="1">
        <f>[1]Results!M1396</f>
        <v>0.40398468826201572</v>
      </c>
      <c r="K35" s="1">
        <f>[1]Results!N1396</f>
        <v>1.1203742509580339</v>
      </c>
      <c r="L35" s="1">
        <f>[1]Results!O1396</f>
        <v>2.2714174890974492</v>
      </c>
      <c r="M35" s="1">
        <f>[1]Results!P1396</f>
        <v>3.9373510804714629</v>
      </c>
      <c r="N35" s="1">
        <f>[1]Results!Q1396</f>
        <v>5.319941217495372</v>
      </c>
      <c r="O35" s="1">
        <f>[1]Results!R1396</f>
        <v>6.4495065532509832</v>
      </c>
      <c r="P35" s="1">
        <f>[1]Results!S1396</f>
        <v>7.4047534843877383</v>
      </c>
      <c r="Q35" s="1">
        <f>[1]Results!T1396</f>
        <v>8.2478026383527858</v>
      </c>
      <c r="R35" s="1">
        <f>[1]Results!U1396</f>
        <v>9.0136819104561283</v>
      </c>
      <c r="S35" s="1">
        <f>[1]Results!V1396</f>
        <v>9.7807626497039344</v>
      </c>
      <c r="T35" s="1">
        <f>[1]Results!W1396</f>
        <v>10.564534944558668</v>
      </c>
      <c r="U35" s="1">
        <f>[1]Results!X1396</f>
        <v>11.337188572978828</v>
      </c>
      <c r="V35" s="1">
        <f>[1]Results!Y1396</f>
        <v>12.062101164545979</v>
      </c>
      <c r="W35" s="1">
        <f>[1]Results!Z1396</f>
        <v>12.724168406191151</v>
      </c>
      <c r="X35" s="1">
        <f>[1]Results!AA1396</f>
        <v>13.252877595627854</v>
      </c>
      <c r="Y35" s="1">
        <f>[1]Results!AB1396</f>
        <v>13.668289716800764</v>
      </c>
      <c r="Z35" s="1">
        <f>[1]Results!AC1396</f>
        <v>13.974558154341699</v>
      </c>
      <c r="AA35" s="1">
        <f>[1]Results!AD1396</f>
        <v>14.173445541907004</v>
      </c>
      <c r="AB35" s="1">
        <f>[1]Results!AE1396</f>
        <v>14.267589358682976</v>
      </c>
      <c r="AC35" s="1">
        <f>[1]Results!AF1396</f>
        <v>14.245751961633491</v>
      </c>
      <c r="AD35" s="1">
        <f>[1]Results!AG1396</f>
        <v>14.170362772440503</v>
      </c>
      <c r="AE35" s="1">
        <f>[1]Results!AH1396</f>
        <v>14.059365394248191</v>
      </c>
      <c r="AF35" s="1">
        <f>[1]Results!AI1396</f>
        <v>13.924768165040092</v>
      </c>
      <c r="AG35" s="1">
        <f>[1]Results!AJ1396</f>
        <v>13.776076109777492</v>
      </c>
      <c r="AH35" s="1">
        <f>[1]Results!AK1396</f>
        <v>13.610738659169442</v>
      </c>
      <c r="AI35" s="1">
        <f>[1]Results!AL1396</f>
        <v>13.460562707265943</v>
      </c>
      <c r="AJ35" s="1">
        <f>[1]Results!AM1396</f>
        <v>13.337542851629802</v>
      </c>
      <c r="AK35" s="1">
        <f>[1]Results!AN1396</f>
        <v>13.2478355819573</v>
      </c>
      <c r="AL35" s="1">
        <f>[1]Results!AO1396</f>
        <v>13.194883048244922</v>
      </c>
    </row>
    <row r="36" spans="1:38" x14ac:dyDescent="0.35">
      <c r="A36" s="3" t="str">
        <f>[1]Results!E1397</f>
        <v>100*(PM_2/PM_0-1)</v>
      </c>
      <c r="B36" t="str">
        <f>[1]Results!C1397</f>
        <v>Prix des importations</v>
      </c>
      <c r="C36" s="1">
        <f>[1]Results!F1397</f>
        <v>0</v>
      </c>
      <c r="D36" s="1">
        <f>[1]Results!G1397</f>
        <v>0</v>
      </c>
      <c r="E36" s="1">
        <f>[1]Results!H1397</f>
        <v>0</v>
      </c>
      <c r="F36" s="1">
        <f>[1]Results!I1397</f>
        <v>0</v>
      </c>
      <c r="G36" s="1">
        <f>[1]Results!J1397</f>
        <v>0</v>
      </c>
      <c r="H36" s="1">
        <f>[1]Results!K1397</f>
        <v>0</v>
      </c>
      <c r="I36" s="1">
        <f>[1]Results!L1397</f>
        <v>0</v>
      </c>
      <c r="J36" s="1">
        <f>[1]Results!M1397</f>
        <v>0.71340826608832231</v>
      </c>
      <c r="K36" s="1">
        <f>[1]Results!N1397</f>
        <v>1.464951205627929</v>
      </c>
      <c r="L36" s="1">
        <f>[1]Results!O1397</f>
        <v>2.2943538438719324</v>
      </c>
      <c r="M36" s="1">
        <f>[1]Results!P1397</f>
        <v>3.1958312564264402</v>
      </c>
      <c r="N36" s="1">
        <f>[1]Results!Q1397</f>
        <v>3.8924537175781371</v>
      </c>
      <c r="O36" s="1">
        <f>[1]Results!R1397</f>
        <v>4.2585671981532291</v>
      </c>
      <c r="P36" s="1">
        <f>[1]Results!S1397</f>
        <v>4.4334070508038836</v>
      </c>
      <c r="Q36" s="1">
        <f>[1]Results!T1397</f>
        <v>4.4794395971187839</v>
      </c>
      <c r="R36" s="1">
        <f>[1]Results!U1397</f>
        <v>4.4257070612524485</v>
      </c>
      <c r="S36" s="1">
        <f>[1]Results!V1397</f>
        <v>4.3906888986672277</v>
      </c>
      <c r="T36" s="1">
        <f>[1]Results!W1397</f>
        <v>4.4367361841642694</v>
      </c>
      <c r="U36" s="1">
        <f>[1]Results!X1397</f>
        <v>4.480825213197015</v>
      </c>
      <c r="V36" s="1">
        <f>[1]Results!Y1397</f>
        <v>4.4991481267407263</v>
      </c>
      <c r="W36" s="1">
        <f>[1]Results!Z1397</f>
        <v>4.4837061685952806</v>
      </c>
      <c r="X36" s="1">
        <f>[1]Results!AA1397</f>
        <v>4.4567241381546996</v>
      </c>
      <c r="Y36" s="1">
        <f>[1]Results!AB1397</f>
        <v>4.4255758467860007</v>
      </c>
      <c r="Z36" s="1">
        <f>[1]Results!AC1397</f>
        <v>4.3553350723367634</v>
      </c>
      <c r="AA36" s="1">
        <f>[1]Results!AD1397</f>
        <v>4.232765670046823</v>
      </c>
      <c r="AB36" s="1">
        <f>[1]Results!AE1397</f>
        <v>4.0554011296323411</v>
      </c>
      <c r="AC36" s="1">
        <f>[1]Results!AF1397</f>
        <v>3.9544679169528196</v>
      </c>
      <c r="AD36" s="1">
        <f>[1]Results!AG1397</f>
        <v>3.9704297733843763</v>
      </c>
      <c r="AE36" s="1">
        <f>[1]Results!AH1397</f>
        <v>4.0144674010800019</v>
      </c>
      <c r="AF36" s="1">
        <f>[1]Results!AI1397</f>
        <v>4.0589089363329167</v>
      </c>
      <c r="AG36" s="1">
        <f>[1]Results!AJ1397</f>
        <v>4.0971367023590721</v>
      </c>
      <c r="AH36" s="1">
        <f>[1]Results!AK1397</f>
        <v>4.1663009676628393</v>
      </c>
      <c r="AI36" s="1">
        <f>[1]Results!AL1397</f>
        <v>4.2968095843796128</v>
      </c>
      <c r="AJ36" s="1">
        <f>[1]Results!AM1397</f>
        <v>4.4557833847333139</v>
      </c>
      <c r="AK36" s="1">
        <f>[1]Results!AN1397</f>
        <v>4.6282421117181949</v>
      </c>
      <c r="AL36" s="1">
        <f>[1]Results!AO1397</f>
        <v>4.8073788196377976</v>
      </c>
    </row>
    <row r="37" spans="1:38" x14ac:dyDescent="0.35">
      <c r="A37" s="3" t="str">
        <f>[1]Results!E1398</f>
        <v>100*(W_2/W_0-1)</v>
      </c>
      <c r="B37" t="str">
        <f>[1]Results!C1398</f>
        <v>Salaire net nominal (hors cotisations employeurs et employés, unitaire)</v>
      </c>
      <c r="C37" s="1">
        <f>[1]Results!F1398</f>
        <v>0</v>
      </c>
      <c r="D37" s="1">
        <f>[1]Results!G1398</f>
        <v>0</v>
      </c>
      <c r="E37" s="1">
        <f>[1]Results!H1398</f>
        <v>2.2818591460804782E-8</v>
      </c>
      <c r="F37" s="1">
        <f>[1]Results!I1398</f>
        <v>2.2106427799428729E-8</v>
      </c>
      <c r="G37" s="1">
        <f>[1]Results!J1398</f>
        <v>4.2792080989784154E-8</v>
      </c>
      <c r="H37" s="1">
        <f>[1]Results!K1398</f>
        <v>6.2095839581388645E-8</v>
      </c>
      <c r="I37" s="1">
        <f>[1]Results!L1398</f>
        <v>6.0034932580776967E-8</v>
      </c>
      <c r="J37" s="1">
        <f>[1]Results!M1398</f>
        <v>-3.4528171373271466E-2</v>
      </c>
      <c r="K37" s="1">
        <f>[1]Results!N1398</f>
        <v>3.2278013005559991E-2</v>
      </c>
      <c r="L37" s="1">
        <f>[1]Results!O1398</f>
        <v>0.31544736999760126</v>
      </c>
      <c r="M37" s="1">
        <f>[1]Results!P1398</f>
        <v>0.89765865359461294</v>
      </c>
      <c r="N37" s="1">
        <f>[1]Results!Q1398</f>
        <v>1.8720381750569004</v>
      </c>
      <c r="O37" s="1">
        <f>[1]Results!R1398</f>
        <v>3.016050077042487</v>
      </c>
      <c r="P37" s="1">
        <f>[1]Results!S1398</f>
        <v>4.2025604329538169</v>
      </c>
      <c r="Q37" s="1">
        <f>[1]Results!T1398</f>
        <v>5.3683188529177084</v>
      </c>
      <c r="R37" s="1">
        <f>[1]Results!U1398</f>
        <v>6.4847640062868583</v>
      </c>
      <c r="S37" s="1">
        <f>[1]Results!V1398</f>
        <v>7.5343141388122037</v>
      </c>
      <c r="T37" s="1">
        <f>[1]Results!W1398</f>
        <v>8.5287648518572965</v>
      </c>
      <c r="U37" s="1">
        <f>[1]Results!X1398</f>
        <v>9.4799552149253721</v>
      </c>
      <c r="V37" s="1">
        <f>[1]Results!Y1398</f>
        <v>10.389160912791429</v>
      </c>
      <c r="W37" s="1">
        <f>[1]Results!Z1398</f>
        <v>11.241226029481656</v>
      </c>
      <c r="X37" s="1">
        <f>[1]Results!AA1398</f>
        <v>12.025324835084383</v>
      </c>
      <c r="Y37" s="1">
        <f>[1]Results!AB1398</f>
        <v>12.708877019903863</v>
      </c>
      <c r="Z37" s="1">
        <f>[1]Results!AC1398</f>
        <v>13.277904779077554</v>
      </c>
      <c r="AA37" s="1">
        <f>[1]Results!AD1398</f>
        <v>13.725674670631548</v>
      </c>
      <c r="AB37" s="1">
        <f>[1]Results!AE1398</f>
        <v>14.047504899134644</v>
      </c>
      <c r="AC37" s="1">
        <f>[1]Results!AF1398</f>
        <v>14.24609737440543</v>
      </c>
      <c r="AD37" s="1">
        <f>[1]Results!AG1398</f>
        <v>14.318403919607681</v>
      </c>
      <c r="AE37" s="1">
        <f>[1]Results!AH1398</f>
        <v>14.283181263830635</v>
      </c>
      <c r="AF37" s="1">
        <f>[1]Results!AI1398</f>
        <v>14.162395775279467</v>
      </c>
      <c r="AG37" s="1">
        <f>[1]Results!AJ1398</f>
        <v>13.97699114172919</v>
      </c>
      <c r="AH37" s="1">
        <f>[1]Results!AK1398</f>
        <v>13.746760301178629</v>
      </c>
      <c r="AI37" s="1">
        <f>[1]Results!AL1398</f>
        <v>13.485945364048169</v>
      </c>
      <c r="AJ37" s="1">
        <f>[1]Results!AM1398</f>
        <v>13.21523726284326</v>
      </c>
      <c r="AK37" s="1">
        <f>[1]Results!AN1398</f>
        <v>12.953890093710241</v>
      </c>
      <c r="AL37" s="1">
        <f>[1]Results!AO1398</f>
        <v>12.717601871683959</v>
      </c>
    </row>
    <row r="38" spans="1:38" x14ac:dyDescent="0.35">
      <c r="A38" s="3" t="str">
        <f>[1]Results!E1399</f>
        <v>100*((W_2/PCH_2)/(W_0/PCH_0)-1)</v>
      </c>
      <c r="B38" t="str">
        <f>[1]Results!C1399</f>
        <v>Salaire net réel (hors cotisations employeurs et employés, unitaire)</v>
      </c>
      <c r="C38" s="1">
        <f>[1]Results!F1399</f>
        <v>0</v>
      </c>
      <c r="D38" s="1">
        <f>[1]Results!G1399</f>
        <v>0</v>
      </c>
      <c r="E38" s="1">
        <f>[1]Results!H1399</f>
        <v>2.2818591460804782E-8</v>
      </c>
      <c r="F38" s="1">
        <f>[1]Results!I1399</f>
        <v>-7.1737404905292124E-8</v>
      </c>
      <c r="G38" s="1">
        <f>[1]Results!J1399</f>
        <v>-4.9218551456675641E-8</v>
      </c>
      <c r="H38" s="1">
        <f>[1]Results!K1399</f>
        <v>-2.8119251371805376E-8</v>
      </c>
      <c r="I38" s="1">
        <f>[1]Results!L1399</f>
        <v>-1.1682852463223981E-7</v>
      </c>
      <c r="J38" s="1">
        <f>[1]Results!M1399</f>
        <v>-0.55544924450030564</v>
      </c>
      <c r="K38" s="1">
        <f>[1]Results!N1399</f>
        <v>-1.2918629892926692</v>
      </c>
      <c r="L38" s="1">
        <f>[1]Results!O1399</f>
        <v>-2.21362685236135</v>
      </c>
      <c r="M38" s="1">
        <f>[1]Results!P1399</f>
        <v>-3.331106476992185</v>
      </c>
      <c r="N38" s="1">
        <f>[1]Results!Q1399</f>
        <v>-3.5388839392478832</v>
      </c>
      <c r="O38" s="1">
        <f>[1]Results!R1399</f>
        <v>-3.4453607564848943</v>
      </c>
      <c r="P38" s="1">
        <f>[1]Results!S1399</f>
        <v>-3.2245759161674381</v>
      </c>
      <c r="Q38" s="1">
        <f>[1]Results!T1399</f>
        <v>-2.96601551001755</v>
      </c>
      <c r="R38" s="1">
        <f>[1]Results!U1399</f>
        <v>-2.7072890893818147</v>
      </c>
      <c r="S38" s="1">
        <f>[1]Results!V1399</f>
        <v>-2.5358482546587791</v>
      </c>
      <c r="T38" s="1">
        <f>[1]Results!W1399</f>
        <v>-2.4255338839189622</v>
      </c>
      <c r="U38" s="1">
        <f>[1]Results!X1399</f>
        <v>-2.3321138530390306</v>
      </c>
      <c r="V38" s="1">
        <f>[1]Results!Y1399</f>
        <v>-2.2134582560164429</v>
      </c>
      <c r="W38" s="1">
        <f>[1]Results!Z1399</f>
        <v>-2.0847210163593699</v>
      </c>
      <c r="X38" s="1">
        <f>[1]Results!AA1399</f>
        <v>-1.8738847795711333</v>
      </c>
      <c r="Y38" s="1">
        <f>[1]Results!AB1399</f>
        <v>-1.655953676068822</v>
      </c>
      <c r="Z38" s="1">
        <f>[1]Results!AC1399</f>
        <v>-1.441063941246512</v>
      </c>
      <c r="AA38" s="1">
        <f>[1]Results!AD1399</f>
        <v>-1.2336548490849419</v>
      </c>
      <c r="AB38" s="1">
        <f>[1]Results!AE1399</f>
        <v>-1.0387838419059992</v>
      </c>
      <c r="AC38" s="1">
        <f>[1]Results!AF1399</f>
        <v>-0.83287002015615119</v>
      </c>
      <c r="AD38" s="1">
        <f>[1]Results!AG1399</f>
        <v>-0.6849626743448689</v>
      </c>
      <c r="AE38" s="1">
        <f>[1]Results!AH1399</f>
        <v>-0.58809671041406553</v>
      </c>
      <c r="AF38" s="1">
        <f>[1]Results!AI1399</f>
        <v>-0.53428959825193578</v>
      </c>
      <c r="AG38" s="1">
        <f>[1]Results!AJ1399</f>
        <v>-0.51631274640993041</v>
      </c>
      <c r="AH38" s="1">
        <f>[1]Results!AK1399</f>
        <v>-0.51424148759799948</v>
      </c>
      <c r="AI38" s="1">
        <f>[1]Results!AL1399</f>
        <v>-0.55177165541299145</v>
      </c>
      <c r="AJ38" s="1">
        <f>[1]Results!AM1399</f>
        <v>-0.61998636718301192</v>
      </c>
      <c r="AK38" s="1">
        <f>[1]Results!AN1399</f>
        <v>-0.70880950088325623</v>
      </c>
      <c r="AL38" s="1">
        <f>[1]Results!AO1399</f>
        <v>-0.80956022887818113</v>
      </c>
    </row>
    <row r="39" spans="1:38" x14ac:dyDescent="0.35">
      <c r="A39" s="3" t="str">
        <f>[1]Results!E1400</f>
        <v>100*(C_L_2/C_L_0-1)</v>
      </c>
      <c r="B39" t="str">
        <f>[1]Results!C1400</f>
        <v>Coût du travail nominal (yc. Cotisations employeurs et employés, unitaire)</v>
      </c>
      <c r="C39" s="1">
        <f>[1]Results!F1400</f>
        <v>0</v>
      </c>
      <c r="D39" s="1">
        <f>[1]Results!G1400</f>
        <v>0</v>
      </c>
      <c r="E39" s="1">
        <f>[1]Results!H1400</f>
        <v>1.7916890193703239E-8</v>
      </c>
      <c r="F39" s="1">
        <f>[1]Results!I1400</f>
        <v>1.735769306066004E-8</v>
      </c>
      <c r="G39" s="1">
        <f>[1]Results!J1400</f>
        <v>3.3599834026176723E-8</v>
      </c>
      <c r="H39" s="1">
        <f>[1]Results!K1400</f>
        <v>6.5009220229228504E-8</v>
      </c>
      <c r="I39" s="1">
        <f>[1]Results!L1400</f>
        <v>7.8564532657310338E-8</v>
      </c>
      <c r="J39" s="1">
        <f>[1]Results!M1400</f>
        <v>-3.4528157715063568E-2</v>
      </c>
      <c r="K39" s="1">
        <f>[1]Results!N1400</f>
        <v>3.2278033528143624E-2</v>
      </c>
      <c r="L39" s="1">
        <f>[1]Results!O1400</f>
        <v>0.31544734966699739</v>
      </c>
      <c r="M39" s="1">
        <f>[1]Results!P1400</f>
        <v>0.89765865838564718</v>
      </c>
      <c r="N39" s="1">
        <f>[1]Results!Q1400</f>
        <v>1.8720381902803673</v>
      </c>
      <c r="O39" s="1">
        <f>[1]Results!R1400</f>
        <v>3.0160500769228493</v>
      </c>
      <c r="P39" s="1">
        <f>[1]Results!S1400</f>
        <v>4.2025604469165811</v>
      </c>
      <c r="Q39" s="1">
        <f>[1]Results!T1400</f>
        <v>5.3683188582924313</v>
      </c>
      <c r="R39" s="1">
        <f>[1]Results!U1400</f>
        <v>6.4847640101851844</v>
      </c>
      <c r="S39" s="1">
        <f>[1]Results!V1400</f>
        <v>7.534314151711663</v>
      </c>
      <c r="T39" s="1">
        <f>[1]Results!W1400</f>
        <v>8.528764850912939</v>
      </c>
      <c r="U39" s="1">
        <f>[1]Results!X1400</f>
        <v>9.4799551737134493</v>
      </c>
      <c r="V39" s="1">
        <f>[1]Results!Y1400</f>
        <v>10.389160915032125</v>
      </c>
      <c r="W39" s="1">
        <f>[1]Results!Z1400</f>
        <v>11.241226070756216</v>
      </c>
      <c r="X39" s="1">
        <f>[1]Results!AA1400</f>
        <v>12.025324848770659</v>
      </c>
      <c r="Y39" s="1">
        <f>[1]Results!AB1400</f>
        <v>12.708877024815624</v>
      </c>
      <c r="Z39" s="1">
        <f>[1]Results!AC1400</f>
        <v>13.277904859229771</v>
      </c>
      <c r="AA39" s="1">
        <f>[1]Results!AD1400</f>
        <v>13.725674656390696</v>
      </c>
      <c r="AB39" s="1">
        <f>[1]Results!AE1400</f>
        <v>14.047504874960692</v>
      </c>
      <c r="AC39" s="1">
        <f>[1]Results!AF1400</f>
        <v>14.246097413456926</v>
      </c>
      <c r="AD39" s="1">
        <f>[1]Results!AG1400</f>
        <v>14.318403940185265</v>
      </c>
      <c r="AE39" s="1">
        <f>[1]Results!AH1400</f>
        <v>14.283181249045729</v>
      </c>
      <c r="AF39" s="1">
        <f>[1]Results!AI1400</f>
        <v>14.162395798085603</v>
      </c>
      <c r="AG39" s="1">
        <f>[1]Results!AJ1400</f>
        <v>13.976991151408157</v>
      </c>
      <c r="AH39" s="1">
        <f>[1]Results!AK1400</f>
        <v>13.746760272145542</v>
      </c>
      <c r="AI39" s="1">
        <f>[1]Results!AL1400</f>
        <v>13.485945428401624</v>
      </c>
      <c r="AJ39" s="1">
        <f>[1]Results!AM1400</f>
        <v>13.21523727326297</v>
      </c>
      <c r="AK39" s="1">
        <f>[1]Results!AN1400</f>
        <v>12.953890130504874</v>
      </c>
      <c r="AL39" s="1">
        <f>[1]Results!AO1400</f>
        <v>12.717601819750101</v>
      </c>
    </row>
    <row r="40" spans="1:38" x14ac:dyDescent="0.35">
      <c r="A40" s="3" t="str">
        <f>[1]Results!E1401</f>
        <v>100*((C_L_2/PVA_2)/(C_L_0/PVA_0)-1)</v>
      </c>
      <c r="B40" t="str">
        <f>[1]Results!C1401</f>
        <v>Coût réel du travail (yc. Cotisations employeurs et employés, unitaire)</v>
      </c>
      <c r="C40" s="1">
        <f>[1]Results!F1401</f>
        <v>-1.0000822392441933E-8</v>
      </c>
      <c r="D40" s="1">
        <f>[1]Results!G1401</f>
        <v>0</v>
      </c>
      <c r="E40" s="1">
        <f>[1]Results!H1401</f>
        <v>1.7916890193703239E-8</v>
      </c>
      <c r="F40" s="1">
        <f>[1]Results!I1401</f>
        <v>1.735769306066004E-8</v>
      </c>
      <c r="G40" s="1">
        <f>[1]Results!J1401</f>
        <v>-5.7992566304676529E-8</v>
      </c>
      <c r="H40" s="1">
        <f>[1]Results!K1401</f>
        <v>-2.4488278071999048E-8</v>
      </c>
      <c r="I40" s="1">
        <f>[1]Results!L1401</f>
        <v>-8.8542506659905484E-9</v>
      </c>
      <c r="J40" s="1">
        <f>[1]Results!M1401</f>
        <v>-0.10086759738840989</v>
      </c>
      <c r="K40" s="1">
        <f>[1]Results!N1401</f>
        <v>-0.34683413356501047</v>
      </c>
      <c r="L40" s="1">
        <f>[1]Results!O1401</f>
        <v>-0.72207878946959347</v>
      </c>
      <c r="M40" s="1">
        <f>[1]Results!P1401</f>
        <v>-1.2180292423154881</v>
      </c>
      <c r="N40" s="1">
        <f>[1]Results!Q1401</f>
        <v>-1.5861867495908788</v>
      </c>
      <c r="O40" s="1">
        <f>[1]Results!R1401</f>
        <v>-1.6571856164470433</v>
      </c>
      <c r="P40" s="1">
        <f>[1]Results!S1401</f>
        <v>-1.5967766694689023</v>
      </c>
      <c r="Q40" s="1">
        <f>[1]Results!T1401</f>
        <v>-1.5002887629399497</v>
      </c>
      <c r="R40" s="1">
        <f>[1]Results!U1401</f>
        <v>-1.4088401010238338</v>
      </c>
      <c r="S40" s="1">
        <f>[1]Results!V1401</f>
        <v>-1.3486067326925033</v>
      </c>
      <c r="T40" s="1">
        <f>[1]Results!W1401</f>
        <v>-1.3236866394115698</v>
      </c>
      <c r="U40" s="1">
        <f>[1]Results!X1401</f>
        <v>-1.3123698213784118</v>
      </c>
      <c r="V40" s="1">
        <f>[1]Results!Y1401</f>
        <v>-1.2859813365165729</v>
      </c>
      <c r="W40" s="1">
        <f>[1]Results!Z1401</f>
        <v>-1.2371010744363975</v>
      </c>
      <c r="X40" s="1">
        <f>[1]Results!AA1401</f>
        <v>-1.1519601475361019</v>
      </c>
      <c r="Y40" s="1">
        <f>[1]Results!AB1401</f>
        <v>-1.0289483795124843</v>
      </c>
      <c r="Z40" s="1">
        <f>[1]Results!AC1401</f>
        <v>-0.89045737774514633</v>
      </c>
      <c r="AA40" s="1">
        <f>[1]Results!AD1401</f>
        <v>-0.74466396425150183</v>
      </c>
      <c r="AB40" s="1">
        <f>[1]Results!AE1401</f>
        <v>-0.59557445988712709</v>
      </c>
      <c r="AC40" s="1">
        <f>[1]Results!AF1401</f>
        <v>-0.4497621142626973</v>
      </c>
      <c r="AD40" s="1">
        <f>[1]Results!AG1401</f>
        <v>-0.31518406527556442</v>
      </c>
      <c r="AE40" s="1">
        <f>[1]Results!AH1401</f>
        <v>-0.21126446092161189</v>
      </c>
      <c r="AF40" s="1">
        <f>[1]Results!AI1401</f>
        <v>-0.14027581577196191</v>
      </c>
      <c r="AG40" s="1">
        <f>[1]Results!AJ1401</f>
        <v>-9.9927243668107568E-2</v>
      </c>
      <c r="AH40" s="1">
        <f>[1]Results!AK1401</f>
        <v>-8.7022466179476066E-2</v>
      </c>
      <c r="AI40" s="1">
        <f>[1]Results!AL1401</f>
        <v>-9.6310481021710803E-2</v>
      </c>
      <c r="AJ40" s="1">
        <f>[1]Results!AM1401</f>
        <v>-0.13276010541394268</v>
      </c>
      <c r="AK40" s="1">
        <f>[1]Results!AN1401</f>
        <v>-0.19248322772279503</v>
      </c>
      <c r="AL40" s="1">
        <f>[1]Results!AO1401</f>
        <v>-0.26923054207186325</v>
      </c>
    </row>
    <row r="41" spans="1:38" x14ac:dyDescent="0.35">
      <c r="A41" s="3" t="str">
        <f>[1]Results!E1402</f>
        <v>((F_L_2/F_L_0)-1)*100</v>
      </c>
      <c r="B41" t="str">
        <f>[1]Results!C1402</f>
        <v>Emploi en %</v>
      </c>
      <c r="C41" s="1">
        <f>[1]Results!F1402</f>
        <v>0</v>
      </c>
      <c r="D41" s="1">
        <f>[1]Results!G1402</f>
        <v>-3.6419334215054278E-8</v>
      </c>
      <c r="E41" s="1">
        <f>[1]Results!H1402</f>
        <v>0</v>
      </c>
      <c r="F41" s="1">
        <f>[1]Results!I1402</f>
        <v>0</v>
      </c>
      <c r="G41" s="1">
        <f>[1]Results!J1402</f>
        <v>-3.5602920611665922E-8</v>
      </c>
      <c r="H41" s="1">
        <f>[1]Results!K1402</f>
        <v>0</v>
      </c>
      <c r="I41" s="1">
        <f>[1]Results!L1402</f>
        <v>-3.4835601070426492E-8</v>
      </c>
      <c r="J41" s="1">
        <f>[1]Results!M1402</f>
        <v>-0.1829960667771191</v>
      </c>
      <c r="K41" s="1">
        <f>[1]Results!N1402</f>
        <v>-0.5175426960868923</v>
      </c>
      <c r="L41" s="1">
        <f>[1]Results!O1402</f>
        <v>-0.78239572964462489</v>
      </c>
      <c r="M41" s="1">
        <f>[1]Results!P1402</f>
        <v>-1.0404017922835185</v>
      </c>
      <c r="N41" s="1">
        <f>[1]Results!Q1402</f>
        <v>-1.282165532329449</v>
      </c>
      <c r="O41" s="1">
        <f>[1]Results!R1402</f>
        <v>-1.4970872805461832</v>
      </c>
      <c r="P41" s="1">
        <f>[1]Results!S1402</f>
        <v>-1.6767752272478509</v>
      </c>
      <c r="Q41" s="1">
        <f>[1]Results!T1402</f>
        <v>-1.8150556910343618</v>
      </c>
      <c r="R41" s="1">
        <f>[1]Results!U1402</f>
        <v>-1.9189967517471263</v>
      </c>
      <c r="S41" s="1">
        <f>[1]Results!V1402</f>
        <v>-2.0222742655294779</v>
      </c>
      <c r="T41" s="1">
        <f>[1]Results!W1402</f>
        <v>-2.142761113160474</v>
      </c>
      <c r="U41" s="1">
        <f>[1]Results!X1402</f>
        <v>-2.2874816626805683</v>
      </c>
      <c r="V41" s="1">
        <f>[1]Results!Y1402</f>
        <v>-2.4529167978539546</v>
      </c>
      <c r="W41" s="1">
        <f>[1]Results!Z1402</f>
        <v>-2.6352619076738915</v>
      </c>
      <c r="X41" s="1">
        <f>[1]Results!AA1402</f>
        <v>-2.8217677472125668</v>
      </c>
      <c r="Y41" s="1">
        <f>[1]Results!AB1402</f>
        <v>-3.0022991898030149</v>
      </c>
      <c r="Z41" s="1">
        <f>[1]Results!AC1402</f>
        <v>-3.1718810909342587</v>
      </c>
      <c r="AA41" s="1">
        <f>[1]Results!AD1402</f>
        <v>-3.3288116726944206</v>
      </c>
      <c r="AB41" s="1">
        <f>[1]Results!AE1402</f>
        <v>-3.4735651243542054</v>
      </c>
      <c r="AC41" s="1">
        <f>[1]Results!AF1402</f>
        <v>-3.5984513978538635</v>
      </c>
      <c r="AD41" s="1">
        <f>[1]Results!AG1402</f>
        <v>-3.6966584699116067</v>
      </c>
      <c r="AE41" s="1">
        <f>[1]Results!AH1402</f>
        <v>-3.7659421665013793</v>
      </c>
      <c r="AF41" s="1">
        <f>[1]Results!AI1402</f>
        <v>-3.8071354351632447</v>
      </c>
      <c r="AG41" s="1">
        <f>[1]Results!AJ1402</f>
        <v>-3.822710973362653</v>
      </c>
      <c r="AH41" s="1">
        <f>[1]Results!AK1402</f>
        <v>-3.8125642650310265</v>
      </c>
      <c r="AI41" s="1">
        <f>[1]Results!AL1402</f>
        <v>-3.776868663478028</v>
      </c>
      <c r="AJ41" s="1">
        <f>[1]Results!AM1402</f>
        <v>-3.7176853925258824</v>
      </c>
      <c r="AK41" s="1">
        <f>[1]Results!AN1402</f>
        <v>-3.6383052162858309</v>
      </c>
      <c r="AL41" s="1">
        <f>[1]Results!AO1402</f>
        <v>-3.5425517494327985</v>
      </c>
    </row>
    <row r="42" spans="1:38" x14ac:dyDescent="0.35">
      <c r="A42" s="3" t="str">
        <f>[1]Results!E1403</f>
        <v>F_L_2-F_L_0</v>
      </c>
      <c r="B42" t="str">
        <f>[1]Results!C1403</f>
        <v>Emploi en millier</v>
      </c>
      <c r="C42" s="1">
        <f>[1]Results!F1403</f>
        <v>0</v>
      </c>
      <c r="D42" s="1">
        <f>[1]Results!G1403</f>
        <v>-1.0000003385357559E-5</v>
      </c>
      <c r="E42" s="1">
        <f>[1]Results!H1403</f>
        <v>0</v>
      </c>
      <c r="F42" s="1">
        <f>[1]Results!I1403</f>
        <v>0</v>
      </c>
      <c r="G42" s="1">
        <f>[1]Results!J1403</f>
        <v>-9.9999997473787516E-6</v>
      </c>
      <c r="H42" s="1">
        <f>[1]Results!K1403</f>
        <v>0</v>
      </c>
      <c r="I42" s="1">
        <f>[1]Results!L1403</f>
        <v>-9.9999997473787516E-6</v>
      </c>
      <c r="J42" s="1">
        <f>[1]Results!M1403</f>
        <v>-53.167990000001737</v>
      </c>
      <c r="K42" s="1">
        <f>[1]Results!N1403</f>
        <v>-152.24669999999969</v>
      </c>
      <c r="L42" s="1">
        <f>[1]Results!O1403</f>
        <v>-233.07143999999971</v>
      </c>
      <c r="M42" s="1">
        <f>[1]Results!P1403</f>
        <v>-313.76610000000073</v>
      </c>
      <c r="N42" s="1">
        <f>[1]Results!Q1403</f>
        <v>-390.7491200000004</v>
      </c>
      <c r="O42" s="1">
        <f>[1]Results!R1403</f>
        <v>-459.97782999999981</v>
      </c>
      <c r="P42" s="1">
        <f>[1]Results!S1403</f>
        <v>-518.20982000000004</v>
      </c>
      <c r="Q42" s="1">
        <f>[1]Results!T1403</f>
        <v>-563.15447000000131</v>
      </c>
      <c r="R42" s="1">
        <f>[1]Results!U1403</f>
        <v>-596.91064000000188</v>
      </c>
      <c r="S42" s="1">
        <f>[1]Results!V1403</f>
        <v>-630.10356999999931</v>
      </c>
      <c r="T42" s="1">
        <f>[1]Results!W1403</f>
        <v>-668.59132999999929</v>
      </c>
      <c r="U42" s="1">
        <f>[1]Results!X1403</f>
        <v>-714.90555999999924</v>
      </c>
      <c r="V42" s="1">
        <f>[1]Results!Y1403</f>
        <v>-768.29593999999997</v>
      </c>
      <c r="W42" s="1">
        <f>[1]Results!Z1403</f>
        <v>-827.88287000000128</v>
      </c>
      <c r="X42" s="1">
        <f>[1]Results!AA1403</f>
        <v>-890.06019000000015</v>
      </c>
      <c r="Y42" s="1">
        <f>[1]Results!AB1403</f>
        <v>-951.99971000000005</v>
      </c>
      <c r="Z42" s="1">
        <f>[1]Results!AC1403</f>
        <v>-1012.4190600000002</v>
      </c>
      <c r="AA42" s="1">
        <f>[1]Results!AD1403</f>
        <v>-1070.9541300000019</v>
      </c>
      <c r="AB42" s="1">
        <f>[1]Results!AE1403</f>
        <v>-1127.6653000000006</v>
      </c>
      <c r="AC42" s="1">
        <f>[1]Results!AF1403</f>
        <v>-1179.5435000000034</v>
      </c>
      <c r="AD42" s="1">
        <f>[1]Results!AG1403</f>
        <v>-1224.1467500000035</v>
      </c>
      <c r="AE42" s="1">
        <f>[1]Results!AH1403</f>
        <v>-1260.5867800000015</v>
      </c>
      <c r="AF42" s="1">
        <f>[1]Results!AI1403</f>
        <v>-1288.8285099999994</v>
      </c>
      <c r="AG42" s="1">
        <f>[1]Results!AJ1403</f>
        <v>-1309.1985299999942</v>
      </c>
      <c r="AH42" s="1">
        <f>[1]Results!AK1403</f>
        <v>-1321.048950000004</v>
      </c>
      <c r="AI42" s="1">
        <f>[1]Results!AL1403</f>
        <v>-1323.8012100000051</v>
      </c>
      <c r="AJ42" s="1">
        <f>[1]Results!AM1403</f>
        <v>-1317.5686399999977</v>
      </c>
      <c r="AK42" s="1">
        <f>[1]Results!AN1403</f>
        <v>-1302.9841699999961</v>
      </c>
      <c r="AL42" s="1">
        <f>[1]Results!AO1403</f>
        <v>-1280.9872499999983</v>
      </c>
    </row>
    <row r="43" spans="1:38" x14ac:dyDescent="0.35">
      <c r="A43" s="3" t="str">
        <f>[1]Results!E1404</f>
        <v>100*(UnR_2-UnR_0)</v>
      </c>
      <c r="B43" t="str">
        <f>[1]Results!C1404</f>
        <v>Taux de chômage (en point)</v>
      </c>
      <c r="C43" s="1">
        <f>[1]Results!F1404</f>
        <v>0</v>
      </c>
      <c r="D43" s="1">
        <f>[1]Results!G1404</f>
        <v>0</v>
      </c>
      <c r="E43" s="1">
        <f>[1]Results!H1404</f>
        <v>1.000000082740371E-8</v>
      </c>
      <c r="F43" s="1">
        <f>[1]Results!I1404</f>
        <v>1.000000082740371E-8</v>
      </c>
      <c r="G43" s="1">
        <f>[1]Results!J1404</f>
        <v>1.000000082740371E-8</v>
      </c>
      <c r="H43" s="1">
        <f>[1]Results!K1404</f>
        <v>2.000000165480742E-8</v>
      </c>
      <c r="I43" s="1">
        <f>[1]Results!L1404</f>
        <v>1.9999998879249858E-8</v>
      </c>
      <c r="J43" s="1">
        <f>[1]Results!M1404</f>
        <v>0.13665476999999981</v>
      </c>
      <c r="K43" s="1">
        <f>[1]Results!N1404</f>
        <v>0.37868813999999973</v>
      </c>
      <c r="L43" s="1">
        <f>[1]Results!O1404</f>
        <v>0.5580666700000001</v>
      </c>
      <c r="M43" s="1">
        <f>[1]Results!P1404</f>
        <v>0.73185830000000029</v>
      </c>
      <c r="N43" s="1">
        <f>[1]Results!Q1404</f>
        <v>0.89453238000000024</v>
      </c>
      <c r="O43" s="1">
        <f>[1]Results!R1404</f>
        <v>1.0371054899999996</v>
      </c>
      <c r="P43" s="1">
        <f>[1]Results!S1404</f>
        <v>1.1534838499999991</v>
      </c>
      <c r="Q43" s="1">
        <f>[1]Results!T1404</f>
        <v>1.2396189099999997</v>
      </c>
      <c r="R43" s="1">
        <f>[1]Results!U1404</f>
        <v>1.301884789999999</v>
      </c>
      <c r="S43" s="1">
        <f>[1]Results!V1404</f>
        <v>1.3665316900000002</v>
      </c>
      <c r="T43" s="1">
        <f>[1]Results!W1404</f>
        <v>1.4457257799999998</v>
      </c>
      <c r="U43" s="1">
        <f>[1]Results!X1404</f>
        <v>1.5433779199999997</v>
      </c>
      <c r="V43" s="1">
        <f>[1]Results!Y1404</f>
        <v>1.6559651399999999</v>
      </c>
      <c r="W43" s="1">
        <f>[1]Results!Z1404</f>
        <v>1.7819524599999998</v>
      </c>
      <c r="X43" s="1">
        <f>[1]Results!AA1404</f>
        <v>1.9093449099999993</v>
      </c>
      <c r="Y43" s="1">
        <f>[1]Results!AB1404</f>
        <v>2.0331103800000001</v>
      </c>
      <c r="Z43" s="1">
        <f>[1]Results!AC1404</f>
        <v>2.1506350199999997</v>
      </c>
      <c r="AA43" s="1">
        <f>[1]Results!AD1404</f>
        <v>2.2614436799999997</v>
      </c>
      <c r="AB43" s="1">
        <f>[1]Results!AE1404</f>
        <v>2.3709075300000007</v>
      </c>
      <c r="AC43" s="1">
        <f>[1]Results!AF1404</f>
        <v>2.4645822299999995</v>
      </c>
      <c r="AD43" s="1">
        <f>[1]Results!AG1404</f>
        <v>2.5405224099999999</v>
      </c>
      <c r="AE43" s="1">
        <f>[1]Results!AH1404</f>
        <v>2.5974138399999998</v>
      </c>
      <c r="AF43" s="1">
        <f>[1]Results!AI1404</f>
        <v>2.6359042599999993</v>
      </c>
      <c r="AG43" s="1">
        <f>[1]Results!AJ1404</f>
        <v>2.6574162499999998</v>
      </c>
      <c r="AH43" s="1">
        <f>[1]Results!AK1404</f>
        <v>2.6610009499999996</v>
      </c>
      <c r="AI43" s="1">
        <f>[1]Results!AL1404</f>
        <v>2.6460246800000005</v>
      </c>
      <c r="AJ43" s="1">
        <f>[1]Results!AM1404</f>
        <v>2.6134914999999994</v>
      </c>
      <c r="AK43" s="1">
        <f>[1]Results!AN1404</f>
        <v>2.5654362600000002</v>
      </c>
      <c r="AL43" s="1">
        <f>[1]Results!AO1404</f>
        <v>2.5043616499999999</v>
      </c>
    </row>
    <row r="44" spans="1:38" x14ac:dyDescent="0.35">
      <c r="A44" s="3" t="str">
        <f>[1]Results!E1405</f>
        <v>100*(Bal_Trade_VAL_2/(GDP_2*PGDP_2)-Bal_Trade_VAL_0/(GDP_0*PGDP_0))</v>
      </c>
      <c r="B44" t="str">
        <f>[1]Results!C1405</f>
        <v>Balance commerciale</v>
      </c>
      <c r="C44" s="1">
        <f>[1]Results!F1405</f>
        <v>1.3539435197995608E-9</v>
      </c>
      <c r="D44" s="1">
        <f>[1]Results!G1405</f>
        <v>7.0083514078916886E-9</v>
      </c>
      <c r="E44" s="1">
        <f>[1]Results!H1405</f>
        <v>1.2025727982867274E-8</v>
      </c>
      <c r="F44" s="1">
        <f>[1]Results!I1405</f>
        <v>1.7212812078448714E-8</v>
      </c>
      <c r="G44" s="1">
        <f>[1]Results!J1405</f>
        <v>1.9321380259618159E-8</v>
      </c>
      <c r="H44" s="1">
        <f>[1]Results!K1405</f>
        <v>1.9001674192442586E-8</v>
      </c>
      <c r="I44" s="1">
        <f>[1]Results!L1405</f>
        <v>1.5379501144829888E-8</v>
      </c>
      <c r="J44" s="1">
        <f>[1]Results!M1405</f>
        <v>-0.19898767928936273</v>
      </c>
      <c r="K44" s="1">
        <f>[1]Results!N1405</f>
        <v>-0.21712024579105468</v>
      </c>
      <c r="L44" s="1">
        <f>[1]Results!O1405</f>
        <v>0.14559169385710141</v>
      </c>
      <c r="M44" s="1">
        <f>[1]Results!P1405</f>
        <v>0.55459223989095108</v>
      </c>
      <c r="N44" s="1">
        <f>[1]Results!Q1405</f>
        <v>0.76551176899661566</v>
      </c>
      <c r="O44" s="1">
        <f>[1]Results!R1405</f>
        <v>0.85232933251624055</v>
      </c>
      <c r="P44" s="1">
        <f>[1]Results!S1405</f>
        <v>0.8722124626317822</v>
      </c>
      <c r="Q44" s="1">
        <f>[1]Results!T1405</f>
        <v>0.87990449079971278</v>
      </c>
      <c r="R44" s="1">
        <f>[1]Results!U1405</f>
        <v>0.89328814437264903</v>
      </c>
      <c r="S44" s="1">
        <f>[1]Results!V1405</f>
        <v>0.89949027410480409</v>
      </c>
      <c r="T44" s="1">
        <f>[1]Results!W1405</f>
        <v>0.90689296555690335</v>
      </c>
      <c r="U44" s="1">
        <f>[1]Results!X1405</f>
        <v>0.92674742926969822</v>
      </c>
      <c r="V44" s="1">
        <f>[1]Results!Y1405</f>
        <v>0.95400058152857947</v>
      </c>
      <c r="W44" s="1">
        <f>[1]Results!Z1405</f>
        <v>0.98425849601399762</v>
      </c>
      <c r="X44" s="1">
        <f>[1]Results!AA1405</f>
        <v>0.99507703223938382</v>
      </c>
      <c r="Y44" s="1">
        <f>[1]Results!AB1405</f>
        <v>0.99537153034016945</v>
      </c>
      <c r="Z44" s="1">
        <f>[1]Results!AC1405</f>
        <v>0.99555845563209788</v>
      </c>
      <c r="AA44" s="1">
        <f>[1]Results!AD1405</f>
        <v>0.99906086242911729</v>
      </c>
      <c r="AB44" s="1">
        <f>[1]Results!AE1405</f>
        <v>1.0058393616659758</v>
      </c>
      <c r="AC44" s="1">
        <f>[1]Results!AF1405</f>
        <v>0.98590634815735256</v>
      </c>
      <c r="AD44" s="1">
        <f>[1]Results!AG1405</f>
        <v>0.94980904206269989</v>
      </c>
      <c r="AE44" s="1">
        <f>[1]Results!AH1405</f>
        <v>0.91931793565466213</v>
      </c>
      <c r="AF44" s="1">
        <f>[1]Results!AI1405</f>
        <v>0.89868004753041464</v>
      </c>
      <c r="AG44" s="1">
        <f>[1]Results!AJ1405</f>
        <v>0.88731002406090831</v>
      </c>
      <c r="AH44" s="1">
        <f>[1]Results!AK1405</f>
        <v>0.87399416183469447</v>
      </c>
      <c r="AI44" s="1">
        <f>[1]Results!AL1405</f>
        <v>0.8595644161932009</v>
      </c>
      <c r="AJ44" s="1">
        <f>[1]Results!AM1405</f>
        <v>0.85053477923143772</v>
      </c>
      <c r="AK44" s="1">
        <f>[1]Results!AN1405</f>
        <v>0.8470790086781671</v>
      </c>
      <c r="AL44" s="1">
        <f>[1]Results!AO1405</f>
        <v>0.84736688652407444</v>
      </c>
    </row>
    <row r="45" spans="1:38" x14ac:dyDescent="0.35">
      <c r="A45" s="3" t="str">
        <f>[1]Results!E1406</f>
        <v>100*(ENER_BILL_2/(GDP_2*PGDP_2)-ENER_BILL_0/(GDP_0*PGDP_0))</v>
      </c>
      <c r="B45" t="str">
        <f>[1]Results!C1406</f>
        <v>Facture énergétique</v>
      </c>
      <c r="C45" s="1">
        <f>[1]Results!F1406</f>
        <v>2.4119093874896969E-9</v>
      </c>
      <c r="D45" s="1">
        <f>[1]Results!G1406</f>
        <v>-1.2313774999661575E-9</v>
      </c>
      <c r="E45" s="1">
        <f>[1]Results!H1406</f>
        <v>-1.564168239376329E-9</v>
      </c>
      <c r="F45" s="1">
        <f>[1]Results!I1406</f>
        <v>-4.6122704613904553E-9</v>
      </c>
      <c r="G45" s="1">
        <f>[1]Results!J1406</f>
        <v>-5.5673196955319249E-9</v>
      </c>
      <c r="H45" s="1">
        <f>[1]Results!K1406</f>
        <v>-6.4301022839607924E-9</v>
      </c>
      <c r="I45" s="1">
        <f>[1]Results!L1406</f>
        <v>-8.2486540167736599E-9</v>
      </c>
      <c r="J45" s="1">
        <f>[1]Results!M1406</f>
        <v>-2.3125903101112177E-2</v>
      </c>
      <c r="K45" s="1">
        <f>[1]Results!N1406</f>
        <v>-5.5670863962723263E-2</v>
      </c>
      <c r="L45" s="1">
        <f>[1]Results!O1406</f>
        <v>-0.11547960435639819</v>
      </c>
      <c r="M45" s="1">
        <f>[1]Results!P1406</f>
        <v>-0.19549661834755705</v>
      </c>
      <c r="N45" s="1">
        <f>[1]Results!Q1406</f>
        <v>-0.26123502103023011</v>
      </c>
      <c r="O45" s="1">
        <f>[1]Results!R1406</f>
        <v>-0.32235164042759246</v>
      </c>
      <c r="P45" s="1">
        <f>[1]Results!S1406</f>
        <v>-0.3786797545591542</v>
      </c>
      <c r="Q45" s="1">
        <f>[1]Results!T1406</f>
        <v>-0.43142512894612189</v>
      </c>
      <c r="R45" s="1">
        <f>[1]Results!U1406</f>
        <v>-0.48225759630072973</v>
      </c>
      <c r="S45" s="1">
        <f>[1]Results!V1406</f>
        <v>-0.53176573047254816</v>
      </c>
      <c r="T45" s="1">
        <f>[1]Results!W1406</f>
        <v>-0.58076029035725474</v>
      </c>
      <c r="U45" s="1">
        <f>[1]Results!X1406</f>
        <v>-0.63331174965016857</v>
      </c>
      <c r="V45" s="1">
        <f>[1]Results!Y1406</f>
        <v>-0.69335152831558033</v>
      </c>
      <c r="W45" s="1">
        <f>[1]Results!Z1406</f>
        <v>-0.756033459663075</v>
      </c>
      <c r="X45" s="1">
        <f>[1]Results!AA1406</f>
        <v>-0.8182641279629943</v>
      </c>
      <c r="Y45" s="1">
        <f>[1]Results!AB1406</f>
        <v>-0.87866422775380104</v>
      </c>
      <c r="Z45" s="1">
        <f>[1]Results!AC1406</f>
        <v>-0.93797594520041339</v>
      </c>
      <c r="AA45" s="1">
        <f>[1]Results!AD1406</f>
        <v>-0.99692373027793557</v>
      </c>
      <c r="AB45" s="1">
        <f>[1]Results!AE1406</f>
        <v>-1.055607704638017</v>
      </c>
      <c r="AC45" s="1">
        <f>[1]Results!AF1406</f>
        <v>-1.101472517677085</v>
      </c>
      <c r="AD45" s="1">
        <f>[1]Results!AG1406</f>
        <v>-1.1365023104955765</v>
      </c>
      <c r="AE45" s="1">
        <f>[1]Results!AH1406</f>
        <v>-1.1654073355721082</v>
      </c>
      <c r="AF45" s="1">
        <f>[1]Results!AI1406</f>
        <v>-1.1904747833396778</v>
      </c>
      <c r="AG45" s="1">
        <f>[1]Results!AJ1406</f>
        <v>-1.2122741348851505</v>
      </c>
      <c r="AH45" s="1">
        <f>[1]Results!AK1406</f>
        <v>-1.2296264682643654</v>
      </c>
      <c r="AI45" s="1">
        <f>[1]Results!AL1406</f>
        <v>-1.2416301592427903</v>
      </c>
      <c r="AJ45" s="1">
        <f>[1]Results!AM1406</f>
        <v>-1.2494900856163429</v>
      </c>
      <c r="AK45" s="1">
        <f>[1]Results!AN1406</f>
        <v>-1.2542534868783317</v>
      </c>
      <c r="AL45" s="1">
        <f>[1]Results!AO1406</f>
        <v>-1.2565573590305077</v>
      </c>
    </row>
    <row r="46" spans="1:38" x14ac:dyDescent="0.35">
      <c r="A46" s="3" t="str">
        <f>[1]Results!E1407</f>
        <v>100*((-Bal_G_prim_VAL_2)/(GDP_2*PGDP_2)-(-Bal_G_prim_VAL_0)/(GDP_0*PGDP_0))</v>
      </c>
      <c r="B46" t="str">
        <f>[1]Results!C1407</f>
        <v>Solde public primaire</v>
      </c>
      <c r="C46" s="1">
        <f>[1]Results!F1407</f>
        <v>-8.7341274837560157E-9</v>
      </c>
      <c r="D46" s="1">
        <f>[1]Results!G1407</f>
        <v>-1.1884727750544055E-8</v>
      </c>
      <c r="E46" s="1">
        <f>[1]Results!H1407</f>
        <v>-1.3803635903579525E-8</v>
      </c>
      <c r="F46" s="1">
        <f>[1]Results!I1407</f>
        <v>-1.9281846692226212E-8</v>
      </c>
      <c r="G46" s="1">
        <f>[1]Results!J1407</f>
        <v>-1.6922246416639641E-8</v>
      </c>
      <c r="H46" s="1">
        <f>[1]Results!K1407</f>
        <v>-1.6656859919139677E-8</v>
      </c>
      <c r="I46" s="1">
        <f>[1]Results!L1407</f>
        <v>-1.4783227766934637E-8</v>
      </c>
      <c r="J46" s="1">
        <f>[1]Results!M1407</f>
        <v>-4.8743040866315937E-2</v>
      </c>
      <c r="K46" s="1">
        <f>[1]Results!N1407</f>
        <v>-9.0997224906815694E-2</v>
      </c>
      <c r="L46" s="1">
        <f>[1]Results!O1407</f>
        <v>-0.30293147071214843</v>
      </c>
      <c r="M46" s="1">
        <f>[1]Results!P1407</f>
        <v>-0.66674291449431089</v>
      </c>
      <c r="N46" s="1">
        <f>[1]Results!Q1407</f>
        <v>-0.62490244698055264</v>
      </c>
      <c r="O46" s="1">
        <f>[1]Results!R1407</f>
        <v>-0.67197843259865286</v>
      </c>
      <c r="P46" s="1">
        <f>[1]Results!S1407</f>
        <v>-0.75687010745269301</v>
      </c>
      <c r="Q46" s="1">
        <f>[1]Results!T1407</f>
        <v>-0.859771577516797</v>
      </c>
      <c r="R46" s="1">
        <f>[1]Results!U1407</f>
        <v>-0.971079560535558</v>
      </c>
      <c r="S46" s="1">
        <f>[1]Results!V1407</f>
        <v>-1.0943218163733102</v>
      </c>
      <c r="T46" s="1">
        <f>[1]Results!W1407</f>
        <v>-1.1964736238974296</v>
      </c>
      <c r="U46" s="1">
        <f>[1]Results!X1407</f>
        <v>-1.2799688418590125</v>
      </c>
      <c r="V46" s="1">
        <f>[1]Results!Y1407</f>
        <v>-1.3437209975824691</v>
      </c>
      <c r="W46" s="1">
        <f>[1]Results!Z1407</f>
        <v>-1.3964229523174589</v>
      </c>
      <c r="X46" s="1">
        <f>[1]Results!AA1407</f>
        <v>-1.3949649071515511</v>
      </c>
      <c r="Y46" s="1">
        <f>[1]Results!AB1407</f>
        <v>-1.3885730760944439</v>
      </c>
      <c r="Z46" s="1">
        <f>[1]Results!AC1407</f>
        <v>-1.3767622996957718</v>
      </c>
      <c r="AA46" s="1">
        <f>[1]Results!AD1407</f>
        <v>-1.3614060589450165</v>
      </c>
      <c r="AB46" s="1">
        <f>[1]Results!AE1407</f>
        <v>-1.3436227156712581</v>
      </c>
      <c r="AC46" s="1">
        <f>[1]Results!AF1407</f>
        <v>-1.2813119740978776</v>
      </c>
      <c r="AD46" s="1">
        <f>[1]Results!AG1407</f>
        <v>-1.2189899977517045</v>
      </c>
      <c r="AE46" s="1">
        <f>[1]Results!AH1407</f>
        <v>-1.1635492418806195</v>
      </c>
      <c r="AF46" s="1">
        <f>[1]Results!AI1407</f>
        <v>-1.1173102429962931</v>
      </c>
      <c r="AG46" s="1">
        <f>[1]Results!AJ1407</f>
        <v>-1.0801602150322567</v>
      </c>
      <c r="AH46" s="1">
        <f>[1]Results!AK1407</f>
        <v>-1.0343947953650721</v>
      </c>
      <c r="AI46" s="1">
        <f>[1]Results!AL1407</f>
        <v>-0.99891768302197703</v>
      </c>
      <c r="AJ46" s="1">
        <f>[1]Results!AM1407</f>
        <v>-0.9736618762703666</v>
      </c>
      <c r="AK46" s="1">
        <f>[1]Results!AN1407</f>
        <v>-0.95912868373210647</v>
      </c>
      <c r="AL46" s="1">
        <f>[1]Results!AO1407</f>
        <v>-0.95557569865295378</v>
      </c>
    </row>
    <row r="47" spans="1:38" x14ac:dyDescent="0.35">
      <c r="A47" s="3" t="str">
        <f>[1]Results!E1408</f>
        <v>100*((-Bal_G_tot_VAL_2)/(GDP_2*PGDP_2)-(-Bal_G_tot_VAL_0)/(GDP_0*PGDP_0))</v>
      </c>
      <c r="B47" t="str">
        <f>[1]Results!C1408</f>
        <v xml:space="preserve">Solde public </v>
      </c>
      <c r="C47" s="1">
        <f>[1]Results!F1408</f>
        <v>-7.8151887739075221E-9</v>
      </c>
      <c r="D47" s="1">
        <f>[1]Results!G1408</f>
        <v>-4.7634798883144924E-9</v>
      </c>
      <c r="E47" s="1">
        <f>[1]Results!H1408</f>
        <v>-1.1461213922370206E-9</v>
      </c>
      <c r="F47" s="1">
        <f>[1]Results!I1408</f>
        <v>-6.8253881713165043E-9</v>
      </c>
      <c r="G47" s="1">
        <f>[1]Results!J1408</f>
        <v>-5.40053071707014E-10</v>
      </c>
      <c r="H47" s="1">
        <f>[1]Results!K1408</f>
        <v>-3.9041598079436746E-9</v>
      </c>
      <c r="I47" s="1">
        <f>[1]Results!L1408</f>
        <v>-7.5449720256248742E-9</v>
      </c>
      <c r="J47" s="1">
        <f>[1]Results!M1408</f>
        <v>-4.8120463586113701E-2</v>
      </c>
      <c r="K47" s="1">
        <f>[1]Results!N1408</f>
        <v>9.8641417385260735E-2</v>
      </c>
      <c r="L47" s="1">
        <f>[1]Results!O1408</f>
        <v>4.8431673107191681E-2</v>
      </c>
      <c r="M47" s="1">
        <f>[1]Results!P1408</f>
        <v>-0.1531707543063858</v>
      </c>
      <c r="N47" s="1">
        <f>[1]Results!Q1408</f>
        <v>5.4276337052323181E-2</v>
      </c>
      <c r="O47" s="1">
        <f>[1]Results!R1408</f>
        <v>-0.1154184205327119</v>
      </c>
      <c r="P47" s="1">
        <f>[1]Results!S1408</f>
        <v>-0.33724094049768294</v>
      </c>
      <c r="Q47" s="1">
        <f>[1]Results!T1408</f>
        <v>-0.56413228729645803</v>
      </c>
      <c r="R47" s="1">
        <f>[1]Results!U1408</f>
        <v>-0.78127654350550257</v>
      </c>
      <c r="S47" s="1">
        <f>[1]Results!V1408</f>
        <v>-0.99480133014604666</v>
      </c>
      <c r="T47" s="1">
        <f>[1]Results!W1408</f>
        <v>-1.1695311733666649</v>
      </c>
      <c r="U47" s="1">
        <f>[1]Results!X1408</f>
        <v>-1.318652593817931</v>
      </c>
      <c r="V47" s="1">
        <f>[1]Results!Y1408</f>
        <v>-1.4446634554506441</v>
      </c>
      <c r="W47" s="1">
        <f>[1]Results!Z1408</f>
        <v>-1.5542323620362923</v>
      </c>
      <c r="X47" s="1">
        <f>[1]Results!AA1408</f>
        <v>-1.6026273751331699</v>
      </c>
      <c r="Y47" s="1">
        <f>[1]Results!AB1408</f>
        <v>-1.6299295821879458</v>
      </c>
      <c r="Z47" s="1">
        <f>[1]Results!AC1408</f>
        <v>-1.6401949352053351</v>
      </c>
      <c r="AA47" s="1">
        <f>[1]Results!AD1408</f>
        <v>-1.636793476122661</v>
      </c>
      <c r="AB47" s="1">
        <f>[1]Results!AE1408</f>
        <v>-1.6223696445428273</v>
      </c>
      <c r="AC47" s="1">
        <f>[1]Results!AF1408</f>
        <v>-1.5575757567918487</v>
      </c>
      <c r="AD47" s="1">
        <f>[1]Results!AG1408</f>
        <v>-1.4780927144922282</v>
      </c>
      <c r="AE47" s="1">
        <f>[1]Results!AH1408</f>
        <v>-1.4113451990293415</v>
      </c>
      <c r="AF47" s="1">
        <f>[1]Results!AI1408</f>
        <v>-1.3585489854726989</v>
      </c>
      <c r="AG47" s="1">
        <f>[1]Results!AJ1408</f>
        <v>-1.3190955518606855</v>
      </c>
      <c r="AH47" s="1">
        <f>[1]Results!AK1408</f>
        <v>-1.2755340152024994</v>
      </c>
      <c r="AI47" s="1">
        <f>[1]Results!AL1408</f>
        <v>-1.2403095568305962</v>
      </c>
      <c r="AJ47" s="1">
        <f>[1]Results!AM1408</f>
        <v>-1.2284045244547945</v>
      </c>
      <c r="AK47" s="1">
        <f>[1]Results!AN1408</f>
        <v>-1.2381019521655712</v>
      </c>
      <c r="AL47" s="1">
        <f>[1]Results!AO1408</f>
        <v>-1.2680886035363215</v>
      </c>
    </row>
    <row r="48" spans="1:38" x14ac:dyDescent="0.35">
      <c r="A48" s="3" t="str">
        <f>[1]Results!E1409</f>
        <v>(DEBT_G_VAL_2/(PGDP_2*GDP_2)-DEBT_G_VAL_0/(PGDP_0*GDP_0))*100</v>
      </c>
      <c r="B48" t="str">
        <f>[1]Results!C1409</f>
        <v>Dette publique</v>
      </c>
      <c r="C48" s="1">
        <f>[1]Results!F1409</f>
        <v>4.3520975712141308E-8</v>
      </c>
      <c r="D48" s="1">
        <f>[1]Results!G1409</f>
        <v>-9.2288943154272829E-8</v>
      </c>
      <c r="E48" s="1">
        <f>[1]Results!H1409</f>
        <v>-1.0954681606278882E-9</v>
      </c>
      <c r="F48" s="1">
        <f>[1]Results!I1409</f>
        <v>-4.5375758706001079E-8</v>
      </c>
      <c r="G48" s="1">
        <f>[1]Results!J1409</f>
        <v>-8.1503659377091253E-8</v>
      </c>
      <c r="H48" s="1">
        <f>[1]Results!K1409</f>
        <v>-4.0365366604788733E-8</v>
      </c>
      <c r="I48" s="1">
        <f>[1]Results!L1409</f>
        <v>-1.403188232274033E-7</v>
      </c>
      <c r="J48" s="1">
        <f>[1]Results!M1409</f>
        <v>-1.9726763242444711E-2</v>
      </c>
      <c r="K48" s="1">
        <f>[1]Results!N1409</f>
        <v>-6.0297421705024501E-2</v>
      </c>
      <c r="L48" s="1">
        <f>[1]Results!O1409</f>
        <v>-0.61754316066323645</v>
      </c>
      <c r="M48" s="1">
        <f>[1]Results!P1409</f>
        <v>-1.568566016762829</v>
      </c>
      <c r="N48" s="1">
        <f>[1]Results!Q1409</f>
        <v>-2.0197244773894618</v>
      </c>
      <c r="O48" s="1">
        <f>[1]Results!R1409</f>
        <v>-2.536715654328825</v>
      </c>
      <c r="P48" s="1">
        <f>[1]Results!S1409</f>
        <v>-3.1880601574888701</v>
      </c>
      <c r="Q48" s="1">
        <f>[1]Results!T1409</f>
        <v>-3.9872529450724778</v>
      </c>
      <c r="R48" s="1">
        <f>[1]Results!U1409</f>
        <v>-4.9181863265273069</v>
      </c>
      <c r="S48" s="1">
        <f>[1]Results!V1409</f>
        <v>-5.973383045564673</v>
      </c>
      <c r="T48" s="1">
        <f>[1]Results!W1409</f>
        <v>-7.1131499970325276</v>
      </c>
      <c r="U48" s="1">
        <f>[1]Results!X1409</f>
        <v>-8.3148164701193892</v>
      </c>
      <c r="V48" s="1">
        <f>[1]Results!Y1409</f>
        <v>-9.5600395807169889</v>
      </c>
      <c r="W48" s="1">
        <f>[1]Results!Z1409</f>
        <v>-10.839826576808703</v>
      </c>
      <c r="X48" s="1">
        <f>[1]Results!AA1409</f>
        <v>-12.104572043237532</v>
      </c>
      <c r="Y48" s="1">
        <f>[1]Results!AB1409</f>
        <v>-13.339450723212467</v>
      </c>
      <c r="Z48" s="1">
        <f>[1]Results!AC1409</f>
        <v>-14.532726040322173</v>
      </c>
      <c r="AA48" s="1">
        <f>[1]Results!AD1409</f>
        <v>-15.676388647418626</v>
      </c>
      <c r="AB48" s="1">
        <f>[1]Results!AE1409</f>
        <v>-16.767021027763885</v>
      </c>
      <c r="AC48" s="1">
        <f>[1]Results!AF1409</f>
        <v>-17.773147802450239</v>
      </c>
      <c r="AD48" s="1">
        <f>[1]Results!AG1409</f>
        <v>-18.66586843007607</v>
      </c>
      <c r="AE48" s="1">
        <f>[1]Results!AH1409</f>
        <v>-19.446176977735398</v>
      </c>
      <c r="AF48" s="1">
        <f>[1]Results!AI1409</f>
        <v>-20.124311331974209</v>
      </c>
      <c r="AG48" s="1">
        <f>[1]Results!AJ1409</f>
        <v>-20.714530793746743</v>
      </c>
      <c r="AH48" s="1">
        <f>[1]Results!AK1409</f>
        <v>-21.225727554137308</v>
      </c>
      <c r="AI48" s="1">
        <f>[1]Results!AL1409</f>
        <v>-21.65223365946375</v>
      </c>
      <c r="AJ48" s="1">
        <f>[1]Results!AM1409</f>
        <v>-22.009135936237257</v>
      </c>
      <c r="AK48" s="1">
        <f>[1]Results!AN1409</f>
        <v>-22.314479721051828</v>
      </c>
      <c r="AL48" s="1">
        <f>[1]Results!AO1409</f>
        <v>-22.587104159233327</v>
      </c>
    </row>
    <row r="49" spans="1:38" x14ac:dyDescent="0.35">
      <c r="A49" s="3" t="str">
        <f>[1]Results!E1410</f>
        <v>GDP_2</v>
      </c>
      <c r="B49" t="str">
        <f>[1]Results!C1410</f>
        <v>PIB</v>
      </c>
      <c r="C49" s="1">
        <f>[1]Results!F1410</f>
        <v>2194755</v>
      </c>
      <c r="D49" s="1">
        <f>[1]Results!G1410</f>
        <v>2231705.2880000002</v>
      </c>
      <c r="E49" s="1">
        <f>[1]Results!H1410</f>
        <v>2272402.8489999999</v>
      </c>
      <c r="F49" s="1">
        <f>[1]Results!I1410</f>
        <v>2316225.7829999998</v>
      </c>
      <c r="G49" s="1">
        <f>[1]Results!J1410</f>
        <v>2364451.5789999999</v>
      </c>
      <c r="H49" s="1">
        <f>[1]Results!K1410</f>
        <v>2416518.398</v>
      </c>
      <c r="I49" s="1">
        <f>[1]Results!L1410</f>
        <v>2471313.5430000001</v>
      </c>
      <c r="J49" s="1">
        <f>[1]Results!M1410</f>
        <v>2518537.9980000001</v>
      </c>
      <c r="K49" s="1">
        <f>[1]Results!N1410</f>
        <v>2564510.335</v>
      </c>
      <c r="L49" s="1">
        <f>[1]Results!O1410</f>
        <v>2618060.6039999998</v>
      </c>
      <c r="M49" s="1">
        <f>[1]Results!P1410</f>
        <v>2668164.071</v>
      </c>
      <c r="N49" s="1">
        <f>[1]Results!Q1410</f>
        <v>2715033.8190000001</v>
      </c>
      <c r="O49" s="1">
        <f>[1]Results!R1410</f>
        <v>2759850.7069999999</v>
      </c>
      <c r="P49" s="1">
        <f>[1]Results!S1410</f>
        <v>2802952.213</v>
      </c>
      <c r="Q49" s="1">
        <f>[1]Results!T1410</f>
        <v>2845108.838</v>
      </c>
      <c r="R49" s="1">
        <f>[1]Results!U1410</f>
        <v>2886668.8259999999</v>
      </c>
      <c r="S49" s="1">
        <f>[1]Results!V1410</f>
        <v>2926852.1529999999</v>
      </c>
      <c r="T49" s="1">
        <f>[1]Results!W1410</f>
        <v>2966906.8220000002</v>
      </c>
      <c r="U49" s="1">
        <f>[1]Results!X1410</f>
        <v>3008036.753</v>
      </c>
      <c r="V49" s="1">
        <f>[1]Results!Y1410</f>
        <v>3051467.719</v>
      </c>
      <c r="W49" s="1">
        <f>[1]Results!Z1410</f>
        <v>3097473.4559999998</v>
      </c>
      <c r="X49" s="1">
        <f>[1]Results!AA1410</f>
        <v>3148054.1540000001</v>
      </c>
      <c r="Y49" s="1">
        <f>[1]Results!AB1410</f>
        <v>3203710.4479999999</v>
      </c>
      <c r="Z49" s="1">
        <f>[1]Results!AC1410</f>
        <v>3264698.9029999999</v>
      </c>
      <c r="AA49" s="1">
        <f>[1]Results!AD1410</f>
        <v>3330998.3020000001</v>
      </c>
      <c r="AB49" s="1">
        <f>[1]Results!AE1410</f>
        <v>3401424.858</v>
      </c>
      <c r="AC49" s="1">
        <f>[1]Results!AF1410</f>
        <v>3477848.1370000001</v>
      </c>
      <c r="AD49" s="1">
        <f>[1]Results!AG1410</f>
        <v>3559912.1839999999</v>
      </c>
      <c r="AE49" s="1">
        <f>[1]Results!AH1410</f>
        <v>3647550.449</v>
      </c>
      <c r="AF49" s="1">
        <f>[1]Results!AI1410</f>
        <v>3740250.716</v>
      </c>
      <c r="AG49" s="1">
        <f>[1]Results!AJ1410</f>
        <v>3837207.25</v>
      </c>
      <c r="AH49" s="1">
        <f>[1]Results!AK1410</f>
        <v>3937981.1910000001</v>
      </c>
      <c r="AI49" s="1">
        <f>[1]Results!AL1410</f>
        <v>4041876.1749999998</v>
      </c>
      <c r="AJ49" s="1">
        <f>[1]Results!AM1410</f>
        <v>4148149.7370000002</v>
      </c>
      <c r="AK49" s="1">
        <f>[1]Results!AN1410</f>
        <v>4256051.9400000004</v>
      </c>
      <c r="AL49" s="1">
        <f>[1]Results!AO1410</f>
        <v>4364806.8789999997</v>
      </c>
    </row>
    <row r="50" spans="1:38" x14ac:dyDescent="0.35">
      <c r="A50" s="3" t="str">
        <f>[1]Results!E1411</f>
        <v>(GDPter_2/GDPbis_2-1)*100</v>
      </c>
      <c r="B50" t="str">
        <f>[1]Results!C1411</f>
        <v>Ecart PIB</v>
      </c>
      <c r="C50" s="1">
        <f>[1]Results!F1411</f>
        <v>0</v>
      </c>
      <c r="D50" s="1">
        <f>[1]Results!G1411</f>
        <v>0</v>
      </c>
      <c r="E50" s="1">
        <f>[1]Results!H1411</f>
        <v>0</v>
      </c>
      <c r="F50" s="1">
        <f>[1]Results!I1411</f>
        <v>0</v>
      </c>
      <c r="G50" s="1">
        <f>[1]Results!J1411</f>
        <v>0</v>
      </c>
      <c r="H50" s="1">
        <f>[1]Results!K1411</f>
        <v>0</v>
      </c>
      <c r="I50" s="1">
        <f>[1]Results!L1411</f>
        <v>0</v>
      </c>
      <c r="J50" s="1">
        <f>[1]Results!M1411</f>
        <v>0</v>
      </c>
      <c r="K50" s="1">
        <f>[1]Results!N1411</f>
        <v>0</v>
      </c>
      <c r="L50" s="1">
        <f>[1]Results!O1411</f>
        <v>0</v>
      </c>
      <c r="M50" s="1">
        <f>[1]Results!P1411</f>
        <v>0</v>
      </c>
      <c r="N50" s="1">
        <f>[1]Results!Q1411</f>
        <v>-3.6831959704386463E-8</v>
      </c>
      <c r="O50" s="1">
        <f>[1]Results!R1411</f>
        <v>-3.6233849254330153E-8</v>
      </c>
      <c r="P50" s="1">
        <f>[1]Results!S1411</f>
        <v>-3.5676672727191772E-8</v>
      </c>
      <c r="Q50" s="1">
        <f>[1]Results!T1411</f>
        <v>-3.514805113624675E-8</v>
      </c>
      <c r="R50" s="1">
        <f>[1]Results!U1411</f>
        <v>0</v>
      </c>
      <c r="S50" s="1">
        <f>[1]Results!V1411</f>
        <v>0</v>
      </c>
      <c r="T50" s="1">
        <f>[1]Results!W1411</f>
        <v>0</v>
      </c>
      <c r="U50" s="1">
        <f>[1]Results!X1411</f>
        <v>0</v>
      </c>
      <c r="V50" s="1">
        <f>[1]Results!Y1411</f>
        <v>0</v>
      </c>
      <c r="W50" s="1">
        <f>[1]Results!Z1411</f>
        <v>0</v>
      </c>
      <c r="X50" s="1">
        <f>[1]Results!AA1411</f>
        <v>0</v>
      </c>
      <c r="Y50" s="1">
        <f>[1]Results!AB1411</f>
        <v>0</v>
      </c>
      <c r="Z50" s="1">
        <f>[1]Results!AC1411</f>
        <v>0</v>
      </c>
      <c r="AA50" s="1">
        <f>[1]Results!AD1411</f>
        <v>0</v>
      </c>
      <c r="AB50" s="1">
        <f>[1]Results!AE1411</f>
        <v>2.9399438439270398E-8</v>
      </c>
      <c r="AC50" s="1">
        <f>[1]Results!AF1411</f>
        <v>0</v>
      </c>
      <c r="AD50" s="1">
        <f>[1]Results!AG1411</f>
        <v>0</v>
      </c>
      <c r="AE50" s="1">
        <f>[1]Results!AH1411</f>
        <v>-2.7415658632179429E-8</v>
      </c>
      <c r="AF50" s="1">
        <f>[1]Results!AI1411</f>
        <v>0</v>
      </c>
      <c r="AG50" s="1">
        <f>[1]Results!AJ1411</f>
        <v>-2.606062032839418E-8</v>
      </c>
      <c r="AH50" s="1">
        <f>[1]Results!AK1411</f>
        <v>-2.539373156196234E-8</v>
      </c>
      <c r="AI50" s="1">
        <f>[1]Results!AL1411</f>
        <v>-2.474097593463398E-8</v>
      </c>
      <c r="AJ50" s="1">
        <f>[1]Results!AM1411</f>
        <v>-2.4107138507645232E-8</v>
      </c>
      <c r="AK50" s="1">
        <f>[1]Results!AN1411</f>
        <v>-2.3495960732589083E-8</v>
      </c>
      <c r="AL50" s="1">
        <f>[1]Results!AO1411</f>
        <v>-2.2910529029473992E-8</v>
      </c>
    </row>
    <row r="51" spans="1:38" x14ac:dyDescent="0.35">
      <c r="A51" s="3" t="str">
        <f>[1]Results!E1412</f>
        <v>SPEND_G_VAL_2</v>
      </c>
      <c r="B51" t="str">
        <f>[1]Results!C1412</f>
        <v>Dépenses publiques</v>
      </c>
      <c r="C51" s="1">
        <f>[1]Results!F1412</f>
        <v>1178747.06</v>
      </c>
      <c r="D51" s="1">
        <f>[1]Results!G1412</f>
        <v>1218872.655</v>
      </c>
      <c r="E51" s="1">
        <f>[1]Results!H1412</f>
        <v>1256505.5460000001</v>
      </c>
      <c r="F51" s="1">
        <f>[1]Results!I1412</f>
        <v>1296349.2279999999</v>
      </c>
      <c r="G51" s="1">
        <f>[1]Results!J1412</f>
        <v>1337168.023</v>
      </c>
      <c r="H51" s="1">
        <f>[1]Results!K1412</f>
        <v>1375679.216</v>
      </c>
      <c r="I51" s="1">
        <f>[1]Results!L1412</f>
        <v>1414021.2990000001</v>
      </c>
      <c r="J51" s="1">
        <f>[1]Results!M1412</f>
        <v>1458125.237</v>
      </c>
      <c r="K51" s="1">
        <f>[1]Results!N1412</f>
        <v>1512557.615</v>
      </c>
      <c r="L51" s="1">
        <f>[1]Results!O1412</f>
        <v>1572494.048</v>
      </c>
      <c r="M51" s="1">
        <f>[1]Results!P1412</f>
        <v>1641960.828</v>
      </c>
      <c r="N51" s="1">
        <f>[1]Results!Q1412</f>
        <v>1707142.7579999999</v>
      </c>
      <c r="O51" s="1">
        <f>[1]Results!R1412</f>
        <v>1760379.652</v>
      </c>
      <c r="P51" s="1">
        <f>[1]Results!S1412</f>
        <v>1810003.2590000001</v>
      </c>
      <c r="Q51" s="1">
        <f>[1]Results!T1412</f>
        <v>1856784.3130000001</v>
      </c>
      <c r="R51" s="1">
        <f>[1]Results!U1412</f>
        <v>1901002.334</v>
      </c>
      <c r="S51" s="1">
        <f>[1]Results!V1412</f>
        <v>1943559.567</v>
      </c>
      <c r="T51" s="1">
        <f>[1]Results!W1412</f>
        <v>1984642.0430000001</v>
      </c>
      <c r="U51" s="1">
        <f>[1]Results!X1412</f>
        <v>2023649.621</v>
      </c>
      <c r="V51" s="1">
        <f>[1]Results!Y1412</f>
        <v>2060123.362</v>
      </c>
      <c r="W51" s="1">
        <f>[1]Results!Z1412</f>
        <v>2092863.1359999999</v>
      </c>
      <c r="X51" s="1">
        <f>[1]Results!AA1412</f>
        <v>2124072.33</v>
      </c>
      <c r="Y51" s="1">
        <f>[1]Results!AB1412</f>
        <v>2153269.7910000002</v>
      </c>
      <c r="Z51" s="1">
        <f>[1]Results!AC1412</f>
        <v>2180357.1639999999</v>
      </c>
      <c r="AA51" s="1">
        <f>[1]Results!AD1412</f>
        <v>2205446.13</v>
      </c>
      <c r="AB51" s="1">
        <f>[1]Results!AE1412</f>
        <v>2224013.9900000002</v>
      </c>
      <c r="AC51" s="1">
        <f>[1]Results!AF1412</f>
        <v>2242846.0550000002</v>
      </c>
      <c r="AD51" s="1">
        <f>[1]Results!AG1412</f>
        <v>2260867.1519999998</v>
      </c>
      <c r="AE51" s="1">
        <f>[1]Results!AH1412</f>
        <v>2276720.8879999998</v>
      </c>
      <c r="AF51" s="1">
        <f>[1]Results!AI1412</f>
        <v>2290091.0729999999</v>
      </c>
      <c r="AG51" s="1">
        <f>[1]Results!AJ1412</f>
        <v>2300689.611</v>
      </c>
      <c r="AH51" s="1">
        <f>[1]Results!AK1412</f>
        <v>2307821.09</v>
      </c>
      <c r="AI51" s="1">
        <f>[1]Results!AL1412</f>
        <v>2312007.1230000001</v>
      </c>
      <c r="AJ51" s="1">
        <f>[1]Results!AM1412</f>
        <v>2311575.8620000002</v>
      </c>
      <c r="AK51" s="1">
        <f>[1]Results!AN1412</f>
        <v>2306088.608</v>
      </c>
      <c r="AL51" s="1">
        <f>[1]Results!AO1412</f>
        <v>2295126.0410000002</v>
      </c>
    </row>
    <row r="52" spans="1:38" x14ac:dyDescent="0.35">
      <c r="A52" s="3" t="str">
        <f>[1]Results!E1413</f>
        <v>INC_G_VAL_2</v>
      </c>
      <c r="B52" t="str">
        <f>[1]Results!C1413</f>
        <v>Recettes publiques</v>
      </c>
      <c r="C52" s="1">
        <f>[1]Results!F1413</f>
        <v>1015133.564</v>
      </c>
      <c r="D52" s="1">
        <f>[1]Results!G1413</f>
        <v>1053469.1229999999</v>
      </c>
      <c r="E52" s="1">
        <f>[1]Results!H1413</f>
        <v>1096797.4669999999</v>
      </c>
      <c r="F52" s="1">
        <f>[1]Results!I1413</f>
        <v>1146583.2749999999</v>
      </c>
      <c r="G52" s="1">
        <f>[1]Results!J1413</f>
        <v>1195877.76</v>
      </c>
      <c r="H52" s="1">
        <f>[1]Results!K1413</f>
        <v>1249333.6299999999</v>
      </c>
      <c r="I52" s="1">
        <f>[1]Results!L1413</f>
        <v>1306769.8500000001</v>
      </c>
      <c r="J52" s="1">
        <f>[1]Results!M1413</f>
        <v>1374646.3470000001</v>
      </c>
      <c r="K52" s="1">
        <f>[1]Results!N1413</f>
        <v>1450485.0049999999</v>
      </c>
      <c r="L52" s="1">
        <f>[1]Results!O1413</f>
        <v>1541929.7120000001</v>
      </c>
      <c r="M52" s="1">
        <f>[1]Results!P1413</f>
        <v>1651388.3049999999</v>
      </c>
      <c r="N52" s="1">
        <f>[1]Results!Q1413</f>
        <v>1744329.608</v>
      </c>
      <c r="O52" s="1">
        <f>[1]Results!R1413</f>
        <v>1838253.6229999999</v>
      </c>
      <c r="P52" s="1">
        <f>[1]Results!S1413</f>
        <v>1930113.4180000001</v>
      </c>
      <c r="Q52" s="1">
        <f>[1]Results!T1413</f>
        <v>2018503.706</v>
      </c>
      <c r="R52" s="1">
        <f>[1]Results!U1413</f>
        <v>2102882.4040000001</v>
      </c>
      <c r="S52" s="1">
        <f>[1]Results!V1413</f>
        <v>2184738.9160000002</v>
      </c>
      <c r="T52" s="1">
        <f>[1]Results!W1413</f>
        <v>2263401.36</v>
      </c>
      <c r="U52" s="1">
        <f>[1]Results!X1413</f>
        <v>2339690.5060000001</v>
      </c>
      <c r="V52" s="1">
        <f>[1]Results!Y1413</f>
        <v>2414120.8739999998</v>
      </c>
      <c r="W52" s="1">
        <f>[1]Results!Z1413</f>
        <v>2487987.932</v>
      </c>
      <c r="X52" s="1">
        <f>[1]Results!AA1413</f>
        <v>2559661.6549999998</v>
      </c>
      <c r="Y52" s="1">
        <f>[1]Results!AB1413</f>
        <v>2633376.5699999998</v>
      </c>
      <c r="Z52" s="1">
        <f>[1]Results!AC1413</f>
        <v>2710606.79</v>
      </c>
      <c r="AA52" s="1">
        <f>[1]Results!AD1413</f>
        <v>2792853.352</v>
      </c>
      <c r="AB52" s="1">
        <f>[1]Results!AE1413</f>
        <v>2880464.3569999998</v>
      </c>
      <c r="AC52" s="1">
        <f>[1]Results!AF1413</f>
        <v>2971209.1129999999</v>
      </c>
      <c r="AD52" s="1">
        <f>[1]Results!AG1413</f>
        <v>3070025.1209999998</v>
      </c>
      <c r="AE52" s="1">
        <f>[1]Results!AH1413</f>
        <v>3179531.7069999999</v>
      </c>
      <c r="AF52" s="1">
        <f>[1]Results!AI1413</f>
        <v>3301391.3509999998</v>
      </c>
      <c r="AG52" s="1">
        <f>[1]Results!AJ1413</f>
        <v>3436441.4739999999</v>
      </c>
      <c r="AH52" s="1">
        <f>[1]Results!AK1413</f>
        <v>3583303.0950000002</v>
      </c>
      <c r="AI52" s="1">
        <f>[1]Results!AL1413</f>
        <v>3743976.963</v>
      </c>
      <c r="AJ52" s="1">
        <f>[1]Results!AM1413</f>
        <v>3918414.656</v>
      </c>
      <c r="AK52" s="1">
        <f>[1]Results!AN1413</f>
        <v>4106253.6140000001</v>
      </c>
      <c r="AL52" s="1">
        <f>[1]Results!AO1413</f>
        <v>4306752.0520000001</v>
      </c>
    </row>
    <row r="53" spans="1:38" x14ac:dyDescent="0.35">
      <c r="A53" s="3" t="str">
        <f>[1]Results!E1414</f>
        <v>Bal_G_tot_VAL_2</v>
      </c>
      <c r="B53" t="str">
        <f>[1]Results!C1414</f>
        <v>Solde public</v>
      </c>
      <c r="C53" s="1">
        <f>[1]Results!F1414</f>
        <v>-61636.427600000003</v>
      </c>
      <c r="D53" s="1">
        <f>[1]Results!G1414</f>
        <v>-60344.642659999998</v>
      </c>
      <c r="E53" s="1">
        <f>[1]Results!H1414</f>
        <v>-51631.957549999999</v>
      </c>
      <c r="F53" s="1">
        <f>[1]Results!I1414</f>
        <v>-39108.234510000002</v>
      </c>
      <c r="G53" s="1">
        <f>[1]Results!J1414</f>
        <v>-28677.131679999999</v>
      </c>
      <c r="H53" s="1">
        <f>[1]Results!K1414</f>
        <v>-12298.598099999999</v>
      </c>
      <c r="I53" s="1">
        <f>[1]Results!L1414</f>
        <v>7410.4689369999996</v>
      </c>
      <c r="J53" s="1">
        <f>[1]Results!M1414</f>
        <v>30812.50344</v>
      </c>
      <c r="K53" s="1">
        <f>[1]Results!N1414</f>
        <v>50678.159010000003</v>
      </c>
      <c r="L53" s="1">
        <f>[1]Results!O1414</f>
        <v>79652.525089999996</v>
      </c>
      <c r="M53" s="1">
        <f>[1]Results!P1414</f>
        <v>115661.7118</v>
      </c>
      <c r="N53" s="1">
        <f>[1]Results!Q1414</f>
        <v>137637.9994</v>
      </c>
      <c r="O53" s="1">
        <f>[1]Results!R1414</f>
        <v>171443.2199</v>
      </c>
      <c r="P53" s="1">
        <f>[1]Results!S1414</f>
        <v>205107.24650000001</v>
      </c>
      <c r="Q53" s="1">
        <f>[1]Results!T1414</f>
        <v>236461.11780000001</v>
      </c>
      <c r="R53" s="1">
        <f>[1]Results!U1414</f>
        <v>264798.73969999998</v>
      </c>
      <c r="S53" s="1">
        <f>[1]Results!V1414</f>
        <v>290858.08140000002</v>
      </c>
      <c r="T53" s="1">
        <f>[1]Results!W1414</f>
        <v>313895.14559999999</v>
      </c>
      <c r="U53" s="1">
        <f>[1]Results!X1414</f>
        <v>335481.95649999997</v>
      </c>
      <c r="V53" s="1">
        <f>[1]Results!Y1414</f>
        <v>356664.48599999998</v>
      </c>
      <c r="W53" s="1">
        <f>[1]Results!Z1414</f>
        <v>379958.54590000003</v>
      </c>
      <c r="X53" s="1">
        <f>[1]Results!AA1414</f>
        <v>401425.14779999998</v>
      </c>
      <c r="Y53" s="1">
        <f>[1]Results!AB1414</f>
        <v>425871.3432</v>
      </c>
      <c r="Z53" s="1">
        <f>[1]Results!AC1414</f>
        <v>454720.62319999997</v>
      </c>
      <c r="AA53" s="1">
        <f>[1]Results!AD1414</f>
        <v>489142.18849999999</v>
      </c>
      <c r="AB53" s="1">
        <f>[1]Results!AE1414</f>
        <v>533728.22389999998</v>
      </c>
      <c r="AC53" s="1">
        <f>[1]Results!AF1414</f>
        <v>578954.50390000001</v>
      </c>
      <c r="AD53" s="1">
        <f>[1]Results!AG1414</f>
        <v>630801.69010000001</v>
      </c>
      <c r="AE53" s="1">
        <f>[1]Results!AH1414</f>
        <v>692914.45550000004</v>
      </c>
      <c r="AF53" s="1">
        <f>[1]Results!AI1414</f>
        <v>766758.19160000002</v>
      </c>
      <c r="AG53" s="1">
        <f>[1]Results!AJ1414</f>
        <v>852871.86640000006</v>
      </c>
      <c r="AH53" s="1">
        <f>[1]Results!AK1414</f>
        <v>949958.41460000002</v>
      </c>
      <c r="AI53" s="1">
        <f>[1]Results!AL1414</f>
        <v>1058948.3289999999</v>
      </c>
      <c r="AJ53" s="1">
        <f>[1]Results!AM1414</f>
        <v>1180869.8670000001</v>
      </c>
      <c r="AK53" s="1">
        <f>[1]Results!AN1414</f>
        <v>1315152.5859999999</v>
      </c>
      <c r="AL53" s="1">
        <f>[1]Results!AO1414</f>
        <v>1460855.9620000001</v>
      </c>
    </row>
    <row r="54" spans="1:38" x14ac:dyDescent="0.35">
      <c r="A54" s="3" t="str">
        <f>[1]Results!E1415</f>
        <v>DEBT_G_VAL_2</v>
      </c>
      <c r="B54" t="str">
        <f>[1]Results!C1415</f>
        <v>Dette publique</v>
      </c>
      <c r="C54" s="1">
        <f>[1]Results!F1415</f>
        <v>2101177.781</v>
      </c>
      <c r="D54" s="1">
        <f>[1]Results!G1415</f>
        <v>2161522.4240000001</v>
      </c>
      <c r="E54" s="1">
        <f>[1]Results!H1415</f>
        <v>2213154.3810000001</v>
      </c>
      <c r="F54" s="1">
        <f>[1]Results!I1415</f>
        <v>2252262.6159999999</v>
      </c>
      <c r="G54" s="1">
        <f>[1]Results!J1415</f>
        <v>2280939.747</v>
      </c>
      <c r="H54" s="1">
        <f>[1]Results!K1415</f>
        <v>2293238.3459999999</v>
      </c>
      <c r="I54" s="1">
        <f>[1]Results!L1415</f>
        <v>2285827.8769999999</v>
      </c>
      <c r="J54" s="1">
        <f>[1]Results!M1415</f>
        <v>2255015.3730000001</v>
      </c>
      <c r="K54" s="1">
        <f>[1]Results!N1415</f>
        <v>2204337.2140000002</v>
      </c>
      <c r="L54" s="1">
        <f>[1]Results!O1415</f>
        <v>2124684.6889999998</v>
      </c>
      <c r="M54" s="1">
        <f>[1]Results!P1415</f>
        <v>2009022.977</v>
      </c>
      <c r="N54" s="1">
        <f>[1]Results!Q1415</f>
        <v>1871384.9779999999</v>
      </c>
      <c r="O54" s="1">
        <f>[1]Results!R1415</f>
        <v>1699941.7579999999</v>
      </c>
      <c r="P54" s="1">
        <f>[1]Results!S1415</f>
        <v>1494834.5109999999</v>
      </c>
      <c r="Q54" s="1">
        <f>[1]Results!T1415</f>
        <v>1258373.3940000001</v>
      </c>
      <c r="R54" s="1">
        <f>[1]Results!U1415</f>
        <v>993574.65379999997</v>
      </c>
      <c r="S54" s="1">
        <f>[1]Results!V1415</f>
        <v>702716.57239999995</v>
      </c>
      <c r="T54" s="1">
        <f>[1]Results!W1415</f>
        <v>388821.42680000002</v>
      </c>
      <c r="U54" s="1">
        <f>[1]Results!X1415</f>
        <v>53339.470280000001</v>
      </c>
      <c r="V54" s="1">
        <f>[1]Results!Y1415</f>
        <v>-303325.01569999999</v>
      </c>
      <c r="W54" s="1">
        <f>[1]Results!Z1415</f>
        <v>-683283.56160000002</v>
      </c>
      <c r="X54" s="1">
        <f>[1]Results!AA1415</f>
        <v>-1084708.709</v>
      </c>
      <c r="Y54" s="1">
        <f>[1]Results!AB1415</f>
        <v>-1510580.0530000001</v>
      </c>
      <c r="Z54" s="1">
        <f>[1]Results!AC1415</f>
        <v>-1965300.676</v>
      </c>
      <c r="AA54" s="1">
        <f>[1]Results!AD1415</f>
        <v>-2454442.8640000001</v>
      </c>
      <c r="AB54" s="1">
        <f>[1]Results!AE1415</f>
        <v>-2988171.088</v>
      </c>
      <c r="AC54" s="1">
        <f>[1]Results!AF1415</f>
        <v>-3567125.5920000002</v>
      </c>
      <c r="AD54" s="1">
        <f>[1]Results!AG1415</f>
        <v>-4197927.2819999997</v>
      </c>
      <c r="AE54" s="1">
        <f>[1]Results!AH1415</f>
        <v>-4890841.7379999999</v>
      </c>
      <c r="AF54" s="1">
        <f>[1]Results!AI1415</f>
        <v>-5657599.9289999995</v>
      </c>
      <c r="AG54" s="1">
        <f>[1]Results!AJ1415</f>
        <v>-6510471.7960000001</v>
      </c>
      <c r="AH54" s="1">
        <f>[1]Results!AK1415</f>
        <v>-7460430.21</v>
      </c>
      <c r="AI54" s="1">
        <f>[1]Results!AL1415</f>
        <v>-8519378.5399999991</v>
      </c>
      <c r="AJ54" s="1">
        <f>[1]Results!AM1415</f>
        <v>-9700248.4059999995</v>
      </c>
      <c r="AK54" s="1">
        <f>[1]Results!AN1415</f>
        <v>-11015400.99</v>
      </c>
      <c r="AL54" s="1">
        <f>[1]Results!AO1415</f>
        <v>-12476256.949999999</v>
      </c>
    </row>
    <row r="55" spans="1:38" x14ac:dyDescent="0.35"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</row>
    <row r="56" spans="1:38" x14ac:dyDescent="0.35">
      <c r="A56" s="10" t="s">
        <v>3</v>
      </c>
      <c r="B56" t="s">
        <v>4</v>
      </c>
      <c r="C56" s="1">
        <f>[1]Results!F1789</f>
        <v>1.002460884</v>
      </c>
      <c r="D56" s="1">
        <f>[1]Results!G1789</f>
        <v>1.022450021</v>
      </c>
      <c r="E56" s="1">
        <f>[1]Results!H1789</f>
        <v>1.043071853</v>
      </c>
      <c r="F56" s="1">
        <f>[1]Results!I1789</f>
        <v>1.065599857</v>
      </c>
      <c r="G56" s="1">
        <f>[1]Results!J1789</f>
        <v>1.086831111</v>
      </c>
      <c r="H56" s="1">
        <f>[1]Results!K1789</f>
        <v>1.1084617480000001</v>
      </c>
      <c r="I56" s="1">
        <f>[1]Results!L1789</f>
        <v>1.13081583</v>
      </c>
      <c r="J56" s="1">
        <f>[1]Results!M1789</f>
        <v>1.1540293749999999</v>
      </c>
      <c r="K56" s="1">
        <f>[1]Results!N1789</f>
        <v>1.178118078</v>
      </c>
      <c r="L56" s="1">
        <f>[1]Results!O1789</f>
        <v>1.203060059</v>
      </c>
      <c r="M56" s="1">
        <f>[1]Results!P1789</f>
        <v>1.2285911869999999</v>
      </c>
      <c r="N56" s="1">
        <f>[1]Results!Q1789</f>
        <v>1.2539499679999999</v>
      </c>
      <c r="O56" s="1">
        <f>[1]Results!R1789</f>
        <v>1.2784176819999999</v>
      </c>
      <c r="P56" s="1">
        <f>[1]Results!S1789</f>
        <v>1.301448951</v>
      </c>
      <c r="Q56" s="1">
        <f>[1]Results!T1789</f>
        <v>1.3227633059999999</v>
      </c>
      <c r="R56" s="1">
        <f>[1]Results!U1789</f>
        <v>1.3422516950000001</v>
      </c>
      <c r="S56" s="1">
        <f>[1]Results!V1789</f>
        <v>1.3598572360000001</v>
      </c>
      <c r="T56" s="1">
        <f>[1]Results!W1789</f>
        <v>1.3756351389999999</v>
      </c>
      <c r="U56" s="1">
        <f>[1]Results!X1789</f>
        <v>1.3898257789999999</v>
      </c>
      <c r="V56" s="1">
        <f>[1]Results!Y1789</f>
        <v>1.402776123</v>
      </c>
      <c r="W56" s="1">
        <f>[1]Results!Z1789</f>
        <v>1.4149774310000001</v>
      </c>
      <c r="X56" s="1">
        <f>[1]Results!AA1789</f>
        <v>1.4268208840000001</v>
      </c>
      <c r="Y56" s="1">
        <f>[1]Results!AB1789</f>
        <v>1.438771802</v>
      </c>
      <c r="Z56" s="1">
        <f>[1]Results!AC1789</f>
        <v>1.4513375150000001</v>
      </c>
      <c r="AA56" s="1">
        <f>[1]Results!AD1789</f>
        <v>1.465081391</v>
      </c>
      <c r="AB56" s="1">
        <f>[1]Results!AE1789</f>
        <v>1.4807349620000001</v>
      </c>
      <c r="AC56" s="1">
        <f>[1]Results!AF1789</f>
        <v>1.4984543239999999</v>
      </c>
      <c r="AD56" s="1">
        <f>[1]Results!AG1789</f>
        <v>1.518521478</v>
      </c>
      <c r="AE56" s="1">
        <f>[1]Results!AH1789</f>
        <v>1.541219868</v>
      </c>
      <c r="AF56" s="1">
        <f>[1]Results!AI1789</f>
        <v>1.5666777359999999</v>
      </c>
      <c r="AG56" s="1">
        <f>[1]Results!AJ1789</f>
        <v>1.5949643250000001</v>
      </c>
      <c r="AH56" s="1">
        <f>[1]Results!AK1789</f>
        <v>1.6260635939999999</v>
      </c>
      <c r="AI56" s="1">
        <f>[1]Results!AL1789</f>
        <v>1.659886357</v>
      </c>
      <c r="AJ56" s="1">
        <f>[1]Results!AM1789</f>
        <v>1.696277923</v>
      </c>
      <c r="AK56" s="1">
        <f>[1]Results!AN1789</f>
        <v>1.7350182110000001</v>
      </c>
      <c r="AL56" s="1">
        <f>[1]Results!AO1789</f>
        <v>1.7758244590000001</v>
      </c>
    </row>
    <row r="57" spans="1:38" x14ac:dyDescent="0.35">
      <c r="A57" s="10"/>
      <c r="B57" t="s">
        <v>6</v>
      </c>
      <c r="C57" s="1">
        <f>[1]Results!F1760</f>
        <v>1.002460884</v>
      </c>
      <c r="D57" s="1">
        <f>[1]Results!G1760</f>
        <v>1.022450021</v>
      </c>
      <c r="E57" s="1">
        <f>[1]Results!H1760</f>
        <v>1.043071853</v>
      </c>
      <c r="F57" s="1">
        <f>[1]Results!I1760</f>
        <v>1.0655998579999999</v>
      </c>
      <c r="G57" s="1">
        <f>[1]Results!J1760</f>
        <v>1.086831112</v>
      </c>
      <c r="H57" s="1">
        <f>[1]Results!K1760</f>
        <v>1.1084617489999999</v>
      </c>
      <c r="I57" s="1">
        <f>[1]Results!L1760</f>
        <v>1.1308158319999999</v>
      </c>
      <c r="J57" s="1">
        <f>[1]Results!M1760</f>
        <v>1.1600745349999999</v>
      </c>
      <c r="K57" s="1">
        <f>[1]Results!N1760</f>
        <v>1.1939221900000001</v>
      </c>
      <c r="L57" s="1">
        <f>[1]Results!O1760</f>
        <v>1.234175112</v>
      </c>
      <c r="M57" s="1">
        <f>[1]Results!P1760</f>
        <v>1.2823357099999999</v>
      </c>
      <c r="N57" s="1">
        <f>[1]Results!Q1760</f>
        <v>1.3242894569999999</v>
      </c>
      <c r="O57" s="1">
        <f>[1]Results!R1760</f>
        <v>1.363969054</v>
      </c>
      <c r="P57" s="1">
        <f>[1]Results!S1760</f>
        <v>1.4013300820000001</v>
      </c>
      <c r="Q57" s="1">
        <f>[1]Results!T1760</f>
        <v>1.436376611</v>
      </c>
      <c r="R57" s="1">
        <f>[1]Results!U1760</f>
        <v>1.4690653970000001</v>
      </c>
      <c r="S57" s="1">
        <f>[1]Results!V1760</f>
        <v>1.5003600050000001</v>
      </c>
      <c r="T57" s="1">
        <f>[1]Results!W1760</f>
        <v>1.530072246</v>
      </c>
      <c r="U57" s="1">
        <f>[1]Results!X1760</f>
        <v>1.5579129439999999</v>
      </c>
      <c r="V57" s="1">
        <f>[1]Results!Y1760</f>
        <v>1.5835643269999999</v>
      </c>
      <c r="W57" s="1">
        <f>[1]Results!Z1760</f>
        <v>1.6075512000000001</v>
      </c>
      <c r="X57" s="1">
        <f>[1]Results!AA1760</f>
        <v>1.628924906</v>
      </c>
      <c r="Y57" s="1">
        <f>[1]Results!AB1760</f>
        <v>1.648929042</v>
      </c>
      <c r="Z57" s="1">
        <f>[1]Results!AC1760</f>
        <v>1.668082869</v>
      </c>
      <c r="AA57" s="1">
        <f>[1]Results!AD1760</f>
        <v>1.686985272</v>
      </c>
      <c r="AB57" s="1">
        <f>[1]Results!AE1760</f>
        <v>1.70646779</v>
      </c>
      <c r="AC57" s="1">
        <f>[1]Results!AF1760</f>
        <v>1.7263034500000001</v>
      </c>
      <c r="AD57" s="1">
        <f>[1]Results!AG1760</f>
        <v>1.7479221309999999</v>
      </c>
      <c r="AE57" s="1">
        <f>[1]Results!AH1760</f>
        <v>1.7717748449999999</v>
      </c>
      <c r="AF57" s="1">
        <f>[1]Results!AI1760</f>
        <v>1.7981642419999999</v>
      </c>
      <c r="AG57" s="1">
        <f>[1]Results!AJ1760</f>
        <v>1.8273270699999999</v>
      </c>
      <c r="AH57" s="1">
        <f>[1]Results!AK1760</f>
        <v>1.8591552060000001</v>
      </c>
      <c r="AI57" s="1">
        <f>[1]Results!AL1760</f>
        <v>1.8941893240000001</v>
      </c>
      <c r="AJ57" s="1">
        <f>[1]Results!AM1760</f>
        <v>1.9324258519999999</v>
      </c>
      <c r="AK57" s="1">
        <f>[1]Results!AN1760</f>
        <v>1.9737607669999999</v>
      </c>
      <c r="AL57" s="1">
        <f>[1]Results!AO1760</f>
        <v>2.0180036989999999</v>
      </c>
    </row>
    <row r="58" spans="1:38" x14ac:dyDescent="0.35"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</row>
    <row r="59" spans="1:38" x14ac:dyDescent="0.35">
      <c r="A59" s="10" t="s">
        <v>1</v>
      </c>
      <c r="B59" t="str">
        <f>B56</f>
        <v>Baseline</v>
      </c>
      <c r="D59" s="1">
        <f t="shared" ref="D59:AL59" si="0">(D56/C56-1)*100</f>
        <v>1.9940066808631807</v>
      </c>
      <c r="E59" s="1">
        <f t="shared" si="0"/>
        <v>2.0169036702479604</v>
      </c>
      <c r="F59" s="1">
        <f t="shared" si="0"/>
        <v>2.159774893283406</v>
      </c>
      <c r="G59" s="1">
        <f t="shared" si="0"/>
        <v>1.9924227523615334</v>
      </c>
      <c r="H59" s="1">
        <f t="shared" si="0"/>
        <v>1.9902482346219941</v>
      </c>
      <c r="I59" s="1">
        <f t="shared" si="0"/>
        <v>2.0166759962924719</v>
      </c>
      <c r="J59" s="1">
        <f t="shared" si="0"/>
        <v>2.0528139405335377</v>
      </c>
      <c r="K59" s="1">
        <f t="shared" si="0"/>
        <v>2.087356138573182</v>
      </c>
      <c r="L59" s="1">
        <f t="shared" si="0"/>
        <v>2.1171036643748087</v>
      </c>
      <c r="M59" s="1">
        <f t="shared" si="0"/>
        <v>2.1221823307160381</v>
      </c>
      <c r="N59" s="1">
        <f t="shared" si="0"/>
        <v>2.0640536305588819</v>
      </c>
      <c r="O59" s="1">
        <f t="shared" si="0"/>
        <v>1.9512512161091289</v>
      </c>
      <c r="P59" s="1">
        <f t="shared" si="0"/>
        <v>1.8015449351395985</v>
      </c>
      <c r="Q59" s="1">
        <f t="shared" si="0"/>
        <v>1.6377403803370383</v>
      </c>
      <c r="R59" s="1">
        <f t="shared" si="0"/>
        <v>1.4733088612000067</v>
      </c>
      <c r="S59" s="1">
        <f t="shared" si="0"/>
        <v>1.3116422996955146</v>
      </c>
      <c r="T59" s="1">
        <f t="shared" si="0"/>
        <v>1.1602617232387091</v>
      </c>
      <c r="U59" s="1">
        <f t="shared" si="0"/>
        <v>1.0315700433703556</v>
      </c>
      <c r="V59" s="1">
        <f t="shared" si="0"/>
        <v>0.93179621472541108</v>
      </c>
      <c r="W59" s="1">
        <f t="shared" si="0"/>
        <v>0.86979723991211788</v>
      </c>
      <c r="X59" s="1">
        <f t="shared" si="0"/>
        <v>0.83700649498203994</v>
      </c>
      <c r="Y59" s="1">
        <f t="shared" si="0"/>
        <v>0.83759062780861537</v>
      </c>
      <c r="Z59" s="1">
        <f t="shared" si="0"/>
        <v>0.87336386371577035</v>
      </c>
      <c r="AA59" s="1">
        <f t="shared" si="0"/>
        <v>0.94698000003121674</v>
      </c>
      <c r="AB59" s="1">
        <f t="shared" si="0"/>
        <v>1.0684437804042934</v>
      </c>
      <c r="AC59" s="1">
        <f t="shared" si="0"/>
        <v>1.1966599327179139</v>
      </c>
      <c r="AD59" s="1">
        <f t="shared" si="0"/>
        <v>1.3391902361382879</v>
      </c>
      <c r="AE59" s="1">
        <f t="shared" si="0"/>
        <v>1.494769111194616</v>
      </c>
      <c r="AF59" s="1">
        <f t="shared" si="0"/>
        <v>1.6517998845314574</v>
      </c>
      <c r="AG59" s="1">
        <f t="shared" si="0"/>
        <v>1.8055142005286129</v>
      </c>
      <c r="AH59" s="1">
        <f t="shared" si="0"/>
        <v>1.949841041115441</v>
      </c>
      <c r="AI59" s="1">
        <f t="shared" si="0"/>
        <v>2.0800393739090151</v>
      </c>
      <c r="AJ59" s="1">
        <f t="shared" si="0"/>
        <v>2.1924131038568495</v>
      </c>
      <c r="AK59" s="1">
        <f t="shared" si="0"/>
        <v>2.2838408420410738</v>
      </c>
      <c r="AL59" s="1">
        <f t="shared" si="0"/>
        <v>2.3519204433295693</v>
      </c>
    </row>
    <row r="60" spans="1:38" x14ac:dyDescent="0.35">
      <c r="A60" s="10"/>
      <c r="B60" t="str">
        <f>B57</f>
        <v>NZ50</v>
      </c>
      <c r="D60" s="1">
        <f t="shared" ref="D60:AL60" si="1">(D57/C57-1)*100</f>
        <v>1.9940066808631807</v>
      </c>
      <c r="E60" s="1">
        <f t="shared" si="1"/>
        <v>2.0169036702479604</v>
      </c>
      <c r="F60" s="1">
        <f t="shared" si="1"/>
        <v>2.159774989154073</v>
      </c>
      <c r="G60" s="1">
        <f t="shared" si="1"/>
        <v>1.9924227504917846</v>
      </c>
      <c r="H60" s="1">
        <f t="shared" si="1"/>
        <v>1.9902482327907256</v>
      </c>
      <c r="I60" s="1">
        <f t="shared" si="1"/>
        <v>2.0166760846882292</v>
      </c>
      <c r="J60" s="1">
        <f t="shared" si="1"/>
        <v>2.5873977151745331</v>
      </c>
      <c r="K60" s="1">
        <f t="shared" si="1"/>
        <v>2.9177138174143469</v>
      </c>
      <c r="L60" s="1">
        <f t="shared" si="1"/>
        <v>3.3714862105042043</v>
      </c>
      <c r="M60" s="1">
        <f t="shared" si="1"/>
        <v>3.9022499750424267</v>
      </c>
      <c r="N60" s="1">
        <f t="shared" si="1"/>
        <v>3.2716664343692026</v>
      </c>
      <c r="O60" s="1">
        <f t="shared" si="1"/>
        <v>2.9962933549202209</v>
      </c>
      <c r="P60" s="1">
        <f t="shared" si="1"/>
        <v>2.7391404438711131</v>
      </c>
      <c r="Q60" s="1">
        <f t="shared" si="1"/>
        <v>2.500947453435165</v>
      </c>
      <c r="R60" s="1">
        <f t="shared" si="1"/>
        <v>2.2757809998898759</v>
      </c>
      <c r="S60" s="1">
        <f t="shared" si="1"/>
        <v>2.1302392707572615</v>
      </c>
      <c r="T60" s="1">
        <f t="shared" si="1"/>
        <v>1.980340778278733</v>
      </c>
      <c r="U60" s="1">
        <f t="shared" si="1"/>
        <v>1.8195675447863602</v>
      </c>
      <c r="V60" s="1">
        <f t="shared" si="1"/>
        <v>1.646522233401515</v>
      </c>
      <c r="W60" s="1">
        <f t="shared" si="1"/>
        <v>1.5147394135508474</v>
      </c>
      <c r="X60" s="1">
        <f t="shared" si="1"/>
        <v>1.3295816643351666</v>
      </c>
      <c r="Y60" s="1">
        <f t="shared" si="1"/>
        <v>1.2280575934664917</v>
      </c>
      <c r="Z60" s="1">
        <f t="shared" si="1"/>
        <v>1.1615919492065085</v>
      </c>
      <c r="AA60" s="1">
        <f t="shared" si="1"/>
        <v>1.1331812916064443</v>
      </c>
      <c r="AB60" s="1">
        <f t="shared" si="1"/>
        <v>1.154871848815997</v>
      </c>
      <c r="AC60" s="1">
        <f t="shared" si="1"/>
        <v>1.1623811545836471</v>
      </c>
      <c r="AD60" s="1">
        <f t="shared" si="1"/>
        <v>1.2523105946408153</v>
      </c>
      <c r="AE60" s="1">
        <f t="shared" si="1"/>
        <v>1.3646325300746387</v>
      </c>
      <c r="AF60" s="1">
        <f t="shared" si="1"/>
        <v>1.4894328742995455</v>
      </c>
      <c r="AG60" s="1">
        <f t="shared" si="1"/>
        <v>1.6218111404308511</v>
      </c>
      <c r="AH60" s="1">
        <f t="shared" si="1"/>
        <v>1.7417864881736911</v>
      </c>
      <c r="AI60" s="1">
        <f t="shared" si="1"/>
        <v>1.8844106122466453</v>
      </c>
      <c r="AJ60" s="1">
        <f t="shared" si="1"/>
        <v>2.0186222948007648</v>
      </c>
      <c r="AK60" s="1">
        <f t="shared" si="1"/>
        <v>2.1390168713184776</v>
      </c>
      <c r="AL60" s="1">
        <f t="shared" si="1"/>
        <v>2.2415549411921143</v>
      </c>
    </row>
    <row r="61" spans="1:38" x14ac:dyDescent="0.35">
      <c r="A61" s="7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</row>
    <row r="62" spans="1:38" x14ac:dyDescent="0.35">
      <c r="A62" s="10" t="s">
        <v>2</v>
      </c>
      <c r="B62" t="str">
        <f>B59</f>
        <v>Baseline</v>
      </c>
      <c r="C62" s="6">
        <f>[1]Emissions!B820</f>
        <v>347.87341720000001</v>
      </c>
      <c r="D62" s="6">
        <f>[1]Emissions!C820</f>
        <v>347.94026020000001</v>
      </c>
      <c r="E62" s="6">
        <f>[1]Emissions!D820</f>
        <v>348.04265980000002</v>
      </c>
      <c r="F62" s="6">
        <f>[1]Emissions!E820</f>
        <v>347.84489930000001</v>
      </c>
      <c r="G62" s="6">
        <f>[1]Emissions!F820</f>
        <v>349.68102260000001</v>
      </c>
      <c r="H62" s="6">
        <f>[1]Emissions!G820</f>
        <v>353.10809069999999</v>
      </c>
      <c r="I62" s="6">
        <f>[1]Emissions!H820</f>
        <v>357.94228349999997</v>
      </c>
      <c r="J62" s="6">
        <f>[1]Emissions!I820</f>
        <v>363.89033030000002</v>
      </c>
      <c r="K62" s="6">
        <f>[1]Emissions!J820</f>
        <v>370.64353410000001</v>
      </c>
      <c r="L62" s="6">
        <f>[1]Emissions!K820</f>
        <v>378.01512120000001</v>
      </c>
      <c r="M62" s="6">
        <f>[1]Emissions!L820</f>
        <v>385.72595310000003</v>
      </c>
      <c r="N62" s="6">
        <f>[1]Emissions!M820</f>
        <v>393.86852970000001</v>
      </c>
      <c r="O62" s="6">
        <f>[1]Emissions!N820</f>
        <v>401.43717170000002</v>
      </c>
      <c r="P62" s="6">
        <f>[1]Emissions!O820</f>
        <v>408.5366856</v>
      </c>
      <c r="Q62" s="6">
        <f>[1]Emissions!P820</f>
        <v>415.31639769999998</v>
      </c>
      <c r="R62" s="6">
        <f>[1]Emissions!Q820</f>
        <v>421.9435297</v>
      </c>
      <c r="S62" s="6">
        <f>[1]Emissions!R820</f>
        <v>428.62610489999997</v>
      </c>
      <c r="T62" s="6">
        <f>[1]Emissions!S820</f>
        <v>435.62858770000003</v>
      </c>
      <c r="U62" s="6">
        <f>[1]Emissions!T820</f>
        <v>443.08207670000002</v>
      </c>
      <c r="V62" s="6">
        <f>[1]Emissions!U820</f>
        <v>451.10583159999999</v>
      </c>
      <c r="W62" s="6">
        <f>[1]Emissions!V820</f>
        <v>459.78043650000001</v>
      </c>
      <c r="X62" s="6">
        <f>[1]Emissions!W820</f>
        <v>469.32250199999999</v>
      </c>
      <c r="Y62" s="6">
        <f>[1]Emissions!X820</f>
        <v>479.8861943</v>
      </c>
      <c r="Z62" s="6">
        <f>[1]Emissions!Y820</f>
        <v>491.61611499999998</v>
      </c>
      <c r="AA62" s="6">
        <f>[1]Emissions!Z820</f>
        <v>504.6358098</v>
      </c>
      <c r="AB62" s="6">
        <f>[1]Emissions!AA820</f>
        <v>518.92498990000001</v>
      </c>
      <c r="AC62" s="6">
        <f>[1]Emissions!AB820</f>
        <v>530.70186520000004</v>
      </c>
      <c r="AD62" s="6">
        <f>[1]Emissions!AC820</f>
        <v>542.22330099999999</v>
      </c>
      <c r="AE62" s="6">
        <f>[1]Emissions!AD820</f>
        <v>554.49499830000002</v>
      </c>
      <c r="AF62" s="6">
        <f>[1]Emissions!AE820</f>
        <v>567.72717350000005</v>
      </c>
      <c r="AG62" s="6">
        <f>[1]Emissions!AF820</f>
        <v>581.82769870000004</v>
      </c>
      <c r="AH62" s="6">
        <f>[1]Emissions!AG820</f>
        <v>596.63400760000002</v>
      </c>
      <c r="AI62" s="6">
        <f>[1]Emissions!AH820</f>
        <v>611.98399400000005</v>
      </c>
      <c r="AJ62" s="6">
        <f>[1]Emissions!AI820</f>
        <v>627.71854329999996</v>
      </c>
      <c r="AK62" s="6">
        <f>[1]Emissions!AJ820</f>
        <v>643.67850699999997</v>
      </c>
      <c r="AL62" s="6">
        <f>[1]Emissions!AK820</f>
        <v>659.70163839999998</v>
      </c>
    </row>
    <row r="63" spans="1:38" x14ac:dyDescent="0.35">
      <c r="A63" s="10"/>
      <c r="B63" t="str">
        <f>B60</f>
        <v>NZ50</v>
      </c>
      <c r="C63" s="6">
        <f>[1]Emissions!B825</f>
        <v>347.87343980000003</v>
      </c>
      <c r="D63" s="6">
        <f>[1]Emissions!C825</f>
        <v>347.94028220000001</v>
      </c>
      <c r="E63" s="6">
        <f>[1]Emissions!D825</f>
        <v>348.04268130000003</v>
      </c>
      <c r="F63" s="6">
        <f>[1]Emissions!E825</f>
        <v>347.84492010000002</v>
      </c>
      <c r="G63" s="6">
        <f>[1]Emissions!F825</f>
        <v>349.68104319999998</v>
      </c>
      <c r="H63" s="6">
        <f>[1]Emissions!G825</f>
        <v>353.10811130000002</v>
      </c>
      <c r="I63" s="6">
        <f>[1]Emissions!H825</f>
        <v>357.9423046</v>
      </c>
      <c r="J63" s="6">
        <f>[1]Emissions!I825</f>
        <v>360.50503830000002</v>
      </c>
      <c r="K63" s="6">
        <f>[1]Emissions!J825</f>
        <v>360.5686068</v>
      </c>
      <c r="L63" s="6">
        <f>[1]Emissions!K825</f>
        <v>359.5190571</v>
      </c>
      <c r="M63" s="6">
        <f>[1]Emissions!L825</f>
        <v>355.15501810000001</v>
      </c>
      <c r="N63" s="6">
        <f>[1]Emissions!M825</f>
        <v>353.69890600000002</v>
      </c>
      <c r="O63" s="6">
        <f>[1]Emissions!N825</f>
        <v>353.3956038</v>
      </c>
      <c r="P63" s="6">
        <f>[1]Emissions!O825</f>
        <v>353.88257440000001</v>
      </c>
      <c r="Q63" s="6">
        <f>[1]Emissions!P825</f>
        <v>354.99485470000002</v>
      </c>
      <c r="R63" s="6">
        <f>[1]Emissions!Q825</f>
        <v>356.59213799999998</v>
      </c>
      <c r="S63" s="6">
        <f>[1]Emissions!R825</f>
        <v>355.93558100000001</v>
      </c>
      <c r="T63" s="6">
        <f>[1]Emissions!S825</f>
        <v>355.1388311</v>
      </c>
      <c r="U63" s="6">
        <f>[1]Emissions!T825</f>
        <v>353.39890079999998</v>
      </c>
      <c r="V63" s="6">
        <f>[1]Emissions!U825</f>
        <v>349.01172889999998</v>
      </c>
      <c r="W63" s="6">
        <f>[1]Emissions!V825</f>
        <v>344.28358320000001</v>
      </c>
      <c r="X63" s="6">
        <f>[1]Emissions!W825</f>
        <v>339.65089139999998</v>
      </c>
      <c r="Y63" s="6">
        <f>[1]Emissions!X825</f>
        <v>335.21832260000002</v>
      </c>
      <c r="Z63" s="6">
        <f>[1]Emissions!Y825</f>
        <v>331.13845700000002</v>
      </c>
      <c r="AA63" s="6">
        <f>[1]Emissions!Z825</f>
        <v>327.60108719999999</v>
      </c>
      <c r="AB63" s="6">
        <f>[1]Emissions!AA825</f>
        <v>324.72946810000002</v>
      </c>
      <c r="AC63" s="6">
        <f>[1]Emissions!AB825</f>
        <v>320.3249687</v>
      </c>
      <c r="AD63" s="6">
        <f>[1]Emissions!AC825</f>
        <v>316.157309</v>
      </c>
      <c r="AE63" s="6">
        <f>[1]Emissions!AD825</f>
        <v>312.88789079999998</v>
      </c>
      <c r="AF63" s="6">
        <f>[1]Emissions!AE825</f>
        <v>310.61287399999998</v>
      </c>
      <c r="AG63" s="6">
        <f>[1]Emissions!AF825</f>
        <v>309.22385939999998</v>
      </c>
      <c r="AH63" s="6">
        <f>[1]Emissions!AG825</f>
        <v>308.68044529999997</v>
      </c>
      <c r="AI63" s="6">
        <f>[1]Emissions!AH825</f>
        <v>308.84167400000001</v>
      </c>
      <c r="AJ63" s="6">
        <f>[1]Emissions!AI825</f>
        <v>309.5756753</v>
      </c>
      <c r="AK63" s="6">
        <f>[1]Emissions!AJ825</f>
        <v>310.77010430000001</v>
      </c>
      <c r="AL63" s="6">
        <f>[1]Emissions!AK825</f>
        <v>312.3331713</v>
      </c>
    </row>
    <row r="64" spans="1:38" x14ac:dyDescent="0.35">
      <c r="A64" s="9"/>
      <c r="B64" t="s">
        <v>27</v>
      </c>
      <c r="C64" s="6">
        <f>[1]Emissions!B829</f>
        <v>119.49049309999999</v>
      </c>
      <c r="D64" s="6">
        <f>[1]Emissions!C829</f>
        <v>118.405377</v>
      </c>
      <c r="E64" s="6">
        <f>[1]Emissions!D829</f>
        <v>117.19669810000001</v>
      </c>
      <c r="F64" s="6">
        <f>[1]Emissions!E829</f>
        <v>116.0203307</v>
      </c>
      <c r="G64" s="6">
        <f>[1]Emissions!F829</f>
        <v>115.48603540000001</v>
      </c>
      <c r="H64" s="6">
        <f>[1]Emissions!G829</f>
        <v>115.3559152</v>
      </c>
      <c r="I64" s="6">
        <f>[1]Emissions!H829</f>
        <v>115.4569711</v>
      </c>
      <c r="J64" s="6">
        <f>[1]Emissions!I829</f>
        <v>115.12207429999999</v>
      </c>
      <c r="K64" s="6">
        <f>[1]Emissions!J829</f>
        <v>114.1898424</v>
      </c>
      <c r="L64" s="6">
        <f>[1]Emissions!K829</f>
        <v>112.89361289999999</v>
      </c>
      <c r="M64" s="6">
        <f>[1]Emissions!L829</f>
        <v>111.02735680000001</v>
      </c>
      <c r="N64" s="6">
        <f>[1]Emissions!M829</f>
        <v>110.1446163</v>
      </c>
      <c r="O64" s="6">
        <f>[1]Emissions!N829</f>
        <v>109.7425082</v>
      </c>
      <c r="P64" s="6">
        <f>[1]Emissions!O829</f>
        <v>109.5541128</v>
      </c>
      <c r="Q64" s="6">
        <f>[1]Emissions!P829</f>
        <v>109.43217420000001</v>
      </c>
      <c r="R64" s="6">
        <f>[1]Emissions!Q829</f>
        <v>109.29648899999999</v>
      </c>
      <c r="S64" s="6">
        <f>[1]Emissions!R829</f>
        <v>108.51697830000001</v>
      </c>
      <c r="T64" s="6">
        <f>[1]Emissions!S829</f>
        <v>107.5626776</v>
      </c>
      <c r="U64" s="6">
        <f>[1]Emissions!T829</f>
        <v>106.03843910000001</v>
      </c>
      <c r="V64" s="6">
        <f>[1]Emissions!U829</f>
        <v>103.08923679999999</v>
      </c>
      <c r="W64" s="6">
        <f>[1]Emissions!V829</f>
        <v>99.799672459999996</v>
      </c>
      <c r="X64" s="6">
        <f>[1]Emissions!W829</f>
        <v>96.300008309999996</v>
      </c>
      <c r="Y64" s="6">
        <f>[1]Emissions!X829</f>
        <v>92.600341970000002</v>
      </c>
      <c r="Z64" s="6">
        <f>[1]Emissions!Y829</f>
        <v>88.739460500000007</v>
      </c>
      <c r="AA64" s="6">
        <f>[1]Emissions!Z829</f>
        <v>84.773326400000002</v>
      </c>
      <c r="AB64" s="6">
        <f>[1]Emissions!AA829</f>
        <v>80.716991770000007</v>
      </c>
      <c r="AC64" s="6">
        <f>[1]Emissions!AB829</f>
        <v>76.708887410000003</v>
      </c>
      <c r="AD64" s="6">
        <f>[1]Emissions!AC829</f>
        <v>72.790392310000001</v>
      </c>
      <c r="AE64" s="6">
        <f>[1]Emissions!AD829</f>
        <v>68.983039250000004</v>
      </c>
      <c r="AF64" s="6">
        <f>[1]Emissions!AE829</f>
        <v>65.319962169999997</v>
      </c>
      <c r="AG64" s="6">
        <f>[1]Emissions!AF829</f>
        <v>61.832328830000002</v>
      </c>
      <c r="AH64" s="6">
        <f>[1]Emissions!AG829</f>
        <v>58.567711789999997</v>
      </c>
      <c r="AI64" s="6">
        <f>[1]Emissions!AH829</f>
        <v>55.532534230000003</v>
      </c>
      <c r="AJ64" s="6">
        <f>[1]Emissions!AI829</f>
        <v>52.734414989999998</v>
      </c>
      <c r="AK64" s="6">
        <f>[1]Emissions!AJ829</f>
        <v>50.179317589999997</v>
      </c>
      <c r="AL64" s="6">
        <f>[1]Emissions!AK829</f>
        <v>47.869184910000001</v>
      </c>
    </row>
    <row r="65" spans="1:38" x14ac:dyDescent="0.35">
      <c r="A65" s="9"/>
      <c r="B65" t="s">
        <v>28</v>
      </c>
      <c r="C65" s="6">
        <f>SUM(C66:C68)</f>
        <v>228.38294672729998</v>
      </c>
      <c r="D65" s="6">
        <f t="shared" ref="D65:AL65" si="2">SUM(D66:D68)</f>
        <v>229.53490527370002</v>
      </c>
      <c r="E65" s="6">
        <f t="shared" si="2"/>
        <v>230.84598320150002</v>
      </c>
      <c r="F65" s="6">
        <f t="shared" si="2"/>
        <v>231.82458943590001</v>
      </c>
      <c r="G65" s="6">
        <f t="shared" si="2"/>
        <v>234.19500784370001</v>
      </c>
      <c r="H65" s="6">
        <f t="shared" si="2"/>
        <v>237.75219613919998</v>
      </c>
      <c r="I65" s="6">
        <f t="shared" si="2"/>
        <v>242.48533343299999</v>
      </c>
      <c r="J65" s="6">
        <f t="shared" si="2"/>
        <v>245.38296407659999</v>
      </c>
      <c r="K65" s="6">
        <f t="shared" si="2"/>
        <v>246.37876447869999</v>
      </c>
      <c r="L65" s="6">
        <f t="shared" si="2"/>
        <v>246.62544414140001</v>
      </c>
      <c r="M65" s="6">
        <f t="shared" si="2"/>
        <v>244.12766129969998</v>
      </c>
      <c r="N65" s="6">
        <f t="shared" si="2"/>
        <v>243.5542897039</v>
      </c>
      <c r="O65" s="6">
        <f t="shared" si="2"/>
        <v>243.65309558530001</v>
      </c>
      <c r="P65" s="6">
        <f t="shared" si="2"/>
        <v>244.3284615897</v>
      </c>
      <c r="Q65" s="6">
        <f t="shared" si="2"/>
        <v>245.56268046349999</v>
      </c>
      <c r="R65" s="6">
        <f t="shared" si="2"/>
        <v>247.2956490386</v>
      </c>
      <c r="S65" s="6">
        <f t="shared" si="2"/>
        <v>247.41860268359997</v>
      </c>
      <c r="T65" s="6">
        <f t="shared" si="2"/>
        <v>247.57615346839998</v>
      </c>
      <c r="U65" s="6">
        <f t="shared" si="2"/>
        <v>247.36046180420001</v>
      </c>
      <c r="V65" s="6">
        <f t="shared" si="2"/>
        <v>245.92249218090004</v>
      </c>
      <c r="W65" s="6">
        <f t="shared" si="2"/>
        <v>244.48391074769998</v>
      </c>
      <c r="X65" s="6">
        <f t="shared" si="2"/>
        <v>243.35088314479998</v>
      </c>
      <c r="Y65" s="6">
        <f t="shared" si="2"/>
        <v>242.61798066920002</v>
      </c>
      <c r="Z65" s="6">
        <f t="shared" si="2"/>
        <v>242.3989964374</v>
      </c>
      <c r="AA65" s="6">
        <f t="shared" si="2"/>
        <v>242.82776084170001</v>
      </c>
      <c r="AB65" s="6">
        <f t="shared" si="2"/>
        <v>244.01247632559998</v>
      </c>
      <c r="AC65" s="6">
        <f t="shared" si="2"/>
        <v>243.616081243</v>
      </c>
      <c r="AD65" s="6">
        <f t="shared" si="2"/>
        <v>243.36691670090002</v>
      </c>
      <c r="AE65" s="6">
        <f t="shared" si="2"/>
        <v>243.9048515787</v>
      </c>
      <c r="AF65" s="6">
        <f t="shared" si="2"/>
        <v>245.2929118401</v>
      </c>
      <c r="AG65" s="6">
        <f t="shared" si="2"/>
        <v>247.39153052469999</v>
      </c>
      <c r="AH65" s="6">
        <f t="shared" si="2"/>
        <v>250.11273353670001</v>
      </c>
      <c r="AI65" s="6">
        <f t="shared" si="2"/>
        <v>253.3091397394</v>
      </c>
      <c r="AJ65" s="6">
        <f t="shared" si="2"/>
        <v>256.84126027949998</v>
      </c>
      <c r="AK65" s="6">
        <f t="shared" si="2"/>
        <v>260.59078676979999</v>
      </c>
      <c r="AL65" s="6">
        <f t="shared" si="2"/>
        <v>264.46398641320002</v>
      </c>
    </row>
    <row r="66" spans="1:38" x14ac:dyDescent="0.35">
      <c r="A66" s="9"/>
      <c r="C66" s="5">
        <f>[1]Emissions!B826</f>
        <v>213.1436975</v>
      </c>
      <c r="D66" s="5">
        <f>[1]Emissions!C826</f>
        <v>214.06431449999999</v>
      </c>
      <c r="E66" s="5">
        <f>[1]Emissions!D826</f>
        <v>215.1146013</v>
      </c>
      <c r="F66" s="5">
        <f>[1]Emissions!E826</f>
        <v>215.81639340000001</v>
      </c>
      <c r="G66" s="5">
        <f>[1]Emissions!F826</f>
        <v>217.88485220000001</v>
      </c>
      <c r="H66" s="5">
        <f>[1]Emissions!G826</f>
        <v>221.11192019999999</v>
      </c>
      <c r="I66" s="5">
        <f>[1]Emissions!H826</f>
        <v>225.48480069999999</v>
      </c>
      <c r="J66" s="5">
        <f>[1]Emissions!I826</f>
        <v>228.0693114</v>
      </c>
      <c r="K66" s="5">
        <f>[1]Emissions!J826</f>
        <v>228.77484079999999</v>
      </c>
      <c r="L66" s="5">
        <f>[1]Emissions!K826</f>
        <v>228.71157500000001</v>
      </c>
      <c r="M66" s="5">
        <f>[1]Emissions!L826</f>
        <v>225.94175559999999</v>
      </c>
      <c r="N66" s="5">
        <f>[1]Emissions!M826</f>
        <v>225.1305965</v>
      </c>
      <c r="O66" s="5">
        <f>[1]Emissions!N826</f>
        <v>225.00389949999999</v>
      </c>
      <c r="P66" s="5">
        <f>[1]Emissions!O826</f>
        <v>225.45129370000001</v>
      </c>
      <c r="Q66" s="5">
        <f>[1]Emissions!P826</f>
        <v>226.44510109999999</v>
      </c>
      <c r="R66" s="5">
        <f>[1]Emissions!Q826</f>
        <v>227.92172260000001</v>
      </c>
      <c r="S66" s="5">
        <f>[1]Emissions!R826</f>
        <v>227.77279799999999</v>
      </c>
      <c r="T66" s="5">
        <f>[1]Emissions!S826</f>
        <v>227.64591419999999</v>
      </c>
      <c r="U66" s="5">
        <f>[1]Emissions!T826</f>
        <v>227.130101</v>
      </c>
      <c r="V66" s="5">
        <f>[1]Emissions!U826</f>
        <v>225.37141930000001</v>
      </c>
      <c r="W66" s="5">
        <f>[1]Emissions!V826</f>
        <v>223.58903659999999</v>
      </c>
      <c r="X66" s="5">
        <f>[1]Emissions!W826</f>
        <v>222.0776353</v>
      </c>
      <c r="Y66" s="5">
        <f>[1]Emissions!X826</f>
        <v>220.9249915</v>
      </c>
      <c r="Z66" s="5">
        <f>[1]Emissions!Y826</f>
        <v>220.2421587</v>
      </c>
      <c r="AA66" s="5">
        <f>[1]Emissions!Z826</f>
        <v>220.16293490000001</v>
      </c>
      <c r="AB66" s="5">
        <f>[1]Emissions!AA826</f>
        <v>220.7997541</v>
      </c>
      <c r="AC66" s="5">
        <f>[1]Emissions!AB826</f>
        <v>219.83482280000001</v>
      </c>
      <c r="AD66" s="5">
        <f>[1]Emissions!AC826</f>
        <v>218.99045630000001</v>
      </c>
      <c r="AE66" s="5">
        <f>[1]Emissions!AD826</f>
        <v>218.90225190000001</v>
      </c>
      <c r="AF66" s="5">
        <f>[1]Emissions!AE826</f>
        <v>219.63470140000001</v>
      </c>
      <c r="AG66" s="5">
        <f>[1]Emissions!AF826</f>
        <v>221.05347309999999</v>
      </c>
      <c r="AH66" s="5">
        <f>[1]Emissions!AG826</f>
        <v>223.07273979999999</v>
      </c>
      <c r="AI66" s="5">
        <f>[1]Emissions!AH826</f>
        <v>225.54848709999999</v>
      </c>
      <c r="AJ66" s="5">
        <f>[1]Emissions!AI826</f>
        <v>228.34590919999999</v>
      </c>
      <c r="AK66" s="5">
        <f>[1]Emissions!AJ826</f>
        <v>231.3517587</v>
      </c>
      <c r="AL66" s="5">
        <f>[1]Emissions!AK826</f>
        <v>234.4773739</v>
      </c>
    </row>
    <row r="67" spans="1:38" x14ac:dyDescent="0.35">
      <c r="A67" s="9"/>
      <c r="C67" s="5">
        <f>[1]Emissions!B827</f>
        <v>2.7493467300000001E-2</v>
      </c>
      <c r="D67" s="5">
        <f>[1]Emissions!C827</f>
        <v>2.79059537E-2</v>
      </c>
      <c r="E67" s="5">
        <f>[1]Emissions!D827</f>
        <v>2.8393291500000001E-2</v>
      </c>
      <c r="F67" s="5">
        <f>[1]Emissions!E827</f>
        <v>2.89429059E-2</v>
      </c>
      <c r="G67" s="5">
        <f>[1]Emissions!F827</f>
        <v>2.9573433699999999E-2</v>
      </c>
      <c r="H67" s="5">
        <f>[1]Emissions!G827</f>
        <v>3.0278569200000001E-2</v>
      </c>
      <c r="I67" s="5">
        <f>[1]Emissions!H827</f>
        <v>3.1042663000000002E-2</v>
      </c>
      <c r="J67" s="5">
        <f>[1]Emissions!I827</f>
        <v>3.1675706599999999E-2</v>
      </c>
      <c r="K67" s="5">
        <f>[1]Emissions!J827</f>
        <v>3.2276128699999997E-2</v>
      </c>
      <c r="L67" s="5">
        <f>[1]Emissions!K827</f>
        <v>3.2981591400000003E-2</v>
      </c>
      <c r="M67" s="5">
        <f>[1]Emissions!L827</f>
        <v>3.3617449700000003E-2</v>
      </c>
      <c r="N67" s="5">
        <f>[1]Emissions!M827</f>
        <v>3.41669239E-2</v>
      </c>
      <c r="O67" s="5">
        <f>[1]Emissions!N827</f>
        <v>3.4665435299999998E-2</v>
      </c>
      <c r="P67" s="5">
        <f>[1]Emissions!O827</f>
        <v>3.5131799700000001E-2</v>
      </c>
      <c r="Q67" s="5">
        <f>[1]Emissions!P827</f>
        <v>3.5584173500000003E-2</v>
      </c>
      <c r="R67" s="5">
        <f>[1]Emissions!Q827</f>
        <v>3.6030078600000001E-2</v>
      </c>
      <c r="S67" s="5">
        <f>[1]Emissions!R827</f>
        <v>3.64679236E-2</v>
      </c>
      <c r="T67" s="5">
        <f>[1]Emissions!S827</f>
        <v>3.6904398400000003E-2</v>
      </c>
      <c r="U67" s="5">
        <f>[1]Emissions!T827</f>
        <v>3.7356114199999998E-2</v>
      </c>
      <c r="V67" s="5">
        <f>[1]Emissions!U827</f>
        <v>3.7841030900000003E-2</v>
      </c>
      <c r="W67" s="5">
        <f>[1]Emissions!V827</f>
        <v>3.8367007699999997E-2</v>
      </c>
      <c r="X67" s="5">
        <f>[1]Emissions!W827</f>
        <v>3.8964324799999998E-2</v>
      </c>
      <c r="Y67" s="5">
        <f>[1]Emissions!X827</f>
        <v>3.9645339199999997E-2</v>
      </c>
      <c r="Z67" s="5">
        <f>[1]Emissions!Y827</f>
        <v>4.0415327399999999E-2</v>
      </c>
      <c r="AA67" s="5">
        <f>[1]Emissions!Z827</f>
        <v>4.1273801700000001E-2</v>
      </c>
      <c r="AB67" s="5">
        <f>[1]Emissions!AA827</f>
        <v>4.2203255600000003E-2</v>
      </c>
      <c r="AC67" s="5">
        <f>[1]Emissions!AB827</f>
        <v>4.3214743E-2</v>
      </c>
      <c r="AD67" s="5">
        <f>[1]Emissions!AC827</f>
        <v>4.4323300900000001E-2</v>
      </c>
      <c r="AE67" s="5">
        <f>[1]Emissions!AD827</f>
        <v>4.5530878699999999E-2</v>
      </c>
      <c r="AF67" s="5">
        <f>[1]Emissions!AE827</f>
        <v>4.6827930099999998E-2</v>
      </c>
      <c r="AG67" s="5">
        <f>[1]Emissions!AF827</f>
        <v>4.8198734700000002E-2</v>
      </c>
      <c r="AH67" s="5">
        <f>[1]Emissions!AG827</f>
        <v>4.9633416700000002E-2</v>
      </c>
      <c r="AI67" s="5">
        <f>[1]Emissions!AH827</f>
        <v>5.1119989400000003E-2</v>
      </c>
      <c r="AJ67" s="5">
        <f>[1]Emissions!AI827</f>
        <v>5.2645069500000002E-2</v>
      </c>
      <c r="AK67" s="5">
        <f>[1]Emissions!AJ827</f>
        <v>5.4194769800000001E-2</v>
      </c>
      <c r="AL67" s="5">
        <f>[1]Emissions!AK827</f>
        <v>5.5754803200000001E-2</v>
      </c>
    </row>
    <row r="68" spans="1:38" x14ac:dyDescent="0.35">
      <c r="C68" s="5">
        <f>[1]Emissions!B828</f>
        <v>15.211755760000001</v>
      </c>
      <c r="D68" s="5">
        <f>[1]Emissions!C828</f>
        <v>15.44268482</v>
      </c>
      <c r="E68" s="5">
        <f>[1]Emissions!D828</f>
        <v>15.70298861</v>
      </c>
      <c r="F68" s="5">
        <f>[1]Emissions!E828</f>
        <v>15.97925313</v>
      </c>
      <c r="G68" s="5">
        <f>[1]Emissions!F828</f>
        <v>16.280582209999999</v>
      </c>
      <c r="H68" s="5">
        <f>[1]Emissions!G828</f>
        <v>16.609997369999999</v>
      </c>
      <c r="I68" s="5">
        <f>[1]Emissions!H828</f>
        <v>16.969490069999999</v>
      </c>
      <c r="J68" s="5">
        <f>[1]Emissions!I828</f>
        <v>17.281976969999999</v>
      </c>
      <c r="K68" s="5">
        <f>[1]Emissions!J828</f>
        <v>17.571647550000002</v>
      </c>
      <c r="L68" s="5">
        <f>[1]Emissions!K828</f>
        <v>17.880887550000001</v>
      </c>
      <c r="M68" s="5">
        <f>[1]Emissions!L828</f>
        <v>18.152288250000002</v>
      </c>
      <c r="N68" s="5">
        <f>[1]Emissions!M828</f>
        <v>18.389526279999998</v>
      </c>
      <c r="O68" s="5">
        <f>[1]Emissions!N828</f>
        <v>18.614530649999999</v>
      </c>
      <c r="P68" s="5">
        <f>[1]Emissions!O828</f>
        <v>18.842036090000001</v>
      </c>
      <c r="Q68" s="5">
        <f>[1]Emissions!P828</f>
        <v>19.081995190000001</v>
      </c>
      <c r="R68" s="5">
        <f>[1]Emissions!Q828</f>
        <v>19.337896359999998</v>
      </c>
      <c r="S68" s="5">
        <f>[1]Emissions!R828</f>
        <v>19.609336760000001</v>
      </c>
      <c r="T68" s="5">
        <f>[1]Emissions!S828</f>
        <v>19.89333487</v>
      </c>
      <c r="U68" s="5">
        <f>[1]Emissions!T828</f>
        <v>20.193004689999999</v>
      </c>
      <c r="V68" s="5">
        <f>[1]Emissions!U828</f>
        <v>20.51323185</v>
      </c>
      <c r="W68" s="5">
        <f>[1]Emissions!V828</f>
        <v>20.856507140000001</v>
      </c>
      <c r="X68" s="5">
        <f>[1]Emissions!W828</f>
        <v>21.234283520000002</v>
      </c>
      <c r="Y68" s="5">
        <f>[1]Emissions!X828</f>
        <v>21.653343830000001</v>
      </c>
      <c r="Z68" s="5">
        <f>[1]Emissions!Y828</f>
        <v>22.116422409999998</v>
      </c>
      <c r="AA68" s="5">
        <f>[1]Emissions!Z828</f>
        <v>22.623552140000001</v>
      </c>
      <c r="AB68" s="5">
        <f>[1]Emissions!AA828</f>
        <v>23.17051897</v>
      </c>
      <c r="AC68" s="5">
        <f>[1]Emissions!AB828</f>
        <v>23.738043699999999</v>
      </c>
      <c r="AD68" s="5">
        <f>[1]Emissions!AC828</f>
        <v>24.332137100000001</v>
      </c>
      <c r="AE68" s="5">
        <f>[1]Emissions!AD828</f>
        <v>24.957068799999998</v>
      </c>
      <c r="AF68" s="5">
        <f>[1]Emissions!AE828</f>
        <v>25.611382509999999</v>
      </c>
      <c r="AG68" s="5">
        <f>[1]Emissions!AF828</f>
        <v>26.289858689999999</v>
      </c>
      <c r="AH68" s="5">
        <f>[1]Emissions!AG828</f>
        <v>26.990360320000001</v>
      </c>
      <c r="AI68" s="5">
        <f>[1]Emissions!AH828</f>
        <v>27.70953265</v>
      </c>
      <c r="AJ68" s="5">
        <f>[1]Emissions!AI828</f>
        <v>28.442706009999998</v>
      </c>
      <c r="AK68" s="5">
        <f>[1]Emissions!AJ828</f>
        <v>29.184833300000001</v>
      </c>
      <c r="AL68" s="5">
        <f>[1]Emissions!AK828</f>
        <v>29.930857710000002</v>
      </c>
    </row>
    <row r="69" spans="1:38" x14ac:dyDescent="0.35">
      <c r="B69" t="s">
        <v>15</v>
      </c>
      <c r="C69" s="6">
        <f>[1]Results!F1551</f>
        <v>1964141.541</v>
      </c>
      <c r="D69" s="6">
        <f>[1]Results!G1551</f>
        <v>1997874.5870000001</v>
      </c>
      <c r="E69" s="6">
        <f>[1]Results!H1551</f>
        <v>2034652.2080000001</v>
      </c>
      <c r="F69" s="6">
        <f>[1]Results!I1551</f>
        <v>2074114.23</v>
      </c>
      <c r="G69" s="6">
        <f>[1]Results!J1551</f>
        <v>2117265.5359999998</v>
      </c>
      <c r="H69" s="6">
        <f>[1]Results!K1551</f>
        <v>2163690.145</v>
      </c>
      <c r="I69" s="6">
        <f>[1]Results!L1551</f>
        <v>2212340.548</v>
      </c>
      <c r="J69" s="6">
        <f>[1]Results!M1551</f>
        <v>2263090.9870000002</v>
      </c>
      <c r="K69" s="6">
        <f>[1]Results!N1551</f>
        <v>2315686.6740000001</v>
      </c>
      <c r="L69" s="6">
        <f>[1]Results!O1551</f>
        <v>2369923.4649999999</v>
      </c>
      <c r="M69" s="6">
        <f>[1]Results!P1551</f>
        <v>2424343.4479999999</v>
      </c>
      <c r="N69" s="6">
        <f>[1]Results!Q1551</f>
        <v>2473169.9180000001</v>
      </c>
      <c r="O69" s="6">
        <f>[1]Results!R1551</f>
        <v>2517953.2609999999</v>
      </c>
      <c r="P69" s="6">
        <f>[1]Results!S1551</f>
        <v>2559463.5490000001</v>
      </c>
      <c r="Q69" s="6">
        <f>[1]Results!T1551</f>
        <v>2598785.0419999999</v>
      </c>
      <c r="R69" s="6">
        <f>[1]Results!U1551</f>
        <v>2637011.9029999999</v>
      </c>
      <c r="S69" s="6">
        <f>[1]Results!V1551</f>
        <v>2675237.3509999998</v>
      </c>
      <c r="T69" s="6">
        <f>[1]Results!W1551</f>
        <v>2714582.7940000002</v>
      </c>
      <c r="U69" s="6">
        <f>[1]Results!X1551</f>
        <v>2756001.28</v>
      </c>
      <c r="V69" s="6">
        <f>[1]Results!Y1551</f>
        <v>2800135.2859999998</v>
      </c>
      <c r="W69" s="6">
        <f>[1]Results!Z1551</f>
        <v>2847228.3330000001</v>
      </c>
      <c r="X69" s="6">
        <f>[1]Results!AA1551</f>
        <v>2898209.301</v>
      </c>
      <c r="Y69" s="6">
        <f>[1]Results!AB1551</f>
        <v>2953554.202</v>
      </c>
      <c r="Z69" s="6">
        <f>[1]Results!AC1551</f>
        <v>3013564.1880000001</v>
      </c>
      <c r="AA69" s="6">
        <f>[1]Results!AD1551</f>
        <v>3078244.6609999998</v>
      </c>
      <c r="AB69" s="6">
        <f>[1]Results!AE1551</f>
        <v>3146633.7510000002</v>
      </c>
      <c r="AC69" s="6">
        <f>[1]Results!AF1551</f>
        <v>3220215.7110000001</v>
      </c>
      <c r="AD69" s="6">
        <f>[1]Results!AG1551</f>
        <v>3298524.11</v>
      </c>
      <c r="AE69" s="6">
        <f>[1]Results!AH1551</f>
        <v>3381467.1770000001</v>
      </c>
      <c r="AF69" s="6">
        <f>[1]Results!AI1551</f>
        <v>3468531.9470000002</v>
      </c>
      <c r="AG69" s="6">
        <f>[1]Results!AJ1551</f>
        <v>3558951.9160000002</v>
      </c>
      <c r="AH69" s="6">
        <f>[1]Results!AK1551</f>
        <v>3652041.2149999999</v>
      </c>
      <c r="AI69" s="6">
        <f>[1]Results!AL1551</f>
        <v>3747215.6889999998</v>
      </c>
      <c r="AJ69" s="6">
        <f>[1]Results!AM1551</f>
        <v>3843885.577</v>
      </c>
      <c r="AK69" s="6">
        <f>[1]Results!AN1551</f>
        <v>3941437.8220000002</v>
      </c>
      <c r="AL69" s="6">
        <f>[1]Results!AO1551</f>
        <v>4039232.1009999998</v>
      </c>
    </row>
    <row r="70" spans="1:38" x14ac:dyDescent="0.35">
      <c r="A70" t="s">
        <v>13</v>
      </c>
      <c r="B70" t="s">
        <v>7</v>
      </c>
      <c r="C70" s="6">
        <f>[1]Results!F1552</f>
        <v>36044.319060000002</v>
      </c>
      <c r="D70" s="6">
        <f>[1]Results!G1552</f>
        <v>36503.095869999997</v>
      </c>
      <c r="E70" s="6">
        <f>[1]Results!H1552</f>
        <v>37042.193240000001</v>
      </c>
      <c r="F70" s="6">
        <f>[1]Results!I1552</f>
        <v>37649.691010000002</v>
      </c>
      <c r="G70" s="6">
        <f>[1]Results!J1552</f>
        <v>38369.919220000003</v>
      </c>
      <c r="H70" s="6">
        <f>[1]Results!K1552</f>
        <v>39179.942130000003</v>
      </c>
      <c r="I70" s="6">
        <f>[1]Results!L1552</f>
        <v>40082.089870000003</v>
      </c>
      <c r="J70" s="6">
        <f>[1]Results!M1552</f>
        <v>41043.622049999998</v>
      </c>
      <c r="K70" s="6">
        <f>[1]Results!N1552</f>
        <v>42051.816449999998</v>
      </c>
      <c r="L70" s="6">
        <f>[1]Results!O1552</f>
        <v>43099.222860000002</v>
      </c>
      <c r="M70" s="6">
        <f>[1]Results!P1552</f>
        <v>44151.107230000001</v>
      </c>
      <c r="N70" s="6">
        <f>[1]Results!Q1552</f>
        <v>45059.152929999997</v>
      </c>
      <c r="O70" s="6">
        <f>[1]Results!R1552</f>
        <v>45874.105450000003</v>
      </c>
      <c r="P70" s="6">
        <f>[1]Results!S1552</f>
        <v>46616.26857</v>
      </c>
      <c r="Q70" s="6">
        <f>[1]Results!T1552</f>
        <v>47310.43507</v>
      </c>
      <c r="R70" s="6">
        <f>[1]Results!U1552</f>
        <v>47981.244169999998</v>
      </c>
      <c r="S70" s="6">
        <f>[1]Results!V1552</f>
        <v>48671.01266</v>
      </c>
      <c r="T70" s="6">
        <f>[1]Results!W1552</f>
        <v>49390.798219999997</v>
      </c>
      <c r="U70" s="6">
        <f>[1]Results!X1552</f>
        <v>50160.076090000002</v>
      </c>
      <c r="V70" s="6">
        <f>[1]Results!Y1552</f>
        <v>50992.928140000004</v>
      </c>
      <c r="W70" s="6">
        <f>[1]Results!Z1552</f>
        <v>51893.618690000003</v>
      </c>
      <c r="X70" s="6">
        <f>[1]Results!AA1552</f>
        <v>52887.093159999997</v>
      </c>
      <c r="Y70" s="6">
        <f>[1]Results!AB1552</f>
        <v>53984.336900000002</v>
      </c>
      <c r="Z70" s="6">
        <f>[1]Results!AC1552</f>
        <v>55193.057840000001</v>
      </c>
      <c r="AA70" s="6">
        <f>[1]Results!AD1552</f>
        <v>56514.746570000003</v>
      </c>
      <c r="AB70" s="6">
        <f>[1]Results!AE1552</f>
        <v>57925.530830000003</v>
      </c>
      <c r="AC70" s="6">
        <f>[1]Results!AF1552</f>
        <v>59314.604789999998</v>
      </c>
      <c r="AD70" s="6">
        <f>[1]Results!AG1552</f>
        <v>60774.182889999996</v>
      </c>
      <c r="AE70" s="6">
        <f>[1]Results!AH1552</f>
        <v>62333.75866</v>
      </c>
      <c r="AF70" s="6">
        <f>[1]Results!AI1552</f>
        <v>63987.344559999998</v>
      </c>
      <c r="AG70" s="6">
        <f>[1]Results!AJ1552</f>
        <v>65716.437779999993</v>
      </c>
      <c r="AH70" s="6">
        <f>[1]Results!AK1552</f>
        <v>67503.606939999998</v>
      </c>
      <c r="AI70" s="6">
        <f>[1]Results!AL1552</f>
        <v>69333.963210000002</v>
      </c>
      <c r="AJ70" s="6">
        <f>[1]Results!AM1552</f>
        <v>71192.708110000007</v>
      </c>
      <c r="AK70" s="6">
        <f>[1]Results!AN1552</f>
        <v>73064.845520000003</v>
      </c>
      <c r="AL70" s="6">
        <f>[1]Results!AO1552</f>
        <v>74935.112720000005</v>
      </c>
    </row>
    <row r="71" spans="1:38" x14ac:dyDescent="0.35">
      <c r="B71" t="s">
        <v>8</v>
      </c>
      <c r="C71" s="6">
        <f>[1]Results!F1555</f>
        <v>331339.58179999999</v>
      </c>
      <c r="D71" s="6">
        <f>[1]Results!G1555</f>
        <v>338951.02750000003</v>
      </c>
      <c r="E71" s="6">
        <f>[1]Results!H1555</f>
        <v>346768.49200000003</v>
      </c>
      <c r="F71" s="6">
        <f>[1]Results!I1555</f>
        <v>354984.44790000003</v>
      </c>
      <c r="G71" s="6">
        <f>[1]Results!J1555</f>
        <v>363845.54599999997</v>
      </c>
      <c r="H71" s="6">
        <f>[1]Results!K1555</f>
        <v>373295.7499</v>
      </c>
      <c r="I71" s="6">
        <f>[1]Results!L1555</f>
        <v>383326.4094</v>
      </c>
      <c r="J71" s="6">
        <f>[1]Results!M1555</f>
        <v>393877.26929999999</v>
      </c>
      <c r="K71" s="6">
        <f>[1]Results!N1555</f>
        <v>404906.93290000001</v>
      </c>
      <c r="L71" s="6">
        <f>[1]Results!O1555</f>
        <v>416396.1925</v>
      </c>
      <c r="M71" s="6">
        <f>[1]Results!P1555</f>
        <v>427895.21039999998</v>
      </c>
      <c r="N71" s="6">
        <f>[1]Results!Q1555</f>
        <v>437874.94579999999</v>
      </c>
      <c r="O71" s="6">
        <f>[1]Results!R1555</f>
        <v>447125.71120000002</v>
      </c>
      <c r="P71" s="6">
        <f>[1]Results!S1555</f>
        <v>455917.96850000002</v>
      </c>
      <c r="Q71" s="6">
        <f>[1]Results!T1555</f>
        <v>464556.50060000003</v>
      </c>
      <c r="R71" s="6">
        <f>[1]Results!U1555</f>
        <v>473297.82160000002</v>
      </c>
      <c r="S71" s="6">
        <f>[1]Results!V1555</f>
        <v>482379.07640000002</v>
      </c>
      <c r="T71" s="6">
        <f>[1]Results!W1555</f>
        <v>492018.77750000003</v>
      </c>
      <c r="U71" s="6">
        <f>[1]Results!X1555</f>
        <v>502386.76939999999</v>
      </c>
      <c r="V71" s="6">
        <f>[1]Results!Y1555</f>
        <v>513577.48320000002</v>
      </c>
      <c r="W71" s="6">
        <f>[1]Results!Z1555</f>
        <v>525642.83490000002</v>
      </c>
      <c r="X71" s="6">
        <f>[1]Results!AA1555</f>
        <v>538722.88379999995</v>
      </c>
      <c r="Y71" s="6">
        <f>[1]Results!AB1555</f>
        <v>552928.13600000006</v>
      </c>
      <c r="Z71" s="6">
        <f>[1]Results!AC1555</f>
        <v>568316.72039999999</v>
      </c>
      <c r="AA71" s="6">
        <f>[1]Results!AD1555</f>
        <v>584876.38190000004</v>
      </c>
      <c r="AB71" s="6">
        <f>[1]Results!AE1555</f>
        <v>602474.90740000003</v>
      </c>
      <c r="AC71" s="6">
        <f>[1]Results!AF1555</f>
        <v>620696.1459</v>
      </c>
      <c r="AD71" s="6">
        <f>[1]Results!AG1555</f>
        <v>639703.1544</v>
      </c>
      <c r="AE71" s="6">
        <f>[1]Results!AH1555</f>
        <v>659603.7696</v>
      </c>
      <c r="AF71" s="6">
        <f>[1]Results!AI1555</f>
        <v>680288.49199999997</v>
      </c>
      <c r="AG71" s="6">
        <f>[1]Results!AJ1555</f>
        <v>701576.47990000003</v>
      </c>
      <c r="AH71" s="6">
        <f>[1]Results!AK1555</f>
        <v>723330.42370000004</v>
      </c>
      <c r="AI71" s="6">
        <f>[1]Results!AL1555</f>
        <v>745450.20979999995</v>
      </c>
      <c r="AJ71" s="6">
        <f>[1]Results!AM1555</f>
        <v>767835.14820000005</v>
      </c>
      <c r="AK71" s="6">
        <f>[1]Results!AN1555</f>
        <v>790379.85360000003</v>
      </c>
      <c r="AL71" s="6">
        <f>[1]Results!AO1555</f>
        <v>812972.35600000003</v>
      </c>
    </row>
    <row r="72" spans="1:38" x14ac:dyDescent="0.35">
      <c r="B72" t="s">
        <v>9</v>
      </c>
      <c r="C72" s="6">
        <f>[1]Results!F1567</f>
        <v>48436.067320000002</v>
      </c>
      <c r="D72" s="6">
        <f>[1]Results!G1567</f>
        <v>49395.242689999999</v>
      </c>
      <c r="E72" s="6">
        <f>[1]Results!H1567</f>
        <v>50351.113579999997</v>
      </c>
      <c r="F72" s="6">
        <f>[1]Results!I1567</f>
        <v>51336.785940000002</v>
      </c>
      <c r="G72" s="6">
        <f>[1]Results!J1567</f>
        <v>52419.538910000003</v>
      </c>
      <c r="H72" s="6">
        <f>[1]Results!K1567</f>
        <v>53593.577570000001</v>
      </c>
      <c r="I72" s="6">
        <f>[1]Results!L1567</f>
        <v>54844.135840000003</v>
      </c>
      <c r="J72" s="6">
        <f>[1]Results!M1567</f>
        <v>56156.426919999998</v>
      </c>
      <c r="K72" s="6">
        <f>[1]Results!N1567</f>
        <v>57519.569539999997</v>
      </c>
      <c r="L72" s="6">
        <f>[1]Results!O1567</f>
        <v>58926.048920000001</v>
      </c>
      <c r="M72" s="6">
        <f>[1]Results!P1567</f>
        <v>60314.14935</v>
      </c>
      <c r="N72" s="6">
        <f>[1]Results!Q1567</f>
        <v>61474.606529999997</v>
      </c>
      <c r="O72" s="6">
        <f>[1]Results!R1567</f>
        <v>62504.868860000002</v>
      </c>
      <c r="P72" s="6">
        <f>[1]Results!S1567</f>
        <v>63437.093119999998</v>
      </c>
      <c r="Q72" s="6">
        <f>[1]Results!T1567</f>
        <v>64310.779150000002</v>
      </c>
      <c r="R72" s="6">
        <f>[1]Results!U1567</f>
        <v>65162.092360000002</v>
      </c>
      <c r="S72" s="6">
        <f>[1]Results!V1567</f>
        <v>66025.671619999994</v>
      </c>
      <c r="T72" s="6">
        <f>[1]Results!W1567</f>
        <v>66934.849610000005</v>
      </c>
      <c r="U72" s="6">
        <f>[1]Results!X1567</f>
        <v>67916.682709999994</v>
      </c>
      <c r="V72" s="6">
        <f>[1]Results!Y1567</f>
        <v>68987.866020000001</v>
      </c>
      <c r="W72" s="6">
        <f>[1]Results!Z1567</f>
        <v>70157.058180000007</v>
      </c>
      <c r="X72" s="6">
        <f>[1]Results!AA1567</f>
        <v>71448.601079999993</v>
      </c>
      <c r="Y72" s="6">
        <f>[1]Results!AB1567</f>
        <v>72877.443469999998</v>
      </c>
      <c r="Z72" s="6">
        <f>[1]Results!AC1567</f>
        <v>74451.132110000006</v>
      </c>
      <c r="AA72" s="6">
        <f>[1]Results!AD1567</f>
        <v>76167.474180000005</v>
      </c>
      <c r="AB72" s="6">
        <f>[1]Results!AE1567</f>
        <v>78003.062300000005</v>
      </c>
      <c r="AC72" s="6">
        <f>[1]Results!AF1567</f>
        <v>79954.131710000001</v>
      </c>
      <c r="AD72" s="6">
        <f>[1]Results!AG1567</f>
        <v>82040.355339999995</v>
      </c>
      <c r="AE72" s="6">
        <f>[1]Results!AH1567</f>
        <v>84266.962299999999</v>
      </c>
      <c r="AF72" s="6">
        <f>[1]Results!AI1567</f>
        <v>86612.001279999997</v>
      </c>
      <c r="AG72" s="6">
        <f>[1]Results!AJ1567</f>
        <v>89045.330619999993</v>
      </c>
      <c r="AH72" s="6">
        <f>[1]Results!AK1567</f>
        <v>91543.120240000004</v>
      </c>
      <c r="AI72" s="6">
        <f>[1]Results!AL1567</f>
        <v>94086.851939999993</v>
      </c>
      <c r="AJ72" s="6">
        <f>[1]Results!AM1567</f>
        <v>96658.376980000001</v>
      </c>
      <c r="AK72" s="6">
        <f>[1]Results!AN1567</f>
        <v>99239.41936</v>
      </c>
      <c r="AL72" s="6">
        <f>[1]Results!AO1567</f>
        <v>101811.4629</v>
      </c>
    </row>
    <row r="73" spans="1:38" x14ac:dyDescent="0.35">
      <c r="B73" t="s">
        <v>10</v>
      </c>
      <c r="C73" s="6">
        <f>[1]Results!F1572</f>
        <v>1509727.2009999999</v>
      </c>
      <c r="D73" s="6">
        <f>[1]Results!G1572</f>
        <v>1533878.4639999999</v>
      </c>
      <c r="E73" s="6">
        <f>[1]Results!H1572</f>
        <v>1560836.1059999999</v>
      </c>
      <c r="F73" s="6">
        <f>[1]Results!I1572</f>
        <v>1589945.4129999999</v>
      </c>
      <c r="G73" s="6">
        <f>[1]Results!J1572</f>
        <v>1621939.1459999999</v>
      </c>
      <c r="H73" s="6">
        <f>[1]Results!K1572</f>
        <v>1656421.63</v>
      </c>
      <c r="I73" s="6">
        <f>[1]Results!L1572</f>
        <v>1692968.6459999999</v>
      </c>
      <c r="J73" s="6">
        <f>[1]Results!M1572</f>
        <v>1731163.253</v>
      </c>
      <c r="K73" s="6">
        <f>[1]Results!N1572</f>
        <v>1770716.4779999999</v>
      </c>
      <c r="L73" s="6">
        <f>[1]Results!O1572</f>
        <v>1811440.7830000001</v>
      </c>
      <c r="M73" s="6">
        <f>[1]Results!P1572</f>
        <v>1852449.9</v>
      </c>
      <c r="N73" s="6">
        <f>[1]Results!Q1572</f>
        <v>1889682.8119999999</v>
      </c>
      <c r="O73" s="6">
        <f>[1]Results!R1572</f>
        <v>1923893.375</v>
      </c>
      <c r="P73" s="6">
        <f>[1]Results!S1572</f>
        <v>1955586.054</v>
      </c>
      <c r="Q73" s="6">
        <f>[1]Results!T1572</f>
        <v>1985475.676</v>
      </c>
      <c r="R73" s="6">
        <f>[1]Results!U1572</f>
        <v>2014327.4939999999</v>
      </c>
      <c r="S73" s="6">
        <f>[1]Results!V1572</f>
        <v>2042963.922</v>
      </c>
      <c r="T73" s="6">
        <f>[1]Results!W1572</f>
        <v>2072204.716</v>
      </c>
      <c r="U73" s="6">
        <f>[1]Results!X1572</f>
        <v>2102765.5669999998</v>
      </c>
      <c r="V73" s="6">
        <f>[1]Results!Y1572</f>
        <v>2135160.946</v>
      </c>
      <c r="W73" s="6">
        <f>[1]Results!Z1572</f>
        <v>2169583.517</v>
      </c>
      <c r="X73" s="6">
        <f>[1]Results!AA1572</f>
        <v>2206778.355</v>
      </c>
      <c r="Y73" s="6">
        <f>[1]Results!AB1572</f>
        <v>2247113.5580000002</v>
      </c>
      <c r="Z73" s="6">
        <f>[1]Results!AC1572</f>
        <v>2290854.9550000001</v>
      </c>
      <c r="AA73" s="6">
        <f>[1]Results!AD1572</f>
        <v>2338070.2540000002</v>
      </c>
      <c r="AB73" s="6">
        <f>[1]Results!AE1572</f>
        <v>2388051.6150000002</v>
      </c>
      <c r="AC73" s="6">
        <f>[1]Results!AF1572</f>
        <v>2440441.1540000001</v>
      </c>
      <c r="AD73" s="6">
        <f>[1]Results!AG1572</f>
        <v>2495776.9730000002</v>
      </c>
      <c r="AE73" s="6">
        <f>[1]Results!AH1572</f>
        <v>2554400.4739999999</v>
      </c>
      <c r="AF73" s="6">
        <f>[1]Results!AI1572</f>
        <v>2616121.79</v>
      </c>
      <c r="AG73" s="6">
        <f>[1]Results!AJ1572</f>
        <v>2680453.0759999999</v>
      </c>
      <c r="AH73" s="6">
        <f>[1]Results!AK1572</f>
        <v>2746893.8020000001</v>
      </c>
      <c r="AI73" s="6">
        <f>[1]Results!AL1572</f>
        <v>2814989.8590000002</v>
      </c>
      <c r="AJ73" s="6">
        <f>[1]Results!AM1572</f>
        <v>2884281.625</v>
      </c>
      <c r="AK73" s="6">
        <f>[1]Results!AN1572</f>
        <v>2954292.85</v>
      </c>
      <c r="AL73" s="6">
        <f>[1]Results!AO1572</f>
        <v>3024528.9569999999</v>
      </c>
    </row>
    <row r="74" spans="1:38" x14ac:dyDescent="0.35">
      <c r="B74" t="s">
        <v>12</v>
      </c>
      <c r="C74" s="6">
        <f>[1]Results!F1575</f>
        <v>-2036.0155</v>
      </c>
      <c r="D74" s="6">
        <f>[1]Results!G1575</f>
        <v>-2053.8688029999998</v>
      </c>
      <c r="E74" s="6">
        <f>[1]Results!H1575</f>
        <v>-2066.8431070000001</v>
      </c>
      <c r="F74" s="6">
        <f>[1]Results!I1575</f>
        <v>-2080.4640209999998</v>
      </c>
      <c r="G74" s="6">
        <f>[1]Results!J1575</f>
        <v>-2091.3426410000002</v>
      </c>
      <c r="H74" s="6">
        <f>[1]Results!K1575</f>
        <v>-2111.4596390000002</v>
      </c>
      <c r="I74" s="6">
        <f>[1]Results!L1575</f>
        <v>-2124.5086809999998</v>
      </c>
      <c r="J74" s="6">
        <f>[1]Results!M1575</f>
        <v>-2143.6455860000001</v>
      </c>
      <c r="K74" s="6">
        <f>[1]Results!N1575</f>
        <v>-2166.6083210000002</v>
      </c>
      <c r="L74" s="6">
        <f>[1]Results!O1575</f>
        <v>-2191.1857220000002</v>
      </c>
      <c r="M74" s="6">
        <f>[1]Results!P1575</f>
        <v>-2216.9483399999999</v>
      </c>
      <c r="N74" s="6">
        <f>[1]Results!Q1575</f>
        <v>-2260.1064700000002</v>
      </c>
      <c r="O74" s="6">
        <f>[1]Results!R1575</f>
        <v>-2297.0644200000002</v>
      </c>
      <c r="P74" s="6">
        <f>[1]Results!S1575</f>
        <v>-2326.4467789999999</v>
      </c>
      <c r="Q74" s="6">
        <f>[1]Results!T1575</f>
        <v>-2349.851768</v>
      </c>
      <c r="R74" s="6">
        <f>[1]Results!U1575</f>
        <v>-2369.1164530000001</v>
      </c>
      <c r="S74" s="6">
        <f>[1]Results!V1575</f>
        <v>-2386.0856370000001</v>
      </c>
      <c r="T74" s="6">
        <f>[1]Results!W1575</f>
        <v>-2400.6085349999998</v>
      </c>
      <c r="U74" s="6">
        <f>[1]Results!X1575</f>
        <v>-2415.4961309999999</v>
      </c>
      <c r="V74" s="6">
        <f>[1]Results!Y1575</f>
        <v>-2431.850903</v>
      </c>
      <c r="W74" s="6">
        <f>[1]Results!Z1575</f>
        <v>-2450.154333</v>
      </c>
      <c r="X74" s="6">
        <f>[1]Results!AA1575</f>
        <v>-2470.1018300000001</v>
      </c>
      <c r="Y74" s="6">
        <f>[1]Results!AB1575</f>
        <v>-2492.2083419999999</v>
      </c>
      <c r="Z74" s="6">
        <f>[1]Results!AC1575</f>
        <v>-2516.9466630000002</v>
      </c>
      <c r="AA74" s="6">
        <f>[1]Results!AD1575</f>
        <v>-2544.5941079999998</v>
      </c>
      <c r="AB74" s="6">
        <f>[1]Results!AE1575</f>
        <v>-2575.4450959999999</v>
      </c>
      <c r="AC74" s="6">
        <f>[1]Results!AF1575</f>
        <v>-2629.4541920000001</v>
      </c>
      <c r="AD74" s="6">
        <f>[1]Results!AG1575</f>
        <v>-2684.0980239999999</v>
      </c>
      <c r="AE74" s="6">
        <f>[1]Results!AH1575</f>
        <v>-2739.6029199999998</v>
      </c>
      <c r="AF74" s="6">
        <f>[1]Results!AI1575</f>
        <v>-2798.8819840000001</v>
      </c>
      <c r="AG74" s="6">
        <f>[1]Results!AJ1575</f>
        <v>-2862.6626550000001</v>
      </c>
      <c r="AH74" s="6">
        <f>[1]Results!AK1575</f>
        <v>-2930.172673</v>
      </c>
      <c r="AI74" s="6">
        <f>[1]Results!AL1575</f>
        <v>-3000.4237619999999</v>
      </c>
      <c r="AJ74" s="6">
        <f>[1]Results!AM1575</f>
        <v>-3072.6780130000002</v>
      </c>
      <c r="AK74" s="6">
        <f>[1]Results!AN1575</f>
        <v>-3146.305382</v>
      </c>
      <c r="AL74" s="6">
        <f>[1]Results!AO1575</f>
        <v>-3220.6925190000002</v>
      </c>
    </row>
    <row r="75" spans="1:38" x14ac:dyDescent="0.35">
      <c r="B75" t="s">
        <v>11</v>
      </c>
      <c r="C75" s="6">
        <f>[1]Results!F1580</f>
        <v>40630.387999999999</v>
      </c>
      <c r="D75" s="6">
        <f>[1]Results!G1580</f>
        <v>41200.62586</v>
      </c>
      <c r="E75" s="6">
        <f>[1]Results!H1580</f>
        <v>41721.146260000001</v>
      </c>
      <c r="F75" s="6">
        <f>[1]Results!I1580</f>
        <v>42278.35613</v>
      </c>
      <c r="G75" s="6">
        <f>[1]Results!J1580</f>
        <v>42782.728819999997</v>
      </c>
      <c r="H75" s="6">
        <f>[1]Results!K1580</f>
        <v>43310.70433</v>
      </c>
      <c r="I75" s="6">
        <f>[1]Results!L1580</f>
        <v>43243.776109999999</v>
      </c>
      <c r="J75" s="6">
        <f>[1]Results!M1580</f>
        <v>42994.061090000003</v>
      </c>
      <c r="K75" s="6">
        <f>[1]Results!N1580</f>
        <v>42658.485860000001</v>
      </c>
      <c r="L75" s="6">
        <f>[1]Results!O1580</f>
        <v>42252.402759999997</v>
      </c>
      <c r="M75" s="6">
        <f>[1]Results!P1580</f>
        <v>41750.029710000003</v>
      </c>
      <c r="N75" s="6">
        <f>[1]Results!Q1580</f>
        <v>41338.508009999998</v>
      </c>
      <c r="O75" s="6">
        <f>[1]Results!R1580</f>
        <v>40852.265240000001</v>
      </c>
      <c r="P75" s="6">
        <f>[1]Results!S1580</f>
        <v>40232.611360000003</v>
      </c>
      <c r="Q75" s="6">
        <f>[1]Results!T1580</f>
        <v>39481.502849999997</v>
      </c>
      <c r="R75" s="6">
        <f>[1]Results!U1580</f>
        <v>38612.366580000002</v>
      </c>
      <c r="S75" s="6">
        <f>[1]Results!V1580</f>
        <v>37583.754229999999</v>
      </c>
      <c r="T75" s="6">
        <f>[1]Results!W1580</f>
        <v>36434.261659999996</v>
      </c>
      <c r="U75" s="6">
        <f>[1]Results!X1580</f>
        <v>35187.680780000002</v>
      </c>
      <c r="V75" s="6">
        <f>[1]Results!Y1580</f>
        <v>33847.913710000001</v>
      </c>
      <c r="W75" s="6">
        <f>[1]Results!Z1580</f>
        <v>32401.45793</v>
      </c>
      <c r="X75" s="6">
        <f>[1]Results!AA1580</f>
        <v>30842.46961</v>
      </c>
      <c r="Y75" s="6">
        <f>[1]Results!AB1580</f>
        <v>29142.93621</v>
      </c>
      <c r="Z75" s="6">
        <f>[1]Results!AC1580</f>
        <v>27265.269830000001</v>
      </c>
      <c r="AA75" s="6">
        <f>[1]Results!AD1580</f>
        <v>25160.397870000001</v>
      </c>
      <c r="AB75" s="6">
        <f>[1]Results!AE1580</f>
        <v>22754.08007</v>
      </c>
      <c r="AC75" s="6">
        <f>[1]Results!AF1580</f>
        <v>22439.128290000001</v>
      </c>
      <c r="AD75" s="6">
        <f>[1]Results!AG1580</f>
        <v>22913.542219999999</v>
      </c>
      <c r="AE75" s="6">
        <f>[1]Results!AH1580</f>
        <v>23601.81595</v>
      </c>
      <c r="AF75" s="6">
        <f>[1]Results!AI1580</f>
        <v>24321.20132</v>
      </c>
      <c r="AG75" s="6">
        <f>[1]Results!AJ1580</f>
        <v>25023.253680000002</v>
      </c>
      <c r="AH75" s="6">
        <f>[1]Results!AK1580</f>
        <v>25700.43476</v>
      </c>
      <c r="AI75" s="6">
        <f>[1]Results!AL1580</f>
        <v>26355.228459999998</v>
      </c>
      <c r="AJ75" s="6">
        <f>[1]Results!AM1580</f>
        <v>26990.396710000001</v>
      </c>
      <c r="AK75" s="6">
        <f>[1]Results!AN1580</f>
        <v>27607.158619999998</v>
      </c>
      <c r="AL75" s="6">
        <f>[1]Results!AO1580</f>
        <v>28204.905050000001</v>
      </c>
    </row>
    <row r="77" spans="1:38" x14ac:dyDescent="0.35">
      <c r="B77" t="s">
        <v>15</v>
      </c>
      <c r="C77" s="6">
        <f>[1]Results!F1512</f>
        <v>1964141.541</v>
      </c>
      <c r="D77" s="6">
        <f>[1]Results!G1512</f>
        <v>1997874.5870000001</v>
      </c>
      <c r="E77" s="6">
        <f>[1]Results!H1512</f>
        <v>2034652.2069999999</v>
      </c>
      <c r="F77" s="6">
        <f>[1]Results!I1512</f>
        <v>2074114.23</v>
      </c>
      <c r="G77" s="6">
        <f>[1]Results!J1512</f>
        <v>2117265.5350000001</v>
      </c>
      <c r="H77" s="6">
        <f>[1]Results!K1512</f>
        <v>2163690.1439999999</v>
      </c>
      <c r="I77" s="6">
        <f>[1]Results!L1512</f>
        <v>2212340.548</v>
      </c>
      <c r="J77" s="6">
        <f>[1]Results!M1512</f>
        <v>2254180.9640000002</v>
      </c>
      <c r="K77" s="6">
        <f>[1]Results!N1512</f>
        <v>2295300.9019999998</v>
      </c>
      <c r="L77" s="6">
        <f>[1]Results!O1512</f>
        <v>2343888.3289999999</v>
      </c>
      <c r="M77" s="6">
        <f>[1]Results!P1512</f>
        <v>2389261.3139999998</v>
      </c>
      <c r="N77" s="6">
        <f>[1]Results!Q1512</f>
        <v>2430749.6090000002</v>
      </c>
      <c r="O77" s="6">
        <f>[1]Results!R1512</f>
        <v>2469783.3050000002</v>
      </c>
      <c r="P77" s="6">
        <f>[1]Results!S1512</f>
        <v>2507035.66</v>
      </c>
      <c r="Q77" s="6">
        <f>[1]Results!T1512</f>
        <v>2543481.2930000001</v>
      </c>
      <c r="R77" s="6">
        <f>[1]Results!U1512</f>
        <v>2579561.9130000002</v>
      </c>
      <c r="S77" s="6">
        <f>[1]Results!V1512</f>
        <v>2614685.9219999998</v>
      </c>
      <c r="T77" s="6">
        <f>[1]Results!W1512</f>
        <v>2649982.5529999998</v>
      </c>
      <c r="U77" s="6">
        <f>[1]Results!X1512</f>
        <v>2686446.0639999998</v>
      </c>
      <c r="V77" s="6">
        <f>[1]Results!Y1512</f>
        <v>2725023.8760000002</v>
      </c>
      <c r="W77" s="6">
        <f>[1]Results!Z1512</f>
        <v>2766028.0260000001</v>
      </c>
      <c r="X77" s="6">
        <f>[1]Results!AA1512</f>
        <v>2811120.6639999999</v>
      </c>
      <c r="Y77" s="6">
        <f>[1]Results!AB1512</f>
        <v>2860773.0010000002</v>
      </c>
      <c r="Z77" s="6">
        <f>[1]Results!AC1512</f>
        <v>2915193.5920000002</v>
      </c>
      <c r="AA77" s="6">
        <f>[1]Results!AD1512</f>
        <v>2974323.6519999998</v>
      </c>
      <c r="AB77" s="6">
        <f>[1]Results!AE1512</f>
        <v>3037155.5189999999</v>
      </c>
      <c r="AC77" s="6">
        <f>[1]Results!AF1512</f>
        <v>3105772.1889999998</v>
      </c>
      <c r="AD77" s="6">
        <f>[1]Results!AG1512</f>
        <v>3179599.3709999998</v>
      </c>
      <c r="AE77" s="6">
        <f>[1]Results!AH1512</f>
        <v>3258436.76</v>
      </c>
      <c r="AF77" s="6">
        <f>[1]Results!AI1512</f>
        <v>3341719.6850000001</v>
      </c>
      <c r="AG77" s="6">
        <f>[1]Results!AJ1512</f>
        <v>3428658.04</v>
      </c>
      <c r="AH77" s="6">
        <f>[1]Results!AK1512</f>
        <v>3518823.077</v>
      </c>
      <c r="AI77" s="6">
        <f>[1]Results!AL1512</f>
        <v>3611616.3360000001</v>
      </c>
      <c r="AJ77" s="6">
        <f>[1]Results!AM1512</f>
        <v>3706384.3539999998</v>
      </c>
      <c r="AK77" s="6">
        <f>[1]Results!AN1512</f>
        <v>3802465.898</v>
      </c>
      <c r="AL77" s="6">
        <f>[1]Results!AO1512</f>
        <v>3899181.9559999998</v>
      </c>
    </row>
    <row r="78" spans="1:38" x14ac:dyDescent="0.35">
      <c r="A78" t="s">
        <v>14</v>
      </c>
      <c r="B78" t="s">
        <v>7</v>
      </c>
      <c r="C78" s="6">
        <f>[1]Results!F1513</f>
        <v>36044.319060000002</v>
      </c>
      <c r="D78" s="6">
        <f>[1]Results!G1513</f>
        <v>36503.095860000001</v>
      </c>
      <c r="E78" s="6">
        <f>[1]Results!H1513</f>
        <v>37042.193229999997</v>
      </c>
      <c r="F78" s="6">
        <f>[1]Results!I1513</f>
        <v>37649.690990000003</v>
      </c>
      <c r="G78" s="6">
        <f>[1]Results!J1513</f>
        <v>38369.91921</v>
      </c>
      <c r="H78" s="6">
        <f>[1]Results!K1513</f>
        <v>39179.94212</v>
      </c>
      <c r="I78" s="6">
        <f>[1]Results!L1513</f>
        <v>40082.089849999997</v>
      </c>
      <c r="J78" s="6">
        <f>[1]Results!M1513</f>
        <v>40763.659780000002</v>
      </c>
      <c r="K78" s="6">
        <f>[1]Results!N1513</f>
        <v>41428.052109999997</v>
      </c>
      <c r="L78" s="6">
        <f>[1]Results!O1513</f>
        <v>42239.414799999999</v>
      </c>
      <c r="M78" s="6">
        <f>[1]Results!P1513</f>
        <v>42954.085930000001</v>
      </c>
      <c r="N78" s="6">
        <f>[1]Results!Q1513</f>
        <v>43611.364909999997</v>
      </c>
      <c r="O78" s="6">
        <f>[1]Results!R1513</f>
        <v>44234.594989999998</v>
      </c>
      <c r="P78" s="6">
        <f>[1]Results!S1513</f>
        <v>44833.308490000003</v>
      </c>
      <c r="Q78" s="6">
        <f>[1]Results!T1513</f>
        <v>45423.44902</v>
      </c>
      <c r="R78" s="6">
        <f>[1]Results!U1513</f>
        <v>46010.73717</v>
      </c>
      <c r="S78" s="6">
        <f>[1]Results!V1513</f>
        <v>46630.903550000003</v>
      </c>
      <c r="T78" s="6">
        <f>[1]Results!W1513</f>
        <v>47258.927730000003</v>
      </c>
      <c r="U78" s="6">
        <f>[1]Results!X1513</f>
        <v>47915.50288</v>
      </c>
      <c r="V78" s="6">
        <f>[1]Results!Y1513</f>
        <v>48620.61262</v>
      </c>
      <c r="W78" s="6">
        <f>[1]Results!Z1513</f>
        <v>49380.233890000003</v>
      </c>
      <c r="X78" s="6">
        <f>[1]Results!AA1513</f>
        <v>50236.609750000003</v>
      </c>
      <c r="Y78" s="6">
        <f>[1]Results!AB1513</f>
        <v>51199.488129999998</v>
      </c>
      <c r="Z78" s="6">
        <f>[1]Results!AC1513</f>
        <v>52274.614679999999</v>
      </c>
      <c r="AA78" s="6">
        <f>[1]Results!AD1513</f>
        <v>53462.415249999998</v>
      </c>
      <c r="AB78" s="6">
        <f>[1]Results!AE1513</f>
        <v>54738.95811</v>
      </c>
      <c r="AC78" s="6">
        <f>[1]Results!AF1513</f>
        <v>55981.086560000003</v>
      </c>
      <c r="AD78" s="6">
        <f>[1]Results!AG1513</f>
        <v>57304.316160000002</v>
      </c>
      <c r="AE78" s="6">
        <f>[1]Results!AH1513</f>
        <v>58736.995320000002</v>
      </c>
      <c r="AF78" s="6">
        <f>[1]Results!AI1513</f>
        <v>60272.551529999997</v>
      </c>
      <c r="AG78" s="6">
        <f>[1]Results!AJ1513</f>
        <v>61891.805890000003</v>
      </c>
      <c r="AH78" s="6">
        <f>[1]Results!AK1513</f>
        <v>63582.497779999998</v>
      </c>
      <c r="AI78" s="6">
        <f>[1]Results!AL1513</f>
        <v>65328.05517</v>
      </c>
      <c r="AJ78" s="6">
        <f>[1]Results!AM1513</f>
        <v>67111.236420000001</v>
      </c>
      <c r="AK78" s="6">
        <f>[1]Results!AN1513</f>
        <v>68914.843359999999</v>
      </c>
      <c r="AL78" s="6">
        <f>[1]Results!AO1513</f>
        <v>70721.690799999997</v>
      </c>
    </row>
    <row r="79" spans="1:38" x14ac:dyDescent="0.35">
      <c r="B79" t="s">
        <v>8</v>
      </c>
      <c r="C79" s="6">
        <f>[1]Results!F1516</f>
        <v>331339.58179999999</v>
      </c>
      <c r="D79" s="6">
        <f>[1]Results!G1516</f>
        <v>338951.02750000003</v>
      </c>
      <c r="E79" s="6">
        <f>[1]Results!H1516</f>
        <v>346768.49190000002</v>
      </c>
      <c r="F79" s="6">
        <f>[1]Results!I1516</f>
        <v>354984.44790000003</v>
      </c>
      <c r="G79" s="6">
        <f>[1]Results!J1516</f>
        <v>363845.54590000003</v>
      </c>
      <c r="H79" s="6">
        <f>[1]Results!K1516</f>
        <v>373295.74979999999</v>
      </c>
      <c r="I79" s="6">
        <f>[1]Results!L1516</f>
        <v>383326.40919999999</v>
      </c>
      <c r="J79" s="6">
        <f>[1]Results!M1516</f>
        <v>391479.96590000001</v>
      </c>
      <c r="K79" s="6">
        <f>[1]Results!N1516</f>
        <v>399942.36829999997</v>
      </c>
      <c r="L79" s="6">
        <f>[1]Results!O1516</f>
        <v>410834.98969999998</v>
      </c>
      <c r="M79" s="6">
        <f>[1]Results!P1516</f>
        <v>420587.30719999998</v>
      </c>
      <c r="N79" s="6">
        <f>[1]Results!Q1516</f>
        <v>428920.35159999999</v>
      </c>
      <c r="O79" s="6">
        <f>[1]Results!R1516</f>
        <v>436558.33020000003</v>
      </c>
      <c r="P79" s="6">
        <f>[1]Results!S1516</f>
        <v>443911.11790000001</v>
      </c>
      <c r="Q79" s="6">
        <f>[1]Results!T1516</f>
        <v>451391.12119999999</v>
      </c>
      <c r="R79" s="6">
        <f>[1]Results!U1516</f>
        <v>459143.35009999998</v>
      </c>
      <c r="S79" s="6">
        <f>[1]Results!V1516</f>
        <v>467007.07860000001</v>
      </c>
      <c r="T79" s="6">
        <f>[1]Results!W1516</f>
        <v>475270.13520000002</v>
      </c>
      <c r="U79" s="6">
        <f>[1]Results!X1516</f>
        <v>484103.47379999998</v>
      </c>
      <c r="V79" s="6">
        <f>[1]Results!Y1516</f>
        <v>493662.84110000002</v>
      </c>
      <c r="W79" s="6">
        <f>[1]Results!Z1516</f>
        <v>504014.23550000001</v>
      </c>
      <c r="X79" s="6">
        <f>[1]Results!AA1516</f>
        <v>515471.18699999998</v>
      </c>
      <c r="Y79" s="6">
        <f>[1]Results!AB1516</f>
        <v>528145.27599999995</v>
      </c>
      <c r="Z79" s="6">
        <f>[1]Results!AC1516</f>
        <v>542086.7746</v>
      </c>
      <c r="AA79" s="6">
        <f>[1]Results!AD1516</f>
        <v>557282.31409999996</v>
      </c>
      <c r="AB79" s="6">
        <f>[1]Results!AE1516</f>
        <v>573600.26789999998</v>
      </c>
      <c r="AC79" s="6">
        <f>[1]Results!AF1516</f>
        <v>590781.77350000001</v>
      </c>
      <c r="AD79" s="6">
        <f>[1]Results!AG1516</f>
        <v>608964.78209999995</v>
      </c>
      <c r="AE79" s="6">
        <f>[1]Results!AH1516</f>
        <v>628214.54359999998</v>
      </c>
      <c r="AF79" s="6">
        <f>[1]Results!AI1516</f>
        <v>648395.18759999995</v>
      </c>
      <c r="AG79" s="6">
        <f>[1]Results!AJ1516</f>
        <v>669304.88370000001</v>
      </c>
      <c r="AH79" s="6">
        <f>[1]Results!AK1516</f>
        <v>690850.10919999995</v>
      </c>
      <c r="AI79" s="6">
        <f>[1]Results!AL1516</f>
        <v>712908.30929999996</v>
      </c>
      <c r="AJ79" s="6">
        <f>[1]Results!AM1516</f>
        <v>735337.73479999998</v>
      </c>
      <c r="AK79" s="6">
        <f>[1]Results!AN1516</f>
        <v>757996.70530000003</v>
      </c>
      <c r="AL79" s="6">
        <f>[1]Results!AO1516</f>
        <v>780742.08790000004</v>
      </c>
    </row>
    <row r="80" spans="1:38" x14ac:dyDescent="0.35">
      <c r="B80" t="s">
        <v>9</v>
      </c>
      <c r="C80" s="6">
        <f>[1]Results!F1528</f>
        <v>48436.067320000002</v>
      </c>
      <c r="D80" s="6">
        <f>[1]Results!G1528</f>
        <v>49395.242680000003</v>
      </c>
      <c r="E80" s="6">
        <f>[1]Results!H1528</f>
        <v>50351.113570000001</v>
      </c>
      <c r="F80" s="6">
        <f>[1]Results!I1528</f>
        <v>51336.785929999998</v>
      </c>
      <c r="G80" s="6">
        <f>[1]Results!J1528</f>
        <v>52419.538890000003</v>
      </c>
      <c r="H80" s="6">
        <f>[1]Results!K1528</f>
        <v>53593.577550000002</v>
      </c>
      <c r="I80" s="6">
        <f>[1]Results!L1528</f>
        <v>54844.135820000003</v>
      </c>
      <c r="J80" s="6">
        <f>[1]Results!M1528</f>
        <v>55791.029179999998</v>
      </c>
      <c r="K80" s="6">
        <f>[1]Results!N1528</f>
        <v>56708.214950000001</v>
      </c>
      <c r="L80" s="6">
        <f>[1]Results!O1528</f>
        <v>57850.155749999998</v>
      </c>
      <c r="M80" s="6">
        <f>[1]Results!P1528</f>
        <v>58738.337039999999</v>
      </c>
      <c r="N80" s="6">
        <f>[1]Results!Q1528</f>
        <v>59456.243909999997</v>
      </c>
      <c r="O80" s="6">
        <f>[1]Results!R1528</f>
        <v>60106.67035</v>
      </c>
      <c r="P80" s="6">
        <f>[1]Results!S1528</f>
        <v>60723.449269999997</v>
      </c>
      <c r="Q80" s="6">
        <f>[1]Results!T1528</f>
        <v>61341.556499999999</v>
      </c>
      <c r="R80" s="6">
        <f>[1]Results!U1528</f>
        <v>61968.931089999998</v>
      </c>
      <c r="S80" s="6">
        <f>[1]Results!V1528</f>
        <v>62583.096989999998</v>
      </c>
      <c r="T80" s="6">
        <f>[1]Results!W1528</f>
        <v>63205.825750000004</v>
      </c>
      <c r="U80" s="6">
        <f>[1]Results!X1528</f>
        <v>63869.012589999998</v>
      </c>
      <c r="V80" s="6">
        <f>[1]Results!Y1528</f>
        <v>64607.42355</v>
      </c>
      <c r="W80" s="6">
        <f>[1]Results!Z1528</f>
        <v>65431.110399999998</v>
      </c>
      <c r="X80" s="6">
        <f>[1]Results!AA1528</f>
        <v>66396.599400000006</v>
      </c>
      <c r="Y80" s="6">
        <f>[1]Results!AB1528</f>
        <v>67518.472179999997</v>
      </c>
      <c r="Z80" s="6">
        <f>[1]Results!AC1528</f>
        <v>68800.405799999993</v>
      </c>
      <c r="AA80" s="6">
        <f>[1]Results!AD1528</f>
        <v>70238.328320000001</v>
      </c>
      <c r="AB80" s="6">
        <f>[1]Results!AE1528</f>
        <v>71809.272549999994</v>
      </c>
      <c r="AC80" s="6">
        <f>[1]Results!AF1528</f>
        <v>73536.355009999999</v>
      </c>
      <c r="AD80" s="6">
        <f>[1]Results!AG1528</f>
        <v>75439.830170000001</v>
      </c>
      <c r="AE80" s="6">
        <f>[1]Results!AH1528</f>
        <v>77520.999939999994</v>
      </c>
      <c r="AF80" s="6">
        <f>[1]Results!AI1528</f>
        <v>79756.702319999997</v>
      </c>
      <c r="AG80" s="6">
        <f>[1]Results!AJ1528</f>
        <v>82115.977929999994</v>
      </c>
      <c r="AH80" s="6">
        <f>[1]Results!AK1528</f>
        <v>84586.114509999999</v>
      </c>
      <c r="AI80" s="6">
        <f>[1]Results!AL1528</f>
        <v>87146.58567</v>
      </c>
      <c r="AJ80" s="6">
        <f>[1]Results!AM1528</f>
        <v>89772.547829999996</v>
      </c>
      <c r="AK80" s="6">
        <f>[1]Results!AN1528</f>
        <v>92438.443360000005</v>
      </c>
      <c r="AL80" s="6">
        <f>[1]Results!AO1528</f>
        <v>95118.399210000003</v>
      </c>
    </row>
    <row r="81" spans="2:38" x14ac:dyDescent="0.35">
      <c r="B81" t="s">
        <v>10</v>
      </c>
      <c r="C81" s="6">
        <f>[1]Results!F1533</f>
        <v>1509727.2009999999</v>
      </c>
      <c r="D81" s="6">
        <f>[1]Results!G1533</f>
        <v>1533878.4639999999</v>
      </c>
      <c r="E81" s="6">
        <f>[1]Results!H1533</f>
        <v>1560836.1059999999</v>
      </c>
      <c r="F81" s="6">
        <f>[1]Results!I1533</f>
        <v>1589945.4129999999</v>
      </c>
      <c r="G81" s="6">
        <f>[1]Results!J1533</f>
        <v>1621939.145</v>
      </c>
      <c r="H81" s="6">
        <f>[1]Results!K1533</f>
        <v>1656421.63</v>
      </c>
      <c r="I81" s="6">
        <f>[1]Results!L1533</f>
        <v>1692968.645</v>
      </c>
      <c r="J81" s="6">
        <f>[1]Results!M1533</f>
        <v>1725243.463</v>
      </c>
      <c r="K81" s="6">
        <f>[1]Results!N1533</f>
        <v>1756560.1410000001</v>
      </c>
      <c r="L81" s="6">
        <f>[1]Results!O1533</f>
        <v>1792405.7239999999</v>
      </c>
      <c r="M81" s="6">
        <f>[1]Results!P1533</f>
        <v>1826607.27</v>
      </c>
      <c r="N81" s="6">
        <f>[1]Results!Q1533</f>
        <v>1858811.307</v>
      </c>
      <c r="O81" s="6">
        <f>[1]Results!R1533</f>
        <v>1889538.3729999999</v>
      </c>
      <c r="P81" s="6">
        <f>[1]Results!S1533</f>
        <v>1918971.9680000001</v>
      </c>
      <c r="Q81" s="6">
        <f>[1]Results!T1533</f>
        <v>1947580.07</v>
      </c>
      <c r="R81" s="6">
        <f>[1]Results!U1533</f>
        <v>1975629.605</v>
      </c>
      <c r="S81" s="6">
        <f>[1]Results!V1533</f>
        <v>2002677.7009999999</v>
      </c>
      <c r="T81" s="6">
        <f>[1]Results!W1533</f>
        <v>2029555.62</v>
      </c>
      <c r="U81" s="6">
        <f>[1]Results!X1533</f>
        <v>2057053.1410000001</v>
      </c>
      <c r="V81" s="6">
        <f>[1]Results!Y1533</f>
        <v>2085954.227</v>
      </c>
      <c r="W81" s="6">
        <f>[1]Results!Z1533</f>
        <v>2116503.3199999998</v>
      </c>
      <c r="X81" s="6">
        <f>[1]Results!AA1533</f>
        <v>2149942.5980000002</v>
      </c>
      <c r="Y81" s="6">
        <f>[1]Results!AB1533</f>
        <v>2186613.3280000002</v>
      </c>
      <c r="Z81" s="6">
        <f>[1]Results!AC1533</f>
        <v>2226707.2170000002</v>
      </c>
      <c r="AA81" s="6">
        <f>[1]Results!AD1533</f>
        <v>2270242.0460000001</v>
      </c>
      <c r="AB81" s="6">
        <f>[1]Results!AE1533</f>
        <v>2316474.156</v>
      </c>
      <c r="AC81" s="6">
        <f>[1]Results!AF1533</f>
        <v>2365496.591</v>
      </c>
      <c r="AD81" s="6">
        <f>[1]Results!AG1533</f>
        <v>2417751.9619999998</v>
      </c>
      <c r="AE81" s="6">
        <f>[1]Results!AH1533</f>
        <v>2473519.5090000001</v>
      </c>
      <c r="AF81" s="6">
        <f>[1]Results!AI1533</f>
        <v>2532588.92</v>
      </c>
      <c r="AG81" s="6">
        <f>[1]Results!AJ1533</f>
        <v>2594469.8470000001</v>
      </c>
      <c r="AH81" s="6">
        <f>[1]Results!AK1533</f>
        <v>2658852.4300000002</v>
      </c>
      <c r="AI81" s="6">
        <f>[1]Results!AL1533</f>
        <v>2725275.3309999998</v>
      </c>
      <c r="AJ81" s="6">
        <f>[1]Results!AM1533</f>
        <v>2793255.1860000002</v>
      </c>
      <c r="AK81" s="6">
        <f>[1]Results!AN1533</f>
        <v>2862303.6189999999</v>
      </c>
      <c r="AL81" s="6">
        <f>[1]Results!AO1533</f>
        <v>2931917.2990000001</v>
      </c>
    </row>
    <row r="82" spans="2:38" x14ac:dyDescent="0.35">
      <c r="B82" t="s">
        <v>12</v>
      </c>
      <c r="C82" s="6">
        <f>[1]Results!F1537</f>
        <v>-2125.409842</v>
      </c>
      <c r="D82" s="6">
        <f>[1]Results!G1537</f>
        <v>-2143.3612760000001</v>
      </c>
      <c r="E82" s="6">
        <f>[1]Results!H1537</f>
        <v>-2159.7022830000001</v>
      </c>
      <c r="F82" s="6">
        <f>[1]Results!I1537</f>
        <v>-2176.0875550000001</v>
      </c>
      <c r="G82" s="6">
        <f>[1]Results!J1537</f>
        <v>-2191.7230559999998</v>
      </c>
      <c r="H82" s="6">
        <f>[1]Results!K1537</f>
        <v>-2216.5464270000002</v>
      </c>
      <c r="I82" s="6">
        <f>[1]Results!L1537</f>
        <v>-2249.5671229999998</v>
      </c>
      <c r="J82" s="6">
        <f>[1]Results!M1537</f>
        <v>-2296.8163049999998</v>
      </c>
      <c r="K82" s="6">
        <f>[1]Results!N1537</f>
        <v>-2334.3233230000001</v>
      </c>
      <c r="L82" s="6">
        <f>[1]Results!O1537</f>
        <v>-2360.6362439999998</v>
      </c>
      <c r="M82" s="6">
        <f>[1]Results!P1537</f>
        <v>-2396.442959</v>
      </c>
      <c r="N82" s="6">
        <f>[1]Results!Q1537</f>
        <v>-2415.5152029999999</v>
      </c>
      <c r="O82" s="6">
        <f>[1]Results!R1537</f>
        <v>-2431.3186660000001</v>
      </c>
      <c r="P82" s="6">
        <f>[1]Results!S1537</f>
        <v>-2446.4425999999999</v>
      </c>
      <c r="Q82" s="6">
        <f>[1]Results!T1537</f>
        <v>-2462.3224890000001</v>
      </c>
      <c r="R82" s="6">
        <f>[1]Results!U1537</f>
        <v>-2480.6504570000002</v>
      </c>
      <c r="S82" s="6">
        <f>[1]Results!V1537</f>
        <v>-2505.1774909999999</v>
      </c>
      <c r="T82" s="6">
        <f>[1]Results!W1537</f>
        <v>-2518.4870390000001</v>
      </c>
      <c r="U82" s="6">
        <f>[1]Results!X1537</f>
        <v>-2534.0428929999998</v>
      </c>
      <c r="V82" s="6">
        <f>[1]Results!Y1537</f>
        <v>-2546.4841230000002</v>
      </c>
      <c r="W82" s="6">
        <f>[1]Results!Z1537</f>
        <v>-2528.3508919999999</v>
      </c>
      <c r="X82" s="6">
        <f>[1]Results!AA1537</f>
        <v>-2509.0382180000001</v>
      </c>
      <c r="Y82" s="6">
        <f>[1]Results!AB1537</f>
        <v>-2491.2675989999998</v>
      </c>
      <c r="Z82" s="6">
        <f>[1]Results!AC1537</f>
        <v>-2474.8175620000002</v>
      </c>
      <c r="AA82" s="6">
        <f>[1]Results!AD1537</f>
        <v>-2459.2916959999998</v>
      </c>
      <c r="AB82" s="6">
        <f>[1]Results!AE1537</f>
        <v>-2444.3313939999998</v>
      </c>
      <c r="AC82" s="6">
        <f>[1]Results!AF1537</f>
        <v>-2430.2240160000001</v>
      </c>
      <c r="AD82" s="6">
        <f>[1]Results!AG1537</f>
        <v>-2411.1247520000002</v>
      </c>
      <c r="AE82" s="6">
        <f>[1]Results!AH1537</f>
        <v>-2390.4664659999999</v>
      </c>
      <c r="AF82" s="6">
        <f>[1]Results!AI1537</f>
        <v>-2370.9664990000001</v>
      </c>
      <c r="AG82" s="6">
        <f>[1]Results!AJ1537</f>
        <v>-2353.0909999999999</v>
      </c>
      <c r="AH82" s="6">
        <f>[1]Results!AK1537</f>
        <v>-2336.2718909999999</v>
      </c>
      <c r="AI82" s="6">
        <f>[1]Results!AL1537</f>
        <v>-2320.6869139999999</v>
      </c>
      <c r="AJ82" s="6">
        <f>[1]Results!AM1537</f>
        <v>-2306.722436</v>
      </c>
      <c r="AK82" s="6">
        <f>[1]Results!AN1537</f>
        <v>-2294.8819279999998</v>
      </c>
      <c r="AL82" s="6">
        <f>[1]Results!AO1537</f>
        <v>-2285.7116030000002</v>
      </c>
    </row>
    <row r="83" spans="2:38" x14ac:dyDescent="0.35">
      <c r="B83" t="s">
        <v>11</v>
      </c>
      <c r="C83" s="6">
        <f>[1]Results!F1541</f>
        <v>40630.387999999999</v>
      </c>
      <c r="D83" s="6">
        <f>[1]Results!G1541</f>
        <v>41200.62586</v>
      </c>
      <c r="E83" s="6">
        <f>[1]Results!H1541</f>
        <v>41721.146249999998</v>
      </c>
      <c r="F83" s="6">
        <f>[1]Results!I1541</f>
        <v>42278.35613</v>
      </c>
      <c r="G83" s="6">
        <f>[1]Results!J1541</f>
        <v>42782.728810000001</v>
      </c>
      <c r="H83" s="6">
        <f>[1]Results!K1541</f>
        <v>43310.704310000001</v>
      </c>
      <c r="I83" s="6">
        <f>[1]Results!L1541</f>
        <v>43243.776089999999</v>
      </c>
      <c r="J83" s="6">
        <f>[1]Results!M1541</f>
        <v>43056.249409999997</v>
      </c>
      <c r="K83" s="6">
        <f>[1]Results!N1541</f>
        <v>42833.81637</v>
      </c>
      <c r="L83" s="6">
        <f>[1]Results!O1541</f>
        <v>42732.982279999997</v>
      </c>
      <c r="M83" s="6">
        <f>[1]Results!P1541</f>
        <v>42530.97176</v>
      </c>
      <c r="N83" s="6">
        <f>[1]Results!Q1541</f>
        <v>42078.997889999999</v>
      </c>
      <c r="O83" s="6">
        <f>[1]Results!R1541</f>
        <v>41441.981919999998</v>
      </c>
      <c r="P83" s="6">
        <f>[1]Results!S1541</f>
        <v>40657.309150000001</v>
      </c>
      <c r="Q83" s="6">
        <f>[1]Results!T1541</f>
        <v>39768.953390000002</v>
      </c>
      <c r="R83" s="6">
        <f>[1]Results!U1541</f>
        <v>38794.370260000003</v>
      </c>
      <c r="S83" s="6">
        <f>[1]Results!V1541</f>
        <v>37664.428019999999</v>
      </c>
      <c r="T83" s="6">
        <f>[1]Results!W1541</f>
        <v>36434.339829999997</v>
      </c>
      <c r="U83" s="6">
        <f>[1]Results!X1541</f>
        <v>35112.172830000003</v>
      </c>
      <c r="V83" s="6">
        <f>[1]Results!Y1541</f>
        <v>33692.27317</v>
      </c>
      <c r="W83" s="6">
        <f>[1]Results!Z1541</f>
        <v>32162.595860000001</v>
      </c>
      <c r="X83" s="6">
        <f>[1]Results!AA1541</f>
        <v>30507.214680000001</v>
      </c>
      <c r="Y83" s="6">
        <f>[1]Results!AB1541</f>
        <v>28721.866099999999</v>
      </c>
      <c r="Z83" s="6">
        <f>[1]Results!AC1541</f>
        <v>26769.977500000001</v>
      </c>
      <c r="AA83" s="6">
        <f>[1]Results!AD1541</f>
        <v>24599.159650000001</v>
      </c>
      <c r="AB83" s="6">
        <f>[1]Results!AE1541</f>
        <v>22131.630819999998</v>
      </c>
      <c r="AC83" s="6">
        <f>[1]Results!AF1541</f>
        <v>21764.380990000001</v>
      </c>
      <c r="AD83" s="6">
        <f>[1]Results!AG1541</f>
        <v>22185.235809999998</v>
      </c>
      <c r="AE83" s="6">
        <f>[1]Results!AH1541</f>
        <v>22814.370749999998</v>
      </c>
      <c r="AF83" s="6">
        <f>[1]Results!AI1541</f>
        <v>23462.31076</v>
      </c>
      <c r="AG83" s="6">
        <f>[1]Results!AJ1541</f>
        <v>24077.941220000001</v>
      </c>
      <c r="AH83" s="6">
        <f>[1]Results!AK1541</f>
        <v>24653.133949999999</v>
      </c>
      <c r="AI83" s="6">
        <f>[1]Results!AL1541</f>
        <v>25202.335190000002</v>
      </c>
      <c r="AJ83" s="6">
        <f>[1]Results!AM1541</f>
        <v>25729.611819999998</v>
      </c>
      <c r="AK83" s="6">
        <f>[1]Results!AN1541</f>
        <v>26236.16419</v>
      </c>
      <c r="AL83" s="6">
        <f>[1]Results!AO1541</f>
        <v>26722.18289</v>
      </c>
    </row>
    <row r="85" spans="2:38" x14ac:dyDescent="0.35">
      <c r="B85" t="s">
        <v>16</v>
      </c>
      <c r="C85" s="8" t="s">
        <v>17</v>
      </c>
      <c r="D85" s="8" t="s">
        <v>18</v>
      </c>
      <c r="E85" s="8" t="s">
        <v>19</v>
      </c>
    </row>
    <row r="86" spans="2:38" x14ac:dyDescent="0.35">
      <c r="B86" t="s">
        <v>7</v>
      </c>
      <c r="C86" s="6">
        <f t="shared" ref="C86:C91" si="3">(R78-R70)/R77*100</f>
        <v>-7.638921128697862E-2</v>
      </c>
      <c r="D86" s="6">
        <f t="shared" ref="D86:D91" si="4">(AB78-AB70)/AB77*100</f>
        <v>-0.10491964274023086</v>
      </c>
      <c r="E86" s="6">
        <f t="shared" ref="E86:E91" si="5">(AL78-AL70)/AL77*100</f>
        <v>-0.10805912541517741</v>
      </c>
      <c r="Q86" s="5"/>
      <c r="U86" s="5"/>
      <c r="V86" s="5"/>
      <c r="Y86" s="5"/>
      <c r="Z86" s="5"/>
      <c r="AA86" s="5"/>
    </row>
    <row r="87" spans="2:38" x14ac:dyDescent="0.35">
      <c r="B87" t="s">
        <v>8</v>
      </c>
      <c r="C87" s="6">
        <f t="shared" si="3"/>
        <v>-30.763409522656087</v>
      </c>
      <c r="D87" s="6">
        <f t="shared" si="4"/>
        <v>-52.749706053913869</v>
      </c>
      <c r="E87" s="6">
        <f t="shared" si="5"/>
        <v>-45.573384537916034</v>
      </c>
      <c r="Q87" s="5"/>
      <c r="U87" s="5"/>
      <c r="V87" s="5"/>
      <c r="Y87" s="5"/>
      <c r="Z87" s="5"/>
      <c r="AA87" s="5"/>
    </row>
    <row r="88" spans="2:38" x14ac:dyDescent="0.35">
      <c r="B88" t="s">
        <v>9</v>
      </c>
      <c r="C88" s="6">
        <f t="shared" si="3"/>
        <v>-0.69546063757746768</v>
      </c>
      <c r="D88" s="6">
        <f t="shared" si="4"/>
        <v>-1.0798094241964022</v>
      </c>
      <c r="E88" s="6">
        <f t="shared" si="5"/>
        <v>-0.85726948677797743</v>
      </c>
      <c r="Q88" s="5"/>
      <c r="U88" s="5"/>
      <c r="V88" s="5"/>
      <c r="Y88" s="5"/>
      <c r="Z88" s="5"/>
      <c r="AA88" s="5"/>
    </row>
    <row r="89" spans="2:38" x14ac:dyDescent="0.35">
      <c r="B89" t="s">
        <v>10</v>
      </c>
      <c r="C89" s="6">
        <f t="shared" si="3"/>
        <v>-62.447243028603239</v>
      </c>
      <c r="D89" s="6">
        <f t="shared" si="4"/>
        <v>-99.677181592616307</v>
      </c>
      <c r="E89" s="6">
        <f t="shared" si="5"/>
        <v>-97.364609548920328</v>
      </c>
      <c r="Q89" s="5"/>
      <c r="U89" s="5"/>
      <c r="V89" s="5"/>
      <c r="Y89" s="5"/>
      <c r="Z89" s="5"/>
      <c r="AA89" s="5"/>
    </row>
    <row r="90" spans="2:38" x14ac:dyDescent="0.35">
      <c r="B90" t="s">
        <v>12</v>
      </c>
      <c r="C90" s="6">
        <f t="shared" si="3"/>
        <v>-5.6454916305022718E-3</v>
      </c>
      <c r="D90" s="6">
        <f t="shared" si="4"/>
        <v>5.6600545989428297E-3</v>
      </c>
      <c r="E90" s="6">
        <f t="shared" si="5"/>
        <v>3.1889743831413575E-2</v>
      </c>
      <c r="Q90" s="5"/>
      <c r="U90" s="5"/>
      <c r="V90" s="5"/>
      <c r="Y90" s="5"/>
      <c r="Z90" s="5"/>
      <c r="AA90" s="5"/>
    </row>
    <row r="91" spans="2:38" x14ac:dyDescent="0.35">
      <c r="B91" t="s">
        <v>11</v>
      </c>
      <c r="C91" s="6">
        <f t="shared" si="3"/>
        <v>-7.3369337258466327</v>
      </c>
      <c r="D91" s="6">
        <f t="shared" si="4"/>
        <v>25.465010658043429</v>
      </c>
      <c r="E91" s="6">
        <f t="shared" si="5"/>
        <v>64.869170636134754</v>
      </c>
      <c r="Q91" s="5"/>
      <c r="U91" s="5"/>
      <c r="V91" s="5"/>
      <c r="Y91" s="5"/>
      <c r="Z91" s="5"/>
      <c r="AA91" s="5"/>
    </row>
    <row r="92" spans="2:38" x14ac:dyDescent="0.35"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</row>
    <row r="93" spans="2:38" x14ac:dyDescent="0.35">
      <c r="B93" t="s">
        <v>16</v>
      </c>
      <c r="C93" s="8" t="s">
        <v>17</v>
      </c>
      <c r="D93" s="8" t="s">
        <v>18</v>
      </c>
      <c r="E93" s="8" t="s">
        <v>19</v>
      </c>
    </row>
    <row r="94" spans="2:38" x14ac:dyDescent="0.35">
      <c r="B94" t="s">
        <v>7</v>
      </c>
      <c r="C94" s="4">
        <f t="shared" ref="C94:C99" si="6">R78/R70-1</f>
        <v>-4.106827645023936E-2</v>
      </c>
      <c r="D94" s="4">
        <f t="shared" ref="D94:D99" si="7">AB78/AB70-1</f>
        <v>-5.5011541100105976E-2</v>
      </c>
      <c r="E94" s="4">
        <f t="shared" ref="E94:E99" si="8">AL78/AL70-1</f>
        <v>-5.6227605018007165E-2</v>
      </c>
    </row>
    <row r="95" spans="2:38" x14ac:dyDescent="0.35">
      <c r="B95" t="s">
        <v>8</v>
      </c>
      <c r="C95" s="4">
        <f t="shared" si="6"/>
        <v>-2.9906056723756569E-2</v>
      </c>
      <c r="D95" s="4">
        <f t="shared" si="7"/>
        <v>-4.7926708889187597E-2</v>
      </c>
      <c r="E95" s="4">
        <f t="shared" si="8"/>
        <v>-3.9644974225913288E-2</v>
      </c>
    </row>
    <row r="96" spans="2:38" x14ac:dyDescent="0.35">
      <c r="B96" t="s">
        <v>9</v>
      </c>
      <c r="C96" s="4">
        <f t="shared" si="6"/>
        <v>-4.9003356926582309E-2</v>
      </c>
      <c r="D96" s="4">
        <f t="shared" si="7"/>
        <v>-7.940444345862574E-2</v>
      </c>
      <c r="E96" s="4">
        <f t="shared" si="8"/>
        <v>-6.5739785082687296E-2</v>
      </c>
    </row>
    <row r="97" spans="2:38" x14ac:dyDescent="0.35">
      <c r="B97" t="s">
        <v>10</v>
      </c>
      <c r="C97" s="4">
        <f t="shared" si="6"/>
        <v>-1.9211319467796528E-2</v>
      </c>
      <c r="D97" s="4">
        <f t="shared" si="7"/>
        <v>-2.9973162451934821E-2</v>
      </c>
      <c r="E97" s="4">
        <f t="shared" si="8"/>
        <v>-3.0620192207338137E-2</v>
      </c>
    </row>
    <row r="98" spans="2:38" x14ac:dyDescent="0.35">
      <c r="B98" t="s">
        <v>12</v>
      </c>
      <c r="C98" s="4">
        <f t="shared" si="6"/>
        <v>4.70783121947278E-2</v>
      </c>
      <c r="D98" s="4">
        <f t="shared" si="7"/>
        <v>-5.0909142735613644E-2</v>
      </c>
      <c r="E98" s="4">
        <f t="shared" si="8"/>
        <v>-0.29030430892865988</v>
      </c>
    </row>
    <row r="99" spans="2:38" x14ac:dyDescent="0.35">
      <c r="B99" t="s">
        <v>11</v>
      </c>
      <c r="C99" s="4">
        <f t="shared" si="6"/>
        <v>4.7136111075427589E-3</v>
      </c>
      <c r="D99" s="4">
        <f t="shared" si="7"/>
        <v>-2.7355500555729662E-2</v>
      </c>
      <c r="E99" s="4">
        <f t="shared" si="8"/>
        <v>-5.2569656142132715E-2</v>
      </c>
    </row>
    <row r="101" spans="2:38" x14ac:dyDescent="0.35">
      <c r="B101" t="s">
        <v>26</v>
      </c>
      <c r="C101" s="2">
        <v>42005</v>
      </c>
      <c r="D101" s="2">
        <v>42370</v>
      </c>
      <c r="E101" s="2">
        <v>42736</v>
      </c>
      <c r="F101" s="2">
        <v>43101</v>
      </c>
      <c r="G101" s="2">
        <v>43466</v>
      </c>
      <c r="H101" s="2">
        <v>43831</v>
      </c>
      <c r="I101" s="2">
        <v>44197</v>
      </c>
      <c r="J101" s="2">
        <v>44562</v>
      </c>
      <c r="K101" s="2">
        <v>44927</v>
      </c>
      <c r="L101" s="2">
        <v>45292</v>
      </c>
      <c r="M101" s="2">
        <v>45658</v>
      </c>
      <c r="N101" s="2">
        <v>46023</v>
      </c>
      <c r="O101" s="2">
        <v>46388</v>
      </c>
      <c r="P101" s="2">
        <v>46753</v>
      </c>
      <c r="Q101" s="2">
        <v>47119</v>
      </c>
      <c r="R101" s="2">
        <v>47484</v>
      </c>
      <c r="S101" s="2">
        <v>47849</v>
      </c>
      <c r="T101" s="2">
        <v>48214</v>
      </c>
      <c r="U101" s="2">
        <v>48580</v>
      </c>
      <c r="V101" s="2">
        <v>48945</v>
      </c>
      <c r="W101" s="2">
        <v>49310</v>
      </c>
      <c r="X101" s="2">
        <v>49675</v>
      </c>
      <c r="Y101" s="2">
        <v>50041</v>
      </c>
      <c r="Z101" s="2">
        <v>50406</v>
      </c>
      <c r="AA101" s="2">
        <v>50771</v>
      </c>
      <c r="AB101" s="2">
        <v>51136</v>
      </c>
      <c r="AC101" s="2">
        <v>51502</v>
      </c>
      <c r="AD101" s="2">
        <v>51867</v>
      </c>
      <c r="AE101" s="2">
        <v>52232</v>
      </c>
      <c r="AF101" s="2">
        <v>52597</v>
      </c>
      <c r="AG101" s="2">
        <v>52963</v>
      </c>
      <c r="AH101" s="2">
        <v>53328</v>
      </c>
      <c r="AI101" s="2">
        <v>53693</v>
      </c>
      <c r="AJ101" s="2">
        <v>54058</v>
      </c>
      <c r="AK101" s="2">
        <v>54424</v>
      </c>
      <c r="AL101" s="2">
        <v>54789</v>
      </c>
    </row>
    <row r="102" spans="2:38" x14ac:dyDescent="0.35">
      <c r="B102" t="s">
        <v>7</v>
      </c>
      <c r="C102" s="6">
        <f>[1]Production!B5+[1]Production!B7</f>
        <v>88160.555842999995</v>
      </c>
      <c r="D102" s="6">
        <f>[1]Production!C5+[1]Production!C7</f>
        <v>89335.254873999991</v>
      </c>
      <c r="E102" s="6">
        <f>[1]Production!D5+[1]Production!D7</f>
        <v>90736.311761000004</v>
      </c>
      <c r="F102" s="6">
        <f>[1]Production!E5+[1]Production!E7</f>
        <v>92321.49545100001</v>
      </c>
      <c r="G102" s="6">
        <f>[1]Production!F5+[1]Production!F7</f>
        <v>94179.135789000007</v>
      </c>
      <c r="H102" s="6">
        <f>[1]Production!G5+[1]Production!G7</f>
        <v>96277.030278000006</v>
      </c>
      <c r="I102" s="6">
        <f>[1]Production!H5+[1]Production!H7</f>
        <v>98593.115099000002</v>
      </c>
      <c r="J102" s="6">
        <f>[1]Production!I5+[1]Production!I7</f>
        <v>101067.555649</v>
      </c>
      <c r="K102" s="6">
        <f>[1]Production!J5+[1]Production!J7</f>
        <v>103667.09697300001</v>
      </c>
      <c r="L102" s="6">
        <f>[1]Production!K5+[1]Production!K7</f>
        <v>106369.098348</v>
      </c>
      <c r="M102" s="6">
        <f>[1]Production!L5+[1]Production!L7</f>
        <v>109087.414687</v>
      </c>
      <c r="N102" s="6">
        <f>[1]Production!M5+[1]Production!M7</f>
        <v>111476.89047899999</v>
      </c>
      <c r="O102" s="6">
        <f>[1]Production!N5+[1]Production!N7</f>
        <v>113598.86565400001</v>
      </c>
      <c r="P102" s="6">
        <f>[1]Production!O5+[1]Production!O7</f>
        <v>115500.651277</v>
      </c>
      <c r="Q102" s="6">
        <f>[1]Production!P5+[1]Production!P7</f>
        <v>117245.78599100001</v>
      </c>
      <c r="R102" s="6">
        <f>[1]Production!Q5+[1]Production!Q7</f>
        <v>118900.825285</v>
      </c>
      <c r="S102" s="6">
        <f>[1]Production!R5+[1]Production!R7</f>
        <v>120554.97424700001</v>
      </c>
      <c r="T102" s="6">
        <f>[1]Production!S5+[1]Production!S7</f>
        <v>122260.185675</v>
      </c>
      <c r="U102" s="6">
        <f>[1]Production!T5+[1]Production!T7</f>
        <v>124073.578668</v>
      </c>
      <c r="V102" s="6">
        <f>[1]Production!U5+[1]Production!U7</f>
        <v>126037.13419000001</v>
      </c>
      <c r="W102" s="6">
        <f>[1]Production!V5+[1]Production!V7</f>
        <v>128169.05658800001</v>
      </c>
      <c r="X102" s="6">
        <f>[1]Production!W5+[1]Production!W7</f>
        <v>130527.047345</v>
      </c>
      <c r="Y102" s="6">
        <f>[1]Production!X5+[1]Production!X7</f>
        <v>133143.47450899999</v>
      </c>
      <c r="Z102" s="6">
        <f>[1]Production!Y5+[1]Production!Y7</f>
        <v>136039.78931399999</v>
      </c>
      <c r="AA102" s="6">
        <f>[1]Production!Z5+[1]Production!Z7</f>
        <v>139221.08768900001</v>
      </c>
      <c r="AB102" s="6">
        <f>[1]Production!AA5+[1]Production!AA7</f>
        <v>142636.08925600001</v>
      </c>
      <c r="AC102" s="6">
        <f>[1]Production!AB5+[1]Production!AB7</f>
        <v>146163.05579700001</v>
      </c>
      <c r="AD102" s="6">
        <f>[1]Production!AC5+[1]Production!AC7</f>
        <v>149920.72427800001</v>
      </c>
      <c r="AE102" s="6">
        <f>[1]Production!AD5+[1]Production!AD7</f>
        <v>153951.91088499999</v>
      </c>
      <c r="AF102" s="6">
        <f>[1]Production!AE5+[1]Production!AE7</f>
        <v>158237.249106</v>
      </c>
      <c r="AG102" s="6">
        <f>[1]Production!AF5+[1]Production!AF7</f>
        <v>162729.13912400001</v>
      </c>
      <c r="AH102" s="6">
        <f>[1]Production!AG5+[1]Production!AG7</f>
        <v>167380.29416299998</v>
      </c>
      <c r="AI102" s="6">
        <f>[1]Production!AH5+[1]Production!AH7</f>
        <v>172149.37991999998</v>
      </c>
      <c r="AJ102" s="6">
        <f>[1]Production!AI5+[1]Production!AI7</f>
        <v>176996.10582999999</v>
      </c>
      <c r="AK102" s="6">
        <f>[1]Production!AJ5+[1]Production!AJ7</f>
        <v>181879.84948999999</v>
      </c>
      <c r="AL102" s="6">
        <f>[1]Production!AK5+[1]Production!AK7</f>
        <v>186759.27198999998</v>
      </c>
    </row>
    <row r="103" spans="2:38" x14ac:dyDescent="0.35">
      <c r="B103" t="s">
        <v>8</v>
      </c>
      <c r="C103" s="6">
        <f>[1]Production!B9+[1]Production!B11+[1]Production!B13+[1]Production!B15+[1]Production!B17+[1]Production!B19+[1]Production!B21+[1]Production!B23+[1]Production!B25+[1]Production!B27+[1]Production!B41</f>
        <v>978079.01299700001</v>
      </c>
      <c r="D103" s="6">
        <f>[1]Production!C9+[1]Production!C11+[1]Production!C13+[1]Production!C15+[1]Production!C17+[1]Production!C19+[1]Production!C21+[1]Production!C23+[1]Production!C25+[1]Production!C27+[1]Production!C41</f>
        <v>999015.41470600001</v>
      </c>
      <c r="E103" s="6">
        <f>[1]Production!D9+[1]Production!D11+[1]Production!D13+[1]Production!D15+[1]Production!D17+[1]Production!D19+[1]Production!D21+[1]Production!D23+[1]Production!D25+[1]Production!D27+[1]Production!D41</f>
        <v>1022166.4630919998</v>
      </c>
      <c r="F103" s="6">
        <f>[1]Production!E9+[1]Production!E11+[1]Production!E13+[1]Production!E15+[1]Production!E17+[1]Production!E19+[1]Production!E21+[1]Production!E23+[1]Production!E25+[1]Production!E27+[1]Production!E41</f>
        <v>1046589.913577</v>
      </c>
      <c r="G103" s="6">
        <f>[1]Production!F9+[1]Production!F11+[1]Production!F13+[1]Production!F15+[1]Production!F17+[1]Production!F19+[1]Production!F21+[1]Production!F23+[1]Production!F25+[1]Production!F27+[1]Production!F41</f>
        <v>1072851.2288619999</v>
      </c>
      <c r="H103" s="6">
        <f>[1]Production!G9+[1]Production!G11+[1]Production!G13+[1]Production!G15+[1]Production!G17+[1]Production!G19+[1]Production!G21+[1]Production!G23+[1]Production!G25+[1]Production!G27+[1]Production!G41</f>
        <v>1100883.9624030001</v>
      </c>
      <c r="I103" s="6">
        <f>[1]Production!H9+[1]Production!H11+[1]Production!H13+[1]Production!H15+[1]Production!H17+[1]Production!H19+[1]Production!H21+[1]Production!H23+[1]Production!H25+[1]Production!H27+[1]Production!H41</f>
        <v>1130631.2060770004</v>
      </c>
      <c r="J103" s="6">
        <f>[1]Production!I9+[1]Production!I11+[1]Production!I13+[1]Production!I15+[1]Production!I17+[1]Production!I19+[1]Production!I21+[1]Production!I23+[1]Production!I25+[1]Production!I27+[1]Production!I41</f>
        <v>1161924.7931269999</v>
      </c>
      <c r="K103" s="6">
        <f>[1]Production!J9+[1]Production!J11+[1]Production!J13+[1]Production!J15+[1]Production!J17+[1]Production!J19+[1]Production!J21+[1]Production!J23+[1]Production!J25+[1]Production!J27+[1]Production!J41</f>
        <v>1194628.8264340002</v>
      </c>
      <c r="L103" s="6">
        <f>[1]Production!K9+[1]Production!K11+[1]Production!K13+[1]Production!K15+[1]Production!K17+[1]Production!K19+[1]Production!K21+[1]Production!K23+[1]Production!K25+[1]Production!K27+[1]Production!K41</f>
        <v>1228666.0048849999</v>
      </c>
      <c r="M103" s="6">
        <f>[1]Production!L9+[1]Production!L11+[1]Production!L13+[1]Production!L15+[1]Production!L17+[1]Production!L19+[1]Production!L21+[1]Production!L23+[1]Production!L25+[1]Production!L27+[1]Production!L41</f>
        <v>1262797.5442380002</v>
      </c>
      <c r="N103" s="6">
        <f>[1]Production!M9+[1]Production!M11+[1]Production!M13+[1]Production!M15+[1]Production!M17+[1]Production!M19+[1]Production!M21+[1]Production!M23+[1]Production!M25+[1]Production!M27+[1]Production!M41</f>
        <v>1292704.480119</v>
      </c>
      <c r="O103" s="6">
        <f>[1]Production!N9+[1]Production!N11+[1]Production!N13+[1]Production!N15+[1]Production!N17+[1]Production!N19+[1]Production!N21+[1]Production!N23+[1]Production!N25+[1]Production!N27+[1]Production!N41</f>
        <v>1319759.9217100001</v>
      </c>
      <c r="P103" s="6">
        <f>[1]Production!O9+[1]Production!O11+[1]Production!O13+[1]Production!O15+[1]Production!O17+[1]Production!O19+[1]Production!O21+[1]Production!O23+[1]Production!O25+[1]Production!O27+[1]Production!O41</f>
        <v>1344917.0457409997</v>
      </c>
      <c r="Q103" s="6">
        <f>[1]Production!P9+[1]Production!P11+[1]Production!P13+[1]Production!P15+[1]Production!P17+[1]Production!P19+[1]Production!P21+[1]Production!P23+[1]Production!P25+[1]Production!P27+[1]Production!P41</f>
        <v>1369218.8275849998</v>
      </c>
      <c r="R103" s="6">
        <f>[1]Production!Q9+[1]Production!Q11+[1]Production!Q13+[1]Production!Q15+[1]Production!Q17+[1]Production!Q19+[1]Production!Q21+[1]Production!Q23+[1]Production!Q25+[1]Production!Q27+[1]Production!Q41</f>
        <v>1393571.8740930001</v>
      </c>
      <c r="S103" s="6">
        <f>[1]Production!R9+[1]Production!R11+[1]Production!R13+[1]Production!R15+[1]Production!R17+[1]Production!R19+[1]Production!R21+[1]Production!R23+[1]Production!R25+[1]Production!R27+[1]Production!R41</f>
        <v>1418779.9538419999</v>
      </c>
      <c r="T103" s="6">
        <f>[1]Production!S9+[1]Production!S11+[1]Production!S13+[1]Production!S15+[1]Production!S17+[1]Production!S19+[1]Production!S21+[1]Production!S23+[1]Production!S25+[1]Production!S27+[1]Production!S41</f>
        <v>1445566.3310099998</v>
      </c>
      <c r="U103" s="6">
        <f>[1]Production!T9+[1]Production!T11+[1]Production!T13+[1]Production!T15+[1]Production!T17+[1]Production!T19+[1]Production!T21+[1]Production!T23+[1]Production!T25+[1]Production!T27+[1]Production!T41</f>
        <v>1474503.406682</v>
      </c>
      <c r="V103" s="6">
        <f>[1]Production!U9+[1]Production!U11+[1]Production!U13+[1]Production!U15+[1]Production!U17+[1]Production!U19+[1]Production!U21+[1]Production!U23+[1]Production!U25+[1]Production!U27+[1]Production!U41</f>
        <v>1505931.8982299997</v>
      </c>
      <c r="W103" s="6">
        <f>[1]Production!V9+[1]Production!V11+[1]Production!V13+[1]Production!V15+[1]Production!V17+[1]Production!V19+[1]Production!V21+[1]Production!V23+[1]Production!V25+[1]Production!V27+[1]Production!V41</f>
        <v>1540044.8383239999</v>
      </c>
      <c r="X103" s="6">
        <f>[1]Production!W9+[1]Production!W11+[1]Production!W13+[1]Production!W15+[1]Production!W17+[1]Production!W19+[1]Production!W21+[1]Production!W23+[1]Production!W25+[1]Production!W27+[1]Production!W41</f>
        <v>1577232.2950300002</v>
      </c>
      <c r="Y103" s="6">
        <f>[1]Production!X9+[1]Production!X11+[1]Production!X13+[1]Production!X15+[1]Production!X17+[1]Production!X19+[1]Production!X21+[1]Production!X23+[1]Production!X25+[1]Production!X27+[1]Production!X41</f>
        <v>1617836.4896769999</v>
      </c>
      <c r="Z103" s="6">
        <f>[1]Production!Y9+[1]Production!Y11+[1]Production!Y13+[1]Production!Y15+[1]Production!Y17+[1]Production!Y19+[1]Production!Y21+[1]Production!Y23+[1]Production!Y25+[1]Production!Y27+[1]Production!Y41</f>
        <v>1662055.23043</v>
      </c>
      <c r="AA103" s="6">
        <f>[1]Production!Z9+[1]Production!Z11+[1]Production!Z13+[1]Production!Z15+[1]Production!Z17+[1]Production!Z19+[1]Production!Z21+[1]Production!Z23+[1]Production!Z25+[1]Production!Z27+[1]Production!Z41</f>
        <v>1709875.7931489998</v>
      </c>
      <c r="AB103" s="6">
        <f>[1]Production!AA9+[1]Production!AA11+[1]Production!AA13+[1]Production!AA15+[1]Production!AA17+[1]Production!AA19+[1]Production!AA21+[1]Production!AA23+[1]Production!AA25+[1]Production!AA27+[1]Production!AA41</f>
        <v>1760951.8820769996</v>
      </c>
      <c r="AC103" s="6">
        <f>[1]Production!AB9+[1]Production!AB11+[1]Production!AB13+[1]Production!AB15+[1]Production!AB17+[1]Production!AB19+[1]Production!AB21+[1]Production!AB23+[1]Production!AB25+[1]Production!AB27+[1]Production!AB41</f>
        <v>1814334.954538</v>
      </c>
      <c r="AD103" s="6">
        <f>[1]Production!AC9+[1]Production!AC11+[1]Production!AC13+[1]Production!AC15+[1]Production!AC17+[1]Production!AC19+[1]Production!AC21+[1]Production!AC23+[1]Production!AC25+[1]Production!AC27+[1]Production!AC41</f>
        <v>1870298.4518250001</v>
      </c>
      <c r="AE103" s="6">
        <f>[1]Production!AD9+[1]Production!AD11+[1]Production!AD13+[1]Production!AD15+[1]Production!AD17+[1]Production!AD19+[1]Production!AD21+[1]Production!AD23+[1]Production!AD25+[1]Production!AD27+[1]Production!AD41</f>
        <v>1929118.0732750001</v>
      </c>
      <c r="AF103" s="6">
        <f>[1]Production!AE9+[1]Production!AE11+[1]Production!AE13+[1]Production!AE15+[1]Production!AE17+[1]Production!AE19+[1]Production!AE21+[1]Production!AE23+[1]Production!AE25+[1]Production!AE27+[1]Production!AE41</f>
        <v>1990497.9392090002</v>
      </c>
      <c r="AG103" s="6">
        <f>[1]Production!AF9+[1]Production!AF11+[1]Production!AF13+[1]Production!AF15+[1]Production!AF17+[1]Production!AF19+[1]Production!AF21+[1]Production!AF23+[1]Production!AF25+[1]Production!AF27+[1]Production!AF41</f>
        <v>2053860.5899430001</v>
      </c>
      <c r="AH103" s="6">
        <f>[1]Production!AG9+[1]Production!AG11+[1]Production!AG13+[1]Production!AG15+[1]Production!AG17+[1]Production!AG19+[1]Production!AG21+[1]Production!AG23+[1]Production!AG25+[1]Production!AG27+[1]Production!AG41</f>
        <v>2118702.4831610001</v>
      </c>
      <c r="AI103" s="6">
        <f>[1]Production!AH9+[1]Production!AH11+[1]Production!AH13+[1]Production!AH15+[1]Production!AH17+[1]Production!AH19+[1]Production!AH21+[1]Production!AH23+[1]Production!AH25+[1]Production!AH27+[1]Production!AH41</f>
        <v>2184643.5724180001</v>
      </c>
      <c r="AJ103" s="6">
        <f>[1]Production!AI9+[1]Production!AI11+[1]Production!AI13+[1]Production!AI15+[1]Production!AI17+[1]Production!AI19+[1]Production!AI21+[1]Production!AI23+[1]Production!AI25+[1]Production!AI27+[1]Production!AI41</f>
        <v>2251335.8462020005</v>
      </c>
      <c r="AK103" s="6">
        <f>[1]Production!AJ9+[1]Production!AJ11+[1]Production!AJ13+[1]Production!AJ15+[1]Production!AJ17+[1]Production!AJ19+[1]Production!AJ21+[1]Production!AJ23+[1]Production!AJ25+[1]Production!AJ27+[1]Production!AJ41</f>
        <v>2318432.3895909996</v>
      </c>
      <c r="AL103" s="6">
        <f>[1]Production!AK9+[1]Production!AK11+[1]Production!AK13+[1]Production!AK15+[1]Production!AK17+[1]Production!AK19+[1]Production!AK21+[1]Production!AK23+[1]Production!AK25+[1]Production!AK27+[1]Production!AK41</f>
        <v>2385572.9764439999</v>
      </c>
    </row>
    <row r="104" spans="2:38" x14ac:dyDescent="0.35">
      <c r="B104" t="s">
        <v>9</v>
      </c>
      <c r="C104" s="6">
        <f>[1]Production!B29+[1]Production!B31+[1]Production!B33+[1]Production!B35</f>
        <v>120840.86279099999</v>
      </c>
      <c r="D104" s="6">
        <f>[1]Production!C29+[1]Production!C31+[1]Production!C33+[1]Production!C35</f>
        <v>123243.31802800001</v>
      </c>
      <c r="E104" s="6">
        <f>[1]Production!D29+[1]Production!D31+[1]Production!D33+[1]Production!D35</f>
        <v>125780.035385</v>
      </c>
      <c r="F104" s="6">
        <f>[1]Production!E29+[1]Production!E31+[1]Production!E33+[1]Production!E35</f>
        <v>128390.50019399999</v>
      </c>
      <c r="G104" s="6">
        <f>[1]Production!F29+[1]Production!F31+[1]Production!F33+[1]Production!F35</f>
        <v>131212.01999</v>
      </c>
      <c r="H104" s="6">
        <f>[1]Production!G29+[1]Production!G31+[1]Production!G33+[1]Production!G35</f>
        <v>134253.61583200001</v>
      </c>
      <c r="I104" s="6">
        <f>[1]Production!H29+[1]Production!H31+[1]Production!H33+[1]Production!H35</f>
        <v>137489.98706700001</v>
      </c>
      <c r="J104" s="6">
        <f>[1]Production!I29+[1]Production!I31+[1]Production!I33+[1]Production!I35</f>
        <v>140888.13511</v>
      </c>
      <c r="K104" s="6">
        <f>[1]Production!J29+[1]Production!J31+[1]Production!J33+[1]Production!J35</f>
        <v>144420.99850699998</v>
      </c>
      <c r="L104" s="6">
        <f>[1]Production!K29+[1]Production!K31+[1]Production!K33+[1]Production!K35</f>
        <v>148069.06969500001</v>
      </c>
      <c r="M104" s="6">
        <f>[1]Production!L29+[1]Production!L31+[1]Production!L33+[1]Production!L35</f>
        <v>151674.22727500001</v>
      </c>
      <c r="N104" s="6">
        <f>[1]Production!M29+[1]Production!M31+[1]Production!M33+[1]Production!M35</f>
        <v>154706.259444</v>
      </c>
      <c r="O104" s="6">
        <f>[1]Production!N29+[1]Production!N31+[1]Production!N33+[1]Production!N35</f>
        <v>157337.76096799999</v>
      </c>
      <c r="P104" s="6">
        <f>[1]Production!O29+[1]Production!O31+[1]Production!O33+[1]Production!O35</f>
        <v>159679.115655</v>
      </c>
      <c r="Q104" s="6">
        <f>[1]Production!P29+[1]Production!P31+[1]Production!P33+[1]Production!P35</f>
        <v>161852.997951</v>
      </c>
      <c r="R104" s="6">
        <f>[1]Production!Q29+[1]Production!Q31+[1]Production!Q33+[1]Production!Q35</f>
        <v>163969.25180900001</v>
      </c>
      <c r="S104" s="6">
        <f>[1]Production!R29+[1]Production!R31+[1]Production!R33+[1]Production!R35</f>
        <v>166126.643564</v>
      </c>
      <c r="T104" s="6">
        <f>[1]Production!S29+[1]Production!S31+[1]Production!S33+[1]Production!S35</f>
        <v>168416.07043999998</v>
      </c>
      <c r="U104" s="6">
        <f>[1]Production!T29+[1]Production!T31+[1]Production!T33+[1]Production!T35</f>
        <v>170910.58604700002</v>
      </c>
      <c r="V104" s="6">
        <f>[1]Production!U29+[1]Production!U31+[1]Production!U33+[1]Production!U35</f>
        <v>173655.00829899998</v>
      </c>
      <c r="W104" s="6">
        <f>[1]Production!V29+[1]Production!V31+[1]Production!V33+[1]Production!V35</f>
        <v>176674.58171599999</v>
      </c>
      <c r="X104" s="6">
        <f>[1]Production!W29+[1]Production!W31+[1]Production!W33+[1]Production!W35</f>
        <v>180022.741178</v>
      </c>
      <c r="Y104" s="6">
        <f>[1]Production!X29+[1]Production!X31+[1]Production!X33+[1]Production!X35</f>
        <v>183739.47586899999</v>
      </c>
      <c r="Z104" s="6">
        <f>[1]Production!Y29+[1]Production!Y31+[1]Production!Y33+[1]Production!Y35</f>
        <v>187845.60298</v>
      </c>
      <c r="AA104" s="6">
        <f>[1]Production!Z29+[1]Production!Z31+[1]Production!Z33+[1]Production!Z35</f>
        <v>192335.82052999997</v>
      </c>
      <c r="AB104" s="6">
        <f>[1]Production!AA29+[1]Production!AA31+[1]Production!AA33+[1]Production!AA35</f>
        <v>197159.94367000001</v>
      </c>
      <c r="AC104" s="6">
        <f>[1]Production!AB29+[1]Production!AB31+[1]Production!AB33+[1]Production!AB35</f>
        <v>202302.65648999999</v>
      </c>
      <c r="AD104" s="6">
        <f>[1]Production!AC29+[1]Production!AC31+[1]Production!AC33+[1]Production!AC35</f>
        <v>207805.65838000001</v>
      </c>
      <c r="AE104" s="6">
        <f>[1]Production!AD29+[1]Production!AD31+[1]Production!AD33+[1]Production!AD35</f>
        <v>213683.3524</v>
      </c>
      <c r="AF104" s="6">
        <f>[1]Production!AE29+[1]Production!AE31+[1]Production!AE33+[1]Production!AE35</f>
        <v>219880.20290999999</v>
      </c>
      <c r="AG104" s="6">
        <f>[1]Production!AF29+[1]Production!AF31+[1]Production!AF33+[1]Production!AF35</f>
        <v>226312.00367999999</v>
      </c>
      <c r="AH104" s="6">
        <f>[1]Production!AG29+[1]Production!AG31+[1]Production!AG33+[1]Production!AG35</f>
        <v>232907.99862</v>
      </c>
      <c r="AI104" s="6">
        <f>[1]Production!AH29+[1]Production!AH31+[1]Production!AH33+[1]Production!AH35</f>
        <v>239614.68238000001</v>
      </c>
      <c r="AJ104" s="6">
        <f>[1]Production!AI29+[1]Production!AI31+[1]Production!AI33+[1]Production!AI35</f>
        <v>246383.69592999999</v>
      </c>
      <c r="AK104" s="6">
        <f>[1]Production!AJ29+[1]Production!AJ31+[1]Production!AJ33+[1]Production!AJ35</f>
        <v>253168.07907999997</v>
      </c>
      <c r="AL104" s="6">
        <f>[1]Production!AK29+[1]Production!AK31+[1]Production!AK33+[1]Production!AK35</f>
        <v>259920.83822000003</v>
      </c>
    </row>
    <row r="105" spans="2:38" x14ac:dyDescent="0.35">
      <c r="B105" t="s">
        <v>10</v>
      </c>
      <c r="C105" s="6">
        <f>[1]Production!B37+[1]Production!B39</f>
        <v>2554097.9358999999</v>
      </c>
      <c r="D105" s="6">
        <f>[1]Production!C37+[1]Production!C39</f>
        <v>2594480.0007000002</v>
      </c>
      <c r="E105" s="6">
        <f>[1]Production!D37+[1]Production!D39</f>
        <v>2640429.9798999997</v>
      </c>
      <c r="F105" s="6">
        <f>[1]Production!E37+[1]Production!E39</f>
        <v>2690349.0085999998</v>
      </c>
      <c r="G105" s="6">
        <f>[1]Production!F37+[1]Production!F39</f>
        <v>2745354.8850000002</v>
      </c>
      <c r="H105" s="6">
        <f>[1]Production!G37+[1]Production!G39</f>
        <v>2804860.2779999999</v>
      </c>
      <c r="I105" s="6">
        <f>[1]Production!H37+[1]Production!H39</f>
        <v>2868113.4956999999</v>
      </c>
      <c r="J105" s="6">
        <f>[1]Production!I37+[1]Production!I39</f>
        <v>2934353.0632000002</v>
      </c>
      <c r="K105" s="6">
        <f>[1]Production!J37+[1]Production!J39</f>
        <v>3003032.1970000002</v>
      </c>
      <c r="L105" s="6">
        <f>[1]Production!K37+[1]Production!K39</f>
        <v>3073792.8455999997</v>
      </c>
      <c r="M105" s="6">
        <f>[1]Production!L37+[1]Production!L39</f>
        <v>3145117.9281000001</v>
      </c>
      <c r="N105" s="6">
        <f>[1]Production!M37+[1]Production!M39</f>
        <v>3210103.5639</v>
      </c>
      <c r="O105" s="6">
        <f>[1]Production!N37+[1]Production!N39</f>
        <v>3269509.5249000001</v>
      </c>
      <c r="P105" s="6">
        <f>[1]Production!O37+[1]Production!O39</f>
        <v>3324217.0920000002</v>
      </c>
      <c r="Q105" s="6">
        <f>[1]Production!P37+[1]Production!P39</f>
        <v>3375518.1988000004</v>
      </c>
      <c r="R105" s="6">
        <f>[1]Production!Q37+[1]Production!Q39</f>
        <v>3424814.1415999997</v>
      </c>
      <c r="S105" s="6">
        <f>[1]Production!R37+[1]Production!R39</f>
        <v>3473598.452</v>
      </c>
      <c r="T105" s="6">
        <f>[1]Production!S37+[1]Production!S39</f>
        <v>3523359.4855</v>
      </c>
      <c r="U105" s="6">
        <f>[1]Production!T37+[1]Production!T39</f>
        <v>3575406.5561999995</v>
      </c>
      <c r="V105" s="6">
        <f>[1]Production!U37+[1]Production!U39</f>
        <v>3630695.7053</v>
      </c>
      <c r="W105" s="6">
        <f>[1]Production!V37+[1]Production!V39</f>
        <v>3689620.0436999998</v>
      </c>
      <c r="X105" s="6">
        <f>[1]Production!W37+[1]Production!W39</f>
        <v>3753445.0185999996</v>
      </c>
      <c r="Y105" s="6">
        <f>[1]Production!X37+[1]Production!X39</f>
        <v>3822868.1853</v>
      </c>
      <c r="Z105" s="6">
        <f>[1]Production!Y37+[1]Production!Y39</f>
        <v>3898380.2469000001</v>
      </c>
      <c r="AA105" s="6">
        <f>[1]Production!Z37+[1]Production!Z39</f>
        <v>3980123.7702000001</v>
      </c>
      <c r="AB105" s="6">
        <f>[1]Production!AA37+[1]Production!AA39</f>
        <v>4066930.5774000003</v>
      </c>
      <c r="AC105" s="6">
        <f>[1]Production!AB37+[1]Production!AB39</f>
        <v>4158135.8359000003</v>
      </c>
      <c r="AD105" s="6">
        <f>[1]Production!AC37+[1]Production!AC39</f>
        <v>4254574.2943000002</v>
      </c>
      <c r="AE105" s="6">
        <f>[1]Production!AD37+[1]Production!AD39</f>
        <v>4356858.8591999998</v>
      </c>
      <c r="AF105" s="6">
        <f>[1]Production!AE37+[1]Production!AE39</f>
        <v>4464702.1734999996</v>
      </c>
      <c r="AG105" s="6">
        <f>[1]Production!AF37+[1]Production!AF39</f>
        <v>4577251.0351999998</v>
      </c>
      <c r="AH105" s="6">
        <f>[1]Production!AG37+[1]Production!AG39</f>
        <v>4693587.8037</v>
      </c>
      <c r="AI105" s="6">
        <f>[1]Production!AH37+[1]Production!AH39</f>
        <v>4812870.6024000002</v>
      </c>
      <c r="AJ105" s="6">
        <f>[1]Production!AI37+[1]Production!AI39</f>
        <v>4934259.9594000001</v>
      </c>
      <c r="AK105" s="6">
        <f>[1]Production!AJ37+[1]Production!AJ39</f>
        <v>5056894.4364</v>
      </c>
      <c r="AL105" s="6">
        <f>[1]Production!AK37+[1]Production!AK39</f>
        <v>5179884.1285999995</v>
      </c>
    </row>
    <row r="106" spans="2:38" x14ac:dyDescent="0.35">
      <c r="B106" t="s">
        <v>12</v>
      </c>
      <c r="C106" s="6">
        <f>[1]Production!B43+[1]Production!B47+[1]Production!B45+[1]Production!B49</f>
        <v>40215.292701999999</v>
      </c>
      <c r="D106" s="6">
        <f>[1]Production!C43+[1]Production!C47+[1]Production!C45+[1]Production!C49</f>
        <v>40538.420605300002</v>
      </c>
      <c r="E106" s="6">
        <f>[1]Production!D43+[1]Production!D47+[1]Production!D45+[1]Production!D49</f>
        <v>40861.268252499991</v>
      </c>
      <c r="F106" s="6">
        <f>[1]Production!E43+[1]Production!E47+[1]Production!E45+[1]Production!E49</f>
        <v>41203.092762399996</v>
      </c>
      <c r="G106" s="6">
        <f>[1]Production!F43+[1]Production!F47+[1]Production!F45+[1]Production!F49</f>
        <v>41674.430790900005</v>
      </c>
      <c r="H106" s="6">
        <f>[1]Production!G43+[1]Production!G47+[1]Production!G45+[1]Production!G49</f>
        <v>42263.572737400013</v>
      </c>
      <c r="I106" s="6">
        <f>[1]Production!H43+[1]Production!H47+[1]Production!H45+[1]Production!H49</f>
        <v>42994.447882600005</v>
      </c>
      <c r="J106" s="6">
        <f>[1]Production!I43+[1]Production!I47+[1]Production!I45+[1]Production!I49</f>
        <v>43816.966433000001</v>
      </c>
      <c r="K106" s="6">
        <f>[1]Production!J43+[1]Production!J47+[1]Production!J45+[1]Production!J49</f>
        <v>44709.2929325</v>
      </c>
      <c r="L106" s="6">
        <f>[1]Production!K43+[1]Production!K47+[1]Production!K45+[1]Production!K49</f>
        <v>45658.67250890001</v>
      </c>
      <c r="M106" s="6">
        <f>[1]Production!L43+[1]Production!L47+[1]Production!L45+[1]Production!L49</f>
        <v>46629.621170300001</v>
      </c>
      <c r="N106" s="6">
        <f>[1]Production!M43+[1]Production!M47+[1]Production!M45+[1]Production!M49</f>
        <v>47493.657237399995</v>
      </c>
      <c r="O106" s="6">
        <f>[1]Production!N43+[1]Production!N47+[1]Production!N45+[1]Production!N49</f>
        <v>48275.772930300001</v>
      </c>
      <c r="P106" s="6">
        <f>[1]Production!O43+[1]Production!O47+[1]Production!O45+[1]Production!O49</f>
        <v>48996.677092800004</v>
      </c>
      <c r="Q106" s="6">
        <f>[1]Production!P43+[1]Production!P47+[1]Production!P45+[1]Production!P49</f>
        <v>49677.4243088</v>
      </c>
      <c r="R106" s="6">
        <f>[1]Production!Q43+[1]Production!Q47+[1]Production!Q45+[1]Production!Q49</f>
        <v>50337.9814692</v>
      </c>
      <c r="S106" s="6">
        <f>[1]Production!R43+[1]Production!R47+[1]Production!R45+[1]Production!R49</f>
        <v>50986.543918399999</v>
      </c>
      <c r="T106" s="6">
        <f>[1]Production!S43+[1]Production!S47+[1]Production!S45+[1]Production!S49</f>
        <v>51657.4408062</v>
      </c>
      <c r="U106" s="6">
        <f>[1]Production!T43+[1]Production!T47+[1]Production!T45+[1]Production!T49</f>
        <v>52366.706970699997</v>
      </c>
      <c r="V106" s="6">
        <f>[1]Production!U43+[1]Production!U47+[1]Production!U45+[1]Production!U49</f>
        <v>53125.250910300005</v>
      </c>
      <c r="W106" s="6">
        <f>[1]Production!V43+[1]Production!V47+[1]Production!V45+[1]Production!V49</f>
        <v>53941.474929800002</v>
      </c>
      <c r="X106" s="6">
        <f>[1]Production!W43+[1]Production!W47+[1]Production!W45+[1]Production!W49</f>
        <v>54830.454294399999</v>
      </c>
      <c r="Y106" s="6">
        <f>[1]Production!X43+[1]Production!X47+[1]Production!X45+[1]Production!X49</f>
        <v>55805.443206400007</v>
      </c>
      <c r="Z106" s="6">
        <f>[1]Production!Y43+[1]Production!Y47+[1]Production!Y45+[1]Production!Y49</f>
        <v>56876.663218000002</v>
      </c>
      <c r="AA106" s="6">
        <f>[1]Production!Z43+[1]Production!Z47+[1]Production!Z45+[1]Production!Z49</f>
        <v>58049.863259200007</v>
      </c>
      <c r="AB106" s="6">
        <f>[1]Production!AA43+[1]Production!AA47+[1]Production!AA45+[1]Production!AA49</f>
        <v>59322.606728600003</v>
      </c>
      <c r="AC106" s="6">
        <f>[1]Production!AB43+[1]Production!AB47+[1]Production!AB45+[1]Production!AB49</f>
        <v>60565.944523100006</v>
      </c>
      <c r="AD106" s="6">
        <f>[1]Production!AC43+[1]Production!AC47+[1]Production!AC45+[1]Production!AC49</f>
        <v>61857.233052299998</v>
      </c>
      <c r="AE106" s="6">
        <f>[1]Production!AD43+[1]Production!AD47+[1]Production!AD45+[1]Production!AD49</f>
        <v>63236.028108999999</v>
      </c>
      <c r="AF106" s="6">
        <f>[1]Production!AE43+[1]Production!AE47+[1]Production!AE45+[1]Production!AE49</f>
        <v>64703.755389899998</v>
      </c>
      <c r="AG106" s="6">
        <f>[1]Production!AF43+[1]Production!AF47+[1]Production!AF45+[1]Production!AF49</f>
        <v>66246.090625700002</v>
      </c>
      <c r="AH106" s="6">
        <f>[1]Production!AG43+[1]Production!AG47+[1]Production!AG45+[1]Production!AG49</f>
        <v>67847.413337599995</v>
      </c>
      <c r="AI106" s="6">
        <f>[1]Production!AH43+[1]Production!AH47+[1]Production!AH45+[1]Production!AH49</f>
        <v>69494.169841700001</v>
      </c>
      <c r="AJ106" s="6">
        <f>[1]Production!AI43+[1]Production!AI47+[1]Production!AI45+[1]Production!AI49</f>
        <v>71173.268383800008</v>
      </c>
      <c r="AK106" s="6">
        <f>[1]Production!AJ43+[1]Production!AJ47+[1]Production!AJ45+[1]Production!AJ49</f>
        <v>72871.352114900001</v>
      </c>
      <c r="AL106" s="6">
        <f>[1]Production!AK43+[1]Production!AK47+[1]Production!AK45+[1]Production!AK49</f>
        <v>74574.491066099989</v>
      </c>
    </row>
    <row r="107" spans="2:38" x14ac:dyDescent="0.35">
      <c r="B107" t="s">
        <v>11</v>
      </c>
      <c r="C107" s="6">
        <f>[1]Production!B51+[1]Production!B53+[1]Production!B55+[1]Production!B57+[1]Production!B59+[1]Production!B61+[1]Production!B63+[1]Production!B65+[1]Production!B67</f>
        <v>67878.261227299998</v>
      </c>
      <c r="D107" s="6">
        <f>[1]Production!C51+[1]Production!C53+[1]Production!C55+[1]Production!C57+[1]Production!C59+[1]Production!C61+[1]Production!C63+[1]Production!C65+[1]Production!C67</f>
        <v>68830.453470299995</v>
      </c>
      <c r="E107" s="6">
        <f>[1]Production!D51+[1]Production!D53+[1]Production!D55+[1]Production!D57+[1]Production!D59+[1]Production!D61+[1]Production!D63+[1]Production!D65+[1]Production!D67</f>
        <v>69711.668577599994</v>
      </c>
      <c r="F107" s="6">
        <f>[1]Production!E51+[1]Production!E53+[1]Production!E55+[1]Production!E57+[1]Production!E59+[1]Production!E61+[1]Production!E63+[1]Production!E65+[1]Production!E67</f>
        <v>70648.303789199999</v>
      </c>
      <c r="G107" s="6">
        <f>[1]Production!F51+[1]Production!F53+[1]Production!F55+[1]Production!F57+[1]Production!F59+[1]Production!F61+[1]Production!F63+[1]Production!F65+[1]Production!F67</f>
        <v>71501.711950199984</v>
      </c>
      <c r="H107" s="6">
        <f>[1]Production!G51+[1]Production!G53+[1]Production!G55+[1]Production!G57+[1]Production!G59+[1]Production!G61+[1]Production!G63+[1]Production!G65+[1]Production!G67</f>
        <v>72385.806881500015</v>
      </c>
      <c r="I107" s="6">
        <f>[1]Production!H51+[1]Production!H53+[1]Production!H55+[1]Production!H57+[1]Production!H59+[1]Production!H61+[1]Production!H63+[1]Production!H65+[1]Production!H67</f>
        <v>75426.754601000008</v>
      </c>
      <c r="J107" s="6">
        <f>[1]Production!I51+[1]Production!I53+[1]Production!I55+[1]Production!I57+[1]Production!I59+[1]Production!I61+[1]Production!I63+[1]Production!I65+[1]Production!I67</f>
        <v>79100.574164199992</v>
      </c>
      <c r="K107" s="6">
        <f>[1]Production!J51+[1]Production!J53+[1]Production!J55+[1]Production!J57+[1]Production!J59+[1]Production!J61+[1]Production!J63+[1]Production!J65+[1]Production!J67</f>
        <v>83144.036128899999</v>
      </c>
      <c r="L107" s="6">
        <f>[1]Production!K51+[1]Production!K53+[1]Production!K55+[1]Production!K57+[1]Production!K59+[1]Production!K61+[1]Production!K63+[1]Production!K65+[1]Production!K67</f>
        <v>87528.769103300001</v>
      </c>
      <c r="M107" s="6">
        <f>[1]Production!L51+[1]Production!L53+[1]Production!L55+[1]Production!L57+[1]Production!L59+[1]Production!L61+[1]Production!L63+[1]Production!L65+[1]Production!L67</f>
        <v>92246.142805299998</v>
      </c>
      <c r="N107" s="6">
        <f>[1]Production!M51+[1]Production!M53+[1]Production!M55+[1]Production!M57+[1]Production!M59+[1]Production!M61+[1]Production!M63+[1]Production!M65+[1]Production!M67</f>
        <v>96031.28698460001</v>
      </c>
      <c r="O107" s="6">
        <f>[1]Production!N51+[1]Production!N53+[1]Production!N55+[1]Production!N57+[1]Production!N59+[1]Production!N61+[1]Production!N63+[1]Production!N65+[1]Production!N67</f>
        <v>99707.344681700008</v>
      </c>
      <c r="P107" s="6">
        <f>[1]Production!O51+[1]Production!O53+[1]Production!O55+[1]Production!O57+[1]Production!O59+[1]Production!O61+[1]Production!O63+[1]Production!O65+[1]Production!O67</f>
        <v>103485.34841900002</v>
      </c>
      <c r="Q107" s="6">
        <f>[1]Production!P51+[1]Production!P53+[1]Production!P55+[1]Production!P57+[1]Production!P59+[1]Production!P61+[1]Production!P63+[1]Production!P65+[1]Production!P67</f>
        <v>107455.8052589</v>
      </c>
      <c r="R107" s="6">
        <f>[1]Production!Q51+[1]Production!Q53+[1]Production!Q55+[1]Production!Q57+[1]Production!Q59+[1]Production!Q61+[1]Production!Q63+[1]Production!Q65+[1]Production!Q67</f>
        <v>111691.10637889999</v>
      </c>
      <c r="S107" s="6">
        <f>[1]Production!R51+[1]Production!R53+[1]Production!R55+[1]Production!R57+[1]Production!R59+[1]Production!R61+[1]Production!R63+[1]Production!R65+[1]Production!R67</f>
        <v>116472.62224880001</v>
      </c>
      <c r="T107" s="6">
        <f>[1]Production!S51+[1]Production!S53+[1]Production!S55+[1]Production!S57+[1]Production!S59+[1]Production!S61+[1]Production!S63+[1]Production!S65+[1]Production!S67</f>
        <v>121691.6594343</v>
      </c>
      <c r="U107" s="6">
        <f>[1]Production!T51+[1]Production!T53+[1]Production!T55+[1]Production!T57+[1]Production!T59+[1]Production!T61+[1]Production!T63+[1]Production!T65+[1]Production!T67</f>
        <v>127414.62809036</v>
      </c>
      <c r="V107" s="6">
        <f>[1]Production!U51+[1]Production!U53+[1]Production!U55+[1]Production!U57+[1]Production!U59+[1]Production!U61+[1]Production!U63+[1]Production!U65+[1]Production!U67</f>
        <v>133747.66990474</v>
      </c>
      <c r="W107" s="6">
        <f>[1]Production!V51+[1]Production!V53+[1]Production!V55+[1]Production!V57+[1]Production!V59+[1]Production!V61+[1]Production!V63+[1]Production!V65+[1]Production!V67</f>
        <v>140801.19312697</v>
      </c>
      <c r="X107" s="6">
        <f>[1]Production!W51+[1]Production!W53+[1]Production!W55+[1]Production!W57+[1]Production!W59+[1]Production!W61+[1]Production!W63+[1]Production!W65+[1]Production!W67</f>
        <v>148747.99472924997</v>
      </c>
      <c r="Y107" s="6">
        <f>[1]Production!X51+[1]Production!X53+[1]Production!X55+[1]Production!X57+[1]Production!X59+[1]Production!X61+[1]Production!X63+[1]Production!X65+[1]Production!X67</f>
        <v>157759.513603</v>
      </c>
      <c r="Z107" s="6">
        <f>[1]Production!Y51+[1]Production!Y53+[1]Production!Y55+[1]Production!Y57+[1]Production!Y59+[1]Production!Y61+[1]Production!Y63+[1]Production!Y65+[1]Production!Y67</f>
        <v>168027.07123480702</v>
      </c>
      <c r="AA107" s="6">
        <f>[1]Production!Z51+[1]Production!Z53+[1]Production!Z55+[1]Production!Z57+[1]Production!Z59+[1]Production!Z61+[1]Production!Z63+[1]Production!Z65+[1]Production!Z67</f>
        <v>179761.96654074802</v>
      </c>
      <c r="AB107" s="6">
        <f>[1]Production!AA51+[1]Production!AA53+[1]Production!AA55+[1]Production!AA57+[1]Production!AA59+[1]Production!AA61+[1]Production!AA63+[1]Production!AA65+[1]Production!AA67</f>
        <v>193148.35993987502</v>
      </c>
      <c r="AC107" s="6">
        <f>[1]Production!AB51+[1]Production!AB53+[1]Production!AB55+[1]Production!AB57+[1]Production!AB59+[1]Production!AB61+[1]Production!AB63+[1]Production!AB65+[1]Production!AB67</f>
        <v>199132.838103521</v>
      </c>
      <c r="AD107" s="6">
        <f>[1]Production!AC51+[1]Production!AC53+[1]Production!AC55+[1]Production!AC57+[1]Production!AC59+[1]Production!AC61+[1]Production!AC63+[1]Production!AC65+[1]Production!AC67</f>
        <v>203349.47231418701</v>
      </c>
      <c r="AE107" s="6">
        <f>[1]Production!AD51+[1]Production!AD53+[1]Production!AD55+[1]Production!AD57+[1]Production!AD59+[1]Production!AD61+[1]Production!AD63+[1]Production!AD65+[1]Production!AD67</f>
        <v>207556.36732994299</v>
      </c>
      <c r="AF107" s="6">
        <f>[1]Production!AE51+[1]Production!AE53+[1]Production!AE55+[1]Production!AE57+[1]Production!AE59+[1]Production!AE61+[1]Production!AE63+[1]Production!AE65+[1]Production!AE67</f>
        <v>212148.16886487004</v>
      </c>
      <c r="AG107" s="6">
        <f>[1]Production!AF51+[1]Production!AF53+[1]Production!AF55+[1]Production!AF57+[1]Production!AF59+[1]Production!AF61+[1]Production!AF63+[1]Production!AF65+[1]Production!AF67</f>
        <v>217105.277170716</v>
      </c>
      <c r="AH107" s="6">
        <f>[1]Production!AG51+[1]Production!AG53+[1]Production!AG55+[1]Production!AG57+[1]Production!AG59+[1]Production!AG61+[1]Production!AG63+[1]Production!AG65+[1]Production!AG67</f>
        <v>222314.891393745</v>
      </c>
      <c r="AI107" s="6">
        <f>[1]Production!AH51+[1]Production!AH53+[1]Production!AH55+[1]Production!AH57+[1]Production!AH59+[1]Production!AH61+[1]Production!AH63+[1]Production!AH65+[1]Production!AH67</f>
        <v>227665.17762006898</v>
      </c>
      <c r="AJ107" s="6">
        <f>[1]Production!AI51+[1]Production!AI53+[1]Production!AI55+[1]Production!AI57+[1]Production!AI59+[1]Production!AI61+[1]Production!AI63+[1]Production!AI65+[1]Production!AI67</f>
        <v>233062.92744674298</v>
      </c>
      <c r="AK107" s="6">
        <f>[1]Production!AJ51+[1]Production!AJ53+[1]Production!AJ55+[1]Production!AJ57+[1]Production!AJ59+[1]Production!AJ61+[1]Production!AJ63+[1]Production!AJ65+[1]Production!AJ67</f>
        <v>238433.60932779001</v>
      </c>
      <c r="AL107" s="6">
        <f>[1]Production!AK51+[1]Production!AK53+[1]Production!AK55+[1]Production!AK57+[1]Production!AK59+[1]Production!AK61+[1]Production!AK63+[1]Production!AK65+[1]Production!AK67</f>
        <v>243715.55182905099</v>
      </c>
    </row>
    <row r="109" spans="2:38" x14ac:dyDescent="0.35">
      <c r="B109" t="s">
        <v>26</v>
      </c>
      <c r="C109" s="2">
        <v>42005</v>
      </c>
      <c r="D109" s="2">
        <v>42370</v>
      </c>
      <c r="E109" s="2">
        <v>42736</v>
      </c>
      <c r="F109" s="2">
        <v>43101</v>
      </c>
      <c r="G109" s="2">
        <v>43466</v>
      </c>
      <c r="H109" s="2">
        <v>43831</v>
      </c>
      <c r="I109" s="2">
        <v>44197</v>
      </c>
      <c r="J109" s="2">
        <v>44562</v>
      </c>
      <c r="K109" s="2">
        <v>44927</v>
      </c>
      <c r="L109" s="2">
        <v>45292</v>
      </c>
      <c r="M109" s="2">
        <v>45658</v>
      </c>
      <c r="N109" s="2">
        <v>46023</v>
      </c>
      <c r="O109" s="2">
        <v>46388</v>
      </c>
      <c r="P109" s="2">
        <v>46753</v>
      </c>
      <c r="Q109" s="2">
        <v>47119</v>
      </c>
      <c r="R109" s="2">
        <v>47484</v>
      </c>
      <c r="S109" s="2">
        <v>47849</v>
      </c>
      <c r="T109" s="2">
        <v>48214</v>
      </c>
      <c r="U109" s="2">
        <v>48580</v>
      </c>
      <c r="V109" s="2">
        <v>48945</v>
      </c>
      <c r="W109" s="2">
        <v>49310</v>
      </c>
      <c r="X109" s="2">
        <v>49675</v>
      </c>
      <c r="Y109" s="2">
        <v>50041</v>
      </c>
      <c r="Z109" s="2">
        <v>50406</v>
      </c>
      <c r="AA109" s="2">
        <v>50771</v>
      </c>
      <c r="AB109" s="2">
        <v>51136</v>
      </c>
      <c r="AC109" s="2">
        <v>51502</v>
      </c>
      <c r="AD109" s="2">
        <v>51867</v>
      </c>
      <c r="AE109" s="2">
        <v>52232</v>
      </c>
      <c r="AF109" s="2">
        <v>52597</v>
      </c>
      <c r="AG109" s="2">
        <v>52963</v>
      </c>
      <c r="AH109" s="2">
        <v>53328</v>
      </c>
      <c r="AI109" s="2">
        <v>53693</v>
      </c>
      <c r="AJ109" s="2">
        <v>54058</v>
      </c>
      <c r="AK109" s="2">
        <v>54424</v>
      </c>
      <c r="AL109" s="2">
        <v>54789</v>
      </c>
    </row>
    <row r="110" spans="2:38" x14ac:dyDescent="0.35">
      <c r="B110" t="s">
        <v>7</v>
      </c>
      <c r="C110" s="6">
        <f>[1]Production!B4+[1]Production!B6</f>
        <v>88160.555833000006</v>
      </c>
      <c r="D110" s="6">
        <f>[1]Production!C4+[1]Production!C6</f>
        <v>89335.254863999988</v>
      </c>
      <c r="E110" s="6">
        <f>[1]Production!D4+[1]Production!D6</f>
        <v>90736.311731000009</v>
      </c>
      <c r="F110" s="6">
        <f>[1]Production!E4+[1]Production!E6</f>
        <v>92321.495410999996</v>
      </c>
      <c r="G110" s="6">
        <f>[1]Production!F4+[1]Production!F6</f>
        <v>94179.135737999997</v>
      </c>
      <c r="H110" s="6">
        <f>[1]Production!G4+[1]Production!G6</f>
        <v>96277.03022700001</v>
      </c>
      <c r="I110" s="6">
        <f>[1]Production!H4+[1]Production!H6</f>
        <v>98593.115047999992</v>
      </c>
      <c r="J110" s="6">
        <f>[1]Production!I4+[1]Production!I6</f>
        <v>100459.25469</v>
      </c>
      <c r="K110" s="6">
        <f>[1]Production!J4+[1]Production!J6</f>
        <v>102210.602564</v>
      </c>
      <c r="L110" s="6">
        <f>[1]Production!K4+[1]Production!K6</f>
        <v>104259.652187</v>
      </c>
      <c r="M110" s="6">
        <f>[1]Production!L4+[1]Production!L6</f>
        <v>106092.19389900001</v>
      </c>
      <c r="N110" s="6">
        <f>[1]Production!M4+[1]Production!M6</f>
        <v>107722.9026</v>
      </c>
      <c r="O110" s="6">
        <f>[1]Production!N4+[1]Production!N6</f>
        <v>109226.400179</v>
      </c>
      <c r="P110" s="6">
        <f>[1]Production!O4+[1]Production!O6</f>
        <v>110647.544744</v>
      </c>
      <c r="Q110" s="6">
        <f>[1]Production!P4+[1]Production!P6</f>
        <v>112035.827458</v>
      </c>
      <c r="R110" s="6">
        <f>[1]Production!Q4+[1]Production!Q6</f>
        <v>113412.49856399999</v>
      </c>
      <c r="S110" s="6">
        <f>[1]Production!R4+[1]Production!R6</f>
        <v>114818.37126199999</v>
      </c>
      <c r="T110" s="6">
        <f>[1]Production!S4+[1]Production!S6</f>
        <v>116232.888148</v>
      </c>
      <c r="U110" s="6">
        <f>[1]Production!T4+[1]Production!T6</f>
        <v>117704.93583</v>
      </c>
      <c r="V110" s="6">
        <f>[1]Production!U4+[1]Production!U6</f>
        <v>119288.60476</v>
      </c>
      <c r="W110" s="6">
        <f>[1]Production!V4+[1]Production!V6</f>
        <v>121006.894009</v>
      </c>
      <c r="X110" s="6">
        <f>[1]Production!W4+[1]Production!W6</f>
        <v>122958.05024899999</v>
      </c>
      <c r="Y110" s="6">
        <f>[1]Production!X4+[1]Production!X6</f>
        <v>125178.688968</v>
      </c>
      <c r="Z110" s="6">
        <f>[1]Production!Y4+[1]Production!Y6</f>
        <v>127686.04805500001</v>
      </c>
      <c r="AA110" s="6">
        <f>[1]Production!Z4+[1]Production!Z6</f>
        <v>130480.835827</v>
      </c>
      <c r="AB110" s="6">
        <f>[1]Production!AA4+[1]Production!AA6</f>
        <v>133509.22931200001</v>
      </c>
      <c r="AC110" s="6">
        <f>[1]Production!AB4+[1]Production!AB6</f>
        <v>136637.087375</v>
      </c>
      <c r="AD110" s="6">
        <f>[1]Production!AC4+[1]Production!AC6</f>
        <v>140023.73292499999</v>
      </c>
      <c r="AE110" s="6">
        <f>[1]Production!AD4+[1]Production!AD6</f>
        <v>143710.823561</v>
      </c>
      <c r="AF110" s="6">
        <f>[1]Production!AE4+[1]Production!AE6</f>
        <v>147677.12957200001</v>
      </c>
      <c r="AG110" s="6">
        <f>[1]Production!AF4+[1]Production!AF6</f>
        <v>151874.24877599999</v>
      </c>
      <c r="AH110" s="6">
        <f>[1]Production!AG4+[1]Production!AG6</f>
        <v>156270.922211</v>
      </c>
      <c r="AI110" s="6">
        <f>[1]Production!AH4+[1]Production!AH6</f>
        <v>160828.61971700002</v>
      </c>
      <c r="AJ110" s="6">
        <f>[1]Production!AI4+[1]Production!AI6</f>
        <v>165505.31800500001</v>
      </c>
      <c r="AK110" s="6">
        <f>[1]Production!AJ4+[1]Production!AJ6</f>
        <v>170257.76939599999</v>
      </c>
      <c r="AL110" s="6">
        <f>[1]Production!AK4+[1]Production!AK6</f>
        <v>175041.71434100001</v>
      </c>
    </row>
    <row r="111" spans="2:38" x14ac:dyDescent="0.35">
      <c r="B111" t="s">
        <v>8</v>
      </c>
      <c r="C111" s="6">
        <f>[1]Production!B8+[1]Production!B10+[1]Production!B12+[1]Production!B14+[1]Production!B16+[1]Production!B18+[1]Production!B20+[1]Production!B22+[1]Production!B24+[1]Production!B26+[1]Production!B40</f>
        <v>978079.01298800006</v>
      </c>
      <c r="D111" s="6">
        <f>[1]Production!C8+[1]Production!C10+[1]Production!C12+[1]Production!C14+[1]Production!C16+[1]Production!C18+[1]Production!C20+[1]Production!C22+[1]Production!C24+[1]Production!C26+[1]Production!C40</f>
        <v>999015.41455600003</v>
      </c>
      <c r="E111" s="6">
        <f>[1]Production!D8+[1]Production!D10+[1]Production!D12+[1]Production!D14+[1]Production!D16+[1]Production!D18+[1]Production!D20+[1]Production!D22+[1]Production!D24+[1]Production!D26+[1]Production!D40</f>
        <v>1022166.4629119999</v>
      </c>
      <c r="F111" s="6">
        <f>[1]Production!E8+[1]Production!E10+[1]Production!E12+[1]Production!E14+[1]Production!E16+[1]Production!E18+[1]Production!E20+[1]Production!E22+[1]Production!E24+[1]Production!E26+[1]Production!E40</f>
        <v>1046589.9132269999</v>
      </c>
      <c r="G111" s="6">
        <f>[1]Production!F8+[1]Production!F10+[1]Production!F12+[1]Production!F14+[1]Production!F16+[1]Production!F18+[1]Production!F20+[1]Production!F22+[1]Production!F24+[1]Production!F26+[1]Production!F40</f>
        <v>1072851.2282909998</v>
      </c>
      <c r="H111" s="6">
        <f>[1]Production!G8+[1]Production!G10+[1]Production!G12+[1]Production!G14+[1]Production!G16+[1]Production!G18+[1]Production!G20+[1]Production!G22+[1]Production!G24+[1]Production!G26+[1]Production!G40</f>
        <v>1100883.9617709999</v>
      </c>
      <c r="I111" s="6">
        <f>[1]Production!H8+[1]Production!H10+[1]Production!H12+[1]Production!H14+[1]Production!H16+[1]Production!H18+[1]Production!H20+[1]Production!H22+[1]Production!H24+[1]Production!H26+[1]Production!H40</f>
        <v>1130631.2054050001</v>
      </c>
      <c r="J111" s="6">
        <f>[1]Production!I8+[1]Production!I10+[1]Production!I12+[1]Production!I14+[1]Production!I16+[1]Production!I18+[1]Production!I20+[1]Production!I22+[1]Production!I24+[1]Production!I26+[1]Production!I40</f>
        <v>1155374.7572629999</v>
      </c>
      <c r="K111" s="6">
        <f>[1]Production!J8+[1]Production!J10+[1]Production!J12+[1]Production!J14+[1]Production!J16+[1]Production!J18+[1]Production!J20+[1]Production!J22+[1]Production!J24+[1]Production!J26+[1]Production!J40</f>
        <v>1179746.4817920001</v>
      </c>
      <c r="L111" s="6">
        <f>[1]Production!K8+[1]Production!K10+[1]Production!K12+[1]Production!K14+[1]Production!K16+[1]Production!K18+[1]Production!K20+[1]Production!K22+[1]Production!K24+[1]Production!K26+[1]Production!K40</f>
        <v>1210185.1817350001</v>
      </c>
      <c r="M111" s="6">
        <f>[1]Production!L8+[1]Production!L10+[1]Production!L12+[1]Production!L14+[1]Production!L16+[1]Production!L18+[1]Production!L20+[1]Production!L22+[1]Production!L24+[1]Production!L26+[1]Production!L40</f>
        <v>1238231.592646</v>
      </c>
      <c r="N111" s="6">
        <f>[1]Production!M8+[1]Production!M10+[1]Production!M12+[1]Production!M14+[1]Production!M16+[1]Production!M18+[1]Production!M20+[1]Production!M22+[1]Production!M24+[1]Production!M26+[1]Production!M40</f>
        <v>1262109.7551549999</v>
      </c>
      <c r="O111" s="6">
        <f>[1]Production!N8+[1]Production!N10+[1]Production!N12+[1]Production!N14+[1]Production!N16+[1]Production!N18+[1]Production!N20+[1]Production!N22+[1]Production!N24+[1]Production!N26+[1]Production!N40</f>
        <v>1283311.487897</v>
      </c>
      <c r="P111" s="6">
        <f>[1]Production!O8+[1]Production!O10+[1]Production!O12+[1]Production!O14+[1]Production!O16+[1]Production!O18+[1]Production!O20+[1]Production!O22+[1]Production!O24+[1]Production!O26+[1]Production!O40</f>
        <v>1303194.6534860001</v>
      </c>
      <c r="Q111" s="6">
        <f>[1]Production!P8+[1]Production!P10+[1]Production!P12+[1]Production!P14+[1]Production!P16+[1]Production!P18+[1]Production!P20+[1]Production!P22+[1]Production!P24+[1]Production!P26+[1]Production!P40</f>
        <v>1323164.8898309998</v>
      </c>
      <c r="R111" s="6">
        <f>[1]Production!Q8+[1]Production!Q10+[1]Production!Q12+[1]Production!Q14+[1]Production!Q16+[1]Production!Q18+[1]Production!Q20+[1]Production!Q22+[1]Production!Q24+[1]Production!Q26+[1]Production!Q40</f>
        <v>1343887.5373019997</v>
      </c>
      <c r="S111" s="6">
        <f>[1]Production!R8+[1]Production!R10+[1]Production!R12+[1]Production!R14+[1]Production!R16+[1]Production!R18+[1]Production!R20+[1]Production!R22+[1]Production!R24+[1]Production!R26+[1]Production!R40</f>
        <v>1365043.0897899999</v>
      </c>
      <c r="T111" s="6">
        <f>[1]Production!S8+[1]Production!S10+[1]Production!S12+[1]Production!S14+[1]Production!S16+[1]Production!S18+[1]Production!S20+[1]Production!S22+[1]Production!S24+[1]Production!S26+[1]Production!S40</f>
        <v>1387355.227247</v>
      </c>
      <c r="U111" s="6">
        <f>[1]Production!T8+[1]Production!T10+[1]Production!T12+[1]Production!T14+[1]Production!T16+[1]Production!T18+[1]Production!T20+[1]Production!T22+[1]Production!T24+[1]Production!T26+[1]Production!T40</f>
        <v>1411376.6213089998</v>
      </c>
      <c r="V111" s="6">
        <f>[1]Production!U8+[1]Production!U10+[1]Production!U12+[1]Production!U14+[1]Production!U16+[1]Production!U18+[1]Production!U20+[1]Production!U22+[1]Production!U24+[1]Production!U26+[1]Production!U40</f>
        <v>1437595.0334379999</v>
      </c>
      <c r="W111" s="6">
        <f>[1]Production!V8+[1]Production!V10+[1]Production!V12+[1]Production!V14+[1]Production!V16+[1]Production!V18+[1]Production!V20+[1]Production!V22+[1]Production!V24+[1]Production!V26+[1]Production!V40</f>
        <v>1466242.219887</v>
      </c>
      <c r="X111" s="6">
        <f>[1]Production!W8+[1]Production!W10+[1]Production!W12+[1]Production!W14+[1]Production!W16+[1]Production!W18+[1]Production!W20+[1]Production!W22+[1]Production!W24+[1]Production!W26+[1]Production!W40</f>
        <v>1498182.7554780003</v>
      </c>
      <c r="Y111" s="6">
        <f>[1]Production!X8+[1]Production!X10+[1]Production!X12+[1]Production!X14+[1]Production!X16+[1]Production!X18+[1]Production!X20+[1]Production!X22+[1]Production!X24+[1]Production!X26+[1]Production!X40</f>
        <v>1533817.804801</v>
      </c>
      <c r="Z111" s="6">
        <f>[1]Production!Y8+[1]Production!Y10+[1]Production!Y12+[1]Production!Y14+[1]Production!Y16+[1]Production!Y18+[1]Production!Y20+[1]Production!Y22+[1]Production!Y24+[1]Production!Y26+[1]Production!Y40</f>
        <v>1573309.0073850001</v>
      </c>
      <c r="AA111" s="6">
        <f>[1]Production!Z8+[1]Production!Z10+[1]Production!Z12+[1]Production!Z14+[1]Production!Z16+[1]Production!Z18+[1]Production!Z20+[1]Production!Z22+[1]Production!Z24+[1]Production!Z26+[1]Production!Z40</f>
        <v>1616605.3007700003</v>
      </c>
      <c r="AB111" s="6">
        <f>[1]Production!AA8+[1]Production!AA10+[1]Production!AA12+[1]Production!AA14+[1]Production!AA16+[1]Production!AA18+[1]Production!AA20+[1]Production!AA22+[1]Production!AA24+[1]Production!AA26+[1]Production!AA40</f>
        <v>1663323.33577</v>
      </c>
      <c r="AC111" s="6">
        <f>[1]Production!AB8+[1]Production!AB10+[1]Production!AB12+[1]Production!AB14+[1]Production!AB16+[1]Production!AB18+[1]Production!AB20+[1]Production!AB22+[1]Production!AB24+[1]Production!AB26+[1]Production!AB40</f>
        <v>1712957.2615289998</v>
      </c>
      <c r="AD111" s="6">
        <f>[1]Production!AC8+[1]Production!AC10+[1]Production!AC12+[1]Production!AC14+[1]Production!AC16+[1]Production!AC18+[1]Production!AC20+[1]Production!AC22+[1]Production!AC24+[1]Production!AC26+[1]Production!AC40</f>
        <v>1765755.2499960002</v>
      </c>
      <c r="AE111" s="6">
        <f>[1]Production!AD8+[1]Production!AD10+[1]Production!AD12+[1]Production!AD14+[1]Production!AD16+[1]Production!AD18+[1]Production!AD20+[1]Production!AD22+[1]Production!AD24+[1]Production!AD26+[1]Production!AD40</f>
        <v>1821849.5489380001</v>
      </c>
      <c r="AF111" s="6">
        <f>[1]Production!AE8+[1]Production!AE10+[1]Production!AE12+[1]Production!AE14+[1]Production!AE16+[1]Production!AE18+[1]Production!AE20+[1]Production!AE22+[1]Production!AE24+[1]Production!AE26+[1]Production!AE40</f>
        <v>1880828.992297</v>
      </c>
      <c r="AG111" s="6">
        <f>[1]Production!AF8+[1]Production!AF10+[1]Production!AF12+[1]Production!AF14+[1]Production!AF16+[1]Production!AF18+[1]Production!AF20+[1]Production!AF22+[1]Production!AF24+[1]Production!AF26+[1]Production!AF40</f>
        <v>1942031.8408030001</v>
      </c>
      <c r="AH111" s="6">
        <f>[1]Production!AG8+[1]Production!AG10+[1]Production!AG12+[1]Production!AG14+[1]Production!AG16+[1]Production!AG18+[1]Production!AG20+[1]Production!AG22+[1]Production!AG24+[1]Production!AG26+[1]Production!AG40</f>
        <v>2005083.535438</v>
      </c>
      <c r="AI111" s="6">
        <f>[1]Production!AH8+[1]Production!AH10+[1]Production!AH12+[1]Production!AH14+[1]Production!AH16+[1]Production!AH18+[1]Production!AH20+[1]Production!AH22+[1]Production!AH24+[1]Production!AH26+[1]Production!AH40</f>
        <v>2069595.3876160001</v>
      </c>
      <c r="AJ111" s="6">
        <f>[1]Production!AI8+[1]Production!AI10+[1]Production!AI12+[1]Production!AI14+[1]Production!AI16+[1]Production!AI18+[1]Production!AI20+[1]Production!AI22+[1]Production!AI24+[1]Production!AI26+[1]Production!AI40</f>
        <v>2135138.1403379999</v>
      </c>
      <c r="AK111" s="6">
        <f>[1]Production!AJ8+[1]Production!AJ10+[1]Production!AJ12+[1]Production!AJ14+[1]Production!AJ16+[1]Production!AJ18+[1]Production!AJ20+[1]Production!AJ22+[1]Production!AJ24+[1]Production!AJ26+[1]Production!AJ40</f>
        <v>2201283.0852199998</v>
      </c>
      <c r="AL111" s="6">
        <f>[1]Production!AK8+[1]Production!AK10+[1]Production!AK12+[1]Production!AK14+[1]Production!AK16+[1]Production!AK18+[1]Production!AK20+[1]Production!AK22+[1]Production!AK24+[1]Production!AK26+[1]Production!AK40</f>
        <v>2267602.2567690001</v>
      </c>
    </row>
    <row r="112" spans="2:38" x14ac:dyDescent="0.35">
      <c r="B112" t="s">
        <v>9</v>
      </c>
      <c r="C112" s="6">
        <f>[1]Production!B28+[1]Production!B30+[1]Production!B32+[1]Production!B34</f>
        <v>120840.86278099999</v>
      </c>
      <c r="D112" s="6">
        <f>[1]Production!C28+[1]Production!C30+[1]Production!C32+[1]Production!C34</f>
        <v>123243.318027</v>
      </c>
      <c r="E112" s="6">
        <f>[1]Production!D28+[1]Production!D30+[1]Production!D32+[1]Production!D34</f>
        <v>125780.035374</v>
      </c>
      <c r="F112" s="6">
        <f>[1]Production!E28+[1]Production!E30+[1]Production!E32+[1]Production!E34</f>
        <v>128390.50016199998</v>
      </c>
      <c r="G112" s="6">
        <f>[1]Production!F28+[1]Production!F30+[1]Production!F32+[1]Production!F34</f>
        <v>131212.01995800002</v>
      </c>
      <c r="H112" s="6">
        <f>[1]Production!G28+[1]Production!G30+[1]Production!G32+[1]Production!G34</f>
        <v>134253.615789</v>
      </c>
      <c r="I112" s="6">
        <f>[1]Production!H28+[1]Production!H30+[1]Production!H32+[1]Production!H34</f>
        <v>137489.98702500001</v>
      </c>
      <c r="J112" s="6">
        <f>[1]Production!I28+[1]Production!I30+[1]Production!I32+[1]Production!I34</f>
        <v>139995.348642</v>
      </c>
      <c r="K112" s="6">
        <f>[1]Production!J28+[1]Production!J30+[1]Production!J32+[1]Production!J34</f>
        <v>142337.847209</v>
      </c>
      <c r="L112" s="6">
        <f>[1]Production!K28+[1]Production!K30+[1]Production!K32+[1]Production!K34</f>
        <v>145223.11826300001</v>
      </c>
      <c r="M112" s="6">
        <f>[1]Production!L28+[1]Production!L30+[1]Production!L32+[1]Production!L34</f>
        <v>147577.14519000001</v>
      </c>
      <c r="N112" s="6">
        <f>[1]Production!M28+[1]Production!M30+[1]Production!M32+[1]Production!M34</f>
        <v>149400.12164</v>
      </c>
      <c r="O112" s="6">
        <f>[1]Production!N28+[1]Production!N30+[1]Production!N32+[1]Production!N34</f>
        <v>150937.19862500002</v>
      </c>
      <c r="P112" s="6">
        <f>[1]Production!O28+[1]Production!O30+[1]Production!O32+[1]Production!O34</f>
        <v>152334.79753700001</v>
      </c>
      <c r="Q112" s="6">
        <f>[1]Production!P28+[1]Production!P30+[1]Production!P32+[1]Production!P34</f>
        <v>153726.28505499999</v>
      </c>
      <c r="R112" s="6">
        <f>[1]Production!Q28+[1]Production!Q30+[1]Production!Q32+[1]Production!Q34</f>
        <v>155162.99935600001</v>
      </c>
      <c r="S112" s="6">
        <f>[1]Production!R28+[1]Production!R30+[1]Production!R32+[1]Production!R34</f>
        <v>156615.85968299999</v>
      </c>
      <c r="T112" s="6">
        <f>[1]Production!S28+[1]Production!S30+[1]Production!S32+[1]Production!S34</f>
        <v>158122.866048</v>
      </c>
      <c r="U112" s="6">
        <f>[1]Production!T28+[1]Production!T30+[1]Production!T32+[1]Production!T34</f>
        <v>159755.73573300001</v>
      </c>
      <c r="V112" s="6">
        <f>[1]Production!U28+[1]Production!U30+[1]Production!U32+[1]Production!U34</f>
        <v>161595.54929599998</v>
      </c>
      <c r="W112" s="6">
        <f>[1]Production!V28+[1]Production!V30+[1]Production!V32+[1]Production!V34</f>
        <v>163673.92178199999</v>
      </c>
      <c r="X112" s="6">
        <f>[1]Production!W28+[1]Production!W30+[1]Production!W32+[1]Production!W34</f>
        <v>166116.913611</v>
      </c>
      <c r="Y112" s="6">
        <f>[1]Production!X28+[1]Production!X30+[1]Production!X32+[1]Production!X34</f>
        <v>168974.91707599998</v>
      </c>
      <c r="Z112" s="6">
        <f>[1]Production!Y28+[1]Production!Y30+[1]Production!Y32+[1]Production!Y34</f>
        <v>172263.08329099999</v>
      </c>
      <c r="AA112" s="6">
        <f>[1]Production!Z28+[1]Production!Z30+[1]Production!Z32+[1]Production!Z34</f>
        <v>175971.70077400003</v>
      </c>
      <c r="AB112" s="6">
        <f>[1]Production!AA28+[1]Production!AA30+[1]Production!AA32+[1]Production!AA34</f>
        <v>180050.87887700001</v>
      </c>
      <c r="AC112" s="6">
        <f>[1]Production!AB28+[1]Production!AB30+[1]Production!AB32+[1]Production!AB34</f>
        <v>184547.52394999997</v>
      </c>
      <c r="AD112" s="6">
        <f>[1]Production!AC28+[1]Production!AC30+[1]Production!AC32+[1]Production!AC34</f>
        <v>189517.27140999999</v>
      </c>
      <c r="AE112" s="6">
        <f>[1]Production!AD28+[1]Production!AD30+[1]Production!AD32+[1]Production!AD34</f>
        <v>194968.65398999999</v>
      </c>
      <c r="AF112" s="6">
        <f>[1]Production!AE28+[1]Production!AE30+[1]Production!AE32+[1]Production!AE34</f>
        <v>200843.19584999999</v>
      </c>
      <c r="AG112" s="6">
        <f>[1]Production!AF28+[1]Production!AF30+[1]Production!AF32+[1]Production!AF34</f>
        <v>207055.51874999999</v>
      </c>
      <c r="AH112" s="6">
        <f>[1]Production!AG28+[1]Production!AG30+[1]Production!AG32+[1]Production!AG34</f>
        <v>213562.44471000001</v>
      </c>
      <c r="AI112" s="6">
        <f>[1]Production!AH28+[1]Production!AH30+[1]Production!AH32+[1]Production!AH34</f>
        <v>220313.18185999995</v>
      </c>
      <c r="AJ112" s="6">
        <f>[1]Production!AI28+[1]Production!AI30+[1]Production!AI32+[1]Production!AI34</f>
        <v>227246.40957000002</v>
      </c>
      <c r="AK112" s="6">
        <f>[1]Production!AJ28+[1]Production!AJ30+[1]Production!AJ32+[1]Production!AJ34</f>
        <v>234297.2078</v>
      </c>
      <c r="AL112" s="6">
        <f>[1]Production!AK28+[1]Production!AK30+[1]Production!AK32+[1]Production!AK34</f>
        <v>241398.88772</v>
      </c>
    </row>
    <row r="113" spans="2:38" x14ac:dyDescent="0.35">
      <c r="B113" t="s">
        <v>10</v>
      </c>
      <c r="C113" s="6">
        <f>[1]Production!B36+[1]Production!B38</f>
        <v>2554097.9358999999</v>
      </c>
      <c r="D113" s="6">
        <f>[1]Production!C36+[1]Production!C38</f>
        <v>2594480.0007000002</v>
      </c>
      <c r="E113" s="6">
        <f>[1]Production!D36+[1]Production!D38</f>
        <v>2640429.9789</v>
      </c>
      <c r="F113" s="6">
        <f>[1]Production!E36+[1]Production!E38</f>
        <v>2690349.0085</v>
      </c>
      <c r="G113" s="6">
        <f>[1]Production!F36+[1]Production!F38</f>
        <v>2745354.8848999999</v>
      </c>
      <c r="H113" s="6">
        <f>[1]Production!G36+[1]Production!G38</f>
        <v>2804860.2769999998</v>
      </c>
      <c r="I113" s="6">
        <f>[1]Production!H36+[1]Production!H38</f>
        <v>2868113.4946999997</v>
      </c>
      <c r="J113" s="6">
        <f>[1]Production!I36+[1]Production!I38</f>
        <v>2924412.1739000003</v>
      </c>
      <c r="K113" s="6">
        <f>[1]Production!J36+[1]Production!J38</f>
        <v>2978479.6137999999</v>
      </c>
      <c r="L113" s="6">
        <f>[1]Production!K36+[1]Production!K38</f>
        <v>3039785.7083000001</v>
      </c>
      <c r="M113" s="6">
        <f>[1]Production!L36+[1]Production!L38</f>
        <v>3098705.9208999998</v>
      </c>
      <c r="N113" s="6">
        <f>[1]Production!M36+[1]Production!M38</f>
        <v>3154038.0895000002</v>
      </c>
      <c r="O113" s="6">
        <f>[1]Production!N36+[1]Production!N38</f>
        <v>3206554.0530999997</v>
      </c>
      <c r="P113" s="6">
        <f>[1]Production!O36+[1]Production!O38</f>
        <v>3256654.8710000003</v>
      </c>
      <c r="Q113" s="6">
        <f>[1]Production!P36+[1]Production!P38</f>
        <v>3305196.4787000003</v>
      </c>
      <c r="R113" s="6">
        <f>[1]Production!Q36+[1]Production!Q38</f>
        <v>3352709.3380999998</v>
      </c>
      <c r="S113" s="6">
        <f>[1]Production!R36+[1]Production!R38</f>
        <v>3398505.9331</v>
      </c>
      <c r="T113" s="6">
        <f>[1]Production!S36+[1]Production!S38</f>
        <v>3443929.2489999998</v>
      </c>
      <c r="U113" s="6">
        <f>[1]Production!T36+[1]Production!T38</f>
        <v>3490381.3794</v>
      </c>
      <c r="V113" s="6">
        <f>[1]Production!U36+[1]Production!U38</f>
        <v>3539267.0280999998</v>
      </c>
      <c r="W113" s="6">
        <f>[1]Production!V36+[1]Production!V38</f>
        <v>3591096.9067000002</v>
      </c>
      <c r="X113" s="6">
        <f>[1]Production!W36+[1]Production!W38</f>
        <v>3647979.09</v>
      </c>
      <c r="Y113" s="6">
        <f>[1]Production!X36+[1]Production!X38</f>
        <v>3710633.3252000003</v>
      </c>
      <c r="Z113" s="6">
        <f>[1]Production!Y36+[1]Production!Y38</f>
        <v>3779427.5309000001</v>
      </c>
      <c r="AA113" s="6">
        <f>[1]Production!Z36+[1]Production!Z38</f>
        <v>3854401.8241999997</v>
      </c>
      <c r="AB113" s="6">
        <f>[1]Production!AA36+[1]Production!AA38</f>
        <v>3934308.4988000002</v>
      </c>
      <c r="AC113" s="6">
        <f>[1]Production!AB36+[1]Production!AB38</f>
        <v>4019239.5361000001</v>
      </c>
      <c r="AD113" s="6">
        <f>[1]Production!AC36+[1]Production!AC38</f>
        <v>4109923.3046999997</v>
      </c>
      <c r="AE113" s="6">
        <f>[1]Production!AD36+[1]Production!AD38</f>
        <v>4206851.2659999998</v>
      </c>
      <c r="AF113" s="6">
        <f>[1]Production!AE36+[1]Production!AE38</f>
        <v>4309678.8946000002</v>
      </c>
      <c r="AG113" s="6">
        <f>[1]Production!AF36+[1]Production!AF38</f>
        <v>4417535.9539000001</v>
      </c>
      <c r="AH113" s="6">
        <f>[1]Production!AG36+[1]Production!AG38</f>
        <v>4529828.1432999996</v>
      </c>
      <c r="AI113" s="6">
        <f>[1]Production!AH36+[1]Production!AH38</f>
        <v>4645737.4177999999</v>
      </c>
      <c r="AJ113" s="6">
        <f>[1]Production!AI36+[1]Production!AI38</f>
        <v>4764396.0089999996</v>
      </c>
      <c r="AK113" s="6">
        <f>[1]Production!AJ36+[1]Production!AJ38</f>
        <v>4884925.6962000001</v>
      </c>
      <c r="AL113" s="6">
        <f>[1]Production!AK36+[1]Production!AK38</f>
        <v>5006425.1451000003</v>
      </c>
    </row>
    <row r="114" spans="2:38" x14ac:dyDescent="0.35">
      <c r="B114" t="s">
        <v>12</v>
      </c>
      <c r="C114" s="6">
        <f>[1]Production!B42+[1]Production!B46+[1]Production!B44+[1]Production!B48</f>
        <v>40215.292700099999</v>
      </c>
      <c r="D114" s="6">
        <f>[1]Production!C42+[1]Production!C46+[1]Production!C44+[1]Production!C48</f>
        <v>40538.4206012</v>
      </c>
      <c r="E114" s="6">
        <f>[1]Production!D42+[1]Production!D46+[1]Production!D44+[1]Production!D48</f>
        <v>40861.268245400002</v>
      </c>
      <c r="F114" s="6">
        <f>[1]Production!E42+[1]Production!E46+[1]Production!E44+[1]Production!E48</f>
        <v>41203.0927419</v>
      </c>
      <c r="G114" s="6">
        <f>[1]Production!F42+[1]Production!F46+[1]Production!F44+[1]Production!F48</f>
        <v>41674.430777599999</v>
      </c>
      <c r="H114" s="6">
        <f>[1]Production!G42+[1]Production!G46+[1]Production!G44+[1]Production!G48</f>
        <v>42263.572711599998</v>
      </c>
      <c r="I114" s="6">
        <f>[1]Production!H42+[1]Production!H46+[1]Production!H44+[1]Production!H48</f>
        <v>42994.4478523</v>
      </c>
      <c r="J114" s="6">
        <f>[1]Production!I42+[1]Production!I46+[1]Production!I44+[1]Production!I48</f>
        <v>43605.532645000007</v>
      </c>
      <c r="K114" s="6">
        <f>[1]Production!J42+[1]Production!J46+[1]Production!J44+[1]Production!J48</f>
        <v>44126.621228299999</v>
      </c>
      <c r="L114" s="6">
        <f>[1]Production!K42+[1]Production!K46+[1]Production!K44+[1]Production!K48</f>
        <v>44701.757762299996</v>
      </c>
      <c r="M114" s="6">
        <f>[1]Production!L42+[1]Production!L46+[1]Production!L44+[1]Production!L48</f>
        <v>45118.111966800003</v>
      </c>
      <c r="N114" s="6">
        <f>[1]Production!M42+[1]Production!M46+[1]Production!M44+[1]Production!M48</f>
        <v>45502.1723642</v>
      </c>
      <c r="O114" s="6">
        <f>[1]Production!N42+[1]Production!N46+[1]Production!N44+[1]Production!N48</f>
        <v>45878.037204699998</v>
      </c>
      <c r="P114" s="6">
        <f>[1]Production!O42+[1]Production!O46+[1]Production!O44+[1]Production!O48</f>
        <v>46264.430642300009</v>
      </c>
      <c r="Q114" s="6">
        <f>[1]Production!P42+[1]Production!P46+[1]Production!P44+[1]Production!P48</f>
        <v>46679.844197299994</v>
      </c>
      <c r="R114" s="6">
        <f>[1]Production!Q42+[1]Production!Q46+[1]Production!Q44+[1]Production!Q48</f>
        <v>47127.1662517</v>
      </c>
      <c r="S114" s="6">
        <f>[1]Production!R42+[1]Production!R46+[1]Production!R44+[1]Production!R48</f>
        <v>47533.145767900001</v>
      </c>
      <c r="T114" s="6">
        <f>[1]Production!S42+[1]Production!S46+[1]Production!S44+[1]Production!S48</f>
        <v>47952.593177200004</v>
      </c>
      <c r="U114" s="6">
        <f>[1]Production!T42+[1]Production!T46+[1]Production!T44+[1]Production!T48</f>
        <v>48487.98133319999</v>
      </c>
      <c r="V114" s="6">
        <f>[1]Production!U42+[1]Production!U46+[1]Production!U44+[1]Production!U48</f>
        <v>49339.218247599994</v>
      </c>
      <c r="W114" s="6">
        <f>[1]Production!V42+[1]Production!V46+[1]Production!V44+[1]Production!V48</f>
        <v>50333.556922099997</v>
      </c>
      <c r="X114" s="6">
        <f>[1]Production!W42+[1]Production!W46+[1]Production!W44+[1]Production!W48</f>
        <v>51487.681834000003</v>
      </c>
      <c r="Y114" s="6">
        <f>[1]Production!X42+[1]Production!X46+[1]Production!X44+[1]Production!X48</f>
        <v>52816.147204400004</v>
      </c>
      <c r="Z114" s="6">
        <f>[1]Production!Y42+[1]Production!Y46+[1]Production!Y44+[1]Production!Y48</f>
        <v>54331.745712600001</v>
      </c>
      <c r="AA114" s="6">
        <f>[1]Production!Z42+[1]Production!Z46+[1]Production!Z44+[1]Production!Z48</f>
        <v>56042.940777000003</v>
      </c>
      <c r="AB114" s="6">
        <f>[1]Production!AA42+[1]Production!AA46+[1]Production!AA44+[1]Production!AA48</f>
        <v>57948.6217894</v>
      </c>
      <c r="AC114" s="6">
        <f>[1]Production!AB42+[1]Production!AB46+[1]Production!AB44+[1]Production!AB48</f>
        <v>59956.384696300003</v>
      </c>
      <c r="AD114" s="6">
        <f>[1]Production!AC42+[1]Production!AC46+[1]Production!AC44+[1]Production!AC48</f>
        <v>62131.523884000002</v>
      </c>
      <c r="AE114" s="6">
        <f>[1]Production!AD42+[1]Production!AD46+[1]Production!AD44+[1]Production!AD48</f>
        <v>64505.100876299999</v>
      </c>
      <c r="AF114" s="6">
        <f>[1]Production!AE42+[1]Production!AE46+[1]Production!AE44+[1]Production!AE48</f>
        <v>67069.030216800005</v>
      </c>
      <c r="AG114" s="6">
        <f>[1]Production!AF42+[1]Production!AF46+[1]Production!AF44+[1]Production!AF48</f>
        <v>69798.091407999993</v>
      </c>
      <c r="AH114" s="6">
        <f>[1]Production!AG42+[1]Production!AG46+[1]Production!AG44+[1]Production!AG48</f>
        <v>72674.837558700005</v>
      </c>
      <c r="AI114" s="6">
        <f>[1]Production!AH42+[1]Production!AH46+[1]Production!AH44+[1]Production!AH48</f>
        <v>75673.656212299989</v>
      </c>
      <c r="AJ114" s="6">
        <f>[1]Production!AI42+[1]Production!AI46+[1]Production!AI44+[1]Production!AI48</f>
        <v>78764.2398235</v>
      </c>
      <c r="AK114" s="6">
        <f>[1]Production!AJ42+[1]Production!AJ46+[1]Production!AJ44+[1]Production!AJ48</f>
        <v>81913.702577299991</v>
      </c>
      <c r="AL114" s="6">
        <f>[1]Production!AK42+[1]Production!AK46+[1]Production!AK44+[1]Production!AK48</f>
        <v>85087.917858100001</v>
      </c>
    </row>
    <row r="115" spans="2:38" x14ac:dyDescent="0.35">
      <c r="B115" t="s">
        <v>11</v>
      </c>
      <c r="C115" s="6">
        <f>[1]Production!B50+[1]Production!B52+[1]Production!B54+[1]Production!B56+[1]Production!B58+[1]Production!B60+[1]Production!B62+[1]Production!B64+[1]Production!B66</f>
        <v>67878.26123850001</v>
      </c>
      <c r="D115" s="6">
        <f>[1]Production!C50+[1]Production!C52+[1]Production!C54+[1]Production!C56+[1]Production!C58+[1]Production!C60+[1]Production!C62+[1]Production!C64+[1]Production!C66</f>
        <v>68830.453477499992</v>
      </c>
      <c r="E115" s="6">
        <f>[1]Production!D50+[1]Production!D52+[1]Production!D54+[1]Production!D56+[1]Production!D58+[1]Production!D60+[1]Production!D62+[1]Production!D64+[1]Production!D66</f>
        <v>69711.668571699993</v>
      </c>
      <c r="F115" s="6">
        <f>[1]Production!E50+[1]Production!E52+[1]Production!E54+[1]Production!E56+[1]Production!E58+[1]Production!E60+[1]Production!E62+[1]Production!E64+[1]Production!E66</f>
        <v>70648.303777399997</v>
      </c>
      <c r="G115" s="6">
        <f>[1]Production!F50+[1]Production!F52+[1]Production!F54+[1]Production!F56+[1]Production!F58+[1]Production!F60+[1]Production!F62+[1]Production!F64+[1]Production!F66</f>
        <v>71501.711935199986</v>
      </c>
      <c r="H115" s="6">
        <f>[1]Production!G50+[1]Production!G52+[1]Production!G54+[1]Production!G56+[1]Production!G58+[1]Production!G60+[1]Production!G62+[1]Production!G64+[1]Production!G66</f>
        <v>72385.806849400018</v>
      </c>
      <c r="I115" s="6">
        <f>[1]Production!H50+[1]Production!H52+[1]Production!H54+[1]Production!H56+[1]Production!H58+[1]Production!H60+[1]Production!H62+[1]Production!H64+[1]Production!H66</f>
        <v>75426.754569700002</v>
      </c>
      <c r="J115" s="6">
        <f>[1]Production!I50+[1]Production!I52+[1]Production!I54+[1]Production!I56+[1]Production!I58+[1]Production!I60+[1]Production!I62+[1]Production!I64+[1]Production!I66</f>
        <v>79213.305420200006</v>
      </c>
      <c r="K115" s="6">
        <f>[1]Production!J50+[1]Production!J52+[1]Production!J54+[1]Production!J56+[1]Production!J58+[1]Production!J60+[1]Production!J62+[1]Production!J64+[1]Production!J66</f>
        <v>83492.930363599997</v>
      </c>
      <c r="L115" s="6">
        <f>[1]Production!K50+[1]Production!K52+[1]Production!K54+[1]Production!K56+[1]Production!K58+[1]Production!K60+[1]Production!K62+[1]Production!K64+[1]Production!K66</f>
        <v>88537.881516499998</v>
      </c>
      <c r="M115" s="6">
        <f>[1]Production!L50+[1]Production!L52+[1]Production!L54+[1]Production!L56+[1]Production!L58+[1]Production!L60+[1]Production!L62+[1]Production!L64+[1]Production!L66</f>
        <v>94055.418405299992</v>
      </c>
      <c r="N115" s="6">
        <f>[1]Production!M50+[1]Production!M52+[1]Production!M54+[1]Production!M56+[1]Production!M58+[1]Production!M60+[1]Production!M62+[1]Production!M64+[1]Production!M66</f>
        <v>97991.118430800008</v>
      </c>
      <c r="O115" s="6">
        <f>[1]Production!N50+[1]Production!N52+[1]Production!N54+[1]Production!N56+[1]Production!N58+[1]Production!N60+[1]Production!N62+[1]Production!N64+[1]Production!N66</f>
        <v>101492.4887881</v>
      </c>
      <c r="P115" s="6">
        <f>[1]Production!O50+[1]Production!O52+[1]Production!O54+[1]Production!O56+[1]Production!O58+[1]Production!O60+[1]Production!O62+[1]Production!O64+[1]Production!O66</f>
        <v>104986.6170267</v>
      </c>
      <c r="Q115" s="6">
        <f>[1]Production!P50+[1]Production!P52+[1]Production!P54+[1]Production!P56+[1]Production!P58+[1]Production!P60+[1]Production!P62+[1]Production!P64+[1]Production!P66</f>
        <v>108688.72509360001</v>
      </c>
      <c r="R115" s="6">
        <f>[1]Production!Q50+[1]Production!Q52+[1]Production!Q54+[1]Production!Q56+[1]Production!Q58+[1]Production!Q60+[1]Production!Q62+[1]Production!Q64+[1]Production!Q66</f>
        <v>112709.36671810002</v>
      </c>
      <c r="S115" s="6">
        <f>[1]Production!R50+[1]Production!R52+[1]Production!R54+[1]Production!R56+[1]Production!R58+[1]Production!R60+[1]Production!R62+[1]Production!R64+[1]Production!R66</f>
        <v>117280.927775</v>
      </c>
      <c r="T115" s="6">
        <f>[1]Production!S50+[1]Production!S52+[1]Production!S54+[1]Production!S56+[1]Production!S58+[1]Production!S60+[1]Production!S62+[1]Production!S64+[1]Production!S66</f>
        <v>122327.4514112</v>
      </c>
      <c r="U115" s="6">
        <f>[1]Production!T50+[1]Production!T52+[1]Production!T54+[1]Production!T56+[1]Production!T58+[1]Production!T60+[1]Production!T62+[1]Production!T64+[1]Production!T66</f>
        <v>127881.18564086</v>
      </c>
      <c r="V115" s="6">
        <f>[1]Production!U50+[1]Production!U52+[1]Production!U54+[1]Production!U56+[1]Production!U58+[1]Production!U60+[1]Production!U62+[1]Production!U64+[1]Production!U66</f>
        <v>134010.86724957</v>
      </c>
      <c r="W115" s="6">
        <f>[1]Production!V50+[1]Production!V52+[1]Production!V54+[1]Production!V56+[1]Production!V58+[1]Production!V60+[1]Production!V62+[1]Production!V64+[1]Production!V66</f>
        <v>140814.44192718001</v>
      </c>
      <c r="X115" s="6">
        <f>[1]Production!W50+[1]Production!W52+[1]Production!W54+[1]Production!W56+[1]Production!W58+[1]Production!W60+[1]Production!W62+[1]Production!W64+[1]Production!W66</f>
        <v>148404.41343101001</v>
      </c>
      <c r="Y115" s="6">
        <f>[1]Production!X50+[1]Production!X52+[1]Production!X54+[1]Production!X56+[1]Production!X58+[1]Production!X60+[1]Production!X62+[1]Production!X64+[1]Production!X66</f>
        <v>157004.98603129</v>
      </c>
      <c r="Z115" s="6">
        <f>[1]Production!Y50+[1]Production!Y52+[1]Production!Y54+[1]Production!Y56+[1]Production!Y58+[1]Production!Y60+[1]Production!Y62+[1]Production!Y64+[1]Production!Y66</f>
        <v>166819.76246260799</v>
      </c>
      <c r="AA115" s="6">
        <f>[1]Production!Z50+[1]Production!Z52+[1]Production!Z54+[1]Production!Z56+[1]Production!Z58+[1]Production!Z60+[1]Production!Z62+[1]Production!Z64+[1]Production!Z66</f>
        <v>178044.83997105001</v>
      </c>
      <c r="AB115" s="6">
        <f>[1]Production!AA50+[1]Production!AA52+[1]Production!AA54+[1]Production!AA56+[1]Production!AA58+[1]Production!AA60+[1]Production!AA62+[1]Production!AA64+[1]Production!AA66</f>
        <v>190827.140676323</v>
      </c>
      <c r="AC115" s="6">
        <f>[1]Production!AB50+[1]Production!AB52+[1]Production!AB54+[1]Production!AB56+[1]Production!AB58+[1]Production!AB60+[1]Production!AB62+[1]Production!AB64+[1]Production!AB66</f>
        <v>196317.50213289497</v>
      </c>
      <c r="AD115" s="6">
        <f>[1]Production!AC50+[1]Production!AC52+[1]Production!AC54+[1]Production!AC56+[1]Production!AC58+[1]Production!AC60+[1]Production!AC62+[1]Production!AC64+[1]Production!AC66</f>
        <v>200123.97848713803</v>
      </c>
      <c r="AE115" s="6">
        <f>[1]Production!AD50+[1]Production!AD52+[1]Production!AD54+[1]Production!AD56+[1]Production!AD58+[1]Production!AD60+[1]Production!AD62+[1]Production!AD64+[1]Production!AD66</f>
        <v>203961.63622304105</v>
      </c>
      <c r="AF115" s="6">
        <f>[1]Production!AE50+[1]Production!AE52+[1]Production!AE54+[1]Production!AE56+[1]Production!AE58+[1]Production!AE60+[1]Production!AE62+[1]Production!AE64+[1]Production!AE66</f>
        <v>208162.927557346</v>
      </c>
      <c r="AG115" s="6">
        <f>[1]Production!AF50+[1]Production!AF52+[1]Production!AF54+[1]Production!AF56+[1]Production!AF58+[1]Production!AF60+[1]Production!AF62+[1]Production!AF64+[1]Production!AF66</f>
        <v>212659.776119697</v>
      </c>
      <c r="AH115" s="6">
        <f>[1]Production!AG50+[1]Production!AG52+[1]Production!AG54+[1]Production!AG56+[1]Production!AG58+[1]Production!AG60+[1]Production!AG62+[1]Production!AG64+[1]Production!AG66</f>
        <v>217299.804324014</v>
      </c>
      <c r="AI115" s="6">
        <f>[1]Production!AH50+[1]Production!AH52+[1]Production!AH54+[1]Production!AH56+[1]Production!AH58+[1]Production!AH60+[1]Production!AH62+[1]Production!AH64+[1]Production!AH66</f>
        <v>222016.45151074501</v>
      </c>
      <c r="AJ115" s="6">
        <f>[1]Production!AI50+[1]Production!AI52+[1]Production!AI54+[1]Production!AI56+[1]Production!AI58+[1]Production!AI60+[1]Production!AI62+[1]Production!AI64+[1]Production!AI66</f>
        <v>226745.900576605</v>
      </c>
      <c r="AK115" s="6">
        <f>[1]Production!AJ50+[1]Production!AJ52+[1]Production!AJ54+[1]Production!AJ56+[1]Production!AJ58+[1]Production!AJ60+[1]Production!AJ62+[1]Production!AJ64+[1]Production!AJ66</f>
        <v>231430.08692784197</v>
      </c>
      <c r="AL115" s="6">
        <f>[1]Production!AK50+[1]Production!AK52+[1]Production!AK54+[1]Production!AK56+[1]Production!AK58+[1]Production!AK60+[1]Production!AK62+[1]Production!AK64+[1]Production!AK66</f>
        <v>236019.77033961899</v>
      </c>
    </row>
    <row r="117" spans="2:38" x14ac:dyDescent="0.35">
      <c r="B117" t="s">
        <v>16</v>
      </c>
      <c r="C117" s="8" t="s">
        <v>17</v>
      </c>
      <c r="D117" s="8" t="s">
        <v>18</v>
      </c>
      <c r="E117" s="8" t="s">
        <v>19</v>
      </c>
    </row>
    <row r="118" spans="2:38" x14ac:dyDescent="0.35">
      <c r="B118" t="s">
        <v>7</v>
      </c>
      <c r="C118" s="6">
        <f t="shared" ref="C118:C123" si="9">(R110-R102)/R109*100</f>
        <v>-11.558265354645785</v>
      </c>
      <c r="D118" s="6">
        <f t="shared" ref="D118:D123" si="10">(AB110-AB102)/AB109*100</f>
        <v>-17.84820858886107</v>
      </c>
      <c r="E118" s="6">
        <f t="shared" ref="E118:E123" si="11">(AL110-AL102)/AL109*100</f>
        <v>-21.386697419189922</v>
      </c>
    </row>
    <row r="119" spans="2:38" x14ac:dyDescent="0.35">
      <c r="B119" t="s">
        <v>8</v>
      </c>
      <c r="C119" s="6">
        <f t="shared" si="9"/>
        <v>-43.808519713515423</v>
      </c>
      <c r="D119" s="6">
        <f t="shared" si="10"/>
        <v>-73.124941856154237</v>
      </c>
      <c r="E119" s="6">
        <f t="shared" si="11"/>
        <v>-67.395774840950324</v>
      </c>
    </row>
    <row r="120" spans="2:38" x14ac:dyDescent="0.35">
      <c r="B120" t="s">
        <v>9</v>
      </c>
      <c r="C120" s="6">
        <f t="shared" si="9"/>
        <v>-0.65528194946129958</v>
      </c>
      <c r="D120" s="6">
        <f t="shared" si="10"/>
        <v>-1.0286072722643382</v>
      </c>
      <c r="E120" s="6">
        <f t="shared" si="11"/>
        <v>-0.81680772916459754</v>
      </c>
    </row>
    <row r="121" spans="2:38" x14ac:dyDescent="0.35">
      <c r="B121" t="s">
        <v>10</v>
      </c>
      <c r="C121" s="6">
        <f t="shared" si="9"/>
        <v>-46.470359428000897</v>
      </c>
      <c r="D121" s="6">
        <f t="shared" si="10"/>
        <v>-73.658112322017374</v>
      </c>
      <c r="E121" s="6">
        <f t="shared" si="11"/>
        <v>-71.855750926738011</v>
      </c>
    </row>
    <row r="122" spans="2:38" x14ac:dyDescent="0.35">
      <c r="B122" t="s">
        <v>12</v>
      </c>
      <c r="C122" s="6">
        <f t="shared" si="9"/>
        <v>-9.5767777451283259E-2</v>
      </c>
      <c r="D122" s="6">
        <f t="shared" si="10"/>
        <v>-3.4923162218191105E-2</v>
      </c>
      <c r="E122" s="6">
        <f t="shared" si="11"/>
        <v>0.20999868144018788</v>
      </c>
    </row>
    <row r="123" spans="2:38" x14ac:dyDescent="0.35">
      <c r="B123" t="s">
        <v>11</v>
      </c>
      <c r="C123" s="6">
        <f t="shared" si="9"/>
        <v>2.1606653236089697</v>
      </c>
      <c r="D123" s="6">
        <f t="shared" si="10"/>
        <v>-4.0056505088040204</v>
      </c>
      <c r="E123" s="6">
        <f t="shared" si="11"/>
        <v>-9.0445055927519071</v>
      </c>
    </row>
    <row r="124" spans="2:38" x14ac:dyDescent="0.35">
      <c r="C124" s="5"/>
      <c r="D124" s="5"/>
      <c r="E124" s="5"/>
    </row>
    <row r="125" spans="2:38" x14ac:dyDescent="0.35">
      <c r="B125" t="s">
        <v>16</v>
      </c>
      <c r="C125" s="8" t="s">
        <v>17</v>
      </c>
      <c r="D125" s="8" t="s">
        <v>18</v>
      </c>
      <c r="E125" s="8" t="s">
        <v>19</v>
      </c>
    </row>
    <row r="126" spans="2:38" x14ac:dyDescent="0.35">
      <c r="B126" t="s">
        <v>7</v>
      </c>
      <c r="C126" s="4">
        <f t="shared" ref="C126:C131" si="12">R110/R102-1</f>
        <v>-4.6158861453187816E-2</v>
      </c>
      <c r="D126" s="4">
        <f t="shared" ref="D126:D131" si="13">AB110/AB102-1</f>
        <v>-6.3987031554260554E-2</v>
      </c>
      <c r="E126" s="4">
        <f t="shared" ref="E126:E131" si="14">AL110/AL102-1</f>
        <v>-6.2741504205624521E-2</v>
      </c>
    </row>
    <row r="127" spans="2:38" x14ac:dyDescent="0.35">
      <c r="B127" t="s">
        <v>8</v>
      </c>
      <c r="C127" s="4">
        <f t="shared" si="12"/>
        <v>-3.5652511158304701E-2</v>
      </c>
      <c r="D127" s="4">
        <f t="shared" si="13"/>
        <v>-5.5440780239746856E-2</v>
      </c>
      <c r="E127" s="4">
        <f t="shared" si="14"/>
        <v>-4.9451733751130211E-2</v>
      </c>
    </row>
    <row r="128" spans="2:38" x14ac:dyDescent="0.35">
      <c r="B128" t="s">
        <v>9</v>
      </c>
      <c r="C128" s="4">
        <f t="shared" si="12"/>
        <v>-5.3706730718378726E-2</v>
      </c>
      <c r="D128" s="4">
        <f t="shared" si="13"/>
        <v>-8.6777590186557396E-2</v>
      </c>
      <c r="E128" s="4">
        <f t="shared" si="14"/>
        <v>-7.1259967561057347E-2</v>
      </c>
    </row>
    <row r="129" spans="2:5" x14ac:dyDescent="0.35">
      <c r="B129" t="s">
        <v>10</v>
      </c>
      <c r="C129" s="4">
        <f t="shared" si="12"/>
        <v>-2.1053639852793293E-2</v>
      </c>
      <c r="D129" s="4">
        <f t="shared" si="13"/>
        <v>-3.2609870288168419E-2</v>
      </c>
      <c r="E129" s="4">
        <f t="shared" si="14"/>
        <v>-3.3487039322418366E-2</v>
      </c>
    </row>
    <row r="130" spans="2:5" x14ac:dyDescent="0.35">
      <c r="B130" t="s">
        <v>12</v>
      </c>
      <c r="C130" s="4">
        <f t="shared" si="12"/>
        <v>-6.3785140440416388E-2</v>
      </c>
      <c r="D130" s="4">
        <f t="shared" si="13"/>
        <v>-2.3161236752221037E-2</v>
      </c>
      <c r="E130" s="4">
        <f t="shared" si="14"/>
        <v>0.14097886075657318</v>
      </c>
    </row>
    <row r="131" spans="2:5" x14ac:dyDescent="0.35">
      <c r="B131" t="s">
        <v>11</v>
      </c>
      <c r="C131" s="4">
        <f t="shared" si="12"/>
        <v>9.1167539852787804E-3</v>
      </c>
      <c r="D131" s="4">
        <f t="shared" si="13"/>
        <v>-1.2017804677578403E-2</v>
      </c>
      <c r="E131" s="4">
        <f t="shared" si="14"/>
        <v>-3.1576899511238543E-2</v>
      </c>
    </row>
  </sheetData>
  <mergeCells count="3">
    <mergeCell ref="A56:A57"/>
    <mergeCell ref="A62:A63"/>
    <mergeCell ref="A59:A6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Graphiques</vt:lpstr>
      </vt:variant>
      <vt:variant>
        <vt:i4>7</vt:i4>
      </vt:variant>
    </vt:vector>
  </HeadingPairs>
  <TitlesOfParts>
    <vt:vector size="8" baseType="lpstr">
      <vt:lpstr>Données</vt:lpstr>
      <vt:lpstr>Gr Macro</vt:lpstr>
      <vt:lpstr>Gr inflation</vt:lpstr>
      <vt:lpstr>Gr émissions</vt:lpstr>
      <vt:lpstr>Gr VA secteurs (% dev)</vt:lpstr>
      <vt:lpstr>Gr VA secteurs (% share)</vt:lpstr>
      <vt:lpstr>Gr Y secteurs (% dev)</vt:lpstr>
      <vt:lpstr>Gr Y secteurs (% share)</vt:lpstr>
    </vt:vector>
  </TitlesOfParts>
  <Company>ADEME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JACQUETIN Florian</dc:creator>
  <cp:lastModifiedBy>JACQUETIN Florian</cp:lastModifiedBy>
  <dcterms:created xsi:type="dcterms:W3CDTF">2021-11-04T11:19:34Z</dcterms:created>
  <dcterms:modified xsi:type="dcterms:W3CDTF">2021-12-05T13:32:00Z</dcterms:modified>
</cp:coreProperties>
</file>